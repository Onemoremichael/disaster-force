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a581519c2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a7f419d8434b70"/>
    <x:sheet xmlns:r="http://schemas.openxmlformats.org/officeDocument/2006/relationships" name="Controls" sheetId="2" r:id="R8c188f13f5fe4f0b"/>
    <x:sheet xmlns:r="http://schemas.openxmlformats.org/officeDocument/2006/relationships" name="Method Matrix" sheetId="3" r:id="Rcafb74e6739c4d3f"/>
    <x:sheet xmlns:r="http://schemas.openxmlformats.org/officeDocument/2006/relationships" name="Trial Classes" sheetId="4" r:id="R780044fac3df4010"/>
    <x:sheet xmlns:r="http://schemas.openxmlformats.org/officeDocument/2006/relationships" name="Truth Roots" sheetId="5" r:id="R6205be3c07434e19"/>
    <x:sheet xmlns:r="http://schemas.openxmlformats.org/officeDocument/2006/relationships" name="Artifact Bank" sheetId="6" r:id="R81710bc4c6b24294"/>
    <x:sheet xmlns:r="http://schemas.openxmlformats.org/officeDocument/2006/relationships" name="Artifact Characteristics" sheetId="7" r:id="R1bce74f81c2143e2"/>
    <x:sheet xmlns:r="http://schemas.openxmlformats.org/officeDocument/2006/relationships" name="Reference Envelopes" sheetId="8" r:id="R664197e1569d4884"/>
    <x:sheet xmlns:r="http://schemas.openxmlformats.org/officeDocument/2006/relationships" name="Trial Register" sheetId="9" r:id="R16bc598bdcaf4707"/>
    <x:sheet xmlns:r="http://schemas.openxmlformats.org/officeDocument/2006/relationships" name="Worked Cell" sheetId="10" r:id="R0544dec2c3ba46f0"/>
    <x:sheet xmlns:r="http://schemas.openxmlformats.org/officeDocument/2006/relationships" name="Calibration" sheetId="11" r:id="Ra358743c10164c9f"/>
    <x:sheet xmlns:r="http://schemas.openxmlformats.org/officeDocument/2006/relationships" name="Blind Custody" sheetId="12" r:id="R39f4a93f5fc94a55"/>
    <x:sheet xmlns:r="http://schemas.openxmlformats.org/officeDocument/2006/relationships" name="Fault Cards" sheetId="13" r:id="R469e3046fa554a16"/>
    <x:sheet xmlns:r="http://schemas.openxmlformats.org/officeDocument/2006/relationships" name="Denial Cards" sheetId="14" r:id="Re6006d497b2440ad"/>
    <x:sheet xmlns:r="http://schemas.openxmlformats.org/officeDocument/2006/relationships" name="Time Nodes" sheetId="15" r:id="R2d41b1daccae4dbe"/>
    <x:sheet xmlns:r="http://schemas.openxmlformats.org/officeDocument/2006/relationships" name="Terrain Truth" sheetId="16" r:id="R8e150c1cd1b64eee"/>
    <x:sheet xmlns:r="http://schemas.openxmlformats.org/officeDocument/2006/relationships" name="Fluid Truth" sheetId="17" r:id="R4b0ef03d41314306"/>
    <x:sheet xmlns:r="http://schemas.openxmlformats.org/officeDocument/2006/relationships" name="Tracer Truth" sheetId="18" r:id="R366f489d7c7348d6"/>
    <x:sheet xmlns:r="http://schemas.openxmlformats.org/officeDocument/2006/relationships" name="Debris Truth" sheetId="19" r:id="Rbe754f1c2c354bfd"/>
    <x:sheet xmlns:r="http://schemas.openxmlformats.org/officeDocument/2006/relationships" name="Uncertainty" sheetId="20" r:id="R4c44530bbe904195"/>
    <x:sheet xmlns:r="http://schemas.openxmlformats.org/officeDocument/2006/relationships" name="Acceptance Rules" sheetId="21" r:id="Rfe4036d6b39a41c7"/>
    <x:sheet xmlns:r="http://schemas.openxmlformats.org/officeDocument/2006/relationships" name="Trial Results" sheetId="22" r:id="R6616fa6915114c14"/>
    <x:sheet xmlns:r="http://schemas.openxmlformats.org/officeDocument/2006/relationships" name="Agreement" sheetId="23" r:id="R7f6170e466ac45cb"/>
    <x:sheet xmlns:r="http://schemas.openxmlformats.org/officeDocument/2006/relationships" name="Equivalence" sheetId="24" r:id="Rf2ba9fed747f4fcc"/>
    <x:sheet xmlns:r="http://schemas.openxmlformats.org/officeDocument/2006/relationships" name="Method Qualification" sheetId="25" r:id="Red3889ba0eba4c70"/>
    <x:sheet xmlns:r="http://schemas.openxmlformats.org/officeDocument/2006/relationships" name="Replay Ledger" sheetId="26" r:id="R2436c6a1b0bc4100"/>
    <x:sheet xmlns:r="http://schemas.openxmlformats.org/officeDocument/2006/relationships" name="Reserve Ledger" sheetId="27" r:id="R66a44acfd6a34071"/>
    <x:sheet xmlns:r="http://schemas.openxmlformats.org/officeDocument/2006/relationships" name="Evidence Budget" sheetId="28" r:id="Rda000bf1b3d4489e"/>
    <x:sheet xmlns:r="http://schemas.openxmlformats.org/officeDocument/2006/relationships" name="Evidence Objects" sheetId="29" r:id="Rab081662b7f64905"/>
    <x:sheet xmlns:r="http://schemas.openxmlformats.org/officeDocument/2006/relationships" name="Amendments" sheetId="30" r:id="R07fccf1ca46347ce"/>
    <x:sheet xmlns:r="http://schemas.openxmlformats.org/officeDocument/2006/relationships" name="Regression" sheetId="31" r:id="Ra5255fe7f1e24549"/>
    <x:sheet xmlns:r="http://schemas.openxmlformats.org/officeDocument/2006/relationships" name="Technology Campaigns" sheetId="32" r:id="R16912387a4ba4a83"/>
    <x:sheet xmlns:r="http://schemas.openxmlformats.org/officeDocument/2006/relationships" name="Schedule" sheetId="33" r:id="R75e02fb439e240bc"/>
    <x:sheet xmlns:r="http://schemas.openxmlformats.org/officeDocument/2006/relationships" name="Capacity" sheetId="34" r:id="Rc36881b9fa3b4a02"/>
    <x:sheet xmlns:r="http://schemas.openxmlformats.org/officeDocument/2006/relationships" name="Workforce" sheetId="35" r:id="R755c8af9a0de4d18"/>
    <x:sheet xmlns:r="http://schemas.openxmlformats.org/officeDocument/2006/relationships" name="Capital" sheetId="36" r:id="R21b0bcedf9e04e9b"/>
    <x:sheet xmlns:r="http://schemas.openxmlformats.org/officeDocument/2006/relationships" name="Annual Support" sheetId="37" r:id="R096bf007d8714278"/>
    <x:sheet xmlns:r="http://schemas.openxmlformats.org/officeDocument/2006/relationships" name="Portfolio Boundary" sheetId="38" r:id="Reeb9cd09635b4195"/>
    <x:sheet xmlns:r="http://schemas.openxmlformats.org/officeDocument/2006/relationships" name="Release Gates" sheetId="39" r:id="R5b2805bc56e84102"/>
    <x:sheet xmlns:r="http://schemas.openxmlformats.org/officeDocument/2006/relationships" name="Audit" sheetId="40" r:id="Rad53d5bb0be74588"/>
    <x:sheet xmlns:r="http://schemas.openxmlformats.org/officeDocument/2006/relationships" name="Authority" sheetId="41" r:id="Rfb52d9cfbbcf4a18"/>
    <x:sheet xmlns:r="http://schemas.openxmlformats.org/officeDocument/2006/relationships" name="Sources" sheetId="42" r:id="R4d8084dcc0174c25"/>
    <x:sheet xmlns:r="http://schemas.openxmlformats.org/officeDocument/2006/relationships" name="ReadMe" sheetId="43" r:id="R9e8f9233929c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4" fillId="3" borderId="0" xfId="0" applyNumberFormat="1" applyFont="1" applyFill="1" applyBorder="1"/>
    <x:xf numFmtId="200" fontId="0" fillId="0" borderId="0" xfId="0" applyNumberFormat="1" applyFont="1" applyFill="1" applyBorder="1"/>
    <x:xf numFmtId="200" fontId="5" fillId="4" borderId="0" xfId="0" applyNumberFormat="1" applyFont="1" applyFill="1" applyBorder="1"/>
  </x:cellXfs>
  <x:cellStyles count="1">
    <x:cellStyle name="Normal" xfId="0"/>
  </x:cellStyles>
  <x:dxfs count="23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ecf234b644f20" /><Relationship Type="http://schemas.openxmlformats.org/officeDocument/2006/relationships/theme" Target="/xl/theme/theme1.xml" Id="R5699bb51fe504b75" /><Relationship Type="http://schemas.openxmlformats.org/officeDocument/2006/relationships/sharedStrings" Target="/xl/sharedStrings.xml" Id="R6ca99868e2014a7c" /><Relationship Type="http://schemas.openxmlformats.org/officeDocument/2006/relationships/worksheet" Target="/xl/worksheets/sheet1.xml" Id="R3aa7f419d8434b70" /><Relationship Type="http://schemas.openxmlformats.org/officeDocument/2006/relationships/worksheet" Target="/xl/worksheets/sheet2.xml" Id="R8c188f13f5fe4f0b" /><Relationship Type="http://schemas.openxmlformats.org/officeDocument/2006/relationships/worksheet" Target="/xl/worksheets/sheet3.xml" Id="Rcafb74e6739c4d3f" /><Relationship Type="http://schemas.openxmlformats.org/officeDocument/2006/relationships/worksheet" Target="/xl/worksheets/sheet4.xml" Id="R780044fac3df4010" /><Relationship Type="http://schemas.openxmlformats.org/officeDocument/2006/relationships/worksheet" Target="/xl/worksheets/sheet5.xml" Id="R6205be3c07434e19" /><Relationship Type="http://schemas.openxmlformats.org/officeDocument/2006/relationships/worksheet" Target="/xl/worksheets/sheet6.xml" Id="R81710bc4c6b24294" /><Relationship Type="http://schemas.openxmlformats.org/officeDocument/2006/relationships/worksheet" Target="/xl/worksheets/sheet7.xml" Id="R1bce74f81c2143e2" /><Relationship Type="http://schemas.openxmlformats.org/officeDocument/2006/relationships/worksheet" Target="/xl/worksheets/sheet8.xml" Id="R664197e1569d4884" /><Relationship Type="http://schemas.openxmlformats.org/officeDocument/2006/relationships/worksheet" Target="/xl/worksheets/sheet9.xml" Id="R16bc598bdcaf4707" /><Relationship Type="http://schemas.openxmlformats.org/officeDocument/2006/relationships/worksheet" Target="/xl/worksheets/sheet10.xml" Id="R0544dec2c3ba46f0" /><Relationship Type="http://schemas.openxmlformats.org/officeDocument/2006/relationships/worksheet" Target="/xl/worksheets/sheet11.xml" Id="Ra358743c10164c9f" /><Relationship Type="http://schemas.openxmlformats.org/officeDocument/2006/relationships/worksheet" Target="/xl/worksheets/sheet12.xml" Id="R39f4a93f5fc94a55" /><Relationship Type="http://schemas.openxmlformats.org/officeDocument/2006/relationships/worksheet" Target="/xl/worksheets/sheet13.xml" Id="R469e3046fa554a16" /><Relationship Type="http://schemas.openxmlformats.org/officeDocument/2006/relationships/worksheet" Target="/xl/worksheets/sheet14.xml" Id="Re6006d497b2440ad" /><Relationship Type="http://schemas.openxmlformats.org/officeDocument/2006/relationships/worksheet" Target="/xl/worksheets/sheet15.xml" Id="R2d41b1daccae4dbe" /><Relationship Type="http://schemas.openxmlformats.org/officeDocument/2006/relationships/worksheet" Target="/xl/worksheets/sheet16.xml" Id="R8e150c1cd1b64eee" /><Relationship Type="http://schemas.openxmlformats.org/officeDocument/2006/relationships/worksheet" Target="/xl/worksheets/sheet17.xml" Id="R4b0ef03d41314306" /><Relationship Type="http://schemas.openxmlformats.org/officeDocument/2006/relationships/worksheet" Target="/xl/worksheets/sheet18.xml" Id="R366f489d7c7348d6" /><Relationship Type="http://schemas.openxmlformats.org/officeDocument/2006/relationships/worksheet" Target="/xl/worksheets/sheet19.xml" Id="Rbe754f1c2c354bfd" /><Relationship Type="http://schemas.openxmlformats.org/officeDocument/2006/relationships/worksheet" Target="/xl/worksheets/sheet20.xml" Id="R4c44530bbe904195" /><Relationship Type="http://schemas.openxmlformats.org/officeDocument/2006/relationships/worksheet" Target="/xl/worksheets/sheet21.xml" Id="Rfe4036d6b39a41c7" /><Relationship Type="http://schemas.openxmlformats.org/officeDocument/2006/relationships/worksheet" Target="/xl/worksheets/sheet22.xml" Id="R6616fa6915114c14" /><Relationship Type="http://schemas.openxmlformats.org/officeDocument/2006/relationships/worksheet" Target="/xl/worksheets/sheet23.xml" Id="R7f6170e466ac45cb" /><Relationship Type="http://schemas.openxmlformats.org/officeDocument/2006/relationships/worksheet" Target="/xl/worksheets/sheet24.xml" Id="Rf2ba9fed747f4fcc" /><Relationship Type="http://schemas.openxmlformats.org/officeDocument/2006/relationships/worksheet" Target="/xl/worksheets/sheet25.xml" Id="Red3889ba0eba4c70" /><Relationship Type="http://schemas.openxmlformats.org/officeDocument/2006/relationships/worksheet" Target="/xl/worksheets/sheet26.xml" Id="R2436c6a1b0bc4100" /><Relationship Type="http://schemas.openxmlformats.org/officeDocument/2006/relationships/worksheet" Target="/xl/worksheets/sheet27.xml" Id="R66a44acfd6a34071" /><Relationship Type="http://schemas.openxmlformats.org/officeDocument/2006/relationships/worksheet" Target="/xl/worksheets/sheet28.xml" Id="Rda000bf1b3d4489e" /><Relationship Type="http://schemas.openxmlformats.org/officeDocument/2006/relationships/worksheet" Target="/xl/worksheets/sheet29.xml" Id="Rab081662b7f64905" /><Relationship Type="http://schemas.openxmlformats.org/officeDocument/2006/relationships/worksheet" Target="/xl/worksheets/sheet30.xml" Id="R07fccf1ca46347ce" /><Relationship Type="http://schemas.openxmlformats.org/officeDocument/2006/relationships/worksheet" Target="/xl/worksheets/sheet31.xml" Id="Ra5255fe7f1e24549" /><Relationship Type="http://schemas.openxmlformats.org/officeDocument/2006/relationships/worksheet" Target="/xl/worksheets/sheet32.xml" Id="R16912387a4ba4a83" /><Relationship Type="http://schemas.openxmlformats.org/officeDocument/2006/relationships/worksheet" Target="/xl/worksheets/sheet33.xml" Id="R75e02fb439e240bc" /><Relationship Type="http://schemas.openxmlformats.org/officeDocument/2006/relationships/worksheet" Target="/xl/worksheets/sheet34.xml" Id="Rc36881b9fa3b4a02" /><Relationship Type="http://schemas.openxmlformats.org/officeDocument/2006/relationships/worksheet" Target="/xl/worksheets/sheet35.xml" Id="R755c8af9a0de4d18" /><Relationship Type="http://schemas.openxmlformats.org/officeDocument/2006/relationships/worksheet" Target="/xl/worksheets/sheet36.xml" Id="R21b0bcedf9e04e9b" /><Relationship Type="http://schemas.openxmlformats.org/officeDocument/2006/relationships/worksheet" Target="/xl/worksheets/sheet37.xml" Id="R096bf007d8714278" /><Relationship Type="http://schemas.openxmlformats.org/officeDocument/2006/relationships/worksheet" Target="/xl/worksheets/sheet38.xml" Id="Reeb9cd09635b4195" /><Relationship Type="http://schemas.openxmlformats.org/officeDocument/2006/relationships/worksheet" Target="/xl/worksheets/sheet39.xml" Id="R5b2805bc56e84102" /><Relationship Type="http://schemas.openxmlformats.org/officeDocument/2006/relationships/worksheet" Target="/xl/worksheets/sheet40.xml" Id="Rad53d5bb0be74588" /><Relationship Type="http://schemas.openxmlformats.org/officeDocument/2006/relationships/worksheet" Target="/xl/worksheets/sheet41.xml" Id="Rfb52d9cfbbcf4a18" /><Relationship Type="http://schemas.openxmlformats.org/officeDocument/2006/relationships/worksheet" Target="/xl/worksheets/sheet42.xml" Id="R4d8084dcc0174c25" /><Relationship Type="http://schemas.openxmlformats.org/officeDocument/2006/relationships/worksheet" Target="/xl/worksheets/sheet43.xml" Id="R9e8f9233929c4f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44" hidden="0" customWidth="1"/>
    <x:col min="3" max="3" width="18" hidden="0" customWidth="1"/>
    <x:col min="4" max="4" width="22" hidden="0" customWidth="1"/>
    <x:col min="5" max="5" width="4" hidden="0" customWidth="1"/>
    <x:col min="6" max="6" width="40" hidden="0" customWidth="1"/>
    <x:col min="7" max="7" width="22" hidden="0" customWidth="1"/>
    <x:col min="8" max="8" width="18" hidden="0" customWidth="1"/>
  </x:cols>
  <x:sheetData>
    <x:row r="2">
      <x:c r="B2" s="1" t="str">
        <x:v>RAW-1 Root A known-truth method qualification wave</x:v>
      </x:c>
    </x:row>
    <x:row r="3">
      <x:c r="B3" s="2" t="str">
        <x:v>Five nonenergetic methods cross unlike truth roots, all six rigs, blinded faults, denial and outside-site replay.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Qualification architecture</x:v>
      </x:c>
      <x:c r="C6" s="7" t="str">
        <x:v>Value</x:v>
      </x:c>
      <x:c r="D6" s="7" t="str">
        <x:v>Unit</x:v>
      </x:c>
      <x:c r="F6" s="7" t="str">
        <x:v>Institution and release state</x:v>
      </x:c>
      <x:c r="G6" s="7" t="str">
        <x:v>Value</x:v>
      </x:c>
      <x:c r="H6" s="7" t="str">
        <x:v>Unit</x:v>
      </x:c>
    </x:row>
    <x:row r="7">
      <x:c r="B7" t="str">
        <x:v>methods</x:v>
      </x:c>
      <x:c r="C7" t="n">
        <x:v>5</x:v>
      </x:c>
      <x:c r="D7" t="str">
        <x:v>methods</x:v>
      </x:c>
      <x:c r="F7" t="str">
        <x:v>workforce</x:v>
      </x:c>
      <x:c r="G7" t="n">
        <x:f>Workforce!C18</x:f>
        <x:v>436</x:v>
      </x:c>
      <x:c r="H7" t="str">
        <x:v>positions</x:v>
      </x:c>
    </x:row>
    <x:row r="8">
      <x:c r="B8" t="str">
        <x:v>truth roots</x:v>
      </x:c>
      <x:c r="C8" t="n">
        <x:v>10</x:v>
      </x:c>
      <x:c r="D8" t="str">
        <x:v>method-root families</x:v>
      </x:c>
      <x:c r="F8" t="str">
        <x:v>capital</x:v>
      </x:c>
      <x:c r="G8" t="n">
        <x:f>Capital!C20</x:f>
        <x:v>480</x:v>
      </x:c>
      <x:c r="H8" t="str">
        <x:v>USD M</x:v>
      </x:c>
    </x:row>
    <x:row r="9">
      <x:c r="B9" t="str">
        <x:v>truth articles</x:v>
      </x:c>
      <x:c r="C9" t="n">
        <x:v>120</x:v>
      </x:c>
      <x:c r="D9" t="str">
        <x:v>articles</x:v>
      </x:c>
      <x:c r="F9" t="str">
        <x:v>annual support</x:v>
      </x:c>
      <x:c r="G9" t="n">
        <x:f>'Annual Support'!C18</x:f>
        <x:v>188</x:v>
      </x:c>
      <x:c r="H9" t="str">
        <x:v>USD M/year</x:v>
      </x:c>
    </x:row>
    <x:row r="10">
      <x:c r="B10" t="str">
        <x:v>required valid credits</x:v>
      </x:c>
      <x:c r="C10" t="n">
        <x:v>360</x:v>
      </x:c>
      <x:c r="D10" t="str">
        <x:v>trials</x:v>
      </x:c>
      <x:c r="F10" t="str">
        <x:v>program exposure</x:v>
      </x:c>
      <x:c r="G10" t="n">
        <x:f>'Portfolio Boundary'!C22</x:f>
        <x:v>950</x:v>
      </x:c>
      <x:c r="H10" t="str">
        <x:v>USD M</x:v>
      </x:c>
    </x:row>
    <x:row r="11">
      <x:c r="B11" t="str">
        <x:v>reserve tokens</x:v>
      </x:c>
      <x:c r="C11" t="n">
        <x:v>75</x:v>
      </x:c>
      <x:c r="D11" t="str">
        <x:v>attempts</x:v>
      </x:c>
      <x:c r="F11" t="str">
        <x:v>net-new capital</x:v>
      </x:c>
      <x:c r="G11" t="n">
        <x:f>'Portfolio Boundary'!C9</x:f>
        <x:v>70</x:v>
      </x:c>
      <x:c r="H11" t="str">
        <x:v>USD M</x:v>
      </x:c>
    </x:row>
    <x:row r="12">
      <x:c r="B12" t="str">
        <x:v>base rig-days</x:v>
      </x:c>
      <x:c r="C12" t="n">
        <x:v>960</x:v>
      </x:c>
      <x:c r="D12" t="str">
        <x:v>rig-days</x:v>
      </x:c>
      <x:c r="F12" t="str">
        <x:v>net-new annual</x:v>
      </x:c>
      <x:c r="G12" t="n">
        <x:f>'Portfolio Boundary'!D9</x:f>
        <x:v>26</x:v>
      </x:c>
      <x:c r="H12" t="str">
        <x:v>USD M/year</x:v>
      </x:c>
    </x:row>
    <x:row r="13">
      <x:c r="B13" t="str">
        <x:v>reserve rig-days</x:v>
      </x:c>
      <x:c r="C13" t="n">
        <x:v>221</x:v>
      </x:c>
      <x:c r="D13" t="str">
        <x:v>rig-days</x:v>
      </x:c>
      <x:c r="F13" t="str">
        <x:v>BRD-13R capital</x:v>
      </x:c>
      <x:c r="G13" t="n">
        <x:f>'Portfolio Boundary'!C17</x:f>
        <x:v>2395</x:v>
      </x:c>
      <x:c r="H13" t="str">
        <x:v>USD M</x:v>
      </x:c>
    </x:row>
    <x:row r="14">
      <x:c r="B14" t="str">
        <x:v>technology campaigns</x:v>
      </x:c>
      <x:c r="C14" t="n">
        <x:v>12</x:v>
      </x:c>
      <x:c r="D14" t="str">
        <x:v>campaigns</x:v>
      </x:c>
      <x:c r="F14" t="str">
        <x:v>BRD-13R annual</x:v>
      </x:c>
      <x:c r="G14" t="n">
        <x:f>'Portfolio Boundary'!D17</x:f>
        <x:v>446</x:v>
      </x:c>
      <x:c r="H14" t="str">
        <x:v>USD M/year</x:v>
      </x:c>
    </x:row>
    <x:row r="15">
      <x:c r="F15" t="str">
        <x:v>planning gates</x:v>
      </x:c>
      <x:c r="G15" t="n">
        <x:f>'Release Gates'!K2</x:f>
        <x:v>1606</x:v>
      </x:c>
      <x:c r="H15" t="str">
        <x:v>PASS</x:v>
      </x:c>
    </x:row>
    <x:row r="16">
      <x:c r="F16" t="str">
        <x:v>physical gates</x:v>
      </x:c>
      <x:c r="G16" t="n">
        <x:f>'Release Gates'!K3</x:f>
        <x:v>2811</x:v>
      </x:c>
      <x:c r="H16" t="str">
        <x:v>OPEN</x:v>
      </x:c>
    </x:row>
    <x:row r="17">
      <x:c r="F17" t="str">
        <x:v>downstream gates</x:v>
      </x:c>
      <x:c r="G17" t="n">
        <x:f>'Release Gates'!K4</x:f>
        <x:v>9</x:v>
      </x:c>
      <x:c r="H17" t="str">
        <x:v>BLOCKED</x:v>
      </x:c>
    </x:row>
    <x:row r="18">
      <x:c r="F18" t="str">
        <x:v>audit observers</x:v>
      </x:c>
      <x:c r="G18" t="n">
        <x:f>COUNTA(Audit!B7:B5000)</x:f>
        <x:v>4466</x:v>
      </x:c>
      <x:c r="H18" t="str">
        <x:v>PASS</x:v>
      </x:c>
    </x:row>
    <x:row r="21">
      <x:c r="B21" s="12" t="str">
        <x:v>Governing interpretation</x:v>
      </x:c>
      <x:c r="C21" s="12"/>
      <x:c r="D21" s="12"/>
      <x:c r="E21" s="12"/>
      <x:c r="F21" s="12"/>
      <x:c r="G21" s="12"/>
      <x:c r="H21" s="12"/>
    </x:row>
    <x:row r="22" ht="38" customHeight="1">
      <x:c r="B22" s="10" t="str">
        <x:v>Five methods cross two physically unlike truth roots, six public rigs and six trial classes to create 360 required valid credits.</x:v>
      </x:c>
      <x:c r="C22"/>
      <x:c r="D22"/>
      <x:c r="E22"/>
      <x:c r="F22"/>
      <x:c r="G22"/>
      <x:c r="H22"/>
    </x:row>
    <x:row r="23" ht="38" customHeight="1">
      <x:c r="B23" s="10" t="str">
        <x:v>One hundred twenty truth articles protect active, reference, destructive and quarantine stocks without borrowing candidate hardware.</x:v>
      </x:c>
      <x:c r="C23"/>
      <x:c r="D23"/>
      <x:c r="E23"/>
      <x:c r="F23"/>
      <x:c r="G23"/>
      <x:c r="H23"/>
    </x:row>
    <x:row r="24" ht="38" customHeight="1">
      <x:c r="B24" s="10" t="str">
        <x:v>Blinded defects and decisive-chain denial test whether the method detects truth and survives loss, rather than merely reporting clean cases.</x:v>
      </x:c>
      <x:c r="C24"/>
      <x:c r="D24"/>
      <x:c r="E24"/>
      <x:c r="F24"/>
      <x:c r="G24"/>
      <x:c r="H24"/>
    </x:row>
    <x:row r="25" ht="38" customHeight="1">
      <x:c r="B25" s="10" t="str">
        <x:v>Outside-origin replay is a trial class: another campus must reconstruct truth, uncertainty and decision from portable originals.</x:v>
      </x:c>
      <x:c r="C25"/>
      <x:c r="D25"/>
      <x:c r="E25"/>
      <x:c r="F25"/>
      <x:c r="G25"/>
      <x:c r="H25"/>
    </x:row>
    <x:row r="26" ht="38" customHeight="1">
      <x:c r="B26" s="10" t="str">
        <x:v>Reported values remain blank until execution. A valid zero is never created from an unresolved reference or missing observation.</x:v>
      </x:c>
      <x:c r="C26"/>
      <x:c r="D26"/>
      <x:c r="E26"/>
      <x:c r="F26"/>
      <x:c r="G26"/>
      <x:c r="H26"/>
    </x:row>
    <x:row r="27" ht="38" customHeight="1">
      <x:c r="B27" s="10" t="str">
        <x:v>Twelve technology campaigns turn source tomography, dual ancestry, terrain sensing, distributed time and causal compilation into public programs.</x:v>
      </x:c>
      <x:c r="C27"/>
      <x:c r="D27"/>
      <x:c r="E27"/>
      <x:c r="F27"/>
      <x:c r="G27"/>
      <x:c r="H27"/>
    </x:row>
    <x:row r="28" ht="38" customHeight="1">
      <x:c r="B28" s="10" t="str">
        <x:v>RAW-1 requires 436 positions, USD 480 million capital and USD 188 million per year. Net-new gross requirement is USD 70 million and USD 26 million per year.</x:v>
      </x:c>
      <x:c r="C28"/>
      <x:c r="D28"/>
      <x:c r="E28"/>
      <x:c r="F28"/>
      <x:c r="G28"/>
      <x:c r="H28"/>
    </x:row>
    <x:row r="29" ht="38" customHeight="1">
      <x:c r="B29" s="10" t="str">
        <x:v>All physical and downstream gates remain open or blocked. Quarter-source authority, candidate entry, campaign release and exterior rendering remain unavailable.</x:v>
      </x:c>
      <x:c r="C29"/>
      <x:c r="D29"/>
      <x:c r="E29"/>
      <x:c r="F29"/>
      <x:c r="G29"/>
      <x:c r="H29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  <x:mergeCell ref="B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9" hidden="0" customWidth="1"/>
    <x:col min="4" max="4" width="18" hidden="0" customWidth="1"/>
    <x:col min="5" max="5" width="22" hidden="0" customWidth="1"/>
    <x:col min="6" max="6" width="16" hidden="0" customWidth="1"/>
    <x:col min="7" max="7" width="20" hidden="0" customWidth="1"/>
  </x:cols>
  <x:sheetData>
    <x:row r="2">
      <x:c r="B2" s="1" t="str">
        <x:v>RAW-1 controls</x:v>
      </x:c>
    </x:row>
    <x:row r="3">
      <x:c r="B3" s="2" t="str">
        <x:v>Blue values are editable planning hypotheses. Physical acceptance and downstream authority begin at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Class</x:v>
      </x:c>
      <x:c r="G6" s="7" t="str">
        <x:v>Internal authority</x:v>
      </x:c>
    </x:row>
    <x:row r="7">
      <x:c r="B7" t="str">
        <x:v>C01</x:v>
      </x:c>
      <x:c r="C7" t="str">
        <x:v>nonenergetic methods</x:v>
      </x:c>
      <x:c r="D7" s="13" t="n">
        <x:v>5</x:v>
      </x:c>
      <x:c r="E7" t="str">
        <x:v>count</x:v>
      </x:c>
      <x:c r="F7" t="str">
        <x:v>design</x:v>
      </x:c>
      <x:c r="G7" t="str">
        <x:v>RAW-1</x:v>
      </x:c>
    </x:row>
    <x:row r="8">
      <x:c r="B8" t="str">
        <x:v>C02</x:v>
      </x:c>
      <x:c r="C8" t="str">
        <x:v>truth roots per method</x:v>
      </x:c>
      <x:c r="D8" s="13" t="n">
        <x:v>2</x:v>
      </x:c>
      <x:c r="E8" t="str">
        <x:v>roots</x:v>
      </x:c>
      <x:c r="F8" t="str">
        <x:v>design</x:v>
      </x:c>
      <x:c r="G8" t="str">
        <x:v>RAW-1</x:v>
      </x:c>
    </x:row>
    <x:row r="9">
      <x:c r="B9" t="str">
        <x:v>C03</x:v>
      </x:c>
      <x:c r="C9" t="str">
        <x:v>public rigs</x:v>
      </x:c>
      <x:c r="D9" s="13" t="n">
        <x:v>6</x:v>
      </x:c>
      <x:c r="E9" t="str">
        <x:v>rigs</x:v>
      </x:c>
      <x:c r="F9" t="str">
        <x:v>inherited</x:v>
      </x:c>
      <x:c r="G9" t="str">
        <x:v>RFP-1</x:v>
      </x:c>
    </x:row>
    <x:row r="10">
      <x:c r="B10" t="str">
        <x:v>C04</x:v>
      </x:c>
      <x:c r="C10" t="str">
        <x:v>trial classes</x:v>
      </x:c>
      <x:c r="D10" s="13" t="n">
        <x:v>6</x:v>
      </x:c>
      <x:c r="E10" t="str">
        <x:v>classes</x:v>
      </x:c>
      <x:c r="F10" t="str">
        <x:v>design</x:v>
      </x:c>
      <x:c r="G10" t="str">
        <x:v>RAW-1</x:v>
      </x:c>
    </x:row>
    <x:row r="11">
      <x:c r="B11" t="str">
        <x:v>C05</x:v>
      </x:c>
      <x:c r="C11" t="str">
        <x:v>required valid credits</x:v>
      </x:c>
      <x:c r="D11" s="13" t="n">
        <x:v>360</x:v>
      </x:c>
      <x:c r="E11" t="str">
        <x:v>credits</x:v>
      </x:c>
      <x:c r="F11" t="str">
        <x:v>derived</x:v>
      </x:c>
      <x:c r="G11" t="str">
        <x:v>RAW-1</x:v>
      </x:c>
    </x:row>
    <x:row r="12">
      <x:c r="B12" t="str">
        <x:v>C06</x:v>
      </x:c>
      <x:c r="C12" t="str">
        <x:v>invalid-attempt reserve</x:v>
      </x:c>
      <x:c r="D12" s="13" t="n">
        <x:v>75</x:v>
      </x:c>
      <x:c r="E12" t="str">
        <x:v>tokens</x:v>
      </x:c>
      <x:c r="F12" t="str">
        <x:v>derived</x:v>
      </x:c>
      <x:c r="G12" t="str">
        <x:v>RAW-1</x:v>
      </x:c>
    </x:row>
    <x:row r="13">
      <x:c r="B13" t="str">
        <x:v>C07</x:v>
      </x:c>
      <x:c r="C13" t="str">
        <x:v>native data rate</x:v>
      </x:c>
      <x:c r="D13" s="13" t="n">
        <x:v>53.40384</x:v>
      </x:c>
      <x:c r="E13" t="str">
        <x:v>MB/s</x:v>
      </x:c>
      <x:c r="F13" t="str">
        <x:v>inherited</x:v>
      </x:c>
      <x:c r="G13" t="str">
        <x:v>RFP-1</x:v>
      </x:c>
    </x:row>
    <x:row r="14">
      <x:c r="B14" t="str">
        <x:v>C08</x:v>
      </x:c>
      <x:c r="C14" t="str">
        <x:v>full-rate interval</x:v>
      </x:c>
      <x:c r="D14" s="13" t="n">
        <x:v>600</x:v>
      </x:c>
      <x:c r="E14" t="str">
        <x:v>s</x:v>
      </x:c>
      <x:c r="F14" t="str">
        <x:v>inherited</x:v>
      </x:c>
      <x:c r="G14" t="str">
        <x:v>RFP-1</x:v>
      </x:c>
    </x:row>
    <x:row r="15">
      <x:c r="B15" t="str">
        <x:v>C09</x:v>
      </x:c>
      <x:c r="C15" t="str">
        <x:v>tail interval</x:v>
      </x:c>
      <x:c r="D15" s="13" t="n">
        <x:v>21600</x:v>
      </x:c>
      <x:c r="E15" t="str">
        <x:v>s</x:v>
      </x:c>
      <x:c r="F15" t="str">
        <x:v>inherited</x:v>
      </x:c>
      <x:c r="G15" t="str">
        <x:v>RFP-1</x:v>
      </x:c>
    </x:row>
    <x:row r="16">
      <x:c r="B16" t="str">
        <x:v>C10</x:v>
      </x:c>
      <x:c r="C16" t="str">
        <x:v>tail fraction</x:v>
      </x:c>
      <x:c r="D16" s="13" t="n">
        <x:v>0.01</x:v>
      </x:c>
      <x:c r="E16" t="str">
        <x:v>ratio</x:v>
      </x:c>
      <x:c r="F16" t="str">
        <x:v>inherited</x:v>
      </x:c>
      <x:c r="G16" t="str">
        <x:v>RFP-1</x:v>
      </x:c>
    </x:row>
    <x:row r="17">
      <x:c r="B17" t="str">
        <x:v>C11</x:v>
      </x:c>
      <x:c r="C17" t="str">
        <x:v>native originals</x:v>
      </x:c>
      <x:c r="D17" s="13" t="n">
        <x:v>2</x:v>
      </x:c>
      <x:c r="E17" t="str">
        <x:v>count</x:v>
      </x:c>
      <x:c r="F17" t="str">
        <x:v>inherited</x:v>
      </x:c>
      <x:c r="G17" t="str">
        <x:v>RFP-1</x:v>
      </x:c>
    </x:row>
    <x:row r="18">
      <x:c r="B18" t="str">
        <x:v>C12</x:v>
      </x:c>
      <x:c r="C18" t="str">
        <x:v>custody factor</x:v>
      </x:c>
      <x:c r="D18" s="13" t="n">
        <x:v>1.35</x:v>
      </x:c>
      <x:c r="E18" t="str">
        <x:v>ratio</x:v>
      </x:c>
      <x:c r="F18" t="str">
        <x:v>inherited</x:v>
      </x:c>
      <x:c r="G18" t="str">
        <x:v>RFP-1</x:v>
      </x:c>
    </x:row>
    <x:row r="19">
      <x:c r="B19" t="str">
        <x:v>C13</x:v>
      </x:c>
      <x:c r="C19" t="str">
        <x:v>qualification forensic overhead</x:v>
      </x:c>
      <x:c r="D19" s="13" t="n">
        <x:v>0.3</x:v>
      </x:c>
      <x:c r="E19" t="str">
        <x:v>ratio</x:v>
      </x:c>
      <x:c r="F19" t="str">
        <x:v>design</x:v>
      </x:c>
      <x:c r="G19" t="str">
        <x:v>RAW-1</x:v>
      </x:c>
    </x:row>
    <x:row r="20">
      <x:c r="B20" t="str">
        <x:v>C14</x:v>
      </x:c>
      <x:c r="C20" t="str">
        <x:v>qualification duration</x:v>
      </x:c>
      <x:c r="D20" s="13" t="n">
        <x:v>30</x:v>
      </x:c>
      <x:c r="E20" t="str">
        <x:v>months</x:v>
      </x:c>
      <x:c r="F20" t="str">
        <x:v>design</x:v>
      </x:c>
      <x:c r="G20" t="str">
        <x:v>RAW-1</x:v>
      </x:c>
    </x:row>
    <x:row r="21">
      <x:c r="B21" t="str">
        <x:v>C15</x:v>
      </x:c>
      <x:c r="C21" t="str">
        <x:v>ready-rig fraction</x:v>
      </x:c>
      <x:c r="D21" s="13" t="n">
        <x:v>0.55</x:v>
      </x:c>
      <x:c r="E21" t="str">
        <x:v>ratio</x:v>
      </x:c>
      <x:c r="F21" t="str">
        <x:v>design</x:v>
      </x:c>
      <x:c r="G21" t="str">
        <x:v>RAW-1</x:v>
      </x:c>
    </x:row>
    <x:row r="22">
      <x:c r="B22" t="str">
        <x:v>C16</x:v>
      </x:c>
      <x:c r="C22" t="str">
        <x:v>mission workforce</x:v>
      </x:c>
      <x:c r="D22" s="13" t="n">
        <x:v>436</x:v>
      </x:c>
      <x:c r="E22" t="str">
        <x:v>positions</x:v>
      </x:c>
      <x:c r="F22" t="str">
        <x:v>design</x:v>
      </x:c>
      <x:c r="G22" t="str">
        <x:v>RAW-1</x:v>
      </x:c>
    </x:row>
    <x:row r="23">
      <x:c r="B23" t="str">
        <x:v>C17</x:v>
      </x:c>
      <x:c r="C23" t="str">
        <x:v>gross capital</x:v>
      </x:c>
      <x:c r="D23" s="13" t="n">
        <x:v>480</x:v>
      </x:c>
      <x:c r="E23" t="str">
        <x:v>USD M</x:v>
      </x:c>
      <x:c r="F23" t="str">
        <x:v>design</x:v>
      </x:c>
      <x:c r="G23" t="str">
        <x:v>RAW-1</x:v>
      </x:c>
    </x:row>
    <x:row r="24">
      <x:c r="B24" t="str">
        <x:v>C18</x:v>
      </x:c>
      <x:c r="C24" t="str">
        <x:v>gross annual support</x:v>
      </x:c>
      <x:c r="D24" s="13" t="n">
        <x:v>188</x:v>
      </x:c>
      <x:c r="E24" t="str">
        <x:v>USD M/year</x:v>
      </x:c>
      <x:c r="F24" t="str">
        <x:v>design</x:v>
      </x:c>
      <x:c r="G24" t="str">
        <x:v>RAW-1</x:v>
      </x:c>
    </x:row>
    <x:row r="25">
      <x:c r="B25" t="str">
        <x:v>C19</x:v>
      </x:c>
      <x:c r="C25" t="str">
        <x:v>CISA capital share</x:v>
      </x:c>
      <x:c r="D25" s="13" t="n">
        <x:v>300</x:v>
      </x:c>
      <x:c r="E25" t="str">
        <x:v>USD M</x:v>
      </x:c>
      <x:c r="F25" t="str">
        <x:v>design</x:v>
      </x:c>
      <x:c r="G25" t="str">
        <x:v>RAW-1</x:v>
      </x:c>
    </x:row>
    <x:row r="26">
      <x:c r="B26" t="str">
        <x:v>C20</x:v>
      </x:c>
      <x:c r="C26" t="str">
        <x:v>shared capital share</x:v>
      </x:c>
      <x:c r="D26" s="13" t="n">
        <x:v>180</x:v>
      </x:c>
      <x:c r="E26" t="str">
        <x:v>USD M</x:v>
      </x:c>
      <x:c r="F26" t="str">
        <x:v>design</x:v>
      </x:c>
      <x:c r="G26" t="str">
        <x:v>RAW-1</x:v>
      </x:c>
    </x:row>
    <x:row r="27">
      <x:c r="B27" t="str">
        <x:v>C21</x:v>
      </x:c>
      <x:c r="C27" t="str">
        <x:v>CISA annual share</x:v>
      </x:c>
      <x:c r="D27" s="13" t="n">
        <x:v>122</x:v>
      </x:c>
      <x:c r="E27" t="str">
        <x:v>USD M/year</x:v>
      </x:c>
      <x:c r="F27" t="str">
        <x:v>design</x:v>
      </x:c>
      <x:c r="G27" t="str">
        <x:v>RAW-1</x:v>
      </x:c>
    </x:row>
    <x:row r="28">
      <x:c r="B28" t="str">
        <x:v>C22</x:v>
      </x:c>
      <x:c r="C28" t="str">
        <x:v>shared annual share</x:v>
      </x:c>
      <x:c r="D28" s="13" t="n">
        <x:v>66</x:v>
      </x:c>
      <x:c r="E28" t="str">
        <x:v>USD M/year</x:v>
      </x:c>
      <x:c r="F28" t="str">
        <x:v>design</x:v>
      </x:c>
      <x:c r="G28" t="str">
        <x:v>RAW-1</x:v>
      </x:c>
    </x:row>
    <x:row r="29">
      <x:c r="B29" t="str">
        <x:v>C23</x:v>
      </x:c>
      <x:c r="C29" t="str">
        <x:v>registered overlap capital</x:v>
      </x:c>
      <x:c r="D29" s="13" t="n">
        <x:v>410</x:v>
      </x:c>
      <x:c r="E29" t="str">
        <x:v>USD M</x:v>
      </x:c>
      <x:c r="F29" t="str">
        <x:v>design</x:v>
      </x:c>
      <x:c r="G29" t="str">
        <x:v>RAW-1</x:v>
      </x:c>
    </x:row>
    <x:row r="30">
      <x:c r="B30" t="str">
        <x:v>C24</x:v>
      </x:c>
      <x:c r="C30" t="str">
        <x:v>registered overlap annual</x:v>
      </x:c>
      <x:c r="D30" s="13" t="n">
        <x:v>162</x:v>
      </x:c>
      <x:c r="E30" t="str">
        <x:v>USD M/year</x:v>
      </x:c>
      <x:c r="F30" t="str">
        <x:v>design</x:v>
      </x:c>
      <x:c r="G30" t="str">
        <x:v>RAW-1</x:v>
      </x:c>
    </x:row>
    <x:row r="31">
      <x:c r="B31" t="str">
        <x:v>C25</x:v>
      </x:c>
      <x:c r="C31" t="str">
        <x:v>CISA overlap capital</x:v>
      </x:c>
      <x:c r="D31" s="13" t="n">
        <x:v>255</x:v>
      </x:c>
      <x:c r="E31" t="str">
        <x:v>USD M</x:v>
      </x:c>
      <x:c r="F31" t="str">
        <x:v>design</x:v>
      </x:c>
      <x:c r="G31" t="str">
        <x:v>RAW-1</x:v>
      </x:c>
    </x:row>
    <x:row r="32">
      <x:c r="B32" t="str">
        <x:v>C26</x:v>
      </x:c>
      <x:c r="C32" t="str">
        <x:v>CISA overlap annual</x:v>
      </x:c>
      <x:c r="D32" s="13" t="n">
        <x:v>106</x:v>
      </x:c>
      <x:c r="E32" t="str">
        <x:v>USD M/year</x:v>
      </x:c>
      <x:c r="F32" t="str">
        <x:v>design</x:v>
      </x:c>
      <x:c r="G32" t="str">
        <x:v>RAW-1</x:v>
      </x:c>
    </x:row>
    <x:row r="33">
      <x:c r="B33" t="str">
        <x:v>C27</x:v>
      </x:c>
      <x:c r="C33" t="str">
        <x:v>shared overlap capital</x:v>
      </x:c>
      <x:c r="D33" s="13" t="n">
        <x:v>155</x:v>
      </x:c>
      <x:c r="E33" t="str">
        <x:v>USD M</x:v>
      </x:c>
      <x:c r="F33" t="str">
        <x:v>design</x:v>
      </x:c>
      <x:c r="G33" t="str">
        <x:v>RAW-1</x:v>
      </x:c>
    </x:row>
    <x:row r="34">
      <x:c r="B34" t="str">
        <x:v>C28</x:v>
      </x:c>
      <x:c r="C34" t="str">
        <x:v>shared overlap annual</x:v>
      </x:c>
      <x:c r="D34" s="13" t="n">
        <x:v>56</x:v>
      </x:c>
      <x:c r="E34" t="str">
        <x:v>USD M/year</x:v>
      </x:c>
      <x:c r="F34" t="str">
        <x:v>design</x:v>
      </x:c>
      <x:c r="G34" t="str">
        <x:v>RAW-1</x:v>
      </x:c>
    </x:row>
    <x:row r="35">
      <x:c r="B35" t="str">
        <x:v>C29</x:v>
      </x:c>
      <x:c r="C35" t="str">
        <x:v>BRD-12R capital</x:v>
      </x:c>
      <x:c r="D35" s="13" t="n">
        <x:v>2350</x:v>
      </x:c>
      <x:c r="E35" t="str">
        <x:v>USD M</x:v>
      </x:c>
      <x:c r="F35" t="str">
        <x:v>inherited</x:v>
      </x:c>
      <x:c r="G35" t="str">
        <x:v>RAM-1</x:v>
      </x:c>
    </x:row>
    <x:row r="36">
      <x:c r="B36" t="str">
        <x:v>C30</x:v>
      </x:c>
      <x:c r="C36" t="str">
        <x:v>BRD-12R annual</x:v>
      </x:c>
      <x:c r="D36" s="13" t="n">
        <x:v>430</x:v>
      </x:c>
      <x:c r="E36" t="str">
        <x:v>USD M/year</x:v>
      </x:c>
      <x:c r="F36" t="str">
        <x:v>inherited</x:v>
      </x:c>
      <x:c r="G36" t="str">
        <x:v>RAM-1</x:v>
      </x:c>
    </x:row>
    <x:row r="37">
      <x:c r="B37" t="str">
        <x:v>C31</x:v>
      </x:c>
      <x:c r="C37" t="str">
        <x:v>BRD-12U capital</x:v>
      </x:c>
      <x:c r="D37" s="13" t="n">
        <x:v>2965</x:v>
      </x:c>
      <x:c r="E37" t="str">
        <x:v>USD M</x:v>
      </x:c>
      <x:c r="F37" t="str">
        <x:v>inherited</x:v>
      </x:c>
      <x:c r="G37" t="str">
        <x:v>RAM-1</x:v>
      </x:c>
    </x:row>
    <x:row r="38">
      <x:c r="B38" t="str">
        <x:v>C32</x:v>
      </x:c>
      <x:c r="C38" t="str">
        <x:v>BRD-12U annual</x:v>
      </x:c>
      <x:c r="D38" s="13" t="n">
        <x:v>583</x:v>
      </x:c>
      <x:c r="E38" t="str">
        <x:v>USD M/year</x:v>
      </x:c>
      <x:c r="F38" t="str">
        <x:v>inherited</x:v>
      </x:c>
      <x:c r="G38" t="str">
        <x:v>RAM-1</x:v>
      </x:c>
    </x:row>
    <x:row r="39">
      <x:c r="B39" t="str">
        <x:v>C33</x:v>
      </x:c>
      <x:c r="C39" t="str">
        <x:v>CISA parent capital</x:v>
      </x:c>
      <x:c r="D39" s="13" t="n">
        <x:v>960</x:v>
      </x:c>
      <x:c r="E39" t="str">
        <x:v>USD M</x:v>
      </x:c>
      <x:c r="F39" t="str">
        <x:v>inherited</x:v>
      </x:c>
      <x:c r="G39" t="str">
        <x:v>CISA-1</x:v>
      </x:c>
    </x:row>
    <x:row r="40">
      <x:c r="B40" t="str">
        <x:v>C34</x:v>
      </x:c>
      <x:c r="C40" t="str">
        <x:v>CISA parent annual</x:v>
      </x:c>
      <x:c r="D40" s="13" t="n">
        <x:v>260</x:v>
      </x:c>
      <x:c r="E40" t="str">
        <x:v>USD M/year</x:v>
      </x:c>
      <x:c r="F40" t="str">
        <x:v>inherited</x:v>
      </x:c>
      <x:c r="G40" t="str">
        <x:v>CISA-1</x:v>
      </x:c>
    </x:row>
    <x:row r="41">
      <x:c r="B41" t="str">
        <x:v>C35</x:v>
      </x:c>
      <x:c r="C41" t="str">
        <x:v>planning completion</x:v>
      </x:c>
      <x:c r="D41" s="13" t="n">
        <x:v>1</x:v>
      </x:c>
      <x:c r="E41" t="str">
        <x:v>binary</x:v>
      </x:c>
      <x:c r="F41" t="str">
        <x:v>design</x:v>
      </x:c>
      <x:c r="G41" t="str">
        <x:v>RAW-1</x:v>
      </x:c>
    </x:row>
    <x:row r="42">
      <x:c r="B42" t="str">
        <x:v>C36</x:v>
      </x:c>
      <x:c r="C42" t="str">
        <x:v>AM-00 release authority</x:v>
      </x:c>
      <x:c r="D42" s="13" t="n">
        <x:v>0</x:v>
      </x:c>
      <x:c r="E42" t="str">
        <x:v>binary</x:v>
      </x:c>
      <x:c r="F42" t="str">
        <x:v>authority</x:v>
      </x:c>
      <x:c r="G42" t="str">
        <x:v>downstream</x:v>
      </x:c>
    </x:row>
    <x:row r="43">
      <x:c r="B43" t="str">
        <x:v>C37</x:v>
      </x:c>
      <x:c r="C43" t="str">
        <x:v>AM-01 release authority</x:v>
      </x:c>
      <x:c r="D43" s="13" t="n">
        <x:v>0</x:v>
      </x:c>
      <x:c r="E43" t="str">
        <x:v>binary</x:v>
      </x:c>
      <x:c r="F43" t="str">
        <x:v>authority</x:v>
      </x:c>
      <x:c r="G43" t="str">
        <x:v>downstream</x:v>
      </x:c>
    </x:row>
    <x:row r="44">
      <x:c r="B44" t="str">
        <x:v>C38</x:v>
      </x:c>
      <x:c r="C44" t="str">
        <x:v>AM-02 release authority</x:v>
      </x:c>
      <x:c r="D44" s="13" t="n">
        <x:v>0</x:v>
      </x:c>
      <x:c r="E44" t="str">
        <x:v>binary</x:v>
      </x:c>
      <x:c r="F44" t="str">
        <x:v>authority</x:v>
      </x:c>
      <x:c r="G44" t="str">
        <x:v>downstream</x:v>
      </x:c>
    </x:row>
    <x:row r="45">
      <x:c r="B45" t="str">
        <x:v>C39</x:v>
      </x:c>
      <x:c r="C45" t="str">
        <x:v>AM-03 release authority</x:v>
      </x:c>
      <x:c r="D45" s="13" t="n">
        <x:v>0</x:v>
      </x:c>
      <x:c r="E45" t="str">
        <x:v>binary</x:v>
      </x:c>
      <x:c r="F45" t="str">
        <x:v>authority</x:v>
      </x:c>
      <x:c r="G45" t="str">
        <x:v>downstream</x:v>
      </x:c>
    </x:row>
    <x:row r="46">
      <x:c r="B46" t="str">
        <x:v>C40</x:v>
      </x:c>
      <x:c r="C46" t="str">
        <x:v>AM-04 release authority</x:v>
      </x:c>
      <x:c r="D46" s="13" t="n">
        <x:v>0</x:v>
      </x:c>
      <x:c r="E46" t="str">
        <x:v>binary</x:v>
      </x:c>
      <x:c r="F46" t="str">
        <x:v>authority</x:v>
      </x:c>
      <x:c r="G46" t="str">
        <x:v>downstream</x:v>
      </x:c>
    </x:row>
    <x:row r="47">
      <x:c r="B47" t="str">
        <x:v>C41</x:v>
      </x:c>
      <x:c r="C47" t="str">
        <x:v>quarter-source method authority</x:v>
      </x:c>
      <x:c r="D47" s="13" t="n">
        <x:v>0</x:v>
      </x:c>
      <x:c r="E47" t="str">
        <x:v>binary</x:v>
      </x:c>
      <x:c r="F47" t="str">
        <x:v>authority</x:v>
      </x:c>
      <x:c r="G47" t="str">
        <x:v>downstream</x:v>
      </x:c>
    </x:row>
    <x:row r="48">
      <x:c r="B48" t="str">
        <x:v>C42</x:v>
      </x:c>
      <x:c r="C48" t="str">
        <x:v>candidate article entry</x:v>
      </x:c>
      <x:c r="D48" s="13" t="n">
        <x:v>0</x:v>
      </x:c>
      <x:c r="E48" t="str">
        <x:v>binary</x:v>
      </x:c>
      <x:c r="F48" t="str">
        <x:v>authority</x:v>
      </x:c>
      <x:c r="G48" t="str">
        <x:v>downstream</x:v>
      </x:c>
    </x:row>
    <x:row r="49">
      <x:c r="B49" t="str">
        <x:v>C43</x:v>
      </x:c>
      <x:c r="C49" t="str">
        <x:v>Root A source campaign release</x:v>
      </x:c>
      <x:c r="D49" s="13" t="n">
        <x:v>0</x:v>
      </x:c>
      <x:c r="E49" t="str">
        <x:v>binary</x:v>
      </x:c>
      <x:c r="F49" t="str">
        <x:v>authority</x:v>
      </x:c>
      <x:c r="G49" t="str">
        <x:v>downstream</x:v>
      </x:c>
    </x:row>
    <x:row r="50">
      <x:c r="B50" t="str">
        <x:v>C44</x:v>
      </x:c>
      <x:c r="C50" t="str">
        <x:v>exterior-rendering authority</x:v>
      </x:c>
      <x:c r="D50" s="13" t="n">
        <x:v>0</x:v>
      </x:c>
      <x:c r="E50" t="str">
        <x:v>binary</x:v>
      </x:c>
      <x:c r="F50" t="str">
        <x:v>authority</x:v>
      </x:c>
      <x:c r="G50" t="str">
        <x:v>downstream</x:v>
      </x:c>
    </x:row>
    <x:row r="51">
      <x:c r="B51" t="str">
        <x:v>C45</x:v>
      </x:c>
      <x:c r="C51" t="str">
        <x:v>maximum geometry relative error</x:v>
      </x:c>
      <x:c r="D51" s="13" t="n">
        <x:v>0.005</x:v>
      </x:c>
      <x:c r="E51" t="str">
        <x:v>ratio</x:v>
      </x:c>
      <x:c r="F51" t="str">
        <x:v>design</x:v>
      </x:c>
      <x:c r="G51" t="str">
        <x:v>RAW-1</x:v>
      </x:c>
    </x:row>
    <x:row r="52">
      <x:c r="B52" t="str">
        <x:v>C46</x:v>
      </x:c>
      <x:c r="C52" t="str">
        <x:v>maximum time error</x:v>
      </x:c>
      <x:c r="D52" s="13" t="n">
        <x:v>5</x:v>
      </x:c>
      <x:c r="E52" t="str">
        <x:v>microseconds</x:v>
      </x:c>
      <x:c r="F52" t="str">
        <x:v>inherited</x:v>
      </x:c>
      <x:c r="G52" t="str">
        <x:v>RAM-1</x:v>
      </x:c>
    </x:row>
    <x:row r="53">
      <x:c r="B53" t="str">
        <x:v>C47</x:v>
      </x:c>
      <x:c r="C53" t="str">
        <x:v>maximum water-balance error</x:v>
      </x:c>
      <x:c r="D53" s="13" t="n">
        <x:v>0.0025</x:v>
      </x:c>
      <x:c r="E53" t="str">
        <x:v>ratio</x:v>
      </x:c>
      <x:c r="F53" t="str">
        <x:v>design</x:v>
      </x:c>
      <x:c r="G53" t="str">
        <x:v>RAW-1</x:v>
      </x:c>
    </x:row>
    <x:row r="54">
      <x:c r="B54" t="str">
        <x:v>C48</x:v>
      </x:c>
      <x:c r="C54" t="str">
        <x:v>minimum tracer recovery</x:v>
      </x:c>
      <x:c r="D54" s="13" t="n">
        <x:v>0.995</x:v>
      </x:c>
      <x:c r="E54" t="str">
        <x:v>ratio</x:v>
      </x:c>
      <x:c r="F54" t="str">
        <x:v>design</x:v>
      </x:c>
      <x:c r="G54" t="str">
        <x:v>RAW-1</x:v>
      </x:c>
    </x:row>
    <x:row r="55">
      <x:c r="B55" t="str">
        <x:v>C49</x:v>
      </x:c>
      <x:c r="C55" t="str">
        <x:v>maximum tracer cross-talk</x:v>
      </x:c>
      <x:c r="D55" s="13" t="n">
        <x:v>0.005</x:v>
      </x:c>
      <x:c r="E55" t="str">
        <x:v>ratio</x:v>
      </x:c>
      <x:c r="F55" t="str">
        <x:v>design</x:v>
      </x:c>
      <x:c r="G55" t="str">
        <x:v>RAW-1</x:v>
      </x:c>
    </x:row>
    <x:row r="56">
      <x:c r="B56" t="str">
        <x:v>C50</x:v>
      </x:c>
      <x:c r="C56" t="str">
        <x:v>minimum replay agreement</x:v>
      </x:c>
      <x:c r="D56" s="13" t="n">
        <x:v>0.99</x:v>
      </x:c>
      <x:c r="E56" t="str">
        <x:v>ratio</x:v>
      </x:c>
      <x:c r="F56" t="str">
        <x:v>design</x:v>
      </x:c>
      <x:c r="G56" t="str">
        <x:v>RAW-1</x:v>
      </x:c>
    </x:row>
    <x:row r="57">
      <x:c r="B57" t="str">
        <x:v>C51</x:v>
      </x:c>
      <x:c r="C57" t="str">
        <x:v>maximum normalized root gap</x:v>
      </x:c>
      <x:c r="D57" s="13" t="n">
        <x:v>0.25</x:v>
      </x:c>
      <x:c r="E57" t="str">
        <x:v>ratio</x:v>
      </x:c>
      <x:c r="F57" t="str">
        <x:v>design</x:v>
      </x:c>
      <x:c r="G57" t="str">
        <x:v>RAW-1</x:v>
      </x:c>
    </x:row>
    <x:row r="58">
      <x:c r="B58" t="str">
        <x:v>C52</x:v>
      </x:c>
      <x:c r="C58" t="str">
        <x:v>minimum truth containment</x:v>
      </x:c>
      <x:c r="D58" s="13" t="n">
        <x:v>1</x:v>
      </x:c>
      <x:c r="E58" t="str">
        <x:v>ratio</x:v>
      </x:c>
      <x:c r="F58" t="str">
        <x:v>design</x:v>
      </x:c>
      <x:c r="G58" t="str">
        <x:v>RAW-1</x:v>
      </x:c>
    </x:row>
    <x:row r="59">
      <x:c r="B59" t="str">
        <x:v>C53</x:v>
      </x:c>
      <x:c r="C59" t="str">
        <x:v>minimum accepted credits per method</x:v>
      </x:c>
      <x:c r="D59" s="13" t="n">
        <x:v>72</x:v>
      </x:c>
      <x:c r="E59" t="str">
        <x:v>credits</x:v>
      </x:c>
      <x:c r="F59" t="str">
        <x:v>design</x:v>
      </x:c>
      <x:c r="G59" t="str">
        <x:v>RAW-1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4" hidden="0" customWidth="1"/>
    <x:col min="4" max="4" width="75" hidden="0" customWidth="1"/>
    <x:col min="5" max="5" width="24" hidden="0" customWidth="1"/>
    <x:col min="6" max="6" width="29" hidden="0" customWidth="1"/>
    <x:col min="7" max="7" width="21" hidden="0" customWidth="1"/>
    <x:col min="8" max="8" width="14" hidden="0" customWidth="1"/>
  </x:cols>
  <x:sheetData>
    <x:row r="2">
      <x:c r="B2" s="1" t="str">
        <x:v>Five nonenergetic qualification methods</x:v>
      </x:c>
    </x:row>
    <x:row r="3">
      <x:c r="B3" s="2" t="str">
        <x:v>Each method must agree across two unlike truth roots and all six public rigs before source escalation.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</x:v>
      </x:c>
      <x:c r="C6" s="7" t="str">
        <x:v>Name</x:v>
      </x:c>
      <x:c r="D6" s="7" t="str">
        <x:v>Qualification proposition</x:v>
      </x:c>
      <x:c r="E6" s="7" t="str">
        <x:v>Truth domain</x:v>
      </x:c>
      <x:c r="F6" s="7" t="str">
        <x:v>Medium</x:v>
      </x:c>
      <x:c r="G6" s="7" t="str">
        <x:v>Qualified UTC</x:v>
      </x:c>
      <x:c r="H6" s="7" t="str">
        <x:v>State</x:v>
      </x:c>
    </x:row>
    <x:row r="7" ht="44" customHeight="1">
      <x:c r="B7" t="str">
        <x:v>AM-00</x:v>
      </x:c>
      <x:c r="C7" t="str">
        <x:v>geometry and dry state</x:v>
      </x:c>
      <x:c r="D7" s="10" t="str">
        <x:v>coordinate, terrain, drain, robot and safe-state identity</x:v>
      </x:c>
      <x:c r="E7" t="str">
        <x:v>geometric truth</x:v>
      </x:c>
      <x:c r="F7" t="str">
        <x:v>no source or water</x:v>
      </x:c>
      <x:c r="G7" t="str"/>
      <x:c r="H7" t="str">
        <x:v>OPEN</x:v>
      </x:c>
    </x:row>
    <x:row r="8" ht="44" customHeight="1">
      <x:c r="B8" t="str">
        <x:v>AM-01</x:v>
      </x:c>
      <x:c r="C8" t="str">
        <x:v>water-only hydraulics</x:v>
      </x:c>
      <x:c r="D8" s="10" t="str">
        <x:v>supply, return, retention, leakage and casualty-path closure</x:v>
      </x:c>
      <x:c r="E8" t="str">
        <x:v>hydraulic truth</x:v>
      </x:c>
      <x:c r="F8" t="str">
        <x:v>clean water</x:v>
      </x:c>
      <x:c r="G8" t="str"/>
      <x:c r="H8" t="str">
        <x:v>OPEN</x:v>
      </x:c>
    </x:row>
    <x:row r="9" ht="44" customHeight="1">
      <x:c r="B9" t="str">
        <x:v>AM-02</x:v>
      </x:c>
      <x:c r="C9" t="str">
        <x:v>safe hydraulic surrogate</x:v>
      </x:c>
      <x:c r="D9" s="10" t="str">
        <x:v>density, viscosity, wetting and receiver reconstruction</x:v>
      </x:c>
      <x:c r="E9" t="str">
        <x:v>property truth</x:v>
      </x:c>
      <x:c r="F9" t="str">
        <x:v>nonenergetic surrogate</x:v>
      </x:c>
      <x:c r="G9" t="str"/>
      <x:c r="H9" t="str">
        <x:v>OPEN</x:v>
      </x:c>
    </x:row>
    <x:row r="10" ht="44" customHeight="1">
      <x:c r="B10" t="str">
        <x:v>AM-03</x:v>
      </x:c>
      <x:c r="C10" t="str">
        <x:v>debris and damaged terrain</x:v>
      </x:c>
      <x:c r="D10" s="10" t="str">
        <x:v>blockage, bypass, clearing, grade and local inventory</x:v>
      </x:c>
      <x:c r="E10" t="str">
        <x:v>debris truth</x:v>
      </x:c>
      <x:c r="F10" t="str">
        <x:v>water or safe surrogate</x:v>
      </x:c>
      <x:c r="G10" t="str"/>
      <x:c r="H10" t="str">
        <x:v>OPEN</x:v>
      </x:c>
    </x:row>
    <x:row r="11" ht="44" customHeight="1">
      <x:c r="B11" t="str">
        <x:v>AM-04</x:v>
      </x:c>
      <x:c r="C11" t="str">
        <x:v>dual-tracer ancestry</x:v>
      </x:c>
      <x:c r="D11" s="10" t="str">
        <x:v>source, candidate-water, public-water and environmental custody</x:v>
      </x:c>
      <x:c r="E11" t="str">
        <x:v>mixture truth</x:v>
      </x:c>
      <x:c r="F11" t="str">
        <x:v>two safe tracer systems</x:v>
      </x:c>
      <x:c r="G11" t="str"/>
      <x:c r="H11" t="str">
        <x:v>OPEN</x:v>
      </x:c>
    </x:row>
  </x:sheetData>
  <x:conditionalFormatting sqref="H7:H11">
    <x:cfRule type="containsText" dxfId="0" priority="1" operator="containsText" text="FAIL"/>
    <x:cfRule type="containsText" dxfId="1" priority="2" operator="containsText" text="INVALI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GAP"/>
    <x:cfRule type="containsText" dxfId="5" priority="6" operator="containsText" text="DORMANT"/>
    <x:cfRule type="containsText" dxfId="6" priority="7" operator="containsText" text="PASS"/>
    <x:cfRule type="containsText" dxfId="7" priority="8" operator="containsText" text="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76" hidden="0" customWidth="1"/>
    <x:col min="5" max="5" width="24" hidden="0" customWidth="1"/>
    <x:col min="6" max="6" width="16" hidden="0" customWidth="1"/>
    <x:col min="7" max="7" width="18" hidden="0" customWidth="1"/>
    <x:col min="8" max="8" width="18" hidden="0" customWidth="1"/>
    <x:col min="9" max="9" width="19" hidden="0" customWidth="1"/>
    <x:col min="10" max="10" width="21" hidden="0" customWidth="1"/>
  </x:cols>
  <x:sheetData>
    <x:row r="2">
      <x:c r="B2" s="1" t="str">
        <x:v>Six qualification trial classes</x:v>
      </x:c>
    </x:row>
    <x:row r="3">
      <x:c r="B3" s="2" t="str">
        <x:v>Required credits are fixed. Reserve tokens replace only independently invalid attempts.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Class</x:v>
      </x:c>
      <x:c r="C6" s="7" t="str">
        <x:v>Name</x:v>
      </x:c>
      <x:c r="D6" s="7" t="str">
        <x:v>Proposition</x:v>
      </x:c>
      <x:c r="E6" s="7" t="str">
        <x:v>Invalid-rate hypothesis</x:v>
      </x:c>
      <x:c r="F6" s="7" t="str">
        <x:v>Rig-days</x:v>
      </x:c>
      <x:c r="G6" s="7" t="str">
        <x:v>Base credits</x:v>
      </x:c>
      <x:c r="H6" s="7" t="str">
        <x:v>Reserve tokens</x:v>
      </x:c>
      <x:c r="I6" s="7" t="str">
        <x:v>Base rig-days</x:v>
      </x:c>
      <x:c r="J6" s="7" t="str">
        <x:v>Reserve rig-days</x:v>
      </x:c>
    </x:row>
    <x:row r="7" ht="42" customHeight="1">
      <x:c r="B7" t="str">
        <x:v>QT-01</x:v>
      </x:c>
      <x:c r="C7" t="str">
        <x:v>datum and blank</x:v>
      </x:c>
      <x:c r="D7" s="10" t="str">
        <x:v>clean nominal state and zero response</x:v>
      </x:c>
      <x:c r="E7" s="14" t="n">
        <x:v>0.08</x:v>
      </x:c>
      <x:c r="F7" s="14" t="n">
        <x:v>2</x:v>
      </x:c>
      <x:c r="G7" s="14" t="n">
        <x:v>60</x:v>
      </x:c>
      <x:c r="H7" s="14" t="n">
        <x:f>ROUNDUP(G7/(1-E7),0)-G7</x:f>
        <x:v>6</x:v>
      </x:c>
      <x:c r="I7" s="14" t="n">
        <x:f>F7*G7</x:f>
        <x:v>120</x:v>
      </x:c>
      <x:c r="J7" s="14" t="n">
        <x:f>F7*H7</x:f>
        <x:v>12</x:v>
      </x:c>
    </x:row>
    <x:row r="8" ht="42" customHeight="1">
      <x:c r="B8" t="str">
        <x:v>QT-02</x:v>
      </x:c>
      <x:c r="C8" t="str">
        <x:v>lower truth corner</x:v>
      </x:c>
      <x:c r="D8" s="10" t="str">
        <x:v>registered low physical state</x:v>
      </x:c>
      <x:c r="E8" s="14" t="n">
        <x:v>0.12</x:v>
      </x:c>
      <x:c r="F8" s="14" t="n">
        <x:v>2</x:v>
      </x:c>
      <x:c r="G8" s="14" t="n">
        <x:v>60</x:v>
      </x:c>
      <x:c r="H8" s="14" t="n">
        <x:f>ROUNDUP(G8/(1-E8),0)-G8</x:f>
        <x:v>9</x:v>
      </x:c>
      <x:c r="I8" s="14" t="n">
        <x:f>F8*G8</x:f>
        <x:v>120</x:v>
      </x:c>
      <x:c r="J8" s="14" t="n">
        <x:f>F8*H8</x:f>
        <x:v>18</x:v>
      </x:c>
    </x:row>
    <x:row r="9" ht="42" customHeight="1">
      <x:c r="B9" t="str">
        <x:v>QT-03</x:v>
      </x:c>
      <x:c r="C9" t="str">
        <x:v>upper truth corner</x:v>
      </x:c>
      <x:c r="D9" s="10" t="str">
        <x:v>registered high physical state</x:v>
      </x:c>
      <x:c r="E9" s="14" t="n">
        <x:v>0.12</x:v>
      </x:c>
      <x:c r="F9" s="14" t="n">
        <x:v>2</x:v>
      </x:c>
      <x:c r="G9" s="14" t="n">
        <x:v>60</x:v>
      </x:c>
      <x:c r="H9" s="14" t="n">
        <x:f>ROUNDUP(G9/(1-E9),0)-G9</x:f>
        <x:v>9</x:v>
      </x:c>
      <x:c r="I9" s="14" t="n">
        <x:f>F9*G9</x:f>
        <x:v>120</x:v>
      </x:c>
      <x:c r="J9" s="14" t="n">
        <x:f>F9*H9</x:f>
        <x:v>18</x:v>
      </x:c>
    </x:row>
    <x:row r="10" ht="42" customHeight="1">
      <x:c r="B10" t="str">
        <x:v>QT-04</x:v>
      </x:c>
      <x:c r="C10" t="str">
        <x:v>blinded physical defect</x:v>
      </x:c>
      <x:c r="D10" s="10" t="str">
        <x:v>sealed state with candidate and local operator blind</x:v>
      </x:c>
      <x:c r="E10" s="14" t="n">
        <x:v>0.18</x:v>
      </x:c>
      <x:c r="F10" s="14" t="n">
        <x:v>3</x:v>
      </x:c>
      <x:c r="G10" s="14" t="n">
        <x:v>60</x:v>
      </x:c>
      <x:c r="H10" s="14" t="n">
        <x:f>ROUNDUP(G10/(1-E10),0)-G10</x:f>
        <x:v>14</x:v>
      </x:c>
      <x:c r="I10" s="14" t="n">
        <x:f>F10*G10</x:f>
        <x:v>180</x:v>
      </x:c>
      <x:c r="J10" s="14" t="n">
        <x:f>F10*H10</x:f>
        <x:v>42</x:v>
      </x:c>
    </x:row>
    <x:row r="11" ht="42" customHeight="1">
      <x:c r="B11" t="str">
        <x:v>QT-05</x:v>
      </x:c>
      <x:c r="C11" t="str">
        <x:v>decisive-chain denial</x:v>
      </x:c>
      <x:c r="D11" s="10" t="str">
        <x:v>one decisive chain absent while unlike witness remains</x:v>
      </x:c>
      <x:c r="E11" s="14" t="n">
        <x:v>0.22</x:v>
      </x:c>
      <x:c r="F11" s="14" t="n">
        <x:v>3</x:v>
      </x:c>
      <x:c r="G11" s="14" t="n">
        <x:v>60</x:v>
      </x:c>
      <x:c r="H11" s="14" t="n">
        <x:f>ROUNDUP(G11/(1-E11),0)-G11</x:f>
        <x:v>17</x:v>
      </x:c>
      <x:c r="I11" s="14" t="n">
        <x:f>F11*G11</x:f>
        <x:v>180</x:v>
      </x:c>
      <x:c r="J11" s="14" t="n">
        <x:f>F11*H11</x:f>
        <x:v>51</x:v>
      </x:c>
    </x:row>
    <x:row r="12" ht="42" customHeight="1">
      <x:c r="B12" t="str">
        <x:v>QT-06</x:v>
      </x:c>
      <x:c r="C12" t="str">
        <x:v>outside-origin replay</x:v>
      </x:c>
      <x:c r="D12" s="10" t="str">
        <x:v>another campus reconstructs truth and decision from portable originals</x:v>
      </x:c>
      <x:c r="E12" s="14" t="n">
        <x:v>0.25</x:v>
      </x:c>
      <x:c r="F12" s="14" t="n">
        <x:v>4</x:v>
      </x:c>
      <x:c r="G12" s="14" t="n">
        <x:v>60</x:v>
      </x:c>
      <x:c r="H12" s="14" t="n">
        <x:f>ROUNDUP(G12/(1-E12),0)-G12</x:f>
        <x:v>20</x:v>
      </x:c>
      <x:c r="I12" s="14" t="n">
        <x:f>F12*G12</x:f>
        <x:v>240</x:v>
      </x:c>
      <x:c r="J12" s="14" t="n">
        <x:f>F12*H12</x:f>
        <x:v>80</x:v>
      </x:c>
    </x:row>
    <x:row r="13">
      <x:c r="E13" s="14"/>
      <x:c r="F13" s="14"/>
      <x:c r="G13" s="14"/>
      <x:c r="H13" s="14"/>
      <x:c r="I13" s="14"/>
      <x:c r="J13" s="14"/>
    </x:row>
    <x:row r="14">
      <x:c r="B14" s="12" t="str">
        <x:v>TOTAL</x:v>
      </x:c>
      <x:c r="C14" s="12" t="str"/>
      <x:c r="D14" s="12" t="str"/>
      <x:c r="E14" s="15" t="str"/>
      <x:c r="F14" s="15" t="str"/>
      <x:c r="G14" s="15" t="n">
        <x:f>SUM(G7:G12)</x:f>
        <x:v>360</x:v>
      </x:c>
      <x:c r="H14" s="15" t="n">
        <x:f>SUM(H7:H12)</x:f>
        <x:v>75</x:v>
      </x:c>
      <x:c r="I14" s="15" t="n">
        <x:f>SUM(I7:I12)</x:f>
        <x:v>960</x:v>
      </x:c>
      <x:c r="J14" s="15" t="n">
        <x:f>SUM(J7:J12)</x:f>
        <x:v>221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2" hidden="0" customWidth="1"/>
    <x:col min="5" max="5" width="83" hidden="0" customWidth="1"/>
    <x:col min="6" max="6" width="25" hidden="0" customWidth="1"/>
    <x:col min="7" max="7" width="14" hidden="0" customWidth="1"/>
  </x:cols>
  <x:sheetData>
    <x:row r="2">
      <x:c r="B2" s="1" t="str">
        <x:v>Ten method-specific truth roots</x:v>
      </x:c>
    </x:row>
    <x:row r="3">
      <x:c r="B3" s="2" t="str">
        <x:v>A common certificate or common estimator cannot serve both truth roots.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Truth root</x:v>
      </x:c>
      <x:c r="C6" s="7" t="str">
        <x:v>Method</x:v>
      </x:c>
      <x:c r="D6" s="7" t="str">
        <x:v>Root</x:v>
      </x:c>
      <x:c r="E6" s="7" t="str">
        <x:v>Physical principle</x:v>
      </x:c>
      <x:c r="F6" s="7" t="str">
        <x:v>Role</x:v>
      </x:c>
      <x:c r="G6" s="7" t="str">
        <x:v>State</x:v>
      </x:c>
    </x:row>
    <x:row r="7" ht="43" customHeight="1">
      <x:c r="B7" t="str">
        <x:v>AM-00-TR-A</x:v>
      </x:c>
      <x:c r="C7" t="str">
        <x:v>AM-00</x:v>
      </x:c>
      <x:c r="D7" t="str">
        <x:v>TR-A</x:v>
      </x:c>
      <x:c r="E7" s="10" t="str">
        <x:v>kinematic coordinate frame, gauge blocks and locked inclinometers</x:v>
      </x:c>
      <x:c r="F7" t="str">
        <x:v>primary truth root</x:v>
      </x:c>
      <x:c r="G7" t="str">
        <x:v>OPEN</x:v>
      </x:c>
    </x:row>
    <x:row r="8" ht="43" customHeight="1">
      <x:c r="B8" t="str">
        <x:v>AM-00-TR-B</x:v>
      </x:c>
      <x:c r="C8" t="str">
        <x:v>AM-00</x:v>
      </x:c>
      <x:c r="D8" t="str">
        <x:v>TR-B</x:v>
      </x:c>
      <x:c r="E8" s="10" t="str">
        <x:v>independent optical bundle adjustment and calibrated displacement artifacts</x:v>
      </x:c>
      <x:c r="F8" t="str">
        <x:v>unlike witness root</x:v>
      </x:c>
      <x:c r="G8" t="str">
        <x:v>OPEN</x:v>
      </x:c>
    </x:row>
    <x:row r="9" ht="43" customHeight="1">
      <x:c r="B9" t="str">
        <x:v>AM-01-TR-A</x:v>
      </x:c>
      <x:c r="C9" t="str">
        <x:v>AM-01</x:v>
      </x:c>
      <x:c r="D9" t="str">
        <x:v>TR-A</x:v>
      </x:c>
      <x:c r="E9" s="10" t="str">
        <x:v>gravimetric reservoirs and timed mass transfer</x:v>
      </x:c>
      <x:c r="F9" t="str">
        <x:v>primary truth root</x:v>
      </x:c>
      <x:c r="G9" t="str">
        <x:v>OPEN</x:v>
      </x:c>
    </x:row>
    <x:row r="10" ht="43" customHeight="1">
      <x:c r="B10" t="str">
        <x:v>AM-01-TR-B</x:v>
      </x:c>
      <x:c r="C10" t="str">
        <x:v>AM-01</x:v>
      </x:c>
      <x:c r="D10" t="str">
        <x:v>TR-B</x:v>
      </x:c>
      <x:c r="E10" s="10" t="str">
        <x:v>volumetric prover, level geometry and independent inline flow</x:v>
      </x:c>
      <x:c r="F10" t="str">
        <x:v>unlike witness root</x:v>
      </x:c>
      <x:c r="G10" t="str">
        <x:v>OPEN</x:v>
      </x:c>
    </x:row>
    <x:row r="11" ht="43" customHeight="1">
      <x:c r="B11" t="str">
        <x:v>AM-02-TR-A</x:v>
      </x:c>
      <x:c r="C11" t="str">
        <x:v>AM-02</x:v>
      </x:c>
      <x:c r="D11" t="str">
        <x:v>TR-A</x:v>
      </x:c>
      <x:c r="E11" s="10" t="str">
        <x:v>weighed batch composition, temperature and laboratory property standards</x:v>
      </x:c>
      <x:c r="F11" t="str">
        <x:v>primary truth root</x:v>
      </x:c>
      <x:c r="G11" t="str">
        <x:v>OPEN</x:v>
      </x:c>
    </x:row>
    <x:row r="12" ht="43" customHeight="1">
      <x:c r="B12" t="str">
        <x:v>AM-02-TR-B</x:v>
      </x:c>
      <x:c r="C12" t="str">
        <x:v>AM-02</x:v>
      </x:c>
      <x:c r="D12" t="str">
        <x:v>TR-B</x:v>
      </x:c>
      <x:c r="E12" s="10" t="str">
        <x:v>inline density, rheology, wetting and optical-response references</x:v>
      </x:c>
      <x:c r="F12" t="str">
        <x:v>unlike witness root</x:v>
      </x:c>
      <x:c r="G12" t="str">
        <x:v>OPEN</x:v>
      </x:c>
    </x:row>
    <x:row r="13" ht="43" customHeight="1">
      <x:c r="B13" t="str">
        <x:v>AM-03-TR-A</x:v>
      </x:c>
      <x:c r="C13" t="str">
        <x:v>AM-03</x:v>
      </x:c>
      <x:c r="D13" t="str">
        <x:v>TR-A</x:v>
      </x:c>
      <x:c r="E13" s="10" t="str">
        <x:v>serialized weighed fragments and certified blocked-area masks</x:v>
      </x:c>
      <x:c r="F13" t="str">
        <x:v>primary truth root</x:v>
      </x:c>
      <x:c r="G13" t="str">
        <x:v>OPEN</x:v>
      </x:c>
    </x:row>
    <x:row r="14" ht="43" customHeight="1">
      <x:c r="B14" t="str">
        <x:v>AM-03-TR-B</x:v>
      </x:c>
      <x:c r="C14" t="str">
        <x:v>AM-03</x:v>
      </x:c>
      <x:c r="D14" t="str">
        <x:v>TR-B</x:v>
      </x:c>
      <x:c r="E14" s="10" t="str">
        <x:v>independent spatial scan, permeability field and recovery inventory</x:v>
      </x:c>
      <x:c r="F14" t="str">
        <x:v>unlike witness root</x:v>
      </x:c>
      <x:c r="G14" t="str">
        <x:v>OPEN</x:v>
      </x:c>
    </x:row>
    <x:row r="15" ht="43" customHeight="1">
      <x:c r="B15" t="str">
        <x:v>AM-04-TR-A</x:v>
      </x:c>
      <x:c r="C15" t="str">
        <x:v>AM-04</x:v>
      </x:c>
      <x:c r="D15" t="str">
        <x:v>TR-A</x:v>
      </x:c>
      <x:c r="E15" s="10" t="str">
        <x:v>orthogonal spectroscopic source and water codes</x:v>
      </x:c>
      <x:c r="F15" t="str">
        <x:v>primary truth root</x:v>
      </x:c>
      <x:c r="G15" t="str">
        <x:v>OPEN</x:v>
      </x:c>
    </x:row>
    <x:row r="16" ht="43" customHeight="1">
      <x:c r="B16" t="str">
        <x:v>AM-04-TR-B</x:v>
      </x:c>
      <x:c r="C16" t="str">
        <x:v>AM-04</x:v>
      </x:c>
      <x:c r="D16" t="str">
        <x:v>TR-B</x:v>
      </x:c>
      <x:c r="E16" s="10" t="str">
        <x:v>electrochemical and physical-fraction references with unlike readers</x:v>
      </x:c>
      <x:c r="F16" t="str">
        <x:v>unlike witness root</x:v>
      </x:c>
      <x:c r="G16" t="str">
        <x:v>OPEN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8" hidden="0" customWidth="1"/>
    <x:col min="4" max="4" width="14" hidden="0" customWidth="1"/>
    <x:col min="5" max="5" width="12" hidden="0" customWidth="1"/>
    <x:col min="6" max="6" width="16" hidden="0" customWidth="1"/>
    <x:col min="7" max="7" width="27" hidden="0" customWidth="1"/>
    <x:col min="8" max="8" width="21" hidden="0" customWidth="1"/>
    <x:col min="9" max="9" width="14" hidden="0" customWidth="1"/>
  </x:cols>
  <x:sheetData>
    <x:row r="2">
      <x:c r="B2" s="1" t="str">
        <x:v>One hundred twenty truth articles</x:v>
      </x:c>
    </x:row>
    <x:row r="3">
      <x:c r="B3" s="2" t="str">
        <x:v>Each method-root family owns six active, two reference, two destructive and two quarantine serials.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Article</x:v>
      </x:c>
      <x:c r="C6" s="7" t="str">
        <x:v>Truth root</x:v>
      </x:c>
      <x:c r="D6" s="7" t="str">
        <x:v>Method</x:v>
      </x:c>
      <x:c r="E6" s="7" t="str">
        <x:v>Serial</x:v>
      </x:c>
      <x:c r="F6" s="7" t="str">
        <x:v>Role</x:v>
      </x:c>
      <x:c r="G6" s="7" t="str">
        <x:v>Custody</x:v>
      </x:c>
      <x:c r="H6" s="7" t="str">
        <x:v>Accepted UTC</x:v>
      </x:c>
      <x:c r="I6" s="7" t="str">
        <x:v>State</x:v>
      </x:c>
    </x:row>
    <x:row r="7">
      <x:c r="B7" t="str">
        <x:v>RAW-A001</x:v>
      </x:c>
      <x:c r="C7" t="str">
        <x:v>AM-00-TR-A</x:v>
      </x:c>
      <x:c r="D7" t="str">
        <x:v>AM-00</x:v>
      </x:c>
      <x:c r="E7" t="str">
        <x:v>S01</x:v>
      </x:c>
      <x:c r="F7" t="str">
        <x:v>active</x:v>
      </x:c>
      <x:c r="G7" t="str">
        <x:v>RFP-A1</x:v>
      </x:c>
      <x:c r="H7" t="str"/>
      <x:c r="I7" t="str">
        <x:v>OPEN</x:v>
      </x:c>
    </x:row>
    <x:row r="8">
      <x:c r="B8" t="str">
        <x:v>RAW-A002</x:v>
      </x:c>
      <x:c r="C8" t="str">
        <x:v>AM-00-TR-A</x:v>
      </x:c>
      <x:c r="D8" t="str">
        <x:v>AM-00</x:v>
      </x:c>
      <x:c r="E8" t="str">
        <x:v>S02</x:v>
      </x:c>
      <x:c r="F8" t="str">
        <x:v>active</x:v>
      </x:c>
      <x:c r="G8" t="str">
        <x:v>RFP-A2</x:v>
      </x:c>
      <x:c r="H8" t="str"/>
      <x:c r="I8" t="str">
        <x:v>OPEN</x:v>
      </x:c>
    </x:row>
    <x:row r="9">
      <x:c r="B9" t="str">
        <x:v>RAW-A003</x:v>
      </x:c>
      <x:c r="C9" t="str">
        <x:v>AM-00-TR-A</x:v>
      </x:c>
      <x:c r="D9" t="str">
        <x:v>AM-00</x:v>
      </x:c>
      <x:c r="E9" t="str">
        <x:v>S03</x:v>
      </x:c>
      <x:c r="F9" t="str">
        <x:v>active</x:v>
      </x:c>
      <x:c r="G9" t="str">
        <x:v>RFP-B1</x:v>
      </x:c>
      <x:c r="H9" t="str"/>
      <x:c r="I9" t="str">
        <x:v>OPEN</x:v>
      </x:c>
    </x:row>
    <x:row r="10">
      <x:c r="B10" t="str">
        <x:v>RAW-A004</x:v>
      </x:c>
      <x:c r="C10" t="str">
        <x:v>AM-00-TR-A</x:v>
      </x:c>
      <x:c r="D10" t="str">
        <x:v>AM-00</x:v>
      </x:c>
      <x:c r="E10" t="str">
        <x:v>S04</x:v>
      </x:c>
      <x:c r="F10" t="str">
        <x:v>active</x:v>
      </x:c>
      <x:c r="G10" t="str">
        <x:v>RFP-B2</x:v>
      </x:c>
      <x:c r="H10" t="str"/>
      <x:c r="I10" t="str">
        <x:v>OPEN</x:v>
      </x:c>
    </x:row>
    <x:row r="11">
      <x:c r="B11" t="str">
        <x:v>RAW-A005</x:v>
      </x:c>
      <x:c r="C11" t="str">
        <x:v>AM-00-TR-A</x:v>
      </x:c>
      <x:c r="D11" t="str">
        <x:v>AM-00</x:v>
      </x:c>
      <x:c r="E11" t="str">
        <x:v>S05</x:v>
      </x:c>
      <x:c r="F11" t="str">
        <x:v>active</x:v>
      </x:c>
      <x:c r="G11" t="str">
        <x:v>RFP-C1</x:v>
      </x:c>
      <x:c r="H11" t="str"/>
      <x:c r="I11" t="str">
        <x:v>OPEN</x:v>
      </x:c>
    </x:row>
    <x:row r="12">
      <x:c r="B12" t="str">
        <x:v>RAW-A006</x:v>
      </x:c>
      <x:c r="C12" t="str">
        <x:v>AM-00-TR-A</x:v>
      </x:c>
      <x:c r="D12" t="str">
        <x:v>AM-00</x:v>
      </x:c>
      <x:c r="E12" t="str">
        <x:v>S06</x:v>
      </x:c>
      <x:c r="F12" t="str">
        <x:v>active</x:v>
      </x:c>
      <x:c r="G12" t="str">
        <x:v>RFP-C2</x:v>
      </x:c>
      <x:c r="H12" t="str"/>
      <x:c r="I12" t="str">
        <x:v>OPEN</x:v>
      </x:c>
    </x:row>
    <x:row r="13">
      <x:c r="B13" t="str">
        <x:v>RAW-A007</x:v>
      </x:c>
      <x:c r="C13" t="str">
        <x:v>AM-00-TR-A</x:v>
      </x:c>
      <x:c r="D13" t="str">
        <x:v>AM-00</x:v>
      </x:c>
      <x:c r="E13" t="str">
        <x:v>S07</x:v>
      </x:c>
      <x:c r="F13" t="str">
        <x:v>reference</x:v>
      </x:c>
      <x:c r="G13" t="str">
        <x:v>public article bank</x:v>
      </x:c>
      <x:c r="H13" t="str"/>
      <x:c r="I13" t="str">
        <x:v>OPEN</x:v>
      </x:c>
    </x:row>
    <x:row r="14">
      <x:c r="B14" t="str">
        <x:v>RAW-A008</x:v>
      </x:c>
      <x:c r="C14" t="str">
        <x:v>AM-00-TR-A</x:v>
      </x:c>
      <x:c r="D14" t="str">
        <x:v>AM-00</x:v>
      </x:c>
      <x:c r="E14" t="str">
        <x:v>S08</x:v>
      </x:c>
      <x:c r="F14" t="str">
        <x:v>reference</x:v>
      </x:c>
      <x:c r="G14" t="str">
        <x:v>public article bank</x:v>
      </x:c>
      <x:c r="H14" t="str"/>
      <x:c r="I14" t="str">
        <x:v>OPEN</x:v>
      </x:c>
    </x:row>
    <x:row r="15">
      <x:c r="B15" t="str">
        <x:v>RAW-A009</x:v>
      </x:c>
      <x:c r="C15" t="str">
        <x:v>AM-00-TR-A</x:v>
      </x:c>
      <x:c r="D15" t="str">
        <x:v>AM-00</x:v>
      </x:c>
      <x:c r="E15" t="str">
        <x:v>S09</x:v>
      </x:c>
      <x:c r="F15" t="str">
        <x:v>destructive</x:v>
      </x:c>
      <x:c r="G15" t="str">
        <x:v>public article bank</x:v>
      </x:c>
      <x:c r="H15" t="str"/>
      <x:c r="I15" t="str">
        <x:v>OPEN</x:v>
      </x:c>
    </x:row>
    <x:row r="16">
      <x:c r="B16" t="str">
        <x:v>RAW-A010</x:v>
      </x:c>
      <x:c r="C16" t="str">
        <x:v>AM-00-TR-A</x:v>
      </x:c>
      <x:c r="D16" t="str">
        <x:v>AM-00</x:v>
      </x:c>
      <x:c r="E16" t="str">
        <x:v>S10</x:v>
      </x:c>
      <x:c r="F16" t="str">
        <x:v>destructive</x:v>
      </x:c>
      <x:c r="G16" t="str">
        <x:v>public article bank</x:v>
      </x:c>
      <x:c r="H16" t="str"/>
      <x:c r="I16" t="str">
        <x:v>OPEN</x:v>
      </x:c>
    </x:row>
    <x:row r="17">
      <x:c r="B17" t="str">
        <x:v>RAW-A011</x:v>
      </x:c>
      <x:c r="C17" t="str">
        <x:v>AM-00-TR-A</x:v>
      </x:c>
      <x:c r="D17" t="str">
        <x:v>AM-00</x:v>
      </x:c>
      <x:c r="E17" t="str">
        <x:v>S11</x:v>
      </x:c>
      <x:c r="F17" t="str">
        <x:v>quarantine</x:v>
      </x:c>
      <x:c r="G17" t="str">
        <x:v>public article bank</x:v>
      </x:c>
      <x:c r="H17" t="str"/>
      <x:c r="I17" t="str">
        <x:v>OPEN</x:v>
      </x:c>
    </x:row>
    <x:row r="18">
      <x:c r="B18" t="str">
        <x:v>RAW-A012</x:v>
      </x:c>
      <x:c r="C18" t="str">
        <x:v>AM-00-TR-A</x:v>
      </x:c>
      <x:c r="D18" t="str">
        <x:v>AM-00</x:v>
      </x:c>
      <x:c r="E18" t="str">
        <x:v>S12</x:v>
      </x:c>
      <x:c r="F18" t="str">
        <x:v>quarantine</x:v>
      </x:c>
      <x:c r="G18" t="str">
        <x:v>public article bank</x:v>
      </x:c>
      <x:c r="H18" t="str"/>
      <x:c r="I18" t="str">
        <x:v>OPEN</x:v>
      </x:c>
    </x:row>
    <x:row r="19">
      <x:c r="B19" t="str">
        <x:v>RAW-A013</x:v>
      </x:c>
      <x:c r="C19" t="str">
        <x:v>AM-00-TR-B</x:v>
      </x:c>
      <x:c r="D19" t="str">
        <x:v>AM-00</x:v>
      </x:c>
      <x:c r="E19" t="str">
        <x:v>S01</x:v>
      </x:c>
      <x:c r="F19" t="str">
        <x:v>active</x:v>
      </x:c>
      <x:c r="G19" t="str">
        <x:v>RFP-A1</x:v>
      </x:c>
      <x:c r="H19" t="str"/>
      <x:c r="I19" t="str">
        <x:v>OPEN</x:v>
      </x:c>
    </x:row>
    <x:row r="20">
      <x:c r="B20" t="str">
        <x:v>RAW-A014</x:v>
      </x:c>
      <x:c r="C20" t="str">
        <x:v>AM-00-TR-B</x:v>
      </x:c>
      <x:c r="D20" t="str">
        <x:v>AM-00</x:v>
      </x:c>
      <x:c r="E20" t="str">
        <x:v>S02</x:v>
      </x:c>
      <x:c r="F20" t="str">
        <x:v>active</x:v>
      </x:c>
      <x:c r="G20" t="str">
        <x:v>RFP-A2</x:v>
      </x:c>
      <x:c r="H20" t="str"/>
      <x:c r="I20" t="str">
        <x:v>OPEN</x:v>
      </x:c>
    </x:row>
    <x:row r="21">
      <x:c r="B21" t="str">
        <x:v>RAW-A015</x:v>
      </x:c>
      <x:c r="C21" t="str">
        <x:v>AM-00-TR-B</x:v>
      </x:c>
      <x:c r="D21" t="str">
        <x:v>AM-00</x:v>
      </x:c>
      <x:c r="E21" t="str">
        <x:v>S03</x:v>
      </x:c>
      <x:c r="F21" t="str">
        <x:v>active</x:v>
      </x:c>
      <x:c r="G21" t="str">
        <x:v>RFP-B1</x:v>
      </x:c>
      <x:c r="H21" t="str"/>
      <x:c r="I21" t="str">
        <x:v>OPEN</x:v>
      </x:c>
    </x:row>
    <x:row r="22">
      <x:c r="B22" t="str">
        <x:v>RAW-A016</x:v>
      </x:c>
      <x:c r="C22" t="str">
        <x:v>AM-00-TR-B</x:v>
      </x:c>
      <x:c r="D22" t="str">
        <x:v>AM-00</x:v>
      </x:c>
      <x:c r="E22" t="str">
        <x:v>S04</x:v>
      </x:c>
      <x:c r="F22" t="str">
        <x:v>active</x:v>
      </x:c>
      <x:c r="G22" t="str">
        <x:v>RFP-B2</x:v>
      </x:c>
      <x:c r="H22" t="str"/>
      <x:c r="I22" t="str">
        <x:v>OPEN</x:v>
      </x:c>
    </x:row>
    <x:row r="23">
      <x:c r="B23" t="str">
        <x:v>RAW-A017</x:v>
      </x:c>
      <x:c r="C23" t="str">
        <x:v>AM-00-TR-B</x:v>
      </x:c>
      <x:c r="D23" t="str">
        <x:v>AM-00</x:v>
      </x:c>
      <x:c r="E23" t="str">
        <x:v>S05</x:v>
      </x:c>
      <x:c r="F23" t="str">
        <x:v>active</x:v>
      </x:c>
      <x:c r="G23" t="str">
        <x:v>RFP-C1</x:v>
      </x:c>
      <x:c r="H23" t="str"/>
      <x:c r="I23" t="str">
        <x:v>OPEN</x:v>
      </x:c>
    </x:row>
    <x:row r="24">
      <x:c r="B24" t="str">
        <x:v>RAW-A018</x:v>
      </x:c>
      <x:c r="C24" t="str">
        <x:v>AM-00-TR-B</x:v>
      </x:c>
      <x:c r="D24" t="str">
        <x:v>AM-00</x:v>
      </x:c>
      <x:c r="E24" t="str">
        <x:v>S06</x:v>
      </x:c>
      <x:c r="F24" t="str">
        <x:v>active</x:v>
      </x:c>
      <x:c r="G24" t="str">
        <x:v>RFP-C2</x:v>
      </x:c>
      <x:c r="H24" t="str"/>
      <x:c r="I24" t="str">
        <x:v>OPEN</x:v>
      </x:c>
    </x:row>
    <x:row r="25">
      <x:c r="B25" t="str">
        <x:v>RAW-A019</x:v>
      </x:c>
      <x:c r="C25" t="str">
        <x:v>AM-00-TR-B</x:v>
      </x:c>
      <x:c r="D25" t="str">
        <x:v>AM-00</x:v>
      </x:c>
      <x:c r="E25" t="str">
        <x:v>S07</x:v>
      </x:c>
      <x:c r="F25" t="str">
        <x:v>reference</x:v>
      </x:c>
      <x:c r="G25" t="str">
        <x:v>public article bank</x:v>
      </x:c>
      <x:c r="H25" t="str"/>
      <x:c r="I25" t="str">
        <x:v>OPEN</x:v>
      </x:c>
    </x:row>
    <x:row r="26">
      <x:c r="B26" t="str">
        <x:v>RAW-A020</x:v>
      </x:c>
      <x:c r="C26" t="str">
        <x:v>AM-00-TR-B</x:v>
      </x:c>
      <x:c r="D26" t="str">
        <x:v>AM-00</x:v>
      </x:c>
      <x:c r="E26" t="str">
        <x:v>S08</x:v>
      </x:c>
      <x:c r="F26" t="str">
        <x:v>reference</x:v>
      </x:c>
      <x:c r="G26" t="str">
        <x:v>public article bank</x:v>
      </x:c>
      <x:c r="H26" t="str"/>
      <x:c r="I26" t="str">
        <x:v>OPEN</x:v>
      </x:c>
    </x:row>
    <x:row r="27">
      <x:c r="B27" t="str">
        <x:v>RAW-A021</x:v>
      </x:c>
      <x:c r="C27" t="str">
        <x:v>AM-00-TR-B</x:v>
      </x:c>
      <x:c r="D27" t="str">
        <x:v>AM-00</x:v>
      </x:c>
      <x:c r="E27" t="str">
        <x:v>S09</x:v>
      </x:c>
      <x:c r="F27" t="str">
        <x:v>destructive</x:v>
      </x:c>
      <x:c r="G27" t="str">
        <x:v>public article bank</x:v>
      </x:c>
      <x:c r="H27" t="str"/>
      <x:c r="I27" t="str">
        <x:v>OPEN</x:v>
      </x:c>
    </x:row>
    <x:row r="28">
      <x:c r="B28" t="str">
        <x:v>RAW-A022</x:v>
      </x:c>
      <x:c r="C28" t="str">
        <x:v>AM-00-TR-B</x:v>
      </x:c>
      <x:c r="D28" t="str">
        <x:v>AM-00</x:v>
      </x:c>
      <x:c r="E28" t="str">
        <x:v>S10</x:v>
      </x:c>
      <x:c r="F28" t="str">
        <x:v>destructive</x:v>
      </x:c>
      <x:c r="G28" t="str">
        <x:v>public article bank</x:v>
      </x:c>
      <x:c r="H28" t="str"/>
      <x:c r="I28" t="str">
        <x:v>OPEN</x:v>
      </x:c>
    </x:row>
    <x:row r="29">
      <x:c r="B29" t="str">
        <x:v>RAW-A023</x:v>
      </x:c>
      <x:c r="C29" t="str">
        <x:v>AM-00-TR-B</x:v>
      </x:c>
      <x:c r="D29" t="str">
        <x:v>AM-00</x:v>
      </x:c>
      <x:c r="E29" t="str">
        <x:v>S11</x:v>
      </x:c>
      <x:c r="F29" t="str">
        <x:v>quarantine</x:v>
      </x:c>
      <x:c r="G29" t="str">
        <x:v>public article bank</x:v>
      </x:c>
      <x:c r="H29" t="str"/>
      <x:c r="I29" t="str">
        <x:v>OPEN</x:v>
      </x:c>
    </x:row>
    <x:row r="30">
      <x:c r="B30" t="str">
        <x:v>RAW-A024</x:v>
      </x:c>
      <x:c r="C30" t="str">
        <x:v>AM-00-TR-B</x:v>
      </x:c>
      <x:c r="D30" t="str">
        <x:v>AM-00</x:v>
      </x:c>
      <x:c r="E30" t="str">
        <x:v>S12</x:v>
      </x:c>
      <x:c r="F30" t="str">
        <x:v>quarantine</x:v>
      </x:c>
      <x:c r="G30" t="str">
        <x:v>public article bank</x:v>
      </x:c>
      <x:c r="H30" t="str"/>
      <x:c r="I30" t="str">
        <x:v>OPEN</x:v>
      </x:c>
    </x:row>
    <x:row r="31">
      <x:c r="B31" t="str">
        <x:v>RAW-A025</x:v>
      </x:c>
      <x:c r="C31" t="str">
        <x:v>AM-01-TR-A</x:v>
      </x:c>
      <x:c r="D31" t="str">
        <x:v>AM-01</x:v>
      </x:c>
      <x:c r="E31" t="str">
        <x:v>S01</x:v>
      </x:c>
      <x:c r="F31" t="str">
        <x:v>active</x:v>
      </x:c>
      <x:c r="G31" t="str">
        <x:v>RFP-A1</x:v>
      </x:c>
      <x:c r="H31" t="str"/>
      <x:c r="I31" t="str">
        <x:v>OPEN</x:v>
      </x:c>
    </x:row>
    <x:row r="32">
      <x:c r="B32" t="str">
        <x:v>RAW-A026</x:v>
      </x:c>
      <x:c r="C32" t="str">
        <x:v>AM-01-TR-A</x:v>
      </x:c>
      <x:c r="D32" t="str">
        <x:v>AM-01</x:v>
      </x:c>
      <x:c r="E32" t="str">
        <x:v>S02</x:v>
      </x:c>
      <x:c r="F32" t="str">
        <x:v>active</x:v>
      </x:c>
      <x:c r="G32" t="str">
        <x:v>RFP-A2</x:v>
      </x:c>
      <x:c r="H32" t="str"/>
      <x:c r="I32" t="str">
        <x:v>OPEN</x:v>
      </x:c>
    </x:row>
    <x:row r="33">
      <x:c r="B33" t="str">
        <x:v>RAW-A027</x:v>
      </x:c>
      <x:c r="C33" t="str">
        <x:v>AM-01-TR-A</x:v>
      </x:c>
      <x:c r="D33" t="str">
        <x:v>AM-01</x:v>
      </x:c>
      <x:c r="E33" t="str">
        <x:v>S03</x:v>
      </x:c>
      <x:c r="F33" t="str">
        <x:v>active</x:v>
      </x:c>
      <x:c r="G33" t="str">
        <x:v>RFP-B1</x:v>
      </x:c>
      <x:c r="H33" t="str"/>
      <x:c r="I33" t="str">
        <x:v>OPEN</x:v>
      </x:c>
    </x:row>
    <x:row r="34">
      <x:c r="B34" t="str">
        <x:v>RAW-A028</x:v>
      </x:c>
      <x:c r="C34" t="str">
        <x:v>AM-01-TR-A</x:v>
      </x:c>
      <x:c r="D34" t="str">
        <x:v>AM-01</x:v>
      </x:c>
      <x:c r="E34" t="str">
        <x:v>S04</x:v>
      </x:c>
      <x:c r="F34" t="str">
        <x:v>active</x:v>
      </x:c>
      <x:c r="G34" t="str">
        <x:v>RFP-B2</x:v>
      </x:c>
      <x:c r="H34" t="str"/>
      <x:c r="I34" t="str">
        <x:v>OPEN</x:v>
      </x:c>
    </x:row>
    <x:row r="35">
      <x:c r="B35" t="str">
        <x:v>RAW-A029</x:v>
      </x:c>
      <x:c r="C35" t="str">
        <x:v>AM-01-TR-A</x:v>
      </x:c>
      <x:c r="D35" t="str">
        <x:v>AM-01</x:v>
      </x:c>
      <x:c r="E35" t="str">
        <x:v>S05</x:v>
      </x:c>
      <x:c r="F35" t="str">
        <x:v>active</x:v>
      </x:c>
      <x:c r="G35" t="str">
        <x:v>RFP-C1</x:v>
      </x:c>
      <x:c r="H35" t="str"/>
      <x:c r="I35" t="str">
        <x:v>OPEN</x:v>
      </x:c>
    </x:row>
    <x:row r="36">
      <x:c r="B36" t="str">
        <x:v>RAW-A030</x:v>
      </x:c>
      <x:c r="C36" t="str">
        <x:v>AM-01-TR-A</x:v>
      </x:c>
      <x:c r="D36" t="str">
        <x:v>AM-01</x:v>
      </x:c>
      <x:c r="E36" t="str">
        <x:v>S06</x:v>
      </x:c>
      <x:c r="F36" t="str">
        <x:v>active</x:v>
      </x:c>
      <x:c r="G36" t="str">
        <x:v>RFP-C2</x:v>
      </x:c>
      <x:c r="H36" t="str"/>
      <x:c r="I36" t="str">
        <x:v>OPEN</x:v>
      </x:c>
    </x:row>
    <x:row r="37">
      <x:c r="B37" t="str">
        <x:v>RAW-A031</x:v>
      </x:c>
      <x:c r="C37" t="str">
        <x:v>AM-01-TR-A</x:v>
      </x:c>
      <x:c r="D37" t="str">
        <x:v>AM-01</x:v>
      </x:c>
      <x:c r="E37" t="str">
        <x:v>S07</x:v>
      </x:c>
      <x:c r="F37" t="str">
        <x:v>reference</x:v>
      </x:c>
      <x:c r="G37" t="str">
        <x:v>public article bank</x:v>
      </x:c>
      <x:c r="H37" t="str"/>
      <x:c r="I37" t="str">
        <x:v>OPEN</x:v>
      </x:c>
    </x:row>
    <x:row r="38">
      <x:c r="B38" t="str">
        <x:v>RAW-A032</x:v>
      </x:c>
      <x:c r="C38" t="str">
        <x:v>AM-01-TR-A</x:v>
      </x:c>
      <x:c r="D38" t="str">
        <x:v>AM-01</x:v>
      </x:c>
      <x:c r="E38" t="str">
        <x:v>S08</x:v>
      </x:c>
      <x:c r="F38" t="str">
        <x:v>reference</x:v>
      </x:c>
      <x:c r="G38" t="str">
        <x:v>public article bank</x:v>
      </x:c>
      <x:c r="H38" t="str"/>
      <x:c r="I38" t="str">
        <x:v>OPEN</x:v>
      </x:c>
    </x:row>
    <x:row r="39">
      <x:c r="B39" t="str">
        <x:v>RAW-A033</x:v>
      </x:c>
      <x:c r="C39" t="str">
        <x:v>AM-01-TR-A</x:v>
      </x:c>
      <x:c r="D39" t="str">
        <x:v>AM-01</x:v>
      </x:c>
      <x:c r="E39" t="str">
        <x:v>S09</x:v>
      </x:c>
      <x:c r="F39" t="str">
        <x:v>destructive</x:v>
      </x:c>
      <x:c r="G39" t="str">
        <x:v>public article bank</x:v>
      </x:c>
      <x:c r="H39" t="str"/>
      <x:c r="I39" t="str">
        <x:v>OPEN</x:v>
      </x:c>
    </x:row>
    <x:row r="40">
      <x:c r="B40" t="str">
        <x:v>RAW-A034</x:v>
      </x:c>
      <x:c r="C40" t="str">
        <x:v>AM-01-TR-A</x:v>
      </x:c>
      <x:c r="D40" t="str">
        <x:v>AM-01</x:v>
      </x:c>
      <x:c r="E40" t="str">
        <x:v>S10</x:v>
      </x:c>
      <x:c r="F40" t="str">
        <x:v>destructive</x:v>
      </x:c>
      <x:c r="G40" t="str">
        <x:v>public article bank</x:v>
      </x:c>
      <x:c r="H40" t="str"/>
      <x:c r="I40" t="str">
        <x:v>OPEN</x:v>
      </x:c>
    </x:row>
    <x:row r="41">
      <x:c r="B41" t="str">
        <x:v>RAW-A035</x:v>
      </x:c>
      <x:c r="C41" t="str">
        <x:v>AM-01-TR-A</x:v>
      </x:c>
      <x:c r="D41" t="str">
        <x:v>AM-01</x:v>
      </x:c>
      <x:c r="E41" t="str">
        <x:v>S11</x:v>
      </x:c>
      <x:c r="F41" t="str">
        <x:v>quarantine</x:v>
      </x:c>
      <x:c r="G41" t="str">
        <x:v>public article bank</x:v>
      </x:c>
      <x:c r="H41" t="str"/>
      <x:c r="I41" t="str">
        <x:v>OPEN</x:v>
      </x:c>
    </x:row>
    <x:row r="42">
      <x:c r="B42" t="str">
        <x:v>RAW-A036</x:v>
      </x:c>
      <x:c r="C42" t="str">
        <x:v>AM-01-TR-A</x:v>
      </x:c>
      <x:c r="D42" t="str">
        <x:v>AM-01</x:v>
      </x:c>
      <x:c r="E42" t="str">
        <x:v>S12</x:v>
      </x:c>
      <x:c r="F42" t="str">
        <x:v>quarantine</x:v>
      </x:c>
      <x:c r="G42" t="str">
        <x:v>public article bank</x:v>
      </x:c>
      <x:c r="H42" t="str"/>
      <x:c r="I42" t="str">
        <x:v>OPEN</x:v>
      </x:c>
    </x:row>
    <x:row r="43">
      <x:c r="B43" t="str">
        <x:v>RAW-A037</x:v>
      </x:c>
      <x:c r="C43" t="str">
        <x:v>AM-01-TR-B</x:v>
      </x:c>
      <x:c r="D43" t="str">
        <x:v>AM-01</x:v>
      </x:c>
      <x:c r="E43" t="str">
        <x:v>S01</x:v>
      </x:c>
      <x:c r="F43" t="str">
        <x:v>active</x:v>
      </x:c>
      <x:c r="G43" t="str">
        <x:v>RFP-A1</x:v>
      </x:c>
      <x:c r="H43" t="str"/>
      <x:c r="I43" t="str">
        <x:v>OPEN</x:v>
      </x:c>
    </x:row>
    <x:row r="44">
      <x:c r="B44" t="str">
        <x:v>RAW-A038</x:v>
      </x:c>
      <x:c r="C44" t="str">
        <x:v>AM-01-TR-B</x:v>
      </x:c>
      <x:c r="D44" t="str">
        <x:v>AM-01</x:v>
      </x:c>
      <x:c r="E44" t="str">
        <x:v>S02</x:v>
      </x:c>
      <x:c r="F44" t="str">
        <x:v>active</x:v>
      </x:c>
      <x:c r="G44" t="str">
        <x:v>RFP-A2</x:v>
      </x:c>
      <x:c r="H44" t="str"/>
      <x:c r="I44" t="str">
        <x:v>OPEN</x:v>
      </x:c>
    </x:row>
    <x:row r="45">
      <x:c r="B45" t="str">
        <x:v>RAW-A039</x:v>
      </x:c>
      <x:c r="C45" t="str">
        <x:v>AM-01-TR-B</x:v>
      </x:c>
      <x:c r="D45" t="str">
        <x:v>AM-01</x:v>
      </x:c>
      <x:c r="E45" t="str">
        <x:v>S03</x:v>
      </x:c>
      <x:c r="F45" t="str">
        <x:v>active</x:v>
      </x:c>
      <x:c r="G45" t="str">
        <x:v>RFP-B1</x:v>
      </x:c>
      <x:c r="H45" t="str"/>
      <x:c r="I45" t="str">
        <x:v>OPEN</x:v>
      </x:c>
    </x:row>
    <x:row r="46">
      <x:c r="B46" t="str">
        <x:v>RAW-A040</x:v>
      </x:c>
      <x:c r="C46" t="str">
        <x:v>AM-01-TR-B</x:v>
      </x:c>
      <x:c r="D46" t="str">
        <x:v>AM-01</x:v>
      </x:c>
      <x:c r="E46" t="str">
        <x:v>S04</x:v>
      </x:c>
      <x:c r="F46" t="str">
        <x:v>active</x:v>
      </x:c>
      <x:c r="G46" t="str">
        <x:v>RFP-B2</x:v>
      </x:c>
      <x:c r="H46" t="str"/>
      <x:c r="I46" t="str">
        <x:v>OPEN</x:v>
      </x:c>
    </x:row>
    <x:row r="47">
      <x:c r="B47" t="str">
        <x:v>RAW-A041</x:v>
      </x:c>
      <x:c r="C47" t="str">
        <x:v>AM-01-TR-B</x:v>
      </x:c>
      <x:c r="D47" t="str">
        <x:v>AM-01</x:v>
      </x:c>
      <x:c r="E47" t="str">
        <x:v>S05</x:v>
      </x:c>
      <x:c r="F47" t="str">
        <x:v>active</x:v>
      </x:c>
      <x:c r="G47" t="str">
        <x:v>RFP-C1</x:v>
      </x:c>
      <x:c r="H47" t="str"/>
      <x:c r="I47" t="str">
        <x:v>OPEN</x:v>
      </x:c>
    </x:row>
    <x:row r="48">
      <x:c r="B48" t="str">
        <x:v>RAW-A042</x:v>
      </x:c>
      <x:c r="C48" t="str">
        <x:v>AM-01-TR-B</x:v>
      </x:c>
      <x:c r="D48" t="str">
        <x:v>AM-01</x:v>
      </x:c>
      <x:c r="E48" t="str">
        <x:v>S06</x:v>
      </x:c>
      <x:c r="F48" t="str">
        <x:v>active</x:v>
      </x:c>
      <x:c r="G48" t="str">
        <x:v>RFP-C2</x:v>
      </x:c>
      <x:c r="H48" t="str"/>
      <x:c r="I48" t="str">
        <x:v>OPEN</x:v>
      </x:c>
    </x:row>
    <x:row r="49">
      <x:c r="B49" t="str">
        <x:v>RAW-A043</x:v>
      </x:c>
      <x:c r="C49" t="str">
        <x:v>AM-01-TR-B</x:v>
      </x:c>
      <x:c r="D49" t="str">
        <x:v>AM-01</x:v>
      </x:c>
      <x:c r="E49" t="str">
        <x:v>S07</x:v>
      </x:c>
      <x:c r="F49" t="str">
        <x:v>reference</x:v>
      </x:c>
      <x:c r="G49" t="str">
        <x:v>public article bank</x:v>
      </x:c>
      <x:c r="H49" t="str"/>
      <x:c r="I49" t="str">
        <x:v>OPEN</x:v>
      </x:c>
    </x:row>
    <x:row r="50">
      <x:c r="B50" t="str">
        <x:v>RAW-A044</x:v>
      </x:c>
      <x:c r="C50" t="str">
        <x:v>AM-01-TR-B</x:v>
      </x:c>
      <x:c r="D50" t="str">
        <x:v>AM-01</x:v>
      </x:c>
      <x:c r="E50" t="str">
        <x:v>S08</x:v>
      </x:c>
      <x:c r="F50" t="str">
        <x:v>reference</x:v>
      </x:c>
      <x:c r="G50" t="str">
        <x:v>public article bank</x:v>
      </x:c>
      <x:c r="H50" t="str"/>
      <x:c r="I50" t="str">
        <x:v>OPEN</x:v>
      </x:c>
    </x:row>
    <x:row r="51">
      <x:c r="B51" t="str">
        <x:v>RAW-A045</x:v>
      </x:c>
      <x:c r="C51" t="str">
        <x:v>AM-01-TR-B</x:v>
      </x:c>
      <x:c r="D51" t="str">
        <x:v>AM-01</x:v>
      </x:c>
      <x:c r="E51" t="str">
        <x:v>S09</x:v>
      </x:c>
      <x:c r="F51" t="str">
        <x:v>destructive</x:v>
      </x:c>
      <x:c r="G51" t="str">
        <x:v>public article bank</x:v>
      </x:c>
      <x:c r="H51" t="str"/>
      <x:c r="I51" t="str">
        <x:v>OPEN</x:v>
      </x:c>
    </x:row>
    <x:row r="52">
      <x:c r="B52" t="str">
        <x:v>RAW-A046</x:v>
      </x:c>
      <x:c r="C52" t="str">
        <x:v>AM-01-TR-B</x:v>
      </x:c>
      <x:c r="D52" t="str">
        <x:v>AM-01</x:v>
      </x:c>
      <x:c r="E52" t="str">
        <x:v>S10</x:v>
      </x:c>
      <x:c r="F52" t="str">
        <x:v>destructive</x:v>
      </x:c>
      <x:c r="G52" t="str">
        <x:v>public article bank</x:v>
      </x:c>
      <x:c r="H52" t="str"/>
      <x:c r="I52" t="str">
        <x:v>OPEN</x:v>
      </x:c>
    </x:row>
    <x:row r="53">
      <x:c r="B53" t="str">
        <x:v>RAW-A047</x:v>
      </x:c>
      <x:c r="C53" t="str">
        <x:v>AM-01-TR-B</x:v>
      </x:c>
      <x:c r="D53" t="str">
        <x:v>AM-01</x:v>
      </x:c>
      <x:c r="E53" t="str">
        <x:v>S11</x:v>
      </x:c>
      <x:c r="F53" t="str">
        <x:v>quarantine</x:v>
      </x:c>
      <x:c r="G53" t="str">
        <x:v>public article bank</x:v>
      </x:c>
      <x:c r="H53" t="str"/>
      <x:c r="I53" t="str">
        <x:v>OPEN</x:v>
      </x:c>
    </x:row>
    <x:row r="54">
      <x:c r="B54" t="str">
        <x:v>RAW-A048</x:v>
      </x:c>
      <x:c r="C54" t="str">
        <x:v>AM-01-TR-B</x:v>
      </x:c>
      <x:c r="D54" t="str">
        <x:v>AM-01</x:v>
      </x:c>
      <x:c r="E54" t="str">
        <x:v>S12</x:v>
      </x:c>
      <x:c r="F54" t="str">
        <x:v>quarantine</x:v>
      </x:c>
      <x:c r="G54" t="str">
        <x:v>public article bank</x:v>
      </x:c>
      <x:c r="H54" t="str"/>
      <x:c r="I54" t="str">
        <x:v>OPEN</x:v>
      </x:c>
    </x:row>
    <x:row r="55">
      <x:c r="B55" t="str">
        <x:v>RAW-A049</x:v>
      </x:c>
      <x:c r="C55" t="str">
        <x:v>AM-02-TR-A</x:v>
      </x:c>
      <x:c r="D55" t="str">
        <x:v>AM-02</x:v>
      </x:c>
      <x:c r="E55" t="str">
        <x:v>S01</x:v>
      </x:c>
      <x:c r="F55" t="str">
        <x:v>active</x:v>
      </x:c>
      <x:c r="G55" t="str">
        <x:v>RFP-A1</x:v>
      </x:c>
      <x:c r="H55" t="str"/>
      <x:c r="I55" t="str">
        <x:v>OPEN</x:v>
      </x:c>
    </x:row>
    <x:row r="56">
      <x:c r="B56" t="str">
        <x:v>RAW-A050</x:v>
      </x:c>
      <x:c r="C56" t="str">
        <x:v>AM-02-TR-A</x:v>
      </x:c>
      <x:c r="D56" t="str">
        <x:v>AM-02</x:v>
      </x:c>
      <x:c r="E56" t="str">
        <x:v>S02</x:v>
      </x:c>
      <x:c r="F56" t="str">
        <x:v>active</x:v>
      </x:c>
      <x:c r="G56" t="str">
        <x:v>RFP-A2</x:v>
      </x:c>
      <x:c r="H56" t="str"/>
      <x:c r="I56" t="str">
        <x:v>OPEN</x:v>
      </x:c>
    </x:row>
    <x:row r="57">
      <x:c r="B57" t="str">
        <x:v>RAW-A051</x:v>
      </x:c>
      <x:c r="C57" t="str">
        <x:v>AM-02-TR-A</x:v>
      </x:c>
      <x:c r="D57" t="str">
        <x:v>AM-02</x:v>
      </x:c>
      <x:c r="E57" t="str">
        <x:v>S03</x:v>
      </x:c>
      <x:c r="F57" t="str">
        <x:v>active</x:v>
      </x:c>
      <x:c r="G57" t="str">
        <x:v>RFP-B1</x:v>
      </x:c>
      <x:c r="H57" t="str"/>
      <x:c r="I57" t="str">
        <x:v>OPEN</x:v>
      </x:c>
    </x:row>
    <x:row r="58">
      <x:c r="B58" t="str">
        <x:v>RAW-A052</x:v>
      </x:c>
      <x:c r="C58" t="str">
        <x:v>AM-02-TR-A</x:v>
      </x:c>
      <x:c r="D58" t="str">
        <x:v>AM-02</x:v>
      </x:c>
      <x:c r="E58" t="str">
        <x:v>S04</x:v>
      </x:c>
      <x:c r="F58" t="str">
        <x:v>active</x:v>
      </x:c>
      <x:c r="G58" t="str">
        <x:v>RFP-B2</x:v>
      </x:c>
      <x:c r="H58" t="str"/>
      <x:c r="I58" t="str">
        <x:v>OPEN</x:v>
      </x:c>
    </x:row>
    <x:row r="59">
      <x:c r="B59" t="str">
        <x:v>RAW-A053</x:v>
      </x:c>
      <x:c r="C59" t="str">
        <x:v>AM-02-TR-A</x:v>
      </x:c>
      <x:c r="D59" t="str">
        <x:v>AM-02</x:v>
      </x:c>
      <x:c r="E59" t="str">
        <x:v>S05</x:v>
      </x:c>
      <x:c r="F59" t="str">
        <x:v>active</x:v>
      </x:c>
      <x:c r="G59" t="str">
        <x:v>RFP-C1</x:v>
      </x:c>
      <x:c r="H59" t="str"/>
      <x:c r="I59" t="str">
        <x:v>OPEN</x:v>
      </x:c>
    </x:row>
    <x:row r="60">
      <x:c r="B60" t="str">
        <x:v>RAW-A054</x:v>
      </x:c>
      <x:c r="C60" t="str">
        <x:v>AM-02-TR-A</x:v>
      </x:c>
      <x:c r="D60" t="str">
        <x:v>AM-02</x:v>
      </x:c>
      <x:c r="E60" t="str">
        <x:v>S06</x:v>
      </x:c>
      <x:c r="F60" t="str">
        <x:v>active</x:v>
      </x:c>
      <x:c r="G60" t="str">
        <x:v>RFP-C2</x:v>
      </x:c>
      <x:c r="H60" t="str"/>
      <x:c r="I60" t="str">
        <x:v>OPEN</x:v>
      </x:c>
    </x:row>
    <x:row r="61">
      <x:c r="B61" t="str">
        <x:v>RAW-A055</x:v>
      </x:c>
      <x:c r="C61" t="str">
        <x:v>AM-02-TR-A</x:v>
      </x:c>
      <x:c r="D61" t="str">
        <x:v>AM-02</x:v>
      </x:c>
      <x:c r="E61" t="str">
        <x:v>S07</x:v>
      </x:c>
      <x:c r="F61" t="str">
        <x:v>reference</x:v>
      </x:c>
      <x:c r="G61" t="str">
        <x:v>public article bank</x:v>
      </x:c>
      <x:c r="H61" t="str"/>
      <x:c r="I61" t="str">
        <x:v>OPEN</x:v>
      </x:c>
    </x:row>
    <x:row r="62">
      <x:c r="B62" t="str">
        <x:v>RAW-A056</x:v>
      </x:c>
      <x:c r="C62" t="str">
        <x:v>AM-02-TR-A</x:v>
      </x:c>
      <x:c r="D62" t="str">
        <x:v>AM-02</x:v>
      </x:c>
      <x:c r="E62" t="str">
        <x:v>S08</x:v>
      </x:c>
      <x:c r="F62" t="str">
        <x:v>reference</x:v>
      </x:c>
      <x:c r="G62" t="str">
        <x:v>public article bank</x:v>
      </x:c>
      <x:c r="H62" t="str"/>
      <x:c r="I62" t="str">
        <x:v>OPEN</x:v>
      </x:c>
    </x:row>
    <x:row r="63">
      <x:c r="B63" t="str">
        <x:v>RAW-A057</x:v>
      </x:c>
      <x:c r="C63" t="str">
        <x:v>AM-02-TR-A</x:v>
      </x:c>
      <x:c r="D63" t="str">
        <x:v>AM-02</x:v>
      </x:c>
      <x:c r="E63" t="str">
        <x:v>S09</x:v>
      </x:c>
      <x:c r="F63" t="str">
        <x:v>destructive</x:v>
      </x:c>
      <x:c r="G63" t="str">
        <x:v>public article bank</x:v>
      </x:c>
      <x:c r="H63" t="str"/>
      <x:c r="I63" t="str">
        <x:v>OPEN</x:v>
      </x:c>
    </x:row>
    <x:row r="64">
      <x:c r="B64" t="str">
        <x:v>RAW-A058</x:v>
      </x:c>
      <x:c r="C64" t="str">
        <x:v>AM-02-TR-A</x:v>
      </x:c>
      <x:c r="D64" t="str">
        <x:v>AM-02</x:v>
      </x:c>
      <x:c r="E64" t="str">
        <x:v>S10</x:v>
      </x:c>
      <x:c r="F64" t="str">
        <x:v>destructive</x:v>
      </x:c>
      <x:c r="G64" t="str">
        <x:v>public article bank</x:v>
      </x:c>
      <x:c r="H64" t="str"/>
      <x:c r="I64" t="str">
        <x:v>OPEN</x:v>
      </x:c>
    </x:row>
    <x:row r="65">
      <x:c r="B65" t="str">
        <x:v>RAW-A059</x:v>
      </x:c>
      <x:c r="C65" t="str">
        <x:v>AM-02-TR-A</x:v>
      </x:c>
      <x:c r="D65" t="str">
        <x:v>AM-02</x:v>
      </x:c>
      <x:c r="E65" t="str">
        <x:v>S11</x:v>
      </x:c>
      <x:c r="F65" t="str">
        <x:v>quarantine</x:v>
      </x:c>
      <x:c r="G65" t="str">
        <x:v>public article bank</x:v>
      </x:c>
      <x:c r="H65" t="str"/>
      <x:c r="I65" t="str">
        <x:v>OPEN</x:v>
      </x:c>
    </x:row>
    <x:row r="66">
      <x:c r="B66" t="str">
        <x:v>RAW-A060</x:v>
      </x:c>
      <x:c r="C66" t="str">
        <x:v>AM-02-TR-A</x:v>
      </x:c>
      <x:c r="D66" t="str">
        <x:v>AM-02</x:v>
      </x:c>
      <x:c r="E66" t="str">
        <x:v>S12</x:v>
      </x:c>
      <x:c r="F66" t="str">
        <x:v>quarantine</x:v>
      </x:c>
      <x:c r="G66" t="str">
        <x:v>public article bank</x:v>
      </x:c>
      <x:c r="H66" t="str"/>
      <x:c r="I66" t="str">
        <x:v>OPEN</x:v>
      </x:c>
    </x:row>
    <x:row r="67">
      <x:c r="B67" t="str">
        <x:v>RAW-A061</x:v>
      </x:c>
      <x:c r="C67" t="str">
        <x:v>AM-02-TR-B</x:v>
      </x:c>
      <x:c r="D67" t="str">
        <x:v>AM-02</x:v>
      </x:c>
      <x:c r="E67" t="str">
        <x:v>S01</x:v>
      </x:c>
      <x:c r="F67" t="str">
        <x:v>active</x:v>
      </x:c>
      <x:c r="G67" t="str">
        <x:v>RFP-A1</x:v>
      </x:c>
      <x:c r="H67" t="str"/>
      <x:c r="I67" t="str">
        <x:v>OPEN</x:v>
      </x:c>
    </x:row>
    <x:row r="68">
      <x:c r="B68" t="str">
        <x:v>RAW-A062</x:v>
      </x:c>
      <x:c r="C68" t="str">
        <x:v>AM-02-TR-B</x:v>
      </x:c>
      <x:c r="D68" t="str">
        <x:v>AM-02</x:v>
      </x:c>
      <x:c r="E68" t="str">
        <x:v>S02</x:v>
      </x:c>
      <x:c r="F68" t="str">
        <x:v>active</x:v>
      </x:c>
      <x:c r="G68" t="str">
        <x:v>RFP-A2</x:v>
      </x:c>
      <x:c r="H68" t="str"/>
      <x:c r="I68" t="str">
        <x:v>OPEN</x:v>
      </x:c>
    </x:row>
    <x:row r="69">
      <x:c r="B69" t="str">
        <x:v>RAW-A063</x:v>
      </x:c>
      <x:c r="C69" t="str">
        <x:v>AM-02-TR-B</x:v>
      </x:c>
      <x:c r="D69" t="str">
        <x:v>AM-02</x:v>
      </x:c>
      <x:c r="E69" t="str">
        <x:v>S03</x:v>
      </x:c>
      <x:c r="F69" t="str">
        <x:v>active</x:v>
      </x:c>
      <x:c r="G69" t="str">
        <x:v>RFP-B1</x:v>
      </x:c>
      <x:c r="H69" t="str"/>
      <x:c r="I69" t="str">
        <x:v>OPEN</x:v>
      </x:c>
    </x:row>
    <x:row r="70">
      <x:c r="B70" t="str">
        <x:v>RAW-A064</x:v>
      </x:c>
      <x:c r="C70" t="str">
        <x:v>AM-02-TR-B</x:v>
      </x:c>
      <x:c r="D70" t="str">
        <x:v>AM-02</x:v>
      </x:c>
      <x:c r="E70" t="str">
        <x:v>S04</x:v>
      </x:c>
      <x:c r="F70" t="str">
        <x:v>active</x:v>
      </x:c>
      <x:c r="G70" t="str">
        <x:v>RFP-B2</x:v>
      </x:c>
      <x:c r="H70" t="str"/>
      <x:c r="I70" t="str">
        <x:v>OPEN</x:v>
      </x:c>
    </x:row>
    <x:row r="71">
      <x:c r="B71" t="str">
        <x:v>RAW-A065</x:v>
      </x:c>
      <x:c r="C71" t="str">
        <x:v>AM-02-TR-B</x:v>
      </x:c>
      <x:c r="D71" t="str">
        <x:v>AM-02</x:v>
      </x:c>
      <x:c r="E71" t="str">
        <x:v>S05</x:v>
      </x:c>
      <x:c r="F71" t="str">
        <x:v>active</x:v>
      </x:c>
      <x:c r="G71" t="str">
        <x:v>RFP-C1</x:v>
      </x:c>
      <x:c r="H71" t="str"/>
      <x:c r="I71" t="str">
        <x:v>OPEN</x:v>
      </x:c>
    </x:row>
    <x:row r="72">
      <x:c r="B72" t="str">
        <x:v>RAW-A066</x:v>
      </x:c>
      <x:c r="C72" t="str">
        <x:v>AM-02-TR-B</x:v>
      </x:c>
      <x:c r="D72" t="str">
        <x:v>AM-02</x:v>
      </x:c>
      <x:c r="E72" t="str">
        <x:v>S06</x:v>
      </x:c>
      <x:c r="F72" t="str">
        <x:v>active</x:v>
      </x:c>
      <x:c r="G72" t="str">
        <x:v>RFP-C2</x:v>
      </x:c>
      <x:c r="H72" t="str"/>
      <x:c r="I72" t="str">
        <x:v>OPEN</x:v>
      </x:c>
    </x:row>
    <x:row r="73">
      <x:c r="B73" t="str">
        <x:v>RAW-A067</x:v>
      </x:c>
      <x:c r="C73" t="str">
        <x:v>AM-02-TR-B</x:v>
      </x:c>
      <x:c r="D73" t="str">
        <x:v>AM-02</x:v>
      </x:c>
      <x:c r="E73" t="str">
        <x:v>S07</x:v>
      </x:c>
      <x:c r="F73" t="str">
        <x:v>reference</x:v>
      </x:c>
      <x:c r="G73" t="str">
        <x:v>public article bank</x:v>
      </x:c>
      <x:c r="H73" t="str"/>
      <x:c r="I73" t="str">
        <x:v>OPEN</x:v>
      </x:c>
    </x:row>
    <x:row r="74">
      <x:c r="B74" t="str">
        <x:v>RAW-A068</x:v>
      </x:c>
      <x:c r="C74" t="str">
        <x:v>AM-02-TR-B</x:v>
      </x:c>
      <x:c r="D74" t="str">
        <x:v>AM-02</x:v>
      </x:c>
      <x:c r="E74" t="str">
        <x:v>S08</x:v>
      </x:c>
      <x:c r="F74" t="str">
        <x:v>reference</x:v>
      </x:c>
      <x:c r="G74" t="str">
        <x:v>public article bank</x:v>
      </x:c>
      <x:c r="H74" t="str"/>
      <x:c r="I74" t="str">
        <x:v>OPEN</x:v>
      </x:c>
    </x:row>
    <x:row r="75">
      <x:c r="B75" t="str">
        <x:v>RAW-A069</x:v>
      </x:c>
      <x:c r="C75" t="str">
        <x:v>AM-02-TR-B</x:v>
      </x:c>
      <x:c r="D75" t="str">
        <x:v>AM-02</x:v>
      </x:c>
      <x:c r="E75" t="str">
        <x:v>S09</x:v>
      </x:c>
      <x:c r="F75" t="str">
        <x:v>destructive</x:v>
      </x:c>
      <x:c r="G75" t="str">
        <x:v>public article bank</x:v>
      </x:c>
      <x:c r="H75" t="str"/>
      <x:c r="I75" t="str">
        <x:v>OPEN</x:v>
      </x:c>
    </x:row>
    <x:row r="76">
      <x:c r="B76" t="str">
        <x:v>RAW-A070</x:v>
      </x:c>
      <x:c r="C76" t="str">
        <x:v>AM-02-TR-B</x:v>
      </x:c>
      <x:c r="D76" t="str">
        <x:v>AM-02</x:v>
      </x:c>
      <x:c r="E76" t="str">
        <x:v>S10</x:v>
      </x:c>
      <x:c r="F76" t="str">
        <x:v>destructive</x:v>
      </x:c>
      <x:c r="G76" t="str">
        <x:v>public article bank</x:v>
      </x:c>
      <x:c r="H76" t="str"/>
      <x:c r="I76" t="str">
        <x:v>OPEN</x:v>
      </x:c>
    </x:row>
    <x:row r="77">
      <x:c r="B77" t="str">
        <x:v>RAW-A071</x:v>
      </x:c>
      <x:c r="C77" t="str">
        <x:v>AM-02-TR-B</x:v>
      </x:c>
      <x:c r="D77" t="str">
        <x:v>AM-02</x:v>
      </x:c>
      <x:c r="E77" t="str">
        <x:v>S11</x:v>
      </x:c>
      <x:c r="F77" t="str">
        <x:v>quarantine</x:v>
      </x:c>
      <x:c r="G77" t="str">
        <x:v>public article bank</x:v>
      </x:c>
      <x:c r="H77" t="str"/>
      <x:c r="I77" t="str">
        <x:v>OPEN</x:v>
      </x:c>
    </x:row>
    <x:row r="78">
      <x:c r="B78" t="str">
        <x:v>RAW-A072</x:v>
      </x:c>
      <x:c r="C78" t="str">
        <x:v>AM-02-TR-B</x:v>
      </x:c>
      <x:c r="D78" t="str">
        <x:v>AM-02</x:v>
      </x:c>
      <x:c r="E78" t="str">
        <x:v>S12</x:v>
      </x:c>
      <x:c r="F78" t="str">
        <x:v>quarantine</x:v>
      </x:c>
      <x:c r="G78" t="str">
        <x:v>public article bank</x:v>
      </x:c>
      <x:c r="H78" t="str"/>
      <x:c r="I78" t="str">
        <x:v>OPEN</x:v>
      </x:c>
    </x:row>
    <x:row r="79">
      <x:c r="B79" t="str">
        <x:v>RAW-A073</x:v>
      </x:c>
      <x:c r="C79" t="str">
        <x:v>AM-03-TR-A</x:v>
      </x:c>
      <x:c r="D79" t="str">
        <x:v>AM-03</x:v>
      </x:c>
      <x:c r="E79" t="str">
        <x:v>S01</x:v>
      </x:c>
      <x:c r="F79" t="str">
        <x:v>active</x:v>
      </x:c>
      <x:c r="G79" t="str">
        <x:v>RFP-A1</x:v>
      </x:c>
      <x:c r="H79" t="str"/>
      <x:c r="I79" t="str">
        <x:v>OPEN</x:v>
      </x:c>
    </x:row>
    <x:row r="80">
      <x:c r="B80" t="str">
        <x:v>RAW-A074</x:v>
      </x:c>
      <x:c r="C80" t="str">
        <x:v>AM-03-TR-A</x:v>
      </x:c>
      <x:c r="D80" t="str">
        <x:v>AM-03</x:v>
      </x:c>
      <x:c r="E80" t="str">
        <x:v>S02</x:v>
      </x:c>
      <x:c r="F80" t="str">
        <x:v>active</x:v>
      </x:c>
      <x:c r="G80" t="str">
        <x:v>RFP-A2</x:v>
      </x:c>
      <x:c r="H80" t="str"/>
      <x:c r="I80" t="str">
        <x:v>OPEN</x:v>
      </x:c>
    </x:row>
    <x:row r="81">
      <x:c r="B81" t="str">
        <x:v>RAW-A075</x:v>
      </x:c>
      <x:c r="C81" t="str">
        <x:v>AM-03-TR-A</x:v>
      </x:c>
      <x:c r="D81" t="str">
        <x:v>AM-03</x:v>
      </x:c>
      <x:c r="E81" t="str">
        <x:v>S03</x:v>
      </x:c>
      <x:c r="F81" t="str">
        <x:v>active</x:v>
      </x:c>
      <x:c r="G81" t="str">
        <x:v>RFP-B1</x:v>
      </x:c>
      <x:c r="H81" t="str"/>
      <x:c r="I81" t="str">
        <x:v>OPEN</x:v>
      </x:c>
    </x:row>
    <x:row r="82">
      <x:c r="B82" t="str">
        <x:v>RAW-A076</x:v>
      </x:c>
      <x:c r="C82" t="str">
        <x:v>AM-03-TR-A</x:v>
      </x:c>
      <x:c r="D82" t="str">
        <x:v>AM-03</x:v>
      </x:c>
      <x:c r="E82" t="str">
        <x:v>S04</x:v>
      </x:c>
      <x:c r="F82" t="str">
        <x:v>active</x:v>
      </x:c>
      <x:c r="G82" t="str">
        <x:v>RFP-B2</x:v>
      </x:c>
      <x:c r="H82" t="str"/>
      <x:c r="I82" t="str">
        <x:v>OPEN</x:v>
      </x:c>
    </x:row>
    <x:row r="83">
      <x:c r="B83" t="str">
        <x:v>RAW-A077</x:v>
      </x:c>
      <x:c r="C83" t="str">
        <x:v>AM-03-TR-A</x:v>
      </x:c>
      <x:c r="D83" t="str">
        <x:v>AM-03</x:v>
      </x:c>
      <x:c r="E83" t="str">
        <x:v>S05</x:v>
      </x:c>
      <x:c r="F83" t="str">
        <x:v>active</x:v>
      </x:c>
      <x:c r="G83" t="str">
        <x:v>RFP-C1</x:v>
      </x:c>
      <x:c r="H83" t="str"/>
      <x:c r="I83" t="str">
        <x:v>OPEN</x:v>
      </x:c>
    </x:row>
    <x:row r="84">
      <x:c r="B84" t="str">
        <x:v>RAW-A078</x:v>
      </x:c>
      <x:c r="C84" t="str">
        <x:v>AM-03-TR-A</x:v>
      </x:c>
      <x:c r="D84" t="str">
        <x:v>AM-03</x:v>
      </x:c>
      <x:c r="E84" t="str">
        <x:v>S06</x:v>
      </x:c>
      <x:c r="F84" t="str">
        <x:v>active</x:v>
      </x:c>
      <x:c r="G84" t="str">
        <x:v>RFP-C2</x:v>
      </x:c>
      <x:c r="H84" t="str"/>
      <x:c r="I84" t="str">
        <x:v>OPEN</x:v>
      </x:c>
    </x:row>
    <x:row r="85">
      <x:c r="B85" t="str">
        <x:v>RAW-A079</x:v>
      </x:c>
      <x:c r="C85" t="str">
        <x:v>AM-03-TR-A</x:v>
      </x:c>
      <x:c r="D85" t="str">
        <x:v>AM-03</x:v>
      </x:c>
      <x:c r="E85" t="str">
        <x:v>S07</x:v>
      </x:c>
      <x:c r="F85" t="str">
        <x:v>reference</x:v>
      </x:c>
      <x:c r="G85" t="str">
        <x:v>public article bank</x:v>
      </x:c>
      <x:c r="H85" t="str"/>
      <x:c r="I85" t="str">
        <x:v>OPEN</x:v>
      </x:c>
    </x:row>
    <x:row r="86">
      <x:c r="B86" t="str">
        <x:v>RAW-A080</x:v>
      </x:c>
      <x:c r="C86" t="str">
        <x:v>AM-03-TR-A</x:v>
      </x:c>
      <x:c r="D86" t="str">
        <x:v>AM-03</x:v>
      </x:c>
      <x:c r="E86" t="str">
        <x:v>S08</x:v>
      </x:c>
      <x:c r="F86" t="str">
        <x:v>reference</x:v>
      </x:c>
      <x:c r="G86" t="str">
        <x:v>public article bank</x:v>
      </x:c>
      <x:c r="H86" t="str"/>
      <x:c r="I86" t="str">
        <x:v>OPEN</x:v>
      </x:c>
    </x:row>
    <x:row r="87">
      <x:c r="B87" t="str">
        <x:v>RAW-A081</x:v>
      </x:c>
      <x:c r="C87" t="str">
        <x:v>AM-03-TR-A</x:v>
      </x:c>
      <x:c r="D87" t="str">
        <x:v>AM-03</x:v>
      </x:c>
      <x:c r="E87" t="str">
        <x:v>S09</x:v>
      </x:c>
      <x:c r="F87" t="str">
        <x:v>destructive</x:v>
      </x:c>
      <x:c r="G87" t="str">
        <x:v>public article bank</x:v>
      </x:c>
      <x:c r="H87" t="str"/>
      <x:c r="I87" t="str">
        <x:v>OPEN</x:v>
      </x:c>
    </x:row>
    <x:row r="88">
      <x:c r="B88" t="str">
        <x:v>RAW-A082</x:v>
      </x:c>
      <x:c r="C88" t="str">
        <x:v>AM-03-TR-A</x:v>
      </x:c>
      <x:c r="D88" t="str">
        <x:v>AM-03</x:v>
      </x:c>
      <x:c r="E88" t="str">
        <x:v>S10</x:v>
      </x:c>
      <x:c r="F88" t="str">
        <x:v>destructive</x:v>
      </x:c>
      <x:c r="G88" t="str">
        <x:v>public article bank</x:v>
      </x:c>
      <x:c r="H88" t="str"/>
      <x:c r="I88" t="str">
        <x:v>OPEN</x:v>
      </x:c>
    </x:row>
    <x:row r="89">
      <x:c r="B89" t="str">
        <x:v>RAW-A083</x:v>
      </x:c>
      <x:c r="C89" t="str">
        <x:v>AM-03-TR-A</x:v>
      </x:c>
      <x:c r="D89" t="str">
        <x:v>AM-03</x:v>
      </x:c>
      <x:c r="E89" t="str">
        <x:v>S11</x:v>
      </x:c>
      <x:c r="F89" t="str">
        <x:v>quarantine</x:v>
      </x:c>
      <x:c r="G89" t="str">
        <x:v>public article bank</x:v>
      </x:c>
      <x:c r="H89" t="str"/>
      <x:c r="I89" t="str">
        <x:v>OPEN</x:v>
      </x:c>
    </x:row>
    <x:row r="90">
      <x:c r="B90" t="str">
        <x:v>RAW-A084</x:v>
      </x:c>
      <x:c r="C90" t="str">
        <x:v>AM-03-TR-A</x:v>
      </x:c>
      <x:c r="D90" t="str">
        <x:v>AM-03</x:v>
      </x:c>
      <x:c r="E90" t="str">
        <x:v>S12</x:v>
      </x:c>
      <x:c r="F90" t="str">
        <x:v>quarantine</x:v>
      </x:c>
      <x:c r="G90" t="str">
        <x:v>public article bank</x:v>
      </x:c>
      <x:c r="H90" t="str"/>
      <x:c r="I90" t="str">
        <x:v>OPEN</x:v>
      </x:c>
    </x:row>
    <x:row r="91">
      <x:c r="B91" t="str">
        <x:v>RAW-A085</x:v>
      </x:c>
      <x:c r="C91" t="str">
        <x:v>AM-03-TR-B</x:v>
      </x:c>
      <x:c r="D91" t="str">
        <x:v>AM-03</x:v>
      </x:c>
      <x:c r="E91" t="str">
        <x:v>S01</x:v>
      </x:c>
      <x:c r="F91" t="str">
        <x:v>active</x:v>
      </x:c>
      <x:c r="G91" t="str">
        <x:v>RFP-A1</x:v>
      </x:c>
      <x:c r="H91" t="str"/>
      <x:c r="I91" t="str">
        <x:v>OPEN</x:v>
      </x:c>
    </x:row>
    <x:row r="92">
      <x:c r="B92" t="str">
        <x:v>RAW-A086</x:v>
      </x:c>
      <x:c r="C92" t="str">
        <x:v>AM-03-TR-B</x:v>
      </x:c>
      <x:c r="D92" t="str">
        <x:v>AM-03</x:v>
      </x:c>
      <x:c r="E92" t="str">
        <x:v>S02</x:v>
      </x:c>
      <x:c r="F92" t="str">
        <x:v>active</x:v>
      </x:c>
      <x:c r="G92" t="str">
        <x:v>RFP-A2</x:v>
      </x:c>
      <x:c r="H92" t="str"/>
      <x:c r="I92" t="str">
        <x:v>OPEN</x:v>
      </x:c>
    </x:row>
    <x:row r="93">
      <x:c r="B93" t="str">
        <x:v>RAW-A087</x:v>
      </x:c>
      <x:c r="C93" t="str">
        <x:v>AM-03-TR-B</x:v>
      </x:c>
      <x:c r="D93" t="str">
        <x:v>AM-03</x:v>
      </x:c>
      <x:c r="E93" t="str">
        <x:v>S03</x:v>
      </x:c>
      <x:c r="F93" t="str">
        <x:v>active</x:v>
      </x:c>
      <x:c r="G93" t="str">
        <x:v>RFP-B1</x:v>
      </x:c>
      <x:c r="H93" t="str"/>
      <x:c r="I93" t="str">
        <x:v>OPEN</x:v>
      </x:c>
    </x:row>
    <x:row r="94">
      <x:c r="B94" t="str">
        <x:v>RAW-A088</x:v>
      </x:c>
      <x:c r="C94" t="str">
        <x:v>AM-03-TR-B</x:v>
      </x:c>
      <x:c r="D94" t="str">
        <x:v>AM-03</x:v>
      </x:c>
      <x:c r="E94" t="str">
        <x:v>S04</x:v>
      </x:c>
      <x:c r="F94" t="str">
        <x:v>active</x:v>
      </x:c>
      <x:c r="G94" t="str">
        <x:v>RFP-B2</x:v>
      </x:c>
      <x:c r="H94" t="str"/>
      <x:c r="I94" t="str">
        <x:v>OPEN</x:v>
      </x:c>
    </x:row>
    <x:row r="95">
      <x:c r="B95" t="str">
        <x:v>RAW-A089</x:v>
      </x:c>
      <x:c r="C95" t="str">
        <x:v>AM-03-TR-B</x:v>
      </x:c>
      <x:c r="D95" t="str">
        <x:v>AM-03</x:v>
      </x:c>
      <x:c r="E95" t="str">
        <x:v>S05</x:v>
      </x:c>
      <x:c r="F95" t="str">
        <x:v>active</x:v>
      </x:c>
      <x:c r="G95" t="str">
        <x:v>RFP-C1</x:v>
      </x:c>
      <x:c r="H95" t="str"/>
      <x:c r="I95" t="str">
        <x:v>OPEN</x:v>
      </x:c>
    </x:row>
    <x:row r="96">
      <x:c r="B96" t="str">
        <x:v>RAW-A090</x:v>
      </x:c>
      <x:c r="C96" t="str">
        <x:v>AM-03-TR-B</x:v>
      </x:c>
      <x:c r="D96" t="str">
        <x:v>AM-03</x:v>
      </x:c>
      <x:c r="E96" t="str">
        <x:v>S06</x:v>
      </x:c>
      <x:c r="F96" t="str">
        <x:v>active</x:v>
      </x:c>
      <x:c r="G96" t="str">
        <x:v>RFP-C2</x:v>
      </x:c>
      <x:c r="H96" t="str"/>
      <x:c r="I96" t="str">
        <x:v>OPEN</x:v>
      </x:c>
    </x:row>
    <x:row r="97">
      <x:c r="B97" t="str">
        <x:v>RAW-A091</x:v>
      </x:c>
      <x:c r="C97" t="str">
        <x:v>AM-03-TR-B</x:v>
      </x:c>
      <x:c r="D97" t="str">
        <x:v>AM-03</x:v>
      </x:c>
      <x:c r="E97" t="str">
        <x:v>S07</x:v>
      </x:c>
      <x:c r="F97" t="str">
        <x:v>reference</x:v>
      </x:c>
      <x:c r="G97" t="str">
        <x:v>public article bank</x:v>
      </x:c>
      <x:c r="H97" t="str"/>
      <x:c r="I97" t="str">
        <x:v>OPEN</x:v>
      </x:c>
    </x:row>
    <x:row r="98">
      <x:c r="B98" t="str">
        <x:v>RAW-A092</x:v>
      </x:c>
      <x:c r="C98" t="str">
        <x:v>AM-03-TR-B</x:v>
      </x:c>
      <x:c r="D98" t="str">
        <x:v>AM-03</x:v>
      </x:c>
      <x:c r="E98" t="str">
        <x:v>S08</x:v>
      </x:c>
      <x:c r="F98" t="str">
        <x:v>reference</x:v>
      </x:c>
      <x:c r="G98" t="str">
        <x:v>public article bank</x:v>
      </x:c>
      <x:c r="H98" t="str"/>
      <x:c r="I98" t="str">
        <x:v>OPEN</x:v>
      </x:c>
    </x:row>
    <x:row r="99">
      <x:c r="B99" t="str">
        <x:v>RAW-A093</x:v>
      </x:c>
      <x:c r="C99" t="str">
        <x:v>AM-03-TR-B</x:v>
      </x:c>
      <x:c r="D99" t="str">
        <x:v>AM-03</x:v>
      </x:c>
      <x:c r="E99" t="str">
        <x:v>S09</x:v>
      </x:c>
      <x:c r="F99" t="str">
        <x:v>destructive</x:v>
      </x:c>
      <x:c r="G99" t="str">
        <x:v>public article bank</x:v>
      </x:c>
      <x:c r="H99" t="str"/>
      <x:c r="I99" t="str">
        <x:v>OPEN</x:v>
      </x:c>
    </x:row>
    <x:row r="100">
      <x:c r="B100" t="str">
        <x:v>RAW-A094</x:v>
      </x:c>
      <x:c r="C100" t="str">
        <x:v>AM-03-TR-B</x:v>
      </x:c>
      <x:c r="D100" t="str">
        <x:v>AM-03</x:v>
      </x:c>
      <x:c r="E100" t="str">
        <x:v>S10</x:v>
      </x:c>
      <x:c r="F100" t="str">
        <x:v>destructive</x:v>
      </x:c>
      <x:c r="G100" t="str">
        <x:v>public article bank</x:v>
      </x:c>
      <x:c r="H100" t="str"/>
      <x:c r="I100" t="str">
        <x:v>OPEN</x:v>
      </x:c>
    </x:row>
    <x:row r="101">
      <x:c r="B101" t="str">
        <x:v>RAW-A095</x:v>
      </x:c>
      <x:c r="C101" t="str">
        <x:v>AM-03-TR-B</x:v>
      </x:c>
      <x:c r="D101" t="str">
        <x:v>AM-03</x:v>
      </x:c>
      <x:c r="E101" t="str">
        <x:v>S11</x:v>
      </x:c>
      <x:c r="F101" t="str">
        <x:v>quarantine</x:v>
      </x:c>
      <x:c r="G101" t="str">
        <x:v>public article bank</x:v>
      </x:c>
      <x:c r="H101" t="str"/>
      <x:c r="I101" t="str">
        <x:v>OPEN</x:v>
      </x:c>
    </x:row>
    <x:row r="102">
      <x:c r="B102" t="str">
        <x:v>RAW-A096</x:v>
      </x:c>
      <x:c r="C102" t="str">
        <x:v>AM-03-TR-B</x:v>
      </x:c>
      <x:c r="D102" t="str">
        <x:v>AM-03</x:v>
      </x:c>
      <x:c r="E102" t="str">
        <x:v>S12</x:v>
      </x:c>
      <x:c r="F102" t="str">
        <x:v>quarantine</x:v>
      </x:c>
      <x:c r="G102" t="str">
        <x:v>public article bank</x:v>
      </x:c>
      <x:c r="H102" t="str"/>
      <x:c r="I102" t="str">
        <x:v>OPEN</x:v>
      </x:c>
    </x:row>
    <x:row r="103">
      <x:c r="B103" t="str">
        <x:v>RAW-A097</x:v>
      </x:c>
      <x:c r="C103" t="str">
        <x:v>AM-04-TR-A</x:v>
      </x:c>
      <x:c r="D103" t="str">
        <x:v>AM-04</x:v>
      </x:c>
      <x:c r="E103" t="str">
        <x:v>S01</x:v>
      </x:c>
      <x:c r="F103" t="str">
        <x:v>active</x:v>
      </x:c>
      <x:c r="G103" t="str">
        <x:v>RFP-A1</x:v>
      </x:c>
      <x:c r="H103" t="str"/>
      <x:c r="I103" t="str">
        <x:v>OPEN</x:v>
      </x:c>
    </x:row>
    <x:row r="104">
      <x:c r="B104" t="str">
        <x:v>RAW-A098</x:v>
      </x:c>
      <x:c r="C104" t="str">
        <x:v>AM-04-TR-A</x:v>
      </x:c>
      <x:c r="D104" t="str">
        <x:v>AM-04</x:v>
      </x:c>
      <x:c r="E104" t="str">
        <x:v>S02</x:v>
      </x:c>
      <x:c r="F104" t="str">
        <x:v>active</x:v>
      </x:c>
      <x:c r="G104" t="str">
        <x:v>RFP-A2</x:v>
      </x:c>
      <x:c r="H104" t="str"/>
      <x:c r="I104" t="str">
        <x:v>OPEN</x:v>
      </x:c>
    </x:row>
    <x:row r="105">
      <x:c r="B105" t="str">
        <x:v>RAW-A099</x:v>
      </x:c>
      <x:c r="C105" t="str">
        <x:v>AM-04-TR-A</x:v>
      </x:c>
      <x:c r="D105" t="str">
        <x:v>AM-04</x:v>
      </x:c>
      <x:c r="E105" t="str">
        <x:v>S03</x:v>
      </x:c>
      <x:c r="F105" t="str">
        <x:v>active</x:v>
      </x:c>
      <x:c r="G105" t="str">
        <x:v>RFP-B1</x:v>
      </x:c>
      <x:c r="H105" t="str"/>
      <x:c r="I105" t="str">
        <x:v>OPEN</x:v>
      </x:c>
    </x:row>
    <x:row r="106">
      <x:c r="B106" t="str">
        <x:v>RAW-A100</x:v>
      </x:c>
      <x:c r="C106" t="str">
        <x:v>AM-04-TR-A</x:v>
      </x:c>
      <x:c r="D106" t="str">
        <x:v>AM-04</x:v>
      </x:c>
      <x:c r="E106" t="str">
        <x:v>S04</x:v>
      </x:c>
      <x:c r="F106" t="str">
        <x:v>active</x:v>
      </x:c>
      <x:c r="G106" t="str">
        <x:v>RFP-B2</x:v>
      </x:c>
      <x:c r="H106" t="str"/>
      <x:c r="I106" t="str">
        <x:v>OPEN</x:v>
      </x:c>
    </x:row>
    <x:row r="107">
      <x:c r="B107" t="str">
        <x:v>RAW-A101</x:v>
      </x:c>
      <x:c r="C107" t="str">
        <x:v>AM-04-TR-A</x:v>
      </x:c>
      <x:c r="D107" t="str">
        <x:v>AM-04</x:v>
      </x:c>
      <x:c r="E107" t="str">
        <x:v>S05</x:v>
      </x:c>
      <x:c r="F107" t="str">
        <x:v>active</x:v>
      </x:c>
      <x:c r="G107" t="str">
        <x:v>RFP-C1</x:v>
      </x:c>
      <x:c r="H107" t="str"/>
      <x:c r="I107" t="str">
        <x:v>OPEN</x:v>
      </x:c>
    </x:row>
    <x:row r="108">
      <x:c r="B108" t="str">
        <x:v>RAW-A102</x:v>
      </x:c>
      <x:c r="C108" t="str">
        <x:v>AM-04-TR-A</x:v>
      </x:c>
      <x:c r="D108" t="str">
        <x:v>AM-04</x:v>
      </x:c>
      <x:c r="E108" t="str">
        <x:v>S06</x:v>
      </x:c>
      <x:c r="F108" t="str">
        <x:v>active</x:v>
      </x:c>
      <x:c r="G108" t="str">
        <x:v>RFP-C2</x:v>
      </x:c>
      <x:c r="H108" t="str"/>
      <x:c r="I108" t="str">
        <x:v>OPEN</x:v>
      </x:c>
    </x:row>
    <x:row r="109">
      <x:c r="B109" t="str">
        <x:v>RAW-A103</x:v>
      </x:c>
      <x:c r="C109" t="str">
        <x:v>AM-04-TR-A</x:v>
      </x:c>
      <x:c r="D109" t="str">
        <x:v>AM-04</x:v>
      </x:c>
      <x:c r="E109" t="str">
        <x:v>S07</x:v>
      </x:c>
      <x:c r="F109" t="str">
        <x:v>reference</x:v>
      </x:c>
      <x:c r="G109" t="str">
        <x:v>public article bank</x:v>
      </x:c>
      <x:c r="H109" t="str"/>
      <x:c r="I109" t="str">
        <x:v>OPEN</x:v>
      </x:c>
    </x:row>
    <x:row r="110">
      <x:c r="B110" t="str">
        <x:v>RAW-A104</x:v>
      </x:c>
      <x:c r="C110" t="str">
        <x:v>AM-04-TR-A</x:v>
      </x:c>
      <x:c r="D110" t="str">
        <x:v>AM-04</x:v>
      </x:c>
      <x:c r="E110" t="str">
        <x:v>S08</x:v>
      </x:c>
      <x:c r="F110" t="str">
        <x:v>reference</x:v>
      </x:c>
      <x:c r="G110" t="str">
        <x:v>public article bank</x:v>
      </x:c>
      <x:c r="H110" t="str"/>
      <x:c r="I110" t="str">
        <x:v>OPEN</x:v>
      </x:c>
    </x:row>
    <x:row r="111">
      <x:c r="B111" t="str">
        <x:v>RAW-A105</x:v>
      </x:c>
      <x:c r="C111" t="str">
        <x:v>AM-04-TR-A</x:v>
      </x:c>
      <x:c r="D111" t="str">
        <x:v>AM-04</x:v>
      </x:c>
      <x:c r="E111" t="str">
        <x:v>S09</x:v>
      </x:c>
      <x:c r="F111" t="str">
        <x:v>destructive</x:v>
      </x:c>
      <x:c r="G111" t="str">
        <x:v>public article bank</x:v>
      </x:c>
      <x:c r="H111" t="str"/>
      <x:c r="I111" t="str">
        <x:v>OPEN</x:v>
      </x:c>
    </x:row>
    <x:row r="112">
      <x:c r="B112" t="str">
        <x:v>RAW-A106</x:v>
      </x:c>
      <x:c r="C112" t="str">
        <x:v>AM-04-TR-A</x:v>
      </x:c>
      <x:c r="D112" t="str">
        <x:v>AM-04</x:v>
      </x:c>
      <x:c r="E112" t="str">
        <x:v>S10</x:v>
      </x:c>
      <x:c r="F112" t="str">
        <x:v>destructive</x:v>
      </x:c>
      <x:c r="G112" t="str">
        <x:v>public article bank</x:v>
      </x:c>
      <x:c r="H112" t="str"/>
      <x:c r="I112" t="str">
        <x:v>OPEN</x:v>
      </x:c>
    </x:row>
    <x:row r="113">
      <x:c r="B113" t="str">
        <x:v>RAW-A107</x:v>
      </x:c>
      <x:c r="C113" t="str">
        <x:v>AM-04-TR-A</x:v>
      </x:c>
      <x:c r="D113" t="str">
        <x:v>AM-04</x:v>
      </x:c>
      <x:c r="E113" t="str">
        <x:v>S11</x:v>
      </x:c>
      <x:c r="F113" t="str">
        <x:v>quarantine</x:v>
      </x:c>
      <x:c r="G113" t="str">
        <x:v>public article bank</x:v>
      </x:c>
      <x:c r="H113" t="str"/>
      <x:c r="I113" t="str">
        <x:v>OPEN</x:v>
      </x:c>
    </x:row>
    <x:row r="114">
      <x:c r="B114" t="str">
        <x:v>RAW-A108</x:v>
      </x:c>
      <x:c r="C114" t="str">
        <x:v>AM-04-TR-A</x:v>
      </x:c>
      <x:c r="D114" t="str">
        <x:v>AM-04</x:v>
      </x:c>
      <x:c r="E114" t="str">
        <x:v>S12</x:v>
      </x:c>
      <x:c r="F114" t="str">
        <x:v>quarantine</x:v>
      </x:c>
      <x:c r="G114" t="str">
        <x:v>public article bank</x:v>
      </x:c>
      <x:c r="H114" t="str"/>
      <x:c r="I114" t="str">
        <x:v>OPEN</x:v>
      </x:c>
    </x:row>
    <x:row r="115">
      <x:c r="B115" t="str">
        <x:v>RAW-A109</x:v>
      </x:c>
      <x:c r="C115" t="str">
        <x:v>AM-04-TR-B</x:v>
      </x:c>
      <x:c r="D115" t="str">
        <x:v>AM-04</x:v>
      </x:c>
      <x:c r="E115" t="str">
        <x:v>S01</x:v>
      </x:c>
      <x:c r="F115" t="str">
        <x:v>active</x:v>
      </x:c>
      <x:c r="G115" t="str">
        <x:v>RFP-A1</x:v>
      </x:c>
      <x:c r="H115" t="str"/>
      <x:c r="I115" t="str">
        <x:v>OPEN</x:v>
      </x:c>
    </x:row>
    <x:row r="116">
      <x:c r="B116" t="str">
        <x:v>RAW-A110</x:v>
      </x:c>
      <x:c r="C116" t="str">
        <x:v>AM-04-TR-B</x:v>
      </x:c>
      <x:c r="D116" t="str">
        <x:v>AM-04</x:v>
      </x:c>
      <x:c r="E116" t="str">
        <x:v>S02</x:v>
      </x:c>
      <x:c r="F116" t="str">
        <x:v>active</x:v>
      </x:c>
      <x:c r="G116" t="str">
        <x:v>RFP-A2</x:v>
      </x:c>
      <x:c r="H116" t="str"/>
      <x:c r="I116" t="str">
        <x:v>OPEN</x:v>
      </x:c>
    </x:row>
    <x:row r="117">
      <x:c r="B117" t="str">
        <x:v>RAW-A111</x:v>
      </x:c>
      <x:c r="C117" t="str">
        <x:v>AM-04-TR-B</x:v>
      </x:c>
      <x:c r="D117" t="str">
        <x:v>AM-04</x:v>
      </x:c>
      <x:c r="E117" t="str">
        <x:v>S03</x:v>
      </x:c>
      <x:c r="F117" t="str">
        <x:v>active</x:v>
      </x:c>
      <x:c r="G117" t="str">
        <x:v>RFP-B1</x:v>
      </x:c>
      <x:c r="H117" t="str"/>
      <x:c r="I117" t="str">
        <x:v>OPEN</x:v>
      </x:c>
    </x:row>
    <x:row r="118">
      <x:c r="B118" t="str">
        <x:v>RAW-A112</x:v>
      </x:c>
      <x:c r="C118" t="str">
        <x:v>AM-04-TR-B</x:v>
      </x:c>
      <x:c r="D118" t="str">
        <x:v>AM-04</x:v>
      </x:c>
      <x:c r="E118" t="str">
        <x:v>S04</x:v>
      </x:c>
      <x:c r="F118" t="str">
        <x:v>active</x:v>
      </x:c>
      <x:c r="G118" t="str">
        <x:v>RFP-B2</x:v>
      </x:c>
      <x:c r="H118" t="str"/>
      <x:c r="I118" t="str">
        <x:v>OPEN</x:v>
      </x:c>
    </x:row>
    <x:row r="119">
      <x:c r="B119" t="str">
        <x:v>RAW-A113</x:v>
      </x:c>
      <x:c r="C119" t="str">
        <x:v>AM-04-TR-B</x:v>
      </x:c>
      <x:c r="D119" t="str">
        <x:v>AM-04</x:v>
      </x:c>
      <x:c r="E119" t="str">
        <x:v>S05</x:v>
      </x:c>
      <x:c r="F119" t="str">
        <x:v>active</x:v>
      </x:c>
      <x:c r="G119" t="str">
        <x:v>RFP-C1</x:v>
      </x:c>
      <x:c r="H119" t="str"/>
      <x:c r="I119" t="str">
        <x:v>OPEN</x:v>
      </x:c>
    </x:row>
    <x:row r="120">
      <x:c r="B120" t="str">
        <x:v>RAW-A114</x:v>
      </x:c>
      <x:c r="C120" t="str">
        <x:v>AM-04-TR-B</x:v>
      </x:c>
      <x:c r="D120" t="str">
        <x:v>AM-04</x:v>
      </x:c>
      <x:c r="E120" t="str">
        <x:v>S06</x:v>
      </x:c>
      <x:c r="F120" t="str">
        <x:v>active</x:v>
      </x:c>
      <x:c r="G120" t="str">
        <x:v>RFP-C2</x:v>
      </x:c>
      <x:c r="H120" t="str"/>
      <x:c r="I120" t="str">
        <x:v>OPEN</x:v>
      </x:c>
    </x:row>
    <x:row r="121">
      <x:c r="B121" t="str">
        <x:v>RAW-A115</x:v>
      </x:c>
      <x:c r="C121" t="str">
        <x:v>AM-04-TR-B</x:v>
      </x:c>
      <x:c r="D121" t="str">
        <x:v>AM-04</x:v>
      </x:c>
      <x:c r="E121" t="str">
        <x:v>S07</x:v>
      </x:c>
      <x:c r="F121" t="str">
        <x:v>reference</x:v>
      </x:c>
      <x:c r="G121" t="str">
        <x:v>public article bank</x:v>
      </x:c>
      <x:c r="H121" t="str"/>
      <x:c r="I121" t="str">
        <x:v>OPEN</x:v>
      </x:c>
    </x:row>
    <x:row r="122">
      <x:c r="B122" t="str">
        <x:v>RAW-A116</x:v>
      </x:c>
      <x:c r="C122" t="str">
        <x:v>AM-04-TR-B</x:v>
      </x:c>
      <x:c r="D122" t="str">
        <x:v>AM-04</x:v>
      </x:c>
      <x:c r="E122" t="str">
        <x:v>S08</x:v>
      </x:c>
      <x:c r="F122" t="str">
        <x:v>reference</x:v>
      </x:c>
      <x:c r="G122" t="str">
        <x:v>public article bank</x:v>
      </x:c>
      <x:c r="H122" t="str"/>
      <x:c r="I122" t="str">
        <x:v>OPEN</x:v>
      </x:c>
    </x:row>
    <x:row r="123">
      <x:c r="B123" t="str">
        <x:v>RAW-A117</x:v>
      </x:c>
      <x:c r="C123" t="str">
        <x:v>AM-04-TR-B</x:v>
      </x:c>
      <x:c r="D123" t="str">
        <x:v>AM-04</x:v>
      </x:c>
      <x:c r="E123" t="str">
        <x:v>S09</x:v>
      </x:c>
      <x:c r="F123" t="str">
        <x:v>destructive</x:v>
      </x:c>
      <x:c r="G123" t="str">
        <x:v>public article bank</x:v>
      </x:c>
      <x:c r="H123" t="str"/>
      <x:c r="I123" t="str">
        <x:v>OPEN</x:v>
      </x:c>
    </x:row>
    <x:row r="124">
      <x:c r="B124" t="str">
        <x:v>RAW-A118</x:v>
      </x:c>
      <x:c r="C124" t="str">
        <x:v>AM-04-TR-B</x:v>
      </x:c>
      <x:c r="D124" t="str">
        <x:v>AM-04</x:v>
      </x:c>
      <x:c r="E124" t="str">
        <x:v>S10</x:v>
      </x:c>
      <x:c r="F124" t="str">
        <x:v>destructive</x:v>
      </x:c>
      <x:c r="G124" t="str">
        <x:v>public article bank</x:v>
      </x:c>
      <x:c r="H124" t="str"/>
      <x:c r="I124" t="str">
        <x:v>OPEN</x:v>
      </x:c>
    </x:row>
    <x:row r="125">
      <x:c r="B125" t="str">
        <x:v>RAW-A119</x:v>
      </x:c>
      <x:c r="C125" t="str">
        <x:v>AM-04-TR-B</x:v>
      </x:c>
      <x:c r="D125" t="str">
        <x:v>AM-04</x:v>
      </x:c>
      <x:c r="E125" t="str">
        <x:v>S11</x:v>
      </x:c>
      <x:c r="F125" t="str">
        <x:v>quarantine</x:v>
      </x:c>
      <x:c r="G125" t="str">
        <x:v>public article bank</x:v>
      </x:c>
      <x:c r="H125" t="str"/>
      <x:c r="I125" t="str">
        <x:v>OPEN</x:v>
      </x:c>
    </x:row>
    <x:row r="126">
      <x:c r="B126" t="str">
        <x:v>RAW-A120</x:v>
      </x:c>
      <x:c r="C126" t="str">
        <x:v>AM-04-TR-B</x:v>
      </x:c>
      <x:c r="D126" t="str">
        <x:v>AM-04</x:v>
      </x:c>
      <x:c r="E126" t="str">
        <x:v>S12</x:v>
      </x:c>
      <x:c r="F126" t="str">
        <x:v>quarantine</x:v>
      </x:c>
      <x:c r="G126" t="str">
        <x:v>public article bank</x:v>
      </x:c>
      <x:c r="H126" t="str"/>
      <x:c r="I126" t="str">
        <x:v>OPEN</x:v>
      </x:c>
    </x:row>
  </x:sheetData>
  <x:conditionalFormatting sqref="I7:I126">
    <x:cfRule type="containsText" dxfId="8" priority="1" operator="containsText" text="FAIL"/>
    <x:cfRule type="containsText" dxfId="9" priority="2" operator="containsText" text="INVALID"/>
    <x:cfRule type="containsText" dxfId="10" priority="3" operator="containsText" text="BLOCKED"/>
    <x:cfRule type="containsText" dxfId="11" priority="4" operator="containsText" text="OPEN"/>
    <x:cfRule type="containsText" dxfId="12" priority="5" operator="containsText" text="GAP"/>
    <x:cfRule type="containsText" dxfId="13" priority="6" operator="containsText" text="DORMANT"/>
    <x:cfRule type="containsText" dxfId="14" priority="7" operator="containsText" text="PASS"/>
    <x:cfRule type="containsText" dxfId="15" priority="8" operator="containsText" text="VALI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8" hidden="0" customWidth="1"/>
    <x:col min="4" max="4" width="14" hidden="0" customWidth="1"/>
    <x:col min="5" max="5" width="33" hidden="0" customWidth="1"/>
    <x:col min="6" max="6" width="16" hidden="0" customWidth="1"/>
    <x:col min="7" max="7" width="17" hidden="0" customWidth="1"/>
    <x:col min="8" max="8" width="17" hidden="0" customWidth="1"/>
    <x:col min="9" max="9" width="18" hidden="0" customWidth="1"/>
    <x:col min="10" max="10" width="21" hidden="0" customWidth="1"/>
    <x:col min="11" max="11" width="14" hidden="0" customWidth="1"/>
  </x:cols>
  <x:sheetData>
    <x:row r="2">
      <x:c r="B2" s="1" t="str">
        <x:v>Eighty article-family truth characteristics</x:v>
      </x:c>
    </x:row>
    <x:row r="3">
      <x:c r="B3" s="2" t="str">
        <x:v>Nominal state and tolerance are design inputs. Measured values and acceptance remain physical.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Characteristic</x:v>
      </x:c>
      <x:c r="C6" s="7" t="str">
        <x:v>Truth root</x:v>
      </x:c>
      <x:c r="D6" s="7" t="str">
        <x:v>Method</x:v>
      </x:c>
      <x:c r="E6" s="7" t="str">
        <x:v>Variable</x:v>
      </x:c>
      <x:c r="F6" s="7" t="str">
        <x:v>Nominal</x:v>
      </x:c>
      <x:c r="G6" s="7" t="str">
        <x:v>Tolerance</x:v>
      </x:c>
      <x:c r="H6" s="7" t="str">
        <x:v>Unit</x:v>
      </x:c>
      <x:c r="I6" s="7" t="str">
        <x:v>Measured</x:v>
      </x:c>
      <x:c r="J6" s="7" t="str">
        <x:v>Accepted UTC</x:v>
      </x:c>
      <x:c r="K6" s="7" t="str">
        <x:v>State</x:v>
      </x:c>
    </x:row>
    <x:row r="7">
      <x:c r="B7" t="str">
        <x:v>RAW-C001</x:v>
      </x:c>
      <x:c r="C7" t="str">
        <x:v>AM-00-TR-A</x:v>
      </x:c>
      <x:c r="D7" t="str">
        <x:v>AM-00</x:v>
      </x:c>
      <x:c r="E7" t="str">
        <x:v>datum X</x:v>
      </x:c>
      <x:c r="F7" s="14" t="n">
        <x:v>0</x:v>
      </x:c>
      <x:c r="G7" s="14" t="n">
        <x:v>0.0005</x:v>
      </x:c>
      <x:c r="H7" s="14" t="str">
        <x:v>m</x:v>
      </x:c>
      <x:c r="I7" s="14" t="str"/>
      <x:c r="J7" t="str"/>
      <x:c r="K7" t="str">
        <x:v>OPEN</x:v>
      </x:c>
    </x:row>
    <x:row r="8">
      <x:c r="B8" t="str">
        <x:v>RAW-C002</x:v>
      </x:c>
      <x:c r="C8" t="str">
        <x:v>AM-00-TR-A</x:v>
      </x:c>
      <x:c r="D8" t="str">
        <x:v>AM-00</x:v>
      </x:c>
      <x:c r="E8" t="str">
        <x:v>datum Y</x:v>
      </x:c>
      <x:c r="F8" s="14" t="n">
        <x:v>0</x:v>
      </x:c>
      <x:c r="G8" s="14" t="n">
        <x:v>0.0005</x:v>
      </x:c>
      <x:c r="H8" s="14" t="str">
        <x:v>m</x:v>
      </x:c>
      <x:c r="I8" s="14" t="str"/>
      <x:c r="J8" t="str"/>
      <x:c r="K8" t="str">
        <x:v>OPEN</x:v>
      </x:c>
    </x:row>
    <x:row r="9">
      <x:c r="B9" t="str">
        <x:v>RAW-C003</x:v>
      </x:c>
      <x:c r="C9" t="str">
        <x:v>AM-00-TR-A</x:v>
      </x:c>
      <x:c r="D9" t="str">
        <x:v>AM-00</x:v>
      </x:c>
      <x:c r="E9" t="str">
        <x:v>datum Z</x:v>
      </x:c>
      <x:c r="F9" s="14" t="n">
        <x:v>0</x:v>
      </x:c>
      <x:c r="G9" s="14" t="n">
        <x:v>0.00025</x:v>
      </x:c>
      <x:c r="H9" s="14" t="str">
        <x:v>m</x:v>
      </x:c>
      <x:c r="I9" s="14" t="str"/>
      <x:c r="J9" t="str"/>
      <x:c r="K9" t="str">
        <x:v>OPEN</x:v>
      </x:c>
    </x:row>
    <x:row r="10">
      <x:c r="B10" t="str">
        <x:v>RAW-C004</x:v>
      </x:c>
      <x:c r="C10" t="str">
        <x:v>AM-00-TR-A</x:v>
      </x:c>
      <x:c r="D10" t="str">
        <x:v>AM-00</x:v>
      </x:c>
      <x:c r="E10" t="str">
        <x:v>local grade</x:v>
      </x:c>
      <x:c r="F10" s="14" t="n">
        <x:v>0</x:v>
      </x:c>
      <x:c r="G10" s="14" t="n">
        <x:v>0.0002</x:v>
      </x:c>
      <x:c r="H10" s="14" t="str">
        <x:v>ratio</x:v>
      </x:c>
      <x:c r="I10" s="14" t="str"/>
      <x:c r="J10" t="str"/>
      <x:c r="K10" t="str">
        <x:v>OPEN</x:v>
      </x:c>
    </x:row>
    <x:row r="11">
      <x:c r="B11" t="str">
        <x:v>RAW-C005</x:v>
      </x:c>
      <x:c r="C11" t="str">
        <x:v>AM-00-TR-A</x:v>
      </x:c>
      <x:c r="D11" t="str">
        <x:v>AM-00</x:v>
      </x:c>
      <x:c r="E11" t="str">
        <x:v>surface roughness</x:v>
      </x:c>
      <x:c r="F11" s="14" t="n">
        <x:v>0.001</x:v>
      </x:c>
      <x:c r="G11" s="14" t="n">
        <x:v>0.0001</x:v>
      </x:c>
      <x:c r="H11" s="14" t="str">
        <x:v>m</x:v>
      </x:c>
      <x:c r="I11" s="14" t="str"/>
      <x:c r="J11" t="str"/>
      <x:c r="K11" t="str">
        <x:v>OPEN</x:v>
      </x:c>
    </x:row>
    <x:row r="12">
      <x:c r="B12" t="str">
        <x:v>RAW-C006</x:v>
      </x:c>
      <x:c r="C12" t="str">
        <x:v>AM-00-TR-A</x:v>
      </x:c>
      <x:c r="D12" t="str">
        <x:v>AM-00</x:v>
      </x:c>
      <x:c r="E12" t="str">
        <x:v>surface temperature</x:v>
      </x:c>
      <x:c r="F12" s="14" t="n">
        <x:v>293</x:v>
      </x:c>
      <x:c r="G12" s="14" t="n">
        <x:v>1</x:v>
      </x:c>
      <x:c r="H12" s="14" t="str">
        <x:v>K</x:v>
      </x:c>
      <x:c r="I12" s="14" t="str"/>
      <x:c r="J12" t="str"/>
      <x:c r="K12" t="str">
        <x:v>OPEN</x:v>
      </x:c>
    </x:row>
    <x:row r="13">
      <x:c r="B13" t="str">
        <x:v>RAW-C007</x:v>
      </x:c>
      <x:c r="C13" t="str">
        <x:v>AM-00-TR-A</x:v>
      </x:c>
      <x:c r="D13" t="str">
        <x:v>AM-00</x:v>
      </x:c>
      <x:c r="E13" t="str">
        <x:v>witness beacon offset</x:v>
      </x:c>
      <x:c r="F13" s="14" t="n">
        <x:v>0</x:v>
      </x:c>
      <x:c r="G13" s="14" t="n">
        <x:v>0.0005</x:v>
      </x:c>
      <x:c r="H13" s="14" t="str">
        <x:v>m</x:v>
      </x:c>
      <x:c r="I13" s="14" t="str"/>
      <x:c r="J13" t="str"/>
      <x:c r="K13" t="str">
        <x:v>OPEN</x:v>
      </x:c>
    </x:row>
    <x:row r="14">
      <x:c r="B14" t="str">
        <x:v>RAW-C008</x:v>
      </x:c>
      <x:c r="C14" t="str">
        <x:v>AM-00-TR-A</x:v>
      </x:c>
      <x:c r="D14" t="str">
        <x:v>AM-00</x:v>
      </x:c>
      <x:c r="E14" t="str">
        <x:v>safe-state path identity</x:v>
      </x:c>
      <x:c r="F14" s="14" t="n">
        <x:v>1</x:v>
      </x:c>
      <x:c r="G14" s="14" t="n">
        <x:v>0</x:v>
      </x:c>
      <x:c r="H14" s="14" t="str">
        <x:v>binary</x:v>
      </x:c>
      <x:c r="I14" s="14" t="str"/>
      <x:c r="J14" t="str"/>
      <x:c r="K14" t="str">
        <x:v>OPEN</x:v>
      </x:c>
    </x:row>
    <x:row r="15">
      <x:c r="B15" t="str">
        <x:v>RAW-C009</x:v>
      </x:c>
      <x:c r="C15" t="str">
        <x:v>AM-00-TR-B</x:v>
      </x:c>
      <x:c r="D15" t="str">
        <x:v>AM-00</x:v>
      </x:c>
      <x:c r="E15" t="str">
        <x:v>datum X</x:v>
      </x:c>
      <x:c r="F15" s="14" t="n">
        <x:v>0</x:v>
      </x:c>
      <x:c r="G15" s="14" t="n">
        <x:v>0.0005</x:v>
      </x:c>
      <x:c r="H15" s="14" t="str">
        <x:v>m</x:v>
      </x:c>
      <x:c r="I15" s="14" t="str"/>
      <x:c r="J15" t="str"/>
      <x:c r="K15" t="str">
        <x:v>OPEN</x:v>
      </x:c>
    </x:row>
    <x:row r="16">
      <x:c r="B16" t="str">
        <x:v>RAW-C010</x:v>
      </x:c>
      <x:c r="C16" t="str">
        <x:v>AM-00-TR-B</x:v>
      </x:c>
      <x:c r="D16" t="str">
        <x:v>AM-00</x:v>
      </x:c>
      <x:c r="E16" t="str">
        <x:v>datum Y</x:v>
      </x:c>
      <x:c r="F16" s="14" t="n">
        <x:v>0</x:v>
      </x:c>
      <x:c r="G16" s="14" t="n">
        <x:v>0.0005</x:v>
      </x:c>
      <x:c r="H16" s="14" t="str">
        <x:v>m</x:v>
      </x:c>
      <x:c r="I16" s="14" t="str"/>
      <x:c r="J16" t="str"/>
      <x:c r="K16" t="str">
        <x:v>OPEN</x:v>
      </x:c>
    </x:row>
    <x:row r="17">
      <x:c r="B17" t="str">
        <x:v>RAW-C011</x:v>
      </x:c>
      <x:c r="C17" t="str">
        <x:v>AM-00-TR-B</x:v>
      </x:c>
      <x:c r="D17" t="str">
        <x:v>AM-00</x:v>
      </x:c>
      <x:c r="E17" t="str">
        <x:v>datum Z</x:v>
      </x:c>
      <x:c r="F17" s="14" t="n">
        <x:v>0</x:v>
      </x:c>
      <x:c r="G17" s="14" t="n">
        <x:v>0.00025</x:v>
      </x:c>
      <x:c r="H17" s="14" t="str">
        <x:v>m</x:v>
      </x:c>
      <x:c r="I17" s="14" t="str"/>
      <x:c r="J17" t="str"/>
      <x:c r="K17" t="str">
        <x:v>OPEN</x:v>
      </x:c>
    </x:row>
    <x:row r="18">
      <x:c r="B18" t="str">
        <x:v>RAW-C012</x:v>
      </x:c>
      <x:c r="C18" t="str">
        <x:v>AM-00-TR-B</x:v>
      </x:c>
      <x:c r="D18" t="str">
        <x:v>AM-00</x:v>
      </x:c>
      <x:c r="E18" t="str">
        <x:v>local grade</x:v>
      </x:c>
      <x:c r="F18" s="14" t="n">
        <x:v>0</x:v>
      </x:c>
      <x:c r="G18" s="14" t="n">
        <x:v>0.0002</x:v>
      </x:c>
      <x:c r="H18" s="14" t="str">
        <x:v>ratio</x:v>
      </x:c>
      <x:c r="I18" s="14" t="str"/>
      <x:c r="J18" t="str"/>
      <x:c r="K18" t="str">
        <x:v>OPEN</x:v>
      </x:c>
    </x:row>
    <x:row r="19">
      <x:c r="B19" t="str">
        <x:v>RAW-C013</x:v>
      </x:c>
      <x:c r="C19" t="str">
        <x:v>AM-00-TR-B</x:v>
      </x:c>
      <x:c r="D19" t="str">
        <x:v>AM-00</x:v>
      </x:c>
      <x:c r="E19" t="str">
        <x:v>surface roughness</x:v>
      </x:c>
      <x:c r="F19" s="14" t="n">
        <x:v>0.001</x:v>
      </x:c>
      <x:c r="G19" s="14" t="n">
        <x:v>0.0001</x:v>
      </x:c>
      <x:c r="H19" s="14" t="str">
        <x:v>m</x:v>
      </x:c>
      <x:c r="I19" s="14" t="str"/>
      <x:c r="J19" t="str"/>
      <x:c r="K19" t="str">
        <x:v>OPEN</x:v>
      </x:c>
    </x:row>
    <x:row r="20">
      <x:c r="B20" t="str">
        <x:v>RAW-C014</x:v>
      </x:c>
      <x:c r="C20" t="str">
        <x:v>AM-00-TR-B</x:v>
      </x:c>
      <x:c r="D20" t="str">
        <x:v>AM-00</x:v>
      </x:c>
      <x:c r="E20" t="str">
        <x:v>surface temperature</x:v>
      </x:c>
      <x:c r="F20" s="14" t="n">
        <x:v>293</x:v>
      </x:c>
      <x:c r="G20" s="14" t="n">
        <x:v>1</x:v>
      </x:c>
      <x:c r="H20" s="14" t="str">
        <x:v>K</x:v>
      </x:c>
      <x:c r="I20" s="14" t="str"/>
      <x:c r="J20" t="str"/>
      <x:c r="K20" t="str">
        <x:v>OPEN</x:v>
      </x:c>
    </x:row>
    <x:row r="21">
      <x:c r="B21" t="str">
        <x:v>RAW-C015</x:v>
      </x:c>
      <x:c r="C21" t="str">
        <x:v>AM-00-TR-B</x:v>
      </x:c>
      <x:c r="D21" t="str">
        <x:v>AM-00</x:v>
      </x:c>
      <x:c r="E21" t="str">
        <x:v>witness beacon offset</x:v>
      </x:c>
      <x:c r="F21" s="14" t="n">
        <x:v>0</x:v>
      </x:c>
      <x:c r="G21" s="14" t="n">
        <x:v>0.0005</x:v>
      </x:c>
      <x:c r="H21" s="14" t="str">
        <x:v>m</x:v>
      </x:c>
      <x:c r="I21" s="14" t="str"/>
      <x:c r="J21" t="str"/>
      <x:c r="K21" t="str">
        <x:v>OPEN</x:v>
      </x:c>
    </x:row>
    <x:row r="22">
      <x:c r="B22" t="str">
        <x:v>RAW-C016</x:v>
      </x:c>
      <x:c r="C22" t="str">
        <x:v>AM-00-TR-B</x:v>
      </x:c>
      <x:c r="D22" t="str">
        <x:v>AM-00</x:v>
      </x:c>
      <x:c r="E22" t="str">
        <x:v>safe-state path identity</x:v>
      </x:c>
      <x:c r="F22" s="14" t="n">
        <x:v>1</x:v>
      </x:c>
      <x:c r="G22" s="14" t="n">
        <x:v>0</x:v>
      </x:c>
      <x:c r="H22" s="14" t="str">
        <x:v>binary</x:v>
      </x:c>
      <x:c r="I22" s="14" t="str"/>
      <x:c r="J22" t="str"/>
      <x:c r="K22" t="str">
        <x:v>OPEN</x:v>
      </x:c>
    </x:row>
    <x:row r="23">
      <x:c r="B23" t="str">
        <x:v>RAW-C017</x:v>
      </x:c>
      <x:c r="C23" t="str">
        <x:v>AM-01-TR-A</x:v>
      </x:c>
      <x:c r="D23" t="str">
        <x:v>AM-01</x:v>
      </x:c>
      <x:c r="E23" t="str">
        <x:v>supply volume</x:v>
      </x:c>
      <x:c r="F23" s="14" t="n">
        <x:v>20</x:v>
      </x:c>
      <x:c r="G23" s="14" t="n">
        <x:v>0.025</x:v>
      </x:c>
      <x:c r="H23" s="14" t="str">
        <x:v>m3</x:v>
      </x:c>
      <x:c r="I23" s="14" t="str"/>
      <x:c r="J23" t="str"/>
      <x:c r="K23" t="str">
        <x:v>OPEN</x:v>
      </x:c>
    </x:row>
    <x:row r="24">
      <x:c r="B24" t="str">
        <x:v>RAW-C018</x:v>
      </x:c>
      <x:c r="C24" t="str">
        <x:v>AM-01-TR-A</x:v>
      </x:c>
      <x:c r="D24" t="str">
        <x:v>AM-01</x:v>
      </x:c>
      <x:c r="E24" t="str">
        <x:v>supply flow</x:v>
      </x:c>
      <x:c r="F24" s="14" t="n">
        <x:v>1.5</x:v>
      </x:c>
      <x:c r="G24" s="14" t="n">
        <x:v>0.005</x:v>
      </x:c>
      <x:c r="H24" s="14" t="str">
        <x:v>m3/min</x:v>
      </x:c>
      <x:c r="I24" s="14" t="str"/>
      <x:c r="J24" t="str"/>
      <x:c r="K24" t="str">
        <x:v>OPEN</x:v>
      </x:c>
    </x:row>
    <x:row r="25">
      <x:c r="B25" t="str">
        <x:v>RAW-C019</x:v>
      </x:c>
      <x:c r="C25" t="str">
        <x:v>AM-01-TR-A</x:v>
      </x:c>
      <x:c r="D25" t="str">
        <x:v>AM-01</x:v>
      </x:c>
      <x:c r="E25" t="str">
        <x:v>return volume</x:v>
      </x:c>
      <x:c r="F25" s="14" t="n">
        <x:v>18</x:v>
      </x:c>
      <x:c r="G25" s="14" t="n">
        <x:v>0.025</x:v>
      </x:c>
      <x:c r="H25" s="14" t="str">
        <x:v>m3</x:v>
      </x:c>
      <x:c r="I25" s="14" t="str"/>
      <x:c r="J25" t="str"/>
      <x:c r="K25" t="str">
        <x:v>OPEN</x:v>
      </x:c>
    </x:row>
    <x:row r="26">
      <x:c r="B26" t="str">
        <x:v>RAW-C020</x:v>
      </x:c>
      <x:c r="C26" t="str">
        <x:v>AM-01-TR-A</x:v>
      </x:c>
      <x:c r="D26" t="str">
        <x:v>AM-01</x:v>
      </x:c>
      <x:c r="E26" t="str">
        <x:v>retained volume</x:v>
      </x:c>
      <x:c r="F26" s="14" t="n">
        <x:v>2</x:v>
      </x:c>
      <x:c r="G26" s="14" t="n">
        <x:v>0.025</x:v>
      </x:c>
      <x:c r="H26" s="14" t="str">
        <x:v>m3</x:v>
      </x:c>
      <x:c r="I26" s="14" t="str"/>
      <x:c r="J26" t="str"/>
      <x:c r="K26" t="str">
        <x:v>OPEN</x:v>
      </x:c>
    </x:row>
    <x:row r="27">
      <x:c r="B27" t="str">
        <x:v>RAW-C021</x:v>
      </x:c>
      <x:c r="C27" t="str">
        <x:v>AM-01-TR-A</x:v>
      </x:c>
      <x:c r="D27" t="str">
        <x:v>AM-01</x:v>
      </x:c>
      <x:c r="E27" t="str">
        <x:v>known leakage</x:v>
      </x:c>
      <x:c r="F27" s="14" t="n">
        <x:v>0</x:v>
      </x:c>
      <x:c r="G27" s="14" t="n">
        <x:v>0.005</x:v>
      </x:c>
      <x:c r="H27" s="14" t="str">
        <x:v>m3</x:v>
      </x:c>
      <x:c r="I27" s="14" t="str"/>
      <x:c r="J27" t="str"/>
      <x:c r="K27" t="str">
        <x:v>OPEN</x:v>
      </x:c>
    </x:row>
    <x:row r="28">
      <x:c r="B28" t="str">
        <x:v>RAW-C022</x:v>
      </x:c>
      <x:c r="C28" t="str">
        <x:v>AM-01-TR-A</x:v>
      </x:c>
      <x:c r="D28" t="str">
        <x:v>AM-01</x:v>
      </x:c>
      <x:c r="E28" t="str">
        <x:v>service pressure</x:v>
      </x:c>
      <x:c r="F28" s="14" t="n">
        <x:v>1.2</x:v>
      </x:c>
      <x:c r="G28" s="14" t="n">
        <x:v>0.012</x:v>
      </x:c>
      <x:c r="H28" s="14" t="str">
        <x:v>MPa</x:v>
      </x:c>
      <x:c r="I28" s="14" t="str"/>
      <x:c r="J28" t="str"/>
      <x:c r="K28" t="str">
        <x:v>OPEN</x:v>
      </x:c>
    </x:row>
    <x:row r="29">
      <x:c r="B29" t="str">
        <x:v>RAW-C023</x:v>
      </x:c>
      <x:c r="C29" t="str">
        <x:v>AM-01-TR-A</x:v>
      </x:c>
      <x:c r="D29" t="str">
        <x:v>AM-01</x:v>
      </x:c>
      <x:c r="E29" t="str">
        <x:v>water temperature</x:v>
      </x:c>
      <x:c r="F29" s="14" t="n">
        <x:v>293</x:v>
      </x:c>
      <x:c r="G29" s="14" t="n">
        <x:v>0.5</x:v>
      </x:c>
      <x:c r="H29" s="14" t="str">
        <x:v>K</x:v>
      </x:c>
      <x:c r="I29" s="14" t="str"/>
      <x:c r="J29" t="str"/>
      <x:c r="K29" t="str">
        <x:v>OPEN</x:v>
      </x:c>
    </x:row>
    <x:row r="30">
      <x:c r="B30" t="str">
        <x:v>RAW-C024</x:v>
      </x:c>
      <x:c r="C30" t="str">
        <x:v>AM-01-TR-A</x:v>
      </x:c>
      <x:c r="D30" t="str">
        <x:v>AM-01</x:v>
      </x:c>
      <x:c r="E30" t="str">
        <x:v>valve-state identity</x:v>
      </x:c>
      <x:c r="F30" s="14" t="n">
        <x:v>1</x:v>
      </x:c>
      <x:c r="G30" s="14" t="n">
        <x:v>0</x:v>
      </x:c>
      <x:c r="H30" s="14" t="str">
        <x:v>binary</x:v>
      </x:c>
      <x:c r="I30" s="14" t="str"/>
      <x:c r="J30" t="str"/>
      <x:c r="K30" t="str">
        <x:v>OPEN</x:v>
      </x:c>
    </x:row>
    <x:row r="31">
      <x:c r="B31" t="str">
        <x:v>RAW-C025</x:v>
      </x:c>
      <x:c r="C31" t="str">
        <x:v>AM-01-TR-B</x:v>
      </x:c>
      <x:c r="D31" t="str">
        <x:v>AM-01</x:v>
      </x:c>
      <x:c r="E31" t="str">
        <x:v>supply volume</x:v>
      </x:c>
      <x:c r="F31" s="14" t="n">
        <x:v>20</x:v>
      </x:c>
      <x:c r="G31" s="14" t="n">
        <x:v>0.025</x:v>
      </x:c>
      <x:c r="H31" s="14" t="str">
        <x:v>m3</x:v>
      </x:c>
      <x:c r="I31" s="14" t="str"/>
      <x:c r="J31" t="str"/>
      <x:c r="K31" t="str">
        <x:v>OPEN</x:v>
      </x:c>
    </x:row>
    <x:row r="32">
      <x:c r="B32" t="str">
        <x:v>RAW-C026</x:v>
      </x:c>
      <x:c r="C32" t="str">
        <x:v>AM-01-TR-B</x:v>
      </x:c>
      <x:c r="D32" t="str">
        <x:v>AM-01</x:v>
      </x:c>
      <x:c r="E32" t="str">
        <x:v>supply flow</x:v>
      </x:c>
      <x:c r="F32" s="14" t="n">
        <x:v>1.5</x:v>
      </x:c>
      <x:c r="G32" s="14" t="n">
        <x:v>0.005</x:v>
      </x:c>
      <x:c r="H32" s="14" t="str">
        <x:v>m3/min</x:v>
      </x:c>
      <x:c r="I32" s="14" t="str"/>
      <x:c r="J32" t="str"/>
      <x:c r="K32" t="str">
        <x:v>OPEN</x:v>
      </x:c>
    </x:row>
    <x:row r="33">
      <x:c r="B33" t="str">
        <x:v>RAW-C027</x:v>
      </x:c>
      <x:c r="C33" t="str">
        <x:v>AM-01-TR-B</x:v>
      </x:c>
      <x:c r="D33" t="str">
        <x:v>AM-01</x:v>
      </x:c>
      <x:c r="E33" t="str">
        <x:v>return volume</x:v>
      </x:c>
      <x:c r="F33" s="14" t="n">
        <x:v>18</x:v>
      </x:c>
      <x:c r="G33" s="14" t="n">
        <x:v>0.025</x:v>
      </x:c>
      <x:c r="H33" s="14" t="str">
        <x:v>m3</x:v>
      </x:c>
      <x:c r="I33" s="14" t="str"/>
      <x:c r="J33" t="str"/>
      <x:c r="K33" t="str">
        <x:v>OPEN</x:v>
      </x:c>
    </x:row>
    <x:row r="34">
      <x:c r="B34" t="str">
        <x:v>RAW-C028</x:v>
      </x:c>
      <x:c r="C34" t="str">
        <x:v>AM-01-TR-B</x:v>
      </x:c>
      <x:c r="D34" t="str">
        <x:v>AM-01</x:v>
      </x:c>
      <x:c r="E34" t="str">
        <x:v>retained volume</x:v>
      </x:c>
      <x:c r="F34" s="14" t="n">
        <x:v>2</x:v>
      </x:c>
      <x:c r="G34" s="14" t="n">
        <x:v>0.025</x:v>
      </x:c>
      <x:c r="H34" s="14" t="str">
        <x:v>m3</x:v>
      </x:c>
      <x:c r="I34" s="14" t="str"/>
      <x:c r="J34" t="str"/>
      <x:c r="K34" t="str">
        <x:v>OPEN</x:v>
      </x:c>
    </x:row>
    <x:row r="35">
      <x:c r="B35" t="str">
        <x:v>RAW-C029</x:v>
      </x:c>
      <x:c r="C35" t="str">
        <x:v>AM-01-TR-B</x:v>
      </x:c>
      <x:c r="D35" t="str">
        <x:v>AM-01</x:v>
      </x:c>
      <x:c r="E35" t="str">
        <x:v>known leakage</x:v>
      </x:c>
      <x:c r="F35" s="14" t="n">
        <x:v>0</x:v>
      </x:c>
      <x:c r="G35" s="14" t="n">
        <x:v>0.005</x:v>
      </x:c>
      <x:c r="H35" s="14" t="str">
        <x:v>m3</x:v>
      </x:c>
      <x:c r="I35" s="14" t="str"/>
      <x:c r="J35" t="str"/>
      <x:c r="K35" t="str">
        <x:v>OPEN</x:v>
      </x:c>
    </x:row>
    <x:row r="36">
      <x:c r="B36" t="str">
        <x:v>RAW-C030</x:v>
      </x:c>
      <x:c r="C36" t="str">
        <x:v>AM-01-TR-B</x:v>
      </x:c>
      <x:c r="D36" t="str">
        <x:v>AM-01</x:v>
      </x:c>
      <x:c r="E36" t="str">
        <x:v>service pressure</x:v>
      </x:c>
      <x:c r="F36" s="14" t="n">
        <x:v>1.2</x:v>
      </x:c>
      <x:c r="G36" s="14" t="n">
        <x:v>0.012</x:v>
      </x:c>
      <x:c r="H36" s="14" t="str">
        <x:v>MPa</x:v>
      </x:c>
      <x:c r="I36" s="14" t="str"/>
      <x:c r="J36" t="str"/>
      <x:c r="K36" t="str">
        <x:v>OPEN</x:v>
      </x:c>
    </x:row>
    <x:row r="37">
      <x:c r="B37" t="str">
        <x:v>RAW-C031</x:v>
      </x:c>
      <x:c r="C37" t="str">
        <x:v>AM-01-TR-B</x:v>
      </x:c>
      <x:c r="D37" t="str">
        <x:v>AM-01</x:v>
      </x:c>
      <x:c r="E37" t="str">
        <x:v>water temperature</x:v>
      </x:c>
      <x:c r="F37" s="14" t="n">
        <x:v>293</x:v>
      </x:c>
      <x:c r="G37" s="14" t="n">
        <x:v>0.5</x:v>
      </x:c>
      <x:c r="H37" s="14" t="str">
        <x:v>K</x:v>
      </x:c>
      <x:c r="I37" s="14" t="str"/>
      <x:c r="J37" t="str"/>
      <x:c r="K37" t="str">
        <x:v>OPEN</x:v>
      </x:c>
    </x:row>
    <x:row r="38">
      <x:c r="B38" t="str">
        <x:v>RAW-C032</x:v>
      </x:c>
      <x:c r="C38" t="str">
        <x:v>AM-01-TR-B</x:v>
      </x:c>
      <x:c r="D38" t="str">
        <x:v>AM-01</x:v>
      </x:c>
      <x:c r="E38" t="str">
        <x:v>valve-state identity</x:v>
      </x:c>
      <x:c r="F38" s="14" t="n">
        <x:v>1</x:v>
      </x:c>
      <x:c r="G38" s="14" t="n">
        <x:v>0</x:v>
      </x:c>
      <x:c r="H38" s="14" t="str">
        <x:v>binary</x:v>
      </x:c>
      <x:c r="I38" s="14" t="str"/>
      <x:c r="J38" t="str"/>
      <x:c r="K38" t="str">
        <x:v>OPEN</x:v>
      </x:c>
    </x:row>
    <x:row r="39">
      <x:c r="B39" t="str">
        <x:v>RAW-C033</x:v>
      </x:c>
      <x:c r="C39" t="str">
        <x:v>AM-02-TR-A</x:v>
      </x:c>
      <x:c r="D39" t="str">
        <x:v>AM-02</x:v>
      </x:c>
      <x:c r="E39" t="str">
        <x:v>density</x:v>
      </x:c>
      <x:c r="F39" s="14" t="n">
        <x:v>800</x:v>
      </x:c>
      <x:c r="G39" s="14" t="n">
        <x:v>1</x:v>
      </x:c>
      <x:c r="H39" s="14" t="str">
        <x:v>kg/m3</x:v>
      </x:c>
      <x:c r="I39" s="14" t="str"/>
      <x:c r="J39" t="str"/>
      <x:c r="K39" t="str">
        <x:v>OPEN</x:v>
      </x:c>
    </x:row>
    <x:row r="40">
      <x:c r="B40" t="str">
        <x:v>RAW-C034</x:v>
      </x:c>
      <x:c r="C40" t="str">
        <x:v>AM-02-TR-A</x:v>
      </x:c>
      <x:c r="D40" t="str">
        <x:v>AM-02</x:v>
      </x:c>
      <x:c r="E40" t="str">
        <x:v>dynamic viscosity</x:v>
      </x:c>
      <x:c r="F40" s="14" t="n">
        <x:v>5</x:v>
      </x:c>
      <x:c r="G40" s="14" t="n">
        <x:v>0.05</x:v>
      </x:c>
      <x:c r="H40" s="14" t="str">
        <x:v>mPa s</x:v>
      </x:c>
      <x:c r="I40" s="14" t="str"/>
      <x:c r="J40" t="str"/>
      <x:c r="K40" t="str">
        <x:v>OPEN</x:v>
      </x:c>
    </x:row>
    <x:row r="41">
      <x:c r="B41" t="str">
        <x:v>RAW-C035</x:v>
      </x:c>
      <x:c r="C41" t="str">
        <x:v>AM-02-TR-A</x:v>
      </x:c>
      <x:c r="D41" t="str">
        <x:v>AM-02</x:v>
      </x:c>
      <x:c r="E41" t="str">
        <x:v>surface tension</x:v>
      </x:c>
      <x:c r="F41" s="14" t="n">
        <x:v>0.05</x:v>
      </x:c>
      <x:c r="G41" s="14" t="n">
        <x:v>0.0005</x:v>
      </x:c>
      <x:c r="H41" s="14" t="str">
        <x:v>N/m</x:v>
      </x:c>
      <x:c r="I41" s="14" t="str"/>
      <x:c r="J41" t="str"/>
      <x:c r="K41" t="str">
        <x:v>OPEN</x:v>
      </x:c>
    </x:row>
    <x:row r="42">
      <x:c r="B42" t="str">
        <x:v>RAW-C036</x:v>
      </x:c>
      <x:c r="C42" t="str">
        <x:v>AM-02-TR-A</x:v>
      </x:c>
      <x:c r="D42" t="str">
        <x:v>AM-02</x:v>
      </x:c>
      <x:c r="E42" t="str">
        <x:v>conductivity</x:v>
      </x:c>
      <x:c r="F42" s="14" t="n">
        <x:v>1</x:v>
      </x:c>
      <x:c r="G42" s="14" t="n">
        <x:v>0.01</x:v>
      </x:c>
      <x:c r="H42" s="14" t="str">
        <x:v>mS/cm</x:v>
      </x:c>
      <x:c r="I42" s="14" t="str"/>
      <x:c r="J42" t="str"/>
      <x:c r="K42" t="str">
        <x:v>OPEN</x:v>
      </x:c>
    </x:row>
    <x:row r="43">
      <x:c r="B43" t="str">
        <x:v>RAW-C037</x:v>
      </x:c>
      <x:c r="C43" t="str">
        <x:v>AM-02-TR-A</x:v>
      </x:c>
      <x:c r="D43" t="str">
        <x:v>AM-02</x:v>
      </x:c>
      <x:c r="E43" t="str">
        <x:v>temperature</x:v>
      </x:c>
      <x:c r="F43" s="14" t="n">
        <x:v>293</x:v>
      </x:c>
      <x:c r="G43" s="14" t="n">
        <x:v>0.5</x:v>
      </x:c>
      <x:c r="H43" s="14" t="str">
        <x:v>K</x:v>
      </x:c>
      <x:c r="I43" s="14" t="str"/>
      <x:c r="J43" t="str"/>
      <x:c r="K43" t="str">
        <x:v>OPEN</x:v>
      </x:c>
    </x:row>
    <x:row r="44">
      <x:c r="B44" t="str">
        <x:v>RAW-C038</x:v>
      </x:c>
      <x:c r="C44" t="str">
        <x:v>AM-02-TR-A</x:v>
      </x:c>
      <x:c r="D44" t="str">
        <x:v>AM-02</x:v>
      </x:c>
      <x:c r="E44" t="str">
        <x:v>contact angle</x:v>
      </x:c>
      <x:c r="F44" s="14" t="n">
        <x:v>60</x:v>
      </x:c>
      <x:c r="G44" s="14" t="n">
        <x:v>1</x:v>
      </x:c>
      <x:c r="H44" s="14" t="str">
        <x:v>degrees</x:v>
      </x:c>
      <x:c r="I44" s="14" t="str"/>
      <x:c r="J44" t="str"/>
      <x:c r="K44" t="str">
        <x:v>OPEN</x:v>
      </x:c>
    </x:row>
    <x:row r="45">
      <x:c r="B45" t="str">
        <x:v>RAW-C039</x:v>
      </x:c>
      <x:c r="C45" t="str">
        <x:v>AM-02-TR-A</x:v>
      </x:c>
      <x:c r="D45" t="str">
        <x:v>AM-02</x:v>
      </x:c>
      <x:c r="E45" t="str">
        <x:v>optical response</x:v>
      </x:c>
      <x:c r="F45" s="14" t="n">
        <x:v>1</x:v>
      </x:c>
      <x:c r="G45" s="14" t="n">
        <x:v>0.01</x:v>
      </x:c>
      <x:c r="H45" s="14" t="str">
        <x:v>ratio</x:v>
      </x:c>
      <x:c r="I45" s="14" t="str"/>
      <x:c r="J45" t="str"/>
      <x:c r="K45" t="str">
        <x:v>OPEN</x:v>
      </x:c>
    </x:row>
    <x:row r="46">
      <x:c r="B46" t="str">
        <x:v>RAW-C040</x:v>
      </x:c>
      <x:c r="C46" t="str">
        <x:v>AM-02-TR-A</x:v>
      </x:c>
      <x:c r="D46" t="str">
        <x:v>AM-02</x:v>
      </x:c>
      <x:c r="E46" t="str">
        <x:v>batch homogeneity</x:v>
      </x:c>
      <x:c r="F46" s="14" t="n">
        <x:v>0.995</x:v>
      </x:c>
      <x:c r="G46" s="14" t="n">
        <x:v>0.002</x:v>
      </x:c>
      <x:c r="H46" s="14" t="str">
        <x:v>ratio</x:v>
      </x:c>
      <x:c r="I46" s="14" t="str"/>
      <x:c r="J46" t="str"/>
      <x:c r="K46" t="str">
        <x:v>OPEN</x:v>
      </x:c>
    </x:row>
    <x:row r="47">
      <x:c r="B47" t="str">
        <x:v>RAW-C041</x:v>
      </x:c>
      <x:c r="C47" t="str">
        <x:v>AM-02-TR-B</x:v>
      </x:c>
      <x:c r="D47" t="str">
        <x:v>AM-02</x:v>
      </x:c>
      <x:c r="E47" t="str">
        <x:v>density</x:v>
      </x:c>
      <x:c r="F47" s="14" t="n">
        <x:v>800</x:v>
      </x:c>
      <x:c r="G47" s="14" t="n">
        <x:v>1</x:v>
      </x:c>
      <x:c r="H47" s="14" t="str">
        <x:v>kg/m3</x:v>
      </x:c>
      <x:c r="I47" s="14" t="str"/>
      <x:c r="J47" t="str"/>
      <x:c r="K47" t="str">
        <x:v>OPEN</x:v>
      </x:c>
    </x:row>
    <x:row r="48">
      <x:c r="B48" t="str">
        <x:v>RAW-C042</x:v>
      </x:c>
      <x:c r="C48" t="str">
        <x:v>AM-02-TR-B</x:v>
      </x:c>
      <x:c r="D48" t="str">
        <x:v>AM-02</x:v>
      </x:c>
      <x:c r="E48" t="str">
        <x:v>dynamic viscosity</x:v>
      </x:c>
      <x:c r="F48" s="14" t="n">
        <x:v>5</x:v>
      </x:c>
      <x:c r="G48" s="14" t="n">
        <x:v>0.05</x:v>
      </x:c>
      <x:c r="H48" s="14" t="str">
        <x:v>mPa s</x:v>
      </x:c>
      <x:c r="I48" s="14" t="str"/>
      <x:c r="J48" t="str"/>
      <x:c r="K48" t="str">
        <x:v>OPEN</x:v>
      </x:c>
    </x:row>
    <x:row r="49">
      <x:c r="B49" t="str">
        <x:v>RAW-C043</x:v>
      </x:c>
      <x:c r="C49" t="str">
        <x:v>AM-02-TR-B</x:v>
      </x:c>
      <x:c r="D49" t="str">
        <x:v>AM-02</x:v>
      </x:c>
      <x:c r="E49" t="str">
        <x:v>surface tension</x:v>
      </x:c>
      <x:c r="F49" s="14" t="n">
        <x:v>0.05</x:v>
      </x:c>
      <x:c r="G49" s="14" t="n">
        <x:v>0.0005</x:v>
      </x:c>
      <x:c r="H49" s="14" t="str">
        <x:v>N/m</x:v>
      </x:c>
      <x:c r="I49" s="14" t="str"/>
      <x:c r="J49" t="str"/>
      <x:c r="K49" t="str">
        <x:v>OPEN</x:v>
      </x:c>
    </x:row>
    <x:row r="50">
      <x:c r="B50" t="str">
        <x:v>RAW-C044</x:v>
      </x:c>
      <x:c r="C50" t="str">
        <x:v>AM-02-TR-B</x:v>
      </x:c>
      <x:c r="D50" t="str">
        <x:v>AM-02</x:v>
      </x:c>
      <x:c r="E50" t="str">
        <x:v>conductivity</x:v>
      </x:c>
      <x:c r="F50" s="14" t="n">
        <x:v>1</x:v>
      </x:c>
      <x:c r="G50" s="14" t="n">
        <x:v>0.01</x:v>
      </x:c>
      <x:c r="H50" s="14" t="str">
        <x:v>mS/cm</x:v>
      </x:c>
      <x:c r="I50" s="14" t="str"/>
      <x:c r="J50" t="str"/>
      <x:c r="K50" t="str">
        <x:v>OPEN</x:v>
      </x:c>
    </x:row>
    <x:row r="51">
      <x:c r="B51" t="str">
        <x:v>RAW-C045</x:v>
      </x:c>
      <x:c r="C51" t="str">
        <x:v>AM-02-TR-B</x:v>
      </x:c>
      <x:c r="D51" t="str">
        <x:v>AM-02</x:v>
      </x:c>
      <x:c r="E51" t="str">
        <x:v>temperature</x:v>
      </x:c>
      <x:c r="F51" s="14" t="n">
        <x:v>293</x:v>
      </x:c>
      <x:c r="G51" s="14" t="n">
        <x:v>0.5</x:v>
      </x:c>
      <x:c r="H51" s="14" t="str">
        <x:v>K</x:v>
      </x:c>
      <x:c r="I51" s="14" t="str"/>
      <x:c r="J51" t="str"/>
      <x:c r="K51" t="str">
        <x:v>OPEN</x:v>
      </x:c>
    </x:row>
    <x:row r="52">
      <x:c r="B52" t="str">
        <x:v>RAW-C046</x:v>
      </x:c>
      <x:c r="C52" t="str">
        <x:v>AM-02-TR-B</x:v>
      </x:c>
      <x:c r="D52" t="str">
        <x:v>AM-02</x:v>
      </x:c>
      <x:c r="E52" t="str">
        <x:v>contact angle</x:v>
      </x:c>
      <x:c r="F52" s="14" t="n">
        <x:v>60</x:v>
      </x:c>
      <x:c r="G52" s="14" t="n">
        <x:v>1</x:v>
      </x:c>
      <x:c r="H52" s="14" t="str">
        <x:v>degrees</x:v>
      </x:c>
      <x:c r="I52" s="14" t="str"/>
      <x:c r="J52" t="str"/>
      <x:c r="K52" t="str">
        <x:v>OPEN</x:v>
      </x:c>
    </x:row>
    <x:row r="53">
      <x:c r="B53" t="str">
        <x:v>RAW-C047</x:v>
      </x:c>
      <x:c r="C53" t="str">
        <x:v>AM-02-TR-B</x:v>
      </x:c>
      <x:c r="D53" t="str">
        <x:v>AM-02</x:v>
      </x:c>
      <x:c r="E53" t="str">
        <x:v>optical response</x:v>
      </x:c>
      <x:c r="F53" s="14" t="n">
        <x:v>1</x:v>
      </x:c>
      <x:c r="G53" s="14" t="n">
        <x:v>0.01</x:v>
      </x:c>
      <x:c r="H53" s="14" t="str">
        <x:v>ratio</x:v>
      </x:c>
      <x:c r="I53" s="14" t="str"/>
      <x:c r="J53" t="str"/>
      <x:c r="K53" t="str">
        <x:v>OPEN</x:v>
      </x:c>
    </x:row>
    <x:row r="54">
      <x:c r="B54" t="str">
        <x:v>RAW-C048</x:v>
      </x:c>
      <x:c r="C54" t="str">
        <x:v>AM-02-TR-B</x:v>
      </x:c>
      <x:c r="D54" t="str">
        <x:v>AM-02</x:v>
      </x:c>
      <x:c r="E54" t="str">
        <x:v>batch homogeneity</x:v>
      </x:c>
      <x:c r="F54" s="14" t="n">
        <x:v>0.995</x:v>
      </x:c>
      <x:c r="G54" s="14" t="n">
        <x:v>0.002</x:v>
      </x:c>
      <x:c r="H54" s="14" t="str">
        <x:v>ratio</x:v>
      </x:c>
      <x:c r="I54" s="14" t="str"/>
      <x:c r="J54" t="str"/>
      <x:c r="K54" t="str">
        <x:v>OPEN</x:v>
      </x:c>
    </x:row>
    <x:row r="55">
      <x:c r="B55" t="str">
        <x:v>RAW-C049</x:v>
      </x:c>
      <x:c r="C55" t="str">
        <x:v>AM-03-TR-A</x:v>
      </x:c>
      <x:c r="D55" t="str">
        <x:v>AM-03</x:v>
      </x:c>
      <x:c r="E55" t="str">
        <x:v>blocked-area fraction</x:v>
      </x:c>
      <x:c r="F55" s="14" t="n">
        <x:v>0.25</x:v>
      </x:c>
      <x:c r="G55" s="14" t="n">
        <x:v>0.005</x:v>
      </x:c>
      <x:c r="H55" s="14" t="str">
        <x:v>ratio</x:v>
      </x:c>
      <x:c r="I55" s="14" t="str"/>
      <x:c r="J55" t="str"/>
      <x:c r="K55" t="str">
        <x:v>OPEN</x:v>
      </x:c>
    </x:row>
    <x:row r="56">
      <x:c r="B56" t="str">
        <x:v>RAW-C050</x:v>
      </x:c>
      <x:c r="C56" t="str">
        <x:v>AM-03-TR-A</x:v>
      </x:c>
      <x:c r="D56" t="str">
        <x:v>AM-03</x:v>
      </x:c>
      <x:c r="E56" t="str">
        <x:v>fragment count</x:v>
      </x:c>
      <x:c r="F56" s="14" t="n">
        <x:v>10</x:v>
      </x:c>
      <x:c r="G56" s="14" t="n">
        <x:v>0</x:v>
      </x:c>
      <x:c r="H56" s="14" t="str">
        <x:v>count</x:v>
      </x:c>
      <x:c r="I56" s="14" t="str"/>
      <x:c r="J56" t="str"/>
      <x:c r="K56" t="str">
        <x:v>OPEN</x:v>
      </x:c>
    </x:row>
    <x:row r="57">
      <x:c r="B57" t="str">
        <x:v>RAW-C051</x:v>
      </x:c>
      <x:c r="C57" t="str">
        <x:v>AM-03-TR-A</x:v>
      </x:c>
      <x:c r="D57" t="str">
        <x:v>AM-03</x:v>
      </x:c>
      <x:c r="E57" t="str">
        <x:v>aggregate mass</x:v>
      </x:c>
      <x:c r="F57" s="14" t="n">
        <x:v>120</x:v>
      </x:c>
      <x:c r="G57" s="14" t="n">
        <x:v>0.5</x:v>
      </x:c>
      <x:c r="H57" s="14" t="str">
        <x:v>kg</x:v>
      </x:c>
      <x:c r="I57" s="14" t="str"/>
      <x:c r="J57" t="str"/>
      <x:c r="K57" t="str">
        <x:v>OPEN</x:v>
      </x:c>
    </x:row>
    <x:row r="58">
      <x:c r="B58" t="str">
        <x:v>RAW-C052</x:v>
      </x:c>
      <x:c r="C58" t="str">
        <x:v>AM-03-TR-A</x:v>
      </x:c>
      <x:c r="D58" t="str">
        <x:v>AM-03</x:v>
      </x:c>
      <x:c r="E58" t="str">
        <x:v>centroid error</x:v>
      </x:c>
      <x:c r="F58" s="14" t="n">
        <x:v>0</x:v>
      </x:c>
      <x:c r="G58" s="14" t="n">
        <x:v>0.005</x:v>
      </x:c>
      <x:c r="H58" s="14" t="str">
        <x:v>m</x:v>
      </x:c>
      <x:c r="I58" s="14" t="str"/>
      <x:c r="J58" t="str"/>
      <x:c r="K58" t="str">
        <x:v>OPEN</x:v>
      </x:c>
    </x:row>
    <x:row r="59">
      <x:c r="B59" t="str">
        <x:v>RAW-C053</x:v>
      </x:c>
      <x:c r="C59" t="str">
        <x:v>AM-03-TR-A</x:v>
      </x:c>
      <x:c r="D59" t="str">
        <x:v>AM-03</x:v>
      </x:c>
      <x:c r="E59" t="str">
        <x:v>field permeability</x:v>
      </x:c>
      <x:c r="F59" s="14" t="n">
        <x:v>0.5</x:v>
      </x:c>
      <x:c r="G59" s="14" t="n">
        <x:v>0.01</x:v>
      </x:c>
      <x:c r="H59" s="14" t="str">
        <x:v>ratio</x:v>
      </x:c>
      <x:c r="I59" s="14" t="str"/>
      <x:c r="J59" t="str"/>
      <x:c r="K59" t="str">
        <x:v>OPEN</x:v>
      </x:c>
    </x:row>
    <x:row r="60">
      <x:c r="B60" t="str">
        <x:v>RAW-C054</x:v>
      </x:c>
      <x:c r="C60" t="str">
        <x:v>AM-03-TR-A</x:v>
      </x:c>
      <x:c r="D60" t="str">
        <x:v>AM-03</x:v>
      </x:c>
      <x:c r="E60" t="str">
        <x:v>local grade</x:v>
      </x:c>
      <x:c r="F60" s="14" t="n">
        <x:v>0</x:v>
      </x:c>
      <x:c r="G60" s="14" t="n">
        <x:v>0.0005</x:v>
      </x:c>
      <x:c r="H60" s="14" t="str">
        <x:v>ratio</x:v>
      </x:c>
      <x:c r="I60" s="14" t="str"/>
      <x:c r="J60" t="str"/>
      <x:c r="K60" t="str">
        <x:v>OPEN</x:v>
      </x:c>
    </x:row>
    <x:row r="61">
      <x:c r="B61" t="str">
        <x:v>RAW-C055</x:v>
      </x:c>
      <x:c r="C61" t="str">
        <x:v>AM-03-TR-A</x:v>
      </x:c>
      <x:c r="D61" t="str">
        <x:v>AM-03</x:v>
      </x:c>
      <x:c r="E61" t="str">
        <x:v>retained-fragment fraction</x:v>
      </x:c>
      <x:c r="F61" s="14" t="n">
        <x:v>1</x:v>
      </x:c>
      <x:c r="G61" s="14" t="n">
        <x:v>0</x:v>
      </x:c>
      <x:c r="H61" s="14" t="str">
        <x:v>ratio</x:v>
      </x:c>
      <x:c r="I61" s="14" t="str"/>
      <x:c r="J61" t="str"/>
      <x:c r="K61" t="str">
        <x:v>OPEN</x:v>
      </x:c>
    </x:row>
    <x:row r="62">
      <x:c r="B62" t="str">
        <x:v>RAW-C056</x:v>
      </x:c>
      <x:c r="C62" t="str">
        <x:v>AM-03-TR-A</x:v>
      </x:c>
      <x:c r="D62" t="str">
        <x:v>AM-03</x:v>
      </x:c>
      <x:c r="E62" t="str">
        <x:v>sealed layout identity</x:v>
      </x:c>
      <x:c r="F62" s="14" t="n">
        <x:v>1</x:v>
      </x:c>
      <x:c r="G62" s="14" t="n">
        <x:v>0</x:v>
      </x:c>
      <x:c r="H62" s="14" t="str">
        <x:v>binary</x:v>
      </x:c>
      <x:c r="I62" s="14" t="str"/>
      <x:c r="J62" t="str"/>
      <x:c r="K62" t="str">
        <x:v>OPEN</x:v>
      </x:c>
    </x:row>
    <x:row r="63">
      <x:c r="B63" t="str">
        <x:v>RAW-C057</x:v>
      </x:c>
      <x:c r="C63" t="str">
        <x:v>AM-03-TR-B</x:v>
      </x:c>
      <x:c r="D63" t="str">
        <x:v>AM-03</x:v>
      </x:c>
      <x:c r="E63" t="str">
        <x:v>blocked-area fraction</x:v>
      </x:c>
      <x:c r="F63" s="14" t="n">
        <x:v>0.25</x:v>
      </x:c>
      <x:c r="G63" s="14" t="n">
        <x:v>0.005</x:v>
      </x:c>
      <x:c r="H63" s="14" t="str">
        <x:v>ratio</x:v>
      </x:c>
      <x:c r="I63" s="14" t="str"/>
      <x:c r="J63" t="str"/>
      <x:c r="K63" t="str">
        <x:v>OPEN</x:v>
      </x:c>
    </x:row>
    <x:row r="64">
      <x:c r="B64" t="str">
        <x:v>RAW-C058</x:v>
      </x:c>
      <x:c r="C64" t="str">
        <x:v>AM-03-TR-B</x:v>
      </x:c>
      <x:c r="D64" t="str">
        <x:v>AM-03</x:v>
      </x:c>
      <x:c r="E64" t="str">
        <x:v>fragment count</x:v>
      </x:c>
      <x:c r="F64" s="14" t="n">
        <x:v>10</x:v>
      </x:c>
      <x:c r="G64" s="14" t="n">
        <x:v>0</x:v>
      </x:c>
      <x:c r="H64" s="14" t="str">
        <x:v>count</x:v>
      </x:c>
      <x:c r="I64" s="14" t="str"/>
      <x:c r="J64" t="str"/>
      <x:c r="K64" t="str">
        <x:v>OPEN</x:v>
      </x:c>
    </x:row>
    <x:row r="65">
      <x:c r="B65" t="str">
        <x:v>RAW-C059</x:v>
      </x:c>
      <x:c r="C65" t="str">
        <x:v>AM-03-TR-B</x:v>
      </x:c>
      <x:c r="D65" t="str">
        <x:v>AM-03</x:v>
      </x:c>
      <x:c r="E65" t="str">
        <x:v>aggregate mass</x:v>
      </x:c>
      <x:c r="F65" s="14" t="n">
        <x:v>120</x:v>
      </x:c>
      <x:c r="G65" s="14" t="n">
        <x:v>0.5</x:v>
      </x:c>
      <x:c r="H65" s="14" t="str">
        <x:v>kg</x:v>
      </x:c>
      <x:c r="I65" s="14" t="str"/>
      <x:c r="J65" t="str"/>
      <x:c r="K65" t="str">
        <x:v>OPEN</x:v>
      </x:c>
    </x:row>
    <x:row r="66">
      <x:c r="B66" t="str">
        <x:v>RAW-C060</x:v>
      </x:c>
      <x:c r="C66" t="str">
        <x:v>AM-03-TR-B</x:v>
      </x:c>
      <x:c r="D66" t="str">
        <x:v>AM-03</x:v>
      </x:c>
      <x:c r="E66" t="str">
        <x:v>centroid error</x:v>
      </x:c>
      <x:c r="F66" s="14" t="n">
        <x:v>0</x:v>
      </x:c>
      <x:c r="G66" s="14" t="n">
        <x:v>0.005</x:v>
      </x:c>
      <x:c r="H66" s="14" t="str">
        <x:v>m</x:v>
      </x:c>
      <x:c r="I66" s="14" t="str"/>
      <x:c r="J66" t="str"/>
      <x:c r="K66" t="str">
        <x:v>OPEN</x:v>
      </x:c>
    </x:row>
    <x:row r="67">
      <x:c r="B67" t="str">
        <x:v>RAW-C061</x:v>
      </x:c>
      <x:c r="C67" t="str">
        <x:v>AM-03-TR-B</x:v>
      </x:c>
      <x:c r="D67" t="str">
        <x:v>AM-03</x:v>
      </x:c>
      <x:c r="E67" t="str">
        <x:v>field permeability</x:v>
      </x:c>
      <x:c r="F67" s="14" t="n">
        <x:v>0.5</x:v>
      </x:c>
      <x:c r="G67" s="14" t="n">
        <x:v>0.01</x:v>
      </x:c>
      <x:c r="H67" s="14" t="str">
        <x:v>ratio</x:v>
      </x:c>
      <x:c r="I67" s="14" t="str"/>
      <x:c r="J67" t="str"/>
      <x:c r="K67" t="str">
        <x:v>OPEN</x:v>
      </x:c>
    </x:row>
    <x:row r="68">
      <x:c r="B68" t="str">
        <x:v>RAW-C062</x:v>
      </x:c>
      <x:c r="C68" t="str">
        <x:v>AM-03-TR-B</x:v>
      </x:c>
      <x:c r="D68" t="str">
        <x:v>AM-03</x:v>
      </x:c>
      <x:c r="E68" t="str">
        <x:v>local grade</x:v>
      </x:c>
      <x:c r="F68" s="14" t="n">
        <x:v>0</x:v>
      </x:c>
      <x:c r="G68" s="14" t="n">
        <x:v>0.0005</x:v>
      </x:c>
      <x:c r="H68" s="14" t="str">
        <x:v>ratio</x:v>
      </x:c>
      <x:c r="I68" s="14" t="str"/>
      <x:c r="J68" t="str"/>
      <x:c r="K68" t="str">
        <x:v>OPEN</x:v>
      </x:c>
    </x:row>
    <x:row r="69">
      <x:c r="B69" t="str">
        <x:v>RAW-C063</x:v>
      </x:c>
      <x:c r="C69" t="str">
        <x:v>AM-03-TR-B</x:v>
      </x:c>
      <x:c r="D69" t="str">
        <x:v>AM-03</x:v>
      </x:c>
      <x:c r="E69" t="str">
        <x:v>retained-fragment fraction</x:v>
      </x:c>
      <x:c r="F69" s="14" t="n">
        <x:v>1</x:v>
      </x:c>
      <x:c r="G69" s="14" t="n">
        <x:v>0</x:v>
      </x:c>
      <x:c r="H69" s="14" t="str">
        <x:v>ratio</x:v>
      </x:c>
      <x:c r="I69" s="14" t="str"/>
      <x:c r="J69" t="str"/>
      <x:c r="K69" t="str">
        <x:v>OPEN</x:v>
      </x:c>
    </x:row>
    <x:row r="70">
      <x:c r="B70" t="str">
        <x:v>RAW-C064</x:v>
      </x:c>
      <x:c r="C70" t="str">
        <x:v>AM-03-TR-B</x:v>
      </x:c>
      <x:c r="D70" t="str">
        <x:v>AM-03</x:v>
      </x:c>
      <x:c r="E70" t="str">
        <x:v>sealed layout identity</x:v>
      </x:c>
      <x:c r="F70" s="14" t="n">
        <x:v>1</x:v>
      </x:c>
      <x:c r="G70" s="14" t="n">
        <x:v>0</x:v>
      </x:c>
      <x:c r="H70" s="14" t="str">
        <x:v>binary</x:v>
      </x:c>
      <x:c r="I70" s="14" t="str"/>
      <x:c r="J70" t="str"/>
      <x:c r="K70" t="str">
        <x:v>OPEN</x:v>
      </x:c>
    </x:row>
    <x:row r="71">
      <x:c r="B71" t="str">
        <x:v>RAW-C065</x:v>
      </x:c>
      <x:c r="C71" t="str">
        <x:v>AM-04-TR-A</x:v>
      </x:c>
      <x:c r="D71" t="str">
        <x:v>AM-04</x:v>
      </x:c>
      <x:c r="E71" t="str">
        <x:v>source-code fraction</x:v>
      </x:c>
      <x:c r="F71" s="14" t="n">
        <x:v>0.5</x:v>
      </x:c>
      <x:c r="G71" s="14" t="n">
        <x:v>0.002</x:v>
      </x:c>
      <x:c r="H71" s="14" t="str">
        <x:v>ratio</x:v>
      </x:c>
      <x:c r="I71" s="14" t="str"/>
      <x:c r="J71" t="str"/>
      <x:c r="K71" t="str">
        <x:v>OPEN</x:v>
      </x:c>
    </x:row>
    <x:row r="72">
      <x:c r="B72" t="str">
        <x:v>RAW-C066</x:v>
      </x:c>
      <x:c r="C72" t="str">
        <x:v>AM-04-TR-A</x:v>
      </x:c>
      <x:c r="D72" t="str">
        <x:v>AM-04</x:v>
      </x:c>
      <x:c r="E72" t="str">
        <x:v>water-code fraction</x:v>
      </x:c>
      <x:c r="F72" s="14" t="n">
        <x:v>0.5</x:v>
      </x:c>
      <x:c r="G72" s="14" t="n">
        <x:v>0.002</x:v>
      </x:c>
      <x:c r="H72" s="14" t="str">
        <x:v>ratio</x:v>
      </x:c>
      <x:c r="I72" s="14" t="str"/>
      <x:c r="J72" t="str"/>
      <x:c r="K72" t="str">
        <x:v>OPEN</x:v>
      </x:c>
    </x:row>
    <x:row r="73">
      <x:c r="B73" t="str">
        <x:v>RAW-C067</x:v>
      </x:c>
      <x:c r="C73" t="str">
        <x:v>AM-04-TR-A</x:v>
      </x:c>
      <x:c r="D73" t="str">
        <x:v>AM-04</x:v>
      </x:c>
      <x:c r="E73" t="str">
        <x:v>reader cross-talk</x:v>
      </x:c>
      <x:c r="F73" s="14" t="n">
        <x:v>0</x:v>
      </x:c>
      <x:c r="G73" s="14" t="n">
        <x:v>0.005</x:v>
      </x:c>
      <x:c r="H73" s="14" t="str">
        <x:v>ratio</x:v>
      </x:c>
      <x:c r="I73" s="14" t="str"/>
      <x:c r="J73" t="str"/>
      <x:c r="K73" t="str">
        <x:v>OPEN</x:v>
      </x:c>
    </x:row>
    <x:row r="74">
      <x:c r="B74" t="str">
        <x:v>RAW-C068</x:v>
      </x:c>
      <x:c r="C74" t="str">
        <x:v>AM-04-TR-A</x:v>
      </x:c>
      <x:c r="D74" t="str">
        <x:v>AM-04</x:v>
      </x:c>
      <x:c r="E74" t="str">
        <x:v>detection-limit fraction</x:v>
      </x:c>
      <x:c r="F74" s="14" t="n">
        <x:v>0.001</x:v>
      </x:c>
      <x:c r="G74" s="14" t="n">
        <x:v>0.0002</x:v>
      </x:c>
      <x:c r="H74" s="14" t="str">
        <x:v>ratio</x:v>
      </x:c>
      <x:c r="I74" s="14" t="str"/>
      <x:c r="J74" t="str"/>
      <x:c r="K74" t="str">
        <x:v>OPEN</x:v>
      </x:c>
    </x:row>
    <x:row r="75">
      <x:c r="B75" t="str">
        <x:v>RAW-C069</x:v>
      </x:c>
      <x:c r="C75" t="str">
        <x:v>AM-04-TR-A</x:v>
      </x:c>
      <x:c r="D75" t="str">
        <x:v>AM-04</x:v>
      </x:c>
      <x:c r="E75" t="str">
        <x:v>recovery fraction</x:v>
      </x:c>
      <x:c r="F75" s="14" t="n">
        <x:v>1</x:v>
      </x:c>
      <x:c r="G75" s="14" t="n">
        <x:v>0.005</x:v>
      </x:c>
      <x:c r="H75" s="14" t="str">
        <x:v>ratio</x:v>
      </x:c>
      <x:c r="I75" s="14" t="str"/>
      <x:c r="J75" t="str"/>
      <x:c r="K75" t="str">
        <x:v>OPEN</x:v>
      </x:c>
    </x:row>
    <x:row r="76">
      <x:c r="B76" t="str">
        <x:v>RAW-C070</x:v>
      </x:c>
      <x:c r="C76" t="str">
        <x:v>AM-04-TR-A</x:v>
      </x:c>
      <x:c r="D76" t="str">
        <x:v>AM-04</x:v>
      </x:c>
      <x:c r="E76" t="str">
        <x:v>transit-time error</x:v>
      </x:c>
      <x:c r="F76" s="14" t="n">
        <x:v>0</x:v>
      </x:c>
      <x:c r="G76" s="14" t="n">
        <x:v>0.1</x:v>
      </x:c>
      <x:c r="H76" s="14" t="str">
        <x:v>s</x:v>
      </x:c>
      <x:c r="I76" s="14" t="str"/>
      <x:c r="J76" t="str"/>
      <x:c r="K76" t="str">
        <x:v>OPEN</x:v>
      </x:c>
    </x:row>
    <x:row r="77">
      <x:c r="B77" t="str">
        <x:v>RAW-C071</x:v>
      </x:c>
      <x:c r="C77" t="str">
        <x:v>AM-04-TR-A</x:v>
      </x:c>
      <x:c r="D77" t="str">
        <x:v>AM-04</x:v>
      </x:c>
      <x:c r="E77" t="str">
        <x:v>background fraction</x:v>
      </x:c>
      <x:c r="F77" s="14" t="n">
        <x:v>0</x:v>
      </x:c>
      <x:c r="G77" s="14" t="n">
        <x:v>0.001</x:v>
      </x:c>
      <x:c r="H77" s="14" t="str">
        <x:v>ratio</x:v>
      </x:c>
      <x:c r="I77" s="14" t="str"/>
      <x:c r="J77" t="str"/>
      <x:c r="K77" t="str">
        <x:v>OPEN</x:v>
      </x:c>
    </x:row>
    <x:row r="78">
      <x:c r="B78" t="str">
        <x:v>RAW-C072</x:v>
      </x:c>
      <x:c r="C78" t="str">
        <x:v>AM-04-TR-A</x:v>
      </x:c>
      <x:c r="D78" t="str">
        <x:v>AM-04</x:v>
      </x:c>
      <x:c r="E78" t="str">
        <x:v>mixture homogeneity</x:v>
      </x:c>
      <x:c r="F78" s="14" t="n">
        <x:v>0.995</x:v>
      </x:c>
      <x:c r="G78" s="14" t="n">
        <x:v>0.002</x:v>
      </x:c>
      <x:c r="H78" s="14" t="str">
        <x:v>ratio</x:v>
      </x:c>
      <x:c r="I78" s="14" t="str"/>
      <x:c r="J78" t="str"/>
      <x:c r="K78" t="str">
        <x:v>OPEN</x:v>
      </x:c>
    </x:row>
    <x:row r="79">
      <x:c r="B79" t="str">
        <x:v>RAW-C073</x:v>
      </x:c>
      <x:c r="C79" t="str">
        <x:v>AM-04-TR-B</x:v>
      </x:c>
      <x:c r="D79" t="str">
        <x:v>AM-04</x:v>
      </x:c>
      <x:c r="E79" t="str">
        <x:v>source-code fraction</x:v>
      </x:c>
      <x:c r="F79" s="14" t="n">
        <x:v>0.5</x:v>
      </x:c>
      <x:c r="G79" s="14" t="n">
        <x:v>0.002</x:v>
      </x:c>
      <x:c r="H79" s="14" t="str">
        <x:v>ratio</x:v>
      </x:c>
      <x:c r="I79" s="14" t="str"/>
      <x:c r="J79" t="str"/>
      <x:c r="K79" t="str">
        <x:v>OPEN</x:v>
      </x:c>
    </x:row>
    <x:row r="80">
      <x:c r="B80" t="str">
        <x:v>RAW-C074</x:v>
      </x:c>
      <x:c r="C80" t="str">
        <x:v>AM-04-TR-B</x:v>
      </x:c>
      <x:c r="D80" t="str">
        <x:v>AM-04</x:v>
      </x:c>
      <x:c r="E80" t="str">
        <x:v>water-code fraction</x:v>
      </x:c>
      <x:c r="F80" s="14" t="n">
        <x:v>0.5</x:v>
      </x:c>
      <x:c r="G80" s="14" t="n">
        <x:v>0.002</x:v>
      </x:c>
      <x:c r="H80" s="14" t="str">
        <x:v>ratio</x:v>
      </x:c>
      <x:c r="I80" s="14" t="str"/>
      <x:c r="J80" t="str"/>
      <x:c r="K80" t="str">
        <x:v>OPEN</x:v>
      </x:c>
    </x:row>
    <x:row r="81">
      <x:c r="B81" t="str">
        <x:v>RAW-C075</x:v>
      </x:c>
      <x:c r="C81" t="str">
        <x:v>AM-04-TR-B</x:v>
      </x:c>
      <x:c r="D81" t="str">
        <x:v>AM-04</x:v>
      </x:c>
      <x:c r="E81" t="str">
        <x:v>reader cross-talk</x:v>
      </x:c>
      <x:c r="F81" s="14" t="n">
        <x:v>0</x:v>
      </x:c>
      <x:c r="G81" s="14" t="n">
        <x:v>0.005</x:v>
      </x:c>
      <x:c r="H81" s="14" t="str">
        <x:v>ratio</x:v>
      </x:c>
      <x:c r="I81" s="14" t="str"/>
      <x:c r="J81" t="str"/>
      <x:c r="K81" t="str">
        <x:v>OPEN</x:v>
      </x:c>
    </x:row>
    <x:row r="82">
      <x:c r="B82" t="str">
        <x:v>RAW-C076</x:v>
      </x:c>
      <x:c r="C82" t="str">
        <x:v>AM-04-TR-B</x:v>
      </x:c>
      <x:c r="D82" t="str">
        <x:v>AM-04</x:v>
      </x:c>
      <x:c r="E82" t="str">
        <x:v>detection-limit fraction</x:v>
      </x:c>
      <x:c r="F82" s="14" t="n">
        <x:v>0.001</x:v>
      </x:c>
      <x:c r="G82" s="14" t="n">
        <x:v>0.0002</x:v>
      </x:c>
      <x:c r="H82" s="14" t="str">
        <x:v>ratio</x:v>
      </x:c>
      <x:c r="I82" s="14" t="str"/>
      <x:c r="J82" t="str"/>
      <x:c r="K82" t="str">
        <x:v>OPEN</x:v>
      </x:c>
    </x:row>
    <x:row r="83">
      <x:c r="B83" t="str">
        <x:v>RAW-C077</x:v>
      </x:c>
      <x:c r="C83" t="str">
        <x:v>AM-04-TR-B</x:v>
      </x:c>
      <x:c r="D83" t="str">
        <x:v>AM-04</x:v>
      </x:c>
      <x:c r="E83" t="str">
        <x:v>recovery fraction</x:v>
      </x:c>
      <x:c r="F83" s="14" t="n">
        <x:v>1</x:v>
      </x:c>
      <x:c r="G83" s="14" t="n">
        <x:v>0.005</x:v>
      </x:c>
      <x:c r="H83" s="14" t="str">
        <x:v>ratio</x:v>
      </x:c>
      <x:c r="I83" s="14" t="str"/>
      <x:c r="J83" t="str"/>
      <x:c r="K83" t="str">
        <x:v>OPEN</x:v>
      </x:c>
    </x:row>
    <x:row r="84">
      <x:c r="B84" t="str">
        <x:v>RAW-C078</x:v>
      </x:c>
      <x:c r="C84" t="str">
        <x:v>AM-04-TR-B</x:v>
      </x:c>
      <x:c r="D84" t="str">
        <x:v>AM-04</x:v>
      </x:c>
      <x:c r="E84" t="str">
        <x:v>transit-time error</x:v>
      </x:c>
      <x:c r="F84" s="14" t="n">
        <x:v>0</x:v>
      </x:c>
      <x:c r="G84" s="14" t="n">
        <x:v>0.1</x:v>
      </x:c>
      <x:c r="H84" s="14" t="str">
        <x:v>s</x:v>
      </x:c>
      <x:c r="I84" s="14" t="str"/>
      <x:c r="J84" t="str"/>
      <x:c r="K84" t="str">
        <x:v>OPEN</x:v>
      </x:c>
    </x:row>
    <x:row r="85">
      <x:c r="B85" t="str">
        <x:v>RAW-C079</x:v>
      </x:c>
      <x:c r="C85" t="str">
        <x:v>AM-04-TR-B</x:v>
      </x:c>
      <x:c r="D85" t="str">
        <x:v>AM-04</x:v>
      </x:c>
      <x:c r="E85" t="str">
        <x:v>background fraction</x:v>
      </x:c>
      <x:c r="F85" s="14" t="n">
        <x:v>0</x:v>
      </x:c>
      <x:c r="G85" s="14" t="n">
        <x:v>0.001</x:v>
      </x:c>
      <x:c r="H85" s="14" t="str">
        <x:v>ratio</x:v>
      </x:c>
      <x:c r="I85" s="14" t="str"/>
      <x:c r="J85" t="str"/>
      <x:c r="K85" t="str">
        <x:v>OPEN</x:v>
      </x:c>
    </x:row>
    <x:row r="86">
      <x:c r="B86" t="str">
        <x:v>RAW-C080</x:v>
      </x:c>
      <x:c r="C86" t="str">
        <x:v>AM-04-TR-B</x:v>
      </x:c>
      <x:c r="D86" t="str">
        <x:v>AM-04</x:v>
      </x:c>
      <x:c r="E86" t="str">
        <x:v>mixture homogeneity</x:v>
      </x:c>
      <x:c r="F86" s="14" t="n">
        <x:v>0.995</x:v>
      </x:c>
      <x:c r="G86" s="14" t="n">
        <x:v>0.002</x:v>
      </x:c>
      <x:c r="H86" s="14" t="str">
        <x:v>ratio</x:v>
      </x:c>
      <x:c r="I86" s="14" t="str"/>
      <x:c r="J86" t="str"/>
      <x:c r="K86" t="str">
        <x:v>OPEN</x:v>
      </x:c>
    </x:row>
  </x:sheetData>
  <x:conditionalFormatting sqref="K7:K86">
    <x:cfRule type="containsText" dxfId="16" priority="1" operator="containsText" text="FAIL"/>
    <x:cfRule type="containsText" dxfId="17" priority="2" operator="containsText" text="INVALID"/>
    <x:cfRule type="containsText" dxfId="18" priority="3" operator="containsText" text="BLOCKED"/>
    <x:cfRule type="containsText" dxfId="19" priority="4" operator="containsText" text="OPEN"/>
    <x:cfRule type="containsText" dxfId="20" priority="5" operator="containsText" text="GAP"/>
    <x:cfRule type="containsText" dxfId="21" priority="6" operator="containsText" text="DORMANT"/>
    <x:cfRule type="containsText" dxfId="22" priority="7" operator="containsText" text="PASS"/>
    <x:cfRule type="containsText" dxfId="23" priority="8" operator="containsText" text="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35" hidden="0" customWidth="1"/>
    <x:col min="6" max="6" width="18" hidden="0" customWidth="1"/>
    <x:col min="7" max="7" width="17" hidden="0" customWidth="1"/>
    <x:col min="8" max="8" width="17" hidden="0" customWidth="1"/>
    <x:col min="9" max="9" width="66" hidden="0" customWidth="1"/>
    <x:col min="10" max="10" width="21" hidden="0" customWidth="1"/>
    <x:col min="11" max="11" width="14" hidden="0" customWidth="1"/>
  </x:cols>
  <x:sheetData>
    <x:row r="2">
      <x:c r="B2" s="1" t="str">
        <x:v>Thirty method-class truth envelopes</x:v>
      </x:c>
    </x:row>
    <x:row r="3">
      <x:c r="B3" s="2" t="str">
        <x:v>Truth values, uncertainty and tolerance are frozen before trial identity is issued.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Envelope</x:v>
      </x:c>
      <x:c r="C6" s="7" t="str">
        <x:v>Method</x:v>
      </x:c>
      <x:c r="D6" s="7" t="str">
        <x:v>Class</x:v>
      </x:c>
      <x:c r="E6" s="7" t="str">
        <x:v>Truth variable</x:v>
      </x:c>
      <x:c r="F6" s="7" t="str">
        <x:v>Truth target</x:v>
      </x:c>
      <x:c r="G6" s="7" t="str">
        <x:v>Tolerance</x:v>
      </x:c>
      <x:c r="H6" s="7" t="str">
        <x:v>Unit</x:v>
      </x:c>
      <x:c r="I6" s="7" t="str">
        <x:v>Class proposition</x:v>
      </x:c>
      <x:c r="J6" s="7" t="str">
        <x:v>Accepted UTC</x:v>
      </x:c>
      <x:c r="K6" s="7" t="str">
        <x:v>State</x:v>
      </x:c>
    </x:row>
    <x:row r="7" ht="42" customHeight="1">
      <x:c r="B7" t="str">
        <x:v>RAW-V01</x:v>
      </x:c>
      <x:c r="C7" t="str">
        <x:v>AM-00</x:v>
      </x:c>
      <x:c r="D7" t="str">
        <x:v>QT-01</x:v>
      </x:c>
      <x:c r="E7" t="str">
        <x:v>local grade</x:v>
      </x:c>
      <x:c r="F7" s="14" t="n">
        <x:v>0</x:v>
      </x:c>
      <x:c r="G7" s="14" t="n">
        <x:v>0.0002</x:v>
      </x:c>
      <x:c r="H7" s="14" t="str">
        <x:v>ratio</x:v>
      </x:c>
      <x:c r="I7" s="10" t="str">
        <x:v>clean nominal state and zero response</x:v>
      </x:c>
      <x:c r="J7" t="str"/>
      <x:c r="K7" t="str">
        <x:v>OPEN</x:v>
      </x:c>
    </x:row>
    <x:row r="8" ht="42" customHeight="1">
      <x:c r="B8" t="str">
        <x:v>RAW-V02</x:v>
      </x:c>
      <x:c r="C8" t="str">
        <x:v>AM-00</x:v>
      </x:c>
      <x:c r="D8" t="str">
        <x:v>QT-02</x:v>
      </x:c>
      <x:c r="E8" t="str">
        <x:v>local grade</x:v>
      </x:c>
      <x:c r="F8" s="14" t="n">
        <x:v>-0.01</x:v>
      </x:c>
      <x:c r="G8" s="14" t="n">
        <x:v>0.0005</x:v>
      </x:c>
      <x:c r="H8" s="14" t="str">
        <x:v>ratio</x:v>
      </x:c>
      <x:c r="I8" s="10" t="str">
        <x:v>registered low physical state</x:v>
      </x:c>
      <x:c r="J8" t="str"/>
      <x:c r="K8" t="str">
        <x:v>OPEN</x:v>
      </x:c>
    </x:row>
    <x:row r="9" ht="42" customHeight="1">
      <x:c r="B9" t="str">
        <x:v>RAW-V03</x:v>
      </x:c>
      <x:c r="C9" t="str">
        <x:v>AM-00</x:v>
      </x:c>
      <x:c r="D9" t="str">
        <x:v>QT-03</x:v>
      </x:c>
      <x:c r="E9" t="str">
        <x:v>local grade</x:v>
      </x:c>
      <x:c r="F9" s="14" t="n">
        <x:v>0.015</x:v>
      </x:c>
      <x:c r="G9" s="14" t="n">
        <x:v>0.0005</x:v>
      </x:c>
      <x:c r="H9" s="14" t="str">
        <x:v>ratio</x:v>
      </x:c>
      <x:c r="I9" s="10" t="str">
        <x:v>registered high physical state</x:v>
      </x:c>
      <x:c r="J9" t="str"/>
      <x:c r="K9" t="str">
        <x:v>OPEN</x:v>
      </x:c>
    </x:row>
    <x:row r="10" ht="42" customHeight="1">
      <x:c r="B10" t="str">
        <x:v>RAW-V04</x:v>
      </x:c>
      <x:c r="C10" t="str">
        <x:v>AM-00</x:v>
      </x:c>
      <x:c r="D10" t="str">
        <x:v>QT-04</x:v>
      </x:c>
      <x:c r="E10" t="str">
        <x:v>local grade</x:v>
      </x:c>
      <x:c r="F10" s="14" t="n">
        <x:v>0.0075</x:v>
      </x:c>
      <x:c r="G10" s="14" t="n">
        <x:v>0.0005</x:v>
      </x:c>
      <x:c r="H10" s="14" t="str">
        <x:v>ratio</x:v>
      </x:c>
      <x:c r="I10" s="10" t="str">
        <x:v>sealed state with candidate and local operator blind</x:v>
      </x:c>
      <x:c r="J10" t="str"/>
      <x:c r="K10" t="str">
        <x:v>OPEN</x:v>
      </x:c>
    </x:row>
    <x:row r="11" ht="42" customHeight="1">
      <x:c r="B11" t="str">
        <x:v>RAW-V05</x:v>
      </x:c>
      <x:c r="C11" t="str">
        <x:v>AM-00</x:v>
      </x:c>
      <x:c r="D11" t="str">
        <x:v>QT-05</x:v>
      </x:c>
      <x:c r="E11" t="str">
        <x:v>local grade</x:v>
      </x:c>
      <x:c r="F11" s="14" t="n">
        <x:v>0.005</x:v>
      </x:c>
      <x:c r="G11" s="14" t="n">
        <x:v>0.0005</x:v>
      </x:c>
      <x:c r="H11" s="14" t="str">
        <x:v>ratio</x:v>
      </x:c>
      <x:c r="I11" s="10" t="str">
        <x:v>one decisive chain absent while unlike witness remains</x:v>
      </x:c>
      <x:c r="J11" t="str"/>
      <x:c r="K11" t="str">
        <x:v>OPEN</x:v>
      </x:c>
    </x:row>
    <x:row r="12" ht="42" customHeight="1">
      <x:c r="B12" t="str">
        <x:v>RAW-V06</x:v>
      </x:c>
      <x:c r="C12" t="str">
        <x:v>AM-00</x:v>
      </x:c>
      <x:c r="D12" t="str">
        <x:v>QT-06</x:v>
      </x:c>
      <x:c r="E12" t="str">
        <x:v>local grade</x:v>
      </x:c>
      <x:c r="F12" s="14" t="n">
        <x:v>0.01</x:v>
      </x:c>
      <x:c r="G12" s="14" t="n">
        <x:v>0.0005</x:v>
      </x:c>
      <x:c r="H12" s="14" t="str">
        <x:v>ratio</x:v>
      </x:c>
      <x:c r="I12" s="10" t="str">
        <x:v>another campus reconstructs truth and decision from portable originals</x:v>
      </x:c>
      <x:c r="J12" t="str"/>
      <x:c r="K12" t="str">
        <x:v>OPEN</x:v>
      </x:c>
    </x:row>
    <x:row r="13" ht="42" customHeight="1">
      <x:c r="B13" t="str">
        <x:v>RAW-V07</x:v>
      </x:c>
      <x:c r="C13" t="str">
        <x:v>AM-01</x:v>
      </x:c>
      <x:c r="D13" t="str">
        <x:v>QT-01</x:v>
      </x:c>
      <x:c r="E13" t="str">
        <x:v>accounted water volume</x:v>
      </x:c>
      <x:c r="F13" s="14" t="n">
        <x:v>10</x:v>
      </x:c>
      <x:c r="G13" s="14" t="n">
        <x:v>0.025</x:v>
      </x:c>
      <x:c r="H13" s="14" t="str">
        <x:v>m3</x:v>
      </x:c>
      <x:c r="I13" s="10" t="str">
        <x:v>clean nominal state and zero response</x:v>
      </x:c>
      <x:c r="J13" t="str"/>
      <x:c r="K13" t="str">
        <x:v>OPEN</x:v>
      </x:c>
    </x:row>
    <x:row r="14" ht="42" customHeight="1">
      <x:c r="B14" t="str">
        <x:v>RAW-V08</x:v>
      </x:c>
      <x:c r="C14" t="str">
        <x:v>AM-01</x:v>
      </x:c>
      <x:c r="D14" t="str">
        <x:v>QT-02</x:v>
      </x:c>
      <x:c r="E14" t="str">
        <x:v>accounted water volume</x:v>
      </x:c>
      <x:c r="F14" s="14" t="n">
        <x:v>5</x:v>
      </x:c>
      <x:c r="G14" s="14" t="n">
        <x:v>0.025</x:v>
      </x:c>
      <x:c r="H14" s="14" t="str">
        <x:v>m3</x:v>
      </x:c>
      <x:c r="I14" s="10" t="str">
        <x:v>registered low physical state</x:v>
      </x:c>
      <x:c r="J14" t="str"/>
      <x:c r="K14" t="str">
        <x:v>OPEN</x:v>
      </x:c>
    </x:row>
    <x:row r="15" ht="42" customHeight="1">
      <x:c r="B15" t="str">
        <x:v>RAW-V09</x:v>
      </x:c>
      <x:c r="C15" t="str">
        <x:v>AM-01</x:v>
      </x:c>
      <x:c r="D15" t="str">
        <x:v>QT-03</x:v>
      </x:c>
      <x:c r="E15" t="str">
        <x:v>accounted water volume</x:v>
      </x:c>
      <x:c r="F15" s="14" t="n">
        <x:v>30</x:v>
      </x:c>
      <x:c r="G15" s="14" t="n">
        <x:v>0.075</x:v>
      </x:c>
      <x:c r="H15" s="14" t="str">
        <x:v>m3</x:v>
      </x:c>
      <x:c r="I15" s="10" t="str">
        <x:v>registered high physical state</x:v>
      </x:c>
      <x:c r="J15" t="str"/>
      <x:c r="K15" t="str">
        <x:v>OPEN</x:v>
      </x:c>
    </x:row>
    <x:row r="16" ht="42" customHeight="1">
      <x:c r="B16" t="str">
        <x:v>RAW-V10</x:v>
      </x:c>
      <x:c r="C16" t="str">
        <x:v>AM-01</x:v>
      </x:c>
      <x:c r="D16" t="str">
        <x:v>QT-04</x:v>
      </x:c>
      <x:c r="E16" t="str">
        <x:v>accounted water volume</x:v>
      </x:c>
      <x:c r="F16" s="14" t="n">
        <x:v>17.5</x:v>
      </x:c>
      <x:c r="G16" s="14" t="n">
        <x:v>0.05</x:v>
      </x:c>
      <x:c r="H16" s="14" t="str">
        <x:v>m3</x:v>
      </x:c>
      <x:c r="I16" s="10" t="str">
        <x:v>sealed state with candidate and local operator blind</x:v>
      </x:c>
      <x:c r="J16" t="str"/>
      <x:c r="K16" t="str">
        <x:v>OPEN</x:v>
      </x:c>
    </x:row>
    <x:row r="17" ht="42" customHeight="1">
      <x:c r="B17" t="str">
        <x:v>RAW-V11</x:v>
      </x:c>
      <x:c r="C17" t="str">
        <x:v>AM-01</x:v>
      </x:c>
      <x:c r="D17" t="str">
        <x:v>QT-05</x:v>
      </x:c>
      <x:c r="E17" t="str">
        <x:v>accounted water volume</x:v>
      </x:c>
      <x:c r="F17" s="14" t="n">
        <x:v>20</x:v>
      </x:c>
      <x:c r="G17" s="14" t="n">
        <x:v>0.05</x:v>
      </x:c>
      <x:c r="H17" s="14" t="str">
        <x:v>m3</x:v>
      </x:c>
      <x:c r="I17" s="10" t="str">
        <x:v>one decisive chain absent while unlike witness remains</x:v>
      </x:c>
      <x:c r="J17" t="str"/>
      <x:c r="K17" t="str">
        <x:v>OPEN</x:v>
      </x:c>
    </x:row>
    <x:row r="18" ht="42" customHeight="1">
      <x:c r="B18" t="str">
        <x:v>RAW-V12</x:v>
      </x:c>
      <x:c r="C18" t="str">
        <x:v>AM-01</x:v>
      </x:c>
      <x:c r="D18" t="str">
        <x:v>QT-06</x:v>
      </x:c>
      <x:c r="E18" t="str">
        <x:v>accounted water volume</x:v>
      </x:c>
      <x:c r="F18" s="14" t="n">
        <x:v>15</x:v>
      </x:c>
      <x:c r="G18" s="14" t="n">
        <x:v>0.05</x:v>
      </x:c>
      <x:c r="H18" s="14" t="str">
        <x:v>m3</x:v>
      </x:c>
      <x:c r="I18" s="10" t="str">
        <x:v>another campus reconstructs truth and decision from portable originals</x:v>
      </x:c>
      <x:c r="J18" t="str"/>
      <x:c r="K18" t="str">
        <x:v>OPEN</x:v>
      </x:c>
    </x:row>
    <x:row r="19" ht="42" customHeight="1">
      <x:c r="B19" t="str">
        <x:v>RAW-V13</x:v>
      </x:c>
      <x:c r="C19" t="str">
        <x:v>AM-02</x:v>
      </x:c>
      <x:c r="D19" t="str">
        <x:v>QT-01</x:v>
      </x:c>
      <x:c r="E19" t="str">
        <x:v>surrogate density</x:v>
      </x:c>
      <x:c r="F19" s="14" t="n">
        <x:v>800</x:v>
      </x:c>
      <x:c r="G19" s="14" t="n">
        <x:v>1</x:v>
      </x:c>
      <x:c r="H19" s="14" t="str">
        <x:v>kg/m3</x:v>
      </x:c>
      <x:c r="I19" s="10" t="str">
        <x:v>clean nominal state and zero response</x:v>
      </x:c>
      <x:c r="J19" t="str"/>
      <x:c r="K19" t="str">
        <x:v>OPEN</x:v>
      </x:c>
    </x:row>
    <x:row r="20" ht="42" customHeight="1">
      <x:c r="B20" t="str">
        <x:v>RAW-V14</x:v>
      </x:c>
      <x:c r="C20" t="str">
        <x:v>AM-02</x:v>
      </x:c>
      <x:c r="D20" t="str">
        <x:v>QT-02</x:v>
      </x:c>
      <x:c r="E20" t="str">
        <x:v>surrogate density</x:v>
      </x:c>
      <x:c r="F20" s="14" t="n">
        <x:v>750</x:v>
      </x:c>
      <x:c r="G20" s="14" t="n">
        <x:v>1</x:v>
      </x:c>
      <x:c r="H20" s="14" t="str">
        <x:v>kg/m3</x:v>
      </x:c>
      <x:c r="I20" s="10" t="str">
        <x:v>registered low physical state</x:v>
      </x:c>
      <x:c r="J20" t="str"/>
      <x:c r="K20" t="str">
        <x:v>OPEN</x:v>
      </x:c>
    </x:row>
    <x:row r="21" ht="42" customHeight="1">
      <x:c r="B21" t="str">
        <x:v>RAW-V15</x:v>
      </x:c>
      <x:c r="C21" t="str">
        <x:v>AM-02</x:v>
      </x:c>
      <x:c r="D21" t="str">
        <x:v>QT-03</x:v>
      </x:c>
      <x:c r="E21" t="str">
        <x:v>surrogate density</x:v>
      </x:c>
      <x:c r="F21" s="14" t="n">
        <x:v>950</x:v>
      </x:c>
      <x:c r="G21" s="14" t="n">
        <x:v>2</x:v>
      </x:c>
      <x:c r="H21" s="14" t="str">
        <x:v>kg/m3</x:v>
      </x:c>
      <x:c r="I21" s="10" t="str">
        <x:v>registered high physical state</x:v>
      </x:c>
      <x:c r="J21" t="str"/>
      <x:c r="K21" t="str">
        <x:v>OPEN</x:v>
      </x:c>
    </x:row>
    <x:row r="22" ht="42" customHeight="1">
      <x:c r="B22" t="str">
        <x:v>RAW-V16</x:v>
      </x:c>
      <x:c r="C22" t="str">
        <x:v>AM-02</x:v>
      </x:c>
      <x:c r="D22" t="str">
        <x:v>QT-04</x:v>
      </x:c>
      <x:c r="E22" t="str">
        <x:v>surrogate density</x:v>
      </x:c>
      <x:c r="F22" s="14" t="n">
        <x:v>850</x:v>
      </x:c>
      <x:c r="G22" s="14" t="n">
        <x:v>1.5</x:v>
      </x:c>
      <x:c r="H22" s="14" t="str">
        <x:v>kg/m3</x:v>
      </x:c>
      <x:c r="I22" s="10" t="str">
        <x:v>sealed state with candidate and local operator blind</x:v>
      </x:c>
      <x:c r="J22" t="str"/>
      <x:c r="K22" t="str">
        <x:v>OPEN</x:v>
      </x:c>
    </x:row>
    <x:row r="23" ht="42" customHeight="1">
      <x:c r="B23" t="str">
        <x:v>RAW-V17</x:v>
      </x:c>
      <x:c r="C23" t="str">
        <x:v>AM-02</x:v>
      </x:c>
      <x:c r="D23" t="str">
        <x:v>QT-05</x:v>
      </x:c>
      <x:c r="E23" t="str">
        <x:v>surrogate density</x:v>
      </x:c>
      <x:c r="F23" s="14" t="n">
        <x:v>900</x:v>
      </x:c>
      <x:c r="G23" s="14" t="n">
        <x:v>2</x:v>
      </x:c>
      <x:c r="H23" s="14" t="str">
        <x:v>kg/m3</x:v>
      </x:c>
      <x:c r="I23" s="10" t="str">
        <x:v>one decisive chain absent while unlike witness remains</x:v>
      </x:c>
      <x:c r="J23" t="str"/>
      <x:c r="K23" t="str">
        <x:v>OPEN</x:v>
      </x:c>
    </x:row>
    <x:row r="24" ht="42" customHeight="1">
      <x:c r="B24" t="str">
        <x:v>RAW-V18</x:v>
      </x:c>
      <x:c r="C24" t="str">
        <x:v>AM-02</x:v>
      </x:c>
      <x:c r="D24" t="str">
        <x:v>QT-06</x:v>
      </x:c>
      <x:c r="E24" t="str">
        <x:v>surrogate density</x:v>
      </x:c>
      <x:c r="F24" s="14" t="n">
        <x:v>825</x:v>
      </x:c>
      <x:c r="G24" s="14" t="n">
        <x:v>1.5</x:v>
      </x:c>
      <x:c r="H24" s="14" t="str">
        <x:v>kg/m3</x:v>
      </x:c>
      <x:c r="I24" s="10" t="str">
        <x:v>another campus reconstructs truth and decision from portable originals</x:v>
      </x:c>
      <x:c r="J24" t="str"/>
      <x:c r="K24" t="str">
        <x:v>OPEN</x:v>
      </x:c>
    </x:row>
    <x:row r="25" ht="42" customHeight="1">
      <x:c r="B25" t="str">
        <x:v>RAW-V19</x:v>
      </x:c>
      <x:c r="C25" t="str">
        <x:v>AM-03</x:v>
      </x:c>
      <x:c r="D25" t="str">
        <x:v>QT-01</x:v>
      </x:c>
      <x:c r="E25" t="str">
        <x:v>blocked-area fraction</x:v>
      </x:c>
      <x:c r="F25" s="14" t="n">
        <x:v>0</x:v>
      </x:c>
      <x:c r="G25" s="14" t="n">
        <x:v>0.005</x:v>
      </x:c>
      <x:c r="H25" s="14" t="str">
        <x:v>ratio</x:v>
      </x:c>
      <x:c r="I25" s="10" t="str">
        <x:v>clean nominal state and zero response</x:v>
      </x:c>
      <x:c r="J25" t="str"/>
      <x:c r="K25" t="str">
        <x:v>OPEN</x:v>
      </x:c>
    </x:row>
    <x:row r="26" ht="42" customHeight="1">
      <x:c r="B26" t="str">
        <x:v>RAW-V20</x:v>
      </x:c>
      <x:c r="C26" t="str">
        <x:v>AM-03</x:v>
      </x:c>
      <x:c r="D26" t="str">
        <x:v>QT-02</x:v>
      </x:c>
      <x:c r="E26" t="str">
        <x:v>blocked-area fraction</x:v>
      </x:c>
      <x:c r="F26" s="14" t="n">
        <x:v>0.1</x:v>
      </x:c>
      <x:c r="G26" s="14" t="n">
        <x:v>0.005</x:v>
      </x:c>
      <x:c r="H26" s="14" t="str">
        <x:v>ratio</x:v>
      </x:c>
      <x:c r="I26" s="10" t="str">
        <x:v>registered low physical state</x:v>
      </x:c>
      <x:c r="J26" t="str"/>
      <x:c r="K26" t="str">
        <x:v>OPEN</x:v>
      </x:c>
    </x:row>
    <x:row r="27" ht="42" customHeight="1">
      <x:c r="B27" t="str">
        <x:v>RAW-V21</x:v>
      </x:c>
      <x:c r="C27" t="str">
        <x:v>AM-03</x:v>
      </x:c>
      <x:c r="D27" t="str">
        <x:v>QT-03</x:v>
      </x:c>
      <x:c r="E27" t="str">
        <x:v>blocked-area fraction</x:v>
      </x:c>
      <x:c r="F27" s="14" t="n">
        <x:v>0.5</x:v>
      </x:c>
      <x:c r="G27" s="14" t="n">
        <x:v>0.01</x:v>
      </x:c>
      <x:c r="H27" s="14" t="str">
        <x:v>ratio</x:v>
      </x:c>
      <x:c r="I27" s="10" t="str">
        <x:v>registered high physical state</x:v>
      </x:c>
      <x:c r="J27" t="str"/>
      <x:c r="K27" t="str">
        <x:v>OPEN</x:v>
      </x:c>
    </x:row>
    <x:row r="28" ht="42" customHeight="1">
      <x:c r="B28" t="str">
        <x:v>RAW-V22</x:v>
      </x:c>
      <x:c r="C28" t="str">
        <x:v>AM-03</x:v>
      </x:c>
      <x:c r="D28" t="str">
        <x:v>QT-04</x:v>
      </x:c>
      <x:c r="E28" t="str">
        <x:v>blocked-area fraction</x:v>
      </x:c>
      <x:c r="F28" s="14" t="n">
        <x:v>0.25</x:v>
      </x:c>
      <x:c r="G28" s="14" t="n">
        <x:v>0.005</x:v>
      </x:c>
      <x:c r="H28" s="14" t="str">
        <x:v>ratio</x:v>
      </x:c>
      <x:c r="I28" s="10" t="str">
        <x:v>sealed state with candidate and local operator blind</x:v>
      </x:c>
      <x:c r="J28" t="str"/>
      <x:c r="K28" t="str">
        <x:v>OPEN</x:v>
      </x:c>
    </x:row>
    <x:row r="29" ht="42" customHeight="1">
      <x:c r="B29" t="str">
        <x:v>RAW-V23</x:v>
      </x:c>
      <x:c r="C29" t="str">
        <x:v>AM-03</x:v>
      </x:c>
      <x:c r="D29" t="str">
        <x:v>QT-05</x:v>
      </x:c>
      <x:c r="E29" t="str">
        <x:v>blocked-area fraction</x:v>
      </x:c>
      <x:c r="F29" s="14" t="n">
        <x:v>0.35</x:v>
      </x:c>
      <x:c r="G29" s="14" t="n">
        <x:v>0.01</x:v>
      </x:c>
      <x:c r="H29" s="14" t="str">
        <x:v>ratio</x:v>
      </x:c>
      <x:c r="I29" s="10" t="str">
        <x:v>one decisive chain absent while unlike witness remains</x:v>
      </x:c>
      <x:c r="J29" t="str"/>
      <x:c r="K29" t="str">
        <x:v>OPEN</x:v>
      </x:c>
    </x:row>
    <x:row r="30" ht="42" customHeight="1">
      <x:c r="B30" t="str">
        <x:v>RAW-V24</x:v>
      </x:c>
      <x:c r="C30" t="str">
        <x:v>AM-03</x:v>
      </x:c>
      <x:c r="D30" t="str">
        <x:v>QT-06</x:v>
      </x:c>
      <x:c r="E30" t="str">
        <x:v>blocked-area fraction</x:v>
      </x:c>
      <x:c r="F30" s="14" t="n">
        <x:v>0.2</x:v>
      </x:c>
      <x:c r="G30" s="14" t="n">
        <x:v>0.005</x:v>
      </x:c>
      <x:c r="H30" s="14" t="str">
        <x:v>ratio</x:v>
      </x:c>
      <x:c r="I30" s="10" t="str">
        <x:v>another campus reconstructs truth and decision from portable originals</x:v>
      </x:c>
      <x:c r="J30" t="str"/>
      <x:c r="K30" t="str">
        <x:v>OPEN</x:v>
      </x:c>
    </x:row>
    <x:row r="31" ht="42" customHeight="1">
      <x:c r="B31" t="str">
        <x:v>RAW-V25</x:v>
      </x:c>
      <x:c r="C31" t="str">
        <x:v>AM-04</x:v>
      </x:c>
      <x:c r="D31" t="str">
        <x:v>QT-01</x:v>
      </x:c>
      <x:c r="E31" t="str">
        <x:v>source-code mixture fraction</x:v>
      </x:c>
      <x:c r="F31" s="14" t="n">
        <x:v>0.5</x:v>
      </x:c>
      <x:c r="G31" s="14" t="n">
        <x:v>0.005</x:v>
      </x:c>
      <x:c r="H31" s="14" t="str">
        <x:v>ratio</x:v>
      </x:c>
      <x:c r="I31" s="10" t="str">
        <x:v>clean nominal state and zero response</x:v>
      </x:c>
      <x:c r="J31" t="str"/>
      <x:c r="K31" t="str">
        <x:v>OPEN</x:v>
      </x:c>
    </x:row>
    <x:row r="32" ht="42" customHeight="1">
      <x:c r="B32" t="str">
        <x:v>RAW-V26</x:v>
      </x:c>
      <x:c r="C32" t="str">
        <x:v>AM-04</x:v>
      </x:c>
      <x:c r="D32" t="str">
        <x:v>QT-02</x:v>
      </x:c>
      <x:c r="E32" t="str">
        <x:v>source-code mixture fraction</x:v>
      </x:c>
      <x:c r="F32" s="14" t="n">
        <x:v>0.05</x:v>
      </x:c>
      <x:c r="G32" s="14" t="n">
        <x:v>0.002</x:v>
      </x:c>
      <x:c r="H32" s="14" t="str">
        <x:v>ratio</x:v>
      </x:c>
      <x:c r="I32" s="10" t="str">
        <x:v>registered low physical state</x:v>
      </x:c>
      <x:c r="J32" t="str"/>
      <x:c r="K32" t="str">
        <x:v>OPEN</x:v>
      </x:c>
    </x:row>
    <x:row r="33" ht="42" customHeight="1">
      <x:c r="B33" t="str">
        <x:v>RAW-V27</x:v>
      </x:c>
      <x:c r="C33" t="str">
        <x:v>AM-04</x:v>
      </x:c>
      <x:c r="D33" t="str">
        <x:v>QT-03</x:v>
      </x:c>
      <x:c r="E33" t="str">
        <x:v>source-code mixture fraction</x:v>
      </x:c>
      <x:c r="F33" s="14" t="n">
        <x:v>0.95</x:v>
      </x:c>
      <x:c r="G33" s="14" t="n">
        <x:v>0.005</x:v>
      </x:c>
      <x:c r="H33" s="14" t="str">
        <x:v>ratio</x:v>
      </x:c>
      <x:c r="I33" s="10" t="str">
        <x:v>registered high physical state</x:v>
      </x:c>
      <x:c r="J33" t="str"/>
      <x:c r="K33" t="str">
        <x:v>OPEN</x:v>
      </x:c>
    </x:row>
    <x:row r="34" ht="42" customHeight="1">
      <x:c r="B34" t="str">
        <x:v>RAW-V28</x:v>
      </x:c>
      <x:c r="C34" t="str">
        <x:v>AM-04</x:v>
      </x:c>
      <x:c r="D34" t="str">
        <x:v>QT-04</x:v>
      </x:c>
      <x:c r="E34" t="str">
        <x:v>source-code mixture fraction</x:v>
      </x:c>
      <x:c r="F34" s="14" t="n">
        <x:v>0.35</x:v>
      </x:c>
      <x:c r="G34" s="14" t="n">
        <x:v>0.005</x:v>
      </x:c>
      <x:c r="H34" s="14" t="str">
        <x:v>ratio</x:v>
      </x:c>
      <x:c r="I34" s="10" t="str">
        <x:v>sealed state with candidate and local operator blind</x:v>
      </x:c>
      <x:c r="J34" t="str"/>
      <x:c r="K34" t="str">
        <x:v>OPEN</x:v>
      </x:c>
    </x:row>
    <x:row r="35" ht="42" customHeight="1">
      <x:c r="B35" t="str">
        <x:v>RAW-V29</x:v>
      </x:c>
      <x:c r="C35" t="str">
        <x:v>AM-04</x:v>
      </x:c>
      <x:c r="D35" t="str">
        <x:v>QT-05</x:v>
      </x:c>
      <x:c r="E35" t="str">
        <x:v>source-code mixture fraction</x:v>
      </x:c>
      <x:c r="F35" s="14" t="n">
        <x:v>0.65</x:v>
      </x:c>
      <x:c r="G35" s="14" t="n">
        <x:v>0.01</x:v>
      </x:c>
      <x:c r="H35" s="14" t="str">
        <x:v>ratio</x:v>
      </x:c>
      <x:c r="I35" s="10" t="str">
        <x:v>one decisive chain absent while unlike witness remains</x:v>
      </x:c>
      <x:c r="J35" t="str"/>
      <x:c r="K35" t="str">
        <x:v>OPEN</x:v>
      </x:c>
    </x:row>
    <x:row r="36" ht="42" customHeight="1">
      <x:c r="B36" t="str">
        <x:v>RAW-V30</x:v>
      </x:c>
      <x:c r="C36" t="str">
        <x:v>AM-04</x:v>
      </x:c>
      <x:c r="D36" t="str">
        <x:v>QT-06</x:v>
      </x:c>
      <x:c r="E36" t="str">
        <x:v>source-code mixture fraction</x:v>
      </x:c>
      <x:c r="F36" s="14" t="n">
        <x:v>0.8</x:v>
      </x:c>
      <x:c r="G36" s="14" t="n">
        <x:v>0.005</x:v>
      </x:c>
      <x:c r="H36" s="14" t="str">
        <x:v>ratio</x:v>
      </x:c>
      <x:c r="I36" s="10" t="str">
        <x:v>another campus reconstructs truth and decision from portable originals</x:v>
      </x:c>
      <x:c r="J36" t="str"/>
      <x:c r="K36" t="str">
        <x:v>OPEN</x:v>
      </x:c>
    </x:row>
  </x:sheetData>
  <x:conditionalFormatting sqref="K7:K36">
    <x:cfRule type="containsText" dxfId="24" priority="1" operator="containsText" text="FAIL"/>
    <x:cfRule type="containsText" dxfId="25" priority="2" operator="containsText" text="INVALID"/>
    <x:cfRule type="containsText" dxfId="26" priority="3" operator="containsText" text="BLOCKED"/>
    <x:cfRule type="containsText" dxfId="27" priority="4" operator="containsText" text="OPEN"/>
    <x:cfRule type="containsText" dxfId="28" priority="5" operator="containsText" text="GAP"/>
    <x:cfRule type="containsText" dxfId="29" priority="6" operator="containsText" text="DORMANT"/>
    <x:cfRule type="containsText" dxfId="30" priority="7" operator="containsText" text="PASS"/>
    <x:cfRule type="containsText" dxfId="31" priority="8" operator="containsText" text="VALI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20" hidden="0" customWidth="1"/>
    <x:col min="12" max="12" width="15" hidden="0" customWidth="1"/>
    <x:col min="13" max="13" width="14" hidden="0" customWidth="1"/>
    <x:col min="14" max="14" width="12" hidden="0" customWidth="1"/>
    <x:col min="15" max="15" width="18" hidden="0" customWidth="1"/>
    <x:col min="16" max="16" width="21" hidden="0" customWidth="1"/>
    <x:col min="17" max="17" width="21" hidden="0" customWidth="1"/>
    <x:col min="18" max="18" width="15" hidden="0" customWidth="1"/>
    <x:col min="19" max="19" width="20" hidden="0" customWidth="1"/>
    <x:col min="20" max="20" width="23" hidden="0" customWidth="1"/>
    <x:col min="21" max="21" width="28" hidden="0" customWidth="1"/>
    <x:col min="22" max="22" width="18" hidden="0" customWidth="1"/>
    <x:col min="23" max="23" width="14" hidden="0" customWidth="1"/>
  </x:cols>
  <x:sheetData>
    <x:row r="2">
      <x:c r="B2" s="1" t="str">
        <x:v>Three hundred sixty required valid qualification credits</x:v>
      </x:c>
    </x:row>
    <x:row r="3">
      <x:c r="B3" s="2" t="str">
        <x:v>Five methods cross two truth roots, six rigs and six trial classes. Physical fields remain blank.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Trial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Campus</x:v>
      </x:c>
      <x:c r="G6" s="7" t="str">
        <x:v>Class</x:v>
      </x:c>
      <x:c r="H6" s="7" t="str">
        <x:v>Envelope</x:v>
      </x:c>
      <x:c r="I6" s="7" t="str">
        <x:v>Article</x:v>
      </x:c>
      <x:c r="J6" s="7" t="str">
        <x:v>Blindness</x:v>
      </x:c>
      <x:c r="K6" s="7" t="str">
        <x:v>Denial</x:v>
      </x:c>
      <x:c r="L6" s="7" t="str">
        <x:v>Replay site</x:v>
      </x:c>
      <x:c r="M6" s="7" t="str">
        <x:v>Rig-days</x:v>
      </x:c>
      <x:c r="N6" s="7" t="str">
        <x:v>Order</x:v>
      </x:c>
      <x:c r="O6" s="7" t="str">
        <x:v>Assigned date</x:v>
      </x:c>
      <x:c r="P6" s="7" t="str">
        <x:v>Executed UTC</x:v>
      </x:c>
      <x:c r="Q6" s="7" t="str">
        <x:v>Packet UTC</x:v>
      </x:c>
      <x:c r="R6" s="7" t="str">
        <x:v>Validity</x:v>
      </x:c>
      <x:c r="S6" s="7" t="str">
        <x:v>Reported value</x:v>
      </x:c>
      <x:c r="T6" s="7" t="str">
        <x:v>Expanded uncertainty</x:v>
      </x:c>
      <x:c r="U6" s="7" t="str">
        <x:v>Finding</x:v>
      </x:c>
      <x:c r="V6" s="7" t="str">
        <x:v>Credit accepted</x:v>
      </x:c>
      <x:c r="W6" s="7" t="str">
        <x:v>State</x:v>
      </x:c>
    </x:row>
    <x:row r="7" ht="36" customHeight="1">
      <x:c r="B7" t="str">
        <x:v>RAW-E001</x:v>
      </x:c>
      <x:c r="C7" t="str">
        <x:v>AM-00</x:v>
      </x:c>
      <x:c r="D7" t="str">
        <x:v>TR-A</x:v>
      </x:c>
      <x:c r="E7" t="str">
        <x:v>RFP-A1</x:v>
      </x:c>
      <x:c r="F7" t="str">
        <x:v>PTC-A</x:v>
      </x:c>
      <x:c r="G7" t="str">
        <x:v>QT-01</x:v>
      </x:c>
      <x:c r="H7" t="str">
        <x:v>RAW-V01</x:v>
      </x:c>
      <x:c r="I7" t="str">
        <x:v>RAW-A001</x:v>
      </x:c>
      <x:c r="J7" t="str">
        <x:v>DISCLOSED</x:v>
      </x:c>
      <x:c r="K7" t="str">
        <x:v>NONE</x:v>
      </x:c>
      <x:c r="L7" t="str">
        <x:v>n.a.</x:v>
      </x:c>
      <x:c r="M7" s="14" t="n">
        <x:v>2</x:v>
      </x:c>
      <x:c r="N7" s="14" t="n">
        <x:v>1</x:v>
      </x:c>
      <x:c r="O7" s="14" t="str"/>
      <x:c r="P7" s="14" t="str"/>
      <x:c r="Q7" s="14" t="str"/>
      <x:c r="R7" s="14" t="str"/>
      <x:c r="S7" s="14" t="str"/>
      <x:c r="T7" s="14" t="str"/>
      <x:c r="U7" s="10" t="str"/>
      <x:c r="V7" t="str"/>
      <x:c r="W7" t="str">
        <x:f>IF(V7=1,IF(R7="VALID","PASS",IF(R7="INVALID","INVALID","OPEN")),"OPEN")</x:f>
        <x:v>OPEN</x:v>
      </x:c>
    </x:row>
    <x:row r="8" ht="36" customHeight="1">
      <x:c r="B8" t="str">
        <x:v>RAW-E002</x:v>
      </x:c>
      <x:c r="C8" t="str">
        <x:v>AM-00</x:v>
      </x:c>
      <x:c r="D8" t="str">
        <x:v>TR-A</x:v>
      </x:c>
      <x:c r="E8" t="str">
        <x:v>RFP-A1</x:v>
      </x:c>
      <x:c r="F8" t="str">
        <x:v>PTC-A</x:v>
      </x:c>
      <x:c r="G8" t="str">
        <x:v>QT-02</x:v>
      </x:c>
      <x:c r="H8" t="str">
        <x:v>RAW-V02</x:v>
      </x:c>
      <x:c r="I8" t="str">
        <x:v>RAW-A001</x:v>
      </x:c>
      <x:c r="J8" t="str">
        <x:v>DISCLOSED</x:v>
      </x:c>
      <x:c r="K8" t="str">
        <x:v>NONE</x:v>
      </x:c>
      <x:c r="L8" t="str">
        <x:v>n.a.</x:v>
      </x:c>
      <x:c r="M8" s="14" t="n">
        <x:v>2</x:v>
      </x:c>
      <x:c r="N8" s="14" t="n">
        <x:v>3</x:v>
      </x:c>
      <x:c r="O8" s="14" t="str"/>
      <x:c r="P8" s="14" t="str"/>
      <x:c r="Q8" s="14" t="str"/>
      <x:c r="R8" s="14" t="str"/>
      <x:c r="S8" s="14" t="str"/>
      <x:c r="T8" s="14" t="str"/>
      <x:c r="U8" s="10" t="str"/>
      <x:c r="V8" t="str"/>
      <x:c r="W8" t="str">
        <x:f>IF(V8=1,IF(R8="VALID","PASS",IF(R8="INVALID","INVALID","OPEN")),"OPEN")</x:f>
        <x:v>OPEN</x:v>
      </x:c>
    </x:row>
    <x:row r="9" ht="36" customHeight="1">
      <x:c r="B9" t="str">
        <x:v>RAW-E003</x:v>
      </x:c>
      <x:c r="C9" t="str">
        <x:v>AM-00</x:v>
      </x:c>
      <x:c r="D9" t="str">
        <x:v>TR-A</x:v>
      </x:c>
      <x:c r="E9" t="str">
        <x:v>RFP-A1</x:v>
      </x:c>
      <x:c r="F9" t="str">
        <x:v>PTC-A</x:v>
      </x:c>
      <x:c r="G9" t="str">
        <x:v>QT-03</x:v>
      </x:c>
      <x:c r="H9" t="str">
        <x:v>RAW-V03</x:v>
      </x:c>
      <x:c r="I9" t="str">
        <x:v>RAW-A001</x:v>
      </x:c>
      <x:c r="J9" t="str">
        <x:v>DISCLOSED</x:v>
      </x:c>
      <x:c r="K9" t="str">
        <x:v>NONE</x:v>
      </x:c>
      <x:c r="L9" t="str">
        <x:v>n.a.</x:v>
      </x:c>
      <x:c r="M9" s="14" t="n">
        <x:v>2</x:v>
      </x:c>
      <x:c r="N9" s="14" t="n">
        <x:v>5</x:v>
      </x:c>
      <x:c r="O9" s="14" t="str"/>
      <x:c r="P9" s="14" t="str"/>
      <x:c r="Q9" s="14" t="str"/>
      <x:c r="R9" s="14" t="str"/>
      <x:c r="S9" s="14" t="str"/>
      <x:c r="T9" s="14" t="str"/>
      <x:c r="U9" s="10" t="str"/>
      <x:c r="V9" t="str"/>
      <x:c r="W9" t="str">
        <x:f>IF(V9=1,IF(R9="VALID","PASS",IF(R9="INVALID","INVALID","OPEN")),"OPEN")</x:f>
        <x:v>OPEN</x:v>
      </x:c>
    </x:row>
    <x:row r="10" ht="36" customHeight="1">
      <x:c r="B10" t="str">
        <x:v>RAW-E004</x:v>
      </x:c>
      <x:c r="C10" t="str">
        <x:v>AM-00</x:v>
      </x:c>
      <x:c r="D10" t="str">
        <x:v>TR-A</x:v>
      </x:c>
      <x:c r="E10" t="str">
        <x:v>RFP-A1</x:v>
      </x:c>
      <x:c r="F10" t="str">
        <x:v>PTC-A</x:v>
      </x:c>
      <x:c r="G10" t="str">
        <x:v>QT-04</x:v>
      </x:c>
      <x:c r="H10" t="str">
        <x:v>RAW-V04</x:v>
      </x:c>
      <x:c r="I10" t="str">
        <x:v>RAW-A001</x:v>
      </x:c>
      <x:c r="J10" t="str">
        <x:v>BLIND</x:v>
      </x:c>
      <x:c r="K10" t="str">
        <x:v>NONE</x:v>
      </x:c>
      <x:c r="L10" t="str">
        <x:v>n.a.</x:v>
      </x:c>
      <x:c r="M10" s="14" t="n">
        <x:v>3</x:v>
      </x:c>
      <x:c r="N10" s="14" t="n">
        <x:v>7</x:v>
      </x:c>
      <x:c r="O10" s="14" t="str"/>
      <x:c r="P10" s="14" t="str"/>
      <x:c r="Q10" s="14" t="str"/>
      <x:c r="R10" s="14" t="str"/>
      <x:c r="S10" s="14" t="str"/>
      <x:c r="T10" s="14" t="str"/>
      <x:c r="U10" s="10" t="str"/>
      <x:c r="V10" t="str"/>
      <x:c r="W10" t="str">
        <x:f>IF(V10=1,IF(R10="VALID","PASS",IF(R10="INVALID","INVALID","OPEN")),"OPEN")</x:f>
        <x:v>OPEN</x:v>
      </x:c>
    </x:row>
    <x:row r="11" ht="36" customHeight="1">
      <x:c r="B11" t="str">
        <x:v>RAW-E005</x:v>
      </x:c>
      <x:c r="C11" t="str">
        <x:v>AM-00</x:v>
      </x:c>
      <x:c r="D11" t="str">
        <x:v>TR-A</x:v>
      </x:c>
      <x:c r="E11" t="str">
        <x:v>RFP-A1</x:v>
      </x:c>
      <x:c r="F11" t="str">
        <x:v>PTC-A</x:v>
      </x:c>
      <x:c r="G11" t="str">
        <x:v>QT-05</x:v>
      </x:c>
      <x:c r="H11" t="str">
        <x:v>RAW-V05</x:v>
      </x:c>
      <x:c r="I11" t="str">
        <x:v>RAW-A001</x:v>
      </x:c>
      <x:c r="J11" t="str">
        <x:v>BLIND</x:v>
      </x:c>
      <x:c r="K11" t="str">
        <x:v>DECISIVE CHAIN</x:v>
      </x:c>
      <x:c r="L11" t="str">
        <x:v>n.a.</x:v>
      </x:c>
      <x:c r="M11" s="14" t="n">
        <x:v>3</x:v>
      </x:c>
      <x:c r="N11" s="14" t="n">
        <x:v>9</x:v>
      </x:c>
      <x:c r="O11" s="14" t="str"/>
      <x:c r="P11" s="14" t="str"/>
      <x:c r="Q11" s="14" t="str"/>
      <x:c r="R11" s="14" t="str"/>
      <x:c r="S11" s="14" t="str"/>
      <x:c r="T11" s="14" t="str"/>
      <x:c r="U11" s="10" t="str"/>
      <x:c r="V11" t="str"/>
      <x:c r="W11" t="str">
        <x:f>IF(V11=1,IF(R11="VALID","PASS",IF(R11="INVALID","INVALID","OPEN")),"OPEN")</x:f>
        <x:v>OPEN</x:v>
      </x:c>
    </x:row>
    <x:row r="12" ht="36" customHeight="1">
      <x:c r="B12" t="str">
        <x:v>RAW-E006</x:v>
      </x:c>
      <x:c r="C12" t="str">
        <x:v>AM-00</x:v>
      </x:c>
      <x:c r="D12" t="str">
        <x:v>TR-A</x:v>
      </x:c>
      <x:c r="E12" t="str">
        <x:v>RFP-A1</x:v>
      </x:c>
      <x:c r="F12" t="str">
        <x:v>PTC-A</x:v>
      </x:c>
      <x:c r="G12" t="str">
        <x:v>QT-06</x:v>
      </x:c>
      <x:c r="H12" t="str">
        <x:v>RAW-V06</x:v>
      </x:c>
      <x:c r="I12" t="str">
        <x:v>RAW-A001</x:v>
      </x:c>
      <x:c r="J12" t="str">
        <x:v>DISCLOSED</x:v>
      </x:c>
      <x:c r="K12" t="str">
        <x:v>NONE</x:v>
      </x:c>
      <x:c r="L12" t="str">
        <x:v>PTC-B</x:v>
      </x:c>
      <x:c r="M12" s="14" t="n">
        <x:v>4</x:v>
      </x:c>
      <x:c r="N12" s="14" t="n">
        <x:v>11</x:v>
      </x:c>
      <x:c r="O12" s="14" t="str"/>
      <x:c r="P12" s="14" t="str"/>
      <x:c r="Q12" s="14" t="str"/>
      <x:c r="R12" s="14" t="str"/>
      <x:c r="S12" s="14" t="str"/>
      <x:c r="T12" s="14" t="str"/>
      <x:c r="U12" s="10" t="str"/>
      <x:c r="V12" t="str"/>
      <x:c r="W12" t="str">
        <x:f>IF(V12=1,IF(R12="VALID","PASS",IF(R12="INVALID","INVALID","OPEN")),"OPEN")</x:f>
        <x:v>OPEN</x:v>
      </x:c>
    </x:row>
    <x:row r="13" ht="36" customHeight="1">
      <x:c r="B13" t="str">
        <x:v>RAW-E007</x:v>
      </x:c>
      <x:c r="C13" t="str">
        <x:v>AM-00</x:v>
      </x:c>
      <x:c r="D13" t="str">
        <x:v>TR-B</x:v>
      </x:c>
      <x:c r="E13" t="str">
        <x:v>RFP-A1</x:v>
      </x:c>
      <x:c r="F13" t="str">
        <x:v>PTC-A</x:v>
      </x:c>
      <x:c r="G13" t="str">
        <x:v>QT-01</x:v>
      </x:c>
      <x:c r="H13" t="str">
        <x:v>RAW-V01</x:v>
      </x:c>
      <x:c r="I13" t="str">
        <x:v>RAW-A013</x:v>
      </x:c>
      <x:c r="J13" t="str">
        <x:v>DISCLOSED</x:v>
      </x:c>
      <x:c r="K13" t="str">
        <x:v>NONE</x:v>
      </x:c>
      <x:c r="L13" t="str">
        <x:v>n.a.</x:v>
      </x:c>
      <x:c r="M13" s="14" t="n">
        <x:v>2</x:v>
      </x:c>
      <x:c r="N13" s="14" t="n">
        <x:v>2</x:v>
      </x:c>
      <x:c r="O13" s="14" t="str"/>
      <x:c r="P13" s="14" t="str"/>
      <x:c r="Q13" s="14" t="str"/>
      <x:c r="R13" s="14" t="str"/>
      <x:c r="S13" s="14" t="str"/>
      <x:c r="T13" s="14" t="str"/>
      <x:c r="U13" s="10" t="str"/>
      <x:c r="V13" t="str"/>
      <x:c r="W13" t="str">
        <x:f>IF(V13=1,IF(R13="VALID","PASS",IF(R13="INVALID","INVALID","OPEN")),"OPEN")</x:f>
        <x:v>OPEN</x:v>
      </x:c>
    </x:row>
    <x:row r="14" ht="36" customHeight="1">
      <x:c r="B14" t="str">
        <x:v>RAW-E008</x:v>
      </x:c>
      <x:c r="C14" t="str">
        <x:v>AM-00</x:v>
      </x:c>
      <x:c r="D14" t="str">
        <x:v>TR-B</x:v>
      </x:c>
      <x:c r="E14" t="str">
        <x:v>RFP-A1</x:v>
      </x:c>
      <x:c r="F14" t="str">
        <x:v>PTC-A</x:v>
      </x:c>
      <x:c r="G14" t="str">
        <x:v>QT-02</x:v>
      </x:c>
      <x:c r="H14" t="str">
        <x:v>RAW-V02</x:v>
      </x:c>
      <x:c r="I14" t="str">
        <x:v>RAW-A013</x:v>
      </x:c>
      <x:c r="J14" t="str">
        <x:v>DISCLOSED</x:v>
      </x:c>
      <x:c r="K14" t="str">
        <x:v>NONE</x:v>
      </x:c>
      <x:c r="L14" t="str">
        <x:v>n.a.</x:v>
      </x:c>
      <x:c r="M14" s="14" t="n">
        <x:v>2</x:v>
      </x:c>
      <x:c r="N14" s="14" t="n">
        <x:v>4</x:v>
      </x:c>
      <x:c r="O14" s="14" t="str"/>
      <x:c r="P14" s="14" t="str"/>
      <x:c r="Q14" s="14" t="str"/>
      <x:c r="R14" s="14" t="str"/>
      <x:c r="S14" s="14" t="str"/>
      <x:c r="T14" s="14" t="str"/>
      <x:c r="U14" s="10" t="str"/>
      <x:c r="V14" t="str"/>
      <x:c r="W14" t="str">
        <x:f>IF(V14=1,IF(R14="VALID","PASS",IF(R14="INVALID","INVALID","OPEN")),"OPEN")</x:f>
        <x:v>OPEN</x:v>
      </x:c>
    </x:row>
    <x:row r="15" ht="36" customHeight="1">
      <x:c r="B15" t="str">
        <x:v>RAW-E009</x:v>
      </x:c>
      <x:c r="C15" t="str">
        <x:v>AM-00</x:v>
      </x:c>
      <x:c r="D15" t="str">
        <x:v>TR-B</x:v>
      </x:c>
      <x:c r="E15" t="str">
        <x:v>RFP-A1</x:v>
      </x:c>
      <x:c r="F15" t="str">
        <x:v>PTC-A</x:v>
      </x:c>
      <x:c r="G15" t="str">
        <x:v>QT-03</x:v>
      </x:c>
      <x:c r="H15" t="str">
        <x:v>RAW-V03</x:v>
      </x:c>
      <x:c r="I15" t="str">
        <x:v>RAW-A013</x:v>
      </x:c>
      <x:c r="J15" t="str">
        <x:v>DISCLOSED</x:v>
      </x:c>
      <x:c r="K15" t="str">
        <x:v>NONE</x:v>
      </x:c>
      <x:c r="L15" t="str">
        <x:v>n.a.</x:v>
      </x:c>
      <x:c r="M15" s="14" t="n">
        <x:v>2</x:v>
      </x:c>
      <x:c r="N15" s="14" t="n">
        <x:v>6</x:v>
      </x:c>
      <x:c r="O15" s="14" t="str"/>
      <x:c r="P15" s="14" t="str"/>
      <x:c r="Q15" s="14" t="str"/>
      <x:c r="R15" s="14" t="str"/>
      <x:c r="S15" s="14" t="str"/>
      <x:c r="T15" s="14" t="str"/>
      <x:c r="U15" s="10" t="str"/>
      <x:c r="V15" t="str"/>
      <x:c r="W15" t="str">
        <x:f>IF(V15=1,IF(R15="VALID","PASS",IF(R15="INVALID","INVALID","OPEN")),"OPEN")</x:f>
        <x:v>OPEN</x:v>
      </x:c>
    </x:row>
    <x:row r="16" ht="36" customHeight="1">
      <x:c r="B16" t="str">
        <x:v>RAW-E010</x:v>
      </x:c>
      <x:c r="C16" t="str">
        <x:v>AM-00</x:v>
      </x:c>
      <x:c r="D16" t="str">
        <x:v>TR-B</x:v>
      </x:c>
      <x:c r="E16" t="str">
        <x:v>RFP-A1</x:v>
      </x:c>
      <x:c r="F16" t="str">
        <x:v>PTC-A</x:v>
      </x:c>
      <x:c r="G16" t="str">
        <x:v>QT-04</x:v>
      </x:c>
      <x:c r="H16" t="str">
        <x:v>RAW-V04</x:v>
      </x:c>
      <x:c r="I16" t="str">
        <x:v>RAW-A013</x:v>
      </x:c>
      <x:c r="J16" t="str">
        <x:v>BLIND</x:v>
      </x:c>
      <x:c r="K16" t="str">
        <x:v>NONE</x:v>
      </x:c>
      <x:c r="L16" t="str">
        <x:v>n.a.</x:v>
      </x:c>
      <x:c r="M16" s="14" t="n">
        <x:v>3</x:v>
      </x:c>
      <x:c r="N16" s="14" t="n">
        <x:v>8</x:v>
      </x:c>
      <x:c r="O16" s="14" t="str"/>
      <x:c r="P16" s="14" t="str"/>
      <x:c r="Q16" s="14" t="str"/>
      <x:c r="R16" s="14" t="str"/>
      <x:c r="S16" s="14" t="str"/>
      <x:c r="T16" s="14" t="str"/>
      <x:c r="U16" s="10" t="str"/>
      <x:c r="V16" t="str"/>
      <x:c r="W16" t="str">
        <x:f>IF(V16=1,IF(R16="VALID","PASS",IF(R16="INVALID","INVALID","OPEN")),"OPEN")</x:f>
        <x:v>OPEN</x:v>
      </x:c>
    </x:row>
    <x:row r="17" ht="36" customHeight="1">
      <x:c r="B17" t="str">
        <x:v>RAW-E011</x:v>
      </x:c>
      <x:c r="C17" t="str">
        <x:v>AM-00</x:v>
      </x:c>
      <x:c r="D17" t="str">
        <x:v>TR-B</x:v>
      </x:c>
      <x:c r="E17" t="str">
        <x:v>RFP-A1</x:v>
      </x:c>
      <x:c r="F17" t="str">
        <x:v>PTC-A</x:v>
      </x:c>
      <x:c r="G17" t="str">
        <x:v>QT-05</x:v>
      </x:c>
      <x:c r="H17" t="str">
        <x:v>RAW-V05</x:v>
      </x:c>
      <x:c r="I17" t="str">
        <x:v>RAW-A013</x:v>
      </x:c>
      <x:c r="J17" t="str">
        <x:v>BLIND</x:v>
      </x:c>
      <x:c r="K17" t="str">
        <x:v>DECISIVE CHAIN</x:v>
      </x:c>
      <x:c r="L17" t="str">
        <x:v>n.a.</x:v>
      </x:c>
      <x:c r="M17" s="14" t="n">
        <x:v>3</x:v>
      </x:c>
      <x:c r="N17" s="14" t="n">
        <x:v>10</x:v>
      </x:c>
      <x:c r="O17" s="14" t="str"/>
      <x:c r="P17" s="14" t="str"/>
      <x:c r="Q17" s="14" t="str"/>
      <x:c r="R17" s="14" t="str"/>
      <x:c r="S17" s="14" t="str"/>
      <x:c r="T17" s="14" t="str"/>
      <x:c r="U17" s="10" t="str"/>
      <x:c r="V17" t="str"/>
      <x:c r="W17" t="str">
        <x:f>IF(V17=1,IF(R17="VALID","PASS",IF(R17="INVALID","INVALID","OPEN")),"OPEN")</x:f>
        <x:v>OPEN</x:v>
      </x:c>
    </x:row>
    <x:row r="18" ht="36" customHeight="1">
      <x:c r="B18" t="str">
        <x:v>RAW-E012</x:v>
      </x:c>
      <x:c r="C18" t="str">
        <x:v>AM-00</x:v>
      </x:c>
      <x:c r="D18" t="str">
        <x:v>TR-B</x:v>
      </x:c>
      <x:c r="E18" t="str">
        <x:v>RFP-A1</x:v>
      </x:c>
      <x:c r="F18" t="str">
        <x:v>PTC-A</x:v>
      </x:c>
      <x:c r="G18" t="str">
        <x:v>QT-06</x:v>
      </x:c>
      <x:c r="H18" t="str">
        <x:v>RAW-V06</x:v>
      </x:c>
      <x:c r="I18" t="str">
        <x:v>RAW-A013</x:v>
      </x:c>
      <x:c r="J18" t="str">
        <x:v>DISCLOSED</x:v>
      </x:c>
      <x:c r="K18" t="str">
        <x:v>NONE</x:v>
      </x:c>
      <x:c r="L18" t="str">
        <x:v>PTC-B</x:v>
      </x:c>
      <x:c r="M18" s="14" t="n">
        <x:v>4</x:v>
      </x:c>
      <x:c r="N18" s="14" t="n">
        <x:v>12</x:v>
      </x:c>
      <x:c r="O18" s="14" t="str"/>
      <x:c r="P18" s="14" t="str"/>
      <x:c r="Q18" s="14" t="str"/>
      <x:c r="R18" s="14" t="str"/>
      <x:c r="S18" s="14" t="str"/>
      <x:c r="T18" s="14" t="str"/>
      <x:c r="U18" s="10" t="str"/>
      <x:c r="V18" t="str"/>
      <x:c r="W18" t="str">
        <x:f>IF(V18=1,IF(R18="VALID","PASS",IF(R18="INVALID","INVALID","OPEN")),"OPEN")</x:f>
        <x:v>OPEN</x:v>
      </x:c>
    </x:row>
    <x:row r="19" ht="36" customHeight="1">
      <x:c r="B19" t="str">
        <x:v>RAW-E013</x:v>
      </x:c>
      <x:c r="C19" t="str">
        <x:v>AM-00</x:v>
      </x:c>
      <x:c r="D19" t="str">
        <x:v>TR-A</x:v>
      </x:c>
      <x:c r="E19" t="str">
        <x:v>RFP-A2</x:v>
      </x:c>
      <x:c r="F19" t="str">
        <x:v>PTC-A</x:v>
      </x:c>
      <x:c r="G19" t="str">
        <x:v>QT-01</x:v>
      </x:c>
      <x:c r="H19" t="str">
        <x:v>RAW-V01</x:v>
      </x:c>
      <x:c r="I19" t="str">
        <x:v>RAW-A002</x:v>
      </x:c>
      <x:c r="J19" t="str">
        <x:v>DISCLOSED</x:v>
      </x:c>
      <x:c r="K19" t="str">
        <x:v>NONE</x:v>
      </x:c>
      <x:c r="L19" t="str">
        <x:v>n.a.</x:v>
      </x:c>
      <x:c r="M19" s="14" t="n">
        <x:v>2</x:v>
      </x:c>
      <x:c r="N19" s="14" t="n">
        <x:v>1</x:v>
      </x:c>
      <x:c r="O19" s="14" t="str"/>
      <x:c r="P19" s="14" t="str"/>
      <x:c r="Q19" s="14" t="str"/>
      <x:c r="R19" s="14" t="str"/>
      <x:c r="S19" s="14" t="str"/>
      <x:c r="T19" s="14" t="str"/>
      <x:c r="U19" s="10" t="str"/>
      <x:c r="V19" t="str"/>
      <x:c r="W19" t="str">
        <x:f>IF(V19=1,IF(R19="VALID","PASS",IF(R19="INVALID","INVALID","OPEN")),"OPEN")</x:f>
        <x:v>OPEN</x:v>
      </x:c>
    </x:row>
    <x:row r="20" ht="36" customHeight="1">
      <x:c r="B20" t="str">
        <x:v>RAW-E014</x:v>
      </x:c>
      <x:c r="C20" t="str">
        <x:v>AM-00</x:v>
      </x:c>
      <x:c r="D20" t="str">
        <x:v>TR-A</x:v>
      </x:c>
      <x:c r="E20" t="str">
        <x:v>RFP-A2</x:v>
      </x:c>
      <x:c r="F20" t="str">
        <x:v>PTC-A</x:v>
      </x:c>
      <x:c r="G20" t="str">
        <x:v>QT-02</x:v>
      </x:c>
      <x:c r="H20" t="str">
        <x:v>RAW-V02</x:v>
      </x:c>
      <x:c r="I20" t="str">
        <x:v>RAW-A002</x:v>
      </x:c>
      <x:c r="J20" t="str">
        <x:v>DISCLOSED</x:v>
      </x:c>
      <x:c r="K20" t="str">
        <x:v>NONE</x:v>
      </x:c>
      <x:c r="L20" t="str">
        <x:v>n.a.</x:v>
      </x:c>
      <x:c r="M20" s="14" t="n">
        <x:v>2</x:v>
      </x:c>
      <x:c r="N20" s="14" t="n">
        <x:v>3</x:v>
      </x:c>
      <x:c r="O20" s="14" t="str"/>
      <x:c r="P20" s="14" t="str"/>
      <x:c r="Q20" s="14" t="str"/>
      <x:c r="R20" s="14" t="str"/>
      <x:c r="S20" s="14" t="str"/>
      <x:c r="T20" s="14" t="str"/>
      <x:c r="U20" s="10" t="str"/>
      <x:c r="V20" t="str"/>
      <x:c r="W20" t="str">
        <x:f>IF(V20=1,IF(R20="VALID","PASS",IF(R20="INVALID","INVALID","OPEN")),"OPEN")</x:f>
        <x:v>OPEN</x:v>
      </x:c>
    </x:row>
    <x:row r="21" ht="36" customHeight="1">
      <x:c r="B21" t="str">
        <x:v>RAW-E015</x:v>
      </x:c>
      <x:c r="C21" t="str">
        <x:v>AM-00</x:v>
      </x:c>
      <x:c r="D21" t="str">
        <x:v>TR-A</x:v>
      </x:c>
      <x:c r="E21" t="str">
        <x:v>RFP-A2</x:v>
      </x:c>
      <x:c r="F21" t="str">
        <x:v>PTC-A</x:v>
      </x:c>
      <x:c r="G21" t="str">
        <x:v>QT-03</x:v>
      </x:c>
      <x:c r="H21" t="str">
        <x:v>RAW-V03</x:v>
      </x:c>
      <x:c r="I21" t="str">
        <x:v>RAW-A002</x:v>
      </x:c>
      <x:c r="J21" t="str">
        <x:v>DISCLOSED</x:v>
      </x:c>
      <x:c r="K21" t="str">
        <x:v>NONE</x:v>
      </x:c>
      <x:c r="L21" t="str">
        <x:v>n.a.</x:v>
      </x:c>
      <x:c r="M21" s="14" t="n">
        <x:v>2</x:v>
      </x:c>
      <x:c r="N21" s="14" t="n">
        <x:v>5</x:v>
      </x:c>
      <x:c r="O21" s="14" t="str"/>
      <x:c r="P21" s="14" t="str"/>
      <x:c r="Q21" s="14" t="str"/>
      <x:c r="R21" s="14" t="str"/>
      <x:c r="S21" s="14" t="str"/>
      <x:c r="T21" s="14" t="str"/>
      <x:c r="U21" s="10" t="str"/>
      <x:c r="V21" t="str"/>
      <x:c r="W21" t="str">
        <x:f>IF(V21=1,IF(R21="VALID","PASS",IF(R21="INVALID","INVALID","OPEN")),"OPEN")</x:f>
        <x:v>OPEN</x:v>
      </x:c>
    </x:row>
    <x:row r="22" ht="36" customHeight="1">
      <x:c r="B22" t="str">
        <x:v>RAW-E016</x:v>
      </x:c>
      <x:c r="C22" t="str">
        <x:v>AM-00</x:v>
      </x:c>
      <x:c r="D22" t="str">
        <x:v>TR-A</x:v>
      </x:c>
      <x:c r="E22" t="str">
        <x:v>RFP-A2</x:v>
      </x:c>
      <x:c r="F22" t="str">
        <x:v>PTC-A</x:v>
      </x:c>
      <x:c r="G22" t="str">
        <x:v>QT-04</x:v>
      </x:c>
      <x:c r="H22" t="str">
        <x:v>RAW-V04</x:v>
      </x:c>
      <x:c r="I22" t="str">
        <x:v>RAW-A002</x:v>
      </x:c>
      <x:c r="J22" t="str">
        <x:v>BLIND</x:v>
      </x:c>
      <x:c r="K22" t="str">
        <x:v>NONE</x:v>
      </x:c>
      <x:c r="L22" t="str">
        <x:v>n.a.</x:v>
      </x:c>
      <x:c r="M22" s="14" t="n">
        <x:v>3</x:v>
      </x:c>
      <x:c r="N22" s="14" t="n">
        <x:v>7</x:v>
      </x:c>
      <x:c r="O22" s="14" t="str"/>
      <x:c r="P22" s="14" t="str"/>
      <x:c r="Q22" s="14" t="str"/>
      <x:c r="R22" s="14" t="str"/>
      <x:c r="S22" s="14" t="str"/>
      <x:c r="T22" s="14" t="str"/>
      <x:c r="U22" s="10" t="str"/>
      <x:c r="V22" t="str"/>
      <x:c r="W22" t="str">
        <x:f>IF(V22=1,IF(R22="VALID","PASS",IF(R22="INVALID","INVALID","OPEN")),"OPEN")</x:f>
        <x:v>OPEN</x:v>
      </x:c>
    </x:row>
    <x:row r="23" ht="36" customHeight="1">
      <x:c r="B23" t="str">
        <x:v>RAW-E017</x:v>
      </x:c>
      <x:c r="C23" t="str">
        <x:v>AM-00</x:v>
      </x:c>
      <x:c r="D23" t="str">
        <x:v>TR-A</x:v>
      </x:c>
      <x:c r="E23" t="str">
        <x:v>RFP-A2</x:v>
      </x:c>
      <x:c r="F23" t="str">
        <x:v>PTC-A</x:v>
      </x:c>
      <x:c r="G23" t="str">
        <x:v>QT-05</x:v>
      </x:c>
      <x:c r="H23" t="str">
        <x:v>RAW-V05</x:v>
      </x:c>
      <x:c r="I23" t="str">
        <x:v>RAW-A002</x:v>
      </x:c>
      <x:c r="J23" t="str">
        <x:v>BLIND</x:v>
      </x:c>
      <x:c r="K23" t="str">
        <x:v>DECISIVE CHAIN</x:v>
      </x:c>
      <x:c r="L23" t="str">
        <x:v>n.a.</x:v>
      </x:c>
      <x:c r="M23" s="14" t="n">
        <x:v>3</x:v>
      </x:c>
      <x:c r="N23" s="14" t="n">
        <x:v>9</x:v>
      </x:c>
      <x:c r="O23" s="14" t="str"/>
      <x:c r="P23" s="14" t="str"/>
      <x:c r="Q23" s="14" t="str"/>
      <x:c r="R23" s="14" t="str"/>
      <x:c r="S23" s="14" t="str"/>
      <x:c r="T23" s="14" t="str"/>
      <x:c r="U23" s="10" t="str"/>
      <x:c r="V23" t="str"/>
      <x:c r="W23" t="str">
        <x:f>IF(V23=1,IF(R23="VALID","PASS",IF(R23="INVALID","INVALID","OPEN")),"OPEN")</x:f>
        <x:v>OPEN</x:v>
      </x:c>
    </x:row>
    <x:row r="24" ht="36" customHeight="1">
      <x:c r="B24" t="str">
        <x:v>RAW-E018</x:v>
      </x:c>
      <x:c r="C24" t="str">
        <x:v>AM-00</x:v>
      </x:c>
      <x:c r="D24" t="str">
        <x:v>TR-A</x:v>
      </x:c>
      <x:c r="E24" t="str">
        <x:v>RFP-A2</x:v>
      </x:c>
      <x:c r="F24" t="str">
        <x:v>PTC-A</x:v>
      </x:c>
      <x:c r="G24" t="str">
        <x:v>QT-06</x:v>
      </x:c>
      <x:c r="H24" t="str">
        <x:v>RAW-V06</x:v>
      </x:c>
      <x:c r="I24" t="str">
        <x:v>RAW-A002</x:v>
      </x:c>
      <x:c r="J24" t="str">
        <x:v>DISCLOSED</x:v>
      </x:c>
      <x:c r="K24" t="str">
        <x:v>NONE</x:v>
      </x:c>
      <x:c r="L24" t="str">
        <x:v>PTC-B</x:v>
      </x:c>
      <x:c r="M24" s="14" t="n">
        <x:v>4</x:v>
      </x:c>
      <x:c r="N24" s="14" t="n">
        <x:v>11</x:v>
      </x:c>
      <x:c r="O24" s="14" t="str"/>
      <x:c r="P24" s="14" t="str"/>
      <x:c r="Q24" s="14" t="str"/>
      <x:c r="R24" s="14" t="str"/>
      <x:c r="S24" s="14" t="str"/>
      <x:c r="T24" s="14" t="str"/>
      <x:c r="U24" s="10" t="str"/>
      <x:c r="V24" t="str"/>
      <x:c r="W24" t="str">
        <x:f>IF(V24=1,IF(R24="VALID","PASS",IF(R24="INVALID","INVALID","OPEN")),"OPEN")</x:f>
        <x:v>OPEN</x:v>
      </x:c>
    </x:row>
    <x:row r="25" ht="36" customHeight="1">
      <x:c r="B25" t="str">
        <x:v>RAW-E019</x:v>
      </x:c>
      <x:c r="C25" t="str">
        <x:v>AM-00</x:v>
      </x:c>
      <x:c r="D25" t="str">
        <x:v>TR-B</x:v>
      </x:c>
      <x:c r="E25" t="str">
        <x:v>RFP-A2</x:v>
      </x:c>
      <x:c r="F25" t="str">
        <x:v>PTC-A</x:v>
      </x:c>
      <x:c r="G25" t="str">
        <x:v>QT-01</x:v>
      </x:c>
      <x:c r="H25" t="str">
        <x:v>RAW-V01</x:v>
      </x:c>
      <x:c r="I25" t="str">
        <x:v>RAW-A014</x:v>
      </x:c>
      <x:c r="J25" t="str">
        <x:v>DISCLOSED</x:v>
      </x:c>
      <x:c r="K25" t="str">
        <x:v>NONE</x:v>
      </x:c>
      <x:c r="L25" t="str">
        <x:v>n.a.</x:v>
      </x:c>
      <x:c r="M25" s="14" t="n">
        <x:v>2</x:v>
      </x:c>
      <x:c r="N25" s="14" t="n">
        <x:v>2</x:v>
      </x:c>
      <x:c r="O25" s="14" t="str"/>
      <x:c r="P25" s="14" t="str"/>
      <x:c r="Q25" s="14" t="str"/>
      <x:c r="R25" s="14" t="str"/>
      <x:c r="S25" s="14" t="str"/>
      <x:c r="T25" s="14" t="str"/>
      <x:c r="U25" s="10" t="str"/>
      <x:c r="V25" t="str"/>
      <x:c r="W25" t="str">
        <x:f>IF(V25=1,IF(R25="VALID","PASS",IF(R25="INVALID","INVALID","OPEN")),"OPEN")</x:f>
        <x:v>OPEN</x:v>
      </x:c>
    </x:row>
    <x:row r="26" ht="36" customHeight="1">
      <x:c r="B26" t="str">
        <x:v>RAW-E020</x:v>
      </x:c>
      <x:c r="C26" t="str">
        <x:v>AM-00</x:v>
      </x:c>
      <x:c r="D26" t="str">
        <x:v>TR-B</x:v>
      </x:c>
      <x:c r="E26" t="str">
        <x:v>RFP-A2</x:v>
      </x:c>
      <x:c r="F26" t="str">
        <x:v>PTC-A</x:v>
      </x:c>
      <x:c r="G26" t="str">
        <x:v>QT-02</x:v>
      </x:c>
      <x:c r="H26" t="str">
        <x:v>RAW-V02</x:v>
      </x:c>
      <x:c r="I26" t="str">
        <x:v>RAW-A014</x:v>
      </x:c>
      <x:c r="J26" t="str">
        <x:v>DISCLOSED</x:v>
      </x:c>
      <x:c r="K26" t="str">
        <x:v>NONE</x:v>
      </x:c>
      <x:c r="L26" t="str">
        <x:v>n.a.</x:v>
      </x:c>
      <x:c r="M26" s="14" t="n">
        <x:v>2</x:v>
      </x:c>
      <x:c r="N26" s="14" t="n">
        <x:v>4</x:v>
      </x:c>
      <x:c r="O26" s="14" t="str"/>
      <x:c r="P26" s="14" t="str"/>
      <x:c r="Q26" s="14" t="str"/>
      <x:c r="R26" s="14" t="str"/>
      <x:c r="S26" s="14" t="str"/>
      <x:c r="T26" s="14" t="str"/>
      <x:c r="U26" s="10" t="str"/>
      <x:c r="V26" t="str"/>
      <x:c r="W26" t="str">
        <x:f>IF(V26=1,IF(R26="VALID","PASS",IF(R26="INVALID","INVALID","OPEN")),"OPEN")</x:f>
        <x:v>OPEN</x:v>
      </x:c>
    </x:row>
    <x:row r="27" ht="36" customHeight="1">
      <x:c r="B27" t="str">
        <x:v>RAW-E021</x:v>
      </x:c>
      <x:c r="C27" t="str">
        <x:v>AM-00</x:v>
      </x:c>
      <x:c r="D27" t="str">
        <x:v>TR-B</x:v>
      </x:c>
      <x:c r="E27" t="str">
        <x:v>RFP-A2</x:v>
      </x:c>
      <x:c r="F27" t="str">
        <x:v>PTC-A</x:v>
      </x:c>
      <x:c r="G27" t="str">
        <x:v>QT-03</x:v>
      </x:c>
      <x:c r="H27" t="str">
        <x:v>RAW-V03</x:v>
      </x:c>
      <x:c r="I27" t="str">
        <x:v>RAW-A014</x:v>
      </x:c>
      <x:c r="J27" t="str">
        <x:v>DISCLOSED</x:v>
      </x:c>
      <x:c r="K27" t="str">
        <x:v>NONE</x:v>
      </x:c>
      <x:c r="L27" t="str">
        <x:v>n.a.</x:v>
      </x:c>
      <x:c r="M27" s="14" t="n">
        <x:v>2</x:v>
      </x:c>
      <x:c r="N27" s="14" t="n">
        <x:v>6</x:v>
      </x:c>
      <x:c r="O27" s="14" t="str"/>
      <x:c r="P27" s="14" t="str"/>
      <x:c r="Q27" s="14" t="str"/>
      <x:c r="R27" s="14" t="str"/>
      <x:c r="S27" s="14" t="str"/>
      <x:c r="T27" s="14" t="str"/>
      <x:c r="U27" s="10" t="str"/>
      <x:c r="V27" t="str"/>
      <x:c r="W27" t="str">
        <x:f>IF(V27=1,IF(R27="VALID","PASS",IF(R27="INVALID","INVALID","OPEN")),"OPEN")</x:f>
        <x:v>OPEN</x:v>
      </x:c>
    </x:row>
    <x:row r="28" ht="36" customHeight="1">
      <x:c r="B28" t="str">
        <x:v>RAW-E022</x:v>
      </x:c>
      <x:c r="C28" t="str">
        <x:v>AM-00</x:v>
      </x:c>
      <x:c r="D28" t="str">
        <x:v>TR-B</x:v>
      </x:c>
      <x:c r="E28" t="str">
        <x:v>RFP-A2</x:v>
      </x:c>
      <x:c r="F28" t="str">
        <x:v>PTC-A</x:v>
      </x:c>
      <x:c r="G28" t="str">
        <x:v>QT-04</x:v>
      </x:c>
      <x:c r="H28" t="str">
        <x:v>RAW-V04</x:v>
      </x:c>
      <x:c r="I28" t="str">
        <x:v>RAW-A014</x:v>
      </x:c>
      <x:c r="J28" t="str">
        <x:v>BLIND</x:v>
      </x:c>
      <x:c r="K28" t="str">
        <x:v>NONE</x:v>
      </x:c>
      <x:c r="L28" t="str">
        <x:v>n.a.</x:v>
      </x:c>
      <x:c r="M28" s="14" t="n">
        <x:v>3</x:v>
      </x:c>
      <x:c r="N28" s="14" t="n">
        <x:v>8</x:v>
      </x:c>
      <x:c r="O28" s="14" t="str"/>
      <x:c r="P28" s="14" t="str"/>
      <x:c r="Q28" s="14" t="str"/>
      <x:c r="R28" s="14" t="str"/>
      <x:c r="S28" s="14" t="str"/>
      <x:c r="T28" s="14" t="str"/>
      <x:c r="U28" s="10" t="str"/>
      <x:c r="V28" t="str"/>
      <x:c r="W28" t="str">
        <x:f>IF(V28=1,IF(R28="VALID","PASS",IF(R28="INVALID","INVALID","OPEN")),"OPEN")</x:f>
        <x:v>OPEN</x:v>
      </x:c>
    </x:row>
    <x:row r="29" ht="36" customHeight="1">
      <x:c r="B29" t="str">
        <x:v>RAW-E023</x:v>
      </x:c>
      <x:c r="C29" t="str">
        <x:v>AM-00</x:v>
      </x:c>
      <x:c r="D29" t="str">
        <x:v>TR-B</x:v>
      </x:c>
      <x:c r="E29" t="str">
        <x:v>RFP-A2</x:v>
      </x:c>
      <x:c r="F29" t="str">
        <x:v>PTC-A</x:v>
      </x:c>
      <x:c r="G29" t="str">
        <x:v>QT-05</x:v>
      </x:c>
      <x:c r="H29" t="str">
        <x:v>RAW-V05</x:v>
      </x:c>
      <x:c r="I29" t="str">
        <x:v>RAW-A014</x:v>
      </x:c>
      <x:c r="J29" t="str">
        <x:v>BLIND</x:v>
      </x:c>
      <x:c r="K29" t="str">
        <x:v>DECISIVE CHAIN</x:v>
      </x:c>
      <x:c r="L29" t="str">
        <x:v>n.a.</x:v>
      </x:c>
      <x:c r="M29" s="14" t="n">
        <x:v>3</x:v>
      </x:c>
      <x:c r="N29" s="14" t="n">
        <x:v>10</x:v>
      </x:c>
      <x:c r="O29" s="14" t="str"/>
      <x:c r="P29" s="14" t="str"/>
      <x:c r="Q29" s="14" t="str"/>
      <x:c r="R29" s="14" t="str"/>
      <x:c r="S29" s="14" t="str"/>
      <x:c r="T29" s="14" t="str"/>
      <x:c r="U29" s="10" t="str"/>
      <x:c r="V29" t="str"/>
      <x:c r="W29" t="str">
        <x:f>IF(V29=1,IF(R29="VALID","PASS",IF(R29="INVALID","INVALID","OPEN")),"OPEN")</x:f>
        <x:v>OPEN</x:v>
      </x:c>
    </x:row>
    <x:row r="30" ht="36" customHeight="1">
      <x:c r="B30" t="str">
        <x:v>RAW-E024</x:v>
      </x:c>
      <x:c r="C30" t="str">
        <x:v>AM-00</x:v>
      </x:c>
      <x:c r="D30" t="str">
        <x:v>TR-B</x:v>
      </x:c>
      <x:c r="E30" t="str">
        <x:v>RFP-A2</x:v>
      </x:c>
      <x:c r="F30" t="str">
        <x:v>PTC-A</x:v>
      </x:c>
      <x:c r="G30" t="str">
        <x:v>QT-06</x:v>
      </x:c>
      <x:c r="H30" t="str">
        <x:v>RAW-V06</x:v>
      </x:c>
      <x:c r="I30" t="str">
        <x:v>RAW-A014</x:v>
      </x:c>
      <x:c r="J30" t="str">
        <x:v>DISCLOSED</x:v>
      </x:c>
      <x:c r="K30" t="str">
        <x:v>NONE</x:v>
      </x:c>
      <x:c r="L30" t="str">
        <x:v>PTC-B</x:v>
      </x:c>
      <x:c r="M30" s="14" t="n">
        <x:v>4</x:v>
      </x:c>
      <x:c r="N30" s="14" t="n">
        <x:v>12</x:v>
      </x:c>
      <x:c r="O30" s="14" t="str"/>
      <x:c r="P30" s="14" t="str"/>
      <x:c r="Q30" s="14" t="str"/>
      <x:c r="R30" s="14" t="str"/>
      <x:c r="S30" s="14" t="str"/>
      <x:c r="T30" s="14" t="str"/>
      <x:c r="U30" s="10" t="str"/>
      <x:c r="V30" t="str"/>
      <x:c r="W30" t="str">
        <x:f>IF(V30=1,IF(R30="VALID","PASS",IF(R30="INVALID","INVALID","OPEN")),"OPEN")</x:f>
        <x:v>OPEN</x:v>
      </x:c>
    </x:row>
    <x:row r="31" ht="36" customHeight="1">
      <x:c r="B31" t="str">
        <x:v>RAW-E025</x:v>
      </x:c>
      <x:c r="C31" t="str">
        <x:v>AM-00</x:v>
      </x:c>
      <x:c r="D31" t="str">
        <x:v>TR-A</x:v>
      </x:c>
      <x:c r="E31" t="str">
        <x:v>RFP-B1</x:v>
      </x:c>
      <x:c r="F31" t="str">
        <x:v>PTC-B</x:v>
      </x:c>
      <x:c r="G31" t="str">
        <x:v>QT-01</x:v>
      </x:c>
      <x:c r="H31" t="str">
        <x:v>RAW-V01</x:v>
      </x:c>
      <x:c r="I31" t="str">
        <x:v>RAW-A003</x:v>
      </x:c>
      <x:c r="J31" t="str">
        <x:v>DISCLOSED</x:v>
      </x:c>
      <x:c r="K31" t="str">
        <x:v>NONE</x:v>
      </x:c>
      <x:c r="L31" t="str">
        <x:v>n.a.</x:v>
      </x:c>
      <x:c r="M31" s="14" t="n">
        <x:v>2</x:v>
      </x:c>
      <x:c r="N31" s="14" t="n">
        <x:v>1</x:v>
      </x:c>
      <x:c r="O31" s="14" t="str"/>
      <x:c r="P31" s="14" t="str"/>
      <x:c r="Q31" s="14" t="str"/>
      <x:c r="R31" s="14" t="str"/>
      <x:c r="S31" s="14" t="str"/>
      <x:c r="T31" s="14" t="str"/>
      <x:c r="U31" s="10" t="str"/>
      <x:c r="V31" t="str"/>
      <x:c r="W31" t="str">
        <x:f>IF(V31=1,IF(R31="VALID","PASS",IF(R31="INVALID","INVALID","OPEN")),"OPEN")</x:f>
        <x:v>OPEN</x:v>
      </x:c>
    </x:row>
    <x:row r="32" ht="36" customHeight="1">
      <x:c r="B32" t="str">
        <x:v>RAW-E026</x:v>
      </x:c>
      <x:c r="C32" t="str">
        <x:v>AM-00</x:v>
      </x:c>
      <x:c r="D32" t="str">
        <x:v>TR-A</x:v>
      </x:c>
      <x:c r="E32" t="str">
        <x:v>RFP-B1</x:v>
      </x:c>
      <x:c r="F32" t="str">
        <x:v>PTC-B</x:v>
      </x:c>
      <x:c r="G32" t="str">
        <x:v>QT-02</x:v>
      </x:c>
      <x:c r="H32" t="str">
        <x:v>RAW-V02</x:v>
      </x:c>
      <x:c r="I32" t="str">
        <x:v>RAW-A003</x:v>
      </x:c>
      <x:c r="J32" t="str">
        <x:v>DISCLOSED</x:v>
      </x:c>
      <x:c r="K32" t="str">
        <x:v>NONE</x:v>
      </x:c>
      <x:c r="L32" t="str">
        <x:v>n.a.</x:v>
      </x:c>
      <x:c r="M32" s="14" t="n">
        <x:v>2</x:v>
      </x:c>
      <x:c r="N32" s="14" t="n">
        <x:v>3</x:v>
      </x:c>
      <x:c r="O32" s="14" t="str"/>
      <x:c r="P32" s="14" t="str"/>
      <x:c r="Q32" s="14" t="str"/>
      <x:c r="R32" s="14" t="str"/>
      <x:c r="S32" s="14" t="str"/>
      <x:c r="T32" s="14" t="str"/>
      <x:c r="U32" s="10" t="str"/>
      <x:c r="V32" t="str"/>
      <x:c r="W32" t="str">
        <x:f>IF(V32=1,IF(R32="VALID","PASS",IF(R32="INVALID","INVALID","OPEN")),"OPEN")</x:f>
        <x:v>OPEN</x:v>
      </x:c>
    </x:row>
    <x:row r="33" ht="36" customHeight="1">
      <x:c r="B33" t="str">
        <x:v>RAW-E027</x:v>
      </x:c>
      <x:c r="C33" t="str">
        <x:v>AM-00</x:v>
      </x:c>
      <x:c r="D33" t="str">
        <x:v>TR-A</x:v>
      </x:c>
      <x:c r="E33" t="str">
        <x:v>RFP-B1</x:v>
      </x:c>
      <x:c r="F33" t="str">
        <x:v>PTC-B</x:v>
      </x:c>
      <x:c r="G33" t="str">
        <x:v>QT-03</x:v>
      </x:c>
      <x:c r="H33" t="str">
        <x:v>RAW-V03</x:v>
      </x:c>
      <x:c r="I33" t="str">
        <x:v>RAW-A003</x:v>
      </x:c>
      <x:c r="J33" t="str">
        <x:v>DISCLOSED</x:v>
      </x:c>
      <x:c r="K33" t="str">
        <x:v>NONE</x:v>
      </x:c>
      <x:c r="L33" t="str">
        <x:v>n.a.</x:v>
      </x:c>
      <x:c r="M33" s="14" t="n">
        <x:v>2</x:v>
      </x:c>
      <x:c r="N33" s="14" t="n">
        <x:v>5</x:v>
      </x:c>
      <x:c r="O33" s="14" t="str"/>
      <x:c r="P33" s="14" t="str"/>
      <x:c r="Q33" s="14" t="str"/>
      <x:c r="R33" s="14" t="str"/>
      <x:c r="S33" s="14" t="str"/>
      <x:c r="T33" s="14" t="str"/>
      <x:c r="U33" s="10" t="str"/>
      <x:c r="V33" t="str"/>
      <x:c r="W33" t="str">
        <x:f>IF(V33=1,IF(R33="VALID","PASS",IF(R33="INVALID","INVALID","OPEN")),"OPEN")</x:f>
        <x:v>OPEN</x:v>
      </x:c>
    </x:row>
    <x:row r="34" ht="36" customHeight="1">
      <x:c r="B34" t="str">
        <x:v>RAW-E028</x:v>
      </x:c>
      <x:c r="C34" t="str">
        <x:v>AM-00</x:v>
      </x:c>
      <x:c r="D34" t="str">
        <x:v>TR-A</x:v>
      </x:c>
      <x:c r="E34" t="str">
        <x:v>RFP-B1</x:v>
      </x:c>
      <x:c r="F34" t="str">
        <x:v>PTC-B</x:v>
      </x:c>
      <x:c r="G34" t="str">
        <x:v>QT-04</x:v>
      </x:c>
      <x:c r="H34" t="str">
        <x:v>RAW-V04</x:v>
      </x:c>
      <x:c r="I34" t="str">
        <x:v>RAW-A003</x:v>
      </x:c>
      <x:c r="J34" t="str">
        <x:v>BLIND</x:v>
      </x:c>
      <x:c r="K34" t="str">
        <x:v>NONE</x:v>
      </x:c>
      <x:c r="L34" t="str">
        <x:v>n.a.</x:v>
      </x:c>
      <x:c r="M34" s="14" t="n">
        <x:v>3</x:v>
      </x:c>
      <x:c r="N34" s="14" t="n">
        <x:v>7</x:v>
      </x:c>
      <x:c r="O34" s="14" t="str"/>
      <x:c r="P34" s="14" t="str"/>
      <x:c r="Q34" s="14" t="str"/>
      <x:c r="R34" s="14" t="str"/>
      <x:c r="S34" s="14" t="str"/>
      <x:c r="T34" s="14" t="str"/>
      <x:c r="U34" s="10" t="str"/>
      <x:c r="V34" t="str"/>
      <x:c r="W34" t="str">
        <x:f>IF(V34=1,IF(R34="VALID","PASS",IF(R34="INVALID","INVALID","OPEN")),"OPEN")</x:f>
        <x:v>OPEN</x:v>
      </x:c>
    </x:row>
    <x:row r="35" ht="36" customHeight="1">
      <x:c r="B35" t="str">
        <x:v>RAW-E029</x:v>
      </x:c>
      <x:c r="C35" t="str">
        <x:v>AM-00</x:v>
      </x:c>
      <x:c r="D35" t="str">
        <x:v>TR-A</x:v>
      </x:c>
      <x:c r="E35" t="str">
        <x:v>RFP-B1</x:v>
      </x:c>
      <x:c r="F35" t="str">
        <x:v>PTC-B</x:v>
      </x:c>
      <x:c r="G35" t="str">
        <x:v>QT-05</x:v>
      </x:c>
      <x:c r="H35" t="str">
        <x:v>RAW-V05</x:v>
      </x:c>
      <x:c r="I35" t="str">
        <x:v>RAW-A003</x:v>
      </x:c>
      <x:c r="J35" t="str">
        <x:v>BLIND</x:v>
      </x:c>
      <x:c r="K35" t="str">
        <x:v>DECISIVE CHAIN</x:v>
      </x:c>
      <x:c r="L35" t="str">
        <x:v>n.a.</x:v>
      </x:c>
      <x:c r="M35" s="14" t="n">
        <x:v>3</x:v>
      </x:c>
      <x:c r="N35" s="14" t="n">
        <x:v>9</x:v>
      </x:c>
      <x:c r="O35" s="14" t="str"/>
      <x:c r="P35" s="14" t="str"/>
      <x:c r="Q35" s="14" t="str"/>
      <x:c r="R35" s="14" t="str"/>
      <x:c r="S35" s="14" t="str"/>
      <x:c r="T35" s="14" t="str"/>
      <x:c r="U35" s="10" t="str"/>
      <x:c r="V35" t="str"/>
      <x:c r="W35" t="str">
        <x:f>IF(V35=1,IF(R35="VALID","PASS",IF(R35="INVALID","INVALID","OPEN")),"OPEN")</x:f>
        <x:v>OPEN</x:v>
      </x:c>
    </x:row>
    <x:row r="36" ht="36" customHeight="1">
      <x:c r="B36" t="str">
        <x:v>RAW-E030</x:v>
      </x:c>
      <x:c r="C36" t="str">
        <x:v>AM-00</x:v>
      </x:c>
      <x:c r="D36" t="str">
        <x:v>TR-A</x:v>
      </x:c>
      <x:c r="E36" t="str">
        <x:v>RFP-B1</x:v>
      </x:c>
      <x:c r="F36" t="str">
        <x:v>PTC-B</x:v>
      </x:c>
      <x:c r="G36" t="str">
        <x:v>QT-06</x:v>
      </x:c>
      <x:c r="H36" t="str">
        <x:v>RAW-V06</x:v>
      </x:c>
      <x:c r="I36" t="str">
        <x:v>RAW-A003</x:v>
      </x:c>
      <x:c r="J36" t="str">
        <x:v>DISCLOSED</x:v>
      </x:c>
      <x:c r="K36" t="str">
        <x:v>NONE</x:v>
      </x:c>
      <x:c r="L36" t="str">
        <x:v>PTC-C</x:v>
      </x:c>
      <x:c r="M36" s="14" t="n">
        <x:v>4</x:v>
      </x:c>
      <x:c r="N36" s="14" t="n">
        <x:v>11</x:v>
      </x:c>
      <x:c r="O36" s="14" t="str"/>
      <x:c r="P36" s="14" t="str"/>
      <x:c r="Q36" s="14" t="str"/>
      <x:c r="R36" s="14" t="str"/>
      <x:c r="S36" s="14" t="str"/>
      <x:c r="T36" s="14" t="str"/>
      <x:c r="U36" s="10" t="str"/>
      <x:c r="V36" t="str"/>
      <x:c r="W36" t="str">
        <x:f>IF(V36=1,IF(R36="VALID","PASS",IF(R36="INVALID","INVALID","OPEN")),"OPEN")</x:f>
        <x:v>OPEN</x:v>
      </x:c>
    </x:row>
    <x:row r="37" ht="36" customHeight="1">
      <x:c r="B37" t="str">
        <x:v>RAW-E031</x:v>
      </x:c>
      <x:c r="C37" t="str">
        <x:v>AM-00</x:v>
      </x:c>
      <x:c r="D37" t="str">
        <x:v>TR-B</x:v>
      </x:c>
      <x:c r="E37" t="str">
        <x:v>RFP-B1</x:v>
      </x:c>
      <x:c r="F37" t="str">
        <x:v>PTC-B</x:v>
      </x:c>
      <x:c r="G37" t="str">
        <x:v>QT-01</x:v>
      </x:c>
      <x:c r="H37" t="str">
        <x:v>RAW-V01</x:v>
      </x:c>
      <x:c r="I37" t="str">
        <x:v>RAW-A015</x:v>
      </x:c>
      <x:c r="J37" t="str">
        <x:v>DISCLOSED</x:v>
      </x:c>
      <x:c r="K37" t="str">
        <x:v>NONE</x:v>
      </x:c>
      <x:c r="L37" t="str">
        <x:v>n.a.</x:v>
      </x:c>
      <x:c r="M37" s="14" t="n">
        <x:v>2</x:v>
      </x:c>
      <x:c r="N37" s="14" t="n">
        <x:v>2</x:v>
      </x:c>
      <x:c r="O37" s="14" t="str"/>
      <x:c r="P37" s="14" t="str"/>
      <x:c r="Q37" s="14" t="str"/>
      <x:c r="R37" s="14" t="str"/>
      <x:c r="S37" s="14" t="str"/>
      <x:c r="T37" s="14" t="str"/>
      <x:c r="U37" s="10" t="str"/>
      <x:c r="V37" t="str"/>
      <x:c r="W37" t="str">
        <x:f>IF(V37=1,IF(R37="VALID","PASS",IF(R37="INVALID","INVALID","OPEN")),"OPEN")</x:f>
        <x:v>OPEN</x:v>
      </x:c>
    </x:row>
    <x:row r="38" ht="36" customHeight="1">
      <x:c r="B38" t="str">
        <x:v>RAW-E032</x:v>
      </x:c>
      <x:c r="C38" t="str">
        <x:v>AM-00</x:v>
      </x:c>
      <x:c r="D38" t="str">
        <x:v>TR-B</x:v>
      </x:c>
      <x:c r="E38" t="str">
        <x:v>RFP-B1</x:v>
      </x:c>
      <x:c r="F38" t="str">
        <x:v>PTC-B</x:v>
      </x:c>
      <x:c r="G38" t="str">
        <x:v>QT-02</x:v>
      </x:c>
      <x:c r="H38" t="str">
        <x:v>RAW-V02</x:v>
      </x:c>
      <x:c r="I38" t="str">
        <x:v>RAW-A015</x:v>
      </x:c>
      <x:c r="J38" t="str">
        <x:v>DISCLOSED</x:v>
      </x:c>
      <x:c r="K38" t="str">
        <x:v>NONE</x:v>
      </x:c>
      <x:c r="L38" t="str">
        <x:v>n.a.</x:v>
      </x:c>
      <x:c r="M38" s="14" t="n">
        <x:v>2</x:v>
      </x:c>
      <x:c r="N38" s="14" t="n">
        <x:v>4</x:v>
      </x:c>
      <x:c r="O38" s="14" t="str"/>
      <x:c r="P38" s="14" t="str"/>
      <x:c r="Q38" s="14" t="str"/>
      <x:c r="R38" s="14" t="str"/>
      <x:c r="S38" s="14" t="str"/>
      <x:c r="T38" s="14" t="str"/>
      <x:c r="U38" s="10" t="str"/>
      <x:c r="V38" t="str"/>
      <x:c r="W38" t="str">
        <x:f>IF(V38=1,IF(R38="VALID","PASS",IF(R38="INVALID","INVALID","OPEN")),"OPEN")</x:f>
        <x:v>OPEN</x:v>
      </x:c>
    </x:row>
    <x:row r="39" ht="36" customHeight="1">
      <x:c r="B39" t="str">
        <x:v>RAW-E033</x:v>
      </x:c>
      <x:c r="C39" t="str">
        <x:v>AM-00</x:v>
      </x:c>
      <x:c r="D39" t="str">
        <x:v>TR-B</x:v>
      </x:c>
      <x:c r="E39" t="str">
        <x:v>RFP-B1</x:v>
      </x:c>
      <x:c r="F39" t="str">
        <x:v>PTC-B</x:v>
      </x:c>
      <x:c r="G39" t="str">
        <x:v>QT-03</x:v>
      </x:c>
      <x:c r="H39" t="str">
        <x:v>RAW-V03</x:v>
      </x:c>
      <x:c r="I39" t="str">
        <x:v>RAW-A015</x:v>
      </x:c>
      <x:c r="J39" t="str">
        <x:v>DISCLOSED</x:v>
      </x:c>
      <x:c r="K39" t="str">
        <x:v>NONE</x:v>
      </x:c>
      <x:c r="L39" t="str">
        <x:v>n.a.</x:v>
      </x:c>
      <x:c r="M39" s="14" t="n">
        <x:v>2</x:v>
      </x:c>
      <x:c r="N39" s="14" t="n">
        <x:v>6</x:v>
      </x:c>
      <x:c r="O39" s="14" t="str"/>
      <x:c r="P39" s="14" t="str"/>
      <x:c r="Q39" s="14" t="str"/>
      <x:c r="R39" s="14" t="str"/>
      <x:c r="S39" s="14" t="str"/>
      <x:c r="T39" s="14" t="str"/>
      <x:c r="U39" s="10" t="str"/>
      <x:c r="V39" t="str"/>
      <x:c r="W39" t="str">
        <x:f>IF(V39=1,IF(R39="VALID","PASS",IF(R39="INVALID","INVALID","OPEN")),"OPEN")</x:f>
        <x:v>OPEN</x:v>
      </x:c>
    </x:row>
    <x:row r="40" ht="36" customHeight="1">
      <x:c r="B40" t="str">
        <x:v>RAW-E034</x:v>
      </x:c>
      <x:c r="C40" t="str">
        <x:v>AM-00</x:v>
      </x:c>
      <x:c r="D40" t="str">
        <x:v>TR-B</x:v>
      </x:c>
      <x:c r="E40" t="str">
        <x:v>RFP-B1</x:v>
      </x:c>
      <x:c r="F40" t="str">
        <x:v>PTC-B</x:v>
      </x:c>
      <x:c r="G40" t="str">
        <x:v>QT-04</x:v>
      </x:c>
      <x:c r="H40" t="str">
        <x:v>RAW-V04</x:v>
      </x:c>
      <x:c r="I40" t="str">
        <x:v>RAW-A015</x:v>
      </x:c>
      <x:c r="J40" t="str">
        <x:v>BLIND</x:v>
      </x:c>
      <x:c r="K40" t="str">
        <x:v>NONE</x:v>
      </x:c>
      <x:c r="L40" t="str">
        <x:v>n.a.</x:v>
      </x:c>
      <x:c r="M40" s="14" t="n">
        <x:v>3</x:v>
      </x:c>
      <x:c r="N40" s="14" t="n">
        <x:v>8</x:v>
      </x:c>
      <x:c r="O40" s="14" t="str"/>
      <x:c r="P40" s="14" t="str"/>
      <x:c r="Q40" s="14" t="str"/>
      <x:c r="R40" s="14" t="str"/>
      <x:c r="S40" s="14" t="str"/>
      <x:c r="T40" s="14" t="str"/>
      <x:c r="U40" s="10" t="str"/>
      <x:c r="V40" t="str"/>
      <x:c r="W40" t="str">
        <x:f>IF(V40=1,IF(R40="VALID","PASS",IF(R40="INVALID","INVALID","OPEN")),"OPEN")</x:f>
        <x:v>OPEN</x:v>
      </x:c>
    </x:row>
    <x:row r="41" ht="36" customHeight="1">
      <x:c r="B41" t="str">
        <x:v>RAW-E035</x:v>
      </x:c>
      <x:c r="C41" t="str">
        <x:v>AM-00</x:v>
      </x:c>
      <x:c r="D41" t="str">
        <x:v>TR-B</x:v>
      </x:c>
      <x:c r="E41" t="str">
        <x:v>RFP-B1</x:v>
      </x:c>
      <x:c r="F41" t="str">
        <x:v>PTC-B</x:v>
      </x:c>
      <x:c r="G41" t="str">
        <x:v>QT-05</x:v>
      </x:c>
      <x:c r="H41" t="str">
        <x:v>RAW-V05</x:v>
      </x:c>
      <x:c r="I41" t="str">
        <x:v>RAW-A015</x:v>
      </x:c>
      <x:c r="J41" t="str">
        <x:v>BLIND</x:v>
      </x:c>
      <x:c r="K41" t="str">
        <x:v>DECISIVE CHAIN</x:v>
      </x:c>
      <x:c r="L41" t="str">
        <x:v>n.a.</x:v>
      </x:c>
      <x:c r="M41" s="14" t="n">
        <x:v>3</x:v>
      </x:c>
      <x:c r="N41" s="14" t="n">
        <x:v>10</x:v>
      </x:c>
      <x:c r="O41" s="14" t="str"/>
      <x:c r="P41" s="14" t="str"/>
      <x:c r="Q41" s="14" t="str"/>
      <x:c r="R41" s="14" t="str"/>
      <x:c r="S41" s="14" t="str"/>
      <x:c r="T41" s="14" t="str"/>
      <x:c r="U41" s="10" t="str"/>
      <x:c r="V41" t="str"/>
      <x:c r="W41" t="str">
        <x:f>IF(V41=1,IF(R41="VALID","PASS",IF(R41="INVALID","INVALID","OPEN")),"OPEN")</x:f>
        <x:v>OPEN</x:v>
      </x:c>
    </x:row>
    <x:row r="42" ht="36" customHeight="1">
      <x:c r="B42" t="str">
        <x:v>RAW-E036</x:v>
      </x:c>
      <x:c r="C42" t="str">
        <x:v>AM-00</x:v>
      </x:c>
      <x:c r="D42" t="str">
        <x:v>TR-B</x:v>
      </x:c>
      <x:c r="E42" t="str">
        <x:v>RFP-B1</x:v>
      </x:c>
      <x:c r="F42" t="str">
        <x:v>PTC-B</x:v>
      </x:c>
      <x:c r="G42" t="str">
        <x:v>QT-06</x:v>
      </x:c>
      <x:c r="H42" t="str">
        <x:v>RAW-V06</x:v>
      </x:c>
      <x:c r="I42" t="str">
        <x:v>RAW-A015</x:v>
      </x:c>
      <x:c r="J42" t="str">
        <x:v>DISCLOSED</x:v>
      </x:c>
      <x:c r="K42" t="str">
        <x:v>NONE</x:v>
      </x:c>
      <x:c r="L42" t="str">
        <x:v>PTC-C</x:v>
      </x:c>
      <x:c r="M42" s="14" t="n">
        <x:v>4</x:v>
      </x:c>
      <x:c r="N42" s="14" t="n">
        <x:v>12</x:v>
      </x:c>
      <x:c r="O42" s="14" t="str"/>
      <x:c r="P42" s="14" t="str"/>
      <x:c r="Q42" s="14" t="str"/>
      <x:c r="R42" s="14" t="str"/>
      <x:c r="S42" s="14" t="str"/>
      <x:c r="T42" s="14" t="str"/>
      <x:c r="U42" s="10" t="str"/>
      <x:c r="V42" t="str"/>
      <x:c r="W42" t="str">
        <x:f>IF(V42=1,IF(R42="VALID","PASS",IF(R42="INVALID","INVALID","OPEN")),"OPEN")</x:f>
        <x:v>OPEN</x:v>
      </x:c>
    </x:row>
    <x:row r="43" ht="36" customHeight="1">
      <x:c r="B43" t="str">
        <x:v>RAW-E037</x:v>
      </x:c>
      <x:c r="C43" t="str">
        <x:v>AM-00</x:v>
      </x:c>
      <x:c r="D43" t="str">
        <x:v>TR-A</x:v>
      </x:c>
      <x:c r="E43" t="str">
        <x:v>RFP-B2</x:v>
      </x:c>
      <x:c r="F43" t="str">
        <x:v>PTC-B</x:v>
      </x:c>
      <x:c r="G43" t="str">
        <x:v>QT-01</x:v>
      </x:c>
      <x:c r="H43" t="str">
        <x:v>RAW-V01</x:v>
      </x:c>
      <x:c r="I43" t="str">
        <x:v>RAW-A004</x:v>
      </x:c>
      <x:c r="J43" t="str">
        <x:v>DISCLOSED</x:v>
      </x:c>
      <x:c r="K43" t="str">
        <x:v>NONE</x:v>
      </x:c>
      <x:c r="L43" t="str">
        <x:v>n.a.</x:v>
      </x:c>
      <x:c r="M43" s="14" t="n">
        <x:v>2</x:v>
      </x:c>
      <x:c r="N43" s="14" t="n">
        <x:v>1</x:v>
      </x:c>
      <x:c r="O43" s="14" t="str"/>
      <x:c r="P43" s="14" t="str"/>
      <x:c r="Q43" s="14" t="str"/>
      <x:c r="R43" s="14" t="str"/>
      <x:c r="S43" s="14" t="str"/>
      <x:c r="T43" s="14" t="str"/>
      <x:c r="U43" s="10" t="str"/>
      <x:c r="V43" t="str"/>
      <x:c r="W43" t="str">
        <x:f>IF(V43=1,IF(R43="VALID","PASS",IF(R43="INVALID","INVALID","OPEN")),"OPEN")</x:f>
        <x:v>OPEN</x:v>
      </x:c>
    </x:row>
    <x:row r="44" ht="36" customHeight="1">
      <x:c r="B44" t="str">
        <x:v>RAW-E038</x:v>
      </x:c>
      <x:c r="C44" t="str">
        <x:v>AM-00</x:v>
      </x:c>
      <x:c r="D44" t="str">
        <x:v>TR-A</x:v>
      </x:c>
      <x:c r="E44" t="str">
        <x:v>RFP-B2</x:v>
      </x:c>
      <x:c r="F44" t="str">
        <x:v>PTC-B</x:v>
      </x:c>
      <x:c r="G44" t="str">
        <x:v>QT-02</x:v>
      </x:c>
      <x:c r="H44" t="str">
        <x:v>RAW-V02</x:v>
      </x:c>
      <x:c r="I44" t="str">
        <x:v>RAW-A004</x:v>
      </x:c>
      <x:c r="J44" t="str">
        <x:v>DISCLOSED</x:v>
      </x:c>
      <x:c r="K44" t="str">
        <x:v>NONE</x:v>
      </x:c>
      <x:c r="L44" t="str">
        <x:v>n.a.</x:v>
      </x:c>
      <x:c r="M44" s="14" t="n">
        <x:v>2</x:v>
      </x:c>
      <x:c r="N44" s="14" t="n">
        <x:v>3</x:v>
      </x:c>
      <x:c r="O44" s="14" t="str"/>
      <x:c r="P44" s="14" t="str"/>
      <x:c r="Q44" s="14" t="str"/>
      <x:c r="R44" s="14" t="str"/>
      <x:c r="S44" s="14" t="str"/>
      <x:c r="T44" s="14" t="str"/>
      <x:c r="U44" s="10" t="str"/>
      <x:c r="V44" t="str"/>
      <x:c r="W44" t="str">
        <x:f>IF(V44=1,IF(R44="VALID","PASS",IF(R44="INVALID","INVALID","OPEN")),"OPEN")</x:f>
        <x:v>OPEN</x:v>
      </x:c>
    </x:row>
    <x:row r="45" ht="36" customHeight="1">
      <x:c r="B45" t="str">
        <x:v>RAW-E039</x:v>
      </x:c>
      <x:c r="C45" t="str">
        <x:v>AM-00</x:v>
      </x:c>
      <x:c r="D45" t="str">
        <x:v>TR-A</x:v>
      </x:c>
      <x:c r="E45" t="str">
        <x:v>RFP-B2</x:v>
      </x:c>
      <x:c r="F45" t="str">
        <x:v>PTC-B</x:v>
      </x:c>
      <x:c r="G45" t="str">
        <x:v>QT-03</x:v>
      </x:c>
      <x:c r="H45" t="str">
        <x:v>RAW-V03</x:v>
      </x:c>
      <x:c r="I45" t="str">
        <x:v>RAW-A004</x:v>
      </x:c>
      <x:c r="J45" t="str">
        <x:v>DISCLOSED</x:v>
      </x:c>
      <x:c r="K45" t="str">
        <x:v>NONE</x:v>
      </x:c>
      <x:c r="L45" t="str">
        <x:v>n.a.</x:v>
      </x:c>
      <x:c r="M45" s="14" t="n">
        <x:v>2</x:v>
      </x:c>
      <x:c r="N45" s="14" t="n">
        <x:v>5</x:v>
      </x:c>
      <x:c r="O45" s="14" t="str"/>
      <x:c r="P45" s="14" t="str"/>
      <x:c r="Q45" s="14" t="str"/>
      <x:c r="R45" s="14" t="str"/>
      <x:c r="S45" s="14" t="str"/>
      <x:c r="T45" s="14" t="str"/>
      <x:c r="U45" s="10" t="str"/>
      <x:c r="V45" t="str"/>
      <x:c r="W45" t="str">
        <x:f>IF(V45=1,IF(R45="VALID","PASS",IF(R45="INVALID","INVALID","OPEN")),"OPEN")</x:f>
        <x:v>OPEN</x:v>
      </x:c>
    </x:row>
    <x:row r="46" ht="36" customHeight="1">
      <x:c r="B46" t="str">
        <x:v>RAW-E040</x:v>
      </x:c>
      <x:c r="C46" t="str">
        <x:v>AM-00</x:v>
      </x:c>
      <x:c r="D46" t="str">
        <x:v>TR-A</x:v>
      </x:c>
      <x:c r="E46" t="str">
        <x:v>RFP-B2</x:v>
      </x:c>
      <x:c r="F46" t="str">
        <x:v>PTC-B</x:v>
      </x:c>
      <x:c r="G46" t="str">
        <x:v>QT-04</x:v>
      </x:c>
      <x:c r="H46" t="str">
        <x:v>RAW-V04</x:v>
      </x:c>
      <x:c r="I46" t="str">
        <x:v>RAW-A004</x:v>
      </x:c>
      <x:c r="J46" t="str">
        <x:v>BLIND</x:v>
      </x:c>
      <x:c r="K46" t="str">
        <x:v>NONE</x:v>
      </x:c>
      <x:c r="L46" t="str">
        <x:v>n.a.</x:v>
      </x:c>
      <x:c r="M46" s="14" t="n">
        <x:v>3</x:v>
      </x:c>
      <x:c r="N46" s="14" t="n">
        <x:v>7</x:v>
      </x:c>
      <x:c r="O46" s="14" t="str"/>
      <x:c r="P46" s="14" t="str"/>
      <x:c r="Q46" s="14" t="str"/>
      <x:c r="R46" s="14" t="str"/>
      <x:c r="S46" s="14" t="str"/>
      <x:c r="T46" s="14" t="str"/>
      <x:c r="U46" s="10" t="str"/>
      <x:c r="V46" t="str"/>
      <x:c r="W46" t="str">
        <x:f>IF(V46=1,IF(R46="VALID","PASS",IF(R46="INVALID","INVALID","OPEN")),"OPEN")</x:f>
        <x:v>OPEN</x:v>
      </x:c>
    </x:row>
    <x:row r="47" ht="36" customHeight="1">
      <x:c r="B47" t="str">
        <x:v>RAW-E041</x:v>
      </x:c>
      <x:c r="C47" t="str">
        <x:v>AM-00</x:v>
      </x:c>
      <x:c r="D47" t="str">
        <x:v>TR-A</x:v>
      </x:c>
      <x:c r="E47" t="str">
        <x:v>RFP-B2</x:v>
      </x:c>
      <x:c r="F47" t="str">
        <x:v>PTC-B</x:v>
      </x:c>
      <x:c r="G47" t="str">
        <x:v>QT-05</x:v>
      </x:c>
      <x:c r="H47" t="str">
        <x:v>RAW-V05</x:v>
      </x:c>
      <x:c r="I47" t="str">
        <x:v>RAW-A004</x:v>
      </x:c>
      <x:c r="J47" t="str">
        <x:v>BLIND</x:v>
      </x:c>
      <x:c r="K47" t="str">
        <x:v>DECISIVE CHAIN</x:v>
      </x:c>
      <x:c r="L47" t="str">
        <x:v>n.a.</x:v>
      </x:c>
      <x:c r="M47" s="14" t="n">
        <x:v>3</x:v>
      </x:c>
      <x:c r="N47" s="14" t="n">
        <x:v>9</x:v>
      </x:c>
      <x:c r="O47" s="14" t="str"/>
      <x:c r="P47" s="14" t="str"/>
      <x:c r="Q47" s="14" t="str"/>
      <x:c r="R47" s="14" t="str"/>
      <x:c r="S47" s="14" t="str"/>
      <x:c r="T47" s="14" t="str"/>
      <x:c r="U47" s="10" t="str"/>
      <x:c r="V47" t="str"/>
      <x:c r="W47" t="str">
        <x:f>IF(V47=1,IF(R47="VALID","PASS",IF(R47="INVALID","INVALID","OPEN")),"OPEN")</x:f>
        <x:v>OPEN</x:v>
      </x:c>
    </x:row>
    <x:row r="48" ht="36" customHeight="1">
      <x:c r="B48" t="str">
        <x:v>RAW-E042</x:v>
      </x:c>
      <x:c r="C48" t="str">
        <x:v>AM-00</x:v>
      </x:c>
      <x:c r="D48" t="str">
        <x:v>TR-A</x:v>
      </x:c>
      <x:c r="E48" t="str">
        <x:v>RFP-B2</x:v>
      </x:c>
      <x:c r="F48" t="str">
        <x:v>PTC-B</x:v>
      </x:c>
      <x:c r="G48" t="str">
        <x:v>QT-06</x:v>
      </x:c>
      <x:c r="H48" t="str">
        <x:v>RAW-V06</x:v>
      </x:c>
      <x:c r="I48" t="str">
        <x:v>RAW-A004</x:v>
      </x:c>
      <x:c r="J48" t="str">
        <x:v>DISCLOSED</x:v>
      </x:c>
      <x:c r="K48" t="str">
        <x:v>NONE</x:v>
      </x:c>
      <x:c r="L48" t="str">
        <x:v>PTC-C</x:v>
      </x:c>
      <x:c r="M48" s="14" t="n">
        <x:v>4</x:v>
      </x:c>
      <x:c r="N48" s="14" t="n">
        <x:v>11</x:v>
      </x:c>
      <x:c r="O48" s="14" t="str"/>
      <x:c r="P48" s="14" t="str"/>
      <x:c r="Q48" s="14" t="str"/>
      <x:c r="R48" s="14" t="str"/>
      <x:c r="S48" s="14" t="str"/>
      <x:c r="T48" s="14" t="str"/>
      <x:c r="U48" s="10" t="str"/>
      <x:c r="V48" t="str"/>
      <x:c r="W48" t="str">
        <x:f>IF(V48=1,IF(R48="VALID","PASS",IF(R48="INVALID","INVALID","OPEN")),"OPEN")</x:f>
        <x:v>OPEN</x:v>
      </x:c>
    </x:row>
    <x:row r="49" ht="36" customHeight="1">
      <x:c r="B49" t="str">
        <x:v>RAW-E043</x:v>
      </x:c>
      <x:c r="C49" t="str">
        <x:v>AM-00</x:v>
      </x:c>
      <x:c r="D49" t="str">
        <x:v>TR-B</x:v>
      </x:c>
      <x:c r="E49" t="str">
        <x:v>RFP-B2</x:v>
      </x:c>
      <x:c r="F49" t="str">
        <x:v>PTC-B</x:v>
      </x:c>
      <x:c r="G49" t="str">
        <x:v>QT-01</x:v>
      </x:c>
      <x:c r="H49" t="str">
        <x:v>RAW-V01</x:v>
      </x:c>
      <x:c r="I49" t="str">
        <x:v>RAW-A016</x:v>
      </x:c>
      <x:c r="J49" t="str">
        <x:v>DISCLOSED</x:v>
      </x:c>
      <x:c r="K49" t="str">
        <x:v>NONE</x:v>
      </x:c>
      <x:c r="L49" t="str">
        <x:v>n.a.</x:v>
      </x:c>
      <x:c r="M49" s="14" t="n">
        <x:v>2</x:v>
      </x:c>
      <x:c r="N49" s="14" t="n">
        <x:v>2</x:v>
      </x:c>
      <x:c r="O49" s="14" t="str"/>
      <x:c r="P49" s="14" t="str"/>
      <x:c r="Q49" s="14" t="str"/>
      <x:c r="R49" s="14" t="str"/>
      <x:c r="S49" s="14" t="str"/>
      <x:c r="T49" s="14" t="str"/>
      <x:c r="U49" s="10" t="str"/>
      <x:c r="V49" t="str"/>
      <x:c r="W49" t="str">
        <x:f>IF(V49=1,IF(R49="VALID","PASS",IF(R49="INVALID","INVALID","OPEN")),"OPEN")</x:f>
        <x:v>OPEN</x:v>
      </x:c>
    </x:row>
    <x:row r="50" ht="36" customHeight="1">
      <x:c r="B50" t="str">
        <x:v>RAW-E044</x:v>
      </x:c>
      <x:c r="C50" t="str">
        <x:v>AM-00</x:v>
      </x:c>
      <x:c r="D50" t="str">
        <x:v>TR-B</x:v>
      </x:c>
      <x:c r="E50" t="str">
        <x:v>RFP-B2</x:v>
      </x:c>
      <x:c r="F50" t="str">
        <x:v>PTC-B</x:v>
      </x:c>
      <x:c r="G50" t="str">
        <x:v>QT-02</x:v>
      </x:c>
      <x:c r="H50" t="str">
        <x:v>RAW-V02</x:v>
      </x:c>
      <x:c r="I50" t="str">
        <x:v>RAW-A016</x:v>
      </x:c>
      <x:c r="J50" t="str">
        <x:v>DISCLOSED</x:v>
      </x:c>
      <x:c r="K50" t="str">
        <x:v>NONE</x:v>
      </x:c>
      <x:c r="L50" t="str">
        <x:v>n.a.</x:v>
      </x:c>
      <x:c r="M50" s="14" t="n">
        <x:v>2</x:v>
      </x:c>
      <x:c r="N50" s="14" t="n">
        <x:v>4</x:v>
      </x:c>
      <x:c r="O50" s="14" t="str"/>
      <x:c r="P50" s="14" t="str"/>
      <x:c r="Q50" s="14" t="str"/>
      <x:c r="R50" s="14" t="str"/>
      <x:c r="S50" s="14" t="str"/>
      <x:c r="T50" s="14" t="str"/>
      <x:c r="U50" s="10" t="str"/>
      <x:c r="V50" t="str"/>
      <x:c r="W50" t="str">
        <x:f>IF(V50=1,IF(R50="VALID","PASS",IF(R50="INVALID","INVALID","OPEN")),"OPEN")</x:f>
        <x:v>OPEN</x:v>
      </x:c>
    </x:row>
    <x:row r="51" ht="36" customHeight="1">
      <x:c r="B51" t="str">
        <x:v>RAW-E045</x:v>
      </x:c>
      <x:c r="C51" t="str">
        <x:v>AM-00</x:v>
      </x:c>
      <x:c r="D51" t="str">
        <x:v>TR-B</x:v>
      </x:c>
      <x:c r="E51" t="str">
        <x:v>RFP-B2</x:v>
      </x:c>
      <x:c r="F51" t="str">
        <x:v>PTC-B</x:v>
      </x:c>
      <x:c r="G51" t="str">
        <x:v>QT-03</x:v>
      </x:c>
      <x:c r="H51" t="str">
        <x:v>RAW-V03</x:v>
      </x:c>
      <x:c r="I51" t="str">
        <x:v>RAW-A016</x:v>
      </x:c>
      <x:c r="J51" t="str">
        <x:v>DISCLOSED</x:v>
      </x:c>
      <x:c r="K51" t="str">
        <x:v>NONE</x:v>
      </x:c>
      <x:c r="L51" t="str">
        <x:v>n.a.</x:v>
      </x:c>
      <x:c r="M51" s="14" t="n">
        <x:v>2</x:v>
      </x:c>
      <x:c r="N51" s="14" t="n">
        <x:v>6</x:v>
      </x:c>
      <x:c r="O51" s="14" t="str"/>
      <x:c r="P51" s="14" t="str"/>
      <x:c r="Q51" s="14" t="str"/>
      <x:c r="R51" s="14" t="str"/>
      <x:c r="S51" s="14" t="str"/>
      <x:c r="T51" s="14" t="str"/>
      <x:c r="U51" s="10" t="str"/>
      <x:c r="V51" t="str"/>
      <x:c r="W51" t="str">
        <x:f>IF(V51=1,IF(R51="VALID","PASS",IF(R51="INVALID","INVALID","OPEN")),"OPEN")</x:f>
        <x:v>OPEN</x:v>
      </x:c>
    </x:row>
    <x:row r="52" ht="36" customHeight="1">
      <x:c r="B52" t="str">
        <x:v>RAW-E046</x:v>
      </x:c>
      <x:c r="C52" t="str">
        <x:v>AM-00</x:v>
      </x:c>
      <x:c r="D52" t="str">
        <x:v>TR-B</x:v>
      </x:c>
      <x:c r="E52" t="str">
        <x:v>RFP-B2</x:v>
      </x:c>
      <x:c r="F52" t="str">
        <x:v>PTC-B</x:v>
      </x:c>
      <x:c r="G52" t="str">
        <x:v>QT-04</x:v>
      </x:c>
      <x:c r="H52" t="str">
        <x:v>RAW-V04</x:v>
      </x:c>
      <x:c r="I52" t="str">
        <x:v>RAW-A016</x:v>
      </x:c>
      <x:c r="J52" t="str">
        <x:v>BLIND</x:v>
      </x:c>
      <x:c r="K52" t="str">
        <x:v>NONE</x:v>
      </x:c>
      <x:c r="L52" t="str">
        <x:v>n.a.</x:v>
      </x:c>
      <x:c r="M52" s="14" t="n">
        <x:v>3</x:v>
      </x:c>
      <x:c r="N52" s="14" t="n">
        <x:v>8</x:v>
      </x:c>
      <x:c r="O52" s="14" t="str"/>
      <x:c r="P52" s="14" t="str"/>
      <x:c r="Q52" s="14" t="str"/>
      <x:c r="R52" s="14" t="str"/>
      <x:c r="S52" s="14" t="str"/>
      <x:c r="T52" s="14" t="str"/>
      <x:c r="U52" s="10" t="str"/>
      <x:c r="V52" t="str"/>
      <x:c r="W52" t="str">
        <x:f>IF(V52=1,IF(R52="VALID","PASS",IF(R52="INVALID","INVALID","OPEN")),"OPEN")</x:f>
        <x:v>OPEN</x:v>
      </x:c>
    </x:row>
    <x:row r="53" ht="36" customHeight="1">
      <x:c r="B53" t="str">
        <x:v>RAW-E047</x:v>
      </x:c>
      <x:c r="C53" t="str">
        <x:v>AM-00</x:v>
      </x:c>
      <x:c r="D53" t="str">
        <x:v>TR-B</x:v>
      </x:c>
      <x:c r="E53" t="str">
        <x:v>RFP-B2</x:v>
      </x:c>
      <x:c r="F53" t="str">
        <x:v>PTC-B</x:v>
      </x:c>
      <x:c r="G53" t="str">
        <x:v>QT-05</x:v>
      </x:c>
      <x:c r="H53" t="str">
        <x:v>RAW-V05</x:v>
      </x:c>
      <x:c r="I53" t="str">
        <x:v>RAW-A016</x:v>
      </x:c>
      <x:c r="J53" t="str">
        <x:v>BLIND</x:v>
      </x:c>
      <x:c r="K53" t="str">
        <x:v>DECISIVE CHAIN</x:v>
      </x:c>
      <x:c r="L53" t="str">
        <x:v>n.a.</x:v>
      </x:c>
      <x:c r="M53" s="14" t="n">
        <x:v>3</x:v>
      </x:c>
      <x:c r="N53" s="14" t="n">
        <x:v>10</x:v>
      </x:c>
      <x:c r="O53" s="14" t="str"/>
      <x:c r="P53" s="14" t="str"/>
      <x:c r="Q53" s="14" t="str"/>
      <x:c r="R53" s="14" t="str"/>
      <x:c r="S53" s="14" t="str"/>
      <x:c r="T53" s="14" t="str"/>
      <x:c r="U53" s="10" t="str"/>
      <x:c r="V53" t="str"/>
      <x:c r="W53" t="str">
        <x:f>IF(V53=1,IF(R53="VALID","PASS",IF(R53="INVALID","INVALID","OPEN")),"OPEN")</x:f>
        <x:v>OPEN</x:v>
      </x:c>
    </x:row>
    <x:row r="54" ht="36" customHeight="1">
      <x:c r="B54" t="str">
        <x:v>RAW-E048</x:v>
      </x:c>
      <x:c r="C54" t="str">
        <x:v>AM-00</x:v>
      </x:c>
      <x:c r="D54" t="str">
        <x:v>TR-B</x:v>
      </x:c>
      <x:c r="E54" t="str">
        <x:v>RFP-B2</x:v>
      </x:c>
      <x:c r="F54" t="str">
        <x:v>PTC-B</x:v>
      </x:c>
      <x:c r="G54" t="str">
        <x:v>QT-06</x:v>
      </x:c>
      <x:c r="H54" t="str">
        <x:v>RAW-V06</x:v>
      </x:c>
      <x:c r="I54" t="str">
        <x:v>RAW-A016</x:v>
      </x:c>
      <x:c r="J54" t="str">
        <x:v>DISCLOSED</x:v>
      </x:c>
      <x:c r="K54" t="str">
        <x:v>NONE</x:v>
      </x:c>
      <x:c r="L54" t="str">
        <x:v>PTC-C</x:v>
      </x:c>
      <x:c r="M54" s="14" t="n">
        <x:v>4</x:v>
      </x:c>
      <x:c r="N54" s="14" t="n">
        <x:v>12</x:v>
      </x:c>
      <x:c r="O54" s="14" t="str"/>
      <x:c r="P54" s="14" t="str"/>
      <x:c r="Q54" s="14" t="str"/>
      <x:c r="R54" s="14" t="str"/>
      <x:c r="S54" s="14" t="str"/>
      <x:c r="T54" s="14" t="str"/>
      <x:c r="U54" s="10" t="str"/>
      <x:c r="V54" t="str"/>
      <x:c r="W54" t="str">
        <x:f>IF(V54=1,IF(R54="VALID","PASS",IF(R54="INVALID","INVALID","OPEN")),"OPEN")</x:f>
        <x:v>OPEN</x:v>
      </x:c>
    </x:row>
    <x:row r="55" ht="36" customHeight="1">
      <x:c r="B55" t="str">
        <x:v>RAW-E049</x:v>
      </x:c>
      <x:c r="C55" t="str">
        <x:v>AM-00</x:v>
      </x:c>
      <x:c r="D55" t="str">
        <x:v>TR-A</x:v>
      </x:c>
      <x:c r="E55" t="str">
        <x:v>RFP-C1</x:v>
      </x:c>
      <x:c r="F55" t="str">
        <x:v>PTC-C</x:v>
      </x:c>
      <x:c r="G55" t="str">
        <x:v>QT-01</x:v>
      </x:c>
      <x:c r="H55" t="str">
        <x:v>RAW-V01</x:v>
      </x:c>
      <x:c r="I55" t="str">
        <x:v>RAW-A005</x:v>
      </x:c>
      <x:c r="J55" t="str">
        <x:v>DISCLOSED</x:v>
      </x:c>
      <x:c r="K55" t="str">
        <x:v>NONE</x:v>
      </x:c>
      <x:c r="L55" t="str">
        <x:v>n.a.</x:v>
      </x:c>
      <x:c r="M55" s="14" t="n">
        <x:v>2</x:v>
      </x:c>
      <x:c r="N55" s="14" t="n">
        <x:v>1</x:v>
      </x:c>
      <x:c r="O55" s="14" t="str"/>
      <x:c r="P55" s="14" t="str"/>
      <x:c r="Q55" s="14" t="str"/>
      <x:c r="R55" s="14" t="str"/>
      <x:c r="S55" s="14" t="str"/>
      <x:c r="T55" s="14" t="str"/>
      <x:c r="U55" s="10" t="str"/>
      <x:c r="V55" t="str"/>
      <x:c r="W55" t="str">
        <x:f>IF(V55=1,IF(R55="VALID","PASS",IF(R55="INVALID","INVALID","OPEN")),"OPEN")</x:f>
        <x:v>OPEN</x:v>
      </x:c>
    </x:row>
    <x:row r="56" ht="36" customHeight="1">
      <x:c r="B56" t="str">
        <x:v>RAW-E050</x:v>
      </x:c>
      <x:c r="C56" t="str">
        <x:v>AM-00</x:v>
      </x:c>
      <x:c r="D56" t="str">
        <x:v>TR-A</x:v>
      </x:c>
      <x:c r="E56" t="str">
        <x:v>RFP-C1</x:v>
      </x:c>
      <x:c r="F56" t="str">
        <x:v>PTC-C</x:v>
      </x:c>
      <x:c r="G56" t="str">
        <x:v>QT-02</x:v>
      </x:c>
      <x:c r="H56" t="str">
        <x:v>RAW-V02</x:v>
      </x:c>
      <x:c r="I56" t="str">
        <x:v>RAW-A005</x:v>
      </x:c>
      <x:c r="J56" t="str">
        <x:v>DISCLOSED</x:v>
      </x:c>
      <x:c r="K56" t="str">
        <x:v>NONE</x:v>
      </x:c>
      <x:c r="L56" t="str">
        <x:v>n.a.</x:v>
      </x:c>
      <x:c r="M56" s="14" t="n">
        <x:v>2</x:v>
      </x:c>
      <x:c r="N56" s="14" t="n">
        <x:v>3</x:v>
      </x:c>
      <x:c r="O56" s="14" t="str"/>
      <x:c r="P56" s="14" t="str"/>
      <x:c r="Q56" s="14" t="str"/>
      <x:c r="R56" s="14" t="str"/>
      <x:c r="S56" s="14" t="str"/>
      <x:c r="T56" s="14" t="str"/>
      <x:c r="U56" s="10" t="str"/>
      <x:c r="V56" t="str"/>
      <x:c r="W56" t="str">
        <x:f>IF(V56=1,IF(R56="VALID","PASS",IF(R56="INVALID","INVALID","OPEN")),"OPEN")</x:f>
        <x:v>OPEN</x:v>
      </x:c>
    </x:row>
    <x:row r="57" ht="36" customHeight="1">
      <x:c r="B57" t="str">
        <x:v>RAW-E051</x:v>
      </x:c>
      <x:c r="C57" t="str">
        <x:v>AM-00</x:v>
      </x:c>
      <x:c r="D57" t="str">
        <x:v>TR-A</x:v>
      </x:c>
      <x:c r="E57" t="str">
        <x:v>RFP-C1</x:v>
      </x:c>
      <x:c r="F57" t="str">
        <x:v>PTC-C</x:v>
      </x:c>
      <x:c r="G57" t="str">
        <x:v>QT-03</x:v>
      </x:c>
      <x:c r="H57" t="str">
        <x:v>RAW-V03</x:v>
      </x:c>
      <x:c r="I57" t="str">
        <x:v>RAW-A005</x:v>
      </x:c>
      <x:c r="J57" t="str">
        <x:v>DISCLOSED</x:v>
      </x:c>
      <x:c r="K57" t="str">
        <x:v>NONE</x:v>
      </x:c>
      <x:c r="L57" t="str">
        <x:v>n.a.</x:v>
      </x:c>
      <x:c r="M57" s="14" t="n">
        <x:v>2</x:v>
      </x:c>
      <x:c r="N57" s="14" t="n">
        <x:v>5</x:v>
      </x:c>
      <x:c r="O57" s="14" t="str"/>
      <x:c r="P57" s="14" t="str"/>
      <x:c r="Q57" s="14" t="str"/>
      <x:c r="R57" s="14" t="str"/>
      <x:c r="S57" s="14" t="str"/>
      <x:c r="T57" s="14" t="str"/>
      <x:c r="U57" s="10" t="str"/>
      <x:c r="V57" t="str"/>
      <x:c r="W57" t="str">
        <x:f>IF(V57=1,IF(R57="VALID","PASS",IF(R57="INVALID","INVALID","OPEN")),"OPEN")</x:f>
        <x:v>OPEN</x:v>
      </x:c>
    </x:row>
    <x:row r="58" ht="36" customHeight="1">
      <x:c r="B58" t="str">
        <x:v>RAW-E052</x:v>
      </x:c>
      <x:c r="C58" t="str">
        <x:v>AM-00</x:v>
      </x:c>
      <x:c r="D58" t="str">
        <x:v>TR-A</x:v>
      </x:c>
      <x:c r="E58" t="str">
        <x:v>RFP-C1</x:v>
      </x:c>
      <x:c r="F58" t="str">
        <x:v>PTC-C</x:v>
      </x:c>
      <x:c r="G58" t="str">
        <x:v>QT-04</x:v>
      </x:c>
      <x:c r="H58" t="str">
        <x:v>RAW-V04</x:v>
      </x:c>
      <x:c r="I58" t="str">
        <x:v>RAW-A005</x:v>
      </x:c>
      <x:c r="J58" t="str">
        <x:v>BLIND</x:v>
      </x:c>
      <x:c r="K58" t="str">
        <x:v>NONE</x:v>
      </x:c>
      <x:c r="L58" t="str">
        <x:v>n.a.</x:v>
      </x:c>
      <x:c r="M58" s="14" t="n">
        <x:v>3</x:v>
      </x:c>
      <x:c r="N58" s="14" t="n">
        <x:v>7</x:v>
      </x:c>
      <x:c r="O58" s="14" t="str"/>
      <x:c r="P58" s="14" t="str"/>
      <x:c r="Q58" s="14" t="str"/>
      <x:c r="R58" s="14" t="str"/>
      <x:c r="S58" s="14" t="str"/>
      <x:c r="T58" s="14" t="str"/>
      <x:c r="U58" s="10" t="str"/>
      <x:c r="V58" t="str"/>
      <x:c r="W58" t="str">
        <x:f>IF(V58=1,IF(R58="VALID","PASS",IF(R58="INVALID","INVALID","OPEN")),"OPEN")</x:f>
        <x:v>OPEN</x:v>
      </x:c>
    </x:row>
    <x:row r="59" ht="36" customHeight="1">
      <x:c r="B59" t="str">
        <x:v>RAW-E053</x:v>
      </x:c>
      <x:c r="C59" t="str">
        <x:v>AM-00</x:v>
      </x:c>
      <x:c r="D59" t="str">
        <x:v>TR-A</x:v>
      </x:c>
      <x:c r="E59" t="str">
        <x:v>RFP-C1</x:v>
      </x:c>
      <x:c r="F59" t="str">
        <x:v>PTC-C</x:v>
      </x:c>
      <x:c r="G59" t="str">
        <x:v>QT-05</x:v>
      </x:c>
      <x:c r="H59" t="str">
        <x:v>RAW-V05</x:v>
      </x:c>
      <x:c r="I59" t="str">
        <x:v>RAW-A005</x:v>
      </x:c>
      <x:c r="J59" t="str">
        <x:v>BLIND</x:v>
      </x:c>
      <x:c r="K59" t="str">
        <x:v>DECISIVE CHAIN</x:v>
      </x:c>
      <x:c r="L59" t="str">
        <x:v>n.a.</x:v>
      </x:c>
      <x:c r="M59" s="14" t="n">
        <x:v>3</x:v>
      </x:c>
      <x:c r="N59" s="14" t="n">
        <x:v>9</x:v>
      </x:c>
      <x:c r="O59" s="14" t="str"/>
      <x:c r="P59" s="14" t="str"/>
      <x:c r="Q59" s="14" t="str"/>
      <x:c r="R59" s="14" t="str"/>
      <x:c r="S59" s="14" t="str"/>
      <x:c r="T59" s="14" t="str"/>
      <x:c r="U59" s="10" t="str"/>
      <x:c r="V59" t="str"/>
      <x:c r="W59" t="str">
        <x:f>IF(V59=1,IF(R59="VALID","PASS",IF(R59="INVALID","INVALID","OPEN")),"OPEN")</x:f>
        <x:v>OPEN</x:v>
      </x:c>
    </x:row>
    <x:row r="60" ht="36" customHeight="1">
      <x:c r="B60" t="str">
        <x:v>RAW-E054</x:v>
      </x:c>
      <x:c r="C60" t="str">
        <x:v>AM-00</x:v>
      </x:c>
      <x:c r="D60" t="str">
        <x:v>TR-A</x:v>
      </x:c>
      <x:c r="E60" t="str">
        <x:v>RFP-C1</x:v>
      </x:c>
      <x:c r="F60" t="str">
        <x:v>PTC-C</x:v>
      </x:c>
      <x:c r="G60" t="str">
        <x:v>QT-06</x:v>
      </x:c>
      <x:c r="H60" t="str">
        <x:v>RAW-V06</x:v>
      </x:c>
      <x:c r="I60" t="str">
        <x:v>RAW-A005</x:v>
      </x:c>
      <x:c r="J60" t="str">
        <x:v>DISCLOSED</x:v>
      </x:c>
      <x:c r="K60" t="str">
        <x:v>NONE</x:v>
      </x:c>
      <x:c r="L60" t="str">
        <x:v>PTC-B</x:v>
      </x:c>
      <x:c r="M60" s="14" t="n">
        <x:v>4</x:v>
      </x:c>
      <x:c r="N60" s="14" t="n">
        <x:v>11</x:v>
      </x:c>
      <x:c r="O60" s="14" t="str"/>
      <x:c r="P60" s="14" t="str"/>
      <x:c r="Q60" s="14" t="str"/>
      <x:c r="R60" s="14" t="str"/>
      <x:c r="S60" s="14" t="str"/>
      <x:c r="T60" s="14" t="str"/>
      <x:c r="U60" s="10" t="str"/>
      <x:c r="V60" t="str"/>
      <x:c r="W60" t="str">
        <x:f>IF(V60=1,IF(R60="VALID","PASS",IF(R60="INVALID","INVALID","OPEN")),"OPEN")</x:f>
        <x:v>OPEN</x:v>
      </x:c>
    </x:row>
    <x:row r="61" ht="36" customHeight="1">
      <x:c r="B61" t="str">
        <x:v>RAW-E055</x:v>
      </x:c>
      <x:c r="C61" t="str">
        <x:v>AM-00</x:v>
      </x:c>
      <x:c r="D61" t="str">
        <x:v>TR-B</x:v>
      </x:c>
      <x:c r="E61" t="str">
        <x:v>RFP-C1</x:v>
      </x:c>
      <x:c r="F61" t="str">
        <x:v>PTC-C</x:v>
      </x:c>
      <x:c r="G61" t="str">
        <x:v>QT-01</x:v>
      </x:c>
      <x:c r="H61" t="str">
        <x:v>RAW-V01</x:v>
      </x:c>
      <x:c r="I61" t="str">
        <x:v>RAW-A017</x:v>
      </x:c>
      <x:c r="J61" t="str">
        <x:v>DISCLOSED</x:v>
      </x:c>
      <x:c r="K61" t="str">
        <x:v>NONE</x:v>
      </x:c>
      <x:c r="L61" t="str">
        <x:v>n.a.</x:v>
      </x:c>
      <x:c r="M61" s="14" t="n">
        <x:v>2</x:v>
      </x:c>
      <x:c r="N61" s="14" t="n">
        <x:v>2</x:v>
      </x:c>
      <x:c r="O61" s="14" t="str"/>
      <x:c r="P61" s="14" t="str"/>
      <x:c r="Q61" s="14" t="str"/>
      <x:c r="R61" s="14" t="str"/>
      <x:c r="S61" s="14" t="str"/>
      <x:c r="T61" s="14" t="str"/>
      <x:c r="U61" s="10" t="str"/>
      <x:c r="V61" t="str"/>
      <x:c r="W61" t="str">
        <x:f>IF(V61=1,IF(R61="VALID","PASS",IF(R61="INVALID","INVALID","OPEN")),"OPEN")</x:f>
        <x:v>OPEN</x:v>
      </x:c>
    </x:row>
    <x:row r="62" ht="36" customHeight="1">
      <x:c r="B62" t="str">
        <x:v>RAW-E056</x:v>
      </x:c>
      <x:c r="C62" t="str">
        <x:v>AM-00</x:v>
      </x:c>
      <x:c r="D62" t="str">
        <x:v>TR-B</x:v>
      </x:c>
      <x:c r="E62" t="str">
        <x:v>RFP-C1</x:v>
      </x:c>
      <x:c r="F62" t="str">
        <x:v>PTC-C</x:v>
      </x:c>
      <x:c r="G62" t="str">
        <x:v>QT-02</x:v>
      </x:c>
      <x:c r="H62" t="str">
        <x:v>RAW-V02</x:v>
      </x:c>
      <x:c r="I62" t="str">
        <x:v>RAW-A017</x:v>
      </x:c>
      <x:c r="J62" t="str">
        <x:v>DISCLOSED</x:v>
      </x:c>
      <x:c r="K62" t="str">
        <x:v>NONE</x:v>
      </x:c>
      <x:c r="L62" t="str">
        <x:v>n.a.</x:v>
      </x:c>
      <x:c r="M62" s="14" t="n">
        <x:v>2</x:v>
      </x:c>
      <x:c r="N62" s="14" t="n">
        <x:v>4</x:v>
      </x:c>
      <x:c r="O62" s="14" t="str"/>
      <x:c r="P62" s="14" t="str"/>
      <x:c r="Q62" s="14" t="str"/>
      <x:c r="R62" s="14" t="str"/>
      <x:c r="S62" s="14" t="str"/>
      <x:c r="T62" s="14" t="str"/>
      <x:c r="U62" s="10" t="str"/>
      <x:c r="V62" t="str"/>
      <x:c r="W62" t="str">
        <x:f>IF(V62=1,IF(R62="VALID","PASS",IF(R62="INVALID","INVALID","OPEN")),"OPEN")</x:f>
        <x:v>OPEN</x:v>
      </x:c>
    </x:row>
    <x:row r="63" ht="36" customHeight="1">
      <x:c r="B63" t="str">
        <x:v>RAW-E057</x:v>
      </x:c>
      <x:c r="C63" t="str">
        <x:v>AM-00</x:v>
      </x:c>
      <x:c r="D63" t="str">
        <x:v>TR-B</x:v>
      </x:c>
      <x:c r="E63" t="str">
        <x:v>RFP-C1</x:v>
      </x:c>
      <x:c r="F63" t="str">
        <x:v>PTC-C</x:v>
      </x:c>
      <x:c r="G63" t="str">
        <x:v>QT-03</x:v>
      </x:c>
      <x:c r="H63" t="str">
        <x:v>RAW-V03</x:v>
      </x:c>
      <x:c r="I63" t="str">
        <x:v>RAW-A017</x:v>
      </x:c>
      <x:c r="J63" t="str">
        <x:v>DISCLOSED</x:v>
      </x:c>
      <x:c r="K63" t="str">
        <x:v>NONE</x:v>
      </x:c>
      <x:c r="L63" t="str">
        <x:v>n.a.</x:v>
      </x:c>
      <x:c r="M63" s="14" t="n">
        <x:v>2</x:v>
      </x:c>
      <x:c r="N63" s="14" t="n">
        <x:v>6</x:v>
      </x:c>
      <x:c r="O63" s="14" t="str"/>
      <x:c r="P63" s="14" t="str"/>
      <x:c r="Q63" s="14" t="str"/>
      <x:c r="R63" s="14" t="str"/>
      <x:c r="S63" s="14" t="str"/>
      <x:c r="T63" s="14" t="str"/>
      <x:c r="U63" s="10" t="str"/>
      <x:c r="V63" t="str"/>
      <x:c r="W63" t="str">
        <x:f>IF(V63=1,IF(R63="VALID","PASS",IF(R63="INVALID","INVALID","OPEN")),"OPEN")</x:f>
        <x:v>OPEN</x:v>
      </x:c>
    </x:row>
    <x:row r="64" ht="36" customHeight="1">
      <x:c r="B64" t="str">
        <x:v>RAW-E058</x:v>
      </x:c>
      <x:c r="C64" t="str">
        <x:v>AM-00</x:v>
      </x:c>
      <x:c r="D64" t="str">
        <x:v>TR-B</x:v>
      </x:c>
      <x:c r="E64" t="str">
        <x:v>RFP-C1</x:v>
      </x:c>
      <x:c r="F64" t="str">
        <x:v>PTC-C</x:v>
      </x:c>
      <x:c r="G64" t="str">
        <x:v>QT-04</x:v>
      </x:c>
      <x:c r="H64" t="str">
        <x:v>RAW-V04</x:v>
      </x:c>
      <x:c r="I64" t="str">
        <x:v>RAW-A017</x:v>
      </x:c>
      <x:c r="J64" t="str">
        <x:v>BLIND</x:v>
      </x:c>
      <x:c r="K64" t="str">
        <x:v>NONE</x:v>
      </x:c>
      <x:c r="L64" t="str">
        <x:v>n.a.</x:v>
      </x:c>
      <x:c r="M64" s="14" t="n">
        <x:v>3</x:v>
      </x:c>
      <x:c r="N64" s="14" t="n">
        <x:v>8</x:v>
      </x:c>
      <x:c r="O64" s="14" t="str"/>
      <x:c r="P64" s="14" t="str"/>
      <x:c r="Q64" s="14" t="str"/>
      <x:c r="R64" s="14" t="str"/>
      <x:c r="S64" s="14" t="str"/>
      <x:c r="T64" s="14" t="str"/>
      <x:c r="U64" s="10" t="str"/>
      <x:c r="V64" t="str"/>
      <x:c r="W64" t="str">
        <x:f>IF(V64=1,IF(R64="VALID","PASS",IF(R64="INVALID","INVALID","OPEN")),"OPEN")</x:f>
        <x:v>OPEN</x:v>
      </x:c>
    </x:row>
    <x:row r="65" ht="36" customHeight="1">
      <x:c r="B65" t="str">
        <x:v>RAW-E059</x:v>
      </x:c>
      <x:c r="C65" t="str">
        <x:v>AM-00</x:v>
      </x:c>
      <x:c r="D65" t="str">
        <x:v>TR-B</x:v>
      </x:c>
      <x:c r="E65" t="str">
        <x:v>RFP-C1</x:v>
      </x:c>
      <x:c r="F65" t="str">
        <x:v>PTC-C</x:v>
      </x:c>
      <x:c r="G65" t="str">
        <x:v>QT-05</x:v>
      </x:c>
      <x:c r="H65" t="str">
        <x:v>RAW-V05</x:v>
      </x:c>
      <x:c r="I65" t="str">
        <x:v>RAW-A017</x:v>
      </x:c>
      <x:c r="J65" t="str">
        <x:v>BLIND</x:v>
      </x:c>
      <x:c r="K65" t="str">
        <x:v>DECISIVE CHAIN</x:v>
      </x:c>
      <x:c r="L65" t="str">
        <x:v>n.a.</x:v>
      </x:c>
      <x:c r="M65" s="14" t="n">
        <x:v>3</x:v>
      </x:c>
      <x:c r="N65" s="14" t="n">
        <x:v>10</x:v>
      </x:c>
      <x:c r="O65" s="14" t="str"/>
      <x:c r="P65" s="14" t="str"/>
      <x:c r="Q65" s="14" t="str"/>
      <x:c r="R65" s="14" t="str"/>
      <x:c r="S65" s="14" t="str"/>
      <x:c r="T65" s="14" t="str"/>
      <x:c r="U65" s="10" t="str"/>
      <x:c r="V65" t="str"/>
      <x:c r="W65" t="str">
        <x:f>IF(V65=1,IF(R65="VALID","PASS",IF(R65="INVALID","INVALID","OPEN")),"OPEN")</x:f>
        <x:v>OPEN</x:v>
      </x:c>
    </x:row>
    <x:row r="66" ht="36" customHeight="1">
      <x:c r="B66" t="str">
        <x:v>RAW-E060</x:v>
      </x:c>
      <x:c r="C66" t="str">
        <x:v>AM-00</x:v>
      </x:c>
      <x:c r="D66" t="str">
        <x:v>TR-B</x:v>
      </x:c>
      <x:c r="E66" t="str">
        <x:v>RFP-C1</x:v>
      </x:c>
      <x:c r="F66" t="str">
        <x:v>PTC-C</x:v>
      </x:c>
      <x:c r="G66" t="str">
        <x:v>QT-06</x:v>
      </x:c>
      <x:c r="H66" t="str">
        <x:v>RAW-V06</x:v>
      </x:c>
      <x:c r="I66" t="str">
        <x:v>RAW-A017</x:v>
      </x:c>
      <x:c r="J66" t="str">
        <x:v>DISCLOSED</x:v>
      </x:c>
      <x:c r="K66" t="str">
        <x:v>NONE</x:v>
      </x:c>
      <x:c r="L66" t="str">
        <x:v>PTC-B</x:v>
      </x:c>
      <x:c r="M66" s="14" t="n">
        <x:v>4</x:v>
      </x:c>
      <x:c r="N66" s="14" t="n">
        <x:v>12</x:v>
      </x:c>
      <x:c r="O66" s="14" t="str"/>
      <x:c r="P66" s="14" t="str"/>
      <x:c r="Q66" s="14" t="str"/>
      <x:c r="R66" s="14" t="str"/>
      <x:c r="S66" s="14" t="str"/>
      <x:c r="T66" s="14" t="str"/>
      <x:c r="U66" s="10" t="str"/>
      <x:c r="V66" t="str"/>
      <x:c r="W66" t="str">
        <x:f>IF(V66=1,IF(R66="VALID","PASS",IF(R66="INVALID","INVALID","OPEN")),"OPEN")</x:f>
        <x:v>OPEN</x:v>
      </x:c>
    </x:row>
    <x:row r="67" ht="36" customHeight="1">
      <x:c r="B67" t="str">
        <x:v>RAW-E061</x:v>
      </x:c>
      <x:c r="C67" t="str">
        <x:v>AM-00</x:v>
      </x:c>
      <x:c r="D67" t="str">
        <x:v>TR-A</x:v>
      </x:c>
      <x:c r="E67" t="str">
        <x:v>RFP-C2</x:v>
      </x:c>
      <x:c r="F67" t="str">
        <x:v>PTC-C</x:v>
      </x:c>
      <x:c r="G67" t="str">
        <x:v>QT-01</x:v>
      </x:c>
      <x:c r="H67" t="str">
        <x:v>RAW-V01</x:v>
      </x:c>
      <x:c r="I67" t="str">
        <x:v>RAW-A006</x:v>
      </x:c>
      <x:c r="J67" t="str">
        <x:v>DISCLOSED</x:v>
      </x:c>
      <x:c r="K67" t="str">
        <x:v>NONE</x:v>
      </x:c>
      <x:c r="L67" t="str">
        <x:v>n.a.</x:v>
      </x:c>
      <x:c r="M67" s="14" t="n">
        <x:v>2</x:v>
      </x:c>
      <x:c r="N67" s="14" t="n">
        <x:v>1</x:v>
      </x:c>
      <x:c r="O67" s="14" t="str"/>
      <x:c r="P67" s="14" t="str"/>
      <x:c r="Q67" s="14" t="str"/>
      <x:c r="R67" s="14" t="str"/>
      <x:c r="S67" s="14" t="str"/>
      <x:c r="T67" s="14" t="str"/>
      <x:c r="U67" s="10" t="str"/>
      <x:c r="V67" t="str"/>
      <x:c r="W67" t="str">
        <x:f>IF(V67=1,IF(R67="VALID","PASS",IF(R67="INVALID","INVALID","OPEN")),"OPEN")</x:f>
        <x:v>OPEN</x:v>
      </x:c>
    </x:row>
    <x:row r="68" ht="36" customHeight="1">
      <x:c r="B68" t="str">
        <x:v>RAW-E062</x:v>
      </x:c>
      <x:c r="C68" t="str">
        <x:v>AM-00</x:v>
      </x:c>
      <x:c r="D68" t="str">
        <x:v>TR-A</x:v>
      </x:c>
      <x:c r="E68" t="str">
        <x:v>RFP-C2</x:v>
      </x:c>
      <x:c r="F68" t="str">
        <x:v>PTC-C</x:v>
      </x:c>
      <x:c r="G68" t="str">
        <x:v>QT-02</x:v>
      </x:c>
      <x:c r="H68" t="str">
        <x:v>RAW-V02</x:v>
      </x:c>
      <x:c r="I68" t="str">
        <x:v>RAW-A006</x:v>
      </x:c>
      <x:c r="J68" t="str">
        <x:v>DISCLOSED</x:v>
      </x:c>
      <x:c r="K68" t="str">
        <x:v>NONE</x:v>
      </x:c>
      <x:c r="L68" t="str">
        <x:v>n.a.</x:v>
      </x:c>
      <x:c r="M68" s="14" t="n">
        <x:v>2</x:v>
      </x:c>
      <x:c r="N68" s="14" t="n">
        <x:v>3</x:v>
      </x:c>
      <x:c r="O68" s="14" t="str"/>
      <x:c r="P68" s="14" t="str"/>
      <x:c r="Q68" s="14" t="str"/>
      <x:c r="R68" s="14" t="str"/>
      <x:c r="S68" s="14" t="str"/>
      <x:c r="T68" s="14" t="str"/>
      <x:c r="U68" s="10" t="str"/>
      <x:c r="V68" t="str"/>
      <x:c r="W68" t="str">
        <x:f>IF(V68=1,IF(R68="VALID","PASS",IF(R68="INVALID","INVALID","OPEN")),"OPEN")</x:f>
        <x:v>OPEN</x:v>
      </x:c>
    </x:row>
    <x:row r="69" ht="36" customHeight="1">
      <x:c r="B69" t="str">
        <x:v>RAW-E063</x:v>
      </x:c>
      <x:c r="C69" t="str">
        <x:v>AM-00</x:v>
      </x:c>
      <x:c r="D69" t="str">
        <x:v>TR-A</x:v>
      </x:c>
      <x:c r="E69" t="str">
        <x:v>RFP-C2</x:v>
      </x:c>
      <x:c r="F69" t="str">
        <x:v>PTC-C</x:v>
      </x:c>
      <x:c r="G69" t="str">
        <x:v>QT-03</x:v>
      </x:c>
      <x:c r="H69" t="str">
        <x:v>RAW-V03</x:v>
      </x:c>
      <x:c r="I69" t="str">
        <x:v>RAW-A006</x:v>
      </x:c>
      <x:c r="J69" t="str">
        <x:v>DISCLOSED</x:v>
      </x:c>
      <x:c r="K69" t="str">
        <x:v>NONE</x:v>
      </x:c>
      <x:c r="L69" t="str">
        <x:v>n.a.</x:v>
      </x:c>
      <x:c r="M69" s="14" t="n">
        <x:v>2</x:v>
      </x:c>
      <x:c r="N69" s="14" t="n">
        <x:v>5</x:v>
      </x:c>
      <x:c r="O69" s="14" t="str"/>
      <x:c r="P69" s="14" t="str"/>
      <x:c r="Q69" s="14" t="str"/>
      <x:c r="R69" s="14" t="str"/>
      <x:c r="S69" s="14" t="str"/>
      <x:c r="T69" s="14" t="str"/>
      <x:c r="U69" s="10" t="str"/>
      <x:c r="V69" t="str"/>
      <x:c r="W69" t="str">
        <x:f>IF(V69=1,IF(R69="VALID","PASS",IF(R69="INVALID","INVALID","OPEN")),"OPEN")</x:f>
        <x:v>OPEN</x:v>
      </x:c>
    </x:row>
    <x:row r="70" ht="36" customHeight="1">
      <x:c r="B70" t="str">
        <x:v>RAW-E064</x:v>
      </x:c>
      <x:c r="C70" t="str">
        <x:v>AM-00</x:v>
      </x:c>
      <x:c r="D70" t="str">
        <x:v>TR-A</x:v>
      </x:c>
      <x:c r="E70" t="str">
        <x:v>RFP-C2</x:v>
      </x:c>
      <x:c r="F70" t="str">
        <x:v>PTC-C</x:v>
      </x:c>
      <x:c r="G70" t="str">
        <x:v>QT-04</x:v>
      </x:c>
      <x:c r="H70" t="str">
        <x:v>RAW-V04</x:v>
      </x:c>
      <x:c r="I70" t="str">
        <x:v>RAW-A006</x:v>
      </x:c>
      <x:c r="J70" t="str">
        <x:v>BLIND</x:v>
      </x:c>
      <x:c r="K70" t="str">
        <x:v>NONE</x:v>
      </x:c>
      <x:c r="L70" t="str">
        <x:v>n.a.</x:v>
      </x:c>
      <x:c r="M70" s="14" t="n">
        <x:v>3</x:v>
      </x:c>
      <x:c r="N70" s="14" t="n">
        <x:v>7</x:v>
      </x:c>
      <x:c r="O70" s="14" t="str"/>
      <x:c r="P70" s="14" t="str"/>
      <x:c r="Q70" s="14" t="str"/>
      <x:c r="R70" s="14" t="str"/>
      <x:c r="S70" s="14" t="str"/>
      <x:c r="T70" s="14" t="str"/>
      <x:c r="U70" s="10" t="str"/>
      <x:c r="V70" t="str"/>
      <x:c r="W70" t="str">
        <x:f>IF(V70=1,IF(R70="VALID","PASS",IF(R70="INVALID","INVALID","OPEN")),"OPEN")</x:f>
        <x:v>OPEN</x:v>
      </x:c>
    </x:row>
    <x:row r="71" ht="36" customHeight="1">
      <x:c r="B71" t="str">
        <x:v>RAW-E065</x:v>
      </x:c>
      <x:c r="C71" t="str">
        <x:v>AM-00</x:v>
      </x:c>
      <x:c r="D71" t="str">
        <x:v>TR-A</x:v>
      </x:c>
      <x:c r="E71" t="str">
        <x:v>RFP-C2</x:v>
      </x:c>
      <x:c r="F71" t="str">
        <x:v>PTC-C</x:v>
      </x:c>
      <x:c r="G71" t="str">
        <x:v>QT-05</x:v>
      </x:c>
      <x:c r="H71" t="str">
        <x:v>RAW-V05</x:v>
      </x:c>
      <x:c r="I71" t="str">
        <x:v>RAW-A006</x:v>
      </x:c>
      <x:c r="J71" t="str">
        <x:v>BLIND</x:v>
      </x:c>
      <x:c r="K71" t="str">
        <x:v>DECISIVE CHAIN</x:v>
      </x:c>
      <x:c r="L71" t="str">
        <x:v>n.a.</x:v>
      </x:c>
      <x:c r="M71" s="14" t="n">
        <x:v>3</x:v>
      </x:c>
      <x:c r="N71" s="14" t="n">
        <x:v>9</x:v>
      </x:c>
      <x:c r="O71" s="14" t="str"/>
      <x:c r="P71" s="14" t="str"/>
      <x:c r="Q71" s="14" t="str"/>
      <x:c r="R71" s="14" t="str"/>
      <x:c r="S71" s="14" t="str"/>
      <x:c r="T71" s="14" t="str"/>
      <x:c r="U71" s="10" t="str"/>
      <x:c r="V71" t="str"/>
      <x:c r="W71" t="str">
        <x:f>IF(V71=1,IF(R71="VALID","PASS",IF(R71="INVALID","INVALID","OPEN")),"OPEN")</x:f>
        <x:v>OPEN</x:v>
      </x:c>
    </x:row>
    <x:row r="72" ht="36" customHeight="1">
      <x:c r="B72" t="str">
        <x:v>RAW-E066</x:v>
      </x:c>
      <x:c r="C72" t="str">
        <x:v>AM-00</x:v>
      </x:c>
      <x:c r="D72" t="str">
        <x:v>TR-A</x:v>
      </x:c>
      <x:c r="E72" t="str">
        <x:v>RFP-C2</x:v>
      </x:c>
      <x:c r="F72" t="str">
        <x:v>PTC-C</x:v>
      </x:c>
      <x:c r="G72" t="str">
        <x:v>QT-06</x:v>
      </x:c>
      <x:c r="H72" t="str">
        <x:v>RAW-V06</x:v>
      </x:c>
      <x:c r="I72" t="str">
        <x:v>RAW-A006</x:v>
      </x:c>
      <x:c r="J72" t="str">
        <x:v>DISCLOSED</x:v>
      </x:c>
      <x:c r="K72" t="str">
        <x:v>NONE</x:v>
      </x:c>
      <x:c r="L72" t="str">
        <x:v>PTC-B</x:v>
      </x:c>
      <x:c r="M72" s="14" t="n">
        <x:v>4</x:v>
      </x:c>
      <x:c r="N72" s="14" t="n">
        <x:v>11</x:v>
      </x:c>
      <x:c r="O72" s="14" t="str"/>
      <x:c r="P72" s="14" t="str"/>
      <x:c r="Q72" s="14" t="str"/>
      <x:c r="R72" s="14" t="str"/>
      <x:c r="S72" s="14" t="str"/>
      <x:c r="T72" s="14" t="str"/>
      <x:c r="U72" s="10" t="str"/>
      <x:c r="V72" t="str"/>
      <x:c r="W72" t="str">
        <x:f>IF(V72=1,IF(R72="VALID","PASS",IF(R72="INVALID","INVALID","OPEN")),"OPEN")</x:f>
        <x:v>OPEN</x:v>
      </x:c>
    </x:row>
    <x:row r="73" ht="36" customHeight="1">
      <x:c r="B73" t="str">
        <x:v>RAW-E067</x:v>
      </x:c>
      <x:c r="C73" t="str">
        <x:v>AM-00</x:v>
      </x:c>
      <x:c r="D73" t="str">
        <x:v>TR-B</x:v>
      </x:c>
      <x:c r="E73" t="str">
        <x:v>RFP-C2</x:v>
      </x:c>
      <x:c r="F73" t="str">
        <x:v>PTC-C</x:v>
      </x:c>
      <x:c r="G73" t="str">
        <x:v>QT-01</x:v>
      </x:c>
      <x:c r="H73" t="str">
        <x:v>RAW-V01</x:v>
      </x:c>
      <x:c r="I73" t="str">
        <x:v>RAW-A018</x:v>
      </x:c>
      <x:c r="J73" t="str">
        <x:v>DISCLOSED</x:v>
      </x:c>
      <x:c r="K73" t="str">
        <x:v>NONE</x:v>
      </x:c>
      <x:c r="L73" t="str">
        <x:v>n.a.</x:v>
      </x:c>
      <x:c r="M73" s="14" t="n">
        <x:v>2</x:v>
      </x:c>
      <x:c r="N73" s="14" t="n">
        <x:v>2</x:v>
      </x:c>
      <x:c r="O73" s="14" t="str"/>
      <x:c r="P73" s="14" t="str"/>
      <x:c r="Q73" s="14" t="str"/>
      <x:c r="R73" s="14" t="str"/>
      <x:c r="S73" s="14" t="str"/>
      <x:c r="T73" s="14" t="str"/>
      <x:c r="U73" s="10" t="str"/>
      <x:c r="V73" t="str"/>
      <x:c r="W73" t="str">
        <x:f>IF(V73=1,IF(R73="VALID","PASS",IF(R73="INVALID","INVALID","OPEN")),"OPEN")</x:f>
        <x:v>OPEN</x:v>
      </x:c>
    </x:row>
    <x:row r="74" ht="36" customHeight="1">
      <x:c r="B74" t="str">
        <x:v>RAW-E068</x:v>
      </x:c>
      <x:c r="C74" t="str">
        <x:v>AM-00</x:v>
      </x:c>
      <x:c r="D74" t="str">
        <x:v>TR-B</x:v>
      </x:c>
      <x:c r="E74" t="str">
        <x:v>RFP-C2</x:v>
      </x:c>
      <x:c r="F74" t="str">
        <x:v>PTC-C</x:v>
      </x:c>
      <x:c r="G74" t="str">
        <x:v>QT-02</x:v>
      </x:c>
      <x:c r="H74" t="str">
        <x:v>RAW-V02</x:v>
      </x:c>
      <x:c r="I74" t="str">
        <x:v>RAW-A018</x:v>
      </x:c>
      <x:c r="J74" t="str">
        <x:v>DISCLOSED</x:v>
      </x:c>
      <x:c r="K74" t="str">
        <x:v>NONE</x:v>
      </x:c>
      <x:c r="L74" t="str">
        <x:v>n.a.</x:v>
      </x:c>
      <x:c r="M74" s="14" t="n">
        <x:v>2</x:v>
      </x:c>
      <x:c r="N74" s="14" t="n">
        <x:v>4</x:v>
      </x:c>
      <x:c r="O74" s="14" t="str"/>
      <x:c r="P74" s="14" t="str"/>
      <x:c r="Q74" s="14" t="str"/>
      <x:c r="R74" s="14" t="str"/>
      <x:c r="S74" s="14" t="str"/>
      <x:c r="T74" s="14" t="str"/>
      <x:c r="U74" s="10" t="str"/>
      <x:c r="V74" t="str"/>
      <x:c r="W74" t="str">
        <x:f>IF(V74=1,IF(R74="VALID","PASS",IF(R74="INVALID","INVALID","OPEN")),"OPEN")</x:f>
        <x:v>OPEN</x:v>
      </x:c>
    </x:row>
    <x:row r="75" ht="36" customHeight="1">
      <x:c r="B75" t="str">
        <x:v>RAW-E069</x:v>
      </x:c>
      <x:c r="C75" t="str">
        <x:v>AM-00</x:v>
      </x:c>
      <x:c r="D75" t="str">
        <x:v>TR-B</x:v>
      </x:c>
      <x:c r="E75" t="str">
        <x:v>RFP-C2</x:v>
      </x:c>
      <x:c r="F75" t="str">
        <x:v>PTC-C</x:v>
      </x:c>
      <x:c r="G75" t="str">
        <x:v>QT-03</x:v>
      </x:c>
      <x:c r="H75" t="str">
        <x:v>RAW-V03</x:v>
      </x:c>
      <x:c r="I75" t="str">
        <x:v>RAW-A018</x:v>
      </x:c>
      <x:c r="J75" t="str">
        <x:v>DISCLOSED</x:v>
      </x:c>
      <x:c r="K75" t="str">
        <x:v>NONE</x:v>
      </x:c>
      <x:c r="L75" t="str">
        <x:v>n.a.</x:v>
      </x:c>
      <x:c r="M75" s="14" t="n">
        <x:v>2</x:v>
      </x:c>
      <x:c r="N75" s="14" t="n">
        <x:v>6</x:v>
      </x:c>
      <x:c r="O75" s="14" t="str"/>
      <x:c r="P75" s="14" t="str"/>
      <x:c r="Q75" s="14" t="str"/>
      <x:c r="R75" s="14" t="str"/>
      <x:c r="S75" s="14" t="str"/>
      <x:c r="T75" s="14" t="str"/>
      <x:c r="U75" s="10" t="str"/>
      <x:c r="V75" t="str"/>
      <x:c r="W75" t="str">
        <x:f>IF(V75=1,IF(R75="VALID","PASS",IF(R75="INVALID","INVALID","OPEN")),"OPEN")</x:f>
        <x:v>OPEN</x:v>
      </x:c>
    </x:row>
    <x:row r="76" ht="36" customHeight="1">
      <x:c r="B76" t="str">
        <x:v>RAW-E070</x:v>
      </x:c>
      <x:c r="C76" t="str">
        <x:v>AM-00</x:v>
      </x:c>
      <x:c r="D76" t="str">
        <x:v>TR-B</x:v>
      </x:c>
      <x:c r="E76" t="str">
        <x:v>RFP-C2</x:v>
      </x:c>
      <x:c r="F76" t="str">
        <x:v>PTC-C</x:v>
      </x:c>
      <x:c r="G76" t="str">
        <x:v>QT-04</x:v>
      </x:c>
      <x:c r="H76" t="str">
        <x:v>RAW-V04</x:v>
      </x:c>
      <x:c r="I76" t="str">
        <x:v>RAW-A018</x:v>
      </x:c>
      <x:c r="J76" t="str">
        <x:v>BLIND</x:v>
      </x:c>
      <x:c r="K76" t="str">
        <x:v>NONE</x:v>
      </x:c>
      <x:c r="L76" t="str">
        <x:v>n.a.</x:v>
      </x:c>
      <x:c r="M76" s="14" t="n">
        <x:v>3</x:v>
      </x:c>
      <x:c r="N76" s="14" t="n">
        <x:v>8</x:v>
      </x:c>
      <x:c r="O76" s="14" t="str"/>
      <x:c r="P76" s="14" t="str"/>
      <x:c r="Q76" s="14" t="str"/>
      <x:c r="R76" s="14" t="str"/>
      <x:c r="S76" s="14" t="str"/>
      <x:c r="T76" s="14" t="str"/>
      <x:c r="U76" s="10" t="str"/>
      <x:c r="V76" t="str"/>
      <x:c r="W76" t="str">
        <x:f>IF(V76=1,IF(R76="VALID","PASS",IF(R76="INVALID","INVALID","OPEN")),"OPEN")</x:f>
        <x:v>OPEN</x:v>
      </x:c>
    </x:row>
    <x:row r="77" ht="36" customHeight="1">
      <x:c r="B77" t="str">
        <x:v>RAW-E071</x:v>
      </x:c>
      <x:c r="C77" t="str">
        <x:v>AM-00</x:v>
      </x:c>
      <x:c r="D77" t="str">
        <x:v>TR-B</x:v>
      </x:c>
      <x:c r="E77" t="str">
        <x:v>RFP-C2</x:v>
      </x:c>
      <x:c r="F77" t="str">
        <x:v>PTC-C</x:v>
      </x:c>
      <x:c r="G77" t="str">
        <x:v>QT-05</x:v>
      </x:c>
      <x:c r="H77" t="str">
        <x:v>RAW-V05</x:v>
      </x:c>
      <x:c r="I77" t="str">
        <x:v>RAW-A018</x:v>
      </x:c>
      <x:c r="J77" t="str">
        <x:v>BLIND</x:v>
      </x:c>
      <x:c r="K77" t="str">
        <x:v>DECISIVE CHAIN</x:v>
      </x:c>
      <x:c r="L77" t="str">
        <x:v>n.a.</x:v>
      </x:c>
      <x:c r="M77" s="14" t="n">
        <x:v>3</x:v>
      </x:c>
      <x:c r="N77" s="14" t="n">
        <x:v>10</x:v>
      </x:c>
      <x:c r="O77" s="14" t="str"/>
      <x:c r="P77" s="14" t="str"/>
      <x:c r="Q77" s="14" t="str"/>
      <x:c r="R77" s="14" t="str"/>
      <x:c r="S77" s="14" t="str"/>
      <x:c r="T77" s="14" t="str"/>
      <x:c r="U77" s="10" t="str"/>
      <x:c r="V77" t="str"/>
      <x:c r="W77" t="str">
        <x:f>IF(V77=1,IF(R77="VALID","PASS",IF(R77="INVALID","INVALID","OPEN")),"OPEN")</x:f>
        <x:v>OPEN</x:v>
      </x:c>
    </x:row>
    <x:row r="78" ht="36" customHeight="1">
      <x:c r="B78" t="str">
        <x:v>RAW-E072</x:v>
      </x:c>
      <x:c r="C78" t="str">
        <x:v>AM-00</x:v>
      </x:c>
      <x:c r="D78" t="str">
        <x:v>TR-B</x:v>
      </x:c>
      <x:c r="E78" t="str">
        <x:v>RFP-C2</x:v>
      </x:c>
      <x:c r="F78" t="str">
        <x:v>PTC-C</x:v>
      </x:c>
      <x:c r="G78" t="str">
        <x:v>QT-06</x:v>
      </x:c>
      <x:c r="H78" t="str">
        <x:v>RAW-V06</x:v>
      </x:c>
      <x:c r="I78" t="str">
        <x:v>RAW-A018</x:v>
      </x:c>
      <x:c r="J78" t="str">
        <x:v>DISCLOSED</x:v>
      </x:c>
      <x:c r="K78" t="str">
        <x:v>NONE</x:v>
      </x:c>
      <x:c r="L78" t="str">
        <x:v>PTC-B</x:v>
      </x:c>
      <x:c r="M78" s="14" t="n">
        <x:v>4</x:v>
      </x:c>
      <x:c r="N78" s="14" t="n">
        <x:v>12</x:v>
      </x:c>
      <x:c r="O78" s="14" t="str"/>
      <x:c r="P78" s="14" t="str"/>
      <x:c r="Q78" s="14" t="str"/>
      <x:c r="R78" s="14" t="str"/>
      <x:c r="S78" s="14" t="str"/>
      <x:c r="T78" s="14" t="str"/>
      <x:c r="U78" s="10" t="str"/>
      <x:c r="V78" t="str"/>
      <x:c r="W78" t="str">
        <x:f>IF(V78=1,IF(R78="VALID","PASS",IF(R78="INVALID","INVALID","OPEN")),"OPEN")</x:f>
        <x:v>OPEN</x:v>
      </x:c>
    </x:row>
    <x:row r="79" ht="36" customHeight="1">
      <x:c r="B79" t="str">
        <x:v>RAW-E073</x:v>
      </x:c>
      <x:c r="C79" t="str">
        <x:v>AM-01</x:v>
      </x:c>
      <x:c r="D79" t="str">
        <x:v>TR-A</x:v>
      </x:c>
      <x:c r="E79" t="str">
        <x:v>RFP-A1</x:v>
      </x:c>
      <x:c r="F79" t="str">
        <x:v>PTC-A</x:v>
      </x:c>
      <x:c r="G79" t="str">
        <x:v>QT-01</x:v>
      </x:c>
      <x:c r="H79" t="str">
        <x:v>RAW-V07</x:v>
      </x:c>
      <x:c r="I79" t="str">
        <x:v>RAW-A025</x:v>
      </x:c>
      <x:c r="J79" t="str">
        <x:v>DISCLOSED</x:v>
      </x:c>
      <x:c r="K79" t="str">
        <x:v>NONE</x:v>
      </x:c>
      <x:c r="L79" t="str">
        <x:v>n.a.</x:v>
      </x:c>
      <x:c r="M79" s="14" t="n">
        <x:v>2</x:v>
      </x:c>
      <x:c r="N79" s="14" t="n">
        <x:v>1</x:v>
      </x:c>
      <x:c r="O79" s="14" t="str"/>
      <x:c r="P79" s="14" t="str"/>
      <x:c r="Q79" s="14" t="str"/>
      <x:c r="R79" s="14" t="str"/>
      <x:c r="S79" s="14" t="str"/>
      <x:c r="T79" s="14" t="str"/>
      <x:c r="U79" s="10" t="str"/>
      <x:c r="V79" t="str"/>
      <x:c r="W79" t="str">
        <x:f>IF(V79=1,IF(R79="VALID","PASS",IF(R79="INVALID","INVALID","OPEN")),"OPEN")</x:f>
        <x:v>OPEN</x:v>
      </x:c>
    </x:row>
    <x:row r="80" ht="36" customHeight="1">
      <x:c r="B80" t="str">
        <x:v>RAW-E074</x:v>
      </x:c>
      <x:c r="C80" t="str">
        <x:v>AM-01</x:v>
      </x:c>
      <x:c r="D80" t="str">
        <x:v>TR-A</x:v>
      </x:c>
      <x:c r="E80" t="str">
        <x:v>RFP-A1</x:v>
      </x:c>
      <x:c r="F80" t="str">
        <x:v>PTC-A</x:v>
      </x:c>
      <x:c r="G80" t="str">
        <x:v>QT-02</x:v>
      </x:c>
      <x:c r="H80" t="str">
        <x:v>RAW-V08</x:v>
      </x:c>
      <x:c r="I80" t="str">
        <x:v>RAW-A025</x:v>
      </x:c>
      <x:c r="J80" t="str">
        <x:v>DISCLOSED</x:v>
      </x:c>
      <x:c r="K80" t="str">
        <x:v>NONE</x:v>
      </x:c>
      <x:c r="L80" t="str">
        <x:v>n.a.</x:v>
      </x:c>
      <x:c r="M80" s="14" t="n">
        <x:v>2</x:v>
      </x:c>
      <x:c r="N80" s="14" t="n">
        <x:v>3</x:v>
      </x:c>
      <x:c r="O80" s="14" t="str"/>
      <x:c r="P80" s="14" t="str"/>
      <x:c r="Q80" s="14" t="str"/>
      <x:c r="R80" s="14" t="str"/>
      <x:c r="S80" s="14" t="str"/>
      <x:c r="T80" s="14" t="str"/>
      <x:c r="U80" s="10" t="str"/>
      <x:c r="V80" t="str"/>
      <x:c r="W80" t="str">
        <x:f>IF(V80=1,IF(R80="VALID","PASS",IF(R80="INVALID","INVALID","OPEN")),"OPEN")</x:f>
        <x:v>OPEN</x:v>
      </x:c>
    </x:row>
    <x:row r="81" ht="36" customHeight="1">
      <x:c r="B81" t="str">
        <x:v>RAW-E075</x:v>
      </x:c>
      <x:c r="C81" t="str">
        <x:v>AM-01</x:v>
      </x:c>
      <x:c r="D81" t="str">
        <x:v>TR-A</x:v>
      </x:c>
      <x:c r="E81" t="str">
        <x:v>RFP-A1</x:v>
      </x:c>
      <x:c r="F81" t="str">
        <x:v>PTC-A</x:v>
      </x:c>
      <x:c r="G81" t="str">
        <x:v>QT-03</x:v>
      </x:c>
      <x:c r="H81" t="str">
        <x:v>RAW-V09</x:v>
      </x:c>
      <x:c r="I81" t="str">
        <x:v>RAW-A025</x:v>
      </x:c>
      <x:c r="J81" t="str">
        <x:v>DISCLOSED</x:v>
      </x:c>
      <x:c r="K81" t="str">
        <x:v>NONE</x:v>
      </x:c>
      <x:c r="L81" t="str">
        <x:v>n.a.</x:v>
      </x:c>
      <x:c r="M81" s="14" t="n">
        <x:v>2</x:v>
      </x:c>
      <x:c r="N81" s="14" t="n">
        <x:v>5</x:v>
      </x:c>
      <x:c r="O81" s="14" t="str"/>
      <x:c r="P81" s="14" t="str"/>
      <x:c r="Q81" s="14" t="str"/>
      <x:c r="R81" s="14" t="str"/>
      <x:c r="S81" s="14" t="str"/>
      <x:c r="T81" s="14" t="str"/>
      <x:c r="U81" s="10" t="str"/>
      <x:c r="V81" t="str"/>
      <x:c r="W81" t="str">
        <x:f>IF(V81=1,IF(R81="VALID","PASS",IF(R81="INVALID","INVALID","OPEN")),"OPEN")</x:f>
        <x:v>OPEN</x:v>
      </x:c>
    </x:row>
    <x:row r="82" ht="36" customHeight="1">
      <x:c r="B82" t="str">
        <x:v>RAW-E076</x:v>
      </x:c>
      <x:c r="C82" t="str">
        <x:v>AM-01</x:v>
      </x:c>
      <x:c r="D82" t="str">
        <x:v>TR-A</x:v>
      </x:c>
      <x:c r="E82" t="str">
        <x:v>RFP-A1</x:v>
      </x:c>
      <x:c r="F82" t="str">
        <x:v>PTC-A</x:v>
      </x:c>
      <x:c r="G82" t="str">
        <x:v>QT-04</x:v>
      </x:c>
      <x:c r="H82" t="str">
        <x:v>RAW-V10</x:v>
      </x:c>
      <x:c r="I82" t="str">
        <x:v>RAW-A025</x:v>
      </x:c>
      <x:c r="J82" t="str">
        <x:v>BLIND</x:v>
      </x:c>
      <x:c r="K82" t="str">
        <x:v>NONE</x:v>
      </x:c>
      <x:c r="L82" t="str">
        <x:v>n.a.</x:v>
      </x:c>
      <x:c r="M82" s="14" t="n">
        <x:v>3</x:v>
      </x:c>
      <x:c r="N82" s="14" t="n">
        <x:v>7</x:v>
      </x:c>
      <x:c r="O82" s="14" t="str"/>
      <x:c r="P82" s="14" t="str"/>
      <x:c r="Q82" s="14" t="str"/>
      <x:c r="R82" s="14" t="str"/>
      <x:c r="S82" s="14" t="str"/>
      <x:c r="T82" s="14" t="str"/>
      <x:c r="U82" s="10" t="str"/>
      <x:c r="V82" t="str"/>
      <x:c r="W82" t="str">
        <x:f>IF(V82=1,IF(R82="VALID","PASS",IF(R82="INVALID","INVALID","OPEN")),"OPEN")</x:f>
        <x:v>OPEN</x:v>
      </x:c>
    </x:row>
    <x:row r="83" ht="36" customHeight="1">
      <x:c r="B83" t="str">
        <x:v>RAW-E077</x:v>
      </x:c>
      <x:c r="C83" t="str">
        <x:v>AM-01</x:v>
      </x:c>
      <x:c r="D83" t="str">
        <x:v>TR-A</x:v>
      </x:c>
      <x:c r="E83" t="str">
        <x:v>RFP-A1</x:v>
      </x:c>
      <x:c r="F83" t="str">
        <x:v>PTC-A</x:v>
      </x:c>
      <x:c r="G83" t="str">
        <x:v>QT-05</x:v>
      </x:c>
      <x:c r="H83" t="str">
        <x:v>RAW-V11</x:v>
      </x:c>
      <x:c r="I83" t="str">
        <x:v>RAW-A025</x:v>
      </x:c>
      <x:c r="J83" t="str">
        <x:v>BLIND</x:v>
      </x:c>
      <x:c r="K83" t="str">
        <x:v>DECISIVE CHAIN</x:v>
      </x:c>
      <x:c r="L83" t="str">
        <x:v>n.a.</x:v>
      </x:c>
      <x:c r="M83" s="14" t="n">
        <x:v>3</x:v>
      </x:c>
      <x:c r="N83" s="14" t="n">
        <x:v>9</x:v>
      </x:c>
      <x:c r="O83" s="14" t="str"/>
      <x:c r="P83" s="14" t="str"/>
      <x:c r="Q83" s="14" t="str"/>
      <x:c r="R83" s="14" t="str"/>
      <x:c r="S83" s="14" t="str"/>
      <x:c r="T83" s="14" t="str"/>
      <x:c r="U83" s="10" t="str"/>
      <x:c r="V83" t="str"/>
      <x:c r="W83" t="str">
        <x:f>IF(V83=1,IF(R83="VALID","PASS",IF(R83="INVALID","INVALID","OPEN")),"OPEN")</x:f>
        <x:v>OPEN</x:v>
      </x:c>
    </x:row>
    <x:row r="84" ht="36" customHeight="1">
      <x:c r="B84" t="str">
        <x:v>RAW-E078</x:v>
      </x:c>
      <x:c r="C84" t="str">
        <x:v>AM-01</x:v>
      </x:c>
      <x:c r="D84" t="str">
        <x:v>TR-A</x:v>
      </x:c>
      <x:c r="E84" t="str">
        <x:v>RFP-A1</x:v>
      </x:c>
      <x:c r="F84" t="str">
        <x:v>PTC-A</x:v>
      </x:c>
      <x:c r="G84" t="str">
        <x:v>QT-06</x:v>
      </x:c>
      <x:c r="H84" t="str">
        <x:v>RAW-V12</x:v>
      </x:c>
      <x:c r="I84" t="str">
        <x:v>RAW-A025</x:v>
      </x:c>
      <x:c r="J84" t="str">
        <x:v>DISCLOSED</x:v>
      </x:c>
      <x:c r="K84" t="str">
        <x:v>NONE</x:v>
      </x:c>
      <x:c r="L84" t="str">
        <x:v>PTC-B</x:v>
      </x:c>
      <x:c r="M84" s="14" t="n">
        <x:v>4</x:v>
      </x:c>
      <x:c r="N84" s="14" t="n">
        <x:v>11</x:v>
      </x:c>
      <x:c r="O84" s="14" t="str"/>
      <x:c r="P84" s="14" t="str"/>
      <x:c r="Q84" s="14" t="str"/>
      <x:c r="R84" s="14" t="str"/>
      <x:c r="S84" s="14" t="str"/>
      <x:c r="T84" s="14" t="str"/>
      <x:c r="U84" s="10" t="str"/>
      <x:c r="V84" t="str"/>
      <x:c r="W84" t="str">
        <x:f>IF(V84=1,IF(R84="VALID","PASS",IF(R84="INVALID","INVALID","OPEN")),"OPEN")</x:f>
        <x:v>OPEN</x:v>
      </x:c>
    </x:row>
    <x:row r="85" ht="36" customHeight="1">
      <x:c r="B85" t="str">
        <x:v>RAW-E079</x:v>
      </x:c>
      <x:c r="C85" t="str">
        <x:v>AM-01</x:v>
      </x:c>
      <x:c r="D85" t="str">
        <x:v>TR-B</x:v>
      </x:c>
      <x:c r="E85" t="str">
        <x:v>RFP-A1</x:v>
      </x:c>
      <x:c r="F85" t="str">
        <x:v>PTC-A</x:v>
      </x:c>
      <x:c r="G85" t="str">
        <x:v>QT-01</x:v>
      </x:c>
      <x:c r="H85" t="str">
        <x:v>RAW-V07</x:v>
      </x:c>
      <x:c r="I85" t="str">
        <x:v>RAW-A037</x:v>
      </x:c>
      <x:c r="J85" t="str">
        <x:v>DISCLOSED</x:v>
      </x:c>
      <x:c r="K85" t="str">
        <x:v>NONE</x:v>
      </x:c>
      <x:c r="L85" t="str">
        <x:v>n.a.</x:v>
      </x:c>
      <x:c r="M85" s="14" t="n">
        <x:v>2</x:v>
      </x:c>
      <x:c r="N85" s="14" t="n">
        <x:v>2</x:v>
      </x:c>
      <x:c r="O85" s="14" t="str"/>
      <x:c r="P85" s="14" t="str"/>
      <x:c r="Q85" s="14" t="str"/>
      <x:c r="R85" s="14" t="str"/>
      <x:c r="S85" s="14" t="str"/>
      <x:c r="T85" s="14" t="str"/>
      <x:c r="U85" s="10" t="str"/>
      <x:c r="V85" t="str"/>
      <x:c r="W85" t="str">
        <x:f>IF(V85=1,IF(R85="VALID","PASS",IF(R85="INVALID","INVALID","OPEN")),"OPEN")</x:f>
        <x:v>OPEN</x:v>
      </x:c>
    </x:row>
    <x:row r="86" ht="36" customHeight="1">
      <x:c r="B86" t="str">
        <x:v>RAW-E080</x:v>
      </x:c>
      <x:c r="C86" t="str">
        <x:v>AM-01</x:v>
      </x:c>
      <x:c r="D86" t="str">
        <x:v>TR-B</x:v>
      </x:c>
      <x:c r="E86" t="str">
        <x:v>RFP-A1</x:v>
      </x:c>
      <x:c r="F86" t="str">
        <x:v>PTC-A</x:v>
      </x:c>
      <x:c r="G86" t="str">
        <x:v>QT-02</x:v>
      </x:c>
      <x:c r="H86" t="str">
        <x:v>RAW-V08</x:v>
      </x:c>
      <x:c r="I86" t="str">
        <x:v>RAW-A037</x:v>
      </x:c>
      <x:c r="J86" t="str">
        <x:v>DISCLOSED</x:v>
      </x:c>
      <x:c r="K86" t="str">
        <x:v>NONE</x:v>
      </x:c>
      <x:c r="L86" t="str">
        <x:v>n.a.</x:v>
      </x:c>
      <x:c r="M86" s="14" t="n">
        <x:v>2</x:v>
      </x:c>
      <x:c r="N86" s="14" t="n">
        <x:v>4</x:v>
      </x:c>
      <x:c r="O86" s="14" t="str"/>
      <x:c r="P86" s="14" t="str"/>
      <x:c r="Q86" s="14" t="str"/>
      <x:c r="R86" s="14" t="str"/>
      <x:c r="S86" s="14" t="str"/>
      <x:c r="T86" s="14" t="str"/>
      <x:c r="U86" s="10" t="str"/>
      <x:c r="V86" t="str"/>
      <x:c r="W86" t="str">
        <x:f>IF(V86=1,IF(R86="VALID","PASS",IF(R86="INVALID","INVALID","OPEN")),"OPEN")</x:f>
        <x:v>OPEN</x:v>
      </x:c>
    </x:row>
    <x:row r="87" ht="36" customHeight="1">
      <x:c r="B87" t="str">
        <x:v>RAW-E081</x:v>
      </x:c>
      <x:c r="C87" t="str">
        <x:v>AM-01</x:v>
      </x:c>
      <x:c r="D87" t="str">
        <x:v>TR-B</x:v>
      </x:c>
      <x:c r="E87" t="str">
        <x:v>RFP-A1</x:v>
      </x:c>
      <x:c r="F87" t="str">
        <x:v>PTC-A</x:v>
      </x:c>
      <x:c r="G87" t="str">
        <x:v>QT-03</x:v>
      </x:c>
      <x:c r="H87" t="str">
        <x:v>RAW-V09</x:v>
      </x:c>
      <x:c r="I87" t="str">
        <x:v>RAW-A037</x:v>
      </x:c>
      <x:c r="J87" t="str">
        <x:v>DISCLOSED</x:v>
      </x:c>
      <x:c r="K87" t="str">
        <x:v>NONE</x:v>
      </x:c>
      <x:c r="L87" t="str">
        <x:v>n.a.</x:v>
      </x:c>
      <x:c r="M87" s="14" t="n">
        <x:v>2</x:v>
      </x:c>
      <x:c r="N87" s="14" t="n">
        <x:v>6</x:v>
      </x:c>
      <x:c r="O87" s="14" t="str"/>
      <x:c r="P87" s="14" t="str"/>
      <x:c r="Q87" s="14" t="str"/>
      <x:c r="R87" s="14" t="str"/>
      <x:c r="S87" s="14" t="str"/>
      <x:c r="T87" s="14" t="str"/>
      <x:c r="U87" s="10" t="str"/>
      <x:c r="V87" t="str"/>
      <x:c r="W87" t="str">
        <x:f>IF(V87=1,IF(R87="VALID","PASS",IF(R87="INVALID","INVALID","OPEN")),"OPEN")</x:f>
        <x:v>OPEN</x:v>
      </x:c>
    </x:row>
    <x:row r="88" ht="36" customHeight="1">
      <x:c r="B88" t="str">
        <x:v>RAW-E082</x:v>
      </x:c>
      <x:c r="C88" t="str">
        <x:v>AM-01</x:v>
      </x:c>
      <x:c r="D88" t="str">
        <x:v>TR-B</x:v>
      </x:c>
      <x:c r="E88" t="str">
        <x:v>RFP-A1</x:v>
      </x:c>
      <x:c r="F88" t="str">
        <x:v>PTC-A</x:v>
      </x:c>
      <x:c r="G88" t="str">
        <x:v>QT-04</x:v>
      </x:c>
      <x:c r="H88" t="str">
        <x:v>RAW-V10</x:v>
      </x:c>
      <x:c r="I88" t="str">
        <x:v>RAW-A037</x:v>
      </x:c>
      <x:c r="J88" t="str">
        <x:v>BLIND</x:v>
      </x:c>
      <x:c r="K88" t="str">
        <x:v>NONE</x:v>
      </x:c>
      <x:c r="L88" t="str">
        <x:v>n.a.</x:v>
      </x:c>
      <x:c r="M88" s="14" t="n">
        <x:v>3</x:v>
      </x:c>
      <x:c r="N88" s="14" t="n">
        <x:v>8</x:v>
      </x:c>
      <x:c r="O88" s="14" t="str"/>
      <x:c r="P88" s="14" t="str"/>
      <x:c r="Q88" s="14" t="str"/>
      <x:c r="R88" s="14" t="str"/>
      <x:c r="S88" s="14" t="str"/>
      <x:c r="T88" s="14" t="str"/>
      <x:c r="U88" s="10" t="str"/>
      <x:c r="V88" t="str"/>
      <x:c r="W88" t="str">
        <x:f>IF(V88=1,IF(R88="VALID","PASS",IF(R88="INVALID","INVALID","OPEN")),"OPEN")</x:f>
        <x:v>OPEN</x:v>
      </x:c>
    </x:row>
    <x:row r="89" ht="36" customHeight="1">
      <x:c r="B89" t="str">
        <x:v>RAW-E083</x:v>
      </x:c>
      <x:c r="C89" t="str">
        <x:v>AM-01</x:v>
      </x:c>
      <x:c r="D89" t="str">
        <x:v>TR-B</x:v>
      </x:c>
      <x:c r="E89" t="str">
        <x:v>RFP-A1</x:v>
      </x:c>
      <x:c r="F89" t="str">
        <x:v>PTC-A</x:v>
      </x:c>
      <x:c r="G89" t="str">
        <x:v>QT-05</x:v>
      </x:c>
      <x:c r="H89" t="str">
        <x:v>RAW-V11</x:v>
      </x:c>
      <x:c r="I89" t="str">
        <x:v>RAW-A037</x:v>
      </x:c>
      <x:c r="J89" t="str">
        <x:v>BLIND</x:v>
      </x:c>
      <x:c r="K89" t="str">
        <x:v>DECISIVE CHAIN</x:v>
      </x:c>
      <x:c r="L89" t="str">
        <x:v>n.a.</x:v>
      </x:c>
      <x:c r="M89" s="14" t="n">
        <x:v>3</x:v>
      </x:c>
      <x:c r="N89" s="14" t="n">
        <x:v>10</x:v>
      </x:c>
      <x:c r="O89" s="14" t="str"/>
      <x:c r="P89" s="14" t="str"/>
      <x:c r="Q89" s="14" t="str"/>
      <x:c r="R89" s="14" t="str"/>
      <x:c r="S89" s="14" t="str"/>
      <x:c r="T89" s="14" t="str"/>
      <x:c r="U89" s="10" t="str"/>
      <x:c r="V89" t="str"/>
      <x:c r="W89" t="str">
        <x:f>IF(V89=1,IF(R89="VALID","PASS",IF(R89="INVALID","INVALID","OPEN")),"OPEN")</x:f>
        <x:v>OPEN</x:v>
      </x:c>
    </x:row>
    <x:row r="90" ht="36" customHeight="1">
      <x:c r="B90" t="str">
        <x:v>RAW-E084</x:v>
      </x:c>
      <x:c r="C90" t="str">
        <x:v>AM-01</x:v>
      </x:c>
      <x:c r="D90" t="str">
        <x:v>TR-B</x:v>
      </x:c>
      <x:c r="E90" t="str">
        <x:v>RFP-A1</x:v>
      </x:c>
      <x:c r="F90" t="str">
        <x:v>PTC-A</x:v>
      </x:c>
      <x:c r="G90" t="str">
        <x:v>QT-06</x:v>
      </x:c>
      <x:c r="H90" t="str">
        <x:v>RAW-V12</x:v>
      </x:c>
      <x:c r="I90" t="str">
        <x:v>RAW-A037</x:v>
      </x:c>
      <x:c r="J90" t="str">
        <x:v>DISCLOSED</x:v>
      </x:c>
      <x:c r="K90" t="str">
        <x:v>NONE</x:v>
      </x:c>
      <x:c r="L90" t="str">
        <x:v>PTC-B</x:v>
      </x:c>
      <x:c r="M90" s="14" t="n">
        <x:v>4</x:v>
      </x:c>
      <x:c r="N90" s="14" t="n">
        <x:v>12</x:v>
      </x:c>
      <x:c r="O90" s="14" t="str"/>
      <x:c r="P90" s="14" t="str"/>
      <x:c r="Q90" s="14" t="str"/>
      <x:c r="R90" s="14" t="str"/>
      <x:c r="S90" s="14" t="str"/>
      <x:c r="T90" s="14" t="str"/>
      <x:c r="U90" s="10" t="str"/>
      <x:c r="V90" t="str"/>
      <x:c r="W90" t="str">
        <x:f>IF(V90=1,IF(R90="VALID","PASS",IF(R90="INVALID","INVALID","OPEN")),"OPEN")</x:f>
        <x:v>OPEN</x:v>
      </x:c>
    </x:row>
    <x:row r="91" ht="36" customHeight="1">
      <x:c r="B91" t="str">
        <x:v>RAW-E085</x:v>
      </x:c>
      <x:c r="C91" t="str">
        <x:v>AM-01</x:v>
      </x:c>
      <x:c r="D91" t="str">
        <x:v>TR-A</x:v>
      </x:c>
      <x:c r="E91" t="str">
        <x:v>RFP-A2</x:v>
      </x:c>
      <x:c r="F91" t="str">
        <x:v>PTC-A</x:v>
      </x:c>
      <x:c r="G91" t="str">
        <x:v>QT-01</x:v>
      </x:c>
      <x:c r="H91" t="str">
        <x:v>RAW-V07</x:v>
      </x:c>
      <x:c r="I91" t="str">
        <x:v>RAW-A026</x:v>
      </x:c>
      <x:c r="J91" t="str">
        <x:v>DISCLOSED</x:v>
      </x:c>
      <x:c r="K91" t="str">
        <x:v>NONE</x:v>
      </x:c>
      <x:c r="L91" t="str">
        <x:v>n.a.</x:v>
      </x:c>
      <x:c r="M91" s="14" t="n">
        <x:v>2</x:v>
      </x:c>
      <x:c r="N91" s="14" t="n">
        <x:v>1</x:v>
      </x:c>
      <x:c r="O91" s="14" t="str"/>
      <x:c r="P91" s="14" t="str"/>
      <x:c r="Q91" s="14" t="str"/>
      <x:c r="R91" s="14" t="str"/>
      <x:c r="S91" s="14" t="str"/>
      <x:c r="T91" s="14" t="str"/>
      <x:c r="U91" s="10" t="str"/>
      <x:c r="V91" t="str"/>
      <x:c r="W91" t="str">
        <x:f>IF(V91=1,IF(R91="VALID","PASS",IF(R91="INVALID","INVALID","OPEN")),"OPEN")</x:f>
        <x:v>OPEN</x:v>
      </x:c>
    </x:row>
    <x:row r="92" ht="36" customHeight="1">
      <x:c r="B92" t="str">
        <x:v>RAW-E086</x:v>
      </x:c>
      <x:c r="C92" t="str">
        <x:v>AM-01</x:v>
      </x:c>
      <x:c r="D92" t="str">
        <x:v>TR-A</x:v>
      </x:c>
      <x:c r="E92" t="str">
        <x:v>RFP-A2</x:v>
      </x:c>
      <x:c r="F92" t="str">
        <x:v>PTC-A</x:v>
      </x:c>
      <x:c r="G92" t="str">
        <x:v>QT-02</x:v>
      </x:c>
      <x:c r="H92" t="str">
        <x:v>RAW-V08</x:v>
      </x:c>
      <x:c r="I92" t="str">
        <x:v>RAW-A026</x:v>
      </x:c>
      <x:c r="J92" t="str">
        <x:v>DISCLOSED</x:v>
      </x:c>
      <x:c r="K92" t="str">
        <x:v>NONE</x:v>
      </x:c>
      <x:c r="L92" t="str">
        <x:v>n.a.</x:v>
      </x:c>
      <x:c r="M92" s="14" t="n">
        <x:v>2</x:v>
      </x:c>
      <x:c r="N92" s="14" t="n">
        <x:v>3</x:v>
      </x:c>
      <x:c r="O92" s="14" t="str"/>
      <x:c r="P92" s="14" t="str"/>
      <x:c r="Q92" s="14" t="str"/>
      <x:c r="R92" s="14" t="str"/>
      <x:c r="S92" s="14" t="str"/>
      <x:c r="T92" s="14" t="str"/>
      <x:c r="U92" s="10" t="str"/>
      <x:c r="V92" t="str"/>
      <x:c r="W92" t="str">
        <x:f>IF(V92=1,IF(R92="VALID","PASS",IF(R92="INVALID","INVALID","OPEN")),"OPEN")</x:f>
        <x:v>OPEN</x:v>
      </x:c>
    </x:row>
    <x:row r="93" ht="36" customHeight="1">
      <x:c r="B93" t="str">
        <x:v>RAW-E087</x:v>
      </x:c>
      <x:c r="C93" t="str">
        <x:v>AM-01</x:v>
      </x:c>
      <x:c r="D93" t="str">
        <x:v>TR-A</x:v>
      </x:c>
      <x:c r="E93" t="str">
        <x:v>RFP-A2</x:v>
      </x:c>
      <x:c r="F93" t="str">
        <x:v>PTC-A</x:v>
      </x:c>
      <x:c r="G93" t="str">
        <x:v>QT-03</x:v>
      </x:c>
      <x:c r="H93" t="str">
        <x:v>RAW-V09</x:v>
      </x:c>
      <x:c r="I93" t="str">
        <x:v>RAW-A026</x:v>
      </x:c>
      <x:c r="J93" t="str">
        <x:v>DISCLOSED</x:v>
      </x:c>
      <x:c r="K93" t="str">
        <x:v>NONE</x:v>
      </x:c>
      <x:c r="L93" t="str">
        <x:v>n.a.</x:v>
      </x:c>
      <x:c r="M93" s="14" t="n">
        <x:v>2</x:v>
      </x:c>
      <x:c r="N93" s="14" t="n">
        <x:v>5</x:v>
      </x:c>
      <x:c r="O93" s="14" t="str"/>
      <x:c r="P93" s="14" t="str"/>
      <x:c r="Q93" s="14" t="str"/>
      <x:c r="R93" s="14" t="str"/>
      <x:c r="S93" s="14" t="str"/>
      <x:c r="T93" s="14" t="str"/>
      <x:c r="U93" s="10" t="str"/>
      <x:c r="V93" t="str"/>
      <x:c r="W93" t="str">
        <x:f>IF(V93=1,IF(R93="VALID","PASS",IF(R93="INVALID","INVALID","OPEN")),"OPEN")</x:f>
        <x:v>OPEN</x:v>
      </x:c>
    </x:row>
    <x:row r="94" ht="36" customHeight="1">
      <x:c r="B94" t="str">
        <x:v>RAW-E088</x:v>
      </x:c>
      <x:c r="C94" t="str">
        <x:v>AM-01</x:v>
      </x:c>
      <x:c r="D94" t="str">
        <x:v>TR-A</x:v>
      </x:c>
      <x:c r="E94" t="str">
        <x:v>RFP-A2</x:v>
      </x:c>
      <x:c r="F94" t="str">
        <x:v>PTC-A</x:v>
      </x:c>
      <x:c r="G94" t="str">
        <x:v>QT-04</x:v>
      </x:c>
      <x:c r="H94" t="str">
        <x:v>RAW-V10</x:v>
      </x:c>
      <x:c r="I94" t="str">
        <x:v>RAW-A026</x:v>
      </x:c>
      <x:c r="J94" t="str">
        <x:v>BLIND</x:v>
      </x:c>
      <x:c r="K94" t="str">
        <x:v>NONE</x:v>
      </x:c>
      <x:c r="L94" t="str">
        <x:v>n.a.</x:v>
      </x:c>
      <x:c r="M94" s="14" t="n">
        <x:v>3</x:v>
      </x:c>
      <x:c r="N94" s="14" t="n">
        <x:v>7</x:v>
      </x:c>
      <x:c r="O94" s="14" t="str"/>
      <x:c r="P94" s="14" t="str"/>
      <x:c r="Q94" s="14" t="str"/>
      <x:c r="R94" s="14" t="str"/>
      <x:c r="S94" s="14" t="str"/>
      <x:c r="T94" s="14" t="str"/>
      <x:c r="U94" s="10" t="str"/>
      <x:c r="V94" t="str"/>
      <x:c r="W94" t="str">
        <x:f>IF(V94=1,IF(R94="VALID","PASS",IF(R94="INVALID","INVALID","OPEN")),"OPEN")</x:f>
        <x:v>OPEN</x:v>
      </x:c>
    </x:row>
    <x:row r="95" ht="36" customHeight="1">
      <x:c r="B95" t="str">
        <x:v>RAW-E089</x:v>
      </x:c>
      <x:c r="C95" t="str">
        <x:v>AM-01</x:v>
      </x:c>
      <x:c r="D95" t="str">
        <x:v>TR-A</x:v>
      </x:c>
      <x:c r="E95" t="str">
        <x:v>RFP-A2</x:v>
      </x:c>
      <x:c r="F95" t="str">
        <x:v>PTC-A</x:v>
      </x:c>
      <x:c r="G95" t="str">
        <x:v>QT-05</x:v>
      </x:c>
      <x:c r="H95" t="str">
        <x:v>RAW-V11</x:v>
      </x:c>
      <x:c r="I95" t="str">
        <x:v>RAW-A026</x:v>
      </x:c>
      <x:c r="J95" t="str">
        <x:v>BLIND</x:v>
      </x:c>
      <x:c r="K95" t="str">
        <x:v>DECISIVE CHAIN</x:v>
      </x:c>
      <x:c r="L95" t="str">
        <x:v>n.a.</x:v>
      </x:c>
      <x:c r="M95" s="14" t="n">
        <x:v>3</x:v>
      </x:c>
      <x:c r="N95" s="14" t="n">
        <x:v>9</x:v>
      </x:c>
      <x:c r="O95" s="14" t="str"/>
      <x:c r="P95" s="14" t="str"/>
      <x:c r="Q95" s="14" t="str"/>
      <x:c r="R95" s="14" t="str"/>
      <x:c r="S95" s="14" t="str"/>
      <x:c r="T95" s="14" t="str"/>
      <x:c r="U95" s="10" t="str"/>
      <x:c r="V95" t="str"/>
      <x:c r="W95" t="str">
        <x:f>IF(V95=1,IF(R95="VALID","PASS",IF(R95="INVALID","INVALID","OPEN")),"OPEN")</x:f>
        <x:v>OPEN</x:v>
      </x:c>
    </x:row>
    <x:row r="96" ht="36" customHeight="1">
      <x:c r="B96" t="str">
        <x:v>RAW-E090</x:v>
      </x:c>
      <x:c r="C96" t="str">
        <x:v>AM-01</x:v>
      </x:c>
      <x:c r="D96" t="str">
        <x:v>TR-A</x:v>
      </x:c>
      <x:c r="E96" t="str">
        <x:v>RFP-A2</x:v>
      </x:c>
      <x:c r="F96" t="str">
        <x:v>PTC-A</x:v>
      </x:c>
      <x:c r="G96" t="str">
        <x:v>QT-06</x:v>
      </x:c>
      <x:c r="H96" t="str">
        <x:v>RAW-V12</x:v>
      </x:c>
      <x:c r="I96" t="str">
        <x:v>RAW-A026</x:v>
      </x:c>
      <x:c r="J96" t="str">
        <x:v>DISCLOSED</x:v>
      </x:c>
      <x:c r="K96" t="str">
        <x:v>NONE</x:v>
      </x:c>
      <x:c r="L96" t="str">
        <x:v>PTC-B</x:v>
      </x:c>
      <x:c r="M96" s="14" t="n">
        <x:v>4</x:v>
      </x:c>
      <x:c r="N96" s="14" t="n">
        <x:v>11</x:v>
      </x:c>
      <x:c r="O96" s="14" t="str"/>
      <x:c r="P96" s="14" t="str"/>
      <x:c r="Q96" s="14" t="str"/>
      <x:c r="R96" s="14" t="str"/>
      <x:c r="S96" s="14" t="str"/>
      <x:c r="T96" s="14" t="str"/>
      <x:c r="U96" s="10" t="str"/>
      <x:c r="V96" t="str"/>
      <x:c r="W96" t="str">
        <x:f>IF(V96=1,IF(R96="VALID","PASS",IF(R96="INVALID","INVALID","OPEN")),"OPEN")</x:f>
        <x:v>OPEN</x:v>
      </x:c>
    </x:row>
    <x:row r="97" ht="36" customHeight="1">
      <x:c r="B97" t="str">
        <x:v>RAW-E091</x:v>
      </x:c>
      <x:c r="C97" t="str">
        <x:v>AM-01</x:v>
      </x:c>
      <x:c r="D97" t="str">
        <x:v>TR-B</x:v>
      </x:c>
      <x:c r="E97" t="str">
        <x:v>RFP-A2</x:v>
      </x:c>
      <x:c r="F97" t="str">
        <x:v>PTC-A</x:v>
      </x:c>
      <x:c r="G97" t="str">
        <x:v>QT-01</x:v>
      </x:c>
      <x:c r="H97" t="str">
        <x:v>RAW-V07</x:v>
      </x:c>
      <x:c r="I97" t="str">
        <x:v>RAW-A038</x:v>
      </x:c>
      <x:c r="J97" t="str">
        <x:v>DISCLOSED</x:v>
      </x:c>
      <x:c r="K97" t="str">
        <x:v>NONE</x:v>
      </x:c>
      <x:c r="L97" t="str">
        <x:v>n.a.</x:v>
      </x:c>
      <x:c r="M97" s="14" t="n">
        <x:v>2</x:v>
      </x:c>
      <x:c r="N97" s="14" t="n">
        <x:v>2</x:v>
      </x:c>
      <x:c r="O97" s="14" t="str"/>
      <x:c r="P97" s="14" t="str"/>
      <x:c r="Q97" s="14" t="str"/>
      <x:c r="R97" s="14" t="str"/>
      <x:c r="S97" s="14" t="str"/>
      <x:c r="T97" s="14" t="str"/>
      <x:c r="U97" s="10" t="str"/>
      <x:c r="V97" t="str"/>
      <x:c r="W97" t="str">
        <x:f>IF(V97=1,IF(R97="VALID","PASS",IF(R97="INVALID","INVALID","OPEN")),"OPEN")</x:f>
        <x:v>OPEN</x:v>
      </x:c>
    </x:row>
    <x:row r="98" ht="36" customHeight="1">
      <x:c r="B98" t="str">
        <x:v>RAW-E092</x:v>
      </x:c>
      <x:c r="C98" t="str">
        <x:v>AM-01</x:v>
      </x:c>
      <x:c r="D98" t="str">
        <x:v>TR-B</x:v>
      </x:c>
      <x:c r="E98" t="str">
        <x:v>RFP-A2</x:v>
      </x:c>
      <x:c r="F98" t="str">
        <x:v>PTC-A</x:v>
      </x:c>
      <x:c r="G98" t="str">
        <x:v>QT-02</x:v>
      </x:c>
      <x:c r="H98" t="str">
        <x:v>RAW-V08</x:v>
      </x:c>
      <x:c r="I98" t="str">
        <x:v>RAW-A038</x:v>
      </x:c>
      <x:c r="J98" t="str">
        <x:v>DISCLOSED</x:v>
      </x:c>
      <x:c r="K98" t="str">
        <x:v>NONE</x:v>
      </x:c>
      <x:c r="L98" t="str">
        <x:v>n.a.</x:v>
      </x:c>
      <x:c r="M98" s="14" t="n">
        <x:v>2</x:v>
      </x:c>
      <x:c r="N98" s="14" t="n">
        <x:v>4</x:v>
      </x:c>
      <x:c r="O98" s="14" t="str"/>
      <x:c r="P98" s="14" t="str"/>
      <x:c r="Q98" s="14" t="str"/>
      <x:c r="R98" s="14" t="str"/>
      <x:c r="S98" s="14" t="str"/>
      <x:c r="T98" s="14" t="str"/>
      <x:c r="U98" s="10" t="str"/>
      <x:c r="V98" t="str"/>
      <x:c r="W98" t="str">
        <x:f>IF(V98=1,IF(R98="VALID","PASS",IF(R98="INVALID","INVALID","OPEN")),"OPEN")</x:f>
        <x:v>OPEN</x:v>
      </x:c>
    </x:row>
    <x:row r="99" ht="36" customHeight="1">
      <x:c r="B99" t="str">
        <x:v>RAW-E093</x:v>
      </x:c>
      <x:c r="C99" t="str">
        <x:v>AM-01</x:v>
      </x:c>
      <x:c r="D99" t="str">
        <x:v>TR-B</x:v>
      </x:c>
      <x:c r="E99" t="str">
        <x:v>RFP-A2</x:v>
      </x:c>
      <x:c r="F99" t="str">
        <x:v>PTC-A</x:v>
      </x:c>
      <x:c r="G99" t="str">
        <x:v>QT-03</x:v>
      </x:c>
      <x:c r="H99" t="str">
        <x:v>RAW-V09</x:v>
      </x:c>
      <x:c r="I99" t="str">
        <x:v>RAW-A038</x:v>
      </x:c>
      <x:c r="J99" t="str">
        <x:v>DISCLOSED</x:v>
      </x:c>
      <x:c r="K99" t="str">
        <x:v>NONE</x:v>
      </x:c>
      <x:c r="L99" t="str">
        <x:v>n.a.</x:v>
      </x:c>
      <x:c r="M99" s="14" t="n">
        <x:v>2</x:v>
      </x:c>
      <x:c r="N99" s="14" t="n">
        <x:v>6</x:v>
      </x:c>
      <x:c r="O99" s="14" t="str"/>
      <x:c r="P99" s="14" t="str"/>
      <x:c r="Q99" s="14" t="str"/>
      <x:c r="R99" s="14" t="str"/>
      <x:c r="S99" s="14" t="str"/>
      <x:c r="T99" s="14" t="str"/>
      <x:c r="U99" s="10" t="str"/>
      <x:c r="V99" t="str"/>
      <x:c r="W99" t="str">
        <x:f>IF(V99=1,IF(R99="VALID","PASS",IF(R99="INVALID","INVALID","OPEN")),"OPEN")</x:f>
        <x:v>OPEN</x:v>
      </x:c>
    </x:row>
    <x:row r="100" ht="36" customHeight="1">
      <x:c r="B100" t="str">
        <x:v>RAW-E094</x:v>
      </x:c>
      <x:c r="C100" t="str">
        <x:v>AM-01</x:v>
      </x:c>
      <x:c r="D100" t="str">
        <x:v>TR-B</x:v>
      </x:c>
      <x:c r="E100" t="str">
        <x:v>RFP-A2</x:v>
      </x:c>
      <x:c r="F100" t="str">
        <x:v>PTC-A</x:v>
      </x:c>
      <x:c r="G100" t="str">
        <x:v>QT-04</x:v>
      </x:c>
      <x:c r="H100" t="str">
        <x:v>RAW-V10</x:v>
      </x:c>
      <x:c r="I100" t="str">
        <x:v>RAW-A038</x:v>
      </x:c>
      <x:c r="J100" t="str">
        <x:v>BLIND</x:v>
      </x:c>
      <x:c r="K100" t="str">
        <x:v>NONE</x:v>
      </x:c>
      <x:c r="L100" t="str">
        <x:v>n.a.</x:v>
      </x:c>
      <x:c r="M100" s="14" t="n">
        <x:v>3</x:v>
      </x:c>
      <x:c r="N100" s="14" t="n">
        <x:v>8</x:v>
      </x:c>
      <x:c r="O100" s="14" t="str"/>
      <x:c r="P100" s="14" t="str"/>
      <x:c r="Q100" s="14" t="str"/>
      <x:c r="R100" s="14" t="str"/>
      <x:c r="S100" s="14" t="str"/>
      <x:c r="T100" s="14" t="str"/>
      <x:c r="U100" s="10" t="str"/>
      <x:c r="V100" t="str"/>
      <x:c r="W100" t="str">
        <x:f>IF(V100=1,IF(R100="VALID","PASS",IF(R100="INVALID","INVALID","OPEN")),"OPEN")</x:f>
        <x:v>OPEN</x:v>
      </x:c>
    </x:row>
    <x:row r="101" ht="36" customHeight="1">
      <x:c r="B101" t="str">
        <x:v>RAW-E095</x:v>
      </x:c>
      <x:c r="C101" t="str">
        <x:v>AM-01</x:v>
      </x:c>
      <x:c r="D101" t="str">
        <x:v>TR-B</x:v>
      </x:c>
      <x:c r="E101" t="str">
        <x:v>RFP-A2</x:v>
      </x:c>
      <x:c r="F101" t="str">
        <x:v>PTC-A</x:v>
      </x:c>
      <x:c r="G101" t="str">
        <x:v>QT-05</x:v>
      </x:c>
      <x:c r="H101" t="str">
        <x:v>RAW-V11</x:v>
      </x:c>
      <x:c r="I101" t="str">
        <x:v>RAW-A038</x:v>
      </x:c>
      <x:c r="J101" t="str">
        <x:v>BLIND</x:v>
      </x:c>
      <x:c r="K101" t="str">
        <x:v>DECISIVE CHAIN</x:v>
      </x:c>
      <x:c r="L101" t="str">
        <x:v>n.a.</x:v>
      </x:c>
      <x:c r="M101" s="14" t="n">
        <x:v>3</x:v>
      </x:c>
      <x:c r="N101" s="14" t="n">
        <x:v>10</x:v>
      </x:c>
      <x:c r="O101" s="14" t="str"/>
      <x:c r="P101" s="14" t="str"/>
      <x:c r="Q101" s="14" t="str"/>
      <x:c r="R101" s="14" t="str"/>
      <x:c r="S101" s="14" t="str"/>
      <x:c r="T101" s="14" t="str"/>
      <x:c r="U101" s="10" t="str"/>
      <x:c r="V101" t="str"/>
      <x:c r="W101" t="str">
        <x:f>IF(V101=1,IF(R101="VALID","PASS",IF(R101="INVALID","INVALID","OPEN")),"OPEN")</x:f>
        <x:v>OPEN</x:v>
      </x:c>
    </x:row>
    <x:row r="102" ht="36" customHeight="1">
      <x:c r="B102" t="str">
        <x:v>RAW-E096</x:v>
      </x:c>
      <x:c r="C102" t="str">
        <x:v>AM-01</x:v>
      </x:c>
      <x:c r="D102" t="str">
        <x:v>TR-B</x:v>
      </x:c>
      <x:c r="E102" t="str">
        <x:v>RFP-A2</x:v>
      </x:c>
      <x:c r="F102" t="str">
        <x:v>PTC-A</x:v>
      </x:c>
      <x:c r="G102" t="str">
        <x:v>QT-06</x:v>
      </x:c>
      <x:c r="H102" t="str">
        <x:v>RAW-V12</x:v>
      </x:c>
      <x:c r="I102" t="str">
        <x:v>RAW-A038</x:v>
      </x:c>
      <x:c r="J102" t="str">
        <x:v>DISCLOSED</x:v>
      </x:c>
      <x:c r="K102" t="str">
        <x:v>NONE</x:v>
      </x:c>
      <x:c r="L102" t="str">
        <x:v>PTC-B</x:v>
      </x:c>
      <x:c r="M102" s="14" t="n">
        <x:v>4</x:v>
      </x:c>
      <x:c r="N102" s="14" t="n">
        <x:v>12</x:v>
      </x:c>
      <x:c r="O102" s="14" t="str"/>
      <x:c r="P102" s="14" t="str"/>
      <x:c r="Q102" s="14" t="str"/>
      <x:c r="R102" s="14" t="str"/>
      <x:c r="S102" s="14" t="str"/>
      <x:c r="T102" s="14" t="str"/>
      <x:c r="U102" s="10" t="str"/>
      <x:c r="V102" t="str"/>
      <x:c r="W102" t="str">
        <x:f>IF(V102=1,IF(R102="VALID","PASS",IF(R102="INVALID","INVALID","OPEN")),"OPEN")</x:f>
        <x:v>OPEN</x:v>
      </x:c>
    </x:row>
    <x:row r="103" ht="36" customHeight="1">
      <x:c r="B103" t="str">
        <x:v>RAW-E097</x:v>
      </x:c>
      <x:c r="C103" t="str">
        <x:v>AM-01</x:v>
      </x:c>
      <x:c r="D103" t="str">
        <x:v>TR-A</x:v>
      </x:c>
      <x:c r="E103" t="str">
        <x:v>RFP-B1</x:v>
      </x:c>
      <x:c r="F103" t="str">
        <x:v>PTC-B</x:v>
      </x:c>
      <x:c r="G103" t="str">
        <x:v>QT-01</x:v>
      </x:c>
      <x:c r="H103" t="str">
        <x:v>RAW-V07</x:v>
      </x:c>
      <x:c r="I103" t="str">
        <x:v>RAW-A027</x:v>
      </x:c>
      <x:c r="J103" t="str">
        <x:v>DISCLOSED</x:v>
      </x:c>
      <x:c r="K103" t="str">
        <x:v>NONE</x:v>
      </x:c>
      <x:c r="L103" t="str">
        <x:v>n.a.</x:v>
      </x:c>
      <x:c r="M103" s="14" t="n">
        <x:v>2</x:v>
      </x:c>
      <x:c r="N103" s="14" t="n">
        <x:v>1</x:v>
      </x:c>
      <x:c r="O103" s="14" t="str"/>
      <x:c r="P103" s="14" t="str"/>
      <x:c r="Q103" s="14" t="str"/>
      <x:c r="R103" s="14" t="str"/>
      <x:c r="S103" s="14" t="str"/>
      <x:c r="T103" s="14" t="str"/>
      <x:c r="U103" s="10" t="str"/>
      <x:c r="V103" t="str"/>
      <x:c r="W103" t="str">
        <x:f>IF(V103=1,IF(R103="VALID","PASS",IF(R103="INVALID","INVALID","OPEN")),"OPEN")</x:f>
        <x:v>OPEN</x:v>
      </x:c>
    </x:row>
    <x:row r="104" ht="36" customHeight="1">
      <x:c r="B104" t="str">
        <x:v>RAW-E098</x:v>
      </x:c>
      <x:c r="C104" t="str">
        <x:v>AM-01</x:v>
      </x:c>
      <x:c r="D104" t="str">
        <x:v>TR-A</x:v>
      </x:c>
      <x:c r="E104" t="str">
        <x:v>RFP-B1</x:v>
      </x:c>
      <x:c r="F104" t="str">
        <x:v>PTC-B</x:v>
      </x:c>
      <x:c r="G104" t="str">
        <x:v>QT-02</x:v>
      </x:c>
      <x:c r="H104" t="str">
        <x:v>RAW-V08</x:v>
      </x:c>
      <x:c r="I104" t="str">
        <x:v>RAW-A027</x:v>
      </x:c>
      <x:c r="J104" t="str">
        <x:v>DISCLOSED</x:v>
      </x:c>
      <x:c r="K104" t="str">
        <x:v>NONE</x:v>
      </x:c>
      <x:c r="L104" t="str">
        <x:v>n.a.</x:v>
      </x:c>
      <x:c r="M104" s="14" t="n">
        <x:v>2</x:v>
      </x:c>
      <x:c r="N104" s="14" t="n">
        <x:v>3</x:v>
      </x:c>
      <x:c r="O104" s="14" t="str"/>
      <x:c r="P104" s="14" t="str"/>
      <x:c r="Q104" s="14" t="str"/>
      <x:c r="R104" s="14" t="str"/>
      <x:c r="S104" s="14" t="str"/>
      <x:c r="T104" s="14" t="str"/>
      <x:c r="U104" s="10" t="str"/>
      <x:c r="V104" t="str"/>
      <x:c r="W104" t="str">
        <x:f>IF(V104=1,IF(R104="VALID","PASS",IF(R104="INVALID","INVALID","OPEN")),"OPEN")</x:f>
        <x:v>OPEN</x:v>
      </x:c>
    </x:row>
    <x:row r="105" ht="36" customHeight="1">
      <x:c r="B105" t="str">
        <x:v>RAW-E099</x:v>
      </x:c>
      <x:c r="C105" t="str">
        <x:v>AM-01</x:v>
      </x:c>
      <x:c r="D105" t="str">
        <x:v>TR-A</x:v>
      </x:c>
      <x:c r="E105" t="str">
        <x:v>RFP-B1</x:v>
      </x:c>
      <x:c r="F105" t="str">
        <x:v>PTC-B</x:v>
      </x:c>
      <x:c r="G105" t="str">
        <x:v>QT-03</x:v>
      </x:c>
      <x:c r="H105" t="str">
        <x:v>RAW-V09</x:v>
      </x:c>
      <x:c r="I105" t="str">
        <x:v>RAW-A027</x:v>
      </x:c>
      <x:c r="J105" t="str">
        <x:v>DISCLOSED</x:v>
      </x:c>
      <x:c r="K105" t="str">
        <x:v>NONE</x:v>
      </x:c>
      <x:c r="L105" t="str">
        <x:v>n.a.</x:v>
      </x:c>
      <x:c r="M105" s="14" t="n">
        <x:v>2</x:v>
      </x:c>
      <x:c r="N105" s="14" t="n">
        <x:v>5</x:v>
      </x:c>
      <x:c r="O105" s="14" t="str"/>
      <x:c r="P105" s="14" t="str"/>
      <x:c r="Q105" s="14" t="str"/>
      <x:c r="R105" s="14" t="str"/>
      <x:c r="S105" s="14" t="str"/>
      <x:c r="T105" s="14" t="str"/>
      <x:c r="U105" s="10" t="str"/>
      <x:c r="V105" t="str"/>
      <x:c r="W105" t="str">
        <x:f>IF(V105=1,IF(R105="VALID","PASS",IF(R105="INVALID","INVALID","OPEN")),"OPEN")</x:f>
        <x:v>OPEN</x:v>
      </x:c>
    </x:row>
    <x:row r="106" ht="36" customHeight="1">
      <x:c r="B106" t="str">
        <x:v>RAW-E100</x:v>
      </x:c>
      <x:c r="C106" t="str">
        <x:v>AM-01</x:v>
      </x:c>
      <x:c r="D106" t="str">
        <x:v>TR-A</x:v>
      </x:c>
      <x:c r="E106" t="str">
        <x:v>RFP-B1</x:v>
      </x:c>
      <x:c r="F106" t="str">
        <x:v>PTC-B</x:v>
      </x:c>
      <x:c r="G106" t="str">
        <x:v>QT-04</x:v>
      </x:c>
      <x:c r="H106" t="str">
        <x:v>RAW-V10</x:v>
      </x:c>
      <x:c r="I106" t="str">
        <x:v>RAW-A027</x:v>
      </x:c>
      <x:c r="J106" t="str">
        <x:v>BLIND</x:v>
      </x:c>
      <x:c r="K106" t="str">
        <x:v>NONE</x:v>
      </x:c>
      <x:c r="L106" t="str">
        <x:v>n.a.</x:v>
      </x:c>
      <x:c r="M106" s="14" t="n">
        <x:v>3</x:v>
      </x:c>
      <x:c r="N106" s="14" t="n">
        <x:v>7</x:v>
      </x:c>
      <x:c r="O106" s="14" t="str"/>
      <x:c r="P106" s="14" t="str"/>
      <x:c r="Q106" s="14" t="str"/>
      <x:c r="R106" s="14" t="str"/>
      <x:c r="S106" s="14" t="str"/>
      <x:c r="T106" s="14" t="str"/>
      <x:c r="U106" s="10" t="str"/>
      <x:c r="V106" t="str"/>
      <x:c r="W106" t="str">
        <x:f>IF(V106=1,IF(R106="VALID","PASS",IF(R106="INVALID","INVALID","OPEN")),"OPEN")</x:f>
        <x:v>OPEN</x:v>
      </x:c>
    </x:row>
    <x:row r="107" ht="36" customHeight="1">
      <x:c r="B107" t="str">
        <x:v>RAW-E101</x:v>
      </x:c>
      <x:c r="C107" t="str">
        <x:v>AM-01</x:v>
      </x:c>
      <x:c r="D107" t="str">
        <x:v>TR-A</x:v>
      </x:c>
      <x:c r="E107" t="str">
        <x:v>RFP-B1</x:v>
      </x:c>
      <x:c r="F107" t="str">
        <x:v>PTC-B</x:v>
      </x:c>
      <x:c r="G107" t="str">
        <x:v>QT-05</x:v>
      </x:c>
      <x:c r="H107" t="str">
        <x:v>RAW-V11</x:v>
      </x:c>
      <x:c r="I107" t="str">
        <x:v>RAW-A027</x:v>
      </x:c>
      <x:c r="J107" t="str">
        <x:v>BLIND</x:v>
      </x:c>
      <x:c r="K107" t="str">
        <x:v>DECISIVE CHAIN</x:v>
      </x:c>
      <x:c r="L107" t="str">
        <x:v>n.a.</x:v>
      </x:c>
      <x:c r="M107" s="14" t="n">
        <x:v>3</x:v>
      </x:c>
      <x:c r="N107" s="14" t="n">
        <x:v>9</x:v>
      </x:c>
      <x:c r="O107" s="14" t="str"/>
      <x:c r="P107" s="14" t="str"/>
      <x:c r="Q107" s="14" t="str"/>
      <x:c r="R107" s="14" t="str"/>
      <x:c r="S107" s="14" t="str"/>
      <x:c r="T107" s="14" t="str"/>
      <x:c r="U107" s="10" t="str"/>
      <x:c r="V107" t="str"/>
      <x:c r="W107" t="str">
        <x:f>IF(V107=1,IF(R107="VALID","PASS",IF(R107="INVALID","INVALID","OPEN")),"OPEN")</x:f>
        <x:v>OPEN</x:v>
      </x:c>
    </x:row>
    <x:row r="108" ht="36" customHeight="1">
      <x:c r="B108" t="str">
        <x:v>RAW-E102</x:v>
      </x:c>
      <x:c r="C108" t="str">
        <x:v>AM-01</x:v>
      </x:c>
      <x:c r="D108" t="str">
        <x:v>TR-A</x:v>
      </x:c>
      <x:c r="E108" t="str">
        <x:v>RFP-B1</x:v>
      </x:c>
      <x:c r="F108" t="str">
        <x:v>PTC-B</x:v>
      </x:c>
      <x:c r="G108" t="str">
        <x:v>QT-06</x:v>
      </x:c>
      <x:c r="H108" t="str">
        <x:v>RAW-V12</x:v>
      </x:c>
      <x:c r="I108" t="str">
        <x:v>RAW-A027</x:v>
      </x:c>
      <x:c r="J108" t="str">
        <x:v>DISCLOSED</x:v>
      </x:c>
      <x:c r="K108" t="str">
        <x:v>NONE</x:v>
      </x:c>
      <x:c r="L108" t="str">
        <x:v>PTC-C</x:v>
      </x:c>
      <x:c r="M108" s="14" t="n">
        <x:v>4</x:v>
      </x:c>
      <x:c r="N108" s="14" t="n">
        <x:v>11</x:v>
      </x:c>
      <x:c r="O108" s="14" t="str"/>
      <x:c r="P108" s="14" t="str"/>
      <x:c r="Q108" s="14" t="str"/>
      <x:c r="R108" s="14" t="str"/>
      <x:c r="S108" s="14" t="str"/>
      <x:c r="T108" s="14" t="str"/>
      <x:c r="U108" s="10" t="str"/>
      <x:c r="V108" t="str"/>
      <x:c r="W108" t="str">
        <x:f>IF(V108=1,IF(R108="VALID","PASS",IF(R108="INVALID","INVALID","OPEN")),"OPEN")</x:f>
        <x:v>OPEN</x:v>
      </x:c>
    </x:row>
    <x:row r="109" ht="36" customHeight="1">
      <x:c r="B109" t="str">
        <x:v>RAW-E103</x:v>
      </x:c>
      <x:c r="C109" t="str">
        <x:v>AM-01</x:v>
      </x:c>
      <x:c r="D109" t="str">
        <x:v>TR-B</x:v>
      </x:c>
      <x:c r="E109" t="str">
        <x:v>RFP-B1</x:v>
      </x:c>
      <x:c r="F109" t="str">
        <x:v>PTC-B</x:v>
      </x:c>
      <x:c r="G109" t="str">
        <x:v>QT-01</x:v>
      </x:c>
      <x:c r="H109" t="str">
        <x:v>RAW-V07</x:v>
      </x:c>
      <x:c r="I109" t="str">
        <x:v>RAW-A039</x:v>
      </x:c>
      <x:c r="J109" t="str">
        <x:v>DISCLOSED</x:v>
      </x:c>
      <x:c r="K109" t="str">
        <x:v>NONE</x:v>
      </x:c>
      <x:c r="L109" t="str">
        <x:v>n.a.</x:v>
      </x:c>
      <x:c r="M109" s="14" t="n">
        <x:v>2</x:v>
      </x:c>
      <x:c r="N109" s="14" t="n">
        <x:v>2</x:v>
      </x:c>
      <x:c r="O109" s="14" t="str"/>
      <x:c r="P109" s="14" t="str"/>
      <x:c r="Q109" s="14" t="str"/>
      <x:c r="R109" s="14" t="str"/>
      <x:c r="S109" s="14" t="str"/>
      <x:c r="T109" s="14" t="str"/>
      <x:c r="U109" s="10" t="str"/>
      <x:c r="V109" t="str"/>
      <x:c r="W109" t="str">
        <x:f>IF(V109=1,IF(R109="VALID","PASS",IF(R109="INVALID","INVALID","OPEN")),"OPEN")</x:f>
        <x:v>OPEN</x:v>
      </x:c>
    </x:row>
    <x:row r="110" ht="36" customHeight="1">
      <x:c r="B110" t="str">
        <x:v>RAW-E104</x:v>
      </x:c>
      <x:c r="C110" t="str">
        <x:v>AM-01</x:v>
      </x:c>
      <x:c r="D110" t="str">
        <x:v>TR-B</x:v>
      </x:c>
      <x:c r="E110" t="str">
        <x:v>RFP-B1</x:v>
      </x:c>
      <x:c r="F110" t="str">
        <x:v>PTC-B</x:v>
      </x:c>
      <x:c r="G110" t="str">
        <x:v>QT-02</x:v>
      </x:c>
      <x:c r="H110" t="str">
        <x:v>RAW-V08</x:v>
      </x:c>
      <x:c r="I110" t="str">
        <x:v>RAW-A039</x:v>
      </x:c>
      <x:c r="J110" t="str">
        <x:v>DISCLOSED</x:v>
      </x:c>
      <x:c r="K110" t="str">
        <x:v>NONE</x:v>
      </x:c>
      <x:c r="L110" t="str">
        <x:v>n.a.</x:v>
      </x:c>
      <x:c r="M110" s="14" t="n">
        <x:v>2</x:v>
      </x:c>
      <x:c r="N110" s="14" t="n">
        <x:v>4</x:v>
      </x:c>
      <x:c r="O110" s="14" t="str"/>
      <x:c r="P110" s="14" t="str"/>
      <x:c r="Q110" s="14" t="str"/>
      <x:c r="R110" s="14" t="str"/>
      <x:c r="S110" s="14" t="str"/>
      <x:c r="T110" s="14" t="str"/>
      <x:c r="U110" s="10" t="str"/>
      <x:c r="V110" t="str"/>
      <x:c r="W110" t="str">
        <x:f>IF(V110=1,IF(R110="VALID","PASS",IF(R110="INVALID","INVALID","OPEN")),"OPEN")</x:f>
        <x:v>OPEN</x:v>
      </x:c>
    </x:row>
    <x:row r="111" ht="36" customHeight="1">
      <x:c r="B111" t="str">
        <x:v>RAW-E105</x:v>
      </x:c>
      <x:c r="C111" t="str">
        <x:v>AM-01</x:v>
      </x:c>
      <x:c r="D111" t="str">
        <x:v>TR-B</x:v>
      </x:c>
      <x:c r="E111" t="str">
        <x:v>RFP-B1</x:v>
      </x:c>
      <x:c r="F111" t="str">
        <x:v>PTC-B</x:v>
      </x:c>
      <x:c r="G111" t="str">
        <x:v>QT-03</x:v>
      </x:c>
      <x:c r="H111" t="str">
        <x:v>RAW-V09</x:v>
      </x:c>
      <x:c r="I111" t="str">
        <x:v>RAW-A039</x:v>
      </x:c>
      <x:c r="J111" t="str">
        <x:v>DISCLOSED</x:v>
      </x:c>
      <x:c r="K111" t="str">
        <x:v>NONE</x:v>
      </x:c>
      <x:c r="L111" t="str">
        <x:v>n.a.</x:v>
      </x:c>
      <x:c r="M111" s="14" t="n">
        <x:v>2</x:v>
      </x:c>
      <x:c r="N111" s="14" t="n">
        <x:v>6</x:v>
      </x:c>
      <x:c r="O111" s="14" t="str"/>
      <x:c r="P111" s="14" t="str"/>
      <x:c r="Q111" s="14" t="str"/>
      <x:c r="R111" s="14" t="str"/>
      <x:c r="S111" s="14" t="str"/>
      <x:c r="T111" s="14" t="str"/>
      <x:c r="U111" s="10" t="str"/>
      <x:c r="V111" t="str"/>
      <x:c r="W111" t="str">
        <x:f>IF(V111=1,IF(R111="VALID","PASS",IF(R111="INVALID","INVALID","OPEN")),"OPEN")</x:f>
        <x:v>OPEN</x:v>
      </x:c>
    </x:row>
    <x:row r="112" ht="36" customHeight="1">
      <x:c r="B112" t="str">
        <x:v>RAW-E106</x:v>
      </x:c>
      <x:c r="C112" t="str">
        <x:v>AM-01</x:v>
      </x:c>
      <x:c r="D112" t="str">
        <x:v>TR-B</x:v>
      </x:c>
      <x:c r="E112" t="str">
        <x:v>RFP-B1</x:v>
      </x:c>
      <x:c r="F112" t="str">
        <x:v>PTC-B</x:v>
      </x:c>
      <x:c r="G112" t="str">
        <x:v>QT-04</x:v>
      </x:c>
      <x:c r="H112" t="str">
        <x:v>RAW-V10</x:v>
      </x:c>
      <x:c r="I112" t="str">
        <x:v>RAW-A039</x:v>
      </x:c>
      <x:c r="J112" t="str">
        <x:v>BLIND</x:v>
      </x:c>
      <x:c r="K112" t="str">
        <x:v>NONE</x:v>
      </x:c>
      <x:c r="L112" t="str">
        <x:v>n.a.</x:v>
      </x:c>
      <x:c r="M112" s="14" t="n">
        <x:v>3</x:v>
      </x:c>
      <x:c r="N112" s="14" t="n">
        <x:v>8</x:v>
      </x:c>
      <x:c r="O112" s="14" t="str"/>
      <x:c r="P112" s="14" t="str"/>
      <x:c r="Q112" s="14" t="str"/>
      <x:c r="R112" s="14" t="str"/>
      <x:c r="S112" s="14" t="str"/>
      <x:c r="T112" s="14" t="str"/>
      <x:c r="U112" s="10" t="str"/>
      <x:c r="V112" t="str"/>
      <x:c r="W112" t="str">
        <x:f>IF(V112=1,IF(R112="VALID","PASS",IF(R112="INVALID","INVALID","OPEN")),"OPEN")</x:f>
        <x:v>OPEN</x:v>
      </x:c>
    </x:row>
    <x:row r="113" ht="36" customHeight="1">
      <x:c r="B113" t="str">
        <x:v>RAW-E107</x:v>
      </x:c>
      <x:c r="C113" t="str">
        <x:v>AM-01</x:v>
      </x:c>
      <x:c r="D113" t="str">
        <x:v>TR-B</x:v>
      </x:c>
      <x:c r="E113" t="str">
        <x:v>RFP-B1</x:v>
      </x:c>
      <x:c r="F113" t="str">
        <x:v>PTC-B</x:v>
      </x:c>
      <x:c r="G113" t="str">
        <x:v>QT-05</x:v>
      </x:c>
      <x:c r="H113" t="str">
        <x:v>RAW-V11</x:v>
      </x:c>
      <x:c r="I113" t="str">
        <x:v>RAW-A039</x:v>
      </x:c>
      <x:c r="J113" t="str">
        <x:v>BLIND</x:v>
      </x:c>
      <x:c r="K113" t="str">
        <x:v>DECISIVE CHAIN</x:v>
      </x:c>
      <x:c r="L113" t="str">
        <x:v>n.a.</x:v>
      </x:c>
      <x:c r="M113" s="14" t="n">
        <x:v>3</x:v>
      </x:c>
      <x:c r="N113" s="14" t="n">
        <x:v>10</x:v>
      </x:c>
      <x:c r="O113" s="14" t="str"/>
      <x:c r="P113" s="14" t="str"/>
      <x:c r="Q113" s="14" t="str"/>
      <x:c r="R113" s="14" t="str"/>
      <x:c r="S113" s="14" t="str"/>
      <x:c r="T113" s="14" t="str"/>
      <x:c r="U113" s="10" t="str"/>
      <x:c r="V113" t="str"/>
      <x:c r="W113" t="str">
        <x:f>IF(V113=1,IF(R113="VALID","PASS",IF(R113="INVALID","INVALID","OPEN")),"OPEN")</x:f>
        <x:v>OPEN</x:v>
      </x:c>
    </x:row>
    <x:row r="114" ht="36" customHeight="1">
      <x:c r="B114" t="str">
        <x:v>RAW-E108</x:v>
      </x:c>
      <x:c r="C114" t="str">
        <x:v>AM-01</x:v>
      </x:c>
      <x:c r="D114" t="str">
        <x:v>TR-B</x:v>
      </x:c>
      <x:c r="E114" t="str">
        <x:v>RFP-B1</x:v>
      </x:c>
      <x:c r="F114" t="str">
        <x:v>PTC-B</x:v>
      </x:c>
      <x:c r="G114" t="str">
        <x:v>QT-06</x:v>
      </x:c>
      <x:c r="H114" t="str">
        <x:v>RAW-V12</x:v>
      </x:c>
      <x:c r="I114" t="str">
        <x:v>RAW-A039</x:v>
      </x:c>
      <x:c r="J114" t="str">
        <x:v>DISCLOSED</x:v>
      </x:c>
      <x:c r="K114" t="str">
        <x:v>NONE</x:v>
      </x:c>
      <x:c r="L114" t="str">
        <x:v>PTC-C</x:v>
      </x:c>
      <x:c r="M114" s="14" t="n">
        <x:v>4</x:v>
      </x:c>
      <x:c r="N114" s="14" t="n">
        <x:v>12</x:v>
      </x:c>
      <x:c r="O114" s="14" t="str"/>
      <x:c r="P114" s="14" t="str"/>
      <x:c r="Q114" s="14" t="str"/>
      <x:c r="R114" s="14" t="str"/>
      <x:c r="S114" s="14" t="str"/>
      <x:c r="T114" s="14" t="str"/>
      <x:c r="U114" s="10" t="str"/>
      <x:c r="V114" t="str"/>
      <x:c r="W114" t="str">
        <x:f>IF(V114=1,IF(R114="VALID","PASS",IF(R114="INVALID","INVALID","OPEN")),"OPEN")</x:f>
        <x:v>OPEN</x:v>
      </x:c>
    </x:row>
    <x:row r="115" ht="36" customHeight="1">
      <x:c r="B115" t="str">
        <x:v>RAW-E109</x:v>
      </x:c>
      <x:c r="C115" t="str">
        <x:v>AM-01</x:v>
      </x:c>
      <x:c r="D115" t="str">
        <x:v>TR-A</x:v>
      </x:c>
      <x:c r="E115" t="str">
        <x:v>RFP-B2</x:v>
      </x:c>
      <x:c r="F115" t="str">
        <x:v>PTC-B</x:v>
      </x:c>
      <x:c r="G115" t="str">
        <x:v>QT-01</x:v>
      </x:c>
      <x:c r="H115" t="str">
        <x:v>RAW-V07</x:v>
      </x:c>
      <x:c r="I115" t="str">
        <x:v>RAW-A028</x:v>
      </x:c>
      <x:c r="J115" t="str">
        <x:v>DISCLOSED</x:v>
      </x:c>
      <x:c r="K115" t="str">
        <x:v>NONE</x:v>
      </x:c>
      <x:c r="L115" t="str">
        <x:v>n.a.</x:v>
      </x:c>
      <x:c r="M115" s="14" t="n">
        <x:v>2</x:v>
      </x:c>
      <x:c r="N115" s="14" t="n">
        <x:v>1</x:v>
      </x:c>
      <x:c r="O115" s="14" t="str"/>
      <x:c r="P115" s="14" t="str"/>
      <x:c r="Q115" s="14" t="str"/>
      <x:c r="R115" s="14" t="str"/>
      <x:c r="S115" s="14" t="str"/>
      <x:c r="T115" s="14" t="str"/>
      <x:c r="U115" s="10" t="str"/>
      <x:c r="V115" t="str"/>
      <x:c r="W115" t="str">
        <x:f>IF(V115=1,IF(R115="VALID","PASS",IF(R115="INVALID","INVALID","OPEN")),"OPEN")</x:f>
        <x:v>OPEN</x:v>
      </x:c>
    </x:row>
    <x:row r="116" ht="36" customHeight="1">
      <x:c r="B116" t="str">
        <x:v>RAW-E110</x:v>
      </x:c>
      <x:c r="C116" t="str">
        <x:v>AM-01</x:v>
      </x:c>
      <x:c r="D116" t="str">
        <x:v>TR-A</x:v>
      </x:c>
      <x:c r="E116" t="str">
        <x:v>RFP-B2</x:v>
      </x:c>
      <x:c r="F116" t="str">
        <x:v>PTC-B</x:v>
      </x:c>
      <x:c r="G116" t="str">
        <x:v>QT-02</x:v>
      </x:c>
      <x:c r="H116" t="str">
        <x:v>RAW-V08</x:v>
      </x:c>
      <x:c r="I116" t="str">
        <x:v>RAW-A028</x:v>
      </x:c>
      <x:c r="J116" t="str">
        <x:v>DISCLOSED</x:v>
      </x:c>
      <x:c r="K116" t="str">
        <x:v>NONE</x:v>
      </x:c>
      <x:c r="L116" t="str">
        <x:v>n.a.</x:v>
      </x:c>
      <x:c r="M116" s="14" t="n">
        <x:v>2</x:v>
      </x:c>
      <x:c r="N116" s="14" t="n">
        <x:v>3</x:v>
      </x:c>
      <x:c r="O116" s="14" t="str"/>
      <x:c r="P116" s="14" t="str"/>
      <x:c r="Q116" s="14" t="str"/>
      <x:c r="R116" s="14" t="str"/>
      <x:c r="S116" s="14" t="str"/>
      <x:c r="T116" s="14" t="str"/>
      <x:c r="U116" s="10" t="str"/>
      <x:c r="V116" t="str"/>
      <x:c r="W116" t="str">
        <x:f>IF(V116=1,IF(R116="VALID","PASS",IF(R116="INVALID","INVALID","OPEN")),"OPEN")</x:f>
        <x:v>OPEN</x:v>
      </x:c>
    </x:row>
    <x:row r="117" ht="36" customHeight="1">
      <x:c r="B117" t="str">
        <x:v>RAW-E111</x:v>
      </x:c>
      <x:c r="C117" t="str">
        <x:v>AM-01</x:v>
      </x:c>
      <x:c r="D117" t="str">
        <x:v>TR-A</x:v>
      </x:c>
      <x:c r="E117" t="str">
        <x:v>RFP-B2</x:v>
      </x:c>
      <x:c r="F117" t="str">
        <x:v>PTC-B</x:v>
      </x:c>
      <x:c r="G117" t="str">
        <x:v>QT-03</x:v>
      </x:c>
      <x:c r="H117" t="str">
        <x:v>RAW-V09</x:v>
      </x:c>
      <x:c r="I117" t="str">
        <x:v>RAW-A028</x:v>
      </x:c>
      <x:c r="J117" t="str">
        <x:v>DISCLOSED</x:v>
      </x:c>
      <x:c r="K117" t="str">
        <x:v>NONE</x:v>
      </x:c>
      <x:c r="L117" t="str">
        <x:v>n.a.</x:v>
      </x:c>
      <x:c r="M117" s="14" t="n">
        <x:v>2</x:v>
      </x:c>
      <x:c r="N117" s="14" t="n">
        <x:v>5</x:v>
      </x:c>
      <x:c r="O117" s="14" t="str"/>
      <x:c r="P117" s="14" t="str"/>
      <x:c r="Q117" s="14" t="str"/>
      <x:c r="R117" s="14" t="str"/>
      <x:c r="S117" s="14" t="str"/>
      <x:c r="T117" s="14" t="str"/>
      <x:c r="U117" s="10" t="str"/>
      <x:c r="V117" t="str"/>
      <x:c r="W117" t="str">
        <x:f>IF(V117=1,IF(R117="VALID","PASS",IF(R117="INVALID","INVALID","OPEN")),"OPEN")</x:f>
        <x:v>OPEN</x:v>
      </x:c>
    </x:row>
    <x:row r="118" ht="36" customHeight="1">
      <x:c r="B118" t="str">
        <x:v>RAW-E112</x:v>
      </x:c>
      <x:c r="C118" t="str">
        <x:v>AM-01</x:v>
      </x:c>
      <x:c r="D118" t="str">
        <x:v>TR-A</x:v>
      </x:c>
      <x:c r="E118" t="str">
        <x:v>RFP-B2</x:v>
      </x:c>
      <x:c r="F118" t="str">
        <x:v>PTC-B</x:v>
      </x:c>
      <x:c r="G118" t="str">
        <x:v>QT-04</x:v>
      </x:c>
      <x:c r="H118" t="str">
        <x:v>RAW-V10</x:v>
      </x:c>
      <x:c r="I118" t="str">
        <x:v>RAW-A028</x:v>
      </x:c>
      <x:c r="J118" t="str">
        <x:v>BLIND</x:v>
      </x:c>
      <x:c r="K118" t="str">
        <x:v>NONE</x:v>
      </x:c>
      <x:c r="L118" t="str">
        <x:v>n.a.</x:v>
      </x:c>
      <x:c r="M118" s="14" t="n">
        <x:v>3</x:v>
      </x:c>
      <x:c r="N118" s="14" t="n">
        <x:v>7</x:v>
      </x:c>
      <x:c r="O118" s="14" t="str"/>
      <x:c r="P118" s="14" t="str"/>
      <x:c r="Q118" s="14" t="str"/>
      <x:c r="R118" s="14" t="str"/>
      <x:c r="S118" s="14" t="str"/>
      <x:c r="T118" s="14" t="str"/>
      <x:c r="U118" s="10" t="str"/>
      <x:c r="V118" t="str"/>
      <x:c r="W118" t="str">
        <x:f>IF(V118=1,IF(R118="VALID","PASS",IF(R118="INVALID","INVALID","OPEN")),"OPEN")</x:f>
        <x:v>OPEN</x:v>
      </x:c>
    </x:row>
    <x:row r="119" ht="36" customHeight="1">
      <x:c r="B119" t="str">
        <x:v>RAW-E113</x:v>
      </x:c>
      <x:c r="C119" t="str">
        <x:v>AM-01</x:v>
      </x:c>
      <x:c r="D119" t="str">
        <x:v>TR-A</x:v>
      </x:c>
      <x:c r="E119" t="str">
        <x:v>RFP-B2</x:v>
      </x:c>
      <x:c r="F119" t="str">
        <x:v>PTC-B</x:v>
      </x:c>
      <x:c r="G119" t="str">
        <x:v>QT-05</x:v>
      </x:c>
      <x:c r="H119" t="str">
        <x:v>RAW-V11</x:v>
      </x:c>
      <x:c r="I119" t="str">
        <x:v>RAW-A028</x:v>
      </x:c>
      <x:c r="J119" t="str">
        <x:v>BLIND</x:v>
      </x:c>
      <x:c r="K119" t="str">
        <x:v>DECISIVE CHAIN</x:v>
      </x:c>
      <x:c r="L119" t="str">
        <x:v>n.a.</x:v>
      </x:c>
      <x:c r="M119" s="14" t="n">
        <x:v>3</x:v>
      </x:c>
      <x:c r="N119" s="14" t="n">
        <x:v>9</x:v>
      </x:c>
      <x:c r="O119" s="14" t="str"/>
      <x:c r="P119" s="14" t="str"/>
      <x:c r="Q119" s="14" t="str"/>
      <x:c r="R119" s="14" t="str"/>
      <x:c r="S119" s="14" t="str"/>
      <x:c r="T119" s="14" t="str"/>
      <x:c r="U119" s="10" t="str"/>
      <x:c r="V119" t="str"/>
      <x:c r="W119" t="str">
        <x:f>IF(V119=1,IF(R119="VALID","PASS",IF(R119="INVALID","INVALID","OPEN")),"OPEN")</x:f>
        <x:v>OPEN</x:v>
      </x:c>
    </x:row>
    <x:row r="120" ht="36" customHeight="1">
      <x:c r="B120" t="str">
        <x:v>RAW-E114</x:v>
      </x:c>
      <x:c r="C120" t="str">
        <x:v>AM-01</x:v>
      </x:c>
      <x:c r="D120" t="str">
        <x:v>TR-A</x:v>
      </x:c>
      <x:c r="E120" t="str">
        <x:v>RFP-B2</x:v>
      </x:c>
      <x:c r="F120" t="str">
        <x:v>PTC-B</x:v>
      </x:c>
      <x:c r="G120" t="str">
        <x:v>QT-06</x:v>
      </x:c>
      <x:c r="H120" t="str">
        <x:v>RAW-V12</x:v>
      </x:c>
      <x:c r="I120" t="str">
        <x:v>RAW-A028</x:v>
      </x:c>
      <x:c r="J120" t="str">
        <x:v>DISCLOSED</x:v>
      </x:c>
      <x:c r="K120" t="str">
        <x:v>NONE</x:v>
      </x:c>
      <x:c r="L120" t="str">
        <x:v>PTC-C</x:v>
      </x:c>
      <x:c r="M120" s="14" t="n">
        <x:v>4</x:v>
      </x:c>
      <x:c r="N120" s="14" t="n">
        <x:v>11</x:v>
      </x:c>
      <x:c r="O120" s="14" t="str"/>
      <x:c r="P120" s="14" t="str"/>
      <x:c r="Q120" s="14" t="str"/>
      <x:c r="R120" s="14" t="str"/>
      <x:c r="S120" s="14" t="str"/>
      <x:c r="T120" s="14" t="str"/>
      <x:c r="U120" s="10" t="str"/>
      <x:c r="V120" t="str"/>
      <x:c r="W120" t="str">
        <x:f>IF(V120=1,IF(R120="VALID","PASS",IF(R120="INVALID","INVALID","OPEN")),"OPEN")</x:f>
        <x:v>OPEN</x:v>
      </x:c>
    </x:row>
    <x:row r="121" ht="36" customHeight="1">
      <x:c r="B121" t="str">
        <x:v>RAW-E115</x:v>
      </x:c>
      <x:c r="C121" t="str">
        <x:v>AM-01</x:v>
      </x:c>
      <x:c r="D121" t="str">
        <x:v>TR-B</x:v>
      </x:c>
      <x:c r="E121" t="str">
        <x:v>RFP-B2</x:v>
      </x:c>
      <x:c r="F121" t="str">
        <x:v>PTC-B</x:v>
      </x:c>
      <x:c r="G121" t="str">
        <x:v>QT-01</x:v>
      </x:c>
      <x:c r="H121" t="str">
        <x:v>RAW-V07</x:v>
      </x:c>
      <x:c r="I121" t="str">
        <x:v>RAW-A040</x:v>
      </x:c>
      <x:c r="J121" t="str">
        <x:v>DISCLOSED</x:v>
      </x:c>
      <x:c r="K121" t="str">
        <x:v>NONE</x:v>
      </x:c>
      <x:c r="L121" t="str">
        <x:v>n.a.</x:v>
      </x:c>
      <x:c r="M121" s="14" t="n">
        <x:v>2</x:v>
      </x:c>
      <x:c r="N121" s="14" t="n">
        <x:v>2</x:v>
      </x:c>
      <x:c r="O121" s="14" t="str"/>
      <x:c r="P121" s="14" t="str"/>
      <x:c r="Q121" s="14" t="str"/>
      <x:c r="R121" s="14" t="str"/>
      <x:c r="S121" s="14" t="str"/>
      <x:c r="T121" s="14" t="str"/>
      <x:c r="U121" s="10" t="str"/>
      <x:c r="V121" t="str"/>
      <x:c r="W121" t="str">
        <x:f>IF(V121=1,IF(R121="VALID","PASS",IF(R121="INVALID","INVALID","OPEN")),"OPEN")</x:f>
        <x:v>OPEN</x:v>
      </x:c>
    </x:row>
    <x:row r="122" ht="36" customHeight="1">
      <x:c r="B122" t="str">
        <x:v>RAW-E116</x:v>
      </x:c>
      <x:c r="C122" t="str">
        <x:v>AM-01</x:v>
      </x:c>
      <x:c r="D122" t="str">
        <x:v>TR-B</x:v>
      </x:c>
      <x:c r="E122" t="str">
        <x:v>RFP-B2</x:v>
      </x:c>
      <x:c r="F122" t="str">
        <x:v>PTC-B</x:v>
      </x:c>
      <x:c r="G122" t="str">
        <x:v>QT-02</x:v>
      </x:c>
      <x:c r="H122" t="str">
        <x:v>RAW-V08</x:v>
      </x:c>
      <x:c r="I122" t="str">
        <x:v>RAW-A040</x:v>
      </x:c>
      <x:c r="J122" t="str">
        <x:v>DISCLOSED</x:v>
      </x:c>
      <x:c r="K122" t="str">
        <x:v>NONE</x:v>
      </x:c>
      <x:c r="L122" t="str">
        <x:v>n.a.</x:v>
      </x:c>
      <x:c r="M122" s="14" t="n">
        <x:v>2</x:v>
      </x:c>
      <x:c r="N122" s="14" t="n">
        <x:v>4</x:v>
      </x:c>
      <x:c r="O122" s="14" t="str"/>
      <x:c r="P122" s="14" t="str"/>
      <x:c r="Q122" s="14" t="str"/>
      <x:c r="R122" s="14" t="str"/>
      <x:c r="S122" s="14" t="str"/>
      <x:c r="T122" s="14" t="str"/>
      <x:c r="U122" s="10" t="str"/>
      <x:c r="V122" t="str"/>
      <x:c r="W122" t="str">
        <x:f>IF(V122=1,IF(R122="VALID","PASS",IF(R122="INVALID","INVALID","OPEN")),"OPEN")</x:f>
        <x:v>OPEN</x:v>
      </x:c>
    </x:row>
    <x:row r="123" ht="36" customHeight="1">
      <x:c r="B123" t="str">
        <x:v>RAW-E117</x:v>
      </x:c>
      <x:c r="C123" t="str">
        <x:v>AM-01</x:v>
      </x:c>
      <x:c r="D123" t="str">
        <x:v>TR-B</x:v>
      </x:c>
      <x:c r="E123" t="str">
        <x:v>RFP-B2</x:v>
      </x:c>
      <x:c r="F123" t="str">
        <x:v>PTC-B</x:v>
      </x:c>
      <x:c r="G123" t="str">
        <x:v>QT-03</x:v>
      </x:c>
      <x:c r="H123" t="str">
        <x:v>RAW-V09</x:v>
      </x:c>
      <x:c r="I123" t="str">
        <x:v>RAW-A040</x:v>
      </x:c>
      <x:c r="J123" t="str">
        <x:v>DISCLOSED</x:v>
      </x:c>
      <x:c r="K123" t="str">
        <x:v>NONE</x:v>
      </x:c>
      <x:c r="L123" t="str">
        <x:v>n.a.</x:v>
      </x:c>
      <x:c r="M123" s="14" t="n">
        <x:v>2</x:v>
      </x:c>
      <x:c r="N123" s="14" t="n">
        <x:v>6</x:v>
      </x:c>
      <x:c r="O123" s="14" t="str"/>
      <x:c r="P123" s="14" t="str"/>
      <x:c r="Q123" s="14" t="str"/>
      <x:c r="R123" s="14" t="str"/>
      <x:c r="S123" s="14" t="str"/>
      <x:c r="T123" s="14" t="str"/>
      <x:c r="U123" s="10" t="str"/>
      <x:c r="V123" t="str"/>
      <x:c r="W123" t="str">
        <x:f>IF(V123=1,IF(R123="VALID","PASS",IF(R123="INVALID","INVALID","OPEN")),"OPEN")</x:f>
        <x:v>OPEN</x:v>
      </x:c>
    </x:row>
    <x:row r="124" ht="36" customHeight="1">
      <x:c r="B124" t="str">
        <x:v>RAW-E118</x:v>
      </x:c>
      <x:c r="C124" t="str">
        <x:v>AM-01</x:v>
      </x:c>
      <x:c r="D124" t="str">
        <x:v>TR-B</x:v>
      </x:c>
      <x:c r="E124" t="str">
        <x:v>RFP-B2</x:v>
      </x:c>
      <x:c r="F124" t="str">
        <x:v>PTC-B</x:v>
      </x:c>
      <x:c r="G124" t="str">
        <x:v>QT-04</x:v>
      </x:c>
      <x:c r="H124" t="str">
        <x:v>RAW-V10</x:v>
      </x:c>
      <x:c r="I124" t="str">
        <x:v>RAW-A040</x:v>
      </x:c>
      <x:c r="J124" t="str">
        <x:v>BLIND</x:v>
      </x:c>
      <x:c r="K124" t="str">
        <x:v>NONE</x:v>
      </x:c>
      <x:c r="L124" t="str">
        <x:v>n.a.</x:v>
      </x:c>
      <x:c r="M124" s="14" t="n">
        <x:v>3</x:v>
      </x:c>
      <x:c r="N124" s="14" t="n">
        <x:v>8</x:v>
      </x:c>
      <x:c r="O124" s="14" t="str"/>
      <x:c r="P124" s="14" t="str"/>
      <x:c r="Q124" s="14" t="str"/>
      <x:c r="R124" s="14" t="str"/>
      <x:c r="S124" s="14" t="str"/>
      <x:c r="T124" s="14" t="str"/>
      <x:c r="U124" s="10" t="str"/>
      <x:c r="V124" t="str"/>
      <x:c r="W124" t="str">
        <x:f>IF(V124=1,IF(R124="VALID","PASS",IF(R124="INVALID","INVALID","OPEN")),"OPEN")</x:f>
        <x:v>OPEN</x:v>
      </x:c>
    </x:row>
    <x:row r="125" ht="36" customHeight="1">
      <x:c r="B125" t="str">
        <x:v>RAW-E119</x:v>
      </x:c>
      <x:c r="C125" t="str">
        <x:v>AM-01</x:v>
      </x:c>
      <x:c r="D125" t="str">
        <x:v>TR-B</x:v>
      </x:c>
      <x:c r="E125" t="str">
        <x:v>RFP-B2</x:v>
      </x:c>
      <x:c r="F125" t="str">
        <x:v>PTC-B</x:v>
      </x:c>
      <x:c r="G125" t="str">
        <x:v>QT-05</x:v>
      </x:c>
      <x:c r="H125" t="str">
        <x:v>RAW-V11</x:v>
      </x:c>
      <x:c r="I125" t="str">
        <x:v>RAW-A040</x:v>
      </x:c>
      <x:c r="J125" t="str">
        <x:v>BLIND</x:v>
      </x:c>
      <x:c r="K125" t="str">
        <x:v>DECISIVE CHAIN</x:v>
      </x:c>
      <x:c r="L125" t="str">
        <x:v>n.a.</x:v>
      </x:c>
      <x:c r="M125" s="14" t="n">
        <x:v>3</x:v>
      </x:c>
      <x:c r="N125" s="14" t="n">
        <x:v>10</x:v>
      </x:c>
      <x:c r="O125" s="14" t="str"/>
      <x:c r="P125" s="14" t="str"/>
      <x:c r="Q125" s="14" t="str"/>
      <x:c r="R125" s="14" t="str"/>
      <x:c r="S125" s="14" t="str"/>
      <x:c r="T125" s="14" t="str"/>
      <x:c r="U125" s="10" t="str"/>
      <x:c r="V125" t="str"/>
      <x:c r="W125" t="str">
        <x:f>IF(V125=1,IF(R125="VALID","PASS",IF(R125="INVALID","INVALID","OPEN")),"OPEN")</x:f>
        <x:v>OPEN</x:v>
      </x:c>
    </x:row>
    <x:row r="126" ht="36" customHeight="1">
      <x:c r="B126" t="str">
        <x:v>RAW-E120</x:v>
      </x:c>
      <x:c r="C126" t="str">
        <x:v>AM-01</x:v>
      </x:c>
      <x:c r="D126" t="str">
        <x:v>TR-B</x:v>
      </x:c>
      <x:c r="E126" t="str">
        <x:v>RFP-B2</x:v>
      </x:c>
      <x:c r="F126" t="str">
        <x:v>PTC-B</x:v>
      </x:c>
      <x:c r="G126" t="str">
        <x:v>QT-06</x:v>
      </x:c>
      <x:c r="H126" t="str">
        <x:v>RAW-V12</x:v>
      </x:c>
      <x:c r="I126" t="str">
        <x:v>RAW-A040</x:v>
      </x:c>
      <x:c r="J126" t="str">
        <x:v>DISCLOSED</x:v>
      </x:c>
      <x:c r="K126" t="str">
        <x:v>NONE</x:v>
      </x:c>
      <x:c r="L126" t="str">
        <x:v>PTC-C</x:v>
      </x:c>
      <x:c r="M126" s="14" t="n">
        <x:v>4</x:v>
      </x:c>
      <x:c r="N126" s="14" t="n">
        <x:v>12</x:v>
      </x:c>
      <x:c r="O126" s="14" t="str"/>
      <x:c r="P126" s="14" t="str"/>
      <x:c r="Q126" s="14" t="str"/>
      <x:c r="R126" s="14" t="str"/>
      <x:c r="S126" s="14" t="str"/>
      <x:c r="T126" s="14" t="str"/>
      <x:c r="U126" s="10" t="str"/>
      <x:c r="V126" t="str"/>
      <x:c r="W126" t="str">
        <x:f>IF(V126=1,IF(R126="VALID","PASS",IF(R126="INVALID","INVALID","OPEN")),"OPEN")</x:f>
        <x:v>OPEN</x:v>
      </x:c>
    </x:row>
    <x:row r="127" ht="36" customHeight="1">
      <x:c r="B127" t="str">
        <x:v>RAW-E121</x:v>
      </x:c>
      <x:c r="C127" t="str">
        <x:v>AM-01</x:v>
      </x:c>
      <x:c r="D127" t="str">
        <x:v>TR-A</x:v>
      </x:c>
      <x:c r="E127" t="str">
        <x:v>RFP-C1</x:v>
      </x:c>
      <x:c r="F127" t="str">
        <x:v>PTC-C</x:v>
      </x:c>
      <x:c r="G127" t="str">
        <x:v>QT-01</x:v>
      </x:c>
      <x:c r="H127" t="str">
        <x:v>RAW-V07</x:v>
      </x:c>
      <x:c r="I127" t="str">
        <x:v>RAW-A029</x:v>
      </x:c>
      <x:c r="J127" t="str">
        <x:v>DISCLOSED</x:v>
      </x:c>
      <x:c r="K127" t="str">
        <x:v>NONE</x:v>
      </x:c>
      <x:c r="L127" t="str">
        <x:v>n.a.</x:v>
      </x:c>
      <x:c r="M127" s="14" t="n">
        <x:v>2</x:v>
      </x:c>
      <x:c r="N127" s="14" t="n">
        <x:v>1</x:v>
      </x:c>
      <x:c r="O127" s="14" t="str"/>
      <x:c r="P127" s="14" t="str"/>
      <x:c r="Q127" s="14" t="str"/>
      <x:c r="R127" s="14" t="str"/>
      <x:c r="S127" s="14" t="str"/>
      <x:c r="T127" s="14" t="str"/>
      <x:c r="U127" s="10" t="str"/>
      <x:c r="V127" t="str"/>
      <x:c r="W127" t="str">
        <x:f>IF(V127=1,IF(R127="VALID","PASS",IF(R127="INVALID","INVALID","OPEN")),"OPEN")</x:f>
        <x:v>OPEN</x:v>
      </x:c>
    </x:row>
    <x:row r="128" ht="36" customHeight="1">
      <x:c r="B128" t="str">
        <x:v>RAW-E122</x:v>
      </x:c>
      <x:c r="C128" t="str">
        <x:v>AM-01</x:v>
      </x:c>
      <x:c r="D128" t="str">
        <x:v>TR-A</x:v>
      </x:c>
      <x:c r="E128" t="str">
        <x:v>RFP-C1</x:v>
      </x:c>
      <x:c r="F128" t="str">
        <x:v>PTC-C</x:v>
      </x:c>
      <x:c r="G128" t="str">
        <x:v>QT-02</x:v>
      </x:c>
      <x:c r="H128" t="str">
        <x:v>RAW-V08</x:v>
      </x:c>
      <x:c r="I128" t="str">
        <x:v>RAW-A029</x:v>
      </x:c>
      <x:c r="J128" t="str">
        <x:v>DISCLOSED</x:v>
      </x:c>
      <x:c r="K128" t="str">
        <x:v>NONE</x:v>
      </x:c>
      <x:c r="L128" t="str">
        <x:v>n.a.</x:v>
      </x:c>
      <x:c r="M128" s="14" t="n">
        <x:v>2</x:v>
      </x:c>
      <x:c r="N128" s="14" t="n">
        <x:v>3</x:v>
      </x:c>
      <x:c r="O128" s="14" t="str"/>
      <x:c r="P128" s="14" t="str"/>
      <x:c r="Q128" s="14" t="str"/>
      <x:c r="R128" s="14" t="str"/>
      <x:c r="S128" s="14" t="str"/>
      <x:c r="T128" s="14" t="str"/>
      <x:c r="U128" s="10" t="str"/>
      <x:c r="V128" t="str"/>
      <x:c r="W128" t="str">
        <x:f>IF(V128=1,IF(R128="VALID","PASS",IF(R128="INVALID","INVALID","OPEN")),"OPEN")</x:f>
        <x:v>OPEN</x:v>
      </x:c>
    </x:row>
    <x:row r="129" ht="36" customHeight="1">
      <x:c r="B129" t="str">
        <x:v>RAW-E123</x:v>
      </x:c>
      <x:c r="C129" t="str">
        <x:v>AM-01</x:v>
      </x:c>
      <x:c r="D129" t="str">
        <x:v>TR-A</x:v>
      </x:c>
      <x:c r="E129" t="str">
        <x:v>RFP-C1</x:v>
      </x:c>
      <x:c r="F129" t="str">
        <x:v>PTC-C</x:v>
      </x:c>
      <x:c r="G129" t="str">
        <x:v>QT-03</x:v>
      </x:c>
      <x:c r="H129" t="str">
        <x:v>RAW-V09</x:v>
      </x:c>
      <x:c r="I129" t="str">
        <x:v>RAW-A029</x:v>
      </x:c>
      <x:c r="J129" t="str">
        <x:v>DISCLOSED</x:v>
      </x:c>
      <x:c r="K129" t="str">
        <x:v>NONE</x:v>
      </x:c>
      <x:c r="L129" t="str">
        <x:v>n.a.</x:v>
      </x:c>
      <x:c r="M129" s="14" t="n">
        <x:v>2</x:v>
      </x:c>
      <x:c r="N129" s="14" t="n">
        <x:v>5</x:v>
      </x:c>
      <x:c r="O129" s="14" t="str"/>
      <x:c r="P129" s="14" t="str"/>
      <x:c r="Q129" s="14" t="str"/>
      <x:c r="R129" s="14" t="str"/>
      <x:c r="S129" s="14" t="str"/>
      <x:c r="T129" s="14" t="str"/>
      <x:c r="U129" s="10" t="str"/>
      <x:c r="V129" t="str"/>
      <x:c r="W129" t="str">
        <x:f>IF(V129=1,IF(R129="VALID","PASS",IF(R129="INVALID","INVALID","OPEN")),"OPEN")</x:f>
        <x:v>OPEN</x:v>
      </x:c>
    </x:row>
    <x:row r="130" ht="36" customHeight="1">
      <x:c r="B130" t="str">
        <x:v>RAW-E124</x:v>
      </x:c>
      <x:c r="C130" t="str">
        <x:v>AM-01</x:v>
      </x:c>
      <x:c r="D130" t="str">
        <x:v>TR-A</x:v>
      </x:c>
      <x:c r="E130" t="str">
        <x:v>RFP-C1</x:v>
      </x:c>
      <x:c r="F130" t="str">
        <x:v>PTC-C</x:v>
      </x:c>
      <x:c r="G130" t="str">
        <x:v>QT-04</x:v>
      </x:c>
      <x:c r="H130" t="str">
        <x:v>RAW-V10</x:v>
      </x:c>
      <x:c r="I130" t="str">
        <x:v>RAW-A029</x:v>
      </x:c>
      <x:c r="J130" t="str">
        <x:v>BLIND</x:v>
      </x:c>
      <x:c r="K130" t="str">
        <x:v>NONE</x:v>
      </x:c>
      <x:c r="L130" t="str">
        <x:v>n.a.</x:v>
      </x:c>
      <x:c r="M130" s="14" t="n">
        <x:v>3</x:v>
      </x:c>
      <x:c r="N130" s="14" t="n">
        <x:v>7</x:v>
      </x:c>
      <x:c r="O130" s="14" t="str"/>
      <x:c r="P130" s="14" t="str"/>
      <x:c r="Q130" s="14" t="str"/>
      <x:c r="R130" s="14" t="str"/>
      <x:c r="S130" s="14" t="str"/>
      <x:c r="T130" s="14" t="str"/>
      <x:c r="U130" s="10" t="str"/>
      <x:c r="V130" t="str"/>
      <x:c r="W130" t="str">
        <x:f>IF(V130=1,IF(R130="VALID","PASS",IF(R130="INVALID","INVALID","OPEN")),"OPEN")</x:f>
        <x:v>OPEN</x:v>
      </x:c>
    </x:row>
    <x:row r="131" ht="36" customHeight="1">
      <x:c r="B131" t="str">
        <x:v>RAW-E125</x:v>
      </x:c>
      <x:c r="C131" t="str">
        <x:v>AM-01</x:v>
      </x:c>
      <x:c r="D131" t="str">
        <x:v>TR-A</x:v>
      </x:c>
      <x:c r="E131" t="str">
        <x:v>RFP-C1</x:v>
      </x:c>
      <x:c r="F131" t="str">
        <x:v>PTC-C</x:v>
      </x:c>
      <x:c r="G131" t="str">
        <x:v>QT-05</x:v>
      </x:c>
      <x:c r="H131" t="str">
        <x:v>RAW-V11</x:v>
      </x:c>
      <x:c r="I131" t="str">
        <x:v>RAW-A029</x:v>
      </x:c>
      <x:c r="J131" t="str">
        <x:v>BLIND</x:v>
      </x:c>
      <x:c r="K131" t="str">
        <x:v>DECISIVE CHAIN</x:v>
      </x:c>
      <x:c r="L131" t="str">
        <x:v>n.a.</x:v>
      </x:c>
      <x:c r="M131" s="14" t="n">
        <x:v>3</x:v>
      </x:c>
      <x:c r="N131" s="14" t="n">
        <x:v>9</x:v>
      </x:c>
      <x:c r="O131" s="14" t="str"/>
      <x:c r="P131" s="14" t="str"/>
      <x:c r="Q131" s="14" t="str"/>
      <x:c r="R131" s="14" t="str"/>
      <x:c r="S131" s="14" t="str"/>
      <x:c r="T131" s="14" t="str"/>
      <x:c r="U131" s="10" t="str"/>
      <x:c r="V131" t="str"/>
      <x:c r="W131" t="str">
        <x:f>IF(V131=1,IF(R131="VALID","PASS",IF(R131="INVALID","INVALID","OPEN")),"OPEN")</x:f>
        <x:v>OPEN</x:v>
      </x:c>
    </x:row>
    <x:row r="132" ht="36" customHeight="1">
      <x:c r="B132" t="str">
        <x:v>RAW-E126</x:v>
      </x:c>
      <x:c r="C132" t="str">
        <x:v>AM-01</x:v>
      </x:c>
      <x:c r="D132" t="str">
        <x:v>TR-A</x:v>
      </x:c>
      <x:c r="E132" t="str">
        <x:v>RFP-C1</x:v>
      </x:c>
      <x:c r="F132" t="str">
        <x:v>PTC-C</x:v>
      </x:c>
      <x:c r="G132" t="str">
        <x:v>QT-06</x:v>
      </x:c>
      <x:c r="H132" t="str">
        <x:v>RAW-V12</x:v>
      </x:c>
      <x:c r="I132" t="str">
        <x:v>RAW-A029</x:v>
      </x:c>
      <x:c r="J132" t="str">
        <x:v>DISCLOSED</x:v>
      </x:c>
      <x:c r="K132" t="str">
        <x:v>NONE</x:v>
      </x:c>
      <x:c r="L132" t="str">
        <x:v>PTC-B</x:v>
      </x:c>
      <x:c r="M132" s="14" t="n">
        <x:v>4</x:v>
      </x:c>
      <x:c r="N132" s="14" t="n">
        <x:v>11</x:v>
      </x:c>
      <x:c r="O132" s="14" t="str"/>
      <x:c r="P132" s="14" t="str"/>
      <x:c r="Q132" s="14" t="str"/>
      <x:c r="R132" s="14" t="str"/>
      <x:c r="S132" s="14" t="str"/>
      <x:c r="T132" s="14" t="str"/>
      <x:c r="U132" s="10" t="str"/>
      <x:c r="V132" t="str"/>
      <x:c r="W132" t="str">
        <x:f>IF(V132=1,IF(R132="VALID","PASS",IF(R132="INVALID","INVALID","OPEN")),"OPEN")</x:f>
        <x:v>OPEN</x:v>
      </x:c>
    </x:row>
    <x:row r="133" ht="36" customHeight="1">
      <x:c r="B133" t="str">
        <x:v>RAW-E127</x:v>
      </x:c>
      <x:c r="C133" t="str">
        <x:v>AM-01</x:v>
      </x:c>
      <x:c r="D133" t="str">
        <x:v>TR-B</x:v>
      </x:c>
      <x:c r="E133" t="str">
        <x:v>RFP-C1</x:v>
      </x:c>
      <x:c r="F133" t="str">
        <x:v>PTC-C</x:v>
      </x:c>
      <x:c r="G133" t="str">
        <x:v>QT-01</x:v>
      </x:c>
      <x:c r="H133" t="str">
        <x:v>RAW-V07</x:v>
      </x:c>
      <x:c r="I133" t="str">
        <x:v>RAW-A041</x:v>
      </x:c>
      <x:c r="J133" t="str">
        <x:v>DISCLOSED</x:v>
      </x:c>
      <x:c r="K133" t="str">
        <x:v>NONE</x:v>
      </x:c>
      <x:c r="L133" t="str">
        <x:v>n.a.</x:v>
      </x:c>
      <x:c r="M133" s="14" t="n">
        <x:v>2</x:v>
      </x:c>
      <x:c r="N133" s="14" t="n">
        <x:v>2</x:v>
      </x:c>
      <x:c r="O133" s="14" t="str"/>
      <x:c r="P133" s="14" t="str"/>
      <x:c r="Q133" s="14" t="str"/>
      <x:c r="R133" s="14" t="str"/>
      <x:c r="S133" s="14" t="str"/>
      <x:c r="T133" s="14" t="str"/>
      <x:c r="U133" s="10" t="str"/>
      <x:c r="V133" t="str"/>
      <x:c r="W133" t="str">
        <x:f>IF(V133=1,IF(R133="VALID","PASS",IF(R133="INVALID","INVALID","OPEN")),"OPEN")</x:f>
        <x:v>OPEN</x:v>
      </x:c>
    </x:row>
    <x:row r="134" ht="36" customHeight="1">
      <x:c r="B134" t="str">
        <x:v>RAW-E128</x:v>
      </x:c>
      <x:c r="C134" t="str">
        <x:v>AM-01</x:v>
      </x:c>
      <x:c r="D134" t="str">
        <x:v>TR-B</x:v>
      </x:c>
      <x:c r="E134" t="str">
        <x:v>RFP-C1</x:v>
      </x:c>
      <x:c r="F134" t="str">
        <x:v>PTC-C</x:v>
      </x:c>
      <x:c r="G134" t="str">
        <x:v>QT-02</x:v>
      </x:c>
      <x:c r="H134" t="str">
        <x:v>RAW-V08</x:v>
      </x:c>
      <x:c r="I134" t="str">
        <x:v>RAW-A041</x:v>
      </x:c>
      <x:c r="J134" t="str">
        <x:v>DISCLOSED</x:v>
      </x:c>
      <x:c r="K134" t="str">
        <x:v>NONE</x:v>
      </x:c>
      <x:c r="L134" t="str">
        <x:v>n.a.</x:v>
      </x:c>
      <x:c r="M134" s="14" t="n">
        <x:v>2</x:v>
      </x:c>
      <x:c r="N134" s="14" t="n">
        <x:v>4</x:v>
      </x:c>
      <x:c r="O134" s="14" t="str"/>
      <x:c r="P134" s="14" t="str"/>
      <x:c r="Q134" s="14" t="str"/>
      <x:c r="R134" s="14" t="str"/>
      <x:c r="S134" s="14" t="str"/>
      <x:c r="T134" s="14" t="str"/>
      <x:c r="U134" s="10" t="str"/>
      <x:c r="V134" t="str"/>
      <x:c r="W134" t="str">
        <x:f>IF(V134=1,IF(R134="VALID","PASS",IF(R134="INVALID","INVALID","OPEN")),"OPEN")</x:f>
        <x:v>OPEN</x:v>
      </x:c>
    </x:row>
    <x:row r="135" ht="36" customHeight="1">
      <x:c r="B135" t="str">
        <x:v>RAW-E129</x:v>
      </x:c>
      <x:c r="C135" t="str">
        <x:v>AM-01</x:v>
      </x:c>
      <x:c r="D135" t="str">
        <x:v>TR-B</x:v>
      </x:c>
      <x:c r="E135" t="str">
        <x:v>RFP-C1</x:v>
      </x:c>
      <x:c r="F135" t="str">
        <x:v>PTC-C</x:v>
      </x:c>
      <x:c r="G135" t="str">
        <x:v>QT-03</x:v>
      </x:c>
      <x:c r="H135" t="str">
        <x:v>RAW-V09</x:v>
      </x:c>
      <x:c r="I135" t="str">
        <x:v>RAW-A041</x:v>
      </x:c>
      <x:c r="J135" t="str">
        <x:v>DISCLOSED</x:v>
      </x:c>
      <x:c r="K135" t="str">
        <x:v>NONE</x:v>
      </x:c>
      <x:c r="L135" t="str">
        <x:v>n.a.</x:v>
      </x:c>
      <x:c r="M135" s="14" t="n">
        <x:v>2</x:v>
      </x:c>
      <x:c r="N135" s="14" t="n">
        <x:v>6</x:v>
      </x:c>
      <x:c r="O135" s="14" t="str"/>
      <x:c r="P135" s="14" t="str"/>
      <x:c r="Q135" s="14" t="str"/>
      <x:c r="R135" s="14" t="str"/>
      <x:c r="S135" s="14" t="str"/>
      <x:c r="T135" s="14" t="str"/>
      <x:c r="U135" s="10" t="str"/>
      <x:c r="V135" t="str"/>
      <x:c r="W135" t="str">
        <x:f>IF(V135=1,IF(R135="VALID","PASS",IF(R135="INVALID","INVALID","OPEN")),"OPEN")</x:f>
        <x:v>OPEN</x:v>
      </x:c>
    </x:row>
    <x:row r="136" ht="36" customHeight="1">
      <x:c r="B136" t="str">
        <x:v>RAW-E130</x:v>
      </x:c>
      <x:c r="C136" t="str">
        <x:v>AM-01</x:v>
      </x:c>
      <x:c r="D136" t="str">
        <x:v>TR-B</x:v>
      </x:c>
      <x:c r="E136" t="str">
        <x:v>RFP-C1</x:v>
      </x:c>
      <x:c r="F136" t="str">
        <x:v>PTC-C</x:v>
      </x:c>
      <x:c r="G136" t="str">
        <x:v>QT-04</x:v>
      </x:c>
      <x:c r="H136" t="str">
        <x:v>RAW-V10</x:v>
      </x:c>
      <x:c r="I136" t="str">
        <x:v>RAW-A041</x:v>
      </x:c>
      <x:c r="J136" t="str">
        <x:v>BLIND</x:v>
      </x:c>
      <x:c r="K136" t="str">
        <x:v>NONE</x:v>
      </x:c>
      <x:c r="L136" t="str">
        <x:v>n.a.</x:v>
      </x:c>
      <x:c r="M136" s="14" t="n">
        <x:v>3</x:v>
      </x:c>
      <x:c r="N136" s="14" t="n">
        <x:v>8</x:v>
      </x:c>
      <x:c r="O136" s="14" t="str"/>
      <x:c r="P136" s="14" t="str"/>
      <x:c r="Q136" s="14" t="str"/>
      <x:c r="R136" s="14" t="str"/>
      <x:c r="S136" s="14" t="str"/>
      <x:c r="T136" s="14" t="str"/>
      <x:c r="U136" s="10" t="str"/>
      <x:c r="V136" t="str"/>
      <x:c r="W136" t="str">
        <x:f>IF(V136=1,IF(R136="VALID","PASS",IF(R136="INVALID","INVALID","OPEN")),"OPEN")</x:f>
        <x:v>OPEN</x:v>
      </x:c>
    </x:row>
    <x:row r="137" ht="36" customHeight="1">
      <x:c r="B137" t="str">
        <x:v>RAW-E131</x:v>
      </x:c>
      <x:c r="C137" t="str">
        <x:v>AM-01</x:v>
      </x:c>
      <x:c r="D137" t="str">
        <x:v>TR-B</x:v>
      </x:c>
      <x:c r="E137" t="str">
        <x:v>RFP-C1</x:v>
      </x:c>
      <x:c r="F137" t="str">
        <x:v>PTC-C</x:v>
      </x:c>
      <x:c r="G137" t="str">
        <x:v>QT-05</x:v>
      </x:c>
      <x:c r="H137" t="str">
        <x:v>RAW-V11</x:v>
      </x:c>
      <x:c r="I137" t="str">
        <x:v>RAW-A041</x:v>
      </x:c>
      <x:c r="J137" t="str">
        <x:v>BLIND</x:v>
      </x:c>
      <x:c r="K137" t="str">
        <x:v>DECISIVE CHAIN</x:v>
      </x:c>
      <x:c r="L137" t="str">
        <x:v>n.a.</x:v>
      </x:c>
      <x:c r="M137" s="14" t="n">
        <x:v>3</x:v>
      </x:c>
      <x:c r="N137" s="14" t="n">
        <x:v>10</x:v>
      </x:c>
      <x:c r="O137" s="14" t="str"/>
      <x:c r="P137" s="14" t="str"/>
      <x:c r="Q137" s="14" t="str"/>
      <x:c r="R137" s="14" t="str"/>
      <x:c r="S137" s="14" t="str"/>
      <x:c r="T137" s="14" t="str"/>
      <x:c r="U137" s="10" t="str"/>
      <x:c r="V137" t="str"/>
      <x:c r="W137" t="str">
        <x:f>IF(V137=1,IF(R137="VALID","PASS",IF(R137="INVALID","INVALID","OPEN")),"OPEN")</x:f>
        <x:v>OPEN</x:v>
      </x:c>
    </x:row>
    <x:row r="138" ht="36" customHeight="1">
      <x:c r="B138" t="str">
        <x:v>RAW-E132</x:v>
      </x:c>
      <x:c r="C138" t="str">
        <x:v>AM-01</x:v>
      </x:c>
      <x:c r="D138" t="str">
        <x:v>TR-B</x:v>
      </x:c>
      <x:c r="E138" t="str">
        <x:v>RFP-C1</x:v>
      </x:c>
      <x:c r="F138" t="str">
        <x:v>PTC-C</x:v>
      </x:c>
      <x:c r="G138" t="str">
        <x:v>QT-06</x:v>
      </x:c>
      <x:c r="H138" t="str">
        <x:v>RAW-V12</x:v>
      </x:c>
      <x:c r="I138" t="str">
        <x:v>RAW-A041</x:v>
      </x:c>
      <x:c r="J138" t="str">
        <x:v>DISCLOSED</x:v>
      </x:c>
      <x:c r="K138" t="str">
        <x:v>NONE</x:v>
      </x:c>
      <x:c r="L138" t="str">
        <x:v>PTC-B</x:v>
      </x:c>
      <x:c r="M138" s="14" t="n">
        <x:v>4</x:v>
      </x:c>
      <x:c r="N138" s="14" t="n">
        <x:v>12</x:v>
      </x:c>
      <x:c r="O138" s="14" t="str"/>
      <x:c r="P138" s="14" t="str"/>
      <x:c r="Q138" s="14" t="str"/>
      <x:c r="R138" s="14" t="str"/>
      <x:c r="S138" s="14" t="str"/>
      <x:c r="T138" s="14" t="str"/>
      <x:c r="U138" s="10" t="str"/>
      <x:c r="V138" t="str"/>
      <x:c r="W138" t="str">
        <x:f>IF(V138=1,IF(R138="VALID","PASS",IF(R138="INVALID","INVALID","OPEN")),"OPEN")</x:f>
        <x:v>OPEN</x:v>
      </x:c>
    </x:row>
    <x:row r="139" ht="36" customHeight="1">
      <x:c r="B139" t="str">
        <x:v>RAW-E133</x:v>
      </x:c>
      <x:c r="C139" t="str">
        <x:v>AM-01</x:v>
      </x:c>
      <x:c r="D139" t="str">
        <x:v>TR-A</x:v>
      </x:c>
      <x:c r="E139" t="str">
        <x:v>RFP-C2</x:v>
      </x:c>
      <x:c r="F139" t="str">
        <x:v>PTC-C</x:v>
      </x:c>
      <x:c r="G139" t="str">
        <x:v>QT-01</x:v>
      </x:c>
      <x:c r="H139" t="str">
        <x:v>RAW-V07</x:v>
      </x:c>
      <x:c r="I139" t="str">
        <x:v>RAW-A030</x:v>
      </x:c>
      <x:c r="J139" t="str">
        <x:v>DISCLOSED</x:v>
      </x:c>
      <x:c r="K139" t="str">
        <x:v>NONE</x:v>
      </x:c>
      <x:c r="L139" t="str">
        <x:v>n.a.</x:v>
      </x:c>
      <x:c r="M139" s="14" t="n">
        <x:v>2</x:v>
      </x:c>
      <x:c r="N139" s="14" t="n">
        <x:v>1</x:v>
      </x:c>
      <x:c r="O139" s="14" t="str"/>
      <x:c r="P139" s="14" t="str"/>
      <x:c r="Q139" s="14" t="str"/>
      <x:c r="R139" s="14" t="str"/>
      <x:c r="S139" s="14" t="str"/>
      <x:c r="T139" s="14" t="str"/>
      <x:c r="U139" s="10" t="str"/>
      <x:c r="V139" t="str"/>
      <x:c r="W139" t="str">
        <x:f>IF(V139=1,IF(R139="VALID","PASS",IF(R139="INVALID","INVALID","OPEN")),"OPEN")</x:f>
        <x:v>OPEN</x:v>
      </x:c>
    </x:row>
    <x:row r="140" ht="36" customHeight="1">
      <x:c r="B140" t="str">
        <x:v>RAW-E134</x:v>
      </x:c>
      <x:c r="C140" t="str">
        <x:v>AM-01</x:v>
      </x:c>
      <x:c r="D140" t="str">
        <x:v>TR-A</x:v>
      </x:c>
      <x:c r="E140" t="str">
        <x:v>RFP-C2</x:v>
      </x:c>
      <x:c r="F140" t="str">
        <x:v>PTC-C</x:v>
      </x:c>
      <x:c r="G140" t="str">
        <x:v>QT-02</x:v>
      </x:c>
      <x:c r="H140" t="str">
        <x:v>RAW-V08</x:v>
      </x:c>
      <x:c r="I140" t="str">
        <x:v>RAW-A030</x:v>
      </x:c>
      <x:c r="J140" t="str">
        <x:v>DISCLOSED</x:v>
      </x:c>
      <x:c r="K140" t="str">
        <x:v>NONE</x:v>
      </x:c>
      <x:c r="L140" t="str">
        <x:v>n.a.</x:v>
      </x:c>
      <x:c r="M140" s="14" t="n">
        <x:v>2</x:v>
      </x:c>
      <x:c r="N140" s="14" t="n">
        <x:v>3</x:v>
      </x:c>
      <x:c r="O140" s="14" t="str"/>
      <x:c r="P140" s="14" t="str"/>
      <x:c r="Q140" s="14" t="str"/>
      <x:c r="R140" s="14" t="str"/>
      <x:c r="S140" s="14" t="str"/>
      <x:c r="T140" s="14" t="str"/>
      <x:c r="U140" s="10" t="str"/>
      <x:c r="V140" t="str"/>
      <x:c r="W140" t="str">
        <x:f>IF(V140=1,IF(R140="VALID","PASS",IF(R140="INVALID","INVALID","OPEN")),"OPEN")</x:f>
        <x:v>OPEN</x:v>
      </x:c>
    </x:row>
    <x:row r="141" ht="36" customHeight="1">
      <x:c r="B141" t="str">
        <x:v>RAW-E135</x:v>
      </x:c>
      <x:c r="C141" t="str">
        <x:v>AM-01</x:v>
      </x:c>
      <x:c r="D141" t="str">
        <x:v>TR-A</x:v>
      </x:c>
      <x:c r="E141" t="str">
        <x:v>RFP-C2</x:v>
      </x:c>
      <x:c r="F141" t="str">
        <x:v>PTC-C</x:v>
      </x:c>
      <x:c r="G141" t="str">
        <x:v>QT-03</x:v>
      </x:c>
      <x:c r="H141" t="str">
        <x:v>RAW-V09</x:v>
      </x:c>
      <x:c r="I141" t="str">
        <x:v>RAW-A030</x:v>
      </x:c>
      <x:c r="J141" t="str">
        <x:v>DISCLOSED</x:v>
      </x:c>
      <x:c r="K141" t="str">
        <x:v>NONE</x:v>
      </x:c>
      <x:c r="L141" t="str">
        <x:v>n.a.</x:v>
      </x:c>
      <x:c r="M141" s="14" t="n">
        <x:v>2</x:v>
      </x:c>
      <x:c r="N141" s="14" t="n">
        <x:v>5</x:v>
      </x:c>
      <x:c r="O141" s="14" t="str"/>
      <x:c r="P141" s="14" t="str"/>
      <x:c r="Q141" s="14" t="str"/>
      <x:c r="R141" s="14" t="str"/>
      <x:c r="S141" s="14" t="str"/>
      <x:c r="T141" s="14" t="str"/>
      <x:c r="U141" s="10" t="str"/>
      <x:c r="V141" t="str"/>
      <x:c r="W141" t="str">
        <x:f>IF(V141=1,IF(R141="VALID","PASS",IF(R141="INVALID","INVALID","OPEN")),"OPEN")</x:f>
        <x:v>OPEN</x:v>
      </x:c>
    </x:row>
    <x:row r="142" ht="36" customHeight="1">
      <x:c r="B142" t="str">
        <x:v>RAW-E136</x:v>
      </x:c>
      <x:c r="C142" t="str">
        <x:v>AM-01</x:v>
      </x:c>
      <x:c r="D142" t="str">
        <x:v>TR-A</x:v>
      </x:c>
      <x:c r="E142" t="str">
        <x:v>RFP-C2</x:v>
      </x:c>
      <x:c r="F142" t="str">
        <x:v>PTC-C</x:v>
      </x:c>
      <x:c r="G142" t="str">
        <x:v>QT-04</x:v>
      </x:c>
      <x:c r="H142" t="str">
        <x:v>RAW-V10</x:v>
      </x:c>
      <x:c r="I142" t="str">
        <x:v>RAW-A030</x:v>
      </x:c>
      <x:c r="J142" t="str">
        <x:v>BLIND</x:v>
      </x:c>
      <x:c r="K142" t="str">
        <x:v>NONE</x:v>
      </x:c>
      <x:c r="L142" t="str">
        <x:v>n.a.</x:v>
      </x:c>
      <x:c r="M142" s="14" t="n">
        <x:v>3</x:v>
      </x:c>
      <x:c r="N142" s="14" t="n">
        <x:v>7</x:v>
      </x:c>
      <x:c r="O142" s="14" t="str"/>
      <x:c r="P142" s="14" t="str"/>
      <x:c r="Q142" s="14" t="str"/>
      <x:c r="R142" s="14" t="str"/>
      <x:c r="S142" s="14" t="str"/>
      <x:c r="T142" s="14" t="str"/>
      <x:c r="U142" s="10" t="str"/>
      <x:c r="V142" t="str"/>
      <x:c r="W142" t="str">
        <x:f>IF(V142=1,IF(R142="VALID","PASS",IF(R142="INVALID","INVALID","OPEN")),"OPEN")</x:f>
        <x:v>OPEN</x:v>
      </x:c>
    </x:row>
    <x:row r="143" ht="36" customHeight="1">
      <x:c r="B143" t="str">
        <x:v>RAW-E137</x:v>
      </x:c>
      <x:c r="C143" t="str">
        <x:v>AM-01</x:v>
      </x:c>
      <x:c r="D143" t="str">
        <x:v>TR-A</x:v>
      </x:c>
      <x:c r="E143" t="str">
        <x:v>RFP-C2</x:v>
      </x:c>
      <x:c r="F143" t="str">
        <x:v>PTC-C</x:v>
      </x:c>
      <x:c r="G143" t="str">
        <x:v>QT-05</x:v>
      </x:c>
      <x:c r="H143" t="str">
        <x:v>RAW-V11</x:v>
      </x:c>
      <x:c r="I143" t="str">
        <x:v>RAW-A030</x:v>
      </x:c>
      <x:c r="J143" t="str">
        <x:v>BLIND</x:v>
      </x:c>
      <x:c r="K143" t="str">
        <x:v>DECISIVE CHAIN</x:v>
      </x:c>
      <x:c r="L143" t="str">
        <x:v>n.a.</x:v>
      </x:c>
      <x:c r="M143" s="14" t="n">
        <x:v>3</x:v>
      </x:c>
      <x:c r="N143" s="14" t="n">
        <x:v>9</x:v>
      </x:c>
      <x:c r="O143" s="14" t="str"/>
      <x:c r="P143" s="14" t="str"/>
      <x:c r="Q143" s="14" t="str"/>
      <x:c r="R143" s="14" t="str"/>
      <x:c r="S143" s="14" t="str"/>
      <x:c r="T143" s="14" t="str"/>
      <x:c r="U143" s="10" t="str"/>
      <x:c r="V143" t="str"/>
      <x:c r="W143" t="str">
        <x:f>IF(V143=1,IF(R143="VALID","PASS",IF(R143="INVALID","INVALID","OPEN")),"OPEN")</x:f>
        <x:v>OPEN</x:v>
      </x:c>
    </x:row>
    <x:row r="144" ht="36" customHeight="1">
      <x:c r="B144" t="str">
        <x:v>RAW-E138</x:v>
      </x:c>
      <x:c r="C144" t="str">
        <x:v>AM-01</x:v>
      </x:c>
      <x:c r="D144" t="str">
        <x:v>TR-A</x:v>
      </x:c>
      <x:c r="E144" t="str">
        <x:v>RFP-C2</x:v>
      </x:c>
      <x:c r="F144" t="str">
        <x:v>PTC-C</x:v>
      </x:c>
      <x:c r="G144" t="str">
        <x:v>QT-06</x:v>
      </x:c>
      <x:c r="H144" t="str">
        <x:v>RAW-V12</x:v>
      </x:c>
      <x:c r="I144" t="str">
        <x:v>RAW-A030</x:v>
      </x:c>
      <x:c r="J144" t="str">
        <x:v>DISCLOSED</x:v>
      </x:c>
      <x:c r="K144" t="str">
        <x:v>NONE</x:v>
      </x:c>
      <x:c r="L144" t="str">
        <x:v>PTC-B</x:v>
      </x:c>
      <x:c r="M144" s="14" t="n">
        <x:v>4</x:v>
      </x:c>
      <x:c r="N144" s="14" t="n">
        <x:v>11</x:v>
      </x:c>
      <x:c r="O144" s="14" t="str"/>
      <x:c r="P144" s="14" t="str"/>
      <x:c r="Q144" s="14" t="str"/>
      <x:c r="R144" s="14" t="str"/>
      <x:c r="S144" s="14" t="str"/>
      <x:c r="T144" s="14" t="str"/>
      <x:c r="U144" s="10" t="str"/>
      <x:c r="V144" t="str"/>
      <x:c r="W144" t="str">
        <x:f>IF(V144=1,IF(R144="VALID","PASS",IF(R144="INVALID","INVALID","OPEN")),"OPEN")</x:f>
        <x:v>OPEN</x:v>
      </x:c>
    </x:row>
    <x:row r="145" ht="36" customHeight="1">
      <x:c r="B145" t="str">
        <x:v>RAW-E139</x:v>
      </x:c>
      <x:c r="C145" t="str">
        <x:v>AM-01</x:v>
      </x:c>
      <x:c r="D145" t="str">
        <x:v>TR-B</x:v>
      </x:c>
      <x:c r="E145" t="str">
        <x:v>RFP-C2</x:v>
      </x:c>
      <x:c r="F145" t="str">
        <x:v>PTC-C</x:v>
      </x:c>
      <x:c r="G145" t="str">
        <x:v>QT-01</x:v>
      </x:c>
      <x:c r="H145" t="str">
        <x:v>RAW-V07</x:v>
      </x:c>
      <x:c r="I145" t="str">
        <x:v>RAW-A042</x:v>
      </x:c>
      <x:c r="J145" t="str">
        <x:v>DISCLOSED</x:v>
      </x:c>
      <x:c r="K145" t="str">
        <x:v>NONE</x:v>
      </x:c>
      <x:c r="L145" t="str">
        <x:v>n.a.</x:v>
      </x:c>
      <x:c r="M145" s="14" t="n">
        <x:v>2</x:v>
      </x:c>
      <x:c r="N145" s="14" t="n">
        <x:v>2</x:v>
      </x:c>
      <x:c r="O145" s="14" t="str"/>
      <x:c r="P145" s="14" t="str"/>
      <x:c r="Q145" s="14" t="str"/>
      <x:c r="R145" s="14" t="str"/>
      <x:c r="S145" s="14" t="str"/>
      <x:c r="T145" s="14" t="str"/>
      <x:c r="U145" s="10" t="str"/>
      <x:c r="V145" t="str"/>
      <x:c r="W145" t="str">
        <x:f>IF(V145=1,IF(R145="VALID","PASS",IF(R145="INVALID","INVALID","OPEN")),"OPEN")</x:f>
        <x:v>OPEN</x:v>
      </x:c>
    </x:row>
    <x:row r="146" ht="36" customHeight="1">
      <x:c r="B146" t="str">
        <x:v>RAW-E140</x:v>
      </x:c>
      <x:c r="C146" t="str">
        <x:v>AM-01</x:v>
      </x:c>
      <x:c r="D146" t="str">
        <x:v>TR-B</x:v>
      </x:c>
      <x:c r="E146" t="str">
        <x:v>RFP-C2</x:v>
      </x:c>
      <x:c r="F146" t="str">
        <x:v>PTC-C</x:v>
      </x:c>
      <x:c r="G146" t="str">
        <x:v>QT-02</x:v>
      </x:c>
      <x:c r="H146" t="str">
        <x:v>RAW-V08</x:v>
      </x:c>
      <x:c r="I146" t="str">
        <x:v>RAW-A042</x:v>
      </x:c>
      <x:c r="J146" t="str">
        <x:v>DISCLOSED</x:v>
      </x:c>
      <x:c r="K146" t="str">
        <x:v>NONE</x:v>
      </x:c>
      <x:c r="L146" t="str">
        <x:v>n.a.</x:v>
      </x:c>
      <x:c r="M146" s="14" t="n">
        <x:v>2</x:v>
      </x:c>
      <x:c r="N146" s="14" t="n">
        <x:v>4</x:v>
      </x:c>
      <x:c r="O146" s="14" t="str"/>
      <x:c r="P146" s="14" t="str"/>
      <x:c r="Q146" s="14" t="str"/>
      <x:c r="R146" s="14" t="str"/>
      <x:c r="S146" s="14" t="str"/>
      <x:c r="T146" s="14" t="str"/>
      <x:c r="U146" s="10" t="str"/>
      <x:c r="V146" t="str"/>
      <x:c r="W146" t="str">
        <x:f>IF(V146=1,IF(R146="VALID","PASS",IF(R146="INVALID","INVALID","OPEN")),"OPEN")</x:f>
        <x:v>OPEN</x:v>
      </x:c>
    </x:row>
    <x:row r="147" ht="36" customHeight="1">
      <x:c r="B147" t="str">
        <x:v>RAW-E141</x:v>
      </x:c>
      <x:c r="C147" t="str">
        <x:v>AM-01</x:v>
      </x:c>
      <x:c r="D147" t="str">
        <x:v>TR-B</x:v>
      </x:c>
      <x:c r="E147" t="str">
        <x:v>RFP-C2</x:v>
      </x:c>
      <x:c r="F147" t="str">
        <x:v>PTC-C</x:v>
      </x:c>
      <x:c r="G147" t="str">
        <x:v>QT-03</x:v>
      </x:c>
      <x:c r="H147" t="str">
        <x:v>RAW-V09</x:v>
      </x:c>
      <x:c r="I147" t="str">
        <x:v>RAW-A042</x:v>
      </x:c>
      <x:c r="J147" t="str">
        <x:v>DISCLOSED</x:v>
      </x:c>
      <x:c r="K147" t="str">
        <x:v>NONE</x:v>
      </x:c>
      <x:c r="L147" t="str">
        <x:v>n.a.</x:v>
      </x:c>
      <x:c r="M147" s="14" t="n">
        <x:v>2</x:v>
      </x:c>
      <x:c r="N147" s="14" t="n">
        <x:v>6</x:v>
      </x:c>
      <x:c r="O147" s="14" t="str"/>
      <x:c r="P147" s="14" t="str"/>
      <x:c r="Q147" s="14" t="str"/>
      <x:c r="R147" s="14" t="str"/>
      <x:c r="S147" s="14" t="str"/>
      <x:c r="T147" s="14" t="str"/>
      <x:c r="U147" s="10" t="str"/>
      <x:c r="V147" t="str"/>
      <x:c r="W147" t="str">
        <x:f>IF(V147=1,IF(R147="VALID","PASS",IF(R147="INVALID","INVALID","OPEN")),"OPEN")</x:f>
        <x:v>OPEN</x:v>
      </x:c>
    </x:row>
    <x:row r="148" ht="36" customHeight="1">
      <x:c r="B148" t="str">
        <x:v>RAW-E142</x:v>
      </x:c>
      <x:c r="C148" t="str">
        <x:v>AM-01</x:v>
      </x:c>
      <x:c r="D148" t="str">
        <x:v>TR-B</x:v>
      </x:c>
      <x:c r="E148" t="str">
        <x:v>RFP-C2</x:v>
      </x:c>
      <x:c r="F148" t="str">
        <x:v>PTC-C</x:v>
      </x:c>
      <x:c r="G148" t="str">
        <x:v>QT-04</x:v>
      </x:c>
      <x:c r="H148" t="str">
        <x:v>RAW-V10</x:v>
      </x:c>
      <x:c r="I148" t="str">
        <x:v>RAW-A042</x:v>
      </x:c>
      <x:c r="J148" t="str">
        <x:v>BLIND</x:v>
      </x:c>
      <x:c r="K148" t="str">
        <x:v>NONE</x:v>
      </x:c>
      <x:c r="L148" t="str">
        <x:v>n.a.</x:v>
      </x:c>
      <x:c r="M148" s="14" t="n">
        <x:v>3</x:v>
      </x:c>
      <x:c r="N148" s="14" t="n">
        <x:v>8</x:v>
      </x:c>
      <x:c r="O148" s="14" t="str"/>
      <x:c r="P148" s="14" t="str"/>
      <x:c r="Q148" s="14" t="str"/>
      <x:c r="R148" s="14" t="str"/>
      <x:c r="S148" s="14" t="str"/>
      <x:c r="T148" s="14" t="str"/>
      <x:c r="U148" s="10" t="str"/>
      <x:c r="V148" t="str"/>
      <x:c r="W148" t="str">
        <x:f>IF(V148=1,IF(R148="VALID","PASS",IF(R148="INVALID","INVALID","OPEN")),"OPEN")</x:f>
        <x:v>OPEN</x:v>
      </x:c>
    </x:row>
    <x:row r="149" ht="36" customHeight="1">
      <x:c r="B149" t="str">
        <x:v>RAW-E143</x:v>
      </x:c>
      <x:c r="C149" t="str">
        <x:v>AM-01</x:v>
      </x:c>
      <x:c r="D149" t="str">
        <x:v>TR-B</x:v>
      </x:c>
      <x:c r="E149" t="str">
        <x:v>RFP-C2</x:v>
      </x:c>
      <x:c r="F149" t="str">
        <x:v>PTC-C</x:v>
      </x:c>
      <x:c r="G149" t="str">
        <x:v>QT-05</x:v>
      </x:c>
      <x:c r="H149" t="str">
        <x:v>RAW-V11</x:v>
      </x:c>
      <x:c r="I149" t="str">
        <x:v>RAW-A042</x:v>
      </x:c>
      <x:c r="J149" t="str">
        <x:v>BLIND</x:v>
      </x:c>
      <x:c r="K149" t="str">
        <x:v>DECISIVE CHAIN</x:v>
      </x:c>
      <x:c r="L149" t="str">
        <x:v>n.a.</x:v>
      </x:c>
      <x:c r="M149" s="14" t="n">
        <x:v>3</x:v>
      </x:c>
      <x:c r="N149" s="14" t="n">
        <x:v>10</x:v>
      </x:c>
      <x:c r="O149" s="14" t="str"/>
      <x:c r="P149" s="14" t="str"/>
      <x:c r="Q149" s="14" t="str"/>
      <x:c r="R149" s="14" t="str"/>
      <x:c r="S149" s="14" t="str"/>
      <x:c r="T149" s="14" t="str"/>
      <x:c r="U149" s="10" t="str"/>
      <x:c r="V149" t="str"/>
      <x:c r="W149" t="str">
        <x:f>IF(V149=1,IF(R149="VALID","PASS",IF(R149="INVALID","INVALID","OPEN")),"OPEN")</x:f>
        <x:v>OPEN</x:v>
      </x:c>
    </x:row>
    <x:row r="150" ht="36" customHeight="1">
      <x:c r="B150" t="str">
        <x:v>RAW-E144</x:v>
      </x:c>
      <x:c r="C150" t="str">
        <x:v>AM-01</x:v>
      </x:c>
      <x:c r="D150" t="str">
        <x:v>TR-B</x:v>
      </x:c>
      <x:c r="E150" t="str">
        <x:v>RFP-C2</x:v>
      </x:c>
      <x:c r="F150" t="str">
        <x:v>PTC-C</x:v>
      </x:c>
      <x:c r="G150" t="str">
        <x:v>QT-06</x:v>
      </x:c>
      <x:c r="H150" t="str">
        <x:v>RAW-V12</x:v>
      </x:c>
      <x:c r="I150" t="str">
        <x:v>RAW-A042</x:v>
      </x:c>
      <x:c r="J150" t="str">
        <x:v>DISCLOSED</x:v>
      </x:c>
      <x:c r="K150" t="str">
        <x:v>NONE</x:v>
      </x:c>
      <x:c r="L150" t="str">
        <x:v>PTC-B</x:v>
      </x:c>
      <x:c r="M150" s="14" t="n">
        <x:v>4</x:v>
      </x:c>
      <x:c r="N150" s="14" t="n">
        <x:v>12</x:v>
      </x:c>
      <x:c r="O150" s="14" t="str"/>
      <x:c r="P150" s="14" t="str"/>
      <x:c r="Q150" s="14" t="str"/>
      <x:c r="R150" s="14" t="str"/>
      <x:c r="S150" s="14" t="str"/>
      <x:c r="T150" s="14" t="str"/>
      <x:c r="U150" s="10" t="str"/>
      <x:c r="V150" t="str"/>
      <x:c r="W150" t="str">
        <x:f>IF(V150=1,IF(R150="VALID","PASS",IF(R150="INVALID","INVALID","OPEN")),"OPEN")</x:f>
        <x:v>OPEN</x:v>
      </x:c>
    </x:row>
    <x:row r="151" ht="36" customHeight="1">
      <x:c r="B151" t="str">
        <x:v>RAW-E145</x:v>
      </x:c>
      <x:c r="C151" t="str">
        <x:v>AM-02</x:v>
      </x:c>
      <x:c r="D151" t="str">
        <x:v>TR-A</x:v>
      </x:c>
      <x:c r="E151" t="str">
        <x:v>RFP-A1</x:v>
      </x:c>
      <x:c r="F151" t="str">
        <x:v>PTC-A</x:v>
      </x:c>
      <x:c r="G151" t="str">
        <x:v>QT-01</x:v>
      </x:c>
      <x:c r="H151" t="str">
        <x:v>RAW-V13</x:v>
      </x:c>
      <x:c r="I151" t="str">
        <x:v>RAW-A049</x:v>
      </x:c>
      <x:c r="J151" t="str">
        <x:v>DISCLOSED</x:v>
      </x:c>
      <x:c r="K151" t="str">
        <x:v>NONE</x:v>
      </x:c>
      <x:c r="L151" t="str">
        <x:v>n.a.</x:v>
      </x:c>
      <x:c r="M151" s="14" t="n">
        <x:v>2</x:v>
      </x:c>
      <x:c r="N151" s="14" t="n">
        <x:v>1</x:v>
      </x:c>
      <x:c r="O151" s="14" t="str"/>
      <x:c r="P151" s="14" t="str"/>
      <x:c r="Q151" s="14" t="str"/>
      <x:c r="R151" s="14" t="str"/>
      <x:c r="S151" s="14" t="str"/>
      <x:c r="T151" s="14" t="str"/>
      <x:c r="U151" s="10" t="str"/>
      <x:c r="V151" t="str"/>
      <x:c r="W151" t="str">
        <x:f>IF(V151=1,IF(R151="VALID","PASS",IF(R151="INVALID","INVALID","OPEN")),"OPEN")</x:f>
        <x:v>OPEN</x:v>
      </x:c>
    </x:row>
    <x:row r="152" ht="36" customHeight="1">
      <x:c r="B152" t="str">
        <x:v>RAW-E146</x:v>
      </x:c>
      <x:c r="C152" t="str">
        <x:v>AM-02</x:v>
      </x:c>
      <x:c r="D152" t="str">
        <x:v>TR-A</x:v>
      </x:c>
      <x:c r="E152" t="str">
        <x:v>RFP-A1</x:v>
      </x:c>
      <x:c r="F152" t="str">
        <x:v>PTC-A</x:v>
      </x:c>
      <x:c r="G152" t="str">
        <x:v>QT-02</x:v>
      </x:c>
      <x:c r="H152" t="str">
        <x:v>RAW-V14</x:v>
      </x:c>
      <x:c r="I152" t="str">
        <x:v>RAW-A049</x:v>
      </x:c>
      <x:c r="J152" t="str">
        <x:v>DISCLOSED</x:v>
      </x:c>
      <x:c r="K152" t="str">
        <x:v>NONE</x:v>
      </x:c>
      <x:c r="L152" t="str">
        <x:v>n.a.</x:v>
      </x:c>
      <x:c r="M152" s="14" t="n">
        <x:v>2</x:v>
      </x:c>
      <x:c r="N152" s="14" t="n">
        <x:v>3</x:v>
      </x:c>
      <x:c r="O152" s="14" t="str"/>
      <x:c r="P152" s="14" t="str"/>
      <x:c r="Q152" s="14" t="str"/>
      <x:c r="R152" s="14" t="str"/>
      <x:c r="S152" s="14" t="str"/>
      <x:c r="T152" s="14" t="str"/>
      <x:c r="U152" s="10" t="str"/>
      <x:c r="V152" t="str"/>
      <x:c r="W152" t="str">
        <x:f>IF(V152=1,IF(R152="VALID","PASS",IF(R152="INVALID","INVALID","OPEN")),"OPEN")</x:f>
        <x:v>OPEN</x:v>
      </x:c>
    </x:row>
    <x:row r="153" ht="36" customHeight="1">
      <x:c r="B153" t="str">
        <x:v>RAW-E147</x:v>
      </x:c>
      <x:c r="C153" t="str">
        <x:v>AM-02</x:v>
      </x:c>
      <x:c r="D153" t="str">
        <x:v>TR-A</x:v>
      </x:c>
      <x:c r="E153" t="str">
        <x:v>RFP-A1</x:v>
      </x:c>
      <x:c r="F153" t="str">
        <x:v>PTC-A</x:v>
      </x:c>
      <x:c r="G153" t="str">
        <x:v>QT-03</x:v>
      </x:c>
      <x:c r="H153" t="str">
        <x:v>RAW-V15</x:v>
      </x:c>
      <x:c r="I153" t="str">
        <x:v>RAW-A049</x:v>
      </x:c>
      <x:c r="J153" t="str">
        <x:v>DISCLOSED</x:v>
      </x:c>
      <x:c r="K153" t="str">
        <x:v>NONE</x:v>
      </x:c>
      <x:c r="L153" t="str">
        <x:v>n.a.</x:v>
      </x:c>
      <x:c r="M153" s="14" t="n">
        <x:v>2</x:v>
      </x:c>
      <x:c r="N153" s="14" t="n">
        <x:v>5</x:v>
      </x:c>
      <x:c r="O153" s="14" t="str"/>
      <x:c r="P153" s="14" t="str"/>
      <x:c r="Q153" s="14" t="str"/>
      <x:c r="R153" s="14" t="str"/>
      <x:c r="S153" s="14" t="str"/>
      <x:c r="T153" s="14" t="str"/>
      <x:c r="U153" s="10" t="str"/>
      <x:c r="V153" t="str"/>
      <x:c r="W153" t="str">
        <x:f>IF(V153=1,IF(R153="VALID","PASS",IF(R153="INVALID","INVALID","OPEN")),"OPEN")</x:f>
        <x:v>OPEN</x:v>
      </x:c>
    </x:row>
    <x:row r="154" ht="36" customHeight="1">
      <x:c r="B154" t="str">
        <x:v>RAW-E148</x:v>
      </x:c>
      <x:c r="C154" t="str">
        <x:v>AM-02</x:v>
      </x:c>
      <x:c r="D154" t="str">
        <x:v>TR-A</x:v>
      </x:c>
      <x:c r="E154" t="str">
        <x:v>RFP-A1</x:v>
      </x:c>
      <x:c r="F154" t="str">
        <x:v>PTC-A</x:v>
      </x:c>
      <x:c r="G154" t="str">
        <x:v>QT-04</x:v>
      </x:c>
      <x:c r="H154" t="str">
        <x:v>RAW-V16</x:v>
      </x:c>
      <x:c r="I154" t="str">
        <x:v>RAW-A049</x:v>
      </x:c>
      <x:c r="J154" t="str">
        <x:v>BLIND</x:v>
      </x:c>
      <x:c r="K154" t="str">
        <x:v>NONE</x:v>
      </x:c>
      <x:c r="L154" t="str">
        <x:v>n.a.</x:v>
      </x:c>
      <x:c r="M154" s="14" t="n">
        <x:v>3</x:v>
      </x:c>
      <x:c r="N154" s="14" t="n">
        <x:v>7</x:v>
      </x:c>
      <x:c r="O154" s="14" t="str"/>
      <x:c r="P154" s="14" t="str"/>
      <x:c r="Q154" s="14" t="str"/>
      <x:c r="R154" s="14" t="str"/>
      <x:c r="S154" s="14" t="str"/>
      <x:c r="T154" s="14" t="str"/>
      <x:c r="U154" s="10" t="str"/>
      <x:c r="V154" t="str"/>
      <x:c r="W154" t="str">
        <x:f>IF(V154=1,IF(R154="VALID","PASS",IF(R154="INVALID","INVALID","OPEN")),"OPEN")</x:f>
        <x:v>OPEN</x:v>
      </x:c>
    </x:row>
    <x:row r="155" ht="36" customHeight="1">
      <x:c r="B155" t="str">
        <x:v>RAW-E149</x:v>
      </x:c>
      <x:c r="C155" t="str">
        <x:v>AM-02</x:v>
      </x:c>
      <x:c r="D155" t="str">
        <x:v>TR-A</x:v>
      </x:c>
      <x:c r="E155" t="str">
        <x:v>RFP-A1</x:v>
      </x:c>
      <x:c r="F155" t="str">
        <x:v>PTC-A</x:v>
      </x:c>
      <x:c r="G155" t="str">
        <x:v>QT-05</x:v>
      </x:c>
      <x:c r="H155" t="str">
        <x:v>RAW-V17</x:v>
      </x:c>
      <x:c r="I155" t="str">
        <x:v>RAW-A049</x:v>
      </x:c>
      <x:c r="J155" t="str">
        <x:v>BLIND</x:v>
      </x:c>
      <x:c r="K155" t="str">
        <x:v>DECISIVE CHAIN</x:v>
      </x:c>
      <x:c r="L155" t="str">
        <x:v>n.a.</x:v>
      </x:c>
      <x:c r="M155" s="14" t="n">
        <x:v>3</x:v>
      </x:c>
      <x:c r="N155" s="14" t="n">
        <x:v>9</x:v>
      </x:c>
      <x:c r="O155" s="14" t="str"/>
      <x:c r="P155" s="14" t="str"/>
      <x:c r="Q155" s="14" t="str"/>
      <x:c r="R155" s="14" t="str"/>
      <x:c r="S155" s="14" t="str"/>
      <x:c r="T155" s="14" t="str"/>
      <x:c r="U155" s="10" t="str"/>
      <x:c r="V155" t="str"/>
      <x:c r="W155" t="str">
        <x:f>IF(V155=1,IF(R155="VALID","PASS",IF(R155="INVALID","INVALID","OPEN")),"OPEN")</x:f>
        <x:v>OPEN</x:v>
      </x:c>
    </x:row>
    <x:row r="156" ht="36" customHeight="1">
      <x:c r="B156" t="str">
        <x:v>RAW-E150</x:v>
      </x:c>
      <x:c r="C156" t="str">
        <x:v>AM-02</x:v>
      </x:c>
      <x:c r="D156" t="str">
        <x:v>TR-A</x:v>
      </x:c>
      <x:c r="E156" t="str">
        <x:v>RFP-A1</x:v>
      </x:c>
      <x:c r="F156" t="str">
        <x:v>PTC-A</x:v>
      </x:c>
      <x:c r="G156" t="str">
        <x:v>QT-06</x:v>
      </x:c>
      <x:c r="H156" t="str">
        <x:v>RAW-V18</x:v>
      </x:c>
      <x:c r="I156" t="str">
        <x:v>RAW-A049</x:v>
      </x:c>
      <x:c r="J156" t="str">
        <x:v>DISCLOSED</x:v>
      </x:c>
      <x:c r="K156" t="str">
        <x:v>NONE</x:v>
      </x:c>
      <x:c r="L156" t="str">
        <x:v>PTC-B</x:v>
      </x:c>
      <x:c r="M156" s="14" t="n">
        <x:v>4</x:v>
      </x:c>
      <x:c r="N156" s="14" t="n">
        <x:v>11</x:v>
      </x:c>
      <x:c r="O156" s="14" t="str"/>
      <x:c r="P156" s="14" t="str"/>
      <x:c r="Q156" s="14" t="str"/>
      <x:c r="R156" s="14" t="str"/>
      <x:c r="S156" s="14" t="str"/>
      <x:c r="T156" s="14" t="str"/>
      <x:c r="U156" s="10" t="str"/>
      <x:c r="V156" t="str"/>
      <x:c r="W156" t="str">
        <x:f>IF(V156=1,IF(R156="VALID","PASS",IF(R156="INVALID","INVALID","OPEN")),"OPEN")</x:f>
        <x:v>OPEN</x:v>
      </x:c>
    </x:row>
    <x:row r="157" ht="36" customHeight="1">
      <x:c r="B157" t="str">
        <x:v>RAW-E151</x:v>
      </x:c>
      <x:c r="C157" t="str">
        <x:v>AM-02</x:v>
      </x:c>
      <x:c r="D157" t="str">
        <x:v>TR-B</x:v>
      </x:c>
      <x:c r="E157" t="str">
        <x:v>RFP-A1</x:v>
      </x:c>
      <x:c r="F157" t="str">
        <x:v>PTC-A</x:v>
      </x:c>
      <x:c r="G157" t="str">
        <x:v>QT-01</x:v>
      </x:c>
      <x:c r="H157" t="str">
        <x:v>RAW-V13</x:v>
      </x:c>
      <x:c r="I157" t="str">
        <x:v>RAW-A061</x:v>
      </x:c>
      <x:c r="J157" t="str">
        <x:v>DISCLOSED</x:v>
      </x:c>
      <x:c r="K157" t="str">
        <x:v>NONE</x:v>
      </x:c>
      <x:c r="L157" t="str">
        <x:v>n.a.</x:v>
      </x:c>
      <x:c r="M157" s="14" t="n">
        <x:v>2</x:v>
      </x:c>
      <x:c r="N157" s="14" t="n">
        <x:v>2</x:v>
      </x:c>
      <x:c r="O157" s="14" t="str"/>
      <x:c r="P157" s="14" t="str"/>
      <x:c r="Q157" s="14" t="str"/>
      <x:c r="R157" s="14" t="str"/>
      <x:c r="S157" s="14" t="str"/>
      <x:c r="T157" s="14" t="str"/>
      <x:c r="U157" s="10" t="str"/>
      <x:c r="V157" t="str"/>
      <x:c r="W157" t="str">
        <x:f>IF(V157=1,IF(R157="VALID","PASS",IF(R157="INVALID","INVALID","OPEN")),"OPEN")</x:f>
        <x:v>OPEN</x:v>
      </x:c>
    </x:row>
    <x:row r="158" ht="36" customHeight="1">
      <x:c r="B158" t="str">
        <x:v>RAW-E152</x:v>
      </x:c>
      <x:c r="C158" t="str">
        <x:v>AM-02</x:v>
      </x:c>
      <x:c r="D158" t="str">
        <x:v>TR-B</x:v>
      </x:c>
      <x:c r="E158" t="str">
        <x:v>RFP-A1</x:v>
      </x:c>
      <x:c r="F158" t="str">
        <x:v>PTC-A</x:v>
      </x:c>
      <x:c r="G158" t="str">
        <x:v>QT-02</x:v>
      </x:c>
      <x:c r="H158" t="str">
        <x:v>RAW-V14</x:v>
      </x:c>
      <x:c r="I158" t="str">
        <x:v>RAW-A061</x:v>
      </x:c>
      <x:c r="J158" t="str">
        <x:v>DISCLOSED</x:v>
      </x:c>
      <x:c r="K158" t="str">
        <x:v>NONE</x:v>
      </x:c>
      <x:c r="L158" t="str">
        <x:v>n.a.</x:v>
      </x:c>
      <x:c r="M158" s="14" t="n">
        <x:v>2</x:v>
      </x:c>
      <x:c r="N158" s="14" t="n">
        <x:v>4</x:v>
      </x:c>
      <x:c r="O158" s="14" t="str"/>
      <x:c r="P158" s="14" t="str"/>
      <x:c r="Q158" s="14" t="str"/>
      <x:c r="R158" s="14" t="str"/>
      <x:c r="S158" s="14" t="str"/>
      <x:c r="T158" s="14" t="str"/>
      <x:c r="U158" s="10" t="str"/>
      <x:c r="V158" t="str"/>
      <x:c r="W158" t="str">
        <x:f>IF(V158=1,IF(R158="VALID","PASS",IF(R158="INVALID","INVALID","OPEN")),"OPEN")</x:f>
        <x:v>OPEN</x:v>
      </x:c>
    </x:row>
    <x:row r="159" ht="36" customHeight="1">
      <x:c r="B159" t="str">
        <x:v>RAW-E153</x:v>
      </x:c>
      <x:c r="C159" t="str">
        <x:v>AM-02</x:v>
      </x:c>
      <x:c r="D159" t="str">
        <x:v>TR-B</x:v>
      </x:c>
      <x:c r="E159" t="str">
        <x:v>RFP-A1</x:v>
      </x:c>
      <x:c r="F159" t="str">
        <x:v>PTC-A</x:v>
      </x:c>
      <x:c r="G159" t="str">
        <x:v>QT-03</x:v>
      </x:c>
      <x:c r="H159" t="str">
        <x:v>RAW-V15</x:v>
      </x:c>
      <x:c r="I159" t="str">
        <x:v>RAW-A061</x:v>
      </x:c>
      <x:c r="J159" t="str">
        <x:v>DISCLOSED</x:v>
      </x:c>
      <x:c r="K159" t="str">
        <x:v>NONE</x:v>
      </x:c>
      <x:c r="L159" t="str">
        <x:v>n.a.</x:v>
      </x:c>
      <x:c r="M159" s="14" t="n">
        <x:v>2</x:v>
      </x:c>
      <x:c r="N159" s="14" t="n">
        <x:v>6</x:v>
      </x:c>
      <x:c r="O159" s="14" t="str"/>
      <x:c r="P159" s="14" t="str"/>
      <x:c r="Q159" s="14" t="str"/>
      <x:c r="R159" s="14" t="str"/>
      <x:c r="S159" s="14" t="str"/>
      <x:c r="T159" s="14" t="str"/>
      <x:c r="U159" s="10" t="str"/>
      <x:c r="V159" t="str"/>
      <x:c r="W159" t="str">
        <x:f>IF(V159=1,IF(R159="VALID","PASS",IF(R159="INVALID","INVALID","OPEN")),"OPEN")</x:f>
        <x:v>OPEN</x:v>
      </x:c>
    </x:row>
    <x:row r="160" ht="36" customHeight="1">
      <x:c r="B160" t="str">
        <x:v>RAW-E154</x:v>
      </x:c>
      <x:c r="C160" t="str">
        <x:v>AM-02</x:v>
      </x:c>
      <x:c r="D160" t="str">
        <x:v>TR-B</x:v>
      </x:c>
      <x:c r="E160" t="str">
        <x:v>RFP-A1</x:v>
      </x:c>
      <x:c r="F160" t="str">
        <x:v>PTC-A</x:v>
      </x:c>
      <x:c r="G160" t="str">
        <x:v>QT-04</x:v>
      </x:c>
      <x:c r="H160" t="str">
        <x:v>RAW-V16</x:v>
      </x:c>
      <x:c r="I160" t="str">
        <x:v>RAW-A061</x:v>
      </x:c>
      <x:c r="J160" t="str">
        <x:v>BLIND</x:v>
      </x:c>
      <x:c r="K160" t="str">
        <x:v>NONE</x:v>
      </x:c>
      <x:c r="L160" t="str">
        <x:v>n.a.</x:v>
      </x:c>
      <x:c r="M160" s="14" t="n">
        <x:v>3</x:v>
      </x:c>
      <x:c r="N160" s="14" t="n">
        <x:v>8</x:v>
      </x:c>
      <x:c r="O160" s="14" t="str"/>
      <x:c r="P160" s="14" t="str"/>
      <x:c r="Q160" s="14" t="str"/>
      <x:c r="R160" s="14" t="str"/>
      <x:c r="S160" s="14" t="str"/>
      <x:c r="T160" s="14" t="str"/>
      <x:c r="U160" s="10" t="str"/>
      <x:c r="V160" t="str"/>
      <x:c r="W160" t="str">
        <x:f>IF(V160=1,IF(R160="VALID","PASS",IF(R160="INVALID","INVALID","OPEN")),"OPEN")</x:f>
        <x:v>OPEN</x:v>
      </x:c>
    </x:row>
    <x:row r="161" ht="36" customHeight="1">
      <x:c r="B161" t="str">
        <x:v>RAW-E155</x:v>
      </x:c>
      <x:c r="C161" t="str">
        <x:v>AM-02</x:v>
      </x:c>
      <x:c r="D161" t="str">
        <x:v>TR-B</x:v>
      </x:c>
      <x:c r="E161" t="str">
        <x:v>RFP-A1</x:v>
      </x:c>
      <x:c r="F161" t="str">
        <x:v>PTC-A</x:v>
      </x:c>
      <x:c r="G161" t="str">
        <x:v>QT-05</x:v>
      </x:c>
      <x:c r="H161" t="str">
        <x:v>RAW-V17</x:v>
      </x:c>
      <x:c r="I161" t="str">
        <x:v>RAW-A061</x:v>
      </x:c>
      <x:c r="J161" t="str">
        <x:v>BLIND</x:v>
      </x:c>
      <x:c r="K161" t="str">
        <x:v>DECISIVE CHAIN</x:v>
      </x:c>
      <x:c r="L161" t="str">
        <x:v>n.a.</x:v>
      </x:c>
      <x:c r="M161" s="14" t="n">
        <x:v>3</x:v>
      </x:c>
      <x:c r="N161" s="14" t="n">
        <x:v>10</x:v>
      </x:c>
      <x:c r="O161" s="14" t="str"/>
      <x:c r="P161" s="14" t="str"/>
      <x:c r="Q161" s="14" t="str"/>
      <x:c r="R161" s="14" t="str"/>
      <x:c r="S161" s="14" t="str"/>
      <x:c r="T161" s="14" t="str"/>
      <x:c r="U161" s="10" t="str"/>
      <x:c r="V161" t="str"/>
      <x:c r="W161" t="str">
        <x:f>IF(V161=1,IF(R161="VALID","PASS",IF(R161="INVALID","INVALID","OPEN")),"OPEN")</x:f>
        <x:v>OPEN</x:v>
      </x:c>
    </x:row>
    <x:row r="162" ht="36" customHeight="1">
      <x:c r="B162" t="str">
        <x:v>RAW-E156</x:v>
      </x:c>
      <x:c r="C162" t="str">
        <x:v>AM-02</x:v>
      </x:c>
      <x:c r="D162" t="str">
        <x:v>TR-B</x:v>
      </x:c>
      <x:c r="E162" t="str">
        <x:v>RFP-A1</x:v>
      </x:c>
      <x:c r="F162" t="str">
        <x:v>PTC-A</x:v>
      </x:c>
      <x:c r="G162" t="str">
        <x:v>QT-06</x:v>
      </x:c>
      <x:c r="H162" t="str">
        <x:v>RAW-V18</x:v>
      </x:c>
      <x:c r="I162" t="str">
        <x:v>RAW-A061</x:v>
      </x:c>
      <x:c r="J162" t="str">
        <x:v>DISCLOSED</x:v>
      </x:c>
      <x:c r="K162" t="str">
        <x:v>NONE</x:v>
      </x:c>
      <x:c r="L162" t="str">
        <x:v>PTC-B</x:v>
      </x:c>
      <x:c r="M162" s="14" t="n">
        <x:v>4</x:v>
      </x:c>
      <x:c r="N162" s="14" t="n">
        <x:v>12</x:v>
      </x:c>
      <x:c r="O162" s="14" t="str"/>
      <x:c r="P162" s="14" t="str"/>
      <x:c r="Q162" s="14" t="str"/>
      <x:c r="R162" s="14" t="str"/>
      <x:c r="S162" s="14" t="str"/>
      <x:c r="T162" s="14" t="str"/>
      <x:c r="U162" s="10" t="str"/>
      <x:c r="V162" t="str"/>
      <x:c r="W162" t="str">
        <x:f>IF(V162=1,IF(R162="VALID","PASS",IF(R162="INVALID","INVALID","OPEN")),"OPEN")</x:f>
        <x:v>OPEN</x:v>
      </x:c>
    </x:row>
    <x:row r="163" ht="36" customHeight="1">
      <x:c r="B163" t="str">
        <x:v>RAW-E157</x:v>
      </x:c>
      <x:c r="C163" t="str">
        <x:v>AM-02</x:v>
      </x:c>
      <x:c r="D163" t="str">
        <x:v>TR-A</x:v>
      </x:c>
      <x:c r="E163" t="str">
        <x:v>RFP-A2</x:v>
      </x:c>
      <x:c r="F163" t="str">
        <x:v>PTC-A</x:v>
      </x:c>
      <x:c r="G163" t="str">
        <x:v>QT-01</x:v>
      </x:c>
      <x:c r="H163" t="str">
        <x:v>RAW-V13</x:v>
      </x:c>
      <x:c r="I163" t="str">
        <x:v>RAW-A050</x:v>
      </x:c>
      <x:c r="J163" t="str">
        <x:v>DISCLOSED</x:v>
      </x:c>
      <x:c r="K163" t="str">
        <x:v>NONE</x:v>
      </x:c>
      <x:c r="L163" t="str">
        <x:v>n.a.</x:v>
      </x:c>
      <x:c r="M163" s="14" t="n">
        <x:v>2</x:v>
      </x:c>
      <x:c r="N163" s="14" t="n">
        <x:v>1</x:v>
      </x:c>
      <x:c r="O163" s="14" t="str"/>
      <x:c r="P163" s="14" t="str"/>
      <x:c r="Q163" s="14" t="str"/>
      <x:c r="R163" s="14" t="str"/>
      <x:c r="S163" s="14" t="str"/>
      <x:c r="T163" s="14" t="str"/>
      <x:c r="U163" s="10" t="str"/>
      <x:c r="V163" t="str"/>
      <x:c r="W163" t="str">
        <x:f>IF(V163=1,IF(R163="VALID","PASS",IF(R163="INVALID","INVALID","OPEN")),"OPEN")</x:f>
        <x:v>OPEN</x:v>
      </x:c>
    </x:row>
    <x:row r="164" ht="36" customHeight="1">
      <x:c r="B164" t="str">
        <x:v>RAW-E158</x:v>
      </x:c>
      <x:c r="C164" t="str">
        <x:v>AM-02</x:v>
      </x:c>
      <x:c r="D164" t="str">
        <x:v>TR-A</x:v>
      </x:c>
      <x:c r="E164" t="str">
        <x:v>RFP-A2</x:v>
      </x:c>
      <x:c r="F164" t="str">
        <x:v>PTC-A</x:v>
      </x:c>
      <x:c r="G164" t="str">
        <x:v>QT-02</x:v>
      </x:c>
      <x:c r="H164" t="str">
        <x:v>RAW-V14</x:v>
      </x:c>
      <x:c r="I164" t="str">
        <x:v>RAW-A050</x:v>
      </x:c>
      <x:c r="J164" t="str">
        <x:v>DISCLOSED</x:v>
      </x:c>
      <x:c r="K164" t="str">
        <x:v>NONE</x:v>
      </x:c>
      <x:c r="L164" t="str">
        <x:v>n.a.</x:v>
      </x:c>
      <x:c r="M164" s="14" t="n">
        <x:v>2</x:v>
      </x:c>
      <x:c r="N164" s="14" t="n">
        <x:v>3</x:v>
      </x:c>
      <x:c r="O164" s="14" t="str"/>
      <x:c r="P164" s="14" t="str"/>
      <x:c r="Q164" s="14" t="str"/>
      <x:c r="R164" s="14" t="str"/>
      <x:c r="S164" s="14" t="str"/>
      <x:c r="T164" s="14" t="str"/>
      <x:c r="U164" s="10" t="str"/>
      <x:c r="V164" t="str"/>
      <x:c r="W164" t="str">
        <x:f>IF(V164=1,IF(R164="VALID","PASS",IF(R164="INVALID","INVALID","OPEN")),"OPEN")</x:f>
        <x:v>OPEN</x:v>
      </x:c>
    </x:row>
    <x:row r="165" ht="36" customHeight="1">
      <x:c r="B165" t="str">
        <x:v>RAW-E159</x:v>
      </x:c>
      <x:c r="C165" t="str">
        <x:v>AM-02</x:v>
      </x:c>
      <x:c r="D165" t="str">
        <x:v>TR-A</x:v>
      </x:c>
      <x:c r="E165" t="str">
        <x:v>RFP-A2</x:v>
      </x:c>
      <x:c r="F165" t="str">
        <x:v>PTC-A</x:v>
      </x:c>
      <x:c r="G165" t="str">
        <x:v>QT-03</x:v>
      </x:c>
      <x:c r="H165" t="str">
        <x:v>RAW-V15</x:v>
      </x:c>
      <x:c r="I165" t="str">
        <x:v>RAW-A050</x:v>
      </x:c>
      <x:c r="J165" t="str">
        <x:v>DISCLOSED</x:v>
      </x:c>
      <x:c r="K165" t="str">
        <x:v>NONE</x:v>
      </x:c>
      <x:c r="L165" t="str">
        <x:v>n.a.</x:v>
      </x:c>
      <x:c r="M165" s="14" t="n">
        <x:v>2</x:v>
      </x:c>
      <x:c r="N165" s="14" t="n">
        <x:v>5</x:v>
      </x:c>
      <x:c r="O165" s="14" t="str"/>
      <x:c r="P165" s="14" t="str"/>
      <x:c r="Q165" s="14" t="str"/>
      <x:c r="R165" s="14" t="str"/>
      <x:c r="S165" s="14" t="str"/>
      <x:c r="T165" s="14" t="str"/>
      <x:c r="U165" s="10" t="str"/>
      <x:c r="V165" t="str"/>
      <x:c r="W165" t="str">
        <x:f>IF(V165=1,IF(R165="VALID","PASS",IF(R165="INVALID","INVALID","OPEN")),"OPEN")</x:f>
        <x:v>OPEN</x:v>
      </x:c>
    </x:row>
    <x:row r="166" ht="36" customHeight="1">
      <x:c r="B166" t="str">
        <x:v>RAW-E160</x:v>
      </x:c>
      <x:c r="C166" t="str">
        <x:v>AM-02</x:v>
      </x:c>
      <x:c r="D166" t="str">
        <x:v>TR-A</x:v>
      </x:c>
      <x:c r="E166" t="str">
        <x:v>RFP-A2</x:v>
      </x:c>
      <x:c r="F166" t="str">
        <x:v>PTC-A</x:v>
      </x:c>
      <x:c r="G166" t="str">
        <x:v>QT-04</x:v>
      </x:c>
      <x:c r="H166" t="str">
        <x:v>RAW-V16</x:v>
      </x:c>
      <x:c r="I166" t="str">
        <x:v>RAW-A050</x:v>
      </x:c>
      <x:c r="J166" t="str">
        <x:v>BLIND</x:v>
      </x:c>
      <x:c r="K166" t="str">
        <x:v>NONE</x:v>
      </x:c>
      <x:c r="L166" t="str">
        <x:v>n.a.</x:v>
      </x:c>
      <x:c r="M166" s="14" t="n">
        <x:v>3</x:v>
      </x:c>
      <x:c r="N166" s="14" t="n">
        <x:v>7</x:v>
      </x:c>
      <x:c r="O166" s="14" t="str"/>
      <x:c r="P166" s="14" t="str"/>
      <x:c r="Q166" s="14" t="str"/>
      <x:c r="R166" s="14" t="str"/>
      <x:c r="S166" s="14" t="str"/>
      <x:c r="T166" s="14" t="str"/>
      <x:c r="U166" s="10" t="str"/>
      <x:c r="V166" t="str"/>
      <x:c r="W166" t="str">
        <x:f>IF(V166=1,IF(R166="VALID","PASS",IF(R166="INVALID","INVALID","OPEN")),"OPEN")</x:f>
        <x:v>OPEN</x:v>
      </x:c>
    </x:row>
    <x:row r="167" ht="36" customHeight="1">
      <x:c r="B167" t="str">
        <x:v>RAW-E161</x:v>
      </x:c>
      <x:c r="C167" t="str">
        <x:v>AM-02</x:v>
      </x:c>
      <x:c r="D167" t="str">
        <x:v>TR-A</x:v>
      </x:c>
      <x:c r="E167" t="str">
        <x:v>RFP-A2</x:v>
      </x:c>
      <x:c r="F167" t="str">
        <x:v>PTC-A</x:v>
      </x:c>
      <x:c r="G167" t="str">
        <x:v>QT-05</x:v>
      </x:c>
      <x:c r="H167" t="str">
        <x:v>RAW-V17</x:v>
      </x:c>
      <x:c r="I167" t="str">
        <x:v>RAW-A050</x:v>
      </x:c>
      <x:c r="J167" t="str">
        <x:v>BLIND</x:v>
      </x:c>
      <x:c r="K167" t="str">
        <x:v>DECISIVE CHAIN</x:v>
      </x:c>
      <x:c r="L167" t="str">
        <x:v>n.a.</x:v>
      </x:c>
      <x:c r="M167" s="14" t="n">
        <x:v>3</x:v>
      </x:c>
      <x:c r="N167" s="14" t="n">
        <x:v>9</x:v>
      </x:c>
      <x:c r="O167" s="14" t="str"/>
      <x:c r="P167" s="14" t="str"/>
      <x:c r="Q167" s="14" t="str"/>
      <x:c r="R167" s="14" t="str"/>
      <x:c r="S167" s="14" t="str"/>
      <x:c r="T167" s="14" t="str"/>
      <x:c r="U167" s="10" t="str"/>
      <x:c r="V167" t="str"/>
      <x:c r="W167" t="str">
        <x:f>IF(V167=1,IF(R167="VALID","PASS",IF(R167="INVALID","INVALID","OPEN")),"OPEN")</x:f>
        <x:v>OPEN</x:v>
      </x:c>
    </x:row>
    <x:row r="168" ht="36" customHeight="1">
      <x:c r="B168" t="str">
        <x:v>RAW-E162</x:v>
      </x:c>
      <x:c r="C168" t="str">
        <x:v>AM-02</x:v>
      </x:c>
      <x:c r="D168" t="str">
        <x:v>TR-A</x:v>
      </x:c>
      <x:c r="E168" t="str">
        <x:v>RFP-A2</x:v>
      </x:c>
      <x:c r="F168" t="str">
        <x:v>PTC-A</x:v>
      </x:c>
      <x:c r="G168" t="str">
        <x:v>QT-06</x:v>
      </x:c>
      <x:c r="H168" t="str">
        <x:v>RAW-V18</x:v>
      </x:c>
      <x:c r="I168" t="str">
        <x:v>RAW-A050</x:v>
      </x:c>
      <x:c r="J168" t="str">
        <x:v>DISCLOSED</x:v>
      </x:c>
      <x:c r="K168" t="str">
        <x:v>NONE</x:v>
      </x:c>
      <x:c r="L168" t="str">
        <x:v>PTC-B</x:v>
      </x:c>
      <x:c r="M168" s="14" t="n">
        <x:v>4</x:v>
      </x:c>
      <x:c r="N168" s="14" t="n">
        <x:v>11</x:v>
      </x:c>
      <x:c r="O168" s="14" t="str"/>
      <x:c r="P168" s="14" t="str"/>
      <x:c r="Q168" s="14" t="str"/>
      <x:c r="R168" s="14" t="str"/>
      <x:c r="S168" s="14" t="str"/>
      <x:c r="T168" s="14" t="str"/>
      <x:c r="U168" s="10" t="str"/>
      <x:c r="V168" t="str"/>
      <x:c r="W168" t="str">
        <x:f>IF(V168=1,IF(R168="VALID","PASS",IF(R168="INVALID","INVALID","OPEN")),"OPEN")</x:f>
        <x:v>OPEN</x:v>
      </x:c>
    </x:row>
    <x:row r="169" ht="36" customHeight="1">
      <x:c r="B169" t="str">
        <x:v>RAW-E163</x:v>
      </x:c>
      <x:c r="C169" t="str">
        <x:v>AM-02</x:v>
      </x:c>
      <x:c r="D169" t="str">
        <x:v>TR-B</x:v>
      </x:c>
      <x:c r="E169" t="str">
        <x:v>RFP-A2</x:v>
      </x:c>
      <x:c r="F169" t="str">
        <x:v>PTC-A</x:v>
      </x:c>
      <x:c r="G169" t="str">
        <x:v>QT-01</x:v>
      </x:c>
      <x:c r="H169" t="str">
        <x:v>RAW-V13</x:v>
      </x:c>
      <x:c r="I169" t="str">
        <x:v>RAW-A062</x:v>
      </x:c>
      <x:c r="J169" t="str">
        <x:v>DISCLOSED</x:v>
      </x:c>
      <x:c r="K169" t="str">
        <x:v>NONE</x:v>
      </x:c>
      <x:c r="L169" t="str">
        <x:v>n.a.</x:v>
      </x:c>
      <x:c r="M169" s="14" t="n">
        <x:v>2</x:v>
      </x:c>
      <x:c r="N169" s="14" t="n">
        <x:v>2</x:v>
      </x:c>
      <x:c r="O169" s="14" t="str"/>
      <x:c r="P169" s="14" t="str"/>
      <x:c r="Q169" s="14" t="str"/>
      <x:c r="R169" s="14" t="str"/>
      <x:c r="S169" s="14" t="str"/>
      <x:c r="T169" s="14" t="str"/>
      <x:c r="U169" s="10" t="str"/>
      <x:c r="V169" t="str"/>
      <x:c r="W169" t="str">
        <x:f>IF(V169=1,IF(R169="VALID","PASS",IF(R169="INVALID","INVALID","OPEN")),"OPEN")</x:f>
        <x:v>OPEN</x:v>
      </x:c>
    </x:row>
    <x:row r="170" ht="36" customHeight="1">
      <x:c r="B170" t="str">
        <x:v>RAW-E164</x:v>
      </x:c>
      <x:c r="C170" t="str">
        <x:v>AM-02</x:v>
      </x:c>
      <x:c r="D170" t="str">
        <x:v>TR-B</x:v>
      </x:c>
      <x:c r="E170" t="str">
        <x:v>RFP-A2</x:v>
      </x:c>
      <x:c r="F170" t="str">
        <x:v>PTC-A</x:v>
      </x:c>
      <x:c r="G170" t="str">
        <x:v>QT-02</x:v>
      </x:c>
      <x:c r="H170" t="str">
        <x:v>RAW-V14</x:v>
      </x:c>
      <x:c r="I170" t="str">
        <x:v>RAW-A062</x:v>
      </x:c>
      <x:c r="J170" t="str">
        <x:v>DISCLOSED</x:v>
      </x:c>
      <x:c r="K170" t="str">
        <x:v>NONE</x:v>
      </x:c>
      <x:c r="L170" t="str">
        <x:v>n.a.</x:v>
      </x:c>
      <x:c r="M170" s="14" t="n">
        <x:v>2</x:v>
      </x:c>
      <x:c r="N170" s="14" t="n">
        <x:v>4</x:v>
      </x:c>
      <x:c r="O170" s="14" t="str"/>
      <x:c r="P170" s="14" t="str"/>
      <x:c r="Q170" s="14" t="str"/>
      <x:c r="R170" s="14" t="str"/>
      <x:c r="S170" s="14" t="str"/>
      <x:c r="T170" s="14" t="str"/>
      <x:c r="U170" s="10" t="str"/>
      <x:c r="V170" t="str"/>
      <x:c r="W170" t="str">
        <x:f>IF(V170=1,IF(R170="VALID","PASS",IF(R170="INVALID","INVALID","OPEN")),"OPEN")</x:f>
        <x:v>OPEN</x:v>
      </x:c>
    </x:row>
    <x:row r="171" ht="36" customHeight="1">
      <x:c r="B171" t="str">
        <x:v>RAW-E165</x:v>
      </x:c>
      <x:c r="C171" t="str">
        <x:v>AM-02</x:v>
      </x:c>
      <x:c r="D171" t="str">
        <x:v>TR-B</x:v>
      </x:c>
      <x:c r="E171" t="str">
        <x:v>RFP-A2</x:v>
      </x:c>
      <x:c r="F171" t="str">
        <x:v>PTC-A</x:v>
      </x:c>
      <x:c r="G171" t="str">
        <x:v>QT-03</x:v>
      </x:c>
      <x:c r="H171" t="str">
        <x:v>RAW-V15</x:v>
      </x:c>
      <x:c r="I171" t="str">
        <x:v>RAW-A062</x:v>
      </x:c>
      <x:c r="J171" t="str">
        <x:v>DISCLOSED</x:v>
      </x:c>
      <x:c r="K171" t="str">
        <x:v>NONE</x:v>
      </x:c>
      <x:c r="L171" t="str">
        <x:v>n.a.</x:v>
      </x:c>
      <x:c r="M171" s="14" t="n">
        <x:v>2</x:v>
      </x:c>
      <x:c r="N171" s="14" t="n">
        <x:v>6</x:v>
      </x:c>
      <x:c r="O171" s="14" t="str"/>
      <x:c r="P171" s="14" t="str"/>
      <x:c r="Q171" s="14" t="str"/>
      <x:c r="R171" s="14" t="str"/>
      <x:c r="S171" s="14" t="str"/>
      <x:c r="T171" s="14" t="str"/>
      <x:c r="U171" s="10" t="str"/>
      <x:c r="V171" t="str"/>
      <x:c r="W171" t="str">
        <x:f>IF(V171=1,IF(R171="VALID","PASS",IF(R171="INVALID","INVALID","OPEN")),"OPEN")</x:f>
        <x:v>OPEN</x:v>
      </x:c>
    </x:row>
    <x:row r="172" ht="36" customHeight="1">
      <x:c r="B172" t="str">
        <x:v>RAW-E166</x:v>
      </x:c>
      <x:c r="C172" t="str">
        <x:v>AM-02</x:v>
      </x:c>
      <x:c r="D172" t="str">
        <x:v>TR-B</x:v>
      </x:c>
      <x:c r="E172" t="str">
        <x:v>RFP-A2</x:v>
      </x:c>
      <x:c r="F172" t="str">
        <x:v>PTC-A</x:v>
      </x:c>
      <x:c r="G172" t="str">
        <x:v>QT-04</x:v>
      </x:c>
      <x:c r="H172" t="str">
        <x:v>RAW-V16</x:v>
      </x:c>
      <x:c r="I172" t="str">
        <x:v>RAW-A062</x:v>
      </x:c>
      <x:c r="J172" t="str">
        <x:v>BLIND</x:v>
      </x:c>
      <x:c r="K172" t="str">
        <x:v>NONE</x:v>
      </x:c>
      <x:c r="L172" t="str">
        <x:v>n.a.</x:v>
      </x:c>
      <x:c r="M172" s="14" t="n">
        <x:v>3</x:v>
      </x:c>
      <x:c r="N172" s="14" t="n">
        <x:v>8</x:v>
      </x:c>
      <x:c r="O172" s="14" t="str"/>
      <x:c r="P172" s="14" t="str"/>
      <x:c r="Q172" s="14" t="str"/>
      <x:c r="R172" s="14" t="str"/>
      <x:c r="S172" s="14" t="str"/>
      <x:c r="T172" s="14" t="str"/>
      <x:c r="U172" s="10" t="str"/>
      <x:c r="V172" t="str"/>
      <x:c r="W172" t="str">
        <x:f>IF(V172=1,IF(R172="VALID","PASS",IF(R172="INVALID","INVALID","OPEN")),"OPEN")</x:f>
        <x:v>OPEN</x:v>
      </x:c>
    </x:row>
    <x:row r="173" ht="36" customHeight="1">
      <x:c r="B173" t="str">
        <x:v>RAW-E167</x:v>
      </x:c>
      <x:c r="C173" t="str">
        <x:v>AM-02</x:v>
      </x:c>
      <x:c r="D173" t="str">
        <x:v>TR-B</x:v>
      </x:c>
      <x:c r="E173" t="str">
        <x:v>RFP-A2</x:v>
      </x:c>
      <x:c r="F173" t="str">
        <x:v>PTC-A</x:v>
      </x:c>
      <x:c r="G173" t="str">
        <x:v>QT-05</x:v>
      </x:c>
      <x:c r="H173" t="str">
        <x:v>RAW-V17</x:v>
      </x:c>
      <x:c r="I173" t="str">
        <x:v>RAW-A062</x:v>
      </x:c>
      <x:c r="J173" t="str">
        <x:v>BLIND</x:v>
      </x:c>
      <x:c r="K173" t="str">
        <x:v>DECISIVE CHAIN</x:v>
      </x:c>
      <x:c r="L173" t="str">
        <x:v>n.a.</x:v>
      </x:c>
      <x:c r="M173" s="14" t="n">
        <x:v>3</x:v>
      </x:c>
      <x:c r="N173" s="14" t="n">
        <x:v>10</x:v>
      </x:c>
      <x:c r="O173" s="14" t="str"/>
      <x:c r="P173" s="14" t="str"/>
      <x:c r="Q173" s="14" t="str"/>
      <x:c r="R173" s="14" t="str"/>
      <x:c r="S173" s="14" t="str"/>
      <x:c r="T173" s="14" t="str"/>
      <x:c r="U173" s="10" t="str"/>
      <x:c r="V173" t="str"/>
      <x:c r="W173" t="str">
        <x:f>IF(V173=1,IF(R173="VALID","PASS",IF(R173="INVALID","INVALID","OPEN")),"OPEN")</x:f>
        <x:v>OPEN</x:v>
      </x:c>
    </x:row>
    <x:row r="174" ht="36" customHeight="1">
      <x:c r="B174" t="str">
        <x:v>RAW-E168</x:v>
      </x:c>
      <x:c r="C174" t="str">
        <x:v>AM-02</x:v>
      </x:c>
      <x:c r="D174" t="str">
        <x:v>TR-B</x:v>
      </x:c>
      <x:c r="E174" t="str">
        <x:v>RFP-A2</x:v>
      </x:c>
      <x:c r="F174" t="str">
        <x:v>PTC-A</x:v>
      </x:c>
      <x:c r="G174" t="str">
        <x:v>QT-06</x:v>
      </x:c>
      <x:c r="H174" t="str">
        <x:v>RAW-V18</x:v>
      </x:c>
      <x:c r="I174" t="str">
        <x:v>RAW-A062</x:v>
      </x:c>
      <x:c r="J174" t="str">
        <x:v>DISCLOSED</x:v>
      </x:c>
      <x:c r="K174" t="str">
        <x:v>NONE</x:v>
      </x:c>
      <x:c r="L174" t="str">
        <x:v>PTC-B</x:v>
      </x:c>
      <x:c r="M174" s="14" t="n">
        <x:v>4</x:v>
      </x:c>
      <x:c r="N174" s="14" t="n">
        <x:v>12</x:v>
      </x:c>
      <x:c r="O174" s="14" t="str"/>
      <x:c r="P174" s="14" t="str"/>
      <x:c r="Q174" s="14" t="str"/>
      <x:c r="R174" s="14" t="str"/>
      <x:c r="S174" s="14" t="str"/>
      <x:c r="T174" s="14" t="str"/>
      <x:c r="U174" s="10" t="str"/>
      <x:c r="V174" t="str"/>
      <x:c r="W174" t="str">
        <x:f>IF(V174=1,IF(R174="VALID","PASS",IF(R174="INVALID","INVALID","OPEN")),"OPEN")</x:f>
        <x:v>OPEN</x:v>
      </x:c>
    </x:row>
    <x:row r="175" ht="36" customHeight="1">
      <x:c r="B175" t="str">
        <x:v>RAW-E169</x:v>
      </x:c>
      <x:c r="C175" t="str">
        <x:v>AM-02</x:v>
      </x:c>
      <x:c r="D175" t="str">
        <x:v>TR-A</x:v>
      </x:c>
      <x:c r="E175" t="str">
        <x:v>RFP-B1</x:v>
      </x:c>
      <x:c r="F175" t="str">
        <x:v>PTC-B</x:v>
      </x:c>
      <x:c r="G175" t="str">
        <x:v>QT-01</x:v>
      </x:c>
      <x:c r="H175" t="str">
        <x:v>RAW-V13</x:v>
      </x:c>
      <x:c r="I175" t="str">
        <x:v>RAW-A051</x:v>
      </x:c>
      <x:c r="J175" t="str">
        <x:v>DISCLOSED</x:v>
      </x:c>
      <x:c r="K175" t="str">
        <x:v>NONE</x:v>
      </x:c>
      <x:c r="L175" t="str">
        <x:v>n.a.</x:v>
      </x:c>
      <x:c r="M175" s="14" t="n">
        <x:v>2</x:v>
      </x:c>
      <x:c r="N175" s="14" t="n">
        <x:v>1</x:v>
      </x:c>
      <x:c r="O175" s="14" t="str"/>
      <x:c r="P175" s="14" t="str"/>
      <x:c r="Q175" s="14" t="str"/>
      <x:c r="R175" s="14" t="str"/>
      <x:c r="S175" s="14" t="str"/>
      <x:c r="T175" s="14" t="str"/>
      <x:c r="U175" s="10" t="str"/>
      <x:c r="V175" t="str"/>
      <x:c r="W175" t="str">
        <x:f>IF(V175=1,IF(R175="VALID","PASS",IF(R175="INVALID","INVALID","OPEN")),"OPEN")</x:f>
        <x:v>OPEN</x:v>
      </x:c>
    </x:row>
    <x:row r="176" ht="36" customHeight="1">
      <x:c r="B176" t="str">
        <x:v>RAW-E170</x:v>
      </x:c>
      <x:c r="C176" t="str">
        <x:v>AM-02</x:v>
      </x:c>
      <x:c r="D176" t="str">
        <x:v>TR-A</x:v>
      </x:c>
      <x:c r="E176" t="str">
        <x:v>RFP-B1</x:v>
      </x:c>
      <x:c r="F176" t="str">
        <x:v>PTC-B</x:v>
      </x:c>
      <x:c r="G176" t="str">
        <x:v>QT-02</x:v>
      </x:c>
      <x:c r="H176" t="str">
        <x:v>RAW-V14</x:v>
      </x:c>
      <x:c r="I176" t="str">
        <x:v>RAW-A051</x:v>
      </x:c>
      <x:c r="J176" t="str">
        <x:v>DISCLOSED</x:v>
      </x:c>
      <x:c r="K176" t="str">
        <x:v>NONE</x:v>
      </x:c>
      <x:c r="L176" t="str">
        <x:v>n.a.</x:v>
      </x:c>
      <x:c r="M176" s="14" t="n">
        <x:v>2</x:v>
      </x:c>
      <x:c r="N176" s="14" t="n">
        <x:v>3</x:v>
      </x:c>
      <x:c r="O176" s="14" t="str"/>
      <x:c r="P176" s="14" t="str"/>
      <x:c r="Q176" s="14" t="str"/>
      <x:c r="R176" s="14" t="str"/>
      <x:c r="S176" s="14" t="str"/>
      <x:c r="T176" s="14" t="str"/>
      <x:c r="U176" s="10" t="str"/>
      <x:c r="V176" t="str"/>
      <x:c r="W176" t="str">
        <x:f>IF(V176=1,IF(R176="VALID","PASS",IF(R176="INVALID","INVALID","OPEN")),"OPEN")</x:f>
        <x:v>OPEN</x:v>
      </x:c>
    </x:row>
    <x:row r="177" ht="36" customHeight="1">
      <x:c r="B177" t="str">
        <x:v>RAW-E171</x:v>
      </x:c>
      <x:c r="C177" t="str">
        <x:v>AM-02</x:v>
      </x:c>
      <x:c r="D177" t="str">
        <x:v>TR-A</x:v>
      </x:c>
      <x:c r="E177" t="str">
        <x:v>RFP-B1</x:v>
      </x:c>
      <x:c r="F177" t="str">
        <x:v>PTC-B</x:v>
      </x:c>
      <x:c r="G177" t="str">
        <x:v>QT-03</x:v>
      </x:c>
      <x:c r="H177" t="str">
        <x:v>RAW-V15</x:v>
      </x:c>
      <x:c r="I177" t="str">
        <x:v>RAW-A051</x:v>
      </x:c>
      <x:c r="J177" t="str">
        <x:v>DISCLOSED</x:v>
      </x:c>
      <x:c r="K177" t="str">
        <x:v>NONE</x:v>
      </x:c>
      <x:c r="L177" t="str">
        <x:v>n.a.</x:v>
      </x:c>
      <x:c r="M177" s="14" t="n">
        <x:v>2</x:v>
      </x:c>
      <x:c r="N177" s="14" t="n">
        <x:v>5</x:v>
      </x:c>
      <x:c r="O177" s="14" t="str"/>
      <x:c r="P177" s="14" t="str"/>
      <x:c r="Q177" s="14" t="str"/>
      <x:c r="R177" s="14" t="str"/>
      <x:c r="S177" s="14" t="str"/>
      <x:c r="T177" s="14" t="str"/>
      <x:c r="U177" s="10" t="str"/>
      <x:c r="V177" t="str"/>
      <x:c r="W177" t="str">
        <x:f>IF(V177=1,IF(R177="VALID","PASS",IF(R177="INVALID","INVALID","OPEN")),"OPEN")</x:f>
        <x:v>OPEN</x:v>
      </x:c>
    </x:row>
    <x:row r="178" ht="36" customHeight="1">
      <x:c r="B178" t="str">
        <x:v>RAW-E172</x:v>
      </x:c>
      <x:c r="C178" t="str">
        <x:v>AM-02</x:v>
      </x:c>
      <x:c r="D178" t="str">
        <x:v>TR-A</x:v>
      </x:c>
      <x:c r="E178" t="str">
        <x:v>RFP-B1</x:v>
      </x:c>
      <x:c r="F178" t="str">
        <x:v>PTC-B</x:v>
      </x:c>
      <x:c r="G178" t="str">
        <x:v>QT-04</x:v>
      </x:c>
      <x:c r="H178" t="str">
        <x:v>RAW-V16</x:v>
      </x:c>
      <x:c r="I178" t="str">
        <x:v>RAW-A051</x:v>
      </x:c>
      <x:c r="J178" t="str">
        <x:v>BLIND</x:v>
      </x:c>
      <x:c r="K178" t="str">
        <x:v>NONE</x:v>
      </x:c>
      <x:c r="L178" t="str">
        <x:v>n.a.</x:v>
      </x:c>
      <x:c r="M178" s="14" t="n">
        <x:v>3</x:v>
      </x:c>
      <x:c r="N178" s="14" t="n">
        <x:v>7</x:v>
      </x:c>
      <x:c r="O178" s="14" t="str"/>
      <x:c r="P178" s="14" t="str"/>
      <x:c r="Q178" s="14" t="str"/>
      <x:c r="R178" s="14" t="str"/>
      <x:c r="S178" s="14" t="str"/>
      <x:c r="T178" s="14" t="str"/>
      <x:c r="U178" s="10" t="str"/>
      <x:c r="V178" t="str"/>
      <x:c r="W178" t="str">
        <x:f>IF(V178=1,IF(R178="VALID","PASS",IF(R178="INVALID","INVALID","OPEN")),"OPEN")</x:f>
        <x:v>OPEN</x:v>
      </x:c>
    </x:row>
    <x:row r="179" ht="36" customHeight="1">
      <x:c r="B179" t="str">
        <x:v>RAW-E173</x:v>
      </x:c>
      <x:c r="C179" t="str">
        <x:v>AM-02</x:v>
      </x:c>
      <x:c r="D179" t="str">
        <x:v>TR-A</x:v>
      </x:c>
      <x:c r="E179" t="str">
        <x:v>RFP-B1</x:v>
      </x:c>
      <x:c r="F179" t="str">
        <x:v>PTC-B</x:v>
      </x:c>
      <x:c r="G179" t="str">
        <x:v>QT-05</x:v>
      </x:c>
      <x:c r="H179" t="str">
        <x:v>RAW-V17</x:v>
      </x:c>
      <x:c r="I179" t="str">
        <x:v>RAW-A051</x:v>
      </x:c>
      <x:c r="J179" t="str">
        <x:v>BLIND</x:v>
      </x:c>
      <x:c r="K179" t="str">
        <x:v>DECISIVE CHAIN</x:v>
      </x:c>
      <x:c r="L179" t="str">
        <x:v>n.a.</x:v>
      </x:c>
      <x:c r="M179" s="14" t="n">
        <x:v>3</x:v>
      </x:c>
      <x:c r="N179" s="14" t="n">
        <x:v>9</x:v>
      </x:c>
      <x:c r="O179" s="14" t="str"/>
      <x:c r="P179" s="14" t="str"/>
      <x:c r="Q179" s="14" t="str"/>
      <x:c r="R179" s="14" t="str"/>
      <x:c r="S179" s="14" t="str"/>
      <x:c r="T179" s="14" t="str"/>
      <x:c r="U179" s="10" t="str"/>
      <x:c r="V179" t="str"/>
      <x:c r="W179" t="str">
        <x:f>IF(V179=1,IF(R179="VALID","PASS",IF(R179="INVALID","INVALID","OPEN")),"OPEN")</x:f>
        <x:v>OPEN</x:v>
      </x:c>
    </x:row>
    <x:row r="180" ht="36" customHeight="1">
      <x:c r="B180" t="str">
        <x:v>RAW-E174</x:v>
      </x:c>
      <x:c r="C180" t="str">
        <x:v>AM-02</x:v>
      </x:c>
      <x:c r="D180" t="str">
        <x:v>TR-A</x:v>
      </x:c>
      <x:c r="E180" t="str">
        <x:v>RFP-B1</x:v>
      </x:c>
      <x:c r="F180" t="str">
        <x:v>PTC-B</x:v>
      </x:c>
      <x:c r="G180" t="str">
        <x:v>QT-06</x:v>
      </x:c>
      <x:c r="H180" t="str">
        <x:v>RAW-V18</x:v>
      </x:c>
      <x:c r="I180" t="str">
        <x:v>RAW-A051</x:v>
      </x:c>
      <x:c r="J180" t="str">
        <x:v>DISCLOSED</x:v>
      </x:c>
      <x:c r="K180" t="str">
        <x:v>NONE</x:v>
      </x:c>
      <x:c r="L180" t="str">
        <x:v>PTC-C</x:v>
      </x:c>
      <x:c r="M180" s="14" t="n">
        <x:v>4</x:v>
      </x:c>
      <x:c r="N180" s="14" t="n">
        <x:v>11</x:v>
      </x:c>
      <x:c r="O180" s="14" t="str"/>
      <x:c r="P180" s="14" t="str"/>
      <x:c r="Q180" s="14" t="str"/>
      <x:c r="R180" s="14" t="str"/>
      <x:c r="S180" s="14" t="str"/>
      <x:c r="T180" s="14" t="str"/>
      <x:c r="U180" s="10" t="str"/>
      <x:c r="V180" t="str"/>
      <x:c r="W180" t="str">
        <x:f>IF(V180=1,IF(R180="VALID","PASS",IF(R180="INVALID","INVALID","OPEN")),"OPEN")</x:f>
        <x:v>OPEN</x:v>
      </x:c>
    </x:row>
    <x:row r="181" ht="36" customHeight="1">
      <x:c r="B181" t="str">
        <x:v>RAW-E175</x:v>
      </x:c>
      <x:c r="C181" t="str">
        <x:v>AM-02</x:v>
      </x:c>
      <x:c r="D181" t="str">
        <x:v>TR-B</x:v>
      </x:c>
      <x:c r="E181" t="str">
        <x:v>RFP-B1</x:v>
      </x:c>
      <x:c r="F181" t="str">
        <x:v>PTC-B</x:v>
      </x:c>
      <x:c r="G181" t="str">
        <x:v>QT-01</x:v>
      </x:c>
      <x:c r="H181" t="str">
        <x:v>RAW-V13</x:v>
      </x:c>
      <x:c r="I181" t="str">
        <x:v>RAW-A063</x:v>
      </x:c>
      <x:c r="J181" t="str">
        <x:v>DISCLOSED</x:v>
      </x:c>
      <x:c r="K181" t="str">
        <x:v>NONE</x:v>
      </x:c>
      <x:c r="L181" t="str">
        <x:v>n.a.</x:v>
      </x:c>
      <x:c r="M181" s="14" t="n">
        <x:v>2</x:v>
      </x:c>
      <x:c r="N181" s="14" t="n">
        <x:v>2</x:v>
      </x:c>
      <x:c r="O181" s="14" t="str"/>
      <x:c r="P181" s="14" t="str"/>
      <x:c r="Q181" s="14" t="str"/>
      <x:c r="R181" s="14" t="str"/>
      <x:c r="S181" s="14" t="str"/>
      <x:c r="T181" s="14" t="str"/>
      <x:c r="U181" s="10" t="str"/>
      <x:c r="V181" t="str"/>
      <x:c r="W181" t="str">
        <x:f>IF(V181=1,IF(R181="VALID","PASS",IF(R181="INVALID","INVALID","OPEN")),"OPEN")</x:f>
        <x:v>OPEN</x:v>
      </x:c>
    </x:row>
    <x:row r="182" ht="36" customHeight="1">
      <x:c r="B182" t="str">
        <x:v>RAW-E176</x:v>
      </x:c>
      <x:c r="C182" t="str">
        <x:v>AM-02</x:v>
      </x:c>
      <x:c r="D182" t="str">
        <x:v>TR-B</x:v>
      </x:c>
      <x:c r="E182" t="str">
        <x:v>RFP-B1</x:v>
      </x:c>
      <x:c r="F182" t="str">
        <x:v>PTC-B</x:v>
      </x:c>
      <x:c r="G182" t="str">
        <x:v>QT-02</x:v>
      </x:c>
      <x:c r="H182" t="str">
        <x:v>RAW-V14</x:v>
      </x:c>
      <x:c r="I182" t="str">
        <x:v>RAW-A063</x:v>
      </x:c>
      <x:c r="J182" t="str">
        <x:v>DISCLOSED</x:v>
      </x:c>
      <x:c r="K182" t="str">
        <x:v>NONE</x:v>
      </x:c>
      <x:c r="L182" t="str">
        <x:v>n.a.</x:v>
      </x:c>
      <x:c r="M182" s="14" t="n">
        <x:v>2</x:v>
      </x:c>
      <x:c r="N182" s="14" t="n">
        <x:v>4</x:v>
      </x:c>
      <x:c r="O182" s="14" t="str"/>
      <x:c r="P182" s="14" t="str"/>
      <x:c r="Q182" s="14" t="str"/>
      <x:c r="R182" s="14" t="str"/>
      <x:c r="S182" s="14" t="str"/>
      <x:c r="T182" s="14" t="str"/>
      <x:c r="U182" s="10" t="str"/>
      <x:c r="V182" t="str"/>
      <x:c r="W182" t="str">
        <x:f>IF(V182=1,IF(R182="VALID","PASS",IF(R182="INVALID","INVALID","OPEN")),"OPEN")</x:f>
        <x:v>OPEN</x:v>
      </x:c>
    </x:row>
    <x:row r="183" ht="36" customHeight="1">
      <x:c r="B183" t="str">
        <x:v>RAW-E177</x:v>
      </x:c>
      <x:c r="C183" t="str">
        <x:v>AM-02</x:v>
      </x:c>
      <x:c r="D183" t="str">
        <x:v>TR-B</x:v>
      </x:c>
      <x:c r="E183" t="str">
        <x:v>RFP-B1</x:v>
      </x:c>
      <x:c r="F183" t="str">
        <x:v>PTC-B</x:v>
      </x:c>
      <x:c r="G183" t="str">
        <x:v>QT-03</x:v>
      </x:c>
      <x:c r="H183" t="str">
        <x:v>RAW-V15</x:v>
      </x:c>
      <x:c r="I183" t="str">
        <x:v>RAW-A063</x:v>
      </x:c>
      <x:c r="J183" t="str">
        <x:v>DISCLOSED</x:v>
      </x:c>
      <x:c r="K183" t="str">
        <x:v>NONE</x:v>
      </x:c>
      <x:c r="L183" t="str">
        <x:v>n.a.</x:v>
      </x:c>
      <x:c r="M183" s="14" t="n">
        <x:v>2</x:v>
      </x:c>
      <x:c r="N183" s="14" t="n">
        <x:v>6</x:v>
      </x:c>
      <x:c r="O183" s="14" t="str"/>
      <x:c r="P183" s="14" t="str"/>
      <x:c r="Q183" s="14" t="str"/>
      <x:c r="R183" s="14" t="str"/>
      <x:c r="S183" s="14" t="str"/>
      <x:c r="T183" s="14" t="str"/>
      <x:c r="U183" s="10" t="str"/>
      <x:c r="V183" t="str"/>
      <x:c r="W183" t="str">
        <x:f>IF(V183=1,IF(R183="VALID","PASS",IF(R183="INVALID","INVALID","OPEN")),"OPEN")</x:f>
        <x:v>OPEN</x:v>
      </x:c>
    </x:row>
    <x:row r="184" ht="36" customHeight="1">
      <x:c r="B184" t="str">
        <x:v>RAW-E178</x:v>
      </x:c>
      <x:c r="C184" t="str">
        <x:v>AM-02</x:v>
      </x:c>
      <x:c r="D184" t="str">
        <x:v>TR-B</x:v>
      </x:c>
      <x:c r="E184" t="str">
        <x:v>RFP-B1</x:v>
      </x:c>
      <x:c r="F184" t="str">
        <x:v>PTC-B</x:v>
      </x:c>
      <x:c r="G184" t="str">
        <x:v>QT-04</x:v>
      </x:c>
      <x:c r="H184" t="str">
        <x:v>RAW-V16</x:v>
      </x:c>
      <x:c r="I184" t="str">
        <x:v>RAW-A063</x:v>
      </x:c>
      <x:c r="J184" t="str">
        <x:v>BLIND</x:v>
      </x:c>
      <x:c r="K184" t="str">
        <x:v>NONE</x:v>
      </x:c>
      <x:c r="L184" t="str">
        <x:v>n.a.</x:v>
      </x:c>
      <x:c r="M184" s="14" t="n">
        <x:v>3</x:v>
      </x:c>
      <x:c r="N184" s="14" t="n">
        <x:v>8</x:v>
      </x:c>
      <x:c r="O184" s="14" t="str"/>
      <x:c r="P184" s="14" t="str"/>
      <x:c r="Q184" s="14" t="str"/>
      <x:c r="R184" s="14" t="str"/>
      <x:c r="S184" s="14" t="str"/>
      <x:c r="T184" s="14" t="str"/>
      <x:c r="U184" s="10" t="str"/>
      <x:c r="V184" t="str"/>
      <x:c r="W184" t="str">
        <x:f>IF(V184=1,IF(R184="VALID","PASS",IF(R184="INVALID","INVALID","OPEN")),"OPEN")</x:f>
        <x:v>OPEN</x:v>
      </x:c>
    </x:row>
    <x:row r="185" ht="36" customHeight="1">
      <x:c r="B185" t="str">
        <x:v>RAW-E179</x:v>
      </x:c>
      <x:c r="C185" t="str">
        <x:v>AM-02</x:v>
      </x:c>
      <x:c r="D185" t="str">
        <x:v>TR-B</x:v>
      </x:c>
      <x:c r="E185" t="str">
        <x:v>RFP-B1</x:v>
      </x:c>
      <x:c r="F185" t="str">
        <x:v>PTC-B</x:v>
      </x:c>
      <x:c r="G185" t="str">
        <x:v>QT-05</x:v>
      </x:c>
      <x:c r="H185" t="str">
        <x:v>RAW-V17</x:v>
      </x:c>
      <x:c r="I185" t="str">
        <x:v>RAW-A063</x:v>
      </x:c>
      <x:c r="J185" t="str">
        <x:v>BLIND</x:v>
      </x:c>
      <x:c r="K185" t="str">
        <x:v>DECISIVE CHAIN</x:v>
      </x:c>
      <x:c r="L185" t="str">
        <x:v>n.a.</x:v>
      </x:c>
      <x:c r="M185" s="14" t="n">
        <x:v>3</x:v>
      </x:c>
      <x:c r="N185" s="14" t="n">
        <x:v>10</x:v>
      </x:c>
      <x:c r="O185" s="14" t="str"/>
      <x:c r="P185" s="14" t="str"/>
      <x:c r="Q185" s="14" t="str"/>
      <x:c r="R185" s="14" t="str"/>
      <x:c r="S185" s="14" t="str"/>
      <x:c r="T185" s="14" t="str"/>
      <x:c r="U185" s="10" t="str"/>
      <x:c r="V185" t="str"/>
      <x:c r="W185" t="str">
        <x:f>IF(V185=1,IF(R185="VALID","PASS",IF(R185="INVALID","INVALID","OPEN")),"OPEN")</x:f>
        <x:v>OPEN</x:v>
      </x:c>
    </x:row>
    <x:row r="186" ht="36" customHeight="1">
      <x:c r="B186" t="str">
        <x:v>RAW-E180</x:v>
      </x:c>
      <x:c r="C186" t="str">
        <x:v>AM-02</x:v>
      </x:c>
      <x:c r="D186" t="str">
        <x:v>TR-B</x:v>
      </x:c>
      <x:c r="E186" t="str">
        <x:v>RFP-B1</x:v>
      </x:c>
      <x:c r="F186" t="str">
        <x:v>PTC-B</x:v>
      </x:c>
      <x:c r="G186" t="str">
        <x:v>QT-06</x:v>
      </x:c>
      <x:c r="H186" t="str">
        <x:v>RAW-V18</x:v>
      </x:c>
      <x:c r="I186" t="str">
        <x:v>RAW-A063</x:v>
      </x:c>
      <x:c r="J186" t="str">
        <x:v>DISCLOSED</x:v>
      </x:c>
      <x:c r="K186" t="str">
        <x:v>NONE</x:v>
      </x:c>
      <x:c r="L186" t="str">
        <x:v>PTC-C</x:v>
      </x:c>
      <x:c r="M186" s="14" t="n">
        <x:v>4</x:v>
      </x:c>
      <x:c r="N186" s="14" t="n">
        <x:v>12</x:v>
      </x:c>
      <x:c r="O186" s="14" t="str"/>
      <x:c r="P186" s="14" t="str"/>
      <x:c r="Q186" s="14" t="str"/>
      <x:c r="R186" s="14" t="str"/>
      <x:c r="S186" s="14" t="str"/>
      <x:c r="T186" s="14" t="str"/>
      <x:c r="U186" s="10" t="str"/>
      <x:c r="V186" t="str"/>
      <x:c r="W186" t="str">
        <x:f>IF(V186=1,IF(R186="VALID","PASS",IF(R186="INVALID","INVALID","OPEN")),"OPEN")</x:f>
        <x:v>OPEN</x:v>
      </x:c>
    </x:row>
    <x:row r="187" ht="36" customHeight="1">
      <x:c r="B187" t="str">
        <x:v>RAW-E181</x:v>
      </x:c>
      <x:c r="C187" t="str">
        <x:v>AM-02</x:v>
      </x:c>
      <x:c r="D187" t="str">
        <x:v>TR-A</x:v>
      </x:c>
      <x:c r="E187" t="str">
        <x:v>RFP-B2</x:v>
      </x:c>
      <x:c r="F187" t="str">
        <x:v>PTC-B</x:v>
      </x:c>
      <x:c r="G187" t="str">
        <x:v>QT-01</x:v>
      </x:c>
      <x:c r="H187" t="str">
        <x:v>RAW-V13</x:v>
      </x:c>
      <x:c r="I187" t="str">
        <x:v>RAW-A052</x:v>
      </x:c>
      <x:c r="J187" t="str">
        <x:v>DISCLOSED</x:v>
      </x:c>
      <x:c r="K187" t="str">
        <x:v>NONE</x:v>
      </x:c>
      <x:c r="L187" t="str">
        <x:v>n.a.</x:v>
      </x:c>
      <x:c r="M187" s="14" t="n">
        <x:v>2</x:v>
      </x:c>
      <x:c r="N187" s="14" t="n">
        <x:v>1</x:v>
      </x:c>
      <x:c r="O187" s="14" t="str"/>
      <x:c r="P187" s="14" t="str"/>
      <x:c r="Q187" s="14" t="str"/>
      <x:c r="R187" s="14" t="str"/>
      <x:c r="S187" s="14" t="str"/>
      <x:c r="T187" s="14" t="str"/>
      <x:c r="U187" s="10" t="str"/>
      <x:c r="V187" t="str"/>
      <x:c r="W187" t="str">
        <x:f>IF(V187=1,IF(R187="VALID","PASS",IF(R187="INVALID","INVALID","OPEN")),"OPEN")</x:f>
        <x:v>OPEN</x:v>
      </x:c>
    </x:row>
    <x:row r="188" ht="36" customHeight="1">
      <x:c r="B188" t="str">
        <x:v>RAW-E182</x:v>
      </x:c>
      <x:c r="C188" t="str">
        <x:v>AM-02</x:v>
      </x:c>
      <x:c r="D188" t="str">
        <x:v>TR-A</x:v>
      </x:c>
      <x:c r="E188" t="str">
        <x:v>RFP-B2</x:v>
      </x:c>
      <x:c r="F188" t="str">
        <x:v>PTC-B</x:v>
      </x:c>
      <x:c r="G188" t="str">
        <x:v>QT-02</x:v>
      </x:c>
      <x:c r="H188" t="str">
        <x:v>RAW-V14</x:v>
      </x:c>
      <x:c r="I188" t="str">
        <x:v>RAW-A052</x:v>
      </x:c>
      <x:c r="J188" t="str">
        <x:v>DISCLOSED</x:v>
      </x:c>
      <x:c r="K188" t="str">
        <x:v>NONE</x:v>
      </x:c>
      <x:c r="L188" t="str">
        <x:v>n.a.</x:v>
      </x:c>
      <x:c r="M188" s="14" t="n">
        <x:v>2</x:v>
      </x:c>
      <x:c r="N188" s="14" t="n">
        <x:v>3</x:v>
      </x:c>
      <x:c r="O188" s="14" t="str"/>
      <x:c r="P188" s="14" t="str"/>
      <x:c r="Q188" s="14" t="str"/>
      <x:c r="R188" s="14" t="str"/>
      <x:c r="S188" s="14" t="str"/>
      <x:c r="T188" s="14" t="str"/>
      <x:c r="U188" s="10" t="str"/>
      <x:c r="V188" t="str"/>
      <x:c r="W188" t="str">
        <x:f>IF(V188=1,IF(R188="VALID","PASS",IF(R188="INVALID","INVALID","OPEN")),"OPEN")</x:f>
        <x:v>OPEN</x:v>
      </x:c>
    </x:row>
    <x:row r="189" ht="36" customHeight="1">
      <x:c r="B189" t="str">
        <x:v>RAW-E183</x:v>
      </x:c>
      <x:c r="C189" t="str">
        <x:v>AM-02</x:v>
      </x:c>
      <x:c r="D189" t="str">
        <x:v>TR-A</x:v>
      </x:c>
      <x:c r="E189" t="str">
        <x:v>RFP-B2</x:v>
      </x:c>
      <x:c r="F189" t="str">
        <x:v>PTC-B</x:v>
      </x:c>
      <x:c r="G189" t="str">
        <x:v>QT-03</x:v>
      </x:c>
      <x:c r="H189" t="str">
        <x:v>RAW-V15</x:v>
      </x:c>
      <x:c r="I189" t="str">
        <x:v>RAW-A052</x:v>
      </x:c>
      <x:c r="J189" t="str">
        <x:v>DISCLOSED</x:v>
      </x:c>
      <x:c r="K189" t="str">
        <x:v>NONE</x:v>
      </x:c>
      <x:c r="L189" t="str">
        <x:v>n.a.</x:v>
      </x:c>
      <x:c r="M189" s="14" t="n">
        <x:v>2</x:v>
      </x:c>
      <x:c r="N189" s="14" t="n">
        <x:v>5</x:v>
      </x:c>
      <x:c r="O189" s="14" t="str"/>
      <x:c r="P189" s="14" t="str"/>
      <x:c r="Q189" s="14" t="str"/>
      <x:c r="R189" s="14" t="str"/>
      <x:c r="S189" s="14" t="str"/>
      <x:c r="T189" s="14" t="str"/>
      <x:c r="U189" s="10" t="str"/>
      <x:c r="V189" t="str"/>
      <x:c r="W189" t="str">
        <x:f>IF(V189=1,IF(R189="VALID","PASS",IF(R189="INVALID","INVALID","OPEN")),"OPEN")</x:f>
        <x:v>OPEN</x:v>
      </x:c>
    </x:row>
    <x:row r="190" ht="36" customHeight="1">
      <x:c r="B190" t="str">
        <x:v>RAW-E184</x:v>
      </x:c>
      <x:c r="C190" t="str">
        <x:v>AM-02</x:v>
      </x:c>
      <x:c r="D190" t="str">
        <x:v>TR-A</x:v>
      </x:c>
      <x:c r="E190" t="str">
        <x:v>RFP-B2</x:v>
      </x:c>
      <x:c r="F190" t="str">
        <x:v>PTC-B</x:v>
      </x:c>
      <x:c r="G190" t="str">
        <x:v>QT-04</x:v>
      </x:c>
      <x:c r="H190" t="str">
        <x:v>RAW-V16</x:v>
      </x:c>
      <x:c r="I190" t="str">
        <x:v>RAW-A052</x:v>
      </x:c>
      <x:c r="J190" t="str">
        <x:v>BLIND</x:v>
      </x:c>
      <x:c r="K190" t="str">
        <x:v>NONE</x:v>
      </x:c>
      <x:c r="L190" t="str">
        <x:v>n.a.</x:v>
      </x:c>
      <x:c r="M190" s="14" t="n">
        <x:v>3</x:v>
      </x:c>
      <x:c r="N190" s="14" t="n">
        <x:v>7</x:v>
      </x:c>
      <x:c r="O190" s="14" t="str"/>
      <x:c r="P190" s="14" t="str"/>
      <x:c r="Q190" s="14" t="str"/>
      <x:c r="R190" s="14" t="str"/>
      <x:c r="S190" s="14" t="str"/>
      <x:c r="T190" s="14" t="str"/>
      <x:c r="U190" s="10" t="str"/>
      <x:c r="V190" t="str"/>
      <x:c r="W190" t="str">
        <x:f>IF(V190=1,IF(R190="VALID","PASS",IF(R190="INVALID","INVALID","OPEN")),"OPEN")</x:f>
        <x:v>OPEN</x:v>
      </x:c>
    </x:row>
    <x:row r="191" ht="36" customHeight="1">
      <x:c r="B191" t="str">
        <x:v>RAW-E185</x:v>
      </x:c>
      <x:c r="C191" t="str">
        <x:v>AM-02</x:v>
      </x:c>
      <x:c r="D191" t="str">
        <x:v>TR-A</x:v>
      </x:c>
      <x:c r="E191" t="str">
        <x:v>RFP-B2</x:v>
      </x:c>
      <x:c r="F191" t="str">
        <x:v>PTC-B</x:v>
      </x:c>
      <x:c r="G191" t="str">
        <x:v>QT-05</x:v>
      </x:c>
      <x:c r="H191" t="str">
        <x:v>RAW-V17</x:v>
      </x:c>
      <x:c r="I191" t="str">
        <x:v>RAW-A052</x:v>
      </x:c>
      <x:c r="J191" t="str">
        <x:v>BLIND</x:v>
      </x:c>
      <x:c r="K191" t="str">
        <x:v>DECISIVE CHAIN</x:v>
      </x:c>
      <x:c r="L191" t="str">
        <x:v>n.a.</x:v>
      </x:c>
      <x:c r="M191" s="14" t="n">
        <x:v>3</x:v>
      </x:c>
      <x:c r="N191" s="14" t="n">
        <x:v>9</x:v>
      </x:c>
      <x:c r="O191" s="14" t="str"/>
      <x:c r="P191" s="14" t="str"/>
      <x:c r="Q191" s="14" t="str"/>
      <x:c r="R191" s="14" t="str"/>
      <x:c r="S191" s="14" t="str"/>
      <x:c r="T191" s="14" t="str"/>
      <x:c r="U191" s="10" t="str"/>
      <x:c r="V191" t="str"/>
      <x:c r="W191" t="str">
        <x:f>IF(V191=1,IF(R191="VALID","PASS",IF(R191="INVALID","INVALID","OPEN")),"OPEN")</x:f>
        <x:v>OPEN</x:v>
      </x:c>
    </x:row>
    <x:row r="192" ht="36" customHeight="1">
      <x:c r="B192" t="str">
        <x:v>RAW-E186</x:v>
      </x:c>
      <x:c r="C192" t="str">
        <x:v>AM-02</x:v>
      </x:c>
      <x:c r="D192" t="str">
        <x:v>TR-A</x:v>
      </x:c>
      <x:c r="E192" t="str">
        <x:v>RFP-B2</x:v>
      </x:c>
      <x:c r="F192" t="str">
        <x:v>PTC-B</x:v>
      </x:c>
      <x:c r="G192" t="str">
        <x:v>QT-06</x:v>
      </x:c>
      <x:c r="H192" t="str">
        <x:v>RAW-V18</x:v>
      </x:c>
      <x:c r="I192" t="str">
        <x:v>RAW-A052</x:v>
      </x:c>
      <x:c r="J192" t="str">
        <x:v>DISCLOSED</x:v>
      </x:c>
      <x:c r="K192" t="str">
        <x:v>NONE</x:v>
      </x:c>
      <x:c r="L192" t="str">
        <x:v>PTC-C</x:v>
      </x:c>
      <x:c r="M192" s="14" t="n">
        <x:v>4</x:v>
      </x:c>
      <x:c r="N192" s="14" t="n">
        <x:v>11</x:v>
      </x:c>
      <x:c r="O192" s="14" t="str"/>
      <x:c r="P192" s="14" t="str"/>
      <x:c r="Q192" s="14" t="str"/>
      <x:c r="R192" s="14" t="str"/>
      <x:c r="S192" s="14" t="str"/>
      <x:c r="T192" s="14" t="str"/>
      <x:c r="U192" s="10" t="str"/>
      <x:c r="V192" t="str"/>
      <x:c r="W192" t="str">
        <x:f>IF(V192=1,IF(R192="VALID","PASS",IF(R192="INVALID","INVALID","OPEN")),"OPEN")</x:f>
        <x:v>OPEN</x:v>
      </x:c>
    </x:row>
    <x:row r="193" ht="36" customHeight="1">
      <x:c r="B193" t="str">
        <x:v>RAW-E187</x:v>
      </x:c>
      <x:c r="C193" t="str">
        <x:v>AM-02</x:v>
      </x:c>
      <x:c r="D193" t="str">
        <x:v>TR-B</x:v>
      </x:c>
      <x:c r="E193" t="str">
        <x:v>RFP-B2</x:v>
      </x:c>
      <x:c r="F193" t="str">
        <x:v>PTC-B</x:v>
      </x:c>
      <x:c r="G193" t="str">
        <x:v>QT-01</x:v>
      </x:c>
      <x:c r="H193" t="str">
        <x:v>RAW-V13</x:v>
      </x:c>
      <x:c r="I193" t="str">
        <x:v>RAW-A064</x:v>
      </x:c>
      <x:c r="J193" t="str">
        <x:v>DISCLOSED</x:v>
      </x:c>
      <x:c r="K193" t="str">
        <x:v>NONE</x:v>
      </x:c>
      <x:c r="L193" t="str">
        <x:v>n.a.</x:v>
      </x:c>
      <x:c r="M193" s="14" t="n">
        <x:v>2</x:v>
      </x:c>
      <x:c r="N193" s="14" t="n">
        <x:v>2</x:v>
      </x:c>
      <x:c r="O193" s="14" t="str"/>
      <x:c r="P193" s="14" t="str"/>
      <x:c r="Q193" s="14" t="str"/>
      <x:c r="R193" s="14" t="str"/>
      <x:c r="S193" s="14" t="str"/>
      <x:c r="T193" s="14" t="str"/>
      <x:c r="U193" s="10" t="str"/>
      <x:c r="V193" t="str"/>
      <x:c r="W193" t="str">
        <x:f>IF(V193=1,IF(R193="VALID","PASS",IF(R193="INVALID","INVALID","OPEN")),"OPEN")</x:f>
        <x:v>OPEN</x:v>
      </x:c>
    </x:row>
    <x:row r="194" ht="36" customHeight="1">
      <x:c r="B194" t="str">
        <x:v>RAW-E188</x:v>
      </x:c>
      <x:c r="C194" t="str">
        <x:v>AM-02</x:v>
      </x:c>
      <x:c r="D194" t="str">
        <x:v>TR-B</x:v>
      </x:c>
      <x:c r="E194" t="str">
        <x:v>RFP-B2</x:v>
      </x:c>
      <x:c r="F194" t="str">
        <x:v>PTC-B</x:v>
      </x:c>
      <x:c r="G194" t="str">
        <x:v>QT-02</x:v>
      </x:c>
      <x:c r="H194" t="str">
        <x:v>RAW-V14</x:v>
      </x:c>
      <x:c r="I194" t="str">
        <x:v>RAW-A064</x:v>
      </x:c>
      <x:c r="J194" t="str">
        <x:v>DISCLOSED</x:v>
      </x:c>
      <x:c r="K194" t="str">
        <x:v>NONE</x:v>
      </x:c>
      <x:c r="L194" t="str">
        <x:v>n.a.</x:v>
      </x:c>
      <x:c r="M194" s="14" t="n">
        <x:v>2</x:v>
      </x:c>
      <x:c r="N194" s="14" t="n">
        <x:v>4</x:v>
      </x:c>
      <x:c r="O194" s="14" t="str"/>
      <x:c r="P194" s="14" t="str"/>
      <x:c r="Q194" s="14" t="str"/>
      <x:c r="R194" s="14" t="str"/>
      <x:c r="S194" s="14" t="str"/>
      <x:c r="T194" s="14" t="str"/>
      <x:c r="U194" s="10" t="str"/>
      <x:c r="V194" t="str"/>
      <x:c r="W194" t="str">
        <x:f>IF(V194=1,IF(R194="VALID","PASS",IF(R194="INVALID","INVALID","OPEN")),"OPEN")</x:f>
        <x:v>OPEN</x:v>
      </x:c>
    </x:row>
    <x:row r="195" ht="36" customHeight="1">
      <x:c r="B195" t="str">
        <x:v>RAW-E189</x:v>
      </x:c>
      <x:c r="C195" t="str">
        <x:v>AM-02</x:v>
      </x:c>
      <x:c r="D195" t="str">
        <x:v>TR-B</x:v>
      </x:c>
      <x:c r="E195" t="str">
        <x:v>RFP-B2</x:v>
      </x:c>
      <x:c r="F195" t="str">
        <x:v>PTC-B</x:v>
      </x:c>
      <x:c r="G195" t="str">
        <x:v>QT-03</x:v>
      </x:c>
      <x:c r="H195" t="str">
        <x:v>RAW-V15</x:v>
      </x:c>
      <x:c r="I195" t="str">
        <x:v>RAW-A064</x:v>
      </x:c>
      <x:c r="J195" t="str">
        <x:v>DISCLOSED</x:v>
      </x:c>
      <x:c r="K195" t="str">
        <x:v>NONE</x:v>
      </x:c>
      <x:c r="L195" t="str">
        <x:v>n.a.</x:v>
      </x:c>
      <x:c r="M195" s="14" t="n">
        <x:v>2</x:v>
      </x:c>
      <x:c r="N195" s="14" t="n">
        <x:v>6</x:v>
      </x:c>
      <x:c r="O195" s="14" t="str"/>
      <x:c r="P195" s="14" t="str"/>
      <x:c r="Q195" s="14" t="str"/>
      <x:c r="R195" s="14" t="str"/>
      <x:c r="S195" s="14" t="str"/>
      <x:c r="T195" s="14" t="str"/>
      <x:c r="U195" s="10" t="str"/>
      <x:c r="V195" t="str"/>
      <x:c r="W195" t="str">
        <x:f>IF(V195=1,IF(R195="VALID","PASS",IF(R195="INVALID","INVALID","OPEN")),"OPEN")</x:f>
        <x:v>OPEN</x:v>
      </x:c>
    </x:row>
    <x:row r="196" ht="36" customHeight="1">
      <x:c r="B196" t="str">
        <x:v>RAW-E190</x:v>
      </x:c>
      <x:c r="C196" t="str">
        <x:v>AM-02</x:v>
      </x:c>
      <x:c r="D196" t="str">
        <x:v>TR-B</x:v>
      </x:c>
      <x:c r="E196" t="str">
        <x:v>RFP-B2</x:v>
      </x:c>
      <x:c r="F196" t="str">
        <x:v>PTC-B</x:v>
      </x:c>
      <x:c r="G196" t="str">
        <x:v>QT-04</x:v>
      </x:c>
      <x:c r="H196" t="str">
        <x:v>RAW-V16</x:v>
      </x:c>
      <x:c r="I196" t="str">
        <x:v>RAW-A064</x:v>
      </x:c>
      <x:c r="J196" t="str">
        <x:v>BLIND</x:v>
      </x:c>
      <x:c r="K196" t="str">
        <x:v>NONE</x:v>
      </x:c>
      <x:c r="L196" t="str">
        <x:v>n.a.</x:v>
      </x:c>
      <x:c r="M196" s="14" t="n">
        <x:v>3</x:v>
      </x:c>
      <x:c r="N196" s="14" t="n">
        <x:v>8</x:v>
      </x:c>
      <x:c r="O196" s="14" t="str"/>
      <x:c r="P196" s="14" t="str"/>
      <x:c r="Q196" s="14" t="str"/>
      <x:c r="R196" s="14" t="str"/>
      <x:c r="S196" s="14" t="str"/>
      <x:c r="T196" s="14" t="str"/>
      <x:c r="U196" s="10" t="str"/>
      <x:c r="V196" t="str"/>
      <x:c r="W196" t="str">
        <x:f>IF(V196=1,IF(R196="VALID","PASS",IF(R196="INVALID","INVALID","OPEN")),"OPEN")</x:f>
        <x:v>OPEN</x:v>
      </x:c>
    </x:row>
    <x:row r="197" ht="36" customHeight="1">
      <x:c r="B197" t="str">
        <x:v>RAW-E191</x:v>
      </x:c>
      <x:c r="C197" t="str">
        <x:v>AM-02</x:v>
      </x:c>
      <x:c r="D197" t="str">
        <x:v>TR-B</x:v>
      </x:c>
      <x:c r="E197" t="str">
        <x:v>RFP-B2</x:v>
      </x:c>
      <x:c r="F197" t="str">
        <x:v>PTC-B</x:v>
      </x:c>
      <x:c r="G197" t="str">
        <x:v>QT-05</x:v>
      </x:c>
      <x:c r="H197" t="str">
        <x:v>RAW-V17</x:v>
      </x:c>
      <x:c r="I197" t="str">
        <x:v>RAW-A064</x:v>
      </x:c>
      <x:c r="J197" t="str">
        <x:v>BLIND</x:v>
      </x:c>
      <x:c r="K197" t="str">
        <x:v>DECISIVE CHAIN</x:v>
      </x:c>
      <x:c r="L197" t="str">
        <x:v>n.a.</x:v>
      </x:c>
      <x:c r="M197" s="14" t="n">
        <x:v>3</x:v>
      </x:c>
      <x:c r="N197" s="14" t="n">
        <x:v>10</x:v>
      </x:c>
      <x:c r="O197" s="14" t="str"/>
      <x:c r="P197" s="14" t="str"/>
      <x:c r="Q197" s="14" t="str"/>
      <x:c r="R197" s="14" t="str"/>
      <x:c r="S197" s="14" t="str"/>
      <x:c r="T197" s="14" t="str"/>
      <x:c r="U197" s="10" t="str"/>
      <x:c r="V197" t="str"/>
      <x:c r="W197" t="str">
        <x:f>IF(V197=1,IF(R197="VALID","PASS",IF(R197="INVALID","INVALID","OPEN")),"OPEN")</x:f>
        <x:v>OPEN</x:v>
      </x:c>
    </x:row>
    <x:row r="198" ht="36" customHeight="1">
      <x:c r="B198" t="str">
        <x:v>RAW-E192</x:v>
      </x:c>
      <x:c r="C198" t="str">
        <x:v>AM-02</x:v>
      </x:c>
      <x:c r="D198" t="str">
        <x:v>TR-B</x:v>
      </x:c>
      <x:c r="E198" t="str">
        <x:v>RFP-B2</x:v>
      </x:c>
      <x:c r="F198" t="str">
        <x:v>PTC-B</x:v>
      </x:c>
      <x:c r="G198" t="str">
        <x:v>QT-06</x:v>
      </x:c>
      <x:c r="H198" t="str">
        <x:v>RAW-V18</x:v>
      </x:c>
      <x:c r="I198" t="str">
        <x:v>RAW-A064</x:v>
      </x:c>
      <x:c r="J198" t="str">
        <x:v>DISCLOSED</x:v>
      </x:c>
      <x:c r="K198" t="str">
        <x:v>NONE</x:v>
      </x:c>
      <x:c r="L198" t="str">
        <x:v>PTC-C</x:v>
      </x:c>
      <x:c r="M198" s="14" t="n">
        <x:v>4</x:v>
      </x:c>
      <x:c r="N198" s="14" t="n">
        <x:v>12</x:v>
      </x:c>
      <x:c r="O198" s="14" t="str"/>
      <x:c r="P198" s="14" t="str"/>
      <x:c r="Q198" s="14" t="str"/>
      <x:c r="R198" s="14" t="str"/>
      <x:c r="S198" s="14" t="str"/>
      <x:c r="T198" s="14" t="str"/>
      <x:c r="U198" s="10" t="str"/>
      <x:c r="V198" t="str"/>
      <x:c r="W198" t="str">
        <x:f>IF(V198=1,IF(R198="VALID","PASS",IF(R198="INVALID","INVALID","OPEN")),"OPEN")</x:f>
        <x:v>OPEN</x:v>
      </x:c>
    </x:row>
    <x:row r="199" ht="36" customHeight="1">
      <x:c r="B199" t="str">
        <x:v>RAW-E193</x:v>
      </x:c>
      <x:c r="C199" t="str">
        <x:v>AM-02</x:v>
      </x:c>
      <x:c r="D199" t="str">
        <x:v>TR-A</x:v>
      </x:c>
      <x:c r="E199" t="str">
        <x:v>RFP-C1</x:v>
      </x:c>
      <x:c r="F199" t="str">
        <x:v>PTC-C</x:v>
      </x:c>
      <x:c r="G199" t="str">
        <x:v>QT-01</x:v>
      </x:c>
      <x:c r="H199" t="str">
        <x:v>RAW-V13</x:v>
      </x:c>
      <x:c r="I199" t="str">
        <x:v>RAW-A053</x:v>
      </x:c>
      <x:c r="J199" t="str">
        <x:v>DISCLOSED</x:v>
      </x:c>
      <x:c r="K199" t="str">
        <x:v>NONE</x:v>
      </x:c>
      <x:c r="L199" t="str">
        <x:v>n.a.</x:v>
      </x:c>
      <x:c r="M199" s="14" t="n">
        <x:v>2</x:v>
      </x:c>
      <x:c r="N199" s="14" t="n">
        <x:v>1</x:v>
      </x:c>
      <x:c r="O199" s="14" t="str"/>
      <x:c r="P199" s="14" t="str"/>
      <x:c r="Q199" s="14" t="str"/>
      <x:c r="R199" s="14" t="str"/>
      <x:c r="S199" s="14" t="str"/>
      <x:c r="T199" s="14" t="str"/>
      <x:c r="U199" s="10" t="str"/>
      <x:c r="V199" t="str"/>
      <x:c r="W199" t="str">
        <x:f>IF(V199=1,IF(R199="VALID","PASS",IF(R199="INVALID","INVALID","OPEN")),"OPEN")</x:f>
        <x:v>OPEN</x:v>
      </x:c>
    </x:row>
    <x:row r="200" ht="36" customHeight="1">
      <x:c r="B200" t="str">
        <x:v>RAW-E194</x:v>
      </x:c>
      <x:c r="C200" t="str">
        <x:v>AM-02</x:v>
      </x:c>
      <x:c r="D200" t="str">
        <x:v>TR-A</x:v>
      </x:c>
      <x:c r="E200" t="str">
        <x:v>RFP-C1</x:v>
      </x:c>
      <x:c r="F200" t="str">
        <x:v>PTC-C</x:v>
      </x:c>
      <x:c r="G200" t="str">
        <x:v>QT-02</x:v>
      </x:c>
      <x:c r="H200" t="str">
        <x:v>RAW-V14</x:v>
      </x:c>
      <x:c r="I200" t="str">
        <x:v>RAW-A053</x:v>
      </x:c>
      <x:c r="J200" t="str">
        <x:v>DISCLOSED</x:v>
      </x:c>
      <x:c r="K200" t="str">
        <x:v>NONE</x:v>
      </x:c>
      <x:c r="L200" t="str">
        <x:v>n.a.</x:v>
      </x:c>
      <x:c r="M200" s="14" t="n">
        <x:v>2</x:v>
      </x:c>
      <x:c r="N200" s="14" t="n">
        <x:v>3</x:v>
      </x:c>
      <x:c r="O200" s="14" t="str"/>
      <x:c r="P200" s="14" t="str"/>
      <x:c r="Q200" s="14" t="str"/>
      <x:c r="R200" s="14" t="str"/>
      <x:c r="S200" s="14" t="str"/>
      <x:c r="T200" s="14" t="str"/>
      <x:c r="U200" s="10" t="str"/>
      <x:c r="V200" t="str"/>
      <x:c r="W200" t="str">
        <x:f>IF(V200=1,IF(R200="VALID","PASS",IF(R200="INVALID","INVALID","OPEN")),"OPEN")</x:f>
        <x:v>OPEN</x:v>
      </x:c>
    </x:row>
    <x:row r="201" ht="36" customHeight="1">
      <x:c r="B201" t="str">
        <x:v>RAW-E195</x:v>
      </x:c>
      <x:c r="C201" t="str">
        <x:v>AM-02</x:v>
      </x:c>
      <x:c r="D201" t="str">
        <x:v>TR-A</x:v>
      </x:c>
      <x:c r="E201" t="str">
        <x:v>RFP-C1</x:v>
      </x:c>
      <x:c r="F201" t="str">
        <x:v>PTC-C</x:v>
      </x:c>
      <x:c r="G201" t="str">
        <x:v>QT-03</x:v>
      </x:c>
      <x:c r="H201" t="str">
        <x:v>RAW-V15</x:v>
      </x:c>
      <x:c r="I201" t="str">
        <x:v>RAW-A053</x:v>
      </x:c>
      <x:c r="J201" t="str">
        <x:v>DISCLOSED</x:v>
      </x:c>
      <x:c r="K201" t="str">
        <x:v>NONE</x:v>
      </x:c>
      <x:c r="L201" t="str">
        <x:v>n.a.</x:v>
      </x:c>
      <x:c r="M201" s="14" t="n">
        <x:v>2</x:v>
      </x:c>
      <x:c r="N201" s="14" t="n">
        <x:v>5</x:v>
      </x:c>
      <x:c r="O201" s="14" t="str"/>
      <x:c r="P201" s="14" t="str"/>
      <x:c r="Q201" s="14" t="str"/>
      <x:c r="R201" s="14" t="str"/>
      <x:c r="S201" s="14" t="str"/>
      <x:c r="T201" s="14" t="str"/>
      <x:c r="U201" s="10" t="str"/>
      <x:c r="V201" t="str"/>
      <x:c r="W201" t="str">
        <x:f>IF(V201=1,IF(R201="VALID","PASS",IF(R201="INVALID","INVALID","OPEN")),"OPEN")</x:f>
        <x:v>OPEN</x:v>
      </x:c>
    </x:row>
    <x:row r="202" ht="36" customHeight="1">
      <x:c r="B202" t="str">
        <x:v>RAW-E196</x:v>
      </x:c>
      <x:c r="C202" t="str">
        <x:v>AM-02</x:v>
      </x:c>
      <x:c r="D202" t="str">
        <x:v>TR-A</x:v>
      </x:c>
      <x:c r="E202" t="str">
        <x:v>RFP-C1</x:v>
      </x:c>
      <x:c r="F202" t="str">
        <x:v>PTC-C</x:v>
      </x:c>
      <x:c r="G202" t="str">
        <x:v>QT-04</x:v>
      </x:c>
      <x:c r="H202" t="str">
        <x:v>RAW-V16</x:v>
      </x:c>
      <x:c r="I202" t="str">
        <x:v>RAW-A053</x:v>
      </x:c>
      <x:c r="J202" t="str">
        <x:v>BLIND</x:v>
      </x:c>
      <x:c r="K202" t="str">
        <x:v>NONE</x:v>
      </x:c>
      <x:c r="L202" t="str">
        <x:v>n.a.</x:v>
      </x:c>
      <x:c r="M202" s="14" t="n">
        <x:v>3</x:v>
      </x:c>
      <x:c r="N202" s="14" t="n">
        <x:v>7</x:v>
      </x:c>
      <x:c r="O202" s="14" t="str"/>
      <x:c r="P202" s="14" t="str"/>
      <x:c r="Q202" s="14" t="str"/>
      <x:c r="R202" s="14" t="str"/>
      <x:c r="S202" s="14" t="str"/>
      <x:c r="T202" s="14" t="str"/>
      <x:c r="U202" s="10" t="str"/>
      <x:c r="V202" t="str"/>
      <x:c r="W202" t="str">
        <x:f>IF(V202=1,IF(R202="VALID","PASS",IF(R202="INVALID","INVALID","OPEN")),"OPEN")</x:f>
        <x:v>OPEN</x:v>
      </x:c>
    </x:row>
    <x:row r="203" ht="36" customHeight="1">
      <x:c r="B203" t="str">
        <x:v>RAW-E197</x:v>
      </x:c>
      <x:c r="C203" t="str">
        <x:v>AM-02</x:v>
      </x:c>
      <x:c r="D203" t="str">
        <x:v>TR-A</x:v>
      </x:c>
      <x:c r="E203" t="str">
        <x:v>RFP-C1</x:v>
      </x:c>
      <x:c r="F203" t="str">
        <x:v>PTC-C</x:v>
      </x:c>
      <x:c r="G203" t="str">
        <x:v>QT-05</x:v>
      </x:c>
      <x:c r="H203" t="str">
        <x:v>RAW-V17</x:v>
      </x:c>
      <x:c r="I203" t="str">
        <x:v>RAW-A053</x:v>
      </x:c>
      <x:c r="J203" t="str">
        <x:v>BLIND</x:v>
      </x:c>
      <x:c r="K203" t="str">
        <x:v>DECISIVE CHAIN</x:v>
      </x:c>
      <x:c r="L203" t="str">
        <x:v>n.a.</x:v>
      </x:c>
      <x:c r="M203" s="14" t="n">
        <x:v>3</x:v>
      </x:c>
      <x:c r="N203" s="14" t="n">
        <x:v>9</x:v>
      </x:c>
      <x:c r="O203" s="14" t="str"/>
      <x:c r="P203" s="14" t="str"/>
      <x:c r="Q203" s="14" t="str"/>
      <x:c r="R203" s="14" t="str"/>
      <x:c r="S203" s="14" t="str"/>
      <x:c r="T203" s="14" t="str"/>
      <x:c r="U203" s="10" t="str"/>
      <x:c r="V203" t="str"/>
      <x:c r="W203" t="str">
        <x:f>IF(V203=1,IF(R203="VALID","PASS",IF(R203="INVALID","INVALID","OPEN")),"OPEN")</x:f>
        <x:v>OPEN</x:v>
      </x:c>
    </x:row>
    <x:row r="204" ht="36" customHeight="1">
      <x:c r="B204" t="str">
        <x:v>RAW-E198</x:v>
      </x:c>
      <x:c r="C204" t="str">
        <x:v>AM-02</x:v>
      </x:c>
      <x:c r="D204" t="str">
        <x:v>TR-A</x:v>
      </x:c>
      <x:c r="E204" t="str">
        <x:v>RFP-C1</x:v>
      </x:c>
      <x:c r="F204" t="str">
        <x:v>PTC-C</x:v>
      </x:c>
      <x:c r="G204" t="str">
        <x:v>QT-06</x:v>
      </x:c>
      <x:c r="H204" t="str">
        <x:v>RAW-V18</x:v>
      </x:c>
      <x:c r="I204" t="str">
        <x:v>RAW-A053</x:v>
      </x:c>
      <x:c r="J204" t="str">
        <x:v>DISCLOSED</x:v>
      </x:c>
      <x:c r="K204" t="str">
        <x:v>NONE</x:v>
      </x:c>
      <x:c r="L204" t="str">
        <x:v>PTC-B</x:v>
      </x:c>
      <x:c r="M204" s="14" t="n">
        <x:v>4</x:v>
      </x:c>
      <x:c r="N204" s="14" t="n">
        <x:v>11</x:v>
      </x:c>
      <x:c r="O204" s="14" t="str"/>
      <x:c r="P204" s="14" t="str"/>
      <x:c r="Q204" s="14" t="str"/>
      <x:c r="R204" s="14" t="str"/>
      <x:c r="S204" s="14" t="str"/>
      <x:c r="T204" s="14" t="str"/>
      <x:c r="U204" s="10" t="str"/>
      <x:c r="V204" t="str"/>
      <x:c r="W204" t="str">
        <x:f>IF(V204=1,IF(R204="VALID","PASS",IF(R204="INVALID","INVALID","OPEN")),"OPEN")</x:f>
        <x:v>OPEN</x:v>
      </x:c>
    </x:row>
    <x:row r="205" ht="36" customHeight="1">
      <x:c r="B205" t="str">
        <x:v>RAW-E199</x:v>
      </x:c>
      <x:c r="C205" t="str">
        <x:v>AM-02</x:v>
      </x:c>
      <x:c r="D205" t="str">
        <x:v>TR-B</x:v>
      </x:c>
      <x:c r="E205" t="str">
        <x:v>RFP-C1</x:v>
      </x:c>
      <x:c r="F205" t="str">
        <x:v>PTC-C</x:v>
      </x:c>
      <x:c r="G205" t="str">
        <x:v>QT-01</x:v>
      </x:c>
      <x:c r="H205" t="str">
        <x:v>RAW-V13</x:v>
      </x:c>
      <x:c r="I205" t="str">
        <x:v>RAW-A065</x:v>
      </x:c>
      <x:c r="J205" t="str">
        <x:v>DISCLOSED</x:v>
      </x:c>
      <x:c r="K205" t="str">
        <x:v>NONE</x:v>
      </x:c>
      <x:c r="L205" t="str">
        <x:v>n.a.</x:v>
      </x:c>
      <x:c r="M205" s="14" t="n">
        <x:v>2</x:v>
      </x:c>
      <x:c r="N205" s="14" t="n">
        <x:v>2</x:v>
      </x:c>
      <x:c r="O205" s="14" t="str"/>
      <x:c r="P205" s="14" t="str"/>
      <x:c r="Q205" s="14" t="str"/>
      <x:c r="R205" s="14" t="str"/>
      <x:c r="S205" s="14" t="str"/>
      <x:c r="T205" s="14" t="str"/>
      <x:c r="U205" s="10" t="str"/>
      <x:c r="V205" t="str"/>
      <x:c r="W205" t="str">
        <x:f>IF(V205=1,IF(R205="VALID","PASS",IF(R205="INVALID","INVALID","OPEN")),"OPEN")</x:f>
        <x:v>OPEN</x:v>
      </x:c>
    </x:row>
    <x:row r="206" ht="36" customHeight="1">
      <x:c r="B206" t="str">
        <x:v>RAW-E200</x:v>
      </x:c>
      <x:c r="C206" t="str">
        <x:v>AM-02</x:v>
      </x:c>
      <x:c r="D206" t="str">
        <x:v>TR-B</x:v>
      </x:c>
      <x:c r="E206" t="str">
        <x:v>RFP-C1</x:v>
      </x:c>
      <x:c r="F206" t="str">
        <x:v>PTC-C</x:v>
      </x:c>
      <x:c r="G206" t="str">
        <x:v>QT-02</x:v>
      </x:c>
      <x:c r="H206" t="str">
        <x:v>RAW-V14</x:v>
      </x:c>
      <x:c r="I206" t="str">
        <x:v>RAW-A065</x:v>
      </x:c>
      <x:c r="J206" t="str">
        <x:v>DISCLOSED</x:v>
      </x:c>
      <x:c r="K206" t="str">
        <x:v>NONE</x:v>
      </x:c>
      <x:c r="L206" t="str">
        <x:v>n.a.</x:v>
      </x:c>
      <x:c r="M206" s="14" t="n">
        <x:v>2</x:v>
      </x:c>
      <x:c r="N206" s="14" t="n">
        <x:v>4</x:v>
      </x:c>
      <x:c r="O206" s="14" t="str"/>
      <x:c r="P206" s="14" t="str"/>
      <x:c r="Q206" s="14" t="str"/>
      <x:c r="R206" s="14" t="str"/>
      <x:c r="S206" s="14" t="str"/>
      <x:c r="T206" s="14" t="str"/>
      <x:c r="U206" s="10" t="str"/>
      <x:c r="V206" t="str"/>
      <x:c r="W206" t="str">
        <x:f>IF(V206=1,IF(R206="VALID","PASS",IF(R206="INVALID","INVALID","OPEN")),"OPEN")</x:f>
        <x:v>OPEN</x:v>
      </x:c>
    </x:row>
    <x:row r="207" ht="36" customHeight="1">
      <x:c r="B207" t="str">
        <x:v>RAW-E201</x:v>
      </x:c>
      <x:c r="C207" t="str">
        <x:v>AM-02</x:v>
      </x:c>
      <x:c r="D207" t="str">
        <x:v>TR-B</x:v>
      </x:c>
      <x:c r="E207" t="str">
        <x:v>RFP-C1</x:v>
      </x:c>
      <x:c r="F207" t="str">
        <x:v>PTC-C</x:v>
      </x:c>
      <x:c r="G207" t="str">
        <x:v>QT-03</x:v>
      </x:c>
      <x:c r="H207" t="str">
        <x:v>RAW-V15</x:v>
      </x:c>
      <x:c r="I207" t="str">
        <x:v>RAW-A065</x:v>
      </x:c>
      <x:c r="J207" t="str">
        <x:v>DISCLOSED</x:v>
      </x:c>
      <x:c r="K207" t="str">
        <x:v>NONE</x:v>
      </x:c>
      <x:c r="L207" t="str">
        <x:v>n.a.</x:v>
      </x:c>
      <x:c r="M207" s="14" t="n">
        <x:v>2</x:v>
      </x:c>
      <x:c r="N207" s="14" t="n">
        <x:v>6</x:v>
      </x:c>
      <x:c r="O207" s="14" t="str"/>
      <x:c r="P207" s="14" t="str"/>
      <x:c r="Q207" s="14" t="str"/>
      <x:c r="R207" s="14" t="str"/>
      <x:c r="S207" s="14" t="str"/>
      <x:c r="T207" s="14" t="str"/>
      <x:c r="U207" s="10" t="str"/>
      <x:c r="V207" t="str"/>
      <x:c r="W207" t="str">
        <x:f>IF(V207=1,IF(R207="VALID","PASS",IF(R207="INVALID","INVALID","OPEN")),"OPEN")</x:f>
        <x:v>OPEN</x:v>
      </x:c>
    </x:row>
    <x:row r="208" ht="36" customHeight="1">
      <x:c r="B208" t="str">
        <x:v>RAW-E202</x:v>
      </x:c>
      <x:c r="C208" t="str">
        <x:v>AM-02</x:v>
      </x:c>
      <x:c r="D208" t="str">
        <x:v>TR-B</x:v>
      </x:c>
      <x:c r="E208" t="str">
        <x:v>RFP-C1</x:v>
      </x:c>
      <x:c r="F208" t="str">
        <x:v>PTC-C</x:v>
      </x:c>
      <x:c r="G208" t="str">
        <x:v>QT-04</x:v>
      </x:c>
      <x:c r="H208" t="str">
        <x:v>RAW-V16</x:v>
      </x:c>
      <x:c r="I208" t="str">
        <x:v>RAW-A065</x:v>
      </x:c>
      <x:c r="J208" t="str">
        <x:v>BLIND</x:v>
      </x:c>
      <x:c r="K208" t="str">
        <x:v>NONE</x:v>
      </x:c>
      <x:c r="L208" t="str">
        <x:v>n.a.</x:v>
      </x:c>
      <x:c r="M208" s="14" t="n">
        <x:v>3</x:v>
      </x:c>
      <x:c r="N208" s="14" t="n">
        <x:v>8</x:v>
      </x:c>
      <x:c r="O208" s="14" t="str"/>
      <x:c r="P208" s="14" t="str"/>
      <x:c r="Q208" s="14" t="str"/>
      <x:c r="R208" s="14" t="str"/>
      <x:c r="S208" s="14" t="str"/>
      <x:c r="T208" s="14" t="str"/>
      <x:c r="U208" s="10" t="str"/>
      <x:c r="V208" t="str"/>
      <x:c r="W208" t="str">
        <x:f>IF(V208=1,IF(R208="VALID","PASS",IF(R208="INVALID","INVALID","OPEN")),"OPEN")</x:f>
        <x:v>OPEN</x:v>
      </x:c>
    </x:row>
    <x:row r="209" ht="36" customHeight="1">
      <x:c r="B209" t="str">
        <x:v>RAW-E203</x:v>
      </x:c>
      <x:c r="C209" t="str">
        <x:v>AM-02</x:v>
      </x:c>
      <x:c r="D209" t="str">
        <x:v>TR-B</x:v>
      </x:c>
      <x:c r="E209" t="str">
        <x:v>RFP-C1</x:v>
      </x:c>
      <x:c r="F209" t="str">
        <x:v>PTC-C</x:v>
      </x:c>
      <x:c r="G209" t="str">
        <x:v>QT-05</x:v>
      </x:c>
      <x:c r="H209" t="str">
        <x:v>RAW-V17</x:v>
      </x:c>
      <x:c r="I209" t="str">
        <x:v>RAW-A065</x:v>
      </x:c>
      <x:c r="J209" t="str">
        <x:v>BLIND</x:v>
      </x:c>
      <x:c r="K209" t="str">
        <x:v>DECISIVE CHAIN</x:v>
      </x:c>
      <x:c r="L209" t="str">
        <x:v>n.a.</x:v>
      </x:c>
      <x:c r="M209" s="14" t="n">
        <x:v>3</x:v>
      </x:c>
      <x:c r="N209" s="14" t="n">
        <x:v>10</x:v>
      </x:c>
      <x:c r="O209" s="14" t="str"/>
      <x:c r="P209" s="14" t="str"/>
      <x:c r="Q209" s="14" t="str"/>
      <x:c r="R209" s="14" t="str"/>
      <x:c r="S209" s="14" t="str"/>
      <x:c r="T209" s="14" t="str"/>
      <x:c r="U209" s="10" t="str"/>
      <x:c r="V209" t="str"/>
      <x:c r="W209" t="str">
        <x:f>IF(V209=1,IF(R209="VALID","PASS",IF(R209="INVALID","INVALID","OPEN")),"OPEN")</x:f>
        <x:v>OPEN</x:v>
      </x:c>
    </x:row>
    <x:row r="210" ht="36" customHeight="1">
      <x:c r="B210" t="str">
        <x:v>RAW-E204</x:v>
      </x:c>
      <x:c r="C210" t="str">
        <x:v>AM-02</x:v>
      </x:c>
      <x:c r="D210" t="str">
        <x:v>TR-B</x:v>
      </x:c>
      <x:c r="E210" t="str">
        <x:v>RFP-C1</x:v>
      </x:c>
      <x:c r="F210" t="str">
        <x:v>PTC-C</x:v>
      </x:c>
      <x:c r="G210" t="str">
        <x:v>QT-06</x:v>
      </x:c>
      <x:c r="H210" t="str">
        <x:v>RAW-V18</x:v>
      </x:c>
      <x:c r="I210" t="str">
        <x:v>RAW-A065</x:v>
      </x:c>
      <x:c r="J210" t="str">
        <x:v>DISCLOSED</x:v>
      </x:c>
      <x:c r="K210" t="str">
        <x:v>NONE</x:v>
      </x:c>
      <x:c r="L210" t="str">
        <x:v>PTC-B</x:v>
      </x:c>
      <x:c r="M210" s="14" t="n">
        <x:v>4</x:v>
      </x:c>
      <x:c r="N210" s="14" t="n">
        <x:v>12</x:v>
      </x:c>
      <x:c r="O210" s="14" t="str"/>
      <x:c r="P210" s="14" t="str"/>
      <x:c r="Q210" s="14" t="str"/>
      <x:c r="R210" s="14" t="str"/>
      <x:c r="S210" s="14" t="str"/>
      <x:c r="T210" s="14" t="str"/>
      <x:c r="U210" s="10" t="str"/>
      <x:c r="V210" t="str"/>
      <x:c r="W210" t="str">
        <x:f>IF(V210=1,IF(R210="VALID","PASS",IF(R210="INVALID","INVALID","OPEN")),"OPEN")</x:f>
        <x:v>OPEN</x:v>
      </x:c>
    </x:row>
    <x:row r="211" ht="36" customHeight="1">
      <x:c r="B211" t="str">
        <x:v>RAW-E205</x:v>
      </x:c>
      <x:c r="C211" t="str">
        <x:v>AM-02</x:v>
      </x:c>
      <x:c r="D211" t="str">
        <x:v>TR-A</x:v>
      </x:c>
      <x:c r="E211" t="str">
        <x:v>RFP-C2</x:v>
      </x:c>
      <x:c r="F211" t="str">
        <x:v>PTC-C</x:v>
      </x:c>
      <x:c r="G211" t="str">
        <x:v>QT-01</x:v>
      </x:c>
      <x:c r="H211" t="str">
        <x:v>RAW-V13</x:v>
      </x:c>
      <x:c r="I211" t="str">
        <x:v>RAW-A054</x:v>
      </x:c>
      <x:c r="J211" t="str">
        <x:v>DISCLOSED</x:v>
      </x:c>
      <x:c r="K211" t="str">
        <x:v>NONE</x:v>
      </x:c>
      <x:c r="L211" t="str">
        <x:v>n.a.</x:v>
      </x:c>
      <x:c r="M211" s="14" t="n">
        <x:v>2</x:v>
      </x:c>
      <x:c r="N211" s="14" t="n">
        <x:v>1</x:v>
      </x:c>
      <x:c r="O211" s="14" t="str"/>
      <x:c r="P211" s="14" t="str"/>
      <x:c r="Q211" s="14" t="str"/>
      <x:c r="R211" s="14" t="str"/>
      <x:c r="S211" s="14" t="str"/>
      <x:c r="T211" s="14" t="str"/>
      <x:c r="U211" s="10" t="str"/>
      <x:c r="V211" t="str"/>
      <x:c r="W211" t="str">
        <x:f>IF(V211=1,IF(R211="VALID","PASS",IF(R211="INVALID","INVALID","OPEN")),"OPEN")</x:f>
        <x:v>OPEN</x:v>
      </x:c>
    </x:row>
    <x:row r="212" ht="36" customHeight="1">
      <x:c r="B212" t="str">
        <x:v>RAW-E206</x:v>
      </x:c>
      <x:c r="C212" t="str">
        <x:v>AM-02</x:v>
      </x:c>
      <x:c r="D212" t="str">
        <x:v>TR-A</x:v>
      </x:c>
      <x:c r="E212" t="str">
        <x:v>RFP-C2</x:v>
      </x:c>
      <x:c r="F212" t="str">
        <x:v>PTC-C</x:v>
      </x:c>
      <x:c r="G212" t="str">
        <x:v>QT-02</x:v>
      </x:c>
      <x:c r="H212" t="str">
        <x:v>RAW-V14</x:v>
      </x:c>
      <x:c r="I212" t="str">
        <x:v>RAW-A054</x:v>
      </x:c>
      <x:c r="J212" t="str">
        <x:v>DISCLOSED</x:v>
      </x:c>
      <x:c r="K212" t="str">
        <x:v>NONE</x:v>
      </x:c>
      <x:c r="L212" t="str">
        <x:v>n.a.</x:v>
      </x:c>
      <x:c r="M212" s="14" t="n">
        <x:v>2</x:v>
      </x:c>
      <x:c r="N212" s="14" t="n">
        <x:v>3</x:v>
      </x:c>
      <x:c r="O212" s="14" t="str"/>
      <x:c r="P212" s="14" t="str"/>
      <x:c r="Q212" s="14" t="str"/>
      <x:c r="R212" s="14" t="str"/>
      <x:c r="S212" s="14" t="str"/>
      <x:c r="T212" s="14" t="str"/>
      <x:c r="U212" s="10" t="str"/>
      <x:c r="V212" t="str"/>
      <x:c r="W212" t="str">
        <x:f>IF(V212=1,IF(R212="VALID","PASS",IF(R212="INVALID","INVALID","OPEN")),"OPEN")</x:f>
        <x:v>OPEN</x:v>
      </x:c>
    </x:row>
    <x:row r="213" ht="36" customHeight="1">
      <x:c r="B213" t="str">
        <x:v>RAW-E207</x:v>
      </x:c>
      <x:c r="C213" t="str">
        <x:v>AM-02</x:v>
      </x:c>
      <x:c r="D213" t="str">
        <x:v>TR-A</x:v>
      </x:c>
      <x:c r="E213" t="str">
        <x:v>RFP-C2</x:v>
      </x:c>
      <x:c r="F213" t="str">
        <x:v>PTC-C</x:v>
      </x:c>
      <x:c r="G213" t="str">
        <x:v>QT-03</x:v>
      </x:c>
      <x:c r="H213" t="str">
        <x:v>RAW-V15</x:v>
      </x:c>
      <x:c r="I213" t="str">
        <x:v>RAW-A054</x:v>
      </x:c>
      <x:c r="J213" t="str">
        <x:v>DISCLOSED</x:v>
      </x:c>
      <x:c r="K213" t="str">
        <x:v>NONE</x:v>
      </x:c>
      <x:c r="L213" t="str">
        <x:v>n.a.</x:v>
      </x:c>
      <x:c r="M213" s="14" t="n">
        <x:v>2</x:v>
      </x:c>
      <x:c r="N213" s="14" t="n">
        <x:v>5</x:v>
      </x:c>
      <x:c r="O213" s="14" t="str"/>
      <x:c r="P213" s="14" t="str"/>
      <x:c r="Q213" s="14" t="str"/>
      <x:c r="R213" s="14" t="str"/>
      <x:c r="S213" s="14" t="str"/>
      <x:c r="T213" s="14" t="str"/>
      <x:c r="U213" s="10" t="str"/>
      <x:c r="V213" t="str"/>
      <x:c r="W213" t="str">
        <x:f>IF(V213=1,IF(R213="VALID","PASS",IF(R213="INVALID","INVALID","OPEN")),"OPEN")</x:f>
        <x:v>OPEN</x:v>
      </x:c>
    </x:row>
    <x:row r="214" ht="36" customHeight="1">
      <x:c r="B214" t="str">
        <x:v>RAW-E208</x:v>
      </x:c>
      <x:c r="C214" t="str">
        <x:v>AM-02</x:v>
      </x:c>
      <x:c r="D214" t="str">
        <x:v>TR-A</x:v>
      </x:c>
      <x:c r="E214" t="str">
        <x:v>RFP-C2</x:v>
      </x:c>
      <x:c r="F214" t="str">
        <x:v>PTC-C</x:v>
      </x:c>
      <x:c r="G214" t="str">
        <x:v>QT-04</x:v>
      </x:c>
      <x:c r="H214" t="str">
        <x:v>RAW-V16</x:v>
      </x:c>
      <x:c r="I214" t="str">
        <x:v>RAW-A054</x:v>
      </x:c>
      <x:c r="J214" t="str">
        <x:v>BLIND</x:v>
      </x:c>
      <x:c r="K214" t="str">
        <x:v>NONE</x:v>
      </x:c>
      <x:c r="L214" t="str">
        <x:v>n.a.</x:v>
      </x:c>
      <x:c r="M214" s="14" t="n">
        <x:v>3</x:v>
      </x:c>
      <x:c r="N214" s="14" t="n">
        <x:v>7</x:v>
      </x:c>
      <x:c r="O214" s="14" t="str"/>
      <x:c r="P214" s="14" t="str"/>
      <x:c r="Q214" s="14" t="str"/>
      <x:c r="R214" s="14" t="str"/>
      <x:c r="S214" s="14" t="str"/>
      <x:c r="T214" s="14" t="str"/>
      <x:c r="U214" s="10" t="str"/>
      <x:c r="V214" t="str"/>
      <x:c r="W214" t="str">
        <x:f>IF(V214=1,IF(R214="VALID","PASS",IF(R214="INVALID","INVALID","OPEN")),"OPEN")</x:f>
        <x:v>OPEN</x:v>
      </x:c>
    </x:row>
    <x:row r="215" ht="36" customHeight="1">
      <x:c r="B215" t="str">
        <x:v>RAW-E209</x:v>
      </x:c>
      <x:c r="C215" t="str">
        <x:v>AM-02</x:v>
      </x:c>
      <x:c r="D215" t="str">
        <x:v>TR-A</x:v>
      </x:c>
      <x:c r="E215" t="str">
        <x:v>RFP-C2</x:v>
      </x:c>
      <x:c r="F215" t="str">
        <x:v>PTC-C</x:v>
      </x:c>
      <x:c r="G215" t="str">
        <x:v>QT-05</x:v>
      </x:c>
      <x:c r="H215" t="str">
        <x:v>RAW-V17</x:v>
      </x:c>
      <x:c r="I215" t="str">
        <x:v>RAW-A054</x:v>
      </x:c>
      <x:c r="J215" t="str">
        <x:v>BLIND</x:v>
      </x:c>
      <x:c r="K215" t="str">
        <x:v>DECISIVE CHAIN</x:v>
      </x:c>
      <x:c r="L215" t="str">
        <x:v>n.a.</x:v>
      </x:c>
      <x:c r="M215" s="14" t="n">
        <x:v>3</x:v>
      </x:c>
      <x:c r="N215" s="14" t="n">
        <x:v>9</x:v>
      </x:c>
      <x:c r="O215" s="14" t="str"/>
      <x:c r="P215" s="14" t="str"/>
      <x:c r="Q215" s="14" t="str"/>
      <x:c r="R215" s="14" t="str"/>
      <x:c r="S215" s="14" t="str"/>
      <x:c r="T215" s="14" t="str"/>
      <x:c r="U215" s="10" t="str"/>
      <x:c r="V215" t="str"/>
      <x:c r="W215" t="str">
        <x:f>IF(V215=1,IF(R215="VALID","PASS",IF(R215="INVALID","INVALID","OPEN")),"OPEN")</x:f>
        <x:v>OPEN</x:v>
      </x:c>
    </x:row>
    <x:row r="216" ht="36" customHeight="1">
      <x:c r="B216" t="str">
        <x:v>RAW-E210</x:v>
      </x:c>
      <x:c r="C216" t="str">
        <x:v>AM-02</x:v>
      </x:c>
      <x:c r="D216" t="str">
        <x:v>TR-A</x:v>
      </x:c>
      <x:c r="E216" t="str">
        <x:v>RFP-C2</x:v>
      </x:c>
      <x:c r="F216" t="str">
        <x:v>PTC-C</x:v>
      </x:c>
      <x:c r="G216" t="str">
        <x:v>QT-06</x:v>
      </x:c>
      <x:c r="H216" t="str">
        <x:v>RAW-V18</x:v>
      </x:c>
      <x:c r="I216" t="str">
        <x:v>RAW-A054</x:v>
      </x:c>
      <x:c r="J216" t="str">
        <x:v>DISCLOSED</x:v>
      </x:c>
      <x:c r="K216" t="str">
        <x:v>NONE</x:v>
      </x:c>
      <x:c r="L216" t="str">
        <x:v>PTC-B</x:v>
      </x:c>
      <x:c r="M216" s="14" t="n">
        <x:v>4</x:v>
      </x:c>
      <x:c r="N216" s="14" t="n">
        <x:v>11</x:v>
      </x:c>
      <x:c r="O216" s="14" t="str"/>
      <x:c r="P216" s="14" t="str"/>
      <x:c r="Q216" s="14" t="str"/>
      <x:c r="R216" s="14" t="str"/>
      <x:c r="S216" s="14" t="str"/>
      <x:c r="T216" s="14" t="str"/>
      <x:c r="U216" s="10" t="str"/>
      <x:c r="V216" t="str"/>
      <x:c r="W216" t="str">
        <x:f>IF(V216=1,IF(R216="VALID","PASS",IF(R216="INVALID","INVALID","OPEN")),"OPEN")</x:f>
        <x:v>OPEN</x:v>
      </x:c>
    </x:row>
    <x:row r="217" ht="36" customHeight="1">
      <x:c r="B217" t="str">
        <x:v>RAW-E211</x:v>
      </x:c>
      <x:c r="C217" t="str">
        <x:v>AM-02</x:v>
      </x:c>
      <x:c r="D217" t="str">
        <x:v>TR-B</x:v>
      </x:c>
      <x:c r="E217" t="str">
        <x:v>RFP-C2</x:v>
      </x:c>
      <x:c r="F217" t="str">
        <x:v>PTC-C</x:v>
      </x:c>
      <x:c r="G217" t="str">
        <x:v>QT-01</x:v>
      </x:c>
      <x:c r="H217" t="str">
        <x:v>RAW-V13</x:v>
      </x:c>
      <x:c r="I217" t="str">
        <x:v>RAW-A066</x:v>
      </x:c>
      <x:c r="J217" t="str">
        <x:v>DISCLOSED</x:v>
      </x:c>
      <x:c r="K217" t="str">
        <x:v>NONE</x:v>
      </x:c>
      <x:c r="L217" t="str">
        <x:v>n.a.</x:v>
      </x:c>
      <x:c r="M217" s="14" t="n">
        <x:v>2</x:v>
      </x:c>
      <x:c r="N217" s="14" t="n">
        <x:v>2</x:v>
      </x:c>
      <x:c r="O217" s="14" t="str"/>
      <x:c r="P217" s="14" t="str"/>
      <x:c r="Q217" s="14" t="str"/>
      <x:c r="R217" s="14" t="str"/>
      <x:c r="S217" s="14" t="str"/>
      <x:c r="T217" s="14" t="str"/>
      <x:c r="U217" s="10" t="str"/>
      <x:c r="V217" t="str"/>
      <x:c r="W217" t="str">
        <x:f>IF(V217=1,IF(R217="VALID","PASS",IF(R217="INVALID","INVALID","OPEN")),"OPEN")</x:f>
        <x:v>OPEN</x:v>
      </x:c>
    </x:row>
    <x:row r="218" ht="36" customHeight="1">
      <x:c r="B218" t="str">
        <x:v>RAW-E212</x:v>
      </x:c>
      <x:c r="C218" t="str">
        <x:v>AM-02</x:v>
      </x:c>
      <x:c r="D218" t="str">
        <x:v>TR-B</x:v>
      </x:c>
      <x:c r="E218" t="str">
        <x:v>RFP-C2</x:v>
      </x:c>
      <x:c r="F218" t="str">
        <x:v>PTC-C</x:v>
      </x:c>
      <x:c r="G218" t="str">
        <x:v>QT-02</x:v>
      </x:c>
      <x:c r="H218" t="str">
        <x:v>RAW-V14</x:v>
      </x:c>
      <x:c r="I218" t="str">
        <x:v>RAW-A066</x:v>
      </x:c>
      <x:c r="J218" t="str">
        <x:v>DISCLOSED</x:v>
      </x:c>
      <x:c r="K218" t="str">
        <x:v>NONE</x:v>
      </x:c>
      <x:c r="L218" t="str">
        <x:v>n.a.</x:v>
      </x:c>
      <x:c r="M218" s="14" t="n">
        <x:v>2</x:v>
      </x:c>
      <x:c r="N218" s="14" t="n">
        <x:v>4</x:v>
      </x:c>
      <x:c r="O218" s="14" t="str"/>
      <x:c r="P218" s="14" t="str"/>
      <x:c r="Q218" s="14" t="str"/>
      <x:c r="R218" s="14" t="str"/>
      <x:c r="S218" s="14" t="str"/>
      <x:c r="T218" s="14" t="str"/>
      <x:c r="U218" s="10" t="str"/>
      <x:c r="V218" t="str"/>
      <x:c r="W218" t="str">
        <x:f>IF(V218=1,IF(R218="VALID","PASS",IF(R218="INVALID","INVALID","OPEN")),"OPEN")</x:f>
        <x:v>OPEN</x:v>
      </x:c>
    </x:row>
    <x:row r="219" ht="36" customHeight="1">
      <x:c r="B219" t="str">
        <x:v>RAW-E213</x:v>
      </x:c>
      <x:c r="C219" t="str">
        <x:v>AM-02</x:v>
      </x:c>
      <x:c r="D219" t="str">
        <x:v>TR-B</x:v>
      </x:c>
      <x:c r="E219" t="str">
        <x:v>RFP-C2</x:v>
      </x:c>
      <x:c r="F219" t="str">
        <x:v>PTC-C</x:v>
      </x:c>
      <x:c r="G219" t="str">
        <x:v>QT-03</x:v>
      </x:c>
      <x:c r="H219" t="str">
        <x:v>RAW-V15</x:v>
      </x:c>
      <x:c r="I219" t="str">
        <x:v>RAW-A066</x:v>
      </x:c>
      <x:c r="J219" t="str">
        <x:v>DISCLOSED</x:v>
      </x:c>
      <x:c r="K219" t="str">
        <x:v>NONE</x:v>
      </x:c>
      <x:c r="L219" t="str">
        <x:v>n.a.</x:v>
      </x:c>
      <x:c r="M219" s="14" t="n">
        <x:v>2</x:v>
      </x:c>
      <x:c r="N219" s="14" t="n">
        <x:v>6</x:v>
      </x:c>
      <x:c r="O219" s="14" t="str"/>
      <x:c r="P219" s="14" t="str"/>
      <x:c r="Q219" s="14" t="str"/>
      <x:c r="R219" s="14" t="str"/>
      <x:c r="S219" s="14" t="str"/>
      <x:c r="T219" s="14" t="str"/>
      <x:c r="U219" s="10" t="str"/>
      <x:c r="V219" t="str"/>
      <x:c r="W219" t="str">
        <x:f>IF(V219=1,IF(R219="VALID","PASS",IF(R219="INVALID","INVALID","OPEN")),"OPEN")</x:f>
        <x:v>OPEN</x:v>
      </x:c>
    </x:row>
    <x:row r="220" ht="36" customHeight="1">
      <x:c r="B220" t="str">
        <x:v>RAW-E214</x:v>
      </x:c>
      <x:c r="C220" t="str">
        <x:v>AM-02</x:v>
      </x:c>
      <x:c r="D220" t="str">
        <x:v>TR-B</x:v>
      </x:c>
      <x:c r="E220" t="str">
        <x:v>RFP-C2</x:v>
      </x:c>
      <x:c r="F220" t="str">
        <x:v>PTC-C</x:v>
      </x:c>
      <x:c r="G220" t="str">
        <x:v>QT-04</x:v>
      </x:c>
      <x:c r="H220" t="str">
        <x:v>RAW-V16</x:v>
      </x:c>
      <x:c r="I220" t="str">
        <x:v>RAW-A066</x:v>
      </x:c>
      <x:c r="J220" t="str">
        <x:v>BLIND</x:v>
      </x:c>
      <x:c r="K220" t="str">
        <x:v>NONE</x:v>
      </x:c>
      <x:c r="L220" t="str">
        <x:v>n.a.</x:v>
      </x:c>
      <x:c r="M220" s="14" t="n">
        <x:v>3</x:v>
      </x:c>
      <x:c r="N220" s="14" t="n">
        <x:v>8</x:v>
      </x:c>
      <x:c r="O220" s="14" t="str"/>
      <x:c r="P220" s="14" t="str"/>
      <x:c r="Q220" s="14" t="str"/>
      <x:c r="R220" s="14" t="str"/>
      <x:c r="S220" s="14" t="str"/>
      <x:c r="T220" s="14" t="str"/>
      <x:c r="U220" s="10" t="str"/>
      <x:c r="V220" t="str"/>
      <x:c r="W220" t="str">
        <x:f>IF(V220=1,IF(R220="VALID","PASS",IF(R220="INVALID","INVALID","OPEN")),"OPEN")</x:f>
        <x:v>OPEN</x:v>
      </x:c>
    </x:row>
    <x:row r="221" ht="36" customHeight="1">
      <x:c r="B221" t="str">
        <x:v>RAW-E215</x:v>
      </x:c>
      <x:c r="C221" t="str">
        <x:v>AM-02</x:v>
      </x:c>
      <x:c r="D221" t="str">
        <x:v>TR-B</x:v>
      </x:c>
      <x:c r="E221" t="str">
        <x:v>RFP-C2</x:v>
      </x:c>
      <x:c r="F221" t="str">
        <x:v>PTC-C</x:v>
      </x:c>
      <x:c r="G221" t="str">
        <x:v>QT-05</x:v>
      </x:c>
      <x:c r="H221" t="str">
        <x:v>RAW-V17</x:v>
      </x:c>
      <x:c r="I221" t="str">
        <x:v>RAW-A066</x:v>
      </x:c>
      <x:c r="J221" t="str">
        <x:v>BLIND</x:v>
      </x:c>
      <x:c r="K221" t="str">
        <x:v>DECISIVE CHAIN</x:v>
      </x:c>
      <x:c r="L221" t="str">
        <x:v>n.a.</x:v>
      </x:c>
      <x:c r="M221" s="14" t="n">
        <x:v>3</x:v>
      </x:c>
      <x:c r="N221" s="14" t="n">
        <x:v>10</x:v>
      </x:c>
      <x:c r="O221" s="14" t="str"/>
      <x:c r="P221" s="14" t="str"/>
      <x:c r="Q221" s="14" t="str"/>
      <x:c r="R221" s="14" t="str"/>
      <x:c r="S221" s="14" t="str"/>
      <x:c r="T221" s="14" t="str"/>
      <x:c r="U221" s="10" t="str"/>
      <x:c r="V221" t="str"/>
      <x:c r="W221" t="str">
        <x:f>IF(V221=1,IF(R221="VALID","PASS",IF(R221="INVALID","INVALID","OPEN")),"OPEN")</x:f>
        <x:v>OPEN</x:v>
      </x:c>
    </x:row>
    <x:row r="222" ht="36" customHeight="1">
      <x:c r="B222" t="str">
        <x:v>RAW-E216</x:v>
      </x:c>
      <x:c r="C222" t="str">
        <x:v>AM-02</x:v>
      </x:c>
      <x:c r="D222" t="str">
        <x:v>TR-B</x:v>
      </x:c>
      <x:c r="E222" t="str">
        <x:v>RFP-C2</x:v>
      </x:c>
      <x:c r="F222" t="str">
        <x:v>PTC-C</x:v>
      </x:c>
      <x:c r="G222" t="str">
        <x:v>QT-06</x:v>
      </x:c>
      <x:c r="H222" t="str">
        <x:v>RAW-V18</x:v>
      </x:c>
      <x:c r="I222" t="str">
        <x:v>RAW-A066</x:v>
      </x:c>
      <x:c r="J222" t="str">
        <x:v>DISCLOSED</x:v>
      </x:c>
      <x:c r="K222" t="str">
        <x:v>NONE</x:v>
      </x:c>
      <x:c r="L222" t="str">
        <x:v>PTC-B</x:v>
      </x:c>
      <x:c r="M222" s="14" t="n">
        <x:v>4</x:v>
      </x:c>
      <x:c r="N222" s="14" t="n">
        <x:v>12</x:v>
      </x:c>
      <x:c r="O222" s="14" t="str"/>
      <x:c r="P222" s="14" t="str"/>
      <x:c r="Q222" s="14" t="str"/>
      <x:c r="R222" s="14" t="str"/>
      <x:c r="S222" s="14" t="str"/>
      <x:c r="T222" s="14" t="str"/>
      <x:c r="U222" s="10" t="str"/>
      <x:c r="V222" t="str"/>
      <x:c r="W222" t="str">
        <x:f>IF(V222=1,IF(R222="VALID","PASS",IF(R222="INVALID","INVALID","OPEN")),"OPEN")</x:f>
        <x:v>OPEN</x:v>
      </x:c>
    </x:row>
    <x:row r="223" ht="36" customHeight="1">
      <x:c r="B223" t="str">
        <x:v>RAW-E217</x:v>
      </x:c>
      <x:c r="C223" t="str">
        <x:v>AM-03</x:v>
      </x:c>
      <x:c r="D223" t="str">
        <x:v>TR-A</x:v>
      </x:c>
      <x:c r="E223" t="str">
        <x:v>RFP-A1</x:v>
      </x:c>
      <x:c r="F223" t="str">
        <x:v>PTC-A</x:v>
      </x:c>
      <x:c r="G223" t="str">
        <x:v>QT-01</x:v>
      </x:c>
      <x:c r="H223" t="str">
        <x:v>RAW-V19</x:v>
      </x:c>
      <x:c r="I223" t="str">
        <x:v>RAW-A073</x:v>
      </x:c>
      <x:c r="J223" t="str">
        <x:v>DISCLOSED</x:v>
      </x:c>
      <x:c r="K223" t="str">
        <x:v>NONE</x:v>
      </x:c>
      <x:c r="L223" t="str">
        <x:v>n.a.</x:v>
      </x:c>
      <x:c r="M223" s="14" t="n">
        <x:v>2</x:v>
      </x:c>
      <x:c r="N223" s="14" t="n">
        <x:v>1</x:v>
      </x:c>
      <x:c r="O223" s="14" t="str"/>
      <x:c r="P223" s="14" t="str"/>
      <x:c r="Q223" s="14" t="str"/>
      <x:c r="R223" s="14" t="str"/>
      <x:c r="S223" s="14" t="str"/>
      <x:c r="T223" s="14" t="str"/>
      <x:c r="U223" s="10" t="str"/>
      <x:c r="V223" t="str"/>
      <x:c r="W223" t="str">
        <x:f>IF(V223=1,IF(R223="VALID","PASS",IF(R223="INVALID","INVALID","OPEN")),"OPEN")</x:f>
        <x:v>OPEN</x:v>
      </x:c>
    </x:row>
    <x:row r="224" ht="36" customHeight="1">
      <x:c r="B224" t="str">
        <x:v>RAW-E218</x:v>
      </x:c>
      <x:c r="C224" t="str">
        <x:v>AM-03</x:v>
      </x:c>
      <x:c r="D224" t="str">
        <x:v>TR-A</x:v>
      </x:c>
      <x:c r="E224" t="str">
        <x:v>RFP-A1</x:v>
      </x:c>
      <x:c r="F224" t="str">
        <x:v>PTC-A</x:v>
      </x:c>
      <x:c r="G224" t="str">
        <x:v>QT-02</x:v>
      </x:c>
      <x:c r="H224" t="str">
        <x:v>RAW-V20</x:v>
      </x:c>
      <x:c r="I224" t="str">
        <x:v>RAW-A073</x:v>
      </x:c>
      <x:c r="J224" t="str">
        <x:v>DISCLOSED</x:v>
      </x:c>
      <x:c r="K224" t="str">
        <x:v>NONE</x:v>
      </x:c>
      <x:c r="L224" t="str">
        <x:v>n.a.</x:v>
      </x:c>
      <x:c r="M224" s="14" t="n">
        <x:v>2</x:v>
      </x:c>
      <x:c r="N224" s="14" t="n">
        <x:v>3</x:v>
      </x:c>
      <x:c r="O224" s="14" t="str"/>
      <x:c r="P224" s="14" t="str"/>
      <x:c r="Q224" s="14" t="str"/>
      <x:c r="R224" s="14" t="str"/>
      <x:c r="S224" s="14" t="str"/>
      <x:c r="T224" s="14" t="str"/>
      <x:c r="U224" s="10" t="str"/>
      <x:c r="V224" t="str"/>
      <x:c r="W224" t="str">
        <x:f>IF(V224=1,IF(R224="VALID","PASS",IF(R224="INVALID","INVALID","OPEN")),"OPEN")</x:f>
        <x:v>OPEN</x:v>
      </x:c>
    </x:row>
    <x:row r="225" ht="36" customHeight="1">
      <x:c r="B225" t="str">
        <x:v>RAW-E219</x:v>
      </x:c>
      <x:c r="C225" t="str">
        <x:v>AM-03</x:v>
      </x:c>
      <x:c r="D225" t="str">
        <x:v>TR-A</x:v>
      </x:c>
      <x:c r="E225" t="str">
        <x:v>RFP-A1</x:v>
      </x:c>
      <x:c r="F225" t="str">
        <x:v>PTC-A</x:v>
      </x:c>
      <x:c r="G225" t="str">
        <x:v>QT-03</x:v>
      </x:c>
      <x:c r="H225" t="str">
        <x:v>RAW-V21</x:v>
      </x:c>
      <x:c r="I225" t="str">
        <x:v>RAW-A073</x:v>
      </x:c>
      <x:c r="J225" t="str">
        <x:v>DISCLOSED</x:v>
      </x:c>
      <x:c r="K225" t="str">
        <x:v>NONE</x:v>
      </x:c>
      <x:c r="L225" t="str">
        <x:v>n.a.</x:v>
      </x:c>
      <x:c r="M225" s="14" t="n">
        <x:v>2</x:v>
      </x:c>
      <x:c r="N225" s="14" t="n">
        <x:v>5</x:v>
      </x:c>
      <x:c r="O225" s="14" t="str"/>
      <x:c r="P225" s="14" t="str"/>
      <x:c r="Q225" s="14" t="str"/>
      <x:c r="R225" s="14" t="str"/>
      <x:c r="S225" s="14" t="str"/>
      <x:c r="T225" s="14" t="str"/>
      <x:c r="U225" s="10" t="str"/>
      <x:c r="V225" t="str"/>
      <x:c r="W225" t="str">
        <x:f>IF(V225=1,IF(R225="VALID","PASS",IF(R225="INVALID","INVALID","OPEN")),"OPEN")</x:f>
        <x:v>OPEN</x:v>
      </x:c>
    </x:row>
    <x:row r="226" ht="36" customHeight="1">
      <x:c r="B226" t="str">
        <x:v>RAW-E220</x:v>
      </x:c>
      <x:c r="C226" t="str">
        <x:v>AM-03</x:v>
      </x:c>
      <x:c r="D226" t="str">
        <x:v>TR-A</x:v>
      </x:c>
      <x:c r="E226" t="str">
        <x:v>RFP-A1</x:v>
      </x:c>
      <x:c r="F226" t="str">
        <x:v>PTC-A</x:v>
      </x:c>
      <x:c r="G226" t="str">
        <x:v>QT-04</x:v>
      </x:c>
      <x:c r="H226" t="str">
        <x:v>RAW-V22</x:v>
      </x:c>
      <x:c r="I226" t="str">
        <x:v>RAW-A073</x:v>
      </x:c>
      <x:c r="J226" t="str">
        <x:v>BLIND</x:v>
      </x:c>
      <x:c r="K226" t="str">
        <x:v>NONE</x:v>
      </x:c>
      <x:c r="L226" t="str">
        <x:v>n.a.</x:v>
      </x:c>
      <x:c r="M226" s="14" t="n">
        <x:v>3</x:v>
      </x:c>
      <x:c r="N226" s="14" t="n">
        <x:v>7</x:v>
      </x:c>
      <x:c r="O226" s="14" t="str"/>
      <x:c r="P226" s="14" t="str"/>
      <x:c r="Q226" s="14" t="str"/>
      <x:c r="R226" s="14" t="str"/>
      <x:c r="S226" s="14" t="str"/>
      <x:c r="T226" s="14" t="str"/>
      <x:c r="U226" s="10" t="str"/>
      <x:c r="V226" t="str"/>
      <x:c r="W226" t="str">
        <x:f>IF(V226=1,IF(R226="VALID","PASS",IF(R226="INVALID","INVALID","OPEN")),"OPEN")</x:f>
        <x:v>OPEN</x:v>
      </x:c>
    </x:row>
    <x:row r="227" ht="36" customHeight="1">
      <x:c r="B227" t="str">
        <x:v>RAW-E221</x:v>
      </x:c>
      <x:c r="C227" t="str">
        <x:v>AM-03</x:v>
      </x:c>
      <x:c r="D227" t="str">
        <x:v>TR-A</x:v>
      </x:c>
      <x:c r="E227" t="str">
        <x:v>RFP-A1</x:v>
      </x:c>
      <x:c r="F227" t="str">
        <x:v>PTC-A</x:v>
      </x:c>
      <x:c r="G227" t="str">
        <x:v>QT-05</x:v>
      </x:c>
      <x:c r="H227" t="str">
        <x:v>RAW-V23</x:v>
      </x:c>
      <x:c r="I227" t="str">
        <x:v>RAW-A073</x:v>
      </x:c>
      <x:c r="J227" t="str">
        <x:v>BLIND</x:v>
      </x:c>
      <x:c r="K227" t="str">
        <x:v>DECISIVE CHAIN</x:v>
      </x:c>
      <x:c r="L227" t="str">
        <x:v>n.a.</x:v>
      </x:c>
      <x:c r="M227" s="14" t="n">
        <x:v>3</x:v>
      </x:c>
      <x:c r="N227" s="14" t="n">
        <x:v>9</x:v>
      </x:c>
      <x:c r="O227" s="14" t="str"/>
      <x:c r="P227" s="14" t="str"/>
      <x:c r="Q227" s="14" t="str"/>
      <x:c r="R227" s="14" t="str"/>
      <x:c r="S227" s="14" t="str"/>
      <x:c r="T227" s="14" t="str"/>
      <x:c r="U227" s="10" t="str"/>
      <x:c r="V227" t="str"/>
      <x:c r="W227" t="str">
        <x:f>IF(V227=1,IF(R227="VALID","PASS",IF(R227="INVALID","INVALID","OPEN")),"OPEN")</x:f>
        <x:v>OPEN</x:v>
      </x:c>
    </x:row>
    <x:row r="228" ht="36" customHeight="1">
      <x:c r="B228" t="str">
        <x:v>RAW-E222</x:v>
      </x:c>
      <x:c r="C228" t="str">
        <x:v>AM-03</x:v>
      </x:c>
      <x:c r="D228" t="str">
        <x:v>TR-A</x:v>
      </x:c>
      <x:c r="E228" t="str">
        <x:v>RFP-A1</x:v>
      </x:c>
      <x:c r="F228" t="str">
        <x:v>PTC-A</x:v>
      </x:c>
      <x:c r="G228" t="str">
        <x:v>QT-06</x:v>
      </x:c>
      <x:c r="H228" t="str">
        <x:v>RAW-V24</x:v>
      </x:c>
      <x:c r="I228" t="str">
        <x:v>RAW-A073</x:v>
      </x:c>
      <x:c r="J228" t="str">
        <x:v>DISCLOSED</x:v>
      </x:c>
      <x:c r="K228" t="str">
        <x:v>NONE</x:v>
      </x:c>
      <x:c r="L228" t="str">
        <x:v>PTC-B</x:v>
      </x:c>
      <x:c r="M228" s="14" t="n">
        <x:v>4</x:v>
      </x:c>
      <x:c r="N228" s="14" t="n">
        <x:v>11</x:v>
      </x:c>
      <x:c r="O228" s="14" t="str"/>
      <x:c r="P228" s="14" t="str"/>
      <x:c r="Q228" s="14" t="str"/>
      <x:c r="R228" s="14" t="str"/>
      <x:c r="S228" s="14" t="str"/>
      <x:c r="T228" s="14" t="str"/>
      <x:c r="U228" s="10" t="str"/>
      <x:c r="V228" t="str"/>
      <x:c r="W228" t="str">
        <x:f>IF(V228=1,IF(R228="VALID","PASS",IF(R228="INVALID","INVALID","OPEN")),"OPEN")</x:f>
        <x:v>OPEN</x:v>
      </x:c>
    </x:row>
    <x:row r="229" ht="36" customHeight="1">
      <x:c r="B229" t="str">
        <x:v>RAW-E223</x:v>
      </x:c>
      <x:c r="C229" t="str">
        <x:v>AM-03</x:v>
      </x:c>
      <x:c r="D229" t="str">
        <x:v>TR-B</x:v>
      </x:c>
      <x:c r="E229" t="str">
        <x:v>RFP-A1</x:v>
      </x:c>
      <x:c r="F229" t="str">
        <x:v>PTC-A</x:v>
      </x:c>
      <x:c r="G229" t="str">
        <x:v>QT-01</x:v>
      </x:c>
      <x:c r="H229" t="str">
        <x:v>RAW-V19</x:v>
      </x:c>
      <x:c r="I229" t="str">
        <x:v>RAW-A085</x:v>
      </x:c>
      <x:c r="J229" t="str">
        <x:v>DISCLOSED</x:v>
      </x:c>
      <x:c r="K229" t="str">
        <x:v>NONE</x:v>
      </x:c>
      <x:c r="L229" t="str">
        <x:v>n.a.</x:v>
      </x:c>
      <x:c r="M229" s="14" t="n">
        <x:v>2</x:v>
      </x:c>
      <x:c r="N229" s="14" t="n">
        <x:v>2</x:v>
      </x:c>
      <x:c r="O229" s="14" t="str"/>
      <x:c r="P229" s="14" t="str"/>
      <x:c r="Q229" s="14" t="str"/>
      <x:c r="R229" s="14" t="str"/>
      <x:c r="S229" s="14" t="str"/>
      <x:c r="T229" s="14" t="str"/>
      <x:c r="U229" s="10" t="str"/>
      <x:c r="V229" t="str"/>
      <x:c r="W229" t="str">
        <x:f>IF(V229=1,IF(R229="VALID","PASS",IF(R229="INVALID","INVALID","OPEN")),"OPEN")</x:f>
        <x:v>OPEN</x:v>
      </x:c>
    </x:row>
    <x:row r="230" ht="36" customHeight="1">
      <x:c r="B230" t="str">
        <x:v>RAW-E224</x:v>
      </x:c>
      <x:c r="C230" t="str">
        <x:v>AM-03</x:v>
      </x:c>
      <x:c r="D230" t="str">
        <x:v>TR-B</x:v>
      </x:c>
      <x:c r="E230" t="str">
        <x:v>RFP-A1</x:v>
      </x:c>
      <x:c r="F230" t="str">
        <x:v>PTC-A</x:v>
      </x:c>
      <x:c r="G230" t="str">
        <x:v>QT-02</x:v>
      </x:c>
      <x:c r="H230" t="str">
        <x:v>RAW-V20</x:v>
      </x:c>
      <x:c r="I230" t="str">
        <x:v>RAW-A085</x:v>
      </x:c>
      <x:c r="J230" t="str">
        <x:v>DISCLOSED</x:v>
      </x:c>
      <x:c r="K230" t="str">
        <x:v>NONE</x:v>
      </x:c>
      <x:c r="L230" t="str">
        <x:v>n.a.</x:v>
      </x:c>
      <x:c r="M230" s="14" t="n">
        <x:v>2</x:v>
      </x:c>
      <x:c r="N230" s="14" t="n">
        <x:v>4</x:v>
      </x:c>
      <x:c r="O230" s="14" t="str"/>
      <x:c r="P230" s="14" t="str"/>
      <x:c r="Q230" s="14" t="str"/>
      <x:c r="R230" s="14" t="str"/>
      <x:c r="S230" s="14" t="str"/>
      <x:c r="T230" s="14" t="str"/>
      <x:c r="U230" s="10" t="str"/>
      <x:c r="V230" t="str"/>
      <x:c r="W230" t="str">
        <x:f>IF(V230=1,IF(R230="VALID","PASS",IF(R230="INVALID","INVALID","OPEN")),"OPEN")</x:f>
        <x:v>OPEN</x:v>
      </x:c>
    </x:row>
    <x:row r="231" ht="36" customHeight="1">
      <x:c r="B231" t="str">
        <x:v>RAW-E225</x:v>
      </x:c>
      <x:c r="C231" t="str">
        <x:v>AM-03</x:v>
      </x:c>
      <x:c r="D231" t="str">
        <x:v>TR-B</x:v>
      </x:c>
      <x:c r="E231" t="str">
        <x:v>RFP-A1</x:v>
      </x:c>
      <x:c r="F231" t="str">
        <x:v>PTC-A</x:v>
      </x:c>
      <x:c r="G231" t="str">
        <x:v>QT-03</x:v>
      </x:c>
      <x:c r="H231" t="str">
        <x:v>RAW-V21</x:v>
      </x:c>
      <x:c r="I231" t="str">
        <x:v>RAW-A085</x:v>
      </x:c>
      <x:c r="J231" t="str">
        <x:v>DISCLOSED</x:v>
      </x:c>
      <x:c r="K231" t="str">
        <x:v>NONE</x:v>
      </x:c>
      <x:c r="L231" t="str">
        <x:v>n.a.</x:v>
      </x:c>
      <x:c r="M231" s="14" t="n">
        <x:v>2</x:v>
      </x:c>
      <x:c r="N231" s="14" t="n">
        <x:v>6</x:v>
      </x:c>
      <x:c r="O231" s="14" t="str"/>
      <x:c r="P231" s="14" t="str"/>
      <x:c r="Q231" s="14" t="str"/>
      <x:c r="R231" s="14" t="str"/>
      <x:c r="S231" s="14" t="str"/>
      <x:c r="T231" s="14" t="str"/>
      <x:c r="U231" s="10" t="str"/>
      <x:c r="V231" t="str"/>
      <x:c r="W231" t="str">
        <x:f>IF(V231=1,IF(R231="VALID","PASS",IF(R231="INVALID","INVALID","OPEN")),"OPEN")</x:f>
        <x:v>OPEN</x:v>
      </x:c>
    </x:row>
    <x:row r="232" ht="36" customHeight="1">
      <x:c r="B232" t="str">
        <x:v>RAW-E226</x:v>
      </x:c>
      <x:c r="C232" t="str">
        <x:v>AM-03</x:v>
      </x:c>
      <x:c r="D232" t="str">
        <x:v>TR-B</x:v>
      </x:c>
      <x:c r="E232" t="str">
        <x:v>RFP-A1</x:v>
      </x:c>
      <x:c r="F232" t="str">
        <x:v>PTC-A</x:v>
      </x:c>
      <x:c r="G232" t="str">
        <x:v>QT-04</x:v>
      </x:c>
      <x:c r="H232" t="str">
        <x:v>RAW-V22</x:v>
      </x:c>
      <x:c r="I232" t="str">
        <x:v>RAW-A085</x:v>
      </x:c>
      <x:c r="J232" t="str">
        <x:v>BLIND</x:v>
      </x:c>
      <x:c r="K232" t="str">
        <x:v>NONE</x:v>
      </x:c>
      <x:c r="L232" t="str">
        <x:v>n.a.</x:v>
      </x:c>
      <x:c r="M232" s="14" t="n">
        <x:v>3</x:v>
      </x:c>
      <x:c r="N232" s="14" t="n">
        <x:v>8</x:v>
      </x:c>
      <x:c r="O232" s="14" t="str"/>
      <x:c r="P232" s="14" t="str"/>
      <x:c r="Q232" s="14" t="str"/>
      <x:c r="R232" s="14" t="str"/>
      <x:c r="S232" s="14" t="str"/>
      <x:c r="T232" s="14" t="str"/>
      <x:c r="U232" s="10" t="str"/>
      <x:c r="V232" t="str"/>
      <x:c r="W232" t="str">
        <x:f>IF(V232=1,IF(R232="VALID","PASS",IF(R232="INVALID","INVALID","OPEN")),"OPEN")</x:f>
        <x:v>OPEN</x:v>
      </x:c>
    </x:row>
    <x:row r="233" ht="36" customHeight="1">
      <x:c r="B233" t="str">
        <x:v>RAW-E227</x:v>
      </x:c>
      <x:c r="C233" t="str">
        <x:v>AM-03</x:v>
      </x:c>
      <x:c r="D233" t="str">
        <x:v>TR-B</x:v>
      </x:c>
      <x:c r="E233" t="str">
        <x:v>RFP-A1</x:v>
      </x:c>
      <x:c r="F233" t="str">
        <x:v>PTC-A</x:v>
      </x:c>
      <x:c r="G233" t="str">
        <x:v>QT-05</x:v>
      </x:c>
      <x:c r="H233" t="str">
        <x:v>RAW-V23</x:v>
      </x:c>
      <x:c r="I233" t="str">
        <x:v>RAW-A085</x:v>
      </x:c>
      <x:c r="J233" t="str">
        <x:v>BLIND</x:v>
      </x:c>
      <x:c r="K233" t="str">
        <x:v>DECISIVE CHAIN</x:v>
      </x:c>
      <x:c r="L233" t="str">
        <x:v>n.a.</x:v>
      </x:c>
      <x:c r="M233" s="14" t="n">
        <x:v>3</x:v>
      </x:c>
      <x:c r="N233" s="14" t="n">
        <x:v>10</x:v>
      </x:c>
      <x:c r="O233" s="14" t="str"/>
      <x:c r="P233" s="14" t="str"/>
      <x:c r="Q233" s="14" t="str"/>
      <x:c r="R233" s="14" t="str"/>
      <x:c r="S233" s="14" t="str"/>
      <x:c r="T233" s="14" t="str"/>
      <x:c r="U233" s="10" t="str"/>
      <x:c r="V233" t="str"/>
      <x:c r="W233" t="str">
        <x:f>IF(V233=1,IF(R233="VALID","PASS",IF(R233="INVALID","INVALID","OPEN")),"OPEN")</x:f>
        <x:v>OPEN</x:v>
      </x:c>
    </x:row>
    <x:row r="234" ht="36" customHeight="1">
      <x:c r="B234" t="str">
        <x:v>RAW-E228</x:v>
      </x:c>
      <x:c r="C234" t="str">
        <x:v>AM-03</x:v>
      </x:c>
      <x:c r="D234" t="str">
        <x:v>TR-B</x:v>
      </x:c>
      <x:c r="E234" t="str">
        <x:v>RFP-A1</x:v>
      </x:c>
      <x:c r="F234" t="str">
        <x:v>PTC-A</x:v>
      </x:c>
      <x:c r="G234" t="str">
        <x:v>QT-06</x:v>
      </x:c>
      <x:c r="H234" t="str">
        <x:v>RAW-V24</x:v>
      </x:c>
      <x:c r="I234" t="str">
        <x:v>RAW-A085</x:v>
      </x:c>
      <x:c r="J234" t="str">
        <x:v>DISCLOSED</x:v>
      </x:c>
      <x:c r="K234" t="str">
        <x:v>NONE</x:v>
      </x:c>
      <x:c r="L234" t="str">
        <x:v>PTC-B</x:v>
      </x:c>
      <x:c r="M234" s="14" t="n">
        <x:v>4</x:v>
      </x:c>
      <x:c r="N234" s="14" t="n">
        <x:v>12</x:v>
      </x:c>
      <x:c r="O234" s="14" t="str"/>
      <x:c r="P234" s="14" t="str"/>
      <x:c r="Q234" s="14" t="str"/>
      <x:c r="R234" s="14" t="str"/>
      <x:c r="S234" s="14" t="str"/>
      <x:c r="T234" s="14" t="str"/>
      <x:c r="U234" s="10" t="str"/>
      <x:c r="V234" t="str"/>
      <x:c r="W234" t="str">
        <x:f>IF(V234=1,IF(R234="VALID","PASS",IF(R234="INVALID","INVALID","OPEN")),"OPEN")</x:f>
        <x:v>OPEN</x:v>
      </x:c>
    </x:row>
    <x:row r="235" ht="36" customHeight="1">
      <x:c r="B235" t="str">
        <x:v>RAW-E229</x:v>
      </x:c>
      <x:c r="C235" t="str">
        <x:v>AM-03</x:v>
      </x:c>
      <x:c r="D235" t="str">
        <x:v>TR-A</x:v>
      </x:c>
      <x:c r="E235" t="str">
        <x:v>RFP-A2</x:v>
      </x:c>
      <x:c r="F235" t="str">
        <x:v>PTC-A</x:v>
      </x:c>
      <x:c r="G235" t="str">
        <x:v>QT-01</x:v>
      </x:c>
      <x:c r="H235" t="str">
        <x:v>RAW-V19</x:v>
      </x:c>
      <x:c r="I235" t="str">
        <x:v>RAW-A074</x:v>
      </x:c>
      <x:c r="J235" t="str">
        <x:v>DISCLOSED</x:v>
      </x:c>
      <x:c r="K235" t="str">
        <x:v>NONE</x:v>
      </x:c>
      <x:c r="L235" t="str">
        <x:v>n.a.</x:v>
      </x:c>
      <x:c r="M235" s="14" t="n">
        <x:v>2</x:v>
      </x:c>
      <x:c r="N235" s="14" t="n">
        <x:v>1</x:v>
      </x:c>
      <x:c r="O235" s="14" t="str"/>
      <x:c r="P235" s="14" t="str"/>
      <x:c r="Q235" s="14" t="str"/>
      <x:c r="R235" s="14" t="str"/>
      <x:c r="S235" s="14" t="str"/>
      <x:c r="T235" s="14" t="str"/>
      <x:c r="U235" s="10" t="str"/>
      <x:c r="V235" t="str"/>
      <x:c r="W235" t="str">
        <x:f>IF(V235=1,IF(R235="VALID","PASS",IF(R235="INVALID","INVALID","OPEN")),"OPEN")</x:f>
        <x:v>OPEN</x:v>
      </x:c>
    </x:row>
    <x:row r="236" ht="36" customHeight="1">
      <x:c r="B236" t="str">
        <x:v>RAW-E230</x:v>
      </x:c>
      <x:c r="C236" t="str">
        <x:v>AM-03</x:v>
      </x:c>
      <x:c r="D236" t="str">
        <x:v>TR-A</x:v>
      </x:c>
      <x:c r="E236" t="str">
        <x:v>RFP-A2</x:v>
      </x:c>
      <x:c r="F236" t="str">
        <x:v>PTC-A</x:v>
      </x:c>
      <x:c r="G236" t="str">
        <x:v>QT-02</x:v>
      </x:c>
      <x:c r="H236" t="str">
        <x:v>RAW-V20</x:v>
      </x:c>
      <x:c r="I236" t="str">
        <x:v>RAW-A074</x:v>
      </x:c>
      <x:c r="J236" t="str">
        <x:v>DISCLOSED</x:v>
      </x:c>
      <x:c r="K236" t="str">
        <x:v>NONE</x:v>
      </x:c>
      <x:c r="L236" t="str">
        <x:v>n.a.</x:v>
      </x:c>
      <x:c r="M236" s="14" t="n">
        <x:v>2</x:v>
      </x:c>
      <x:c r="N236" s="14" t="n">
        <x:v>3</x:v>
      </x:c>
      <x:c r="O236" s="14" t="str"/>
      <x:c r="P236" s="14" t="str"/>
      <x:c r="Q236" s="14" t="str"/>
      <x:c r="R236" s="14" t="str"/>
      <x:c r="S236" s="14" t="str"/>
      <x:c r="T236" s="14" t="str"/>
      <x:c r="U236" s="10" t="str"/>
      <x:c r="V236" t="str"/>
      <x:c r="W236" t="str">
        <x:f>IF(V236=1,IF(R236="VALID","PASS",IF(R236="INVALID","INVALID","OPEN")),"OPEN")</x:f>
        <x:v>OPEN</x:v>
      </x:c>
    </x:row>
    <x:row r="237" ht="36" customHeight="1">
      <x:c r="B237" t="str">
        <x:v>RAW-E231</x:v>
      </x:c>
      <x:c r="C237" t="str">
        <x:v>AM-03</x:v>
      </x:c>
      <x:c r="D237" t="str">
        <x:v>TR-A</x:v>
      </x:c>
      <x:c r="E237" t="str">
        <x:v>RFP-A2</x:v>
      </x:c>
      <x:c r="F237" t="str">
        <x:v>PTC-A</x:v>
      </x:c>
      <x:c r="G237" t="str">
        <x:v>QT-03</x:v>
      </x:c>
      <x:c r="H237" t="str">
        <x:v>RAW-V21</x:v>
      </x:c>
      <x:c r="I237" t="str">
        <x:v>RAW-A074</x:v>
      </x:c>
      <x:c r="J237" t="str">
        <x:v>DISCLOSED</x:v>
      </x:c>
      <x:c r="K237" t="str">
        <x:v>NONE</x:v>
      </x:c>
      <x:c r="L237" t="str">
        <x:v>n.a.</x:v>
      </x:c>
      <x:c r="M237" s="14" t="n">
        <x:v>2</x:v>
      </x:c>
      <x:c r="N237" s="14" t="n">
        <x:v>5</x:v>
      </x:c>
      <x:c r="O237" s="14" t="str"/>
      <x:c r="P237" s="14" t="str"/>
      <x:c r="Q237" s="14" t="str"/>
      <x:c r="R237" s="14" t="str"/>
      <x:c r="S237" s="14" t="str"/>
      <x:c r="T237" s="14" t="str"/>
      <x:c r="U237" s="10" t="str"/>
      <x:c r="V237" t="str"/>
      <x:c r="W237" t="str">
        <x:f>IF(V237=1,IF(R237="VALID","PASS",IF(R237="INVALID","INVALID","OPEN")),"OPEN")</x:f>
        <x:v>OPEN</x:v>
      </x:c>
    </x:row>
    <x:row r="238" ht="36" customHeight="1">
      <x:c r="B238" t="str">
        <x:v>RAW-E232</x:v>
      </x:c>
      <x:c r="C238" t="str">
        <x:v>AM-03</x:v>
      </x:c>
      <x:c r="D238" t="str">
        <x:v>TR-A</x:v>
      </x:c>
      <x:c r="E238" t="str">
        <x:v>RFP-A2</x:v>
      </x:c>
      <x:c r="F238" t="str">
        <x:v>PTC-A</x:v>
      </x:c>
      <x:c r="G238" t="str">
        <x:v>QT-04</x:v>
      </x:c>
      <x:c r="H238" t="str">
        <x:v>RAW-V22</x:v>
      </x:c>
      <x:c r="I238" t="str">
        <x:v>RAW-A074</x:v>
      </x:c>
      <x:c r="J238" t="str">
        <x:v>BLIND</x:v>
      </x:c>
      <x:c r="K238" t="str">
        <x:v>NONE</x:v>
      </x:c>
      <x:c r="L238" t="str">
        <x:v>n.a.</x:v>
      </x:c>
      <x:c r="M238" s="14" t="n">
        <x:v>3</x:v>
      </x:c>
      <x:c r="N238" s="14" t="n">
        <x:v>7</x:v>
      </x:c>
      <x:c r="O238" s="14" t="str"/>
      <x:c r="P238" s="14" t="str"/>
      <x:c r="Q238" s="14" t="str"/>
      <x:c r="R238" s="14" t="str"/>
      <x:c r="S238" s="14" t="str"/>
      <x:c r="T238" s="14" t="str"/>
      <x:c r="U238" s="10" t="str"/>
      <x:c r="V238" t="str"/>
      <x:c r="W238" t="str">
        <x:f>IF(V238=1,IF(R238="VALID","PASS",IF(R238="INVALID","INVALID","OPEN")),"OPEN")</x:f>
        <x:v>OPEN</x:v>
      </x:c>
    </x:row>
    <x:row r="239" ht="36" customHeight="1">
      <x:c r="B239" t="str">
        <x:v>RAW-E233</x:v>
      </x:c>
      <x:c r="C239" t="str">
        <x:v>AM-03</x:v>
      </x:c>
      <x:c r="D239" t="str">
        <x:v>TR-A</x:v>
      </x:c>
      <x:c r="E239" t="str">
        <x:v>RFP-A2</x:v>
      </x:c>
      <x:c r="F239" t="str">
        <x:v>PTC-A</x:v>
      </x:c>
      <x:c r="G239" t="str">
        <x:v>QT-05</x:v>
      </x:c>
      <x:c r="H239" t="str">
        <x:v>RAW-V23</x:v>
      </x:c>
      <x:c r="I239" t="str">
        <x:v>RAW-A074</x:v>
      </x:c>
      <x:c r="J239" t="str">
        <x:v>BLIND</x:v>
      </x:c>
      <x:c r="K239" t="str">
        <x:v>DECISIVE CHAIN</x:v>
      </x:c>
      <x:c r="L239" t="str">
        <x:v>n.a.</x:v>
      </x:c>
      <x:c r="M239" s="14" t="n">
        <x:v>3</x:v>
      </x:c>
      <x:c r="N239" s="14" t="n">
        <x:v>9</x:v>
      </x:c>
      <x:c r="O239" s="14" t="str"/>
      <x:c r="P239" s="14" t="str"/>
      <x:c r="Q239" s="14" t="str"/>
      <x:c r="R239" s="14" t="str"/>
      <x:c r="S239" s="14" t="str"/>
      <x:c r="T239" s="14" t="str"/>
      <x:c r="U239" s="10" t="str"/>
      <x:c r="V239" t="str"/>
      <x:c r="W239" t="str">
        <x:f>IF(V239=1,IF(R239="VALID","PASS",IF(R239="INVALID","INVALID","OPEN")),"OPEN")</x:f>
        <x:v>OPEN</x:v>
      </x:c>
    </x:row>
    <x:row r="240" ht="36" customHeight="1">
      <x:c r="B240" t="str">
        <x:v>RAW-E234</x:v>
      </x:c>
      <x:c r="C240" t="str">
        <x:v>AM-03</x:v>
      </x:c>
      <x:c r="D240" t="str">
        <x:v>TR-A</x:v>
      </x:c>
      <x:c r="E240" t="str">
        <x:v>RFP-A2</x:v>
      </x:c>
      <x:c r="F240" t="str">
        <x:v>PTC-A</x:v>
      </x:c>
      <x:c r="G240" t="str">
        <x:v>QT-06</x:v>
      </x:c>
      <x:c r="H240" t="str">
        <x:v>RAW-V24</x:v>
      </x:c>
      <x:c r="I240" t="str">
        <x:v>RAW-A074</x:v>
      </x:c>
      <x:c r="J240" t="str">
        <x:v>DISCLOSED</x:v>
      </x:c>
      <x:c r="K240" t="str">
        <x:v>NONE</x:v>
      </x:c>
      <x:c r="L240" t="str">
        <x:v>PTC-B</x:v>
      </x:c>
      <x:c r="M240" s="14" t="n">
        <x:v>4</x:v>
      </x:c>
      <x:c r="N240" s="14" t="n">
        <x:v>11</x:v>
      </x:c>
      <x:c r="O240" s="14" t="str"/>
      <x:c r="P240" s="14" t="str"/>
      <x:c r="Q240" s="14" t="str"/>
      <x:c r="R240" s="14" t="str"/>
      <x:c r="S240" s="14" t="str"/>
      <x:c r="T240" s="14" t="str"/>
      <x:c r="U240" s="10" t="str"/>
      <x:c r="V240" t="str"/>
      <x:c r="W240" t="str">
        <x:f>IF(V240=1,IF(R240="VALID","PASS",IF(R240="INVALID","INVALID","OPEN")),"OPEN")</x:f>
        <x:v>OPEN</x:v>
      </x:c>
    </x:row>
    <x:row r="241" ht="36" customHeight="1">
      <x:c r="B241" t="str">
        <x:v>RAW-E235</x:v>
      </x:c>
      <x:c r="C241" t="str">
        <x:v>AM-03</x:v>
      </x:c>
      <x:c r="D241" t="str">
        <x:v>TR-B</x:v>
      </x:c>
      <x:c r="E241" t="str">
        <x:v>RFP-A2</x:v>
      </x:c>
      <x:c r="F241" t="str">
        <x:v>PTC-A</x:v>
      </x:c>
      <x:c r="G241" t="str">
        <x:v>QT-01</x:v>
      </x:c>
      <x:c r="H241" t="str">
        <x:v>RAW-V19</x:v>
      </x:c>
      <x:c r="I241" t="str">
        <x:v>RAW-A086</x:v>
      </x:c>
      <x:c r="J241" t="str">
        <x:v>DISCLOSED</x:v>
      </x:c>
      <x:c r="K241" t="str">
        <x:v>NONE</x:v>
      </x:c>
      <x:c r="L241" t="str">
        <x:v>n.a.</x:v>
      </x:c>
      <x:c r="M241" s="14" t="n">
        <x:v>2</x:v>
      </x:c>
      <x:c r="N241" s="14" t="n">
        <x:v>2</x:v>
      </x:c>
      <x:c r="O241" s="14" t="str"/>
      <x:c r="P241" s="14" t="str"/>
      <x:c r="Q241" s="14" t="str"/>
      <x:c r="R241" s="14" t="str"/>
      <x:c r="S241" s="14" t="str"/>
      <x:c r="T241" s="14" t="str"/>
      <x:c r="U241" s="10" t="str"/>
      <x:c r="V241" t="str"/>
      <x:c r="W241" t="str">
        <x:f>IF(V241=1,IF(R241="VALID","PASS",IF(R241="INVALID","INVALID","OPEN")),"OPEN")</x:f>
        <x:v>OPEN</x:v>
      </x:c>
    </x:row>
    <x:row r="242" ht="36" customHeight="1">
      <x:c r="B242" t="str">
        <x:v>RAW-E236</x:v>
      </x:c>
      <x:c r="C242" t="str">
        <x:v>AM-03</x:v>
      </x:c>
      <x:c r="D242" t="str">
        <x:v>TR-B</x:v>
      </x:c>
      <x:c r="E242" t="str">
        <x:v>RFP-A2</x:v>
      </x:c>
      <x:c r="F242" t="str">
        <x:v>PTC-A</x:v>
      </x:c>
      <x:c r="G242" t="str">
        <x:v>QT-02</x:v>
      </x:c>
      <x:c r="H242" t="str">
        <x:v>RAW-V20</x:v>
      </x:c>
      <x:c r="I242" t="str">
        <x:v>RAW-A086</x:v>
      </x:c>
      <x:c r="J242" t="str">
        <x:v>DISCLOSED</x:v>
      </x:c>
      <x:c r="K242" t="str">
        <x:v>NONE</x:v>
      </x:c>
      <x:c r="L242" t="str">
        <x:v>n.a.</x:v>
      </x:c>
      <x:c r="M242" s="14" t="n">
        <x:v>2</x:v>
      </x:c>
      <x:c r="N242" s="14" t="n">
        <x:v>4</x:v>
      </x:c>
      <x:c r="O242" s="14" t="str"/>
      <x:c r="P242" s="14" t="str"/>
      <x:c r="Q242" s="14" t="str"/>
      <x:c r="R242" s="14" t="str"/>
      <x:c r="S242" s="14" t="str"/>
      <x:c r="T242" s="14" t="str"/>
      <x:c r="U242" s="10" t="str"/>
      <x:c r="V242" t="str"/>
      <x:c r="W242" t="str">
        <x:f>IF(V242=1,IF(R242="VALID","PASS",IF(R242="INVALID","INVALID","OPEN")),"OPEN")</x:f>
        <x:v>OPEN</x:v>
      </x:c>
    </x:row>
    <x:row r="243" ht="36" customHeight="1">
      <x:c r="B243" t="str">
        <x:v>RAW-E237</x:v>
      </x:c>
      <x:c r="C243" t="str">
        <x:v>AM-03</x:v>
      </x:c>
      <x:c r="D243" t="str">
        <x:v>TR-B</x:v>
      </x:c>
      <x:c r="E243" t="str">
        <x:v>RFP-A2</x:v>
      </x:c>
      <x:c r="F243" t="str">
        <x:v>PTC-A</x:v>
      </x:c>
      <x:c r="G243" t="str">
        <x:v>QT-03</x:v>
      </x:c>
      <x:c r="H243" t="str">
        <x:v>RAW-V21</x:v>
      </x:c>
      <x:c r="I243" t="str">
        <x:v>RAW-A086</x:v>
      </x:c>
      <x:c r="J243" t="str">
        <x:v>DISCLOSED</x:v>
      </x:c>
      <x:c r="K243" t="str">
        <x:v>NONE</x:v>
      </x:c>
      <x:c r="L243" t="str">
        <x:v>n.a.</x:v>
      </x:c>
      <x:c r="M243" s="14" t="n">
        <x:v>2</x:v>
      </x:c>
      <x:c r="N243" s="14" t="n">
        <x:v>6</x:v>
      </x:c>
      <x:c r="O243" s="14" t="str"/>
      <x:c r="P243" s="14" t="str"/>
      <x:c r="Q243" s="14" t="str"/>
      <x:c r="R243" s="14" t="str"/>
      <x:c r="S243" s="14" t="str"/>
      <x:c r="T243" s="14" t="str"/>
      <x:c r="U243" s="10" t="str"/>
      <x:c r="V243" t="str"/>
      <x:c r="W243" t="str">
        <x:f>IF(V243=1,IF(R243="VALID","PASS",IF(R243="INVALID","INVALID","OPEN")),"OPEN")</x:f>
        <x:v>OPEN</x:v>
      </x:c>
    </x:row>
    <x:row r="244" ht="36" customHeight="1">
      <x:c r="B244" t="str">
        <x:v>RAW-E238</x:v>
      </x:c>
      <x:c r="C244" t="str">
        <x:v>AM-03</x:v>
      </x:c>
      <x:c r="D244" t="str">
        <x:v>TR-B</x:v>
      </x:c>
      <x:c r="E244" t="str">
        <x:v>RFP-A2</x:v>
      </x:c>
      <x:c r="F244" t="str">
        <x:v>PTC-A</x:v>
      </x:c>
      <x:c r="G244" t="str">
        <x:v>QT-04</x:v>
      </x:c>
      <x:c r="H244" t="str">
        <x:v>RAW-V22</x:v>
      </x:c>
      <x:c r="I244" t="str">
        <x:v>RAW-A086</x:v>
      </x:c>
      <x:c r="J244" t="str">
        <x:v>BLIND</x:v>
      </x:c>
      <x:c r="K244" t="str">
        <x:v>NONE</x:v>
      </x:c>
      <x:c r="L244" t="str">
        <x:v>n.a.</x:v>
      </x:c>
      <x:c r="M244" s="14" t="n">
        <x:v>3</x:v>
      </x:c>
      <x:c r="N244" s="14" t="n">
        <x:v>8</x:v>
      </x:c>
      <x:c r="O244" s="14" t="str"/>
      <x:c r="P244" s="14" t="str"/>
      <x:c r="Q244" s="14" t="str"/>
      <x:c r="R244" s="14" t="str"/>
      <x:c r="S244" s="14" t="str"/>
      <x:c r="T244" s="14" t="str"/>
      <x:c r="U244" s="10" t="str"/>
      <x:c r="V244" t="str"/>
      <x:c r="W244" t="str">
        <x:f>IF(V244=1,IF(R244="VALID","PASS",IF(R244="INVALID","INVALID","OPEN")),"OPEN")</x:f>
        <x:v>OPEN</x:v>
      </x:c>
    </x:row>
    <x:row r="245" ht="36" customHeight="1">
      <x:c r="B245" t="str">
        <x:v>RAW-E239</x:v>
      </x:c>
      <x:c r="C245" t="str">
        <x:v>AM-03</x:v>
      </x:c>
      <x:c r="D245" t="str">
        <x:v>TR-B</x:v>
      </x:c>
      <x:c r="E245" t="str">
        <x:v>RFP-A2</x:v>
      </x:c>
      <x:c r="F245" t="str">
        <x:v>PTC-A</x:v>
      </x:c>
      <x:c r="G245" t="str">
        <x:v>QT-05</x:v>
      </x:c>
      <x:c r="H245" t="str">
        <x:v>RAW-V23</x:v>
      </x:c>
      <x:c r="I245" t="str">
        <x:v>RAW-A086</x:v>
      </x:c>
      <x:c r="J245" t="str">
        <x:v>BLIND</x:v>
      </x:c>
      <x:c r="K245" t="str">
        <x:v>DECISIVE CHAIN</x:v>
      </x:c>
      <x:c r="L245" t="str">
        <x:v>n.a.</x:v>
      </x:c>
      <x:c r="M245" s="14" t="n">
        <x:v>3</x:v>
      </x:c>
      <x:c r="N245" s="14" t="n">
        <x:v>10</x:v>
      </x:c>
      <x:c r="O245" s="14" t="str"/>
      <x:c r="P245" s="14" t="str"/>
      <x:c r="Q245" s="14" t="str"/>
      <x:c r="R245" s="14" t="str"/>
      <x:c r="S245" s="14" t="str"/>
      <x:c r="T245" s="14" t="str"/>
      <x:c r="U245" s="10" t="str"/>
      <x:c r="V245" t="str"/>
      <x:c r="W245" t="str">
        <x:f>IF(V245=1,IF(R245="VALID","PASS",IF(R245="INVALID","INVALID","OPEN")),"OPEN")</x:f>
        <x:v>OPEN</x:v>
      </x:c>
    </x:row>
    <x:row r="246" ht="36" customHeight="1">
      <x:c r="B246" t="str">
        <x:v>RAW-E240</x:v>
      </x:c>
      <x:c r="C246" t="str">
        <x:v>AM-03</x:v>
      </x:c>
      <x:c r="D246" t="str">
        <x:v>TR-B</x:v>
      </x:c>
      <x:c r="E246" t="str">
        <x:v>RFP-A2</x:v>
      </x:c>
      <x:c r="F246" t="str">
        <x:v>PTC-A</x:v>
      </x:c>
      <x:c r="G246" t="str">
        <x:v>QT-06</x:v>
      </x:c>
      <x:c r="H246" t="str">
        <x:v>RAW-V24</x:v>
      </x:c>
      <x:c r="I246" t="str">
        <x:v>RAW-A086</x:v>
      </x:c>
      <x:c r="J246" t="str">
        <x:v>DISCLOSED</x:v>
      </x:c>
      <x:c r="K246" t="str">
        <x:v>NONE</x:v>
      </x:c>
      <x:c r="L246" t="str">
        <x:v>PTC-B</x:v>
      </x:c>
      <x:c r="M246" s="14" t="n">
        <x:v>4</x:v>
      </x:c>
      <x:c r="N246" s="14" t="n">
        <x:v>12</x:v>
      </x:c>
      <x:c r="O246" s="14" t="str"/>
      <x:c r="P246" s="14" t="str"/>
      <x:c r="Q246" s="14" t="str"/>
      <x:c r="R246" s="14" t="str"/>
      <x:c r="S246" s="14" t="str"/>
      <x:c r="T246" s="14" t="str"/>
      <x:c r="U246" s="10" t="str"/>
      <x:c r="V246" t="str"/>
      <x:c r="W246" t="str">
        <x:f>IF(V246=1,IF(R246="VALID","PASS",IF(R246="INVALID","INVALID","OPEN")),"OPEN")</x:f>
        <x:v>OPEN</x:v>
      </x:c>
    </x:row>
    <x:row r="247" ht="36" customHeight="1">
      <x:c r="B247" t="str">
        <x:v>RAW-E241</x:v>
      </x:c>
      <x:c r="C247" t="str">
        <x:v>AM-03</x:v>
      </x:c>
      <x:c r="D247" t="str">
        <x:v>TR-A</x:v>
      </x:c>
      <x:c r="E247" t="str">
        <x:v>RFP-B1</x:v>
      </x:c>
      <x:c r="F247" t="str">
        <x:v>PTC-B</x:v>
      </x:c>
      <x:c r="G247" t="str">
        <x:v>QT-01</x:v>
      </x:c>
      <x:c r="H247" t="str">
        <x:v>RAW-V19</x:v>
      </x:c>
      <x:c r="I247" t="str">
        <x:v>RAW-A075</x:v>
      </x:c>
      <x:c r="J247" t="str">
        <x:v>DISCLOSED</x:v>
      </x:c>
      <x:c r="K247" t="str">
        <x:v>NONE</x:v>
      </x:c>
      <x:c r="L247" t="str">
        <x:v>n.a.</x:v>
      </x:c>
      <x:c r="M247" s="14" t="n">
        <x:v>2</x:v>
      </x:c>
      <x:c r="N247" s="14" t="n">
        <x:v>1</x:v>
      </x:c>
      <x:c r="O247" s="14" t="str"/>
      <x:c r="P247" s="14" t="str"/>
      <x:c r="Q247" s="14" t="str"/>
      <x:c r="R247" s="14" t="str"/>
      <x:c r="S247" s="14" t="str"/>
      <x:c r="T247" s="14" t="str"/>
      <x:c r="U247" s="10" t="str"/>
      <x:c r="V247" t="str"/>
      <x:c r="W247" t="str">
        <x:f>IF(V247=1,IF(R247="VALID","PASS",IF(R247="INVALID","INVALID","OPEN")),"OPEN")</x:f>
        <x:v>OPEN</x:v>
      </x:c>
    </x:row>
    <x:row r="248" ht="36" customHeight="1">
      <x:c r="B248" t="str">
        <x:v>RAW-E242</x:v>
      </x:c>
      <x:c r="C248" t="str">
        <x:v>AM-03</x:v>
      </x:c>
      <x:c r="D248" t="str">
        <x:v>TR-A</x:v>
      </x:c>
      <x:c r="E248" t="str">
        <x:v>RFP-B1</x:v>
      </x:c>
      <x:c r="F248" t="str">
        <x:v>PTC-B</x:v>
      </x:c>
      <x:c r="G248" t="str">
        <x:v>QT-02</x:v>
      </x:c>
      <x:c r="H248" t="str">
        <x:v>RAW-V20</x:v>
      </x:c>
      <x:c r="I248" t="str">
        <x:v>RAW-A075</x:v>
      </x:c>
      <x:c r="J248" t="str">
        <x:v>DISCLOSED</x:v>
      </x:c>
      <x:c r="K248" t="str">
        <x:v>NONE</x:v>
      </x:c>
      <x:c r="L248" t="str">
        <x:v>n.a.</x:v>
      </x:c>
      <x:c r="M248" s="14" t="n">
        <x:v>2</x:v>
      </x:c>
      <x:c r="N248" s="14" t="n">
        <x:v>3</x:v>
      </x:c>
      <x:c r="O248" s="14" t="str"/>
      <x:c r="P248" s="14" t="str"/>
      <x:c r="Q248" s="14" t="str"/>
      <x:c r="R248" s="14" t="str"/>
      <x:c r="S248" s="14" t="str"/>
      <x:c r="T248" s="14" t="str"/>
      <x:c r="U248" s="10" t="str"/>
      <x:c r="V248" t="str"/>
      <x:c r="W248" t="str">
        <x:f>IF(V248=1,IF(R248="VALID","PASS",IF(R248="INVALID","INVALID","OPEN")),"OPEN")</x:f>
        <x:v>OPEN</x:v>
      </x:c>
    </x:row>
    <x:row r="249" ht="36" customHeight="1">
      <x:c r="B249" t="str">
        <x:v>RAW-E243</x:v>
      </x:c>
      <x:c r="C249" t="str">
        <x:v>AM-03</x:v>
      </x:c>
      <x:c r="D249" t="str">
        <x:v>TR-A</x:v>
      </x:c>
      <x:c r="E249" t="str">
        <x:v>RFP-B1</x:v>
      </x:c>
      <x:c r="F249" t="str">
        <x:v>PTC-B</x:v>
      </x:c>
      <x:c r="G249" t="str">
        <x:v>QT-03</x:v>
      </x:c>
      <x:c r="H249" t="str">
        <x:v>RAW-V21</x:v>
      </x:c>
      <x:c r="I249" t="str">
        <x:v>RAW-A075</x:v>
      </x:c>
      <x:c r="J249" t="str">
        <x:v>DISCLOSED</x:v>
      </x:c>
      <x:c r="K249" t="str">
        <x:v>NONE</x:v>
      </x:c>
      <x:c r="L249" t="str">
        <x:v>n.a.</x:v>
      </x:c>
      <x:c r="M249" s="14" t="n">
        <x:v>2</x:v>
      </x:c>
      <x:c r="N249" s="14" t="n">
        <x:v>5</x:v>
      </x:c>
      <x:c r="O249" s="14" t="str"/>
      <x:c r="P249" s="14" t="str"/>
      <x:c r="Q249" s="14" t="str"/>
      <x:c r="R249" s="14" t="str"/>
      <x:c r="S249" s="14" t="str"/>
      <x:c r="T249" s="14" t="str"/>
      <x:c r="U249" s="10" t="str"/>
      <x:c r="V249" t="str"/>
      <x:c r="W249" t="str">
        <x:f>IF(V249=1,IF(R249="VALID","PASS",IF(R249="INVALID","INVALID","OPEN")),"OPEN")</x:f>
        <x:v>OPEN</x:v>
      </x:c>
    </x:row>
    <x:row r="250" ht="36" customHeight="1">
      <x:c r="B250" t="str">
        <x:v>RAW-E244</x:v>
      </x:c>
      <x:c r="C250" t="str">
        <x:v>AM-03</x:v>
      </x:c>
      <x:c r="D250" t="str">
        <x:v>TR-A</x:v>
      </x:c>
      <x:c r="E250" t="str">
        <x:v>RFP-B1</x:v>
      </x:c>
      <x:c r="F250" t="str">
        <x:v>PTC-B</x:v>
      </x:c>
      <x:c r="G250" t="str">
        <x:v>QT-04</x:v>
      </x:c>
      <x:c r="H250" t="str">
        <x:v>RAW-V22</x:v>
      </x:c>
      <x:c r="I250" t="str">
        <x:v>RAW-A075</x:v>
      </x:c>
      <x:c r="J250" t="str">
        <x:v>BLIND</x:v>
      </x:c>
      <x:c r="K250" t="str">
        <x:v>NONE</x:v>
      </x:c>
      <x:c r="L250" t="str">
        <x:v>n.a.</x:v>
      </x:c>
      <x:c r="M250" s="14" t="n">
        <x:v>3</x:v>
      </x:c>
      <x:c r="N250" s="14" t="n">
        <x:v>7</x:v>
      </x:c>
      <x:c r="O250" s="14" t="str"/>
      <x:c r="P250" s="14" t="str"/>
      <x:c r="Q250" s="14" t="str"/>
      <x:c r="R250" s="14" t="str"/>
      <x:c r="S250" s="14" t="str"/>
      <x:c r="T250" s="14" t="str"/>
      <x:c r="U250" s="10" t="str"/>
      <x:c r="V250" t="str"/>
      <x:c r="W250" t="str">
        <x:f>IF(V250=1,IF(R250="VALID","PASS",IF(R250="INVALID","INVALID","OPEN")),"OPEN")</x:f>
        <x:v>OPEN</x:v>
      </x:c>
    </x:row>
    <x:row r="251" ht="36" customHeight="1">
      <x:c r="B251" t="str">
        <x:v>RAW-E245</x:v>
      </x:c>
      <x:c r="C251" t="str">
        <x:v>AM-03</x:v>
      </x:c>
      <x:c r="D251" t="str">
        <x:v>TR-A</x:v>
      </x:c>
      <x:c r="E251" t="str">
        <x:v>RFP-B1</x:v>
      </x:c>
      <x:c r="F251" t="str">
        <x:v>PTC-B</x:v>
      </x:c>
      <x:c r="G251" t="str">
        <x:v>QT-05</x:v>
      </x:c>
      <x:c r="H251" t="str">
        <x:v>RAW-V23</x:v>
      </x:c>
      <x:c r="I251" t="str">
        <x:v>RAW-A075</x:v>
      </x:c>
      <x:c r="J251" t="str">
        <x:v>BLIND</x:v>
      </x:c>
      <x:c r="K251" t="str">
        <x:v>DECISIVE CHAIN</x:v>
      </x:c>
      <x:c r="L251" t="str">
        <x:v>n.a.</x:v>
      </x:c>
      <x:c r="M251" s="14" t="n">
        <x:v>3</x:v>
      </x:c>
      <x:c r="N251" s="14" t="n">
        <x:v>9</x:v>
      </x:c>
      <x:c r="O251" s="14" t="str"/>
      <x:c r="P251" s="14" t="str"/>
      <x:c r="Q251" s="14" t="str"/>
      <x:c r="R251" s="14" t="str"/>
      <x:c r="S251" s="14" t="str"/>
      <x:c r="T251" s="14" t="str"/>
      <x:c r="U251" s="10" t="str"/>
      <x:c r="V251" t="str"/>
      <x:c r="W251" t="str">
        <x:f>IF(V251=1,IF(R251="VALID","PASS",IF(R251="INVALID","INVALID","OPEN")),"OPEN")</x:f>
        <x:v>OPEN</x:v>
      </x:c>
    </x:row>
    <x:row r="252" ht="36" customHeight="1">
      <x:c r="B252" t="str">
        <x:v>RAW-E246</x:v>
      </x:c>
      <x:c r="C252" t="str">
        <x:v>AM-03</x:v>
      </x:c>
      <x:c r="D252" t="str">
        <x:v>TR-A</x:v>
      </x:c>
      <x:c r="E252" t="str">
        <x:v>RFP-B1</x:v>
      </x:c>
      <x:c r="F252" t="str">
        <x:v>PTC-B</x:v>
      </x:c>
      <x:c r="G252" t="str">
        <x:v>QT-06</x:v>
      </x:c>
      <x:c r="H252" t="str">
        <x:v>RAW-V24</x:v>
      </x:c>
      <x:c r="I252" t="str">
        <x:v>RAW-A075</x:v>
      </x:c>
      <x:c r="J252" t="str">
        <x:v>DISCLOSED</x:v>
      </x:c>
      <x:c r="K252" t="str">
        <x:v>NONE</x:v>
      </x:c>
      <x:c r="L252" t="str">
        <x:v>PTC-C</x:v>
      </x:c>
      <x:c r="M252" s="14" t="n">
        <x:v>4</x:v>
      </x:c>
      <x:c r="N252" s="14" t="n">
        <x:v>11</x:v>
      </x:c>
      <x:c r="O252" s="14" t="str"/>
      <x:c r="P252" s="14" t="str"/>
      <x:c r="Q252" s="14" t="str"/>
      <x:c r="R252" s="14" t="str"/>
      <x:c r="S252" s="14" t="str"/>
      <x:c r="T252" s="14" t="str"/>
      <x:c r="U252" s="10" t="str"/>
      <x:c r="V252" t="str"/>
      <x:c r="W252" t="str">
        <x:f>IF(V252=1,IF(R252="VALID","PASS",IF(R252="INVALID","INVALID","OPEN")),"OPEN")</x:f>
        <x:v>OPEN</x:v>
      </x:c>
    </x:row>
    <x:row r="253" ht="36" customHeight="1">
      <x:c r="B253" t="str">
        <x:v>RAW-E247</x:v>
      </x:c>
      <x:c r="C253" t="str">
        <x:v>AM-03</x:v>
      </x:c>
      <x:c r="D253" t="str">
        <x:v>TR-B</x:v>
      </x:c>
      <x:c r="E253" t="str">
        <x:v>RFP-B1</x:v>
      </x:c>
      <x:c r="F253" t="str">
        <x:v>PTC-B</x:v>
      </x:c>
      <x:c r="G253" t="str">
        <x:v>QT-01</x:v>
      </x:c>
      <x:c r="H253" t="str">
        <x:v>RAW-V19</x:v>
      </x:c>
      <x:c r="I253" t="str">
        <x:v>RAW-A087</x:v>
      </x:c>
      <x:c r="J253" t="str">
        <x:v>DISCLOSED</x:v>
      </x:c>
      <x:c r="K253" t="str">
        <x:v>NONE</x:v>
      </x:c>
      <x:c r="L253" t="str">
        <x:v>n.a.</x:v>
      </x:c>
      <x:c r="M253" s="14" t="n">
        <x:v>2</x:v>
      </x:c>
      <x:c r="N253" s="14" t="n">
        <x:v>2</x:v>
      </x:c>
      <x:c r="O253" s="14" t="str"/>
      <x:c r="P253" s="14" t="str"/>
      <x:c r="Q253" s="14" t="str"/>
      <x:c r="R253" s="14" t="str"/>
      <x:c r="S253" s="14" t="str"/>
      <x:c r="T253" s="14" t="str"/>
      <x:c r="U253" s="10" t="str"/>
      <x:c r="V253" t="str"/>
      <x:c r="W253" t="str">
        <x:f>IF(V253=1,IF(R253="VALID","PASS",IF(R253="INVALID","INVALID","OPEN")),"OPEN")</x:f>
        <x:v>OPEN</x:v>
      </x:c>
    </x:row>
    <x:row r="254" ht="36" customHeight="1">
      <x:c r="B254" t="str">
        <x:v>RAW-E248</x:v>
      </x:c>
      <x:c r="C254" t="str">
        <x:v>AM-03</x:v>
      </x:c>
      <x:c r="D254" t="str">
        <x:v>TR-B</x:v>
      </x:c>
      <x:c r="E254" t="str">
        <x:v>RFP-B1</x:v>
      </x:c>
      <x:c r="F254" t="str">
        <x:v>PTC-B</x:v>
      </x:c>
      <x:c r="G254" t="str">
        <x:v>QT-02</x:v>
      </x:c>
      <x:c r="H254" t="str">
        <x:v>RAW-V20</x:v>
      </x:c>
      <x:c r="I254" t="str">
        <x:v>RAW-A087</x:v>
      </x:c>
      <x:c r="J254" t="str">
        <x:v>DISCLOSED</x:v>
      </x:c>
      <x:c r="K254" t="str">
        <x:v>NONE</x:v>
      </x:c>
      <x:c r="L254" t="str">
        <x:v>n.a.</x:v>
      </x:c>
      <x:c r="M254" s="14" t="n">
        <x:v>2</x:v>
      </x:c>
      <x:c r="N254" s="14" t="n">
        <x:v>4</x:v>
      </x:c>
      <x:c r="O254" s="14" t="str"/>
      <x:c r="P254" s="14" t="str"/>
      <x:c r="Q254" s="14" t="str"/>
      <x:c r="R254" s="14" t="str"/>
      <x:c r="S254" s="14" t="str"/>
      <x:c r="T254" s="14" t="str"/>
      <x:c r="U254" s="10" t="str"/>
      <x:c r="V254" t="str"/>
      <x:c r="W254" t="str">
        <x:f>IF(V254=1,IF(R254="VALID","PASS",IF(R254="INVALID","INVALID","OPEN")),"OPEN")</x:f>
        <x:v>OPEN</x:v>
      </x:c>
    </x:row>
    <x:row r="255" ht="36" customHeight="1">
      <x:c r="B255" t="str">
        <x:v>RAW-E249</x:v>
      </x:c>
      <x:c r="C255" t="str">
        <x:v>AM-03</x:v>
      </x:c>
      <x:c r="D255" t="str">
        <x:v>TR-B</x:v>
      </x:c>
      <x:c r="E255" t="str">
        <x:v>RFP-B1</x:v>
      </x:c>
      <x:c r="F255" t="str">
        <x:v>PTC-B</x:v>
      </x:c>
      <x:c r="G255" t="str">
        <x:v>QT-03</x:v>
      </x:c>
      <x:c r="H255" t="str">
        <x:v>RAW-V21</x:v>
      </x:c>
      <x:c r="I255" t="str">
        <x:v>RAW-A087</x:v>
      </x:c>
      <x:c r="J255" t="str">
        <x:v>DISCLOSED</x:v>
      </x:c>
      <x:c r="K255" t="str">
        <x:v>NONE</x:v>
      </x:c>
      <x:c r="L255" t="str">
        <x:v>n.a.</x:v>
      </x:c>
      <x:c r="M255" s="14" t="n">
        <x:v>2</x:v>
      </x:c>
      <x:c r="N255" s="14" t="n">
        <x:v>6</x:v>
      </x:c>
      <x:c r="O255" s="14" t="str"/>
      <x:c r="P255" s="14" t="str"/>
      <x:c r="Q255" s="14" t="str"/>
      <x:c r="R255" s="14" t="str"/>
      <x:c r="S255" s="14" t="str"/>
      <x:c r="T255" s="14" t="str"/>
      <x:c r="U255" s="10" t="str"/>
      <x:c r="V255" t="str"/>
      <x:c r="W255" t="str">
        <x:f>IF(V255=1,IF(R255="VALID","PASS",IF(R255="INVALID","INVALID","OPEN")),"OPEN")</x:f>
        <x:v>OPEN</x:v>
      </x:c>
    </x:row>
    <x:row r="256" ht="36" customHeight="1">
      <x:c r="B256" t="str">
        <x:v>RAW-E250</x:v>
      </x:c>
      <x:c r="C256" t="str">
        <x:v>AM-03</x:v>
      </x:c>
      <x:c r="D256" t="str">
        <x:v>TR-B</x:v>
      </x:c>
      <x:c r="E256" t="str">
        <x:v>RFP-B1</x:v>
      </x:c>
      <x:c r="F256" t="str">
        <x:v>PTC-B</x:v>
      </x:c>
      <x:c r="G256" t="str">
        <x:v>QT-04</x:v>
      </x:c>
      <x:c r="H256" t="str">
        <x:v>RAW-V22</x:v>
      </x:c>
      <x:c r="I256" t="str">
        <x:v>RAW-A087</x:v>
      </x:c>
      <x:c r="J256" t="str">
        <x:v>BLIND</x:v>
      </x:c>
      <x:c r="K256" t="str">
        <x:v>NONE</x:v>
      </x:c>
      <x:c r="L256" t="str">
        <x:v>n.a.</x:v>
      </x:c>
      <x:c r="M256" s="14" t="n">
        <x:v>3</x:v>
      </x:c>
      <x:c r="N256" s="14" t="n">
        <x:v>8</x:v>
      </x:c>
      <x:c r="O256" s="14" t="str"/>
      <x:c r="P256" s="14" t="str"/>
      <x:c r="Q256" s="14" t="str"/>
      <x:c r="R256" s="14" t="str"/>
      <x:c r="S256" s="14" t="str"/>
      <x:c r="T256" s="14" t="str"/>
      <x:c r="U256" s="10" t="str"/>
      <x:c r="V256" t="str"/>
      <x:c r="W256" t="str">
        <x:f>IF(V256=1,IF(R256="VALID","PASS",IF(R256="INVALID","INVALID","OPEN")),"OPEN")</x:f>
        <x:v>OPEN</x:v>
      </x:c>
    </x:row>
    <x:row r="257" ht="36" customHeight="1">
      <x:c r="B257" t="str">
        <x:v>RAW-E251</x:v>
      </x:c>
      <x:c r="C257" t="str">
        <x:v>AM-03</x:v>
      </x:c>
      <x:c r="D257" t="str">
        <x:v>TR-B</x:v>
      </x:c>
      <x:c r="E257" t="str">
        <x:v>RFP-B1</x:v>
      </x:c>
      <x:c r="F257" t="str">
        <x:v>PTC-B</x:v>
      </x:c>
      <x:c r="G257" t="str">
        <x:v>QT-05</x:v>
      </x:c>
      <x:c r="H257" t="str">
        <x:v>RAW-V23</x:v>
      </x:c>
      <x:c r="I257" t="str">
        <x:v>RAW-A087</x:v>
      </x:c>
      <x:c r="J257" t="str">
        <x:v>BLIND</x:v>
      </x:c>
      <x:c r="K257" t="str">
        <x:v>DECISIVE CHAIN</x:v>
      </x:c>
      <x:c r="L257" t="str">
        <x:v>n.a.</x:v>
      </x:c>
      <x:c r="M257" s="14" t="n">
        <x:v>3</x:v>
      </x:c>
      <x:c r="N257" s="14" t="n">
        <x:v>10</x:v>
      </x:c>
      <x:c r="O257" s="14" t="str"/>
      <x:c r="P257" s="14" t="str"/>
      <x:c r="Q257" s="14" t="str"/>
      <x:c r="R257" s="14" t="str"/>
      <x:c r="S257" s="14" t="str"/>
      <x:c r="T257" s="14" t="str"/>
      <x:c r="U257" s="10" t="str"/>
      <x:c r="V257" t="str"/>
      <x:c r="W257" t="str">
        <x:f>IF(V257=1,IF(R257="VALID","PASS",IF(R257="INVALID","INVALID","OPEN")),"OPEN")</x:f>
        <x:v>OPEN</x:v>
      </x:c>
    </x:row>
    <x:row r="258" ht="36" customHeight="1">
      <x:c r="B258" t="str">
        <x:v>RAW-E252</x:v>
      </x:c>
      <x:c r="C258" t="str">
        <x:v>AM-03</x:v>
      </x:c>
      <x:c r="D258" t="str">
        <x:v>TR-B</x:v>
      </x:c>
      <x:c r="E258" t="str">
        <x:v>RFP-B1</x:v>
      </x:c>
      <x:c r="F258" t="str">
        <x:v>PTC-B</x:v>
      </x:c>
      <x:c r="G258" t="str">
        <x:v>QT-06</x:v>
      </x:c>
      <x:c r="H258" t="str">
        <x:v>RAW-V24</x:v>
      </x:c>
      <x:c r="I258" t="str">
        <x:v>RAW-A087</x:v>
      </x:c>
      <x:c r="J258" t="str">
        <x:v>DISCLOSED</x:v>
      </x:c>
      <x:c r="K258" t="str">
        <x:v>NONE</x:v>
      </x:c>
      <x:c r="L258" t="str">
        <x:v>PTC-C</x:v>
      </x:c>
      <x:c r="M258" s="14" t="n">
        <x:v>4</x:v>
      </x:c>
      <x:c r="N258" s="14" t="n">
        <x:v>12</x:v>
      </x:c>
      <x:c r="O258" s="14" t="str"/>
      <x:c r="P258" s="14" t="str"/>
      <x:c r="Q258" s="14" t="str"/>
      <x:c r="R258" s="14" t="str"/>
      <x:c r="S258" s="14" t="str"/>
      <x:c r="T258" s="14" t="str"/>
      <x:c r="U258" s="10" t="str"/>
      <x:c r="V258" t="str"/>
      <x:c r="W258" t="str">
        <x:f>IF(V258=1,IF(R258="VALID","PASS",IF(R258="INVALID","INVALID","OPEN")),"OPEN")</x:f>
        <x:v>OPEN</x:v>
      </x:c>
    </x:row>
    <x:row r="259" ht="36" customHeight="1">
      <x:c r="B259" t="str">
        <x:v>RAW-E253</x:v>
      </x:c>
      <x:c r="C259" t="str">
        <x:v>AM-03</x:v>
      </x:c>
      <x:c r="D259" t="str">
        <x:v>TR-A</x:v>
      </x:c>
      <x:c r="E259" t="str">
        <x:v>RFP-B2</x:v>
      </x:c>
      <x:c r="F259" t="str">
        <x:v>PTC-B</x:v>
      </x:c>
      <x:c r="G259" t="str">
        <x:v>QT-01</x:v>
      </x:c>
      <x:c r="H259" t="str">
        <x:v>RAW-V19</x:v>
      </x:c>
      <x:c r="I259" t="str">
        <x:v>RAW-A076</x:v>
      </x:c>
      <x:c r="J259" t="str">
        <x:v>DISCLOSED</x:v>
      </x:c>
      <x:c r="K259" t="str">
        <x:v>NONE</x:v>
      </x:c>
      <x:c r="L259" t="str">
        <x:v>n.a.</x:v>
      </x:c>
      <x:c r="M259" s="14" t="n">
        <x:v>2</x:v>
      </x:c>
      <x:c r="N259" s="14" t="n">
        <x:v>1</x:v>
      </x:c>
      <x:c r="O259" s="14" t="str"/>
      <x:c r="P259" s="14" t="str"/>
      <x:c r="Q259" s="14" t="str"/>
      <x:c r="R259" s="14" t="str"/>
      <x:c r="S259" s="14" t="str"/>
      <x:c r="T259" s="14" t="str"/>
      <x:c r="U259" s="10" t="str"/>
      <x:c r="V259" t="str"/>
      <x:c r="W259" t="str">
        <x:f>IF(V259=1,IF(R259="VALID","PASS",IF(R259="INVALID","INVALID","OPEN")),"OPEN")</x:f>
        <x:v>OPEN</x:v>
      </x:c>
    </x:row>
    <x:row r="260" ht="36" customHeight="1">
      <x:c r="B260" t="str">
        <x:v>RAW-E254</x:v>
      </x:c>
      <x:c r="C260" t="str">
        <x:v>AM-03</x:v>
      </x:c>
      <x:c r="D260" t="str">
        <x:v>TR-A</x:v>
      </x:c>
      <x:c r="E260" t="str">
        <x:v>RFP-B2</x:v>
      </x:c>
      <x:c r="F260" t="str">
        <x:v>PTC-B</x:v>
      </x:c>
      <x:c r="G260" t="str">
        <x:v>QT-02</x:v>
      </x:c>
      <x:c r="H260" t="str">
        <x:v>RAW-V20</x:v>
      </x:c>
      <x:c r="I260" t="str">
        <x:v>RAW-A076</x:v>
      </x:c>
      <x:c r="J260" t="str">
        <x:v>DISCLOSED</x:v>
      </x:c>
      <x:c r="K260" t="str">
        <x:v>NONE</x:v>
      </x:c>
      <x:c r="L260" t="str">
        <x:v>n.a.</x:v>
      </x:c>
      <x:c r="M260" s="14" t="n">
        <x:v>2</x:v>
      </x:c>
      <x:c r="N260" s="14" t="n">
        <x:v>3</x:v>
      </x:c>
      <x:c r="O260" s="14" t="str"/>
      <x:c r="P260" s="14" t="str"/>
      <x:c r="Q260" s="14" t="str"/>
      <x:c r="R260" s="14" t="str"/>
      <x:c r="S260" s="14" t="str"/>
      <x:c r="T260" s="14" t="str"/>
      <x:c r="U260" s="10" t="str"/>
      <x:c r="V260" t="str"/>
      <x:c r="W260" t="str">
        <x:f>IF(V260=1,IF(R260="VALID","PASS",IF(R260="INVALID","INVALID","OPEN")),"OPEN")</x:f>
        <x:v>OPEN</x:v>
      </x:c>
    </x:row>
    <x:row r="261" ht="36" customHeight="1">
      <x:c r="B261" t="str">
        <x:v>RAW-E255</x:v>
      </x:c>
      <x:c r="C261" t="str">
        <x:v>AM-03</x:v>
      </x:c>
      <x:c r="D261" t="str">
        <x:v>TR-A</x:v>
      </x:c>
      <x:c r="E261" t="str">
        <x:v>RFP-B2</x:v>
      </x:c>
      <x:c r="F261" t="str">
        <x:v>PTC-B</x:v>
      </x:c>
      <x:c r="G261" t="str">
        <x:v>QT-03</x:v>
      </x:c>
      <x:c r="H261" t="str">
        <x:v>RAW-V21</x:v>
      </x:c>
      <x:c r="I261" t="str">
        <x:v>RAW-A076</x:v>
      </x:c>
      <x:c r="J261" t="str">
        <x:v>DISCLOSED</x:v>
      </x:c>
      <x:c r="K261" t="str">
        <x:v>NONE</x:v>
      </x:c>
      <x:c r="L261" t="str">
        <x:v>n.a.</x:v>
      </x:c>
      <x:c r="M261" s="14" t="n">
        <x:v>2</x:v>
      </x:c>
      <x:c r="N261" s="14" t="n">
        <x:v>5</x:v>
      </x:c>
      <x:c r="O261" s="14" t="str"/>
      <x:c r="P261" s="14" t="str"/>
      <x:c r="Q261" s="14" t="str"/>
      <x:c r="R261" s="14" t="str"/>
      <x:c r="S261" s="14" t="str"/>
      <x:c r="T261" s="14" t="str"/>
      <x:c r="U261" s="10" t="str"/>
      <x:c r="V261" t="str"/>
      <x:c r="W261" t="str">
        <x:f>IF(V261=1,IF(R261="VALID","PASS",IF(R261="INVALID","INVALID","OPEN")),"OPEN")</x:f>
        <x:v>OPEN</x:v>
      </x:c>
    </x:row>
    <x:row r="262" ht="36" customHeight="1">
      <x:c r="B262" t="str">
        <x:v>RAW-E256</x:v>
      </x:c>
      <x:c r="C262" t="str">
        <x:v>AM-03</x:v>
      </x:c>
      <x:c r="D262" t="str">
        <x:v>TR-A</x:v>
      </x:c>
      <x:c r="E262" t="str">
        <x:v>RFP-B2</x:v>
      </x:c>
      <x:c r="F262" t="str">
        <x:v>PTC-B</x:v>
      </x:c>
      <x:c r="G262" t="str">
        <x:v>QT-04</x:v>
      </x:c>
      <x:c r="H262" t="str">
        <x:v>RAW-V22</x:v>
      </x:c>
      <x:c r="I262" t="str">
        <x:v>RAW-A076</x:v>
      </x:c>
      <x:c r="J262" t="str">
        <x:v>BLIND</x:v>
      </x:c>
      <x:c r="K262" t="str">
        <x:v>NONE</x:v>
      </x:c>
      <x:c r="L262" t="str">
        <x:v>n.a.</x:v>
      </x:c>
      <x:c r="M262" s="14" t="n">
        <x:v>3</x:v>
      </x:c>
      <x:c r="N262" s="14" t="n">
        <x:v>7</x:v>
      </x:c>
      <x:c r="O262" s="14" t="str"/>
      <x:c r="P262" s="14" t="str"/>
      <x:c r="Q262" s="14" t="str"/>
      <x:c r="R262" s="14" t="str"/>
      <x:c r="S262" s="14" t="str"/>
      <x:c r="T262" s="14" t="str"/>
      <x:c r="U262" s="10" t="str"/>
      <x:c r="V262" t="str"/>
      <x:c r="W262" t="str">
        <x:f>IF(V262=1,IF(R262="VALID","PASS",IF(R262="INVALID","INVALID","OPEN")),"OPEN")</x:f>
        <x:v>OPEN</x:v>
      </x:c>
    </x:row>
    <x:row r="263" ht="36" customHeight="1">
      <x:c r="B263" t="str">
        <x:v>RAW-E257</x:v>
      </x:c>
      <x:c r="C263" t="str">
        <x:v>AM-03</x:v>
      </x:c>
      <x:c r="D263" t="str">
        <x:v>TR-A</x:v>
      </x:c>
      <x:c r="E263" t="str">
        <x:v>RFP-B2</x:v>
      </x:c>
      <x:c r="F263" t="str">
        <x:v>PTC-B</x:v>
      </x:c>
      <x:c r="G263" t="str">
        <x:v>QT-05</x:v>
      </x:c>
      <x:c r="H263" t="str">
        <x:v>RAW-V23</x:v>
      </x:c>
      <x:c r="I263" t="str">
        <x:v>RAW-A076</x:v>
      </x:c>
      <x:c r="J263" t="str">
        <x:v>BLIND</x:v>
      </x:c>
      <x:c r="K263" t="str">
        <x:v>DECISIVE CHAIN</x:v>
      </x:c>
      <x:c r="L263" t="str">
        <x:v>n.a.</x:v>
      </x:c>
      <x:c r="M263" s="14" t="n">
        <x:v>3</x:v>
      </x:c>
      <x:c r="N263" s="14" t="n">
        <x:v>9</x:v>
      </x:c>
      <x:c r="O263" s="14" t="str"/>
      <x:c r="P263" s="14" t="str"/>
      <x:c r="Q263" s="14" t="str"/>
      <x:c r="R263" s="14" t="str"/>
      <x:c r="S263" s="14" t="str"/>
      <x:c r="T263" s="14" t="str"/>
      <x:c r="U263" s="10" t="str"/>
      <x:c r="V263" t="str"/>
      <x:c r="W263" t="str">
        <x:f>IF(V263=1,IF(R263="VALID","PASS",IF(R263="INVALID","INVALID","OPEN")),"OPEN")</x:f>
        <x:v>OPEN</x:v>
      </x:c>
    </x:row>
    <x:row r="264" ht="36" customHeight="1">
      <x:c r="B264" t="str">
        <x:v>RAW-E258</x:v>
      </x:c>
      <x:c r="C264" t="str">
        <x:v>AM-03</x:v>
      </x:c>
      <x:c r="D264" t="str">
        <x:v>TR-A</x:v>
      </x:c>
      <x:c r="E264" t="str">
        <x:v>RFP-B2</x:v>
      </x:c>
      <x:c r="F264" t="str">
        <x:v>PTC-B</x:v>
      </x:c>
      <x:c r="G264" t="str">
        <x:v>QT-06</x:v>
      </x:c>
      <x:c r="H264" t="str">
        <x:v>RAW-V24</x:v>
      </x:c>
      <x:c r="I264" t="str">
        <x:v>RAW-A076</x:v>
      </x:c>
      <x:c r="J264" t="str">
        <x:v>DISCLOSED</x:v>
      </x:c>
      <x:c r="K264" t="str">
        <x:v>NONE</x:v>
      </x:c>
      <x:c r="L264" t="str">
        <x:v>PTC-C</x:v>
      </x:c>
      <x:c r="M264" s="14" t="n">
        <x:v>4</x:v>
      </x:c>
      <x:c r="N264" s="14" t="n">
        <x:v>11</x:v>
      </x:c>
      <x:c r="O264" s="14" t="str"/>
      <x:c r="P264" s="14" t="str"/>
      <x:c r="Q264" s="14" t="str"/>
      <x:c r="R264" s="14" t="str"/>
      <x:c r="S264" s="14" t="str"/>
      <x:c r="T264" s="14" t="str"/>
      <x:c r="U264" s="10" t="str"/>
      <x:c r="V264" t="str"/>
      <x:c r="W264" t="str">
        <x:f>IF(V264=1,IF(R264="VALID","PASS",IF(R264="INVALID","INVALID","OPEN")),"OPEN")</x:f>
        <x:v>OPEN</x:v>
      </x:c>
    </x:row>
    <x:row r="265" ht="36" customHeight="1">
      <x:c r="B265" t="str">
        <x:v>RAW-E259</x:v>
      </x:c>
      <x:c r="C265" t="str">
        <x:v>AM-03</x:v>
      </x:c>
      <x:c r="D265" t="str">
        <x:v>TR-B</x:v>
      </x:c>
      <x:c r="E265" t="str">
        <x:v>RFP-B2</x:v>
      </x:c>
      <x:c r="F265" t="str">
        <x:v>PTC-B</x:v>
      </x:c>
      <x:c r="G265" t="str">
        <x:v>QT-01</x:v>
      </x:c>
      <x:c r="H265" t="str">
        <x:v>RAW-V19</x:v>
      </x:c>
      <x:c r="I265" t="str">
        <x:v>RAW-A088</x:v>
      </x:c>
      <x:c r="J265" t="str">
        <x:v>DISCLOSED</x:v>
      </x:c>
      <x:c r="K265" t="str">
        <x:v>NONE</x:v>
      </x:c>
      <x:c r="L265" t="str">
        <x:v>n.a.</x:v>
      </x:c>
      <x:c r="M265" s="14" t="n">
        <x:v>2</x:v>
      </x:c>
      <x:c r="N265" s="14" t="n">
        <x:v>2</x:v>
      </x:c>
      <x:c r="O265" s="14" t="str"/>
      <x:c r="P265" s="14" t="str"/>
      <x:c r="Q265" s="14" t="str"/>
      <x:c r="R265" s="14" t="str"/>
      <x:c r="S265" s="14" t="str"/>
      <x:c r="T265" s="14" t="str"/>
      <x:c r="U265" s="10" t="str"/>
      <x:c r="V265" t="str"/>
      <x:c r="W265" t="str">
        <x:f>IF(V265=1,IF(R265="VALID","PASS",IF(R265="INVALID","INVALID","OPEN")),"OPEN")</x:f>
        <x:v>OPEN</x:v>
      </x:c>
    </x:row>
    <x:row r="266" ht="36" customHeight="1">
      <x:c r="B266" t="str">
        <x:v>RAW-E260</x:v>
      </x:c>
      <x:c r="C266" t="str">
        <x:v>AM-03</x:v>
      </x:c>
      <x:c r="D266" t="str">
        <x:v>TR-B</x:v>
      </x:c>
      <x:c r="E266" t="str">
        <x:v>RFP-B2</x:v>
      </x:c>
      <x:c r="F266" t="str">
        <x:v>PTC-B</x:v>
      </x:c>
      <x:c r="G266" t="str">
        <x:v>QT-02</x:v>
      </x:c>
      <x:c r="H266" t="str">
        <x:v>RAW-V20</x:v>
      </x:c>
      <x:c r="I266" t="str">
        <x:v>RAW-A088</x:v>
      </x:c>
      <x:c r="J266" t="str">
        <x:v>DISCLOSED</x:v>
      </x:c>
      <x:c r="K266" t="str">
        <x:v>NONE</x:v>
      </x:c>
      <x:c r="L266" t="str">
        <x:v>n.a.</x:v>
      </x:c>
      <x:c r="M266" s="14" t="n">
        <x:v>2</x:v>
      </x:c>
      <x:c r="N266" s="14" t="n">
        <x:v>4</x:v>
      </x:c>
      <x:c r="O266" s="14" t="str"/>
      <x:c r="P266" s="14" t="str"/>
      <x:c r="Q266" s="14" t="str"/>
      <x:c r="R266" s="14" t="str"/>
      <x:c r="S266" s="14" t="str"/>
      <x:c r="T266" s="14" t="str"/>
      <x:c r="U266" s="10" t="str"/>
      <x:c r="V266" t="str"/>
      <x:c r="W266" t="str">
        <x:f>IF(V266=1,IF(R266="VALID","PASS",IF(R266="INVALID","INVALID","OPEN")),"OPEN")</x:f>
        <x:v>OPEN</x:v>
      </x:c>
    </x:row>
    <x:row r="267" ht="36" customHeight="1">
      <x:c r="B267" t="str">
        <x:v>RAW-E261</x:v>
      </x:c>
      <x:c r="C267" t="str">
        <x:v>AM-03</x:v>
      </x:c>
      <x:c r="D267" t="str">
        <x:v>TR-B</x:v>
      </x:c>
      <x:c r="E267" t="str">
        <x:v>RFP-B2</x:v>
      </x:c>
      <x:c r="F267" t="str">
        <x:v>PTC-B</x:v>
      </x:c>
      <x:c r="G267" t="str">
        <x:v>QT-03</x:v>
      </x:c>
      <x:c r="H267" t="str">
        <x:v>RAW-V21</x:v>
      </x:c>
      <x:c r="I267" t="str">
        <x:v>RAW-A088</x:v>
      </x:c>
      <x:c r="J267" t="str">
        <x:v>DISCLOSED</x:v>
      </x:c>
      <x:c r="K267" t="str">
        <x:v>NONE</x:v>
      </x:c>
      <x:c r="L267" t="str">
        <x:v>n.a.</x:v>
      </x:c>
      <x:c r="M267" s="14" t="n">
        <x:v>2</x:v>
      </x:c>
      <x:c r="N267" s="14" t="n">
        <x:v>6</x:v>
      </x:c>
      <x:c r="O267" s="14" t="str"/>
      <x:c r="P267" s="14" t="str"/>
      <x:c r="Q267" s="14" t="str"/>
      <x:c r="R267" s="14" t="str"/>
      <x:c r="S267" s="14" t="str"/>
      <x:c r="T267" s="14" t="str"/>
      <x:c r="U267" s="10" t="str"/>
      <x:c r="V267" t="str"/>
      <x:c r="W267" t="str">
        <x:f>IF(V267=1,IF(R267="VALID","PASS",IF(R267="INVALID","INVALID","OPEN")),"OPEN")</x:f>
        <x:v>OPEN</x:v>
      </x:c>
    </x:row>
    <x:row r="268" ht="36" customHeight="1">
      <x:c r="B268" t="str">
        <x:v>RAW-E262</x:v>
      </x:c>
      <x:c r="C268" t="str">
        <x:v>AM-03</x:v>
      </x:c>
      <x:c r="D268" t="str">
        <x:v>TR-B</x:v>
      </x:c>
      <x:c r="E268" t="str">
        <x:v>RFP-B2</x:v>
      </x:c>
      <x:c r="F268" t="str">
        <x:v>PTC-B</x:v>
      </x:c>
      <x:c r="G268" t="str">
        <x:v>QT-04</x:v>
      </x:c>
      <x:c r="H268" t="str">
        <x:v>RAW-V22</x:v>
      </x:c>
      <x:c r="I268" t="str">
        <x:v>RAW-A088</x:v>
      </x:c>
      <x:c r="J268" t="str">
        <x:v>BLIND</x:v>
      </x:c>
      <x:c r="K268" t="str">
        <x:v>NONE</x:v>
      </x:c>
      <x:c r="L268" t="str">
        <x:v>n.a.</x:v>
      </x:c>
      <x:c r="M268" s="14" t="n">
        <x:v>3</x:v>
      </x:c>
      <x:c r="N268" s="14" t="n">
        <x:v>8</x:v>
      </x:c>
      <x:c r="O268" s="14" t="str"/>
      <x:c r="P268" s="14" t="str"/>
      <x:c r="Q268" s="14" t="str"/>
      <x:c r="R268" s="14" t="str"/>
      <x:c r="S268" s="14" t="str"/>
      <x:c r="T268" s="14" t="str"/>
      <x:c r="U268" s="10" t="str"/>
      <x:c r="V268" t="str"/>
      <x:c r="W268" t="str">
        <x:f>IF(V268=1,IF(R268="VALID","PASS",IF(R268="INVALID","INVALID","OPEN")),"OPEN")</x:f>
        <x:v>OPEN</x:v>
      </x:c>
    </x:row>
    <x:row r="269" ht="36" customHeight="1">
      <x:c r="B269" t="str">
        <x:v>RAW-E263</x:v>
      </x:c>
      <x:c r="C269" t="str">
        <x:v>AM-03</x:v>
      </x:c>
      <x:c r="D269" t="str">
        <x:v>TR-B</x:v>
      </x:c>
      <x:c r="E269" t="str">
        <x:v>RFP-B2</x:v>
      </x:c>
      <x:c r="F269" t="str">
        <x:v>PTC-B</x:v>
      </x:c>
      <x:c r="G269" t="str">
        <x:v>QT-05</x:v>
      </x:c>
      <x:c r="H269" t="str">
        <x:v>RAW-V23</x:v>
      </x:c>
      <x:c r="I269" t="str">
        <x:v>RAW-A088</x:v>
      </x:c>
      <x:c r="J269" t="str">
        <x:v>BLIND</x:v>
      </x:c>
      <x:c r="K269" t="str">
        <x:v>DECISIVE CHAIN</x:v>
      </x:c>
      <x:c r="L269" t="str">
        <x:v>n.a.</x:v>
      </x:c>
      <x:c r="M269" s="14" t="n">
        <x:v>3</x:v>
      </x:c>
      <x:c r="N269" s="14" t="n">
        <x:v>10</x:v>
      </x:c>
      <x:c r="O269" s="14" t="str"/>
      <x:c r="P269" s="14" t="str"/>
      <x:c r="Q269" s="14" t="str"/>
      <x:c r="R269" s="14" t="str"/>
      <x:c r="S269" s="14" t="str"/>
      <x:c r="T269" s="14" t="str"/>
      <x:c r="U269" s="10" t="str"/>
      <x:c r="V269" t="str"/>
      <x:c r="W269" t="str">
        <x:f>IF(V269=1,IF(R269="VALID","PASS",IF(R269="INVALID","INVALID","OPEN")),"OPEN")</x:f>
        <x:v>OPEN</x:v>
      </x:c>
    </x:row>
    <x:row r="270" ht="36" customHeight="1">
      <x:c r="B270" t="str">
        <x:v>RAW-E264</x:v>
      </x:c>
      <x:c r="C270" t="str">
        <x:v>AM-03</x:v>
      </x:c>
      <x:c r="D270" t="str">
        <x:v>TR-B</x:v>
      </x:c>
      <x:c r="E270" t="str">
        <x:v>RFP-B2</x:v>
      </x:c>
      <x:c r="F270" t="str">
        <x:v>PTC-B</x:v>
      </x:c>
      <x:c r="G270" t="str">
        <x:v>QT-06</x:v>
      </x:c>
      <x:c r="H270" t="str">
        <x:v>RAW-V24</x:v>
      </x:c>
      <x:c r="I270" t="str">
        <x:v>RAW-A088</x:v>
      </x:c>
      <x:c r="J270" t="str">
        <x:v>DISCLOSED</x:v>
      </x:c>
      <x:c r="K270" t="str">
        <x:v>NONE</x:v>
      </x:c>
      <x:c r="L270" t="str">
        <x:v>PTC-C</x:v>
      </x:c>
      <x:c r="M270" s="14" t="n">
        <x:v>4</x:v>
      </x:c>
      <x:c r="N270" s="14" t="n">
        <x:v>12</x:v>
      </x:c>
      <x:c r="O270" s="14" t="str"/>
      <x:c r="P270" s="14" t="str"/>
      <x:c r="Q270" s="14" t="str"/>
      <x:c r="R270" s="14" t="str"/>
      <x:c r="S270" s="14" t="str"/>
      <x:c r="T270" s="14" t="str"/>
      <x:c r="U270" s="10" t="str"/>
      <x:c r="V270" t="str"/>
      <x:c r="W270" t="str">
        <x:f>IF(V270=1,IF(R270="VALID","PASS",IF(R270="INVALID","INVALID","OPEN")),"OPEN")</x:f>
        <x:v>OPEN</x:v>
      </x:c>
    </x:row>
    <x:row r="271" ht="36" customHeight="1">
      <x:c r="B271" t="str">
        <x:v>RAW-E265</x:v>
      </x:c>
      <x:c r="C271" t="str">
        <x:v>AM-03</x:v>
      </x:c>
      <x:c r="D271" t="str">
        <x:v>TR-A</x:v>
      </x:c>
      <x:c r="E271" t="str">
        <x:v>RFP-C1</x:v>
      </x:c>
      <x:c r="F271" t="str">
        <x:v>PTC-C</x:v>
      </x:c>
      <x:c r="G271" t="str">
        <x:v>QT-01</x:v>
      </x:c>
      <x:c r="H271" t="str">
        <x:v>RAW-V19</x:v>
      </x:c>
      <x:c r="I271" t="str">
        <x:v>RAW-A077</x:v>
      </x:c>
      <x:c r="J271" t="str">
        <x:v>DISCLOSED</x:v>
      </x:c>
      <x:c r="K271" t="str">
        <x:v>NONE</x:v>
      </x:c>
      <x:c r="L271" t="str">
        <x:v>n.a.</x:v>
      </x:c>
      <x:c r="M271" s="14" t="n">
        <x:v>2</x:v>
      </x:c>
      <x:c r="N271" s="14" t="n">
        <x:v>1</x:v>
      </x:c>
      <x:c r="O271" s="14" t="str"/>
      <x:c r="P271" s="14" t="str"/>
      <x:c r="Q271" s="14" t="str"/>
      <x:c r="R271" s="14" t="str"/>
      <x:c r="S271" s="14" t="str"/>
      <x:c r="T271" s="14" t="str"/>
      <x:c r="U271" s="10" t="str"/>
      <x:c r="V271" t="str"/>
      <x:c r="W271" t="str">
        <x:f>IF(V271=1,IF(R271="VALID","PASS",IF(R271="INVALID","INVALID","OPEN")),"OPEN")</x:f>
        <x:v>OPEN</x:v>
      </x:c>
    </x:row>
    <x:row r="272" ht="36" customHeight="1">
      <x:c r="B272" t="str">
        <x:v>RAW-E266</x:v>
      </x:c>
      <x:c r="C272" t="str">
        <x:v>AM-03</x:v>
      </x:c>
      <x:c r="D272" t="str">
        <x:v>TR-A</x:v>
      </x:c>
      <x:c r="E272" t="str">
        <x:v>RFP-C1</x:v>
      </x:c>
      <x:c r="F272" t="str">
        <x:v>PTC-C</x:v>
      </x:c>
      <x:c r="G272" t="str">
        <x:v>QT-02</x:v>
      </x:c>
      <x:c r="H272" t="str">
        <x:v>RAW-V20</x:v>
      </x:c>
      <x:c r="I272" t="str">
        <x:v>RAW-A077</x:v>
      </x:c>
      <x:c r="J272" t="str">
        <x:v>DISCLOSED</x:v>
      </x:c>
      <x:c r="K272" t="str">
        <x:v>NONE</x:v>
      </x:c>
      <x:c r="L272" t="str">
        <x:v>n.a.</x:v>
      </x:c>
      <x:c r="M272" s="14" t="n">
        <x:v>2</x:v>
      </x:c>
      <x:c r="N272" s="14" t="n">
        <x:v>3</x:v>
      </x:c>
      <x:c r="O272" s="14" t="str"/>
      <x:c r="P272" s="14" t="str"/>
      <x:c r="Q272" s="14" t="str"/>
      <x:c r="R272" s="14" t="str"/>
      <x:c r="S272" s="14" t="str"/>
      <x:c r="T272" s="14" t="str"/>
      <x:c r="U272" s="10" t="str"/>
      <x:c r="V272" t="str"/>
      <x:c r="W272" t="str">
        <x:f>IF(V272=1,IF(R272="VALID","PASS",IF(R272="INVALID","INVALID","OPEN")),"OPEN")</x:f>
        <x:v>OPEN</x:v>
      </x:c>
    </x:row>
    <x:row r="273" ht="36" customHeight="1">
      <x:c r="B273" t="str">
        <x:v>RAW-E267</x:v>
      </x:c>
      <x:c r="C273" t="str">
        <x:v>AM-03</x:v>
      </x:c>
      <x:c r="D273" t="str">
        <x:v>TR-A</x:v>
      </x:c>
      <x:c r="E273" t="str">
        <x:v>RFP-C1</x:v>
      </x:c>
      <x:c r="F273" t="str">
        <x:v>PTC-C</x:v>
      </x:c>
      <x:c r="G273" t="str">
        <x:v>QT-03</x:v>
      </x:c>
      <x:c r="H273" t="str">
        <x:v>RAW-V21</x:v>
      </x:c>
      <x:c r="I273" t="str">
        <x:v>RAW-A077</x:v>
      </x:c>
      <x:c r="J273" t="str">
        <x:v>DISCLOSED</x:v>
      </x:c>
      <x:c r="K273" t="str">
        <x:v>NONE</x:v>
      </x:c>
      <x:c r="L273" t="str">
        <x:v>n.a.</x:v>
      </x:c>
      <x:c r="M273" s="14" t="n">
        <x:v>2</x:v>
      </x:c>
      <x:c r="N273" s="14" t="n">
        <x:v>5</x:v>
      </x:c>
      <x:c r="O273" s="14" t="str"/>
      <x:c r="P273" s="14" t="str"/>
      <x:c r="Q273" s="14" t="str"/>
      <x:c r="R273" s="14" t="str"/>
      <x:c r="S273" s="14" t="str"/>
      <x:c r="T273" s="14" t="str"/>
      <x:c r="U273" s="10" t="str"/>
      <x:c r="V273" t="str"/>
      <x:c r="W273" t="str">
        <x:f>IF(V273=1,IF(R273="VALID","PASS",IF(R273="INVALID","INVALID","OPEN")),"OPEN")</x:f>
        <x:v>OPEN</x:v>
      </x:c>
    </x:row>
    <x:row r="274" ht="36" customHeight="1">
      <x:c r="B274" t="str">
        <x:v>RAW-E268</x:v>
      </x:c>
      <x:c r="C274" t="str">
        <x:v>AM-03</x:v>
      </x:c>
      <x:c r="D274" t="str">
        <x:v>TR-A</x:v>
      </x:c>
      <x:c r="E274" t="str">
        <x:v>RFP-C1</x:v>
      </x:c>
      <x:c r="F274" t="str">
        <x:v>PTC-C</x:v>
      </x:c>
      <x:c r="G274" t="str">
        <x:v>QT-04</x:v>
      </x:c>
      <x:c r="H274" t="str">
        <x:v>RAW-V22</x:v>
      </x:c>
      <x:c r="I274" t="str">
        <x:v>RAW-A077</x:v>
      </x:c>
      <x:c r="J274" t="str">
        <x:v>BLIND</x:v>
      </x:c>
      <x:c r="K274" t="str">
        <x:v>NONE</x:v>
      </x:c>
      <x:c r="L274" t="str">
        <x:v>n.a.</x:v>
      </x:c>
      <x:c r="M274" s="14" t="n">
        <x:v>3</x:v>
      </x:c>
      <x:c r="N274" s="14" t="n">
        <x:v>7</x:v>
      </x:c>
      <x:c r="O274" s="14" t="str"/>
      <x:c r="P274" s="14" t="str"/>
      <x:c r="Q274" s="14" t="str"/>
      <x:c r="R274" s="14" t="str"/>
      <x:c r="S274" s="14" t="str"/>
      <x:c r="T274" s="14" t="str"/>
      <x:c r="U274" s="10" t="str"/>
      <x:c r="V274" t="str"/>
      <x:c r="W274" t="str">
        <x:f>IF(V274=1,IF(R274="VALID","PASS",IF(R274="INVALID","INVALID","OPEN")),"OPEN")</x:f>
        <x:v>OPEN</x:v>
      </x:c>
    </x:row>
    <x:row r="275" ht="36" customHeight="1">
      <x:c r="B275" t="str">
        <x:v>RAW-E269</x:v>
      </x:c>
      <x:c r="C275" t="str">
        <x:v>AM-03</x:v>
      </x:c>
      <x:c r="D275" t="str">
        <x:v>TR-A</x:v>
      </x:c>
      <x:c r="E275" t="str">
        <x:v>RFP-C1</x:v>
      </x:c>
      <x:c r="F275" t="str">
        <x:v>PTC-C</x:v>
      </x:c>
      <x:c r="G275" t="str">
        <x:v>QT-05</x:v>
      </x:c>
      <x:c r="H275" t="str">
        <x:v>RAW-V23</x:v>
      </x:c>
      <x:c r="I275" t="str">
        <x:v>RAW-A077</x:v>
      </x:c>
      <x:c r="J275" t="str">
        <x:v>BLIND</x:v>
      </x:c>
      <x:c r="K275" t="str">
        <x:v>DECISIVE CHAIN</x:v>
      </x:c>
      <x:c r="L275" t="str">
        <x:v>n.a.</x:v>
      </x:c>
      <x:c r="M275" s="14" t="n">
        <x:v>3</x:v>
      </x:c>
      <x:c r="N275" s="14" t="n">
        <x:v>9</x:v>
      </x:c>
      <x:c r="O275" s="14" t="str"/>
      <x:c r="P275" s="14" t="str"/>
      <x:c r="Q275" s="14" t="str"/>
      <x:c r="R275" s="14" t="str"/>
      <x:c r="S275" s="14" t="str"/>
      <x:c r="T275" s="14" t="str"/>
      <x:c r="U275" s="10" t="str"/>
      <x:c r="V275" t="str"/>
      <x:c r="W275" t="str">
        <x:f>IF(V275=1,IF(R275="VALID","PASS",IF(R275="INVALID","INVALID","OPEN")),"OPEN")</x:f>
        <x:v>OPEN</x:v>
      </x:c>
    </x:row>
    <x:row r="276" ht="36" customHeight="1">
      <x:c r="B276" t="str">
        <x:v>RAW-E270</x:v>
      </x:c>
      <x:c r="C276" t="str">
        <x:v>AM-03</x:v>
      </x:c>
      <x:c r="D276" t="str">
        <x:v>TR-A</x:v>
      </x:c>
      <x:c r="E276" t="str">
        <x:v>RFP-C1</x:v>
      </x:c>
      <x:c r="F276" t="str">
        <x:v>PTC-C</x:v>
      </x:c>
      <x:c r="G276" t="str">
        <x:v>QT-06</x:v>
      </x:c>
      <x:c r="H276" t="str">
        <x:v>RAW-V24</x:v>
      </x:c>
      <x:c r="I276" t="str">
        <x:v>RAW-A077</x:v>
      </x:c>
      <x:c r="J276" t="str">
        <x:v>DISCLOSED</x:v>
      </x:c>
      <x:c r="K276" t="str">
        <x:v>NONE</x:v>
      </x:c>
      <x:c r="L276" t="str">
        <x:v>PTC-B</x:v>
      </x:c>
      <x:c r="M276" s="14" t="n">
        <x:v>4</x:v>
      </x:c>
      <x:c r="N276" s="14" t="n">
        <x:v>11</x:v>
      </x:c>
      <x:c r="O276" s="14" t="str"/>
      <x:c r="P276" s="14" t="str"/>
      <x:c r="Q276" s="14" t="str"/>
      <x:c r="R276" s="14" t="str"/>
      <x:c r="S276" s="14" t="str"/>
      <x:c r="T276" s="14" t="str"/>
      <x:c r="U276" s="10" t="str"/>
      <x:c r="V276" t="str"/>
      <x:c r="W276" t="str">
        <x:f>IF(V276=1,IF(R276="VALID","PASS",IF(R276="INVALID","INVALID","OPEN")),"OPEN")</x:f>
        <x:v>OPEN</x:v>
      </x:c>
    </x:row>
    <x:row r="277" ht="36" customHeight="1">
      <x:c r="B277" t="str">
        <x:v>RAW-E271</x:v>
      </x:c>
      <x:c r="C277" t="str">
        <x:v>AM-03</x:v>
      </x:c>
      <x:c r="D277" t="str">
        <x:v>TR-B</x:v>
      </x:c>
      <x:c r="E277" t="str">
        <x:v>RFP-C1</x:v>
      </x:c>
      <x:c r="F277" t="str">
        <x:v>PTC-C</x:v>
      </x:c>
      <x:c r="G277" t="str">
        <x:v>QT-01</x:v>
      </x:c>
      <x:c r="H277" t="str">
        <x:v>RAW-V19</x:v>
      </x:c>
      <x:c r="I277" t="str">
        <x:v>RAW-A089</x:v>
      </x:c>
      <x:c r="J277" t="str">
        <x:v>DISCLOSED</x:v>
      </x:c>
      <x:c r="K277" t="str">
        <x:v>NONE</x:v>
      </x:c>
      <x:c r="L277" t="str">
        <x:v>n.a.</x:v>
      </x:c>
      <x:c r="M277" s="14" t="n">
        <x:v>2</x:v>
      </x:c>
      <x:c r="N277" s="14" t="n">
        <x:v>2</x:v>
      </x:c>
      <x:c r="O277" s="14" t="str"/>
      <x:c r="P277" s="14" t="str"/>
      <x:c r="Q277" s="14" t="str"/>
      <x:c r="R277" s="14" t="str"/>
      <x:c r="S277" s="14" t="str"/>
      <x:c r="T277" s="14" t="str"/>
      <x:c r="U277" s="10" t="str"/>
      <x:c r="V277" t="str"/>
      <x:c r="W277" t="str">
        <x:f>IF(V277=1,IF(R277="VALID","PASS",IF(R277="INVALID","INVALID","OPEN")),"OPEN")</x:f>
        <x:v>OPEN</x:v>
      </x:c>
    </x:row>
    <x:row r="278" ht="36" customHeight="1">
      <x:c r="B278" t="str">
        <x:v>RAW-E272</x:v>
      </x:c>
      <x:c r="C278" t="str">
        <x:v>AM-03</x:v>
      </x:c>
      <x:c r="D278" t="str">
        <x:v>TR-B</x:v>
      </x:c>
      <x:c r="E278" t="str">
        <x:v>RFP-C1</x:v>
      </x:c>
      <x:c r="F278" t="str">
        <x:v>PTC-C</x:v>
      </x:c>
      <x:c r="G278" t="str">
        <x:v>QT-02</x:v>
      </x:c>
      <x:c r="H278" t="str">
        <x:v>RAW-V20</x:v>
      </x:c>
      <x:c r="I278" t="str">
        <x:v>RAW-A089</x:v>
      </x:c>
      <x:c r="J278" t="str">
        <x:v>DISCLOSED</x:v>
      </x:c>
      <x:c r="K278" t="str">
        <x:v>NONE</x:v>
      </x:c>
      <x:c r="L278" t="str">
        <x:v>n.a.</x:v>
      </x:c>
      <x:c r="M278" s="14" t="n">
        <x:v>2</x:v>
      </x:c>
      <x:c r="N278" s="14" t="n">
        <x:v>4</x:v>
      </x:c>
      <x:c r="O278" s="14" t="str"/>
      <x:c r="P278" s="14" t="str"/>
      <x:c r="Q278" s="14" t="str"/>
      <x:c r="R278" s="14" t="str"/>
      <x:c r="S278" s="14" t="str"/>
      <x:c r="T278" s="14" t="str"/>
      <x:c r="U278" s="10" t="str"/>
      <x:c r="V278" t="str"/>
      <x:c r="W278" t="str">
        <x:f>IF(V278=1,IF(R278="VALID","PASS",IF(R278="INVALID","INVALID","OPEN")),"OPEN")</x:f>
        <x:v>OPEN</x:v>
      </x:c>
    </x:row>
    <x:row r="279" ht="36" customHeight="1">
      <x:c r="B279" t="str">
        <x:v>RAW-E273</x:v>
      </x:c>
      <x:c r="C279" t="str">
        <x:v>AM-03</x:v>
      </x:c>
      <x:c r="D279" t="str">
        <x:v>TR-B</x:v>
      </x:c>
      <x:c r="E279" t="str">
        <x:v>RFP-C1</x:v>
      </x:c>
      <x:c r="F279" t="str">
        <x:v>PTC-C</x:v>
      </x:c>
      <x:c r="G279" t="str">
        <x:v>QT-03</x:v>
      </x:c>
      <x:c r="H279" t="str">
        <x:v>RAW-V21</x:v>
      </x:c>
      <x:c r="I279" t="str">
        <x:v>RAW-A089</x:v>
      </x:c>
      <x:c r="J279" t="str">
        <x:v>DISCLOSED</x:v>
      </x:c>
      <x:c r="K279" t="str">
        <x:v>NONE</x:v>
      </x:c>
      <x:c r="L279" t="str">
        <x:v>n.a.</x:v>
      </x:c>
      <x:c r="M279" s="14" t="n">
        <x:v>2</x:v>
      </x:c>
      <x:c r="N279" s="14" t="n">
        <x:v>6</x:v>
      </x:c>
      <x:c r="O279" s="14" t="str"/>
      <x:c r="P279" s="14" t="str"/>
      <x:c r="Q279" s="14" t="str"/>
      <x:c r="R279" s="14" t="str"/>
      <x:c r="S279" s="14" t="str"/>
      <x:c r="T279" s="14" t="str"/>
      <x:c r="U279" s="10" t="str"/>
      <x:c r="V279" t="str"/>
      <x:c r="W279" t="str">
        <x:f>IF(V279=1,IF(R279="VALID","PASS",IF(R279="INVALID","INVALID","OPEN")),"OPEN")</x:f>
        <x:v>OPEN</x:v>
      </x:c>
    </x:row>
    <x:row r="280" ht="36" customHeight="1">
      <x:c r="B280" t="str">
        <x:v>RAW-E274</x:v>
      </x:c>
      <x:c r="C280" t="str">
        <x:v>AM-03</x:v>
      </x:c>
      <x:c r="D280" t="str">
        <x:v>TR-B</x:v>
      </x:c>
      <x:c r="E280" t="str">
        <x:v>RFP-C1</x:v>
      </x:c>
      <x:c r="F280" t="str">
        <x:v>PTC-C</x:v>
      </x:c>
      <x:c r="G280" t="str">
        <x:v>QT-04</x:v>
      </x:c>
      <x:c r="H280" t="str">
        <x:v>RAW-V22</x:v>
      </x:c>
      <x:c r="I280" t="str">
        <x:v>RAW-A089</x:v>
      </x:c>
      <x:c r="J280" t="str">
        <x:v>BLIND</x:v>
      </x:c>
      <x:c r="K280" t="str">
        <x:v>NONE</x:v>
      </x:c>
      <x:c r="L280" t="str">
        <x:v>n.a.</x:v>
      </x:c>
      <x:c r="M280" s="14" t="n">
        <x:v>3</x:v>
      </x:c>
      <x:c r="N280" s="14" t="n">
        <x:v>8</x:v>
      </x:c>
      <x:c r="O280" s="14" t="str"/>
      <x:c r="P280" s="14" t="str"/>
      <x:c r="Q280" s="14" t="str"/>
      <x:c r="R280" s="14" t="str"/>
      <x:c r="S280" s="14" t="str"/>
      <x:c r="T280" s="14" t="str"/>
      <x:c r="U280" s="10" t="str"/>
      <x:c r="V280" t="str"/>
      <x:c r="W280" t="str">
        <x:f>IF(V280=1,IF(R280="VALID","PASS",IF(R280="INVALID","INVALID","OPEN")),"OPEN")</x:f>
        <x:v>OPEN</x:v>
      </x:c>
    </x:row>
    <x:row r="281" ht="36" customHeight="1">
      <x:c r="B281" t="str">
        <x:v>RAW-E275</x:v>
      </x:c>
      <x:c r="C281" t="str">
        <x:v>AM-03</x:v>
      </x:c>
      <x:c r="D281" t="str">
        <x:v>TR-B</x:v>
      </x:c>
      <x:c r="E281" t="str">
        <x:v>RFP-C1</x:v>
      </x:c>
      <x:c r="F281" t="str">
        <x:v>PTC-C</x:v>
      </x:c>
      <x:c r="G281" t="str">
        <x:v>QT-05</x:v>
      </x:c>
      <x:c r="H281" t="str">
        <x:v>RAW-V23</x:v>
      </x:c>
      <x:c r="I281" t="str">
        <x:v>RAW-A089</x:v>
      </x:c>
      <x:c r="J281" t="str">
        <x:v>BLIND</x:v>
      </x:c>
      <x:c r="K281" t="str">
        <x:v>DECISIVE CHAIN</x:v>
      </x:c>
      <x:c r="L281" t="str">
        <x:v>n.a.</x:v>
      </x:c>
      <x:c r="M281" s="14" t="n">
        <x:v>3</x:v>
      </x:c>
      <x:c r="N281" s="14" t="n">
        <x:v>10</x:v>
      </x:c>
      <x:c r="O281" s="14" t="str"/>
      <x:c r="P281" s="14" t="str"/>
      <x:c r="Q281" s="14" t="str"/>
      <x:c r="R281" s="14" t="str"/>
      <x:c r="S281" s="14" t="str"/>
      <x:c r="T281" s="14" t="str"/>
      <x:c r="U281" s="10" t="str"/>
      <x:c r="V281" t="str"/>
      <x:c r="W281" t="str">
        <x:f>IF(V281=1,IF(R281="VALID","PASS",IF(R281="INVALID","INVALID","OPEN")),"OPEN")</x:f>
        <x:v>OPEN</x:v>
      </x:c>
    </x:row>
    <x:row r="282" ht="36" customHeight="1">
      <x:c r="B282" t="str">
        <x:v>RAW-E276</x:v>
      </x:c>
      <x:c r="C282" t="str">
        <x:v>AM-03</x:v>
      </x:c>
      <x:c r="D282" t="str">
        <x:v>TR-B</x:v>
      </x:c>
      <x:c r="E282" t="str">
        <x:v>RFP-C1</x:v>
      </x:c>
      <x:c r="F282" t="str">
        <x:v>PTC-C</x:v>
      </x:c>
      <x:c r="G282" t="str">
        <x:v>QT-06</x:v>
      </x:c>
      <x:c r="H282" t="str">
        <x:v>RAW-V24</x:v>
      </x:c>
      <x:c r="I282" t="str">
        <x:v>RAW-A089</x:v>
      </x:c>
      <x:c r="J282" t="str">
        <x:v>DISCLOSED</x:v>
      </x:c>
      <x:c r="K282" t="str">
        <x:v>NONE</x:v>
      </x:c>
      <x:c r="L282" t="str">
        <x:v>PTC-B</x:v>
      </x:c>
      <x:c r="M282" s="14" t="n">
        <x:v>4</x:v>
      </x:c>
      <x:c r="N282" s="14" t="n">
        <x:v>12</x:v>
      </x:c>
      <x:c r="O282" s="14" t="str"/>
      <x:c r="P282" s="14" t="str"/>
      <x:c r="Q282" s="14" t="str"/>
      <x:c r="R282" s="14" t="str"/>
      <x:c r="S282" s="14" t="str"/>
      <x:c r="T282" s="14" t="str"/>
      <x:c r="U282" s="10" t="str"/>
      <x:c r="V282" t="str"/>
      <x:c r="W282" t="str">
        <x:f>IF(V282=1,IF(R282="VALID","PASS",IF(R282="INVALID","INVALID","OPEN")),"OPEN")</x:f>
        <x:v>OPEN</x:v>
      </x:c>
    </x:row>
    <x:row r="283" ht="36" customHeight="1">
      <x:c r="B283" t="str">
        <x:v>RAW-E277</x:v>
      </x:c>
      <x:c r="C283" t="str">
        <x:v>AM-03</x:v>
      </x:c>
      <x:c r="D283" t="str">
        <x:v>TR-A</x:v>
      </x:c>
      <x:c r="E283" t="str">
        <x:v>RFP-C2</x:v>
      </x:c>
      <x:c r="F283" t="str">
        <x:v>PTC-C</x:v>
      </x:c>
      <x:c r="G283" t="str">
        <x:v>QT-01</x:v>
      </x:c>
      <x:c r="H283" t="str">
        <x:v>RAW-V19</x:v>
      </x:c>
      <x:c r="I283" t="str">
        <x:v>RAW-A078</x:v>
      </x:c>
      <x:c r="J283" t="str">
        <x:v>DISCLOSED</x:v>
      </x:c>
      <x:c r="K283" t="str">
        <x:v>NONE</x:v>
      </x:c>
      <x:c r="L283" t="str">
        <x:v>n.a.</x:v>
      </x:c>
      <x:c r="M283" s="14" t="n">
        <x:v>2</x:v>
      </x:c>
      <x:c r="N283" s="14" t="n">
        <x:v>1</x:v>
      </x:c>
      <x:c r="O283" s="14" t="str"/>
      <x:c r="P283" s="14" t="str"/>
      <x:c r="Q283" s="14" t="str"/>
      <x:c r="R283" s="14" t="str"/>
      <x:c r="S283" s="14" t="str"/>
      <x:c r="T283" s="14" t="str"/>
      <x:c r="U283" s="10" t="str"/>
      <x:c r="V283" t="str"/>
      <x:c r="W283" t="str">
        <x:f>IF(V283=1,IF(R283="VALID","PASS",IF(R283="INVALID","INVALID","OPEN")),"OPEN")</x:f>
        <x:v>OPEN</x:v>
      </x:c>
    </x:row>
    <x:row r="284" ht="36" customHeight="1">
      <x:c r="B284" t="str">
        <x:v>RAW-E278</x:v>
      </x:c>
      <x:c r="C284" t="str">
        <x:v>AM-03</x:v>
      </x:c>
      <x:c r="D284" t="str">
        <x:v>TR-A</x:v>
      </x:c>
      <x:c r="E284" t="str">
        <x:v>RFP-C2</x:v>
      </x:c>
      <x:c r="F284" t="str">
        <x:v>PTC-C</x:v>
      </x:c>
      <x:c r="G284" t="str">
        <x:v>QT-02</x:v>
      </x:c>
      <x:c r="H284" t="str">
        <x:v>RAW-V20</x:v>
      </x:c>
      <x:c r="I284" t="str">
        <x:v>RAW-A078</x:v>
      </x:c>
      <x:c r="J284" t="str">
        <x:v>DISCLOSED</x:v>
      </x:c>
      <x:c r="K284" t="str">
        <x:v>NONE</x:v>
      </x:c>
      <x:c r="L284" t="str">
        <x:v>n.a.</x:v>
      </x:c>
      <x:c r="M284" s="14" t="n">
        <x:v>2</x:v>
      </x:c>
      <x:c r="N284" s="14" t="n">
        <x:v>3</x:v>
      </x:c>
      <x:c r="O284" s="14" t="str"/>
      <x:c r="P284" s="14" t="str"/>
      <x:c r="Q284" s="14" t="str"/>
      <x:c r="R284" s="14" t="str"/>
      <x:c r="S284" s="14" t="str"/>
      <x:c r="T284" s="14" t="str"/>
      <x:c r="U284" s="10" t="str"/>
      <x:c r="V284" t="str"/>
      <x:c r="W284" t="str">
        <x:f>IF(V284=1,IF(R284="VALID","PASS",IF(R284="INVALID","INVALID","OPEN")),"OPEN")</x:f>
        <x:v>OPEN</x:v>
      </x:c>
    </x:row>
    <x:row r="285" ht="36" customHeight="1">
      <x:c r="B285" t="str">
        <x:v>RAW-E279</x:v>
      </x:c>
      <x:c r="C285" t="str">
        <x:v>AM-03</x:v>
      </x:c>
      <x:c r="D285" t="str">
        <x:v>TR-A</x:v>
      </x:c>
      <x:c r="E285" t="str">
        <x:v>RFP-C2</x:v>
      </x:c>
      <x:c r="F285" t="str">
        <x:v>PTC-C</x:v>
      </x:c>
      <x:c r="G285" t="str">
        <x:v>QT-03</x:v>
      </x:c>
      <x:c r="H285" t="str">
        <x:v>RAW-V21</x:v>
      </x:c>
      <x:c r="I285" t="str">
        <x:v>RAW-A078</x:v>
      </x:c>
      <x:c r="J285" t="str">
        <x:v>DISCLOSED</x:v>
      </x:c>
      <x:c r="K285" t="str">
        <x:v>NONE</x:v>
      </x:c>
      <x:c r="L285" t="str">
        <x:v>n.a.</x:v>
      </x:c>
      <x:c r="M285" s="14" t="n">
        <x:v>2</x:v>
      </x:c>
      <x:c r="N285" s="14" t="n">
        <x:v>5</x:v>
      </x:c>
      <x:c r="O285" s="14" t="str"/>
      <x:c r="P285" s="14" t="str"/>
      <x:c r="Q285" s="14" t="str"/>
      <x:c r="R285" s="14" t="str"/>
      <x:c r="S285" s="14" t="str"/>
      <x:c r="T285" s="14" t="str"/>
      <x:c r="U285" s="10" t="str"/>
      <x:c r="V285" t="str"/>
      <x:c r="W285" t="str">
        <x:f>IF(V285=1,IF(R285="VALID","PASS",IF(R285="INVALID","INVALID","OPEN")),"OPEN")</x:f>
        <x:v>OPEN</x:v>
      </x:c>
    </x:row>
    <x:row r="286" ht="36" customHeight="1">
      <x:c r="B286" t="str">
        <x:v>RAW-E280</x:v>
      </x:c>
      <x:c r="C286" t="str">
        <x:v>AM-03</x:v>
      </x:c>
      <x:c r="D286" t="str">
        <x:v>TR-A</x:v>
      </x:c>
      <x:c r="E286" t="str">
        <x:v>RFP-C2</x:v>
      </x:c>
      <x:c r="F286" t="str">
        <x:v>PTC-C</x:v>
      </x:c>
      <x:c r="G286" t="str">
        <x:v>QT-04</x:v>
      </x:c>
      <x:c r="H286" t="str">
        <x:v>RAW-V22</x:v>
      </x:c>
      <x:c r="I286" t="str">
        <x:v>RAW-A078</x:v>
      </x:c>
      <x:c r="J286" t="str">
        <x:v>BLIND</x:v>
      </x:c>
      <x:c r="K286" t="str">
        <x:v>NONE</x:v>
      </x:c>
      <x:c r="L286" t="str">
        <x:v>n.a.</x:v>
      </x:c>
      <x:c r="M286" s="14" t="n">
        <x:v>3</x:v>
      </x:c>
      <x:c r="N286" s="14" t="n">
        <x:v>7</x:v>
      </x:c>
      <x:c r="O286" s="14" t="str"/>
      <x:c r="P286" s="14" t="str"/>
      <x:c r="Q286" s="14" t="str"/>
      <x:c r="R286" s="14" t="str"/>
      <x:c r="S286" s="14" t="str"/>
      <x:c r="T286" s="14" t="str"/>
      <x:c r="U286" s="10" t="str"/>
      <x:c r="V286" t="str"/>
      <x:c r="W286" t="str">
        <x:f>IF(V286=1,IF(R286="VALID","PASS",IF(R286="INVALID","INVALID","OPEN")),"OPEN")</x:f>
        <x:v>OPEN</x:v>
      </x:c>
    </x:row>
    <x:row r="287" ht="36" customHeight="1">
      <x:c r="B287" t="str">
        <x:v>RAW-E281</x:v>
      </x:c>
      <x:c r="C287" t="str">
        <x:v>AM-03</x:v>
      </x:c>
      <x:c r="D287" t="str">
        <x:v>TR-A</x:v>
      </x:c>
      <x:c r="E287" t="str">
        <x:v>RFP-C2</x:v>
      </x:c>
      <x:c r="F287" t="str">
        <x:v>PTC-C</x:v>
      </x:c>
      <x:c r="G287" t="str">
        <x:v>QT-05</x:v>
      </x:c>
      <x:c r="H287" t="str">
        <x:v>RAW-V23</x:v>
      </x:c>
      <x:c r="I287" t="str">
        <x:v>RAW-A078</x:v>
      </x:c>
      <x:c r="J287" t="str">
        <x:v>BLIND</x:v>
      </x:c>
      <x:c r="K287" t="str">
        <x:v>DECISIVE CHAIN</x:v>
      </x:c>
      <x:c r="L287" t="str">
        <x:v>n.a.</x:v>
      </x:c>
      <x:c r="M287" s="14" t="n">
        <x:v>3</x:v>
      </x:c>
      <x:c r="N287" s="14" t="n">
        <x:v>9</x:v>
      </x:c>
      <x:c r="O287" s="14" t="str"/>
      <x:c r="P287" s="14" t="str"/>
      <x:c r="Q287" s="14" t="str"/>
      <x:c r="R287" s="14" t="str"/>
      <x:c r="S287" s="14" t="str"/>
      <x:c r="T287" s="14" t="str"/>
      <x:c r="U287" s="10" t="str"/>
      <x:c r="V287" t="str"/>
      <x:c r="W287" t="str">
        <x:f>IF(V287=1,IF(R287="VALID","PASS",IF(R287="INVALID","INVALID","OPEN")),"OPEN")</x:f>
        <x:v>OPEN</x:v>
      </x:c>
    </x:row>
    <x:row r="288" ht="36" customHeight="1">
      <x:c r="B288" t="str">
        <x:v>RAW-E282</x:v>
      </x:c>
      <x:c r="C288" t="str">
        <x:v>AM-03</x:v>
      </x:c>
      <x:c r="D288" t="str">
        <x:v>TR-A</x:v>
      </x:c>
      <x:c r="E288" t="str">
        <x:v>RFP-C2</x:v>
      </x:c>
      <x:c r="F288" t="str">
        <x:v>PTC-C</x:v>
      </x:c>
      <x:c r="G288" t="str">
        <x:v>QT-06</x:v>
      </x:c>
      <x:c r="H288" t="str">
        <x:v>RAW-V24</x:v>
      </x:c>
      <x:c r="I288" t="str">
        <x:v>RAW-A078</x:v>
      </x:c>
      <x:c r="J288" t="str">
        <x:v>DISCLOSED</x:v>
      </x:c>
      <x:c r="K288" t="str">
        <x:v>NONE</x:v>
      </x:c>
      <x:c r="L288" t="str">
        <x:v>PTC-B</x:v>
      </x:c>
      <x:c r="M288" s="14" t="n">
        <x:v>4</x:v>
      </x:c>
      <x:c r="N288" s="14" t="n">
        <x:v>11</x:v>
      </x:c>
      <x:c r="O288" s="14" t="str"/>
      <x:c r="P288" s="14" t="str"/>
      <x:c r="Q288" s="14" t="str"/>
      <x:c r="R288" s="14" t="str"/>
      <x:c r="S288" s="14" t="str"/>
      <x:c r="T288" s="14" t="str"/>
      <x:c r="U288" s="10" t="str"/>
      <x:c r="V288" t="str"/>
      <x:c r="W288" t="str">
        <x:f>IF(V288=1,IF(R288="VALID","PASS",IF(R288="INVALID","INVALID","OPEN")),"OPEN")</x:f>
        <x:v>OPEN</x:v>
      </x:c>
    </x:row>
    <x:row r="289" ht="36" customHeight="1">
      <x:c r="B289" t="str">
        <x:v>RAW-E283</x:v>
      </x:c>
      <x:c r="C289" t="str">
        <x:v>AM-03</x:v>
      </x:c>
      <x:c r="D289" t="str">
        <x:v>TR-B</x:v>
      </x:c>
      <x:c r="E289" t="str">
        <x:v>RFP-C2</x:v>
      </x:c>
      <x:c r="F289" t="str">
        <x:v>PTC-C</x:v>
      </x:c>
      <x:c r="G289" t="str">
        <x:v>QT-01</x:v>
      </x:c>
      <x:c r="H289" t="str">
        <x:v>RAW-V19</x:v>
      </x:c>
      <x:c r="I289" t="str">
        <x:v>RAW-A090</x:v>
      </x:c>
      <x:c r="J289" t="str">
        <x:v>DISCLOSED</x:v>
      </x:c>
      <x:c r="K289" t="str">
        <x:v>NONE</x:v>
      </x:c>
      <x:c r="L289" t="str">
        <x:v>n.a.</x:v>
      </x:c>
      <x:c r="M289" s="14" t="n">
        <x:v>2</x:v>
      </x:c>
      <x:c r="N289" s="14" t="n">
        <x:v>2</x:v>
      </x:c>
      <x:c r="O289" s="14" t="str"/>
      <x:c r="P289" s="14" t="str"/>
      <x:c r="Q289" s="14" t="str"/>
      <x:c r="R289" s="14" t="str"/>
      <x:c r="S289" s="14" t="str"/>
      <x:c r="T289" s="14" t="str"/>
      <x:c r="U289" s="10" t="str"/>
      <x:c r="V289" t="str"/>
      <x:c r="W289" t="str">
        <x:f>IF(V289=1,IF(R289="VALID","PASS",IF(R289="INVALID","INVALID","OPEN")),"OPEN")</x:f>
        <x:v>OPEN</x:v>
      </x:c>
    </x:row>
    <x:row r="290" ht="36" customHeight="1">
      <x:c r="B290" t="str">
        <x:v>RAW-E284</x:v>
      </x:c>
      <x:c r="C290" t="str">
        <x:v>AM-03</x:v>
      </x:c>
      <x:c r="D290" t="str">
        <x:v>TR-B</x:v>
      </x:c>
      <x:c r="E290" t="str">
        <x:v>RFP-C2</x:v>
      </x:c>
      <x:c r="F290" t="str">
        <x:v>PTC-C</x:v>
      </x:c>
      <x:c r="G290" t="str">
        <x:v>QT-02</x:v>
      </x:c>
      <x:c r="H290" t="str">
        <x:v>RAW-V20</x:v>
      </x:c>
      <x:c r="I290" t="str">
        <x:v>RAW-A090</x:v>
      </x:c>
      <x:c r="J290" t="str">
        <x:v>DISCLOSED</x:v>
      </x:c>
      <x:c r="K290" t="str">
        <x:v>NONE</x:v>
      </x:c>
      <x:c r="L290" t="str">
        <x:v>n.a.</x:v>
      </x:c>
      <x:c r="M290" s="14" t="n">
        <x:v>2</x:v>
      </x:c>
      <x:c r="N290" s="14" t="n">
        <x:v>4</x:v>
      </x:c>
      <x:c r="O290" s="14" t="str"/>
      <x:c r="P290" s="14" t="str"/>
      <x:c r="Q290" s="14" t="str"/>
      <x:c r="R290" s="14" t="str"/>
      <x:c r="S290" s="14" t="str"/>
      <x:c r="T290" s="14" t="str"/>
      <x:c r="U290" s="10" t="str"/>
      <x:c r="V290" t="str"/>
      <x:c r="W290" t="str">
        <x:f>IF(V290=1,IF(R290="VALID","PASS",IF(R290="INVALID","INVALID","OPEN")),"OPEN")</x:f>
        <x:v>OPEN</x:v>
      </x:c>
    </x:row>
    <x:row r="291" ht="36" customHeight="1">
      <x:c r="B291" t="str">
        <x:v>RAW-E285</x:v>
      </x:c>
      <x:c r="C291" t="str">
        <x:v>AM-03</x:v>
      </x:c>
      <x:c r="D291" t="str">
        <x:v>TR-B</x:v>
      </x:c>
      <x:c r="E291" t="str">
        <x:v>RFP-C2</x:v>
      </x:c>
      <x:c r="F291" t="str">
        <x:v>PTC-C</x:v>
      </x:c>
      <x:c r="G291" t="str">
        <x:v>QT-03</x:v>
      </x:c>
      <x:c r="H291" t="str">
        <x:v>RAW-V21</x:v>
      </x:c>
      <x:c r="I291" t="str">
        <x:v>RAW-A090</x:v>
      </x:c>
      <x:c r="J291" t="str">
        <x:v>DISCLOSED</x:v>
      </x:c>
      <x:c r="K291" t="str">
        <x:v>NONE</x:v>
      </x:c>
      <x:c r="L291" t="str">
        <x:v>n.a.</x:v>
      </x:c>
      <x:c r="M291" s="14" t="n">
        <x:v>2</x:v>
      </x:c>
      <x:c r="N291" s="14" t="n">
        <x:v>6</x:v>
      </x:c>
      <x:c r="O291" s="14" t="str"/>
      <x:c r="P291" s="14" t="str"/>
      <x:c r="Q291" s="14" t="str"/>
      <x:c r="R291" s="14" t="str"/>
      <x:c r="S291" s="14" t="str"/>
      <x:c r="T291" s="14" t="str"/>
      <x:c r="U291" s="10" t="str"/>
      <x:c r="V291" t="str"/>
      <x:c r="W291" t="str">
        <x:f>IF(V291=1,IF(R291="VALID","PASS",IF(R291="INVALID","INVALID","OPEN")),"OPEN")</x:f>
        <x:v>OPEN</x:v>
      </x:c>
    </x:row>
    <x:row r="292" ht="36" customHeight="1">
      <x:c r="B292" t="str">
        <x:v>RAW-E286</x:v>
      </x:c>
      <x:c r="C292" t="str">
        <x:v>AM-03</x:v>
      </x:c>
      <x:c r="D292" t="str">
        <x:v>TR-B</x:v>
      </x:c>
      <x:c r="E292" t="str">
        <x:v>RFP-C2</x:v>
      </x:c>
      <x:c r="F292" t="str">
        <x:v>PTC-C</x:v>
      </x:c>
      <x:c r="G292" t="str">
        <x:v>QT-04</x:v>
      </x:c>
      <x:c r="H292" t="str">
        <x:v>RAW-V22</x:v>
      </x:c>
      <x:c r="I292" t="str">
        <x:v>RAW-A090</x:v>
      </x:c>
      <x:c r="J292" t="str">
        <x:v>BLIND</x:v>
      </x:c>
      <x:c r="K292" t="str">
        <x:v>NONE</x:v>
      </x:c>
      <x:c r="L292" t="str">
        <x:v>n.a.</x:v>
      </x:c>
      <x:c r="M292" s="14" t="n">
        <x:v>3</x:v>
      </x:c>
      <x:c r="N292" s="14" t="n">
        <x:v>8</x:v>
      </x:c>
      <x:c r="O292" s="14" t="str"/>
      <x:c r="P292" s="14" t="str"/>
      <x:c r="Q292" s="14" t="str"/>
      <x:c r="R292" s="14" t="str"/>
      <x:c r="S292" s="14" t="str"/>
      <x:c r="T292" s="14" t="str"/>
      <x:c r="U292" s="10" t="str"/>
      <x:c r="V292" t="str"/>
      <x:c r="W292" t="str">
        <x:f>IF(V292=1,IF(R292="VALID","PASS",IF(R292="INVALID","INVALID","OPEN")),"OPEN")</x:f>
        <x:v>OPEN</x:v>
      </x:c>
    </x:row>
    <x:row r="293" ht="36" customHeight="1">
      <x:c r="B293" t="str">
        <x:v>RAW-E287</x:v>
      </x:c>
      <x:c r="C293" t="str">
        <x:v>AM-03</x:v>
      </x:c>
      <x:c r="D293" t="str">
        <x:v>TR-B</x:v>
      </x:c>
      <x:c r="E293" t="str">
        <x:v>RFP-C2</x:v>
      </x:c>
      <x:c r="F293" t="str">
        <x:v>PTC-C</x:v>
      </x:c>
      <x:c r="G293" t="str">
        <x:v>QT-05</x:v>
      </x:c>
      <x:c r="H293" t="str">
        <x:v>RAW-V23</x:v>
      </x:c>
      <x:c r="I293" t="str">
        <x:v>RAW-A090</x:v>
      </x:c>
      <x:c r="J293" t="str">
        <x:v>BLIND</x:v>
      </x:c>
      <x:c r="K293" t="str">
        <x:v>DECISIVE CHAIN</x:v>
      </x:c>
      <x:c r="L293" t="str">
        <x:v>n.a.</x:v>
      </x:c>
      <x:c r="M293" s="14" t="n">
        <x:v>3</x:v>
      </x:c>
      <x:c r="N293" s="14" t="n">
        <x:v>10</x:v>
      </x:c>
      <x:c r="O293" s="14" t="str"/>
      <x:c r="P293" s="14" t="str"/>
      <x:c r="Q293" s="14" t="str"/>
      <x:c r="R293" s="14" t="str"/>
      <x:c r="S293" s="14" t="str"/>
      <x:c r="T293" s="14" t="str"/>
      <x:c r="U293" s="10" t="str"/>
      <x:c r="V293" t="str"/>
      <x:c r="W293" t="str">
        <x:f>IF(V293=1,IF(R293="VALID","PASS",IF(R293="INVALID","INVALID","OPEN")),"OPEN")</x:f>
        <x:v>OPEN</x:v>
      </x:c>
    </x:row>
    <x:row r="294" ht="36" customHeight="1">
      <x:c r="B294" t="str">
        <x:v>RAW-E288</x:v>
      </x:c>
      <x:c r="C294" t="str">
        <x:v>AM-03</x:v>
      </x:c>
      <x:c r="D294" t="str">
        <x:v>TR-B</x:v>
      </x:c>
      <x:c r="E294" t="str">
        <x:v>RFP-C2</x:v>
      </x:c>
      <x:c r="F294" t="str">
        <x:v>PTC-C</x:v>
      </x:c>
      <x:c r="G294" t="str">
        <x:v>QT-06</x:v>
      </x:c>
      <x:c r="H294" t="str">
        <x:v>RAW-V24</x:v>
      </x:c>
      <x:c r="I294" t="str">
        <x:v>RAW-A090</x:v>
      </x:c>
      <x:c r="J294" t="str">
        <x:v>DISCLOSED</x:v>
      </x:c>
      <x:c r="K294" t="str">
        <x:v>NONE</x:v>
      </x:c>
      <x:c r="L294" t="str">
        <x:v>PTC-B</x:v>
      </x:c>
      <x:c r="M294" s="14" t="n">
        <x:v>4</x:v>
      </x:c>
      <x:c r="N294" s="14" t="n">
        <x:v>12</x:v>
      </x:c>
      <x:c r="O294" s="14" t="str"/>
      <x:c r="P294" s="14" t="str"/>
      <x:c r="Q294" s="14" t="str"/>
      <x:c r="R294" s="14" t="str"/>
      <x:c r="S294" s="14" t="str"/>
      <x:c r="T294" s="14" t="str"/>
      <x:c r="U294" s="10" t="str"/>
      <x:c r="V294" t="str"/>
      <x:c r="W294" t="str">
        <x:f>IF(V294=1,IF(R294="VALID","PASS",IF(R294="INVALID","INVALID","OPEN")),"OPEN")</x:f>
        <x:v>OPEN</x:v>
      </x:c>
    </x:row>
    <x:row r="295" ht="36" customHeight="1">
      <x:c r="B295" t="str">
        <x:v>RAW-E289</x:v>
      </x:c>
      <x:c r="C295" t="str">
        <x:v>AM-04</x:v>
      </x:c>
      <x:c r="D295" t="str">
        <x:v>TR-A</x:v>
      </x:c>
      <x:c r="E295" t="str">
        <x:v>RFP-A1</x:v>
      </x:c>
      <x:c r="F295" t="str">
        <x:v>PTC-A</x:v>
      </x:c>
      <x:c r="G295" t="str">
        <x:v>QT-01</x:v>
      </x:c>
      <x:c r="H295" t="str">
        <x:v>RAW-V25</x:v>
      </x:c>
      <x:c r="I295" t="str">
        <x:v>RAW-A097</x:v>
      </x:c>
      <x:c r="J295" t="str">
        <x:v>DISCLOSED</x:v>
      </x:c>
      <x:c r="K295" t="str">
        <x:v>NONE</x:v>
      </x:c>
      <x:c r="L295" t="str">
        <x:v>n.a.</x:v>
      </x:c>
      <x:c r="M295" s="14" t="n">
        <x:v>2</x:v>
      </x:c>
      <x:c r="N295" s="14" t="n">
        <x:v>1</x:v>
      </x:c>
      <x:c r="O295" s="14" t="str"/>
      <x:c r="P295" s="14" t="str"/>
      <x:c r="Q295" s="14" t="str"/>
      <x:c r="R295" s="14" t="str"/>
      <x:c r="S295" s="14" t="str"/>
      <x:c r="T295" s="14" t="str"/>
      <x:c r="U295" s="10" t="str"/>
      <x:c r="V295" t="str"/>
      <x:c r="W295" t="str">
        <x:f>IF(V295=1,IF(R295="VALID","PASS",IF(R295="INVALID","INVALID","OPEN")),"OPEN")</x:f>
        <x:v>OPEN</x:v>
      </x:c>
    </x:row>
    <x:row r="296" ht="36" customHeight="1">
      <x:c r="B296" t="str">
        <x:v>RAW-E290</x:v>
      </x:c>
      <x:c r="C296" t="str">
        <x:v>AM-04</x:v>
      </x:c>
      <x:c r="D296" t="str">
        <x:v>TR-A</x:v>
      </x:c>
      <x:c r="E296" t="str">
        <x:v>RFP-A1</x:v>
      </x:c>
      <x:c r="F296" t="str">
        <x:v>PTC-A</x:v>
      </x:c>
      <x:c r="G296" t="str">
        <x:v>QT-02</x:v>
      </x:c>
      <x:c r="H296" t="str">
        <x:v>RAW-V26</x:v>
      </x:c>
      <x:c r="I296" t="str">
        <x:v>RAW-A097</x:v>
      </x:c>
      <x:c r="J296" t="str">
        <x:v>DISCLOSED</x:v>
      </x:c>
      <x:c r="K296" t="str">
        <x:v>NONE</x:v>
      </x:c>
      <x:c r="L296" t="str">
        <x:v>n.a.</x:v>
      </x:c>
      <x:c r="M296" s="14" t="n">
        <x:v>2</x:v>
      </x:c>
      <x:c r="N296" s="14" t="n">
        <x:v>3</x:v>
      </x:c>
      <x:c r="O296" s="14" t="str"/>
      <x:c r="P296" s="14" t="str"/>
      <x:c r="Q296" s="14" t="str"/>
      <x:c r="R296" s="14" t="str"/>
      <x:c r="S296" s="14" t="str"/>
      <x:c r="T296" s="14" t="str"/>
      <x:c r="U296" s="10" t="str"/>
      <x:c r="V296" t="str"/>
      <x:c r="W296" t="str">
        <x:f>IF(V296=1,IF(R296="VALID","PASS",IF(R296="INVALID","INVALID","OPEN")),"OPEN")</x:f>
        <x:v>OPEN</x:v>
      </x:c>
    </x:row>
    <x:row r="297" ht="36" customHeight="1">
      <x:c r="B297" t="str">
        <x:v>RAW-E291</x:v>
      </x:c>
      <x:c r="C297" t="str">
        <x:v>AM-04</x:v>
      </x:c>
      <x:c r="D297" t="str">
        <x:v>TR-A</x:v>
      </x:c>
      <x:c r="E297" t="str">
        <x:v>RFP-A1</x:v>
      </x:c>
      <x:c r="F297" t="str">
        <x:v>PTC-A</x:v>
      </x:c>
      <x:c r="G297" t="str">
        <x:v>QT-03</x:v>
      </x:c>
      <x:c r="H297" t="str">
        <x:v>RAW-V27</x:v>
      </x:c>
      <x:c r="I297" t="str">
        <x:v>RAW-A097</x:v>
      </x:c>
      <x:c r="J297" t="str">
        <x:v>DISCLOSED</x:v>
      </x:c>
      <x:c r="K297" t="str">
        <x:v>NONE</x:v>
      </x:c>
      <x:c r="L297" t="str">
        <x:v>n.a.</x:v>
      </x:c>
      <x:c r="M297" s="14" t="n">
        <x:v>2</x:v>
      </x:c>
      <x:c r="N297" s="14" t="n">
        <x:v>5</x:v>
      </x:c>
      <x:c r="O297" s="14" t="str"/>
      <x:c r="P297" s="14" t="str"/>
      <x:c r="Q297" s="14" t="str"/>
      <x:c r="R297" s="14" t="str"/>
      <x:c r="S297" s="14" t="str"/>
      <x:c r="T297" s="14" t="str"/>
      <x:c r="U297" s="10" t="str"/>
      <x:c r="V297" t="str"/>
      <x:c r="W297" t="str">
        <x:f>IF(V297=1,IF(R297="VALID","PASS",IF(R297="INVALID","INVALID","OPEN")),"OPEN")</x:f>
        <x:v>OPEN</x:v>
      </x:c>
    </x:row>
    <x:row r="298" ht="36" customHeight="1">
      <x:c r="B298" t="str">
        <x:v>RAW-E292</x:v>
      </x:c>
      <x:c r="C298" t="str">
        <x:v>AM-04</x:v>
      </x:c>
      <x:c r="D298" t="str">
        <x:v>TR-A</x:v>
      </x:c>
      <x:c r="E298" t="str">
        <x:v>RFP-A1</x:v>
      </x:c>
      <x:c r="F298" t="str">
        <x:v>PTC-A</x:v>
      </x:c>
      <x:c r="G298" t="str">
        <x:v>QT-04</x:v>
      </x:c>
      <x:c r="H298" t="str">
        <x:v>RAW-V28</x:v>
      </x:c>
      <x:c r="I298" t="str">
        <x:v>RAW-A097</x:v>
      </x:c>
      <x:c r="J298" t="str">
        <x:v>BLIND</x:v>
      </x:c>
      <x:c r="K298" t="str">
        <x:v>NONE</x:v>
      </x:c>
      <x:c r="L298" t="str">
        <x:v>n.a.</x:v>
      </x:c>
      <x:c r="M298" s="14" t="n">
        <x:v>3</x:v>
      </x:c>
      <x:c r="N298" s="14" t="n">
        <x:v>7</x:v>
      </x:c>
      <x:c r="O298" s="14" t="str"/>
      <x:c r="P298" s="14" t="str"/>
      <x:c r="Q298" s="14" t="str"/>
      <x:c r="R298" s="14" t="str"/>
      <x:c r="S298" s="14" t="str"/>
      <x:c r="T298" s="14" t="str"/>
      <x:c r="U298" s="10" t="str"/>
      <x:c r="V298" t="str"/>
      <x:c r="W298" t="str">
        <x:f>IF(V298=1,IF(R298="VALID","PASS",IF(R298="INVALID","INVALID","OPEN")),"OPEN")</x:f>
        <x:v>OPEN</x:v>
      </x:c>
    </x:row>
    <x:row r="299" ht="36" customHeight="1">
      <x:c r="B299" t="str">
        <x:v>RAW-E293</x:v>
      </x:c>
      <x:c r="C299" t="str">
        <x:v>AM-04</x:v>
      </x:c>
      <x:c r="D299" t="str">
        <x:v>TR-A</x:v>
      </x:c>
      <x:c r="E299" t="str">
        <x:v>RFP-A1</x:v>
      </x:c>
      <x:c r="F299" t="str">
        <x:v>PTC-A</x:v>
      </x:c>
      <x:c r="G299" t="str">
        <x:v>QT-05</x:v>
      </x:c>
      <x:c r="H299" t="str">
        <x:v>RAW-V29</x:v>
      </x:c>
      <x:c r="I299" t="str">
        <x:v>RAW-A097</x:v>
      </x:c>
      <x:c r="J299" t="str">
        <x:v>BLIND</x:v>
      </x:c>
      <x:c r="K299" t="str">
        <x:v>DECISIVE CHAIN</x:v>
      </x:c>
      <x:c r="L299" t="str">
        <x:v>n.a.</x:v>
      </x:c>
      <x:c r="M299" s="14" t="n">
        <x:v>3</x:v>
      </x:c>
      <x:c r="N299" s="14" t="n">
        <x:v>9</x:v>
      </x:c>
      <x:c r="O299" s="14" t="str"/>
      <x:c r="P299" s="14" t="str"/>
      <x:c r="Q299" s="14" t="str"/>
      <x:c r="R299" s="14" t="str"/>
      <x:c r="S299" s="14" t="str"/>
      <x:c r="T299" s="14" t="str"/>
      <x:c r="U299" s="10" t="str"/>
      <x:c r="V299" t="str"/>
      <x:c r="W299" t="str">
        <x:f>IF(V299=1,IF(R299="VALID","PASS",IF(R299="INVALID","INVALID","OPEN")),"OPEN")</x:f>
        <x:v>OPEN</x:v>
      </x:c>
    </x:row>
    <x:row r="300" ht="36" customHeight="1">
      <x:c r="B300" t="str">
        <x:v>RAW-E294</x:v>
      </x:c>
      <x:c r="C300" t="str">
        <x:v>AM-04</x:v>
      </x:c>
      <x:c r="D300" t="str">
        <x:v>TR-A</x:v>
      </x:c>
      <x:c r="E300" t="str">
        <x:v>RFP-A1</x:v>
      </x:c>
      <x:c r="F300" t="str">
        <x:v>PTC-A</x:v>
      </x:c>
      <x:c r="G300" t="str">
        <x:v>QT-06</x:v>
      </x:c>
      <x:c r="H300" t="str">
        <x:v>RAW-V30</x:v>
      </x:c>
      <x:c r="I300" t="str">
        <x:v>RAW-A097</x:v>
      </x:c>
      <x:c r="J300" t="str">
        <x:v>DISCLOSED</x:v>
      </x:c>
      <x:c r="K300" t="str">
        <x:v>NONE</x:v>
      </x:c>
      <x:c r="L300" t="str">
        <x:v>PTC-B</x:v>
      </x:c>
      <x:c r="M300" s="14" t="n">
        <x:v>4</x:v>
      </x:c>
      <x:c r="N300" s="14" t="n">
        <x:v>11</x:v>
      </x:c>
      <x:c r="O300" s="14" t="str"/>
      <x:c r="P300" s="14" t="str"/>
      <x:c r="Q300" s="14" t="str"/>
      <x:c r="R300" s="14" t="str"/>
      <x:c r="S300" s="14" t="str"/>
      <x:c r="T300" s="14" t="str"/>
      <x:c r="U300" s="10" t="str"/>
      <x:c r="V300" t="str"/>
      <x:c r="W300" t="str">
        <x:f>IF(V300=1,IF(R300="VALID","PASS",IF(R300="INVALID","INVALID","OPEN")),"OPEN")</x:f>
        <x:v>OPEN</x:v>
      </x:c>
    </x:row>
    <x:row r="301" ht="36" customHeight="1">
      <x:c r="B301" t="str">
        <x:v>RAW-E295</x:v>
      </x:c>
      <x:c r="C301" t="str">
        <x:v>AM-04</x:v>
      </x:c>
      <x:c r="D301" t="str">
        <x:v>TR-B</x:v>
      </x:c>
      <x:c r="E301" t="str">
        <x:v>RFP-A1</x:v>
      </x:c>
      <x:c r="F301" t="str">
        <x:v>PTC-A</x:v>
      </x:c>
      <x:c r="G301" t="str">
        <x:v>QT-01</x:v>
      </x:c>
      <x:c r="H301" t="str">
        <x:v>RAW-V25</x:v>
      </x:c>
      <x:c r="I301" t="str">
        <x:v>RAW-A109</x:v>
      </x:c>
      <x:c r="J301" t="str">
        <x:v>DISCLOSED</x:v>
      </x:c>
      <x:c r="K301" t="str">
        <x:v>NONE</x:v>
      </x:c>
      <x:c r="L301" t="str">
        <x:v>n.a.</x:v>
      </x:c>
      <x:c r="M301" s="14" t="n">
        <x:v>2</x:v>
      </x:c>
      <x:c r="N301" s="14" t="n">
        <x:v>2</x:v>
      </x:c>
      <x:c r="O301" s="14" t="str"/>
      <x:c r="P301" s="14" t="str"/>
      <x:c r="Q301" s="14" t="str"/>
      <x:c r="R301" s="14" t="str"/>
      <x:c r="S301" s="14" t="str"/>
      <x:c r="T301" s="14" t="str"/>
      <x:c r="U301" s="10" t="str"/>
      <x:c r="V301" t="str"/>
      <x:c r="W301" t="str">
        <x:f>IF(V301=1,IF(R301="VALID","PASS",IF(R301="INVALID","INVALID","OPEN")),"OPEN")</x:f>
        <x:v>OPEN</x:v>
      </x:c>
    </x:row>
    <x:row r="302" ht="36" customHeight="1">
      <x:c r="B302" t="str">
        <x:v>RAW-E296</x:v>
      </x:c>
      <x:c r="C302" t="str">
        <x:v>AM-04</x:v>
      </x:c>
      <x:c r="D302" t="str">
        <x:v>TR-B</x:v>
      </x:c>
      <x:c r="E302" t="str">
        <x:v>RFP-A1</x:v>
      </x:c>
      <x:c r="F302" t="str">
        <x:v>PTC-A</x:v>
      </x:c>
      <x:c r="G302" t="str">
        <x:v>QT-02</x:v>
      </x:c>
      <x:c r="H302" t="str">
        <x:v>RAW-V26</x:v>
      </x:c>
      <x:c r="I302" t="str">
        <x:v>RAW-A109</x:v>
      </x:c>
      <x:c r="J302" t="str">
        <x:v>DISCLOSED</x:v>
      </x:c>
      <x:c r="K302" t="str">
        <x:v>NONE</x:v>
      </x:c>
      <x:c r="L302" t="str">
        <x:v>n.a.</x:v>
      </x:c>
      <x:c r="M302" s="14" t="n">
        <x:v>2</x:v>
      </x:c>
      <x:c r="N302" s="14" t="n">
        <x:v>4</x:v>
      </x:c>
      <x:c r="O302" s="14" t="str"/>
      <x:c r="P302" s="14" t="str"/>
      <x:c r="Q302" s="14" t="str"/>
      <x:c r="R302" s="14" t="str"/>
      <x:c r="S302" s="14" t="str"/>
      <x:c r="T302" s="14" t="str"/>
      <x:c r="U302" s="10" t="str"/>
      <x:c r="V302" t="str"/>
      <x:c r="W302" t="str">
        <x:f>IF(V302=1,IF(R302="VALID","PASS",IF(R302="INVALID","INVALID","OPEN")),"OPEN")</x:f>
        <x:v>OPEN</x:v>
      </x:c>
    </x:row>
    <x:row r="303" ht="36" customHeight="1">
      <x:c r="B303" t="str">
        <x:v>RAW-E297</x:v>
      </x:c>
      <x:c r="C303" t="str">
        <x:v>AM-04</x:v>
      </x:c>
      <x:c r="D303" t="str">
        <x:v>TR-B</x:v>
      </x:c>
      <x:c r="E303" t="str">
        <x:v>RFP-A1</x:v>
      </x:c>
      <x:c r="F303" t="str">
        <x:v>PTC-A</x:v>
      </x:c>
      <x:c r="G303" t="str">
        <x:v>QT-03</x:v>
      </x:c>
      <x:c r="H303" t="str">
        <x:v>RAW-V27</x:v>
      </x:c>
      <x:c r="I303" t="str">
        <x:v>RAW-A109</x:v>
      </x:c>
      <x:c r="J303" t="str">
        <x:v>DISCLOSED</x:v>
      </x:c>
      <x:c r="K303" t="str">
        <x:v>NONE</x:v>
      </x:c>
      <x:c r="L303" t="str">
        <x:v>n.a.</x:v>
      </x:c>
      <x:c r="M303" s="14" t="n">
        <x:v>2</x:v>
      </x:c>
      <x:c r="N303" s="14" t="n">
        <x:v>6</x:v>
      </x:c>
      <x:c r="O303" s="14" t="str"/>
      <x:c r="P303" s="14" t="str"/>
      <x:c r="Q303" s="14" t="str"/>
      <x:c r="R303" s="14" t="str"/>
      <x:c r="S303" s="14" t="str"/>
      <x:c r="T303" s="14" t="str"/>
      <x:c r="U303" s="10" t="str"/>
      <x:c r="V303" t="str"/>
      <x:c r="W303" t="str">
        <x:f>IF(V303=1,IF(R303="VALID","PASS",IF(R303="INVALID","INVALID","OPEN")),"OPEN")</x:f>
        <x:v>OPEN</x:v>
      </x:c>
    </x:row>
    <x:row r="304" ht="36" customHeight="1">
      <x:c r="B304" t="str">
        <x:v>RAW-E298</x:v>
      </x:c>
      <x:c r="C304" t="str">
        <x:v>AM-04</x:v>
      </x:c>
      <x:c r="D304" t="str">
        <x:v>TR-B</x:v>
      </x:c>
      <x:c r="E304" t="str">
        <x:v>RFP-A1</x:v>
      </x:c>
      <x:c r="F304" t="str">
        <x:v>PTC-A</x:v>
      </x:c>
      <x:c r="G304" t="str">
        <x:v>QT-04</x:v>
      </x:c>
      <x:c r="H304" t="str">
        <x:v>RAW-V28</x:v>
      </x:c>
      <x:c r="I304" t="str">
        <x:v>RAW-A109</x:v>
      </x:c>
      <x:c r="J304" t="str">
        <x:v>BLIND</x:v>
      </x:c>
      <x:c r="K304" t="str">
        <x:v>NONE</x:v>
      </x:c>
      <x:c r="L304" t="str">
        <x:v>n.a.</x:v>
      </x:c>
      <x:c r="M304" s="14" t="n">
        <x:v>3</x:v>
      </x:c>
      <x:c r="N304" s="14" t="n">
        <x:v>8</x:v>
      </x:c>
      <x:c r="O304" s="14" t="str"/>
      <x:c r="P304" s="14" t="str"/>
      <x:c r="Q304" s="14" t="str"/>
      <x:c r="R304" s="14" t="str"/>
      <x:c r="S304" s="14" t="str"/>
      <x:c r="T304" s="14" t="str"/>
      <x:c r="U304" s="10" t="str"/>
      <x:c r="V304" t="str"/>
      <x:c r="W304" t="str">
        <x:f>IF(V304=1,IF(R304="VALID","PASS",IF(R304="INVALID","INVALID","OPEN")),"OPEN")</x:f>
        <x:v>OPEN</x:v>
      </x:c>
    </x:row>
    <x:row r="305" ht="36" customHeight="1">
      <x:c r="B305" t="str">
        <x:v>RAW-E299</x:v>
      </x:c>
      <x:c r="C305" t="str">
        <x:v>AM-04</x:v>
      </x:c>
      <x:c r="D305" t="str">
        <x:v>TR-B</x:v>
      </x:c>
      <x:c r="E305" t="str">
        <x:v>RFP-A1</x:v>
      </x:c>
      <x:c r="F305" t="str">
        <x:v>PTC-A</x:v>
      </x:c>
      <x:c r="G305" t="str">
        <x:v>QT-05</x:v>
      </x:c>
      <x:c r="H305" t="str">
        <x:v>RAW-V29</x:v>
      </x:c>
      <x:c r="I305" t="str">
        <x:v>RAW-A109</x:v>
      </x:c>
      <x:c r="J305" t="str">
        <x:v>BLIND</x:v>
      </x:c>
      <x:c r="K305" t="str">
        <x:v>DECISIVE CHAIN</x:v>
      </x:c>
      <x:c r="L305" t="str">
        <x:v>n.a.</x:v>
      </x:c>
      <x:c r="M305" s="14" t="n">
        <x:v>3</x:v>
      </x:c>
      <x:c r="N305" s="14" t="n">
        <x:v>10</x:v>
      </x:c>
      <x:c r="O305" s="14" t="str"/>
      <x:c r="P305" s="14" t="str"/>
      <x:c r="Q305" s="14" t="str"/>
      <x:c r="R305" s="14" t="str"/>
      <x:c r="S305" s="14" t="str"/>
      <x:c r="T305" s="14" t="str"/>
      <x:c r="U305" s="10" t="str"/>
      <x:c r="V305" t="str"/>
      <x:c r="W305" t="str">
        <x:f>IF(V305=1,IF(R305="VALID","PASS",IF(R305="INVALID","INVALID","OPEN")),"OPEN")</x:f>
        <x:v>OPEN</x:v>
      </x:c>
    </x:row>
    <x:row r="306" ht="36" customHeight="1">
      <x:c r="B306" t="str">
        <x:v>RAW-E300</x:v>
      </x:c>
      <x:c r="C306" t="str">
        <x:v>AM-04</x:v>
      </x:c>
      <x:c r="D306" t="str">
        <x:v>TR-B</x:v>
      </x:c>
      <x:c r="E306" t="str">
        <x:v>RFP-A1</x:v>
      </x:c>
      <x:c r="F306" t="str">
        <x:v>PTC-A</x:v>
      </x:c>
      <x:c r="G306" t="str">
        <x:v>QT-06</x:v>
      </x:c>
      <x:c r="H306" t="str">
        <x:v>RAW-V30</x:v>
      </x:c>
      <x:c r="I306" t="str">
        <x:v>RAW-A109</x:v>
      </x:c>
      <x:c r="J306" t="str">
        <x:v>DISCLOSED</x:v>
      </x:c>
      <x:c r="K306" t="str">
        <x:v>NONE</x:v>
      </x:c>
      <x:c r="L306" t="str">
        <x:v>PTC-B</x:v>
      </x:c>
      <x:c r="M306" s="14" t="n">
        <x:v>4</x:v>
      </x:c>
      <x:c r="N306" s="14" t="n">
        <x:v>12</x:v>
      </x:c>
      <x:c r="O306" s="14" t="str"/>
      <x:c r="P306" s="14" t="str"/>
      <x:c r="Q306" s="14" t="str"/>
      <x:c r="R306" s="14" t="str"/>
      <x:c r="S306" s="14" t="str"/>
      <x:c r="T306" s="14" t="str"/>
      <x:c r="U306" s="10" t="str"/>
      <x:c r="V306" t="str"/>
      <x:c r="W306" t="str">
        <x:f>IF(V306=1,IF(R306="VALID","PASS",IF(R306="INVALID","INVALID","OPEN")),"OPEN")</x:f>
        <x:v>OPEN</x:v>
      </x:c>
    </x:row>
    <x:row r="307" ht="36" customHeight="1">
      <x:c r="B307" t="str">
        <x:v>RAW-E301</x:v>
      </x:c>
      <x:c r="C307" t="str">
        <x:v>AM-04</x:v>
      </x:c>
      <x:c r="D307" t="str">
        <x:v>TR-A</x:v>
      </x:c>
      <x:c r="E307" t="str">
        <x:v>RFP-A2</x:v>
      </x:c>
      <x:c r="F307" t="str">
        <x:v>PTC-A</x:v>
      </x:c>
      <x:c r="G307" t="str">
        <x:v>QT-01</x:v>
      </x:c>
      <x:c r="H307" t="str">
        <x:v>RAW-V25</x:v>
      </x:c>
      <x:c r="I307" t="str">
        <x:v>RAW-A098</x:v>
      </x:c>
      <x:c r="J307" t="str">
        <x:v>DISCLOSED</x:v>
      </x:c>
      <x:c r="K307" t="str">
        <x:v>NONE</x:v>
      </x:c>
      <x:c r="L307" t="str">
        <x:v>n.a.</x:v>
      </x:c>
      <x:c r="M307" s="14" t="n">
        <x:v>2</x:v>
      </x:c>
      <x:c r="N307" s="14" t="n">
        <x:v>1</x:v>
      </x:c>
      <x:c r="O307" s="14" t="str"/>
      <x:c r="P307" s="14" t="str"/>
      <x:c r="Q307" s="14" t="str"/>
      <x:c r="R307" s="14" t="str"/>
      <x:c r="S307" s="14" t="str"/>
      <x:c r="T307" s="14" t="str"/>
      <x:c r="U307" s="10" t="str"/>
      <x:c r="V307" t="str"/>
      <x:c r="W307" t="str">
        <x:f>IF(V307=1,IF(R307="VALID","PASS",IF(R307="INVALID","INVALID","OPEN")),"OPEN")</x:f>
        <x:v>OPEN</x:v>
      </x:c>
    </x:row>
    <x:row r="308" ht="36" customHeight="1">
      <x:c r="B308" t="str">
        <x:v>RAW-E302</x:v>
      </x:c>
      <x:c r="C308" t="str">
        <x:v>AM-04</x:v>
      </x:c>
      <x:c r="D308" t="str">
        <x:v>TR-A</x:v>
      </x:c>
      <x:c r="E308" t="str">
        <x:v>RFP-A2</x:v>
      </x:c>
      <x:c r="F308" t="str">
        <x:v>PTC-A</x:v>
      </x:c>
      <x:c r="G308" t="str">
        <x:v>QT-02</x:v>
      </x:c>
      <x:c r="H308" t="str">
        <x:v>RAW-V26</x:v>
      </x:c>
      <x:c r="I308" t="str">
        <x:v>RAW-A098</x:v>
      </x:c>
      <x:c r="J308" t="str">
        <x:v>DISCLOSED</x:v>
      </x:c>
      <x:c r="K308" t="str">
        <x:v>NONE</x:v>
      </x:c>
      <x:c r="L308" t="str">
        <x:v>n.a.</x:v>
      </x:c>
      <x:c r="M308" s="14" t="n">
        <x:v>2</x:v>
      </x:c>
      <x:c r="N308" s="14" t="n">
        <x:v>3</x:v>
      </x:c>
      <x:c r="O308" s="14" t="str"/>
      <x:c r="P308" s="14" t="str"/>
      <x:c r="Q308" s="14" t="str"/>
      <x:c r="R308" s="14" t="str"/>
      <x:c r="S308" s="14" t="str"/>
      <x:c r="T308" s="14" t="str"/>
      <x:c r="U308" s="10" t="str"/>
      <x:c r="V308" t="str"/>
      <x:c r="W308" t="str">
        <x:f>IF(V308=1,IF(R308="VALID","PASS",IF(R308="INVALID","INVALID","OPEN")),"OPEN")</x:f>
        <x:v>OPEN</x:v>
      </x:c>
    </x:row>
    <x:row r="309" ht="36" customHeight="1">
      <x:c r="B309" t="str">
        <x:v>RAW-E303</x:v>
      </x:c>
      <x:c r="C309" t="str">
        <x:v>AM-04</x:v>
      </x:c>
      <x:c r="D309" t="str">
        <x:v>TR-A</x:v>
      </x:c>
      <x:c r="E309" t="str">
        <x:v>RFP-A2</x:v>
      </x:c>
      <x:c r="F309" t="str">
        <x:v>PTC-A</x:v>
      </x:c>
      <x:c r="G309" t="str">
        <x:v>QT-03</x:v>
      </x:c>
      <x:c r="H309" t="str">
        <x:v>RAW-V27</x:v>
      </x:c>
      <x:c r="I309" t="str">
        <x:v>RAW-A098</x:v>
      </x:c>
      <x:c r="J309" t="str">
        <x:v>DISCLOSED</x:v>
      </x:c>
      <x:c r="K309" t="str">
        <x:v>NONE</x:v>
      </x:c>
      <x:c r="L309" t="str">
        <x:v>n.a.</x:v>
      </x:c>
      <x:c r="M309" s="14" t="n">
        <x:v>2</x:v>
      </x:c>
      <x:c r="N309" s="14" t="n">
        <x:v>5</x:v>
      </x:c>
      <x:c r="O309" s="14" t="str"/>
      <x:c r="P309" s="14" t="str"/>
      <x:c r="Q309" s="14" t="str"/>
      <x:c r="R309" s="14" t="str"/>
      <x:c r="S309" s="14" t="str"/>
      <x:c r="T309" s="14" t="str"/>
      <x:c r="U309" s="10" t="str"/>
      <x:c r="V309" t="str"/>
      <x:c r="W309" t="str">
        <x:f>IF(V309=1,IF(R309="VALID","PASS",IF(R309="INVALID","INVALID","OPEN")),"OPEN")</x:f>
        <x:v>OPEN</x:v>
      </x:c>
    </x:row>
    <x:row r="310" ht="36" customHeight="1">
      <x:c r="B310" t="str">
        <x:v>RAW-E304</x:v>
      </x:c>
      <x:c r="C310" t="str">
        <x:v>AM-04</x:v>
      </x:c>
      <x:c r="D310" t="str">
        <x:v>TR-A</x:v>
      </x:c>
      <x:c r="E310" t="str">
        <x:v>RFP-A2</x:v>
      </x:c>
      <x:c r="F310" t="str">
        <x:v>PTC-A</x:v>
      </x:c>
      <x:c r="G310" t="str">
        <x:v>QT-04</x:v>
      </x:c>
      <x:c r="H310" t="str">
        <x:v>RAW-V28</x:v>
      </x:c>
      <x:c r="I310" t="str">
        <x:v>RAW-A098</x:v>
      </x:c>
      <x:c r="J310" t="str">
        <x:v>BLIND</x:v>
      </x:c>
      <x:c r="K310" t="str">
        <x:v>NONE</x:v>
      </x:c>
      <x:c r="L310" t="str">
        <x:v>n.a.</x:v>
      </x:c>
      <x:c r="M310" s="14" t="n">
        <x:v>3</x:v>
      </x:c>
      <x:c r="N310" s="14" t="n">
        <x:v>7</x:v>
      </x:c>
      <x:c r="O310" s="14" t="str"/>
      <x:c r="P310" s="14" t="str"/>
      <x:c r="Q310" s="14" t="str"/>
      <x:c r="R310" s="14" t="str"/>
      <x:c r="S310" s="14" t="str"/>
      <x:c r="T310" s="14" t="str"/>
      <x:c r="U310" s="10" t="str"/>
      <x:c r="V310" t="str"/>
      <x:c r="W310" t="str">
        <x:f>IF(V310=1,IF(R310="VALID","PASS",IF(R310="INVALID","INVALID","OPEN")),"OPEN")</x:f>
        <x:v>OPEN</x:v>
      </x:c>
    </x:row>
    <x:row r="311" ht="36" customHeight="1">
      <x:c r="B311" t="str">
        <x:v>RAW-E305</x:v>
      </x:c>
      <x:c r="C311" t="str">
        <x:v>AM-04</x:v>
      </x:c>
      <x:c r="D311" t="str">
        <x:v>TR-A</x:v>
      </x:c>
      <x:c r="E311" t="str">
        <x:v>RFP-A2</x:v>
      </x:c>
      <x:c r="F311" t="str">
        <x:v>PTC-A</x:v>
      </x:c>
      <x:c r="G311" t="str">
        <x:v>QT-05</x:v>
      </x:c>
      <x:c r="H311" t="str">
        <x:v>RAW-V29</x:v>
      </x:c>
      <x:c r="I311" t="str">
        <x:v>RAW-A098</x:v>
      </x:c>
      <x:c r="J311" t="str">
        <x:v>BLIND</x:v>
      </x:c>
      <x:c r="K311" t="str">
        <x:v>DECISIVE CHAIN</x:v>
      </x:c>
      <x:c r="L311" t="str">
        <x:v>n.a.</x:v>
      </x:c>
      <x:c r="M311" s="14" t="n">
        <x:v>3</x:v>
      </x:c>
      <x:c r="N311" s="14" t="n">
        <x:v>9</x:v>
      </x:c>
      <x:c r="O311" s="14" t="str"/>
      <x:c r="P311" s="14" t="str"/>
      <x:c r="Q311" s="14" t="str"/>
      <x:c r="R311" s="14" t="str"/>
      <x:c r="S311" s="14" t="str"/>
      <x:c r="T311" s="14" t="str"/>
      <x:c r="U311" s="10" t="str"/>
      <x:c r="V311" t="str"/>
      <x:c r="W311" t="str">
        <x:f>IF(V311=1,IF(R311="VALID","PASS",IF(R311="INVALID","INVALID","OPEN")),"OPEN")</x:f>
        <x:v>OPEN</x:v>
      </x:c>
    </x:row>
    <x:row r="312" ht="36" customHeight="1">
      <x:c r="B312" t="str">
        <x:v>RAW-E306</x:v>
      </x:c>
      <x:c r="C312" t="str">
        <x:v>AM-04</x:v>
      </x:c>
      <x:c r="D312" t="str">
        <x:v>TR-A</x:v>
      </x:c>
      <x:c r="E312" t="str">
        <x:v>RFP-A2</x:v>
      </x:c>
      <x:c r="F312" t="str">
        <x:v>PTC-A</x:v>
      </x:c>
      <x:c r="G312" t="str">
        <x:v>QT-06</x:v>
      </x:c>
      <x:c r="H312" t="str">
        <x:v>RAW-V30</x:v>
      </x:c>
      <x:c r="I312" t="str">
        <x:v>RAW-A098</x:v>
      </x:c>
      <x:c r="J312" t="str">
        <x:v>DISCLOSED</x:v>
      </x:c>
      <x:c r="K312" t="str">
        <x:v>NONE</x:v>
      </x:c>
      <x:c r="L312" t="str">
        <x:v>PTC-B</x:v>
      </x:c>
      <x:c r="M312" s="14" t="n">
        <x:v>4</x:v>
      </x:c>
      <x:c r="N312" s="14" t="n">
        <x:v>11</x:v>
      </x:c>
      <x:c r="O312" s="14" t="str"/>
      <x:c r="P312" s="14" t="str"/>
      <x:c r="Q312" s="14" t="str"/>
      <x:c r="R312" s="14" t="str"/>
      <x:c r="S312" s="14" t="str"/>
      <x:c r="T312" s="14" t="str"/>
      <x:c r="U312" s="10" t="str"/>
      <x:c r="V312" t="str"/>
      <x:c r="W312" t="str">
        <x:f>IF(V312=1,IF(R312="VALID","PASS",IF(R312="INVALID","INVALID","OPEN")),"OPEN")</x:f>
        <x:v>OPEN</x:v>
      </x:c>
    </x:row>
    <x:row r="313" ht="36" customHeight="1">
      <x:c r="B313" t="str">
        <x:v>RAW-E307</x:v>
      </x:c>
      <x:c r="C313" t="str">
        <x:v>AM-04</x:v>
      </x:c>
      <x:c r="D313" t="str">
        <x:v>TR-B</x:v>
      </x:c>
      <x:c r="E313" t="str">
        <x:v>RFP-A2</x:v>
      </x:c>
      <x:c r="F313" t="str">
        <x:v>PTC-A</x:v>
      </x:c>
      <x:c r="G313" t="str">
        <x:v>QT-01</x:v>
      </x:c>
      <x:c r="H313" t="str">
        <x:v>RAW-V25</x:v>
      </x:c>
      <x:c r="I313" t="str">
        <x:v>RAW-A110</x:v>
      </x:c>
      <x:c r="J313" t="str">
        <x:v>DISCLOSED</x:v>
      </x:c>
      <x:c r="K313" t="str">
        <x:v>NONE</x:v>
      </x:c>
      <x:c r="L313" t="str">
        <x:v>n.a.</x:v>
      </x:c>
      <x:c r="M313" s="14" t="n">
        <x:v>2</x:v>
      </x:c>
      <x:c r="N313" s="14" t="n">
        <x:v>2</x:v>
      </x:c>
      <x:c r="O313" s="14" t="str"/>
      <x:c r="P313" s="14" t="str"/>
      <x:c r="Q313" s="14" t="str"/>
      <x:c r="R313" s="14" t="str"/>
      <x:c r="S313" s="14" t="str"/>
      <x:c r="T313" s="14" t="str"/>
      <x:c r="U313" s="10" t="str"/>
      <x:c r="V313" t="str"/>
      <x:c r="W313" t="str">
        <x:f>IF(V313=1,IF(R313="VALID","PASS",IF(R313="INVALID","INVALID","OPEN")),"OPEN")</x:f>
        <x:v>OPEN</x:v>
      </x:c>
    </x:row>
    <x:row r="314" ht="36" customHeight="1">
      <x:c r="B314" t="str">
        <x:v>RAW-E308</x:v>
      </x:c>
      <x:c r="C314" t="str">
        <x:v>AM-04</x:v>
      </x:c>
      <x:c r="D314" t="str">
        <x:v>TR-B</x:v>
      </x:c>
      <x:c r="E314" t="str">
        <x:v>RFP-A2</x:v>
      </x:c>
      <x:c r="F314" t="str">
        <x:v>PTC-A</x:v>
      </x:c>
      <x:c r="G314" t="str">
        <x:v>QT-02</x:v>
      </x:c>
      <x:c r="H314" t="str">
        <x:v>RAW-V26</x:v>
      </x:c>
      <x:c r="I314" t="str">
        <x:v>RAW-A110</x:v>
      </x:c>
      <x:c r="J314" t="str">
        <x:v>DISCLOSED</x:v>
      </x:c>
      <x:c r="K314" t="str">
        <x:v>NONE</x:v>
      </x:c>
      <x:c r="L314" t="str">
        <x:v>n.a.</x:v>
      </x:c>
      <x:c r="M314" s="14" t="n">
        <x:v>2</x:v>
      </x:c>
      <x:c r="N314" s="14" t="n">
        <x:v>4</x:v>
      </x:c>
      <x:c r="O314" s="14" t="str"/>
      <x:c r="P314" s="14" t="str"/>
      <x:c r="Q314" s="14" t="str"/>
      <x:c r="R314" s="14" t="str"/>
      <x:c r="S314" s="14" t="str"/>
      <x:c r="T314" s="14" t="str"/>
      <x:c r="U314" s="10" t="str"/>
      <x:c r="V314" t="str"/>
      <x:c r="W314" t="str">
        <x:f>IF(V314=1,IF(R314="VALID","PASS",IF(R314="INVALID","INVALID","OPEN")),"OPEN")</x:f>
        <x:v>OPEN</x:v>
      </x:c>
    </x:row>
    <x:row r="315" ht="36" customHeight="1">
      <x:c r="B315" t="str">
        <x:v>RAW-E309</x:v>
      </x:c>
      <x:c r="C315" t="str">
        <x:v>AM-04</x:v>
      </x:c>
      <x:c r="D315" t="str">
        <x:v>TR-B</x:v>
      </x:c>
      <x:c r="E315" t="str">
        <x:v>RFP-A2</x:v>
      </x:c>
      <x:c r="F315" t="str">
        <x:v>PTC-A</x:v>
      </x:c>
      <x:c r="G315" t="str">
        <x:v>QT-03</x:v>
      </x:c>
      <x:c r="H315" t="str">
        <x:v>RAW-V27</x:v>
      </x:c>
      <x:c r="I315" t="str">
        <x:v>RAW-A110</x:v>
      </x:c>
      <x:c r="J315" t="str">
        <x:v>DISCLOSED</x:v>
      </x:c>
      <x:c r="K315" t="str">
        <x:v>NONE</x:v>
      </x:c>
      <x:c r="L315" t="str">
        <x:v>n.a.</x:v>
      </x:c>
      <x:c r="M315" s="14" t="n">
        <x:v>2</x:v>
      </x:c>
      <x:c r="N315" s="14" t="n">
        <x:v>6</x:v>
      </x:c>
      <x:c r="O315" s="14" t="str"/>
      <x:c r="P315" s="14" t="str"/>
      <x:c r="Q315" s="14" t="str"/>
      <x:c r="R315" s="14" t="str"/>
      <x:c r="S315" s="14" t="str"/>
      <x:c r="T315" s="14" t="str"/>
      <x:c r="U315" s="10" t="str"/>
      <x:c r="V315" t="str"/>
      <x:c r="W315" t="str">
        <x:f>IF(V315=1,IF(R315="VALID","PASS",IF(R315="INVALID","INVALID","OPEN")),"OPEN")</x:f>
        <x:v>OPEN</x:v>
      </x:c>
    </x:row>
    <x:row r="316" ht="36" customHeight="1">
      <x:c r="B316" t="str">
        <x:v>RAW-E310</x:v>
      </x:c>
      <x:c r="C316" t="str">
        <x:v>AM-04</x:v>
      </x:c>
      <x:c r="D316" t="str">
        <x:v>TR-B</x:v>
      </x:c>
      <x:c r="E316" t="str">
        <x:v>RFP-A2</x:v>
      </x:c>
      <x:c r="F316" t="str">
        <x:v>PTC-A</x:v>
      </x:c>
      <x:c r="G316" t="str">
        <x:v>QT-04</x:v>
      </x:c>
      <x:c r="H316" t="str">
        <x:v>RAW-V28</x:v>
      </x:c>
      <x:c r="I316" t="str">
        <x:v>RAW-A110</x:v>
      </x:c>
      <x:c r="J316" t="str">
        <x:v>BLIND</x:v>
      </x:c>
      <x:c r="K316" t="str">
        <x:v>NONE</x:v>
      </x:c>
      <x:c r="L316" t="str">
        <x:v>n.a.</x:v>
      </x:c>
      <x:c r="M316" s="14" t="n">
        <x:v>3</x:v>
      </x:c>
      <x:c r="N316" s="14" t="n">
        <x:v>8</x:v>
      </x:c>
      <x:c r="O316" s="14" t="str"/>
      <x:c r="P316" s="14" t="str"/>
      <x:c r="Q316" s="14" t="str"/>
      <x:c r="R316" s="14" t="str"/>
      <x:c r="S316" s="14" t="str"/>
      <x:c r="T316" s="14" t="str"/>
      <x:c r="U316" s="10" t="str"/>
      <x:c r="V316" t="str"/>
      <x:c r="W316" t="str">
        <x:f>IF(V316=1,IF(R316="VALID","PASS",IF(R316="INVALID","INVALID","OPEN")),"OPEN")</x:f>
        <x:v>OPEN</x:v>
      </x:c>
    </x:row>
    <x:row r="317" ht="36" customHeight="1">
      <x:c r="B317" t="str">
        <x:v>RAW-E311</x:v>
      </x:c>
      <x:c r="C317" t="str">
        <x:v>AM-04</x:v>
      </x:c>
      <x:c r="D317" t="str">
        <x:v>TR-B</x:v>
      </x:c>
      <x:c r="E317" t="str">
        <x:v>RFP-A2</x:v>
      </x:c>
      <x:c r="F317" t="str">
        <x:v>PTC-A</x:v>
      </x:c>
      <x:c r="G317" t="str">
        <x:v>QT-05</x:v>
      </x:c>
      <x:c r="H317" t="str">
        <x:v>RAW-V29</x:v>
      </x:c>
      <x:c r="I317" t="str">
        <x:v>RAW-A110</x:v>
      </x:c>
      <x:c r="J317" t="str">
        <x:v>BLIND</x:v>
      </x:c>
      <x:c r="K317" t="str">
        <x:v>DECISIVE CHAIN</x:v>
      </x:c>
      <x:c r="L317" t="str">
        <x:v>n.a.</x:v>
      </x:c>
      <x:c r="M317" s="14" t="n">
        <x:v>3</x:v>
      </x:c>
      <x:c r="N317" s="14" t="n">
        <x:v>10</x:v>
      </x:c>
      <x:c r="O317" s="14" t="str"/>
      <x:c r="P317" s="14" t="str"/>
      <x:c r="Q317" s="14" t="str"/>
      <x:c r="R317" s="14" t="str"/>
      <x:c r="S317" s="14" t="str"/>
      <x:c r="T317" s="14" t="str"/>
      <x:c r="U317" s="10" t="str"/>
      <x:c r="V317" t="str"/>
      <x:c r="W317" t="str">
        <x:f>IF(V317=1,IF(R317="VALID","PASS",IF(R317="INVALID","INVALID","OPEN")),"OPEN")</x:f>
        <x:v>OPEN</x:v>
      </x:c>
    </x:row>
    <x:row r="318" ht="36" customHeight="1">
      <x:c r="B318" t="str">
        <x:v>RAW-E312</x:v>
      </x:c>
      <x:c r="C318" t="str">
        <x:v>AM-04</x:v>
      </x:c>
      <x:c r="D318" t="str">
        <x:v>TR-B</x:v>
      </x:c>
      <x:c r="E318" t="str">
        <x:v>RFP-A2</x:v>
      </x:c>
      <x:c r="F318" t="str">
        <x:v>PTC-A</x:v>
      </x:c>
      <x:c r="G318" t="str">
        <x:v>QT-06</x:v>
      </x:c>
      <x:c r="H318" t="str">
        <x:v>RAW-V30</x:v>
      </x:c>
      <x:c r="I318" t="str">
        <x:v>RAW-A110</x:v>
      </x:c>
      <x:c r="J318" t="str">
        <x:v>DISCLOSED</x:v>
      </x:c>
      <x:c r="K318" t="str">
        <x:v>NONE</x:v>
      </x:c>
      <x:c r="L318" t="str">
        <x:v>PTC-B</x:v>
      </x:c>
      <x:c r="M318" s="14" t="n">
        <x:v>4</x:v>
      </x:c>
      <x:c r="N318" s="14" t="n">
        <x:v>12</x:v>
      </x:c>
      <x:c r="O318" s="14" t="str"/>
      <x:c r="P318" s="14" t="str"/>
      <x:c r="Q318" s="14" t="str"/>
      <x:c r="R318" s="14" t="str"/>
      <x:c r="S318" s="14" t="str"/>
      <x:c r="T318" s="14" t="str"/>
      <x:c r="U318" s="10" t="str"/>
      <x:c r="V318" t="str"/>
      <x:c r="W318" t="str">
        <x:f>IF(V318=1,IF(R318="VALID","PASS",IF(R318="INVALID","INVALID","OPEN")),"OPEN")</x:f>
        <x:v>OPEN</x:v>
      </x:c>
    </x:row>
    <x:row r="319" ht="36" customHeight="1">
      <x:c r="B319" t="str">
        <x:v>RAW-E313</x:v>
      </x:c>
      <x:c r="C319" t="str">
        <x:v>AM-04</x:v>
      </x:c>
      <x:c r="D319" t="str">
        <x:v>TR-A</x:v>
      </x:c>
      <x:c r="E319" t="str">
        <x:v>RFP-B1</x:v>
      </x:c>
      <x:c r="F319" t="str">
        <x:v>PTC-B</x:v>
      </x:c>
      <x:c r="G319" t="str">
        <x:v>QT-01</x:v>
      </x:c>
      <x:c r="H319" t="str">
        <x:v>RAW-V25</x:v>
      </x:c>
      <x:c r="I319" t="str">
        <x:v>RAW-A099</x:v>
      </x:c>
      <x:c r="J319" t="str">
        <x:v>DISCLOSED</x:v>
      </x:c>
      <x:c r="K319" t="str">
        <x:v>NONE</x:v>
      </x:c>
      <x:c r="L319" t="str">
        <x:v>n.a.</x:v>
      </x:c>
      <x:c r="M319" s="14" t="n">
        <x:v>2</x:v>
      </x:c>
      <x:c r="N319" s="14" t="n">
        <x:v>1</x:v>
      </x:c>
      <x:c r="O319" s="14" t="str"/>
      <x:c r="P319" s="14" t="str"/>
      <x:c r="Q319" s="14" t="str"/>
      <x:c r="R319" s="14" t="str"/>
      <x:c r="S319" s="14" t="str"/>
      <x:c r="T319" s="14" t="str"/>
      <x:c r="U319" s="10" t="str"/>
      <x:c r="V319" t="str"/>
      <x:c r="W319" t="str">
        <x:f>IF(V319=1,IF(R319="VALID","PASS",IF(R319="INVALID","INVALID","OPEN")),"OPEN")</x:f>
        <x:v>OPEN</x:v>
      </x:c>
    </x:row>
    <x:row r="320" ht="36" customHeight="1">
      <x:c r="B320" t="str">
        <x:v>RAW-E314</x:v>
      </x:c>
      <x:c r="C320" t="str">
        <x:v>AM-04</x:v>
      </x:c>
      <x:c r="D320" t="str">
        <x:v>TR-A</x:v>
      </x:c>
      <x:c r="E320" t="str">
        <x:v>RFP-B1</x:v>
      </x:c>
      <x:c r="F320" t="str">
        <x:v>PTC-B</x:v>
      </x:c>
      <x:c r="G320" t="str">
        <x:v>QT-02</x:v>
      </x:c>
      <x:c r="H320" t="str">
        <x:v>RAW-V26</x:v>
      </x:c>
      <x:c r="I320" t="str">
        <x:v>RAW-A099</x:v>
      </x:c>
      <x:c r="J320" t="str">
        <x:v>DISCLOSED</x:v>
      </x:c>
      <x:c r="K320" t="str">
        <x:v>NONE</x:v>
      </x:c>
      <x:c r="L320" t="str">
        <x:v>n.a.</x:v>
      </x:c>
      <x:c r="M320" s="14" t="n">
        <x:v>2</x:v>
      </x:c>
      <x:c r="N320" s="14" t="n">
        <x:v>3</x:v>
      </x:c>
      <x:c r="O320" s="14" t="str"/>
      <x:c r="P320" s="14" t="str"/>
      <x:c r="Q320" s="14" t="str"/>
      <x:c r="R320" s="14" t="str"/>
      <x:c r="S320" s="14" t="str"/>
      <x:c r="T320" s="14" t="str"/>
      <x:c r="U320" s="10" t="str"/>
      <x:c r="V320" t="str"/>
      <x:c r="W320" t="str">
        <x:f>IF(V320=1,IF(R320="VALID","PASS",IF(R320="INVALID","INVALID","OPEN")),"OPEN")</x:f>
        <x:v>OPEN</x:v>
      </x:c>
    </x:row>
    <x:row r="321" ht="36" customHeight="1">
      <x:c r="B321" t="str">
        <x:v>RAW-E315</x:v>
      </x:c>
      <x:c r="C321" t="str">
        <x:v>AM-04</x:v>
      </x:c>
      <x:c r="D321" t="str">
        <x:v>TR-A</x:v>
      </x:c>
      <x:c r="E321" t="str">
        <x:v>RFP-B1</x:v>
      </x:c>
      <x:c r="F321" t="str">
        <x:v>PTC-B</x:v>
      </x:c>
      <x:c r="G321" t="str">
        <x:v>QT-03</x:v>
      </x:c>
      <x:c r="H321" t="str">
        <x:v>RAW-V27</x:v>
      </x:c>
      <x:c r="I321" t="str">
        <x:v>RAW-A099</x:v>
      </x:c>
      <x:c r="J321" t="str">
        <x:v>DISCLOSED</x:v>
      </x:c>
      <x:c r="K321" t="str">
        <x:v>NONE</x:v>
      </x:c>
      <x:c r="L321" t="str">
        <x:v>n.a.</x:v>
      </x:c>
      <x:c r="M321" s="14" t="n">
        <x:v>2</x:v>
      </x:c>
      <x:c r="N321" s="14" t="n">
        <x:v>5</x:v>
      </x:c>
      <x:c r="O321" s="14" t="str"/>
      <x:c r="P321" s="14" t="str"/>
      <x:c r="Q321" s="14" t="str"/>
      <x:c r="R321" s="14" t="str"/>
      <x:c r="S321" s="14" t="str"/>
      <x:c r="T321" s="14" t="str"/>
      <x:c r="U321" s="10" t="str"/>
      <x:c r="V321" t="str"/>
      <x:c r="W321" t="str">
        <x:f>IF(V321=1,IF(R321="VALID","PASS",IF(R321="INVALID","INVALID","OPEN")),"OPEN")</x:f>
        <x:v>OPEN</x:v>
      </x:c>
    </x:row>
    <x:row r="322" ht="36" customHeight="1">
      <x:c r="B322" t="str">
        <x:v>RAW-E316</x:v>
      </x:c>
      <x:c r="C322" t="str">
        <x:v>AM-04</x:v>
      </x:c>
      <x:c r="D322" t="str">
        <x:v>TR-A</x:v>
      </x:c>
      <x:c r="E322" t="str">
        <x:v>RFP-B1</x:v>
      </x:c>
      <x:c r="F322" t="str">
        <x:v>PTC-B</x:v>
      </x:c>
      <x:c r="G322" t="str">
        <x:v>QT-04</x:v>
      </x:c>
      <x:c r="H322" t="str">
        <x:v>RAW-V28</x:v>
      </x:c>
      <x:c r="I322" t="str">
        <x:v>RAW-A099</x:v>
      </x:c>
      <x:c r="J322" t="str">
        <x:v>BLIND</x:v>
      </x:c>
      <x:c r="K322" t="str">
        <x:v>NONE</x:v>
      </x:c>
      <x:c r="L322" t="str">
        <x:v>n.a.</x:v>
      </x:c>
      <x:c r="M322" s="14" t="n">
        <x:v>3</x:v>
      </x:c>
      <x:c r="N322" s="14" t="n">
        <x:v>7</x:v>
      </x:c>
      <x:c r="O322" s="14" t="str"/>
      <x:c r="P322" s="14" t="str"/>
      <x:c r="Q322" s="14" t="str"/>
      <x:c r="R322" s="14" t="str"/>
      <x:c r="S322" s="14" t="str"/>
      <x:c r="T322" s="14" t="str"/>
      <x:c r="U322" s="10" t="str"/>
      <x:c r="V322" t="str"/>
      <x:c r="W322" t="str">
        <x:f>IF(V322=1,IF(R322="VALID","PASS",IF(R322="INVALID","INVALID","OPEN")),"OPEN")</x:f>
        <x:v>OPEN</x:v>
      </x:c>
    </x:row>
    <x:row r="323" ht="36" customHeight="1">
      <x:c r="B323" t="str">
        <x:v>RAW-E317</x:v>
      </x:c>
      <x:c r="C323" t="str">
        <x:v>AM-04</x:v>
      </x:c>
      <x:c r="D323" t="str">
        <x:v>TR-A</x:v>
      </x:c>
      <x:c r="E323" t="str">
        <x:v>RFP-B1</x:v>
      </x:c>
      <x:c r="F323" t="str">
        <x:v>PTC-B</x:v>
      </x:c>
      <x:c r="G323" t="str">
        <x:v>QT-05</x:v>
      </x:c>
      <x:c r="H323" t="str">
        <x:v>RAW-V29</x:v>
      </x:c>
      <x:c r="I323" t="str">
        <x:v>RAW-A099</x:v>
      </x:c>
      <x:c r="J323" t="str">
        <x:v>BLIND</x:v>
      </x:c>
      <x:c r="K323" t="str">
        <x:v>DECISIVE CHAIN</x:v>
      </x:c>
      <x:c r="L323" t="str">
        <x:v>n.a.</x:v>
      </x:c>
      <x:c r="M323" s="14" t="n">
        <x:v>3</x:v>
      </x:c>
      <x:c r="N323" s="14" t="n">
        <x:v>9</x:v>
      </x:c>
      <x:c r="O323" s="14" t="str"/>
      <x:c r="P323" s="14" t="str"/>
      <x:c r="Q323" s="14" t="str"/>
      <x:c r="R323" s="14" t="str"/>
      <x:c r="S323" s="14" t="str"/>
      <x:c r="T323" s="14" t="str"/>
      <x:c r="U323" s="10" t="str"/>
      <x:c r="V323" t="str"/>
      <x:c r="W323" t="str">
        <x:f>IF(V323=1,IF(R323="VALID","PASS",IF(R323="INVALID","INVALID","OPEN")),"OPEN")</x:f>
        <x:v>OPEN</x:v>
      </x:c>
    </x:row>
    <x:row r="324" ht="36" customHeight="1">
      <x:c r="B324" t="str">
        <x:v>RAW-E318</x:v>
      </x:c>
      <x:c r="C324" t="str">
        <x:v>AM-04</x:v>
      </x:c>
      <x:c r="D324" t="str">
        <x:v>TR-A</x:v>
      </x:c>
      <x:c r="E324" t="str">
        <x:v>RFP-B1</x:v>
      </x:c>
      <x:c r="F324" t="str">
        <x:v>PTC-B</x:v>
      </x:c>
      <x:c r="G324" t="str">
        <x:v>QT-06</x:v>
      </x:c>
      <x:c r="H324" t="str">
        <x:v>RAW-V30</x:v>
      </x:c>
      <x:c r="I324" t="str">
        <x:v>RAW-A099</x:v>
      </x:c>
      <x:c r="J324" t="str">
        <x:v>DISCLOSED</x:v>
      </x:c>
      <x:c r="K324" t="str">
        <x:v>NONE</x:v>
      </x:c>
      <x:c r="L324" t="str">
        <x:v>PTC-C</x:v>
      </x:c>
      <x:c r="M324" s="14" t="n">
        <x:v>4</x:v>
      </x:c>
      <x:c r="N324" s="14" t="n">
        <x:v>11</x:v>
      </x:c>
      <x:c r="O324" s="14" t="str"/>
      <x:c r="P324" s="14" t="str"/>
      <x:c r="Q324" s="14" t="str"/>
      <x:c r="R324" s="14" t="str"/>
      <x:c r="S324" s="14" t="str"/>
      <x:c r="T324" s="14" t="str"/>
      <x:c r="U324" s="10" t="str"/>
      <x:c r="V324" t="str"/>
      <x:c r="W324" t="str">
        <x:f>IF(V324=1,IF(R324="VALID","PASS",IF(R324="INVALID","INVALID","OPEN")),"OPEN")</x:f>
        <x:v>OPEN</x:v>
      </x:c>
    </x:row>
    <x:row r="325" ht="36" customHeight="1">
      <x:c r="B325" t="str">
        <x:v>RAW-E319</x:v>
      </x:c>
      <x:c r="C325" t="str">
        <x:v>AM-04</x:v>
      </x:c>
      <x:c r="D325" t="str">
        <x:v>TR-B</x:v>
      </x:c>
      <x:c r="E325" t="str">
        <x:v>RFP-B1</x:v>
      </x:c>
      <x:c r="F325" t="str">
        <x:v>PTC-B</x:v>
      </x:c>
      <x:c r="G325" t="str">
        <x:v>QT-01</x:v>
      </x:c>
      <x:c r="H325" t="str">
        <x:v>RAW-V25</x:v>
      </x:c>
      <x:c r="I325" t="str">
        <x:v>RAW-A111</x:v>
      </x:c>
      <x:c r="J325" t="str">
        <x:v>DISCLOSED</x:v>
      </x:c>
      <x:c r="K325" t="str">
        <x:v>NONE</x:v>
      </x:c>
      <x:c r="L325" t="str">
        <x:v>n.a.</x:v>
      </x:c>
      <x:c r="M325" s="14" t="n">
        <x:v>2</x:v>
      </x:c>
      <x:c r="N325" s="14" t="n">
        <x:v>2</x:v>
      </x:c>
      <x:c r="O325" s="14" t="str"/>
      <x:c r="P325" s="14" t="str"/>
      <x:c r="Q325" s="14" t="str"/>
      <x:c r="R325" s="14" t="str"/>
      <x:c r="S325" s="14" t="str"/>
      <x:c r="T325" s="14" t="str"/>
      <x:c r="U325" s="10" t="str"/>
      <x:c r="V325" t="str"/>
      <x:c r="W325" t="str">
        <x:f>IF(V325=1,IF(R325="VALID","PASS",IF(R325="INVALID","INVALID","OPEN")),"OPEN")</x:f>
        <x:v>OPEN</x:v>
      </x:c>
    </x:row>
    <x:row r="326" ht="36" customHeight="1">
      <x:c r="B326" t="str">
        <x:v>RAW-E320</x:v>
      </x:c>
      <x:c r="C326" t="str">
        <x:v>AM-04</x:v>
      </x:c>
      <x:c r="D326" t="str">
        <x:v>TR-B</x:v>
      </x:c>
      <x:c r="E326" t="str">
        <x:v>RFP-B1</x:v>
      </x:c>
      <x:c r="F326" t="str">
        <x:v>PTC-B</x:v>
      </x:c>
      <x:c r="G326" t="str">
        <x:v>QT-02</x:v>
      </x:c>
      <x:c r="H326" t="str">
        <x:v>RAW-V26</x:v>
      </x:c>
      <x:c r="I326" t="str">
        <x:v>RAW-A111</x:v>
      </x:c>
      <x:c r="J326" t="str">
        <x:v>DISCLOSED</x:v>
      </x:c>
      <x:c r="K326" t="str">
        <x:v>NONE</x:v>
      </x:c>
      <x:c r="L326" t="str">
        <x:v>n.a.</x:v>
      </x:c>
      <x:c r="M326" s="14" t="n">
        <x:v>2</x:v>
      </x:c>
      <x:c r="N326" s="14" t="n">
        <x:v>4</x:v>
      </x:c>
      <x:c r="O326" s="14" t="str"/>
      <x:c r="P326" s="14" t="str"/>
      <x:c r="Q326" s="14" t="str"/>
      <x:c r="R326" s="14" t="str"/>
      <x:c r="S326" s="14" t="str"/>
      <x:c r="T326" s="14" t="str"/>
      <x:c r="U326" s="10" t="str"/>
      <x:c r="V326" t="str"/>
      <x:c r="W326" t="str">
        <x:f>IF(V326=1,IF(R326="VALID","PASS",IF(R326="INVALID","INVALID","OPEN")),"OPEN")</x:f>
        <x:v>OPEN</x:v>
      </x:c>
    </x:row>
    <x:row r="327" ht="36" customHeight="1">
      <x:c r="B327" t="str">
        <x:v>RAW-E321</x:v>
      </x:c>
      <x:c r="C327" t="str">
        <x:v>AM-04</x:v>
      </x:c>
      <x:c r="D327" t="str">
        <x:v>TR-B</x:v>
      </x:c>
      <x:c r="E327" t="str">
        <x:v>RFP-B1</x:v>
      </x:c>
      <x:c r="F327" t="str">
        <x:v>PTC-B</x:v>
      </x:c>
      <x:c r="G327" t="str">
        <x:v>QT-03</x:v>
      </x:c>
      <x:c r="H327" t="str">
        <x:v>RAW-V27</x:v>
      </x:c>
      <x:c r="I327" t="str">
        <x:v>RAW-A111</x:v>
      </x:c>
      <x:c r="J327" t="str">
        <x:v>DISCLOSED</x:v>
      </x:c>
      <x:c r="K327" t="str">
        <x:v>NONE</x:v>
      </x:c>
      <x:c r="L327" t="str">
        <x:v>n.a.</x:v>
      </x:c>
      <x:c r="M327" s="14" t="n">
        <x:v>2</x:v>
      </x:c>
      <x:c r="N327" s="14" t="n">
        <x:v>6</x:v>
      </x:c>
      <x:c r="O327" s="14" t="str"/>
      <x:c r="P327" s="14" t="str"/>
      <x:c r="Q327" s="14" t="str"/>
      <x:c r="R327" s="14" t="str"/>
      <x:c r="S327" s="14" t="str"/>
      <x:c r="T327" s="14" t="str"/>
      <x:c r="U327" s="10" t="str"/>
      <x:c r="V327" t="str"/>
      <x:c r="W327" t="str">
        <x:f>IF(V327=1,IF(R327="VALID","PASS",IF(R327="INVALID","INVALID","OPEN")),"OPEN")</x:f>
        <x:v>OPEN</x:v>
      </x:c>
    </x:row>
    <x:row r="328" ht="36" customHeight="1">
      <x:c r="B328" t="str">
        <x:v>RAW-E322</x:v>
      </x:c>
      <x:c r="C328" t="str">
        <x:v>AM-04</x:v>
      </x:c>
      <x:c r="D328" t="str">
        <x:v>TR-B</x:v>
      </x:c>
      <x:c r="E328" t="str">
        <x:v>RFP-B1</x:v>
      </x:c>
      <x:c r="F328" t="str">
        <x:v>PTC-B</x:v>
      </x:c>
      <x:c r="G328" t="str">
        <x:v>QT-04</x:v>
      </x:c>
      <x:c r="H328" t="str">
        <x:v>RAW-V28</x:v>
      </x:c>
      <x:c r="I328" t="str">
        <x:v>RAW-A111</x:v>
      </x:c>
      <x:c r="J328" t="str">
        <x:v>BLIND</x:v>
      </x:c>
      <x:c r="K328" t="str">
        <x:v>NONE</x:v>
      </x:c>
      <x:c r="L328" t="str">
        <x:v>n.a.</x:v>
      </x:c>
      <x:c r="M328" s="14" t="n">
        <x:v>3</x:v>
      </x:c>
      <x:c r="N328" s="14" t="n">
        <x:v>8</x:v>
      </x:c>
      <x:c r="O328" s="14" t="str"/>
      <x:c r="P328" s="14" t="str"/>
      <x:c r="Q328" s="14" t="str"/>
      <x:c r="R328" s="14" t="str"/>
      <x:c r="S328" s="14" t="str"/>
      <x:c r="T328" s="14" t="str"/>
      <x:c r="U328" s="10" t="str"/>
      <x:c r="V328" t="str"/>
      <x:c r="W328" t="str">
        <x:f>IF(V328=1,IF(R328="VALID","PASS",IF(R328="INVALID","INVALID","OPEN")),"OPEN")</x:f>
        <x:v>OPEN</x:v>
      </x:c>
    </x:row>
    <x:row r="329" ht="36" customHeight="1">
      <x:c r="B329" t="str">
        <x:v>RAW-E323</x:v>
      </x:c>
      <x:c r="C329" t="str">
        <x:v>AM-04</x:v>
      </x:c>
      <x:c r="D329" t="str">
        <x:v>TR-B</x:v>
      </x:c>
      <x:c r="E329" t="str">
        <x:v>RFP-B1</x:v>
      </x:c>
      <x:c r="F329" t="str">
        <x:v>PTC-B</x:v>
      </x:c>
      <x:c r="G329" t="str">
        <x:v>QT-05</x:v>
      </x:c>
      <x:c r="H329" t="str">
        <x:v>RAW-V29</x:v>
      </x:c>
      <x:c r="I329" t="str">
        <x:v>RAW-A111</x:v>
      </x:c>
      <x:c r="J329" t="str">
        <x:v>BLIND</x:v>
      </x:c>
      <x:c r="K329" t="str">
        <x:v>DECISIVE CHAIN</x:v>
      </x:c>
      <x:c r="L329" t="str">
        <x:v>n.a.</x:v>
      </x:c>
      <x:c r="M329" s="14" t="n">
        <x:v>3</x:v>
      </x:c>
      <x:c r="N329" s="14" t="n">
        <x:v>10</x:v>
      </x:c>
      <x:c r="O329" s="14" t="str"/>
      <x:c r="P329" s="14" t="str"/>
      <x:c r="Q329" s="14" t="str"/>
      <x:c r="R329" s="14" t="str"/>
      <x:c r="S329" s="14" t="str"/>
      <x:c r="T329" s="14" t="str"/>
      <x:c r="U329" s="10" t="str"/>
      <x:c r="V329" t="str"/>
      <x:c r="W329" t="str">
        <x:f>IF(V329=1,IF(R329="VALID","PASS",IF(R329="INVALID","INVALID","OPEN")),"OPEN")</x:f>
        <x:v>OPEN</x:v>
      </x:c>
    </x:row>
    <x:row r="330" ht="36" customHeight="1">
      <x:c r="B330" t="str">
        <x:v>RAW-E324</x:v>
      </x:c>
      <x:c r="C330" t="str">
        <x:v>AM-04</x:v>
      </x:c>
      <x:c r="D330" t="str">
        <x:v>TR-B</x:v>
      </x:c>
      <x:c r="E330" t="str">
        <x:v>RFP-B1</x:v>
      </x:c>
      <x:c r="F330" t="str">
        <x:v>PTC-B</x:v>
      </x:c>
      <x:c r="G330" t="str">
        <x:v>QT-06</x:v>
      </x:c>
      <x:c r="H330" t="str">
        <x:v>RAW-V30</x:v>
      </x:c>
      <x:c r="I330" t="str">
        <x:v>RAW-A111</x:v>
      </x:c>
      <x:c r="J330" t="str">
        <x:v>DISCLOSED</x:v>
      </x:c>
      <x:c r="K330" t="str">
        <x:v>NONE</x:v>
      </x:c>
      <x:c r="L330" t="str">
        <x:v>PTC-C</x:v>
      </x:c>
      <x:c r="M330" s="14" t="n">
        <x:v>4</x:v>
      </x:c>
      <x:c r="N330" s="14" t="n">
        <x:v>12</x:v>
      </x:c>
      <x:c r="O330" s="14" t="str"/>
      <x:c r="P330" s="14" t="str"/>
      <x:c r="Q330" s="14" t="str"/>
      <x:c r="R330" s="14" t="str"/>
      <x:c r="S330" s="14" t="str"/>
      <x:c r="T330" s="14" t="str"/>
      <x:c r="U330" s="10" t="str"/>
      <x:c r="V330" t="str"/>
      <x:c r="W330" t="str">
        <x:f>IF(V330=1,IF(R330="VALID","PASS",IF(R330="INVALID","INVALID","OPEN")),"OPEN")</x:f>
        <x:v>OPEN</x:v>
      </x:c>
    </x:row>
    <x:row r="331" ht="36" customHeight="1">
      <x:c r="B331" t="str">
        <x:v>RAW-E325</x:v>
      </x:c>
      <x:c r="C331" t="str">
        <x:v>AM-04</x:v>
      </x:c>
      <x:c r="D331" t="str">
        <x:v>TR-A</x:v>
      </x:c>
      <x:c r="E331" t="str">
        <x:v>RFP-B2</x:v>
      </x:c>
      <x:c r="F331" t="str">
        <x:v>PTC-B</x:v>
      </x:c>
      <x:c r="G331" t="str">
        <x:v>QT-01</x:v>
      </x:c>
      <x:c r="H331" t="str">
        <x:v>RAW-V25</x:v>
      </x:c>
      <x:c r="I331" t="str">
        <x:v>RAW-A100</x:v>
      </x:c>
      <x:c r="J331" t="str">
        <x:v>DISCLOSED</x:v>
      </x:c>
      <x:c r="K331" t="str">
        <x:v>NONE</x:v>
      </x:c>
      <x:c r="L331" t="str">
        <x:v>n.a.</x:v>
      </x:c>
      <x:c r="M331" s="14" t="n">
        <x:v>2</x:v>
      </x:c>
      <x:c r="N331" s="14" t="n">
        <x:v>1</x:v>
      </x:c>
      <x:c r="O331" s="14" t="str"/>
      <x:c r="P331" s="14" t="str"/>
      <x:c r="Q331" s="14" t="str"/>
      <x:c r="R331" s="14" t="str"/>
      <x:c r="S331" s="14" t="str"/>
      <x:c r="T331" s="14" t="str"/>
      <x:c r="U331" s="10" t="str"/>
      <x:c r="V331" t="str"/>
      <x:c r="W331" t="str">
        <x:f>IF(V331=1,IF(R331="VALID","PASS",IF(R331="INVALID","INVALID","OPEN")),"OPEN")</x:f>
        <x:v>OPEN</x:v>
      </x:c>
    </x:row>
    <x:row r="332" ht="36" customHeight="1">
      <x:c r="B332" t="str">
        <x:v>RAW-E326</x:v>
      </x:c>
      <x:c r="C332" t="str">
        <x:v>AM-04</x:v>
      </x:c>
      <x:c r="D332" t="str">
        <x:v>TR-A</x:v>
      </x:c>
      <x:c r="E332" t="str">
        <x:v>RFP-B2</x:v>
      </x:c>
      <x:c r="F332" t="str">
        <x:v>PTC-B</x:v>
      </x:c>
      <x:c r="G332" t="str">
        <x:v>QT-02</x:v>
      </x:c>
      <x:c r="H332" t="str">
        <x:v>RAW-V26</x:v>
      </x:c>
      <x:c r="I332" t="str">
        <x:v>RAW-A100</x:v>
      </x:c>
      <x:c r="J332" t="str">
        <x:v>DISCLOSED</x:v>
      </x:c>
      <x:c r="K332" t="str">
        <x:v>NONE</x:v>
      </x:c>
      <x:c r="L332" t="str">
        <x:v>n.a.</x:v>
      </x:c>
      <x:c r="M332" s="14" t="n">
        <x:v>2</x:v>
      </x:c>
      <x:c r="N332" s="14" t="n">
        <x:v>3</x:v>
      </x:c>
      <x:c r="O332" s="14" t="str"/>
      <x:c r="P332" s="14" t="str"/>
      <x:c r="Q332" s="14" t="str"/>
      <x:c r="R332" s="14" t="str"/>
      <x:c r="S332" s="14" t="str"/>
      <x:c r="T332" s="14" t="str"/>
      <x:c r="U332" s="10" t="str"/>
      <x:c r="V332" t="str"/>
      <x:c r="W332" t="str">
        <x:f>IF(V332=1,IF(R332="VALID","PASS",IF(R332="INVALID","INVALID","OPEN")),"OPEN")</x:f>
        <x:v>OPEN</x:v>
      </x:c>
    </x:row>
    <x:row r="333" ht="36" customHeight="1">
      <x:c r="B333" t="str">
        <x:v>RAW-E327</x:v>
      </x:c>
      <x:c r="C333" t="str">
        <x:v>AM-04</x:v>
      </x:c>
      <x:c r="D333" t="str">
        <x:v>TR-A</x:v>
      </x:c>
      <x:c r="E333" t="str">
        <x:v>RFP-B2</x:v>
      </x:c>
      <x:c r="F333" t="str">
        <x:v>PTC-B</x:v>
      </x:c>
      <x:c r="G333" t="str">
        <x:v>QT-03</x:v>
      </x:c>
      <x:c r="H333" t="str">
        <x:v>RAW-V27</x:v>
      </x:c>
      <x:c r="I333" t="str">
        <x:v>RAW-A100</x:v>
      </x:c>
      <x:c r="J333" t="str">
        <x:v>DISCLOSED</x:v>
      </x:c>
      <x:c r="K333" t="str">
        <x:v>NONE</x:v>
      </x:c>
      <x:c r="L333" t="str">
        <x:v>n.a.</x:v>
      </x:c>
      <x:c r="M333" s="14" t="n">
        <x:v>2</x:v>
      </x:c>
      <x:c r="N333" s="14" t="n">
        <x:v>5</x:v>
      </x:c>
      <x:c r="O333" s="14" t="str"/>
      <x:c r="P333" s="14" t="str"/>
      <x:c r="Q333" s="14" t="str"/>
      <x:c r="R333" s="14" t="str"/>
      <x:c r="S333" s="14" t="str"/>
      <x:c r="T333" s="14" t="str"/>
      <x:c r="U333" s="10" t="str"/>
      <x:c r="V333" t="str"/>
      <x:c r="W333" t="str">
        <x:f>IF(V333=1,IF(R333="VALID","PASS",IF(R333="INVALID","INVALID","OPEN")),"OPEN")</x:f>
        <x:v>OPEN</x:v>
      </x:c>
    </x:row>
    <x:row r="334" ht="36" customHeight="1">
      <x:c r="B334" t="str">
        <x:v>RAW-E328</x:v>
      </x:c>
      <x:c r="C334" t="str">
        <x:v>AM-04</x:v>
      </x:c>
      <x:c r="D334" t="str">
        <x:v>TR-A</x:v>
      </x:c>
      <x:c r="E334" t="str">
        <x:v>RFP-B2</x:v>
      </x:c>
      <x:c r="F334" t="str">
        <x:v>PTC-B</x:v>
      </x:c>
      <x:c r="G334" t="str">
        <x:v>QT-04</x:v>
      </x:c>
      <x:c r="H334" t="str">
        <x:v>RAW-V28</x:v>
      </x:c>
      <x:c r="I334" t="str">
        <x:v>RAW-A100</x:v>
      </x:c>
      <x:c r="J334" t="str">
        <x:v>BLIND</x:v>
      </x:c>
      <x:c r="K334" t="str">
        <x:v>NONE</x:v>
      </x:c>
      <x:c r="L334" t="str">
        <x:v>n.a.</x:v>
      </x:c>
      <x:c r="M334" s="14" t="n">
        <x:v>3</x:v>
      </x:c>
      <x:c r="N334" s="14" t="n">
        <x:v>7</x:v>
      </x:c>
      <x:c r="O334" s="14" t="str"/>
      <x:c r="P334" s="14" t="str"/>
      <x:c r="Q334" s="14" t="str"/>
      <x:c r="R334" s="14" t="str"/>
      <x:c r="S334" s="14" t="str"/>
      <x:c r="T334" s="14" t="str"/>
      <x:c r="U334" s="10" t="str"/>
      <x:c r="V334" t="str"/>
      <x:c r="W334" t="str">
        <x:f>IF(V334=1,IF(R334="VALID","PASS",IF(R334="INVALID","INVALID","OPEN")),"OPEN")</x:f>
        <x:v>OPEN</x:v>
      </x:c>
    </x:row>
    <x:row r="335" ht="36" customHeight="1">
      <x:c r="B335" t="str">
        <x:v>RAW-E329</x:v>
      </x:c>
      <x:c r="C335" t="str">
        <x:v>AM-04</x:v>
      </x:c>
      <x:c r="D335" t="str">
        <x:v>TR-A</x:v>
      </x:c>
      <x:c r="E335" t="str">
        <x:v>RFP-B2</x:v>
      </x:c>
      <x:c r="F335" t="str">
        <x:v>PTC-B</x:v>
      </x:c>
      <x:c r="G335" t="str">
        <x:v>QT-05</x:v>
      </x:c>
      <x:c r="H335" t="str">
        <x:v>RAW-V29</x:v>
      </x:c>
      <x:c r="I335" t="str">
        <x:v>RAW-A100</x:v>
      </x:c>
      <x:c r="J335" t="str">
        <x:v>BLIND</x:v>
      </x:c>
      <x:c r="K335" t="str">
        <x:v>DECISIVE CHAIN</x:v>
      </x:c>
      <x:c r="L335" t="str">
        <x:v>n.a.</x:v>
      </x:c>
      <x:c r="M335" s="14" t="n">
        <x:v>3</x:v>
      </x:c>
      <x:c r="N335" s="14" t="n">
        <x:v>9</x:v>
      </x:c>
      <x:c r="O335" s="14" t="str"/>
      <x:c r="P335" s="14" t="str"/>
      <x:c r="Q335" s="14" t="str"/>
      <x:c r="R335" s="14" t="str"/>
      <x:c r="S335" s="14" t="str"/>
      <x:c r="T335" s="14" t="str"/>
      <x:c r="U335" s="10" t="str"/>
      <x:c r="V335" t="str"/>
      <x:c r="W335" t="str">
        <x:f>IF(V335=1,IF(R335="VALID","PASS",IF(R335="INVALID","INVALID","OPEN")),"OPEN")</x:f>
        <x:v>OPEN</x:v>
      </x:c>
    </x:row>
    <x:row r="336" ht="36" customHeight="1">
      <x:c r="B336" t="str">
        <x:v>RAW-E330</x:v>
      </x:c>
      <x:c r="C336" t="str">
        <x:v>AM-04</x:v>
      </x:c>
      <x:c r="D336" t="str">
        <x:v>TR-A</x:v>
      </x:c>
      <x:c r="E336" t="str">
        <x:v>RFP-B2</x:v>
      </x:c>
      <x:c r="F336" t="str">
        <x:v>PTC-B</x:v>
      </x:c>
      <x:c r="G336" t="str">
        <x:v>QT-06</x:v>
      </x:c>
      <x:c r="H336" t="str">
        <x:v>RAW-V30</x:v>
      </x:c>
      <x:c r="I336" t="str">
        <x:v>RAW-A100</x:v>
      </x:c>
      <x:c r="J336" t="str">
        <x:v>DISCLOSED</x:v>
      </x:c>
      <x:c r="K336" t="str">
        <x:v>NONE</x:v>
      </x:c>
      <x:c r="L336" t="str">
        <x:v>PTC-C</x:v>
      </x:c>
      <x:c r="M336" s="14" t="n">
        <x:v>4</x:v>
      </x:c>
      <x:c r="N336" s="14" t="n">
        <x:v>11</x:v>
      </x:c>
      <x:c r="O336" s="14" t="str"/>
      <x:c r="P336" s="14" t="str"/>
      <x:c r="Q336" s="14" t="str"/>
      <x:c r="R336" s="14" t="str"/>
      <x:c r="S336" s="14" t="str"/>
      <x:c r="T336" s="14" t="str"/>
      <x:c r="U336" s="10" t="str"/>
      <x:c r="V336" t="str"/>
      <x:c r="W336" t="str">
        <x:f>IF(V336=1,IF(R336="VALID","PASS",IF(R336="INVALID","INVALID","OPEN")),"OPEN")</x:f>
        <x:v>OPEN</x:v>
      </x:c>
    </x:row>
    <x:row r="337" ht="36" customHeight="1">
      <x:c r="B337" t="str">
        <x:v>RAW-E331</x:v>
      </x:c>
      <x:c r="C337" t="str">
        <x:v>AM-04</x:v>
      </x:c>
      <x:c r="D337" t="str">
        <x:v>TR-B</x:v>
      </x:c>
      <x:c r="E337" t="str">
        <x:v>RFP-B2</x:v>
      </x:c>
      <x:c r="F337" t="str">
        <x:v>PTC-B</x:v>
      </x:c>
      <x:c r="G337" t="str">
        <x:v>QT-01</x:v>
      </x:c>
      <x:c r="H337" t="str">
        <x:v>RAW-V25</x:v>
      </x:c>
      <x:c r="I337" t="str">
        <x:v>RAW-A112</x:v>
      </x:c>
      <x:c r="J337" t="str">
        <x:v>DISCLOSED</x:v>
      </x:c>
      <x:c r="K337" t="str">
        <x:v>NONE</x:v>
      </x:c>
      <x:c r="L337" t="str">
        <x:v>n.a.</x:v>
      </x:c>
      <x:c r="M337" s="14" t="n">
        <x:v>2</x:v>
      </x:c>
      <x:c r="N337" s="14" t="n">
        <x:v>2</x:v>
      </x:c>
      <x:c r="O337" s="14" t="str"/>
      <x:c r="P337" s="14" t="str"/>
      <x:c r="Q337" s="14" t="str"/>
      <x:c r="R337" s="14" t="str"/>
      <x:c r="S337" s="14" t="str"/>
      <x:c r="T337" s="14" t="str"/>
      <x:c r="U337" s="10" t="str"/>
      <x:c r="V337" t="str"/>
      <x:c r="W337" t="str">
        <x:f>IF(V337=1,IF(R337="VALID","PASS",IF(R337="INVALID","INVALID","OPEN")),"OPEN")</x:f>
        <x:v>OPEN</x:v>
      </x:c>
    </x:row>
    <x:row r="338" ht="36" customHeight="1">
      <x:c r="B338" t="str">
        <x:v>RAW-E332</x:v>
      </x:c>
      <x:c r="C338" t="str">
        <x:v>AM-04</x:v>
      </x:c>
      <x:c r="D338" t="str">
        <x:v>TR-B</x:v>
      </x:c>
      <x:c r="E338" t="str">
        <x:v>RFP-B2</x:v>
      </x:c>
      <x:c r="F338" t="str">
        <x:v>PTC-B</x:v>
      </x:c>
      <x:c r="G338" t="str">
        <x:v>QT-02</x:v>
      </x:c>
      <x:c r="H338" t="str">
        <x:v>RAW-V26</x:v>
      </x:c>
      <x:c r="I338" t="str">
        <x:v>RAW-A112</x:v>
      </x:c>
      <x:c r="J338" t="str">
        <x:v>DISCLOSED</x:v>
      </x:c>
      <x:c r="K338" t="str">
        <x:v>NONE</x:v>
      </x:c>
      <x:c r="L338" t="str">
        <x:v>n.a.</x:v>
      </x:c>
      <x:c r="M338" s="14" t="n">
        <x:v>2</x:v>
      </x:c>
      <x:c r="N338" s="14" t="n">
        <x:v>4</x:v>
      </x:c>
      <x:c r="O338" s="14" t="str"/>
      <x:c r="P338" s="14" t="str"/>
      <x:c r="Q338" s="14" t="str"/>
      <x:c r="R338" s="14" t="str"/>
      <x:c r="S338" s="14" t="str"/>
      <x:c r="T338" s="14" t="str"/>
      <x:c r="U338" s="10" t="str"/>
      <x:c r="V338" t="str"/>
      <x:c r="W338" t="str">
        <x:f>IF(V338=1,IF(R338="VALID","PASS",IF(R338="INVALID","INVALID","OPEN")),"OPEN")</x:f>
        <x:v>OPEN</x:v>
      </x:c>
    </x:row>
    <x:row r="339" ht="36" customHeight="1">
      <x:c r="B339" t="str">
        <x:v>RAW-E333</x:v>
      </x:c>
      <x:c r="C339" t="str">
        <x:v>AM-04</x:v>
      </x:c>
      <x:c r="D339" t="str">
        <x:v>TR-B</x:v>
      </x:c>
      <x:c r="E339" t="str">
        <x:v>RFP-B2</x:v>
      </x:c>
      <x:c r="F339" t="str">
        <x:v>PTC-B</x:v>
      </x:c>
      <x:c r="G339" t="str">
        <x:v>QT-03</x:v>
      </x:c>
      <x:c r="H339" t="str">
        <x:v>RAW-V27</x:v>
      </x:c>
      <x:c r="I339" t="str">
        <x:v>RAW-A112</x:v>
      </x:c>
      <x:c r="J339" t="str">
        <x:v>DISCLOSED</x:v>
      </x:c>
      <x:c r="K339" t="str">
        <x:v>NONE</x:v>
      </x:c>
      <x:c r="L339" t="str">
        <x:v>n.a.</x:v>
      </x:c>
      <x:c r="M339" s="14" t="n">
        <x:v>2</x:v>
      </x:c>
      <x:c r="N339" s="14" t="n">
        <x:v>6</x:v>
      </x:c>
      <x:c r="O339" s="14" t="str"/>
      <x:c r="P339" s="14" t="str"/>
      <x:c r="Q339" s="14" t="str"/>
      <x:c r="R339" s="14" t="str"/>
      <x:c r="S339" s="14" t="str"/>
      <x:c r="T339" s="14" t="str"/>
      <x:c r="U339" s="10" t="str"/>
      <x:c r="V339" t="str"/>
      <x:c r="W339" t="str">
        <x:f>IF(V339=1,IF(R339="VALID","PASS",IF(R339="INVALID","INVALID","OPEN")),"OPEN")</x:f>
        <x:v>OPEN</x:v>
      </x:c>
    </x:row>
    <x:row r="340" ht="36" customHeight="1">
      <x:c r="B340" t="str">
        <x:v>RAW-E334</x:v>
      </x:c>
      <x:c r="C340" t="str">
        <x:v>AM-04</x:v>
      </x:c>
      <x:c r="D340" t="str">
        <x:v>TR-B</x:v>
      </x:c>
      <x:c r="E340" t="str">
        <x:v>RFP-B2</x:v>
      </x:c>
      <x:c r="F340" t="str">
        <x:v>PTC-B</x:v>
      </x:c>
      <x:c r="G340" t="str">
        <x:v>QT-04</x:v>
      </x:c>
      <x:c r="H340" t="str">
        <x:v>RAW-V28</x:v>
      </x:c>
      <x:c r="I340" t="str">
        <x:v>RAW-A112</x:v>
      </x:c>
      <x:c r="J340" t="str">
        <x:v>BLIND</x:v>
      </x:c>
      <x:c r="K340" t="str">
        <x:v>NONE</x:v>
      </x:c>
      <x:c r="L340" t="str">
        <x:v>n.a.</x:v>
      </x:c>
      <x:c r="M340" s="14" t="n">
        <x:v>3</x:v>
      </x:c>
      <x:c r="N340" s="14" t="n">
        <x:v>8</x:v>
      </x:c>
      <x:c r="O340" s="14" t="str"/>
      <x:c r="P340" s="14" t="str"/>
      <x:c r="Q340" s="14" t="str"/>
      <x:c r="R340" s="14" t="str"/>
      <x:c r="S340" s="14" t="str"/>
      <x:c r="T340" s="14" t="str"/>
      <x:c r="U340" s="10" t="str"/>
      <x:c r="V340" t="str"/>
      <x:c r="W340" t="str">
        <x:f>IF(V340=1,IF(R340="VALID","PASS",IF(R340="INVALID","INVALID","OPEN")),"OPEN")</x:f>
        <x:v>OPEN</x:v>
      </x:c>
    </x:row>
    <x:row r="341" ht="36" customHeight="1">
      <x:c r="B341" t="str">
        <x:v>RAW-E335</x:v>
      </x:c>
      <x:c r="C341" t="str">
        <x:v>AM-04</x:v>
      </x:c>
      <x:c r="D341" t="str">
        <x:v>TR-B</x:v>
      </x:c>
      <x:c r="E341" t="str">
        <x:v>RFP-B2</x:v>
      </x:c>
      <x:c r="F341" t="str">
        <x:v>PTC-B</x:v>
      </x:c>
      <x:c r="G341" t="str">
        <x:v>QT-05</x:v>
      </x:c>
      <x:c r="H341" t="str">
        <x:v>RAW-V29</x:v>
      </x:c>
      <x:c r="I341" t="str">
        <x:v>RAW-A112</x:v>
      </x:c>
      <x:c r="J341" t="str">
        <x:v>BLIND</x:v>
      </x:c>
      <x:c r="K341" t="str">
        <x:v>DECISIVE CHAIN</x:v>
      </x:c>
      <x:c r="L341" t="str">
        <x:v>n.a.</x:v>
      </x:c>
      <x:c r="M341" s="14" t="n">
        <x:v>3</x:v>
      </x:c>
      <x:c r="N341" s="14" t="n">
        <x:v>10</x:v>
      </x:c>
      <x:c r="O341" s="14" t="str"/>
      <x:c r="P341" s="14" t="str"/>
      <x:c r="Q341" s="14" t="str"/>
      <x:c r="R341" s="14" t="str"/>
      <x:c r="S341" s="14" t="str"/>
      <x:c r="T341" s="14" t="str"/>
      <x:c r="U341" s="10" t="str"/>
      <x:c r="V341" t="str"/>
      <x:c r="W341" t="str">
        <x:f>IF(V341=1,IF(R341="VALID","PASS",IF(R341="INVALID","INVALID","OPEN")),"OPEN")</x:f>
        <x:v>OPEN</x:v>
      </x:c>
    </x:row>
    <x:row r="342" ht="36" customHeight="1">
      <x:c r="B342" t="str">
        <x:v>RAW-E336</x:v>
      </x:c>
      <x:c r="C342" t="str">
        <x:v>AM-04</x:v>
      </x:c>
      <x:c r="D342" t="str">
        <x:v>TR-B</x:v>
      </x:c>
      <x:c r="E342" t="str">
        <x:v>RFP-B2</x:v>
      </x:c>
      <x:c r="F342" t="str">
        <x:v>PTC-B</x:v>
      </x:c>
      <x:c r="G342" t="str">
        <x:v>QT-06</x:v>
      </x:c>
      <x:c r="H342" t="str">
        <x:v>RAW-V30</x:v>
      </x:c>
      <x:c r="I342" t="str">
        <x:v>RAW-A112</x:v>
      </x:c>
      <x:c r="J342" t="str">
        <x:v>DISCLOSED</x:v>
      </x:c>
      <x:c r="K342" t="str">
        <x:v>NONE</x:v>
      </x:c>
      <x:c r="L342" t="str">
        <x:v>PTC-C</x:v>
      </x:c>
      <x:c r="M342" s="14" t="n">
        <x:v>4</x:v>
      </x:c>
      <x:c r="N342" s="14" t="n">
        <x:v>12</x:v>
      </x:c>
      <x:c r="O342" s="14" t="str"/>
      <x:c r="P342" s="14" t="str"/>
      <x:c r="Q342" s="14" t="str"/>
      <x:c r="R342" s="14" t="str"/>
      <x:c r="S342" s="14" t="str"/>
      <x:c r="T342" s="14" t="str"/>
      <x:c r="U342" s="10" t="str"/>
      <x:c r="V342" t="str"/>
      <x:c r="W342" t="str">
        <x:f>IF(V342=1,IF(R342="VALID","PASS",IF(R342="INVALID","INVALID","OPEN")),"OPEN")</x:f>
        <x:v>OPEN</x:v>
      </x:c>
    </x:row>
    <x:row r="343" ht="36" customHeight="1">
      <x:c r="B343" t="str">
        <x:v>RAW-E337</x:v>
      </x:c>
      <x:c r="C343" t="str">
        <x:v>AM-04</x:v>
      </x:c>
      <x:c r="D343" t="str">
        <x:v>TR-A</x:v>
      </x:c>
      <x:c r="E343" t="str">
        <x:v>RFP-C1</x:v>
      </x:c>
      <x:c r="F343" t="str">
        <x:v>PTC-C</x:v>
      </x:c>
      <x:c r="G343" t="str">
        <x:v>QT-01</x:v>
      </x:c>
      <x:c r="H343" t="str">
        <x:v>RAW-V25</x:v>
      </x:c>
      <x:c r="I343" t="str">
        <x:v>RAW-A101</x:v>
      </x:c>
      <x:c r="J343" t="str">
        <x:v>DISCLOSED</x:v>
      </x:c>
      <x:c r="K343" t="str">
        <x:v>NONE</x:v>
      </x:c>
      <x:c r="L343" t="str">
        <x:v>n.a.</x:v>
      </x:c>
      <x:c r="M343" s="14" t="n">
        <x:v>2</x:v>
      </x:c>
      <x:c r="N343" s="14" t="n">
        <x:v>1</x:v>
      </x:c>
      <x:c r="O343" s="14" t="str"/>
      <x:c r="P343" s="14" t="str"/>
      <x:c r="Q343" s="14" t="str"/>
      <x:c r="R343" s="14" t="str"/>
      <x:c r="S343" s="14" t="str"/>
      <x:c r="T343" s="14" t="str"/>
      <x:c r="U343" s="10" t="str"/>
      <x:c r="V343" t="str"/>
      <x:c r="W343" t="str">
        <x:f>IF(V343=1,IF(R343="VALID","PASS",IF(R343="INVALID","INVALID","OPEN")),"OPEN")</x:f>
        <x:v>OPEN</x:v>
      </x:c>
    </x:row>
    <x:row r="344" ht="36" customHeight="1">
      <x:c r="B344" t="str">
        <x:v>RAW-E338</x:v>
      </x:c>
      <x:c r="C344" t="str">
        <x:v>AM-04</x:v>
      </x:c>
      <x:c r="D344" t="str">
        <x:v>TR-A</x:v>
      </x:c>
      <x:c r="E344" t="str">
        <x:v>RFP-C1</x:v>
      </x:c>
      <x:c r="F344" t="str">
        <x:v>PTC-C</x:v>
      </x:c>
      <x:c r="G344" t="str">
        <x:v>QT-02</x:v>
      </x:c>
      <x:c r="H344" t="str">
        <x:v>RAW-V26</x:v>
      </x:c>
      <x:c r="I344" t="str">
        <x:v>RAW-A101</x:v>
      </x:c>
      <x:c r="J344" t="str">
        <x:v>DISCLOSED</x:v>
      </x:c>
      <x:c r="K344" t="str">
        <x:v>NONE</x:v>
      </x:c>
      <x:c r="L344" t="str">
        <x:v>n.a.</x:v>
      </x:c>
      <x:c r="M344" s="14" t="n">
        <x:v>2</x:v>
      </x:c>
      <x:c r="N344" s="14" t="n">
        <x:v>3</x:v>
      </x:c>
      <x:c r="O344" s="14" t="str"/>
      <x:c r="P344" s="14" t="str"/>
      <x:c r="Q344" s="14" t="str"/>
      <x:c r="R344" s="14" t="str"/>
      <x:c r="S344" s="14" t="str"/>
      <x:c r="T344" s="14" t="str"/>
      <x:c r="U344" s="10" t="str"/>
      <x:c r="V344" t="str"/>
      <x:c r="W344" t="str">
        <x:f>IF(V344=1,IF(R344="VALID","PASS",IF(R344="INVALID","INVALID","OPEN")),"OPEN")</x:f>
        <x:v>OPEN</x:v>
      </x:c>
    </x:row>
    <x:row r="345" ht="36" customHeight="1">
      <x:c r="B345" t="str">
        <x:v>RAW-E339</x:v>
      </x:c>
      <x:c r="C345" t="str">
        <x:v>AM-04</x:v>
      </x:c>
      <x:c r="D345" t="str">
        <x:v>TR-A</x:v>
      </x:c>
      <x:c r="E345" t="str">
        <x:v>RFP-C1</x:v>
      </x:c>
      <x:c r="F345" t="str">
        <x:v>PTC-C</x:v>
      </x:c>
      <x:c r="G345" t="str">
        <x:v>QT-03</x:v>
      </x:c>
      <x:c r="H345" t="str">
        <x:v>RAW-V27</x:v>
      </x:c>
      <x:c r="I345" t="str">
        <x:v>RAW-A101</x:v>
      </x:c>
      <x:c r="J345" t="str">
        <x:v>DISCLOSED</x:v>
      </x:c>
      <x:c r="K345" t="str">
        <x:v>NONE</x:v>
      </x:c>
      <x:c r="L345" t="str">
        <x:v>n.a.</x:v>
      </x:c>
      <x:c r="M345" s="14" t="n">
        <x:v>2</x:v>
      </x:c>
      <x:c r="N345" s="14" t="n">
        <x:v>5</x:v>
      </x:c>
      <x:c r="O345" s="14" t="str"/>
      <x:c r="P345" s="14" t="str"/>
      <x:c r="Q345" s="14" t="str"/>
      <x:c r="R345" s="14" t="str"/>
      <x:c r="S345" s="14" t="str"/>
      <x:c r="T345" s="14" t="str"/>
      <x:c r="U345" s="10" t="str"/>
      <x:c r="V345" t="str"/>
      <x:c r="W345" t="str">
        <x:f>IF(V345=1,IF(R345="VALID","PASS",IF(R345="INVALID","INVALID","OPEN")),"OPEN")</x:f>
        <x:v>OPEN</x:v>
      </x:c>
    </x:row>
    <x:row r="346" ht="36" customHeight="1">
      <x:c r="B346" t="str">
        <x:v>RAW-E340</x:v>
      </x:c>
      <x:c r="C346" t="str">
        <x:v>AM-04</x:v>
      </x:c>
      <x:c r="D346" t="str">
        <x:v>TR-A</x:v>
      </x:c>
      <x:c r="E346" t="str">
        <x:v>RFP-C1</x:v>
      </x:c>
      <x:c r="F346" t="str">
        <x:v>PTC-C</x:v>
      </x:c>
      <x:c r="G346" t="str">
        <x:v>QT-04</x:v>
      </x:c>
      <x:c r="H346" t="str">
        <x:v>RAW-V28</x:v>
      </x:c>
      <x:c r="I346" t="str">
        <x:v>RAW-A101</x:v>
      </x:c>
      <x:c r="J346" t="str">
        <x:v>BLIND</x:v>
      </x:c>
      <x:c r="K346" t="str">
        <x:v>NONE</x:v>
      </x:c>
      <x:c r="L346" t="str">
        <x:v>n.a.</x:v>
      </x:c>
      <x:c r="M346" s="14" t="n">
        <x:v>3</x:v>
      </x:c>
      <x:c r="N346" s="14" t="n">
        <x:v>7</x:v>
      </x:c>
      <x:c r="O346" s="14" t="str"/>
      <x:c r="P346" s="14" t="str"/>
      <x:c r="Q346" s="14" t="str"/>
      <x:c r="R346" s="14" t="str"/>
      <x:c r="S346" s="14" t="str"/>
      <x:c r="T346" s="14" t="str"/>
      <x:c r="U346" s="10" t="str"/>
      <x:c r="V346" t="str"/>
      <x:c r="W346" t="str">
        <x:f>IF(V346=1,IF(R346="VALID","PASS",IF(R346="INVALID","INVALID","OPEN")),"OPEN")</x:f>
        <x:v>OPEN</x:v>
      </x:c>
    </x:row>
    <x:row r="347" ht="36" customHeight="1">
      <x:c r="B347" t="str">
        <x:v>RAW-E341</x:v>
      </x:c>
      <x:c r="C347" t="str">
        <x:v>AM-04</x:v>
      </x:c>
      <x:c r="D347" t="str">
        <x:v>TR-A</x:v>
      </x:c>
      <x:c r="E347" t="str">
        <x:v>RFP-C1</x:v>
      </x:c>
      <x:c r="F347" t="str">
        <x:v>PTC-C</x:v>
      </x:c>
      <x:c r="G347" t="str">
        <x:v>QT-05</x:v>
      </x:c>
      <x:c r="H347" t="str">
        <x:v>RAW-V29</x:v>
      </x:c>
      <x:c r="I347" t="str">
        <x:v>RAW-A101</x:v>
      </x:c>
      <x:c r="J347" t="str">
        <x:v>BLIND</x:v>
      </x:c>
      <x:c r="K347" t="str">
        <x:v>DECISIVE CHAIN</x:v>
      </x:c>
      <x:c r="L347" t="str">
        <x:v>n.a.</x:v>
      </x:c>
      <x:c r="M347" s="14" t="n">
        <x:v>3</x:v>
      </x:c>
      <x:c r="N347" s="14" t="n">
        <x:v>9</x:v>
      </x:c>
      <x:c r="O347" s="14" t="str"/>
      <x:c r="P347" s="14" t="str"/>
      <x:c r="Q347" s="14" t="str"/>
      <x:c r="R347" s="14" t="str"/>
      <x:c r="S347" s="14" t="str"/>
      <x:c r="T347" s="14" t="str"/>
      <x:c r="U347" s="10" t="str"/>
      <x:c r="V347" t="str"/>
      <x:c r="W347" t="str">
        <x:f>IF(V347=1,IF(R347="VALID","PASS",IF(R347="INVALID","INVALID","OPEN")),"OPEN")</x:f>
        <x:v>OPEN</x:v>
      </x:c>
    </x:row>
    <x:row r="348" ht="36" customHeight="1">
      <x:c r="B348" t="str">
        <x:v>RAW-E342</x:v>
      </x:c>
      <x:c r="C348" t="str">
        <x:v>AM-04</x:v>
      </x:c>
      <x:c r="D348" t="str">
        <x:v>TR-A</x:v>
      </x:c>
      <x:c r="E348" t="str">
        <x:v>RFP-C1</x:v>
      </x:c>
      <x:c r="F348" t="str">
        <x:v>PTC-C</x:v>
      </x:c>
      <x:c r="G348" t="str">
        <x:v>QT-06</x:v>
      </x:c>
      <x:c r="H348" t="str">
        <x:v>RAW-V30</x:v>
      </x:c>
      <x:c r="I348" t="str">
        <x:v>RAW-A101</x:v>
      </x:c>
      <x:c r="J348" t="str">
        <x:v>DISCLOSED</x:v>
      </x:c>
      <x:c r="K348" t="str">
        <x:v>NONE</x:v>
      </x:c>
      <x:c r="L348" t="str">
        <x:v>PTC-B</x:v>
      </x:c>
      <x:c r="M348" s="14" t="n">
        <x:v>4</x:v>
      </x:c>
      <x:c r="N348" s="14" t="n">
        <x:v>11</x:v>
      </x:c>
      <x:c r="O348" s="14" t="str"/>
      <x:c r="P348" s="14" t="str"/>
      <x:c r="Q348" s="14" t="str"/>
      <x:c r="R348" s="14" t="str"/>
      <x:c r="S348" s="14" t="str"/>
      <x:c r="T348" s="14" t="str"/>
      <x:c r="U348" s="10" t="str"/>
      <x:c r="V348" t="str"/>
      <x:c r="W348" t="str">
        <x:f>IF(V348=1,IF(R348="VALID","PASS",IF(R348="INVALID","INVALID","OPEN")),"OPEN")</x:f>
        <x:v>OPEN</x:v>
      </x:c>
    </x:row>
    <x:row r="349" ht="36" customHeight="1">
      <x:c r="B349" t="str">
        <x:v>RAW-E343</x:v>
      </x:c>
      <x:c r="C349" t="str">
        <x:v>AM-04</x:v>
      </x:c>
      <x:c r="D349" t="str">
        <x:v>TR-B</x:v>
      </x:c>
      <x:c r="E349" t="str">
        <x:v>RFP-C1</x:v>
      </x:c>
      <x:c r="F349" t="str">
        <x:v>PTC-C</x:v>
      </x:c>
      <x:c r="G349" t="str">
        <x:v>QT-01</x:v>
      </x:c>
      <x:c r="H349" t="str">
        <x:v>RAW-V25</x:v>
      </x:c>
      <x:c r="I349" t="str">
        <x:v>RAW-A113</x:v>
      </x:c>
      <x:c r="J349" t="str">
        <x:v>DISCLOSED</x:v>
      </x:c>
      <x:c r="K349" t="str">
        <x:v>NONE</x:v>
      </x:c>
      <x:c r="L349" t="str">
        <x:v>n.a.</x:v>
      </x:c>
      <x:c r="M349" s="14" t="n">
        <x:v>2</x:v>
      </x:c>
      <x:c r="N349" s="14" t="n">
        <x:v>2</x:v>
      </x:c>
      <x:c r="O349" s="14" t="str"/>
      <x:c r="P349" s="14" t="str"/>
      <x:c r="Q349" s="14" t="str"/>
      <x:c r="R349" s="14" t="str"/>
      <x:c r="S349" s="14" t="str"/>
      <x:c r="T349" s="14" t="str"/>
      <x:c r="U349" s="10" t="str"/>
      <x:c r="V349" t="str"/>
      <x:c r="W349" t="str">
        <x:f>IF(V349=1,IF(R349="VALID","PASS",IF(R349="INVALID","INVALID","OPEN")),"OPEN")</x:f>
        <x:v>OPEN</x:v>
      </x:c>
    </x:row>
    <x:row r="350" ht="36" customHeight="1">
      <x:c r="B350" t="str">
        <x:v>RAW-E344</x:v>
      </x:c>
      <x:c r="C350" t="str">
        <x:v>AM-04</x:v>
      </x:c>
      <x:c r="D350" t="str">
        <x:v>TR-B</x:v>
      </x:c>
      <x:c r="E350" t="str">
        <x:v>RFP-C1</x:v>
      </x:c>
      <x:c r="F350" t="str">
        <x:v>PTC-C</x:v>
      </x:c>
      <x:c r="G350" t="str">
        <x:v>QT-02</x:v>
      </x:c>
      <x:c r="H350" t="str">
        <x:v>RAW-V26</x:v>
      </x:c>
      <x:c r="I350" t="str">
        <x:v>RAW-A113</x:v>
      </x:c>
      <x:c r="J350" t="str">
        <x:v>DISCLOSED</x:v>
      </x:c>
      <x:c r="K350" t="str">
        <x:v>NONE</x:v>
      </x:c>
      <x:c r="L350" t="str">
        <x:v>n.a.</x:v>
      </x:c>
      <x:c r="M350" s="14" t="n">
        <x:v>2</x:v>
      </x:c>
      <x:c r="N350" s="14" t="n">
        <x:v>4</x:v>
      </x:c>
      <x:c r="O350" s="14" t="str"/>
      <x:c r="P350" s="14" t="str"/>
      <x:c r="Q350" s="14" t="str"/>
      <x:c r="R350" s="14" t="str"/>
      <x:c r="S350" s="14" t="str"/>
      <x:c r="T350" s="14" t="str"/>
      <x:c r="U350" s="10" t="str"/>
      <x:c r="V350" t="str"/>
      <x:c r="W350" t="str">
        <x:f>IF(V350=1,IF(R350="VALID","PASS",IF(R350="INVALID","INVALID","OPEN")),"OPEN")</x:f>
        <x:v>OPEN</x:v>
      </x:c>
    </x:row>
    <x:row r="351" ht="36" customHeight="1">
      <x:c r="B351" t="str">
        <x:v>RAW-E345</x:v>
      </x:c>
      <x:c r="C351" t="str">
        <x:v>AM-04</x:v>
      </x:c>
      <x:c r="D351" t="str">
        <x:v>TR-B</x:v>
      </x:c>
      <x:c r="E351" t="str">
        <x:v>RFP-C1</x:v>
      </x:c>
      <x:c r="F351" t="str">
        <x:v>PTC-C</x:v>
      </x:c>
      <x:c r="G351" t="str">
        <x:v>QT-03</x:v>
      </x:c>
      <x:c r="H351" t="str">
        <x:v>RAW-V27</x:v>
      </x:c>
      <x:c r="I351" t="str">
        <x:v>RAW-A113</x:v>
      </x:c>
      <x:c r="J351" t="str">
        <x:v>DISCLOSED</x:v>
      </x:c>
      <x:c r="K351" t="str">
        <x:v>NONE</x:v>
      </x:c>
      <x:c r="L351" t="str">
        <x:v>n.a.</x:v>
      </x:c>
      <x:c r="M351" s="14" t="n">
        <x:v>2</x:v>
      </x:c>
      <x:c r="N351" s="14" t="n">
        <x:v>6</x:v>
      </x:c>
      <x:c r="O351" s="14" t="str"/>
      <x:c r="P351" s="14" t="str"/>
      <x:c r="Q351" s="14" t="str"/>
      <x:c r="R351" s="14" t="str"/>
      <x:c r="S351" s="14" t="str"/>
      <x:c r="T351" s="14" t="str"/>
      <x:c r="U351" s="10" t="str"/>
      <x:c r="V351" t="str"/>
      <x:c r="W351" t="str">
        <x:f>IF(V351=1,IF(R351="VALID","PASS",IF(R351="INVALID","INVALID","OPEN")),"OPEN")</x:f>
        <x:v>OPEN</x:v>
      </x:c>
    </x:row>
    <x:row r="352" ht="36" customHeight="1">
      <x:c r="B352" t="str">
        <x:v>RAW-E346</x:v>
      </x:c>
      <x:c r="C352" t="str">
        <x:v>AM-04</x:v>
      </x:c>
      <x:c r="D352" t="str">
        <x:v>TR-B</x:v>
      </x:c>
      <x:c r="E352" t="str">
        <x:v>RFP-C1</x:v>
      </x:c>
      <x:c r="F352" t="str">
        <x:v>PTC-C</x:v>
      </x:c>
      <x:c r="G352" t="str">
        <x:v>QT-04</x:v>
      </x:c>
      <x:c r="H352" t="str">
        <x:v>RAW-V28</x:v>
      </x:c>
      <x:c r="I352" t="str">
        <x:v>RAW-A113</x:v>
      </x:c>
      <x:c r="J352" t="str">
        <x:v>BLIND</x:v>
      </x:c>
      <x:c r="K352" t="str">
        <x:v>NONE</x:v>
      </x:c>
      <x:c r="L352" t="str">
        <x:v>n.a.</x:v>
      </x:c>
      <x:c r="M352" s="14" t="n">
        <x:v>3</x:v>
      </x:c>
      <x:c r="N352" s="14" t="n">
        <x:v>8</x:v>
      </x:c>
      <x:c r="O352" s="14" t="str"/>
      <x:c r="P352" s="14" t="str"/>
      <x:c r="Q352" s="14" t="str"/>
      <x:c r="R352" s="14" t="str"/>
      <x:c r="S352" s="14" t="str"/>
      <x:c r="T352" s="14" t="str"/>
      <x:c r="U352" s="10" t="str"/>
      <x:c r="V352" t="str"/>
      <x:c r="W352" t="str">
        <x:f>IF(V352=1,IF(R352="VALID","PASS",IF(R352="INVALID","INVALID","OPEN")),"OPEN")</x:f>
        <x:v>OPEN</x:v>
      </x:c>
    </x:row>
    <x:row r="353" ht="36" customHeight="1">
      <x:c r="B353" t="str">
        <x:v>RAW-E347</x:v>
      </x:c>
      <x:c r="C353" t="str">
        <x:v>AM-04</x:v>
      </x:c>
      <x:c r="D353" t="str">
        <x:v>TR-B</x:v>
      </x:c>
      <x:c r="E353" t="str">
        <x:v>RFP-C1</x:v>
      </x:c>
      <x:c r="F353" t="str">
        <x:v>PTC-C</x:v>
      </x:c>
      <x:c r="G353" t="str">
        <x:v>QT-05</x:v>
      </x:c>
      <x:c r="H353" t="str">
        <x:v>RAW-V29</x:v>
      </x:c>
      <x:c r="I353" t="str">
        <x:v>RAW-A113</x:v>
      </x:c>
      <x:c r="J353" t="str">
        <x:v>BLIND</x:v>
      </x:c>
      <x:c r="K353" t="str">
        <x:v>DECISIVE CHAIN</x:v>
      </x:c>
      <x:c r="L353" t="str">
        <x:v>n.a.</x:v>
      </x:c>
      <x:c r="M353" s="14" t="n">
        <x:v>3</x:v>
      </x:c>
      <x:c r="N353" s="14" t="n">
        <x:v>10</x:v>
      </x:c>
      <x:c r="O353" s="14" t="str"/>
      <x:c r="P353" s="14" t="str"/>
      <x:c r="Q353" s="14" t="str"/>
      <x:c r="R353" s="14" t="str"/>
      <x:c r="S353" s="14" t="str"/>
      <x:c r="T353" s="14" t="str"/>
      <x:c r="U353" s="10" t="str"/>
      <x:c r="V353" t="str"/>
      <x:c r="W353" t="str">
        <x:f>IF(V353=1,IF(R353="VALID","PASS",IF(R353="INVALID","INVALID","OPEN")),"OPEN")</x:f>
        <x:v>OPEN</x:v>
      </x:c>
    </x:row>
    <x:row r="354" ht="36" customHeight="1">
      <x:c r="B354" t="str">
        <x:v>RAW-E348</x:v>
      </x:c>
      <x:c r="C354" t="str">
        <x:v>AM-04</x:v>
      </x:c>
      <x:c r="D354" t="str">
        <x:v>TR-B</x:v>
      </x:c>
      <x:c r="E354" t="str">
        <x:v>RFP-C1</x:v>
      </x:c>
      <x:c r="F354" t="str">
        <x:v>PTC-C</x:v>
      </x:c>
      <x:c r="G354" t="str">
        <x:v>QT-06</x:v>
      </x:c>
      <x:c r="H354" t="str">
        <x:v>RAW-V30</x:v>
      </x:c>
      <x:c r="I354" t="str">
        <x:v>RAW-A113</x:v>
      </x:c>
      <x:c r="J354" t="str">
        <x:v>DISCLOSED</x:v>
      </x:c>
      <x:c r="K354" t="str">
        <x:v>NONE</x:v>
      </x:c>
      <x:c r="L354" t="str">
        <x:v>PTC-B</x:v>
      </x:c>
      <x:c r="M354" s="14" t="n">
        <x:v>4</x:v>
      </x:c>
      <x:c r="N354" s="14" t="n">
        <x:v>12</x:v>
      </x:c>
      <x:c r="O354" s="14" t="str"/>
      <x:c r="P354" s="14" t="str"/>
      <x:c r="Q354" s="14" t="str"/>
      <x:c r="R354" s="14" t="str"/>
      <x:c r="S354" s="14" t="str"/>
      <x:c r="T354" s="14" t="str"/>
      <x:c r="U354" s="10" t="str"/>
      <x:c r="V354" t="str"/>
      <x:c r="W354" t="str">
        <x:f>IF(V354=1,IF(R354="VALID","PASS",IF(R354="INVALID","INVALID","OPEN")),"OPEN")</x:f>
        <x:v>OPEN</x:v>
      </x:c>
    </x:row>
    <x:row r="355" ht="36" customHeight="1">
      <x:c r="B355" t="str">
        <x:v>RAW-E349</x:v>
      </x:c>
      <x:c r="C355" t="str">
        <x:v>AM-04</x:v>
      </x:c>
      <x:c r="D355" t="str">
        <x:v>TR-A</x:v>
      </x:c>
      <x:c r="E355" t="str">
        <x:v>RFP-C2</x:v>
      </x:c>
      <x:c r="F355" t="str">
        <x:v>PTC-C</x:v>
      </x:c>
      <x:c r="G355" t="str">
        <x:v>QT-01</x:v>
      </x:c>
      <x:c r="H355" t="str">
        <x:v>RAW-V25</x:v>
      </x:c>
      <x:c r="I355" t="str">
        <x:v>RAW-A102</x:v>
      </x:c>
      <x:c r="J355" t="str">
        <x:v>DISCLOSED</x:v>
      </x:c>
      <x:c r="K355" t="str">
        <x:v>NONE</x:v>
      </x:c>
      <x:c r="L355" t="str">
        <x:v>n.a.</x:v>
      </x:c>
      <x:c r="M355" s="14" t="n">
        <x:v>2</x:v>
      </x:c>
      <x:c r="N355" s="14" t="n">
        <x:v>1</x:v>
      </x:c>
      <x:c r="O355" s="14" t="str"/>
      <x:c r="P355" s="14" t="str"/>
      <x:c r="Q355" s="14" t="str"/>
      <x:c r="R355" s="14" t="str"/>
      <x:c r="S355" s="14" t="str"/>
      <x:c r="T355" s="14" t="str"/>
      <x:c r="U355" s="10" t="str"/>
      <x:c r="V355" t="str"/>
      <x:c r="W355" t="str">
        <x:f>IF(V355=1,IF(R355="VALID","PASS",IF(R355="INVALID","INVALID","OPEN")),"OPEN")</x:f>
        <x:v>OPEN</x:v>
      </x:c>
    </x:row>
    <x:row r="356" ht="36" customHeight="1">
      <x:c r="B356" t="str">
        <x:v>RAW-E350</x:v>
      </x:c>
      <x:c r="C356" t="str">
        <x:v>AM-04</x:v>
      </x:c>
      <x:c r="D356" t="str">
        <x:v>TR-A</x:v>
      </x:c>
      <x:c r="E356" t="str">
        <x:v>RFP-C2</x:v>
      </x:c>
      <x:c r="F356" t="str">
        <x:v>PTC-C</x:v>
      </x:c>
      <x:c r="G356" t="str">
        <x:v>QT-02</x:v>
      </x:c>
      <x:c r="H356" t="str">
        <x:v>RAW-V26</x:v>
      </x:c>
      <x:c r="I356" t="str">
        <x:v>RAW-A102</x:v>
      </x:c>
      <x:c r="J356" t="str">
        <x:v>DISCLOSED</x:v>
      </x:c>
      <x:c r="K356" t="str">
        <x:v>NONE</x:v>
      </x:c>
      <x:c r="L356" t="str">
        <x:v>n.a.</x:v>
      </x:c>
      <x:c r="M356" s="14" t="n">
        <x:v>2</x:v>
      </x:c>
      <x:c r="N356" s="14" t="n">
        <x:v>3</x:v>
      </x:c>
      <x:c r="O356" s="14" t="str"/>
      <x:c r="P356" s="14" t="str"/>
      <x:c r="Q356" s="14" t="str"/>
      <x:c r="R356" s="14" t="str"/>
      <x:c r="S356" s="14" t="str"/>
      <x:c r="T356" s="14" t="str"/>
      <x:c r="U356" s="10" t="str"/>
      <x:c r="V356" t="str"/>
      <x:c r="W356" t="str">
        <x:f>IF(V356=1,IF(R356="VALID","PASS",IF(R356="INVALID","INVALID","OPEN")),"OPEN")</x:f>
        <x:v>OPEN</x:v>
      </x:c>
    </x:row>
    <x:row r="357" ht="36" customHeight="1">
      <x:c r="B357" t="str">
        <x:v>RAW-E351</x:v>
      </x:c>
      <x:c r="C357" t="str">
        <x:v>AM-04</x:v>
      </x:c>
      <x:c r="D357" t="str">
        <x:v>TR-A</x:v>
      </x:c>
      <x:c r="E357" t="str">
        <x:v>RFP-C2</x:v>
      </x:c>
      <x:c r="F357" t="str">
        <x:v>PTC-C</x:v>
      </x:c>
      <x:c r="G357" t="str">
        <x:v>QT-03</x:v>
      </x:c>
      <x:c r="H357" t="str">
        <x:v>RAW-V27</x:v>
      </x:c>
      <x:c r="I357" t="str">
        <x:v>RAW-A102</x:v>
      </x:c>
      <x:c r="J357" t="str">
        <x:v>DISCLOSED</x:v>
      </x:c>
      <x:c r="K357" t="str">
        <x:v>NONE</x:v>
      </x:c>
      <x:c r="L357" t="str">
        <x:v>n.a.</x:v>
      </x:c>
      <x:c r="M357" s="14" t="n">
        <x:v>2</x:v>
      </x:c>
      <x:c r="N357" s="14" t="n">
        <x:v>5</x:v>
      </x:c>
      <x:c r="O357" s="14" t="str"/>
      <x:c r="P357" s="14" t="str"/>
      <x:c r="Q357" s="14" t="str"/>
      <x:c r="R357" s="14" t="str"/>
      <x:c r="S357" s="14" t="str"/>
      <x:c r="T357" s="14" t="str"/>
      <x:c r="U357" s="10" t="str"/>
      <x:c r="V357" t="str"/>
      <x:c r="W357" t="str">
        <x:f>IF(V357=1,IF(R357="VALID","PASS",IF(R357="INVALID","INVALID","OPEN")),"OPEN")</x:f>
        <x:v>OPEN</x:v>
      </x:c>
    </x:row>
    <x:row r="358" ht="36" customHeight="1">
      <x:c r="B358" t="str">
        <x:v>RAW-E352</x:v>
      </x:c>
      <x:c r="C358" t="str">
        <x:v>AM-04</x:v>
      </x:c>
      <x:c r="D358" t="str">
        <x:v>TR-A</x:v>
      </x:c>
      <x:c r="E358" t="str">
        <x:v>RFP-C2</x:v>
      </x:c>
      <x:c r="F358" t="str">
        <x:v>PTC-C</x:v>
      </x:c>
      <x:c r="G358" t="str">
        <x:v>QT-04</x:v>
      </x:c>
      <x:c r="H358" t="str">
        <x:v>RAW-V28</x:v>
      </x:c>
      <x:c r="I358" t="str">
        <x:v>RAW-A102</x:v>
      </x:c>
      <x:c r="J358" t="str">
        <x:v>BLIND</x:v>
      </x:c>
      <x:c r="K358" t="str">
        <x:v>NONE</x:v>
      </x:c>
      <x:c r="L358" t="str">
        <x:v>n.a.</x:v>
      </x:c>
      <x:c r="M358" s="14" t="n">
        <x:v>3</x:v>
      </x:c>
      <x:c r="N358" s="14" t="n">
        <x:v>7</x:v>
      </x:c>
      <x:c r="O358" s="14" t="str"/>
      <x:c r="P358" s="14" t="str"/>
      <x:c r="Q358" s="14" t="str"/>
      <x:c r="R358" s="14" t="str"/>
      <x:c r="S358" s="14" t="str"/>
      <x:c r="T358" s="14" t="str"/>
      <x:c r="U358" s="10" t="str"/>
      <x:c r="V358" t="str"/>
      <x:c r="W358" t="str">
        <x:f>IF(V358=1,IF(R358="VALID","PASS",IF(R358="INVALID","INVALID","OPEN")),"OPEN")</x:f>
        <x:v>OPEN</x:v>
      </x:c>
    </x:row>
    <x:row r="359" ht="36" customHeight="1">
      <x:c r="B359" t="str">
        <x:v>RAW-E353</x:v>
      </x:c>
      <x:c r="C359" t="str">
        <x:v>AM-04</x:v>
      </x:c>
      <x:c r="D359" t="str">
        <x:v>TR-A</x:v>
      </x:c>
      <x:c r="E359" t="str">
        <x:v>RFP-C2</x:v>
      </x:c>
      <x:c r="F359" t="str">
        <x:v>PTC-C</x:v>
      </x:c>
      <x:c r="G359" t="str">
        <x:v>QT-05</x:v>
      </x:c>
      <x:c r="H359" t="str">
        <x:v>RAW-V29</x:v>
      </x:c>
      <x:c r="I359" t="str">
        <x:v>RAW-A102</x:v>
      </x:c>
      <x:c r="J359" t="str">
        <x:v>BLIND</x:v>
      </x:c>
      <x:c r="K359" t="str">
        <x:v>DECISIVE CHAIN</x:v>
      </x:c>
      <x:c r="L359" t="str">
        <x:v>n.a.</x:v>
      </x:c>
      <x:c r="M359" s="14" t="n">
        <x:v>3</x:v>
      </x:c>
      <x:c r="N359" s="14" t="n">
        <x:v>9</x:v>
      </x:c>
      <x:c r="O359" s="14" t="str"/>
      <x:c r="P359" s="14" t="str"/>
      <x:c r="Q359" s="14" t="str"/>
      <x:c r="R359" s="14" t="str"/>
      <x:c r="S359" s="14" t="str"/>
      <x:c r="T359" s="14" t="str"/>
      <x:c r="U359" s="10" t="str"/>
      <x:c r="V359" t="str"/>
      <x:c r="W359" t="str">
        <x:f>IF(V359=1,IF(R359="VALID","PASS",IF(R359="INVALID","INVALID","OPEN")),"OPEN")</x:f>
        <x:v>OPEN</x:v>
      </x:c>
    </x:row>
    <x:row r="360" ht="36" customHeight="1">
      <x:c r="B360" t="str">
        <x:v>RAW-E354</x:v>
      </x:c>
      <x:c r="C360" t="str">
        <x:v>AM-04</x:v>
      </x:c>
      <x:c r="D360" t="str">
        <x:v>TR-A</x:v>
      </x:c>
      <x:c r="E360" t="str">
        <x:v>RFP-C2</x:v>
      </x:c>
      <x:c r="F360" t="str">
        <x:v>PTC-C</x:v>
      </x:c>
      <x:c r="G360" t="str">
        <x:v>QT-06</x:v>
      </x:c>
      <x:c r="H360" t="str">
        <x:v>RAW-V30</x:v>
      </x:c>
      <x:c r="I360" t="str">
        <x:v>RAW-A102</x:v>
      </x:c>
      <x:c r="J360" t="str">
        <x:v>DISCLOSED</x:v>
      </x:c>
      <x:c r="K360" t="str">
        <x:v>NONE</x:v>
      </x:c>
      <x:c r="L360" t="str">
        <x:v>PTC-B</x:v>
      </x:c>
      <x:c r="M360" s="14" t="n">
        <x:v>4</x:v>
      </x:c>
      <x:c r="N360" s="14" t="n">
        <x:v>11</x:v>
      </x:c>
      <x:c r="O360" s="14" t="str"/>
      <x:c r="P360" s="14" t="str"/>
      <x:c r="Q360" s="14" t="str"/>
      <x:c r="R360" s="14" t="str"/>
      <x:c r="S360" s="14" t="str"/>
      <x:c r="T360" s="14" t="str"/>
      <x:c r="U360" s="10" t="str"/>
      <x:c r="V360" t="str"/>
      <x:c r="W360" t="str">
        <x:f>IF(V360=1,IF(R360="VALID","PASS",IF(R360="INVALID","INVALID","OPEN")),"OPEN")</x:f>
        <x:v>OPEN</x:v>
      </x:c>
    </x:row>
    <x:row r="361" ht="36" customHeight="1">
      <x:c r="B361" t="str">
        <x:v>RAW-E355</x:v>
      </x:c>
      <x:c r="C361" t="str">
        <x:v>AM-04</x:v>
      </x:c>
      <x:c r="D361" t="str">
        <x:v>TR-B</x:v>
      </x:c>
      <x:c r="E361" t="str">
        <x:v>RFP-C2</x:v>
      </x:c>
      <x:c r="F361" t="str">
        <x:v>PTC-C</x:v>
      </x:c>
      <x:c r="G361" t="str">
        <x:v>QT-01</x:v>
      </x:c>
      <x:c r="H361" t="str">
        <x:v>RAW-V25</x:v>
      </x:c>
      <x:c r="I361" t="str">
        <x:v>RAW-A114</x:v>
      </x:c>
      <x:c r="J361" t="str">
        <x:v>DISCLOSED</x:v>
      </x:c>
      <x:c r="K361" t="str">
        <x:v>NONE</x:v>
      </x:c>
      <x:c r="L361" t="str">
        <x:v>n.a.</x:v>
      </x:c>
      <x:c r="M361" s="14" t="n">
        <x:v>2</x:v>
      </x:c>
      <x:c r="N361" s="14" t="n">
        <x:v>2</x:v>
      </x:c>
      <x:c r="O361" s="14" t="str"/>
      <x:c r="P361" s="14" t="str"/>
      <x:c r="Q361" s="14" t="str"/>
      <x:c r="R361" s="14" t="str"/>
      <x:c r="S361" s="14" t="str"/>
      <x:c r="T361" s="14" t="str"/>
      <x:c r="U361" s="10" t="str"/>
      <x:c r="V361" t="str"/>
      <x:c r="W361" t="str">
        <x:f>IF(V361=1,IF(R361="VALID","PASS",IF(R361="INVALID","INVALID","OPEN")),"OPEN")</x:f>
        <x:v>OPEN</x:v>
      </x:c>
    </x:row>
    <x:row r="362" ht="36" customHeight="1">
      <x:c r="B362" t="str">
        <x:v>RAW-E356</x:v>
      </x:c>
      <x:c r="C362" t="str">
        <x:v>AM-04</x:v>
      </x:c>
      <x:c r="D362" t="str">
        <x:v>TR-B</x:v>
      </x:c>
      <x:c r="E362" t="str">
        <x:v>RFP-C2</x:v>
      </x:c>
      <x:c r="F362" t="str">
        <x:v>PTC-C</x:v>
      </x:c>
      <x:c r="G362" t="str">
        <x:v>QT-02</x:v>
      </x:c>
      <x:c r="H362" t="str">
        <x:v>RAW-V26</x:v>
      </x:c>
      <x:c r="I362" t="str">
        <x:v>RAW-A114</x:v>
      </x:c>
      <x:c r="J362" t="str">
        <x:v>DISCLOSED</x:v>
      </x:c>
      <x:c r="K362" t="str">
        <x:v>NONE</x:v>
      </x:c>
      <x:c r="L362" t="str">
        <x:v>n.a.</x:v>
      </x:c>
      <x:c r="M362" s="14" t="n">
        <x:v>2</x:v>
      </x:c>
      <x:c r="N362" s="14" t="n">
        <x:v>4</x:v>
      </x:c>
      <x:c r="O362" s="14" t="str"/>
      <x:c r="P362" s="14" t="str"/>
      <x:c r="Q362" s="14" t="str"/>
      <x:c r="R362" s="14" t="str"/>
      <x:c r="S362" s="14" t="str"/>
      <x:c r="T362" s="14" t="str"/>
      <x:c r="U362" s="10" t="str"/>
      <x:c r="V362" t="str"/>
      <x:c r="W362" t="str">
        <x:f>IF(V362=1,IF(R362="VALID","PASS",IF(R362="INVALID","INVALID","OPEN")),"OPEN")</x:f>
        <x:v>OPEN</x:v>
      </x:c>
    </x:row>
    <x:row r="363" ht="36" customHeight="1">
      <x:c r="B363" t="str">
        <x:v>RAW-E357</x:v>
      </x:c>
      <x:c r="C363" t="str">
        <x:v>AM-04</x:v>
      </x:c>
      <x:c r="D363" t="str">
        <x:v>TR-B</x:v>
      </x:c>
      <x:c r="E363" t="str">
        <x:v>RFP-C2</x:v>
      </x:c>
      <x:c r="F363" t="str">
        <x:v>PTC-C</x:v>
      </x:c>
      <x:c r="G363" t="str">
        <x:v>QT-03</x:v>
      </x:c>
      <x:c r="H363" t="str">
        <x:v>RAW-V27</x:v>
      </x:c>
      <x:c r="I363" t="str">
        <x:v>RAW-A114</x:v>
      </x:c>
      <x:c r="J363" t="str">
        <x:v>DISCLOSED</x:v>
      </x:c>
      <x:c r="K363" t="str">
        <x:v>NONE</x:v>
      </x:c>
      <x:c r="L363" t="str">
        <x:v>n.a.</x:v>
      </x:c>
      <x:c r="M363" s="14" t="n">
        <x:v>2</x:v>
      </x:c>
      <x:c r="N363" s="14" t="n">
        <x:v>6</x:v>
      </x:c>
      <x:c r="O363" s="14" t="str"/>
      <x:c r="P363" s="14" t="str"/>
      <x:c r="Q363" s="14" t="str"/>
      <x:c r="R363" s="14" t="str"/>
      <x:c r="S363" s="14" t="str"/>
      <x:c r="T363" s="14" t="str"/>
      <x:c r="U363" s="10" t="str"/>
      <x:c r="V363" t="str"/>
      <x:c r="W363" t="str">
        <x:f>IF(V363=1,IF(R363="VALID","PASS",IF(R363="INVALID","INVALID","OPEN")),"OPEN")</x:f>
        <x:v>OPEN</x:v>
      </x:c>
    </x:row>
    <x:row r="364" ht="36" customHeight="1">
      <x:c r="B364" t="str">
        <x:v>RAW-E358</x:v>
      </x:c>
      <x:c r="C364" t="str">
        <x:v>AM-04</x:v>
      </x:c>
      <x:c r="D364" t="str">
        <x:v>TR-B</x:v>
      </x:c>
      <x:c r="E364" t="str">
        <x:v>RFP-C2</x:v>
      </x:c>
      <x:c r="F364" t="str">
        <x:v>PTC-C</x:v>
      </x:c>
      <x:c r="G364" t="str">
        <x:v>QT-04</x:v>
      </x:c>
      <x:c r="H364" t="str">
        <x:v>RAW-V28</x:v>
      </x:c>
      <x:c r="I364" t="str">
        <x:v>RAW-A114</x:v>
      </x:c>
      <x:c r="J364" t="str">
        <x:v>BLIND</x:v>
      </x:c>
      <x:c r="K364" t="str">
        <x:v>NONE</x:v>
      </x:c>
      <x:c r="L364" t="str">
        <x:v>n.a.</x:v>
      </x:c>
      <x:c r="M364" s="14" t="n">
        <x:v>3</x:v>
      </x:c>
      <x:c r="N364" s="14" t="n">
        <x:v>8</x:v>
      </x:c>
      <x:c r="O364" s="14" t="str"/>
      <x:c r="P364" s="14" t="str"/>
      <x:c r="Q364" s="14" t="str"/>
      <x:c r="R364" s="14" t="str"/>
      <x:c r="S364" s="14" t="str"/>
      <x:c r="T364" s="14" t="str"/>
      <x:c r="U364" s="10" t="str"/>
      <x:c r="V364" t="str"/>
      <x:c r="W364" t="str">
        <x:f>IF(V364=1,IF(R364="VALID","PASS",IF(R364="INVALID","INVALID","OPEN")),"OPEN")</x:f>
        <x:v>OPEN</x:v>
      </x:c>
    </x:row>
    <x:row r="365" ht="36" customHeight="1">
      <x:c r="B365" t="str">
        <x:v>RAW-E359</x:v>
      </x:c>
      <x:c r="C365" t="str">
        <x:v>AM-04</x:v>
      </x:c>
      <x:c r="D365" t="str">
        <x:v>TR-B</x:v>
      </x:c>
      <x:c r="E365" t="str">
        <x:v>RFP-C2</x:v>
      </x:c>
      <x:c r="F365" t="str">
        <x:v>PTC-C</x:v>
      </x:c>
      <x:c r="G365" t="str">
        <x:v>QT-05</x:v>
      </x:c>
      <x:c r="H365" t="str">
        <x:v>RAW-V29</x:v>
      </x:c>
      <x:c r="I365" t="str">
        <x:v>RAW-A114</x:v>
      </x:c>
      <x:c r="J365" t="str">
        <x:v>BLIND</x:v>
      </x:c>
      <x:c r="K365" t="str">
        <x:v>DECISIVE CHAIN</x:v>
      </x:c>
      <x:c r="L365" t="str">
        <x:v>n.a.</x:v>
      </x:c>
      <x:c r="M365" s="14" t="n">
        <x:v>3</x:v>
      </x:c>
      <x:c r="N365" s="14" t="n">
        <x:v>10</x:v>
      </x:c>
      <x:c r="O365" s="14" t="str"/>
      <x:c r="P365" s="14" t="str"/>
      <x:c r="Q365" s="14" t="str"/>
      <x:c r="R365" s="14" t="str"/>
      <x:c r="S365" s="14" t="str"/>
      <x:c r="T365" s="14" t="str"/>
      <x:c r="U365" s="10" t="str"/>
      <x:c r="V365" t="str"/>
      <x:c r="W365" t="str">
        <x:f>IF(V365=1,IF(R365="VALID","PASS",IF(R365="INVALID","INVALID","OPEN")),"OPEN")</x:f>
        <x:v>OPEN</x:v>
      </x:c>
    </x:row>
    <x:row r="366" ht="36" customHeight="1">
      <x:c r="B366" t="str">
        <x:v>RAW-E360</x:v>
      </x:c>
      <x:c r="C366" t="str">
        <x:v>AM-04</x:v>
      </x:c>
      <x:c r="D366" t="str">
        <x:v>TR-B</x:v>
      </x:c>
      <x:c r="E366" t="str">
        <x:v>RFP-C2</x:v>
      </x:c>
      <x:c r="F366" t="str">
        <x:v>PTC-C</x:v>
      </x:c>
      <x:c r="G366" t="str">
        <x:v>QT-06</x:v>
      </x:c>
      <x:c r="H366" t="str">
        <x:v>RAW-V30</x:v>
      </x:c>
      <x:c r="I366" t="str">
        <x:v>RAW-A114</x:v>
      </x:c>
      <x:c r="J366" t="str">
        <x:v>DISCLOSED</x:v>
      </x:c>
      <x:c r="K366" t="str">
        <x:v>NONE</x:v>
      </x:c>
      <x:c r="L366" t="str">
        <x:v>PTC-B</x:v>
      </x:c>
      <x:c r="M366" s="14" t="n">
        <x:v>4</x:v>
      </x:c>
      <x:c r="N366" s="14" t="n">
        <x:v>12</x:v>
      </x:c>
      <x:c r="O366" s="14" t="str"/>
      <x:c r="P366" s="14" t="str"/>
      <x:c r="Q366" s="14" t="str"/>
      <x:c r="R366" s="14" t="str"/>
      <x:c r="S366" s="14" t="str"/>
      <x:c r="T366" s="14" t="str"/>
      <x:c r="U366" s="10" t="str"/>
      <x:c r="V366" t="str"/>
      <x:c r="W366" t="str">
        <x:f>IF(V366=1,IF(R366="VALID","PASS",IF(R366="INVALID","INVALID","OPEN")),"OPEN")</x:f>
        <x:v>OPEN</x:v>
      </x:c>
    </x:row>
  </x:sheetData>
  <x:conditionalFormatting sqref="W7:W366">
    <x:cfRule type="containsText" dxfId="32" priority="1" operator="containsText" text="FAIL"/>
    <x:cfRule type="containsText" dxfId="33" priority="2" operator="containsText" text="INVALID"/>
    <x:cfRule type="containsText" dxfId="34" priority="3" operator="containsText" text="BLOCKED"/>
    <x:cfRule type="containsText" dxfId="35" priority="4" operator="containsText" text="OPEN"/>
    <x:cfRule type="containsText" dxfId="36" priority="5" operator="containsText" text="GAP"/>
    <x:cfRule type="containsText" dxfId="37" priority="6" operator="containsText" text="DORMANT"/>
    <x:cfRule type="containsText" dxfId="38" priority="7" operator="containsText" text="PASS"/>
    <x:cfRule type="containsText" dxfId="39" priority="8" operator="containsText" text="VALI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20" hidden="0" customWidth="1"/>
    <x:col min="12" max="12" width="15" hidden="0" customWidth="1"/>
    <x:col min="13" max="13" width="14" hidden="0" customWidth="1"/>
    <x:col min="14" max="14" width="12" hidden="0" customWidth="1"/>
    <x:col min="15" max="15" width="14" hidden="0" customWidth="1"/>
  </x:cols>
  <x:sheetData>
    <x:row r="2">
      <x:c r="B2" s="1" t="str">
        <x:v>Complete AM-04 × RFP-B1 qualification cell</x:v>
      </x:c>
    </x:row>
    <x:row r="3">
      <x:c r="B3" s="2" t="str">
        <x:v>Twelve trials expose both truth roots, all six classes and the outside-origin replay obligation.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Trial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Campus</x:v>
      </x:c>
      <x:c r="G6" s="7" t="str">
        <x:v>Class</x:v>
      </x:c>
      <x:c r="H6" s="7" t="str">
        <x:v>Envelope</x:v>
      </x:c>
      <x:c r="I6" s="7" t="str">
        <x:v>Article</x:v>
      </x:c>
      <x:c r="J6" s="7" t="str">
        <x:v>Blindness</x:v>
      </x:c>
      <x:c r="K6" s="7" t="str">
        <x:v>Denial</x:v>
      </x:c>
      <x:c r="L6" s="7" t="str">
        <x:v>Replay site</x:v>
      </x:c>
      <x:c r="M6" s="7" t="str">
        <x:v>Rig-days</x:v>
      </x:c>
      <x:c r="N6" s="7" t="str">
        <x:v>Order</x:v>
      </x:c>
      <x:c r="O6" s="7" t="str">
        <x:v>State</x:v>
      </x:c>
    </x:row>
    <x:row r="7" ht="34" customHeight="1">
      <x:c r="B7" t="str">
        <x:v>RAW-E313</x:v>
      </x:c>
      <x:c r="C7" t="str">
        <x:v>AM-04</x:v>
      </x:c>
      <x:c r="D7" t="str">
        <x:v>TR-A</x:v>
      </x:c>
      <x:c r="E7" t="str">
        <x:v>RFP-B1</x:v>
      </x:c>
      <x:c r="F7" t="str">
        <x:v>PTC-B</x:v>
      </x:c>
      <x:c r="G7" t="str">
        <x:v>QT-01</x:v>
      </x:c>
      <x:c r="H7" t="str">
        <x:v>RAW-V25</x:v>
      </x:c>
      <x:c r="I7" t="str">
        <x:v>RAW-A099</x:v>
      </x:c>
      <x:c r="J7" t="str">
        <x:v>DISCLOSED</x:v>
      </x:c>
      <x:c r="K7" t="str">
        <x:v>NONE</x:v>
      </x:c>
      <x:c r="L7" t="str">
        <x:v>n.a.</x:v>
      </x:c>
      <x:c r="M7" t="n">
        <x:v>2</x:v>
      </x:c>
      <x:c r="N7" t="n">
        <x:v>1</x:v>
      </x:c>
      <x:c r="O7" t="str">
        <x:v>OPEN</x:v>
      </x:c>
    </x:row>
    <x:row r="8" ht="34" customHeight="1">
      <x:c r="B8" t="str">
        <x:v>RAW-E314</x:v>
      </x:c>
      <x:c r="C8" t="str">
        <x:v>AM-04</x:v>
      </x:c>
      <x:c r="D8" t="str">
        <x:v>TR-A</x:v>
      </x:c>
      <x:c r="E8" t="str">
        <x:v>RFP-B1</x:v>
      </x:c>
      <x:c r="F8" t="str">
        <x:v>PTC-B</x:v>
      </x:c>
      <x:c r="G8" t="str">
        <x:v>QT-02</x:v>
      </x:c>
      <x:c r="H8" t="str">
        <x:v>RAW-V26</x:v>
      </x:c>
      <x:c r="I8" t="str">
        <x:v>RAW-A099</x:v>
      </x:c>
      <x:c r="J8" t="str">
        <x:v>DISCLOSED</x:v>
      </x:c>
      <x:c r="K8" t="str">
        <x:v>NONE</x:v>
      </x:c>
      <x:c r="L8" t="str">
        <x:v>n.a.</x:v>
      </x:c>
      <x:c r="M8" t="n">
        <x:v>2</x:v>
      </x:c>
      <x:c r="N8" t="n">
        <x:v>3</x:v>
      </x:c>
      <x:c r="O8" t="str">
        <x:v>OPEN</x:v>
      </x:c>
    </x:row>
    <x:row r="9" ht="34" customHeight="1">
      <x:c r="B9" t="str">
        <x:v>RAW-E315</x:v>
      </x:c>
      <x:c r="C9" t="str">
        <x:v>AM-04</x:v>
      </x:c>
      <x:c r="D9" t="str">
        <x:v>TR-A</x:v>
      </x:c>
      <x:c r="E9" t="str">
        <x:v>RFP-B1</x:v>
      </x:c>
      <x:c r="F9" t="str">
        <x:v>PTC-B</x:v>
      </x:c>
      <x:c r="G9" t="str">
        <x:v>QT-03</x:v>
      </x:c>
      <x:c r="H9" t="str">
        <x:v>RAW-V27</x:v>
      </x:c>
      <x:c r="I9" t="str">
        <x:v>RAW-A099</x:v>
      </x:c>
      <x:c r="J9" t="str">
        <x:v>DISCLOSED</x:v>
      </x:c>
      <x:c r="K9" t="str">
        <x:v>NONE</x:v>
      </x:c>
      <x:c r="L9" t="str">
        <x:v>n.a.</x:v>
      </x:c>
      <x:c r="M9" t="n">
        <x:v>2</x:v>
      </x:c>
      <x:c r="N9" t="n">
        <x:v>5</x:v>
      </x:c>
      <x:c r="O9" t="str">
        <x:v>OPEN</x:v>
      </x:c>
    </x:row>
    <x:row r="10" ht="34" customHeight="1">
      <x:c r="B10" t="str">
        <x:v>RAW-E316</x:v>
      </x:c>
      <x:c r="C10" t="str">
        <x:v>AM-04</x:v>
      </x:c>
      <x:c r="D10" t="str">
        <x:v>TR-A</x:v>
      </x:c>
      <x:c r="E10" t="str">
        <x:v>RFP-B1</x:v>
      </x:c>
      <x:c r="F10" t="str">
        <x:v>PTC-B</x:v>
      </x:c>
      <x:c r="G10" t="str">
        <x:v>QT-04</x:v>
      </x:c>
      <x:c r="H10" t="str">
        <x:v>RAW-V28</x:v>
      </x:c>
      <x:c r="I10" t="str">
        <x:v>RAW-A099</x:v>
      </x:c>
      <x:c r="J10" t="str">
        <x:v>BLIND</x:v>
      </x:c>
      <x:c r="K10" t="str">
        <x:v>NONE</x:v>
      </x:c>
      <x:c r="L10" t="str">
        <x:v>n.a.</x:v>
      </x:c>
      <x:c r="M10" t="n">
        <x:v>3</x:v>
      </x:c>
      <x:c r="N10" t="n">
        <x:v>7</x:v>
      </x:c>
      <x:c r="O10" t="str">
        <x:v>OPEN</x:v>
      </x:c>
    </x:row>
    <x:row r="11" ht="34" customHeight="1">
      <x:c r="B11" t="str">
        <x:v>RAW-E317</x:v>
      </x:c>
      <x:c r="C11" t="str">
        <x:v>AM-04</x:v>
      </x:c>
      <x:c r="D11" t="str">
        <x:v>TR-A</x:v>
      </x:c>
      <x:c r="E11" t="str">
        <x:v>RFP-B1</x:v>
      </x:c>
      <x:c r="F11" t="str">
        <x:v>PTC-B</x:v>
      </x:c>
      <x:c r="G11" t="str">
        <x:v>QT-05</x:v>
      </x:c>
      <x:c r="H11" t="str">
        <x:v>RAW-V29</x:v>
      </x:c>
      <x:c r="I11" t="str">
        <x:v>RAW-A099</x:v>
      </x:c>
      <x:c r="J11" t="str">
        <x:v>BLIND</x:v>
      </x:c>
      <x:c r="K11" t="str">
        <x:v>DECISIVE CHAIN</x:v>
      </x:c>
      <x:c r="L11" t="str">
        <x:v>n.a.</x:v>
      </x:c>
      <x:c r="M11" t="n">
        <x:v>3</x:v>
      </x:c>
      <x:c r="N11" t="n">
        <x:v>9</x:v>
      </x:c>
      <x:c r="O11" t="str">
        <x:v>OPEN</x:v>
      </x:c>
    </x:row>
    <x:row r="12" ht="34" customHeight="1">
      <x:c r="B12" t="str">
        <x:v>RAW-E318</x:v>
      </x:c>
      <x:c r="C12" t="str">
        <x:v>AM-04</x:v>
      </x:c>
      <x:c r="D12" t="str">
        <x:v>TR-A</x:v>
      </x:c>
      <x:c r="E12" t="str">
        <x:v>RFP-B1</x:v>
      </x:c>
      <x:c r="F12" t="str">
        <x:v>PTC-B</x:v>
      </x:c>
      <x:c r="G12" t="str">
        <x:v>QT-06</x:v>
      </x:c>
      <x:c r="H12" t="str">
        <x:v>RAW-V30</x:v>
      </x:c>
      <x:c r="I12" t="str">
        <x:v>RAW-A099</x:v>
      </x:c>
      <x:c r="J12" t="str">
        <x:v>DISCLOSED</x:v>
      </x:c>
      <x:c r="K12" t="str">
        <x:v>NONE</x:v>
      </x:c>
      <x:c r="L12" t="str">
        <x:v>PTC-C</x:v>
      </x:c>
      <x:c r="M12" t="n">
        <x:v>4</x:v>
      </x:c>
      <x:c r="N12" t="n">
        <x:v>11</x:v>
      </x:c>
      <x:c r="O12" t="str">
        <x:v>OPEN</x:v>
      </x:c>
    </x:row>
    <x:row r="13" ht="34" customHeight="1">
      <x:c r="B13" t="str">
        <x:v>RAW-E319</x:v>
      </x:c>
      <x:c r="C13" t="str">
        <x:v>AM-04</x:v>
      </x:c>
      <x:c r="D13" t="str">
        <x:v>TR-B</x:v>
      </x:c>
      <x:c r="E13" t="str">
        <x:v>RFP-B1</x:v>
      </x:c>
      <x:c r="F13" t="str">
        <x:v>PTC-B</x:v>
      </x:c>
      <x:c r="G13" t="str">
        <x:v>QT-01</x:v>
      </x:c>
      <x:c r="H13" t="str">
        <x:v>RAW-V25</x:v>
      </x:c>
      <x:c r="I13" t="str">
        <x:v>RAW-A111</x:v>
      </x:c>
      <x:c r="J13" t="str">
        <x:v>DISCLOSED</x:v>
      </x:c>
      <x:c r="K13" t="str">
        <x:v>NONE</x:v>
      </x:c>
      <x:c r="L13" t="str">
        <x:v>n.a.</x:v>
      </x:c>
      <x:c r="M13" t="n">
        <x:v>2</x:v>
      </x:c>
      <x:c r="N13" t="n">
        <x:v>2</x:v>
      </x:c>
      <x:c r="O13" t="str">
        <x:v>OPEN</x:v>
      </x:c>
    </x:row>
    <x:row r="14" ht="34" customHeight="1">
      <x:c r="B14" t="str">
        <x:v>RAW-E320</x:v>
      </x:c>
      <x:c r="C14" t="str">
        <x:v>AM-04</x:v>
      </x:c>
      <x:c r="D14" t="str">
        <x:v>TR-B</x:v>
      </x:c>
      <x:c r="E14" t="str">
        <x:v>RFP-B1</x:v>
      </x:c>
      <x:c r="F14" t="str">
        <x:v>PTC-B</x:v>
      </x:c>
      <x:c r="G14" t="str">
        <x:v>QT-02</x:v>
      </x:c>
      <x:c r="H14" t="str">
        <x:v>RAW-V26</x:v>
      </x:c>
      <x:c r="I14" t="str">
        <x:v>RAW-A111</x:v>
      </x:c>
      <x:c r="J14" t="str">
        <x:v>DISCLOSED</x:v>
      </x:c>
      <x:c r="K14" t="str">
        <x:v>NONE</x:v>
      </x:c>
      <x:c r="L14" t="str">
        <x:v>n.a.</x:v>
      </x:c>
      <x:c r="M14" t="n">
        <x:v>2</x:v>
      </x:c>
      <x:c r="N14" t="n">
        <x:v>4</x:v>
      </x:c>
      <x:c r="O14" t="str">
        <x:v>OPEN</x:v>
      </x:c>
    </x:row>
    <x:row r="15" ht="34" customHeight="1">
      <x:c r="B15" t="str">
        <x:v>RAW-E321</x:v>
      </x:c>
      <x:c r="C15" t="str">
        <x:v>AM-04</x:v>
      </x:c>
      <x:c r="D15" t="str">
        <x:v>TR-B</x:v>
      </x:c>
      <x:c r="E15" t="str">
        <x:v>RFP-B1</x:v>
      </x:c>
      <x:c r="F15" t="str">
        <x:v>PTC-B</x:v>
      </x:c>
      <x:c r="G15" t="str">
        <x:v>QT-03</x:v>
      </x:c>
      <x:c r="H15" t="str">
        <x:v>RAW-V27</x:v>
      </x:c>
      <x:c r="I15" t="str">
        <x:v>RAW-A111</x:v>
      </x:c>
      <x:c r="J15" t="str">
        <x:v>DISCLOSED</x:v>
      </x:c>
      <x:c r="K15" t="str">
        <x:v>NONE</x:v>
      </x:c>
      <x:c r="L15" t="str">
        <x:v>n.a.</x:v>
      </x:c>
      <x:c r="M15" t="n">
        <x:v>2</x:v>
      </x:c>
      <x:c r="N15" t="n">
        <x:v>6</x:v>
      </x:c>
      <x:c r="O15" t="str">
        <x:v>OPEN</x:v>
      </x:c>
    </x:row>
    <x:row r="16" ht="34" customHeight="1">
      <x:c r="B16" t="str">
        <x:v>RAW-E322</x:v>
      </x:c>
      <x:c r="C16" t="str">
        <x:v>AM-04</x:v>
      </x:c>
      <x:c r="D16" t="str">
        <x:v>TR-B</x:v>
      </x:c>
      <x:c r="E16" t="str">
        <x:v>RFP-B1</x:v>
      </x:c>
      <x:c r="F16" t="str">
        <x:v>PTC-B</x:v>
      </x:c>
      <x:c r="G16" t="str">
        <x:v>QT-04</x:v>
      </x:c>
      <x:c r="H16" t="str">
        <x:v>RAW-V28</x:v>
      </x:c>
      <x:c r="I16" t="str">
        <x:v>RAW-A111</x:v>
      </x:c>
      <x:c r="J16" t="str">
        <x:v>BLIND</x:v>
      </x:c>
      <x:c r="K16" t="str">
        <x:v>NONE</x:v>
      </x:c>
      <x:c r="L16" t="str">
        <x:v>n.a.</x:v>
      </x:c>
      <x:c r="M16" t="n">
        <x:v>3</x:v>
      </x:c>
      <x:c r="N16" t="n">
        <x:v>8</x:v>
      </x:c>
      <x:c r="O16" t="str">
        <x:v>OPEN</x:v>
      </x:c>
    </x:row>
    <x:row r="17" ht="34" customHeight="1">
      <x:c r="B17" t="str">
        <x:v>RAW-E323</x:v>
      </x:c>
      <x:c r="C17" t="str">
        <x:v>AM-04</x:v>
      </x:c>
      <x:c r="D17" t="str">
        <x:v>TR-B</x:v>
      </x:c>
      <x:c r="E17" t="str">
        <x:v>RFP-B1</x:v>
      </x:c>
      <x:c r="F17" t="str">
        <x:v>PTC-B</x:v>
      </x:c>
      <x:c r="G17" t="str">
        <x:v>QT-05</x:v>
      </x:c>
      <x:c r="H17" t="str">
        <x:v>RAW-V29</x:v>
      </x:c>
      <x:c r="I17" t="str">
        <x:v>RAW-A111</x:v>
      </x:c>
      <x:c r="J17" t="str">
        <x:v>BLIND</x:v>
      </x:c>
      <x:c r="K17" t="str">
        <x:v>DECISIVE CHAIN</x:v>
      </x:c>
      <x:c r="L17" t="str">
        <x:v>n.a.</x:v>
      </x:c>
      <x:c r="M17" t="n">
        <x:v>3</x:v>
      </x:c>
      <x:c r="N17" t="n">
        <x:v>10</x:v>
      </x:c>
      <x:c r="O17" t="str">
        <x:v>OPEN</x:v>
      </x:c>
    </x:row>
    <x:row r="18" ht="34" customHeight="1">
      <x:c r="B18" t="str">
        <x:v>RAW-E324</x:v>
      </x:c>
      <x:c r="C18" t="str">
        <x:v>AM-04</x:v>
      </x:c>
      <x:c r="D18" t="str">
        <x:v>TR-B</x:v>
      </x:c>
      <x:c r="E18" t="str">
        <x:v>RFP-B1</x:v>
      </x:c>
      <x:c r="F18" t="str">
        <x:v>PTC-B</x:v>
      </x:c>
      <x:c r="G18" t="str">
        <x:v>QT-06</x:v>
      </x:c>
      <x:c r="H18" t="str">
        <x:v>RAW-V30</x:v>
      </x:c>
      <x:c r="I18" t="str">
        <x:v>RAW-A111</x:v>
      </x:c>
      <x:c r="J18" t="str">
        <x:v>DISCLOSED</x:v>
      </x:c>
      <x:c r="K18" t="str">
        <x:v>NONE</x:v>
      </x:c>
      <x:c r="L18" t="str">
        <x:v>PTC-C</x:v>
      </x:c>
      <x:c r="M18" t="n">
        <x:v>4</x:v>
      </x:c>
      <x:c r="N18" t="n">
        <x:v>12</x:v>
      </x:c>
      <x:c r="O18" t="str">
        <x:v>OPEN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36" hidden="0" customWidth="1"/>
    <x:col min="5" max="5" width="25" hidden="0" customWidth="1"/>
    <x:col min="6" max="6" width="51" hidden="0" customWidth="1"/>
    <x:col min="7" max="7" width="58" hidden="0" customWidth="1"/>
    <x:col min="8" max="8" width="21" hidden="0" customWidth="1"/>
    <x:col min="9" max="9" width="14" hidden="0" customWidth="1"/>
  </x:cols>
  <x:sheetData>
    <x:row r="2">
      <x:c r="B2" s="1" t="str">
        <x:v>Forty-eight calibration chains</x:v>
      </x:c>
    </x:row>
    <x:row r="3">
      <x:c r="B3" s="2" t="str">
        <x:v>Every public function has a primary chain and an unlike witness chain.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Calibration</x:v>
      </x:c>
      <x:c r="C6" s="7" t="str">
        <x:v>Function</x:v>
      </x:c>
      <x:c r="D6" s="7" t="str">
        <x:v>Measure</x:v>
      </x:c>
      <x:c r="E6" s="7" t="str">
        <x:v>Chain</x:v>
      </x:c>
      <x:c r="F6" s="7" t="str">
        <x:v>Reference</x:v>
      </x:c>
      <x:c r="G6" s="7" t="str">
        <x:v>Acceptance evidence</x:v>
      </x:c>
      <x:c r="H6" s="7" t="str">
        <x:v>Accepted UTC</x:v>
      </x:c>
      <x:c r="I6" s="7" t="str">
        <x:v>State</x:v>
      </x:c>
    </x:row>
    <x:row r="7" ht="42" customHeight="1">
      <x:c r="B7" t="str">
        <x:v>RAW-CAL-01</x:v>
      </x:c>
      <x:c r="C7" t="str">
        <x:v>MF-01</x:v>
      </x:c>
      <x:c r="D7" t="str">
        <x:v>source initial mass</x:v>
      </x:c>
      <x:c r="E7" t="str">
        <x:v>primary</x:v>
      </x:c>
      <x:c r="F7" s="10" t="str">
        <x:v>traceable static and dynamic reference</x:v>
      </x:c>
      <x:c r="G7" s="10" t="str">
        <x:v>response, uncertainty and timestamp accepted</x:v>
      </x:c>
      <x:c r="H7" t="str"/>
      <x:c r="I7" t="str">
        <x:v>OPEN</x:v>
      </x:c>
    </x:row>
    <x:row r="8" ht="42" customHeight="1">
      <x:c r="B8" t="str">
        <x:v>RAW-CAL-02</x:v>
      </x:c>
      <x:c r="C8" t="str">
        <x:v>MF-01</x:v>
      </x:c>
      <x:c r="D8" t="str">
        <x:v>source initial mass</x:v>
      </x:c>
      <x:c r="E8" t="str">
        <x:v>independent witness</x:v>
      </x:c>
      <x:c r="F8" s="10" t="str">
        <x:v>unlike principle or separately powered witness</x:v>
      </x:c>
      <x:c r="G8" s="10" t="str">
        <x:v>response, uncertainty and timestamp accepted</x:v>
      </x:c>
      <x:c r="H8" t="str"/>
      <x:c r="I8" t="str">
        <x:v>OPEN</x:v>
      </x:c>
    </x:row>
    <x:row r="9" ht="42" customHeight="1">
      <x:c r="B9" t="str">
        <x:v>RAW-CAL-03</x:v>
      </x:c>
      <x:c r="C9" t="str">
        <x:v>MF-02</x:v>
      </x:c>
      <x:c r="D9" t="str">
        <x:v>source flow and residual</x:v>
      </x:c>
      <x:c r="E9" t="str">
        <x:v>primary</x:v>
      </x:c>
      <x:c r="F9" s="10" t="str">
        <x:v>traceable static and dynamic reference</x:v>
      </x:c>
      <x:c r="G9" s="10" t="str">
        <x:v>response, uncertainty and timestamp accepted</x:v>
      </x:c>
      <x:c r="H9" t="str"/>
      <x:c r="I9" t="str">
        <x:v>OPEN</x:v>
      </x:c>
    </x:row>
    <x:row r="10" ht="42" customHeight="1">
      <x:c r="B10" t="str">
        <x:v>RAW-CAL-04</x:v>
      </x:c>
      <x:c r="C10" t="str">
        <x:v>MF-02</x:v>
      </x:c>
      <x:c r="D10" t="str">
        <x:v>source flow and residual</x:v>
      </x:c>
      <x:c r="E10" t="str">
        <x:v>independent witness</x:v>
      </x:c>
      <x:c r="F10" s="10" t="str">
        <x:v>unlike principle or separately powered witness</x:v>
      </x:c>
      <x:c r="G10" s="10" t="str">
        <x:v>response, uncertainty and timestamp accepted</x:v>
      </x:c>
      <x:c r="H10" t="str"/>
      <x:c r="I10" t="str">
        <x:v>OPEN</x:v>
      </x:c>
    </x:row>
    <x:row r="11" ht="42" customHeight="1">
      <x:c r="B11" t="str">
        <x:v>RAW-CAL-05</x:v>
      </x:c>
      <x:c r="C11" t="str">
        <x:v>MF-03</x:v>
      </x:c>
      <x:c r="D11" t="str">
        <x:v>surface depth and extent</x:v>
      </x:c>
      <x:c r="E11" t="str">
        <x:v>primary</x:v>
      </x:c>
      <x:c r="F11" s="10" t="str">
        <x:v>traceable static and dynamic reference</x:v>
      </x:c>
      <x:c r="G11" s="10" t="str">
        <x:v>response, uncertainty and timestamp accepted</x:v>
      </x:c>
      <x:c r="H11" t="str"/>
      <x:c r="I11" t="str">
        <x:v>OPEN</x:v>
      </x:c>
    </x:row>
    <x:row r="12" ht="42" customHeight="1">
      <x:c r="B12" t="str">
        <x:v>RAW-CAL-06</x:v>
      </x:c>
      <x:c r="C12" t="str">
        <x:v>MF-03</x:v>
      </x:c>
      <x:c r="D12" t="str">
        <x:v>surface depth and extent</x:v>
      </x:c>
      <x:c r="E12" t="str">
        <x:v>independent witness</x:v>
      </x:c>
      <x:c r="F12" s="10" t="str">
        <x:v>unlike principle or separately powered witness</x:v>
      </x:c>
      <x:c r="G12" s="10" t="str">
        <x:v>response, uncertainty and timestamp accepted</x:v>
      </x:c>
      <x:c r="H12" t="str"/>
      <x:c r="I12" t="str">
        <x:v>OPEN</x:v>
      </x:c>
    </x:row>
    <x:row r="13" ht="42" customHeight="1">
      <x:c r="B13" t="str">
        <x:v>RAW-CAL-07</x:v>
      </x:c>
      <x:c r="C13" t="str">
        <x:v>MF-04</x:v>
      </x:c>
      <x:c r="D13" t="str">
        <x:v>terrain datum and reaction</x:v>
      </x:c>
      <x:c r="E13" t="str">
        <x:v>primary</x:v>
      </x:c>
      <x:c r="F13" s="10" t="str">
        <x:v>traceable static and dynamic reference</x:v>
      </x:c>
      <x:c r="G13" s="10" t="str">
        <x:v>response, uncertainty and timestamp accepted</x:v>
      </x:c>
      <x:c r="H13" t="str"/>
      <x:c r="I13" t="str">
        <x:v>OPEN</x:v>
      </x:c>
    </x:row>
    <x:row r="14" ht="42" customHeight="1">
      <x:c r="B14" t="str">
        <x:v>RAW-CAL-08</x:v>
      </x:c>
      <x:c r="C14" t="str">
        <x:v>MF-04</x:v>
      </x:c>
      <x:c r="D14" t="str">
        <x:v>terrain datum and reaction</x:v>
      </x:c>
      <x:c r="E14" t="str">
        <x:v>independent witness</x:v>
      </x:c>
      <x:c r="F14" s="10" t="str">
        <x:v>unlike principle or separately powered witness</x:v>
      </x:c>
      <x:c r="G14" s="10" t="str">
        <x:v>response, uncertainty and timestamp accepted</x:v>
      </x:c>
      <x:c r="H14" t="str"/>
      <x:c r="I14" t="str">
        <x:v>OPEN</x:v>
      </x:c>
    </x:row>
    <x:row r="15" ht="42" customHeight="1">
      <x:c r="B15" t="str">
        <x:v>RAW-CAL-09</x:v>
      </x:c>
      <x:c r="C15" t="str">
        <x:v>MF-05</x:v>
      </x:c>
      <x:c r="D15" t="str">
        <x:v>drain flow and inventory</x:v>
      </x:c>
      <x:c r="E15" t="str">
        <x:v>primary</x:v>
      </x:c>
      <x:c r="F15" s="10" t="str">
        <x:v>traceable static and dynamic reference</x:v>
      </x:c>
      <x:c r="G15" s="10" t="str">
        <x:v>response, uncertainty and timestamp accepted</x:v>
      </x:c>
      <x:c r="H15" t="str"/>
      <x:c r="I15" t="str">
        <x:v>OPEN</x:v>
      </x:c>
    </x:row>
    <x:row r="16" ht="42" customHeight="1">
      <x:c r="B16" t="str">
        <x:v>RAW-CAL-10</x:v>
      </x:c>
      <x:c r="C16" t="str">
        <x:v>MF-05</x:v>
      </x:c>
      <x:c r="D16" t="str">
        <x:v>drain flow and inventory</x:v>
      </x:c>
      <x:c r="E16" t="str">
        <x:v>independent witness</x:v>
      </x:c>
      <x:c r="F16" s="10" t="str">
        <x:v>unlike principle or separately powered witness</x:v>
      </x:c>
      <x:c r="G16" s="10" t="str">
        <x:v>response, uncertainty and timestamp accepted</x:v>
      </x:c>
      <x:c r="H16" t="str"/>
      <x:c r="I16" t="str">
        <x:v>OPEN</x:v>
      </x:c>
    </x:row>
    <x:row r="17" ht="42" customHeight="1">
      <x:c r="B17" t="str">
        <x:v>RAW-CAL-11</x:v>
      </x:c>
      <x:c r="C17" t="str">
        <x:v>MF-06</x:v>
      </x:c>
      <x:c r="D17" t="str">
        <x:v>candidate receiver inventory</x:v>
      </x:c>
      <x:c r="E17" t="str">
        <x:v>primary</x:v>
      </x:c>
      <x:c r="F17" s="10" t="str">
        <x:v>traceable static and dynamic reference</x:v>
      </x:c>
      <x:c r="G17" s="10" t="str">
        <x:v>response, uncertainty and timestamp accepted</x:v>
      </x:c>
      <x:c r="H17" t="str"/>
      <x:c r="I17" t="str">
        <x:v>OPEN</x:v>
      </x:c>
    </x:row>
    <x:row r="18" ht="42" customHeight="1">
      <x:c r="B18" t="str">
        <x:v>RAW-CAL-12</x:v>
      </x:c>
      <x:c r="C18" t="str">
        <x:v>MF-06</x:v>
      </x:c>
      <x:c r="D18" t="str">
        <x:v>candidate receiver inventory</x:v>
      </x:c>
      <x:c r="E18" t="str">
        <x:v>independent witness</x:v>
      </x:c>
      <x:c r="F18" s="10" t="str">
        <x:v>unlike principle or separately powered witness</x:v>
      </x:c>
      <x:c r="G18" s="10" t="str">
        <x:v>response, uncertainty and timestamp accepted</x:v>
      </x:c>
      <x:c r="H18" t="str"/>
      <x:c r="I18" t="str">
        <x:v>OPEN</x:v>
      </x:c>
    </x:row>
    <x:row r="19" ht="42" customHeight="1">
      <x:c r="B19" t="str">
        <x:v>RAW-CAL-13</x:v>
      </x:c>
      <x:c r="C19" t="str">
        <x:v>MF-07</x:v>
      </x:c>
      <x:c r="D19" t="str">
        <x:v>water supply and return</x:v>
      </x:c>
      <x:c r="E19" t="str">
        <x:v>primary</x:v>
      </x:c>
      <x:c r="F19" s="10" t="str">
        <x:v>traceable static and dynamic reference</x:v>
      </x:c>
      <x:c r="G19" s="10" t="str">
        <x:v>response, uncertainty and timestamp accepted</x:v>
      </x:c>
      <x:c r="H19" t="str"/>
      <x:c r="I19" t="str">
        <x:v>OPEN</x:v>
      </x:c>
    </x:row>
    <x:row r="20" ht="42" customHeight="1">
      <x:c r="B20" t="str">
        <x:v>RAW-CAL-14</x:v>
      </x:c>
      <x:c r="C20" t="str">
        <x:v>MF-07</x:v>
      </x:c>
      <x:c r="D20" t="str">
        <x:v>water supply and return</x:v>
      </x:c>
      <x:c r="E20" t="str">
        <x:v>independent witness</x:v>
      </x:c>
      <x:c r="F20" s="10" t="str">
        <x:v>unlike principle or separately powered witness</x:v>
      </x:c>
      <x:c r="G20" s="10" t="str">
        <x:v>response, uncertainty and timestamp accepted</x:v>
      </x:c>
      <x:c r="H20" t="str"/>
      <x:c r="I20" t="str">
        <x:v>OPEN</x:v>
      </x:c>
    </x:row>
    <x:row r="21" ht="42" customHeight="1">
      <x:c r="B21" t="str">
        <x:v>RAW-CAL-15</x:v>
      </x:c>
      <x:c r="C21" t="str">
        <x:v>MF-08</x:v>
      </x:c>
      <x:c r="D21" t="str">
        <x:v>casualty source and water</x:v>
      </x:c>
      <x:c r="E21" t="str">
        <x:v>primary</x:v>
      </x:c>
      <x:c r="F21" s="10" t="str">
        <x:v>traceable static and dynamic reference</x:v>
      </x:c>
      <x:c r="G21" s="10" t="str">
        <x:v>response, uncertainty and timestamp accepted</x:v>
      </x:c>
      <x:c r="H21" t="str"/>
      <x:c r="I21" t="str">
        <x:v>OPEN</x:v>
      </x:c>
    </x:row>
    <x:row r="22" ht="42" customHeight="1">
      <x:c r="B22" t="str">
        <x:v>RAW-CAL-16</x:v>
      </x:c>
      <x:c r="C22" t="str">
        <x:v>MF-08</x:v>
      </x:c>
      <x:c r="D22" t="str">
        <x:v>casualty source and water</x:v>
      </x:c>
      <x:c r="E22" t="str">
        <x:v>independent witness</x:v>
      </x:c>
      <x:c r="F22" s="10" t="str">
        <x:v>unlike principle or separately powered witness</x:v>
      </x:c>
      <x:c r="G22" s="10" t="str">
        <x:v>response, uncertainty and timestamp accepted</x:v>
      </x:c>
      <x:c r="H22" t="str"/>
      <x:c r="I22" t="str">
        <x:v>OPEN</x:v>
      </x:c>
    </x:row>
    <x:row r="23" ht="42" customHeight="1">
      <x:c r="B23" t="str">
        <x:v>RAW-CAL-17</x:v>
      </x:c>
      <x:c r="C23" t="str">
        <x:v>MF-09</x:v>
      </x:c>
      <x:c r="D23" t="str">
        <x:v>temperature field</x:v>
      </x:c>
      <x:c r="E23" t="str">
        <x:v>primary</x:v>
      </x:c>
      <x:c r="F23" s="10" t="str">
        <x:v>traceable static and dynamic reference</x:v>
      </x:c>
      <x:c r="G23" s="10" t="str">
        <x:v>response, uncertainty and timestamp accepted</x:v>
      </x:c>
      <x:c r="H23" t="str"/>
      <x:c r="I23" t="str">
        <x:v>OPEN</x:v>
      </x:c>
    </x:row>
    <x:row r="24" ht="42" customHeight="1">
      <x:c r="B24" t="str">
        <x:v>RAW-CAL-18</x:v>
      </x:c>
      <x:c r="C24" t="str">
        <x:v>MF-09</x:v>
      </x:c>
      <x:c r="D24" t="str">
        <x:v>temperature field</x:v>
      </x:c>
      <x:c r="E24" t="str">
        <x:v>independent witness</x:v>
      </x:c>
      <x:c r="F24" s="10" t="str">
        <x:v>unlike principle or separately powered witness</x:v>
      </x:c>
      <x:c r="G24" s="10" t="str">
        <x:v>response, uncertainty and timestamp accepted</x:v>
      </x:c>
      <x:c r="H24" t="str"/>
      <x:c r="I24" t="str">
        <x:v>OPEN</x:v>
      </x:c>
    </x:row>
    <x:row r="25" ht="42" customHeight="1">
      <x:c r="B25" t="str">
        <x:v>RAW-CAL-19</x:v>
      </x:c>
      <x:c r="C25" t="str">
        <x:v>MF-10</x:v>
      </x:c>
      <x:c r="D25" t="str">
        <x:v>heat flux and radiation</x:v>
      </x:c>
      <x:c r="E25" t="str">
        <x:v>primary</x:v>
      </x:c>
      <x:c r="F25" s="10" t="str">
        <x:v>traceable static and dynamic reference</x:v>
      </x:c>
      <x:c r="G25" s="10" t="str">
        <x:v>response, uncertainty and timestamp accepted</x:v>
      </x:c>
      <x:c r="H25" t="str"/>
      <x:c r="I25" t="str">
        <x:v>OPEN</x:v>
      </x:c>
    </x:row>
    <x:row r="26" ht="42" customHeight="1">
      <x:c r="B26" t="str">
        <x:v>RAW-CAL-20</x:v>
      </x:c>
      <x:c r="C26" t="str">
        <x:v>MF-10</x:v>
      </x:c>
      <x:c r="D26" t="str">
        <x:v>heat flux and radiation</x:v>
      </x:c>
      <x:c r="E26" t="str">
        <x:v>independent witness</x:v>
      </x:c>
      <x:c r="F26" s="10" t="str">
        <x:v>unlike principle or separately powered witness</x:v>
      </x:c>
      <x:c r="G26" s="10" t="str">
        <x:v>response, uncertainty and timestamp accepted</x:v>
      </x:c>
      <x:c r="H26" t="str"/>
      <x:c r="I26" t="str">
        <x:v>OPEN</x:v>
      </x:c>
    </x:row>
    <x:row r="27" ht="42" customHeight="1">
      <x:c r="B27" t="str">
        <x:v>RAW-CAL-21</x:v>
      </x:c>
      <x:c r="C27" t="str">
        <x:v>MF-11</x:v>
      </x:c>
      <x:c r="D27" t="str">
        <x:v>flame and combustion gas</x:v>
      </x:c>
      <x:c r="E27" t="str">
        <x:v>primary</x:v>
      </x:c>
      <x:c r="F27" s="10" t="str">
        <x:v>traceable static and dynamic reference</x:v>
      </x:c>
      <x:c r="G27" s="10" t="str">
        <x:v>response, uncertainty and timestamp accepted</x:v>
      </x:c>
      <x:c r="H27" t="str"/>
      <x:c r="I27" t="str">
        <x:v>OPEN</x:v>
      </x:c>
    </x:row>
    <x:row r="28" ht="42" customHeight="1">
      <x:c r="B28" t="str">
        <x:v>RAW-CAL-22</x:v>
      </x:c>
      <x:c r="C28" t="str">
        <x:v>MF-11</x:v>
      </x:c>
      <x:c r="D28" t="str">
        <x:v>flame and combustion gas</x:v>
      </x:c>
      <x:c r="E28" t="str">
        <x:v>independent witness</x:v>
      </x:c>
      <x:c r="F28" s="10" t="str">
        <x:v>unlike principle or separately powered witness</x:v>
      </x:c>
      <x:c r="G28" s="10" t="str">
        <x:v>response, uncertainty and timestamp accepted</x:v>
      </x:c>
      <x:c r="H28" t="str"/>
      <x:c r="I28" t="str">
        <x:v>OPEN</x:v>
      </x:c>
    </x:row>
    <x:row r="29" ht="42" customHeight="1">
      <x:c r="B29" t="str">
        <x:v>RAW-CAL-23</x:v>
      </x:c>
      <x:c r="C29" t="str">
        <x:v>MF-12</x:v>
      </x:c>
      <x:c r="D29" t="str">
        <x:v>structural load and strain</x:v>
      </x:c>
      <x:c r="E29" t="str">
        <x:v>primary</x:v>
      </x:c>
      <x:c r="F29" s="10" t="str">
        <x:v>traceable static and dynamic reference</x:v>
      </x:c>
      <x:c r="G29" s="10" t="str">
        <x:v>response, uncertainty and timestamp accepted</x:v>
      </x:c>
      <x:c r="H29" t="str"/>
      <x:c r="I29" t="str">
        <x:v>OPEN</x:v>
      </x:c>
    </x:row>
    <x:row r="30" ht="42" customHeight="1">
      <x:c r="B30" t="str">
        <x:v>RAW-CAL-24</x:v>
      </x:c>
      <x:c r="C30" t="str">
        <x:v>MF-12</x:v>
      </x:c>
      <x:c r="D30" t="str">
        <x:v>structural load and strain</x:v>
      </x:c>
      <x:c r="E30" t="str">
        <x:v>independent witness</x:v>
      </x:c>
      <x:c r="F30" s="10" t="str">
        <x:v>unlike principle or separately powered witness</x:v>
      </x:c>
      <x:c r="G30" s="10" t="str">
        <x:v>response, uncertainty and timestamp accepted</x:v>
      </x:c>
      <x:c r="H30" t="str"/>
      <x:c r="I30" t="str">
        <x:v>OPEN</x:v>
      </x:c>
    </x:row>
    <x:row r="31" ht="42" customHeight="1">
      <x:c r="B31" t="str">
        <x:v>RAW-CAL-25</x:v>
      </x:c>
      <x:c r="C31" t="str">
        <x:v>MF-13</x:v>
      </x:c>
      <x:c r="D31" t="str">
        <x:v>source and water chemistry</x:v>
      </x:c>
      <x:c r="E31" t="str">
        <x:v>primary</x:v>
      </x:c>
      <x:c r="F31" s="10" t="str">
        <x:v>traceable static and dynamic reference</x:v>
      </x:c>
      <x:c r="G31" s="10" t="str">
        <x:v>response, uncertainty and timestamp accepted</x:v>
      </x:c>
      <x:c r="H31" t="str"/>
      <x:c r="I31" t="str">
        <x:v>OPEN</x:v>
      </x:c>
    </x:row>
    <x:row r="32" ht="42" customHeight="1">
      <x:c r="B32" t="str">
        <x:v>RAW-CAL-26</x:v>
      </x:c>
      <x:c r="C32" t="str">
        <x:v>MF-13</x:v>
      </x:c>
      <x:c r="D32" t="str">
        <x:v>source and water chemistry</x:v>
      </x:c>
      <x:c r="E32" t="str">
        <x:v>independent witness</x:v>
      </x:c>
      <x:c r="F32" s="10" t="str">
        <x:v>unlike principle or separately powered witness</x:v>
      </x:c>
      <x:c r="G32" s="10" t="str">
        <x:v>response, uncertainty and timestamp accepted</x:v>
      </x:c>
      <x:c r="H32" t="str"/>
      <x:c r="I32" t="str">
        <x:v>OPEN</x:v>
      </x:c>
    </x:row>
    <x:row r="33" ht="42" customHeight="1">
      <x:c r="B33" t="str">
        <x:v>RAW-CAL-27</x:v>
      </x:c>
      <x:c r="C33" t="str">
        <x:v>MF-14</x:v>
      </x:c>
      <x:c r="D33" t="str">
        <x:v>robot state and pose</x:v>
      </x:c>
      <x:c r="E33" t="str">
        <x:v>primary</x:v>
      </x:c>
      <x:c r="F33" s="10" t="str">
        <x:v>traceable static and dynamic reference</x:v>
      </x:c>
      <x:c r="G33" s="10" t="str">
        <x:v>response, uncertainty and timestamp accepted</x:v>
      </x:c>
      <x:c r="H33" t="str"/>
      <x:c r="I33" t="str">
        <x:v>OPEN</x:v>
      </x:c>
    </x:row>
    <x:row r="34" ht="42" customHeight="1">
      <x:c r="B34" t="str">
        <x:v>RAW-CAL-28</x:v>
      </x:c>
      <x:c r="C34" t="str">
        <x:v>MF-14</x:v>
      </x:c>
      <x:c r="D34" t="str">
        <x:v>robot state and pose</x:v>
      </x:c>
      <x:c r="E34" t="str">
        <x:v>independent witness</x:v>
      </x:c>
      <x:c r="F34" s="10" t="str">
        <x:v>unlike principle or separately powered witness</x:v>
      </x:c>
      <x:c r="G34" s="10" t="str">
        <x:v>response, uncertainty and timestamp accepted</x:v>
      </x:c>
      <x:c r="H34" t="str"/>
      <x:c r="I34" t="str">
        <x:v>OPEN</x:v>
      </x:c>
    </x:row>
    <x:row r="35" ht="42" customHeight="1">
      <x:c r="B35" t="str">
        <x:v>RAW-CAL-29</x:v>
      </x:c>
      <x:c r="C35" t="str">
        <x:v>MF-15</x:v>
      </x:c>
      <x:c r="D35" t="str">
        <x:v>safety power and action</x:v>
      </x:c>
      <x:c r="E35" t="str">
        <x:v>primary</x:v>
      </x:c>
      <x:c r="F35" s="10" t="str">
        <x:v>traceable static and dynamic reference</x:v>
      </x:c>
      <x:c r="G35" s="10" t="str">
        <x:v>response, uncertainty and timestamp accepted</x:v>
      </x:c>
      <x:c r="H35" t="str"/>
      <x:c r="I35" t="str">
        <x:v>OPEN</x:v>
      </x:c>
    </x:row>
    <x:row r="36" ht="42" customHeight="1">
      <x:c r="B36" t="str">
        <x:v>RAW-CAL-30</x:v>
      </x:c>
      <x:c r="C36" t="str">
        <x:v>MF-15</x:v>
      </x:c>
      <x:c r="D36" t="str">
        <x:v>safety power and action</x:v>
      </x:c>
      <x:c r="E36" t="str">
        <x:v>independent witness</x:v>
      </x:c>
      <x:c r="F36" s="10" t="str">
        <x:v>unlike principle or separately powered witness</x:v>
      </x:c>
      <x:c r="G36" s="10" t="str">
        <x:v>response, uncertainty and timestamp accepted</x:v>
      </x:c>
      <x:c r="H36" t="str"/>
      <x:c r="I36" t="str">
        <x:v>OPEN</x:v>
      </x:c>
    </x:row>
    <x:row r="37" ht="42" customHeight="1">
      <x:c r="B37" t="str">
        <x:v>RAW-CAL-31</x:v>
      </x:c>
      <x:c r="C37" t="str">
        <x:v>MF-16</x:v>
      </x:c>
      <x:c r="D37" t="str">
        <x:v>weather and plume</x:v>
      </x:c>
      <x:c r="E37" t="str">
        <x:v>primary</x:v>
      </x:c>
      <x:c r="F37" s="10" t="str">
        <x:v>traceable static and dynamic reference</x:v>
      </x:c>
      <x:c r="G37" s="10" t="str">
        <x:v>response, uncertainty and timestamp accepted</x:v>
      </x:c>
      <x:c r="H37" t="str"/>
      <x:c r="I37" t="str">
        <x:v>OPEN</x:v>
      </x:c>
    </x:row>
    <x:row r="38" ht="42" customHeight="1">
      <x:c r="B38" t="str">
        <x:v>RAW-CAL-32</x:v>
      </x:c>
      <x:c r="C38" t="str">
        <x:v>MF-16</x:v>
      </x:c>
      <x:c r="D38" t="str">
        <x:v>weather and plume</x:v>
      </x:c>
      <x:c r="E38" t="str">
        <x:v>independent witness</x:v>
      </x:c>
      <x:c r="F38" s="10" t="str">
        <x:v>unlike principle or separately powered witness</x:v>
      </x:c>
      <x:c r="G38" s="10" t="str">
        <x:v>response, uncertainty and timestamp accepted</x:v>
      </x:c>
      <x:c r="H38" t="str"/>
      <x:c r="I38" t="str">
        <x:v>OPEN</x:v>
      </x:c>
    </x:row>
    <x:row r="39" ht="42" customHeight="1">
      <x:c r="B39" t="str">
        <x:v>RAW-CAL-33</x:v>
      </x:c>
      <x:c r="C39" t="str">
        <x:v>MF-17</x:v>
      </x:c>
      <x:c r="D39" t="str">
        <x:v>high-speed imagery</x:v>
      </x:c>
      <x:c r="E39" t="str">
        <x:v>primary</x:v>
      </x:c>
      <x:c r="F39" s="10" t="str">
        <x:v>traceable static and dynamic reference</x:v>
      </x:c>
      <x:c r="G39" s="10" t="str">
        <x:v>response, uncertainty and timestamp accepted</x:v>
      </x:c>
      <x:c r="H39" t="str"/>
      <x:c r="I39" t="str">
        <x:v>OPEN</x:v>
      </x:c>
    </x:row>
    <x:row r="40" ht="42" customHeight="1">
      <x:c r="B40" t="str">
        <x:v>RAW-CAL-34</x:v>
      </x:c>
      <x:c r="C40" t="str">
        <x:v>MF-17</x:v>
      </x:c>
      <x:c r="D40" t="str">
        <x:v>high-speed imagery</x:v>
      </x:c>
      <x:c r="E40" t="str">
        <x:v>independent witness</x:v>
      </x:c>
      <x:c r="F40" s="10" t="str">
        <x:v>unlike principle or separately powered witness</x:v>
      </x:c>
      <x:c r="G40" s="10" t="str">
        <x:v>response, uncertainty and timestamp accepted</x:v>
      </x:c>
      <x:c r="H40" t="str"/>
      <x:c r="I40" t="str">
        <x:v>OPEN</x:v>
      </x:c>
    </x:row>
    <x:row r="41" ht="42" customHeight="1">
      <x:c r="B41" t="str">
        <x:v>RAW-CAL-35</x:v>
      </x:c>
      <x:c r="C41" t="str">
        <x:v>MF-18</x:v>
      </x:c>
      <x:c r="D41" t="str">
        <x:v>thermal imagery</x:v>
      </x:c>
      <x:c r="E41" t="str">
        <x:v>primary</x:v>
      </x:c>
      <x:c r="F41" s="10" t="str">
        <x:v>traceable static and dynamic reference</x:v>
      </x:c>
      <x:c r="G41" s="10" t="str">
        <x:v>response, uncertainty and timestamp accepted</x:v>
      </x:c>
      <x:c r="H41" t="str"/>
      <x:c r="I41" t="str">
        <x:v>OPEN</x:v>
      </x:c>
    </x:row>
    <x:row r="42" ht="42" customHeight="1">
      <x:c r="B42" t="str">
        <x:v>RAW-CAL-36</x:v>
      </x:c>
      <x:c r="C42" t="str">
        <x:v>MF-18</x:v>
      </x:c>
      <x:c r="D42" t="str">
        <x:v>thermal imagery</x:v>
      </x:c>
      <x:c r="E42" t="str">
        <x:v>independent witness</x:v>
      </x:c>
      <x:c r="F42" s="10" t="str">
        <x:v>unlike principle or separately powered witness</x:v>
      </x:c>
      <x:c r="G42" s="10" t="str">
        <x:v>response, uncertainty and timestamp accepted</x:v>
      </x:c>
      <x:c r="H42" t="str"/>
      <x:c r="I42" t="str">
        <x:v>OPEN</x:v>
      </x:c>
    </x:row>
    <x:row r="43" ht="42" customHeight="1">
      <x:c r="B43" t="str">
        <x:v>RAW-CAL-37</x:v>
      </x:c>
      <x:c r="C43" t="str">
        <x:v>MF-19</x:v>
      </x:c>
      <x:c r="D43" t="str">
        <x:v>event time and trigger</x:v>
      </x:c>
      <x:c r="E43" t="str">
        <x:v>primary</x:v>
      </x:c>
      <x:c r="F43" s="10" t="str">
        <x:v>traceable static and dynamic reference</x:v>
      </x:c>
      <x:c r="G43" s="10" t="str">
        <x:v>response, uncertainty and timestamp accepted</x:v>
      </x:c>
      <x:c r="H43" t="str"/>
      <x:c r="I43" t="str">
        <x:v>OPEN</x:v>
      </x:c>
    </x:row>
    <x:row r="44" ht="42" customHeight="1">
      <x:c r="B44" t="str">
        <x:v>RAW-CAL-38</x:v>
      </x:c>
      <x:c r="C44" t="str">
        <x:v>MF-19</x:v>
      </x:c>
      <x:c r="D44" t="str">
        <x:v>event time and trigger</x:v>
      </x:c>
      <x:c r="E44" t="str">
        <x:v>independent witness</x:v>
      </x:c>
      <x:c r="F44" s="10" t="str">
        <x:v>unlike principle or separately powered witness</x:v>
      </x:c>
      <x:c r="G44" s="10" t="str">
        <x:v>response, uncertainty and timestamp accepted</x:v>
      </x:c>
      <x:c r="H44" t="str"/>
      <x:c r="I44" t="str">
        <x:v>OPEN</x:v>
      </x:c>
    </x:row>
    <x:row r="45" ht="42" customHeight="1">
      <x:c r="B45" t="str">
        <x:v>RAW-CAL-39</x:v>
      </x:c>
      <x:c r="C45" t="str">
        <x:v>MF-20</x:v>
      </x:c>
      <x:c r="D45" t="str">
        <x:v>custody and configuration</x:v>
      </x:c>
      <x:c r="E45" t="str">
        <x:v>primary</x:v>
      </x:c>
      <x:c r="F45" s="10" t="str">
        <x:v>traceable static and dynamic reference</x:v>
      </x:c>
      <x:c r="G45" s="10" t="str">
        <x:v>response, uncertainty and timestamp accepted</x:v>
      </x:c>
      <x:c r="H45" t="str"/>
      <x:c r="I45" t="str">
        <x:v>OPEN</x:v>
      </x:c>
    </x:row>
    <x:row r="46" ht="42" customHeight="1">
      <x:c r="B46" t="str">
        <x:v>RAW-CAL-40</x:v>
      </x:c>
      <x:c r="C46" t="str">
        <x:v>MF-20</x:v>
      </x:c>
      <x:c r="D46" t="str">
        <x:v>custody and configuration</x:v>
      </x:c>
      <x:c r="E46" t="str">
        <x:v>independent witness</x:v>
      </x:c>
      <x:c r="F46" s="10" t="str">
        <x:v>unlike principle or separately powered witness</x:v>
      </x:c>
      <x:c r="G46" s="10" t="str">
        <x:v>response, uncertainty and timestamp accepted</x:v>
      </x:c>
      <x:c r="H46" t="str"/>
      <x:c r="I46" t="str">
        <x:v>OPEN</x:v>
      </x:c>
    </x:row>
    <x:row r="47" ht="42" customHeight="1">
      <x:c r="B47" t="str">
        <x:v>RAW-CAL-41</x:v>
      </x:c>
      <x:c r="C47" t="str">
        <x:v>MF-21</x:v>
      </x:c>
      <x:c r="D47" t="str">
        <x:v>facility utilities</x:v>
      </x:c>
      <x:c r="E47" t="str">
        <x:v>primary</x:v>
      </x:c>
      <x:c r="F47" s="10" t="str">
        <x:v>traceable static and dynamic reference</x:v>
      </x:c>
      <x:c r="G47" s="10" t="str">
        <x:v>response, uncertainty and timestamp accepted</x:v>
      </x:c>
      <x:c r="H47" t="str"/>
      <x:c r="I47" t="str">
        <x:v>OPEN</x:v>
      </x:c>
    </x:row>
    <x:row r="48" ht="42" customHeight="1">
      <x:c r="B48" t="str">
        <x:v>RAW-CAL-42</x:v>
      </x:c>
      <x:c r="C48" t="str">
        <x:v>MF-21</x:v>
      </x:c>
      <x:c r="D48" t="str">
        <x:v>facility utilities</x:v>
      </x:c>
      <x:c r="E48" t="str">
        <x:v>independent witness</x:v>
      </x:c>
      <x:c r="F48" s="10" t="str">
        <x:v>unlike principle or separately powered witness</x:v>
      </x:c>
      <x:c r="G48" s="10" t="str">
        <x:v>response, uncertainty and timestamp accepted</x:v>
      </x:c>
      <x:c r="H48" t="str"/>
      <x:c r="I48" t="str">
        <x:v>OPEN</x:v>
      </x:c>
    </x:row>
    <x:row r="49" ht="42" customHeight="1">
      <x:c r="B49" t="str">
        <x:v>RAW-CAL-43</x:v>
      </x:c>
      <x:c r="C49" t="str">
        <x:v>MF-22</x:v>
      </x:c>
      <x:c r="D49" t="str">
        <x:v>environmental witness</x:v>
      </x:c>
      <x:c r="E49" t="str">
        <x:v>primary</x:v>
      </x:c>
      <x:c r="F49" s="10" t="str">
        <x:v>traceable static and dynamic reference</x:v>
      </x:c>
      <x:c r="G49" s="10" t="str">
        <x:v>response, uncertainty and timestamp accepted</x:v>
      </x:c>
      <x:c r="H49" t="str"/>
      <x:c r="I49" t="str">
        <x:v>OPEN</x:v>
      </x:c>
    </x:row>
    <x:row r="50" ht="42" customHeight="1">
      <x:c r="B50" t="str">
        <x:v>RAW-CAL-44</x:v>
      </x:c>
      <x:c r="C50" t="str">
        <x:v>MF-22</x:v>
      </x:c>
      <x:c r="D50" t="str">
        <x:v>environmental witness</x:v>
      </x:c>
      <x:c r="E50" t="str">
        <x:v>independent witness</x:v>
      </x:c>
      <x:c r="F50" s="10" t="str">
        <x:v>unlike principle or separately powered witness</x:v>
      </x:c>
      <x:c r="G50" s="10" t="str">
        <x:v>response, uncertainty and timestamp accepted</x:v>
      </x:c>
      <x:c r="H50" t="str"/>
      <x:c r="I50" t="str">
        <x:v>OPEN</x:v>
      </x:c>
    </x:row>
    <x:row r="51" ht="42" customHeight="1">
      <x:c r="B51" t="str">
        <x:v>RAW-CAL-45</x:v>
      </x:c>
      <x:c r="C51" t="str">
        <x:v>MF-23</x:v>
      </x:c>
      <x:c r="D51" t="str">
        <x:v>casualty-system state</x:v>
      </x:c>
      <x:c r="E51" t="str">
        <x:v>primary</x:v>
      </x:c>
      <x:c r="F51" s="10" t="str">
        <x:v>traceable static and dynamic reference</x:v>
      </x:c>
      <x:c r="G51" s="10" t="str">
        <x:v>response, uncertainty and timestamp accepted</x:v>
      </x:c>
      <x:c r="H51" t="str"/>
      <x:c r="I51" t="str">
        <x:v>OPEN</x:v>
      </x:c>
    </x:row>
    <x:row r="52" ht="42" customHeight="1">
      <x:c r="B52" t="str">
        <x:v>RAW-CAL-46</x:v>
      </x:c>
      <x:c r="C52" t="str">
        <x:v>MF-23</x:v>
      </x:c>
      <x:c r="D52" t="str">
        <x:v>casualty-system state</x:v>
      </x:c>
      <x:c r="E52" t="str">
        <x:v>independent witness</x:v>
      </x:c>
      <x:c r="F52" s="10" t="str">
        <x:v>unlike principle or separately powered witness</x:v>
      </x:c>
      <x:c r="G52" s="10" t="str">
        <x:v>response, uncertainty and timestamp accepted</x:v>
      </x:c>
      <x:c r="H52" t="str"/>
      <x:c r="I52" t="str">
        <x:v>OPEN</x:v>
      </x:c>
    </x:row>
    <x:row r="53" ht="42" customHeight="1">
      <x:c r="B53" t="str">
        <x:v>RAW-CAL-47</x:v>
      </x:c>
      <x:c r="C53" t="str">
        <x:v>MF-24</x:v>
      </x:c>
      <x:c r="D53" t="str">
        <x:v>independent field video</x:v>
      </x:c>
      <x:c r="E53" t="str">
        <x:v>primary</x:v>
      </x:c>
      <x:c r="F53" s="10" t="str">
        <x:v>traceable static and dynamic reference</x:v>
      </x:c>
      <x:c r="G53" s="10" t="str">
        <x:v>response, uncertainty and timestamp accepted</x:v>
      </x:c>
      <x:c r="H53" t="str"/>
      <x:c r="I53" t="str">
        <x:v>OPEN</x:v>
      </x:c>
    </x:row>
    <x:row r="54" ht="42" customHeight="1">
      <x:c r="B54" t="str">
        <x:v>RAW-CAL-48</x:v>
      </x:c>
      <x:c r="C54" t="str">
        <x:v>MF-24</x:v>
      </x:c>
      <x:c r="D54" t="str">
        <x:v>independent field video</x:v>
      </x:c>
      <x:c r="E54" t="str">
        <x:v>independent witness</x:v>
      </x:c>
      <x:c r="F54" s="10" t="str">
        <x:v>unlike principle or separately powered witness</x:v>
      </x:c>
      <x:c r="G54" s="10" t="str">
        <x:v>response, uncertainty and timestamp accepted</x:v>
      </x:c>
      <x:c r="H54" t="str"/>
      <x:c r="I54" t="str">
        <x:v>OPEN</x:v>
      </x:c>
    </x:row>
  </x:sheetData>
  <x:conditionalFormatting sqref="I7:I54">
    <x:cfRule type="containsText" dxfId="40" priority="1" operator="containsText" text="FAIL"/>
    <x:cfRule type="containsText" dxfId="41" priority="2" operator="containsText" text="INVALID"/>
    <x:cfRule type="containsText" dxfId="42" priority="3" operator="containsText" text="BLOCKED"/>
    <x:cfRule type="containsText" dxfId="43" priority="4" operator="containsText" text="OPEN"/>
    <x:cfRule type="containsText" dxfId="44" priority="5" operator="containsText" text="GAP"/>
    <x:cfRule type="containsText" dxfId="45" priority="6" operator="containsText" text="DORMANT"/>
    <x:cfRule type="containsText" dxfId="46" priority="7" operator="containsText" text="PASS"/>
    <x:cfRule type="containsText" dxfId="47" priority="8" operator="containsText" text="VALI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32" hidden="0" customWidth="1"/>
    <x:col min="7" max="7" width="25" hidden="0" customWidth="1"/>
    <x:col min="8" max="8" width="73" hidden="0" customWidth="1"/>
    <x:col min="9" max="9" width="21" hidden="0" customWidth="1"/>
    <x:col min="10" max="10" width="14" hidden="0" customWidth="1"/>
  </x:cols>
  <x:sheetData>
    <x:row r="2">
      <x:c r="B2" s="1" t="str">
        <x:v>Sixty sealed challenge packages</x:v>
      </x:c>
    </x:row>
    <x:row r="3">
      <x:c r="B3" s="2" t="str">
        <x:v>Safety authorities retain required state knowledge; candidate and local operators remain blind.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Package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Truth identity</x:v>
      </x:c>
      <x:c r="G6" s="7" t="str">
        <x:v>Custodian</x:v>
      </x:c>
      <x:c r="H6" s="7" t="str">
        <x:v>Blindness rule</x:v>
      </x:c>
      <x:c r="I6" s="7" t="str">
        <x:v>Accepted UTC</x:v>
      </x:c>
      <x:c r="J6" s="7" t="str">
        <x:v>State</x:v>
      </x:c>
    </x:row>
    <x:row r="7" ht="42" customHeight="1">
      <x:c r="B7" t="str">
        <x:v>RAW-BL-01</x:v>
      </x:c>
      <x:c r="C7" t="str">
        <x:v>AM-00</x:v>
      </x:c>
      <x:c r="D7" t="str">
        <x:v>TR-A</x:v>
      </x:c>
      <x:c r="E7" t="str">
        <x:v>RFP-A1</x:v>
      </x:c>
      <x:c r="F7" t="str">
        <x:v>AM-00-TR-A-RFP-A1-sealed</x:v>
      </x:c>
      <x:c r="G7" t="str">
        <x:v>challenge authority</x:v>
      </x:c>
      <x:c r="H7" s="10" t="str">
        <x:v>candidate and local operator cannot infer QT-04 or QT-05 state</x:v>
      </x:c>
      <x:c r="I7" t="str"/>
      <x:c r="J7" t="str">
        <x:v>OPEN</x:v>
      </x:c>
    </x:row>
    <x:row r="8" ht="42" customHeight="1">
      <x:c r="B8" t="str">
        <x:v>RAW-BL-02</x:v>
      </x:c>
      <x:c r="C8" t="str">
        <x:v>AM-00</x:v>
      </x:c>
      <x:c r="D8" t="str">
        <x:v>TR-A</x:v>
      </x:c>
      <x:c r="E8" t="str">
        <x:v>RFP-A2</x:v>
      </x:c>
      <x:c r="F8" t="str">
        <x:v>AM-00-TR-A-RFP-A2-sealed</x:v>
      </x:c>
      <x:c r="G8" t="str">
        <x:v>challenge authority</x:v>
      </x:c>
      <x:c r="H8" s="10" t="str">
        <x:v>candidate and local operator cannot infer QT-04 or QT-05 state</x:v>
      </x:c>
      <x:c r="I8" t="str"/>
      <x:c r="J8" t="str">
        <x:v>OPEN</x:v>
      </x:c>
    </x:row>
    <x:row r="9" ht="42" customHeight="1">
      <x:c r="B9" t="str">
        <x:v>RAW-BL-03</x:v>
      </x:c>
      <x:c r="C9" t="str">
        <x:v>AM-00</x:v>
      </x:c>
      <x:c r="D9" t="str">
        <x:v>TR-A</x:v>
      </x:c>
      <x:c r="E9" t="str">
        <x:v>RFP-B1</x:v>
      </x:c>
      <x:c r="F9" t="str">
        <x:v>AM-00-TR-A-RFP-B1-sealed</x:v>
      </x:c>
      <x:c r="G9" t="str">
        <x:v>challenge authority</x:v>
      </x:c>
      <x:c r="H9" s="10" t="str">
        <x:v>candidate and local operator cannot infer QT-04 or QT-05 state</x:v>
      </x:c>
      <x:c r="I9" t="str"/>
      <x:c r="J9" t="str">
        <x:v>OPEN</x:v>
      </x:c>
    </x:row>
    <x:row r="10" ht="42" customHeight="1">
      <x:c r="B10" t="str">
        <x:v>RAW-BL-04</x:v>
      </x:c>
      <x:c r="C10" t="str">
        <x:v>AM-00</x:v>
      </x:c>
      <x:c r="D10" t="str">
        <x:v>TR-A</x:v>
      </x:c>
      <x:c r="E10" t="str">
        <x:v>RFP-B2</x:v>
      </x:c>
      <x:c r="F10" t="str">
        <x:v>AM-00-TR-A-RFP-B2-sealed</x:v>
      </x:c>
      <x:c r="G10" t="str">
        <x:v>challenge authority</x:v>
      </x:c>
      <x:c r="H10" s="10" t="str">
        <x:v>candidate and local operator cannot infer QT-04 or QT-05 state</x:v>
      </x:c>
      <x:c r="I10" t="str"/>
      <x:c r="J10" t="str">
        <x:v>OPEN</x:v>
      </x:c>
    </x:row>
    <x:row r="11" ht="42" customHeight="1">
      <x:c r="B11" t="str">
        <x:v>RAW-BL-05</x:v>
      </x:c>
      <x:c r="C11" t="str">
        <x:v>AM-00</x:v>
      </x:c>
      <x:c r="D11" t="str">
        <x:v>TR-A</x:v>
      </x:c>
      <x:c r="E11" t="str">
        <x:v>RFP-C1</x:v>
      </x:c>
      <x:c r="F11" t="str">
        <x:v>AM-00-TR-A-RFP-C1-sealed</x:v>
      </x:c>
      <x:c r="G11" t="str">
        <x:v>challenge authority</x:v>
      </x:c>
      <x:c r="H11" s="10" t="str">
        <x:v>candidate and local operator cannot infer QT-04 or QT-05 state</x:v>
      </x:c>
      <x:c r="I11" t="str"/>
      <x:c r="J11" t="str">
        <x:v>OPEN</x:v>
      </x:c>
    </x:row>
    <x:row r="12" ht="42" customHeight="1">
      <x:c r="B12" t="str">
        <x:v>RAW-BL-06</x:v>
      </x:c>
      <x:c r="C12" t="str">
        <x:v>AM-00</x:v>
      </x:c>
      <x:c r="D12" t="str">
        <x:v>TR-A</x:v>
      </x:c>
      <x:c r="E12" t="str">
        <x:v>RFP-C2</x:v>
      </x:c>
      <x:c r="F12" t="str">
        <x:v>AM-00-TR-A-RFP-C2-sealed</x:v>
      </x:c>
      <x:c r="G12" t="str">
        <x:v>challenge authority</x:v>
      </x:c>
      <x:c r="H12" s="10" t="str">
        <x:v>candidate and local operator cannot infer QT-04 or QT-05 state</x:v>
      </x:c>
      <x:c r="I12" t="str"/>
      <x:c r="J12" t="str">
        <x:v>OPEN</x:v>
      </x:c>
    </x:row>
    <x:row r="13" ht="42" customHeight="1">
      <x:c r="B13" t="str">
        <x:v>RAW-BL-07</x:v>
      </x:c>
      <x:c r="C13" t="str">
        <x:v>AM-00</x:v>
      </x:c>
      <x:c r="D13" t="str">
        <x:v>TR-B</x:v>
      </x:c>
      <x:c r="E13" t="str">
        <x:v>RFP-A1</x:v>
      </x:c>
      <x:c r="F13" t="str">
        <x:v>AM-00-TR-B-RFP-A1-sealed</x:v>
      </x:c>
      <x:c r="G13" t="str">
        <x:v>challenge authority</x:v>
      </x:c>
      <x:c r="H13" s="10" t="str">
        <x:v>candidate and local operator cannot infer QT-04 or QT-05 state</x:v>
      </x:c>
      <x:c r="I13" t="str"/>
      <x:c r="J13" t="str">
        <x:v>OPEN</x:v>
      </x:c>
    </x:row>
    <x:row r="14" ht="42" customHeight="1">
      <x:c r="B14" t="str">
        <x:v>RAW-BL-08</x:v>
      </x:c>
      <x:c r="C14" t="str">
        <x:v>AM-00</x:v>
      </x:c>
      <x:c r="D14" t="str">
        <x:v>TR-B</x:v>
      </x:c>
      <x:c r="E14" t="str">
        <x:v>RFP-A2</x:v>
      </x:c>
      <x:c r="F14" t="str">
        <x:v>AM-00-TR-B-RFP-A2-sealed</x:v>
      </x:c>
      <x:c r="G14" t="str">
        <x:v>challenge authority</x:v>
      </x:c>
      <x:c r="H14" s="10" t="str">
        <x:v>candidate and local operator cannot infer QT-04 or QT-05 state</x:v>
      </x:c>
      <x:c r="I14" t="str"/>
      <x:c r="J14" t="str">
        <x:v>OPEN</x:v>
      </x:c>
    </x:row>
    <x:row r="15" ht="42" customHeight="1">
      <x:c r="B15" t="str">
        <x:v>RAW-BL-09</x:v>
      </x:c>
      <x:c r="C15" t="str">
        <x:v>AM-00</x:v>
      </x:c>
      <x:c r="D15" t="str">
        <x:v>TR-B</x:v>
      </x:c>
      <x:c r="E15" t="str">
        <x:v>RFP-B1</x:v>
      </x:c>
      <x:c r="F15" t="str">
        <x:v>AM-00-TR-B-RFP-B1-sealed</x:v>
      </x:c>
      <x:c r="G15" t="str">
        <x:v>challenge authority</x:v>
      </x:c>
      <x:c r="H15" s="10" t="str">
        <x:v>candidate and local operator cannot infer QT-04 or QT-05 state</x:v>
      </x:c>
      <x:c r="I15" t="str"/>
      <x:c r="J15" t="str">
        <x:v>OPEN</x:v>
      </x:c>
    </x:row>
    <x:row r="16" ht="42" customHeight="1">
      <x:c r="B16" t="str">
        <x:v>RAW-BL-10</x:v>
      </x:c>
      <x:c r="C16" t="str">
        <x:v>AM-00</x:v>
      </x:c>
      <x:c r="D16" t="str">
        <x:v>TR-B</x:v>
      </x:c>
      <x:c r="E16" t="str">
        <x:v>RFP-B2</x:v>
      </x:c>
      <x:c r="F16" t="str">
        <x:v>AM-00-TR-B-RFP-B2-sealed</x:v>
      </x:c>
      <x:c r="G16" t="str">
        <x:v>challenge authority</x:v>
      </x:c>
      <x:c r="H16" s="10" t="str">
        <x:v>candidate and local operator cannot infer QT-04 or QT-05 state</x:v>
      </x:c>
      <x:c r="I16" t="str"/>
      <x:c r="J16" t="str">
        <x:v>OPEN</x:v>
      </x:c>
    </x:row>
    <x:row r="17" ht="42" customHeight="1">
      <x:c r="B17" t="str">
        <x:v>RAW-BL-11</x:v>
      </x:c>
      <x:c r="C17" t="str">
        <x:v>AM-00</x:v>
      </x:c>
      <x:c r="D17" t="str">
        <x:v>TR-B</x:v>
      </x:c>
      <x:c r="E17" t="str">
        <x:v>RFP-C1</x:v>
      </x:c>
      <x:c r="F17" t="str">
        <x:v>AM-00-TR-B-RFP-C1-sealed</x:v>
      </x:c>
      <x:c r="G17" t="str">
        <x:v>challenge authority</x:v>
      </x:c>
      <x:c r="H17" s="10" t="str">
        <x:v>candidate and local operator cannot infer QT-04 or QT-05 state</x:v>
      </x:c>
      <x:c r="I17" t="str"/>
      <x:c r="J17" t="str">
        <x:v>OPEN</x:v>
      </x:c>
    </x:row>
    <x:row r="18" ht="42" customHeight="1">
      <x:c r="B18" t="str">
        <x:v>RAW-BL-12</x:v>
      </x:c>
      <x:c r="C18" t="str">
        <x:v>AM-00</x:v>
      </x:c>
      <x:c r="D18" t="str">
        <x:v>TR-B</x:v>
      </x:c>
      <x:c r="E18" t="str">
        <x:v>RFP-C2</x:v>
      </x:c>
      <x:c r="F18" t="str">
        <x:v>AM-00-TR-B-RFP-C2-sealed</x:v>
      </x:c>
      <x:c r="G18" t="str">
        <x:v>challenge authority</x:v>
      </x:c>
      <x:c r="H18" s="10" t="str">
        <x:v>candidate and local operator cannot infer QT-04 or QT-05 state</x:v>
      </x:c>
      <x:c r="I18" t="str"/>
      <x:c r="J18" t="str">
        <x:v>OPEN</x:v>
      </x:c>
    </x:row>
    <x:row r="19" ht="42" customHeight="1">
      <x:c r="B19" t="str">
        <x:v>RAW-BL-13</x:v>
      </x:c>
      <x:c r="C19" t="str">
        <x:v>AM-01</x:v>
      </x:c>
      <x:c r="D19" t="str">
        <x:v>TR-A</x:v>
      </x:c>
      <x:c r="E19" t="str">
        <x:v>RFP-A1</x:v>
      </x:c>
      <x:c r="F19" t="str">
        <x:v>AM-01-TR-A-RFP-A1-sealed</x:v>
      </x:c>
      <x:c r="G19" t="str">
        <x:v>challenge authority</x:v>
      </x:c>
      <x:c r="H19" s="10" t="str">
        <x:v>candidate and local operator cannot infer QT-04 or QT-05 state</x:v>
      </x:c>
      <x:c r="I19" t="str"/>
      <x:c r="J19" t="str">
        <x:v>OPEN</x:v>
      </x:c>
    </x:row>
    <x:row r="20" ht="42" customHeight="1">
      <x:c r="B20" t="str">
        <x:v>RAW-BL-14</x:v>
      </x:c>
      <x:c r="C20" t="str">
        <x:v>AM-01</x:v>
      </x:c>
      <x:c r="D20" t="str">
        <x:v>TR-A</x:v>
      </x:c>
      <x:c r="E20" t="str">
        <x:v>RFP-A2</x:v>
      </x:c>
      <x:c r="F20" t="str">
        <x:v>AM-01-TR-A-RFP-A2-sealed</x:v>
      </x:c>
      <x:c r="G20" t="str">
        <x:v>challenge authority</x:v>
      </x:c>
      <x:c r="H20" s="10" t="str">
        <x:v>candidate and local operator cannot infer QT-04 or QT-05 state</x:v>
      </x:c>
      <x:c r="I20" t="str"/>
      <x:c r="J20" t="str">
        <x:v>OPEN</x:v>
      </x:c>
    </x:row>
    <x:row r="21" ht="42" customHeight="1">
      <x:c r="B21" t="str">
        <x:v>RAW-BL-15</x:v>
      </x:c>
      <x:c r="C21" t="str">
        <x:v>AM-01</x:v>
      </x:c>
      <x:c r="D21" t="str">
        <x:v>TR-A</x:v>
      </x:c>
      <x:c r="E21" t="str">
        <x:v>RFP-B1</x:v>
      </x:c>
      <x:c r="F21" t="str">
        <x:v>AM-01-TR-A-RFP-B1-sealed</x:v>
      </x:c>
      <x:c r="G21" t="str">
        <x:v>challenge authority</x:v>
      </x:c>
      <x:c r="H21" s="10" t="str">
        <x:v>candidate and local operator cannot infer QT-04 or QT-05 state</x:v>
      </x:c>
      <x:c r="I21" t="str"/>
      <x:c r="J21" t="str">
        <x:v>OPEN</x:v>
      </x:c>
    </x:row>
    <x:row r="22" ht="42" customHeight="1">
      <x:c r="B22" t="str">
        <x:v>RAW-BL-16</x:v>
      </x:c>
      <x:c r="C22" t="str">
        <x:v>AM-01</x:v>
      </x:c>
      <x:c r="D22" t="str">
        <x:v>TR-A</x:v>
      </x:c>
      <x:c r="E22" t="str">
        <x:v>RFP-B2</x:v>
      </x:c>
      <x:c r="F22" t="str">
        <x:v>AM-01-TR-A-RFP-B2-sealed</x:v>
      </x:c>
      <x:c r="G22" t="str">
        <x:v>challenge authority</x:v>
      </x:c>
      <x:c r="H22" s="10" t="str">
        <x:v>candidate and local operator cannot infer QT-04 or QT-05 state</x:v>
      </x:c>
      <x:c r="I22" t="str"/>
      <x:c r="J22" t="str">
        <x:v>OPEN</x:v>
      </x:c>
    </x:row>
    <x:row r="23" ht="42" customHeight="1">
      <x:c r="B23" t="str">
        <x:v>RAW-BL-17</x:v>
      </x:c>
      <x:c r="C23" t="str">
        <x:v>AM-01</x:v>
      </x:c>
      <x:c r="D23" t="str">
        <x:v>TR-A</x:v>
      </x:c>
      <x:c r="E23" t="str">
        <x:v>RFP-C1</x:v>
      </x:c>
      <x:c r="F23" t="str">
        <x:v>AM-01-TR-A-RFP-C1-sealed</x:v>
      </x:c>
      <x:c r="G23" t="str">
        <x:v>challenge authority</x:v>
      </x:c>
      <x:c r="H23" s="10" t="str">
        <x:v>candidate and local operator cannot infer QT-04 or QT-05 state</x:v>
      </x:c>
      <x:c r="I23" t="str"/>
      <x:c r="J23" t="str">
        <x:v>OPEN</x:v>
      </x:c>
    </x:row>
    <x:row r="24" ht="42" customHeight="1">
      <x:c r="B24" t="str">
        <x:v>RAW-BL-18</x:v>
      </x:c>
      <x:c r="C24" t="str">
        <x:v>AM-01</x:v>
      </x:c>
      <x:c r="D24" t="str">
        <x:v>TR-A</x:v>
      </x:c>
      <x:c r="E24" t="str">
        <x:v>RFP-C2</x:v>
      </x:c>
      <x:c r="F24" t="str">
        <x:v>AM-01-TR-A-RFP-C2-sealed</x:v>
      </x:c>
      <x:c r="G24" t="str">
        <x:v>challenge authority</x:v>
      </x:c>
      <x:c r="H24" s="10" t="str">
        <x:v>candidate and local operator cannot infer QT-04 or QT-05 state</x:v>
      </x:c>
      <x:c r="I24" t="str"/>
      <x:c r="J24" t="str">
        <x:v>OPEN</x:v>
      </x:c>
    </x:row>
    <x:row r="25" ht="42" customHeight="1">
      <x:c r="B25" t="str">
        <x:v>RAW-BL-19</x:v>
      </x:c>
      <x:c r="C25" t="str">
        <x:v>AM-01</x:v>
      </x:c>
      <x:c r="D25" t="str">
        <x:v>TR-B</x:v>
      </x:c>
      <x:c r="E25" t="str">
        <x:v>RFP-A1</x:v>
      </x:c>
      <x:c r="F25" t="str">
        <x:v>AM-01-TR-B-RFP-A1-sealed</x:v>
      </x:c>
      <x:c r="G25" t="str">
        <x:v>challenge authority</x:v>
      </x:c>
      <x:c r="H25" s="10" t="str">
        <x:v>candidate and local operator cannot infer QT-04 or QT-05 state</x:v>
      </x:c>
      <x:c r="I25" t="str"/>
      <x:c r="J25" t="str">
        <x:v>OPEN</x:v>
      </x:c>
    </x:row>
    <x:row r="26" ht="42" customHeight="1">
      <x:c r="B26" t="str">
        <x:v>RAW-BL-20</x:v>
      </x:c>
      <x:c r="C26" t="str">
        <x:v>AM-01</x:v>
      </x:c>
      <x:c r="D26" t="str">
        <x:v>TR-B</x:v>
      </x:c>
      <x:c r="E26" t="str">
        <x:v>RFP-A2</x:v>
      </x:c>
      <x:c r="F26" t="str">
        <x:v>AM-01-TR-B-RFP-A2-sealed</x:v>
      </x:c>
      <x:c r="G26" t="str">
        <x:v>challenge authority</x:v>
      </x:c>
      <x:c r="H26" s="10" t="str">
        <x:v>candidate and local operator cannot infer QT-04 or QT-05 state</x:v>
      </x:c>
      <x:c r="I26" t="str"/>
      <x:c r="J26" t="str">
        <x:v>OPEN</x:v>
      </x:c>
    </x:row>
    <x:row r="27" ht="42" customHeight="1">
      <x:c r="B27" t="str">
        <x:v>RAW-BL-21</x:v>
      </x:c>
      <x:c r="C27" t="str">
        <x:v>AM-01</x:v>
      </x:c>
      <x:c r="D27" t="str">
        <x:v>TR-B</x:v>
      </x:c>
      <x:c r="E27" t="str">
        <x:v>RFP-B1</x:v>
      </x:c>
      <x:c r="F27" t="str">
        <x:v>AM-01-TR-B-RFP-B1-sealed</x:v>
      </x:c>
      <x:c r="G27" t="str">
        <x:v>challenge authority</x:v>
      </x:c>
      <x:c r="H27" s="10" t="str">
        <x:v>candidate and local operator cannot infer QT-04 or QT-05 state</x:v>
      </x:c>
      <x:c r="I27" t="str"/>
      <x:c r="J27" t="str">
        <x:v>OPEN</x:v>
      </x:c>
    </x:row>
    <x:row r="28" ht="42" customHeight="1">
      <x:c r="B28" t="str">
        <x:v>RAW-BL-22</x:v>
      </x:c>
      <x:c r="C28" t="str">
        <x:v>AM-01</x:v>
      </x:c>
      <x:c r="D28" t="str">
        <x:v>TR-B</x:v>
      </x:c>
      <x:c r="E28" t="str">
        <x:v>RFP-B2</x:v>
      </x:c>
      <x:c r="F28" t="str">
        <x:v>AM-01-TR-B-RFP-B2-sealed</x:v>
      </x:c>
      <x:c r="G28" t="str">
        <x:v>challenge authority</x:v>
      </x:c>
      <x:c r="H28" s="10" t="str">
        <x:v>candidate and local operator cannot infer QT-04 or QT-05 state</x:v>
      </x:c>
      <x:c r="I28" t="str"/>
      <x:c r="J28" t="str">
        <x:v>OPEN</x:v>
      </x:c>
    </x:row>
    <x:row r="29" ht="42" customHeight="1">
      <x:c r="B29" t="str">
        <x:v>RAW-BL-23</x:v>
      </x:c>
      <x:c r="C29" t="str">
        <x:v>AM-01</x:v>
      </x:c>
      <x:c r="D29" t="str">
        <x:v>TR-B</x:v>
      </x:c>
      <x:c r="E29" t="str">
        <x:v>RFP-C1</x:v>
      </x:c>
      <x:c r="F29" t="str">
        <x:v>AM-01-TR-B-RFP-C1-sealed</x:v>
      </x:c>
      <x:c r="G29" t="str">
        <x:v>challenge authority</x:v>
      </x:c>
      <x:c r="H29" s="10" t="str">
        <x:v>candidate and local operator cannot infer QT-04 or QT-05 state</x:v>
      </x:c>
      <x:c r="I29" t="str"/>
      <x:c r="J29" t="str">
        <x:v>OPEN</x:v>
      </x:c>
    </x:row>
    <x:row r="30" ht="42" customHeight="1">
      <x:c r="B30" t="str">
        <x:v>RAW-BL-24</x:v>
      </x:c>
      <x:c r="C30" t="str">
        <x:v>AM-01</x:v>
      </x:c>
      <x:c r="D30" t="str">
        <x:v>TR-B</x:v>
      </x:c>
      <x:c r="E30" t="str">
        <x:v>RFP-C2</x:v>
      </x:c>
      <x:c r="F30" t="str">
        <x:v>AM-01-TR-B-RFP-C2-sealed</x:v>
      </x:c>
      <x:c r="G30" t="str">
        <x:v>challenge authority</x:v>
      </x:c>
      <x:c r="H30" s="10" t="str">
        <x:v>candidate and local operator cannot infer QT-04 or QT-05 state</x:v>
      </x:c>
      <x:c r="I30" t="str"/>
      <x:c r="J30" t="str">
        <x:v>OPEN</x:v>
      </x:c>
    </x:row>
    <x:row r="31" ht="42" customHeight="1">
      <x:c r="B31" t="str">
        <x:v>RAW-BL-25</x:v>
      </x:c>
      <x:c r="C31" t="str">
        <x:v>AM-02</x:v>
      </x:c>
      <x:c r="D31" t="str">
        <x:v>TR-A</x:v>
      </x:c>
      <x:c r="E31" t="str">
        <x:v>RFP-A1</x:v>
      </x:c>
      <x:c r="F31" t="str">
        <x:v>AM-02-TR-A-RFP-A1-sealed</x:v>
      </x:c>
      <x:c r="G31" t="str">
        <x:v>challenge authority</x:v>
      </x:c>
      <x:c r="H31" s="10" t="str">
        <x:v>candidate and local operator cannot infer QT-04 or QT-05 state</x:v>
      </x:c>
      <x:c r="I31" t="str"/>
      <x:c r="J31" t="str">
        <x:v>OPEN</x:v>
      </x:c>
    </x:row>
    <x:row r="32" ht="42" customHeight="1">
      <x:c r="B32" t="str">
        <x:v>RAW-BL-26</x:v>
      </x:c>
      <x:c r="C32" t="str">
        <x:v>AM-02</x:v>
      </x:c>
      <x:c r="D32" t="str">
        <x:v>TR-A</x:v>
      </x:c>
      <x:c r="E32" t="str">
        <x:v>RFP-A2</x:v>
      </x:c>
      <x:c r="F32" t="str">
        <x:v>AM-02-TR-A-RFP-A2-sealed</x:v>
      </x:c>
      <x:c r="G32" t="str">
        <x:v>challenge authority</x:v>
      </x:c>
      <x:c r="H32" s="10" t="str">
        <x:v>candidate and local operator cannot infer QT-04 or QT-05 state</x:v>
      </x:c>
      <x:c r="I32" t="str"/>
      <x:c r="J32" t="str">
        <x:v>OPEN</x:v>
      </x:c>
    </x:row>
    <x:row r="33" ht="42" customHeight="1">
      <x:c r="B33" t="str">
        <x:v>RAW-BL-27</x:v>
      </x:c>
      <x:c r="C33" t="str">
        <x:v>AM-02</x:v>
      </x:c>
      <x:c r="D33" t="str">
        <x:v>TR-A</x:v>
      </x:c>
      <x:c r="E33" t="str">
        <x:v>RFP-B1</x:v>
      </x:c>
      <x:c r="F33" t="str">
        <x:v>AM-02-TR-A-RFP-B1-sealed</x:v>
      </x:c>
      <x:c r="G33" t="str">
        <x:v>challenge authority</x:v>
      </x:c>
      <x:c r="H33" s="10" t="str">
        <x:v>candidate and local operator cannot infer QT-04 or QT-05 state</x:v>
      </x:c>
      <x:c r="I33" t="str"/>
      <x:c r="J33" t="str">
        <x:v>OPEN</x:v>
      </x:c>
    </x:row>
    <x:row r="34" ht="42" customHeight="1">
      <x:c r="B34" t="str">
        <x:v>RAW-BL-28</x:v>
      </x:c>
      <x:c r="C34" t="str">
        <x:v>AM-02</x:v>
      </x:c>
      <x:c r="D34" t="str">
        <x:v>TR-A</x:v>
      </x:c>
      <x:c r="E34" t="str">
        <x:v>RFP-B2</x:v>
      </x:c>
      <x:c r="F34" t="str">
        <x:v>AM-02-TR-A-RFP-B2-sealed</x:v>
      </x:c>
      <x:c r="G34" t="str">
        <x:v>challenge authority</x:v>
      </x:c>
      <x:c r="H34" s="10" t="str">
        <x:v>candidate and local operator cannot infer QT-04 or QT-05 state</x:v>
      </x:c>
      <x:c r="I34" t="str"/>
      <x:c r="J34" t="str">
        <x:v>OPEN</x:v>
      </x:c>
    </x:row>
    <x:row r="35" ht="42" customHeight="1">
      <x:c r="B35" t="str">
        <x:v>RAW-BL-29</x:v>
      </x:c>
      <x:c r="C35" t="str">
        <x:v>AM-02</x:v>
      </x:c>
      <x:c r="D35" t="str">
        <x:v>TR-A</x:v>
      </x:c>
      <x:c r="E35" t="str">
        <x:v>RFP-C1</x:v>
      </x:c>
      <x:c r="F35" t="str">
        <x:v>AM-02-TR-A-RFP-C1-sealed</x:v>
      </x:c>
      <x:c r="G35" t="str">
        <x:v>challenge authority</x:v>
      </x:c>
      <x:c r="H35" s="10" t="str">
        <x:v>candidate and local operator cannot infer QT-04 or QT-05 state</x:v>
      </x:c>
      <x:c r="I35" t="str"/>
      <x:c r="J35" t="str">
        <x:v>OPEN</x:v>
      </x:c>
    </x:row>
    <x:row r="36" ht="42" customHeight="1">
      <x:c r="B36" t="str">
        <x:v>RAW-BL-30</x:v>
      </x:c>
      <x:c r="C36" t="str">
        <x:v>AM-02</x:v>
      </x:c>
      <x:c r="D36" t="str">
        <x:v>TR-A</x:v>
      </x:c>
      <x:c r="E36" t="str">
        <x:v>RFP-C2</x:v>
      </x:c>
      <x:c r="F36" t="str">
        <x:v>AM-02-TR-A-RFP-C2-sealed</x:v>
      </x:c>
      <x:c r="G36" t="str">
        <x:v>challenge authority</x:v>
      </x:c>
      <x:c r="H36" s="10" t="str">
        <x:v>candidate and local operator cannot infer QT-04 or QT-05 state</x:v>
      </x:c>
      <x:c r="I36" t="str"/>
      <x:c r="J36" t="str">
        <x:v>OPEN</x:v>
      </x:c>
    </x:row>
    <x:row r="37" ht="42" customHeight="1">
      <x:c r="B37" t="str">
        <x:v>RAW-BL-31</x:v>
      </x:c>
      <x:c r="C37" t="str">
        <x:v>AM-02</x:v>
      </x:c>
      <x:c r="D37" t="str">
        <x:v>TR-B</x:v>
      </x:c>
      <x:c r="E37" t="str">
        <x:v>RFP-A1</x:v>
      </x:c>
      <x:c r="F37" t="str">
        <x:v>AM-02-TR-B-RFP-A1-sealed</x:v>
      </x:c>
      <x:c r="G37" t="str">
        <x:v>challenge authority</x:v>
      </x:c>
      <x:c r="H37" s="10" t="str">
        <x:v>candidate and local operator cannot infer QT-04 or QT-05 state</x:v>
      </x:c>
      <x:c r="I37" t="str"/>
      <x:c r="J37" t="str">
        <x:v>OPEN</x:v>
      </x:c>
    </x:row>
    <x:row r="38" ht="42" customHeight="1">
      <x:c r="B38" t="str">
        <x:v>RAW-BL-32</x:v>
      </x:c>
      <x:c r="C38" t="str">
        <x:v>AM-02</x:v>
      </x:c>
      <x:c r="D38" t="str">
        <x:v>TR-B</x:v>
      </x:c>
      <x:c r="E38" t="str">
        <x:v>RFP-A2</x:v>
      </x:c>
      <x:c r="F38" t="str">
        <x:v>AM-02-TR-B-RFP-A2-sealed</x:v>
      </x:c>
      <x:c r="G38" t="str">
        <x:v>challenge authority</x:v>
      </x:c>
      <x:c r="H38" s="10" t="str">
        <x:v>candidate and local operator cannot infer QT-04 or QT-05 state</x:v>
      </x:c>
      <x:c r="I38" t="str"/>
      <x:c r="J38" t="str">
        <x:v>OPEN</x:v>
      </x:c>
    </x:row>
    <x:row r="39" ht="42" customHeight="1">
      <x:c r="B39" t="str">
        <x:v>RAW-BL-33</x:v>
      </x:c>
      <x:c r="C39" t="str">
        <x:v>AM-02</x:v>
      </x:c>
      <x:c r="D39" t="str">
        <x:v>TR-B</x:v>
      </x:c>
      <x:c r="E39" t="str">
        <x:v>RFP-B1</x:v>
      </x:c>
      <x:c r="F39" t="str">
        <x:v>AM-02-TR-B-RFP-B1-sealed</x:v>
      </x:c>
      <x:c r="G39" t="str">
        <x:v>challenge authority</x:v>
      </x:c>
      <x:c r="H39" s="10" t="str">
        <x:v>candidate and local operator cannot infer QT-04 or QT-05 state</x:v>
      </x:c>
      <x:c r="I39" t="str"/>
      <x:c r="J39" t="str">
        <x:v>OPEN</x:v>
      </x:c>
    </x:row>
    <x:row r="40" ht="42" customHeight="1">
      <x:c r="B40" t="str">
        <x:v>RAW-BL-34</x:v>
      </x:c>
      <x:c r="C40" t="str">
        <x:v>AM-02</x:v>
      </x:c>
      <x:c r="D40" t="str">
        <x:v>TR-B</x:v>
      </x:c>
      <x:c r="E40" t="str">
        <x:v>RFP-B2</x:v>
      </x:c>
      <x:c r="F40" t="str">
        <x:v>AM-02-TR-B-RFP-B2-sealed</x:v>
      </x:c>
      <x:c r="G40" t="str">
        <x:v>challenge authority</x:v>
      </x:c>
      <x:c r="H40" s="10" t="str">
        <x:v>candidate and local operator cannot infer QT-04 or QT-05 state</x:v>
      </x:c>
      <x:c r="I40" t="str"/>
      <x:c r="J40" t="str">
        <x:v>OPEN</x:v>
      </x:c>
    </x:row>
    <x:row r="41" ht="42" customHeight="1">
      <x:c r="B41" t="str">
        <x:v>RAW-BL-35</x:v>
      </x:c>
      <x:c r="C41" t="str">
        <x:v>AM-02</x:v>
      </x:c>
      <x:c r="D41" t="str">
        <x:v>TR-B</x:v>
      </x:c>
      <x:c r="E41" t="str">
        <x:v>RFP-C1</x:v>
      </x:c>
      <x:c r="F41" t="str">
        <x:v>AM-02-TR-B-RFP-C1-sealed</x:v>
      </x:c>
      <x:c r="G41" t="str">
        <x:v>challenge authority</x:v>
      </x:c>
      <x:c r="H41" s="10" t="str">
        <x:v>candidate and local operator cannot infer QT-04 or QT-05 state</x:v>
      </x:c>
      <x:c r="I41" t="str"/>
      <x:c r="J41" t="str">
        <x:v>OPEN</x:v>
      </x:c>
    </x:row>
    <x:row r="42" ht="42" customHeight="1">
      <x:c r="B42" t="str">
        <x:v>RAW-BL-36</x:v>
      </x:c>
      <x:c r="C42" t="str">
        <x:v>AM-02</x:v>
      </x:c>
      <x:c r="D42" t="str">
        <x:v>TR-B</x:v>
      </x:c>
      <x:c r="E42" t="str">
        <x:v>RFP-C2</x:v>
      </x:c>
      <x:c r="F42" t="str">
        <x:v>AM-02-TR-B-RFP-C2-sealed</x:v>
      </x:c>
      <x:c r="G42" t="str">
        <x:v>challenge authority</x:v>
      </x:c>
      <x:c r="H42" s="10" t="str">
        <x:v>candidate and local operator cannot infer QT-04 or QT-05 state</x:v>
      </x:c>
      <x:c r="I42" t="str"/>
      <x:c r="J42" t="str">
        <x:v>OPEN</x:v>
      </x:c>
    </x:row>
    <x:row r="43" ht="42" customHeight="1">
      <x:c r="B43" t="str">
        <x:v>RAW-BL-37</x:v>
      </x:c>
      <x:c r="C43" t="str">
        <x:v>AM-03</x:v>
      </x:c>
      <x:c r="D43" t="str">
        <x:v>TR-A</x:v>
      </x:c>
      <x:c r="E43" t="str">
        <x:v>RFP-A1</x:v>
      </x:c>
      <x:c r="F43" t="str">
        <x:v>AM-03-TR-A-RFP-A1-sealed</x:v>
      </x:c>
      <x:c r="G43" t="str">
        <x:v>challenge authority</x:v>
      </x:c>
      <x:c r="H43" s="10" t="str">
        <x:v>candidate and local operator cannot infer QT-04 or QT-05 state</x:v>
      </x:c>
      <x:c r="I43" t="str"/>
      <x:c r="J43" t="str">
        <x:v>OPEN</x:v>
      </x:c>
    </x:row>
    <x:row r="44" ht="42" customHeight="1">
      <x:c r="B44" t="str">
        <x:v>RAW-BL-38</x:v>
      </x:c>
      <x:c r="C44" t="str">
        <x:v>AM-03</x:v>
      </x:c>
      <x:c r="D44" t="str">
        <x:v>TR-A</x:v>
      </x:c>
      <x:c r="E44" t="str">
        <x:v>RFP-A2</x:v>
      </x:c>
      <x:c r="F44" t="str">
        <x:v>AM-03-TR-A-RFP-A2-sealed</x:v>
      </x:c>
      <x:c r="G44" t="str">
        <x:v>challenge authority</x:v>
      </x:c>
      <x:c r="H44" s="10" t="str">
        <x:v>candidate and local operator cannot infer QT-04 or QT-05 state</x:v>
      </x:c>
      <x:c r="I44" t="str"/>
      <x:c r="J44" t="str">
        <x:v>OPEN</x:v>
      </x:c>
    </x:row>
    <x:row r="45" ht="42" customHeight="1">
      <x:c r="B45" t="str">
        <x:v>RAW-BL-39</x:v>
      </x:c>
      <x:c r="C45" t="str">
        <x:v>AM-03</x:v>
      </x:c>
      <x:c r="D45" t="str">
        <x:v>TR-A</x:v>
      </x:c>
      <x:c r="E45" t="str">
        <x:v>RFP-B1</x:v>
      </x:c>
      <x:c r="F45" t="str">
        <x:v>AM-03-TR-A-RFP-B1-sealed</x:v>
      </x:c>
      <x:c r="G45" t="str">
        <x:v>challenge authority</x:v>
      </x:c>
      <x:c r="H45" s="10" t="str">
        <x:v>candidate and local operator cannot infer QT-04 or QT-05 state</x:v>
      </x:c>
      <x:c r="I45" t="str"/>
      <x:c r="J45" t="str">
        <x:v>OPEN</x:v>
      </x:c>
    </x:row>
    <x:row r="46" ht="42" customHeight="1">
      <x:c r="B46" t="str">
        <x:v>RAW-BL-40</x:v>
      </x:c>
      <x:c r="C46" t="str">
        <x:v>AM-03</x:v>
      </x:c>
      <x:c r="D46" t="str">
        <x:v>TR-A</x:v>
      </x:c>
      <x:c r="E46" t="str">
        <x:v>RFP-B2</x:v>
      </x:c>
      <x:c r="F46" t="str">
        <x:v>AM-03-TR-A-RFP-B2-sealed</x:v>
      </x:c>
      <x:c r="G46" t="str">
        <x:v>challenge authority</x:v>
      </x:c>
      <x:c r="H46" s="10" t="str">
        <x:v>candidate and local operator cannot infer QT-04 or QT-05 state</x:v>
      </x:c>
      <x:c r="I46" t="str"/>
      <x:c r="J46" t="str">
        <x:v>OPEN</x:v>
      </x:c>
    </x:row>
    <x:row r="47" ht="42" customHeight="1">
      <x:c r="B47" t="str">
        <x:v>RAW-BL-41</x:v>
      </x:c>
      <x:c r="C47" t="str">
        <x:v>AM-03</x:v>
      </x:c>
      <x:c r="D47" t="str">
        <x:v>TR-A</x:v>
      </x:c>
      <x:c r="E47" t="str">
        <x:v>RFP-C1</x:v>
      </x:c>
      <x:c r="F47" t="str">
        <x:v>AM-03-TR-A-RFP-C1-sealed</x:v>
      </x:c>
      <x:c r="G47" t="str">
        <x:v>challenge authority</x:v>
      </x:c>
      <x:c r="H47" s="10" t="str">
        <x:v>candidate and local operator cannot infer QT-04 or QT-05 state</x:v>
      </x:c>
      <x:c r="I47" t="str"/>
      <x:c r="J47" t="str">
        <x:v>OPEN</x:v>
      </x:c>
    </x:row>
    <x:row r="48" ht="42" customHeight="1">
      <x:c r="B48" t="str">
        <x:v>RAW-BL-42</x:v>
      </x:c>
      <x:c r="C48" t="str">
        <x:v>AM-03</x:v>
      </x:c>
      <x:c r="D48" t="str">
        <x:v>TR-A</x:v>
      </x:c>
      <x:c r="E48" t="str">
        <x:v>RFP-C2</x:v>
      </x:c>
      <x:c r="F48" t="str">
        <x:v>AM-03-TR-A-RFP-C2-sealed</x:v>
      </x:c>
      <x:c r="G48" t="str">
        <x:v>challenge authority</x:v>
      </x:c>
      <x:c r="H48" s="10" t="str">
        <x:v>candidate and local operator cannot infer QT-04 or QT-05 state</x:v>
      </x:c>
      <x:c r="I48" t="str"/>
      <x:c r="J48" t="str">
        <x:v>OPEN</x:v>
      </x:c>
    </x:row>
    <x:row r="49" ht="42" customHeight="1">
      <x:c r="B49" t="str">
        <x:v>RAW-BL-43</x:v>
      </x:c>
      <x:c r="C49" t="str">
        <x:v>AM-03</x:v>
      </x:c>
      <x:c r="D49" t="str">
        <x:v>TR-B</x:v>
      </x:c>
      <x:c r="E49" t="str">
        <x:v>RFP-A1</x:v>
      </x:c>
      <x:c r="F49" t="str">
        <x:v>AM-03-TR-B-RFP-A1-sealed</x:v>
      </x:c>
      <x:c r="G49" t="str">
        <x:v>challenge authority</x:v>
      </x:c>
      <x:c r="H49" s="10" t="str">
        <x:v>candidate and local operator cannot infer QT-04 or QT-05 state</x:v>
      </x:c>
      <x:c r="I49" t="str"/>
      <x:c r="J49" t="str">
        <x:v>OPEN</x:v>
      </x:c>
    </x:row>
    <x:row r="50" ht="42" customHeight="1">
      <x:c r="B50" t="str">
        <x:v>RAW-BL-44</x:v>
      </x:c>
      <x:c r="C50" t="str">
        <x:v>AM-03</x:v>
      </x:c>
      <x:c r="D50" t="str">
        <x:v>TR-B</x:v>
      </x:c>
      <x:c r="E50" t="str">
        <x:v>RFP-A2</x:v>
      </x:c>
      <x:c r="F50" t="str">
        <x:v>AM-03-TR-B-RFP-A2-sealed</x:v>
      </x:c>
      <x:c r="G50" t="str">
        <x:v>challenge authority</x:v>
      </x:c>
      <x:c r="H50" s="10" t="str">
        <x:v>candidate and local operator cannot infer QT-04 or QT-05 state</x:v>
      </x:c>
      <x:c r="I50" t="str"/>
      <x:c r="J50" t="str">
        <x:v>OPEN</x:v>
      </x:c>
    </x:row>
    <x:row r="51" ht="42" customHeight="1">
      <x:c r="B51" t="str">
        <x:v>RAW-BL-45</x:v>
      </x:c>
      <x:c r="C51" t="str">
        <x:v>AM-03</x:v>
      </x:c>
      <x:c r="D51" t="str">
        <x:v>TR-B</x:v>
      </x:c>
      <x:c r="E51" t="str">
        <x:v>RFP-B1</x:v>
      </x:c>
      <x:c r="F51" t="str">
        <x:v>AM-03-TR-B-RFP-B1-sealed</x:v>
      </x:c>
      <x:c r="G51" t="str">
        <x:v>challenge authority</x:v>
      </x:c>
      <x:c r="H51" s="10" t="str">
        <x:v>candidate and local operator cannot infer QT-04 or QT-05 state</x:v>
      </x:c>
      <x:c r="I51" t="str"/>
      <x:c r="J51" t="str">
        <x:v>OPEN</x:v>
      </x:c>
    </x:row>
    <x:row r="52" ht="42" customHeight="1">
      <x:c r="B52" t="str">
        <x:v>RAW-BL-46</x:v>
      </x:c>
      <x:c r="C52" t="str">
        <x:v>AM-03</x:v>
      </x:c>
      <x:c r="D52" t="str">
        <x:v>TR-B</x:v>
      </x:c>
      <x:c r="E52" t="str">
        <x:v>RFP-B2</x:v>
      </x:c>
      <x:c r="F52" t="str">
        <x:v>AM-03-TR-B-RFP-B2-sealed</x:v>
      </x:c>
      <x:c r="G52" t="str">
        <x:v>challenge authority</x:v>
      </x:c>
      <x:c r="H52" s="10" t="str">
        <x:v>candidate and local operator cannot infer QT-04 or QT-05 state</x:v>
      </x:c>
      <x:c r="I52" t="str"/>
      <x:c r="J52" t="str">
        <x:v>OPEN</x:v>
      </x:c>
    </x:row>
    <x:row r="53" ht="42" customHeight="1">
      <x:c r="B53" t="str">
        <x:v>RAW-BL-47</x:v>
      </x:c>
      <x:c r="C53" t="str">
        <x:v>AM-03</x:v>
      </x:c>
      <x:c r="D53" t="str">
        <x:v>TR-B</x:v>
      </x:c>
      <x:c r="E53" t="str">
        <x:v>RFP-C1</x:v>
      </x:c>
      <x:c r="F53" t="str">
        <x:v>AM-03-TR-B-RFP-C1-sealed</x:v>
      </x:c>
      <x:c r="G53" t="str">
        <x:v>challenge authority</x:v>
      </x:c>
      <x:c r="H53" s="10" t="str">
        <x:v>candidate and local operator cannot infer QT-04 or QT-05 state</x:v>
      </x:c>
      <x:c r="I53" t="str"/>
      <x:c r="J53" t="str">
        <x:v>OPEN</x:v>
      </x:c>
    </x:row>
    <x:row r="54" ht="42" customHeight="1">
      <x:c r="B54" t="str">
        <x:v>RAW-BL-48</x:v>
      </x:c>
      <x:c r="C54" t="str">
        <x:v>AM-03</x:v>
      </x:c>
      <x:c r="D54" t="str">
        <x:v>TR-B</x:v>
      </x:c>
      <x:c r="E54" t="str">
        <x:v>RFP-C2</x:v>
      </x:c>
      <x:c r="F54" t="str">
        <x:v>AM-03-TR-B-RFP-C2-sealed</x:v>
      </x:c>
      <x:c r="G54" t="str">
        <x:v>challenge authority</x:v>
      </x:c>
      <x:c r="H54" s="10" t="str">
        <x:v>candidate and local operator cannot infer QT-04 or QT-05 state</x:v>
      </x:c>
      <x:c r="I54" t="str"/>
      <x:c r="J54" t="str">
        <x:v>OPEN</x:v>
      </x:c>
    </x:row>
    <x:row r="55" ht="42" customHeight="1">
      <x:c r="B55" t="str">
        <x:v>RAW-BL-49</x:v>
      </x:c>
      <x:c r="C55" t="str">
        <x:v>AM-04</x:v>
      </x:c>
      <x:c r="D55" t="str">
        <x:v>TR-A</x:v>
      </x:c>
      <x:c r="E55" t="str">
        <x:v>RFP-A1</x:v>
      </x:c>
      <x:c r="F55" t="str">
        <x:v>AM-04-TR-A-RFP-A1-sealed</x:v>
      </x:c>
      <x:c r="G55" t="str">
        <x:v>challenge authority</x:v>
      </x:c>
      <x:c r="H55" s="10" t="str">
        <x:v>candidate and local operator cannot infer QT-04 or QT-05 state</x:v>
      </x:c>
      <x:c r="I55" t="str"/>
      <x:c r="J55" t="str">
        <x:v>OPEN</x:v>
      </x:c>
    </x:row>
    <x:row r="56" ht="42" customHeight="1">
      <x:c r="B56" t="str">
        <x:v>RAW-BL-50</x:v>
      </x:c>
      <x:c r="C56" t="str">
        <x:v>AM-04</x:v>
      </x:c>
      <x:c r="D56" t="str">
        <x:v>TR-A</x:v>
      </x:c>
      <x:c r="E56" t="str">
        <x:v>RFP-A2</x:v>
      </x:c>
      <x:c r="F56" t="str">
        <x:v>AM-04-TR-A-RFP-A2-sealed</x:v>
      </x:c>
      <x:c r="G56" t="str">
        <x:v>challenge authority</x:v>
      </x:c>
      <x:c r="H56" s="10" t="str">
        <x:v>candidate and local operator cannot infer QT-04 or QT-05 state</x:v>
      </x:c>
      <x:c r="I56" t="str"/>
      <x:c r="J56" t="str">
        <x:v>OPEN</x:v>
      </x:c>
    </x:row>
    <x:row r="57" ht="42" customHeight="1">
      <x:c r="B57" t="str">
        <x:v>RAW-BL-51</x:v>
      </x:c>
      <x:c r="C57" t="str">
        <x:v>AM-04</x:v>
      </x:c>
      <x:c r="D57" t="str">
        <x:v>TR-A</x:v>
      </x:c>
      <x:c r="E57" t="str">
        <x:v>RFP-B1</x:v>
      </x:c>
      <x:c r="F57" t="str">
        <x:v>AM-04-TR-A-RFP-B1-sealed</x:v>
      </x:c>
      <x:c r="G57" t="str">
        <x:v>challenge authority</x:v>
      </x:c>
      <x:c r="H57" s="10" t="str">
        <x:v>candidate and local operator cannot infer QT-04 or QT-05 state</x:v>
      </x:c>
      <x:c r="I57" t="str"/>
      <x:c r="J57" t="str">
        <x:v>OPEN</x:v>
      </x:c>
    </x:row>
    <x:row r="58" ht="42" customHeight="1">
      <x:c r="B58" t="str">
        <x:v>RAW-BL-52</x:v>
      </x:c>
      <x:c r="C58" t="str">
        <x:v>AM-04</x:v>
      </x:c>
      <x:c r="D58" t="str">
        <x:v>TR-A</x:v>
      </x:c>
      <x:c r="E58" t="str">
        <x:v>RFP-B2</x:v>
      </x:c>
      <x:c r="F58" t="str">
        <x:v>AM-04-TR-A-RFP-B2-sealed</x:v>
      </x:c>
      <x:c r="G58" t="str">
        <x:v>challenge authority</x:v>
      </x:c>
      <x:c r="H58" s="10" t="str">
        <x:v>candidate and local operator cannot infer QT-04 or QT-05 state</x:v>
      </x:c>
      <x:c r="I58" t="str"/>
      <x:c r="J58" t="str">
        <x:v>OPEN</x:v>
      </x:c>
    </x:row>
    <x:row r="59" ht="42" customHeight="1">
      <x:c r="B59" t="str">
        <x:v>RAW-BL-53</x:v>
      </x:c>
      <x:c r="C59" t="str">
        <x:v>AM-04</x:v>
      </x:c>
      <x:c r="D59" t="str">
        <x:v>TR-A</x:v>
      </x:c>
      <x:c r="E59" t="str">
        <x:v>RFP-C1</x:v>
      </x:c>
      <x:c r="F59" t="str">
        <x:v>AM-04-TR-A-RFP-C1-sealed</x:v>
      </x:c>
      <x:c r="G59" t="str">
        <x:v>challenge authority</x:v>
      </x:c>
      <x:c r="H59" s="10" t="str">
        <x:v>candidate and local operator cannot infer QT-04 or QT-05 state</x:v>
      </x:c>
      <x:c r="I59" t="str"/>
      <x:c r="J59" t="str">
        <x:v>OPEN</x:v>
      </x:c>
    </x:row>
    <x:row r="60" ht="42" customHeight="1">
      <x:c r="B60" t="str">
        <x:v>RAW-BL-54</x:v>
      </x:c>
      <x:c r="C60" t="str">
        <x:v>AM-04</x:v>
      </x:c>
      <x:c r="D60" t="str">
        <x:v>TR-A</x:v>
      </x:c>
      <x:c r="E60" t="str">
        <x:v>RFP-C2</x:v>
      </x:c>
      <x:c r="F60" t="str">
        <x:v>AM-04-TR-A-RFP-C2-sealed</x:v>
      </x:c>
      <x:c r="G60" t="str">
        <x:v>challenge authority</x:v>
      </x:c>
      <x:c r="H60" s="10" t="str">
        <x:v>candidate and local operator cannot infer QT-04 or QT-05 state</x:v>
      </x:c>
      <x:c r="I60" t="str"/>
      <x:c r="J60" t="str">
        <x:v>OPEN</x:v>
      </x:c>
    </x:row>
    <x:row r="61" ht="42" customHeight="1">
      <x:c r="B61" t="str">
        <x:v>RAW-BL-55</x:v>
      </x:c>
      <x:c r="C61" t="str">
        <x:v>AM-04</x:v>
      </x:c>
      <x:c r="D61" t="str">
        <x:v>TR-B</x:v>
      </x:c>
      <x:c r="E61" t="str">
        <x:v>RFP-A1</x:v>
      </x:c>
      <x:c r="F61" t="str">
        <x:v>AM-04-TR-B-RFP-A1-sealed</x:v>
      </x:c>
      <x:c r="G61" t="str">
        <x:v>challenge authority</x:v>
      </x:c>
      <x:c r="H61" s="10" t="str">
        <x:v>candidate and local operator cannot infer QT-04 or QT-05 state</x:v>
      </x:c>
      <x:c r="I61" t="str"/>
      <x:c r="J61" t="str">
        <x:v>OPEN</x:v>
      </x:c>
    </x:row>
    <x:row r="62" ht="42" customHeight="1">
      <x:c r="B62" t="str">
        <x:v>RAW-BL-56</x:v>
      </x:c>
      <x:c r="C62" t="str">
        <x:v>AM-04</x:v>
      </x:c>
      <x:c r="D62" t="str">
        <x:v>TR-B</x:v>
      </x:c>
      <x:c r="E62" t="str">
        <x:v>RFP-A2</x:v>
      </x:c>
      <x:c r="F62" t="str">
        <x:v>AM-04-TR-B-RFP-A2-sealed</x:v>
      </x:c>
      <x:c r="G62" t="str">
        <x:v>challenge authority</x:v>
      </x:c>
      <x:c r="H62" s="10" t="str">
        <x:v>candidate and local operator cannot infer QT-04 or QT-05 state</x:v>
      </x:c>
      <x:c r="I62" t="str"/>
      <x:c r="J62" t="str">
        <x:v>OPEN</x:v>
      </x:c>
    </x:row>
    <x:row r="63" ht="42" customHeight="1">
      <x:c r="B63" t="str">
        <x:v>RAW-BL-57</x:v>
      </x:c>
      <x:c r="C63" t="str">
        <x:v>AM-04</x:v>
      </x:c>
      <x:c r="D63" t="str">
        <x:v>TR-B</x:v>
      </x:c>
      <x:c r="E63" t="str">
        <x:v>RFP-B1</x:v>
      </x:c>
      <x:c r="F63" t="str">
        <x:v>AM-04-TR-B-RFP-B1-sealed</x:v>
      </x:c>
      <x:c r="G63" t="str">
        <x:v>challenge authority</x:v>
      </x:c>
      <x:c r="H63" s="10" t="str">
        <x:v>candidate and local operator cannot infer QT-04 or QT-05 state</x:v>
      </x:c>
      <x:c r="I63" t="str"/>
      <x:c r="J63" t="str">
        <x:v>OPEN</x:v>
      </x:c>
    </x:row>
    <x:row r="64" ht="42" customHeight="1">
      <x:c r="B64" t="str">
        <x:v>RAW-BL-58</x:v>
      </x:c>
      <x:c r="C64" t="str">
        <x:v>AM-04</x:v>
      </x:c>
      <x:c r="D64" t="str">
        <x:v>TR-B</x:v>
      </x:c>
      <x:c r="E64" t="str">
        <x:v>RFP-B2</x:v>
      </x:c>
      <x:c r="F64" t="str">
        <x:v>AM-04-TR-B-RFP-B2-sealed</x:v>
      </x:c>
      <x:c r="G64" t="str">
        <x:v>challenge authority</x:v>
      </x:c>
      <x:c r="H64" s="10" t="str">
        <x:v>candidate and local operator cannot infer QT-04 or QT-05 state</x:v>
      </x:c>
      <x:c r="I64" t="str"/>
      <x:c r="J64" t="str">
        <x:v>OPEN</x:v>
      </x:c>
    </x:row>
    <x:row r="65" ht="42" customHeight="1">
      <x:c r="B65" t="str">
        <x:v>RAW-BL-59</x:v>
      </x:c>
      <x:c r="C65" t="str">
        <x:v>AM-04</x:v>
      </x:c>
      <x:c r="D65" t="str">
        <x:v>TR-B</x:v>
      </x:c>
      <x:c r="E65" t="str">
        <x:v>RFP-C1</x:v>
      </x:c>
      <x:c r="F65" t="str">
        <x:v>AM-04-TR-B-RFP-C1-sealed</x:v>
      </x:c>
      <x:c r="G65" t="str">
        <x:v>challenge authority</x:v>
      </x:c>
      <x:c r="H65" s="10" t="str">
        <x:v>candidate and local operator cannot infer QT-04 or QT-05 state</x:v>
      </x:c>
      <x:c r="I65" t="str"/>
      <x:c r="J65" t="str">
        <x:v>OPEN</x:v>
      </x:c>
    </x:row>
    <x:row r="66" ht="42" customHeight="1">
      <x:c r="B66" t="str">
        <x:v>RAW-BL-60</x:v>
      </x:c>
      <x:c r="C66" t="str">
        <x:v>AM-04</x:v>
      </x:c>
      <x:c r="D66" t="str">
        <x:v>TR-B</x:v>
      </x:c>
      <x:c r="E66" t="str">
        <x:v>RFP-C2</x:v>
      </x:c>
      <x:c r="F66" t="str">
        <x:v>AM-04-TR-B-RFP-C2-sealed</x:v>
      </x:c>
      <x:c r="G66" t="str">
        <x:v>challenge authority</x:v>
      </x:c>
      <x:c r="H66" s="10" t="str">
        <x:v>candidate and local operator cannot infer QT-04 or QT-05 state</x:v>
      </x:c>
      <x:c r="I66" t="str"/>
      <x:c r="J66" t="str">
        <x:v>OPEN</x:v>
      </x:c>
    </x:row>
  </x:sheetData>
  <x:conditionalFormatting sqref="J7:J66">
    <x:cfRule type="containsText" dxfId="48" priority="1" operator="containsText" text="FAIL"/>
    <x:cfRule type="containsText" dxfId="49" priority="2" operator="containsText" text="INVALID"/>
    <x:cfRule type="containsText" dxfId="50" priority="3" operator="containsText" text="BLOCKED"/>
    <x:cfRule type="containsText" dxfId="51" priority="4" operator="containsText" text="OPEN"/>
    <x:cfRule type="containsText" dxfId="52" priority="5" operator="containsText" text="GAP"/>
    <x:cfRule type="containsText" dxfId="53" priority="6" operator="containsText" text="DORMANT"/>
    <x:cfRule type="containsText" dxfId="54" priority="7" operator="containsText" text="PASS"/>
    <x:cfRule type="containsText" dxfId="55" priority="8" operator="containsText" text="VALI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29" hidden="0" customWidth="1"/>
    <x:col min="5" max="5" width="65" hidden="0" customWidth="1"/>
    <x:col min="6" max="6" width="55" hidden="0" customWidth="1"/>
    <x:col min="7" max="7" width="21" hidden="0" customWidth="1"/>
    <x:col min="8" max="8" width="14" hidden="0" customWidth="1"/>
  </x:cols>
  <x:sheetData>
    <x:row r="2">
      <x:c r="B2" s="1" t="str">
        <x:v>Twenty blinded physical-fault families</x:v>
      </x:c>
    </x:row>
    <x:row r="3">
      <x:c r="B3" s="2" t="str">
        <x:v>Every seeded fault has a clean counterpart and a registered detection claim.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Fault</x:v>
      </x:c>
      <x:c r="C6" s="7" t="str">
        <x:v>Method</x:v>
      </x:c>
      <x:c r="D6" s="7" t="str">
        <x:v>Family</x:v>
      </x:c>
      <x:c r="E6" s="7" t="str">
        <x:v>Physical insertion</x:v>
      </x:c>
      <x:c r="F6" s="7" t="str">
        <x:v>Required response</x:v>
      </x:c>
      <x:c r="G6" s="7" t="str">
        <x:v>Accepted UTC</x:v>
      </x:c>
      <x:c r="H6" s="7" t="str">
        <x:v>State</x:v>
      </x:c>
    </x:row>
    <x:row r="7" ht="43" customHeight="1">
      <x:c r="B7" t="str">
        <x:v>RAW-FI-01</x:v>
      </x:c>
      <x:c r="C7" t="str">
        <x:v>AM-00</x:v>
      </x:c>
      <x:c r="D7" t="str">
        <x:v>datum shift</x:v>
      </x:c>
      <x:c r="E7" s="10" t="str">
        <x:v>sealed 10 mm local displacement</x:v>
      </x:c>
      <x:c r="F7" s="10" t="str">
        <x:v>detect, localize and preserve native evidence</x:v>
      </x:c>
      <x:c r="G7" t="str"/>
      <x:c r="H7" t="str">
        <x:v>OPEN</x:v>
      </x:c>
    </x:row>
    <x:row r="8" ht="43" customHeight="1">
      <x:c r="B8" t="str">
        <x:v>RAW-FI-02</x:v>
      </x:c>
      <x:c r="C8" t="str">
        <x:v>AM-00</x:v>
      </x:c>
      <x:c r="D8" t="str">
        <x:v>beacon identity</x:v>
      </x:c>
      <x:c r="E8" s="10" t="str">
        <x:v>one false coordinate identity</x:v>
      </x:c>
      <x:c r="F8" s="10" t="str">
        <x:v>detect, localize and preserve native evidence</x:v>
      </x:c>
      <x:c r="G8" t="str"/>
      <x:c r="H8" t="str">
        <x:v>OPEN</x:v>
      </x:c>
    </x:row>
    <x:row r="9" ht="43" customHeight="1">
      <x:c r="B9" t="str">
        <x:v>RAW-FI-03</x:v>
      </x:c>
      <x:c r="C9" t="str">
        <x:v>AM-00</x:v>
      </x:c>
      <x:c r="D9" t="str">
        <x:v>grade reversal</x:v>
      </x:c>
      <x:c r="E9" s="10" t="str">
        <x:v>unannounced sign reversal</x:v>
      </x:c>
      <x:c r="F9" s="10" t="str">
        <x:v>detect, localize and preserve native evidence</x:v>
      </x:c>
      <x:c r="G9" t="str"/>
      <x:c r="H9" t="str">
        <x:v>OPEN</x:v>
      </x:c>
    </x:row>
    <x:row r="10" ht="43" customHeight="1">
      <x:c r="B10" t="str">
        <x:v>RAW-FI-04</x:v>
      </x:c>
      <x:c r="C10" t="str">
        <x:v>AM-00</x:v>
      </x:c>
      <x:c r="D10" t="str">
        <x:v>safe-path discontinuity</x:v>
      </x:c>
      <x:c r="E10" s="10" t="str">
        <x:v>one declared stop path unavailable</x:v>
      </x:c>
      <x:c r="F10" s="10" t="str">
        <x:v>detect, localize and preserve native evidence</x:v>
      </x:c>
      <x:c r="G10" t="str"/>
      <x:c r="H10" t="str">
        <x:v>OPEN</x:v>
      </x:c>
    </x:row>
    <x:row r="11" ht="43" customHeight="1">
      <x:c r="B11" t="str">
        <x:v>RAW-FI-05</x:v>
      </x:c>
      <x:c r="C11" t="str">
        <x:v>AM-01</x:v>
      </x:c>
      <x:c r="D11" t="str">
        <x:v>return bypass</x:v>
      </x:c>
      <x:c r="E11" s="10" t="str">
        <x:v>metered water bypasses candidate return</x:v>
      </x:c>
      <x:c r="F11" s="10" t="str">
        <x:v>detect, localize and preserve native evidence</x:v>
      </x:c>
      <x:c r="G11" t="str"/>
      <x:c r="H11" t="str">
        <x:v>OPEN</x:v>
      </x:c>
    </x:row>
    <x:row r="12" ht="43" customHeight="1">
      <x:c r="B12" t="str">
        <x:v>RAW-FI-06</x:v>
      </x:c>
      <x:c r="C12" t="str">
        <x:v>AM-01</x:v>
      </x:c>
      <x:c r="D12" t="str">
        <x:v>hidden retention</x:v>
      </x:c>
      <x:c r="E12" s="10" t="str">
        <x:v>known blind cavity retains water</x:v>
      </x:c>
      <x:c r="F12" s="10" t="str">
        <x:v>detect, localize and preserve native evidence</x:v>
      </x:c>
      <x:c r="G12" t="str"/>
      <x:c r="H12" t="str">
        <x:v>OPEN</x:v>
      </x:c>
    </x:row>
    <x:row r="13" ht="43" customHeight="1">
      <x:c r="B13" t="str">
        <x:v>RAW-FI-07</x:v>
      </x:c>
      <x:c r="C13" t="str">
        <x:v>AM-01</x:v>
      </x:c>
      <x:c r="D13" t="str">
        <x:v>valve identity</x:v>
      </x:c>
      <x:c r="E13" s="10" t="str">
        <x:v>one valve state disagrees with command</x:v>
      </x:c>
      <x:c r="F13" s="10" t="str">
        <x:v>detect, localize and preserve native evidence</x:v>
      </x:c>
      <x:c r="G13" t="str"/>
      <x:c r="H13" t="str">
        <x:v>OPEN</x:v>
      </x:c>
    </x:row>
    <x:row r="14" ht="43" customHeight="1">
      <x:c r="B14" t="str">
        <x:v>RAW-FI-08</x:v>
      </x:c>
      <x:c r="C14" t="str">
        <x:v>AM-01</x:v>
      </x:c>
      <x:c r="D14" t="str">
        <x:v>casualty admission</x:v>
      </x:c>
      <x:c r="E14" s="10" t="str">
        <x:v>known volume enters public custody</x:v>
      </x:c>
      <x:c r="F14" s="10" t="str">
        <x:v>detect, localize and preserve native evidence</x:v>
      </x:c>
      <x:c r="G14" t="str"/>
      <x:c r="H14" t="str">
        <x:v>OPEN</x:v>
      </x:c>
    </x:row>
    <x:row r="15" ht="43" customHeight="1">
      <x:c r="B15" t="str">
        <x:v>RAW-FI-09</x:v>
      </x:c>
      <x:c r="C15" t="str">
        <x:v>AM-02</x:v>
      </x:c>
      <x:c r="D15" t="str">
        <x:v>density substitution</x:v>
      </x:c>
      <x:c r="E15" s="10" t="str">
        <x:v>sealed density differs from label</x:v>
      </x:c>
      <x:c r="F15" s="10" t="str">
        <x:v>detect, localize and preserve native evidence</x:v>
      </x:c>
      <x:c r="G15" t="str"/>
      <x:c r="H15" t="str">
        <x:v>OPEN</x:v>
      </x:c>
    </x:row>
    <x:row r="16" ht="43" customHeight="1">
      <x:c r="B16" t="str">
        <x:v>RAW-FI-10</x:v>
      </x:c>
      <x:c r="C16" t="str">
        <x:v>AM-02</x:v>
      </x:c>
      <x:c r="D16" t="str">
        <x:v>viscosity substitution</x:v>
      </x:c>
      <x:c r="E16" s="10" t="str">
        <x:v>sealed viscosity differs from label</x:v>
      </x:c>
      <x:c r="F16" s="10" t="str">
        <x:v>detect, localize and preserve native evidence</x:v>
      </x:c>
      <x:c r="G16" t="str"/>
      <x:c r="H16" t="str">
        <x:v>OPEN</x:v>
      </x:c>
    </x:row>
    <x:row r="17" ht="43" customHeight="1">
      <x:c r="B17" t="str">
        <x:v>RAW-FI-11</x:v>
      </x:c>
      <x:c r="C17" t="str">
        <x:v>AM-02</x:v>
      </x:c>
      <x:c r="D17" t="str">
        <x:v>wetting shift</x:v>
      </x:c>
      <x:c r="E17" s="10" t="str">
        <x:v>surface condition changes contact angle</x:v>
      </x:c>
      <x:c r="F17" s="10" t="str">
        <x:v>detect, localize and preserve native evidence</x:v>
      </x:c>
      <x:c r="G17" t="str"/>
      <x:c r="H17" t="str">
        <x:v>OPEN</x:v>
      </x:c>
    </x:row>
    <x:row r="18" ht="43" customHeight="1">
      <x:c r="B18" t="str">
        <x:v>RAW-FI-12</x:v>
      </x:c>
      <x:c r="C18" t="str">
        <x:v>AM-02</x:v>
      </x:c>
      <x:c r="D18" t="str">
        <x:v>batch stratification</x:v>
      </x:c>
      <x:c r="E18" s="10" t="str">
        <x:v>vertical property gradient inserted</x:v>
      </x:c>
      <x:c r="F18" s="10" t="str">
        <x:v>detect, localize and preserve native evidence</x:v>
      </x:c>
      <x:c r="G18" t="str"/>
      <x:c r="H18" t="str">
        <x:v>OPEN</x:v>
      </x:c>
    </x:row>
    <x:row r="19" ht="43" customHeight="1">
      <x:c r="B19" t="str">
        <x:v>RAW-FI-13</x:v>
      </x:c>
      <x:c r="C19" t="str">
        <x:v>AM-03</x:v>
      </x:c>
      <x:c r="D19" t="str">
        <x:v>missing fragment</x:v>
      </x:c>
      <x:c r="E19" s="10" t="str">
        <x:v>one serialized object absent</x:v>
      </x:c>
      <x:c r="F19" s="10" t="str">
        <x:v>detect, localize and preserve native evidence</x:v>
      </x:c>
      <x:c r="G19" t="str"/>
      <x:c r="H19" t="str">
        <x:v>OPEN</x:v>
      </x:c>
    </x:row>
    <x:row r="20" ht="43" customHeight="1">
      <x:c r="B20" t="str">
        <x:v>RAW-FI-14</x:v>
      </x:c>
      <x:c r="C20" t="str">
        <x:v>AM-03</x:v>
      </x:c>
      <x:c r="D20" t="str">
        <x:v>centroid shift</x:v>
      </x:c>
      <x:c r="E20" s="10" t="str">
        <x:v>debris field translated from map</x:v>
      </x:c>
      <x:c r="F20" s="10" t="str">
        <x:v>detect, localize and preserve native evidence</x:v>
      </x:c>
      <x:c r="G20" t="str"/>
      <x:c r="H20" t="str">
        <x:v>OPEN</x:v>
      </x:c>
    </x:row>
    <x:row r="21" ht="43" customHeight="1">
      <x:c r="B21" t="str">
        <x:v>RAW-FI-15</x:v>
      </x:c>
      <x:c r="C21" t="str">
        <x:v>AM-03</x:v>
      </x:c>
      <x:c r="D21" t="str">
        <x:v>permeability insert</x:v>
      </x:c>
      <x:c r="E21" s="10" t="str">
        <x:v>hidden porous bypass added</x:v>
      </x:c>
      <x:c r="F21" s="10" t="str">
        <x:v>detect, localize and preserve native evidence</x:v>
      </x:c>
      <x:c r="G21" t="str"/>
      <x:c r="H21" t="str">
        <x:v>OPEN</x:v>
      </x:c>
    </x:row>
    <x:row r="22" ht="43" customHeight="1">
      <x:c r="B22" t="str">
        <x:v>RAW-FI-16</x:v>
      </x:c>
      <x:c r="C22" t="str">
        <x:v>AM-03</x:v>
      </x:c>
      <x:c r="D22" t="str">
        <x:v>recovery substitution</x:v>
      </x:c>
      <x:c r="E22" s="10" t="str">
        <x:v>one recovered object identity changed</x:v>
      </x:c>
      <x:c r="F22" s="10" t="str">
        <x:v>detect, localize and preserve native evidence</x:v>
      </x:c>
      <x:c r="G22" t="str"/>
      <x:c r="H22" t="str">
        <x:v>OPEN</x:v>
      </x:c>
    </x:row>
    <x:row r="23" ht="43" customHeight="1">
      <x:c r="B23" t="str">
        <x:v>RAW-FI-17</x:v>
      </x:c>
      <x:c r="C23" t="str">
        <x:v>AM-04</x:v>
      </x:c>
      <x:c r="D23" t="str">
        <x:v>reader cross-talk</x:v>
      </x:c>
      <x:c r="E23" s="10" t="str">
        <x:v>one channel receives known false response</x:v>
      </x:c>
      <x:c r="F23" s="10" t="str">
        <x:v>detect, localize and preserve native evidence</x:v>
      </x:c>
      <x:c r="G23" t="str"/>
      <x:c r="H23" t="str">
        <x:v>OPEN</x:v>
      </x:c>
    </x:row>
    <x:row r="24" ht="43" customHeight="1">
      <x:c r="B24" t="str">
        <x:v>RAW-FI-18</x:v>
      </x:c>
      <x:c r="C24" t="str">
        <x:v>AM-04</x:v>
      </x:c>
      <x:c r="D24" t="str">
        <x:v>fractionation</x:v>
      </x:c>
      <x:c r="E24" s="10" t="str">
        <x:v>one code partitions into retained phase</x:v>
      </x:c>
      <x:c r="F24" s="10" t="str">
        <x:v>detect, localize and preserve native evidence</x:v>
      </x:c>
      <x:c r="G24" t="str"/>
      <x:c r="H24" t="str">
        <x:v>OPEN</x:v>
      </x:c>
    </x:row>
    <x:row r="25" ht="43" customHeight="1">
      <x:c r="B25" t="str">
        <x:v>RAW-FI-19</x:v>
      </x:c>
      <x:c r="C25" t="str">
        <x:v>AM-04</x:v>
      </x:c>
      <x:c r="D25" t="str">
        <x:v>background contamination</x:v>
      </x:c>
      <x:c r="E25" s="10" t="str">
        <x:v>known background added before trial</x:v>
      </x:c>
      <x:c r="F25" s="10" t="str">
        <x:v>detect, localize and preserve native evidence</x:v>
      </x:c>
      <x:c r="G25" t="str"/>
      <x:c r="H25" t="str">
        <x:v>OPEN</x:v>
      </x:c>
    </x:row>
    <x:row r="26" ht="43" customHeight="1">
      <x:c r="B26" t="str">
        <x:v>RAW-FI-20</x:v>
      </x:c>
      <x:c r="C26" t="str">
        <x:v>AM-04</x:v>
      </x:c>
      <x:c r="D26" t="str">
        <x:v>identity swap</x:v>
      </x:c>
      <x:c r="E26" s="10" t="str">
        <x:v>source and water code labels exchanged</x:v>
      </x:c>
      <x:c r="F26" s="10" t="str">
        <x:v>detect, localize and preserve native evidence</x:v>
      </x:c>
      <x:c r="G26" t="str"/>
      <x:c r="H26" t="str">
        <x:v>OPEN</x:v>
      </x:c>
    </x:row>
  </x:sheetData>
  <x:conditionalFormatting sqref="H7:H26">
    <x:cfRule type="containsText" dxfId="56" priority="1" operator="containsText" text="FAIL"/>
    <x:cfRule type="containsText" dxfId="57" priority="2" operator="containsText" text="INVALI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GAP"/>
    <x:cfRule type="containsText" dxfId="61" priority="6" operator="containsText" text="DORMANT"/>
    <x:cfRule type="containsText" dxfId="62" priority="7" operator="containsText" text="PASS"/>
    <x:cfRule type="containsText" dxfId="63" priority="8" operator="containsText" text="VALI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38" hidden="0" customWidth="1"/>
    <x:col min="5" max="5" width="66" hidden="0" customWidth="1"/>
    <x:col min="6" max="6" width="55" hidden="0" customWidth="1"/>
    <x:col min="7" max="7" width="21" hidden="0" customWidth="1"/>
    <x:col min="8" max="8" width="14" hidden="0" customWidth="1"/>
  </x:cols>
  <x:sheetData>
    <x:row r="2">
      <x:c r="B2" s="1" t="str">
        <x:v>Ten decisive-chain denial families</x:v>
      </x:c>
    </x:row>
    <x:row r="3">
      <x:c r="B3" s="2" t="str">
        <x:v>Denial qualifies independence only when a physically unlike survivor carries the proposition.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Denial</x:v>
      </x:c>
      <x:c r="C6" s="7" t="str">
        <x:v>Method</x:v>
      </x:c>
      <x:c r="D6" s="7" t="str">
        <x:v>Denied chain</x:v>
      </x:c>
      <x:c r="E6" s="7" t="str">
        <x:v>Required survivor</x:v>
      </x:c>
      <x:c r="F6" s="7" t="str">
        <x:v>Acceptance rule</x:v>
      </x:c>
      <x:c r="G6" s="7" t="str">
        <x:v>Accepted UTC</x:v>
      </x:c>
      <x:c r="H6" s="7" t="str">
        <x:v>State</x:v>
      </x:c>
    </x:row>
    <x:row r="7" ht="43" customHeight="1">
      <x:c r="B7" t="str">
        <x:v>RAW-DN-01</x:v>
      </x:c>
      <x:c r="C7" t="str">
        <x:v>AM-00</x:v>
      </x:c>
      <x:c r="D7" s="10" t="str">
        <x:v>primary coordinate chain</x:v>
      </x:c>
      <x:c r="E7" s="10" t="str">
        <x:v>optical truth root survives</x:v>
      </x:c>
      <x:c r="F7" s="10" t="str">
        <x:v>event remains decidable without denied chain</x:v>
      </x:c>
      <x:c r="G7" t="str"/>
      <x:c r="H7" t="str">
        <x:v>OPEN</x:v>
      </x:c>
    </x:row>
    <x:row r="8" ht="43" customHeight="1">
      <x:c r="B8" t="str">
        <x:v>RAW-DN-02</x:v>
      </x:c>
      <x:c r="C8" t="str">
        <x:v>AM-00</x:v>
      </x:c>
      <x:c r="D8" s="10" t="str">
        <x:v>rig navigation solution</x:v>
      </x:c>
      <x:c r="E8" s="10" t="str">
        <x:v>local beacons and native survey survive</x:v>
      </x:c>
      <x:c r="F8" s="10" t="str">
        <x:v>event remains decidable without denied chain</x:v>
      </x:c>
      <x:c r="G8" t="str"/>
      <x:c r="H8" t="str">
        <x:v>OPEN</x:v>
      </x:c>
    </x:row>
    <x:row r="9" ht="43" customHeight="1">
      <x:c r="B9" t="str">
        <x:v>RAW-DN-03</x:v>
      </x:c>
      <x:c r="C9" t="str">
        <x:v>AM-01</x:v>
      </x:c>
      <x:c r="D9" s="10" t="str">
        <x:v>primary supply flow chain</x:v>
      </x:c>
      <x:c r="E9" s="10" t="str">
        <x:v>gravimetric or volumetric unlike root survives</x:v>
      </x:c>
      <x:c r="F9" s="10" t="str">
        <x:v>event remains decidable without denied chain</x:v>
      </x:c>
      <x:c r="G9" t="str"/>
      <x:c r="H9" t="str">
        <x:v>OPEN</x:v>
      </x:c>
    </x:row>
    <x:row r="10" ht="43" customHeight="1">
      <x:c r="B10" t="str">
        <x:v>RAW-DN-04</x:v>
      </x:c>
      <x:c r="C10" t="str">
        <x:v>AM-01</x:v>
      </x:c>
      <x:c r="D10" s="10" t="str">
        <x:v>campus network</x:v>
      </x:c>
      <x:c r="E10" s="10" t="str">
        <x:v>local originals and local clock survive</x:v>
      </x:c>
      <x:c r="F10" s="10" t="str">
        <x:v>event remains decidable without denied chain</x:v>
      </x:c>
      <x:c r="G10" t="str"/>
      <x:c r="H10" t="str">
        <x:v>OPEN</x:v>
      </x:c>
    </x:row>
    <x:row r="11" ht="43" customHeight="1">
      <x:c r="B11" t="str">
        <x:v>RAW-DN-05</x:v>
      </x:c>
      <x:c r="C11" t="str">
        <x:v>AM-02</x:v>
      </x:c>
      <x:c r="D11" s="10" t="str">
        <x:v>laboratory property label</x:v>
      </x:c>
      <x:c r="E11" s="10" t="str">
        <x:v>inline property root detects substitution</x:v>
      </x:c>
      <x:c r="F11" s="10" t="str">
        <x:v>event remains decidable without denied chain</x:v>
      </x:c>
      <x:c r="G11" t="str"/>
      <x:c r="H11" t="str">
        <x:v>OPEN</x:v>
      </x:c>
    </x:row>
    <x:row r="12" ht="43" customHeight="1">
      <x:c r="B12" t="str">
        <x:v>RAW-DN-06</x:v>
      </x:c>
      <x:c r="C12" t="str">
        <x:v>AM-02</x:v>
      </x:c>
      <x:c r="D12" s="10" t="str">
        <x:v>inline density chain</x:v>
      </x:c>
      <x:c r="E12" s="10" t="str">
        <x:v>batch-mass and sample root survives</x:v>
      </x:c>
      <x:c r="F12" s="10" t="str">
        <x:v>event remains decidable without denied chain</x:v>
      </x:c>
      <x:c r="G12" t="str"/>
      <x:c r="H12" t="str">
        <x:v>OPEN</x:v>
      </x:c>
    </x:row>
    <x:row r="13" ht="43" customHeight="1">
      <x:c r="B13" t="str">
        <x:v>RAW-DN-07</x:v>
      </x:c>
      <x:c r="C13" t="str">
        <x:v>AM-03</x:v>
      </x:c>
      <x:c r="D13" s="10" t="str">
        <x:v>debris layout file</x:v>
      </x:c>
      <x:c r="E13" s="10" t="str">
        <x:v>independent spatial scan reconstructs field</x:v>
      </x:c>
      <x:c r="F13" s="10" t="str">
        <x:v>event remains decidable without denied chain</x:v>
      </x:c>
      <x:c r="G13" t="str"/>
      <x:c r="H13" t="str">
        <x:v>OPEN</x:v>
      </x:c>
    </x:row>
    <x:row r="14" ht="43" customHeight="1">
      <x:c r="B14" t="str">
        <x:v>RAW-DN-08</x:v>
      </x:c>
      <x:c r="C14" t="str">
        <x:v>AM-03</x:v>
      </x:c>
      <x:c r="D14" s="10" t="str">
        <x:v>robot pose channel</x:v>
      </x:c>
      <x:c r="E14" s="10" t="str">
        <x:v>public witness beacons preserve path</x:v>
      </x:c>
      <x:c r="F14" s="10" t="str">
        <x:v>event remains decidable without denied chain</x:v>
      </x:c>
      <x:c r="G14" t="str"/>
      <x:c r="H14" t="str">
        <x:v>OPEN</x:v>
      </x:c>
    </x:row>
    <x:row r="15" ht="43" customHeight="1">
      <x:c r="B15" t="str">
        <x:v>RAW-DN-09</x:v>
      </x:c>
      <x:c r="C15" t="str">
        <x:v>AM-04</x:v>
      </x:c>
      <x:c r="D15" s="10" t="str">
        <x:v>primary spectroscopic reader</x:v>
      </x:c>
      <x:c r="E15" s="10" t="str">
        <x:v>electrochemical truth root survives</x:v>
      </x:c>
      <x:c r="F15" s="10" t="str">
        <x:v>event remains decidable without denied chain</x:v>
      </x:c>
      <x:c r="G15" t="str"/>
      <x:c r="H15" t="str">
        <x:v>OPEN</x:v>
      </x:c>
    </x:row>
    <x:row r="16" ht="43" customHeight="1">
      <x:c r="B16" t="str">
        <x:v>RAW-DN-10</x:v>
      </x:c>
      <x:c r="C16" t="str">
        <x:v>AM-04</x:v>
      </x:c>
      <x:c r="D16" s="10" t="str">
        <x:v>public primary time</x:v>
      </x:c>
      <x:c r="E16" s="10" t="str">
        <x:v>distributed local clocks preserve order</x:v>
      </x:c>
      <x:c r="F16" s="10" t="str">
        <x:v>event remains decidable without denied chain</x:v>
      </x:c>
      <x:c r="G16" t="str"/>
      <x:c r="H16" t="str">
        <x:v>OPEN</x:v>
      </x:c>
    </x:row>
  </x:sheetData>
  <x:conditionalFormatting sqref="H7:H16">
    <x:cfRule type="containsText" dxfId="64" priority="1" operator="containsText" text="FAIL"/>
    <x:cfRule type="containsText" dxfId="65" priority="2" operator="containsText" text="INVALID"/>
    <x:cfRule type="containsText" dxfId="66" priority="3" operator="containsText" text="BLOCKED"/>
    <x:cfRule type="containsText" dxfId="67" priority="4" operator="containsText" text="OPEN"/>
    <x:cfRule type="containsText" dxfId="68" priority="5" operator="containsText" text="GAP"/>
    <x:cfRule type="containsText" dxfId="69" priority="6" operator="containsText" text="DORMANT"/>
    <x:cfRule type="containsText" dxfId="70" priority="7" operator="containsText" text="PASS"/>
    <x:cfRule type="containsText" dxfId="71" priority="8" operator="containsText" text="VALI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3" hidden="0" customWidth="1"/>
    <x:col min="4" max="4" width="13" hidden="0" customWidth="1"/>
    <x:col min="5" max="5" width="25" hidden="0" customWidth="1"/>
    <x:col min="6" max="6" width="20" hidden="0" customWidth="1"/>
    <x:col min="7" max="7" width="36" hidden="0" customWidth="1"/>
    <x:col min="8" max="8" width="65" hidden="0" customWidth="1"/>
    <x:col min="9" max="9" width="21" hidden="0" customWidth="1"/>
    <x:col min="10" max="10" width="14" hidden="0" customWidth="1"/>
  </x:cols>
  <x:sheetData>
    <x:row r="2">
      <x:c r="B2" s="1" t="str">
        <x:v>Twenty-four denied-network time nodes</x:v>
      </x:c>
    </x:row>
    <x:row r="3">
      <x:c r="B3" s="2" t="str">
        <x:v>Every rig retains command, acquisition, safety and witness order without campus network or primary time.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Node</x:v>
      </x:c>
      <x:c r="C6" s="7" t="str">
        <x:v>Rig</x:v>
      </x:c>
      <x:c r="D6" s="7" t="str">
        <x:v>Campus</x:v>
      </x:c>
      <x:c r="E6" s="7" t="str">
        <x:v>Role</x:v>
      </x:c>
      <x:c r="F6" s="7" t="str">
        <x:v>Maximum error us</x:v>
      </x:c>
      <x:c r="G6" s="7" t="str">
        <x:v>Denial state</x:v>
      </x:c>
      <x:c r="H6" s="7" t="str">
        <x:v>Required evidence</x:v>
      </x:c>
      <x:c r="I6" s="7" t="str">
        <x:v>Accepted UTC</x:v>
      </x:c>
      <x:c r="J6" s="7" t="str">
        <x:v>State</x:v>
      </x:c>
    </x:row>
    <x:row r="7" ht="42" customHeight="1">
      <x:c r="B7" t="str">
        <x:v>RAW-TM-01</x:v>
      </x:c>
      <x:c r="C7" t="str">
        <x:v>RFP-A1</x:v>
      </x:c>
      <x:c r="D7" t="str">
        <x:v>PTC-A</x:v>
      </x:c>
      <x:c r="E7" t="str">
        <x:v>command</x:v>
      </x:c>
      <x:c r="F7" t="n">
        <x:v>5</x:v>
      </x:c>
      <x:c r="G7" t="str">
        <x:v>network and primary-time denial</x:v>
      </x:c>
      <x:c r="H7" s="10" t="str">
        <x:v>local oscillator, cross-event marks and portable original</x:v>
      </x:c>
      <x:c r="I7" t="str"/>
      <x:c r="J7" t="str">
        <x:v>OPEN</x:v>
      </x:c>
    </x:row>
    <x:row r="8" ht="42" customHeight="1">
      <x:c r="B8" t="str">
        <x:v>RAW-TM-02</x:v>
      </x:c>
      <x:c r="C8" t="str">
        <x:v>RFP-A1</x:v>
      </x:c>
      <x:c r="D8" t="str">
        <x:v>PTC-A</x:v>
      </x:c>
      <x:c r="E8" t="str">
        <x:v>acquisition</x:v>
      </x:c>
      <x:c r="F8" t="n">
        <x:v>5</x:v>
      </x:c>
      <x:c r="G8" t="str">
        <x:v>network and primary-time denial</x:v>
      </x:c>
      <x:c r="H8" s="10" t="str">
        <x:v>local oscillator, cross-event marks and portable original</x:v>
      </x:c>
      <x:c r="I8" t="str"/>
      <x:c r="J8" t="str">
        <x:v>OPEN</x:v>
      </x:c>
    </x:row>
    <x:row r="9" ht="42" customHeight="1">
      <x:c r="B9" t="str">
        <x:v>RAW-TM-03</x:v>
      </x:c>
      <x:c r="C9" t="str">
        <x:v>RFP-A1</x:v>
      </x:c>
      <x:c r="D9" t="str">
        <x:v>PTC-A</x:v>
      </x:c>
      <x:c r="E9" t="str">
        <x:v>safety</x:v>
      </x:c>
      <x:c r="F9" t="n">
        <x:v>5</x:v>
      </x:c>
      <x:c r="G9" t="str">
        <x:v>network and primary-time denial</x:v>
      </x:c>
      <x:c r="H9" s="10" t="str">
        <x:v>local oscillator, cross-event marks and portable original</x:v>
      </x:c>
      <x:c r="I9" t="str"/>
      <x:c r="J9" t="str">
        <x:v>OPEN</x:v>
      </x:c>
    </x:row>
    <x:row r="10" ht="42" customHeight="1">
      <x:c r="B10" t="str">
        <x:v>RAW-TM-04</x:v>
      </x:c>
      <x:c r="C10" t="str">
        <x:v>RFP-A1</x:v>
      </x:c>
      <x:c r="D10" t="str">
        <x:v>PTC-A</x:v>
      </x:c>
      <x:c r="E10" t="str">
        <x:v>independent witness</x:v>
      </x:c>
      <x:c r="F10" t="n">
        <x:v>5</x:v>
      </x:c>
      <x:c r="G10" t="str">
        <x:v>network and primary-time denial</x:v>
      </x:c>
      <x:c r="H10" s="10" t="str">
        <x:v>local oscillator, cross-event marks and portable original</x:v>
      </x:c>
      <x:c r="I10" t="str"/>
      <x:c r="J10" t="str">
        <x:v>OPEN</x:v>
      </x:c>
    </x:row>
    <x:row r="11" ht="42" customHeight="1">
      <x:c r="B11" t="str">
        <x:v>RAW-TM-05</x:v>
      </x:c>
      <x:c r="C11" t="str">
        <x:v>RFP-A2</x:v>
      </x:c>
      <x:c r="D11" t="str">
        <x:v>PTC-A</x:v>
      </x:c>
      <x:c r="E11" t="str">
        <x:v>command</x:v>
      </x:c>
      <x:c r="F11" t="n">
        <x:v>5</x:v>
      </x:c>
      <x:c r="G11" t="str">
        <x:v>network and primary-time denial</x:v>
      </x:c>
      <x:c r="H11" s="10" t="str">
        <x:v>local oscillator, cross-event marks and portable original</x:v>
      </x:c>
      <x:c r="I11" t="str"/>
      <x:c r="J11" t="str">
        <x:v>OPEN</x:v>
      </x:c>
    </x:row>
    <x:row r="12" ht="42" customHeight="1">
      <x:c r="B12" t="str">
        <x:v>RAW-TM-06</x:v>
      </x:c>
      <x:c r="C12" t="str">
        <x:v>RFP-A2</x:v>
      </x:c>
      <x:c r="D12" t="str">
        <x:v>PTC-A</x:v>
      </x:c>
      <x:c r="E12" t="str">
        <x:v>acquisition</x:v>
      </x:c>
      <x:c r="F12" t="n">
        <x:v>5</x:v>
      </x:c>
      <x:c r="G12" t="str">
        <x:v>network and primary-time denial</x:v>
      </x:c>
      <x:c r="H12" s="10" t="str">
        <x:v>local oscillator, cross-event marks and portable original</x:v>
      </x:c>
      <x:c r="I12" t="str"/>
      <x:c r="J12" t="str">
        <x:v>OPEN</x:v>
      </x:c>
    </x:row>
    <x:row r="13" ht="42" customHeight="1">
      <x:c r="B13" t="str">
        <x:v>RAW-TM-07</x:v>
      </x:c>
      <x:c r="C13" t="str">
        <x:v>RFP-A2</x:v>
      </x:c>
      <x:c r="D13" t="str">
        <x:v>PTC-A</x:v>
      </x:c>
      <x:c r="E13" t="str">
        <x:v>safety</x:v>
      </x:c>
      <x:c r="F13" t="n">
        <x:v>5</x:v>
      </x:c>
      <x:c r="G13" t="str">
        <x:v>network and primary-time denial</x:v>
      </x:c>
      <x:c r="H13" s="10" t="str">
        <x:v>local oscillator, cross-event marks and portable original</x:v>
      </x:c>
      <x:c r="I13" t="str"/>
      <x:c r="J13" t="str">
        <x:v>OPEN</x:v>
      </x:c>
    </x:row>
    <x:row r="14" ht="42" customHeight="1">
      <x:c r="B14" t="str">
        <x:v>RAW-TM-08</x:v>
      </x:c>
      <x:c r="C14" t="str">
        <x:v>RFP-A2</x:v>
      </x:c>
      <x:c r="D14" t="str">
        <x:v>PTC-A</x:v>
      </x:c>
      <x:c r="E14" t="str">
        <x:v>independent witness</x:v>
      </x:c>
      <x:c r="F14" t="n">
        <x:v>5</x:v>
      </x:c>
      <x:c r="G14" t="str">
        <x:v>network and primary-time denial</x:v>
      </x:c>
      <x:c r="H14" s="10" t="str">
        <x:v>local oscillator, cross-event marks and portable original</x:v>
      </x:c>
      <x:c r="I14" t="str"/>
      <x:c r="J14" t="str">
        <x:v>OPEN</x:v>
      </x:c>
    </x:row>
    <x:row r="15" ht="42" customHeight="1">
      <x:c r="B15" t="str">
        <x:v>RAW-TM-09</x:v>
      </x:c>
      <x:c r="C15" t="str">
        <x:v>RFP-B1</x:v>
      </x:c>
      <x:c r="D15" t="str">
        <x:v>PTC-B</x:v>
      </x:c>
      <x:c r="E15" t="str">
        <x:v>command</x:v>
      </x:c>
      <x:c r="F15" t="n">
        <x:v>5</x:v>
      </x:c>
      <x:c r="G15" t="str">
        <x:v>network and primary-time denial</x:v>
      </x:c>
      <x:c r="H15" s="10" t="str">
        <x:v>local oscillator, cross-event marks and portable original</x:v>
      </x:c>
      <x:c r="I15" t="str"/>
      <x:c r="J15" t="str">
        <x:v>OPEN</x:v>
      </x:c>
    </x:row>
    <x:row r="16" ht="42" customHeight="1">
      <x:c r="B16" t="str">
        <x:v>RAW-TM-10</x:v>
      </x:c>
      <x:c r="C16" t="str">
        <x:v>RFP-B1</x:v>
      </x:c>
      <x:c r="D16" t="str">
        <x:v>PTC-B</x:v>
      </x:c>
      <x:c r="E16" t="str">
        <x:v>acquisition</x:v>
      </x:c>
      <x:c r="F16" t="n">
        <x:v>5</x:v>
      </x:c>
      <x:c r="G16" t="str">
        <x:v>network and primary-time denial</x:v>
      </x:c>
      <x:c r="H16" s="10" t="str">
        <x:v>local oscillator, cross-event marks and portable original</x:v>
      </x:c>
      <x:c r="I16" t="str"/>
      <x:c r="J16" t="str">
        <x:v>OPEN</x:v>
      </x:c>
    </x:row>
    <x:row r="17" ht="42" customHeight="1">
      <x:c r="B17" t="str">
        <x:v>RAW-TM-11</x:v>
      </x:c>
      <x:c r="C17" t="str">
        <x:v>RFP-B1</x:v>
      </x:c>
      <x:c r="D17" t="str">
        <x:v>PTC-B</x:v>
      </x:c>
      <x:c r="E17" t="str">
        <x:v>safety</x:v>
      </x:c>
      <x:c r="F17" t="n">
        <x:v>5</x:v>
      </x:c>
      <x:c r="G17" t="str">
        <x:v>network and primary-time denial</x:v>
      </x:c>
      <x:c r="H17" s="10" t="str">
        <x:v>local oscillator, cross-event marks and portable original</x:v>
      </x:c>
      <x:c r="I17" t="str"/>
      <x:c r="J17" t="str">
        <x:v>OPEN</x:v>
      </x:c>
    </x:row>
    <x:row r="18" ht="42" customHeight="1">
      <x:c r="B18" t="str">
        <x:v>RAW-TM-12</x:v>
      </x:c>
      <x:c r="C18" t="str">
        <x:v>RFP-B1</x:v>
      </x:c>
      <x:c r="D18" t="str">
        <x:v>PTC-B</x:v>
      </x:c>
      <x:c r="E18" t="str">
        <x:v>independent witness</x:v>
      </x:c>
      <x:c r="F18" t="n">
        <x:v>5</x:v>
      </x:c>
      <x:c r="G18" t="str">
        <x:v>network and primary-time denial</x:v>
      </x:c>
      <x:c r="H18" s="10" t="str">
        <x:v>local oscillator, cross-event marks and portable original</x:v>
      </x:c>
      <x:c r="I18" t="str"/>
      <x:c r="J18" t="str">
        <x:v>OPEN</x:v>
      </x:c>
    </x:row>
    <x:row r="19" ht="42" customHeight="1">
      <x:c r="B19" t="str">
        <x:v>RAW-TM-13</x:v>
      </x:c>
      <x:c r="C19" t="str">
        <x:v>RFP-B2</x:v>
      </x:c>
      <x:c r="D19" t="str">
        <x:v>PTC-B</x:v>
      </x:c>
      <x:c r="E19" t="str">
        <x:v>command</x:v>
      </x:c>
      <x:c r="F19" t="n">
        <x:v>5</x:v>
      </x:c>
      <x:c r="G19" t="str">
        <x:v>network and primary-time denial</x:v>
      </x:c>
      <x:c r="H19" s="10" t="str">
        <x:v>local oscillator, cross-event marks and portable original</x:v>
      </x:c>
      <x:c r="I19" t="str"/>
      <x:c r="J19" t="str">
        <x:v>OPEN</x:v>
      </x:c>
    </x:row>
    <x:row r="20" ht="42" customHeight="1">
      <x:c r="B20" t="str">
        <x:v>RAW-TM-14</x:v>
      </x:c>
      <x:c r="C20" t="str">
        <x:v>RFP-B2</x:v>
      </x:c>
      <x:c r="D20" t="str">
        <x:v>PTC-B</x:v>
      </x:c>
      <x:c r="E20" t="str">
        <x:v>acquisition</x:v>
      </x:c>
      <x:c r="F20" t="n">
        <x:v>5</x:v>
      </x:c>
      <x:c r="G20" t="str">
        <x:v>network and primary-time denial</x:v>
      </x:c>
      <x:c r="H20" s="10" t="str">
        <x:v>local oscillator, cross-event marks and portable original</x:v>
      </x:c>
      <x:c r="I20" t="str"/>
      <x:c r="J20" t="str">
        <x:v>OPEN</x:v>
      </x:c>
    </x:row>
    <x:row r="21" ht="42" customHeight="1">
      <x:c r="B21" t="str">
        <x:v>RAW-TM-15</x:v>
      </x:c>
      <x:c r="C21" t="str">
        <x:v>RFP-B2</x:v>
      </x:c>
      <x:c r="D21" t="str">
        <x:v>PTC-B</x:v>
      </x:c>
      <x:c r="E21" t="str">
        <x:v>safety</x:v>
      </x:c>
      <x:c r="F21" t="n">
        <x:v>5</x:v>
      </x:c>
      <x:c r="G21" t="str">
        <x:v>network and primary-time denial</x:v>
      </x:c>
      <x:c r="H21" s="10" t="str">
        <x:v>local oscillator, cross-event marks and portable original</x:v>
      </x:c>
      <x:c r="I21" t="str"/>
      <x:c r="J21" t="str">
        <x:v>OPEN</x:v>
      </x:c>
    </x:row>
    <x:row r="22" ht="42" customHeight="1">
      <x:c r="B22" t="str">
        <x:v>RAW-TM-16</x:v>
      </x:c>
      <x:c r="C22" t="str">
        <x:v>RFP-B2</x:v>
      </x:c>
      <x:c r="D22" t="str">
        <x:v>PTC-B</x:v>
      </x:c>
      <x:c r="E22" t="str">
        <x:v>independent witness</x:v>
      </x:c>
      <x:c r="F22" t="n">
        <x:v>5</x:v>
      </x:c>
      <x:c r="G22" t="str">
        <x:v>network and primary-time denial</x:v>
      </x:c>
      <x:c r="H22" s="10" t="str">
        <x:v>local oscillator, cross-event marks and portable original</x:v>
      </x:c>
      <x:c r="I22" t="str"/>
      <x:c r="J22" t="str">
        <x:v>OPEN</x:v>
      </x:c>
    </x:row>
    <x:row r="23" ht="42" customHeight="1">
      <x:c r="B23" t="str">
        <x:v>RAW-TM-17</x:v>
      </x:c>
      <x:c r="C23" t="str">
        <x:v>RFP-C1</x:v>
      </x:c>
      <x:c r="D23" t="str">
        <x:v>PTC-C</x:v>
      </x:c>
      <x:c r="E23" t="str">
        <x:v>command</x:v>
      </x:c>
      <x:c r="F23" t="n">
        <x:v>5</x:v>
      </x:c>
      <x:c r="G23" t="str">
        <x:v>network and primary-time denial</x:v>
      </x:c>
      <x:c r="H23" s="10" t="str">
        <x:v>local oscillator, cross-event marks and portable original</x:v>
      </x:c>
      <x:c r="I23" t="str"/>
      <x:c r="J23" t="str">
        <x:v>OPEN</x:v>
      </x:c>
    </x:row>
    <x:row r="24" ht="42" customHeight="1">
      <x:c r="B24" t="str">
        <x:v>RAW-TM-18</x:v>
      </x:c>
      <x:c r="C24" t="str">
        <x:v>RFP-C1</x:v>
      </x:c>
      <x:c r="D24" t="str">
        <x:v>PTC-C</x:v>
      </x:c>
      <x:c r="E24" t="str">
        <x:v>acquisition</x:v>
      </x:c>
      <x:c r="F24" t="n">
        <x:v>5</x:v>
      </x:c>
      <x:c r="G24" t="str">
        <x:v>network and primary-time denial</x:v>
      </x:c>
      <x:c r="H24" s="10" t="str">
        <x:v>local oscillator, cross-event marks and portable original</x:v>
      </x:c>
      <x:c r="I24" t="str"/>
      <x:c r="J24" t="str">
        <x:v>OPEN</x:v>
      </x:c>
    </x:row>
    <x:row r="25" ht="42" customHeight="1">
      <x:c r="B25" t="str">
        <x:v>RAW-TM-19</x:v>
      </x:c>
      <x:c r="C25" t="str">
        <x:v>RFP-C1</x:v>
      </x:c>
      <x:c r="D25" t="str">
        <x:v>PTC-C</x:v>
      </x:c>
      <x:c r="E25" t="str">
        <x:v>safety</x:v>
      </x:c>
      <x:c r="F25" t="n">
        <x:v>5</x:v>
      </x:c>
      <x:c r="G25" t="str">
        <x:v>network and primary-time denial</x:v>
      </x:c>
      <x:c r="H25" s="10" t="str">
        <x:v>local oscillator, cross-event marks and portable original</x:v>
      </x:c>
      <x:c r="I25" t="str"/>
      <x:c r="J25" t="str">
        <x:v>OPEN</x:v>
      </x:c>
    </x:row>
    <x:row r="26" ht="42" customHeight="1">
      <x:c r="B26" t="str">
        <x:v>RAW-TM-20</x:v>
      </x:c>
      <x:c r="C26" t="str">
        <x:v>RFP-C1</x:v>
      </x:c>
      <x:c r="D26" t="str">
        <x:v>PTC-C</x:v>
      </x:c>
      <x:c r="E26" t="str">
        <x:v>independent witness</x:v>
      </x:c>
      <x:c r="F26" t="n">
        <x:v>5</x:v>
      </x:c>
      <x:c r="G26" t="str">
        <x:v>network and primary-time denial</x:v>
      </x:c>
      <x:c r="H26" s="10" t="str">
        <x:v>local oscillator, cross-event marks and portable original</x:v>
      </x:c>
      <x:c r="I26" t="str"/>
      <x:c r="J26" t="str">
        <x:v>OPEN</x:v>
      </x:c>
    </x:row>
    <x:row r="27" ht="42" customHeight="1">
      <x:c r="B27" t="str">
        <x:v>RAW-TM-21</x:v>
      </x:c>
      <x:c r="C27" t="str">
        <x:v>RFP-C2</x:v>
      </x:c>
      <x:c r="D27" t="str">
        <x:v>PTC-C</x:v>
      </x:c>
      <x:c r="E27" t="str">
        <x:v>command</x:v>
      </x:c>
      <x:c r="F27" t="n">
        <x:v>5</x:v>
      </x:c>
      <x:c r="G27" t="str">
        <x:v>network and primary-time denial</x:v>
      </x:c>
      <x:c r="H27" s="10" t="str">
        <x:v>local oscillator, cross-event marks and portable original</x:v>
      </x:c>
      <x:c r="I27" t="str"/>
      <x:c r="J27" t="str">
        <x:v>OPEN</x:v>
      </x:c>
    </x:row>
    <x:row r="28" ht="42" customHeight="1">
      <x:c r="B28" t="str">
        <x:v>RAW-TM-22</x:v>
      </x:c>
      <x:c r="C28" t="str">
        <x:v>RFP-C2</x:v>
      </x:c>
      <x:c r="D28" t="str">
        <x:v>PTC-C</x:v>
      </x:c>
      <x:c r="E28" t="str">
        <x:v>acquisition</x:v>
      </x:c>
      <x:c r="F28" t="n">
        <x:v>5</x:v>
      </x:c>
      <x:c r="G28" t="str">
        <x:v>network and primary-time denial</x:v>
      </x:c>
      <x:c r="H28" s="10" t="str">
        <x:v>local oscillator, cross-event marks and portable original</x:v>
      </x:c>
      <x:c r="I28" t="str"/>
      <x:c r="J28" t="str">
        <x:v>OPEN</x:v>
      </x:c>
    </x:row>
    <x:row r="29" ht="42" customHeight="1">
      <x:c r="B29" t="str">
        <x:v>RAW-TM-23</x:v>
      </x:c>
      <x:c r="C29" t="str">
        <x:v>RFP-C2</x:v>
      </x:c>
      <x:c r="D29" t="str">
        <x:v>PTC-C</x:v>
      </x:c>
      <x:c r="E29" t="str">
        <x:v>safety</x:v>
      </x:c>
      <x:c r="F29" t="n">
        <x:v>5</x:v>
      </x:c>
      <x:c r="G29" t="str">
        <x:v>network and primary-time denial</x:v>
      </x:c>
      <x:c r="H29" s="10" t="str">
        <x:v>local oscillator, cross-event marks and portable original</x:v>
      </x:c>
      <x:c r="I29" t="str"/>
      <x:c r="J29" t="str">
        <x:v>OPEN</x:v>
      </x:c>
    </x:row>
    <x:row r="30" ht="42" customHeight="1">
      <x:c r="B30" t="str">
        <x:v>RAW-TM-24</x:v>
      </x:c>
      <x:c r="C30" t="str">
        <x:v>RFP-C2</x:v>
      </x:c>
      <x:c r="D30" t="str">
        <x:v>PTC-C</x:v>
      </x:c>
      <x:c r="E30" t="str">
        <x:v>independent witness</x:v>
      </x:c>
      <x:c r="F30" t="n">
        <x:v>5</x:v>
      </x:c>
      <x:c r="G30" t="str">
        <x:v>network and primary-time denial</x:v>
      </x:c>
      <x:c r="H30" s="10" t="str">
        <x:v>local oscillator, cross-event marks and portable original</x:v>
      </x:c>
      <x:c r="I30" t="str"/>
      <x:c r="J30" t="str">
        <x:v>OPEN</x:v>
      </x:c>
    </x:row>
  </x:sheetData>
  <x:conditionalFormatting sqref="J7:J30">
    <x:cfRule type="containsText" dxfId="72" priority="1" operator="containsText" text="FAIL"/>
    <x:cfRule type="containsText" dxfId="73" priority="2" operator="containsText" text="INVALID"/>
    <x:cfRule type="containsText" dxfId="74" priority="3" operator="containsText" text="BLOCKED"/>
    <x:cfRule type="containsText" dxfId="75" priority="4" operator="containsText" text="OPEN"/>
    <x:cfRule type="containsText" dxfId="76" priority="5" operator="containsText" text="GAP"/>
    <x:cfRule type="containsText" dxfId="77" priority="6" operator="containsText" text="DORMANT"/>
    <x:cfRule type="containsText" dxfId="78" priority="7" operator="containsText" text="PASS"/>
    <x:cfRule type="containsText" dxfId="79" priority="8" operator="containsText" text="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63" hidden="0" customWidth="1"/>
    <x:col min="8" max="8" width="57" hidden="0" customWidth="1"/>
    <x:col min="9" max="9" width="21" hidden="0" customWidth="1"/>
    <x:col min="10" max="10" width="14" hidden="0" customWidth="1"/>
  </x:cols>
  <x:sheetData>
    <x:row r="2">
      <x:c r="B2" s="1" t="str">
        <x:v>Twenty-four terrain truth cards</x:v>
      </x:c>
    </x:row>
    <x:row r="3">
      <x:c r="B3" s="2" t="str">
        <x:v>Coordinate, grade, blockage and debris state must be known through unlike physical roots.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Card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Campus</x:v>
      </x:c>
      <x:c r="G6" s="7" t="str">
        <x:v>Known-truth state</x:v>
      </x:c>
      <x:c r="H6" s="7" t="str">
        <x:v>Acceptance rule</x:v>
      </x:c>
      <x:c r="I6" s="7" t="str">
        <x:v>Accepted UTC</x:v>
      </x:c>
      <x:c r="J6" s="7" t="str">
        <x:v>State</x:v>
      </x:c>
    </x:row>
    <x:row r="7" ht="42" customHeight="1">
      <x:c r="B7" t="str">
        <x:v>RAW-TN-01</x:v>
      </x:c>
      <x:c r="C7" t="str">
        <x:v>AM-00</x:v>
      </x:c>
      <x:c r="D7" t="str">
        <x:v>TR-A</x:v>
      </x:c>
      <x:c r="E7" t="str">
        <x:v>RFP-A1</x:v>
      </x:c>
      <x:c r="F7" t="str">
        <x:v>PTC-A</x:v>
      </x:c>
      <x:c r="G7" s="10" t="str">
        <x:v>datum, grade, roughness, temperature, beacon and stop-path identity</x:v>
      </x:c>
      <x:c r="H7" s="10" t="str">
        <x:v>truth interval contains physical state</x:v>
      </x:c>
      <x:c r="I7" t="str"/>
      <x:c r="J7" t="str">
        <x:v>OPEN</x:v>
      </x:c>
    </x:row>
    <x:row r="8" ht="42" customHeight="1">
      <x:c r="B8" t="str">
        <x:v>RAW-TN-02</x:v>
      </x:c>
      <x:c r="C8" t="str">
        <x:v>AM-00</x:v>
      </x:c>
      <x:c r="D8" t="str">
        <x:v>TR-A</x:v>
      </x:c>
      <x:c r="E8" t="str">
        <x:v>RFP-A2</x:v>
      </x:c>
      <x:c r="F8" t="str">
        <x:v>PTC-A</x:v>
      </x:c>
      <x:c r="G8" s="10" t="str">
        <x:v>datum, grade, roughness, temperature, beacon and stop-path identity</x:v>
      </x:c>
      <x:c r="H8" s="10" t="str">
        <x:v>truth interval contains physical state</x:v>
      </x:c>
      <x:c r="I8" t="str"/>
      <x:c r="J8" t="str">
        <x:v>OPEN</x:v>
      </x:c>
    </x:row>
    <x:row r="9" ht="42" customHeight="1">
      <x:c r="B9" t="str">
        <x:v>RAW-TN-03</x:v>
      </x:c>
      <x:c r="C9" t="str">
        <x:v>AM-00</x:v>
      </x:c>
      <x:c r="D9" t="str">
        <x:v>TR-A</x:v>
      </x:c>
      <x:c r="E9" t="str">
        <x:v>RFP-B1</x:v>
      </x:c>
      <x:c r="F9" t="str">
        <x:v>PTC-B</x:v>
      </x:c>
      <x:c r="G9" s="10" t="str">
        <x:v>datum, grade, roughness, temperature, beacon and stop-path identity</x:v>
      </x:c>
      <x:c r="H9" s="10" t="str">
        <x:v>truth interval contains physical state</x:v>
      </x:c>
      <x:c r="I9" t="str"/>
      <x:c r="J9" t="str">
        <x:v>OPEN</x:v>
      </x:c>
    </x:row>
    <x:row r="10" ht="42" customHeight="1">
      <x:c r="B10" t="str">
        <x:v>RAW-TN-04</x:v>
      </x:c>
      <x:c r="C10" t="str">
        <x:v>AM-00</x:v>
      </x:c>
      <x:c r="D10" t="str">
        <x:v>TR-A</x:v>
      </x:c>
      <x:c r="E10" t="str">
        <x:v>RFP-B2</x:v>
      </x:c>
      <x:c r="F10" t="str">
        <x:v>PTC-B</x:v>
      </x:c>
      <x:c r="G10" s="10" t="str">
        <x:v>datum, grade, roughness, temperature, beacon and stop-path identity</x:v>
      </x:c>
      <x:c r="H10" s="10" t="str">
        <x:v>truth interval contains physical state</x:v>
      </x:c>
      <x:c r="I10" t="str"/>
      <x:c r="J10" t="str">
        <x:v>OPEN</x:v>
      </x:c>
    </x:row>
    <x:row r="11" ht="42" customHeight="1">
      <x:c r="B11" t="str">
        <x:v>RAW-TN-05</x:v>
      </x:c>
      <x:c r="C11" t="str">
        <x:v>AM-00</x:v>
      </x:c>
      <x:c r="D11" t="str">
        <x:v>TR-A</x:v>
      </x:c>
      <x:c r="E11" t="str">
        <x:v>RFP-C1</x:v>
      </x:c>
      <x:c r="F11" t="str">
        <x:v>PTC-C</x:v>
      </x:c>
      <x:c r="G11" s="10" t="str">
        <x:v>datum, grade, roughness, temperature, beacon and stop-path identity</x:v>
      </x:c>
      <x:c r="H11" s="10" t="str">
        <x:v>truth interval contains physical state</x:v>
      </x:c>
      <x:c r="I11" t="str"/>
      <x:c r="J11" t="str">
        <x:v>OPEN</x:v>
      </x:c>
    </x:row>
    <x:row r="12" ht="42" customHeight="1">
      <x:c r="B12" t="str">
        <x:v>RAW-TN-06</x:v>
      </x:c>
      <x:c r="C12" t="str">
        <x:v>AM-00</x:v>
      </x:c>
      <x:c r="D12" t="str">
        <x:v>TR-A</x:v>
      </x:c>
      <x:c r="E12" t="str">
        <x:v>RFP-C2</x:v>
      </x:c>
      <x:c r="F12" t="str">
        <x:v>PTC-C</x:v>
      </x:c>
      <x:c r="G12" s="10" t="str">
        <x:v>datum, grade, roughness, temperature, beacon and stop-path identity</x:v>
      </x:c>
      <x:c r="H12" s="10" t="str">
        <x:v>truth interval contains physical state</x:v>
      </x:c>
      <x:c r="I12" t="str"/>
      <x:c r="J12" t="str">
        <x:v>OPEN</x:v>
      </x:c>
    </x:row>
    <x:row r="13" ht="42" customHeight="1">
      <x:c r="B13" t="str">
        <x:v>RAW-TN-07</x:v>
      </x:c>
      <x:c r="C13" t="str">
        <x:v>AM-00</x:v>
      </x:c>
      <x:c r="D13" t="str">
        <x:v>TR-B</x:v>
      </x:c>
      <x:c r="E13" t="str">
        <x:v>RFP-A1</x:v>
      </x:c>
      <x:c r="F13" t="str">
        <x:v>PTC-A</x:v>
      </x:c>
      <x:c r="G13" s="10" t="str">
        <x:v>datum, grade, roughness, temperature, beacon and stop-path identity</x:v>
      </x:c>
      <x:c r="H13" s="10" t="str">
        <x:v>truth interval contains physical state</x:v>
      </x:c>
      <x:c r="I13" t="str"/>
      <x:c r="J13" t="str">
        <x:v>OPEN</x:v>
      </x:c>
    </x:row>
    <x:row r="14" ht="42" customHeight="1">
      <x:c r="B14" t="str">
        <x:v>RAW-TN-08</x:v>
      </x:c>
      <x:c r="C14" t="str">
        <x:v>AM-00</x:v>
      </x:c>
      <x:c r="D14" t="str">
        <x:v>TR-B</x:v>
      </x:c>
      <x:c r="E14" t="str">
        <x:v>RFP-A2</x:v>
      </x:c>
      <x:c r="F14" t="str">
        <x:v>PTC-A</x:v>
      </x:c>
      <x:c r="G14" s="10" t="str">
        <x:v>datum, grade, roughness, temperature, beacon and stop-path identity</x:v>
      </x:c>
      <x:c r="H14" s="10" t="str">
        <x:v>truth interval contains physical state</x:v>
      </x:c>
      <x:c r="I14" t="str"/>
      <x:c r="J14" t="str">
        <x:v>OPEN</x:v>
      </x:c>
    </x:row>
    <x:row r="15" ht="42" customHeight="1">
      <x:c r="B15" t="str">
        <x:v>RAW-TN-09</x:v>
      </x:c>
      <x:c r="C15" t="str">
        <x:v>AM-00</x:v>
      </x:c>
      <x:c r="D15" t="str">
        <x:v>TR-B</x:v>
      </x:c>
      <x:c r="E15" t="str">
        <x:v>RFP-B1</x:v>
      </x:c>
      <x:c r="F15" t="str">
        <x:v>PTC-B</x:v>
      </x:c>
      <x:c r="G15" s="10" t="str">
        <x:v>datum, grade, roughness, temperature, beacon and stop-path identity</x:v>
      </x:c>
      <x:c r="H15" s="10" t="str">
        <x:v>truth interval contains physical state</x:v>
      </x:c>
      <x:c r="I15" t="str"/>
      <x:c r="J15" t="str">
        <x:v>OPEN</x:v>
      </x:c>
    </x:row>
    <x:row r="16" ht="42" customHeight="1">
      <x:c r="B16" t="str">
        <x:v>RAW-TN-10</x:v>
      </x:c>
      <x:c r="C16" t="str">
        <x:v>AM-00</x:v>
      </x:c>
      <x:c r="D16" t="str">
        <x:v>TR-B</x:v>
      </x:c>
      <x:c r="E16" t="str">
        <x:v>RFP-B2</x:v>
      </x:c>
      <x:c r="F16" t="str">
        <x:v>PTC-B</x:v>
      </x:c>
      <x:c r="G16" s="10" t="str">
        <x:v>datum, grade, roughness, temperature, beacon and stop-path identity</x:v>
      </x:c>
      <x:c r="H16" s="10" t="str">
        <x:v>truth interval contains physical state</x:v>
      </x:c>
      <x:c r="I16" t="str"/>
      <x:c r="J16" t="str">
        <x:v>OPEN</x:v>
      </x:c>
    </x:row>
    <x:row r="17" ht="42" customHeight="1">
      <x:c r="B17" t="str">
        <x:v>RAW-TN-11</x:v>
      </x:c>
      <x:c r="C17" t="str">
        <x:v>AM-00</x:v>
      </x:c>
      <x:c r="D17" t="str">
        <x:v>TR-B</x:v>
      </x:c>
      <x:c r="E17" t="str">
        <x:v>RFP-C1</x:v>
      </x:c>
      <x:c r="F17" t="str">
        <x:v>PTC-C</x:v>
      </x:c>
      <x:c r="G17" s="10" t="str">
        <x:v>datum, grade, roughness, temperature, beacon and stop-path identity</x:v>
      </x:c>
      <x:c r="H17" s="10" t="str">
        <x:v>truth interval contains physical state</x:v>
      </x:c>
      <x:c r="I17" t="str"/>
      <x:c r="J17" t="str">
        <x:v>OPEN</x:v>
      </x:c>
    </x:row>
    <x:row r="18" ht="42" customHeight="1">
      <x:c r="B18" t="str">
        <x:v>RAW-TN-12</x:v>
      </x:c>
      <x:c r="C18" t="str">
        <x:v>AM-00</x:v>
      </x:c>
      <x:c r="D18" t="str">
        <x:v>TR-B</x:v>
      </x:c>
      <x:c r="E18" t="str">
        <x:v>RFP-C2</x:v>
      </x:c>
      <x:c r="F18" t="str">
        <x:v>PTC-C</x:v>
      </x:c>
      <x:c r="G18" s="10" t="str">
        <x:v>datum, grade, roughness, temperature, beacon and stop-path identity</x:v>
      </x:c>
      <x:c r="H18" s="10" t="str">
        <x:v>truth interval contains physical state</x:v>
      </x:c>
      <x:c r="I18" t="str"/>
      <x:c r="J18" t="str">
        <x:v>OPEN</x:v>
      </x:c>
    </x:row>
    <x:row r="19" ht="42" customHeight="1">
      <x:c r="B19" t="str">
        <x:v>RAW-TN-13</x:v>
      </x:c>
      <x:c r="C19" t="str">
        <x:v>AM-03</x:v>
      </x:c>
      <x:c r="D19" t="str">
        <x:v>TR-A</x:v>
      </x:c>
      <x:c r="E19" t="str">
        <x:v>RFP-A1</x:v>
      </x:c>
      <x:c r="F19" t="str">
        <x:v>PTC-A</x:v>
      </x:c>
      <x:c r="G19" s="10" t="str">
        <x:v>blocked area, count, mass, centroid, permeability, grade and recovery identity</x:v>
      </x:c>
      <x:c r="H19" s="10" t="str">
        <x:v>truth interval contains physical state</x:v>
      </x:c>
      <x:c r="I19" t="str"/>
      <x:c r="J19" t="str">
        <x:v>OPEN</x:v>
      </x:c>
    </x:row>
    <x:row r="20" ht="42" customHeight="1">
      <x:c r="B20" t="str">
        <x:v>RAW-TN-14</x:v>
      </x:c>
      <x:c r="C20" t="str">
        <x:v>AM-03</x:v>
      </x:c>
      <x:c r="D20" t="str">
        <x:v>TR-A</x:v>
      </x:c>
      <x:c r="E20" t="str">
        <x:v>RFP-A2</x:v>
      </x:c>
      <x:c r="F20" t="str">
        <x:v>PTC-A</x:v>
      </x:c>
      <x:c r="G20" s="10" t="str">
        <x:v>blocked area, count, mass, centroid, permeability, grade and recovery identity</x:v>
      </x:c>
      <x:c r="H20" s="10" t="str">
        <x:v>truth interval contains physical state</x:v>
      </x:c>
      <x:c r="I20" t="str"/>
      <x:c r="J20" t="str">
        <x:v>OPEN</x:v>
      </x:c>
    </x:row>
    <x:row r="21" ht="42" customHeight="1">
      <x:c r="B21" t="str">
        <x:v>RAW-TN-15</x:v>
      </x:c>
      <x:c r="C21" t="str">
        <x:v>AM-03</x:v>
      </x:c>
      <x:c r="D21" t="str">
        <x:v>TR-A</x:v>
      </x:c>
      <x:c r="E21" t="str">
        <x:v>RFP-B1</x:v>
      </x:c>
      <x:c r="F21" t="str">
        <x:v>PTC-B</x:v>
      </x:c>
      <x:c r="G21" s="10" t="str">
        <x:v>blocked area, count, mass, centroid, permeability, grade and recovery identity</x:v>
      </x:c>
      <x:c r="H21" s="10" t="str">
        <x:v>truth interval contains physical state</x:v>
      </x:c>
      <x:c r="I21" t="str"/>
      <x:c r="J21" t="str">
        <x:v>OPEN</x:v>
      </x:c>
    </x:row>
    <x:row r="22" ht="42" customHeight="1">
      <x:c r="B22" t="str">
        <x:v>RAW-TN-16</x:v>
      </x:c>
      <x:c r="C22" t="str">
        <x:v>AM-03</x:v>
      </x:c>
      <x:c r="D22" t="str">
        <x:v>TR-A</x:v>
      </x:c>
      <x:c r="E22" t="str">
        <x:v>RFP-B2</x:v>
      </x:c>
      <x:c r="F22" t="str">
        <x:v>PTC-B</x:v>
      </x:c>
      <x:c r="G22" s="10" t="str">
        <x:v>blocked area, count, mass, centroid, permeability, grade and recovery identity</x:v>
      </x:c>
      <x:c r="H22" s="10" t="str">
        <x:v>truth interval contains physical state</x:v>
      </x:c>
      <x:c r="I22" t="str"/>
      <x:c r="J22" t="str">
        <x:v>OPEN</x:v>
      </x:c>
    </x:row>
    <x:row r="23" ht="42" customHeight="1">
      <x:c r="B23" t="str">
        <x:v>RAW-TN-17</x:v>
      </x:c>
      <x:c r="C23" t="str">
        <x:v>AM-03</x:v>
      </x:c>
      <x:c r="D23" t="str">
        <x:v>TR-A</x:v>
      </x:c>
      <x:c r="E23" t="str">
        <x:v>RFP-C1</x:v>
      </x:c>
      <x:c r="F23" t="str">
        <x:v>PTC-C</x:v>
      </x:c>
      <x:c r="G23" s="10" t="str">
        <x:v>blocked area, count, mass, centroid, permeability, grade and recovery identity</x:v>
      </x:c>
      <x:c r="H23" s="10" t="str">
        <x:v>truth interval contains physical state</x:v>
      </x:c>
      <x:c r="I23" t="str"/>
      <x:c r="J23" t="str">
        <x:v>OPEN</x:v>
      </x:c>
    </x:row>
    <x:row r="24" ht="42" customHeight="1">
      <x:c r="B24" t="str">
        <x:v>RAW-TN-18</x:v>
      </x:c>
      <x:c r="C24" t="str">
        <x:v>AM-03</x:v>
      </x:c>
      <x:c r="D24" t="str">
        <x:v>TR-A</x:v>
      </x:c>
      <x:c r="E24" t="str">
        <x:v>RFP-C2</x:v>
      </x:c>
      <x:c r="F24" t="str">
        <x:v>PTC-C</x:v>
      </x:c>
      <x:c r="G24" s="10" t="str">
        <x:v>blocked area, count, mass, centroid, permeability, grade and recovery identity</x:v>
      </x:c>
      <x:c r="H24" s="10" t="str">
        <x:v>truth interval contains physical state</x:v>
      </x:c>
      <x:c r="I24" t="str"/>
      <x:c r="J24" t="str">
        <x:v>OPEN</x:v>
      </x:c>
    </x:row>
    <x:row r="25" ht="42" customHeight="1">
      <x:c r="B25" t="str">
        <x:v>RAW-TN-19</x:v>
      </x:c>
      <x:c r="C25" t="str">
        <x:v>AM-03</x:v>
      </x:c>
      <x:c r="D25" t="str">
        <x:v>TR-B</x:v>
      </x:c>
      <x:c r="E25" t="str">
        <x:v>RFP-A1</x:v>
      </x:c>
      <x:c r="F25" t="str">
        <x:v>PTC-A</x:v>
      </x:c>
      <x:c r="G25" s="10" t="str">
        <x:v>blocked area, count, mass, centroid, permeability, grade and recovery identity</x:v>
      </x:c>
      <x:c r="H25" s="10" t="str">
        <x:v>truth interval contains physical state</x:v>
      </x:c>
      <x:c r="I25" t="str"/>
      <x:c r="J25" t="str">
        <x:v>OPEN</x:v>
      </x:c>
    </x:row>
    <x:row r="26" ht="42" customHeight="1">
      <x:c r="B26" t="str">
        <x:v>RAW-TN-20</x:v>
      </x:c>
      <x:c r="C26" t="str">
        <x:v>AM-03</x:v>
      </x:c>
      <x:c r="D26" t="str">
        <x:v>TR-B</x:v>
      </x:c>
      <x:c r="E26" t="str">
        <x:v>RFP-A2</x:v>
      </x:c>
      <x:c r="F26" t="str">
        <x:v>PTC-A</x:v>
      </x:c>
      <x:c r="G26" s="10" t="str">
        <x:v>blocked area, count, mass, centroid, permeability, grade and recovery identity</x:v>
      </x:c>
      <x:c r="H26" s="10" t="str">
        <x:v>truth interval contains physical state</x:v>
      </x:c>
      <x:c r="I26" t="str"/>
      <x:c r="J26" t="str">
        <x:v>OPEN</x:v>
      </x:c>
    </x:row>
    <x:row r="27" ht="42" customHeight="1">
      <x:c r="B27" t="str">
        <x:v>RAW-TN-21</x:v>
      </x:c>
      <x:c r="C27" t="str">
        <x:v>AM-03</x:v>
      </x:c>
      <x:c r="D27" t="str">
        <x:v>TR-B</x:v>
      </x:c>
      <x:c r="E27" t="str">
        <x:v>RFP-B1</x:v>
      </x:c>
      <x:c r="F27" t="str">
        <x:v>PTC-B</x:v>
      </x:c>
      <x:c r="G27" s="10" t="str">
        <x:v>blocked area, count, mass, centroid, permeability, grade and recovery identity</x:v>
      </x:c>
      <x:c r="H27" s="10" t="str">
        <x:v>truth interval contains physical state</x:v>
      </x:c>
      <x:c r="I27" t="str"/>
      <x:c r="J27" t="str">
        <x:v>OPEN</x:v>
      </x:c>
    </x:row>
    <x:row r="28" ht="42" customHeight="1">
      <x:c r="B28" t="str">
        <x:v>RAW-TN-22</x:v>
      </x:c>
      <x:c r="C28" t="str">
        <x:v>AM-03</x:v>
      </x:c>
      <x:c r="D28" t="str">
        <x:v>TR-B</x:v>
      </x:c>
      <x:c r="E28" t="str">
        <x:v>RFP-B2</x:v>
      </x:c>
      <x:c r="F28" t="str">
        <x:v>PTC-B</x:v>
      </x:c>
      <x:c r="G28" s="10" t="str">
        <x:v>blocked area, count, mass, centroid, permeability, grade and recovery identity</x:v>
      </x:c>
      <x:c r="H28" s="10" t="str">
        <x:v>truth interval contains physical state</x:v>
      </x:c>
      <x:c r="I28" t="str"/>
      <x:c r="J28" t="str">
        <x:v>OPEN</x:v>
      </x:c>
    </x:row>
    <x:row r="29" ht="42" customHeight="1">
      <x:c r="B29" t="str">
        <x:v>RAW-TN-23</x:v>
      </x:c>
      <x:c r="C29" t="str">
        <x:v>AM-03</x:v>
      </x:c>
      <x:c r="D29" t="str">
        <x:v>TR-B</x:v>
      </x:c>
      <x:c r="E29" t="str">
        <x:v>RFP-C1</x:v>
      </x:c>
      <x:c r="F29" t="str">
        <x:v>PTC-C</x:v>
      </x:c>
      <x:c r="G29" s="10" t="str">
        <x:v>blocked area, count, mass, centroid, permeability, grade and recovery identity</x:v>
      </x:c>
      <x:c r="H29" s="10" t="str">
        <x:v>truth interval contains physical state</x:v>
      </x:c>
      <x:c r="I29" t="str"/>
      <x:c r="J29" t="str">
        <x:v>OPEN</x:v>
      </x:c>
    </x:row>
    <x:row r="30" ht="42" customHeight="1">
      <x:c r="B30" t="str">
        <x:v>RAW-TN-24</x:v>
      </x:c>
      <x:c r="C30" t="str">
        <x:v>AM-03</x:v>
      </x:c>
      <x:c r="D30" t="str">
        <x:v>TR-B</x:v>
      </x:c>
      <x:c r="E30" t="str">
        <x:v>RFP-C2</x:v>
      </x:c>
      <x:c r="F30" t="str">
        <x:v>PTC-C</x:v>
      </x:c>
      <x:c r="G30" s="10" t="str">
        <x:v>blocked area, count, mass, centroid, permeability, grade and recovery identity</x:v>
      </x:c>
      <x:c r="H30" s="10" t="str">
        <x:v>truth interval contains physical state</x:v>
      </x:c>
      <x:c r="I30" t="str"/>
      <x:c r="J30" t="str">
        <x:v>OPEN</x:v>
      </x:c>
    </x:row>
  </x:sheetData>
  <x:conditionalFormatting sqref="J7:J30">
    <x:cfRule type="containsText" dxfId="80" priority="1" operator="containsText" text="FAIL"/>
    <x:cfRule type="containsText" dxfId="81" priority="2" operator="containsText" text="INVALID"/>
    <x:cfRule type="containsText" dxfId="82" priority="3" operator="containsText" text="BLOCKED"/>
    <x:cfRule type="containsText" dxfId="83" priority="4" operator="containsText" text="OPEN"/>
    <x:cfRule type="containsText" dxfId="84" priority="5" operator="containsText" text="GAP"/>
    <x:cfRule type="containsText" dxfId="85" priority="6" operator="containsText" text="DORMANT"/>
    <x:cfRule type="containsText" dxfId="86" priority="7" operator="containsText" text="PASS"/>
    <x:cfRule type="containsText" dxfId="87" priority="8" operator="containsText" text="VALI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63" hidden="0" customWidth="1"/>
    <x:col min="8" max="8" width="57" hidden="0" customWidth="1"/>
    <x:col min="9" max="9" width="21" hidden="0" customWidth="1"/>
    <x:col min="10" max="10" width="14" hidden="0" customWidth="1"/>
  </x:cols>
  <x:sheetData>
    <x:row r="2">
      <x:c r="B2" s="1" t="str">
        <x:v>Thirty-six fluid truth cards</x:v>
      </x:c>
    </x:row>
    <x:row r="3">
      <x:c r="B3" s="2" t="str">
        <x:v>Water, surrogate and tracer preparation retain mass, property, temperature and custody intervals.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Card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Campus</x:v>
      </x:c>
      <x:c r="G6" s="7" t="str">
        <x:v>Known-truth state</x:v>
      </x:c>
      <x:c r="H6" s="7" t="str">
        <x:v>Acceptance rule</x:v>
      </x:c>
      <x:c r="I6" s="7" t="str">
        <x:v>Accepted UTC</x:v>
      </x:c>
      <x:c r="J6" s="7" t="str">
        <x:v>State</x:v>
      </x:c>
    </x:row>
    <x:row r="7" ht="42" customHeight="1">
      <x:c r="B7" t="str">
        <x:v>RAW-FL-01</x:v>
      </x:c>
      <x:c r="C7" t="str">
        <x:v>AM-01</x:v>
      </x:c>
      <x:c r="D7" t="str">
        <x:v>TR-A</x:v>
      </x:c>
      <x:c r="E7" t="str">
        <x:v>RFP-A1</x:v>
      </x:c>
      <x:c r="F7" t="str">
        <x:v>PTC-A</x:v>
      </x:c>
      <x:c r="G7" s="10" t="str">
        <x:v>supply, return, retention, leakage, pressure and temperature</x:v>
      </x:c>
      <x:c r="H7" s="10" t="str">
        <x:v>truth interval contains physical state</x:v>
      </x:c>
      <x:c r="I7" t="str"/>
      <x:c r="J7" t="str">
        <x:v>OPEN</x:v>
      </x:c>
    </x:row>
    <x:row r="8" ht="42" customHeight="1">
      <x:c r="B8" t="str">
        <x:v>RAW-FL-02</x:v>
      </x:c>
      <x:c r="C8" t="str">
        <x:v>AM-01</x:v>
      </x:c>
      <x:c r="D8" t="str">
        <x:v>TR-A</x:v>
      </x:c>
      <x:c r="E8" t="str">
        <x:v>RFP-A2</x:v>
      </x:c>
      <x:c r="F8" t="str">
        <x:v>PTC-A</x:v>
      </x:c>
      <x:c r="G8" s="10" t="str">
        <x:v>supply, return, retention, leakage, pressure and temperature</x:v>
      </x:c>
      <x:c r="H8" s="10" t="str">
        <x:v>truth interval contains physical state</x:v>
      </x:c>
      <x:c r="I8" t="str"/>
      <x:c r="J8" t="str">
        <x:v>OPEN</x:v>
      </x:c>
    </x:row>
    <x:row r="9" ht="42" customHeight="1">
      <x:c r="B9" t="str">
        <x:v>RAW-FL-03</x:v>
      </x:c>
      <x:c r="C9" t="str">
        <x:v>AM-01</x:v>
      </x:c>
      <x:c r="D9" t="str">
        <x:v>TR-A</x:v>
      </x:c>
      <x:c r="E9" t="str">
        <x:v>RFP-B1</x:v>
      </x:c>
      <x:c r="F9" t="str">
        <x:v>PTC-B</x:v>
      </x:c>
      <x:c r="G9" s="10" t="str">
        <x:v>supply, return, retention, leakage, pressure and temperature</x:v>
      </x:c>
      <x:c r="H9" s="10" t="str">
        <x:v>truth interval contains physical state</x:v>
      </x:c>
      <x:c r="I9" t="str"/>
      <x:c r="J9" t="str">
        <x:v>OPEN</x:v>
      </x:c>
    </x:row>
    <x:row r="10" ht="42" customHeight="1">
      <x:c r="B10" t="str">
        <x:v>RAW-FL-04</x:v>
      </x:c>
      <x:c r="C10" t="str">
        <x:v>AM-01</x:v>
      </x:c>
      <x:c r="D10" t="str">
        <x:v>TR-A</x:v>
      </x:c>
      <x:c r="E10" t="str">
        <x:v>RFP-B2</x:v>
      </x:c>
      <x:c r="F10" t="str">
        <x:v>PTC-B</x:v>
      </x:c>
      <x:c r="G10" s="10" t="str">
        <x:v>supply, return, retention, leakage, pressure and temperature</x:v>
      </x:c>
      <x:c r="H10" s="10" t="str">
        <x:v>truth interval contains physical state</x:v>
      </x:c>
      <x:c r="I10" t="str"/>
      <x:c r="J10" t="str">
        <x:v>OPEN</x:v>
      </x:c>
    </x:row>
    <x:row r="11" ht="42" customHeight="1">
      <x:c r="B11" t="str">
        <x:v>RAW-FL-05</x:v>
      </x:c>
      <x:c r="C11" t="str">
        <x:v>AM-01</x:v>
      </x:c>
      <x:c r="D11" t="str">
        <x:v>TR-A</x:v>
      </x:c>
      <x:c r="E11" t="str">
        <x:v>RFP-C1</x:v>
      </x:c>
      <x:c r="F11" t="str">
        <x:v>PTC-C</x:v>
      </x:c>
      <x:c r="G11" s="10" t="str">
        <x:v>supply, return, retention, leakage, pressure and temperature</x:v>
      </x:c>
      <x:c r="H11" s="10" t="str">
        <x:v>truth interval contains physical state</x:v>
      </x:c>
      <x:c r="I11" t="str"/>
      <x:c r="J11" t="str">
        <x:v>OPEN</x:v>
      </x:c>
    </x:row>
    <x:row r="12" ht="42" customHeight="1">
      <x:c r="B12" t="str">
        <x:v>RAW-FL-06</x:v>
      </x:c>
      <x:c r="C12" t="str">
        <x:v>AM-01</x:v>
      </x:c>
      <x:c r="D12" t="str">
        <x:v>TR-A</x:v>
      </x:c>
      <x:c r="E12" t="str">
        <x:v>RFP-C2</x:v>
      </x:c>
      <x:c r="F12" t="str">
        <x:v>PTC-C</x:v>
      </x:c>
      <x:c r="G12" s="10" t="str">
        <x:v>supply, return, retention, leakage, pressure and temperature</x:v>
      </x:c>
      <x:c r="H12" s="10" t="str">
        <x:v>truth interval contains physical state</x:v>
      </x:c>
      <x:c r="I12" t="str"/>
      <x:c r="J12" t="str">
        <x:v>OPEN</x:v>
      </x:c>
    </x:row>
    <x:row r="13" ht="42" customHeight="1">
      <x:c r="B13" t="str">
        <x:v>RAW-FL-07</x:v>
      </x:c>
      <x:c r="C13" t="str">
        <x:v>AM-01</x:v>
      </x:c>
      <x:c r="D13" t="str">
        <x:v>TR-B</x:v>
      </x:c>
      <x:c r="E13" t="str">
        <x:v>RFP-A1</x:v>
      </x:c>
      <x:c r="F13" t="str">
        <x:v>PTC-A</x:v>
      </x:c>
      <x:c r="G13" s="10" t="str">
        <x:v>supply, return, retention, leakage, pressure and temperature</x:v>
      </x:c>
      <x:c r="H13" s="10" t="str">
        <x:v>truth interval contains physical state</x:v>
      </x:c>
      <x:c r="I13" t="str"/>
      <x:c r="J13" t="str">
        <x:v>OPEN</x:v>
      </x:c>
    </x:row>
    <x:row r="14" ht="42" customHeight="1">
      <x:c r="B14" t="str">
        <x:v>RAW-FL-08</x:v>
      </x:c>
      <x:c r="C14" t="str">
        <x:v>AM-01</x:v>
      </x:c>
      <x:c r="D14" t="str">
        <x:v>TR-B</x:v>
      </x:c>
      <x:c r="E14" t="str">
        <x:v>RFP-A2</x:v>
      </x:c>
      <x:c r="F14" t="str">
        <x:v>PTC-A</x:v>
      </x:c>
      <x:c r="G14" s="10" t="str">
        <x:v>supply, return, retention, leakage, pressure and temperature</x:v>
      </x:c>
      <x:c r="H14" s="10" t="str">
        <x:v>truth interval contains physical state</x:v>
      </x:c>
      <x:c r="I14" t="str"/>
      <x:c r="J14" t="str">
        <x:v>OPEN</x:v>
      </x:c>
    </x:row>
    <x:row r="15" ht="42" customHeight="1">
      <x:c r="B15" t="str">
        <x:v>RAW-FL-09</x:v>
      </x:c>
      <x:c r="C15" t="str">
        <x:v>AM-01</x:v>
      </x:c>
      <x:c r="D15" t="str">
        <x:v>TR-B</x:v>
      </x:c>
      <x:c r="E15" t="str">
        <x:v>RFP-B1</x:v>
      </x:c>
      <x:c r="F15" t="str">
        <x:v>PTC-B</x:v>
      </x:c>
      <x:c r="G15" s="10" t="str">
        <x:v>supply, return, retention, leakage, pressure and temperature</x:v>
      </x:c>
      <x:c r="H15" s="10" t="str">
        <x:v>truth interval contains physical state</x:v>
      </x:c>
      <x:c r="I15" t="str"/>
      <x:c r="J15" t="str">
        <x:v>OPEN</x:v>
      </x:c>
    </x:row>
    <x:row r="16" ht="42" customHeight="1">
      <x:c r="B16" t="str">
        <x:v>RAW-FL-10</x:v>
      </x:c>
      <x:c r="C16" t="str">
        <x:v>AM-01</x:v>
      </x:c>
      <x:c r="D16" t="str">
        <x:v>TR-B</x:v>
      </x:c>
      <x:c r="E16" t="str">
        <x:v>RFP-B2</x:v>
      </x:c>
      <x:c r="F16" t="str">
        <x:v>PTC-B</x:v>
      </x:c>
      <x:c r="G16" s="10" t="str">
        <x:v>supply, return, retention, leakage, pressure and temperature</x:v>
      </x:c>
      <x:c r="H16" s="10" t="str">
        <x:v>truth interval contains physical state</x:v>
      </x:c>
      <x:c r="I16" t="str"/>
      <x:c r="J16" t="str">
        <x:v>OPEN</x:v>
      </x:c>
    </x:row>
    <x:row r="17" ht="42" customHeight="1">
      <x:c r="B17" t="str">
        <x:v>RAW-FL-11</x:v>
      </x:c>
      <x:c r="C17" t="str">
        <x:v>AM-01</x:v>
      </x:c>
      <x:c r="D17" t="str">
        <x:v>TR-B</x:v>
      </x:c>
      <x:c r="E17" t="str">
        <x:v>RFP-C1</x:v>
      </x:c>
      <x:c r="F17" t="str">
        <x:v>PTC-C</x:v>
      </x:c>
      <x:c r="G17" s="10" t="str">
        <x:v>supply, return, retention, leakage, pressure and temperature</x:v>
      </x:c>
      <x:c r="H17" s="10" t="str">
        <x:v>truth interval contains physical state</x:v>
      </x:c>
      <x:c r="I17" t="str"/>
      <x:c r="J17" t="str">
        <x:v>OPEN</x:v>
      </x:c>
    </x:row>
    <x:row r="18" ht="42" customHeight="1">
      <x:c r="B18" t="str">
        <x:v>RAW-FL-12</x:v>
      </x:c>
      <x:c r="C18" t="str">
        <x:v>AM-01</x:v>
      </x:c>
      <x:c r="D18" t="str">
        <x:v>TR-B</x:v>
      </x:c>
      <x:c r="E18" t="str">
        <x:v>RFP-C2</x:v>
      </x:c>
      <x:c r="F18" t="str">
        <x:v>PTC-C</x:v>
      </x:c>
      <x:c r="G18" s="10" t="str">
        <x:v>supply, return, retention, leakage, pressure and temperature</x:v>
      </x:c>
      <x:c r="H18" s="10" t="str">
        <x:v>truth interval contains physical state</x:v>
      </x:c>
      <x:c r="I18" t="str"/>
      <x:c r="J18" t="str">
        <x:v>OPEN</x:v>
      </x:c>
    </x:row>
    <x:row r="19" ht="42" customHeight="1">
      <x:c r="B19" t="str">
        <x:v>RAW-FL-13</x:v>
      </x:c>
      <x:c r="C19" t="str">
        <x:v>AM-02</x:v>
      </x:c>
      <x:c r="D19" t="str">
        <x:v>TR-A</x:v>
      </x:c>
      <x:c r="E19" t="str">
        <x:v>RFP-A1</x:v>
      </x:c>
      <x:c r="F19" t="str">
        <x:v>PTC-A</x:v>
      </x:c>
      <x:c r="G19" s="10" t="str">
        <x:v>density, viscosity, surface tension, wetting, temperature and homogeneity</x:v>
      </x:c>
      <x:c r="H19" s="10" t="str">
        <x:v>truth interval contains physical state</x:v>
      </x:c>
      <x:c r="I19" t="str"/>
      <x:c r="J19" t="str">
        <x:v>OPEN</x:v>
      </x:c>
    </x:row>
    <x:row r="20" ht="42" customHeight="1">
      <x:c r="B20" t="str">
        <x:v>RAW-FL-14</x:v>
      </x:c>
      <x:c r="C20" t="str">
        <x:v>AM-02</x:v>
      </x:c>
      <x:c r="D20" t="str">
        <x:v>TR-A</x:v>
      </x:c>
      <x:c r="E20" t="str">
        <x:v>RFP-A2</x:v>
      </x:c>
      <x:c r="F20" t="str">
        <x:v>PTC-A</x:v>
      </x:c>
      <x:c r="G20" s="10" t="str">
        <x:v>density, viscosity, surface tension, wetting, temperature and homogeneity</x:v>
      </x:c>
      <x:c r="H20" s="10" t="str">
        <x:v>truth interval contains physical state</x:v>
      </x:c>
      <x:c r="I20" t="str"/>
      <x:c r="J20" t="str">
        <x:v>OPEN</x:v>
      </x:c>
    </x:row>
    <x:row r="21" ht="42" customHeight="1">
      <x:c r="B21" t="str">
        <x:v>RAW-FL-15</x:v>
      </x:c>
      <x:c r="C21" t="str">
        <x:v>AM-02</x:v>
      </x:c>
      <x:c r="D21" t="str">
        <x:v>TR-A</x:v>
      </x:c>
      <x:c r="E21" t="str">
        <x:v>RFP-B1</x:v>
      </x:c>
      <x:c r="F21" t="str">
        <x:v>PTC-B</x:v>
      </x:c>
      <x:c r="G21" s="10" t="str">
        <x:v>density, viscosity, surface tension, wetting, temperature and homogeneity</x:v>
      </x:c>
      <x:c r="H21" s="10" t="str">
        <x:v>truth interval contains physical state</x:v>
      </x:c>
      <x:c r="I21" t="str"/>
      <x:c r="J21" t="str">
        <x:v>OPEN</x:v>
      </x:c>
    </x:row>
    <x:row r="22" ht="42" customHeight="1">
      <x:c r="B22" t="str">
        <x:v>RAW-FL-16</x:v>
      </x:c>
      <x:c r="C22" t="str">
        <x:v>AM-02</x:v>
      </x:c>
      <x:c r="D22" t="str">
        <x:v>TR-A</x:v>
      </x:c>
      <x:c r="E22" t="str">
        <x:v>RFP-B2</x:v>
      </x:c>
      <x:c r="F22" t="str">
        <x:v>PTC-B</x:v>
      </x:c>
      <x:c r="G22" s="10" t="str">
        <x:v>density, viscosity, surface tension, wetting, temperature and homogeneity</x:v>
      </x:c>
      <x:c r="H22" s="10" t="str">
        <x:v>truth interval contains physical state</x:v>
      </x:c>
      <x:c r="I22" t="str"/>
      <x:c r="J22" t="str">
        <x:v>OPEN</x:v>
      </x:c>
    </x:row>
    <x:row r="23" ht="42" customHeight="1">
      <x:c r="B23" t="str">
        <x:v>RAW-FL-17</x:v>
      </x:c>
      <x:c r="C23" t="str">
        <x:v>AM-02</x:v>
      </x:c>
      <x:c r="D23" t="str">
        <x:v>TR-A</x:v>
      </x:c>
      <x:c r="E23" t="str">
        <x:v>RFP-C1</x:v>
      </x:c>
      <x:c r="F23" t="str">
        <x:v>PTC-C</x:v>
      </x:c>
      <x:c r="G23" s="10" t="str">
        <x:v>density, viscosity, surface tension, wetting, temperature and homogeneity</x:v>
      </x:c>
      <x:c r="H23" s="10" t="str">
        <x:v>truth interval contains physical state</x:v>
      </x:c>
      <x:c r="I23" t="str"/>
      <x:c r="J23" t="str">
        <x:v>OPEN</x:v>
      </x:c>
    </x:row>
    <x:row r="24" ht="42" customHeight="1">
      <x:c r="B24" t="str">
        <x:v>RAW-FL-18</x:v>
      </x:c>
      <x:c r="C24" t="str">
        <x:v>AM-02</x:v>
      </x:c>
      <x:c r="D24" t="str">
        <x:v>TR-A</x:v>
      </x:c>
      <x:c r="E24" t="str">
        <x:v>RFP-C2</x:v>
      </x:c>
      <x:c r="F24" t="str">
        <x:v>PTC-C</x:v>
      </x:c>
      <x:c r="G24" s="10" t="str">
        <x:v>density, viscosity, surface tension, wetting, temperature and homogeneity</x:v>
      </x:c>
      <x:c r="H24" s="10" t="str">
        <x:v>truth interval contains physical state</x:v>
      </x:c>
      <x:c r="I24" t="str"/>
      <x:c r="J24" t="str">
        <x:v>OPEN</x:v>
      </x:c>
    </x:row>
    <x:row r="25" ht="42" customHeight="1">
      <x:c r="B25" t="str">
        <x:v>RAW-FL-19</x:v>
      </x:c>
      <x:c r="C25" t="str">
        <x:v>AM-02</x:v>
      </x:c>
      <x:c r="D25" t="str">
        <x:v>TR-B</x:v>
      </x:c>
      <x:c r="E25" t="str">
        <x:v>RFP-A1</x:v>
      </x:c>
      <x:c r="F25" t="str">
        <x:v>PTC-A</x:v>
      </x:c>
      <x:c r="G25" s="10" t="str">
        <x:v>density, viscosity, surface tension, wetting, temperature and homogeneity</x:v>
      </x:c>
      <x:c r="H25" s="10" t="str">
        <x:v>truth interval contains physical state</x:v>
      </x:c>
      <x:c r="I25" t="str"/>
      <x:c r="J25" t="str">
        <x:v>OPEN</x:v>
      </x:c>
    </x:row>
    <x:row r="26" ht="42" customHeight="1">
      <x:c r="B26" t="str">
        <x:v>RAW-FL-20</x:v>
      </x:c>
      <x:c r="C26" t="str">
        <x:v>AM-02</x:v>
      </x:c>
      <x:c r="D26" t="str">
        <x:v>TR-B</x:v>
      </x:c>
      <x:c r="E26" t="str">
        <x:v>RFP-A2</x:v>
      </x:c>
      <x:c r="F26" t="str">
        <x:v>PTC-A</x:v>
      </x:c>
      <x:c r="G26" s="10" t="str">
        <x:v>density, viscosity, surface tension, wetting, temperature and homogeneity</x:v>
      </x:c>
      <x:c r="H26" s="10" t="str">
        <x:v>truth interval contains physical state</x:v>
      </x:c>
      <x:c r="I26" t="str"/>
      <x:c r="J26" t="str">
        <x:v>OPEN</x:v>
      </x:c>
    </x:row>
    <x:row r="27" ht="42" customHeight="1">
      <x:c r="B27" t="str">
        <x:v>RAW-FL-21</x:v>
      </x:c>
      <x:c r="C27" t="str">
        <x:v>AM-02</x:v>
      </x:c>
      <x:c r="D27" t="str">
        <x:v>TR-B</x:v>
      </x:c>
      <x:c r="E27" t="str">
        <x:v>RFP-B1</x:v>
      </x:c>
      <x:c r="F27" t="str">
        <x:v>PTC-B</x:v>
      </x:c>
      <x:c r="G27" s="10" t="str">
        <x:v>density, viscosity, surface tension, wetting, temperature and homogeneity</x:v>
      </x:c>
      <x:c r="H27" s="10" t="str">
        <x:v>truth interval contains physical state</x:v>
      </x:c>
      <x:c r="I27" t="str"/>
      <x:c r="J27" t="str">
        <x:v>OPEN</x:v>
      </x:c>
    </x:row>
    <x:row r="28" ht="42" customHeight="1">
      <x:c r="B28" t="str">
        <x:v>RAW-FL-22</x:v>
      </x:c>
      <x:c r="C28" t="str">
        <x:v>AM-02</x:v>
      </x:c>
      <x:c r="D28" t="str">
        <x:v>TR-B</x:v>
      </x:c>
      <x:c r="E28" t="str">
        <x:v>RFP-B2</x:v>
      </x:c>
      <x:c r="F28" t="str">
        <x:v>PTC-B</x:v>
      </x:c>
      <x:c r="G28" s="10" t="str">
        <x:v>density, viscosity, surface tension, wetting, temperature and homogeneity</x:v>
      </x:c>
      <x:c r="H28" s="10" t="str">
        <x:v>truth interval contains physical state</x:v>
      </x:c>
      <x:c r="I28" t="str"/>
      <x:c r="J28" t="str">
        <x:v>OPEN</x:v>
      </x:c>
    </x:row>
    <x:row r="29" ht="42" customHeight="1">
      <x:c r="B29" t="str">
        <x:v>RAW-FL-23</x:v>
      </x:c>
      <x:c r="C29" t="str">
        <x:v>AM-02</x:v>
      </x:c>
      <x:c r="D29" t="str">
        <x:v>TR-B</x:v>
      </x:c>
      <x:c r="E29" t="str">
        <x:v>RFP-C1</x:v>
      </x:c>
      <x:c r="F29" t="str">
        <x:v>PTC-C</x:v>
      </x:c>
      <x:c r="G29" s="10" t="str">
        <x:v>density, viscosity, surface tension, wetting, temperature and homogeneity</x:v>
      </x:c>
      <x:c r="H29" s="10" t="str">
        <x:v>truth interval contains physical state</x:v>
      </x:c>
      <x:c r="I29" t="str"/>
      <x:c r="J29" t="str">
        <x:v>OPEN</x:v>
      </x:c>
    </x:row>
    <x:row r="30" ht="42" customHeight="1">
      <x:c r="B30" t="str">
        <x:v>RAW-FL-24</x:v>
      </x:c>
      <x:c r="C30" t="str">
        <x:v>AM-02</x:v>
      </x:c>
      <x:c r="D30" t="str">
        <x:v>TR-B</x:v>
      </x:c>
      <x:c r="E30" t="str">
        <x:v>RFP-C2</x:v>
      </x:c>
      <x:c r="F30" t="str">
        <x:v>PTC-C</x:v>
      </x:c>
      <x:c r="G30" s="10" t="str">
        <x:v>density, viscosity, surface tension, wetting, temperature and homogeneity</x:v>
      </x:c>
      <x:c r="H30" s="10" t="str">
        <x:v>truth interval contains physical state</x:v>
      </x:c>
      <x:c r="I30" t="str"/>
      <x:c r="J30" t="str">
        <x:v>OPEN</x:v>
      </x:c>
    </x:row>
    <x:row r="31" ht="42" customHeight="1">
      <x:c r="B31" t="str">
        <x:v>RAW-FL-25</x:v>
      </x:c>
      <x:c r="C31" t="str">
        <x:v>AM-04</x:v>
      </x:c>
      <x:c r="D31" t="str">
        <x:v>TR-A</x:v>
      </x:c>
      <x:c r="E31" t="str">
        <x:v>RFP-A1</x:v>
      </x:c>
      <x:c r="F31" t="str">
        <x:v>PTC-A</x:v>
      </x:c>
      <x:c r="G31" s="10" t="str">
        <x:v>two code fractions, background, cross-talk, recovery, transit and mixture state</x:v>
      </x:c>
      <x:c r="H31" s="10" t="str">
        <x:v>truth interval contains physical state</x:v>
      </x:c>
      <x:c r="I31" t="str"/>
      <x:c r="J31" t="str">
        <x:v>OPEN</x:v>
      </x:c>
    </x:row>
    <x:row r="32" ht="42" customHeight="1">
      <x:c r="B32" t="str">
        <x:v>RAW-FL-26</x:v>
      </x:c>
      <x:c r="C32" t="str">
        <x:v>AM-04</x:v>
      </x:c>
      <x:c r="D32" t="str">
        <x:v>TR-A</x:v>
      </x:c>
      <x:c r="E32" t="str">
        <x:v>RFP-A2</x:v>
      </x:c>
      <x:c r="F32" t="str">
        <x:v>PTC-A</x:v>
      </x:c>
      <x:c r="G32" s="10" t="str">
        <x:v>two code fractions, background, cross-talk, recovery, transit and mixture state</x:v>
      </x:c>
      <x:c r="H32" s="10" t="str">
        <x:v>truth interval contains physical state</x:v>
      </x:c>
      <x:c r="I32" t="str"/>
      <x:c r="J32" t="str">
        <x:v>OPEN</x:v>
      </x:c>
    </x:row>
    <x:row r="33" ht="42" customHeight="1">
      <x:c r="B33" t="str">
        <x:v>RAW-FL-27</x:v>
      </x:c>
      <x:c r="C33" t="str">
        <x:v>AM-04</x:v>
      </x:c>
      <x:c r="D33" t="str">
        <x:v>TR-A</x:v>
      </x:c>
      <x:c r="E33" t="str">
        <x:v>RFP-B1</x:v>
      </x:c>
      <x:c r="F33" t="str">
        <x:v>PTC-B</x:v>
      </x:c>
      <x:c r="G33" s="10" t="str">
        <x:v>two code fractions, background, cross-talk, recovery, transit and mixture state</x:v>
      </x:c>
      <x:c r="H33" s="10" t="str">
        <x:v>truth interval contains physical state</x:v>
      </x:c>
      <x:c r="I33" t="str"/>
      <x:c r="J33" t="str">
        <x:v>OPEN</x:v>
      </x:c>
    </x:row>
    <x:row r="34" ht="42" customHeight="1">
      <x:c r="B34" t="str">
        <x:v>RAW-FL-28</x:v>
      </x:c>
      <x:c r="C34" t="str">
        <x:v>AM-04</x:v>
      </x:c>
      <x:c r="D34" t="str">
        <x:v>TR-A</x:v>
      </x:c>
      <x:c r="E34" t="str">
        <x:v>RFP-B2</x:v>
      </x:c>
      <x:c r="F34" t="str">
        <x:v>PTC-B</x:v>
      </x:c>
      <x:c r="G34" s="10" t="str">
        <x:v>two code fractions, background, cross-talk, recovery, transit and mixture state</x:v>
      </x:c>
      <x:c r="H34" s="10" t="str">
        <x:v>truth interval contains physical state</x:v>
      </x:c>
      <x:c r="I34" t="str"/>
      <x:c r="J34" t="str">
        <x:v>OPEN</x:v>
      </x:c>
    </x:row>
    <x:row r="35" ht="42" customHeight="1">
      <x:c r="B35" t="str">
        <x:v>RAW-FL-29</x:v>
      </x:c>
      <x:c r="C35" t="str">
        <x:v>AM-04</x:v>
      </x:c>
      <x:c r="D35" t="str">
        <x:v>TR-A</x:v>
      </x:c>
      <x:c r="E35" t="str">
        <x:v>RFP-C1</x:v>
      </x:c>
      <x:c r="F35" t="str">
        <x:v>PTC-C</x:v>
      </x:c>
      <x:c r="G35" s="10" t="str">
        <x:v>two code fractions, background, cross-talk, recovery, transit and mixture state</x:v>
      </x:c>
      <x:c r="H35" s="10" t="str">
        <x:v>truth interval contains physical state</x:v>
      </x:c>
      <x:c r="I35" t="str"/>
      <x:c r="J35" t="str">
        <x:v>OPEN</x:v>
      </x:c>
    </x:row>
    <x:row r="36" ht="42" customHeight="1">
      <x:c r="B36" t="str">
        <x:v>RAW-FL-30</x:v>
      </x:c>
      <x:c r="C36" t="str">
        <x:v>AM-04</x:v>
      </x:c>
      <x:c r="D36" t="str">
        <x:v>TR-A</x:v>
      </x:c>
      <x:c r="E36" t="str">
        <x:v>RFP-C2</x:v>
      </x:c>
      <x:c r="F36" t="str">
        <x:v>PTC-C</x:v>
      </x:c>
      <x:c r="G36" s="10" t="str">
        <x:v>two code fractions, background, cross-talk, recovery, transit and mixture state</x:v>
      </x:c>
      <x:c r="H36" s="10" t="str">
        <x:v>truth interval contains physical state</x:v>
      </x:c>
      <x:c r="I36" t="str"/>
      <x:c r="J36" t="str">
        <x:v>OPEN</x:v>
      </x:c>
    </x:row>
    <x:row r="37" ht="42" customHeight="1">
      <x:c r="B37" t="str">
        <x:v>RAW-FL-31</x:v>
      </x:c>
      <x:c r="C37" t="str">
        <x:v>AM-04</x:v>
      </x:c>
      <x:c r="D37" t="str">
        <x:v>TR-B</x:v>
      </x:c>
      <x:c r="E37" t="str">
        <x:v>RFP-A1</x:v>
      </x:c>
      <x:c r="F37" t="str">
        <x:v>PTC-A</x:v>
      </x:c>
      <x:c r="G37" s="10" t="str">
        <x:v>two code fractions, background, cross-talk, recovery, transit and mixture state</x:v>
      </x:c>
      <x:c r="H37" s="10" t="str">
        <x:v>truth interval contains physical state</x:v>
      </x:c>
      <x:c r="I37" t="str"/>
      <x:c r="J37" t="str">
        <x:v>OPEN</x:v>
      </x:c>
    </x:row>
    <x:row r="38" ht="42" customHeight="1">
      <x:c r="B38" t="str">
        <x:v>RAW-FL-32</x:v>
      </x:c>
      <x:c r="C38" t="str">
        <x:v>AM-04</x:v>
      </x:c>
      <x:c r="D38" t="str">
        <x:v>TR-B</x:v>
      </x:c>
      <x:c r="E38" t="str">
        <x:v>RFP-A2</x:v>
      </x:c>
      <x:c r="F38" t="str">
        <x:v>PTC-A</x:v>
      </x:c>
      <x:c r="G38" s="10" t="str">
        <x:v>two code fractions, background, cross-talk, recovery, transit and mixture state</x:v>
      </x:c>
      <x:c r="H38" s="10" t="str">
        <x:v>truth interval contains physical state</x:v>
      </x:c>
      <x:c r="I38" t="str"/>
      <x:c r="J38" t="str">
        <x:v>OPEN</x:v>
      </x:c>
    </x:row>
    <x:row r="39" ht="42" customHeight="1">
      <x:c r="B39" t="str">
        <x:v>RAW-FL-33</x:v>
      </x:c>
      <x:c r="C39" t="str">
        <x:v>AM-04</x:v>
      </x:c>
      <x:c r="D39" t="str">
        <x:v>TR-B</x:v>
      </x:c>
      <x:c r="E39" t="str">
        <x:v>RFP-B1</x:v>
      </x:c>
      <x:c r="F39" t="str">
        <x:v>PTC-B</x:v>
      </x:c>
      <x:c r="G39" s="10" t="str">
        <x:v>two code fractions, background, cross-talk, recovery, transit and mixture state</x:v>
      </x:c>
      <x:c r="H39" s="10" t="str">
        <x:v>truth interval contains physical state</x:v>
      </x:c>
      <x:c r="I39" t="str"/>
      <x:c r="J39" t="str">
        <x:v>OPEN</x:v>
      </x:c>
    </x:row>
    <x:row r="40" ht="42" customHeight="1">
      <x:c r="B40" t="str">
        <x:v>RAW-FL-34</x:v>
      </x:c>
      <x:c r="C40" t="str">
        <x:v>AM-04</x:v>
      </x:c>
      <x:c r="D40" t="str">
        <x:v>TR-B</x:v>
      </x:c>
      <x:c r="E40" t="str">
        <x:v>RFP-B2</x:v>
      </x:c>
      <x:c r="F40" t="str">
        <x:v>PTC-B</x:v>
      </x:c>
      <x:c r="G40" s="10" t="str">
        <x:v>two code fractions, background, cross-talk, recovery, transit and mixture state</x:v>
      </x:c>
      <x:c r="H40" s="10" t="str">
        <x:v>truth interval contains physical state</x:v>
      </x:c>
      <x:c r="I40" t="str"/>
      <x:c r="J40" t="str">
        <x:v>OPEN</x:v>
      </x:c>
    </x:row>
    <x:row r="41" ht="42" customHeight="1">
      <x:c r="B41" t="str">
        <x:v>RAW-FL-35</x:v>
      </x:c>
      <x:c r="C41" t="str">
        <x:v>AM-04</x:v>
      </x:c>
      <x:c r="D41" t="str">
        <x:v>TR-B</x:v>
      </x:c>
      <x:c r="E41" t="str">
        <x:v>RFP-C1</x:v>
      </x:c>
      <x:c r="F41" t="str">
        <x:v>PTC-C</x:v>
      </x:c>
      <x:c r="G41" s="10" t="str">
        <x:v>two code fractions, background, cross-talk, recovery, transit and mixture state</x:v>
      </x:c>
      <x:c r="H41" s="10" t="str">
        <x:v>truth interval contains physical state</x:v>
      </x:c>
      <x:c r="I41" t="str"/>
      <x:c r="J41" t="str">
        <x:v>OPEN</x:v>
      </x:c>
    </x:row>
    <x:row r="42" ht="42" customHeight="1">
      <x:c r="B42" t="str">
        <x:v>RAW-FL-36</x:v>
      </x:c>
      <x:c r="C42" t="str">
        <x:v>AM-04</x:v>
      </x:c>
      <x:c r="D42" t="str">
        <x:v>TR-B</x:v>
      </x:c>
      <x:c r="E42" t="str">
        <x:v>RFP-C2</x:v>
      </x:c>
      <x:c r="F42" t="str">
        <x:v>PTC-C</x:v>
      </x:c>
      <x:c r="G42" s="10" t="str">
        <x:v>two code fractions, background, cross-talk, recovery, transit and mixture state</x:v>
      </x:c>
      <x:c r="H42" s="10" t="str">
        <x:v>truth interval contains physical state</x:v>
      </x:c>
      <x:c r="I42" t="str"/>
      <x:c r="J42" t="str">
        <x:v>OPEN</x:v>
      </x:c>
    </x:row>
  </x:sheetData>
  <x:conditionalFormatting sqref="J7:J42">
    <x:cfRule type="containsText" dxfId="88" priority="1" operator="containsText" text="FAIL"/>
    <x:cfRule type="containsText" dxfId="89" priority="2" operator="containsText" text="INVALID"/>
    <x:cfRule type="containsText" dxfId="90" priority="3" operator="containsText" text="BLOCKED"/>
    <x:cfRule type="containsText" dxfId="91" priority="4" operator="containsText" text="OPEN"/>
    <x:cfRule type="containsText" dxfId="92" priority="5" operator="containsText" text="GAP"/>
    <x:cfRule type="containsText" dxfId="93" priority="6" operator="containsText" text="DORMANT"/>
    <x:cfRule type="containsText" dxfId="94" priority="7" operator="containsText" text="PASS"/>
    <x:cfRule type="containsText" dxfId="95" priority="8" operator="containsText" text="VALI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63" hidden="0" customWidth="1"/>
    <x:col min="8" max="8" width="57" hidden="0" customWidth="1"/>
    <x:col min="9" max="9" width="21" hidden="0" customWidth="1"/>
    <x:col min="10" max="10" width="14" hidden="0" customWidth="1"/>
  </x:cols>
  <x:sheetData>
    <x:row r="2">
      <x:c r="B2" s="1" t="str">
        <x:v>Twelve dual-code truth cards</x:v>
      </x:c>
    </x:row>
    <x:row r="3">
      <x:c r="B3" s="2" t="str">
        <x:v>Orthogonal codes are prepared, witnessed and recovered without relying on candidate analysis.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Card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Campus</x:v>
      </x:c>
      <x:c r="G6" s="7" t="str">
        <x:v>Known-truth state</x:v>
      </x:c>
      <x:c r="H6" s="7" t="str">
        <x:v>Acceptance rule</x:v>
      </x:c>
      <x:c r="I6" s="7" t="str">
        <x:v>Accepted UTC</x:v>
      </x:c>
      <x:c r="J6" s="7" t="str">
        <x:v>State</x:v>
      </x:c>
    </x:row>
    <x:row r="7" ht="42" customHeight="1">
      <x:c r="B7" t="str">
        <x:v>RAW-TR-01</x:v>
      </x:c>
      <x:c r="C7" t="str">
        <x:v>AM-04</x:v>
      </x:c>
      <x:c r="D7" t="str">
        <x:v>TR-A</x:v>
      </x:c>
      <x:c r="E7" t="str">
        <x:v>RFP-A1</x:v>
      </x:c>
      <x:c r="F7" t="str">
        <x:v>PTC-A</x:v>
      </x:c>
      <x:c r="G7" s="10" t="str">
        <x:v>source-code fraction, water-code fraction, detection limit, cross-talk and recovery</x:v>
      </x:c>
      <x:c r="H7" s="10" t="str">
        <x:v>truth interval contains physical state</x:v>
      </x:c>
      <x:c r="I7" t="str"/>
      <x:c r="J7" t="str">
        <x:v>OPEN</x:v>
      </x:c>
    </x:row>
    <x:row r="8" ht="42" customHeight="1">
      <x:c r="B8" t="str">
        <x:v>RAW-TR-02</x:v>
      </x:c>
      <x:c r="C8" t="str">
        <x:v>AM-04</x:v>
      </x:c>
      <x:c r="D8" t="str">
        <x:v>TR-A</x:v>
      </x:c>
      <x:c r="E8" t="str">
        <x:v>RFP-A2</x:v>
      </x:c>
      <x:c r="F8" t="str">
        <x:v>PTC-A</x:v>
      </x:c>
      <x:c r="G8" s="10" t="str">
        <x:v>source-code fraction, water-code fraction, detection limit, cross-talk and recovery</x:v>
      </x:c>
      <x:c r="H8" s="10" t="str">
        <x:v>truth interval contains physical state</x:v>
      </x:c>
      <x:c r="I8" t="str"/>
      <x:c r="J8" t="str">
        <x:v>OPEN</x:v>
      </x:c>
    </x:row>
    <x:row r="9" ht="42" customHeight="1">
      <x:c r="B9" t="str">
        <x:v>RAW-TR-03</x:v>
      </x:c>
      <x:c r="C9" t="str">
        <x:v>AM-04</x:v>
      </x:c>
      <x:c r="D9" t="str">
        <x:v>TR-A</x:v>
      </x:c>
      <x:c r="E9" t="str">
        <x:v>RFP-B1</x:v>
      </x:c>
      <x:c r="F9" t="str">
        <x:v>PTC-B</x:v>
      </x:c>
      <x:c r="G9" s="10" t="str">
        <x:v>source-code fraction, water-code fraction, detection limit, cross-talk and recovery</x:v>
      </x:c>
      <x:c r="H9" s="10" t="str">
        <x:v>truth interval contains physical state</x:v>
      </x:c>
      <x:c r="I9" t="str"/>
      <x:c r="J9" t="str">
        <x:v>OPEN</x:v>
      </x:c>
    </x:row>
    <x:row r="10" ht="42" customHeight="1">
      <x:c r="B10" t="str">
        <x:v>RAW-TR-04</x:v>
      </x:c>
      <x:c r="C10" t="str">
        <x:v>AM-04</x:v>
      </x:c>
      <x:c r="D10" t="str">
        <x:v>TR-A</x:v>
      </x:c>
      <x:c r="E10" t="str">
        <x:v>RFP-B2</x:v>
      </x:c>
      <x:c r="F10" t="str">
        <x:v>PTC-B</x:v>
      </x:c>
      <x:c r="G10" s="10" t="str">
        <x:v>source-code fraction, water-code fraction, detection limit, cross-talk and recovery</x:v>
      </x:c>
      <x:c r="H10" s="10" t="str">
        <x:v>truth interval contains physical state</x:v>
      </x:c>
      <x:c r="I10" t="str"/>
      <x:c r="J10" t="str">
        <x:v>OPEN</x:v>
      </x:c>
    </x:row>
    <x:row r="11" ht="42" customHeight="1">
      <x:c r="B11" t="str">
        <x:v>RAW-TR-05</x:v>
      </x:c>
      <x:c r="C11" t="str">
        <x:v>AM-04</x:v>
      </x:c>
      <x:c r="D11" t="str">
        <x:v>TR-A</x:v>
      </x:c>
      <x:c r="E11" t="str">
        <x:v>RFP-C1</x:v>
      </x:c>
      <x:c r="F11" t="str">
        <x:v>PTC-C</x:v>
      </x:c>
      <x:c r="G11" s="10" t="str">
        <x:v>source-code fraction, water-code fraction, detection limit, cross-talk and recovery</x:v>
      </x:c>
      <x:c r="H11" s="10" t="str">
        <x:v>truth interval contains physical state</x:v>
      </x:c>
      <x:c r="I11" t="str"/>
      <x:c r="J11" t="str">
        <x:v>OPEN</x:v>
      </x:c>
    </x:row>
    <x:row r="12" ht="42" customHeight="1">
      <x:c r="B12" t="str">
        <x:v>RAW-TR-06</x:v>
      </x:c>
      <x:c r="C12" t="str">
        <x:v>AM-04</x:v>
      </x:c>
      <x:c r="D12" t="str">
        <x:v>TR-A</x:v>
      </x:c>
      <x:c r="E12" t="str">
        <x:v>RFP-C2</x:v>
      </x:c>
      <x:c r="F12" t="str">
        <x:v>PTC-C</x:v>
      </x:c>
      <x:c r="G12" s="10" t="str">
        <x:v>source-code fraction, water-code fraction, detection limit, cross-talk and recovery</x:v>
      </x:c>
      <x:c r="H12" s="10" t="str">
        <x:v>truth interval contains physical state</x:v>
      </x:c>
      <x:c r="I12" t="str"/>
      <x:c r="J12" t="str">
        <x:v>OPEN</x:v>
      </x:c>
    </x:row>
    <x:row r="13" ht="42" customHeight="1">
      <x:c r="B13" t="str">
        <x:v>RAW-TR-07</x:v>
      </x:c>
      <x:c r="C13" t="str">
        <x:v>AM-04</x:v>
      </x:c>
      <x:c r="D13" t="str">
        <x:v>TR-B</x:v>
      </x:c>
      <x:c r="E13" t="str">
        <x:v>RFP-A1</x:v>
      </x:c>
      <x:c r="F13" t="str">
        <x:v>PTC-A</x:v>
      </x:c>
      <x:c r="G13" s="10" t="str">
        <x:v>source-code fraction, water-code fraction, detection limit, cross-talk and recovery</x:v>
      </x:c>
      <x:c r="H13" s="10" t="str">
        <x:v>truth interval contains physical state</x:v>
      </x:c>
      <x:c r="I13" t="str"/>
      <x:c r="J13" t="str">
        <x:v>OPEN</x:v>
      </x:c>
    </x:row>
    <x:row r="14" ht="42" customHeight="1">
      <x:c r="B14" t="str">
        <x:v>RAW-TR-08</x:v>
      </x:c>
      <x:c r="C14" t="str">
        <x:v>AM-04</x:v>
      </x:c>
      <x:c r="D14" t="str">
        <x:v>TR-B</x:v>
      </x:c>
      <x:c r="E14" t="str">
        <x:v>RFP-A2</x:v>
      </x:c>
      <x:c r="F14" t="str">
        <x:v>PTC-A</x:v>
      </x:c>
      <x:c r="G14" s="10" t="str">
        <x:v>source-code fraction, water-code fraction, detection limit, cross-talk and recovery</x:v>
      </x:c>
      <x:c r="H14" s="10" t="str">
        <x:v>truth interval contains physical state</x:v>
      </x:c>
      <x:c r="I14" t="str"/>
      <x:c r="J14" t="str">
        <x:v>OPEN</x:v>
      </x:c>
    </x:row>
    <x:row r="15" ht="42" customHeight="1">
      <x:c r="B15" t="str">
        <x:v>RAW-TR-09</x:v>
      </x:c>
      <x:c r="C15" t="str">
        <x:v>AM-04</x:v>
      </x:c>
      <x:c r="D15" t="str">
        <x:v>TR-B</x:v>
      </x:c>
      <x:c r="E15" t="str">
        <x:v>RFP-B1</x:v>
      </x:c>
      <x:c r="F15" t="str">
        <x:v>PTC-B</x:v>
      </x:c>
      <x:c r="G15" s="10" t="str">
        <x:v>source-code fraction, water-code fraction, detection limit, cross-talk and recovery</x:v>
      </x:c>
      <x:c r="H15" s="10" t="str">
        <x:v>truth interval contains physical state</x:v>
      </x:c>
      <x:c r="I15" t="str"/>
      <x:c r="J15" t="str">
        <x:v>OPEN</x:v>
      </x:c>
    </x:row>
    <x:row r="16" ht="42" customHeight="1">
      <x:c r="B16" t="str">
        <x:v>RAW-TR-10</x:v>
      </x:c>
      <x:c r="C16" t="str">
        <x:v>AM-04</x:v>
      </x:c>
      <x:c r="D16" t="str">
        <x:v>TR-B</x:v>
      </x:c>
      <x:c r="E16" t="str">
        <x:v>RFP-B2</x:v>
      </x:c>
      <x:c r="F16" t="str">
        <x:v>PTC-B</x:v>
      </x:c>
      <x:c r="G16" s="10" t="str">
        <x:v>source-code fraction, water-code fraction, detection limit, cross-talk and recovery</x:v>
      </x:c>
      <x:c r="H16" s="10" t="str">
        <x:v>truth interval contains physical state</x:v>
      </x:c>
      <x:c r="I16" t="str"/>
      <x:c r="J16" t="str">
        <x:v>OPEN</x:v>
      </x:c>
    </x:row>
    <x:row r="17" ht="42" customHeight="1">
      <x:c r="B17" t="str">
        <x:v>RAW-TR-11</x:v>
      </x:c>
      <x:c r="C17" t="str">
        <x:v>AM-04</x:v>
      </x:c>
      <x:c r="D17" t="str">
        <x:v>TR-B</x:v>
      </x:c>
      <x:c r="E17" t="str">
        <x:v>RFP-C1</x:v>
      </x:c>
      <x:c r="F17" t="str">
        <x:v>PTC-C</x:v>
      </x:c>
      <x:c r="G17" s="10" t="str">
        <x:v>source-code fraction, water-code fraction, detection limit, cross-talk and recovery</x:v>
      </x:c>
      <x:c r="H17" s="10" t="str">
        <x:v>truth interval contains physical state</x:v>
      </x:c>
      <x:c r="I17" t="str"/>
      <x:c r="J17" t="str">
        <x:v>OPEN</x:v>
      </x:c>
    </x:row>
    <x:row r="18" ht="42" customHeight="1">
      <x:c r="B18" t="str">
        <x:v>RAW-TR-12</x:v>
      </x:c>
      <x:c r="C18" t="str">
        <x:v>AM-04</x:v>
      </x:c>
      <x:c r="D18" t="str">
        <x:v>TR-B</x:v>
      </x:c>
      <x:c r="E18" t="str">
        <x:v>RFP-C2</x:v>
      </x:c>
      <x:c r="F18" t="str">
        <x:v>PTC-C</x:v>
      </x:c>
      <x:c r="G18" s="10" t="str">
        <x:v>source-code fraction, water-code fraction, detection limit, cross-talk and recovery</x:v>
      </x:c>
      <x:c r="H18" s="10" t="str">
        <x:v>truth interval contains physical state</x:v>
      </x:c>
      <x:c r="I18" t="str"/>
      <x:c r="J18" t="str">
        <x:v>OPEN</x:v>
      </x:c>
    </x:row>
  </x:sheetData>
  <x:conditionalFormatting sqref="J7:J18">
    <x:cfRule type="containsText" dxfId="96" priority="1" operator="containsText" text="FAIL"/>
    <x:cfRule type="containsText" dxfId="97" priority="2" operator="containsText" text="INVALID"/>
    <x:cfRule type="containsText" dxfId="98" priority="3" operator="containsText" text="BLOCKED"/>
    <x:cfRule type="containsText" dxfId="99" priority="4" operator="containsText" text="OPEN"/>
    <x:cfRule type="containsText" dxfId="100" priority="5" operator="containsText" text="GAP"/>
    <x:cfRule type="containsText" dxfId="101" priority="6" operator="containsText" text="DORMANT"/>
    <x:cfRule type="containsText" dxfId="102" priority="7" operator="containsText" text="PASS"/>
    <x:cfRule type="containsText" dxfId="103" priority="8" operator="containsText" text="VALI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63" hidden="0" customWidth="1"/>
    <x:col min="8" max="8" width="57" hidden="0" customWidth="1"/>
    <x:col min="9" max="9" width="21" hidden="0" customWidth="1"/>
    <x:col min="10" max="10" width="14" hidden="0" customWidth="1"/>
  </x:cols>
  <x:sheetData>
    <x:row r="2">
      <x:c r="B2" s="1" t="str">
        <x:v>Twelve debris-field truth cards</x:v>
      </x:c>
    </x:row>
    <x:row r="3">
      <x:c r="B3" s="2" t="str">
        <x:v>Each field has physical inventory, spatial state, permeability and post-trial recovery evidence.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Card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Campus</x:v>
      </x:c>
      <x:c r="G6" s="7" t="str">
        <x:v>Known-truth state</x:v>
      </x:c>
      <x:c r="H6" s="7" t="str">
        <x:v>Acceptance rule</x:v>
      </x:c>
      <x:c r="I6" s="7" t="str">
        <x:v>Accepted UTC</x:v>
      </x:c>
      <x:c r="J6" s="7" t="str">
        <x:v>State</x:v>
      </x:c>
    </x:row>
    <x:row r="7" ht="42" customHeight="1">
      <x:c r="B7" t="str">
        <x:v>RAW-DB-01</x:v>
      </x:c>
      <x:c r="C7" t="str">
        <x:v>AM-03</x:v>
      </x:c>
      <x:c r="D7" t="str">
        <x:v>TR-A</x:v>
      </x:c>
      <x:c r="E7" t="str">
        <x:v>RFP-A1</x:v>
      </x:c>
      <x:c r="F7" t="str">
        <x:v>PTC-A</x:v>
      </x:c>
      <x:c r="G7" s="10" t="str">
        <x:v>fragment serials, aggregate mass, blocked area, centroid, permeability and recovered inventory</x:v>
      </x:c>
      <x:c r="H7" s="10" t="str">
        <x:v>truth interval contains physical state</x:v>
      </x:c>
      <x:c r="I7" t="str"/>
      <x:c r="J7" t="str">
        <x:v>OPEN</x:v>
      </x:c>
    </x:row>
    <x:row r="8" ht="42" customHeight="1">
      <x:c r="B8" t="str">
        <x:v>RAW-DB-02</x:v>
      </x:c>
      <x:c r="C8" t="str">
        <x:v>AM-03</x:v>
      </x:c>
      <x:c r="D8" t="str">
        <x:v>TR-A</x:v>
      </x:c>
      <x:c r="E8" t="str">
        <x:v>RFP-A2</x:v>
      </x:c>
      <x:c r="F8" t="str">
        <x:v>PTC-A</x:v>
      </x:c>
      <x:c r="G8" s="10" t="str">
        <x:v>fragment serials, aggregate mass, blocked area, centroid, permeability and recovered inventory</x:v>
      </x:c>
      <x:c r="H8" s="10" t="str">
        <x:v>truth interval contains physical state</x:v>
      </x:c>
      <x:c r="I8" t="str"/>
      <x:c r="J8" t="str">
        <x:v>OPEN</x:v>
      </x:c>
    </x:row>
    <x:row r="9" ht="42" customHeight="1">
      <x:c r="B9" t="str">
        <x:v>RAW-DB-03</x:v>
      </x:c>
      <x:c r="C9" t="str">
        <x:v>AM-03</x:v>
      </x:c>
      <x:c r="D9" t="str">
        <x:v>TR-A</x:v>
      </x:c>
      <x:c r="E9" t="str">
        <x:v>RFP-B1</x:v>
      </x:c>
      <x:c r="F9" t="str">
        <x:v>PTC-B</x:v>
      </x:c>
      <x:c r="G9" s="10" t="str">
        <x:v>fragment serials, aggregate mass, blocked area, centroid, permeability and recovered inventory</x:v>
      </x:c>
      <x:c r="H9" s="10" t="str">
        <x:v>truth interval contains physical state</x:v>
      </x:c>
      <x:c r="I9" t="str"/>
      <x:c r="J9" t="str">
        <x:v>OPEN</x:v>
      </x:c>
    </x:row>
    <x:row r="10" ht="42" customHeight="1">
      <x:c r="B10" t="str">
        <x:v>RAW-DB-04</x:v>
      </x:c>
      <x:c r="C10" t="str">
        <x:v>AM-03</x:v>
      </x:c>
      <x:c r="D10" t="str">
        <x:v>TR-A</x:v>
      </x:c>
      <x:c r="E10" t="str">
        <x:v>RFP-B2</x:v>
      </x:c>
      <x:c r="F10" t="str">
        <x:v>PTC-B</x:v>
      </x:c>
      <x:c r="G10" s="10" t="str">
        <x:v>fragment serials, aggregate mass, blocked area, centroid, permeability and recovered inventory</x:v>
      </x:c>
      <x:c r="H10" s="10" t="str">
        <x:v>truth interval contains physical state</x:v>
      </x:c>
      <x:c r="I10" t="str"/>
      <x:c r="J10" t="str">
        <x:v>OPEN</x:v>
      </x:c>
    </x:row>
    <x:row r="11" ht="42" customHeight="1">
      <x:c r="B11" t="str">
        <x:v>RAW-DB-05</x:v>
      </x:c>
      <x:c r="C11" t="str">
        <x:v>AM-03</x:v>
      </x:c>
      <x:c r="D11" t="str">
        <x:v>TR-A</x:v>
      </x:c>
      <x:c r="E11" t="str">
        <x:v>RFP-C1</x:v>
      </x:c>
      <x:c r="F11" t="str">
        <x:v>PTC-C</x:v>
      </x:c>
      <x:c r="G11" s="10" t="str">
        <x:v>fragment serials, aggregate mass, blocked area, centroid, permeability and recovered inventory</x:v>
      </x:c>
      <x:c r="H11" s="10" t="str">
        <x:v>truth interval contains physical state</x:v>
      </x:c>
      <x:c r="I11" t="str"/>
      <x:c r="J11" t="str">
        <x:v>OPEN</x:v>
      </x:c>
    </x:row>
    <x:row r="12" ht="42" customHeight="1">
      <x:c r="B12" t="str">
        <x:v>RAW-DB-06</x:v>
      </x:c>
      <x:c r="C12" t="str">
        <x:v>AM-03</x:v>
      </x:c>
      <x:c r="D12" t="str">
        <x:v>TR-A</x:v>
      </x:c>
      <x:c r="E12" t="str">
        <x:v>RFP-C2</x:v>
      </x:c>
      <x:c r="F12" t="str">
        <x:v>PTC-C</x:v>
      </x:c>
      <x:c r="G12" s="10" t="str">
        <x:v>fragment serials, aggregate mass, blocked area, centroid, permeability and recovered inventory</x:v>
      </x:c>
      <x:c r="H12" s="10" t="str">
        <x:v>truth interval contains physical state</x:v>
      </x:c>
      <x:c r="I12" t="str"/>
      <x:c r="J12" t="str">
        <x:v>OPEN</x:v>
      </x:c>
    </x:row>
    <x:row r="13" ht="42" customHeight="1">
      <x:c r="B13" t="str">
        <x:v>RAW-DB-07</x:v>
      </x:c>
      <x:c r="C13" t="str">
        <x:v>AM-03</x:v>
      </x:c>
      <x:c r="D13" t="str">
        <x:v>TR-B</x:v>
      </x:c>
      <x:c r="E13" t="str">
        <x:v>RFP-A1</x:v>
      </x:c>
      <x:c r="F13" t="str">
        <x:v>PTC-A</x:v>
      </x:c>
      <x:c r="G13" s="10" t="str">
        <x:v>fragment serials, aggregate mass, blocked area, centroid, permeability and recovered inventory</x:v>
      </x:c>
      <x:c r="H13" s="10" t="str">
        <x:v>truth interval contains physical state</x:v>
      </x:c>
      <x:c r="I13" t="str"/>
      <x:c r="J13" t="str">
        <x:v>OPEN</x:v>
      </x:c>
    </x:row>
    <x:row r="14" ht="42" customHeight="1">
      <x:c r="B14" t="str">
        <x:v>RAW-DB-08</x:v>
      </x:c>
      <x:c r="C14" t="str">
        <x:v>AM-03</x:v>
      </x:c>
      <x:c r="D14" t="str">
        <x:v>TR-B</x:v>
      </x:c>
      <x:c r="E14" t="str">
        <x:v>RFP-A2</x:v>
      </x:c>
      <x:c r="F14" t="str">
        <x:v>PTC-A</x:v>
      </x:c>
      <x:c r="G14" s="10" t="str">
        <x:v>fragment serials, aggregate mass, blocked area, centroid, permeability and recovered inventory</x:v>
      </x:c>
      <x:c r="H14" s="10" t="str">
        <x:v>truth interval contains physical state</x:v>
      </x:c>
      <x:c r="I14" t="str"/>
      <x:c r="J14" t="str">
        <x:v>OPEN</x:v>
      </x:c>
    </x:row>
    <x:row r="15" ht="42" customHeight="1">
      <x:c r="B15" t="str">
        <x:v>RAW-DB-09</x:v>
      </x:c>
      <x:c r="C15" t="str">
        <x:v>AM-03</x:v>
      </x:c>
      <x:c r="D15" t="str">
        <x:v>TR-B</x:v>
      </x:c>
      <x:c r="E15" t="str">
        <x:v>RFP-B1</x:v>
      </x:c>
      <x:c r="F15" t="str">
        <x:v>PTC-B</x:v>
      </x:c>
      <x:c r="G15" s="10" t="str">
        <x:v>fragment serials, aggregate mass, blocked area, centroid, permeability and recovered inventory</x:v>
      </x:c>
      <x:c r="H15" s="10" t="str">
        <x:v>truth interval contains physical state</x:v>
      </x:c>
      <x:c r="I15" t="str"/>
      <x:c r="J15" t="str">
        <x:v>OPEN</x:v>
      </x:c>
    </x:row>
    <x:row r="16" ht="42" customHeight="1">
      <x:c r="B16" t="str">
        <x:v>RAW-DB-10</x:v>
      </x:c>
      <x:c r="C16" t="str">
        <x:v>AM-03</x:v>
      </x:c>
      <x:c r="D16" t="str">
        <x:v>TR-B</x:v>
      </x:c>
      <x:c r="E16" t="str">
        <x:v>RFP-B2</x:v>
      </x:c>
      <x:c r="F16" t="str">
        <x:v>PTC-B</x:v>
      </x:c>
      <x:c r="G16" s="10" t="str">
        <x:v>fragment serials, aggregate mass, blocked area, centroid, permeability and recovered inventory</x:v>
      </x:c>
      <x:c r="H16" s="10" t="str">
        <x:v>truth interval contains physical state</x:v>
      </x:c>
      <x:c r="I16" t="str"/>
      <x:c r="J16" t="str">
        <x:v>OPEN</x:v>
      </x:c>
    </x:row>
    <x:row r="17" ht="42" customHeight="1">
      <x:c r="B17" t="str">
        <x:v>RAW-DB-11</x:v>
      </x:c>
      <x:c r="C17" t="str">
        <x:v>AM-03</x:v>
      </x:c>
      <x:c r="D17" t="str">
        <x:v>TR-B</x:v>
      </x:c>
      <x:c r="E17" t="str">
        <x:v>RFP-C1</x:v>
      </x:c>
      <x:c r="F17" t="str">
        <x:v>PTC-C</x:v>
      </x:c>
      <x:c r="G17" s="10" t="str">
        <x:v>fragment serials, aggregate mass, blocked area, centroid, permeability and recovered inventory</x:v>
      </x:c>
      <x:c r="H17" s="10" t="str">
        <x:v>truth interval contains physical state</x:v>
      </x:c>
      <x:c r="I17" t="str"/>
      <x:c r="J17" t="str">
        <x:v>OPEN</x:v>
      </x:c>
    </x:row>
    <x:row r="18" ht="42" customHeight="1">
      <x:c r="B18" t="str">
        <x:v>RAW-DB-12</x:v>
      </x:c>
      <x:c r="C18" t="str">
        <x:v>AM-03</x:v>
      </x:c>
      <x:c r="D18" t="str">
        <x:v>TR-B</x:v>
      </x:c>
      <x:c r="E18" t="str">
        <x:v>RFP-C2</x:v>
      </x:c>
      <x:c r="F18" t="str">
        <x:v>PTC-C</x:v>
      </x:c>
      <x:c r="G18" s="10" t="str">
        <x:v>fragment serials, aggregate mass, blocked area, centroid, permeability and recovered inventory</x:v>
      </x:c>
      <x:c r="H18" s="10" t="str">
        <x:v>truth interval contains physical state</x:v>
      </x:c>
      <x:c r="I18" t="str"/>
      <x:c r="J18" t="str">
        <x:v>OPEN</x:v>
      </x:c>
    </x:row>
  </x:sheetData>
  <x:conditionalFormatting sqref="J7:J18">
    <x:cfRule type="containsText" dxfId="104" priority="1" operator="containsText" text="FAIL"/>
    <x:cfRule type="containsText" dxfId="105" priority="2" operator="containsText" text="INVALID"/>
    <x:cfRule type="containsText" dxfId="106" priority="3" operator="containsText" text="BLOCKED"/>
    <x:cfRule type="containsText" dxfId="107" priority="4" operator="containsText" text="OPEN"/>
    <x:cfRule type="containsText" dxfId="108" priority="5" operator="containsText" text="GAP"/>
    <x:cfRule type="containsText" dxfId="109" priority="6" operator="containsText" text="DORMANT"/>
    <x:cfRule type="containsText" dxfId="110" priority="7" operator="containsText" text="PASS"/>
    <x:cfRule type="containsText" dxfId="111" priority="8" operator="containsText" text="VALI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9" hidden="0" customWidth="1"/>
    <x:col min="5" max="5" width="21" hidden="0" customWidth="1"/>
    <x:col min="6" max="6" width="20" hidden="0" customWidth="1"/>
    <x:col min="7" max="7" width="18" hidden="0" customWidth="1"/>
    <x:col min="8" max="8" width="19" hidden="0" customWidth="1"/>
    <x:col min="9" max="9" width="19" hidden="0" customWidth="1"/>
    <x:col min="10" max="10" width="17" hidden="0" customWidth="1"/>
    <x:col min="11" max="11" width="21" hidden="0" customWidth="1"/>
    <x:col min="12" max="12" width="14" hidden="0" customWidth="1"/>
  </x:cols>
  <x:sheetData>
    <x:row r="2">
      <x:c r="B2" s="1" t="str">
        <x:v>Thirty truth-envelope uncertainty chains</x:v>
      </x:c>
    </x:row>
    <x:row r="3">
      <x:c r="B3" s="2" t="str">
        <x:v>Root-sum-square applies only to declared uncorrelated terms. Shared causes require amendment.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Envelope</x:v>
      </x:c>
      <x:c r="C6" s="7" t="str">
        <x:v>Method</x:v>
      </x:c>
      <x:c r="D6" s="7" t="str">
        <x:v>Truth artifact</x:v>
      </x:c>
      <x:c r="E6" s="7" t="str">
        <x:v>Instrumentation</x:v>
      </x:c>
      <x:c r="F6" s="7" t="str">
        <x:v>State stability</x:v>
      </x:c>
      <x:c r="G6" s="7" t="str">
        <x:v>Transfer</x:v>
      </x:c>
      <x:c r="H6" s="7" t="str">
        <x:v>RSS standard</x:v>
      </x:c>
      <x:c r="I6" s="7" t="str">
        <x:v>Expanded k=2</x:v>
      </x:c>
      <x:c r="J6" s="7" t="str">
        <x:v>Tolerance</x:v>
      </x:c>
      <x:c r="K6" s="7" t="str">
        <x:v>Accepted UTC</x:v>
      </x:c>
      <x:c r="L6" s="7" t="str">
        <x:v>State</x:v>
      </x:c>
    </x:row>
    <x:row r="7">
      <x:c r="B7" t="str">
        <x:v>RAW-V01</x:v>
      </x:c>
      <x:c r="C7" t="str">
        <x:v>AM-00</x:v>
      </x:c>
      <x:c r="D7" s="14" t="n">
        <x:v>0.000004000000000000001</x:v>
      </x:c>
      <x:c r="E7" s="14" t="n">
        <x:v>0.000006</x:v>
      </x:c>
      <x:c r="F7" s="14" t="n">
        <x:v>0.0000020000000000000003</x:v>
      </x:c>
      <x:c r="G7" s="14" t="n">
        <x:v>0.000004000000000000001</x:v>
      </x:c>
      <x:c r="H7" s="14" t="n">
        <x:f>SQRT(SUMSQ(D7:G7))</x:f>
        <x:v>0.000008485281374238571</x:v>
      </x:c>
      <x:c r="I7" s="14" t="n">
        <x:f>2*H7</x:f>
        <x:v>0.000016970562748477143</x:v>
      </x:c>
      <x:c r="J7" s="14" t="n">
        <x:v>0.0002</x:v>
      </x:c>
      <x:c r="K7" t="str"/>
      <x:c r="L7" t="str">
        <x:f>IF(K7&lt;&gt;"",IF(I7&lt;=J7,"PASS","FAIL"),"OPEN")</x:f>
        <x:v>OPEN</x:v>
      </x:c>
    </x:row>
    <x:row r="8">
      <x:c r="B8" t="str">
        <x:v>RAW-V02</x:v>
      </x:c>
      <x:c r="C8" t="str">
        <x:v>AM-00</x:v>
      </x:c>
      <x:c r="D8" s="14" t="n">
        <x:v>0.0002</x:v>
      </x:c>
      <x:c r="E8" s="14" t="n">
        <x:v>0.0003</x:v>
      </x:c>
      <x:c r="F8" s="14" t="n">
        <x:v>0.0001</x:v>
      </x:c>
      <x:c r="G8" s="14" t="n">
        <x:v>0.0002</x:v>
      </x:c>
      <x:c r="H8" s="14" t="n">
        <x:f>SQRT(SUMSQ(D8:G8))</x:f>
        <x:v>0.0004242640687119285</x:v>
      </x:c>
      <x:c r="I8" s="14" t="n">
        <x:f>2*H8</x:f>
        <x:v>0.000848528137423857</x:v>
      </x:c>
      <x:c r="J8" s="14" t="n">
        <x:v>0.0005</x:v>
      </x:c>
      <x:c r="K8" t="str"/>
      <x:c r="L8" t="str">
        <x:f>IF(K8&lt;&gt;"",IF(I8&lt;=J8,"PASS","FAIL"),"OPEN")</x:f>
        <x:v>OPEN</x:v>
      </x:c>
    </x:row>
    <x:row r="9">
      <x:c r="B9" t="str">
        <x:v>RAW-V03</x:v>
      </x:c>
      <x:c r="C9" t="str">
        <x:v>AM-00</x:v>
      </x:c>
      <x:c r="D9" s="14" t="n">
        <x:v>0.0003</x:v>
      </x:c>
      <x:c r="E9" s="14" t="n">
        <x:v>0.00045</x:v>
      </x:c>
      <x:c r="F9" s="14" t="n">
        <x:v>0.00015</x:v>
      </x:c>
      <x:c r="G9" s="14" t="n">
        <x:v>0.0003</x:v>
      </x:c>
      <x:c r="H9" s="14" t="n">
        <x:f>SQRT(SUMSQ(D9:G9))</x:f>
        <x:v>0.0006363961030678928</x:v>
      </x:c>
      <x:c r="I9" s="14" t="n">
        <x:f>2*H9</x:f>
        <x:v>0.0012727922061357855</x:v>
      </x:c>
      <x:c r="J9" s="14" t="n">
        <x:v>0.0005</x:v>
      </x:c>
      <x:c r="K9" t="str"/>
      <x:c r="L9" t="str">
        <x:f>IF(K9&lt;&gt;"",IF(I9&lt;=J9,"PASS","FAIL"),"OPEN")</x:f>
        <x:v>OPEN</x:v>
      </x:c>
    </x:row>
    <x:row r="10">
      <x:c r="B10" t="str">
        <x:v>RAW-V04</x:v>
      </x:c>
      <x:c r="C10" t="str">
        <x:v>AM-00</x:v>
      </x:c>
      <x:c r="D10" s="14" t="n">
        <x:v>0.00015</x:v>
      </x:c>
      <x:c r="E10" s="14" t="n">
        <x:v>0.000225</x:v>
      </x:c>
      <x:c r="F10" s="14" t="n">
        <x:v>0.000075</x:v>
      </x:c>
      <x:c r="G10" s="14" t="n">
        <x:v>0.00015</x:v>
      </x:c>
      <x:c r="H10" s="14" t="n">
        <x:f>SQRT(SUMSQ(D10:G10))</x:f>
        <x:v>0.0003181980515339464</x:v>
      </x:c>
      <x:c r="I10" s="14" t="n">
        <x:f>2*H10</x:f>
        <x:v>0.0006363961030678928</x:v>
      </x:c>
      <x:c r="J10" s="14" t="n">
        <x:v>0.0005</x:v>
      </x:c>
      <x:c r="K10" t="str"/>
      <x:c r="L10" t="str">
        <x:f>IF(K10&lt;&gt;"",IF(I10&lt;=J10,"PASS","FAIL"),"OPEN")</x:f>
        <x:v>OPEN</x:v>
      </x:c>
    </x:row>
    <x:row r="11">
      <x:c r="B11" t="str">
        <x:v>RAW-V05</x:v>
      </x:c>
      <x:c r="C11" t="str">
        <x:v>AM-00</x:v>
      </x:c>
      <x:c r="D11" s="14" t="n">
        <x:v>0.0001</x:v>
      </x:c>
      <x:c r="E11" s="14" t="n">
        <x:v>0.00015</x:v>
      </x:c>
      <x:c r="F11" s="14" t="n">
        <x:v>0.00005</x:v>
      </x:c>
      <x:c r="G11" s="14" t="n">
        <x:v>0.0001</x:v>
      </x:c>
      <x:c r="H11" s="14" t="n">
        <x:f>SQRT(SUMSQ(D11:G11))</x:f>
        <x:v>0.00021213203435596425</x:v>
      </x:c>
      <x:c r="I11" s="14" t="n">
        <x:f>2*H11</x:f>
        <x:v>0.0004242640687119285</x:v>
      </x:c>
      <x:c r="J11" s="14" t="n">
        <x:v>0.0005</x:v>
      </x:c>
      <x:c r="K11" t="str"/>
      <x:c r="L11" t="str">
        <x:f>IF(K11&lt;&gt;"",IF(I11&lt;=J11,"PASS","FAIL"),"OPEN")</x:f>
        <x:v>OPEN</x:v>
      </x:c>
    </x:row>
    <x:row r="12">
      <x:c r="B12" t="str">
        <x:v>RAW-V06</x:v>
      </x:c>
      <x:c r="C12" t="str">
        <x:v>AM-00</x:v>
      </x:c>
      <x:c r="D12" s="14" t="n">
        <x:v>0.0002</x:v>
      </x:c>
      <x:c r="E12" s="14" t="n">
        <x:v>0.0003</x:v>
      </x:c>
      <x:c r="F12" s="14" t="n">
        <x:v>0.0001</x:v>
      </x:c>
      <x:c r="G12" s="14" t="n">
        <x:v>0.0002</x:v>
      </x:c>
      <x:c r="H12" s="14" t="n">
        <x:f>SQRT(SUMSQ(D12:G12))</x:f>
        <x:v>0.0004242640687119285</x:v>
      </x:c>
      <x:c r="I12" s="14" t="n">
        <x:f>2*H12</x:f>
        <x:v>0.000848528137423857</x:v>
      </x:c>
      <x:c r="J12" s="14" t="n">
        <x:v>0.0005</x:v>
      </x:c>
      <x:c r="K12" t="str"/>
      <x:c r="L12" t="str">
        <x:f>IF(K12&lt;&gt;"",IF(I12&lt;=J12,"PASS","FAIL"),"OPEN")</x:f>
        <x:v>OPEN</x:v>
      </x:c>
    </x:row>
    <x:row r="13">
      <x:c r="B13" t="str">
        <x:v>RAW-V07</x:v>
      </x:c>
      <x:c r="C13" t="str">
        <x:v>AM-01</x:v>
      </x:c>
      <x:c r="D13" s="14" t="n">
        <x:v>0.005000000000000001</x:v>
      </x:c>
      <x:c r="E13" s="14" t="n">
        <x:v>0.00625</x:v>
      </x:c>
      <x:c r="F13" s="14" t="n">
        <x:v>0.0025000000000000005</x:v>
      </x:c>
      <x:c r="G13" s="14" t="n">
        <x:v>0.005000000000000001</x:v>
      </x:c>
      <x:c r="H13" s="14" t="n">
        <x:f>SQRT(SUMSQ(D13:G13))</x:f>
        <x:v>0.00976281209488332</x:v>
      </x:c>
      <x:c r="I13" s="14" t="n">
        <x:f>2*H13</x:f>
        <x:v>0.01952562418976664</x:v>
      </x:c>
      <x:c r="J13" s="14" t="n">
        <x:v>0.025</x:v>
      </x:c>
      <x:c r="K13" t="str"/>
      <x:c r="L13" t="str">
        <x:f>IF(K13&lt;&gt;"",IF(I13&lt;=J13,"PASS","FAIL"),"OPEN")</x:f>
        <x:v>OPEN</x:v>
      </x:c>
    </x:row>
    <x:row r="14">
      <x:c r="B14" t="str">
        <x:v>RAW-V08</x:v>
      </x:c>
      <x:c r="C14" t="str">
        <x:v>AM-01</x:v>
      </x:c>
      <x:c r="D14" s="14" t="n">
        <x:v>0.005000000000000001</x:v>
      </x:c>
      <x:c r="E14" s="14" t="n">
        <x:v>0.00625</x:v>
      </x:c>
      <x:c r="F14" s="14" t="n">
        <x:v>0.0025000000000000005</x:v>
      </x:c>
      <x:c r="G14" s="14" t="n">
        <x:v>0.005000000000000001</x:v>
      </x:c>
      <x:c r="H14" s="14" t="n">
        <x:f>SQRT(SUMSQ(D14:G14))</x:f>
        <x:v>0.00976281209488332</x:v>
      </x:c>
      <x:c r="I14" s="14" t="n">
        <x:f>2*H14</x:f>
        <x:v>0.01952562418976664</x:v>
      </x:c>
      <x:c r="J14" s="14" t="n">
        <x:v>0.025</x:v>
      </x:c>
      <x:c r="K14" t="str"/>
      <x:c r="L14" t="str">
        <x:f>IF(K14&lt;&gt;"",IF(I14&lt;=J14,"PASS","FAIL"),"OPEN")</x:f>
        <x:v>OPEN</x:v>
      </x:c>
    </x:row>
    <x:row r="15">
      <x:c r="B15" t="str">
        <x:v>RAW-V09</x:v>
      </x:c>
      <x:c r="C15" t="str">
        <x:v>AM-01</x:v>
      </x:c>
      <x:c r="D15" s="14" t="n">
        <x:v>0.015</x:v>
      </x:c>
      <x:c r="E15" s="14" t="n">
        <x:v>0.01875</x:v>
      </x:c>
      <x:c r="F15" s="14" t="n">
        <x:v>0.0075</x:v>
      </x:c>
      <x:c r="G15" s="14" t="n">
        <x:v>0.015</x:v>
      </x:c>
      <x:c r="H15" s="14" t="n">
        <x:f>SQRT(SUMSQ(D15:G15))</x:f>
        <x:v>0.029288436284649954</x:v>
      </x:c>
      <x:c r="I15" s="14" t="n">
        <x:f>2*H15</x:f>
        <x:v>0.05857687256929991</x:v>
      </x:c>
      <x:c r="J15" s="14" t="n">
        <x:v>0.075</x:v>
      </x:c>
      <x:c r="K15" t="str"/>
      <x:c r="L15" t="str">
        <x:f>IF(K15&lt;&gt;"",IF(I15&lt;=J15,"PASS","FAIL"),"OPEN")</x:f>
        <x:v>OPEN</x:v>
      </x:c>
    </x:row>
    <x:row r="16">
      <x:c r="B16" t="str">
        <x:v>RAW-V10</x:v>
      </x:c>
      <x:c r="C16" t="str">
        <x:v>AM-01</x:v>
      </x:c>
      <x:c r="D16" s="14" t="n">
        <x:v>0.010000000000000002</x:v>
      </x:c>
      <x:c r="E16" s="14" t="n">
        <x:v>0.0125</x:v>
      </x:c>
      <x:c r="F16" s="14" t="n">
        <x:v>0.005000000000000001</x:v>
      </x:c>
      <x:c r="G16" s="14" t="n">
        <x:v>0.010000000000000002</x:v>
      </x:c>
      <x:c r="H16" s="14" t="n">
        <x:f>SQRT(SUMSQ(D16:G16))</x:f>
        <x:v>0.01952562418976664</x:v>
      </x:c>
      <x:c r="I16" s="14" t="n">
        <x:f>2*H16</x:f>
        <x:v>0.03905124837953328</x:v>
      </x:c>
      <x:c r="J16" s="14" t="n">
        <x:v>0.05</x:v>
      </x:c>
      <x:c r="K16" t="str"/>
      <x:c r="L16" t="str">
        <x:f>IF(K16&lt;&gt;"",IF(I16&lt;=J16,"PASS","FAIL"),"OPEN")</x:f>
        <x:v>OPEN</x:v>
      </x:c>
    </x:row>
    <x:row r="17">
      <x:c r="B17" t="str">
        <x:v>RAW-V11</x:v>
      </x:c>
      <x:c r="C17" t="str">
        <x:v>AM-01</x:v>
      </x:c>
      <x:c r="D17" s="14" t="n">
        <x:v>0.010000000000000002</x:v>
      </x:c>
      <x:c r="E17" s="14" t="n">
        <x:v>0.0125</x:v>
      </x:c>
      <x:c r="F17" s="14" t="n">
        <x:v>0.005000000000000001</x:v>
      </x:c>
      <x:c r="G17" s="14" t="n">
        <x:v>0.010000000000000002</x:v>
      </x:c>
      <x:c r="H17" s="14" t="n">
        <x:f>SQRT(SUMSQ(D17:G17))</x:f>
        <x:v>0.01952562418976664</x:v>
      </x:c>
      <x:c r="I17" s="14" t="n">
        <x:f>2*H17</x:f>
        <x:v>0.03905124837953328</x:v>
      </x:c>
      <x:c r="J17" s="14" t="n">
        <x:v>0.05</x:v>
      </x:c>
      <x:c r="K17" t="str"/>
      <x:c r="L17" t="str">
        <x:f>IF(K17&lt;&gt;"",IF(I17&lt;=J17,"PASS","FAIL"),"OPEN")</x:f>
        <x:v>OPEN</x:v>
      </x:c>
    </x:row>
    <x:row r="18">
      <x:c r="B18" t="str">
        <x:v>RAW-V12</x:v>
      </x:c>
      <x:c r="C18" t="str">
        <x:v>AM-01</x:v>
      </x:c>
      <x:c r="D18" s="14" t="n">
        <x:v>0.010000000000000002</x:v>
      </x:c>
      <x:c r="E18" s="14" t="n">
        <x:v>0.0125</x:v>
      </x:c>
      <x:c r="F18" s="14" t="n">
        <x:v>0.005000000000000001</x:v>
      </x:c>
      <x:c r="G18" s="14" t="n">
        <x:v>0.010000000000000002</x:v>
      </x:c>
      <x:c r="H18" s="14" t="n">
        <x:f>SQRT(SUMSQ(D18:G18))</x:f>
        <x:v>0.01952562418976664</x:v>
      </x:c>
      <x:c r="I18" s="14" t="n">
        <x:f>2*H18</x:f>
        <x:v>0.03905124837953328</x:v>
      </x:c>
      <x:c r="J18" s="14" t="n">
        <x:v>0.05</x:v>
      </x:c>
      <x:c r="K18" t="str"/>
      <x:c r="L18" t="str">
        <x:f>IF(K18&lt;&gt;"",IF(I18&lt;=J18,"PASS","FAIL"),"OPEN")</x:f>
        <x:v>OPEN</x:v>
      </x:c>
    </x:row>
    <x:row r="19">
      <x:c r="B19" t="str">
        <x:v>RAW-V13</x:v>
      </x:c>
      <x:c r="C19" t="str">
        <x:v>AM-02</x:v>
      </x:c>
      <x:c r="D19" s="14" t="n">
        <x:v>0.25</x:v>
      </x:c>
      <x:c r="E19" s="14" t="n">
        <x:v>0.2</x:v>
      </x:c>
      <x:c r="F19" s="14" t="n">
        <x:v>0.1</x:v>
      </x:c>
      <x:c r="G19" s="14" t="n">
        <x:v>0.2</x:v>
      </x:c>
      <x:c r="H19" s="14" t="n">
        <x:f>SQRT(SUMSQ(D19:G19))</x:f>
        <x:v>0.39051248379533277</x:v>
      </x:c>
      <x:c r="I19" s="14" t="n">
        <x:f>2*H19</x:f>
        <x:v>0.7810249675906655</x:v>
      </x:c>
      <x:c r="J19" s="14" t="n">
        <x:v>1</x:v>
      </x:c>
      <x:c r="K19" t="str"/>
      <x:c r="L19" t="str">
        <x:f>IF(K19&lt;&gt;"",IF(I19&lt;=J19,"PASS","FAIL"),"OPEN")</x:f>
        <x:v>OPEN</x:v>
      </x:c>
    </x:row>
    <x:row r="20">
      <x:c r="B20" t="str">
        <x:v>RAW-V14</x:v>
      </x:c>
      <x:c r="C20" t="str">
        <x:v>AM-02</x:v>
      </x:c>
      <x:c r="D20" s="14" t="n">
        <x:v>0.25</x:v>
      </x:c>
      <x:c r="E20" s="14" t="n">
        <x:v>0.2</x:v>
      </x:c>
      <x:c r="F20" s="14" t="n">
        <x:v>0.1</x:v>
      </x:c>
      <x:c r="G20" s="14" t="n">
        <x:v>0.2</x:v>
      </x:c>
      <x:c r="H20" s="14" t="n">
        <x:f>SQRT(SUMSQ(D20:G20))</x:f>
        <x:v>0.39051248379533277</x:v>
      </x:c>
      <x:c r="I20" s="14" t="n">
        <x:f>2*H20</x:f>
        <x:v>0.7810249675906655</x:v>
      </x:c>
      <x:c r="J20" s="14" t="n">
        <x:v>1</x:v>
      </x:c>
      <x:c r="K20" t="str"/>
      <x:c r="L20" t="str">
        <x:f>IF(K20&lt;&gt;"",IF(I20&lt;=J20,"PASS","FAIL"),"OPEN")</x:f>
        <x:v>OPEN</x:v>
      </x:c>
    </x:row>
    <x:row r="21">
      <x:c r="B21" t="str">
        <x:v>RAW-V15</x:v>
      </x:c>
      <x:c r="C21" t="str">
        <x:v>AM-02</x:v>
      </x:c>
      <x:c r="D21" s="14" t="n">
        <x:v>0.5</x:v>
      </x:c>
      <x:c r="E21" s="14" t="n">
        <x:v>0.4</x:v>
      </x:c>
      <x:c r="F21" s="14" t="n">
        <x:v>0.2</x:v>
      </x:c>
      <x:c r="G21" s="14" t="n">
        <x:v>0.4</x:v>
      </x:c>
      <x:c r="H21" s="14" t="n">
        <x:f>SQRT(SUMSQ(D21:G21))</x:f>
        <x:v>0.7810249675906655</x:v>
      </x:c>
      <x:c r="I21" s="14" t="n">
        <x:f>2*H21</x:f>
        <x:v>1.562049935181331</x:v>
      </x:c>
      <x:c r="J21" s="14" t="n">
        <x:v>2</x:v>
      </x:c>
      <x:c r="K21" t="str"/>
      <x:c r="L21" t="str">
        <x:f>IF(K21&lt;&gt;"",IF(I21&lt;=J21,"PASS","FAIL"),"OPEN")</x:f>
        <x:v>OPEN</x:v>
      </x:c>
    </x:row>
    <x:row r="22">
      <x:c r="B22" t="str">
        <x:v>RAW-V16</x:v>
      </x:c>
      <x:c r="C22" t="str">
        <x:v>AM-02</x:v>
      </x:c>
      <x:c r="D22" s="14" t="n">
        <x:v>0.375</x:v>
      </x:c>
      <x:c r="E22" s="14" t="n">
        <x:v>0.30000000000000004</x:v>
      </x:c>
      <x:c r="F22" s="14" t="n">
        <x:v>0.15000000000000002</x:v>
      </x:c>
      <x:c r="G22" s="14" t="n">
        <x:v>0.30000000000000004</x:v>
      </x:c>
      <x:c r="H22" s="14" t="n">
        <x:f>SQRT(SUMSQ(D22:G22))</x:f>
        <x:v>0.5857687256929991</x:v>
      </x:c>
      <x:c r="I22" s="14" t="n">
        <x:f>2*H22</x:f>
        <x:v>1.1715374513859982</x:v>
      </x:c>
      <x:c r="J22" s="14" t="n">
        <x:v>1.5</x:v>
      </x:c>
      <x:c r="K22" t="str"/>
      <x:c r="L22" t="str">
        <x:f>IF(K22&lt;&gt;"",IF(I22&lt;=J22,"PASS","FAIL"),"OPEN")</x:f>
        <x:v>OPEN</x:v>
      </x:c>
    </x:row>
    <x:row r="23">
      <x:c r="B23" t="str">
        <x:v>RAW-V17</x:v>
      </x:c>
      <x:c r="C23" t="str">
        <x:v>AM-02</x:v>
      </x:c>
      <x:c r="D23" s="14" t="n">
        <x:v>0.5</x:v>
      </x:c>
      <x:c r="E23" s="14" t="n">
        <x:v>0.4</x:v>
      </x:c>
      <x:c r="F23" s="14" t="n">
        <x:v>0.2</x:v>
      </x:c>
      <x:c r="G23" s="14" t="n">
        <x:v>0.4</x:v>
      </x:c>
      <x:c r="H23" s="14" t="n">
        <x:f>SQRT(SUMSQ(D23:G23))</x:f>
        <x:v>0.7810249675906655</x:v>
      </x:c>
      <x:c r="I23" s="14" t="n">
        <x:f>2*H23</x:f>
        <x:v>1.562049935181331</x:v>
      </x:c>
      <x:c r="J23" s="14" t="n">
        <x:v>2</x:v>
      </x:c>
      <x:c r="K23" t="str"/>
      <x:c r="L23" t="str">
        <x:f>IF(K23&lt;&gt;"",IF(I23&lt;=J23,"PASS","FAIL"),"OPEN")</x:f>
        <x:v>OPEN</x:v>
      </x:c>
    </x:row>
    <x:row r="24">
      <x:c r="B24" t="str">
        <x:v>RAW-V18</x:v>
      </x:c>
      <x:c r="C24" t="str">
        <x:v>AM-02</x:v>
      </x:c>
      <x:c r="D24" s="14" t="n">
        <x:v>0.375</x:v>
      </x:c>
      <x:c r="E24" s="14" t="n">
        <x:v>0.30000000000000004</x:v>
      </x:c>
      <x:c r="F24" s="14" t="n">
        <x:v>0.15000000000000002</x:v>
      </x:c>
      <x:c r="G24" s="14" t="n">
        <x:v>0.30000000000000004</x:v>
      </x:c>
      <x:c r="H24" s="14" t="n">
        <x:f>SQRT(SUMSQ(D24:G24))</x:f>
        <x:v>0.5857687256929991</x:v>
      </x:c>
      <x:c r="I24" s="14" t="n">
        <x:f>2*H24</x:f>
        <x:v>1.1715374513859982</x:v>
      </x:c>
      <x:c r="J24" s="14" t="n">
        <x:v>1.5</x:v>
      </x:c>
      <x:c r="K24" t="str"/>
      <x:c r="L24" t="str">
        <x:f>IF(K24&lt;&gt;"",IF(I24&lt;=J24,"PASS","FAIL"),"OPEN")</x:f>
        <x:v>OPEN</x:v>
      </x:c>
    </x:row>
    <x:row r="25">
      <x:c r="B25" t="str">
        <x:v>RAW-V19</x:v>
      </x:c>
      <x:c r="C25" t="str">
        <x:v>AM-03</x:v>
      </x:c>
      <x:c r="D25" s="14" t="n">
        <x:v>0.001</x:v>
      </x:c>
      <x:c r="E25" s="14" t="n">
        <x:v>0.0015</x:v>
      </x:c>
      <x:c r="F25" s="14" t="n">
        <x:v>0.0005</x:v>
      </x:c>
      <x:c r="G25" s="14" t="n">
        <x:v>0.001</x:v>
      </x:c>
      <x:c r="H25" s="14" t="n">
        <x:f>SQRT(SUMSQ(D25:G25))</x:f>
        <x:v>0.0021213203435596424</x:v>
      </x:c>
      <x:c r="I25" s="14" t="n">
        <x:f>2*H25</x:f>
        <x:v>0.004242640687119285</x:v>
      </x:c>
      <x:c r="J25" s="14" t="n">
        <x:v>0.005</x:v>
      </x:c>
      <x:c r="K25" t="str"/>
      <x:c r="L25" t="str">
        <x:f>IF(K25&lt;&gt;"",IF(I25&lt;=J25,"PASS","FAIL"),"OPEN")</x:f>
        <x:v>OPEN</x:v>
      </x:c>
    </x:row>
    <x:row r="26">
      <x:c r="B26" t="str">
        <x:v>RAW-V20</x:v>
      </x:c>
      <x:c r="C26" t="str">
        <x:v>AM-03</x:v>
      </x:c>
      <x:c r="D26" s="14" t="n">
        <x:v>0.001</x:v>
      </x:c>
      <x:c r="E26" s="14" t="n">
        <x:v>0.0015</x:v>
      </x:c>
      <x:c r="F26" s="14" t="n">
        <x:v>0.0005</x:v>
      </x:c>
      <x:c r="G26" s="14" t="n">
        <x:v>0.001</x:v>
      </x:c>
      <x:c r="H26" s="14" t="n">
        <x:f>SQRT(SUMSQ(D26:G26))</x:f>
        <x:v>0.0021213203435596424</x:v>
      </x:c>
      <x:c r="I26" s="14" t="n">
        <x:f>2*H26</x:f>
        <x:v>0.004242640687119285</x:v>
      </x:c>
      <x:c r="J26" s="14" t="n">
        <x:v>0.005</x:v>
      </x:c>
      <x:c r="K26" t="str"/>
      <x:c r="L26" t="str">
        <x:f>IF(K26&lt;&gt;"",IF(I26&lt;=J26,"PASS","FAIL"),"OPEN")</x:f>
        <x:v>OPEN</x:v>
      </x:c>
    </x:row>
    <x:row r="27">
      <x:c r="B27" t="str">
        <x:v>RAW-V21</x:v>
      </x:c>
      <x:c r="C27" t="str">
        <x:v>AM-03</x:v>
      </x:c>
      <x:c r="D27" s="14" t="n">
        <x:v>0.002</x:v>
      </x:c>
      <x:c r="E27" s="14" t="n">
        <x:v>0.003</x:v>
      </x:c>
      <x:c r="F27" s="14" t="n">
        <x:v>0.001</x:v>
      </x:c>
      <x:c r="G27" s="14" t="n">
        <x:v>0.002</x:v>
      </x:c>
      <x:c r="H27" s="14" t="n">
        <x:f>SQRT(SUMSQ(D27:G27))</x:f>
        <x:v>0.004242640687119285</x:v>
      </x:c>
      <x:c r="I27" s="14" t="n">
        <x:f>2*H27</x:f>
        <x:v>0.00848528137423857</x:v>
      </x:c>
      <x:c r="J27" s="14" t="n">
        <x:v>0.01</x:v>
      </x:c>
      <x:c r="K27" t="str"/>
      <x:c r="L27" t="str">
        <x:f>IF(K27&lt;&gt;"",IF(I27&lt;=J27,"PASS","FAIL"),"OPEN")</x:f>
        <x:v>OPEN</x:v>
      </x:c>
    </x:row>
    <x:row r="28">
      <x:c r="B28" t="str">
        <x:v>RAW-V22</x:v>
      </x:c>
      <x:c r="C28" t="str">
        <x:v>AM-03</x:v>
      </x:c>
      <x:c r="D28" s="14" t="n">
        <x:v>0.001</x:v>
      </x:c>
      <x:c r="E28" s="14" t="n">
        <x:v>0.0015</x:v>
      </x:c>
      <x:c r="F28" s="14" t="n">
        <x:v>0.0005</x:v>
      </x:c>
      <x:c r="G28" s="14" t="n">
        <x:v>0.001</x:v>
      </x:c>
      <x:c r="H28" s="14" t="n">
        <x:f>SQRT(SUMSQ(D28:G28))</x:f>
        <x:v>0.0021213203435596424</x:v>
      </x:c>
      <x:c r="I28" s="14" t="n">
        <x:f>2*H28</x:f>
        <x:v>0.004242640687119285</x:v>
      </x:c>
      <x:c r="J28" s="14" t="n">
        <x:v>0.005</x:v>
      </x:c>
      <x:c r="K28" t="str"/>
      <x:c r="L28" t="str">
        <x:f>IF(K28&lt;&gt;"",IF(I28&lt;=J28,"PASS","FAIL"),"OPEN")</x:f>
        <x:v>OPEN</x:v>
      </x:c>
    </x:row>
    <x:row r="29">
      <x:c r="B29" t="str">
        <x:v>RAW-V23</x:v>
      </x:c>
      <x:c r="C29" t="str">
        <x:v>AM-03</x:v>
      </x:c>
      <x:c r="D29" s="14" t="n">
        <x:v>0.002</x:v>
      </x:c>
      <x:c r="E29" s="14" t="n">
        <x:v>0.003</x:v>
      </x:c>
      <x:c r="F29" s="14" t="n">
        <x:v>0.001</x:v>
      </x:c>
      <x:c r="G29" s="14" t="n">
        <x:v>0.002</x:v>
      </x:c>
      <x:c r="H29" s="14" t="n">
        <x:f>SQRT(SUMSQ(D29:G29))</x:f>
        <x:v>0.004242640687119285</x:v>
      </x:c>
      <x:c r="I29" s="14" t="n">
        <x:f>2*H29</x:f>
        <x:v>0.00848528137423857</x:v>
      </x:c>
      <x:c r="J29" s="14" t="n">
        <x:v>0.01</x:v>
      </x:c>
      <x:c r="K29" t="str"/>
      <x:c r="L29" t="str">
        <x:f>IF(K29&lt;&gt;"",IF(I29&lt;=J29,"PASS","FAIL"),"OPEN")</x:f>
        <x:v>OPEN</x:v>
      </x:c>
    </x:row>
    <x:row r="30">
      <x:c r="B30" t="str">
        <x:v>RAW-V24</x:v>
      </x:c>
      <x:c r="C30" t="str">
        <x:v>AM-03</x:v>
      </x:c>
      <x:c r="D30" s="14" t="n">
        <x:v>0.001</x:v>
      </x:c>
      <x:c r="E30" s="14" t="n">
        <x:v>0.0015</x:v>
      </x:c>
      <x:c r="F30" s="14" t="n">
        <x:v>0.0005</x:v>
      </x:c>
      <x:c r="G30" s="14" t="n">
        <x:v>0.001</x:v>
      </x:c>
      <x:c r="H30" s="14" t="n">
        <x:f>SQRT(SUMSQ(D30:G30))</x:f>
        <x:v>0.0021213203435596424</x:v>
      </x:c>
      <x:c r="I30" s="14" t="n">
        <x:f>2*H30</x:f>
        <x:v>0.004242640687119285</x:v>
      </x:c>
      <x:c r="J30" s="14" t="n">
        <x:v>0.005</x:v>
      </x:c>
      <x:c r="K30" t="str"/>
      <x:c r="L30" t="str">
        <x:f>IF(K30&lt;&gt;"",IF(I30&lt;=J30,"PASS","FAIL"),"OPEN")</x:f>
        <x:v>OPEN</x:v>
      </x:c>
    </x:row>
    <x:row r="31">
      <x:c r="B31" t="str">
        <x:v>RAW-V25</x:v>
      </x:c>
      <x:c r="C31" t="str">
        <x:v>AM-04</x:v>
      </x:c>
      <x:c r="D31" s="14" t="n">
        <x:v>0.00125</x:v>
      </x:c>
      <x:c r="E31" s="14" t="n">
        <x:v>0.001</x:v>
      </x:c>
      <x:c r="F31" s="14" t="n">
        <x:v>0.00075</x:v>
      </x:c>
      <x:c r="G31" s="14" t="n">
        <x:v>0.001</x:v>
      </x:c>
      <x:c r="H31" s="14" t="n">
        <x:f>SQRT(SUMSQ(D31:G31))</x:f>
        <x:v>0.00203100960115899</x:v>
      </x:c>
      <x:c r="I31" s="14" t="n">
        <x:f>2*H31</x:f>
        <x:v>0.00406201920231798</x:v>
      </x:c>
      <x:c r="J31" s="14" t="n">
        <x:v>0.005</x:v>
      </x:c>
      <x:c r="K31" t="str"/>
      <x:c r="L31" t="str">
        <x:f>IF(K31&lt;&gt;"",IF(I31&lt;=J31,"PASS","FAIL"),"OPEN")</x:f>
        <x:v>OPEN</x:v>
      </x:c>
    </x:row>
    <x:row r="32">
      <x:c r="B32" t="str">
        <x:v>RAW-V26</x:v>
      </x:c>
      <x:c r="C32" t="str">
        <x:v>AM-04</x:v>
      </x:c>
      <x:c r="D32" s="14" t="n">
        <x:v>0.0005</x:v>
      </x:c>
      <x:c r="E32" s="14" t="n">
        <x:v>0.0004</x:v>
      </x:c>
      <x:c r="F32" s="14" t="n">
        <x:v>0.0003</x:v>
      </x:c>
      <x:c r="G32" s="14" t="n">
        <x:v>0.0004</x:v>
      </x:c>
      <x:c r="H32" s="14" t="n">
        <x:f>SQRT(SUMSQ(D32:G32))</x:f>
        <x:v>0.000812403840463596</x:v>
      </x:c>
      <x:c r="I32" s="14" t="n">
        <x:f>2*H32</x:f>
        <x:v>0.001624807680927192</x:v>
      </x:c>
      <x:c r="J32" s="14" t="n">
        <x:v>0.002</x:v>
      </x:c>
      <x:c r="K32" t="str"/>
      <x:c r="L32" t="str">
        <x:f>IF(K32&lt;&gt;"",IF(I32&lt;=J32,"PASS","FAIL"),"OPEN")</x:f>
        <x:v>OPEN</x:v>
      </x:c>
    </x:row>
    <x:row r="33">
      <x:c r="B33" t="str">
        <x:v>RAW-V27</x:v>
      </x:c>
      <x:c r="C33" t="str">
        <x:v>AM-04</x:v>
      </x:c>
      <x:c r="D33" s="14" t="n">
        <x:v>0.00125</x:v>
      </x:c>
      <x:c r="E33" s="14" t="n">
        <x:v>0.001</x:v>
      </x:c>
      <x:c r="F33" s="14" t="n">
        <x:v>0.00075</x:v>
      </x:c>
      <x:c r="G33" s="14" t="n">
        <x:v>0.001</x:v>
      </x:c>
      <x:c r="H33" s="14" t="n">
        <x:f>SQRT(SUMSQ(D33:G33))</x:f>
        <x:v>0.00203100960115899</x:v>
      </x:c>
      <x:c r="I33" s="14" t="n">
        <x:f>2*H33</x:f>
        <x:v>0.00406201920231798</x:v>
      </x:c>
      <x:c r="J33" s="14" t="n">
        <x:v>0.005</x:v>
      </x:c>
      <x:c r="K33" t="str"/>
      <x:c r="L33" t="str">
        <x:f>IF(K33&lt;&gt;"",IF(I33&lt;=J33,"PASS","FAIL"),"OPEN")</x:f>
        <x:v>OPEN</x:v>
      </x:c>
    </x:row>
    <x:row r="34">
      <x:c r="B34" t="str">
        <x:v>RAW-V28</x:v>
      </x:c>
      <x:c r="C34" t="str">
        <x:v>AM-04</x:v>
      </x:c>
      <x:c r="D34" s="14" t="n">
        <x:v>0.00125</x:v>
      </x:c>
      <x:c r="E34" s="14" t="n">
        <x:v>0.001</x:v>
      </x:c>
      <x:c r="F34" s="14" t="n">
        <x:v>0.00075</x:v>
      </x:c>
      <x:c r="G34" s="14" t="n">
        <x:v>0.001</x:v>
      </x:c>
      <x:c r="H34" s="14" t="n">
        <x:f>SQRT(SUMSQ(D34:G34))</x:f>
        <x:v>0.00203100960115899</x:v>
      </x:c>
      <x:c r="I34" s="14" t="n">
        <x:f>2*H34</x:f>
        <x:v>0.00406201920231798</x:v>
      </x:c>
      <x:c r="J34" s="14" t="n">
        <x:v>0.005</x:v>
      </x:c>
      <x:c r="K34" t="str"/>
      <x:c r="L34" t="str">
        <x:f>IF(K34&lt;&gt;"",IF(I34&lt;=J34,"PASS","FAIL"),"OPEN")</x:f>
        <x:v>OPEN</x:v>
      </x:c>
    </x:row>
    <x:row r="35">
      <x:c r="B35" t="str">
        <x:v>RAW-V29</x:v>
      </x:c>
      <x:c r="C35" t="str">
        <x:v>AM-04</x:v>
      </x:c>
      <x:c r="D35" s="14" t="n">
        <x:v>0.0025</x:v>
      </x:c>
      <x:c r="E35" s="14" t="n">
        <x:v>0.002</x:v>
      </x:c>
      <x:c r="F35" s="14" t="n">
        <x:v>0.0015</x:v>
      </x:c>
      <x:c r="G35" s="14" t="n">
        <x:v>0.002</x:v>
      </x:c>
      <x:c r="H35" s="14" t="n">
        <x:f>SQRT(SUMSQ(D35:G35))</x:f>
        <x:v>0.00406201920231798</x:v>
      </x:c>
      <x:c r="I35" s="14" t="n">
        <x:f>2*H35</x:f>
        <x:v>0.00812403840463596</x:v>
      </x:c>
      <x:c r="J35" s="14" t="n">
        <x:v>0.01</x:v>
      </x:c>
      <x:c r="K35" t="str"/>
      <x:c r="L35" t="str">
        <x:f>IF(K35&lt;&gt;"",IF(I35&lt;=J35,"PASS","FAIL"),"OPEN")</x:f>
        <x:v>OPEN</x:v>
      </x:c>
    </x:row>
    <x:row r="36">
      <x:c r="B36" t="str">
        <x:v>RAW-V30</x:v>
      </x:c>
      <x:c r="C36" t="str">
        <x:v>AM-04</x:v>
      </x:c>
      <x:c r="D36" s="14" t="n">
        <x:v>0.00125</x:v>
      </x:c>
      <x:c r="E36" s="14" t="n">
        <x:v>0.001</x:v>
      </x:c>
      <x:c r="F36" s="14" t="n">
        <x:v>0.00075</x:v>
      </x:c>
      <x:c r="G36" s="14" t="n">
        <x:v>0.001</x:v>
      </x:c>
      <x:c r="H36" s="14" t="n">
        <x:f>SQRT(SUMSQ(D36:G36))</x:f>
        <x:v>0.00203100960115899</x:v>
      </x:c>
      <x:c r="I36" s="14" t="n">
        <x:f>2*H36</x:f>
        <x:v>0.00406201920231798</x:v>
      </x:c>
      <x:c r="J36" s="14" t="n">
        <x:v>0.005</x:v>
      </x:c>
      <x:c r="K36" t="str"/>
      <x:c r="L36" t="str">
        <x:f>IF(K36&lt;&gt;"",IF(I36&lt;=J36,"PASS","FAIL"),"OPEN")</x:f>
        <x:v>OPEN</x:v>
      </x:c>
    </x:row>
  </x:sheetData>
  <x:conditionalFormatting sqref="L7:L36">
    <x:cfRule type="containsText" dxfId="112" priority="1" operator="containsText" text="FAIL"/>
    <x:cfRule type="containsText" dxfId="113" priority="2" operator="containsText" text="INVALID"/>
    <x:cfRule type="containsText" dxfId="114" priority="3" operator="containsText" text="BLOCKED"/>
    <x:cfRule type="containsText" dxfId="115" priority="4" operator="containsText" text="OPEN"/>
    <x:cfRule type="containsText" dxfId="116" priority="5" operator="containsText" text="GAP"/>
    <x:cfRule type="containsText" dxfId="117" priority="6" operator="containsText" text="DORMANT"/>
    <x:cfRule type="containsText" dxfId="118" priority="7" operator="containsText" text="PASS"/>
    <x:cfRule type="containsText" dxfId="119" priority="8" operator="containsText" text="VALI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4" hidden="0" customWidth="1"/>
    <x:col min="4" max="4" width="91" hidden="0" customWidth="1"/>
  </x:cols>
  <x:sheetData>
    <x:row r="2">
      <x:c r="B2" s="1" t="str">
        <x:v>Fifteen conjunctive qualification rules</x:v>
      </x:c>
    </x:row>
    <x:row r="3">
      <x:c r="B3" s="2" t="str">
        <x:v>No aggregate score can compensate for failed identity, truth, evidence or denial survival.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Domain</x:v>
      </x:c>
      <x:c r="D6" s="7" t="str">
        <x:v>Acceptance statement</x:v>
      </x:c>
    </x:row>
    <x:row r="7" ht="40" customHeight="1">
      <x:c r="B7" t="str">
        <x:v>AR-01</x:v>
      </x:c>
      <x:c r="C7" t="str">
        <x:v>identity</x:v>
      </x:c>
      <x:c r="D7" s="10" t="str">
        <x:v>trial, article, envelope, method and truth-root identities reconstruct</x:v>
      </x:c>
    </x:row>
    <x:row r="8" ht="40" customHeight="1">
      <x:c r="B8" t="str">
        <x:v>AR-02</x:v>
      </x:c>
      <x:c r="C8" t="str">
        <x:v>artifact</x:v>
      </x:c>
      <x:c r="D8" s="10" t="str">
        <x:v>truth article and every required characteristic are accepted</x:v>
      </x:c>
    </x:row>
    <x:row r="9" ht="40" customHeight="1">
      <x:c r="B9" t="str">
        <x:v>AR-03</x:v>
      </x:c>
      <x:c r="C9" t="str">
        <x:v>state</x:v>
      </x:c>
      <x:c r="D9" s="10" t="str">
        <x:v>truth target remains within envelope for registered dwell</x:v>
      </x:c>
    </x:row>
    <x:row r="10" ht="40" customHeight="1">
      <x:c r="B10" t="str">
        <x:v>AR-04</x:v>
      </x:c>
      <x:c r="C10" t="str">
        <x:v>blindness</x:v>
      </x:c>
      <x:c r="D10" s="10" t="str">
        <x:v>sealed condition remains hidden from candidate and local operator</x:v>
      </x:c>
    </x:row>
    <x:row r="11" ht="40" customHeight="1">
      <x:c r="B11" t="str">
        <x:v>AR-05</x:v>
      </x:c>
      <x:c r="C11" t="str">
        <x:v>calibration</x:v>
      </x:c>
      <x:c r="D11" s="10" t="str">
        <x:v>primary and unlike witness chains are current</x:v>
      </x:c>
    </x:row>
    <x:row r="12" ht="40" customHeight="1">
      <x:c r="B12" t="str">
        <x:v>AR-06</x:v>
      </x:c>
      <x:c r="C12" t="str">
        <x:v>time</x:v>
      </x:c>
      <x:c r="D12" s="10" t="str">
        <x:v>decisive causal order remains within five microseconds</x:v>
      </x:c>
    </x:row>
    <x:row r="13" ht="40" customHeight="1">
      <x:c r="B13" t="str">
        <x:v>AR-07</x:v>
      </x:c>
      <x:c r="C13" t="str">
        <x:v>native evidence</x:v>
      </x:c>
      <x:c r="D13" s="10" t="str">
        <x:v>two originals and outside-site copy are complete</x:v>
      </x:c>
    </x:row>
    <x:row r="14" ht="40" customHeight="1">
      <x:c r="B14" t="str">
        <x:v>AR-08</x:v>
      </x:c>
      <x:c r="C14" t="str">
        <x:v>truth containment</x:v>
      </x:c>
      <x:c r="D14" s="10" t="str">
        <x:v>reported interval contains the registered physical truth</x:v>
      </x:c>
    </x:row>
    <x:row r="15" ht="40" customHeight="1">
      <x:c r="B15" t="str">
        <x:v>AR-09</x:v>
      </x:c>
      <x:c r="C15" t="str">
        <x:v>tolerance</x:v>
      </x:c>
      <x:c r="D15" s="10" t="str">
        <x:v>absolute error remains inside the method-class tolerance</x:v>
      </x:c>
    </x:row>
    <x:row r="16" ht="40" customHeight="1">
      <x:c r="B16" t="str">
        <x:v>AR-10</x:v>
      </x:c>
      <x:c r="C16" t="str">
        <x:v>fault detection</x:v>
      </x:c>
      <x:c r="D16" s="10" t="str">
        <x:v>blinded defect is detected and localized without false clean result</x:v>
      </x:c>
    </x:row>
    <x:row r="17" ht="40" customHeight="1">
      <x:c r="B17" t="str">
        <x:v>AR-11</x:v>
      </x:c>
      <x:c r="C17" t="str">
        <x:v>denial survival</x:v>
      </x:c>
      <x:c r="D17" s="10" t="str">
        <x:v>unlike witness carries the proposition after decisive-chain denial</x:v>
      </x:c>
    </x:row>
    <x:row r="18" ht="40" customHeight="1">
      <x:c r="B18" t="str">
        <x:v>AR-12</x:v>
      </x:c>
      <x:c r="C18" t="str">
        <x:v>replay</x:v>
      </x:c>
      <x:c r="D18" s="10" t="str">
        <x:v>outside site reproduces truth, uncertainty and disposition</x:v>
      </x:c>
    </x:row>
    <x:row r="19" ht="40" customHeight="1">
      <x:c r="B19" t="str">
        <x:v>AR-13</x:v>
      </x:c>
      <x:c r="C19" t="str">
        <x:v>rig agreement</x:v>
      </x:c>
      <x:c r="D19" s="10" t="str">
        <x:v>both truth roots pass all six classes on one rig</x:v>
      </x:c>
    </x:row>
    <x:row r="20" ht="40" customHeight="1">
      <x:c r="B20" t="str">
        <x:v>AR-14</x:v>
      </x:c>
      <x:c r="C20" t="str">
        <x:v>site equivalence</x:v>
      </x:c>
      <x:c r="D20" s="10" t="str">
        <x:v>each truth root passes all thirty-six method credits across rigs</x:v>
      </x:c>
    </x:row>
    <x:row r="21" ht="40" customHeight="1">
      <x:c r="B21" t="str">
        <x:v>AR-15</x:v>
      </x:c>
      <x:c r="C21" t="str">
        <x:v>method release</x:v>
      </x:c>
      <x:c r="D21" s="10" t="str">
        <x:v>all shared infrastructure and both truth roots are accepted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23" hidden="0" customWidth="1"/>
    <x:col min="13" max="13" width="16" hidden="0" customWidth="1"/>
    <x:col min="14" max="14" width="16" hidden="0" customWidth="1"/>
    <x:col min="15" max="15" width="18" hidden="0" customWidth="1"/>
    <x:col min="16" max="16" width="20" hidden="0" customWidth="1"/>
    <x:col min="17" max="17" width="18" hidden="0" customWidth="1"/>
    <x:col min="18" max="18" width="18" hidden="0" customWidth="1"/>
    <x:col min="19" max="19" width="14" hidden="0" customWidth="1"/>
  </x:cols>
  <x:sheetData>
    <x:row r="2">
      <x:c r="B2" s="1" t="str">
        <x:v>Truth containment for all 360 credits</x:v>
      </x:c>
    </x:row>
    <x:row r="3">
      <x:c r="B3" s="2" t="str">
        <x:v>Reported values remain blank until physical execution. A valid zero remains distinct from blank.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Trial</x:v>
      </x:c>
      <x:c r="C6" s="7" t="str">
        <x:v>Method</x:v>
      </x:c>
      <x:c r="D6" s="7" t="str">
        <x:v>Truth root</x:v>
      </x:c>
      <x:c r="E6" s="7" t="str">
        <x:v>Rig</x:v>
      </x:c>
      <x:c r="F6" s="7" t="str">
        <x:v>Campus</x:v>
      </x:c>
      <x:c r="G6" s="7" t="str">
        <x:v>Class</x:v>
      </x:c>
      <x:c r="H6" s="7" t="str">
        <x:v>Envelope</x:v>
      </x:c>
      <x:c r="I6" s="7" t="str">
        <x:v>Truth</x:v>
      </x:c>
      <x:c r="J6" s="7" t="str">
        <x:v>Tolerance</x:v>
      </x:c>
      <x:c r="K6" s="7" t="str">
        <x:v>Reported</x:v>
      </x:c>
      <x:c r="L6" s="7" t="str">
        <x:v>Expanded uncertainty</x:v>
      </x:c>
      <x:c r="M6" s="7" t="str">
        <x:v>Lower</x:v>
      </x:c>
      <x:c r="N6" s="7" t="str">
        <x:v>Upper</x:v>
      </x:c>
      <x:c r="O6" s="7" t="str">
        <x:v>Absolute error</x:v>
      </x:c>
      <x:c r="P6" s="7" t="str">
        <x:v>Normalized error</x:v>
      </x:c>
      <x:c r="Q6" s="7" t="str">
        <x:v>Truth contained</x:v>
      </x:c>
      <x:c r="R6" s="7" t="str">
        <x:v>Review accepted</x:v>
      </x:c>
      <x:c r="S6" s="7" t="str">
        <x:v>State</x:v>
      </x:c>
    </x:row>
    <x:row r="7">
      <x:c r="B7" t="str">
        <x:v>RAW-E001</x:v>
      </x:c>
      <x:c r="C7" t="str">
        <x:v>AM-00</x:v>
      </x:c>
      <x:c r="D7" t="str">
        <x:v>TR-A</x:v>
      </x:c>
      <x:c r="E7" t="str">
        <x:v>RFP-A1</x:v>
      </x:c>
      <x:c r="F7" t="str">
        <x:v>PTC-A</x:v>
      </x:c>
      <x:c r="G7" t="str">
        <x:v>QT-01</x:v>
      </x:c>
      <x:c r="H7" t="str">
        <x:v>RAW-V01</x:v>
      </x:c>
      <x:c r="I7" s="14" t="n">
        <x:f>'Reference Envelopes'!F7</x:f>
        <x:v>0</x:v>
      </x:c>
      <x:c r="J7" s="14" t="n">
        <x:f>'Reference Envelopes'!G7</x:f>
        <x:v>0.0002</x:v>
      </x:c>
      <x:c r="K7" s="14" t="str">
        <x:f>IF(COUNT('Trial Register'!S7)=0,"",'Trial Register'!S7)</x:f>
      </x:c>
      <x:c r="L7" s="14" t="str">
        <x:f>IF(COUNT('Trial Register'!T7)=0,"",'Trial Register'!T7)</x:f>
      </x:c>
      <x:c r="M7" s="14" t="str">
        <x:f>IF(COUNT(K7:L7)&lt;2,"",K7-L7)</x:f>
      </x:c>
      <x:c r="N7" s="14" t="str">
        <x:f>IF(COUNT(K7:L7)&lt;2,"",K7+L7)</x:f>
      </x:c>
      <x:c r="O7" s="14" t="str">
        <x:f>IF(COUNT(K7)=0,"",ABS(K7-I7))</x:f>
      </x:c>
      <x:c r="P7" s="14" t="str">
        <x:f>IF(COUNT(O7)=0,"",IF(J7=0,IF(O7=0,0,999),O7/J7))</x:f>
      </x:c>
      <x:c r="Q7" t="str">
        <x:f>IF(COUNT(M7:N7)&lt;2,"",IF(AND(I7&gt;=M7,I7&lt;=N7,O7&lt;=J7),"PASS","FAIL"))</x:f>
      </x:c>
      <x:c r="R7" t="str"/>
      <x:c r="S7" t="str">
        <x:f>IF(R7=1,IF(Q7="PASS","PASS","FAIL"),"OPEN")</x:f>
        <x:v>OPEN</x:v>
      </x:c>
    </x:row>
    <x:row r="8">
      <x:c r="B8" t="str">
        <x:v>RAW-E002</x:v>
      </x:c>
      <x:c r="C8" t="str">
        <x:v>AM-00</x:v>
      </x:c>
      <x:c r="D8" t="str">
        <x:v>TR-A</x:v>
      </x:c>
      <x:c r="E8" t="str">
        <x:v>RFP-A1</x:v>
      </x:c>
      <x:c r="F8" t="str">
        <x:v>PTC-A</x:v>
      </x:c>
      <x:c r="G8" t="str">
        <x:v>QT-02</x:v>
      </x:c>
      <x:c r="H8" t="str">
        <x:v>RAW-V02</x:v>
      </x:c>
      <x:c r="I8" s="14" t="n">
        <x:f>'Reference Envelopes'!F8</x:f>
        <x:v>-0.01</x:v>
      </x:c>
      <x:c r="J8" s="14" t="n">
        <x:f>'Reference Envelopes'!G8</x:f>
        <x:v>0.0005</x:v>
      </x:c>
      <x:c r="K8" s="14" t="str">
        <x:f>IF(COUNT('Trial Register'!S8)=0,"",'Trial Register'!S8)</x:f>
      </x:c>
      <x:c r="L8" s="14" t="str">
        <x:f>IF(COUNT('Trial Register'!T8)=0,"",'Trial Register'!T8)</x:f>
      </x:c>
      <x:c r="M8" s="14" t="str">
        <x:f>IF(COUNT(K8:L8)&lt;2,"",K8-L8)</x:f>
      </x:c>
      <x:c r="N8" s="14" t="str">
        <x:f>IF(COUNT(K8:L8)&lt;2,"",K8+L8)</x:f>
      </x:c>
      <x:c r="O8" s="14" t="str">
        <x:f>IF(COUNT(K8)=0,"",ABS(K8-I8))</x:f>
      </x:c>
      <x:c r="P8" s="14" t="str">
        <x:f>IF(COUNT(O8)=0,"",IF(J8=0,IF(O8=0,0,999),O8/J8))</x:f>
      </x:c>
      <x:c r="Q8" t="str">
        <x:f>IF(COUNT(M8:N8)&lt;2,"",IF(AND(I8&gt;=M8,I8&lt;=N8,O8&lt;=J8),"PASS","FAIL"))</x:f>
      </x:c>
      <x:c r="R8" t="str"/>
      <x:c r="S8" t="str">
        <x:f>IF(R8=1,IF(Q8="PASS","PASS","FAIL"),"OPEN")</x:f>
        <x:v>OPEN</x:v>
      </x:c>
    </x:row>
    <x:row r="9">
      <x:c r="B9" t="str">
        <x:v>RAW-E003</x:v>
      </x:c>
      <x:c r="C9" t="str">
        <x:v>AM-00</x:v>
      </x:c>
      <x:c r="D9" t="str">
        <x:v>TR-A</x:v>
      </x:c>
      <x:c r="E9" t="str">
        <x:v>RFP-A1</x:v>
      </x:c>
      <x:c r="F9" t="str">
        <x:v>PTC-A</x:v>
      </x:c>
      <x:c r="G9" t="str">
        <x:v>QT-03</x:v>
      </x:c>
      <x:c r="H9" t="str">
        <x:v>RAW-V03</x:v>
      </x:c>
      <x:c r="I9" s="14" t="n">
        <x:f>'Reference Envelopes'!F9</x:f>
        <x:v>0.015</x:v>
      </x:c>
      <x:c r="J9" s="14" t="n">
        <x:f>'Reference Envelopes'!G9</x:f>
        <x:v>0.0005</x:v>
      </x:c>
      <x:c r="K9" s="14" t="str">
        <x:f>IF(COUNT('Trial Register'!S9)=0,"",'Trial Register'!S9)</x:f>
      </x:c>
      <x:c r="L9" s="14" t="str">
        <x:f>IF(COUNT('Trial Register'!T9)=0,"",'Trial Register'!T9)</x:f>
      </x:c>
      <x:c r="M9" s="14" t="str">
        <x:f>IF(COUNT(K9:L9)&lt;2,"",K9-L9)</x:f>
      </x:c>
      <x:c r="N9" s="14" t="str">
        <x:f>IF(COUNT(K9:L9)&lt;2,"",K9+L9)</x:f>
      </x:c>
      <x:c r="O9" s="14" t="str">
        <x:f>IF(COUNT(K9)=0,"",ABS(K9-I9))</x:f>
      </x:c>
      <x:c r="P9" s="14" t="str">
        <x:f>IF(COUNT(O9)=0,"",IF(J9=0,IF(O9=0,0,999),O9/J9))</x:f>
      </x:c>
      <x:c r="Q9" t="str">
        <x:f>IF(COUNT(M9:N9)&lt;2,"",IF(AND(I9&gt;=M9,I9&lt;=N9,O9&lt;=J9),"PASS","FAIL"))</x:f>
      </x:c>
      <x:c r="R9" t="str"/>
      <x:c r="S9" t="str">
        <x:f>IF(R9=1,IF(Q9="PASS","PASS","FAIL"),"OPEN")</x:f>
        <x:v>OPEN</x:v>
      </x:c>
    </x:row>
    <x:row r="10">
      <x:c r="B10" t="str">
        <x:v>RAW-E004</x:v>
      </x:c>
      <x:c r="C10" t="str">
        <x:v>AM-00</x:v>
      </x:c>
      <x:c r="D10" t="str">
        <x:v>TR-A</x:v>
      </x:c>
      <x:c r="E10" t="str">
        <x:v>RFP-A1</x:v>
      </x:c>
      <x:c r="F10" t="str">
        <x:v>PTC-A</x:v>
      </x:c>
      <x:c r="G10" t="str">
        <x:v>QT-04</x:v>
      </x:c>
      <x:c r="H10" t="str">
        <x:v>RAW-V04</x:v>
      </x:c>
      <x:c r="I10" s="14" t="n">
        <x:f>'Reference Envelopes'!F10</x:f>
        <x:v>0.0075</x:v>
      </x:c>
      <x:c r="J10" s="14" t="n">
        <x:f>'Reference Envelopes'!G10</x:f>
        <x:v>0.0005</x:v>
      </x:c>
      <x:c r="K10" s="14" t="str">
        <x:f>IF(COUNT('Trial Register'!S10)=0,"",'Trial Register'!S10)</x:f>
      </x:c>
      <x:c r="L10" s="14" t="str">
        <x:f>IF(COUNT('Trial Register'!T10)=0,"",'Trial Register'!T10)</x:f>
      </x:c>
      <x:c r="M10" s="14" t="str">
        <x:f>IF(COUNT(K10:L10)&lt;2,"",K10-L10)</x:f>
      </x:c>
      <x:c r="N10" s="14" t="str">
        <x:f>IF(COUNT(K10:L10)&lt;2,"",K10+L10)</x:f>
      </x:c>
      <x:c r="O10" s="14" t="str">
        <x:f>IF(COUNT(K10)=0,"",ABS(K10-I10))</x:f>
      </x:c>
      <x:c r="P10" s="14" t="str">
        <x:f>IF(COUNT(O10)=0,"",IF(J10=0,IF(O10=0,0,999),O10/J10))</x:f>
      </x:c>
      <x:c r="Q10" t="str">
        <x:f>IF(COUNT(M10:N10)&lt;2,"",IF(AND(I10&gt;=M10,I10&lt;=N10,O10&lt;=J10),"PASS","FAIL"))</x:f>
      </x:c>
      <x:c r="R10" t="str"/>
      <x:c r="S10" t="str">
        <x:f>IF(R10=1,IF(Q10="PASS","PASS","FAIL"),"OPEN")</x:f>
        <x:v>OPEN</x:v>
      </x:c>
    </x:row>
    <x:row r="11">
      <x:c r="B11" t="str">
        <x:v>RAW-E005</x:v>
      </x:c>
      <x:c r="C11" t="str">
        <x:v>AM-00</x:v>
      </x:c>
      <x:c r="D11" t="str">
        <x:v>TR-A</x:v>
      </x:c>
      <x:c r="E11" t="str">
        <x:v>RFP-A1</x:v>
      </x:c>
      <x:c r="F11" t="str">
        <x:v>PTC-A</x:v>
      </x:c>
      <x:c r="G11" t="str">
        <x:v>QT-05</x:v>
      </x:c>
      <x:c r="H11" t="str">
        <x:v>RAW-V05</x:v>
      </x:c>
      <x:c r="I11" s="14" t="n">
        <x:f>'Reference Envelopes'!F11</x:f>
        <x:v>0.005</x:v>
      </x:c>
      <x:c r="J11" s="14" t="n">
        <x:f>'Reference Envelopes'!G11</x:f>
        <x:v>0.0005</x:v>
      </x:c>
      <x:c r="K11" s="14" t="str">
        <x:f>IF(COUNT('Trial Register'!S11)=0,"",'Trial Register'!S11)</x:f>
      </x:c>
      <x:c r="L11" s="14" t="str">
        <x:f>IF(COUNT('Trial Register'!T11)=0,"",'Trial Register'!T11)</x:f>
      </x:c>
      <x:c r="M11" s="14" t="str">
        <x:f>IF(COUNT(K11:L11)&lt;2,"",K11-L11)</x:f>
      </x:c>
      <x:c r="N11" s="14" t="str">
        <x:f>IF(COUNT(K11:L11)&lt;2,"",K11+L11)</x:f>
      </x:c>
      <x:c r="O11" s="14" t="str">
        <x:f>IF(COUNT(K11)=0,"",ABS(K11-I11))</x:f>
      </x:c>
      <x:c r="P11" s="14" t="str">
        <x:f>IF(COUNT(O11)=0,"",IF(J11=0,IF(O11=0,0,999),O11/J11))</x:f>
      </x:c>
      <x:c r="Q11" t="str">
        <x:f>IF(COUNT(M11:N11)&lt;2,"",IF(AND(I11&gt;=M11,I11&lt;=N11,O11&lt;=J11),"PASS","FAIL"))</x:f>
      </x:c>
      <x:c r="R11" t="str"/>
      <x:c r="S11" t="str">
        <x:f>IF(R11=1,IF(Q11="PASS","PASS","FAIL"),"OPEN")</x:f>
        <x:v>OPEN</x:v>
      </x:c>
    </x:row>
    <x:row r="12">
      <x:c r="B12" t="str">
        <x:v>RAW-E006</x:v>
      </x:c>
      <x:c r="C12" t="str">
        <x:v>AM-00</x:v>
      </x:c>
      <x:c r="D12" t="str">
        <x:v>TR-A</x:v>
      </x:c>
      <x:c r="E12" t="str">
        <x:v>RFP-A1</x:v>
      </x:c>
      <x:c r="F12" t="str">
        <x:v>PTC-A</x:v>
      </x:c>
      <x:c r="G12" t="str">
        <x:v>QT-06</x:v>
      </x:c>
      <x:c r="H12" t="str">
        <x:v>RAW-V06</x:v>
      </x:c>
      <x:c r="I12" s="14" t="n">
        <x:f>'Reference Envelopes'!F12</x:f>
        <x:v>0.01</x:v>
      </x:c>
      <x:c r="J12" s="14" t="n">
        <x:f>'Reference Envelopes'!G12</x:f>
        <x:v>0.0005</x:v>
      </x:c>
      <x:c r="K12" s="14" t="str">
        <x:f>IF(COUNT('Trial Register'!S12)=0,"",'Trial Register'!S12)</x:f>
      </x:c>
      <x:c r="L12" s="14" t="str">
        <x:f>IF(COUNT('Trial Register'!T12)=0,"",'Trial Register'!T12)</x:f>
      </x:c>
      <x:c r="M12" s="14" t="str">
        <x:f>IF(COUNT(K12:L12)&lt;2,"",K12-L12)</x:f>
      </x:c>
      <x:c r="N12" s="14" t="str">
        <x:f>IF(COUNT(K12:L12)&lt;2,"",K12+L12)</x:f>
      </x:c>
      <x:c r="O12" s="14" t="str">
        <x:f>IF(COUNT(K12)=0,"",ABS(K12-I12))</x:f>
      </x:c>
      <x:c r="P12" s="14" t="str">
        <x:f>IF(COUNT(O12)=0,"",IF(J12=0,IF(O12=0,0,999),O12/J12))</x:f>
      </x:c>
      <x:c r="Q12" t="str">
        <x:f>IF(COUNT(M12:N12)&lt;2,"",IF(AND(I12&gt;=M12,I12&lt;=N12,O12&lt;=J12),"PASS","FAIL"))</x:f>
      </x:c>
      <x:c r="R12" t="str"/>
      <x:c r="S12" t="str">
        <x:f>IF(R12=1,IF(Q12="PASS","PASS","FAIL"),"OPEN")</x:f>
        <x:v>OPEN</x:v>
      </x:c>
    </x:row>
    <x:row r="13">
      <x:c r="B13" t="str">
        <x:v>RAW-E007</x:v>
      </x:c>
      <x:c r="C13" t="str">
        <x:v>AM-00</x:v>
      </x:c>
      <x:c r="D13" t="str">
        <x:v>TR-B</x:v>
      </x:c>
      <x:c r="E13" t="str">
        <x:v>RFP-A1</x:v>
      </x:c>
      <x:c r="F13" t="str">
        <x:v>PTC-A</x:v>
      </x:c>
      <x:c r="G13" t="str">
        <x:v>QT-01</x:v>
      </x:c>
      <x:c r="H13" t="str">
        <x:v>RAW-V01</x:v>
      </x:c>
      <x:c r="I13" s="14" t="n">
        <x:f>'Reference Envelopes'!F7</x:f>
        <x:v>0</x:v>
      </x:c>
      <x:c r="J13" s="14" t="n">
        <x:f>'Reference Envelopes'!G7</x:f>
        <x:v>0.0002</x:v>
      </x:c>
      <x:c r="K13" s="14" t="str">
        <x:f>IF(COUNT('Trial Register'!S13)=0,"",'Trial Register'!S13)</x:f>
      </x:c>
      <x:c r="L13" s="14" t="str">
        <x:f>IF(COUNT('Trial Register'!T13)=0,"",'Trial Register'!T13)</x:f>
      </x:c>
      <x:c r="M13" s="14" t="str">
        <x:f>IF(COUNT(K13:L13)&lt;2,"",K13-L13)</x:f>
      </x:c>
      <x:c r="N13" s="14" t="str">
        <x:f>IF(COUNT(K13:L13)&lt;2,"",K13+L13)</x:f>
      </x:c>
      <x:c r="O13" s="14" t="str">
        <x:f>IF(COUNT(K13)=0,"",ABS(K13-I13))</x:f>
      </x:c>
      <x:c r="P13" s="14" t="str">
        <x:f>IF(COUNT(O13)=0,"",IF(J13=0,IF(O13=0,0,999),O13/J13))</x:f>
      </x:c>
      <x:c r="Q13" t="str">
        <x:f>IF(COUNT(M13:N13)&lt;2,"",IF(AND(I13&gt;=M13,I13&lt;=N13,O13&lt;=J13),"PASS","FAIL"))</x:f>
      </x:c>
      <x:c r="R13" t="str"/>
      <x:c r="S13" t="str">
        <x:f>IF(R13=1,IF(Q13="PASS","PASS","FAIL"),"OPEN")</x:f>
        <x:v>OPEN</x:v>
      </x:c>
    </x:row>
    <x:row r="14">
      <x:c r="B14" t="str">
        <x:v>RAW-E008</x:v>
      </x:c>
      <x:c r="C14" t="str">
        <x:v>AM-00</x:v>
      </x:c>
      <x:c r="D14" t="str">
        <x:v>TR-B</x:v>
      </x:c>
      <x:c r="E14" t="str">
        <x:v>RFP-A1</x:v>
      </x:c>
      <x:c r="F14" t="str">
        <x:v>PTC-A</x:v>
      </x:c>
      <x:c r="G14" t="str">
        <x:v>QT-02</x:v>
      </x:c>
      <x:c r="H14" t="str">
        <x:v>RAW-V02</x:v>
      </x:c>
      <x:c r="I14" s="14" t="n">
        <x:f>'Reference Envelopes'!F8</x:f>
        <x:v>-0.01</x:v>
      </x:c>
      <x:c r="J14" s="14" t="n">
        <x:f>'Reference Envelopes'!G8</x:f>
        <x:v>0.0005</x:v>
      </x:c>
      <x:c r="K14" s="14" t="str">
        <x:f>IF(COUNT('Trial Register'!S14)=0,"",'Trial Register'!S14)</x:f>
      </x:c>
      <x:c r="L14" s="14" t="str">
        <x:f>IF(COUNT('Trial Register'!T14)=0,"",'Trial Register'!T14)</x:f>
      </x:c>
      <x:c r="M14" s="14" t="str">
        <x:f>IF(COUNT(K14:L14)&lt;2,"",K14-L14)</x:f>
      </x:c>
      <x:c r="N14" s="14" t="str">
        <x:f>IF(COUNT(K14:L14)&lt;2,"",K14+L14)</x:f>
      </x:c>
      <x:c r="O14" s="14" t="str">
        <x:f>IF(COUNT(K14)=0,"",ABS(K14-I14))</x:f>
      </x:c>
      <x:c r="P14" s="14" t="str">
        <x:f>IF(COUNT(O14)=0,"",IF(J14=0,IF(O14=0,0,999),O14/J14))</x:f>
      </x:c>
      <x:c r="Q14" t="str">
        <x:f>IF(COUNT(M14:N14)&lt;2,"",IF(AND(I14&gt;=M14,I14&lt;=N14,O14&lt;=J14),"PASS","FAIL"))</x:f>
      </x:c>
      <x:c r="R14" t="str"/>
      <x:c r="S14" t="str">
        <x:f>IF(R14=1,IF(Q14="PASS","PASS","FAIL"),"OPEN")</x:f>
        <x:v>OPEN</x:v>
      </x:c>
    </x:row>
    <x:row r="15">
      <x:c r="B15" t="str">
        <x:v>RAW-E009</x:v>
      </x:c>
      <x:c r="C15" t="str">
        <x:v>AM-00</x:v>
      </x:c>
      <x:c r="D15" t="str">
        <x:v>TR-B</x:v>
      </x:c>
      <x:c r="E15" t="str">
        <x:v>RFP-A1</x:v>
      </x:c>
      <x:c r="F15" t="str">
        <x:v>PTC-A</x:v>
      </x:c>
      <x:c r="G15" t="str">
        <x:v>QT-03</x:v>
      </x:c>
      <x:c r="H15" t="str">
        <x:v>RAW-V03</x:v>
      </x:c>
      <x:c r="I15" s="14" t="n">
        <x:f>'Reference Envelopes'!F9</x:f>
        <x:v>0.015</x:v>
      </x:c>
      <x:c r="J15" s="14" t="n">
        <x:f>'Reference Envelopes'!G9</x:f>
        <x:v>0.0005</x:v>
      </x:c>
      <x:c r="K15" s="14" t="str">
        <x:f>IF(COUNT('Trial Register'!S15)=0,"",'Trial Register'!S15)</x:f>
      </x:c>
      <x:c r="L15" s="14" t="str">
        <x:f>IF(COUNT('Trial Register'!T15)=0,"",'Trial Register'!T15)</x:f>
      </x:c>
      <x:c r="M15" s="14" t="str">
        <x:f>IF(COUNT(K15:L15)&lt;2,"",K15-L15)</x:f>
      </x:c>
      <x:c r="N15" s="14" t="str">
        <x:f>IF(COUNT(K15:L15)&lt;2,"",K15+L15)</x:f>
      </x:c>
      <x:c r="O15" s="14" t="str">
        <x:f>IF(COUNT(K15)=0,"",ABS(K15-I15))</x:f>
      </x:c>
      <x:c r="P15" s="14" t="str">
        <x:f>IF(COUNT(O15)=0,"",IF(J15=0,IF(O15=0,0,999),O15/J15))</x:f>
      </x:c>
      <x:c r="Q15" t="str">
        <x:f>IF(COUNT(M15:N15)&lt;2,"",IF(AND(I15&gt;=M15,I15&lt;=N15,O15&lt;=J15),"PASS","FAIL"))</x:f>
      </x:c>
      <x:c r="R15" t="str"/>
      <x:c r="S15" t="str">
        <x:f>IF(R15=1,IF(Q15="PASS","PASS","FAIL"),"OPEN")</x:f>
        <x:v>OPEN</x:v>
      </x:c>
    </x:row>
    <x:row r="16">
      <x:c r="B16" t="str">
        <x:v>RAW-E010</x:v>
      </x:c>
      <x:c r="C16" t="str">
        <x:v>AM-00</x:v>
      </x:c>
      <x:c r="D16" t="str">
        <x:v>TR-B</x:v>
      </x:c>
      <x:c r="E16" t="str">
        <x:v>RFP-A1</x:v>
      </x:c>
      <x:c r="F16" t="str">
        <x:v>PTC-A</x:v>
      </x:c>
      <x:c r="G16" t="str">
        <x:v>QT-04</x:v>
      </x:c>
      <x:c r="H16" t="str">
        <x:v>RAW-V04</x:v>
      </x:c>
      <x:c r="I16" s="14" t="n">
        <x:f>'Reference Envelopes'!F10</x:f>
        <x:v>0.0075</x:v>
      </x:c>
      <x:c r="J16" s="14" t="n">
        <x:f>'Reference Envelopes'!G10</x:f>
        <x:v>0.0005</x:v>
      </x:c>
      <x:c r="K16" s="14" t="str">
        <x:f>IF(COUNT('Trial Register'!S16)=0,"",'Trial Register'!S16)</x:f>
      </x:c>
      <x:c r="L16" s="14" t="str">
        <x:f>IF(COUNT('Trial Register'!T16)=0,"",'Trial Register'!T16)</x:f>
      </x:c>
      <x:c r="M16" s="14" t="str">
        <x:f>IF(COUNT(K16:L16)&lt;2,"",K16-L16)</x:f>
      </x:c>
      <x:c r="N16" s="14" t="str">
        <x:f>IF(COUNT(K16:L16)&lt;2,"",K16+L16)</x:f>
      </x:c>
      <x:c r="O16" s="14" t="str">
        <x:f>IF(COUNT(K16)=0,"",ABS(K16-I16))</x:f>
      </x:c>
      <x:c r="P16" s="14" t="str">
        <x:f>IF(COUNT(O16)=0,"",IF(J16=0,IF(O16=0,0,999),O16/J16))</x:f>
      </x:c>
      <x:c r="Q16" t="str">
        <x:f>IF(COUNT(M16:N16)&lt;2,"",IF(AND(I16&gt;=M16,I16&lt;=N16,O16&lt;=J16),"PASS","FAIL"))</x:f>
      </x:c>
      <x:c r="R16" t="str"/>
      <x:c r="S16" t="str">
        <x:f>IF(R16=1,IF(Q16="PASS","PASS","FAIL"),"OPEN")</x:f>
        <x:v>OPEN</x:v>
      </x:c>
    </x:row>
    <x:row r="17">
      <x:c r="B17" t="str">
        <x:v>RAW-E011</x:v>
      </x:c>
      <x:c r="C17" t="str">
        <x:v>AM-00</x:v>
      </x:c>
      <x:c r="D17" t="str">
        <x:v>TR-B</x:v>
      </x:c>
      <x:c r="E17" t="str">
        <x:v>RFP-A1</x:v>
      </x:c>
      <x:c r="F17" t="str">
        <x:v>PTC-A</x:v>
      </x:c>
      <x:c r="G17" t="str">
        <x:v>QT-05</x:v>
      </x:c>
      <x:c r="H17" t="str">
        <x:v>RAW-V05</x:v>
      </x:c>
      <x:c r="I17" s="14" t="n">
        <x:f>'Reference Envelopes'!F11</x:f>
        <x:v>0.005</x:v>
      </x:c>
      <x:c r="J17" s="14" t="n">
        <x:f>'Reference Envelopes'!G11</x:f>
        <x:v>0.0005</x:v>
      </x:c>
      <x:c r="K17" s="14" t="str">
        <x:f>IF(COUNT('Trial Register'!S17)=0,"",'Trial Register'!S17)</x:f>
      </x:c>
      <x:c r="L17" s="14" t="str">
        <x:f>IF(COUNT('Trial Register'!T17)=0,"",'Trial Register'!T17)</x:f>
      </x:c>
      <x:c r="M17" s="14" t="str">
        <x:f>IF(COUNT(K17:L17)&lt;2,"",K17-L17)</x:f>
      </x:c>
      <x:c r="N17" s="14" t="str">
        <x:f>IF(COUNT(K17:L17)&lt;2,"",K17+L17)</x:f>
      </x:c>
      <x:c r="O17" s="14" t="str">
        <x:f>IF(COUNT(K17)=0,"",ABS(K17-I17))</x:f>
      </x:c>
      <x:c r="P17" s="14" t="str">
        <x:f>IF(COUNT(O17)=0,"",IF(J17=0,IF(O17=0,0,999),O17/J17))</x:f>
      </x:c>
      <x:c r="Q17" t="str">
        <x:f>IF(COUNT(M17:N17)&lt;2,"",IF(AND(I17&gt;=M17,I17&lt;=N17,O17&lt;=J17),"PASS","FAIL"))</x:f>
      </x:c>
      <x:c r="R17" t="str"/>
      <x:c r="S17" t="str">
        <x:f>IF(R17=1,IF(Q17="PASS","PASS","FAIL"),"OPEN")</x:f>
        <x:v>OPEN</x:v>
      </x:c>
    </x:row>
    <x:row r="18">
      <x:c r="B18" t="str">
        <x:v>RAW-E012</x:v>
      </x:c>
      <x:c r="C18" t="str">
        <x:v>AM-00</x:v>
      </x:c>
      <x:c r="D18" t="str">
        <x:v>TR-B</x:v>
      </x:c>
      <x:c r="E18" t="str">
        <x:v>RFP-A1</x:v>
      </x:c>
      <x:c r="F18" t="str">
        <x:v>PTC-A</x:v>
      </x:c>
      <x:c r="G18" t="str">
        <x:v>QT-06</x:v>
      </x:c>
      <x:c r="H18" t="str">
        <x:v>RAW-V06</x:v>
      </x:c>
      <x:c r="I18" s="14" t="n">
        <x:f>'Reference Envelopes'!F12</x:f>
        <x:v>0.01</x:v>
      </x:c>
      <x:c r="J18" s="14" t="n">
        <x:f>'Reference Envelopes'!G12</x:f>
        <x:v>0.0005</x:v>
      </x:c>
      <x:c r="K18" s="14" t="str">
        <x:f>IF(COUNT('Trial Register'!S18)=0,"",'Trial Register'!S18)</x:f>
      </x:c>
      <x:c r="L18" s="14" t="str">
        <x:f>IF(COUNT('Trial Register'!T18)=0,"",'Trial Register'!T18)</x:f>
      </x:c>
      <x:c r="M18" s="14" t="str">
        <x:f>IF(COUNT(K18:L18)&lt;2,"",K18-L18)</x:f>
      </x:c>
      <x:c r="N18" s="14" t="str">
        <x:f>IF(COUNT(K18:L18)&lt;2,"",K18+L18)</x:f>
      </x:c>
      <x:c r="O18" s="14" t="str">
        <x:f>IF(COUNT(K18)=0,"",ABS(K18-I18))</x:f>
      </x:c>
      <x:c r="P18" s="14" t="str">
        <x:f>IF(COUNT(O18)=0,"",IF(J18=0,IF(O18=0,0,999),O18/J18))</x:f>
      </x:c>
      <x:c r="Q18" t="str">
        <x:f>IF(COUNT(M18:N18)&lt;2,"",IF(AND(I18&gt;=M18,I18&lt;=N18,O18&lt;=J18),"PASS","FAIL"))</x:f>
      </x:c>
      <x:c r="R18" t="str"/>
      <x:c r="S18" t="str">
        <x:f>IF(R18=1,IF(Q18="PASS","PASS","FAIL"),"OPEN")</x:f>
        <x:v>OPEN</x:v>
      </x:c>
    </x:row>
    <x:row r="19">
      <x:c r="B19" t="str">
        <x:v>RAW-E013</x:v>
      </x:c>
      <x:c r="C19" t="str">
        <x:v>AM-00</x:v>
      </x:c>
      <x:c r="D19" t="str">
        <x:v>TR-A</x:v>
      </x:c>
      <x:c r="E19" t="str">
        <x:v>RFP-A2</x:v>
      </x:c>
      <x:c r="F19" t="str">
        <x:v>PTC-A</x:v>
      </x:c>
      <x:c r="G19" t="str">
        <x:v>QT-01</x:v>
      </x:c>
      <x:c r="H19" t="str">
        <x:v>RAW-V01</x:v>
      </x:c>
      <x:c r="I19" s="14" t="n">
        <x:f>'Reference Envelopes'!F7</x:f>
        <x:v>0</x:v>
      </x:c>
      <x:c r="J19" s="14" t="n">
        <x:f>'Reference Envelopes'!G7</x:f>
        <x:v>0.0002</x:v>
      </x:c>
      <x:c r="K19" s="14" t="str">
        <x:f>IF(COUNT('Trial Register'!S19)=0,"",'Trial Register'!S19)</x:f>
      </x:c>
      <x:c r="L19" s="14" t="str">
        <x:f>IF(COUNT('Trial Register'!T19)=0,"",'Trial Register'!T19)</x:f>
      </x:c>
      <x:c r="M19" s="14" t="str">
        <x:f>IF(COUNT(K19:L19)&lt;2,"",K19-L19)</x:f>
      </x:c>
      <x:c r="N19" s="14" t="str">
        <x:f>IF(COUNT(K19:L19)&lt;2,"",K19+L19)</x:f>
      </x:c>
      <x:c r="O19" s="14" t="str">
        <x:f>IF(COUNT(K19)=0,"",ABS(K19-I19))</x:f>
      </x:c>
      <x:c r="P19" s="14" t="str">
        <x:f>IF(COUNT(O19)=0,"",IF(J19=0,IF(O19=0,0,999),O19/J19))</x:f>
      </x:c>
      <x:c r="Q19" t="str">
        <x:f>IF(COUNT(M19:N19)&lt;2,"",IF(AND(I19&gt;=M19,I19&lt;=N19,O19&lt;=J19),"PASS","FAIL"))</x:f>
      </x:c>
      <x:c r="R19" t="str"/>
      <x:c r="S19" t="str">
        <x:f>IF(R19=1,IF(Q19="PASS","PASS","FAIL"),"OPEN")</x:f>
        <x:v>OPEN</x:v>
      </x:c>
    </x:row>
    <x:row r="20">
      <x:c r="B20" t="str">
        <x:v>RAW-E014</x:v>
      </x:c>
      <x:c r="C20" t="str">
        <x:v>AM-00</x:v>
      </x:c>
      <x:c r="D20" t="str">
        <x:v>TR-A</x:v>
      </x:c>
      <x:c r="E20" t="str">
        <x:v>RFP-A2</x:v>
      </x:c>
      <x:c r="F20" t="str">
        <x:v>PTC-A</x:v>
      </x:c>
      <x:c r="G20" t="str">
        <x:v>QT-02</x:v>
      </x:c>
      <x:c r="H20" t="str">
        <x:v>RAW-V02</x:v>
      </x:c>
      <x:c r="I20" s="14" t="n">
        <x:f>'Reference Envelopes'!F8</x:f>
        <x:v>-0.01</x:v>
      </x:c>
      <x:c r="J20" s="14" t="n">
        <x:f>'Reference Envelopes'!G8</x:f>
        <x:v>0.0005</x:v>
      </x:c>
      <x:c r="K20" s="14" t="str">
        <x:f>IF(COUNT('Trial Register'!S20)=0,"",'Trial Register'!S20)</x:f>
      </x:c>
      <x:c r="L20" s="14" t="str">
        <x:f>IF(COUNT('Trial Register'!T20)=0,"",'Trial Register'!T20)</x:f>
      </x:c>
      <x:c r="M20" s="14" t="str">
        <x:f>IF(COUNT(K20:L20)&lt;2,"",K20-L20)</x:f>
      </x:c>
      <x:c r="N20" s="14" t="str">
        <x:f>IF(COUNT(K20:L20)&lt;2,"",K20+L20)</x:f>
      </x:c>
      <x:c r="O20" s="14" t="str">
        <x:f>IF(COUNT(K20)=0,"",ABS(K20-I20))</x:f>
      </x:c>
      <x:c r="P20" s="14" t="str">
        <x:f>IF(COUNT(O20)=0,"",IF(J20=0,IF(O20=0,0,999),O20/J20))</x:f>
      </x:c>
      <x:c r="Q20" t="str">
        <x:f>IF(COUNT(M20:N20)&lt;2,"",IF(AND(I20&gt;=M20,I20&lt;=N20,O20&lt;=J20),"PASS","FAIL"))</x:f>
      </x:c>
      <x:c r="R20" t="str"/>
      <x:c r="S20" t="str">
        <x:f>IF(R20=1,IF(Q20="PASS","PASS","FAIL"),"OPEN")</x:f>
        <x:v>OPEN</x:v>
      </x:c>
    </x:row>
    <x:row r="21">
      <x:c r="B21" t="str">
        <x:v>RAW-E015</x:v>
      </x:c>
      <x:c r="C21" t="str">
        <x:v>AM-00</x:v>
      </x:c>
      <x:c r="D21" t="str">
        <x:v>TR-A</x:v>
      </x:c>
      <x:c r="E21" t="str">
        <x:v>RFP-A2</x:v>
      </x:c>
      <x:c r="F21" t="str">
        <x:v>PTC-A</x:v>
      </x:c>
      <x:c r="G21" t="str">
        <x:v>QT-03</x:v>
      </x:c>
      <x:c r="H21" t="str">
        <x:v>RAW-V03</x:v>
      </x:c>
      <x:c r="I21" s="14" t="n">
        <x:f>'Reference Envelopes'!F9</x:f>
        <x:v>0.015</x:v>
      </x:c>
      <x:c r="J21" s="14" t="n">
        <x:f>'Reference Envelopes'!G9</x:f>
        <x:v>0.0005</x:v>
      </x:c>
      <x:c r="K21" s="14" t="str">
        <x:f>IF(COUNT('Trial Register'!S21)=0,"",'Trial Register'!S21)</x:f>
      </x:c>
      <x:c r="L21" s="14" t="str">
        <x:f>IF(COUNT('Trial Register'!T21)=0,"",'Trial Register'!T21)</x:f>
      </x:c>
      <x:c r="M21" s="14" t="str">
        <x:f>IF(COUNT(K21:L21)&lt;2,"",K21-L21)</x:f>
      </x:c>
      <x:c r="N21" s="14" t="str">
        <x:f>IF(COUNT(K21:L21)&lt;2,"",K21+L21)</x:f>
      </x:c>
      <x:c r="O21" s="14" t="str">
        <x:f>IF(COUNT(K21)=0,"",ABS(K21-I21))</x:f>
      </x:c>
      <x:c r="P21" s="14" t="str">
        <x:f>IF(COUNT(O21)=0,"",IF(J21=0,IF(O21=0,0,999),O21/J21))</x:f>
      </x:c>
      <x:c r="Q21" t="str">
        <x:f>IF(COUNT(M21:N21)&lt;2,"",IF(AND(I21&gt;=M21,I21&lt;=N21,O21&lt;=J21),"PASS","FAIL"))</x:f>
      </x:c>
      <x:c r="R21" t="str"/>
      <x:c r="S21" t="str">
        <x:f>IF(R21=1,IF(Q21="PASS","PASS","FAIL"),"OPEN")</x:f>
        <x:v>OPEN</x:v>
      </x:c>
    </x:row>
    <x:row r="22">
      <x:c r="B22" t="str">
        <x:v>RAW-E016</x:v>
      </x:c>
      <x:c r="C22" t="str">
        <x:v>AM-00</x:v>
      </x:c>
      <x:c r="D22" t="str">
        <x:v>TR-A</x:v>
      </x:c>
      <x:c r="E22" t="str">
        <x:v>RFP-A2</x:v>
      </x:c>
      <x:c r="F22" t="str">
        <x:v>PTC-A</x:v>
      </x:c>
      <x:c r="G22" t="str">
        <x:v>QT-04</x:v>
      </x:c>
      <x:c r="H22" t="str">
        <x:v>RAW-V04</x:v>
      </x:c>
      <x:c r="I22" s="14" t="n">
        <x:f>'Reference Envelopes'!F10</x:f>
        <x:v>0.0075</x:v>
      </x:c>
      <x:c r="J22" s="14" t="n">
        <x:f>'Reference Envelopes'!G10</x:f>
        <x:v>0.0005</x:v>
      </x:c>
      <x:c r="K22" s="14" t="str">
        <x:f>IF(COUNT('Trial Register'!S22)=0,"",'Trial Register'!S22)</x:f>
      </x:c>
      <x:c r="L22" s="14" t="str">
        <x:f>IF(COUNT('Trial Register'!T22)=0,"",'Trial Register'!T22)</x:f>
      </x:c>
      <x:c r="M22" s="14" t="str">
        <x:f>IF(COUNT(K22:L22)&lt;2,"",K22-L22)</x:f>
      </x:c>
      <x:c r="N22" s="14" t="str">
        <x:f>IF(COUNT(K22:L22)&lt;2,"",K22+L22)</x:f>
      </x:c>
      <x:c r="O22" s="14" t="str">
        <x:f>IF(COUNT(K22)=0,"",ABS(K22-I22))</x:f>
      </x:c>
      <x:c r="P22" s="14" t="str">
        <x:f>IF(COUNT(O22)=0,"",IF(J22=0,IF(O22=0,0,999),O22/J22))</x:f>
      </x:c>
      <x:c r="Q22" t="str">
        <x:f>IF(COUNT(M22:N22)&lt;2,"",IF(AND(I22&gt;=M22,I22&lt;=N22,O22&lt;=J22),"PASS","FAIL"))</x:f>
      </x:c>
      <x:c r="R22" t="str"/>
      <x:c r="S22" t="str">
        <x:f>IF(R22=1,IF(Q22="PASS","PASS","FAIL"),"OPEN")</x:f>
        <x:v>OPEN</x:v>
      </x:c>
    </x:row>
    <x:row r="23">
      <x:c r="B23" t="str">
        <x:v>RAW-E017</x:v>
      </x:c>
      <x:c r="C23" t="str">
        <x:v>AM-00</x:v>
      </x:c>
      <x:c r="D23" t="str">
        <x:v>TR-A</x:v>
      </x:c>
      <x:c r="E23" t="str">
        <x:v>RFP-A2</x:v>
      </x:c>
      <x:c r="F23" t="str">
        <x:v>PTC-A</x:v>
      </x:c>
      <x:c r="G23" t="str">
        <x:v>QT-05</x:v>
      </x:c>
      <x:c r="H23" t="str">
        <x:v>RAW-V05</x:v>
      </x:c>
      <x:c r="I23" s="14" t="n">
        <x:f>'Reference Envelopes'!F11</x:f>
        <x:v>0.005</x:v>
      </x:c>
      <x:c r="J23" s="14" t="n">
        <x:f>'Reference Envelopes'!G11</x:f>
        <x:v>0.0005</x:v>
      </x:c>
      <x:c r="K23" s="14" t="str">
        <x:f>IF(COUNT('Trial Register'!S23)=0,"",'Trial Register'!S23)</x:f>
      </x:c>
      <x:c r="L23" s="14" t="str">
        <x:f>IF(COUNT('Trial Register'!T23)=0,"",'Trial Register'!T23)</x:f>
      </x:c>
      <x:c r="M23" s="14" t="str">
        <x:f>IF(COUNT(K23:L23)&lt;2,"",K23-L23)</x:f>
      </x:c>
      <x:c r="N23" s="14" t="str">
        <x:f>IF(COUNT(K23:L23)&lt;2,"",K23+L23)</x:f>
      </x:c>
      <x:c r="O23" s="14" t="str">
        <x:f>IF(COUNT(K23)=0,"",ABS(K23-I23))</x:f>
      </x:c>
      <x:c r="P23" s="14" t="str">
        <x:f>IF(COUNT(O23)=0,"",IF(J23=0,IF(O23=0,0,999),O23/J23))</x:f>
      </x:c>
      <x:c r="Q23" t="str">
        <x:f>IF(COUNT(M23:N23)&lt;2,"",IF(AND(I23&gt;=M23,I23&lt;=N23,O23&lt;=J23),"PASS","FAIL"))</x:f>
      </x:c>
      <x:c r="R23" t="str"/>
      <x:c r="S23" t="str">
        <x:f>IF(R23=1,IF(Q23="PASS","PASS","FAIL"),"OPEN")</x:f>
        <x:v>OPEN</x:v>
      </x:c>
    </x:row>
    <x:row r="24">
      <x:c r="B24" t="str">
        <x:v>RAW-E018</x:v>
      </x:c>
      <x:c r="C24" t="str">
        <x:v>AM-00</x:v>
      </x:c>
      <x:c r="D24" t="str">
        <x:v>TR-A</x:v>
      </x:c>
      <x:c r="E24" t="str">
        <x:v>RFP-A2</x:v>
      </x:c>
      <x:c r="F24" t="str">
        <x:v>PTC-A</x:v>
      </x:c>
      <x:c r="G24" t="str">
        <x:v>QT-06</x:v>
      </x:c>
      <x:c r="H24" t="str">
        <x:v>RAW-V06</x:v>
      </x:c>
      <x:c r="I24" s="14" t="n">
        <x:f>'Reference Envelopes'!F12</x:f>
        <x:v>0.01</x:v>
      </x:c>
      <x:c r="J24" s="14" t="n">
        <x:f>'Reference Envelopes'!G12</x:f>
        <x:v>0.0005</x:v>
      </x:c>
      <x:c r="K24" s="14" t="str">
        <x:f>IF(COUNT('Trial Register'!S24)=0,"",'Trial Register'!S24)</x:f>
      </x:c>
      <x:c r="L24" s="14" t="str">
        <x:f>IF(COUNT('Trial Register'!T24)=0,"",'Trial Register'!T24)</x:f>
      </x:c>
      <x:c r="M24" s="14" t="str">
        <x:f>IF(COUNT(K24:L24)&lt;2,"",K24-L24)</x:f>
      </x:c>
      <x:c r="N24" s="14" t="str">
        <x:f>IF(COUNT(K24:L24)&lt;2,"",K24+L24)</x:f>
      </x:c>
      <x:c r="O24" s="14" t="str">
        <x:f>IF(COUNT(K24)=0,"",ABS(K24-I24))</x:f>
      </x:c>
      <x:c r="P24" s="14" t="str">
        <x:f>IF(COUNT(O24)=0,"",IF(J24=0,IF(O24=0,0,999),O24/J24))</x:f>
      </x:c>
      <x:c r="Q24" t="str">
        <x:f>IF(COUNT(M24:N24)&lt;2,"",IF(AND(I24&gt;=M24,I24&lt;=N24,O24&lt;=J24),"PASS","FAIL"))</x:f>
      </x:c>
      <x:c r="R24" t="str"/>
      <x:c r="S24" t="str">
        <x:f>IF(R24=1,IF(Q24="PASS","PASS","FAIL"),"OPEN")</x:f>
        <x:v>OPEN</x:v>
      </x:c>
    </x:row>
    <x:row r="25">
      <x:c r="B25" t="str">
        <x:v>RAW-E019</x:v>
      </x:c>
      <x:c r="C25" t="str">
        <x:v>AM-00</x:v>
      </x:c>
      <x:c r="D25" t="str">
        <x:v>TR-B</x:v>
      </x:c>
      <x:c r="E25" t="str">
        <x:v>RFP-A2</x:v>
      </x:c>
      <x:c r="F25" t="str">
        <x:v>PTC-A</x:v>
      </x:c>
      <x:c r="G25" t="str">
        <x:v>QT-01</x:v>
      </x:c>
      <x:c r="H25" t="str">
        <x:v>RAW-V01</x:v>
      </x:c>
      <x:c r="I25" s="14" t="n">
        <x:f>'Reference Envelopes'!F7</x:f>
        <x:v>0</x:v>
      </x:c>
      <x:c r="J25" s="14" t="n">
        <x:f>'Reference Envelopes'!G7</x:f>
        <x:v>0.0002</x:v>
      </x:c>
      <x:c r="K25" s="14" t="str">
        <x:f>IF(COUNT('Trial Register'!S25)=0,"",'Trial Register'!S25)</x:f>
      </x:c>
      <x:c r="L25" s="14" t="str">
        <x:f>IF(COUNT('Trial Register'!T25)=0,"",'Trial Register'!T25)</x:f>
      </x:c>
      <x:c r="M25" s="14" t="str">
        <x:f>IF(COUNT(K25:L25)&lt;2,"",K25-L25)</x:f>
      </x:c>
      <x:c r="N25" s="14" t="str">
        <x:f>IF(COUNT(K25:L25)&lt;2,"",K25+L25)</x:f>
      </x:c>
      <x:c r="O25" s="14" t="str">
        <x:f>IF(COUNT(K25)=0,"",ABS(K25-I25))</x:f>
      </x:c>
      <x:c r="P25" s="14" t="str">
        <x:f>IF(COUNT(O25)=0,"",IF(J25=0,IF(O25=0,0,999),O25/J25))</x:f>
      </x:c>
      <x:c r="Q25" t="str">
        <x:f>IF(COUNT(M25:N25)&lt;2,"",IF(AND(I25&gt;=M25,I25&lt;=N25,O25&lt;=J25),"PASS","FAIL"))</x:f>
      </x:c>
      <x:c r="R25" t="str"/>
      <x:c r="S25" t="str">
        <x:f>IF(R25=1,IF(Q25="PASS","PASS","FAIL"),"OPEN")</x:f>
        <x:v>OPEN</x:v>
      </x:c>
    </x:row>
    <x:row r="26">
      <x:c r="B26" t="str">
        <x:v>RAW-E020</x:v>
      </x:c>
      <x:c r="C26" t="str">
        <x:v>AM-00</x:v>
      </x:c>
      <x:c r="D26" t="str">
        <x:v>TR-B</x:v>
      </x:c>
      <x:c r="E26" t="str">
        <x:v>RFP-A2</x:v>
      </x:c>
      <x:c r="F26" t="str">
        <x:v>PTC-A</x:v>
      </x:c>
      <x:c r="G26" t="str">
        <x:v>QT-02</x:v>
      </x:c>
      <x:c r="H26" t="str">
        <x:v>RAW-V02</x:v>
      </x:c>
      <x:c r="I26" s="14" t="n">
        <x:f>'Reference Envelopes'!F8</x:f>
        <x:v>-0.01</x:v>
      </x:c>
      <x:c r="J26" s="14" t="n">
        <x:f>'Reference Envelopes'!G8</x:f>
        <x:v>0.0005</x:v>
      </x:c>
      <x:c r="K26" s="14" t="str">
        <x:f>IF(COUNT('Trial Register'!S26)=0,"",'Trial Register'!S26)</x:f>
      </x:c>
      <x:c r="L26" s="14" t="str">
        <x:f>IF(COUNT('Trial Register'!T26)=0,"",'Trial Register'!T26)</x:f>
      </x:c>
      <x:c r="M26" s="14" t="str">
        <x:f>IF(COUNT(K26:L26)&lt;2,"",K26-L26)</x:f>
      </x:c>
      <x:c r="N26" s="14" t="str">
        <x:f>IF(COUNT(K26:L26)&lt;2,"",K26+L26)</x:f>
      </x:c>
      <x:c r="O26" s="14" t="str">
        <x:f>IF(COUNT(K26)=0,"",ABS(K26-I26))</x:f>
      </x:c>
      <x:c r="P26" s="14" t="str">
        <x:f>IF(COUNT(O26)=0,"",IF(J26=0,IF(O26=0,0,999),O26/J26))</x:f>
      </x:c>
      <x:c r="Q26" t="str">
        <x:f>IF(COUNT(M26:N26)&lt;2,"",IF(AND(I26&gt;=M26,I26&lt;=N26,O26&lt;=J26),"PASS","FAIL"))</x:f>
      </x:c>
      <x:c r="R26" t="str"/>
      <x:c r="S26" t="str">
        <x:f>IF(R26=1,IF(Q26="PASS","PASS","FAIL"),"OPEN")</x:f>
        <x:v>OPEN</x:v>
      </x:c>
    </x:row>
    <x:row r="27">
      <x:c r="B27" t="str">
        <x:v>RAW-E021</x:v>
      </x:c>
      <x:c r="C27" t="str">
        <x:v>AM-00</x:v>
      </x:c>
      <x:c r="D27" t="str">
        <x:v>TR-B</x:v>
      </x:c>
      <x:c r="E27" t="str">
        <x:v>RFP-A2</x:v>
      </x:c>
      <x:c r="F27" t="str">
        <x:v>PTC-A</x:v>
      </x:c>
      <x:c r="G27" t="str">
        <x:v>QT-03</x:v>
      </x:c>
      <x:c r="H27" t="str">
        <x:v>RAW-V03</x:v>
      </x:c>
      <x:c r="I27" s="14" t="n">
        <x:f>'Reference Envelopes'!F9</x:f>
        <x:v>0.015</x:v>
      </x:c>
      <x:c r="J27" s="14" t="n">
        <x:f>'Reference Envelopes'!G9</x:f>
        <x:v>0.0005</x:v>
      </x:c>
      <x:c r="K27" s="14" t="str">
        <x:f>IF(COUNT('Trial Register'!S27)=0,"",'Trial Register'!S27)</x:f>
      </x:c>
      <x:c r="L27" s="14" t="str">
        <x:f>IF(COUNT('Trial Register'!T27)=0,"",'Trial Register'!T27)</x:f>
      </x:c>
      <x:c r="M27" s="14" t="str">
        <x:f>IF(COUNT(K27:L27)&lt;2,"",K27-L27)</x:f>
      </x:c>
      <x:c r="N27" s="14" t="str">
        <x:f>IF(COUNT(K27:L27)&lt;2,"",K27+L27)</x:f>
      </x:c>
      <x:c r="O27" s="14" t="str">
        <x:f>IF(COUNT(K27)=0,"",ABS(K27-I27))</x:f>
      </x:c>
      <x:c r="P27" s="14" t="str">
        <x:f>IF(COUNT(O27)=0,"",IF(J27=0,IF(O27=0,0,999),O27/J27))</x:f>
      </x:c>
      <x:c r="Q27" t="str">
        <x:f>IF(COUNT(M27:N27)&lt;2,"",IF(AND(I27&gt;=M27,I27&lt;=N27,O27&lt;=J27),"PASS","FAIL"))</x:f>
      </x:c>
      <x:c r="R27" t="str"/>
      <x:c r="S27" t="str">
        <x:f>IF(R27=1,IF(Q27="PASS","PASS","FAIL"),"OPEN")</x:f>
        <x:v>OPEN</x:v>
      </x:c>
    </x:row>
    <x:row r="28">
      <x:c r="B28" t="str">
        <x:v>RAW-E022</x:v>
      </x:c>
      <x:c r="C28" t="str">
        <x:v>AM-00</x:v>
      </x:c>
      <x:c r="D28" t="str">
        <x:v>TR-B</x:v>
      </x:c>
      <x:c r="E28" t="str">
        <x:v>RFP-A2</x:v>
      </x:c>
      <x:c r="F28" t="str">
        <x:v>PTC-A</x:v>
      </x:c>
      <x:c r="G28" t="str">
        <x:v>QT-04</x:v>
      </x:c>
      <x:c r="H28" t="str">
        <x:v>RAW-V04</x:v>
      </x:c>
      <x:c r="I28" s="14" t="n">
        <x:f>'Reference Envelopes'!F10</x:f>
        <x:v>0.0075</x:v>
      </x:c>
      <x:c r="J28" s="14" t="n">
        <x:f>'Reference Envelopes'!G10</x:f>
        <x:v>0.0005</x:v>
      </x:c>
      <x:c r="K28" s="14" t="str">
        <x:f>IF(COUNT('Trial Register'!S28)=0,"",'Trial Register'!S28)</x:f>
      </x:c>
      <x:c r="L28" s="14" t="str">
        <x:f>IF(COUNT('Trial Register'!T28)=0,"",'Trial Register'!T28)</x:f>
      </x:c>
      <x:c r="M28" s="14" t="str">
        <x:f>IF(COUNT(K28:L28)&lt;2,"",K28-L28)</x:f>
      </x:c>
      <x:c r="N28" s="14" t="str">
        <x:f>IF(COUNT(K28:L28)&lt;2,"",K28+L28)</x:f>
      </x:c>
      <x:c r="O28" s="14" t="str">
        <x:f>IF(COUNT(K28)=0,"",ABS(K28-I28))</x:f>
      </x:c>
      <x:c r="P28" s="14" t="str">
        <x:f>IF(COUNT(O28)=0,"",IF(J28=0,IF(O28=0,0,999),O28/J28))</x:f>
      </x:c>
      <x:c r="Q28" t="str">
        <x:f>IF(COUNT(M28:N28)&lt;2,"",IF(AND(I28&gt;=M28,I28&lt;=N28,O28&lt;=J28),"PASS","FAIL"))</x:f>
      </x:c>
      <x:c r="R28" t="str"/>
      <x:c r="S28" t="str">
        <x:f>IF(R28=1,IF(Q28="PASS","PASS","FAIL"),"OPEN")</x:f>
        <x:v>OPEN</x:v>
      </x:c>
    </x:row>
    <x:row r="29">
      <x:c r="B29" t="str">
        <x:v>RAW-E023</x:v>
      </x:c>
      <x:c r="C29" t="str">
        <x:v>AM-00</x:v>
      </x:c>
      <x:c r="D29" t="str">
        <x:v>TR-B</x:v>
      </x:c>
      <x:c r="E29" t="str">
        <x:v>RFP-A2</x:v>
      </x:c>
      <x:c r="F29" t="str">
        <x:v>PTC-A</x:v>
      </x:c>
      <x:c r="G29" t="str">
        <x:v>QT-05</x:v>
      </x:c>
      <x:c r="H29" t="str">
        <x:v>RAW-V05</x:v>
      </x:c>
      <x:c r="I29" s="14" t="n">
        <x:f>'Reference Envelopes'!F11</x:f>
        <x:v>0.005</x:v>
      </x:c>
      <x:c r="J29" s="14" t="n">
        <x:f>'Reference Envelopes'!G11</x:f>
        <x:v>0.0005</x:v>
      </x:c>
      <x:c r="K29" s="14" t="str">
        <x:f>IF(COUNT('Trial Register'!S29)=0,"",'Trial Register'!S29)</x:f>
      </x:c>
      <x:c r="L29" s="14" t="str">
        <x:f>IF(COUNT('Trial Register'!T29)=0,"",'Trial Register'!T29)</x:f>
      </x:c>
      <x:c r="M29" s="14" t="str">
        <x:f>IF(COUNT(K29:L29)&lt;2,"",K29-L29)</x:f>
      </x:c>
      <x:c r="N29" s="14" t="str">
        <x:f>IF(COUNT(K29:L29)&lt;2,"",K29+L29)</x:f>
      </x:c>
      <x:c r="O29" s="14" t="str">
        <x:f>IF(COUNT(K29)=0,"",ABS(K29-I29))</x:f>
      </x:c>
      <x:c r="P29" s="14" t="str">
        <x:f>IF(COUNT(O29)=0,"",IF(J29=0,IF(O29=0,0,999),O29/J29))</x:f>
      </x:c>
      <x:c r="Q29" t="str">
        <x:f>IF(COUNT(M29:N29)&lt;2,"",IF(AND(I29&gt;=M29,I29&lt;=N29,O29&lt;=J29),"PASS","FAIL"))</x:f>
      </x:c>
      <x:c r="R29" t="str"/>
      <x:c r="S29" t="str">
        <x:f>IF(R29=1,IF(Q29="PASS","PASS","FAIL"),"OPEN")</x:f>
        <x:v>OPEN</x:v>
      </x:c>
    </x:row>
    <x:row r="30">
      <x:c r="B30" t="str">
        <x:v>RAW-E024</x:v>
      </x:c>
      <x:c r="C30" t="str">
        <x:v>AM-00</x:v>
      </x:c>
      <x:c r="D30" t="str">
        <x:v>TR-B</x:v>
      </x:c>
      <x:c r="E30" t="str">
        <x:v>RFP-A2</x:v>
      </x:c>
      <x:c r="F30" t="str">
        <x:v>PTC-A</x:v>
      </x:c>
      <x:c r="G30" t="str">
        <x:v>QT-06</x:v>
      </x:c>
      <x:c r="H30" t="str">
        <x:v>RAW-V06</x:v>
      </x:c>
      <x:c r="I30" s="14" t="n">
        <x:f>'Reference Envelopes'!F12</x:f>
        <x:v>0.01</x:v>
      </x:c>
      <x:c r="J30" s="14" t="n">
        <x:f>'Reference Envelopes'!G12</x:f>
        <x:v>0.0005</x:v>
      </x:c>
      <x:c r="K30" s="14" t="str">
        <x:f>IF(COUNT('Trial Register'!S30)=0,"",'Trial Register'!S30)</x:f>
      </x:c>
      <x:c r="L30" s="14" t="str">
        <x:f>IF(COUNT('Trial Register'!T30)=0,"",'Trial Register'!T30)</x:f>
      </x:c>
      <x:c r="M30" s="14" t="str">
        <x:f>IF(COUNT(K30:L30)&lt;2,"",K30-L30)</x:f>
      </x:c>
      <x:c r="N30" s="14" t="str">
        <x:f>IF(COUNT(K30:L30)&lt;2,"",K30+L30)</x:f>
      </x:c>
      <x:c r="O30" s="14" t="str">
        <x:f>IF(COUNT(K30)=0,"",ABS(K30-I30))</x:f>
      </x:c>
      <x:c r="P30" s="14" t="str">
        <x:f>IF(COUNT(O30)=0,"",IF(J30=0,IF(O30=0,0,999),O30/J30))</x:f>
      </x:c>
      <x:c r="Q30" t="str">
        <x:f>IF(COUNT(M30:N30)&lt;2,"",IF(AND(I30&gt;=M30,I30&lt;=N30,O30&lt;=J30),"PASS","FAIL"))</x:f>
      </x:c>
      <x:c r="R30" t="str"/>
      <x:c r="S30" t="str">
        <x:f>IF(R30=1,IF(Q30="PASS","PASS","FAIL"),"OPEN")</x:f>
        <x:v>OPEN</x:v>
      </x:c>
    </x:row>
    <x:row r="31">
      <x:c r="B31" t="str">
        <x:v>RAW-E025</x:v>
      </x:c>
      <x:c r="C31" t="str">
        <x:v>AM-00</x:v>
      </x:c>
      <x:c r="D31" t="str">
        <x:v>TR-A</x:v>
      </x:c>
      <x:c r="E31" t="str">
        <x:v>RFP-B1</x:v>
      </x:c>
      <x:c r="F31" t="str">
        <x:v>PTC-B</x:v>
      </x:c>
      <x:c r="G31" t="str">
        <x:v>QT-01</x:v>
      </x:c>
      <x:c r="H31" t="str">
        <x:v>RAW-V01</x:v>
      </x:c>
      <x:c r="I31" s="14" t="n">
        <x:f>'Reference Envelopes'!F7</x:f>
        <x:v>0</x:v>
      </x:c>
      <x:c r="J31" s="14" t="n">
        <x:f>'Reference Envelopes'!G7</x:f>
        <x:v>0.0002</x:v>
      </x:c>
      <x:c r="K31" s="14" t="str">
        <x:f>IF(COUNT('Trial Register'!S31)=0,"",'Trial Register'!S31)</x:f>
      </x:c>
      <x:c r="L31" s="14" t="str">
        <x:f>IF(COUNT('Trial Register'!T31)=0,"",'Trial Register'!T31)</x:f>
      </x:c>
      <x:c r="M31" s="14" t="str">
        <x:f>IF(COUNT(K31:L31)&lt;2,"",K31-L31)</x:f>
      </x:c>
      <x:c r="N31" s="14" t="str">
        <x:f>IF(COUNT(K31:L31)&lt;2,"",K31+L31)</x:f>
      </x:c>
      <x:c r="O31" s="14" t="str">
        <x:f>IF(COUNT(K31)=0,"",ABS(K31-I31))</x:f>
      </x:c>
      <x:c r="P31" s="14" t="str">
        <x:f>IF(COUNT(O31)=0,"",IF(J31=0,IF(O31=0,0,999),O31/J31))</x:f>
      </x:c>
      <x:c r="Q31" t="str">
        <x:f>IF(COUNT(M31:N31)&lt;2,"",IF(AND(I31&gt;=M31,I31&lt;=N31,O31&lt;=J31),"PASS","FAIL"))</x:f>
      </x:c>
      <x:c r="R31" t="str"/>
      <x:c r="S31" t="str">
        <x:f>IF(R31=1,IF(Q31="PASS","PASS","FAIL"),"OPEN")</x:f>
        <x:v>OPEN</x:v>
      </x:c>
    </x:row>
    <x:row r="32">
      <x:c r="B32" t="str">
        <x:v>RAW-E026</x:v>
      </x:c>
      <x:c r="C32" t="str">
        <x:v>AM-00</x:v>
      </x:c>
      <x:c r="D32" t="str">
        <x:v>TR-A</x:v>
      </x:c>
      <x:c r="E32" t="str">
        <x:v>RFP-B1</x:v>
      </x:c>
      <x:c r="F32" t="str">
        <x:v>PTC-B</x:v>
      </x:c>
      <x:c r="G32" t="str">
        <x:v>QT-02</x:v>
      </x:c>
      <x:c r="H32" t="str">
        <x:v>RAW-V02</x:v>
      </x:c>
      <x:c r="I32" s="14" t="n">
        <x:f>'Reference Envelopes'!F8</x:f>
        <x:v>-0.01</x:v>
      </x:c>
      <x:c r="J32" s="14" t="n">
        <x:f>'Reference Envelopes'!G8</x:f>
        <x:v>0.0005</x:v>
      </x:c>
      <x:c r="K32" s="14" t="str">
        <x:f>IF(COUNT('Trial Register'!S32)=0,"",'Trial Register'!S32)</x:f>
      </x:c>
      <x:c r="L32" s="14" t="str">
        <x:f>IF(COUNT('Trial Register'!T32)=0,"",'Trial Register'!T32)</x:f>
      </x:c>
      <x:c r="M32" s="14" t="str">
        <x:f>IF(COUNT(K32:L32)&lt;2,"",K32-L32)</x:f>
      </x:c>
      <x:c r="N32" s="14" t="str">
        <x:f>IF(COUNT(K32:L32)&lt;2,"",K32+L32)</x:f>
      </x:c>
      <x:c r="O32" s="14" t="str">
        <x:f>IF(COUNT(K32)=0,"",ABS(K32-I32))</x:f>
      </x:c>
      <x:c r="P32" s="14" t="str">
        <x:f>IF(COUNT(O32)=0,"",IF(J32=0,IF(O32=0,0,999),O32/J32))</x:f>
      </x:c>
      <x:c r="Q32" t="str">
        <x:f>IF(COUNT(M32:N32)&lt;2,"",IF(AND(I32&gt;=M32,I32&lt;=N32,O32&lt;=J32),"PASS","FAIL"))</x:f>
      </x:c>
      <x:c r="R32" t="str"/>
      <x:c r="S32" t="str">
        <x:f>IF(R32=1,IF(Q32="PASS","PASS","FAIL"),"OPEN")</x:f>
        <x:v>OPEN</x:v>
      </x:c>
    </x:row>
    <x:row r="33">
      <x:c r="B33" t="str">
        <x:v>RAW-E027</x:v>
      </x:c>
      <x:c r="C33" t="str">
        <x:v>AM-00</x:v>
      </x:c>
      <x:c r="D33" t="str">
        <x:v>TR-A</x:v>
      </x:c>
      <x:c r="E33" t="str">
        <x:v>RFP-B1</x:v>
      </x:c>
      <x:c r="F33" t="str">
        <x:v>PTC-B</x:v>
      </x:c>
      <x:c r="G33" t="str">
        <x:v>QT-03</x:v>
      </x:c>
      <x:c r="H33" t="str">
        <x:v>RAW-V03</x:v>
      </x:c>
      <x:c r="I33" s="14" t="n">
        <x:f>'Reference Envelopes'!F9</x:f>
        <x:v>0.015</x:v>
      </x:c>
      <x:c r="J33" s="14" t="n">
        <x:f>'Reference Envelopes'!G9</x:f>
        <x:v>0.0005</x:v>
      </x:c>
      <x:c r="K33" s="14" t="str">
        <x:f>IF(COUNT('Trial Register'!S33)=0,"",'Trial Register'!S33)</x:f>
      </x:c>
      <x:c r="L33" s="14" t="str">
        <x:f>IF(COUNT('Trial Register'!T33)=0,"",'Trial Register'!T33)</x:f>
      </x:c>
      <x:c r="M33" s="14" t="str">
        <x:f>IF(COUNT(K33:L33)&lt;2,"",K33-L33)</x:f>
      </x:c>
      <x:c r="N33" s="14" t="str">
        <x:f>IF(COUNT(K33:L33)&lt;2,"",K33+L33)</x:f>
      </x:c>
      <x:c r="O33" s="14" t="str">
        <x:f>IF(COUNT(K33)=0,"",ABS(K33-I33))</x:f>
      </x:c>
      <x:c r="P33" s="14" t="str">
        <x:f>IF(COUNT(O33)=0,"",IF(J33=0,IF(O33=0,0,999),O33/J33))</x:f>
      </x:c>
      <x:c r="Q33" t="str">
        <x:f>IF(COUNT(M33:N33)&lt;2,"",IF(AND(I33&gt;=M33,I33&lt;=N33,O33&lt;=J33),"PASS","FAIL"))</x:f>
      </x:c>
      <x:c r="R33" t="str"/>
      <x:c r="S33" t="str">
        <x:f>IF(R33=1,IF(Q33="PASS","PASS","FAIL"),"OPEN")</x:f>
        <x:v>OPEN</x:v>
      </x:c>
    </x:row>
    <x:row r="34">
      <x:c r="B34" t="str">
        <x:v>RAW-E028</x:v>
      </x:c>
      <x:c r="C34" t="str">
        <x:v>AM-00</x:v>
      </x:c>
      <x:c r="D34" t="str">
        <x:v>TR-A</x:v>
      </x:c>
      <x:c r="E34" t="str">
        <x:v>RFP-B1</x:v>
      </x:c>
      <x:c r="F34" t="str">
        <x:v>PTC-B</x:v>
      </x:c>
      <x:c r="G34" t="str">
        <x:v>QT-04</x:v>
      </x:c>
      <x:c r="H34" t="str">
        <x:v>RAW-V04</x:v>
      </x:c>
      <x:c r="I34" s="14" t="n">
        <x:f>'Reference Envelopes'!F10</x:f>
        <x:v>0.0075</x:v>
      </x:c>
      <x:c r="J34" s="14" t="n">
        <x:f>'Reference Envelopes'!G10</x:f>
        <x:v>0.0005</x:v>
      </x:c>
      <x:c r="K34" s="14" t="str">
        <x:f>IF(COUNT('Trial Register'!S34)=0,"",'Trial Register'!S34)</x:f>
      </x:c>
      <x:c r="L34" s="14" t="str">
        <x:f>IF(COUNT('Trial Register'!T34)=0,"",'Trial Register'!T34)</x:f>
      </x:c>
      <x:c r="M34" s="14" t="str">
        <x:f>IF(COUNT(K34:L34)&lt;2,"",K34-L34)</x:f>
      </x:c>
      <x:c r="N34" s="14" t="str">
        <x:f>IF(COUNT(K34:L34)&lt;2,"",K34+L34)</x:f>
      </x:c>
      <x:c r="O34" s="14" t="str">
        <x:f>IF(COUNT(K34)=0,"",ABS(K34-I34))</x:f>
      </x:c>
      <x:c r="P34" s="14" t="str">
        <x:f>IF(COUNT(O34)=0,"",IF(J34=0,IF(O34=0,0,999),O34/J34))</x:f>
      </x:c>
      <x:c r="Q34" t="str">
        <x:f>IF(COUNT(M34:N34)&lt;2,"",IF(AND(I34&gt;=M34,I34&lt;=N34,O34&lt;=J34),"PASS","FAIL"))</x:f>
      </x:c>
      <x:c r="R34" t="str"/>
      <x:c r="S34" t="str">
        <x:f>IF(R34=1,IF(Q34="PASS","PASS","FAIL"),"OPEN")</x:f>
        <x:v>OPEN</x:v>
      </x:c>
    </x:row>
    <x:row r="35">
      <x:c r="B35" t="str">
        <x:v>RAW-E029</x:v>
      </x:c>
      <x:c r="C35" t="str">
        <x:v>AM-00</x:v>
      </x:c>
      <x:c r="D35" t="str">
        <x:v>TR-A</x:v>
      </x:c>
      <x:c r="E35" t="str">
        <x:v>RFP-B1</x:v>
      </x:c>
      <x:c r="F35" t="str">
        <x:v>PTC-B</x:v>
      </x:c>
      <x:c r="G35" t="str">
        <x:v>QT-05</x:v>
      </x:c>
      <x:c r="H35" t="str">
        <x:v>RAW-V05</x:v>
      </x:c>
      <x:c r="I35" s="14" t="n">
        <x:f>'Reference Envelopes'!F11</x:f>
        <x:v>0.005</x:v>
      </x:c>
      <x:c r="J35" s="14" t="n">
        <x:f>'Reference Envelopes'!G11</x:f>
        <x:v>0.0005</x:v>
      </x:c>
      <x:c r="K35" s="14" t="str">
        <x:f>IF(COUNT('Trial Register'!S35)=0,"",'Trial Register'!S35)</x:f>
      </x:c>
      <x:c r="L35" s="14" t="str">
        <x:f>IF(COUNT('Trial Register'!T35)=0,"",'Trial Register'!T35)</x:f>
      </x:c>
      <x:c r="M35" s="14" t="str">
        <x:f>IF(COUNT(K35:L35)&lt;2,"",K35-L35)</x:f>
      </x:c>
      <x:c r="N35" s="14" t="str">
        <x:f>IF(COUNT(K35:L35)&lt;2,"",K35+L35)</x:f>
      </x:c>
      <x:c r="O35" s="14" t="str">
        <x:f>IF(COUNT(K35)=0,"",ABS(K35-I35))</x:f>
      </x:c>
      <x:c r="P35" s="14" t="str">
        <x:f>IF(COUNT(O35)=0,"",IF(J35=0,IF(O35=0,0,999),O35/J35))</x:f>
      </x:c>
      <x:c r="Q35" t="str">
        <x:f>IF(COUNT(M35:N35)&lt;2,"",IF(AND(I35&gt;=M35,I35&lt;=N35,O35&lt;=J35),"PASS","FAIL"))</x:f>
      </x:c>
      <x:c r="R35" t="str"/>
      <x:c r="S35" t="str">
        <x:f>IF(R35=1,IF(Q35="PASS","PASS","FAIL"),"OPEN")</x:f>
        <x:v>OPEN</x:v>
      </x:c>
    </x:row>
    <x:row r="36">
      <x:c r="B36" t="str">
        <x:v>RAW-E030</x:v>
      </x:c>
      <x:c r="C36" t="str">
        <x:v>AM-00</x:v>
      </x:c>
      <x:c r="D36" t="str">
        <x:v>TR-A</x:v>
      </x:c>
      <x:c r="E36" t="str">
        <x:v>RFP-B1</x:v>
      </x:c>
      <x:c r="F36" t="str">
        <x:v>PTC-B</x:v>
      </x:c>
      <x:c r="G36" t="str">
        <x:v>QT-06</x:v>
      </x:c>
      <x:c r="H36" t="str">
        <x:v>RAW-V06</x:v>
      </x:c>
      <x:c r="I36" s="14" t="n">
        <x:f>'Reference Envelopes'!F12</x:f>
        <x:v>0.01</x:v>
      </x:c>
      <x:c r="J36" s="14" t="n">
        <x:f>'Reference Envelopes'!G12</x:f>
        <x:v>0.0005</x:v>
      </x:c>
      <x:c r="K36" s="14" t="str">
        <x:f>IF(COUNT('Trial Register'!S36)=0,"",'Trial Register'!S36)</x:f>
      </x:c>
      <x:c r="L36" s="14" t="str">
        <x:f>IF(COUNT('Trial Register'!T36)=0,"",'Trial Register'!T36)</x:f>
      </x:c>
      <x:c r="M36" s="14" t="str">
        <x:f>IF(COUNT(K36:L36)&lt;2,"",K36-L36)</x:f>
      </x:c>
      <x:c r="N36" s="14" t="str">
        <x:f>IF(COUNT(K36:L36)&lt;2,"",K36+L36)</x:f>
      </x:c>
      <x:c r="O36" s="14" t="str">
        <x:f>IF(COUNT(K36)=0,"",ABS(K36-I36))</x:f>
      </x:c>
      <x:c r="P36" s="14" t="str">
        <x:f>IF(COUNT(O36)=0,"",IF(J36=0,IF(O36=0,0,999),O36/J36))</x:f>
      </x:c>
      <x:c r="Q36" t="str">
        <x:f>IF(COUNT(M36:N36)&lt;2,"",IF(AND(I36&gt;=M36,I36&lt;=N36,O36&lt;=J36),"PASS","FAIL"))</x:f>
      </x:c>
      <x:c r="R36" t="str"/>
      <x:c r="S36" t="str">
        <x:f>IF(R36=1,IF(Q36="PASS","PASS","FAIL"),"OPEN")</x:f>
        <x:v>OPEN</x:v>
      </x:c>
    </x:row>
    <x:row r="37">
      <x:c r="B37" t="str">
        <x:v>RAW-E031</x:v>
      </x:c>
      <x:c r="C37" t="str">
        <x:v>AM-00</x:v>
      </x:c>
      <x:c r="D37" t="str">
        <x:v>TR-B</x:v>
      </x:c>
      <x:c r="E37" t="str">
        <x:v>RFP-B1</x:v>
      </x:c>
      <x:c r="F37" t="str">
        <x:v>PTC-B</x:v>
      </x:c>
      <x:c r="G37" t="str">
        <x:v>QT-01</x:v>
      </x:c>
      <x:c r="H37" t="str">
        <x:v>RAW-V01</x:v>
      </x:c>
      <x:c r="I37" s="14" t="n">
        <x:f>'Reference Envelopes'!F7</x:f>
        <x:v>0</x:v>
      </x:c>
      <x:c r="J37" s="14" t="n">
        <x:f>'Reference Envelopes'!G7</x:f>
        <x:v>0.0002</x:v>
      </x:c>
      <x:c r="K37" s="14" t="str">
        <x:f>IF(COUNT('Trial Register'!S37)=0,"",'Trial Register'!S37)</x:f>
      </x:c>
      <x:c r="L37" s="14" t="str">
        <x:f>IF(COUNT('Trial Register'!T37)=0,"",'Trial Register'!T37)</x:f>
      </x:c>
      <x:c r="M37" s="14" t="str">
        <x:f>IF(COUNT(K37:L37)&lt;2,"",K37-L37)</x:f>
      </x:c>
      <x:c r="N37" s="14" t="str">
        <x:f>IF(COUNT(K37:L37)&lt;2,"",K37+L37)</x:f>
      </x:c>
      <x:c r="O37" s="14" t="str">
        <x:f>IF(COUNT(K37)=0,"",ABS(K37-I37))</x:f>
      </x:c>
      <x:c r="P37" s="14" t="str">
        <x:f>IF(COUNT(O37)=0,"",IF(J37=0,IF(O37=0,0,999),O37/J37))</x:f>
      </x:c>
      <x:c r="Q37" t="str">
        <x:f>IF(COUNT(M37:N37)&lt;2,"",IF(AND(I37&gt;=M37,I37&lt;=N37,O37&lt;=J37),"PASS","FAIL"))</x:f>
      </x:c>
      <x:c r="R37" t="str"/>
      <x:c r="S37" t="str">
        <x:f>IF(R37=1,IF(Q37="PASS","PASS","FAIL"),"OPEN")</x:f>
        <x:v>OPEN</x:v>
      </x:c>
    </x:row>
    <x:row r="38">
      <x:c r="B38" t="str">
        <x:v>RAW-E032</x:v>
      </x:c>
      <x:c r="C38" t="str">
        <x:v>AM-00</x:v>
      </x:c>
      <x:c r="D38" t="str">
        <x:v>TR-B</x:v>
      </x:c>
      <x:c r="E38" t="str">
        <x:v>RFP-B1</x:v>
      </x:c>
      <x:c r="F38" t="str">
        <x:v>PTC-B</x:v>
      </x:c>
      <x:c r="G38" t="str">
        <x:v>QT-02</x:v>
      </x:c>
      <x:c r="H38" t="str">
        <x:v>RAW-V02</x:v>
      </x:c>
      <x:c r="I38" s="14" t="n">
        <x:f>'Reference Envelopes'!F8</x:f>
        <x:v>-0.01</x:v>
      </x:c>
      <x:c r="J38" s="14" t="n">
        <x:f>'Reference Envelopes'!G8</x:f>
        <x:v>0.0005</x:v>
      </x:c>
      <x:c r="K38" s="14" t="str">
        <x:f>IF(COUNT('Trial Register'!S38)=0,"",'Trial Register'!S38)</x:f>
      </x:c>
      <x:c r="L38" s="14" t="str">
        <x:f>IF(COUNT('Trial Register'!T38)=0,"",'Trial Register'!T38)</x:f>
      </x:c>
      <x:c r="M38" s="14" t="str">
        <x:f>IF(COUNT(K38:L38)&lt;2,"",K38-L38)</x:f>
      </x:c>
      <x:c r="N38" s="14" t="str">
        <x:f>IF(COUNT(K38:L38)&lt;2,"",K38+L38)</x:f>
      </x:c>
      <x:c r="O38" s="14" t="str">
        <x:f>IF(COUNT(K38)=0,"",ABS(K38-I38))</x:f>
      </x:c>
      <x:c r="P38" s="14" t="str">
        <x:f>IF(COUNT(O38)=0,"",IF(J38=0,IF(O38=0,0,999),O38/J38))</x:f>
      </x:c>
      <x:c r="Q38" t="str">
        <x:f>IF(COUNT(M38:N38)&lt;2,"",IF(AND(I38&gt;=M38,I38&lt;=N38,O38&lt;=J38),"PASS","FAIL"))</x:f>
      </x:c>
      <x:c r="R38" t="str"/>
      <x:c r="S38" t="str">
        <x:f>IF(R38=1,IF(Q38="PASS","PASS","FAIL"),"OPEN")</x:f>
        <x:v>OPEN</x:v>
      </x:c>
    </x:row>
    <x:row r="39">
      <x:c r="B39" t="str">
        <x:v>RAW-E033</x:v>
      </x:c>
      <x:c r="C39" t="str">
        <x:v>AM-00</x:v>
      </x:c>
      <x:c r="D39" t="str">
        <x:v>TR-B</x:v>
      </x:c>
      <x:c r="E39" t="str">
        <x:v>RFP-B1</x:v>
      </x:c>
      <x:c r="F39" t="str">
        <x:v>PTC-B</x:v>
      </x:c>
      <x:c r="G39" t="str">
        <x:v>QT-03</x:v>
      </x:c>
      <x:c r="H39" t="str">
        <x:v>RAW-V03</x:v>
      </x:c>
      <x:c r="I39" s="14" t="n">
        <x:f>'Reference Envelopes'!F9</x:f>
        <x:v>0.015</x:v>
      </x:c>
      <x:c r="J39" s="14" t="n">
        <x:f>'Reference Envelopes'!G9</x:f>
        <x:v>0.0005</x:v>
      </x:c>
      <x:c r="K39" s="14" t="str">
        <x:f>IF(COUNT('Trial Register'!S39)=0,"",'Trial Register'!S39)</x:f>
      </x:c>
      <x:c r="L39" s="14" t="str">
        <x:f>IF(COUNT('Trial Register'!T39)=0,"",'Trial Register'!T39)</x:f>
      </x:c>
      <x:c r="M39" s="14" t="str">
        <x:f>IF(COUNT(K39:L39)&lt;2,"",K39-L39)</x:f>
      </x:c>
      <x:c r="N39" s="14" t="str">
        <x:f>IF(COUNT(K39:L39)&lt;2,"",K39+L39)</x:f>
      </x:c>
      <x:c r="O39" s="14" t="str">
        <x:f>IF(COUNT(K39)=0,"",ABS(K39-I39))</x:f>
      </x:c>
      <x:c r="P39" s="14" t="str">
        <x:f>IF(COUNT(O39)=0,"",IF(J39=0,IF(O39=0,0,999),O39/J39))</x:f>
      </x:c>
      <x:c r="Q39" t="str">
        <x:f>IF(COUNT(M39:N39)&lt;2,"",IF(AND(I39&gt;=M39,I39&lt;=N39,O39&lt;=J39),"PASS","FAIL"))</x:f>
      </x:c>
      <x:c r="R39" t="str"/>
      <x:c r="S39" t="str">
        <x:f>IF(R39=1,IF(Q39="PASS","PASS","FAIL"),"OPEN")</x:f>
        <x:v>OPEN</x:v>
      </x:c>
    </x:row>
    <x:row r="40">
      <x:c r="B40" t="str">
        <x:v>RAW-E034</x:v>
      </x:c>
      <x:c r="C40" t="str">
        <x:v>AM-00</x:v>
      </x:c>
      <x:c r="D40" t="str">
        <x:v>TR-B</x:v>
      </x:c>
      <x:c r="E40" t="str">
        <x:v>RFP-B1</x:v>
      </x:c>
      <x:c r="F40" t="str">
        <x:v>PTC-B</x:v>
      </x:c>
      <x:c r="G40" t="str">
        <x:v>QT-04</x:v>
      </x:c>
      <x:c r="H40" t="str">
        <x:v>RAW-V04</x:v>
      </x:c>
      <x:c r="I40" s="14" t="n">
        <x:f>'Reference Envelopes'!F10</x:f>
        <x:v>0.0075</x:v>
      </x:c>
      <x:c r="J40" s="14" t="n">
        <x:f>'Reference Envelopes'!G10</x:f>
        <x:v>0.0005</x:v>
      </x:c>
      <x:c r="K40" s="14" t="str">
        <x:f>IF(COUNT('Trial Register'!S40)=0,"",'Trial Register'!S40)</x:f>
      </x:c>
      <x:c r="L40" s="14" t="str">
        <x:f>IF(COUNT('Trial Register'!T40)=0,"",'Trial Register'!T40)</x:f>
      </x:c>
      <x:c r="M40" s="14" t="str">
        <x:f>IF(COUNT(K40:L40)&lt;2,"",K40-L40)</x:f>
      </x:c>
      <x:c r="N40" s="14" t="str">
        <x:f>IF(COUNT(K40:L40)&lt;2,"",K40+L40)</x:f>
      </x:c>
      <x:c r="O40" s="14" t="str">
        <x:f>IF(COUNT(K40)=0,"",ABS(K40-I40))</x:f>
      </x:c>
      <x:c r="P40" s="14" t="str">
        <x:f>IF(COUNT(O40)=0,"",IF(J40=0,IF(O40=0,0,999),O40/J40))</x:f>
      </x:c>
      <x:c r="Q40" t="str">
        <x:f>IF(COUNT(M40:N40)&lt;2,"",IF(AND(I40&gt;=M40,I40&lt;=N40,O40&lt;=J40),"PASS","FAIL"))</x:f>
      </x:c>
      <x:c r="R40" t="str"/>
      <x:c r="S40" t="str">
        <x:f>IF(R40=1,IF(Q40="PASS","PASS","FAIL"),"OPEN")</x:f>
        <x:v>OPEN</x:v>
      </x:c>
    </x:row>
    <x:row r="41">
      <x:c r="B41" t="str">
        <x:v>RAW-E035</x:v>
      </x:c>
      <x:c r="C41" t="str">
        <x:v>AM-00</x:v>
      </x:c>
      <x:c r="D41" t="str">
        <x:v>TR-B</x:v>
      </x:c>
      <x:c r="E41" t="str">
        <x:v>RFP-B1</x:v>
      </x:c>
      <x:c r="F41" t="str">
        <x:v>PTC-B</x:v>
      </x:c>
      <x:c r="G41" t="str">
        <x:v>QT-05</x:v>
      </x:c>
      <x:c r="H41" t="str">
        <x:v>RAW-V05</x:v>
      </x:c>
      <x:c r="I41" s="14" t="n">
        <x:f>'Reference Envelopes'!F11</x:f>
        <x:v>0.005</x:v>
      </x:c>
      <x:c r="J41" s="14" t="n">
        <x:f>'Reference Envelopes'!G11</x:f>
        <x:v>0.0005</x:v>
      </x:c>
      <x:c r="K41" s="14" t="str">
        <x:f>IF(COUNT('Trial Register'!S41)=0,"",'Trial Register'!S41)</x:f>
      </x:c>
      <x:c r="L41" s="14" t="str">
        <x:f>IF(COUNT('Trial Register'!T41)=0,"",'Trial Register'!T41)</x:f>
      </x:c>
      <x:c r="M41" s="14" t="str">
        <x:f>IF(COUNT(K41:L41)&lt;2,"",K41-L41)</x:f>
      </x:c>
      <x:c r="N41" s="14" t="str">
        <x:f>IF(COUNT(K41:L41)&lt;2,"",K41+L41)</x:f>
      </x:c>
      <x:c r="O41" s="14" t="str">
        <x:f>IF(COUNT(K41)=0,"",ABS(K41-I41))</x:f>
      </x:c>
      <x:c r="P41" s="14" t="str">
        <x:f>IF(COUNT(O41)=0,"",IF(J41=0,IF(O41=0,0,999),O41/J41))</x:f>
      </x:c>
      <x:c r="Q41" t="str">
        <x:f>IF(COUNT(M41:N41)&lt;2,"",IF(AND(I41&gt;=M41,I41&lt;=N41,O41&lt;=J41),"PASS","FAIL"))</x:f>
      </x:c>
      <x:c r="R41" t="str"/>
      <x:c r="S41" t="str">
        <x:f>IF(R41=1,IF(Q41="PASS","PASS","FAIL"),"OPEN")</x:f>
        <x:v>OPEN</x:v>
      </x:c>
    </x:row>
    <x:row r="42">
      <x:c r="B42" t="str">
        <x:v>RAW-E036</x:v>
      </x:c>
      <x:c r="C42" t="str">
        <x:v>AM-00</x:v>
      </x:c>
      <x:c r="D42" t="str">
        <x:v>TR-B</x:v>
      </x:c>
      <x:c r="E42" t="str">
        <x:v>RFP-B1</x:v>
      </x:c>
      <x:c r="F42" t="str">
        <x:v>PTC-B</x:v>
      </x:c>
      <x:c r="G42" t="str">
        <x:v>QT-06</x:v>
      </x:c>
      <x:c r="H42" t="str">
        <x:v>RAW-V06</x:v>
      </x:c>
      <x:c r="I42" s="14" t="n">
        <x:f>'Reference Envelopes'!F12</x:f>
        <x:v>0.01</x:v>
      </x:c>
      <x:c r="J42" s="14" t="n">
        <x:f>'Reference Envelopes'!G12</x:f>
        <x:v>0.0005</x:v>
      </x:c>
      <x:c r="K42" s="14" t="str">
        <x:f>IF(COUNT('Trial Register'!S42)=0,"",'Trial Register'!S42)</x:f>
      </x:c>
      <x:c r="L42" s="14" t="str">
        <x:f>IF(COUNT('Trial Register'!T42)=0,"",'Trial Register'!T42)</x:f>
      </x:c>
      <x:c r="M42" s="14" t="str">
        <x:f>IF(COUNT(K42:L42)&lt;2,"",K42-L42)</x:f>
      </x:c>
      <x:c r="N42" s="14" t="str">
        <x:f>IF(COUNT(K42:L42)&lt;2,"",K42+L42)</x:f>
      </x:c>
      <x:c r="O42" s="14" t="str">
        <x:f>IF(COUNT(K42)=0,"",ABS(K42-I42))</x:f>
      </x:c>
      <x:c r="P42" s="14" t="str">
        <x:f>IF(COUNT(O42)=0,"",IF(J42=0,IF(O42=0,0,999),O42/J42))</x:f>
      </x:c>
      <x:c r="Q42" t="str">
        <x:f>IF(COUNT(M42:N42)&lt;2,"",IF(AND(I42&gt;=M42,I42&lt;=N42,O42&lt;=J42),"PASS","FAIL"))</x:f>
      </x:c>
      <x:c r="R42" t="str"/>
      <x:c r="S42" t="str">
        <x:f>IF(R42=1,IF(Q42="PASS","PASS","FAIL"),"OPEN")</x:f>
        <x:v>OPEN</x:v>
      </x:c>
    </x:row>
    <x:row r="43">
      <x:c r="B43" t="str">
        <x:v>RAW-E037</x:v>
      </x:c>
      <x:c r="C43" t="str">
        <x:v>AM-00</x:v>
      </x:c>
      <x:c r="D43" t="str">
        <x:v>TR-A</x:v>
      </x:c>
      <x:c r="E43" t="str">
        <x:v>RFP-B2</x:v>
      </x:c>
      <x:c r="F43" t="str">
        <x:v>PTC-B</x:v>
      </x:c>
      <x:c r="G43" t="str">
        <x:v>QT-01</x:v>
      </x:c>
      <x:c r="H43" t="str">
        <x:v>RAW-V01</x:v>
      </x:c>
      <x:c r="I43" s="14" t="n">
        <x:f>'Reference Envelopes'!F7</x:f>
        <x:v>0</x:v>
      </x:c>
      <x:c r="J43" s="14" t="n">
        <x:f>'Reference Envelopes'!G7</x:f>
        <x:v>0.0002</x:v>
      </x:c>
      <x:c r="K43" s="14" t="str">
        <x:f>IF(COUNT('Trial Register'!S43)=0,"",'Trial Register'!S43)</x:f>
      </x:c>
      <x:c r="L43" s="14" t="str">
        <x:f>IF(COUNT('Trial Register'!T43)=0,"",'Trial Register'!T43)</x:f>
      </x:c>
      <x:c r="M43" s="14" t="str">
        <x:f>IF(COUNT(K43:L43)&lt;2,"",K43-L43)</x:f>
      </x:c>
      <x:c r="N43" s="14" t="str">
        <x:f>IF(COUNT(K43:L43)&lt;2,"",K43+L43)</x:f>
      </x:c>
      <x:c r="O43" s="14" t="str">
        <x:f>IF(COUNT(K43)=0,"",ABS(K43-I43))</x:f>
      </x:c>
      <x:c r="P43" s="14" t="str">
        <x:f>IF(COUNT(O43)=0,"",IF(J43=0,IF(O43=0,0,999),O43/J43))</x:f>
      </x:c>
      <x:c r="Q43" t="str">
        <x:f>IF(COUNT(M43:N43)&lt;2,"",IF(AND(I43&gt;=M43,I43&lt;=N43,O43&lt;=J43),"PASS","FAIL"))</x:f>
      </x:c>
      <x:c r="R43" t="str"/>
      <x:c r="S43" t="str">
        <x:f>IF(R43=1,IF(Q43="PASS","PASS","FAIL"),"OPEN")</x:f>
        <x:v>OPEN</x:v>
      </x:c>
    </x:row>
    <x:row r="44">
      <x:c r="B44" t="str">
        <x:v>RAW-E038</x:v>
      </x:c>
      <x:c r="C44" t="str">
        <x:v>AM-00</x:v>
      </x:c>
      <x:c r="D44" t="str">
        <x:v>TR-A</x:v>
      </x:c>
      <x:c r="E44" t="str">
        <x:v>RFP-B2</x:v>
      </x:c>
      <x:c r="F44" t="str">
        <x:v>PTC-B</x:v>
      </x:c>
      <x:c r="G44" t="str">
        <x:v>QT-02</x:v>
      </x:c>
      <x:c r="H44" t="str">
        <x:v>RAW-V02</x:v>
      </x:c>
      <x:c r="I44" s="14" t="n">
        <x:f>'Reference Envelopes'!F8</x:f>
        <x:v>-0.01</x:v>
      </x:c>
      <x:c r="J44" s="14" t="n">
        <x:f>'Reference Envelopes'!G8</x:f>
        <x:v>0.0005</x:v>
      </x:c>
      <x:c r="K44" s="14" t="str">
        <x:f>IF(COUNT('Trial Register'!S44)=0,"",'Trial Register'!S44)</x:f>
      </x:c>
      <x:c r="L44" s="14" t="str">
        <x:f>IF(COUNT('Trial Register'!T44)=0,"",'Trial Register'!T44)</x:f>
      </x:c>
      <x:c r="M44" s="14" t="str">
        <x:f>IF(COUNT(K44:L44)&lt;2,"",K44-L44)</x:f>
      </x:c>
      <x:c r="N44" s="14" t="str">
        <x:f>IF(COUNT(K44:L44)&lt;2,"",K44+L44)</x:f>
      </x:c>
      <x:c r="O44" s="14" t="str">
        <x:f>IF(COUNT(K44)=0,"",ABS(K44-I44))</x:f>
      </x:c>
      <x:c r="P44" s="14" t="str">
        <x:f>IF(COUNT(O44)=0,"",IF(J44=0,IF(O44=0,0,999),O44/J44))</x:f>
      </x:c>
      <x:c r="Q44" t="str">
        <x:f>IF(COUNT(M44:N44)&lt;2,"",IF(AND(I44&gt;=M44,I44&lt;=N44,O44&lt;=J44),"PASS","FAIL"))</x:f>
      </x:c>
      <x:c r="R44" t="str"/>
      <x:c r="S44" t="str">
        <x:f>IF(R44=1,IF(Q44="PASS","PASS","FAIL"),"OPEN")</x:f>
        <x:v>OPEN</x:v>
      </x:c>
    </x:row>
    <x:row r="45">
      <x:c r="B45" t="str">
        <x:v>RAW-E039</x:v>
      </x:c>
      <x:c r="C45" t="str">
        <x:v>AM-00</x:v>
      </x:c>
      <x:c r="D45" t="str">
        <x:v>TR-A</x:v>
      </x:c>
      <x:c r="E45" t="str">
        <x:v>RFP-B2</x:v>
      </x:c>
      <x:c r="F45" t="str">
        <x:v>PTC-B</x:v>
      </x:c>
      <x:c r="G45" t="str">
        <x:v>QT-03</x:v>
      </x:c>
      <x:c r="H45" t="str">
        <x:v>RAW-V03</x:v>
      </x:c>
      <x:c r="I45" s="14" t="n">
        <x:f>'Reference Envelopes'!F9</x:f>
        <x:v>0.015</x:v>
      </x:c>
      <x:c r="J45" s="14" t="n">
        <x:f>'Reference Envelopes'!G9</x:f>
        <x:v>0.0005</x:v>
      </x:c>
      <x:c r="K45" s="14" t="str">
        <x:f>IF(COUNT('Trial Register'!S45)=0,"",'Trial Register'!S45)</x:f>
      </x:c>
      <x:c r="L45" s="14" t="str">
        <x:f>IF(COUNT('Trial Register'!T45)=0,"",'Trial Register'!T45)</x:f>
      </x:c>
      <x:c r="M45" s="14" t="str">
        <x:f>IF(COUNT(K45:L45)&lt;2,"",K45-L45)</x:f>
      </x:c>
      <x:c r="N45" s="14" t="str">
        <x:f>IF(COUNT(K45:L45)&lt;2,"",K45+L45)</x:f>
      </x:c>
      <x:c r="O45" s="14" t="str">
        <x:f>IF(COUNT(K45)=0,"",ABS(K45-I45))</x:f>
      </x:c>
      <x:c r="P45" s="14" t="str">
        <x:f>IF(COUNT(O45)=0,"",IF(J45=0,IF(O45=0,0,999),O45/J45))</x:f>
      </x:c>
      <x:c r="Q45" t="str">
        <x:f>IF(COUNT(M45:N45)&lt;2,"",IF(AND(I45&gt;=M45,I45&lt;=N45,O45&lt;=J45),"PASS","FAIL"))</x:f>
      </x:c>
      <x:c r="R45" t="str"/>
      <x:c r="S45" t="str">
        <x:f>IF(R45=1,IF(Q45="PASS","PASS","FAIL"),"OPEN")</x:f>
        <x:v>OPEN</x:v>
      </x:c>
    </x:row>
    <x:row r="46">
      <x:c r="B46" t="str">
        <x:v>RAW-E040</x:v>
      </x:c>
      <x:c r="C46" t="str">
        <x:v>AM-00</x:v>
      </x:c>
      <x:c r="D46" t="str">
        <x:v>TR-A</x:v>
      </x:c>
      <x:c r="E46" t="str">
        <x:v>RFP-B2</x:v>
      </x:c>
      <x:c r="F46" t="str">
        <x:v>PTC-B</x:v>
      </x:c>
      <x:c r="G46" t="str">
        <x:v>QT-04</x:v>
      </x:c>
      <x:c r="H46" t="str">
        <x:v>RAW-V04</x:v>
      </x:c>
      <x:c r="I46" s="14" t="n">
        <x:f>'Reference Envelopes'!F10</x:f>
        <x:v>0.0075</x:v>
      </x:c>
      <x:c r="J46" s="14" t="n">
        <x:f>'Reference Envelopes'!G10</x:f>
        <x:v>0.0005</x:v>
      </x:c>
      <x:c r="K46" s="14" t="str">
        <x:f>IF(COUNT('Trial Register'!S46)=0,"",'Trial Register'!S46)</x:f>
      </x:c>
      <x:c r="L46" s="14" t="str">
        <x:f>IF(COUNT('Trial Register'!T46)=0,"",'Trial Register'!T46)</x:f>
      </x:c>
      <x:c r="M46" s="14" t="str">
        <x:f>IF(COUNT(K46:L46)&lt;2,"",K46-L46)</x:f>
      </x:c>
      <x:c r="N46" s="14" t="str">
        <x:f>IF(COUNT(K46:L46)&lt;2,"",K46+L46)</x:f>
      </x:c>
      <x:c r="O46" s="14" t="str">
        <x:f>IF(COUNT(K46)=0,"",ABS(K46-I46))</x:f>
      </x:c>
      <x:c r="P46" s="14" t="str">
        <x:f>IF(COUNT(O46)=0,"",IF(J46=0,IF(O46=0,0,999),O46/J46))</x:f>
      </x:c>
      <x:c r="Q46" t="str">
        <x:f>IF(COUNT(M46:N46)&lt;2,"",IF(AND(I46&gt;=M46,I46&lt;=N46,O46&lt;=J46),"PASS","FAIL"))</x:f>
      </x:c>
      <x:c r="R46" t="str"/>
      <x:c r="S46" t="str">
        <x:f>IF(R46=1,IF(Q46="PASS","PASS","FAIL"),"OPEN")</x:f>
        <x:v>OPEN</x:v>
      </x:c>
    </x:row>
    <x:row r="47">
      <x:c r="B47" t="str">
        <x:v>RAW-E041</x:v>
      </x:c>
      <x:c r="C47" t="str">
        <x:v>AM-00</x:v>
      </x:c>
      <x:c r="D47" t="str">
        <x:v>TR-A</x:v>
      </x:c>
      <x:c r="E47" t="str">
        <x:v>RFP-B2</x:v>
      </x:c>
      <x:c r="F47" t="str">
        <x:v>PTC-B</x:v>
      </x:c>
      <x:c r="G47" t="str">
        <x:v>QT-05</x:v>
      </x:c>
      <x:c r="H47" t="str">
        <x:v>RAW-V05</x:v>
      </x:c>
      <x:c r="I47" s="14" t="n">
        <x:f>'Reference Envelopes'!F11</x:f>
        <x:v>0.005</x:v>
      </x:c>
      <x:c r="J47" s="14" t="n">
        <x:f>'Reference Envelopes'!G11</x:f>
        <x:v>0.0005</x:v>
      </x:c>
      <x:c r="K47" s="14" t="str">
        <x:f>IF(COUNT('Trial Register'!S47)=0,"",'Trial Register'!S47)</x:f>
      </x:c>
      <x:c r="L47" s="14" t="str">
        <x:f>IF(COUNT('Trial Register'!T47)=0,"",'Trial Register'!T47)</x:f>
      </x:c>
      <x:c r="M47" s="14" t="str">
        <x:f>IF(COUNT(K47:L47)&lt;2,"",K47-L47)</x:f>
      </x:c>
      <x:c r="N47" s="14" t="str">
        <x:f>IF(COUNT(K47:L47)&lt;2,"",K47+L47)</x:f>
      </x:c>
      <x:c r="O47" s="14" t="str">
        <x:f>IF(COUNT(K47)=0,"",ABS(K47-I47))</x:f>
      </x:c>
      <x:c r="P47" s="14" t="str">
        <x:f>IF(COUNT(O47)=0,"",IF(J47=0,IF(O47=0,0,999),O47/J47))</x:f>
      </x:c>
      <x:c r="Q47" t="str">
        <x:f>IF(COUNT(M47:N47)&lt;2,"",IF(AND(I47&gt;=M47,I47&lt;=N47,O47&lt;=J47),"PASS","FAIL"))</x:f>
      </x:c>
      <x:c r="R47" t="str"/>
      <x:c r="S47" t="str">
        <x:f>IF(R47=1,IF(Q47="PASS","PASS","FAIL"),"OPEN")</x:f>
        <x:v>OPEN</x:v>
      </x:c>
    </x:row>
    <x:row r="48">
      <x:c r="B48" t="str">
        <x:v>RAW-E042</x:v>
      </x:c>
      <x:c r="C48" t="str">
        <x:v>AM-00</x:v>
      </x:c>
      <x:c r="D48" t="str">
        <x:v>TR-A</x:v>
      </x:c>
      <x:c r="E48" t="str">
        <x:v>RFP-B2</x:v>
      </x:c>
      <x:c r="F48" t="str">
        <x:v>PTC-B</x:v>
      </x:c>
      <x:c r="G48" t="str">
        <x:v>QT-06</x:v>
      </x:c>
      <x:c r="H48" t="str">
        <x:v>RAW-V06</x:v>
      </x:c>
      <x:c r="I48" s="14" t="n">
        <x:f>'Reference Envelopes'!F12</x:f>
        <x:v>0.01</x:v>
      </x:c>
      <x:c r="J48" s="14" t="n">
        <x:f>'Reference Envelopes'!G12</x:f>
        <x:v>0.0005</x:v>
      </x:c>
      <x:c r="K48" s="14" t="str">
        <x:f>IF(COUNT('Trial Register'!S48)=0,"",'Trial Register'!S48)</x:f>
      </x:c>
      <x:c r="L48" s="14" t="str">
        <x:f>IF(COUNT('Trial Register'!T48)=0,"",'Trial Register'!T48)</x:f>
      </x:c>
      <x:c r="M48" s="14" t="str">
        <x:f>IF(COUNT(K48:L48)&lt;2,"",K48-L48)</x:f>
      </x:c>
      <x:c r="N48" s="14" t="str">
        <x:f>IF(COUNT(K48:L48)&lt;2,"",K48+L48)</x:f>
      </x:c>
      <x:c r="O48" s="14" t="str">
        <x:f>IF(COUNT(K48)=0,"",ABS(K48-I48))</x:f>
      </x:c>
      <x:c r="P48" s="14" t="str">
        <x:f>IF(COUNT(O48)=0,"",IF(J48=0,IF(O48=0,0,999),O48/J48))</x:f>
      </x:c>
      <x:c r="Q48" t="str">
        <x:f>IF(COUNT(M48:N48)&lt;2,"",IF(AND(I48&gt;=M48,I48&lt;=N48,O48&lt;=J48),"PASS","FAIL"))</x:f>
      </x:c>
      <x:c r="R48" t="str"/>
      <x:c r="S48" t="str">
        <x:f>IF(R48=1,IF(Q48="PASS","PASS","FAIL"),"OPEN")</x:f>
        <x:v>OPEN</x:v>
      </x:c>
    </x:row>
    <x:row r="49">
      <x:c r="B49" t="str">
        <x:v>RAW-E043</x:v>
      </x:c>
      <x:c r="C49" t="str">
        <x:v>AM-00</x:v>
      </x:c>
      <x:c r="D49" t="str">
        <x:v>TR-B</x:v>
      </x:c>
      <x:c r="E49" t="str">
        <x:v>RFP-B2</x:v>
      </x:c>
      <x:c r="F49" t="str">
        <x:v>PTC-B</x:v>
      </x:c>
      <x:c r="G49" t="str">
        <x:v>QT-01</x:v>
      </x:c>
      <x:c r="H49" t="str">
        <x:v>RAW-V01</x:v>
      </x:c>
      <x:c r="I49" s="14" t="n">
        <x:f>'Reference Envelopes'!F7</x:f>
        <x:v>0</x:v>
      </x:c>
      <x:c r="J49" s="14" t="n">
        <x:f>'Reference Envelopes'!G7</x:f>
        <x:v>0.0002</x:v>
      </x:c>
      <x:c r="K49" s="14" t="str">
        <x:f>IF(COUNT('Trial Register'!S49)=0,"",'Trial Register'!S49)</x:f>
      </x:c>
      <x:c r="L49" s="14" t="str">
        <x:f>IF(COUNT('Trial Register'!T49)=0,"",'Trial Register'!T49)</x:f>
      </x:c>
      <x:c r="M49" s="14" t="str">
        <x:f>IF(COUNT(K49:L49)&lt;2,"",K49-L49)</x:f>
      </x:c>
      <x:c r="N49" s="14" t="str">
        <x:f>IF(COUNT(K49:L49)&lt;2,"",K49+L49)</x:f>
      </x:c>
      <x:c r="O49" s="14" t="str">
        <x:f>IF(COUNT(K49)=0,"",ABS(K49-I49))</x:f>
      </x:c>
      <x:c r="P49" s="14" t="str">
        <x:f>IF(COUNT(O49)=0,"",IF(J49=0,IF(O49=0,0,999),O49/J49))</x:f>
      </x:c>
      <x:c r="Q49" t="str">
        <x:f>IF(COUNT(M49:N49)&lt;2,"",IF(AND(I49&gt;=M49,I49&lt;=N49,O49&lt;=J49),"PASS","FAIL"))</x:f>
      </x:c>
      <x:c r="R49" t="str"/>
      <x:c r="S49" t="str">
        <x:f>IF(R49=1,IF(Q49="PASS","PASS","FAIL"),"OPEN")</x:f>
        <x:v>OPEN</x:v>
      </x:c>
    </x:row>
    <x:row r="50">
      <x:c r="B50" t="str">
        <x:v>RAW-E044</x:v>
      </x:c>
      <x:c r="C50" t="str">
        <x:v>AM-00</x:v>
      </x:c>
      <x:c r="D50" t="str">
        <x:v>TR-B</x:v>
      </x:c>
      <x:c r="E50" t="str">
        <x:v>RFP-B2</x:v>
      </x:c>
      <x:c r="F50" t="str">
        <x:v>PTC-B</x:v>
      </x:c>
      <x:c r="G50" t="str">
        <x:v>QT-02</x:v>
      </x:c>
      <x:c r="H50" t="str">
        <x:v>RAW-V02</x:v>
      </x:c>
      <x:c r="I50" s="14" t="n">
        <x:f>'Reference Envelopes'!F8</x:f>
        <x:v>-0.01</x:v>
      </x:c>
      <x:c r="J50" s="14" t="n">
        <x:f>'Reference Envelopes'!G8</x:f>
        <x:v>0.0005</x:v>
      </x:c>
      <x:c r="K50" s="14" t="str">
        <x:f>IF(COUNT('Trial Register'!S50)=0,"",'Trial Register'!S50)</x:f>
      </x:c>
      <x:c r="L50" s="14" t="str">
        <x:f>IF(COUNT('Trial Register'!T50)=0,"",'Trial Register'!T50)</x:f>
      </x:c>
      <x:c r="M50" s="14" t="str">
        <x:f>IF(COUNT(K50:L50)&lt;2,"",K50-L50)</x:f>
      </x:c>
      <x:c r="N50" s="14" t="str">
        <x:f>IF(COUNT(K50:L50)&lt;2,"",K50+L50)</x:f>
      </x:c>
      <x:c r="O50" s="14" t="str">
        <x:f>IF(COUNT(K50)=0,"",ABS(K50-I50))</x:f>
      </x:c>
      <x:c r="P50" s="14" t="str">
        <x:f>IF(COUNT(O50)=0,"",IF(J50=0,IF(O50=0,0,999),O50/J50))</x:f>
      </x:c>
      <x:c r="Q50" t="str">
        <x:f>IF(COUNT(M50:N50)&lt;2,"",IF(AND(I50&gt;=M50,I50&lt;=N50,O50&lt;=J50),"PASS","FAIL"))</x:f>
      </x:c>
      <x:c r="R50" t="str"/>
      <x:c r="S50" t="str">
        <x:f>IF(R50=1,IF(Q50="PASS","PASS","FAIL"),"OPEN")</x:f>
        <x:v>OPEN</x:v>
      </x:c>
    </x:row>
    <x:row r="51">
      <x:c r="B51" t="str">
        <x:v>RAW-E045</x:v>
      </x:c>
      <x:c r="C51" t="str">
        <x:v>AM-00</x:v>
      </x:c>
      <x:c r="D51" t="str">
        <x:v>TR-B</x:v>
      </x:c>
      <x:c r="E51" t="str">
        <x:v>RFP-B2</x:v>
      </x:c>
      <x:c r="F51" t="str">
        <x:v>PTC-B</x:v>
      </x:c>
      <x:c r="G51" t="str">
        <x:v>QT-03</x:v>
      </x:c>
      <x:c r="H51" t="str">
        <x:v>RAW-V03</x:v>
      </x:c>
      <x:c r="I51" s="14" t="n">
        <x:f>'Reference Envelopes'!F9</x:f>
        <x:v>0.015</x:v>
      </x:c>
      <x:c r="J51" s="14" t="n">
        <x:f>'Reference Envelopes'!G9</x:f>
        <x:v>0.0005</x:v>
      </x:c>
      <x:c r="K51" s="14" t="str">
        <x:f>IF(COUNT('Trial Register'!S51)=0,"",'Trial Register'!S51)</x:f>
      </x:c>
      <x:c r="L51" s="14" t="str">
        <x:f>IF(COUNT('Trial Register'!T51)=0,"",'Trial Register'!T51)</x:f>
      </x:c>
      <x:c r="M51" s="14" t="str">
        <x:f>IF(COUNT(K51:L51)&lt;2,"",K51-L51)</x:f>
      </x:c>
      <x:c r="N51" s="14" t="str">
        <x:f>IF(COUNT(K51:L51)&lt;2,"",K51+L51)</x:f>
      </x:c>
      <x:c r="O51" s="14" t="str">
        <x:f>IF(COUNT(K51)=0,"",ABS(K51-I51))</x:f>
      </x:c>
      <x:c r="P51" s="14" t="str">
        <x:f>IF(COUNT(O51)=0,"",IF(J51=0,IF(O51=0,0,999),O51/J51))</x:f>
      </x:c>
      <x:c r="Q51" t="str">
        <x:f>IF(COUNT(M51:N51)&lt;2,"",IF(AND(I51&gt;=M51,I51&lt;=N51,O51&lt;=J51),"PASS","FAIL"))</x:f>
      </x:c>
      <x:c r="R51" t="str"/>
      <x:c r="S51" t="str">
        <x:f>IF(R51=1,IF(Q51="PASS","PASS","FAIL"),"OPEN")</x:f>
        <x:v>OPEN</x:v>
      </x:c>
    </x:row>
    <x:row r="52">
      <x:c r="B52" t="str">
        <x:v>RAW-E046</x:v>
      </x:c>
      <x:c r="C52" t="str">
        <x:v>AM-00</x:v>
      </x:c>
      <x:c r="D52" t="str">
        <x:v>TR-B</x:v>
      </x:c>
      <x:c r="E52" t="str">
        <x:v>RFP-B2</x:v>
      </x:c>
      <x:c r="F52" t="str">
        <x:v>PTC-B</x:v>
      </x:c>
      <x:c r="G52" t="str">
        <x:v>QT-04</x:v>
      </x:c>
      <x:c r="H52" t="str">
        <x:v>RAW-V04</x:v>
      </x:c>
      <x:c r="I52" s="14" t="n">
        <x:f>'Reference Envelopes'!F10</x:f>
        <x:v>0.0075</x:v>
      </x:c>
      <x:c r="J52" s="14" t="n">
        <x:f>'Reference Envelopes'!G10</x:f>
        <x:v>0.0005</x:v>
      </x:c>
      <x:c r="K52" s="14" t="str">
        <x:f>IF(COUNT('Trial Register'!S52)=0,"",'Trial Register'!S52)</x:f>
      </x:c>
      <x:c r="L52" s="14" t="str">
        <x:f>IF(COUNT('Trial Register'!T52)=0,"",'Trial Register'!T52)</x:f>
      </x:c>
      <x:c r="M52" s="14" t="str">
        <x:f>IF(COUNT(K52:L52)&lt;2,"",K52-L52)</x:f>
      </x:c>
      <x:c r="N52" s="14" t="str">
        <x:f>IF(COUNT(K52:L52)&lt;2,"",K52+L52)</x:f>
      </x:c>
      <x:c r="O52" s="14" t="str">
        <x:f>IF(COUNT(K52)=0,"",ABS(K52-I52))</x:f>
      </x:c>
      <x:c r="P52" s="14" t="str">
        <x:f>IF(COUNT(O52)=0,"",IF(J52=0,IF(O52=0,0,999),O52/J52))</x:f>
      </x:c>
      <x:c r="Q52" t="str">
        <x:f>IF(COUNT(M52:N52)&lt;2,"",IF(AND(I52&gt;=M52,I52&lt;=N52,O52&lt;=J52),"PASS","FAIL"))</x:f>
      </x:c>
      <x:c r="R52" t="str"/>
      <x:c r="S52" t="str">
        <x:f>IF(R52=1,IF(Q52="PASS","PASS","FAIL"),"OPEN")</x:f>
        <x:v>OPEN</x:v>
      </x:c>
    </x:row>
    <x:row r="53">
      <x:c r="B53" t="str">
        <x:v>RAW-E047</x:v>
      </x:c>
      <x:c r="C53" t="str">
        <x:v>AM-00</x:v>
      </x:c>
      <x:c r="D53" t="str">
        <x:v>TR-B</x:v>
      </x:c>
      <x:c r="E53" t="str">
        <x:v>RFP-B2</x:v>
      </x:c>
      <x:c r="F53" t="str">
        <x:v>PTC-B</x:v>
      </x:c>
      <x:c r="G53" t="str">
        <x:v>QT-05</x:v>
      </x:c>
      <x:c r="H53" t="str">
        <x:v>RAW-V05</x:v>
      </x:c>
      <x:c r="I53" s="14" t="n">
        <x:f>'Reference Envelopes'!F11</x:f>
        <x:v>0.005</x:v>
      </x:c>
      <x:c r="J53" s="14" t="n">
        <x:f>'Reference Envelopes'!G11</x:f>
        <x:v>0.0005</x:v>
      </x:c>
      <x:c r="K53" s="14" t="str">
        <x:f>IF(COUNT('Trial Register'!S53)=0,"",'Trial Register'!S53)</x:f>
      </x:c>
      <x:c r="L53" s="14" t="str">
        <x:f>IF(COUNT('Trial Register'!T53)=0,"",'Trial Register'!T53)</x:f>
      </x:c>
      <x:c r="M53" s="14" t="str">
        <x:f>IF(COUNT(K53:L53)&lt;2,"",K53-L53)</x:f>
      </x:c>
      <x:c r="N53" s="14" t="str">
        <x:f>IF(COUNT(K53:L53)&lt;2,"",K53+L53)</x:f>
      </x:c>
      <x:c r="O53" s="14" t="str">
        <x:f>IF(COUNT(K53)=0,"",ABS(K53-I53))</x:f>
      </x:c>
      <x:c r="P53" s="14" t="str">
        <x:f>IF(COUNT(O53)=0,"",IF(J53=0,IF(O53=0,0,999),O53/J53))</x:f>
      </x:c>
      <x:c r="Q53" t="str">
        <x:f>IF(COUNT(M53:N53)&lt;2,"",IF(AND(I53&gt;=M53,I53&lt;=N53,O53&lt;=J53),"PASS","FAIL"))</x:f>
      </x:c>
      <x:c r="R53" t="str"/>
      <x:c r="S53" t="str">
        <x:f>IF(R53=1,IF(Q53="PASS","PASS","FAIL"),"OPEN")</x:f>
        <x:v>OPEN</x:v>
      </x:c>
    </x:row>
    <x:row r="54">
      <x:c r="B54" t="str">
        <x:v>RAW-E048</x:v>
      </x:c>
      <x:c r="C54" t="str">
        <x:v>AM-00</x:v>
      </x:c>
      <x:c r="D54" t="str">
        <x:v>TR-B</x:v>
      </x:c>
      <x:c r="E54" t="str">
        <x:v>RFP-B2</x:v>
      </x:c>
      <x:c r="F54" t="str">
        <x:v>PTC-B</x:v>
      </x:c>
      <x:c r="G54" t="str">
        <x:v>QT-06</x:v>
      </x:c>
      <x:c r="H54" t="str">
        <x:v>RAW-V06</x:v>
      </x:c>
      <x:c r="I54" s="14" t="n">
        <x:f>'Reference Envelopes'!F12</x:f>
        <x:v>0.01</x:v>
      </x:c>
      <x:c r="J54" s="14" t="n">
        <x:f>'Reference Envelopes'!G12</x:f>
        <x:v>0.0005</x:v>
      </x:c>
      <x:c r="K54" s="14" t="str">
        <x:f>IF(COUNT('Trial Register'!S54)=0,"",'Trial Register'!S54)</x:f>
      </x:c>
      <x:c r="L54" s="14" t="str">
        <x:f>IF(COUNT('Trial Register'!T54)=0,"",'Trial Register'!T54)</x:f>
      </x:c>
      <x:c r="M54" s="14" t="str">
        <x:f>IF(COUNT(K54:L54)&lt;2,"",K54-L54)</x:f>
      </x:c>
      <x:c r="N54" s="14" t="str">
        <x:f>IF(COUNT(K54:L54)&lt;2,"",K54+L54)</x:f>
      </x:c>
      <x:c r="O54" s="14" t="str">
        <x:f>IF(COUNT(K54)=0,"",ABS(K54-I54))</x:f>
      </x:c>
      <x:c r="P54" s="14" t="str">
        <x:f>IF(COUNT(O54)=0,"",IF(J54=0,IF(O54=0,0,999),O54/J54))</x:f>
      </x:c>
      <x:c r="Q54" t="str">
        <x:f>IF(COUNT(M54:N54)&lt;2,"",IF(AND(I54&gt;=M54,I54&lt;=N54,O54&lt;=J54),"PASS","FAIL"))</x:f>
      </x:c>
      <x:c r="R54" t="str"/>
      <x:c r="S54" t="str">
        <x:f>IF(R54=1,IF(Q54="PASS","PASS","FAIL"),"OPEN")</x:f>
        <x:v>OPEN</x:v>
      </x:c>
    </x:row>
    <x:row r="55">
      <x:c r="B55" t="str">
        <x:v>RAW-E049</x:v>
      </x:c>
      <x:c r="C55" t="str">
        <x:v>AM-00</x:v>
      </x:c>
      <x:c r="D55" t="str">
        <x:v>TR-A</x:v>
      </x:c>
      <x:c r="E55" t="str">
        <x:v>RFP-C1</x:v>
      </x:c>
      <x:c r="F55" t="str">
        <x:v>PTC-C</x:v>
      </x:c>
      <x:c r="G55" t="str">
        <x:v>QT-01</x:v>
      </x:c>
      <x:c r="H55" t="str">
        <x:v>RAW-V01</x:v>
      </x:c>
      <x:c r="I55" s="14" t="n">
        <x:f>'Reference Envelopes'!F7</x:f>
        <x:v>0</x:v>
      </x:c>
      <x:c r="J55" s="14" t="n">
        <x:f>'Reference Envelopes'!G7</x:f>
        <x:v>0.0002</x:v>
      </x:c>
      <x:c r="K55" s="14" t="str">
        <x:f>IF(COUNT('Trial Register'!S55)=0,"",'Trial Register'!S55)</x:f>
      </x:c>
      <x:c r="L55" s="14" t="str">
        <x:f>IF(COUNT('Trial Register'!T55)=0,"",'Trial Register'!T55)</x:f>
      </x:c>
      <x:c r="M55" s="14" t="str">
        <x:f>IF(COUNT(K55:L55)&lt;2,"",K55-L55)</x:f>
      </x:c>
      <x:c r="N55" s="14" t="str">
        <x:f>IF(COUNT(K55:L55)&lt;2,"",K55+L55)</x:f>
      </x:c>
      <x:c r="O55" s="14" t="str">
        <x:f>IF(COUNT(K55)=0,"",ABS(K55-I55))</x:f>
      </x:c>
      <x:c r="P55" s="14" t="str">
        <x:f>IF(COUNT(O55)=0,"",IF(J55=0,IF(O55=0,0,999),O55/J55))</x:f>
      </x:c>
      <x:c r="Q55" t="str">
        <x:f>IF(COUNT(M55:N55)&lt;2,"",IF(AND(I55&gt;=M55,I55&lt;=N55,O55&lt;=J55),"PASS","FAIL"))</x:f>
      </x:c>
      <x:c r="R55" t="str"/>
      <x:c r="S55" t="str">
        <x:f>IF(R55=1,IF(Q55="PASS","PASS","FAIL"),"OPEN")</x:f>
        <x:v>OPEN</x:v>
      </x:c>
    </x:row>
    <x:row r="56">
      <x:c r="B56" t="str">
        <x:v>RAW-E050</x:v>
      </x:c>
      <x:c r="C56" t="str">
        <x:v>AM-00</x:v>
      </x:c>
      <x:c r="D56" t="str">
        <x:v>TR-A</x:v>
      </x:c>
      <x:c r="E56" t="str">
        <x:v>RFP-C1</x:v>
      </x:c>
      <x:c r="F56" t="str">
        <x:v>PTC-C</x:v>
      </x:c>
      <x:c r="G56" t="str">
        <x:v>QT-02</x:v>
      </x:c>
      <x:c r="H56" t="str">
        <x:v>RAW-V02</x:v>
      </x:c>
      <x:c r="I56" s="14" t="n">
        <x:f>'Reference Envelopes'!F8</x:f>
        <x:v>-0.01</x:v>
      </x:c>
      <x:c r="J56" s="14" t="n">
        <x:f>'Reference Envelopes'!G8</x:f>
        <x:v>0.0005</x:v>
      </x:c>
      <x:c r="K56" s="14" t="str">
        <x:f>IF(COUNT('Trial Register'!S56)=0,"",'Trial Register'!S56)</x:f>
      </x:c>
      <x:c r="L56" s="14" t="str">
        <x:f>IF(COUNT('Trial Register'!T56)=0,"",'Trial Register'!T56)</x:f>
      </x:c>
      <x:c r="M56" s="14" t="str">
        <x:f>IF(COUNT(K56:L56)&lt;2,"",K56-L56)</x:f>
      </x:c>
      <x:c r="N56" s="14" t="str">
        <x:f>IF(COUNT(K56:L56)&lt;2,"",K56+L56)</x:f>
      </x:c>
      <x:c r="O56" s="14" t="str">
        <x:f>IF(COUNT(K56)=0,"",ABS(K56-I56))</x:f>
      </x:c>
      <x:c r="P56" s="14" t="str">
        <x:f>IF(COUNT(O56)=0,"",IF(J56=0,IF(O56=0,0,999),O56/J56))</x:f>
      </x:c>
      <x:c r="Q56" t="str">
        <x:f>IF(COUNT(M56:N56)&lt;2,"",IF(AND(I56&gt;=M56,I56&lt;=N56,O56&lt;=J56),"PASS","FAIL"))</x:f>
      </x:c>
      <x:c r="R56" t="str"/>
      <x:c r="S56" t="str">
        <x:f>IF(R56=1,IF(Q56="PASS","PASS","FAIL"),"OPEN")</x:f>
        <x:v>OPEN</x:v>
      </x:c>
    </x:row>
    <x:row r="57">
      <x:c r="B57" t="str">
        <x:v>RAW-E051</x:v>
      </x:c>
      <x:c r="C57" t="str">
        <x:v>AM-00</x:v>
      </x:c>
      <x:c r="D57" t="str">
        <x:v>TR-A</x:v>
      </x:c>
      <x:c r="E57" t="str">
        <x:v>RFP-C1</x:v>
      </x:c>
      <x:c r="F57" t="str">
        <x:v>PTC-C</x:v>
      </x:c>
      <x:c r="G57" t="str">
        <x:v>QT-03</x:v>
      </x:c>
      <x:c r="H57" t="str">
        <x:v>RAW-V03</x:v>
      </x:c>
      <x:c r="I57" s="14" t="n">
        <x:f>'Reference Envelopes'!F9</x:f>
        <x:v>0.015</x:v>
      </x:c>
      <x:c r="J57" s="14" t="n">
        <x:f>'Reference Envelopes'!G9</x:f>
        <x:v>0.0005</x:v>
      </x:c>
      <x:c r="K57" s="14" t="str">
        <x:f>IF(COUNT('Trial Register'!S57)=0,"",'Trial Register'!S57)</x:f>
      </x:c>
      <x:c r="L57" s="14" t="str">
        <x:f>IF(COUNT('Trial Register'!T57)=0,"",'Trial Register'!T57)</x:f>
      </x:c>
      <x:c r="M57" s="14" t="str">
        <x:f>IF(COUNT(K57:L57)&lt;2,"",K57-L57)</x:f>
      </x:c>
      <x:c r="N57" s="14" t="str">
        <x:f>IF(COUNT(K57:L57)&lt;2,"",K57+L57)</x:f>
      </x:c>
      <x:c r="O57" s="14" t="str">
        <x:f>IF(COUNT(K57)=0,"",ABS(K57-I57))</x:f>
      </x:c>
      <x:c r="P57" s="14" t="str">
        <x:f>IF(COUNT(O57)=0,"",IF(J57=0,IF(O57=0,0,999),O57/J57))</x:f>
      </x:c>
      <x:c r="Q57" t="str">
        <x:f>IF(COUNT(M57:N57)&lt;2,"",IF(AND(I57&gt;=M57,I57&lt;=N57,O57&lt;=J57),"PASS","FAIL"))</x:f>
      </x:c>
      <x:c r="R57" t="str"/>
      <x:c r="S57" t="str">
        <x:f>IF(R57=1,IF(Q57="PASS","PASS","FAIL"),"OPEN")</x:f>
        <x:v>OPEN</x:v>
      </x:c>
    </x:row>
    <x:row r="58">
      <x:c r="B58" t="str">
        <x:v>RAW-E052</x:v>
      </x:c>
      <x:c r="C58" t="str">
        <x:v>AM-00</x:v>
      </x:c>
      <x:c r="D58" t="str">
        <x:v>TR-A</x:v>
      </x:c>
      <x:c r="E58" t="str">
        <x:v>RFP-C1</x:v>
      </x:c>
      <x:c r="F58" t="str">
        <x:v>PTC-C</x:v>
      </x:c>
      <x:c r="G58" t="str">
        <x:v>QT-04</x:v>
      </x:c>
      <x:c r="H58" t="str">
        <x:v>RAW-V04</x:v>
      </x:c>
      <x:c r="I58" s="14" t="n">
        <x:f>'Reference Envelopes'!F10</x:f>
        <x:v>0.0075</x:v>
      </x:c>
      <x:c r="J58" s="14" t="n">
        <x:f>'Reference Envelopes'!G10</x:f>
        <x:v>0.0005</x:v>
      </x:c>
      <x:c r="K58" s="14" t="str">
        <x:f>IF(COUNT('Trial Register'!S58)=0,"",'Trial Register'!S58)</x:f>
      </x:c>
      <x:c r="L58" s="14" t="str">
        <x:f>IF(COUNT('Trial Register'!T58)=0,"",'Trial Register'!T58)</x:f>
      </x:c>
      <x:c r="M58" s="14" t="str">
        <x:f>IF(COUNT(K58:L58)&lt;2,"",K58-L58)</x:f>
      </x:c>
      <x:c r="N58" s="14" t="str">
        <x:f>IF(COUNT(K58:L58)&lt;2,"",K58+L58)</x:f>
      </x:c>
      <x:c r="O58" s="14" t="str">
        <x:f>IF(COUNT(K58)=0,"",ABS(K58-I58))</x:f>
      </x:c>
      <x:c r="P58" s="14" t="str">
        <x:f>IF(COUNT(O58)=0,"",IF(J58=0,IF(O58=0,0,999),O58/J58))</x:f>
      </x:c>
      <x:c r="Q58" t="str">
        <x:f>IF(COUNT(M58:N58)&lt;2,"",IF(AND(I58&gt;=M58,I58&lt;=N58,O58&lt;=J58),"PASS","FAIL"))</x:f>
      </x:c>
      <x:c r="R58" t="str"/>
      <x:c r="S58" t="str">
        <x:f>IF(R58=1,IF(Q58="PASS","PASS","FAIL"),"OPEN")</x:f>
        <x:v>OPEN</x:v>
      </x:c>
    </x:row>
    <x:row r="59">
      <x:c r="B59" t="str">
        <x:v>RAW-E053</x:v>
      </x:c>
      <x:c r="C59" t="str">
        <x:v>AM-00</x:v>
      </x:c>
      <x:c r="D59" t="str">
        <x:v>TR-A</x:v>
      </x:c>
      <x:c r="E59" t="str">
        <x:v>RFP-C1</x:v>
      </x:c>
      <x:c r="F59" t="str">
        <x:v>PTC-C</x:v>
      </x:c>
      <x:c r="G59" t="str">
        <x:v>QT-05</x:v>
      </x:c>
      <x:c r="H59" t="str">
        <x:v>RAW-V05</x:v>
      </x:c>
      <x:c r="I59" s="14" t="n">
        <x:f>'Reference Envelopes'!F11</x:f>
        <x:v>0.005</x:v>
      </x:c>
      <x:c r="J59" s="14" t="n">
        <x:f>'Reference Envelopes'!G11</x:f>
        <x:v>0.0005</x:v>
      </x:c>
      <x:c r="K59" s="14" t="str">
        <x:f>IF(COUNT('Trial Register'!S59)=0,"",'Trial Register'!S59)</x:f>
      </x:c>
      <x:c r="L59" s="14" t="str">
        <x:f>IF(COUNT('Trial Register'!T59)=0,"",'Trial Register'!T59)</x:f>
      </x:c>
      <x:c r="M59" s="14" t="str">
        <x:f>IF(COUNT(K59:L59)&lt;2,"",K59-L59)</x:f>
      </x:c>
      <x:c r="N59" s="14" t="str">
        <x:f>IF(COUNT(K59:L59)&lt;2,"",K59+L59)</x:f>
      </x:c>
      <x:c r="O59" s="14" t="str">
        <x:f>IF(COUNT(K59)=0,"",ABS(K59-I59))</x:f>
      </x:c>
      <x:c r="P59" s="14" t="str">
        <x:f>IF(COUNT(O59)=0,"",IF(J59=0,IF(O59=0,0,999),O59/J59))</x:f>
      </x:c>
      <x:c r="Q59" t="str">
        <x:f>IF(COUNT(M59:N59)&lt;2,"",IF(AND(I59&gt;=M59,I59&lt;=N59,O59&lt;=J59),"PASS","FAIL"))</x:f>
      </x:c>
      <x:c r="R59" t="str"/>
      <x:c r="S59" t="str">
        <x:f>IF(R59=1,IF(Q59="PASS","PASS","FAIL"),"OPEN")</x:f>
        <x:v>OPEN</x:v>
      </x:c>
    </x:row>
    <x:row r="60">
      <x:c r="B60" t="str">
        <x:v>RAW-E054</x:v>
      </x:c>
      <x:c r="C60" t="str">
        <x:v>AM-00</x:v>
      </x:c>
      <x:c r="D60" t="str">
        <x:v>TR-A</x:v>
      </x:c>
      <x:c r="E60" t="str">
        <x:v>RFP-C1</x:v>
      </x:c>
      <x:c r="F60" t="str">
        <x:v>PTC-C</x:v>
      </x:c>
      <x:c r="G60" t="str">
        <x:v>QT-06</x:v>
      </x:c>
      <x:c r="H60" t="str">
        <x:v>RAW-V06</x:v>
      </x:c>
      <x:c r="I60" s="14" t="n">
        <x:f>'Reference Envelopes'!F12</x:f>
        <x:v>0.01</x:v>
      </x:c>
      <x:c r="J60" s="14" t="n">
        <x:f>'Reference Envelopes'!G12</x:f>
        <x:v>0.0005</x:v>
      </x:c>
      <x:c r="K60" s="14" t="str">
        <x:f>IF(COUNT('Trial Register'!S60)=0,"",'Trial Register'!S60)</x:f>
      </x:c>
      <x:c r="L60" s="14" t="str">
        <x:f>IF(COUNT('Trial Register'!T60)=0,"",'Trial Register'!T60)</x:f>
      </x:c>
      <x:c r="M60" s="14" t="str">
        <x:f>IF(COUNT(K60:L60)&lt;2,"",K60-L60)</x:f>
      </x:c>
      <x:c r="N60" s="14" t="str">
        <x:f>IF(COUNT(K60:L60)&lt;2,"",K60+L60)</x:f>
      </x:c>
      <x:c r="O60" s="14" t="str">
        <x:f>IF(COUNT(K60)=0,"",ABS(K60-I60))</x:f>
      </x:c>
      <x:c r="P60" s="14" t="str">
        <x:f>IF(COUNT(O60)=0,"",IF(J60=0,IF(O60=0,0,999),O60/J60))</x:f>
      </x:c>
      <x:c r="Q60" t="str">
        <x:f>IF(COUNT(M60:N60)&lt;2,"",IF(AND(I60&gt;=M60,I60&lt;=N60,O60&lt;=J60),"PASS","FAIL"))</x:f>
      </x:c>
      <x:c r="R60" t="str"/>
      <x:c r="S60" t="str">
        <x:f>IF(R60=1,IF(Q60="PASS","PASS","FAIL"),"OPEN")</x:f>
        <x:v>OPEN</x:v>
      </x:c>
    </x:row>
    <x:row r="61">
      <x:c r="B61" t="str">
        <x:v>RAW-E055</x:v>
      </x:c>
      <x:c r="C61" t="str">
        <x:v>AM-00</x:v>
      </x:c>
      <x:c r="D61" t="str">
        <x:v>TR-B</x:v>
      </x:c>
      <x:c r="E61" t="str">
        <x:v>RFP-C1</x:v>
      </x:c>
      <x:c r="F61" t="str">
        <x:v>PTC-C</x:v>
      </x:c>
      <x:c r="G61" t="str">
        <x:v>QT-01</x:v>
      </x:c>
      <x:c r="H61" t="str">
        <x:v>RAW-V01</x:v>
      </x:c>
      <x:c r="I61" s="14" t="n">
        <x:f>'Reference Envelopes'!F7</x:f>
        <x:v>0</x:v>
      </x:c>
      <x:c r="J61" s="14" t="n">
        <x:f>'Reference Envelopes'!G7</x:f>
        <x:v>0.0002</x:v>
      </x:c>
      <x:c r="K61" s="14" t="str">
        <x:f>IF(COUNT('Trial Register'!S61)=0,"",'Trial Register'!S61)</x:f>
      </x:c>
      <x:c r="L61" s="14" t="str">
        <x:f>IF(COUNT('Trial Register'!T61)=0,"",'Trial Register'!T61)</x:f>
      </x:c>
      <x:c r="M61" s="14" t="str">
        <x:f>IF(COUNT(K61:L61)&lt;2,"",K61-L61)</x:f>
      </x:c>
      <x:c r="N61" s="14" t="str">
        <x:f>IF(COUNT(K61:L61)&lt;2,"",K61+L61)</x:f>
      </x:c>
      <x:c r="O61" s="14" t="str">
        <x:f>IF(COUNT(K61)=0,"",ABS(K61-I61))</x:f>
      </x:c>
      <x:c r="P61" s="14" t="str">
        <x:f>IF(COUNT(O61)=0,"",IF(J61=0,IF(O61=0,0,999),O61/J61))</x:f>
      </x:c>
      <x:c r="Q61" t="str">
        <x:f>IF(COUNT(M61:N61)&lt;2,"",IF(AND(I61&gt;=M61,I61&lt;=N61,O61&lt;=J61),"PASS","FAIL"))</x:f>
      </x:c>
      <x:c r="R61" t="str"/>
      <x:c r="S61" t="str">
        <x:f>IF(R61=1,IF(Q61="PASS","PASS","FAIL"),"OPEN")</x:f>
        <x:v>OPEN</x:v>
      </x:c>
    </x:row>
    <x:row r="62">
      <x:c r="B62" t="str">
        <x:v>RAW-E056</x:v>
      </x:c>
      <x:c r="C62" t="str">
        <x:v>AM-00</x:v>
      </x:c>
      <x:c r="D62" t="str">
        <x:v>TR-B</x:v>
      </x:c>
      <x:c r="E62" t="str">
        <x:v>RFP-C1</x:v>
      </x:c>
      <x:c r="F62" t="str">
        <x:v>PTC-C</x:v>
      </x:c>
      <x:c r="G62" t="str">
        <x:v>QT-02</x:v>
      </x:c>
      <x:c r="H62" t="str">
        <x:v>RAW-V02</x:v>
      </x:c>
      <x:c r="I62" s="14" t="n">
        <x:f>'Reference Envelopes'!F8</x:f>
        <x:v>-0.01</x:v>
      </x:c>
      <x:c r="J62" s="14" t="n">
        <x:f>'Reference Envelopes'!G8</x:f>
        <x:v>0.0005</x:v>
      </x:c>
      <x:c r="K62" s="14" t="str">
        <x:f>IF(COUNT('Trial Register'!S62)=0,"",'Trial Register'!S62)</x:f>
      </x:c>
      <x:c r="L62" s="14" t="str">
        <x:f>IF(COUNT('Trial Register'!T62)=0,"",'Trial Register'!T62)</x:f>
      </x:c>
      <x:c r="M62" s="14" t="str">
        <x:f>IF(COUNT(K62:L62)&lt;2,"",K62-L62)</x:f>
      </x:c>
      <x:c r="N62" s="14" t="str">
        <x:f>IF(COUNT(K62:L62)&lt;2,"",K62+L62)</x:f>
      </x:c>
      <x:c r="O62" s="14" t="str">
        <x:f>IF(COUNT(K62)=0,"",ABS(K62-I62))</x:f>
      </x:c>
      <x:c r="P62" s="14" t="str">
        <x:f>IF(COUNT(O62)=0,"",IF(J62=0,IF(O62=0,0,999),O62/J62))</x:f>
      </x:c>
      <x:c r="Q62" t="str">
        <x:f>IF(COUNT(M62:N62)&lt;2,"",IF(AND(I62&gt;=M62,I62&lt;=N62,O62&lt;=J62),"PASS","FAIL"))</x:f>
      </x:c>
      <x:c r="R62" t="str"/>
      <x:c r="S62" t="str">
        <x:f>IF(R62=1,IF(Q62="PASS","PASS","FAIL"),"OPEN")</x:f>
        <x:v>OPEN</x:v>
      </x:c>
    </x:row>
    <x:row r="63">
      <x:c r="B63" t="str">
        <x:v>RAW-E057</x:v>
      </x:c>
      <x:c r="C63" t="str">
        <x:v>AM-00</x:v>
      </x:c>
      <x:c r="D63" t="str">
        <x:v>TR-B</x:v>
      </x:c>
      <x:c r="E63" t="str">
        <x:v>RFP-C1</x:v>
      </x:c>
      <x:c r="F63" t="str">
        <x:v>PTC-C</x:v>
      </x:c>
      <x:c r="G63" t="str">
        <x:v>QT-03</x:v>
      </x:c>
      <x:c r="H63" t="str">
        <x:v>RAW-V03</x:v>
      </x:c>
      <x:c r="I63" s="14" t="n">
        <x:f>'Reference Envelopes'!F9</x:f>
        <x:v>0.015</x:v>
      </x:c>
      <x:c r="J63" s="14" t="n">
        <x:f>'Reference Envelopes'!G9</x:f>
        <x:v>0.0005</x:v>
      </x:c>
      <x:c r="K63" s="14" t="str">
        <x:f>IF(COUNT('Trial Register'!S63)=0,"",'Trial Register'!S63)</x:f>
      </x:c>
      <x:c r="L63" s="14" t="str">
        <x:f>IF(COUNT('Trial Register'!T63)=0,"",'Trial Register'!T63)</x:f>
      </x:c>
      <x:c r="M63" s="14" t="str">
        <x:f>IF(COUNT(K63:L63)&lt;2,"",K63-L63)</x:f>
      </x:c>
      <x:c r="N63" s="14" t="str">
        <x:f>IF(COUNT(K63:L63)&lt;2,"",K63+L63)</x:f>
      </x:c>
      <x:c r="O63" s="14" t="str">
        <x:f>IF(COUNT(K63)=0,"",ABS(K63-I63))</x:f>
      </x:c>
      <x:c r="P63" s="14" t="str">
        <x:f>IF(COUNT(O63)=0,"",IF(J63=0,IF(O63=0,0,999),O63/J63))</x:f>
      </x:c>
      <x:c r="Q63" t="str">
        <x:f>IF(COUNT(M63:N63)&lt;2,"",IF(AND(I63&gt;=M63,I63&lt;=N63,O63&lt;=J63),"PASS","FAIL"))</x:f>
      </x:c>
      <x:c r="R63" t="str"/>
      <x:c r="S63" t="str">
        <x:f>IF(R63=1,IF(Q63="PASS","PASS","FAIL"),"OPEN")</x:f>
        <x:v>OPEN</x:v>
      </x:c>
    </x:row>
    <x:row r="64">
      <x:c r="B64" t="str">
        <x:v>RAW-E058</x:v>
      </x:c>
      <x:c r="C64" t="str">
        <x:v>AM-00</x:v>
      </x:c>
      <x:c r="D64" t="str">
        <x:v>TR-B</x:v>
      </x:c>
      <x:c r="E64" t="str">
        <x:v>RFP-C1</x:v>
      </x:c>
      <x:c r="F64" t="str">
        <x:v>PTC-C</x:v>
      </x:c>
      <x:c r="G64" t="str">
        <x:v>QT-04</x:v>
      </x:c>
      <x:c r="H64" t="str">
        <x:v>RAW-V04</x:v>
      </x:c>
      <x:c r="I64" s="14" t="n">
        <x:f>'Reference Envelopes'!F10</x:f>
        <x:v>0.0075</x:v>
      </x:c>
      <x:c r="J64" s="14" t="n">
        <x:f>'Reference Envelopes'!G10</x:f>
        <x:v>0.0005</x:v>
      </x:c>
      <x:c r="K64" s="14" t="str">
        <x:f>IF(COUNT('Trial Register'!S64)=0,"",'Trial Register'!S64)</x:f>
      </x:c>
      <x:c r="L64" s="14" t="str">
        <x:f>IF(COUNT('Trial Register'!T64)=0,"",'Trial Register'!T64)</x:f>
      </x:c>
      <x:c r="M64" s="14" t="str">
        <x:f>IF(COUNT(K64:L64)&lt;2,"",K64-L64)</x:f>
      </x:c>
      <x:c r="N64" s="14" t="str">
        <x:f>IF(COUNT(K64:L64)&lt;2,"",K64+L64)</x:f>
      </x:c>
      <x:c r="O64" s="14" t="str">
        <x:f>IF(COUNT(K64)=0,"",ABS(K64-I64))</x:f>
      </x:c>
      <x:c r="P64" s="14" t="str">
        <x:f>IF(COUNT(O64)=0,"",IF(J64=0,IF(O64=0,0,999),O64/J64))</x:f>
      </x:c>
      <x:c r="Q64" t="str">
        <x:f>IF(COUNT(M64:N64)&lt;2,"",IF(AND(I64&gt;=M64,I64&lt;=N64,O64&lt;=J64),"PASS","FAIL"))</x:f>
      </x:c>
      <x:c r="R64" t="str"/>
      <x:c r="S64" t="str">
        <x:f>IF(R64=1,IF(Q64="PASS","PASS","FAIL"),"OPEN")</x:f>
        <x:v>OPEN</x:v>
      </x:c>
    </x:row>
    <x:row r="65">
      <x:c r="B65" t="str">
        <x:v>RAW-E059</x:v>
      </x:c>
      <x:c r="C65" t="str">
        <x:v>AM-00</x:v>
      </x:c>
      <x:c r="D65" t="str">
        <x:v>TR-B</x:v>
      </x:c>
      <x:c r="E65" t="str">
        <x:v>RFP-C1</x:v>
      </x:c>
      <x:c r="F65" t="str">
        <x:v>PTC-C</x:v>
      </x:c>
      <x:c r="G65" t="str">
        <x:v>QT-05</x:v>
      </x:c>
      <x:c r="H65" t="str">
        <x:v>RAW-V05</x:v>
      </x:c>
      <x:c r="I65" s="14" t="n">
        <x:f>'Reference Envelopes'!F11</x:f>
        <x:v>0.005</x:v>
      </x:c>
      <x:c r="J65" s="14" t="n">
        <x:f>'Reference Envelopes'!G11</x:f>
        <x:v>0.0005</x:v>
      </x:c>
      <x:c r="K65" s="14" t="str">
        <x:f>IF(COUNT('Trial Register'!S65)=0,"",'Trial Register'!S65)</x:f>
      </x:c>
      <x:c r="L65" s="14" t="str">
        <x:f>IF(COUNT('Trial Register'!T65)=0,"",'Trial Register'!T65)</x:f>
      </x:c>
      <x:c r="M65" s="14" t="str">
        <x:f>IF(COUNT(K65:L65)&lt;2,"",K65-L65)</x:f>
      </x:c>
      <x:c r="N65" s="14" t="str">
        <x:f>IF(COUNT(K65:L65)&lt;2,"",K65+L65)</x:f>
      </x:c>
      <x:c r="O65" s="14" t="str">
        <x:f>IF(COUNT(K65)=0,"",ABS(K65-I65))</x:f>
      </x:c>
      <x:c r="P65" s="14" t="str">
        <x:f>IF(COUNT(O65)=0,"",IF(J65=0,IF(O65=0,0,999),O65/J65))</x:f>
      </x:c>
      <x:c r="Q65" t="str">
        <x:f>IF(COUNT(M65:N65)&lt;2,"",IF(AND(I65&gt;=M65,I65&lt;=N65,O65&lt;=J65),"PASS","FAIL"))</x:f>
      </x:c>
      <x:c r="R65" t="str"/>
      <x:c r="S65" t="str">
        <x:f>IF(R65=1,IF(Q65="PASS","PASS","FAIL"),"OPEN")</x:f>
        <x:v>OPEN</x:v>
      </x:c>
    </x:row>
    <x:row r="66">
      <x:c r="B66" t="str">
        <x:v>RAW-E060</x:v>
      </x:c>
      <x:c r="C66" t="str">
        <x:v>AM-00</x:v>
      </x:c>
      <x:c r="D66" t="str">
        <x:v>TR-B</x:v>
      </x:c>
      <x:c r="E66" t="str">
        <x:v>RFP-C1</x:v>
      </x:c>
      <x:c r="F66" t="str">
        <x:v>PTC-C</x:v>
      </x:c>
      <x:c r="G66" t="str">
        <x:v>QT-06</x:v>
      </x:c>
      <x:c r="H66" t="str">
        <x:v>RAW-V06</x:v>
      </x:c>
      <x:c r="I66" s="14" t="n">
        <x:f>'Reference Envelopes'!F12</x:f>
        <x:v>0.01</x:v>
      </x:c>
      <x:c r="J66" s="14" t="n">
        <x:f>'Reference Envelopes'!G12</x:f>
        <x:v>0.0005</x:v>
      </x:c>
      <x:c r="K66" s="14" t="str">
        <x:f>IF(COUNT('Trial Register'!S66)=0,"",'Trial Register'!S66)</x:f>
      </x:c>
      <x:c r="L66" s="14" t="str">
        <x:f>IF(COUNT('Trial Register'!T66)=0,"",'Trial Register'!T66)</x:f>
      </x:c>
      <x:c r="M66" s="14" t="str">
        <x:f>IF(COUNT(K66:L66)&lt;2,"",K66-L66)</x:f>
      </x:c>
      <x:c r="N66" s="14" t="str">
        <x:f>IF(COUNT(K66:L66)&lt;2,"",K66+L66)</x:f>
      </x:c>
      <x:c r="O66" s="14" t="str">
        <x:f>IF(COUNT(K66)=0,"",ABS(K66-I66))</x:f>
      </x:c>
      <x:c r="P66" s="14" t="str">
        <x:f>IF(COUNT(O66)=0,"",IF(J66=0,IF(O66=0,0,999),O66/J66))</x:f>
      </x:c>
      <x:c r="Q66" t="str">
        <x:f>IF(COUNT(M66:N66)&lt;2,"",IF(AND(I66&gt;=M66,I66&lt;=N66,O66&lt;=J66),"PASS","FAIL"))</x:f>
      </x:c>
      <x:c r="R66" t="str"/>
      <x:c r="S66" t="str">
        <x:f>IF(R66=1,IF(Q66="PASS","PASS","FAIL"),"OPEN")</x:f>
        <x:v>OPEN</x:v>
      </x:c>
    </x:row>
    <x:row r="67">
      <x:c r="B67" t="str">
        <x:v>RAW-E061</x:v>
      </x:c>
      <x:c r="C67" t="str">
        <x:v>AM-00</x:v>
      </x:c>
      <x:c r="D67" t="str">
        <x:v>TR-A</x:v>
      </x:c>
      <x:c r="E67" t="str">
        <x:v>RFP-C2</x:v>
      </x:c>
      <x:c r="F67" t="str">
        <x:v>PTC-C</x:v>
      </x:c>
      <x:c r="G67" t="str">
        <x:v>QT-01</x:v>
      </x:c>
      <x:c r="H67" t="str">
        <x:v>RAW-V01</x:v>
      </x:c>
      <x:c r="I67" s="14" t="n">
        <x:f>'Reference Envelopes'!F7</x:f>
        <x:v>0</x:v>
      </x:c>
      <x:c r="J67" s="14" t="n">
        <x:f>'Reference Envelopes'!G7</x:f>
        <x:v>0.0002</x:v>
      </x:c>
      <x:c r="K67" s="14" t="str">
        <x:f>IF(COUNT('Trial Register'!S67)=0,"",'Trial Register'!S67)</x:f>
      </x:c>
      <x:c r="L67" s="14" t="str">
        <x:f>IF(COUNT('Trial Register'!T67)=0,"",'Trial Register'!T67)</x:f>
      </x:c>
      <x:c r="M67" s="14" t="str">
        <x:f>IF(COUNT(K67:L67)&lt;2,"",K67-L67)</x:f>
      </x:c>
      <x:c r="N67" s="14" t="str">
        <x:f>IF(COUNT(K67:L67)&lt;2,"",K67+L67)</x:f>
      </x:c>
      <x:c r="O67" s="14" t="str">
        <x:f>IF(COUNT(K67)=0,"",ABS(K67-I67))</x:f>
      </x:c>
      <x:c r="P67" s="14" t="str">
        <x:f>IF(COUNT(O67)=0,"",IF(J67=0,IF(O67=0,0,999),O67/J67))</x:f>
      </x:c>
      <x:c r="Q67" t="str">
        <x:f>IF(COUNT(M67:N67)&lt;2,"",IF(AND(I67&gt;=M67,I67&lt;=N67,O67&lt;=J67),"PASS","FAIL"))</x:f>
      </x:c>
      <x:c r="R67" t="str"/>
      <x:c r="S67" t="str">
        <x:f>IF(R67=1,IF(Q67="PASS","PASS","FAIL"),"OPEN")</x:f>
        <x:v>OPEN</x:v>
      </x:c>
    </x:row>
    <x:row r="68">
      <x:c r="B68" t="str">
        <x:v>RAW-E062</x:v>
      </x:c>
      <x:c r="C68" t="str">
        <x:v>AM-00</x:v>
      </x:c>
      <x:c r="D68" t="str">
        <x:v>TR-A</x:v>
      </x:c>
      <x:c r="E68" t="str">
        <x:v>RFP-C2</x:v>
      </x:c>
      <x:c r="F68" t="str">
        <x:v>PTC-C</x:v>
      </x:c>
      <x:c r="G68" t="str">
        <x:v>QT-02</x:v>
      </x:c>
      <x:c r="H68" t="str">
        <x:v>RAW-V02</x:v>
      </x:c>
      <x:c r="I68" s="14" t="n">
        <x:f>'Reference Envelopes'!F8</x:f>
        <x:v>-0.01</x:v>
      </x:c>
      <x:c r="J68" s="14" t="n">
        <x:f>'Reference Envelopes'!G8</x:f>
        <x:v>0.0005</x:v>
      </x:c>
      <x:c r="K68" s="14" t="str">
        <x:f>IF(COUNT('Trial Register'!S68)=0,"",'Trial Register'!S68)</x:f>
      </x:c>
      <x:c r="L68" s="14" t="str">
        <x:f>IF(COUNT('Trial Register'!T68)=0,"",'Trial Register'!T68)</x:f>
      </x:c>
      <x:c r="M68" s="14" t="str">
        <x:f>IF(COUNT(K68:L68)&lt;2,"",K68-L68)</x:f>
      </x:c>
      <x:c r="N68" s="14" t="str">
        <x:f>IF(COUNT(K68:L68)&lt;2,"",K68+L68)</x:f>
      </x:c>
      <x:c r="O68" s="14" t="str">
        <x:f>IF(COUNT(K68)=0,"",ABS(K68-I68))</x:f>
      </x:c>
      <x:c r="P68" s="14" t="str">
        <x:f>IF(COUNT(O68)=0,"",IF(J68=0,IF(O68=0,0,999),O68/J68))</x:f>
      </x:c>
      <x:c r="Q68" t="str">
        <x:f>IF(COUNT(M68:N68)&lt;2,"",IF(AND(I68&gt;=M68,I68&lt;=N68,O68&lt;=J68),"PASS","FAIL"))</x:f>
      </x:c>
      <x:c r="R68" t="str"/>
      <x:c r="S68" t="str">
        <x:f>IF(R68=1,IF(Q68="PASS","PASS","FAIL"),"OPEN")</x:f>
        <x:v>OPEN</x:v>
      </x:c>
    </x:row>
    <x:row r="69">
      <x:c r="B69" t="str">
        <x:v>RAW-E063</x:v>
      </x:c>
      <x:c r="C69" t="str">
        <x:v>AM-00</x:v>
      </x:c>
      <x:c r="D69" t="str">
        <x:v>TR-A</x:v>
      </x:c>
      <x:c r="E69" t="str">
        <x:v>RFP-C2</x:v>
      </x:c>
      <x:c r="F69" t="str">
        <x:v>PTC-C</x:v>
      </x:c>
      <x:c r="G69" t="str">
        <x:v>QT-03</x:v>
      </x:c>
      <x:c r="H69" t="str">
        <x:v>RAW-V03</x:v>
      </x:c>
      <x:c r="I69" s="14" t="n">
        <x:f>'Reference Envelopes'!F9</x:f>
        <x:v>0.015</x:v>
      </x:c>
      <x:c r="J69" s="14" t="n">
        <x:f>'Reference Envelopes'!G9</x:f>
        <x:v>0.0005</x:v>
      </x:c>
      <x:c r="K69" s="14" t="str">
        <x:f>IF(COUNT('Trial Register'!S69)=0,"",'Trial Register'!S69)</x:f>
      </x:c>
      <x:c r="L69" s="14" t="str">
        <x:f>IF(COUNT('Trial Register'!T69)=0,"",'Trial Register'!T69)</x:f>
      </x:c>
      <x:c r="M69" s="14" t="str">
        <x:f>IF(COUNT(K69:L69)&lt;2,"",K69-L69)</x:f>
      </x:c>
      <x:c r="N69" s="14" t="str">
        <x:f>IF(COUNT(K69:L69)&lt;2,"",K69+L69)</x:f>
      </x:c>
      <x:c r="O69" s="14" t="str">
        <x:f>IF(COUNT(K69)=0,"",ABS(K69-I69))</x:f>
      </x:c>
      <x:c r="P69" s="14" t="str">
        <x:f>IF(COUNT(O69)=0,"",IF(J69=0,IF(O69=0,0,999),O69/J69))</x:f>
      </x:c>
      <x:c r="Q69" t="str">
        <x:f>IF(COUNT(M69:N69)&lt;2,"",IF(AND(I69&gt;=M69,I69&lt;=N69,O69&lt;=J69),"PASS","FAIL"))</x:f>
      </x:c>
      <x:c r="R69" t="str"/>
      <x:c r="S69" t="str">
        <x:f>IF(R69=1,IF(Q69="PASS","PASS","FAIL"),"OPEN")</x:f>
        <x:v>OPEN</x:v>
      </x:c>
    </x:row>
    <x:row r="70">
      <x:c r="B70" t="str">
        <x:v>RAW-E064</x:v>
      </x:c>
      <x:c r="C70" t="str">
        <x:v>AM-00</x:v>
      </x:c>
      <x:c r="D70" t="str">
        <x:v>TR-A</x:v>
      </x:c>
      <x:c r="E70" t="str">
        <x:v>RFP-C2</x:v>
      </x:c>
      <x:c r="F70" t="str">
        <x:v>PTC-C</x:v>
      </x:c>
      <x:c r="G70" t="str">
        <x:v>QT-04</x:v>
      </x:c>
      <x:c r="H70" t="str">
        <x:v>RAW-V04</x:v>
      </x:c>
      <x:c r="I70" s="14" t="n">
        <x:f>'Reference Envelopes'!F10</x:f>
        <x:v>0.0075</x:v>
      </x:c>
      <x:c r="J70" s="14" t="n">
        <x:f>'Reference Envelopes'!G10</x:f>
        <x:v>0.0005</x:v>
      </x:c>
      <x:c r="K70" s="14" t="str">
        <x:f>IF(COUNT('Trial Register'!S70)=0,"",'Trial Register'!S70)</x:f>
      </x:c>
      <x:c r="L70" s="14" t="str">
        <x:f>IF(COUNT('Trial Register'!T70)=0,"",'Trial Register'!T70)</x:f>
      </x:c>
      <x:c r="M70" s="14" t="str">
        <x:f>IF(COUNT(K70:L70)&lt;2,"",K70-L70)</x:f>
      </x:c>
      <x:c r="N70" s="14" t="str">
        <x:f>IF(COUNT(K70:L70)&lt;2,"",K70+L70)</x:f>
      </x:c>
      <x:c r="O70" s="14" t="str">
        <x:f>IF(COUNT(K70)=0,"",ABS(K70-I70))</x:f>
      </x:c>
      <x:c r="P70" s="14" t="str">
        <x:f>IF(COUNT(O70)=0,"",IF(J70=0,IF(O70=0,0,999),O70/J70))</x:f>
      </x:c>
      <x:c r="Q70" t="str">
        <x:f>IF(COUNT(M70:N70)&lt;2,"",IF(AND(I70&gt;=M70,I70&lt;=N70,O70&lt;=J70),"PASS","FAIL"))</x:f>
      </x:c>
      <x:c r="R70" t="str"/>
      <x:c r="S70" t="str">
        <x:f>IF(R70=1,IF(Q70="PASS","PASS","FAIL"),"OPEN")</x:f>
        <x:v>OPEN</x:v>
      </x:c>
    </x:row>
    <x:row r="71">
      <x:c r="B71" t="str">
        <x:v>RAW-E065</x:v>
      </x:c>
      <x:c r="C71" t="str">
        <x:v>AM-00</x:v>
      </x:c>
      <x:c r="D71" t="str">
        <x:v>TR-A</x:v>
      </x:c>
      <x:c r="E71" t="str">
        <x:v>RFP-C2</x:v>
      </x:c>
      <x:c r="F71" t="str">
        <x:v>PTC-C</x:v>
      </x:c>
      <x:c r="G71" t="str">
        <x:v>QT-05</x:v>
      </x:c>
      <x:c r="H71" t="str">
        <x:v>RAW-V05</x:v>
      </x:c>
      <x:c r="I71" s="14" t="n">
        <x:f>'Reference Envelopes'!F11</x:f>
        <x:v>0.005</x:v>
      </x:c>
      <x:c r="J71" s="14" t="n">
        <x:f>'Reference Envelopes'!G11</x:f>
        <x:v>0.0005</x:v>
      </x:c>
      <x:c r="K71" s="14" t="str">
        <x:f>IF(COUNT('Trial Register'!S71)=0,"",'Trial Register'!S71)</x:f>
      </x:c>
      <x:c r="L71" s="14" t="str">
        <x:f>IF(COUNT('Trial Register'!T71)=0,"",'Trial Register'!T71)</x:f>
      </x:c>
      <x:c r="M71" s="14" t="str">
        <x:f>IF(COUNT(K71:L71)&lt;2,"",K71-L71)</x:f>
      </x:c>
      <x:c r="N71" s="14" t="str">
        <x:f>IF(COUNT(K71:L71)&lt;2,"",K71+L71)</x:f>
      </x:c>
      <x:c r="O71" s="14" t="str">
        <x:f>IF(COUNT(K71)=0,"",ABS(K71-I71))</x:f>
      </x:c>
      <x:c r="P71" s="14" t="str">
        <x:f>IF(COUNT(O71)=0,"",IF(J71=0,IF(O71=0,0,999),O71/J71))</x:f>
      </x:c>
      <x:c r="Q71" t="str">
        <x:f>IF(COUNT(M71:N71)&lt;2,"",IF(AND(I71&gt;=M71,I71&lt;=N71,O71&lt;=J71),"PASS","FAIL"))</x:f>
      </x:c>
      <x:c r="R71" t="str"/>
      <x:c r="S71" t="str">
        <x:f>IF(R71=1,IF(Q71="PASS","PASS","FAIL"),"OPEN")</x:f>
        <x:v>OPEN</x:v>
      </x:c>
    </x:row>
    <x:row r="72">
      <x:c r="B72" t="str">
        <x:v>RAW-E066</x:v>
      </x:c>
      <x:c r="C72" t="str">
        <x:v>AM-00</x:v>
      </x:c>
      <x:c r="D72" t="str">
        <x:v>TR-A</x:v>
      </x:c>
      <x:c r="E72" t="str">
        <x:v>RFP-C2</x:v>
      </x:c>
      <x:c r="F72" t="str">
        <x:v>PTC-C</x:v>
      </x:c>
      <x:c r="G72" t="str">
        <x:v>QT-06</x:v>
      </x:c>
      <x:c r="H72" t="str">
        <x:v>RAW-V06</x:v>
      </x:c>
      <x:c r="I72" s="14" t="n">
        <x:f>'Reference Envelopes'!F12</x:f>
        <x:v>0.01</x:v>
      </x:c>
      <x:c r="J72" s="14" t="n">
        <x:f>'Reference Envelopes'!G12</x:f>
        <x:v>0.0005</x:v>
      </x:c>
      <x:c r="K72" s="14" t="str">
        <x:f>IF(COUNT('Trial Register'!S72)=0,"",'Trial Register'!S72)</x:f>
      </x:c>
      <x:c r="L72" s="14" t="str">
        <x:f>IF(COUNT('Trial Register'!T72)=0,"",'Trial Register'!T72)</x:f>
      </x:c>
      <x:c r="M72" s="14" t="str">
        <x:f>IF(COUNT(K72:L72)&lt;2,"",K72-L72)</x:f>
      </x:c>
      <x:c r="N72" s="14" t="str">
        <x:f>IF(COUNT(K72:L72)&lt;2,"",K72+L72)</x:f>
      </x:c>
      <x:c r="O72" s="14" t="str">
        <x:f>IF(COUNT(K72)=0,"",ABS(K72-I72))</x:f>
      </x:c>
      <x:c r="P72" s="14" t="str">
        <x:f>IF(COUNT(O72)=0,"",IF(J72=0,IF(O72=0,0,999),O72/J72))</x:f>
      </x:c>
      <x:c r="Q72" t="str">
        <x:f>IF(COUNT(M72:N72)&lt;2,"",IF(AND(I72&gt;=M72,I72&lt;=N72,O72&lt;=J72),"PASS","FAIL"))</x:f>
      </x:c>
      <x:c r="R72" t="str"/>
      <x:c r="S72" t="str">
        <x:f>IF(R72=1,IF(Q72="PASS","PASS","FAIL"),"OPEN")</x:f>
        <x:v>OPEN</x:v>
      </x:c>
    </x:row>
    <x:row r="73">
      <x:c r="B73" t="str">
        <x:v>RAW-E067</x:v>
      </x:c>
      <x:c r="C73" t="str">
        <x:v>AM-00</x:v>
      </x:c>
      <x:c r="D73" t="str">
        <x:v>TR-B</x:v>
      </x:c>
      <x:c r="E73" t="str">
        <x:v>RFP-C2</x:v>
      </x:c>
      <x:c r="F73" t="str">
        <x:v>PTC-C</x:v>
      </x:c>
      <x:c r="G73" t="str">
        <x:v>QT-01</x:v>
      </x:c>
      <x:c r="H73" t="str">
        <x:v>RAW-V01</x:v>
      </x:c>
      <x:c r="I73" s="14" t="n">
        <x:f>'Reference Envelopes'!F7</x:f>
        <x:v>0</x:v>
      </x:c>
      <x:c r="J73" s="14" t="n">
        <x:f>'Reference Envelopes'!G7</x:f>
        <x:v>0.0002</x:v>
      </x:c>
      <x:c r="K73" s="14" t="str">
        <x:f>IF(COUNT('Trial Register'!S73)=0,"",'Trial Register'!S73)</x:f>
      </x:c>
      <x:c r="L73" s="14" t="str">
        <x:f>IF(COUNT('Trial Register'!T73)=0,"",'Trial Register'!T73)</x:f>
      </x:c>
      <x:c r="M73" s="14" t="str">
        <x:f>IF(COUNT(K73:L73)&lt;2,"",K73-L73)</x:f>
      </x:c>
      <x:c r="N73" s="14" t="str">
        <x:f>IF(COUNT(K73:L73)&lt;2,"",K73+L73)</x:f>
      </x:c>
      <x:c r="O73" s="14" t="str">
        <x:f>IF(COUNT(K73)=0,"",ABS(K73-I73))</x:f>
      </x:c>
      <x:c r="P73" s="14" t="str">
        <x:f>IF(COUNT(O73)=0,"",IF(J73=0,IF(O73=0,0,999),O73/J73))</x:f>
      </x:c>
      <x:c r="Q73" t="str">
        <x:f>IF(COUNT(M73:N73)&lt;2,"",IF(AND(I73&gt;=M73,I73&lt;=N73,O73&lt;=J73),"PASS","FAIL"))</x:f>
      </x:c>
      <x:c r="R73" t="str"/>
      <x:c r="S73" t="str">
        <x:f>IF(R73=1,IF(Q73="PASS","PASS","FAIL"),"OPEN")</x:f>
        <x:v>OPEN</x:v>
      </x:c>
    </x:row>
    <x:row r="74">
      <x:c r="B74" t="str">
        <x:v>RAW-E068</x:v>
      </x:c>
      <x:c r="C74" t="str">
        <x:v>AM-00</x:v>
      </x:c>
      <x:c r="D74" t="str">
        <x:v>TR-B</x:v>
      </x:c>
      <x:c r="E74" t="str">
        <x:v>RFP-C2</x:v>
      </x:c>
      <x:c r="F74" t="str">
        <x:v>PTC-C</x:v>
      </x:c>
      <x:c r="G74" t="str">
        <x:v>QT-02</x:v>
      </x:c>
      <x:c r="H74" t="str">
        <x:v>RAW-V02</x:v>
      </x:c>
      <x:c r="I74" s="14" t="n">
        <x:f>'Reference Envelopes'!F8</x:f>
        <x:v>-0.01</x:v>
      </x:c>
      <x:c r="J74" s="14" t="n">
        <x:f>'Reference Envelopes'!G8</x:f>
        <x:v>0.0005</x:v>
      </x:c>
      <x:c r="K74" s="14" t="str">
        <x:f>IF(COUNT('Trial Register'!S74)=0,"",'Trial Register'!S74)</x:f>
      </x:c>
      <x:c r="L74" s="14" t="str">
        <x:f>IF(COUNT('Trial Register'!T74)=0,"",'Trial Register'!T74)</x:f>
      </x:c>
      <x:c r="M74" s="14" t="str">
        <x:f>IF(COUNT(K74:L74)&lt;2,"",K74-L74)</x:f>
      </x:c>
      <x:c r="N74" s="14" t="str">
        <x:f>IF(COUNT(K74:L74)&lt;2,"",K74+L74)</x:f>
      </x:c>
      <x:c r="O74" s="14" t="str">
        <x:f>IF(COUNT(K74)=0,"",ABS(K74-I74))</x:f>
      </x:c>
      <x:c r="P74" s="14" t="str">
        <x:f>IF(COUNT(O74)=0,"",IF(J74=0,IF(O74=0,0,999),O74/J74))</x:f>
      </x:c>
      <x:c r="Q74" t="str">
        <x:f>IF(COUNT(M74:N74)&lt;2,"",IF(AND(I74&gt;=M74,I74&lt;=N74,O74&lt;=J74),"PASS","FAIL"))</x:f>
      </x:c>
      <x:c r="R74" t="str"/>
      <x:c r="S74" t="str">
        <x:f>IF(R74=1,IF(Q74="PASS","PASS","FAIL"),"OPEN")</x:f>
        <x:v>OPEN</x:v>
      </x:c>
    </x:row>
    <x:row r="75">
      <x:c r="B75" t="str">
        <x:v>RAW-E069</x:v>
      </x:c>
      <x:c r="C75" t="str">
        <x:v>AM-00</x:v>
      </x:c>
      <x:c r="D75" t="str">
        <x:v>TR-B</x:v>
      </x:c>
      <x:c r="E75" t="str">
        <x:v>RFP-C2</x:v>
      </x:c>
      <x:c r="F75" t="str">
        <x:v>PTC-C</x:v>
      </x:c>
      <x:c r="G75" t="str">
        <x:v>QT-03</x:v>
      </x:c>
      <x:c r="H75" t="str">
        <x:v>RAW-V03</x:v>
      </x:c>
      <x:c r="I75" s="14" t="n">
        <x:f>'Reference Envelopes'!F9</x:f>
        <x:v>0.015</x:v>
      </x:c>
      <x:c r="J75" s="14" t="n">
        <x:f>'Reference Envelopes'!G9</x:f>
        <x:v>0.0005</x:v>
      </x:c>
      <x:c r="K75" s="14" t="str">
        <x:f>IF(COUNT('Trial Register'!S75)=0,"",'Trial Register'!S75)</x:f>
      </x:c>
      <x:c r="L75" s="14" t="str">
        <x:f>IF(COUNT('Trial Register'!T75)=0,"",'Trial Register'!T75)</x:f>
      </x:c>
      <x:c r="M75" s="14" t="str">
        <x:f>IF(COUNT(K75:L75)&lt;2,"",K75-L75)</x:f>
      </x:c>
      <x:c r="N75" s="14" t="str">
        <x:f>IF(COUNT(K75:L75)&lt;2,"",K75+L75)</x:f>
      </x:c>
      <x:c r="O75" s="14" t="str">
        <x:f>IF(COUNT(K75)=0,"",ABS(K75-I75))</x:f>
      </x:c>
      <x:c r="P75" s="14" t="str">
        <x:f>IF(COUNT(O75)=0,"",IF(J75=0,IF(O75=0,0,999),O75/J75))</x:f>
      </x:c>
      <x:c r="Q75" t="str">
        <x:f>IF(COUNT(M75:N75)&lt;2,"",IF(AND(I75&gt;=M75,I75&lt;=N75,O75&lt;=J75),"PASS","FAIL"))</x:f>
      </x:c>
      <x:c r="R75" t="str"/>
      <x:c r="S75" t="str">
        <x:f>IF(R75=1,IF(Q75="PASS","PASS","FAIL"),"OPEN")</x:f>
        <x:v>OPEN</x:v>
      </x:c>
    </x:row>
    <x:row r="76">
      <x:c r="B76" t="str">
        <x:v>RAW-E070</x:v>
      </x:c>
      <x:c r="C76" t="str">
        <x:v>AM-00</x:v>
      </x:c>
      <x:c r="D76" t="str">
        <x:v>TR-B</x:v>
      </x:c>
      <x:c r="E76" t="str">
        <x:v>RFP-C2</x:v>
      </x:c>
      <x:c r="F76" t="str">
        <x:v>PTC-C</x:v>
      </x:c>
      <x:c r="G76" t="str">
        <x:v>QT-04</x:v>
      </x:c>
      <x:c r="H76" t="str">
        <x:v>RAW-V04</x:v>
      </x:c>
      <x:c r="I76" s="14" t="n">
        <x:f>'Reference Envelopes'!F10</x:f>
        <x:v>0.0075</x:v>
      </x:c>
      <x:c r="J76" s="14" t="n">
        <x:f>'Reference Envelopes'!G10</x:f>
        <x:v>0.0005</x:v>
      </x:c>
      <x:c r="K76" s="14" t="str">
        <x:f>IF(COUNT('Trial Register'!S76)=0,"",'Trial Register'!S76)</x:f>
      </x:c>
      <x:c r="L76" s="14" t="str">
        <x:f>IF(COUNT('Trial Register'!T76)=0,"",'Trial Register'!T76)</x:f>
      </x:c>
      <x:c r="M76" s="14" t="str">
        <x:f>IF(COUNT(K76:L76)&lt;2,"",K76-L76)</x:f>
      </x:c>
      <x:c r="N76" s="14" t="str">
        <x:f>IF(COUNT(K76:L76)&lt;2,"",K76+L76)</x:f>
      </x:c>
      <x:c r="O76" s="14" t="str">
        <x:f>IF(COUNT(K76)=0,"",ABS(K76-I76))</x:f>
      </x:c>
      <x:c r="P76" s="14" t="str">
        <x:f>IF(COUNT(O76)=0,"",IF(J76=0,IF(O76=0,0,999),O76/J76))</x:f>
      </x:c>
      <x:c r="Q76" t="str">
        <x:f>IF(COUNT(M76:N76)&lt;2,"",IF(AND(I76&gt;=M76,I76&lt;=N76,O76&lt;=J76),"PASS","FAIL"))</x:f>
      </x:c>
      <x:c r="R76" t="str"/>
      <x:c r="S76" t="str">
        <x:f>IF(R76=1,IF(Q76="PASS","PASS","FAIL"),"OPEN")</x:f>
        <x:v>OPEN</x:v>
      </x:c>
    </x:row>
    <x:row r="77">
      <x:c r="B77" t="str">
        <x:v>RAW-E071</x:v>
      </x:c>
      <x:c r="C77" t="str">
        <x:v>AM-00</x:v>
      </x:c>
      <x:c r="D77" t="str">
        <x:v>TR-B</x:v>
      </x:c>
      <x:c r="E77" t="str">
        <x:v>RFP-C2</x:v>
      </x:c>
      <x:c r="F77" t="str">
        <x:v>PTC-C</x:v>
      </x:c>
      <x:c r="G77" t="str">
        <x:v>QT-05</x:v>
      </x:c>
      <x:c r="H77" t="str">
        <x:v>RAW-V05</x:v>
      </x:c>
      <x:c r="I77" s="14" t="n">
        <x:f>'Reference Envelopes'!F11</x:f>
        <x:v>0.005</x:v>
      </x:c>
      <x:c r="J77" s="14" t="n">
        <x:f>'Reference Envelopes'!G11</x:f>
        <x:v>0.0005</x:v>
      </x:c>
      <x:c r="K77" s="14" t="str">
        <x:f>IF(COUNT('Trial Register'!S77)=0,"",'Trial Register'!S77)</x:f>
      </x:c>
      <x:c r="L77" s="14" t="str">
        <x:f>IF(COUNT('Trial Register'!T77)=0,"",'Trial Register'!T77)</x:f>
      </x:c>
      <x:c r="M77" s="14" t="str">
        <x:f>IF(COUNT(K77:L77)&lt;2,"",K77-L77)</x:f>
      </x:c>
      <x:c r="N77" s="14" t="str">
        <x:f>IF(COUNT(K77:L77)&lt;2,"",K77+L77)</x:f>
      </x:c>
      <x:c r="O77" s="14" t="str">
        <x:f>IF(COUNT(K77)=0,"",ABS(K77-I77))</x:f>
      </x:c>
      <x:c r="P77" s="14" t="str">
        <x:f>IF(COUNT(O77)=0,"",IF(J77=0,IF(O77=0,0,999),O77/J77))</x:f>
      </x:c>
      <x:c r="Q77" t="str">
        <x:f>IF(COUNT(M77:N77)&lt;2,"",IF(AND(I77&gt;=M77,I77&lt;=N77,O77&lt;=J77),"PASS","FAIL"))</x:f>
      </x:c>
      <x:c r="R77" t="str"/>
      <x:c r="S77" t="str">
        <x:f>IF(R77=1,IF(Q77="PASS","PASS","FAIL"),"OPEN")</x:f>
        <x:v>OPEN</x:v>
      </x:c>
    </x:row>
    <x:row r="78">
      <x:c r="B78" t="str">
        <x:v>RAW-E072</x:v>
      </x:c>
      <x:c r="C78" t="str">
        <x:v>AM-00</x:v>
      </x:c>
      <x:c r="D78" t="str">
        <x:v>TR-B</x:v>
      </x:c>
      <x:c r="E78" t="str">
        <x:v>RFP-C2</x:v>
      </x:c>
      <x:c r="F78" t="str">
        <x:v>PTC-C</x:v>
      </x:c>
      <x:c r="G78" t="str">
        <x:v>QT-06</x:v>
      </x:c>
      <x:c r="H78" t="str">
        <x:v>RAW-V06</x:v>
      </x:c>
      <x:c r="I78" s="14" t="n">
        <x:f>'Reference Envelopes'!F12</x:f>
        <x:v>0.01</x:v>
      </x:c>
      <x:c r="J78" s="14" t="n">
        <x:f>'Reference Envelopes'!G12</x:f>
        <x:v>0.0005</x:v>
      </x:c>
      <x:c r="K78" s="14" t="str">
        <x:f>IF(COUNT('Trial Register'!S78)=0,"",'Trial Register'!S78)</x:f>
      </x:c>
      <x:c r="L78" s="14" t="str">
        <x:f>IF(COUNT('Trial Register'!T78)=0,"",'Trial Register'!T78)</x:f>
      </x:c>
      <x:c r="M78" s="14" t="str">
        <x:f>IF(COUNT(K78:L78)&lt;2,"",K78-L78)</x:f>
      </x:c>
      <x:c r="N78" s="14" t="str">
        <x:f>IF(COUNT(K78:L78)&lt;2,"",K78+L78)</x:f>
      </x:c>
      <x:c r="O78" s="14" t="str">
        <x:f>IF(COUNT(K78)=0,"",ABS(K78-I78))</x:f>
      </x:c>
      <x:c r="P78" s="14" t="str">
        <x:f>IF(COUNT(O78)=0,"",IF(J78=0,IF(O78=0,0,999),O78/J78))</x:f>
      </x:c>
      <x:c r="Q78" t="str">
        <x:f>IF(COUNT(M78:N78)&lt;2,"",IF(AND(I78&gt;=M78,I78&lt;=N78,O78&lt;=J78),"PASS","FAIL"))</x:f>
      </x:c>
      <x:c r="R78" t="str"/>
      <x:c r="S78" t="str">
        <x:f>IF(R78=1,IF(Q78="PASS","PASS","FAIL"),"OPEN")</x:f>
        <x:v>OPEN</x:v>
      </x:c>
    </x:row>
    <x:row r="79">
      <x:c r="B79" t="str">
        <x:v>RAW-E073</x:v>
      </x:c>
      <x:c r="C79" t="str">
        <x:v>AM-01</x:v>
      </x:c>
      <x:c r="D79" t="str">
        <x:v>TR-A</x:v>
      </x:c>
      <x:c r="E79" t="str">
        <x:v>RFP-A1</x:v>
      </x:c>
      <x:c r="F79" t="str">
        <x:v>PTC-A</x:v>
      </x:c>
      <x:c r="G79" t="str">
        <x:v>QT-01</x:v>
      </x:c>
      <x:c r="H79" t="str">
        <x:v>RAW-V07</x:v>
      </x:c>
      <x:c r="I79" s="14" t="n">
        <x:f>'Reference Envelopes'!F13</x:f>
        <x:v>10</x:v>
      </x:c>
      <x:c r="J79" s="14" t="n">
        <x:f>'Reference Envelopes'!G13</x:f>
        <x:v>0.025</x:v>
      </x:c>
      <x:c r="K79" s="14" t="str">
        <x:f>IF(COUNT('Trial Register'!S79)=0,"",'Trial Register'!S79)</x:f>
      </x:c>
      <x:c r="L79" s="14" t="str">
        <x:f>IF(COUNT('Trial Register'!T79)=0,"",'Trial Register'!T79)</x:f>
      </x:c>
      <x:c r="M79" s="14" t="str">
        <x:f>IF(COUNT(K79:L79)&lt;2,"",K79-L79)</x:f>
      </x:c>
      <x:c r="N79" s="14" t="str">
        <x:f>IF(COUNT(K79:L79)&lt;2,"",K79+L79)</x:f>
      </x:c>
      <x:c r="O79" s="14" t="str">
        <x:f>IF(COUNT(K79)=0,"",ABS(K79-I79))</x:f>
      </x:c>
      <x:c r="P79" s="14" t="str">
        <x:f>IF(COUNT(O79)=0,"",IF(J79=0,IF(O79=0,0,999),O79/J79))</x:f>
      </x:c>
      <x:c r="Q79" t="str">
        <x:f>IF(COUNT(M79:N79)&lt;2,"",IF(AND(I79&gt;=M79,I79&lt;=N79,O79&lt;=J79),"PASS","FAIL"))</x:f>
      </x:c>
      <x:c r="R79" t="str"/>
      <x:c r="S79" t="str">
        <x:f>IF(R79=1,IF(Q79="PASS","PASS","FAIL"),"OPEN")</x:f>
        <x:v>OPEN</x:v>
      </x:c>
    </x:row>
    <x:row r="80">
      <x:c r="B80" t="str">
        <x:v>RAW-E074</x:v>
      </x:c>
      <x:c r="C80" t="str">
        <x:v>AM-01</x:v>
      </x:c>
      <x:c r="D80" t="str">
        <x:v>TR-A</x:v>
      </x:c>
      <x:c r="E80" t="str">
        <x:v>RFP-A1</x:v>
      </x:c>
      <x:c r="F80" t="str">
        <x:v>PTC-A</x:v>
      </x:c>
      <x:c r="G80" t="str">
        <x:v>QT-02</x:v>
      </x:c>
      <x:c r="H80" t="str">
        <x:v>RAW-V08</x:v>
      </x:c>
      <x:c r="I80" s="14" t="n">
        <x:f>'Reference Envelopes'!F14</x:f>
        <x:v>5</x:v>
      </x:c>
      <x:c r="J80" s="14" t="n">
        <x:f>'Reference Envelopes'!G14</x:f>
        <x:v>0.025</x:v>
      </x:c>
      <x:c r="K80" s="14" t="str">
        <x:f>IF(COUNT('Trial Register'!S80)=0,"",'Trial Register'!S80)</x:f>
      </x:c>
      <x:c r="L80" s="14" t="str">
        <x:f>IF(COUNT('Trial Register'!T80)=0,"",'Trial Register'!T80)</x:f>
      </x:c>
      <x:c r="M80" s="14" t="str">
        <x:f>IF(COUNT(K80:L80)&lt;2,"",K80-L80)</x:f>
      </x:c>
      <x:c r="N80" s="14" t="str">
        <x:f>IF(COUNT(K80:L80)&lt;2,"",K80+L80)</x:f>
      </x:c>
      <x:c r="O80" s="14" t="str">
        <x:f>IF(COUNT(K80)=0,"",ABS(K80-I80))</x:f>
      </x:c>
      <x:c r="P80" s="14" t="str">
        <x:f>IF(COUNT(O80)=0,"",IF(J80=0,IF(O80=0,0,999),O80/J80))</x:f>
      </x:c>
      <x:c r="Q80" t="str">
        <x:f>IF(COUNT(M80:N80)&lt;2,"",IF(AND(I80&gt;=M80,I80&lt;=N80,O80&lt;=J80),"PASS","FAIL"))</x:f>
      </x:c>
      <x:c r="R80" t="str"/>
      <x:c r="S80" t="str">
        <x:f>IF(R80=1,IF(Q80="PASS","PASS","FAIL"),"OPEN")</x:f>
        <x:v>OPEN</x:v>
      </x:c>
    </x:row>
    <x:row r="81">
      <x:c r="B81" t="str">
        <x:v>RAW-E075</x:v>
      </x:c>
      <x:c r="C81" t="str">
        <x:v>AM-01</x:v>
      </x:c>
      <x:c r="D81" t="str">
        <x:v>TR-A</x:v>
      </x:c>
      <x:c r="E81" t="str">
        <x:v>RFP-A1</x:v>
      </x:c>
      <x:c r="F81" t="str">
        <x:v>PTC-A</x:v>
      </x:c>
      <x:c r="G81" t="str">
        <x:v>QT-03</x:v>
      </x:c>
      <x:c r="H81" t="str">
        <x:v>RAW-V09</x:v>
      </x:c>
      <x:c r="I81" s="14" t="n">
        <x:f>'Reference Envelopes'!F15</x:f>
        <x:v>30</x:v>
      </x:c>
      <x:c r="J81" s="14" t="n">
        <x:f>'Reference Envelopes'!G15</x:f>
        <x:v>0.075</x:v>
      </x:c>
      <x:c r="K81" s="14" t="str">
        <x:f>IF(COUNT('Trial Register'!S81)=0,"",'Trial Register'!S81)</x:f>
      </x:c>
      <x:c r="L81" s="14" t="str">
        <x:f>IF(COUNT('Trial Register'!T81)=0,"",'Trial Register'!T81)</x:f>
      </x:c>
      <x:c r="M81" s="14" t="str">
        <x:f>IF(COUNT(K81:L81)&lt;2,"",K81-L81)</x:f>
      </x:c>
      <x:c r="N81" s="14" t="str">
        <x:f>IF(COUNT(K81:L81)&lt;2,"",K81+L81)</x:f>
      </x:c>
      <x:c r="O81" s="14" t="str">
        <x:f>IF(COUNT(K81)=0,"",ABS(K81-I81))</x:f>
      </x:c>
      <x:c r="P81" s="14" t="str">
        <x:f>IF(COUNT(O81)=0,"",IF(J81=0,IF(O81=0,0,999),O81/J81))</x:f>
      </x:c>
      <x:c r="Q81" t="str">
        <x:f>IF(COUNT(M81:N81)&lt;2,"",IF(AND(I81&gt;=M81,I81&lt;=N81,O81&lt;=J81),"PASS","FAIL"))</x:f>
      </x:c>
      <x:c r="R81" t="str"/>
      <x:c r="S81" t="str">
        <x:f>IF(R81=1,IF(Q81="PASS","PASS","FAIL"),"OPEN")</x:f>
        <x:v>OPEN</x:v>
      </x:c>
    </x:row>
    <x:row r="82">
      <x:c r="B82" t="str">
        <x:v>RAW-E076</x:v>
      </x:c>
      <x:c r="C82" t="str">
        <x:v>AM-01</x:v>
      </x:c>
      <x:c r="D82" t="str">
        <x:v>TR-A</x:v>
      </x:c>
      <x:c r="E82" t="str">
        <x:v>RFP-A1</x:v>
      </x:c>
      <x:c r="F82" t="str">
        <x:v>PTC-A</x:v>
      </x:c>
      <x:c r="G82" t="str">
        <x:v>QT-04</x:v>
      </x:c>
      <x:c r="H82" t="str">
        <x:v>RAW-V10</x:v>
      </x:c>
      <x:c r="I82" s="14" t="n">
        <x:f>'Reference Envelopes'!F16</x:f>
        <x:v>17.5</x:v>
      </x:c>
      <x:c r="J82" s="14" t="n">
        <x:f>'Reference Envelopes'!G16</x:f>
        <x:v>0.05</x:v>
      </x:c>
      <x:c r="K82" s="14" t="str">
        <x:f>IF(COUNT('Trial Register'!S82)=0,"",'Trial Register'!S82)</x:f>
      </x:c>
      <x:c r="L82" s="14" t="str">
        <x:f>IF(COUNT('Trial Register'!T82)=0,"",'Trial Register'!T82)</x:f>
      </x:c>
      <x:c r="M82" s="14" t="str">
        <x:f>IF(COUNT(K82:L82)&lt;2,"",K82-L82)</x:f>
      </x:c>
      <x:c r="N82" s="14" t="str">
        <x:f>IF(COUNT(K82:L82)&lt;2,"",K82+L82)</x:f>
      </x:c>
      <x:c r="O82" s="14" t="str">
        <x:f>IF(COUNT(K82)=0,"",ABS(K82-I82))</x:f>
      </x:c>
      <x:c r="P82" s="14" t="str">
        <x:f>IF(COUNT(O82)=0,"",IF(J82=0,IF(O82=0,0,999),O82/J82))</x:f>
      </x:c>
      <x:c r="Q82" t="str">
        <x:f>IF(COUNT(M82:N82)&lt;2,"",IF(AND(I82&gt;=M82,I82&lt;=N82,O82&lt;=J82),"PASS","FAIL"))</x:f>
      </x:c>
      <x:c r="R82" t="str"/>
      <x:c r="S82" t="str">
        <x:f>IF(R82=1,IF(Q82="PASS","PASS","FAIL"),"OPEN")</x:f>
        <x:v>OPEN</x:v>
      </x:c>
    </x:row>
    <x:row r="83">
      <x:c r="B83" t="str">
        <x:v>RAW-E077</x:v>
      </x:c>
      <x:c r="C83" t="str">
        <x:v>AM-01</x:v>
      </x:c>
      <x:c r="D83" t="str">
        <x:v>TR-A</x:v>
      </x:c>
      <x:c r="E83" t="str">
        <x:v>RFP-A1</x:v>
      </x:c>
      <x:c r="F83" t="str">
        <x:v>PTC-A</x:v>
      </x:c>
      <x:c r="G83" t="str">
        <x:v>QT-05</x:v>
      </x:c>
      <x:c r="H83" t="str">
        <x:v>RAW-V11</x:v>
      </x:c>
      <x:c r="I83" s="14" t="n">
        <x:f>'Reference Envelopes'!F17</x:f>
        <x:v>20</x:v>
      </x:c>
      <x:c r="J83" s="14" t="n">
        <x:f>'Reference Envelopes'!G17</x:f>
        <x:v>0.05</x:v>
      </x:c>
      <x:c r="K83" s="14" t="str">
        <x:f>IF(COUNT('Trial Register'!S83)=0,"",'Trial Register'!S83)</x:f>
      </x:c>
      <x:c r="L83" s="14" t="str">
        <x:f>IF(COUNT('Trial Register'!T83)=0,"",'Trial Register'!T83)</x:f>
      </x:c>
      <x:c r="M83" s="14" t="str">
        <x:f>IF(COUNT(K83:L83)&lt;2,"",K83-L83)</x:f>
      </x:c>
      <x:c r="N83" s="14" t="str">
        <x:f>IF(COUNT(K83:L83)&lt;2,"",K83+L83)</x:f>
      </x:c>
      <x:c r="O83" s="14" t="str">
        <x:f>IF(COUNT(K83)=0,"",ABS(K83-I83))</x:f>
      </x:c>
      <x:c r="P83" s="14" t="str">
        <x:f>IF(COUNT(O83)=0,"",IF(J83=0,IF(O83=0,0,999),O83/J83))</x:f>
      </x:c>
      <x:c r="Q83" t="str">
        <x:f>IF(COUNT(M83:N83)&lt;2,"",IF(AND(I83&gt;=M83,I83&lt;=N83,O83&lt;=J83),"PASS","FAIL"))</x:f>
      </x:c>
      <x:c r="R83" t="str"/>
      <x:c r="S83" t="str">
        <x:f>IF(R83=1,IF(Q83="PASS","PASS","FAIL"),"OPEN")</x:f>
        <x:v>OPEN</x:v>
      </x:c>
    </x:row>
    <x:row r="84">
      <x:c r="B84" t="str">
        <x:v>RAW-E078</x:v>
      </x:c>
      <x:c r="C84" t="str">
        <x:v>AM-01</x:v>
      </x:c>
      <x:c r="D84" t="str">
        <x:v>TR-A</x:v>
      </x:c>
      <x:c r="E84" t="str">
        <x:v>RFP-A1</x:v>
      </x:c>
      <x:c r="F84" t="str">
        <x:v>PTC-A</x:v>
      </x:c>
      <x:c r="G84" t="str">
        <x:v>QT-06</x:v>
      </x:c>
      <x:c r="H84" t="str">
        <x:v>RAW-V12</x:v>
      </x:c>
      <x:c r="I84" s="14" t="n">
        <x:f>'Reference Envelopes'!F18</x:f>
        <x:v>15</x:v>
      </x:c>
      <x:c r="J84" s="14" t="n">
        <x:f>'Reference Envelopes'!G18</x:f>
        <x:v>0.05</x:v>
      </x:c>
      <x:c r="K84" s="14" t="str">
        <x:f>IF(COUNT('Trial Register'!S84)=0,"",'Trial Register'!S84)</x:f>
      </x:c>
      <x:c r="L84" s="14" t="str">
        <x:f>IF(COUNT('Trial Register'!T84)=0,"",'Trial Register'!T84)</x:f>
      </x:c>
      <x:c r="M84" s="14" t="str">
        <x:f>IF(COUNT(K84:L84)&lt;2,"",K84-L84)</x:f>
      </x:c>
      <x:c r="N84" s="14" t="str">
        <x:f>IF(COUNT(K84:L84)&lt;2,"",K84+L84)</x:f>
      </x:c>
      <x:c r="O84" s="14" t="str">
        <x:f>IF(COUNT(K84)=0,"",ABS(K84-I84))</x:f>
      </x:c>
      <x:c r="P84" s="14" t="str">
        <x:f>IF(COUNT(O84)=0,"",IF(J84=0,IF(O84=0,0,999),O84/J84))</x:f>
      </x:c>
      <x:c r="Q84" t="str">
        <x:f>IF(COUNT(M84:N84)&lt;2,"",IF(AND(I84&gt;=M84,I84&lt;=N84,O84&lt;=J84),"PASS","FAIL"))</x:f>
      </x:c>
      <x:c r="R84" t="str"/>
      <x:c r="S84" t="str">
        <x:f>IF(R84=1,IF(Q84="PASS","PASS","FAIL"),"OPEN")</x:f>
        <x:v>OPEN</x:v>
      </x:c>
    </x:row>
    <x:row r="85">
      <x:c r="B85" t="str">
        <x:v>RAW-E079</x:v>
      </x:c>
      <x:c r="C85" t="str">
        <x:v>AM-01</x:v>
      </x:c>
      <x:c r="D85" t="str">
        <x:v>TR-B</x:v>
      </x:c>
      <x:c r="E85" t="str">
        <x:v>RFP-A1</x:v>
      </x:c>
      <x:c r="F85" t="str">
        <x:v>PTC-A</x:v>
      </x:c>
      <x:c r="G85" t="str">
        <x:v>QT-01</x:v>
      </x:c>
      <x:c r="H85" t="str">
        <x:v>RAW-V07</x:v>
      </x:c>
      <x:c r="I85" s="14" t="n">
        <x:f>'Reference Envelopes'!F13</x:f>
        <x:v>10</x:v>
      </x:c>
      <x:c r="J85" s="14" t="n">
        <x:f>'Reference Envelopes'!G13</x:f>
        <x:v>0.025</x:v>
      </x:c>
      <x:c r="K85" s="14" t="str">
        <x:f>IF(COUNT('Trial Register'!S85)=0,"",'Trial Register'!S85)</x:f>
      </x:c>
      <x:c r="L85" s="14" t="str">
        <x:f>IF(COUNT('Trial Register'!T85)=0,"",'Trial Register'!T85)</x:f>
      </x:c>
      <x:c r="M85" s="14" t="str">
        <x:f>IF(COUNT(K85:L85)&lt;2,"",K85-L85)</x:f>
      </x:c>
      <x:c r="N85" s="14" t="str">
        <x:f>IF(COUNT(K85:L85)&lt;2,"",K85+L85)</x:f>
      </x:c>
      <x:c r="O85" s="14" t="str">
        <x:f>IF(COUNT(K85)=0,"",ABS(K85-I85))</x:f>
      </x:c>
      <x:c r="P85" s="14" t="str">
        <x:f>IF(COUNT(O85)=0,"",IF(J85=0,IF(O85=0,0,999),O85/J85))</x:f>
      </x:c>
      <x:c r="Q85" t="str">
        <x:f>IF(COUNT(M85:N85)&lt;2,"",IF(AND(I85&gt;=M85,I85&lt;=N85,O85&lt;=J85),"PASS","FAIL"))</x:f>
      </x:c>
      <x:c r="R85" t="str"/>
      <x:c r="S85" t="str">
        <x:f>IF(R85=1,IF(Q85="PASS","PASS","FAIL"),"OPEN")</x:f>
        <x:v>OPEN</x:v>
      </x:c>
    </x:row>
    <x:row r="86">
      <x:c r="B86" t="str">
        <x:v>RAW-E080</x:v>
      </x:c>
      <x:c r="C86" t="str">
        <x:v>AM-01</x:v>
      </x:c>
      <x:c r="D86" t="str">
        <x:v>TR-B</x:v>
      </x:c>
      <x:c r="E86" t="str">
        <x:v>RFP-A1</x:v>
      </x:c>
      <x:c r="F86" t="str">
        <x:v>PTC-A</x:v>
      </x:c>
      <x:c r="G86" t="str">
        <x:v>QT-02</x:v>
      </x:c>
      <x:c r="H86" t="str">
        <x:v>RAW-V08</x:v>
      </x:c>
      <x:c r="I86" s="14" t="n">
        <x:f>'Reference Envelopes'!F14</x:f>
        <x:v>5</x:v>
      </x:c>
      <x:c r="J86" s="14" t="n">
        <x:f>'Reference Envelopes'!G14</x:f>
        <x:v>0.025</x:v>
      </x:c>
      <x:c r="K86" s="14" t="str">
        <x:f>IF(COUNT('Trial Register'!S86)=0,"",'Trial Register'!S86)</x:f>
      </x:c>
      <x:c r="L86" s="14" t="str">
        <x:f>IF(COUNT('Trial Register'!T86)=0,"",'Trial Register'!T86)</x:f>
      </x:c>
      <x:c r="M86" s="14" t="str">
        <x:f>IF(COUNT(K86:L86)&lt;2,"",K86-L86)</x:f>
      </x:c>
      <x:c r="N86" s="14" t="str">
        <x:f>IF(COUNT(K86:L86)&lt;2,"",K86+L86)</x:f>
      </x:c>
      <x:c r="O86" s="14" t="str">
        <x:f>IF(COUNT(K86)=0,"",ABS(K86-I86))</x:f>
      </x:c>
      <x:c r="P86" s="14" t="str">
        <x:f>IF(COUNT(O86)=0,"",IF(J86=0,IF(O86=0,0,999),O86/J86))</x:f>
      </x:c>
      <x:c r="Q86" t="str">
        <x:f>IF(COUNT(M86:N86)&lt;2,"",IF(AND(I86&gt;=M86,I86&lt;=N86,O86&lt;=J86),"PASS","FAIL"))</x:f>
      </x:c>
      <x:c r="R86" t="str"/>
      <x:c r="S86" t="str">
        <x:f>IF(R86=1,IF(Q86="PASS","PASS","FAIL"),"OPEN")</x:f>
        <x:v>OPEN</x:v>
      </x:c>
    </x:row>
    <x:row r="87">
      <x:c r="B87" t="str">
        <x:v>RAW-E081</x:v>
      </x:c>
      <x:c r="C87" t="str">
        <x:v>AM-01</x:v>
      </x:c>
      <x:c r="D87" t="str">
        <x:v>TR-B</x:v>
      </x:c>
      <x:c r="E87" t="str">
        <x:v>RFP-A1</x:v>
      </x:c>
      <x:c r="F87" t="str">
        <x:v>PTC-A</x:v>
      </x:c>
      <x:c r="G87" t="str">
        <x:v>QT-03</x:v>
      </x:c>
      <x:c r="H87" t="str">
        <x:v>RAW-V09</x:v>
      </x:c>
      <x:c r="I87" s="14" t="n">
        <x:f>'Reference Envelopes'!F15</x:f>
        <x:v>30</x:v>
      </x:c>
      <x:c r="J87" s="14" t="n">
        <x:f>'Reference Envelopes'!G15</x:f>
        <x:v>0.075</x:v>
      </x:c>
      <x:c r="K87" s="14" t="str">
        <x:f>IF(COUNT('Trial Register'!S87)=0,"",'Trial Register'!S87)</x:f>
      </x:c>
      <x:c r="L87" s="14" t="str">
        <x:f>IF(COUNT('Trial Register'!T87)=0,"",'Trial Register'!T87)</x:f>
      </x:c>
      <x:c r="M87" s="14" t="str">
        <x:f>IF(COUNT(K87:L87)&lt;2,"",K87-L87)</x:f>
      </x:c>
      <x:c r="N87" s="14" t="str">
        <x:f>IF(COUNT(K87:L87)&lt;2,"",K87+L87)</x:f>
      </x:c>
      <x:c r="O87" s="14" t="str">
        <x:f>IF(COUNT(K87)=0,"",ABS(K87-I87))</x:f>
      </x:c>
      <x:c r="P87" s="14" t="str">
        <x:f>IF(COUNT(O87)=0,"",IF(J87=0,IF(O87=0,0,999),O87/J87))</x:f>
      </x:c>
      <x:c r="Q87" t="str">
        <x:f>IF(COUNT(M87:N87)&lt;2,"",IF(AND(I87&gt;=M87,I87&lt;=N87,O87&lt;=J87),"PASS","FAIL"))</x:f>
      </x:c>
      <x:c r="R87" t="str"/>
      <x:c r="S87" t="str">
        <x:f>IF(R87=1,IF(Q87="PASS","PASS","FAIL"),"OPEN")</x:f>
        <x:v>OPEN</x:v>
      </x:c>
    </x:row>
    <x:row r="88">
      <x:c r="B88" t="str">
        <x:v>RAW-E082</x:v>
      </x:c>
      <x:c r="C88" t="str">
        <x:v>AM-01</x:v>
      </x:c>
      <x:c r="D88" t="str">
        <x:v>TR-B</x:v>
      </x:c>
      <x:c r="E88" t="str">
        <x:v>RFP-A1</x:v>
      </x:c>
      <x:c r="F88" t="str">
        <x:v>PTC-A</x:v>
      </x:c>
      <x:c r="G88" t="str">
        <x:v>QT-04</x:v>
      </x:c>
      <x:c r="H88" t="str">
        <x:v>RAW-V10</x:v>
      </x:c>
      <x:c r="I88" s="14" t="n">
        <x:f>'Reference Envelopes'!F16</x:f>
        <x:v>17.5</x:v>
      </x:c>
      <x:c r="J88" s="14" t="n">
        <x:f>'Reference Envelopes'!G16</x:f>
        <x:v>0.05</x:v>
      </x:c>
      <x:c r="K88" s="14" t="str">
        <x:f>IF(COUNT('Trial Register'!S88)=0,"",'Trial Register'!S88)</x:f>
      </x:c>
      <x:c r="L88" s="14" t="str">
        <x:f>IF(COUNT('Trial Register'!T88)=0,"",'Trial Register'!T88)</x:f>
      </x:c>
      <x:c r="M88" s="14" t="str">
        <x:f>IF(COUNT(K88:L88)&lt;2,"",K88-L88)</x:f>
      </x:c>
      <x:c r="N88" s="14" t="str">
        <x:f>IF(COUNT(K88:L88)&lt;2,"",K88+L88)</x:f>
      </x:c>
      <x:c r="O88" s="14" t="str">
        <x:f>IF(COUNT(K88)=0,"",ABS(K88-I88))</x:f>
      </x:c>
      <x:c r="P88" s="14" t="str">
        <x:f>IF(COUNT(O88)=0,"",IF(J88=0,IF(O88=0,0,999),O88/J88))</x:f>
      </x:c>
      <x:c r="Q88" t="str">
        <x:f>IF(COUNT(M88:N88)&lt;2,"",IF(AND(I88&gt;=M88,I88&lt;=N88,O88&lt;=J88),"PASS","FAIL"))</x:f>
      </x:c>
      <x:c r="R88" t="str"/>
      <x:c r="S88" t="str">
        <x:f>IF(R88=1,IF(Q88="PASS","PASS","FAIL"),"OPEN")</x:f>
        <x:v>OPEN</x:v>
      </x:c>
    </x:row>
    <x:row r="89">
      <x:c r="B89" t="str">
        <x:v>RAW-E083</x:v>
      </x:c>
      <x:c r="C89" t="str">
        <x:v>AM-01</x:v>
      </x:c>
      <x:c r="D89" t="str">
        <x:v>TR-B</x:v>
      </x:c>
      <x:c r="E89" t="str">
        <x:v>RFP-A1</x:v>
      </x:c>
      <x:c r="F89" t="str">
        <x:v>PTC-A</x:v>
      </x:c>
      <x:c r="G89" t="str">
        <x:v>QT-05</x:v>
      </x:c>
      <x:c r="H89" t="str">
        <x:v>RAW-V11</x:v>
      </x:c>
      <x:c r="I89" s="14" t="n">
        <x:f>'Reference Envelopes'!F17</x:f>
        <x:v>20</x:v>
      </x:c>
      <x:c r="J89" s="14" t="n">
        <x:f>'Reference Envelopes'!G17</x:f>
        <x:v>0.05</x:v>
      </x:c>
      <x:c r="K89" s="14" t="str">
        <x:f>IF(COUNT('Trial Register'!S89)=0,"",'Trial Register'!S89)</x:f>
      </x:c>
      <x:c r="L89" s="14" t="str">
        <x:f>IF(COUNT('Trial Register'!T89)=0,"",'Trial Register'!T89)</x:f>
      </x:c>
      <x:c r="M89" s="14" t="str">
        <x:f>IF(COUNT(K89:L89)&lt;2,"",K89-L89)</x:f>
      </x:c>
      <x:c r="N89" s="14" t="str">
        <x:f>IF(COUNT(K89:L89)&lt;2,"",K89+L89)</x:f>
      </x:c>
      <x:c r="O89" s="14" t="str">
        <x:f>IF(COUNT(K89)=0,"",ABS(K89-I89))</x:f>
      </x:c>
      <x:c r="P89" s="14" t="str">
        <x:f>IF(COUNT(O89)=0,"",IF(J89=0,IF(O89=0,0,999),O89/J89))</x:f>
      </x:c>
      <x:c r="Q89" t="str">
        <x:f>IF(COUNT(M89:N89)&lt;2,"",IF(AND(I89&gt;=M89,I89&lt;=N89,O89&lt;=J89),"PASS","FAIL"))</x:f>
      </x:c>
      <x:c r="R89" t="str"/>
      <x:c r="S89" t="str">
        <x:f>IF(R89=1,IF(Q89="PASS","PASS","FAIL"),"OPEN")</x:f>
        <x:v>OPEN</x:v>
      </x:c>
    </x:row>
    <x:row r="90">
      <x:c r="B90" t="str">
        <x:v>RAW-E084</x:v>
      </x:c>
      <x:c r="C90" t="str">
        <x:v>AM-01</x:v>
      </x:c>
      <x:c r="D90" t="str">
        <x:v>TR-B</x:v>
      </x:c>
      <x:c r="E90" t="str">
        <x:v>RFP-A1</x:v>
      </x:c>
      <x:c r="F90" t="str">
        <x:v>PTC-A</x:v>
      </x:c>
      <x:c r="G90" t="str">
        <x:v>QT-06</x:v>
      </x:c>
      <x:c r="H90" t="str">
        <x:v>RAW-V12</x:v>
      </x:c>
      <x:c r="I90" s="14" t="n">
        <x:f>'Reference Envelopes'!F18</x:f>
        <x:v>15</x:v>
      </x:c>
      <x:c r="J90" s="14" t="n">
        <x:f>'Reference Envelopes'!G18</x:f>
        <x:v>0.05</x:v>
      </x:c>
      <x:c r="K90" s="14" t="str">
        <x:f>IF(COUNT('Trial Register'!S90)=0,"",'Trial Register'!S90)</x:f>
      </x:c>
      <x:c r="L90" s="14" t="str">
        <x:f>IF(COUNT('Trial Register'!T90)=0,"",'Trial Register'!T90)</x:f>
      </x:c>
      <x:c r="M90" s="14" t="str">
        <x:f>IF(COUNT(K90:L90)&lt;2,"",K90-L90)</x:f>
      </x:c>
      <x:c r="N90" s="14" t="str">
        <x:f>IF(COUNT(K90:L90)&lt;2,"",K90+L90)</x:f>
      </x:c>
      <x:c r="O90" s="14" t="str">
        <x:f>IF(COUNT(K90)=0,"",ABS(K90-I90))</x:f>
      </x:c>
      <x:c r="P90" s="14" t="str">
        <x:f>IF(COUNT(O90)=0,"",IF(J90=0,IF(O90=0,0,999),O90/J90))</x:f>
      </x:c>
      <x:c r="Q90" t="str">
        <x:f>IF(COUNT(M90:N90)&lt;2,"",IF(AND(I90&gt;=M90,I90&lt;=N90,O90&lt;=J90),"PASS","FAIL"))</x:f>
      </x:c>
      <x:c r="R90" t="str"/>
      <x:c r="S90" t="str">
        <x:f>IF(R90=1,IF(Q90="PASS","PASS","FAIL"),"OPEN")</x:f>
        <x:v>OPEN</x:v>
      </x:c>
    </x:row>
    <x:row r="91">
      <x:c r="B91" t="str">
        <x:v>RAW-E085</x:v>
      </x:c>
      <x:c r="C91" t="str">
        <x:v>AM-01</x:v>
      </x:c>
      <x:c r="D91" t="str">
        <x:v>TR-A</x:v>
      </x:c>
      <x:c r="E91" t="str">
        <x:v>RFP-A2</x:v>
      </x:c>
      <x:c r="F91" t="str">
        <x:v>PTC-A</x:v>
      </x:c>
      <x:c r="G91" t="str">
        <x:v>QT-01</x:v>
      </x:c>
      <x:c r="H91" t="str">
        <x:v>RAW-V07</x:v>
      </x:c>
      <x:c r="I91" s="14" t="n">
        <x:f>'Reference Envelopes'!F13</x:f>
        <x:v>10</x:v>
      </x:c>
      <x:c r="J91" s="14" t="n">
        <x:f>'Reference Envelopes'!G13</x:f>
        <x:v>0.025</x:v>
      </x:c>
      <x:c r="K91" s="14" t="str">
        <x:f>IF(COUNT('Trial Register'!S91)=0,"",'Trial Register'!S91)</x:f>
      </x:c>
      <x:c r="L91" s="14" t="str">
        <x:f>IF(COUNT('Trial Register'!T91)=0,"",'Trial Register'!T91)</x:f>
      </x:c>
      <x:c r="M91" s="14" t="str">
        <x:f>IF(COUNT(K91:L91)&lt;2,"",K91-L91)</x:f>
      </x:c>
      <x:c r="N91" s="14" t="str">
        <x:f>IF(COUNT(K91:L91)&lt;2,"",K91+L91)</x:f>
      </x:c>
      <x:c r="O91" s="14" t="str">
        <x:f>IF(COUNT(K91)=0,"",ABS(K91-I91))</x:f>
      </x:c>
      <x:c r="P91" s="14" t="str">
        <x:f>IF(COUNT(O91)=0,"",IF(J91=0,IF(O91=0,0,999),O91/J91))</x:f>
      </x:c>
      <x:c r="Q91" t="str">
        <x:f>IF(COUNT(M91:N91)&lt;2,"",IF(AND(I91&gt;=M91,I91&lt;=N91,O91&lt;=J91),"PASS","FAIL"))</x:f>
      </x:c>
      <x:c r="R91" t="str"/>
      <x:c r="S91" t="str">
        <x:f>IF(R91=1,IF(Q91="PASS","PASS","FAIL"),"OPEN")</x:f>
        <x:v>OPEN</x:v>
      </x:c>
    </x:row>
    <x:row r="92">
      <x:c r="B92" t="str">
        <x:v>RAW-E086</x:v>
      </x:c>
      <x:c r="C92" t="str">
        <x:v>AM-01</x:v>
      </x:c>
      <x:c r="D92" t="str">
        <x:v>TR-A</x:v>
      </x:c>
      <x:c r="E92" t="str">
        <x:v>RFP-A2</x:v>
      </x:c>
      <x:c r="F92" t="str">
        <x:v>PTC-A</x:v>
      </x:c>
      <x:c r="G92" t="str">
        <x:v>QT-02</x:v>
      </x:c>
      <x:c r="H92" t="str">
        <x:v>RAW-V08</x:v>
      </x:c>
      <x:c r="I92" s="14" t="n">
        <x:f>'Reference Envelopes'!F14</x:f>
        <x:v>5</x:v>
      </x:c>
      <x:c r="J92" s="14" t="n">
        <x:f>'Reference Envelopes'!G14</x:f>
        <x:v>0.025</x:v>
      </x:c>
      <x:c r="K92" s="14" t="str">
        <x:f>IF(COUNT('Trial Register'!S92)=0,"",'Trial Register'!S92)</x:f>
      </x:c>
      <x:c r="L92" s="14" t="str">
        <x:f>IF(COUNT('Trial Register'!T92)=0,"",'Trial Register'!T92)</x:f>
      </x:c>
      <x:c r="M92" s="14" t="str">
        <x:f>IF(COUNT(K92:L92)&lt;2,"",K92-L92)</x:f>
      </x:c>
      <x:c r="N92" s="14" t="str">
        <x:f>IF(COUNT(K92:L92)&lt;2,"",K92+L92)</x:f>
      </x:c>
      <x:c r="O92" s="14" t="str">
        <x:f>IF(COUNT(K92)=0,"",ABS(K92-I92))</x:f>
      </x:c>
      <x:c r="P92" s="14" t="str">
        <x:f>IF(COUNT(O92)=0,"",IF(J92=0,IF(O92=0,0,999),O92/J92))</x:f>
      </x:c>
      <x:c r="Q92" t="str">
        <x:f>IF(COUNT(M92:N92)&lt;2,"",IF(AND(I92&gt;=M92,I92&lt;=N92,O92&lt;=J92),"PASS","FAIL"))</x:f>
      </x:c>
      <x:c r="R92" t="str"/>
      <x:c r="S92" t="str">
        <x:f>IF(R92=1,IF(Q92="PASS","PASS","FAIL"),"OPEN")</x:f>
        <x:v>OPEN</x:v>
      </x:c>
    </x:row>
    <x:row r="93">
      <x:c r="B93" t="str">
        <x:v>RAW-E087</x:v>
      </x:c>
      <x:c r="C93" t="str">
        <x:v>AM-01</x:v>
      </x:c>
      <x:c r="D93" t="str">
        <x:v>TR-A</x:v>
      </x:c>
      <x:c r="E93" t="str">
        <x:v>RFP-A2</x:v>
      </x:c>
      <x:c r="F93" t="str">
        <x:v>PTC-A</x:v>
      </x:c>
      <x:c r="G93" t="str">
        <x:v>QT-03</x:v>
      </x:c>
      <x:c r="H93" t="str">
        <x:v>RAW-V09</x:v>
      </x:c>
      <x:c r="I93" s="14" t="n">
        <x:f>'Reference Envelopes'!F15</x:f>
        <x:v>30</x:v>
      </x:c>
      <x:c r="J93" s="14" t="n">
        <x:f>'Reference Envelopes'!G15</x:f>
        <x:v>0.075</x:v>
      </x:c>
      <x:c r="K93" s="14" t="str">
        <x:f>IF(COUNT('Trial Register'!S93)=0,"",'Trial Register'!S93)</x:f>
      </x:c>
      <x:c r="L93" s="14" t="str">
        <x:f>IF(COUNT('Trial Register'!T93)=0,"",'Trial Register'!T93)</x:f>
      </x:c>
      <x:c r="M93" s="14" t="str">
        <x:f>IF(COUNT(K93:L93)&lt;2,"",K93-L93)</x:f>
      </x:c>
      <x:c r="N93" s="14" t="str">
        <x:f>IF(COUNT(K93:L93)&lt;2,"",K93+L93)</x:f>
      </x:c>
      <x:c r="O93" s="14" t="str">
        <x:f>IF(COUNT(K93)=0,"",ABS(K93-I93))</x:f>
      </x:c>
      <x:c r="P93" s="14" t="str">
        <x:f>IF(COUNT(O93)=0,"",IF(J93=0,IF(O93=0,0,999),O93/J93))</x:f>
      </x:c>
      <x:c r="Q93" t="str">
        <x:f>IF(COUNT(M93:N93)&lt;2,"",IF(AND(I93&gt;=M93,I93&lt;=N93,O93&lt;=J93),"PASS","FAIL"))</x:f>
      </x:c>
      <x:c r="R93" t="str"/>
      <x:c r="S93" t="str">
        <x:f>IF(R93=1,IF(Q93="PASS","PASS","FAIL"),"OPEN")</x:f>
        <x:v>OPEN</x:v>
      </x:c>
    </x:row>
    <x:row r="94">
      <x:c r="B94" t="str">
        <x:v>RAW-E088</x:v>
      </x:c>
      <x:c r="C94" t="str">
        <x:v>AM-01</x:v>
      </x:c>
      <x:c r="D94" t="str">
        <x:v>TR-A</x:v>
      </x:c>
      <x:c r="E94" t="str">
        <x:v>RFP-A2</x:v>
      </x:c>
      <x:c r="F94" t="str">
        <x:v>PTC-A</x:v>
      </x:c>
      <x:c r="G94" t="str">
        <x:v>QT-04</x:v>
      </x:c>
      <x:c r="H94" t="str">
        <x:v>RAW-V10</x:v>
      </x:c>
      <x:c r="I94" s="14" t="n">
        <x:f>'Reference Envelopes'!F16</x:f>
        <x:v>17.5</x:v>
      </x:c>
      <x:c r="J94" s="14" t="n">
        <x:f>'Reference Envelopes'!G16</x:f>
        <x:v>0.05</x:v>
      </x:c>
      <x:c r="K94" s="14" t="str">
        <x:f>IF(COUNT('Trial Register'!S94)=0,"",'Trial Register'!S94)</x:f>
      </x:c>
      <x:c r="L94" s="14" t="str">
        <x:f>IF(COUNT('Trial Register'!T94)=0,"",'Trial Register'!T94)</x:f>
      </x:c>
      <x:c r="M94" s="14" t="str">
        <x:f>IF(COUNT(K94:L94)&lt;2,"",K94-L94)</x:f>
      </x:c>
      <x:c r="N94" s="14" t="str">
        <x:f>IF(COUNT(K94:L94)&lt;2,"",K94+L94)</x:f>
      </x:c>
      <x:c r="O94" s="14" t="str">
        <x:f>IF(COUNT(K94)=0,"",ABS(K94-I94))</x:f>
      </x:c>
      <x:c r="P94" s="14" t="str">
        <x:f>IF(COUNT(O94)=0,"",IF(J94=0,IF(O94=0,0,999),O94/J94))</x:f>
      </x:c>
      <x:c r="Q94" t="str">
        <x:f>IF(COUNT(M94:N94)&lt;2,"",IF(AND(I94&gt;=M94,I94&lt;=N94,O94&lt;=J94),"PASS","FAIL"))</x:f>
      </x:c>
      <x:c r="R94" t="str"/>
      <x:c r="S94" t="str">
        <x:f>IF(R94=1,IF(Q94="PASS","PASS","FAIL"),"OPEN")</x:f>
        <x:v>OPEN</x:v>
      </x:c>
    </x:row>
    <x:row r="95">
      <x:c r="B95" t="str">
        <x:v>RAW-E089</x:v>
      </x:c>
      <x:c r="C95" t="str">
        <x:v>AM-01</x:v>
      </x:c>
      <x:c r="D95" t="str">
        <x:v>TR-A</x:v>
      </x:c>
      <x:c r="E95" t="str">
        <x:v>RFP-A2</x:v>
      </x:c>
      <x:c r="F95" t="str">
        <x:v>PTC-A</x:v>
      </x:c>
      <x:c r="G95" t="str">
        <x:v>QT-05</x:v>
      </x:c>
      <x:c r="H95" t="str">
        <x:v>RAW-V11</x:v>
      </x:c>
      <x:c r="I95" s="14" t="n">
        <x:f>'Reference Envelopes'!F17</x:f>
        <x:v>20</x:v>
      </x:c>
      <x:c r="J95" s="14" t="n">
        <x:f>'Reference Envelopes'!G17</x:f>
        <x:v>0.05</x:v>
      </x:c>
      <x:c r="K95" s="14" t="str">
        <x:f>IF(COUNT('Trial Register'!S95)=0,"",'Trial Register'!S95)</x:f>
      </x:c>
      <x:c r="L95" s="14" t="str">
        <x:f>IF(COUNT('Trial Register'!T95)=0,"",'Trial Register'!T95)</x:f>
      </x:c>
      <x:c r="M95" s="14" t="str">
        <x:f>IF(COUNT(K95:L95)&lt;2,"",K95-L95)</x:f>
      </x:c>
      <x:c r="N95" s="14" t="str">
        <x:f>IF(COUNT(K95:L95)&lt;2,"",K95+L95)</x:f>
      </x:c>
      <x:c r="O95" s="14" t="str">
        <x:f>IF(COUNT(K95)=0,"",ABS(K95-I95))</x:f>
      </x:c>
      <x:c r="P95" s="14" t="str">
        <x:f>IF(COUNT(O95)=0,"",IF(J95=0,IF(O95=0,0,999),O95/J95))</x:f>
      </x:c>
      <x:c r="Q95" t="str">
        <x:f>IF(COUNT(M95:N95)&lt;2,"",IF(AND(I95&gt;=M95,I95&lt;=N95,O95&lt;=J95),"PASS","FAIL"))</x:f>
      </x:c>
      <x:c r="R95" t="str"/>
      <x:c r="S95" t="str">
        <x:f>IF(R95=1,IF(Q95="PASS","PASS","FAIL"),"OPEN")</x:f>
        <x:v>OPEN</x:v>
      </x:c>
    </x:row>
    <x:row r="96">
      <x:c r="B96" t="str">
        <x:v>RAW-E090</x:v>
      </x:c>
      <x:c r="C96" t="str">
        <x:v>AM-01</x:v>
      </x:c>
      <x:c r="D96" t="str">
        <x:v>TR-A</x:v>
      </x:c>
      <x:c r="E96" t="str">
        <x:v>RFP-A2</x:v>
      </x:c>
      <x:c r="F96" t="str">
        <x:v>PTC-A</x:v>
      </x:c>
      <x:c r="G96" t="str">
        <x:v>QT-06</x:v>
      </x:c>
      <x:c r="H96" t="str">
        <x:v>RAW-V12</x:v>
      </x:c>
      <x:c r="I96" s="14" t="n">
        <x:f>'Reference Envelopes'!F18</x:f>
        <x:v>15</x:v>
      </x:c>
      <x:c r="J96" s="14" t="n">
        <x:f>'Reference Envelopes'!G18</x:f>
        <x:v>0.05</x:v>
      </x:c>
      <x:c r="K96" s="14" t="str">
        <x:f>IF(COUNT('Trial Register'!S96)=0,"",'Trial Register'!S96)</x:f>
      </x:c>
      <x:c r="L96" s="14" t="str">
        <x:f>IF(COUNT('Trial Register'!T96)=0,"",'Trial Register'!T96)</x:f>
      </x:c>
      <x:c r="M96" s="14" t="str">
        <x:f>IF(COUNT(K96:L96)&lt;2,"",K96-L96)</x:f>
      </x:c>
      <x:c r="N96" s="14" t="str">
        <x:f>IF(COUNT(K96:L96)&lt;2,"",K96+L96)</x:f>
      </x:c>
      <x:c r="O96" s="14" t="str">
        <x:f>IF(COUNT(K96)=0,"",ABS(K96-I96))</x:f>
      </x:c>
      <x:c r="P96" s="14" t="str">
        <x:f>IF(COUNT(O96)=0,"",IF(J96=0,IF(O96=0,0,999),O96/J96))</x:f>
      </x:c>
      <x:c r="Q96" t="str">
        <x:f>IF(COUNT(M96:N96)&lt;2,"",IF(AND(I96&gt;=M96,I96&lt;=N96,O96&lt;=J96),"PASS","FAIL"))</x:f>
      </x:c>
      <x:c r="R96" t="str"/>
      <x:c r="S96" t="str">
        <x:f>IF(R96=1,IF(Q96="PASS","PASS","FAIL"),"OPEN")</x:f>
        <x:v>OPEN</x:v>
      </x:c>
    </x:row>
    <x:row r="97">
      <x:c r="B97" t="str">
        <x:v>RAW-E091</x:v>
      </x:c>
      <x:c r="C97" t="str">
        <x:v>AM-01</x:v>
      </x:c>
      <x:c r="D97" t="str">
        <x:v>TR-B</x:v>
      </x:c>
      <x:c r="E97" t="str">
        <x:v>RFP-A2</x:v>
      </x:c>
      <x:c r="F97" t="str">
        <x:v>PTC-A</x:v>
      </x:c>
      <x:c r="G97" t="str">
        <x:v>QT-01</x:v>
      </x:c>
      <x:c r="H97" t="str">
        <x:v>RAW-V07</x:v>
      </x:c>
      <x:c r="I97" s="14" t="n">
        <x:f>'Reference Envelopes'!F13</x:f>
        <x:v>10</x:v>
      </x:c>
      <x:c r="J97" s="14" t="n">
        <x:f>'Reference Envelopes'!G13</x:f>
        <x:v>0.025</x:v>
      </x:c>
      <x:c r="K97" s="14" t="str">
        <x:f>IF(COUNT('Trial Register'!S97)=0,"",'Trial Register'!S97)</x:f>
      </x:c>
      <x:c r="L97" s="14" t="str">
        <x:f>IF(COUNT('Trial Register'!T97)=0,"",'Trial Register'!T97)</x:f>
      </x:c>
      <x:c r="M97" s="14" t="str">
        <x:f>IF(COUNT(K97:L97)&lt;2,"",K97-L97)</x:f>
      </x:c>
      <x:c r="N97" s="14" t="str">
        <x:f>IF(COUNT(K97:L97)&lt;2,"",K97+L97)</x:f>
      </x:c>
      <x:c r="O97" s="14" t="str">
        <x:f>IF(COUNT(K97)=0,"",ABS(K97-I97))</x:f>
      </x:c>
      <x:c r="P97" s="14" t="str">
        <x:f>IF(COUNT(O97)=0,"",IF(J97=0,IF(O97=0,0,999),O97/J97))</x:f>
      </x:c>
      <x:c r="Q97" t="str">
        <x:f>IF(COUNT(M97:N97)&lt;2,"",IF(AND(I97&gt;=M97,I97&lt;=N97,O97&lt;=J97),"PASS","FAIL"))</x:f>
      </x:c>
      <x:c r="R97" t="str"/>
      <x:c r="S97" t="str">
        <x:f>IF(R97=1,IF(Q97="PASS","PASS","FAIL"),"OPEN")</x:f>
        <x:v>OPEN</x:v>
      </x:c>
    </x:row>
    <x:row r="98">
      <x:c r="B98" t="str">
        <x:v>RAW-E092</x:v>
      </x:c>
      <x:c r="C98" t="str">
        <x:v>AM-01</x:v>
      </x:c>
      <x:c r="D98" t="str">
        <x:v>TR-B</x:v>
      </x:c>
      <x:c r="E98" t="str">
        <x:v>RFP-A2</x:v>
      </x:c>
      <x:c r="F98" t="str">
        <x:v>PTC-A</x:v>
      </x:c>
      <x:c r="G98" t="str">
        <x:v>QT-02</x:v>
      </x:c>
      <x:c r="H98" t="str">
        <x:v>RAW-V08</x:v>
      </x:c>
      <x:c r="I98" s="14" t="n">
        <x:f>'Reference Envelopes'!F14</x:f>
        <x:v>5</x:v>
      </x:c>
      <x:c r="J98" s="14" t="n">
        <x:f>'Reference Envelopes'!G14</x:f>
        <x:v>0.025</x:v>
      </x:c>
      <x:c r="K98" s="14" t="str">
        <x:f>IF(COUNT('Trial Register'!S98)=0,"",'Trial Register'!S98)</x:f>
      </x:c>
      <x:c r="L98" s="14" t="str">
        <x:f>IF(COUNT('Trial Register'!T98)=0,"",'Trial Register'!T98)</x:f>
      </x:c>
      <x:c r="M98" s="14" t="str">
        <x:f>IF(COUNT(K98:L98)&lt;2,"",K98-L98)</x:f>
      </x:c>
      <x:c r="N98" s="14" t="str">
        <x:f>IF(COUNT(K98:L98)&lt;2,"",K98+L98)</x:f>
      </x:c>
      <x:c r="O98" s="14" t="str">
        <x:f>IF(COUNT(K98)=0,"",ABS(K98-I98))</x:f>
      </x:c>
      <x:c r="P98" s="14" t="str">
        <x:f>IF(COUNT(O98)=0,"",IF(J98=0,IF(O98=0,0,999),O98/J98))</x:f>
      </x:c>
      <x:c r="Q98" t="str">
        <x:f>IF(COUNT(M98:N98)&lt;2,"",IF(AND(I98&gt;=M98,I98&lt;=N98,O98&lt;=J98),"PASS","FAIL"))</x:f>
      </x:c>
      <x:c r="R98" t="str"/>
      <x:c r="S98" t="str">
        <x:f>IF(R98=1,IF(Q98="PASS","PASS","FAIL"),"OPEN")</x:f>
        <x:v>OPEN</x:v>
      </x:c>
    </x:row>
    <x:row r="99">
      <x:c r="B99" t="str">
        <x:v>RAW-E093</x:v>
      </x:c>
      <x:c r="C99" t="str">
        <x:v>AM-01</x:v>
      </x:c>
      <x:c r="D99" t="str">
        <x:v>TR-B</x:v>
      </x:c>
      <x:c r="E99" t="str">
        <x:v>RFP-A2</x:v>
      </x:c>
      <x:c r="F99" t="str">
        <x:v>PTC-A</x:v>
      </x:c>
      <x:c r="G99" t="str">
        <x:v>QT-03</x:v>
      </x:c>
      <x:c r="H99" t="str">
        <x:v>RAW-V09</x:v>
      </x:c>
      <x:c r="I99" s="14" t="n">
        <x:f>'Reference Envelopes'!F15</x:f>
        <x:v>30</x:v>
      </x:c>
      <x:c r="J99" s="14" t="n">
        <x:f>'Reference Envelopes'!G15</x:f>
        <x:v>0.075</x:v>
      </x:c>
      <x:c r="K99" s="14" t="str">
        <x:f>IF(COUNT('Trial Register'!S99)=0,"",'Trial Register'!S99)</x:f>
      </x:c>
      <x:c r="L99" s="14" t="str">
        <x:f>IF(COUNT('Trial Register'!T99)=0,"",'Trial Register'!T99)</x:f>
      </x:c>
      <x:c r="M99" s="14" t="str">
        <x:f>IF(COUNT(K99:L99)&lt;2,"",K99-L99)</x:f>
      </x:c>
      <x:c r="N99" s="14" t="str">
        <x:f>IF(COUNT(K99:L99)&lt;2,"",K99+L99)</x:f>
      </x:c>
      <x:c r="O99" s="14" t="str">
        <x:f>IF(COUNT(K99)=0,"",ABS(K99-I99))</x:f>
      </x:c>
      <x:c r="P99" s="14" t="str">
        <x:f>IF(COUNT(O99)=0,"",IF(J99=0,IF(O99=0,0,999),O99/J99))</x:f>
      </x:c>
      <x:c r="Q99" t="str">
        <x:f>IF(COUNT(M99:N99)&lt;2,"",IF(AND(I99&gt;=M99,I99&lt;=N99,O99&lt;=J99),"PASS","FAIL"))</x:f>
      </x:c>
      <x:c r="R99" t="str"/>
      <x:c r="S99" t="str">
        <x:f>IF(R99=1,IF(Q99="PASS","PASS","FAIL"),"OPEN")</x:f>
        <x:v>OPEN</x:v>
      </x:c>
    </x:row>
    <x:row r="100">
      <x:c r="B100" t="str">
        <x:v>RAW-E094</x:v>
      </x:c>
      <x:c r="C100" t="str">
        <x:v>AM-01</x:v>
      </x:c>
      <x:c r="D100" t="str">
        <x:v>TR-B</x:v>
      </x:c>
      <x:c r="E100" t="str">
        <x:v>RFP-A2</x:v>
      </x:c>
      <x:c r="F100" t="str">
        <x:v>PTC-A</x:v>
      </x:c>
      <x:c r="G100" t="str">
        <x:v>QT-04</x:v>
      </x:c>
      <x:c r="H100" t="str">
        <x:v>RAW-V10</x:v>
      </x:c>
      <x:c r="I100" s="14" t="n">
        <x:f>'Reference Envelopes'!F16</x:f>
        <x:v>17.5</x:v>
      </x:c>
      <x:c r="J100" s="14" t="n">
        <x:f>'Reference Envelopes'!G16</x:f>
        <x:v>0.05</x:v>
      </x:c>
      <x:c r="K100" s="14" t="str">
        <x:f>IF(COUNT('Trial Register'!S100)=0,"",'Trial Register'!S100)</x:f>
      </x:c>
      <x:c r="L100" s="14" t="str">
        <x:f>IF(COUNT('Trial Register'!T100)=0,"",'Trial Register'!T100)</x:f>
      </x:c>
      <x:c r="M100" s="14" t="str">
        <x:f>IF(COUNT(K100:L100)&lt;2,"",K100-L100)</x:f>
      </x:c>
      <x:c r="N100" s="14" t="str">
        <x:f>IF(COUNT(K100:L100)&lt;2,"",K100+L100)</x:f>
      </x:c>
      <x:c r="O100" s="14" t="str">
        <x:f>IF(COUNT(K100)=0,"",ABS(K100-I100))</x:f>
      </x:c>
      <x:c r="P100" s="14" t="str">
        <x:f>IF(COUNT(O100)=0,"",IF(J100=0,IF(O100=0,0,999),O100/J100))</x:f>
      </x:c>
      <x:c r="Q100" t="str">
        <x:f>IF(COUNT(M100:N100)&lt;2,"",IF(AND(I100&gt;=M100,I100&lt;=N100,O100&lt;=J100),"PASS","FAIL"))</x:f>
      </x:c>
      <x:c r="R100" t="str"/>
      <x:c r="S100" t="str">
        <x:f>IF(R100=1,IF(Q100="PASS","PASS","FAIL"),"OPEN")</x:f>
        <x:v>OPEN</x:v>
      </x:c>
    </x:row>
    <x:row r="101">
      <x:c r="B101" t="str">
        <x:v>RAW-E095</x:v>
      </x:c>
      <x:c r="C101" t="str">
        <x:v>AM-01</x:v>
      </x:c>
      <x:c r="D101" t="str">
        <x:v>TR-B</x:v>
      </x:c>
      <x:c r="E101" t="str">
        <x:v>RFP-A2</x:v>
      </x:c>
      <x:c r="F101" t="str">
        <x:v>PTC-A</x:v>
      </x:c>
      <x:c r="G101" t="str">
        <x:v>QT-05</x:v>
      </x:c>
      <x:c r="H101" t="str">
        <x:v>RAW-V11</x:v>
      </x:c>
      <x:c r="I101" s="14" t="n">
        <x:f>'Reference Envelopes'!F17</x:f>
        <x:v>20</x:v>
      </x:c>
      <x:c r="J101" s="14" t="n">
        <x:f>'Reference Envelopes'!G17</x:f>
        <x:v>0.05</x:v>
      </x:c>
      <x:c r="K101" s="14" t="str">
        <x:f>IF(COUNT('Trial Register'!S101)=0,"",'Trial Register'!S101)</x:f>
      </x:c>
      <x:c r="L101" s="14" t="str">
        <x:f>IF(COUNT('Trial Register'!T101)=0,"",'Trial Register'!T101)</x:f>
      </x:c>
      <x:c r="M101" s="14" t="str">
        <x:f>IF(COUNT(K101:L101)&lt;2,"",K101-L101)</x:f>
      </x:c>
      <x:c r="N101" s="14" t="str">
        <x:f>IF(COUNT(K101:L101)&lt;2,"",K101+L101)</x:f>
      </x:c>
      <x:c r="O101" s="14" t="str">
        <x:f>IF(COUNT(K101)=0,"",ABS(K101-I101))</x:f>
      </x:c>
      <x:c r="P101" s="14" t="str">
        <x:f>IF(COUNT(O101)=0,"",IF(J101=0,IF(O101=0,0,999),O101/J101))</x:f>
      </x:c>
      <x:c r="Q101" t="str">
        <x:f>IF(COUNT(M101:N101)&lt;2,"",IF(AND(I101&gt;=M101,I101&lt;=N101,O101&lt;=J101),"PASS","FAIL"))</x:f>
      </x:c>
      <x:c r="R101" t="str"/>
      <x:c r="S101" t="str">
        <x:f>IF(R101=1,IF(Q101="PASS","PASS","FAIL"),"OPEN")</x:f>
        <x:v>OPEN</x:v>
      </x:c>
    </x:row>
    <x:row r="102">
      <x:c r="B102" t="str">
        <x:v>RAW-E096</x:v>
      </x:c>
      <x:c r="C102" t="str">
        <x:v>AM-01</x:v>
      </x:c>
      <x:c r="D102" t="str">
        <x:v>TR-B</x:v>
      </x:c>
      <x:c r="E102" t="str">
        <x:v>RFP-A2</x:v>
      </x:c>
      <x:c r="F102" t="str">
        <x:v>PTC-A</x:v>
      </x:c>
      <x:c r="G102" t="str">
        <x:v>QT-06</x:v>
      </x:c>
      <x:c r="H102" t="str">
        <x:v>RAW-V12</x:v>
      </x:c>
      <x:c r="I102" s="14" t="n">
        <x:f>'Reference Envelopes'!F18</x:f>
        <x:v>15</x:v>
      </x:c>
      <x:c r="J102" s="14" t="n">
        <x:f>'Reference Envelopes'!G18</x:f>
        <x:v>0.05</x:v>
      </x:c>
      <x:c r="K102" s="14" t="str">
        <x:f>IF(COUNT('Trial Register'!S102)=0,"",'Trial Register'!S102)</x:f>
      </x:c>
      <x:c r="L102" s="14" t="str">
        <x:f>IF(COUNT('Trial Register'!T102)=0,"",'Trial Register'!T102)</x:f>
      </x:c>
      <x:c r="M102" s="14" t="str">
        <x:f>IF(COUNT(K102:L102)&lt;2,"",K102-L102)</x:f>
      </x:c>
      <x:c r="N102" s="14" t="str">
        <x:f>IF(COUNT(K102:L102)&lt;2,"",K102+L102)</x:f>
      </x:c>
      <x:c r="O102" s="14" t="str">
        <x:f>IF(COUNT(K102)=0,"",ABS(K102-I102))</x:f>
      </x:c>
      <x:c r="P102" s="14" t="str">
        <x:f>IF(COUNT(O102)=0,"",IF(J102=0,IF(O102=0,0,999),O102/J102))</x:f>
      </x:c>
      <x:c r="Q102" t="str">
        <x:f>IF(COUNT(M102:N102)&lt;2,"",IF(AND(I102&gt;=M102,I102&lt;=N102,O102&lt;=J102),"PASS","FAIL"))</x:f>
      </x:c>
      <x:c r="R102" t="str"/>
      <x:c r="S102" t="str">
        <x:f>IF(R102=1,IF(Q102="PASS","PASS","FAIL"),"OPEN")</x:f>
        <x:v>OPEN</x:v>
      </x:c>
    </x:row>
    <x:row r="103">
      <x:c r="B103" t="str">
        <x:v>RAW-E097</x:v>
      </x:c>
      <x:c r="C103" t="str">
        <x:v>AM-01</x:v>
      </x:c>
      <x:c r="D103" t="str">
        <x:v>TR-A</x:v>
      </x:c>
      <x:c r="E103" t="str">
        <x:v>RFP-B1</x:v>
      </x:c>
      <x:c r="F103" t="str">
        <x:v>PTC-B</x:v>
      </x:c>
      <x:c r="G103" t="str">
        <x:v>QT-01</x:v>
      </x:c>
      <x:c r="H103" t="str">
        <x:v>RAW-V07</x:v>
      </x:c>
      <x:c r="I103" s="14" t="n">
        <x:f>'Reference Envelopes'!F13</x:f>
        <x:v>10</x:v>
      </x:c>
      <x:c r="J103" s="14" t="n">
        <x:f>'Reference Envelopes'!G13</x:f>
        <x:v>0.025</x:v>
      </x:c>
      <x:c r="K103" s="14" t="str">
        <x:f>IF(COUNT('Trial Register'!S103)=0,"",'Trial Register'!S103)</x:f>
      </x:c>
      <x:c r="L103" s="14" t="str">
        <x:f>IF(COUNT('Trial Register'!T103)=0,"",'Trial Register'!T103)</x:f>
      </x:c>
      <x:c r="M103" s="14" t="str">
        <x:f>IF(COUNT(K103:L103)&lt;2,"",K103-L103)</x:f>
      </x:c>
      <x:c r="N103" s="14" t="str">
        <x:f>IF(COUNT(K103:L103)&lt;2,"",K103+L103)</x:f>
      </x:c>
      <x:c r="O103" s="14" t="str">
        <x:f>IF(COUNT(K103)=0,"",ABS(K103-I103))</x:f>
      </x:c>
      <x:c r="P103" s="14" t="str">
        <x:f>IF(COUNT(O103)=0,"",IF(J103=0,IF(O103=0,0,999),O103/J103))</x:f>
      </x:c>
      <x:c r="Q103" t="str">
        <x:f>IF(COUNT(M103:N103)&lt;2,"",IF(AND(I103&gt;=M103,I103&lt;=N103,O103&lt;=J103),"PASS","FAIL"))</x:f>
      </x:c>
      <x:c r="R103" t="str"/>
      <x:c r="S103" t="str">
        <x:f>IF(R103=1,IF(Q103="PASS","PASS","FAIL"),"OPEN")</x:f>
        <x:v>OPEN</x:v>
      </x:c>
    </x:row>
    <x:row r="104">
      <x:c r="B104" t="str">
        <x:v>RAW-E098</x:v>
      </x:c>
      <x:c r="C104" t="str">
        <x:v>AM-01</x:v>
      </x:c>
      <x:c r="D104" t="str">
        <x:v>TR-A</x:v>
      </x:c>
      <x:c r="E104" t="str">
        <x:v>RFP-B1</x:v>
      </x:c>
      <x:c r="F104" t="str">
        <x:v>PTC-B</x:v>
      </x:c>
      <x:c r="G104" t="str">
        <x:v>QT-02</x:v>
      </x:c>
      <x:c r="H104" t="str">
        <x:v>RAW-V08</x:v>
      </x:c>
      <x:c r="I104" s="14" t="n">
        <x:f>'Reference Envelopes'!F14</x:f>
        <x:v>5</x:v>
      </x:c>
      <x:c r="J104" s="14" t="n">
        <x:f>'Reference Envelopes'!G14</x:f>
        <x:v>0.025</x:v>
      </x:c>
      <x:c r="K104" s="14" t="str">
        <x:f>IF(COUNT('Trial Register'!S104)=0,"",'Trial Register'!S104)</x:f>
      </x:c>
      <x:c r="L104" s="14" t="str">
        <x:f>IF(COUNT('Trial Register'!T104)=0,"",'Trial Register'!T104)</x:f>
      </x:c>
      <x:c r="M104" s="14" t="str">
        <x:f>IF(COUNT(K104:L104)&lt;2,"",K104-L104)</x:f>
      </x:c>
      <x:c r="N104" s="14" t="str">
        <x:f>IF(COUNT(K104:L104)&lt;2,"",K104+L104)</x:f>
      </x:c>
      <x:c r="O104" s="14" t="str">
        <x:f>IF(COUNT(K104)=0,"",ABS(K104-I104))</x:f>
      </x:c>
      <x:c r="P104" s="14" t="str">
        <x:f>IF(COUNT(O104)=0,"",IF(J104=0,IF(O104=0,0,999),O104/J104))</x:f>
      </x:c>
      <x:c r="Q104" t="str">
        <x:f>IF(COUNT(M104:N104)&lt;2,"",IF(AND(I104&gt;=M104,I104&lt;=N104,O104&lt;=J104),"PASS","FAIL"))</x:f>
      </x:c>
      <x:c r="R104" t="str"/>
      <x:c r="S104" t="str">
        <x:f>IF(R104=1,IF(Q104="PASS","PASS","FAIL"),"OPEN")</x:f>
        <x:v>OPEN</x:v>
      </x:c>
    </x:row>
    <x:row r="105">
      <x:c r="B105" t="str">
        <x:v>RAW-E099</x:v>
      </x:c>
      <x:c r="C105" t="str">
        <x:v>AM-01</x:v>
      </x:c>
      <x:c r="D105" t="str">
        <x:v>TR-A</x:v>
      </x:c>
      <x:c r="E105" t="str">
        <x:v>RFP-B1</x:v>
      </x:c>
      <x:c r="F105" t="str">
        <x:v>PTC-B</x:v>
      </x:c>
      <x:c r="G105" t="str">
        <x:v>QT-03</x:v>
      </x:c>
      <x:c r="H105" t="str">
        <x:v>RAW-V09</x:v>
      </x:c>
      <x:c r="I105" s="14" t="n">
        <x:f>'Reference Envelopes'!F15</x:f>
        <x:v>30</x:v>
      </x:c>
      <x:c r="J105" s="14" t="n">
        <x:f>'Reference Envelopes'!G15</x:f>
        <x:v>0.075</x:v>
      </x:c>
      <x:c r="K105" s="14" t="str">
        <x:f>IF(COUNT('Trial Register'!S105)=0,"",'Trial Register'!S105)</x:f>
      </x:c>
      <x:c r="L105" s="14" t="str">
        <x:f>IF(COUNT('Trial Register'!T105)=0,"",'Trial Register'!T105)</x:f>
      </x:c>
      <x:c r="M105" s="14" t="str">
        <x:f>IF(COUNT(K105:L105)&lt;2,"",K105-L105)</x:f>
      </x:c>
      <x:c r="N105" s="14" t="str">
        <x:f>IF(COUNT(K105:L105)&lt;2,"",K105+L105)</x:f>
      </x:c>
      <x:c r="O105" s="14" t="str">
        <x:f>IF(COUNT(K105)=0,"",ABS(K105-I105))</x:f>
      </x:c>
      <x:c r="P105" s="14" t="str">
        <x:f>IF(COUNT(O105)=0,"",IF(J105=0,IF(O105=0,0,999),O105/J105))</x:f>
      </x:c>
      <x:c r="Q105" t="str">
        <x:f>IF(COUNT(M105:N105)&lt;2,"",IF(AND(I105&gt;=M105,I105&lt;=N105,O105&lt;=J105),"PASS","FAIL"))</x:f>
      </x:c>
      <x:c r="R105" t="str"/>
      <x:c r="S105" t="str">
        <x:f>IF(R105=1,IF(Q105="PASS","PASS","FAIL"),"OPEN")</x:f>
        <x:v>OPEN</x:v>
      </x:c>
    </x:row>
    <x:row r="106">
      <x:c r="B106" t="str">
        <x:v>RAW-E100</x:v>
      </x:c>
      <x:c r="C106" t="str">
        <x:v>AM-01</x:v>
      </x:c>
      <x:c r="D106" t="str">
        <x:v>TR-A</x:v>
      </x:c>
      <x:c r="E106" t="str">
        <x:v>RFP-B1</x:v>
      </x:c>
      <x:c r="F106" t="str">
        <x:v>PTC-B</x:v>
      </x:c>
      <x:c r="G106" t="str">
        <x:v>QT-04</x:v>
      </x:c>
      <x:c r="H106" t="str">
        <x:v>RAW-V10</x:v>
      </x:c>
      <x:c r="I106" s="14" t="n">
        <x:f>'Reference Envelopes'!F16</x:f>
        <x:v>17.5</x:v>
      </x:c>
      <x:c r="J106" s="14" t="n">
        <x:f>'Reference Envelopes'!G16</x:f>
        <x:v>0.05</x:v>
      </x:c>
      <x:c r="K106" s="14" t="str">
        <x:f>IF(COUNT('Trial Register'!S106)=0,"",'Trial Register'!S106)</x:f>
      </x:c>
      <x:c r="L106" s="14" t="str">
        <x:f>IF(COUNT('Trial Register'!T106)=0,"",'Trial Register'!T106)</x:f>
      </x:c>
      <x:c r="M106" s="14" t="str">
        <x:f>IF(COUNT(K106:L106)&lt;2,"",K106-L106)</x:f>
      </x:c>
      <x:c r="N106" s="14" t="str">
        <x:f>IF(COUNT(K106:L106)&lt;2,"",K106+L106)</x:f>
      </x:c>
      <x:c r="O106" s="14" t="str">
        <x:f>IF(COUNT(K106)=0,"",ABS(K106-I106))</x:f>
      </x:c>
      <x:c r="P106" s="14" t="str">
        <x:f>IF(COUNT(O106)=0,"",IF(J106=0,IF(O106=0,0,999),O106/J106))</x:f>
      </x:c>
      <x:c r="Q106" t="str">
        <x:f>IF(COUNT(M106:N106)&lt;2,"",IF(AND(I106&gt;=M106,I106&lt;=N106,O106&lt;=J106),"PASS","FAIL"))</x:f>
      </x:c>
      <x:c r="R106" t="str"/>
      <x:c r="S106" t="str">
        <x:f>IF(R106=1,IF(Q106="PASS","PASS","FAIL"),"OPEN")</x:f>
        <x:v>OPEN</x:v>
      </x:c>
    </x:row>
    <x:row r="107">
      <x:c r="B107" t="str">
        <x:v>RAW-E101</x:v>
      </x:c>
      <x:c r="C107" t="str">
        <x:v>AM-01</x:v>
      </x:c>
      <x:c r="D107" t="str">
        <x:v>TR-A</x:v>
      </x:c>
      <x:c r="E107" t="str">
        <x:v>RFP-B1</x:v>
      </x:c>
      <x:c r="F107" t="str">
        <x:v>PTC-B</x:v>
      </x:c>
      <x:c r="G107" t="str">
        <x:v>QT-05</x:v>
      </x:c>
      <x:c r="H107" t="str">
        <x:v>RAW-V11</x:v>
      </x:c>
      <x:c r="I107" s="14" t="n">
        <x:f>'Reference Envelopes'!F17</x:f>
        <x:v>20</x:v>
      </x:c>
      <x:c r="J107" s="14" t="n">
        <x:f>'Reference Envelopes'!G17</x:f>
        <x:v>0.05</x:v>
      </x:c>
      <x:c r="K107" s="14" t="str">
        <x:f>IF(COUNT('Trial Register'!S107)=0,"",'Trial Register'!S107)</x:f>
      </x:c>
      <x:c r="L107" s="14" t="str">
        <x:f>IF(COUNT('Trial Register'!T107)=0,"",'Trial Register'!T107)</x:f>
      </x:c>
      <x:c r="M107" s="14" t="str">
        <x:f>IF(COUNT(K107:L107)&lt;2,"",K107-L107)</x:f>
      </x:c>
      <x:c r="N107" s="14" t="str">
        <x:f>IF(COUNT(K107:L107)&lt;2,"",K107+L107)</x:f>
      </x:c>
      <x:c r="O107" s="14" t="str">
        <x:f>IF(COUNT(K107)=0,"",ABS(K107-I107))</x:f>
      </x:c>
      <x:c r="P107" s="14" t="str">
        <x:f>IF(COUNT(O107)=0,"",IF(J107=0,IF(O107=0,0,999),O107/J107))</x:f>
      </x:c>
      <x:c r="Q107" t="str">
        <x:f>IF(COUNT(M107:N107)&lt;2,"",IF(AND(I107&gt;=M107,I107&lt;=N107,O107&lt;=J107),"PASS","FAIL"))</x:f>
      </x:c>
      <x:c r="R107" t="str"/>
      <x:c r="S107" t="str">
        <x:f>IF(R107=1,IF(Q107="PASS","PASS","FAIL"),"OPEN")</x:f>
        <x:v>OPEN</x:v>
      </x:c>
    </x:row>
    <x:row r="108">
      <x:c r="B108" t="str">
        <x:v>RAW-E102</x:v>
      </x:c>
      <x:c r="C108" t="str">
        <x:v>AM-01</x:v>
      </x:c>
      <x:c r="D108" t="str">
        <x:v>TR-A</x:v>
      </x:c>
      <x:c r="E108" t="str">
        <x:v>RFP-B1</x:v>
      </x:c>
      <x:c r="F108" t="str">
        <x:v>PTC-B</x:v>
      </x:c>
      <x:c r="G108" t="str">
        <x:v>QT-06</x:v>
      </x:c>
      <x:c r="H108" t="str">
        <x:v>RAW-V12</x:v>
      </x:c>
      <x:c r="I108" s="14" t="n">
        <x:f>'Reference Envelopes'!F18</x:f>
        <x:v>15</x:v>
      </x:c>
      <x:c r="J108" s="14" t="n">
        <x:f>'Reference Envelopes'!G18</x:f>
        <x:v>0.05</x:v>
      </x:c>
      <x:c r="K108" s="14" t="str">
        <x:f>IF(COUNT('Trial Register'!S108)=0,"",'Trial Register'!S108)</x:f>
      </x:c>
      <x:c r="L108" s="14" t="str">
        <x:f>IF(COUNT('Trial Register'!T108)=0,"",'Trial Register'!T108)</x:f>
      </x:c>
      <x:c r="M108" s="14" t="str">
        <x:f>IF(COUNT(K108:L108)&lt;2,"",K108-L108)</x:f>
      </x:c>
      <x:c r="N108" s="14" t="str">
        <x:f>IF(COUNT(K108:L108)&lt;2,"",K108+L108)</x:f>
      </x:c>
      <x:c r="O108" s="14" t="str">
        <x:f>IF(COUNT(K108)=0,"",ABS(K108-I108))</x:f>
      </x:c>
      <x:c r="P108" s="14" t="str">
        <x:f>IF(COUNT(O108)=0,"",IF(J108=0,IF(O108=0,0,999),O108/J108))</x:f>
      </x:c>
      <x:c r="Q108" t="str">
        <x:f>IF(COUNT(M108:N108)&lt;2,"",IF(AND(I108&gt;=M108,I108&lt;=N108,O108&lt;=J108),"PASS","FAIL"))</x:f>
      </x:c>
      <x:c r="R108" t="str"/>
      <x:c r="S108" t="str">
        <x:f>IF(R108=1,IF(Q108="PASS","PASS","FAIL"),"OPEN")</x:f>
        <x:v>OPEN</x:v>
      </x:c>
    </x:row>
    <x:row r="109">
      <x:c r="B109" t="str">
        <x:v>RAW-E103</x:v>
      </x:c>
      <x:c r="C109" t="str">
        <x:v>AM-01</x:v>
      </x:c>
      <x:c r="D109" t="str">
        <x:v>TR-B</x:v>
      </x:c>
      <x:c r="E109" t="str">
        <x:v>RFP-B1</x:v>
      </x:c>
      <x:c r="F109" t="str">
        <x:v>PTC-B</x:v>
      </x:c>
      <x:c r="G109" t="str">
        <x:v>QT-01</x:v>
      </x:c>
      <x:c r="H109" t="str">
        <x:v>RAW-V07</x:v>
      </x:c>
      <x:c r="I109" s="14" t="n">
        <x:f>'Reference Envelopes'!F13</x:f>
        <x:v>10</x:v>
      </x:c>
      <x:c r="J109" s="14" t="n">
        <x:f>'Reference Envelopes'!G13</x:f>
        <x:v>0.025</x:v>
      </x:c>
      <x:c r="K109" s="14" t="str">
        <x:f>IF(COUNT('Trial Register'!S109)=0,"",'Trial Register'!S109)</x:f>
      </x:c>
      <x:c r="L109" s="14" t="str">
        <x:f>IF(COUNT('Trial Register'!T109)=0,"",'Trial Register'!T109)</x:f>
      </x:c>
      <x:c r="M109" s="14" t="str">
        <x:f>IF(COUNT(K109:L109)&lt;2,"",K109-L109)</x:f>
      </x:c>
      <x:c r="N109" s="14" t="str">
        <x:f>IF(COUNT(K109:L109)&lt;2,"",K109+L109)</x:f>
      </x:c>
      <x:c r="O109" s="14" t="str">
        <x:f>IF(COUNT(K109)=0,"",ABS(K109-I109))</x:f>
      </x:c>
      <x:c r="P109" s="14" t="str">
        <x:f>IF(COUNT(O109)=0,"",IF(J109=0,IF(O109=0,0,999),O109/J109))</x:f>
      </x:c>
      <x:c r="Q109" t="str">
        <x:f>IF(COUNT(M109:N109)&lt;2,"",IF(AND(I109&gt;=M109,I109&lt;=N109,O109&lt;=J109),"PASS","FAIL"))</x:f>
      </x:c>
      <x:c r="R109" t="str"/>
      <x:c r="S109" t="str">
        <x:f>IF(R109=1,IF(Q109="PASS","PASS","FAIL"),"OPEN")</x:f>
        <x:v>OPEN</x:v>
      </x:c>
    </x:row>
    <x:row r="110">
      <x:c r="B110" t="str">
        <x:v>RAW-E104</x:v>
      </x:c>
      <x:c r="C110" t="str">
        <x:v>AM-01</x:v>
      </x:c>
      <x:c r="D110" t="str">
        <x:v>TR-B</x:v>
      </x:c>
      <x:c r="E110" t="str">
        <x:v>RFP-B1</x:v>
      </x:c>
      <x:c r="F110" t="str">
        <x:v>PTC-B</x:v>
      </x:c>
      <x:c r="G110" t="str">
        <x:v>QT-02</x:v>
      </x:c>
      <x:c r="H110" t="str">
        <x:v>RAW-V08</x:v>
      </x:c>
      <x:c r="I110" s="14" t="n">
        <x:f>'Reference Envelopes'!F14</x:f>
        <x:v>5</x:v>
      </x:c>
      <x:c r="J110" s="14" t="n">
        <x:f>'Reference Envelopes'!G14</x:f>
        <x:v>0.025</x:v>
      </x:c>
      <x:c r="K110" s="14" t="str">
        <x:f>IF(COUNT('Trial Register'!S110)=0,"",'Trial Register'!S110)</x:f>
      </x:c>
      <x:c r="L110" s="14" t="str">
        <x:f>IF(COUNT('Trial Register'!T110)=0,"",'Trial Register'!T110)</x:f>
      </x:c>
      <x:c r="M110" s="14" t="str">
        <x:f>IF(COUNT(K110:L110)&lt;2,"",K110-L110)</x:f>
      </x:c>
      <x:c r="N110" s="14" t="str">
        <x:f>IF(COUNT(K110:L110)&lt;2,"",K110+L110)</x:f>
      </x:c>
      <x:c r="O110" s="14" t="str">
        <x:f>IF(COUNT(K110)=0,"",ABS(K110-I110))</x:f>
      </x:c>
      <x:c r="P110" s="14" t="str">
        <x:f>IF(COUNT(O110)=0,"",IF(J110=0,IF(O110=0,0,999),O110/J110))</x:f>
      </x:c>
      <x:c r="Q110" t="str">
        <x:f>IF(COUNT(M110:N110)&lt;2,"",IF(AND(I110&gt;=M110,I110&lt;=N110,O110&lt;=J110),"PASS","FAIL"))</x:f>
      </x:c>
      <x:c r="R110" t="str"/>
      <x:c r="S110" t="str">
        <x:f>IF(R110=1,IF(Q110="PASS","PASS","FAIL"),"OPEN")</x:f>
        <x:v>OPEN</x:v>
      </x:c>
    </x:row>
    <x:row r="111">
      <x:c r="B111" t="str">
        <x:v>RAW-E105</x:v>
      </x:c>
      <x:c r="C111" t="str">
        <x:v>AM-01</x:v>
      </x:c>
      <x:c r="D111" t="str">
        <x:v>TR-B</x:v>
      </x:c>
      <x:c r="E111" t="str">
        <x:v>RFP-B1</x:v>
      </x:c>
      <x:c r="F111" t="str">
        <x:v>PTC-B</x:v>
      </x:c>
      <x:c r="G111" t="str">
        <x:v>QT-03</x:v>
      </x:c>
      <x:c r="H111" t="str">
        <x:v>RAW-V09</x:v>
      </x:c>
      <x:c r="I111" s="14" t="n">
        <x:f>'Reference Envelopes'!F15</x:f>
        <x:v>30</x:v>
      </x:c>
      <x:c r="J111" s="14" t="n">
        <x:f>'Reference Envelopes'!G15</x:f>
        <x:v>0.075</x:v>
      </x:c>
      <x:c r="K111" s="14" t="str">
        <x:f>IF(COUNT('Trial Register'!S111)=0,"",'Trial Register'!S111)</x:f>
      </x:c>
      <x:c r="L111" s="14" t="str">
        <x:f>IF(COUNT('Trial Register'!T111)=0,"",'Trial Register'!T111)</x:f>
      </x:c>
      <x:c r="M111" s="14" t="str">
        <x:f>IF(COUNT(K111:L111)&lt;2,"",K111-L111)</x:f>
      </x:c>
      <x:c r="N111" s="14" t="str">
        <x:f>IF(COUNT(K111:L111)&lt;2,"",K111+L111)</x:f>
      </x:c>
      <x:c r="O111" s="14" t="str">
        <x:f>IF(COUNT(K111)=0,"",ABS(K111-I111))</x:f>
      </x:c>
      <x:c r="P111" s="14" t="str">
        <x:f>IF(COUNT(O111)=0,"",IF(J111=0,IF(O111=0,0,999),O111/J111))</x:f>
      </x:c>
      <x:c r="Q111" t="str">
        <x:f>IF(COUNT(M111:N111)&lt;2,"",IF(AND(I111&gt;=M111,I111&lt;=N111,O111&lt;=J111),"PASS","FAIL"))</x:f>
      </x:c>
      <x:c r="R111" t="str"/>
      <x:c r="S111" t="str">
        <x:f>IF(R111=1,IF(Q111="PASS","PASS","FAIL"),"OPEN")</x:f>
        <x:v>OPEN</x:v>
      </x:c>
    </x:row>
    <x:row r="112">
      <x:c r="B112" t="str">
        <x:v>RAW-E106</x:v>
      </x:c>
      <x:c r="C112" t="str">
        <x:v>AM-01</x:v>
      </x:c>
      <x:c r="D112" t="str">
        <x:v>TR-B</x:v>
      </x:c>
      <x:c r="E112" t="str">
        <x:v>RFP-B1</x:v>
      </x:c>
      <x:c r="F112" t="str">
        <x:v>PTC-B</x:v>
      </x:c>
      <x:c r="G112" t="str">
        <x:v>QT-04</x:v>
      </x:c>
      <x:c r="H112" t="str">
        <x:v>RAW-V10</x:v>
      </x:c>
      <x:c r="I112" s="14" t="n">
        <x:f>'Reference Envelopes'!F16</x:f>
        <x:v>17.5</x:v>
      </x:c>
      <x:c r="J112" s="14" t="n">
        <x:f>'Reference Envelopes'!G16</x:f>
        <x:v>0.05</x:v>
      </x:c>
      <x:c r="K112" s="14" t="str">
        <x:f>IF(COUNT('Trial Register'!S112)=0,"",'Trial Register'!S112)</x:f>
      </x:c>
      <x:c r="L112" s="14" t="str">
        <x:f>IF(COUNT('Trial Register'!T112)=0,"",'Trial Register'!T112)</x:f>
      </x:c>
      <x:c r="M112" s="14" t="str">
        <x:f>IF(COUNT(K112:L112)&lt;2,"",K112-L112)</x:f>
      </x:c>
      <x:c r="N112" s="14" t="str">
        <x:f>IF(COUNT(K112:L112)&lt;2,"",K112+L112)</x:f>
      </x:c>
      <x:c r="O112" s="14" t="str">
        <x:f>IF(COUNT(K112)=0,"",ABS(K112-I112))</x:f>
      </x:c>
      <x:c r="P112" s="14" t="str">
        <x:f>IF(COUNT(O112)=0,"",IF(J112=0,IF(O112=0,0,999),O112/J112))</x:f>
      </x:c>
      <x:c r="Q112" t="str">
        <x:f>IF(COUNT(M112:N112)&lt;2,"",IF(AND(I112&gt;=M112,I112&lt;=N112,O112&lt;=J112),"PASS","FAIL"))</x:f>
      </x:c>
      <x:c r="R112" t="str"/>
      <x:c r="S112" t="str">
        <x:f>IF(R112=1,IF(Q112="PASS","PASS","FAIL"),"OPEN")</x:f>
        <x:v>OPEN</x:v>
      </x:c>
    </x:row>
    <x:row r="113">
      <x:c r="B113" t="str">
        <x:v>RAW-E107</x:v>
      </x:c>
      <x:c r="C113" t="str">
        <x:v>AM-01</x:v>
      </x:c>
      <x:c r="D113" t="str">
        <x:v>TR-B</x:v>
      </x:c>
      <x:c r="E113" t="str">
        <x:v>RFP-B1</x:v>
      </x:c>
      <x:c r="F113" t="str">
        <x:v>PTC-B</x:v>
      </x:c>
      <x:c r="G113" t="str">
        <x:v>QT-05</x:v>
      </x:c>
      <x:c r="H113" t="str">
        <x:v>RAW-V11</x:v>
      </x:c>
      <x:c r="I113" s="14" t="n">
        <x:f>'Reference Envelopes'!F17</x:f>
        <x:v>20</x:v>
      </x:c>
      <x:c r="J113" s="14" t="n">
        <x:f>'Reference Envelopes'!G17</x:f>
        <x:v>0.05</x:v>
      </x:c>
      <x:c r="K113" s="14" t="str">
        <x:f>IF(COUNT('Trial Register'!S113)=0,"",'Trial Register'!S113)</x:f>
      </x:c>
      <x:c r="L113" s="14" t="str">
        <x:f>IF(COUNT('Trial Register'!T113)=0,"",'Trial Register'!T113)</x:f>
      </x:c>
      <x:c r="M113" s="14" t="str">
        <x:f>IF(COUNT(K113:L113)&lt;2,"",K113-L113)</x:f>
      </x:c>
      <x:c r="N113" s="14" t="str">
        <x:f>IF(COUNT(K113:L113)&lt;2,"",K113+L113)</x:f>
      </x:c>
      <x:c r="O113" s="14" t="str">
        <x:f>IF(COUNT(K113)=0,"",ABS(K113-I113))</x:f>
      </x:c>
      <x:c r="P113" s="14" t="str">
        <x:f>IF(COUNT(O113)=0,"",IF(J113=0,IF(O113=0,0,999),O113/J113))</x:f>
      </x:c>
      <x:c r="Q113" t="str">
        <x:f>IF(COUNT(M113:N113)&lt;2,"",IF(AND(I113&gt;=M113,I113&lt;=N113,O113&lt;=J113),"PASS","FAIL"))</x:f>
      </x:c>
      <x:c r="R113" t="str"/>
      <x:c r="S113" t="str">
        <x:f>IF(R113=1,IF(Q113="PASS","PASS","FAIL"),"OPEN")</x:f>
        <x:v>OPEN</x:v>
      </x:c>
    </x:row>
    <x:row r="114">
      <x:c r="B114" t="str">
        <x:v>RAW-E108</x:v>
      </x:c>
      <x:c r="C114" t="str">
        <x:v>AM-01</x:v>
      </x:c>
      <x:c r="D114" t="str">
        <x:v>TR-B</x:v>
      </x:c>
      <x:c r="E114" t="str">
        <x:v>RFP-B1</x:v>
      </x:c>
      <x:c r="F114" t="str">
        <x:v>PTC-B</x:v>
      </x:c>
      <x:c r="G114" t="str">
        <x:v>QT-06</x:v>
      </x:c>
      <x:c r="H114" t="str">
        <x:v>RAW-V12</x:v>
      </x:c>
      <x:c r="I114" s="14" t="n">
        <x:f>'Reference Envelopes'!F18</x:f>
        <x:v>15</x:v>
      </x:c>
      <x:c r="J114" s="14" t="n">
        <x:f>'Reference Envelopes'!G18</x:f>
        <x:v>0.05</x:v>
      </x:c>
      <x:c r="K114" s="14" t="str">
        <x:f>IF(COUNT('Trial Register'!S114)=0,"",'Trial Register'!S114)</x:f>
      </x:c>
      <x:c r="L114" s="14" t="str">
        <x:f>IF(COUNT('Trial Register'!T114)=0,"",'Trial Register'!T114)</x:f>
      </x:c>
      <x:c r="M114" s="14" t="str">
        <x:f>IF(COUNT(K114:L114)&lt;2,"",K114-L114)</x:f>
      </x:c>
      <x:c r="N114" s="14" t="str">
        <x:f>IF(COUNT(K114:L114)&lt;2,"",K114+L114)</x:f>
      </x:c>
      <x:c r="O114" s="14" t="str">
        <x:f>IF(COUNT(K114)=0,"",ABS(K114-I114))</x:f>
      </x:c>
      <x:c r="P114" s="14" t="str">
        <x:f>IF(COUNT(O114)=0,"",IF(J114=0,IF(O114=0,0,999),O114/J114))</x:f>
      </x:c>
      <x:c r="Q114" t="str">
        <x:f>IF(COUNT(M114:N114)&lt;2,"",IF(AND(I114&gt;=M114,I114&lt;=N114,O114&lt;=J114),"PASS","FAIL"))</x:f>
      </x:c>
      <x:c r="R114" t="str"/>
      <x:c r="S114" t="str">
        <x:f>IF(R114=1,IF(Q114="PASS","PASS","FAIL"),"OPEN")</x:f>
        <x:v>OPEN</x:v>
      </x:c>
    </x:row>
    <x:row r="115">
      <x:c r="B115" t="str">
        <x:v>RAW-E109</x:v>
      </x:c>
      <x:c r="C115" t="str">
        <x:v>AM-01</x:v>
      </x:c>
      <x:c r="D115" t="str">
        <x:v>TR-A</x:v>
      </x:c>
      <x:c r="E115" t="str">
        <x:v>RFP-B2</x:v>
      </x:c>
      <x:c r="F115" t="str">
        <x:v>PTC-B</x:v>
      </x:c>
      <x:c r="G115" t="str">
        <x:v>QT-01</x:v>
      </x:c>
      <x:c r="H115" t="str">
        <x:v>RAW-V07</x:v>
      </x:c>
      <x:c r="I115" s="14" t="n">
        <x:f>'Reference Envelopes'!F13</x:f>
        <x:v>10</x:v>
      </x:c>
      <x:c r="J115" s="14" t="n">
        <x:f>'Reference Envelopes'!G13</x:f>
        <x:v>0.025</x:v>
      </x:c>
      <x:c r="K115" s="14" t="str">
        <x:f>IF(COUNT('Trial Register'!S115)=0,"",'Trial Register'!S115)</x:f>
      </x:c>
      <x:c r="L115" s="14" t="str">
        <x:f>IF(COUNT('Trial Register'!T115)=0,"",'Trial Register'!T115)</x:f>
      </x:c>
      <x:c r="M115" s="14" t="str">
        <x:f>IF(COUNT(K115:L115)&lt;2,"",K115-L115)</x:f>
      </x:c>
      <x:c r="N115" s="14" t="str">
        <x:f>IF(COUNT(K115:L115)&lt;2,"",K115+L115)</x:f>
      </x:c>
      <x:c r="O115" s="14" t="str">
        <x:f>IF(COUNT(K115)=0,"",ABS(K115-I115))</x:f>
      </x:c>
      <x:c r="P115" s="14" t="str">
        <x:f>IF(COUNT(O115)=0,"",IF(J115=0,IF(O115=0,0,999),O115/J115))</x:f>
      </x:c>
      <x:c r="Q115" t="str">
        <x:f>IF(COUNT(M115:N115)&lt;2,"",IF(AND(I115&gt;=M115,I115&lt;=N115,O115&lt;=J115),"PASS","FAIL"))</x:f>
      </x:c>
      <x:c r="R115" t="str"/>
      <x:c r="S115" t="str">
        <x:f>IF(R115=1,IF(Q115="PASS","PASS","FAIL"),"OPEN")</x:f>
        <x:v>OPEN</x:v>
      </x:c>
    </x:row>
    <x:row r="116">
      <x:c r="B116" t="str">
        <x:v>RAW-E110</x:v>
      </x:c>
      <x:c r="C116" t="str">
        <x:v>AM-01</x:v>
      </x:c>
      <x:c r="D116" t="str">
        <x:v>TR-A</x:v>
      </x:c>
      <x:c r="E116" t="str">
        <x:v>RFP-B2</x:v>
      </x:c>
      <x:c r="F116" t="str">
        <x:v>PTC-B</x:v>
      </x:c>
      <x:c r="G116" t="str">
        <x:v>QT-02</x:v>
      </x:c>
      <x:c r="H116" t="str">
        <x:v>RAW-V08</x:v>
      </x:c>
      <x:c r="I116" s="14" t="n">
        <x:f>'Reference Envelopes'!F14</x:f>
        <x:v>5</x:v>
      </x:c>
      <x:c r="J116" s="14" t="n">
        <x:f>'Reference Envelopes'!G14</x:f>
        <x:v>0.025</x:v>
      </x:c>
      <x:c r="K116" s="14" t="str">
        <x:f>IF(COUNT('Trial Register'!S116)=0,"",'Trial Register'!S116)</x:f>
      </x:c>
      <x:c r="L116" s="14" t="str">
        <x:f>IF(COUNT('Trial Register'!T116)=0,"",'Trial Register'!T116)</x:f>
      </x:c>
      <x:c r="M116" s="14" t="str">
        <x:f>IF(COUNT(K116:L116)&lt;2,"",K116-L116)</x:f>
      </x:c>
      <x:c r="N116" s="14" t="str">
        <x:f>IF(COUNT(K116:L116)&lt;2,"",K116+L116)</x:f>
      </x:c>
      <x:c r="O116" s="14" t="str">
        <x:f>IF(COUNT(K116)=0,"",ABS(K116-I116))</x:f>
      </x:c>
      <x:c r="P116" s="14" t="str">
        <x:f>IF(COUNT(O116)=0,"",IF(J116=0,IF(O116=0,0,999),O116/J116))</x:f>
      </x:c>
      <x:c r="Q116" t="str">
        <x:f>IF(COUNT(M116:N116)&lt;2,"",IF(AND(I116&gt;=M116,I116&lt;=N116,O116&lt;=J116),"PASS","FAIL"))</x:f>
      </x:c>
      <x:c r="R116" t="str"/>
      <x:c r="S116" t="str">
        <x:f>IF(R116=1,IF(Q116="PASS","PASS","FAIL"),"OPEN")</x:f>
        <x:v>OPEN</x:v>
      </x:c>
    </x:row>
    <x:row r="117">
      <x:c r="B117" t="str">
        <x:v>RAW-E111</x:v>
      </x:c>
      <x:c r="C117" t="str">
        <x:v>AM-01</x:v>
      </x:c>
      <x:c r="D117" t="str">
        <x:v>TR-A</x:v>
      </x:c>
      <x:c r="E117" t="str">
        <x:v>RFP-B2</x:v>
      </x:c>
      <x:c r="F117" t="str">
        <x:v>PTC-B</x:v>
      </x:c>
      <x:c r="G117" t="str">
        <x:v>QT-03</x:v>
      </x:c>
      <x:c r="H117" t="str">
        <x:v>RAW-V09</x:v>
      </x:c>
      <x:c r="I117" s="14" t="n">
        <x:f>'Reference Envelopes'!F15</x:f>
        <x:v>30</x:v>
      </x:c>
      <x:c r="J117" s="14" t="n">
        <x:f>'Reference Envelopes'!G15</x:f>
        <x:v>0.075</x:v>
      </x:c>
      <x:c r="K117" s="14" t="str">
        <x:f>IF(COUNT('Trial Register'!S117)=0,"",'Trial Register'!S117)</x:f>
      </x:c>
      <x:c r="L117" s="14" t="str">
        <x:f>IF(COUNT('Trial Register'!T117)=0,"",'Trial Register'!T117)</x:f>
      </x:c>
      <x:c r="M117" s="14" t="str">
        <x:f>IF(COUNT(K117:L117)&lt;2,"",K117-L117)</x:f>
      </x:c>
      <x:c r="N117" s="14" t="str">
        <x:f>IF(COUNT(K117:L117)&lt;2,"",K117+L117)</x:f>
      </x:c>
      <x:c r="O117" s="14" t="str">
        <x:f>IF(COUNT(K117)=0,"",ABS(K117-I117))</x:f>
      </x:c>
      <x:c r="P117" s="14" t="str">
        <x:f>IF(COUNT(O117)=0,"",IF(J117=0,IF(O117=0,0,999),O117/J117))</x:f>
      </x:c>
      <x:c r="Q117" t="str">
        <x:f>IF(COUNT(M117:N117)&lt;2,"",IF(AND(I117&gt;=M117,I117&lt;=N117,O117&lt;=J117),"PASS","FAIL"))</x:f>
      </x:c>
      <x:c r="R117" t="str"/>
      <x:c r="S117" t="str">
        <x:f>IF(R117=1,IF(Q117="PASS","PASS","FAIL"),"OPEN")</x:f>
        <x:v>OPEN</x:v>
      </x:c>
    </x:row>
    <x:row r="118">
      <x:c r="B118" t="str">
        <x:v>RAW-E112</x:v>
      </x:c>
      <x:c r="C118" t="str">
        <x:v>AM-01</x:v>
      </x:c>
      <x:c r="D118" t="str">
        <x:v>TR-A</x:v>
      </x:c>
      <x:c r="E118" t="str">
        <x:v>RFP-B2</x:v>
      </x:c>
      <x:c r="F118" t="str">
        <x:v>PTC-B</x:v>
      </x:c>
      <x:c r="G118" t="str">
        <x:v>QT-04</x:v>
      </x:c>
      <x:c r="H118" t="str">
        <x:v>RAW-V10</x:v>
      </x:c>
      <x:c r="I118" s="14" t="n">
        <x:f>'Reference Envelopes'!F16</x:f>
        <x:v>17.5</x:v>
      </x:c>
      <x:c r="J118" s="14" t="n">
        <x:f>'Reference Envelopes'!G16</x:f>
        <x:v>0.05</x:v>
      </x:c>
      <x:c r="K118" s="14" t="str">
        <x:f>IF(COUNT('Trial Register'!S118)=0,"",'Trial Register'!S118)</x:f>
      </x:c>
      <x:c r="L118" s="14" t="str">
        <x:f>IF(COUNT('Trial Register'!T118)=0,"",'Trial Register'!T118)</x:f>
      </x:c>
      <x:c r="M118" s="14" t="str">
        <x:f>IF(COUNT(K118:L118)&lt;2,"",K118-L118)</x:f>
      </x:c>
      <x:c r="N118" s="14" t="str">
        <x:f>IF(COUNT(K118:L118)&lt;2,"",K118+L118)</x:f>
      </x:c>
      <x:c r="O118" s="14" t="str">
        <x:f>IF(COUNT(K118)=0,"",ABS(K118-I118))</x:f>
      </x:c>
      <x:c r="P118" s="14" t="str">
        <x:f>IF(COUNT(O118)=0,"",IF(J118=0,IF(O118=0,0,999),O118/J118))</x:f>
      </x:c>
      <x:c r="Q118" t="str">
        <x:f>IF(COUNT(M118:N118)&lt;2,"",IF(AND(I118&gt;=M118,I118&lt;=N118,O118&lt;=J118),"PASS","FAIL"))</x:f>
      </x:c>
      <x:c r="R118" t="str"/>
      <x:c r="S118" t="str">
        <x:f>IF(R118=1,IF(Q118="PASS","PASS","FAIL"),"OPEN")</x:f>
        <x:v>OPEN</x:v>
      </x:c>
    </x:row>
    <x:row r="119">
      <x:c r="B119" t="str">
        <x:v>RAW-E113</x:v>
      </x:c>
      <x:c r="C119" t="str">
        <x:v>AM-01</x:v>
      </x:c>
      <x:c r="D119" t="str">
        <x:v>TR-A</x:v>
      </x:c>
      <x:c r="E119" t="str">
        <x:v>RFP-B2</x:v>
      </x:c>
      <x:c r="F119" t="str">
        <x:v>PTC-B</x:v>
      </x:c>
      <x:c r="G119" t="str">
        <x:v>QT-05</x:v>
      </x:c>
      <x:c r="H119" t="str">
        <x:v>RAW-V11</x:v>
      </x:c>
      <x:c r="I119" s="14" t="n">
        <x:f>'Reference Envelopes'!F17</x:f>
        <x:v>20</x:v>
      </x:c>
      <x:c r="J119" s="14" t="n">
        <x:f>'Reference Envelopes'!G17</x:f>
        <x:v>0.05</x:v>
      </x:c>
      <x:c r="K119" s="14" t="str">
        <x:f>IF(COUNT('Trial Register'!S119)=0,"",'Trial Register'!S119)</x:f>
      </x:c>
      <x:c r="L119" s="14" t="str">
        <x:f>IF(COUNT('Trial Register'!T119)=0,"",'Trial Register'!T119)</x:f>
      </x:c>
      <x:c r="M119" s="14" t="str">
        <x:f>IF(COUNT(K119:L119)&lt;2,"",K119-L119)</x:f>
      </x:c>
      <x:c r="N119" s="14" t="str">
        <x:f>IF(COUNT(K119:L119)&lt;2,"",K119+L119)</x:f>
      </x:c>
      <x:c r="O119" s="14" t="str">
        <x:f>IF(COUNT(K119)=0,"",ABS(K119-I119))</x:f>
      </x:c>
      <x:c r="P119" s="14" t="str">
        <x:f>IF(COUNT(O119)=0,"",IF(J119=0,IF(O119=0,0,999),O119/J119))</x:f>
      </x:c>
      <x:c r="Q119" t="str">
        <x:f>IF(COUNT(M119:N119)&lt;2,"",IF(AND(I119&gt;=M119,I119&lt;=N119,O119&lt;=J119),"PASS","FAIL"))</x:f>
      </x:c>
      <x:c r="R119" t="str"/>
      <x:c r="S119" t="str">
        <x:f>IF(R119=1,IF(Q119="PASS","PASS","FAIL"),"OPEN")</x:f>
        <x:v>OPEN</x:v>
      </x:c>
    </x:row>
    <x:row r="120">
      <x:c r="B120" t="str">
        <x:v>RAW-E114</x:v>
      </x:c>
      <x:c r="C120" t="str">
        <x:v>AM-01</x:v>
      </x:c>
      <x:c r="D120" t="str">
        <x:v>TR-A</x:v>
      </x:c>
      <x:c r="E120" t="str">
        <x:v>RFP-B2</x:v>
      </x:c>
      <x:c r="F120" t="str">
        <x:v>PTC-B</x:v>
      </x:c>
      <x:c r="G120" t="str">
        <x:v>QT-06</x:v>
      </x:c>
      <x:c r="H120" t="str">
        <x:v>RAW-V12</x:v>
      </x:c>
      <x:c r="I120" s="14" t="n">
        <x:f>'Reference Envelopes'!F18</x:f>
        <x:v>15</x:v>
      </x:c>
      <x:c r="J120" s="14" t="n">
        <x:f>'Reference Envelopes'!G18</x:f>
        <x:v>0.05</x:v>
      </x:c>
      <x:c r="K120" s="14" t="str">
        <x:f>IF(COUNT('Trial Register'!S120)=0,"",'Trial Register'!S120)</x:f>
      </x:c>
      <x:c r="L120" s="14" t="str">
        <x:f>IF(COUNT('Trial Register'!T120)=0,"",'Trial Register'!T120)</x:f>
      </x:c>
      <x:c r="M120" s="14" t="str">
        <x:f>IF(COUNT(K120:L120)&lt;2,"",K120-L120)</x:f>
      </x:c>
      <x:c r="N120" s="14" t="str">
        <x:f>IF(COUNT(K120:L120)&lt;2,"",K120+L120)</x:f>
      </x:c>
      <x:c r="O120" s="14" t="str">
        <x:f>IF(COUNT(K120)=0,"",ABS(K120-I120))</x:f>
      </x:c>
      <x:c r="P120" s="14" t="str">
        <x:f>IF(COUNT(O120)=0,"",IF(J120=0,IF(O120=0,0,999),O120/J120))</x:f>
      </x:c>
      <x:c r="Q120" t="str">
        <x:f>IF(COUNT(M120:N120)&lt;2,"",IF(AND(I120&gt;=M120,I120&lt;=N120,O120&lt;=J120),"PASS","FAIL"))</x:f>
      </x:c>
      <x:c r="R120" t="str"/>
      <x:c r="S120" t="str">
        <x:f>IF(R120=1,IF(Q120="PASS","PASS","FAIL"),"OPEN")</x:f>
        <x:v>OPEN</x:v>
      </x:c>
    </x:row>
    <x:row r="121">
      <x:c r="B121" t="str">
        <x:v>RAW-E115</x:v>
      </x:c>
      <x:c r="C121" t="str">
        <x:v>AM-01</x:v>
      </x:c>
      <x:c r="D121" t="str">
        <x:v>TR-B</x:v>
      </x:c>
      <x:c r="E121" t="str">
        <x:v>RFP-B2</x:v>
      </x:c>
      <x:c r="F121" t="str">
        <x:v>PTC-B</x:v>
      </x:c>
      <x:c r="G121" t="str">
        <x:v>QT-01</x:v>
      </x:c>
      <x:c r="H121" t="str">
        <x:v>RAW-V07</x:v>
      </x:c>
      <x:c r="I121" s="14" t="n">
        <x:f>'Reference Envelopes'!F13</x:f>
        <x:v>10</x:v>
      </x:c>
      <x:c r="J121" s="14" t="n">
        <x:f>'Reference Envelopes'!G13</x:f>
        <x:v>0.025</x:v>
      </x:c>
      <x:c r="K121" s="14" t="str">
        <x:f>IF(COUNT('Trial Register'!S121)=0,"",'Trial Register'!S121)</x:f>
      </x:c>
      <x:c r="L121" s="14" t="str">
        <x:f>IF(COUNT('Trial Register'!T121)=0,"",'Trial Register'!T121)</x:f>
      </x:c>
      <x:c r="M121" s="14" t="str">
        <x:f>IF(COUNT(K121:L121)&lt;2,"",K121-L121)</x:f>
      </x:c>
      <x:c r="N121" s="14" t="str">
        <x:f>IF(COUNT(K121:L121)&lt;2,"",K121+L121)</x:f>
      </x:c>
      <x:c r="O121" s="14" t="str">
        <x:f>IF(COUNT(K121)=0,"",ABS(K121-I121))</x:f>
      </x:c>
      <x:c r="P121" s="14" t="str">
        <x:f>IF(COUNT(O121)=0,"",IF(J121=0,IF(O121=0,0,999),O121/J121))</x:f>
      </x:c>
      <x:c r="Q121" t="str">
        <x:f>IF(COUNT(M121:N121)&lt;2,"",IF(AND(I121&gt;=M121,I121&lt;=N121,O121&lt;=J121),"PASS","FAIL"))</x:f>
      </x:c>
      <x:c r="R121" t="str"/>
      <x:c r="S121" t="str">
        <x:f>IF(R121=1,IF(Q121="PASS","PASS","FAIL"),"OPEN")</x:f>
        <x:v>OPEN</x:v>
      </x:c>
    </x:row>
    <x:row r="122">
      <x:c r="B122" t="str">
        <x:v>RAW-E116</x:v>
      </x:c>
      <x:c r="C122" t="str">
        <x:v>AM-01</x:v>
      </x:c>
      <x:c r="D122" t="str">
        <x:v>TR-B</x:v>
      </x:c>
      <x:c r="E122" t="str">
        <x:v>RFP-B2</x:v>
      </x:c>
      <x:c r="F122" t="str">
        <x:v>PTC-B</x:v>
      </x:c>
      <x:c r="G122" t="str">
        <x:v>QT-02</x:v>
      </x:c>
      <x:c r="H122" t="str">
        <x:v>RAW-V08</x:v>
      </x:c>
      <x:c r="I122" s="14" t="n">
        <x:f>'Reference Envelopes'!F14</x:f>
        <x:v>5</x:v>
      </x:c>
      <x:c r="J122" s="14" t="n">
        <x:f>'Reference Envelopes'!G14</x:f>
        <x:v>0.025</x:v>
      </x:c>
      <x:c r="K122" s="14" t="str">
        <x:f>IF(COUNT('Trial Register'!S122)=0,"",'Trial Register'!S122)</x:f>
      </x:c>
      <x:c r="L122" s="14" t="str">
        <x:f>IF(COUNT('Trial Register'!T122)=0,"",'Trial Register'!T122)</x:f>
      </x:c>
      <x:c r="M122" s="14" t="str">
        <x:f>IF(COUNT(K122:L122)&lt;2,"",K122-L122)</x:f>
      </x:c>
      <x:c r="N122" s="14" t="str">
        <x:f>IF(COUNT(K122:L122)&lt;2,"",K122+L122)</x:f>
      </x:c>
      <x:c r="O122" s="14" t="str">
        <x:f>IF(COUNT(K122)=0,"",ABS(K122-I122))</x:f>
      </x:c>
      <x:c r="P122" s="14" t="str">
        <x:f>IF(COUNT(O122)=0,"",IF(J122=0,IF(O122=0,0,999),O122/J122))</x:f>
      </x:c>
      <x:c r="Q122" t="str">
        <x:f>IF(COUNT(M122:N122)&lt;2,"",IF(AND(I122&gt;=M122,I122&lt;=N122,O122&lt;=J122),"PASS","FAIL"))</x:f>
      </x:c>
      <x:c r="R122" t="str"/>
      <x:c r="S122" t="str">
        <x:f>IF(R122=1,IF(Q122="PASS","PASS","FAIL"),"OPEN")</x:f>
        <x:v>OPEN</x:v>
      </x:c>
    </x:row>
    <x:row r="123">
      <x:c r="B123" t="str">
        <x:v>RAW-E117</x:v>
      </x:c>
      <x:c r="C123" t="str">
        <x:v>AM-01</x:v>
      </x:c>
      <x:c r="D123" t="str">
        <x:v>TR-B</x:v>
      </x:c>
      <x:c r="E123" t="str">
        <x:v>RFP-B2</x:v>
      </x:c>
      <x:c r="F123" t="str">
        <x:v>PTC-B</x:v>
      </x:c>
      <x:c r="G123" t="str">
        <x:v>QT-03</x:v>
      </x:c>
      <x:c r="H123" t="str">
        <x:v>RAW-V09</x:v>
      </x:c>
      <x:c r="I123" s="14" t="n">
        <x:f>'Reference Envelopes'!F15</x:f>
        <x:v>30</x:v>
      </x:c>
      <x:c r="J123" s="14" t="n">
        <x:f>'Reference Envelopes'!G15</x:f>
        <x:v>0.075</x:v>
      </x:c>
      <x:c r="K123" s="14" t="str">
        <x:f>IF(COUNT('Trial Register'!S123)=0,"",'Trial Register'!S123)</x:f>
      </x:c>
      <x:c r="L123" s="14" t="str">
        <x:f>IF(COUNT('Trial Register'!T123)=0,"",'Trial Register'!T123)</x:f>
      </x:c>
      <x:c r="M123" s="14" t="str">
        <x:f>IF(COUNT(K123:L123)&lt;2,"",K123-L123)</x:f>
      </x:c>
      <x:c r="N123" s="14" t="str">
        <x:f>IF(COUNT(K123:L123)&lt;2,"",K123+L123)</x:f>
      </x:c>
      <x:c r="O123" s="14" t="str">
        <x:f>IF(COUNT(K123)=0,"",ABS(K123-I123))</x:f>
      </x:c>
      <x:c r="P123" s="14" t="str">
        <x:f>IF(COUNT(O123)=0,"",IF(J123=0,IF(O123=0,0,999),O123/J123))</x:f>
      </x:c>
      <x:c r="Q123" t="str">
        <x:f>IF(COUNT(M123:N123)&lt;2,"",IF(AND(I123&gt;=M123,I123&lt;=N123,O123&lt;=J123),"PASS","FAIL"))</x:f>
      </x:c>
      <x:c r="R123" t="str"/>
      <x:c r="S123" t="str">
        <x:f>IF(R123=1,IF(Q123="PASS","PASS","FAIL"),"OPEN")</x:f>
        <x:v>OPEN</x:v>
      </x:c>
    </x:row>
    <x:row r="124">
      <x:c r="B124" t="str">
        <x:v>RAW-E118</x:v>
      </x:c>
      <x:c r="C124" t="str">
        <x:v>AM-01</x:v>
      </x:c>
      <x:c r="D124" t="str">
        <x:v>TR-B</x:v>
      </x:c>
      <x:c r="E124" t="str">
        <x:v>RFP-B2</x:v>
      </x:c>
      <x:c r="F124" t="str">
        <x:v>PTC-B</x:v>
      </x:c>
      <x:c r="G124" t="str">
        <x:v>QT-04</x:v>
      </x:c>
      <x:c r="H124" t="str">
        <x:v>RAW-V10</x:v>
      </x:c>
      <x:c r="I124" s="14" t="n">
        <x:f>'Reference Envelopes'!F16</x:f>
        <x:v>17.5</x:v>
      </x:c>
      <x:c r="J124" s="14" t="n">
        <x:f>'Reference Envelopes'!G16</x:f>
        <x:v>0.05</x:v>
      </x:c>
      <x:c r="K124" s="14" t="str">
        <x:f>IF(COUNT('Trial Register'!S124)=0,"",'Trial Register'!S124)</x:f>
      </x:c>
      <x:c r="L124" s="14" t="str">
        <x:f>IF(COUNT('Trial Register'!T124)=0,"",'Trial Register'!T124)</x:f>
      </x:c>
      <x:c r="M124" s="14" t="str">
        <x:f>IF(COUNT(K124:L124)&lt;2,"",K124-L124)</x:f>
      </x:c>
      <x:c r="N124" s="14" t="str">
        <x:f>IF(COUNT(K124:L124)&lt;2,"",K124+L124)</x:f>
      </x:c>
      <x:c r="O124" s="14" t="str">
        <x:f>IF(COUNT(K124)=0,"",ABS(K124-I124))</x:f>
      </x:c>
      <x:c r="P124" s="14" t="str">
        <x:f>IF(COUNT(O124)=0,"",IF(J124=0,IF(O124=0,0,999),O124/J124))</x:f>
      </x:c>
      <x:c r="Q124" t="str">
        <x:f>IF(COUNT(M124:N124)&lt;2,"",IF(AND(I124&gt;=M124,I124&lt;=N124,O124&lt;=J124),"PASS","FAIL"))</x:f>
      </x:c>
      <x:c r="R124" t="str"/>
      <x:c r="S124" t="str">
        <x:f>IF(R124=1,IF(Q124="PASS","PASS","FAIL"),"OPEN")</x:f>
        <x:v>OPEN</x:v>
      </x:c>
    </x:row>
    <x:row r="125">
      <x:c r="B125" t="str">
        <x:v>RAW-E119</x:v>
      </x:c>
      <x:c r="C125" t="str">
        <x:v>AM-01</x:v>
      </x:c>
      <x:c r="D125" t="str">
        <x:v>TR-B</x:v>
      </x:c>
      <x:c r="E125" t="str">
        <x:v>RFP-B2</x:v>
      </x:c>
      <x:c r="F125" t="str">
        <x:v>PTC-B</x:v>
      </x:c>
      <x:c r="G125" t="str">
        <x:v>QT-05</x:v>
      </x:c>
      <x:c r="H125" t="str">
        <x:v>RAW-V11</x:v>
      </x:c>
      <x:c r="I125" s="14" t="n">
        <x:f>'Reference Envelopes'!F17</x:f>
        <x:v>20</x:v>
      </x:c>
      <x:c r="J125" s="14" t="n">
        <x:f>'Reference Envelopes'!G17</x:f>
        <x:v>0.05</x:v>
      </x:c>
      <x:c r="K125" s="14" t="str">
        <x:f>IF(COUNT('Trial Register'!S125)=0,"",'Trial Register'!S125)</x:f>
      </x:c>
      <x:c r="L125" s="14" t="str">
        <x:f>IF(COUNT('Trial Register'!T125)=0,"",'Trial Register'!T125)</x:f>
      </x:c>
      <x:c r="M125" s="14" t="str">
        <x:f>IF(COUNT(K125:L125)&lt;2,"",K125-L125)</x:f>
      </x:c>
      <x:c r="N125" s="14" t="str">
        <x:f>IF(COUNT(K125:L125)&lt;2,"",K125+L125)</x:f>
      </x:c>
      <x:c r="O125" s="14" t="str">
        <x:f>IF(COUNT(K125)=0,"",ABS(K125-I125))</x:f>
      </x:c>
      <x:c r="P125" s="14" t="str">
        <x:f>IF(COUNT(O125)=0,"",IF(J125=0,IF(O125=0,0,999),O125/J125))</x:f>
      </x:c>
      <x:c r="Q125" t="str">
        <x:f>IF(COUNT(M125:N125)&lt;2,"",IF(AND(I125&gt;=M125,I125&lt;=N125,O125&lt;=J125),"PASS","FAIL"))</x:f>
      </x:c>
      <x:c r="R125" t="str"/>
      <x:c r="S125" t="str">
        <x:f>IF(R125=1,IF(Q125="PASS","PASS","FAIL"),"OPEN")</x:f>
        <x:v>OPEN</x:v>
      </x:c>
    </x:row>
    <x:row r="126">
      <x:c r="B126" t="str">
        <x:v>RAW-E120</x:v>
      </x:c>
      <x:c r="C126" t="str">
        <x:v>AM-01</x:v>
      </x:c>
      <x:c r="D126" t="str">
        <x:v>TR-B</x:v>
      </x:c>
      <x:c r="E126" t="str">
        <x:v>RFP-B2</x:v>
      </x:c>
      <x:c r="F126" t="str">
        <x:v>PTC-B</x:v>
      </x:c>
      <x:c r="G126" t="str">
        <x:v>QT-06</x:v>
      </x:c>
      <x:c r="H126" t="str">
        <x:v>RAW-V12</x:v>
      </x:c>
      <x:c r="I126" s="14" t="n">
        <x:f>'Reference Envelopes'!F18</x:f>
        <x:v>15</x:v>
      </x:c>
      <x:c r="J126" s="14" t="n">
        <x:f>'Reference Envelopes'!G18</x:f>
        <x:v>0.05</x:v>
      </x:c>
      <x:c r="K126" s="14" t="str">
        <x:f>IF(COUNT('Trial Register'!S126)=0,"",'Trial Register'!S126)</x:f>
      </x:c>
      <x:c r="L126" s="14" t="str">
        <x:f>IF(COUNT('Trial Register'!T126)=0,"",'Trial Register'!T126)</x:f>
      </x:c>
      <x:c r="M126" s="14" t="str">
        <x:f>IF(COUNT(K126:L126)&lt;2,"",K126-L126)</x:f>
      </x:c>
      <x:c r="N126" s="14" t="str">
        <x:f>IF(COUNT(K126:L126)&lt;2,"",K126+L126)</x:f>
      </x:c>
      <x:c r="O126" s="14" t="str">
        <x:f>IF(COUNT(K126)=0,"",ABS(K126-I126))</x:f>
      </x:c>
      <x:c r="P126" s="14" t="str">
        <x:f>IF(COUNT(O126)=0,"",IF(J126=0,IF(O126=0,0,999),O126/J126))</x:f>
      </x:c>
      <x:c r="Q126" t="str">
        <x:f>IF(COUNT(M126:N126)&lt;2,"",IF(AND(I126&gt;=M126,I126&lt;=N126,O126&lt;=J126),"PASS","FAIL"))</x:f>
      </x:c>
      <x:c r="R126" t="str"/>
      <x:c r="S126" t="str">
        <x:f>IF(R126=1,IF(Q126="PASS","PASS","FAIL"),"OPEN")</x:f>
        <x:v>OPEN</x:v>
      </x:c>
    </x:row>
    <x:row r="127">
      <x:c r="B127" t="str">
        <x:v>RAW-E121</x:v>
      </x:c>
      <x:c r="C127" t="str">
        <x:v>AM-01</x:v>
      </x:c>
      <x:c r="D127" t="str">
        <x:v>TR-A</x:v>
      </x:c>
      <x:c r="E127" t="str">
        <x:v>RFP-C1</x:v>
      </x:c>
      <x:c r="F127" t="str">
        <x:v>PTC-C</x:v>
      </x:c>
      <x:c r="G127" t="str">
        <x:v>QT-01</x:v>
      </x:c>
      <x:c r="H127" t="str">
        <x:v>RAW-V07</x:v>
      </x:c>
      <x:c r="I127" s="14" t="n">
        <x:f>'Reference Envelopes'!F13</x:f>
        <x:v>10</x:v>
      </x:c>
      <x:c r="J127" s="14" t="n">
        <x:f>'Reference Envelopes'!G13</x:f>
        <x:v>0.025</x:v>
      </x:c>
      <x:c r="K127" s="14" t="str">
        <x:f>IF(COUNT('Trial Register'!S127)=0,"",'Trial Register'!S127)</x:f>
      </x:c>
      <x:c r="L127" s="14" t="str">
        <x:f>IF(COUNT('Trial Register'!T127)=0,"",'Trial Register'!T127)</x:f>
      </x:c>
      <x:c r="M127" s="14" t="str">
        <x:f>IF(COUNT(K127:L127)&lt;2,"",K127-L127)</x:f>
      </x:c>
      <x:c r="N127" s="14" t="str">
        <x:f>IF(COUNT(K127:L127)&lt;2,"",K127+L127)</x:f>
      </x:c>
      <x:c r="O127" s="14" t="str">
        <x:f>IF(COUNT(K127)=0,"",ABS(K127-I127))</x:f>
      </x:c>
      <x:c r="P127" s="14" t="str">
        <x:f>IF(COUNT(O127)=0,"",IF(J127=0,IF(O127=0,0,999),O127/J127))</x:f>
      </x:c>
      <x:c r="Q127" t="str">
        <x:f>IF(COUNT(M127:N127)&lt;2,"",IF(AND(I127&gt;=M127,I127&lt;=N127,O127&lt;=J127),"PASS","FAIL"))</x:f>
      </x:c>
      <x:c r="R127" t="str"/>
      <x:c r="S127" t="str">
        <x:f>IF(R127=1,IF(Q127="PASS","PASS","FAIL"),"OPEN")</x:f>
        <x:v>OPEN</x:v>
      </x:c>
    </x:row>
    <x:row r="128">
      <x:c r="B128" t="str">
        <x:v>RAW-E122</x:v>
      </x:c>
      <x:c r="C128" t="str">
        <x:v>AM-01</x:v>
      </x:c>
      <x:c r="D128" t="str">
        <x:v>TR-A</x:v>
      </x:c>
      <x:c r="E128" t="str">
        <x:v>RFP-C1</x:v>
      </x:c>
      <x:c r="F128" t="str">
        <x:v>PTC-C</x:v>
      </x:c>
      <x:c r="G128" t="str">
        <x:v>QT-02</x:v>
      </x:c>
      <x:c r="H128" t="str">
        <x:v>RAW-V08</x:v>
      </x:c>
      <x:c r="I128" s="14" t="n">
        <x:f>'Reference Envelopes'!F14</x:f>
        <x:v>5</x:v>
      </x:c>
      <x:c r="J128" s="14" t="n">
        <x:f>'Reference Envelopes'!G14</x:f>
        <x:v>0.025</x:v>
      </x:c>
      <x:c r="K128" s="14" t="str">
        <x:f>IF(COUNT('Trial Register'!S128)=0,"",'Trial Register'!S128)</x:f>
      </x:c>
      <x:c r="L128" s="14" t="str">
        <x:f>IF(COUNT('Trial Register'!T128)=0,"",'Trial Register'!T128)</x:f>
      </x:c>
      <x:c r="M128" s="14" t="str">
        <x:f>IF(COUNT(K128:L128)&lt;2,"",K128-L128)</x:f>
      </x:c>
      <x:c r="N128" s="14" t="str">
        <x:f>IF(COUNT(K128:L128)&lt;2,"",K128+L128)</x:f>
      </x:c>
      <x:c r="O128" s="14" t="str">
        <x:f>IF(COUNT(K128)=0,"",ABS(K128-I128))</x:f>
      </x:c>
      <x:c r="P128" s="14" t="str">
        <x:f>IF(COUNT(O128)=0,"",IF(J128=0,IF(O128=0,0,999),O128/J128))</x:f>
      </x:c>
      <x:c r="Q128" t="str">
        <x:f>IF(COUNT(M128:N128)&lt;2,"",IF(AND(I128&gt;=M128,I128&lt;=N128,O128&lt;=J128),"PASS","FAIL"))</x:f>
      </x:c>
      <x:c r="R128" t="str"/>
      <x:c r="S128" t="str">
        <x:f>IF(R128=1,IF(Q128="PASS","PASS","FAIL"),"OPEN")</x:f>
        <x:v>OPEN</x:v>
      </x:c>
    </x:row>
    <x:row r="129">
      <x:c r="B129" t="str">
        <x:v>RAW-E123</x:v>
      </x:c>
      <x:c r="C129" t="str">
        <x:v>AM-01</x:v>
      </x:c>
      <x:c r="D129" t="str">
        <x:v>TR-A</x:v>
      </x:c>
      <x:c r="E129" t="str">
        <x:v>RFP-C1</x:v>
      </x:c>
      <x:c r="F129" t="str">
        <x:v>PTC-C</x:v>
      </x:c>
      <x:c r="G129" t="str">
        <x:v>QT-03</x:v>
      </x:c>
      <x:c r="H129" t="str">
        <x:v>RAW-V09</x:v>
      </x:c>
      <x:c r="I129" s="14" t="n">
        <x:f>'Reference Envelopes'!F15</x:f>
        <x:v>30</x:v>
      </x:c>
      <x:c r="J129" s="14" t="n">
        <x:f>'Reference Envelopes'!G15</x:f>
        <x:v>0.075</x:v>
      </x:c>
      <x:c r="K129" s="14" t="str">
        <x:f>IF(COUNT('Trial Register'!S129)=0,"",'Trial Register'!S129)</x:f>
      </x:c>
      <x:c r="L129" s="14" t="str">
        <x:f>IF(COUNT('Trial Register'!T129)=0,"",'Trial Register'!T129)</x:f>
      </x:c>
      <x:c r="M129" s="14" t="str">
        <x:f>IF(COUNT(K129:L129)&lt;2,"",K129-L129)</x:f>
      </x:c>
      <x:c r="N129" s="14" t="str">
        <x:f>IF(COUNT(K129:L129)&lt;2,"",K129+L129)</x:f>
      </x:c>
      <x:c r="O129" s="14" t="str">
        <x:f>IF(COUNT(K129)=0,"",ABS(K129-I129))</x:f>
      </x:c>
      <x:c r="P129" s="14" t="str">
        <x:f>IF(COUNT(O129)=0,"",IF(J129=0,IF(O129=0,0,999),O129/J129))</x:f>
      </x:c>
      <x:c r="Q129" t="str">
        <x:f>IF(COUNT(M129:N129)&lt;2,"",IF(AND(I129&gt;=M129,I129&lt;=N129,O129&lt;=J129),"PASS","FAIL"))</x:f>
      </x:c>
      <x:c r="R129" t="str"/>
      <x:c r="S129" t="str">
        <x:f>IF(R129=1,IF(Q129="PASS","PASS","FAIL"),"OPEN")</x:f>
        <x:v>OPEN</x:v>
      </x:c>
    </x:row>
    <x:row r="130">
      <x:c r="B130" t="str">
        <x:v>RAW-E124</x:v>
      </x:c>
      <x:c r="C130" t="str">
        <x:v>AM-01</x:v>
      </x:c>
      <x:c r="D130" t="str">
        <x:v>TR-A</x:v>
      </x:c>
      <x:c r="E130" t="str">
        <x:v>RFP-C1</x:v>
      </x:c>
      <x:c r="F130" t="str">
        <x:v>PTC-C</x:v>
      </x:c>
      <x:c r="G130" t="str">
        <x:v>QT-04</x:v>
      </x:c>
      <x:c r="H130" t="str">
        <x:v>RAW-V10</x:v>
      </x:c>
      <x:c r="I130" s="14" t="n">
        <x:f>'Reference Envelopes'!F16</x:f>
        <x:v>17.5</x:v>
      </x:c>
      <x:c r="J130" s="14" t="n">
        <x:f>'Reference Envelopes'!G16</x:f>
        <x:v>0.05</x:v>
      </x:c>
      <x:c r="K130" s="14" t="str">
        <x:f>IF(COUNT('Trial Register'!S130)=0,"",'Trial Register'!S130)</x:f>
      </x:c>
      <x:c r="L130" s="14" t="str">
        <x:f>IF(COUNT('Trial Register'!T130)=0,"",'Trial Register'!T130)</x:f>
      </x:c>
      <x:c r="M130" s="14" t="str">
        <x:f>IF(COUNT(K130:L130)&lt;2,"",K130-L130)</x:f>
      </x:c>
      <x:c r="N130" s="14" t="str">
        <x:f>IF(COUNT(K130:L130)&lt;2,"",K130+L130)</x:f>
      </x:c>
      <x:c r="O130" s="14" t="str">
        <x:f>IF(COUNT(K130)=0,"",ABS(K130-I130))</x:f>
      </x:c>
      <x:c r="P130" s="14" t="str">
        <x:f>IF(COUNT(O130)=0,"",IF(J130=0,IF(O130=0,0,999),O130/J130))</x:f>
      </x:c>
      <x:c r="Q130" t="str">
        <x:f>IF(COUNT(M130:N130)&lt;2,"",IF(AND(I130&gt;=M130,I130&lt;=N130,O130&lt;=J130),"PASS","FAIL"))</x:f>
      </x:c>
      <x:c r="R130" t="str"/>
      <x:c r="S130" t="str">
        <x:f>IF(R130=1,IF(Q130="PASS","PASS","FAIL"),"OPEN")</x:f>
        <x:v>OPEN</x:v>
      </x:c>
    </x:row>
    <x:row r="131">
      <x:c r="B131" t="str">
        <x:v>RAW-E125</x:v>
      </x:c>
      <x:c r="C131" t="str">
        <x:v>AM-01</x:v>
      </x:c>
      <x:c r="D131" t="str">
        <x:v>TR-A</x:v>
      </x:c>
      <x:c r="E131" t="str">
        <x:v>RFP-C1</x:v>
      </x:c>
      <x:c r="F131" t="str">
        <x:v>PTC-C</x:v>
      </x:c>
      <x:c r="G131" t="str">
        <x:v>QT-05</x:v>
      </x:c>
      <x:c r="H131" t="str">
        <x:v>RAW-V11</x:v>
      </x:c>
      <x:c r="I131" s="14" t="n">
        <x:f>'Reference Envelopes'!F17</x:f>
        <x:v>20</x:v>
      </x:c>
      <x:c r="J131" s="14" t="n">
        <x:f>'Reference Envelopes'!G17</x:f>
        <x:v>0.05</x:v>
      </x:c>
      <x:c r="K131" s="14" t="str">
        <x:f>IF(COUNT('Trial Register'!S131)=0,"",'Trial Register'!S131)</x:f>
      </x:c>
      <x:c r="L131" s="14" t="str">
        <x:f>IF(COUNT('Trial Register'!T131)=0,"",'Trial Register'!T131)</x:f>
      </x:c>
      <x:c r="M131" s="14" t="str">
        <x:f>IF(COUNT(K131:L131)&lt;2,"",K131-L131)</x:f>
      </x:c>
      <x:c r="N131" s="14" t="str">
        <x:f>IF(COUNT(K131:L131)&lt;2,"",K131+L131)</x:f>
      </x:c>
      <x:c r="O131" s="14" t="str">
        <x:f>IF(COUNT(K131)=0,"",ABS(K131-I131))</x:f>
      </x:c>
      <x:c r="P131" s="14" t="str">
        <x:f>IF(COUNT(O131)=0,"",IF(J131=0,IF(O131=0,0,999),O131/J131))</x:f>
      </x:c>
      <x:c r="Q131" t="str">
        <x:f>IF(COUNT(M131:N131)&lt;2,"",IF(AND(I131&gt;=M131,I131&lt;=N131,O131&lt;=J131),"PASS","FAIL"))</x:f>
      </x:c>
      <x:c r="R131" t="str"/>
      <x:c r="S131" t="str">
        <x:f>IF(R131=1,IF(Q131="PASS","PASS","FAIL"),"OPEN")</x:f>
        <x:v>OPEN</x:v>
      </x:c>
    </x:row>
    <x:row r="132">
      <x:c r="B132" t="str">
        <x:v>RAW-E126</x:v>
      </x:c>
      <x:c r="C132" t="str">
        <x:v>AM-01</x:v>
      </x:c>
      <x:c r="D132" t="str">
        <x:v>TR-A</x:v>
      </x:c>
      <x:c r="E132" t="str">
        <x:v>RFP-C1</x:v>
      </x:c>
      <x:c r="F132" t="str">
        <x:v>PTC-C</x:v>
      </x:c>
      <x:c r="G132" t="str">
        <x:v>QT-06</x:v>
      </x:c>
      <x:c r="H132" t="str">
        <x:v>RAW-V12</x:v>
      </x:c>
      <x:c r="I132" s="14" t="n">
        <x:f>'Reference Envelopes'!F18</x:f>
        <x:v>15</x:v>
      </x:c>
      <x:c r="J132" s="14" t="n">
        <x:f>'Reference Envelopes'!G18</x:f>
        <x:v>0.05</x:v>
      </x:c>
      <x:c r="K132" s="14" t="str">
        <x:f>IF(COUNT('Trial Register'!S132)=0,"",'Trial Register'!S132)</x:f>
      </x:c>
      <x:c r="L132" s="14" t="str">
        <x:f>IF(COUNT('Trial Register'!T132)=0,"",'Trial Register'!T132)</x:f>
      </x:c>
      <x:c r="M132" s="14" t="str">
        <x:f>IF(COUNT(K132:L132)&lt;2,"",K132-L132)</x:f>
      </x:c>
      <x:c r="N132" s="14" t="str">
        <x:f>IF(COUNT(K132:L132)&lt;2,"",K132+L132)</x:f>
      </x:c>
      <x:c r="O132" s="14" t="str">
        <x:f>IF(COUNT(K132)=0,"",ABS(K132-I132))</x:f>
      </x:c>
      <x:c r="P132" s="14" t="str">
        <x:f>IF(COUNT(O132)=0,"",IF(J132=0,IF(O132=0,0,999),O132/J132))</x:f>
      </x:c>
      <x:c r="Q132" t="str">
        <x:f>IF(COUNT(M132:N132)&lt;2,"",IF(AND(I132&gt;=M132,I132&lt;=N132,O132&lt;=J132),"PASS","FAIL"))</x:f>
      </x:c>
      <x:c r="R132" t="str"/>
      <x:c r="S132" t="str">
        <x:f>IF(R132=1,IF(Q132="PASS","PASS","FAIL"),"OPEN")</x:f>
        <x:v>OPEN</x:v>
      </x:c>
    </x:row>
    <x:row r="133">
      <x:c r="B133" t="str">
        <x:v>RAW-E127</x:v>
      </x:c>
      <x:c r="C133" t="str">
        <x:v>AM-01</x:v>
      </x:c>
      <x:c r="D133" t="str">
        <x:v>TR-B</x:v>
      </x:c>
      <x:c r="E133" t="str">
        <x:v>RFP-C1</x:v>
      </x:c>
      <x:c r="F133" t="str">
        <x:v>PTC-C</x:v>
      </x:c>
      <x:c r="G133" t="str">
        <x:v>QT-01</x:v>
      </x:c>
      <x:c r="H133" t="str">
        <x:v>RAW-V07</x:v>
      </x:c>
      <x:c r="I133" s="14" t="n">
        <x:f>'Reference Envelopes'!F13</x:f>
        <x:v>10</x:v>
      </x:c>
      <x:c r="J133" s="14" t="n">
        <x:f>'Reference Envelopes'!G13</x:f>
        <x:v>0.025</x:v>
      </x:c>
      <x:c r="K133" s="14" t="str">
        <x:f>IF(COUNT('Trial Register'!S133)=0,"",'Trial Register'!S133)</x:f>
      </x:c>
      <x:c r="L133" s="14" t="str">
        <x:f>IF(COUNT('Trial Register'!T133)=0,"",'Trial Register'!T133)</x:f>
      </x:c>
      <x:c r="M133" s="14" t="str">
        <x:f>IF(COUNT(K133:L133)&lt;2,"",K133-L133)</x:f>
      </x:c>
      <x:c r="N133" s="14" t="str">
        <x:f>IF(COUNT(K133:L133)&lt;2,"",K133+L133)</x:f>
      </x:c>
      <x:c r="O133" s="14" t="str">
        <x:f>IF(COUNT(K133)=0,"",ABS(K133-I133))</x:f>
      </x:c>
      <x:c r="P133" s="14" t="str">
        <x:f>IF(COUNT(O133)=0,"",IF(J133=0,IF(O133=0,0,999),O133/J133))</x:f>
      </x:c>
      <x:c r="Q133" t="str">
        <x:f>IF(COUNT(M133:N133)&lt;2,"",IF(AND(I133&gt;=M133,I133&lt;=N133,O133&lt;=J133),"PASS","FAIL"))</x:f>
      </x:c>
      <x:c r="R133" t="str"/>
      <x:c r="S133" t="str">
        <x:f>IF(R133=1,IF(Q133="PASS","PASS","FAIL"),"OPEN")</x:f>
        <x:v>OPEN</x:v>
      </x:c>
    </x:row>
    <x:row r="134">
      <x:c r="B134" t="str">
        <x:v>RAW-E128</x:v>
      </x:c>
      <x:c r="C134" t="str">
        <x:v>AM-01</x:v>
      </x:c>
      <x:c r="D134" t="str">
        <x:v>TR-B</x:v>
      </x:c>
      <x:c r="E134" t="str">
        <x:v>RFP-C1</x:v>
      </x:c>
      <x:c r="F134" t="str">
        <x:v>PTC-C</x:v>
      </x:c>
      <x:c r="G134" t="str">
        <x:v>QT-02</x:v>
      </x:c>
      <x:c r="H134" t="str">
        <x:v>RAW-V08</x:v>
      </x:c>
      <x:c r="I134" s="14" t="n">
        <x:f>'Reference Envelopes'!F14</x:f>
        <x:v>5</x:v>
      </x:c>
      <x:c r="J134" s="14" t="n">
        <x:f>'Reference Envelopes'!G14</x:f>
        <x:v>0.025</x:v>
      </x:c>
      <x:c r="K134" s="14" t="str">
        <x:f>IF(COUNT('Trial Register'!S134)=0,"",'Trial Register'!S134)</x:f>
      </x:c>
      <x:c r="L134" s="14" t="str">
        <x:f>IF(COUNT('Trial Register'!T134)=0,"",'Trial Register'!T134)</x:f>
      </x:c>
      <x:c r="M134" s="14" t="str">
        <x:f>IF(COUNT(K134:L134)&lt;2,"",K134-L134)</x:f>
      </x:c>
      <x:c r="N134" s="14" t="str">
        <x:f>IF(COUNT(K134:L134)&lt;2,"",K134+L134)</x:f>
      </x:c>
      <x:c r="O134" s="14" t="str">
        <x:f>IF(COUNT(K134)=0,"",ABS(K134-I134))</x:f>
      </x:c>
      <x:c r="P134" s="14" t="str">
        <x:f>IF(COUNT(O134)=0,"",IF(J134=0,IF(O134=0,0,999),O134/J134))</x:f>
      </x:c>
      <x:c r="Q134" t="str">
        <x:f>IF(COUNT(M134:N134)&lt;2,"",IF(AND(I134&gt;=M134,I134&lt;=N134,O134&lt;=J134),"PASS","FAIL"))</x:f>
      </x:c>
      <x:c r="R134" t="str"/>
      <x:c r="S134" t="str">
        <x:f>IF(R134=1,IF(Q134="PASS","PASS","FAIL"),"OPEN")</x:f>
        <x:v>OPEN</x:v>
      </x:c>
    </x:row>
    <x:row r="135">
      <x:c r="B135" t="str">
        <x:v>RAW-E129</x:v>
      </x:c>
      <x:c r="C135" t="str">
        <x:v>AM-01</x:v>
      </x:c>
      <x:c r="D135" t="str">
        <x:v>TR-B</x:v>
      </x:c>
      <x:c r="E135" t="str">
        <x:v>RFP-C1</x:v>
      </x:c>
      <x:c r="F135" t="str">
        <x:v>PTC-C</x:v>
      </x:c>
      <x:c r="G135" t="str">
        <x:v>QT-03</x:v>
      </x:c>
      <x:c r="H135" t="str">
        <x:v>RAW-V09</x:v>
      </x:c>
      <x:c r="I135" s="14" t="n">
        <x:f>'Reference Envelopes'!F15</x:f>
        <x:v>30</x:v>
      </x:c>
      <x:c r="J135" s="14" t="n">
        <x:f>'Reference Envelopes'!G15</x:f>
        <x:v>0.075</x:v>
      </x:c>
      <x:c r="K135" s="14" t="str">
        <x:f>IF(COUNT('Trial Register'!S135)=0,"",'Trial Register'!S135)</x:f>
      </x:c>
      <x:c r="L135" s="14" t="str">
        <x:f>IF(COUNT('Trial Register'!T135)=0,"",'Trial Register'!T135)</x:f>
      </x:c>
      <x:c r="M135" s="14" t="str">
        <x:f>IF(COUNT(K135:L135)&lt;2,"",K135-L135)</x:f>
      </x:c>
      <x:c r="N135" s="14" t="str">
        <x:f>IF(COUNT(K135:L135)&lt;2,"",K135+L135)</x:f>
      </x:c>
      <x:c r="O135" s="14" t="str">
        <x:f>IF(COUNT(K135)=0,"",ABS(K135-I135))</x:f>
      </x:c>
      <x:c r="P135" s="14" t="str">
        <x:f>IF(COUNT(O135)=0,"",IF(J135=0,IF(O135=0,0,999),O135/J135))</x:f>
      </x:c>
      <x:c r="Q135" t="str">
        <x:f>IF(COUNT(M135:N135)&lt;2,"",IF(AND(I135&gt;=M135,I135&lt;=N135,O135&lt;=J135),"PASS","FAIL"))</x:f>
      </x:c>
      <x:c r="R135" t="str"/>
      <x:c r="S135" t="str">
        <x:f>IF(R135=1,IF(Q135="PASS","PASS","FAIL"),"OPEN")</x:f>
        <x:v>OPEN</x:v>
      </x:c>
    </x:row>
    <x:row r="136">
      <x:c r="B136" t="str">
        <x:v>RAW-E130</x:v>
      </x:c>
      <x:c r="C136" t="str">
        <x:v>AM-01</x:v>
      </x:c>
      <x:c r="D136" t="str">
        <x:v>TR-B</x:v>
      </x:c>
      <x:c r="E136" t="str">
        <x:v>RFP-C1</x:v>
      </x:c>
      <x:c r="F136" t="str">
        <x:v>PTC-C</x:v>
      </x:c>
      <x:c r="G136" t="str">
        <x:v>QT-04</x:v>
      </x:c>
      <x:c r="H136" t="str">
        <x:v>RAW-V10</x:v>
      </x:c>
      <x:c r="I136" s="14" t="n">
        <x:f>'Reference Envelopes'!F16</x:f>
        <x:v>17.5</x:v>
      </x:c>
      <x:c r="J136" s="14" t="n">
        <x:f>'Reference Envelopes'!G16</x:f>
        <x:v>0.05</x:v>
      </x:c>
      <x:c r="K136" s="14" t="str">
        <x:f>IF(COUNT('Trial Register'!S136)=0,"",'Trial Register'!S136)</x:f>
      </x:c>
      <x:c r="L136" s="14" t="str">
        <x:f>IF(COUNT('Trial Register'!T136)=0,"",'Trial Register'!T136)</x:f>
      </x:c>
      <x:c r="M136" s="14" t="str">
        <x:f>IF(COUNT(K136:L136)&lt;2,"",K136-L136)</x:f>
      </x:c>
      <x:c r="N136" s="14" t="str">
        <x:f>IF(COUNT(K136:L136)&lt;2,"",K136+L136)</x:f>
      </x:c>
      <x:c r="O136" s="14" t="str">
        <x:f>IF(COUNT(K136)=0,"",ABS(K136-I136))</x:f>
      </x:c>
      <x:c r="P136" s="14" t="str">
        <x:f>IF(COUNT(O136)=0,"",IF(J136=0,IF(O136=0,0,999),O136/J136))</x:f>
      </x:c>
      <x:c r="Q136" t="str">
        <x:f>IF(COUNT(M136:N136)&lt;2,"",IF(AND(I136&gt;=M136,I136&lt;=N136,O136&lt;=J136),"PASS","FAIL"))</x:f>
      </x:c>
      <x:c r="R136" t="str"/>
      <x:c r="S136" t="str">
        <x:f>IF(R136=1,IF(Q136="PASS","PASS","FAIL"),"OPEN")</x:f>
        <x:v>OPEN</x:v>
      </x:c>
    </x:row>
    <x:row r="137">
      <x:c r="B137" t="str">
        <x:v>RAW-E131</x:v>
      </x:c>
      <x:c r="C137" t="str">
        <x:v>AM-01</x:v>
      </x:c>
      <x:c r="D137" t="str">
        <x:v>TR-B</x:v>
      </x:c>
      <x:c r="E137" t="str">
        <x:v>RFP-C1</x:v>
      </x:c>
      <x:c r="F137" t="str">
        <x:v>PTC-C</x:v>
      </x:c>
      <x:c r="G137" t="str">
        <x:v>QT-05</x:v>
      </x:c>
      <x:c r="H137" t="str">
        <x:v>RAW-V11</x:v>
      </x:c>
      <x:c r="I137" s="14" t="n">
        <x:f>'Reference Envelopes'!F17</x:f>
        <x:v>20</x:v>
      </x:c>
      <x:c r="J137" s="14" t="n">
        <x:f>'Reference Envelopes'!G17</x:f>
        <x:v>0.05</x:v>
      </x:c>
      <x:c r="K137" s="14" t="str">
        <x:f>IF(COUNT('Trial Register'!S137)=0,"",'Trial Register'!S137)</x:f>
      </x:c>
      <x:c r="L137" s="14" t="str">
        <x:f>IF(COUNT('Trial Register'!T137)=0,"",'Trial Register'!T137)</x:f>
      </x:c>
      <x:c r="M137" s="14" t="str">
        <x:f>IF(COUNT(K137:L137)&lt;2,"",K137-L137)</x:f>
      </x:c>
      <x:c r="N137" s="14" t="str">
        <x:f>IF(COUNT(K137:L137)&lt;2,"",K137+L137)</x:f>
      </x:c>
      <x:c r="O137" s="14" t="str">
        <x:f>IF(COUNT(K137)=0,"",ABS(K137-I137))</x:f>
      </x:c>
      <x:c r="P137" s="14" t="str">
        <x:f>IF(COUNT(O137)=0,"",IF(J137=0,IF(O137=0,0,999),O137/J137))</x:f>
      </x:c>
      <x:c r="Q137" t="str">
        <x:f>IF(COUNT(M137:N137)&lt;2,"",IF(AND(I137&gt;=M137,I137&lt;=N137,O137&lt;=J137),"PASS","FAIL"))</x:f>
      </x:c>
      <x:c r="R137" t="str"/>
      <x:c r="S137" t="str">
        <x:f>IF(R137=1,IF(Q137="PASS","PASS","FAIL"),"OPEN")</x:f>
        <x:v>OPEN</x:v>
      </x:c>
    </x:row>
    <x:row r="138">
      <x:c r="B138" t="str">
        <x:v>RAW-E132</x:v>
      </x:c>
      <x:c r="C138" t="str">
        <x:v>AM-01</x:v>
      </x:c>
      <x:c r="D138" t="str">
        <x:v>TR-B</x:v>
      </x:c>
      <x:c r="E138" t="str">
        <x:v>RFP-C1</x:v>
      </x:c>
      <x:c r="F138" t="str">
        <x:v>PTC-C</x:v>
      </x:c>
      <x:c r="G138" t="str">
        <x:v>QT-06</x:v>
      </x:c>
      <x:c r="H138" t="str">
        <x:v>RAW-V12</x:v>
      </x:c>
      <x:c r="I138" s="14" t="n">
        <x:f>'Reference Envelopes'!F18</x:f>
        <x:v>15</x:v>
      </x:c>
      <x:c r="J138" s="14" t="n">
        <x:f>'Reference Envelopes'!G18</x:f>
        <x:v>0.05</x:v>
      </x:c>
      <x:c r="K138" s="14" t="str">
        <x:f>IF(COUNT('Trial Register'!S138)=0,"",'Trial Register'!S138)</x:f>
      </x:c>
      <x:c r="L138" s="14" t="str">
        <x:f>IF(COUNT('Trial Register'!T138)=0,"",'Trial Register'!T138)</x:f>
      </x:c>
      <x:c r="M138" s="14" t="str">
        <x:f>IF(COUNT(K138:L138)&lt;2,"",K138-L138)</x:f>
      </x:c>
      <x:c r="N138" s="14" t="str">
        <x:f>IF(COUNT(K138:L138)&lt;2,"",K138+L138)</x:f>
      </x:c>
      <x:c r="O138" s="14" t="str">
        <x:f>IF(COUNT(K138)=0,"",ABS(K138-I138))</x:f>
      </x:c>
      <x:c r="P138" s="14" t="str">
        <x:f>IF(COUNT(O138)=0,"",IF(J138=0,IF(O138=0,0,999),O138/J138))</x:f>
      </x:c>
      <x:c r="Q138" t="str">
        <x:f>IF(COUNT(M138:N138)&lt;2,"",IF(AND(I138&gt;=M138,I138&lt;=N138,O138&lt;=J138),"PASS","FAIL"))</x:f>
      </x:c>
      <x:c r="R138" t="str"/>
      <x:c r="S138" t="str">
        <x:f>IF(R138=1,IF(Q138="PASS","PASS","FAIL"),"OPEN")</x:f>
        <x:v>OPEN</x:v>
      </x:c>
    </x:row>
    <x:row r="139">
      <x:c r="B139" t="str">
        <x:v>RAW-E133</x:v>
      </x:c>
      <x:c r="C139" t="str">
        <x:v>AM-01</x:v>
      </x:c>
      <x:c r="D139" t="str">
        <x:v>TR-A</x:v>
      </x:c>
      <x:c r="E139" t="str">
        <x:v>RFP-C2</x:v>
      </x:c>
      <x:c r="F139" t="str">
        <x:v>PTC-C</x:v>
      </x:c>
      <x:c r="G139" t="str">
        <x:v>QT-01</x:v>
      </x:c>
      <x:c r="H139" t="str">
        <x:v>RAW-V07</x:v>
      </x:c>
      <x:c r="I139" s="14" t="n">
        <x:f>'Reference Envelopes'!F13</x:f>
        <x:v>10</x:v>
      </x:c>
      <x:c r="J139" s="14" t="n">
        <x:f>'Reference Envelopes'!G13</x:f>
        <x:v>0.025</x:v>
      </x:c>
      <x:c r="K139" s="14" t="str">
        <x:f>IF(COUNT('Trial Register'!S139)=0,"",'Trial Register'!S139)</x:f>
      </x:c>
      <x:c r="L139" s="14" t="str">
        <x:f>IF(COUNT('Trial Register'!T139)=0,"",'Trial Register'!T139)</x:f>
      </x:c>
      <x:c r="M139" s="14" t="str">
        <x:f>IF(COUNT(K139:L139)&lt;2,"",K139-L139)</x:f>
      </x:c>
      <x:c r="N139" s="14" t="str">
        <x:f>IF(COUNT(K139:L139)&lt;2,"",K139+L139)</x:f>
      </x:c>
      <x:c r="O139" s="14" t="str">
        <x:f>IF(COUNT(K139)=0,"",ABS(K139-I139))</x:f>
      </x:c>
      <x:c r="P139" s="14" t="str">
        <x:f>IF(COUNT(O139)=0,"",IF(J139=0,IF(O139=0,0,999),O139/J139))</x:f>
      </x:c>
      <x:c r="Q139" t="str">
        <x:f>IF(COUNT(M139:N139)&lt;2,"",IF(AND(I139&gt;=M139,I139&lt;=N139,O139&lt;=J139),"PASS","FAIL"))</x:f>
      </x:c>
      <x:c r="R139" t="str"/>
      <x:c r="S139" t="str">
        <x:f>IF(R139=1,IF(Q139="PASS","PASS","FAIL"),"OPEN")</x:f>
        <x:v>OPEN</x:v>
      </x:c>
    </x:row>
    <x:row r="140">
      <x:c r="B140" t="str">
        <x:v>RAW-E134</x:v>
      </x:c>
      <x:c r="C140" t="str">
        <x:v>AM-01</x:v>
      </x:c>
      <x:c r="D140" t="str">
        <x:v>TR-A</x:v>
      </x:c>
      <x:c r="E140" t="str">
        <x:v>RFP-C2</x:v>
      </x:c>
      <x:c r="F140" t="str">
        <x:v>PTC-C</x:v>
      </x:c>
      <x:c r="G140" t="str">
        <x:v>QT-02</x:v>
      </x:c>
      <x:c r="H140" t="str">
        <x:v>RAW-V08</x:v>
      </x:c>
      <x:c r="I140" s="14" t="n">
        <x:f>'Reference Envelopes'!F14</x:f>
        <x:v>5</x:v>
      </x:c>
      <x:c r="J140" s="14" t="n">
        <x:f>'Reference Envelopes'!G14</x:f>
        <x:v>0.025</x:v>
      </x:c>
      <x:c r="K140" s="14" t="str">
        <x:f>IF(COUNT('Trial Register'!S140)=0,"",'Trial Register'!S140)</x:f>
      </x:c>
      <x:c r="L140" s="14" t="str">
        <x:f>IF(COUNT('Trial Register'!T140)=0,"",'Trial Register'!T140)</x:f>
      </x:c>
      <x:c r="M140" s="14" t="str">
        <x:f>IF(COUNT(K140:L140)&lt;2,"",K140-L140)</x:f>
      </x:c>
      <x:c r="N140" s="14" t="str">
        <x:f>IF(COUNT(K140:L140)&lt;2,"",K140+L140)</x:f>
      </x:c>
      <x:c r="O140" s="14" t="str">
        <x:f>IF(COUNT(K140)=0,"",ABS(K140-I140))</x:f>
      </x:c>
      <x:c r="P140" s="14" t="str">
        <x:f>IF(COUNT(O140)=0,"",IF(J140=0,IF(O140=0,0,999),O140/J140))</x:f>
      </x:c>
      <x:c r="Q140" t="str">
        <x:f>IF(COUNT(M140:N140)&lt;2,"",IF(AND(I140&gt;=M140,I140&lt;=N140,O140&lt;=J140),"PASS","FAIL"))</x:f>
      </x:c>
      <x:c r="R140" t="str"/>
      <x:c r="S140" t="str">
        <x:f>IF(R140=1,IF(Q140="PASS","PASS","FAIL"),"OPEN")</x:f>
        <x:v>OPEN</x:v>
      </x:c>
    </x:row>
    <x:row r="141">
      <x:c r="B141" t="str">
        <x:v>RAW-E135</x:v>
      </x:c>
      <x:c r="C141" t="str">
        <x:v>AM-01</x:v>
      </x:c>
      <x:c r="D141" t="str">
        <x:v>TR-A</x:v>
      </x:c>
      <x:c r="E141" t="str">
        <x:v>RFP-C2</x:v>
      </x:c>
      <x:c r="F141" t="str">
        <x:v>PTC-C</x:v>
      </x:c>
      <x:c r="G141" t="str">
        <x:v>QT-03</x:v>
      </x:c>
      <x:c r="H141" t="str">
        <x:v>RAW-V09</x:v>
      </x:c>
      <x:c r="I141" s="14" t="n">
        <x:f>'Reference Envelopes'!F15</x:f>
        <x:v>30</x:v>
      </x:c>
      <x:c r="J141" s="14" t="n">
        <x:f>'Reference Envelopes'!G15</x:f>
        <x:v>0.075</x:v>
      </x:c>
      <x:c r="K141" s="14" t="str">
        <x:f>IF(COUNT('Trial Register'!S141)=0,"",'Trial Register'!S141)</x:f>
      </x:c>
      <x:c r="L141" s="14" t="str">
        <x:f>IF(COUNT('Trial Register'!T141)=0,"",'Trial Register'!T141)</x:f>
      </x:c>
      <x:c r="M141" s="14" t="str">
        <x:f>IF(COUNT(K141:L141)&lt;2,"",K141-L141)</x:f>
      </x:c>
      <x:c r="N141" s="14" t="str">
        <x:f>IF(COUNT(K141:L141)&lt;2,"",K141+L141)</x:f>
      </x:c>
      <x:c r="O141" s="14" t="str">
        <x:f>IF(COUNT(K141)=0,"",ABS(K141-I141))</x:f>
      </x:c>
      <x:c r="P141" s="14" t="str">
        <x:f>IF(COUNT(O141)=0,"",IF(J141=0,IF(O141=0,0,999),O141/J141))</x:f>
      </x:c>
      <x:c r="Q141" t="str">
        <x:f>IF(COUNT(M141:N141)&lt;2,"",IF(AND(I141&gt;=M141,I141&lt;=N141,O141&lt;=J141),"PASS","FAIL"))</x:f>
      </x:c>
      <x:c r="R141" t="str"/>
      <x:c r="S141" t="str">
        <x:f>IF(R141=1,IF(Q141="PASS","PASS","FAIL"),"OPEN")</x:f>
        <x:v>OPEN</x:v>
      </x:c>
    </x:row>
    <x:row r="142">
      <x:c r="B142" t="str">
        <x:v>RAW-E136</x:v>
      </x:c>
      <x:c r="C142" t="str">
        <x:v>AM-01</x:v>
      </x:c>
      <x:c r="D142" t="str">
        <x:v>TR-A</x:v>
      </x:c>
      <x:c r="E142" t="str">
        <x:v>RFP-C2</x:v>
      </x:c>
      <x:c r="F142" t="str">
        <x:v>PTC-C</x:v>
      </x:c>
      <x:c r="G142" t="str">
        <x:v>QT-04</x:v>
      </x:c>
      <x:c r="H142" t="str">
        <x:v>RAW-V10</x:v>
      </x:c>
      <x:c r="I142" s="14" t="n">
        <x:f>'Reference Envelopes'!F16</x:f>
        <x:v>17.5</x:v>
      </x:c>
      <x:c r="J142" s="14" t="n">
        <x:f>'Reference Envelopes'!G16</x:f>
        <x:v>0.05</x:v>
      </x:c>
      <x:c r="K142" s="14" t="str">
        <x:f>IF(COUNT('Trial Register'!S142)=0,"",'Trial Register'!S142)</x:f>
      </x:c>
      <x:c r="L142" s="14" t="str">
        <x:f>IF(COUNT('Trial Register'!T142)=0,"",'Trial Register'!T142)</x:f>
      </x:c>
      <x:c r="M142" s="14" t="str">
        <x:f>IF(COUNT(K142:L142)&lt;2,"",K142-L142)</x:f>
      </x:c>
      <x:c r="N142" s="14" t="str">
        <x:f>IF(COUNT(K142:L142)&lt;2,"",K142+L142)</x:f>
      </x:c>
      <x:c r="O142" s="14" t="str">
        <x:f>IF(COUNT(K142)=0,"",ABS(K142-I142))</x:f>
      </x:c>
      <x:c r="P142" s="14" t="str">
        <x:f>IF(COUNT(O142)=0,"",IF(J142=0,IF(O142=0,0,999),O142/J142))</x:f>
      </x:c>
      <x:c r="Q142" t="str">
        <x:f>IF(COUNT(M142:N142)&lt;2,"",IF(AND(I142&gt;=M142,I142&lt;=N142,O142&lt;=J142),"PASS","FAIL"))</x:f>
      </x:c>
      <x:c r="R142" t="str"/>
      <x:c r="S142" t="str">
        <x:f>IF(R142=1,IF(Q142="PASS","PASS","FAIL"),"OPEN")</x:f>
        <x:v>OPEN</x:v>
      </x:c>
    </x:row>
    <x:row r="143">
      <x:c r="B143" t="str">
        <x:v>RAW-E137</x:v>
      </x:c>
      <x:c r="C143" t="str">
        <x:v>AM-01</x:v>
      </x:c>
      <x:c r="D143" t="str">
        <x:v>TR-A</x:v>
      </x:c>
      <x:c r="E143" t="str">
        <x:v>RFP-C2</x:v>
      </x:c>
      <x:c r="F143" t="str">
        <x:v>PTC-C</x:v>
      </x:c>
      <x:c r="G143" t="str">
        <x:v>QT-05</x:v>
      </x:c>
      <x:c r="H143" t="str">
        <x:v>RAW-V11</x:v>
      </x:c>
      <x:c r="I143" s="14" t="n">
        <x:f>'Reference Envelopes'!F17</x:f>
        <x:v>20</x:v>
      </x:c>
      <x:c r="J143" s="14" t="n">
        <x:f>'Reference Envelopes'!G17</x:f>
        <x:v>0.05</x:v>
      </x:c>
      <x:c r="K143" s="14" t="str">
        <x:f>IF(COUNT('Trial Register'!S143)=0,"",'Trial Register'!S143)</x:f>
      </x:c>
      <x:c r="L143" s="14" t="str">
        <x:f>IF(COUNT('Trial Register'!T143)=0,"",'Trial Register'!T143)</x:f>
      </x:c>
      <x:c r="M143" s="14" t="str">
        <x:f>IF(COUNT(K143:L143)&lt;2,"",K143-L143)</x:f>
      </x:c>
      <x:c r="N143" s="14" t="str">
        <x:f>IF(COUNT(K143:L143)&lt;2,"",K143+L143)</x:f>
      </x:c>
      <x:c r="O143" s="14" t="str">
        <x:f>IF(COUNT(K143)=0,"",ABS(K143-I143))</x:f>
      </x:c>
      <x:c r="P143" s="14" t="str">
        <x:f>IF(COUNT(O143)=0,"",IF(J143=0,IF(O143=0,0,999),O143/J143))</x:f>
      </x:c>
      <x:c r="Q143" t="str">
        <x:f>IF(COUNT(M143:N143)&lt;2,"",IF(AND(I143&gt;=M143,I143&lt;=N143,O143&lt;=J143),"PASS","FAIL"))</x:f>
      </x:c>
      <x:c r="R143" t="str"/>
      <x:c r="S143" t="str">
        <x:f>IF(R143=1,IF(Q143="PASS","PASS","FAIL"),"OPEN")</x:f>
        <x:v>OPEN</x:v>
      </x:c>
    </x:row>
    <x:row r="144">
      <x:c r="B144" t="str">
        <x:v>RAW-E138</x:v>
      </x:c>
      <x:c r="C144" t="str">
        <x:v>AM-01</x:v>
      </x:c>
      <x:c r="D144" t="str">
        <x:v>TR-A</x:v>
      </x:c>
      <x:c r="E144" t="str">
        <x:v>RFP-C2</x:v>
      </x:c>
      <x:c r="F144" t="str">
        <x:v>PTC-C</x:v>
      </x:c>
      <x:c r="G144" t="str">
        <x:v>QT-06</x:v>
      </x:c>
      <x:c r="H144" t="str">
        <x:v>RAW-V12</x:v>
      </x:c>
      <x:c r="I144" s="14" t="n">
        <x:f>'Reference Envelopes'!F18</x:f>
        <x:v>15</x:v>
      </x:c>
      <x:c r="J144" s="14" t="n">
        <x:f>'Reference Envelopes'!G18</x:f>
        <x:v>0.05</x:v>
      </x:c>
      <x:c r="K144" s="14" t="str">
        <x:f>IF(COUNT('Trial Register'!S144)=0,"",'Trial Register'!S144)</x:f>
      </x:c>
      <x:c r="L144" s="14" t="str">
        <x:f>IF(COUNT('Trial Register'!T144)=0,"",'Trial Register'!T144)</x:f>
      </x:c>
      <x:c r="M144" s="14" t="str">
        <x:f>IF(COUNT(K144:L144)&lt;2,"",K144-L144)</x:f>
      </x:c>
      <x:c r="N144" s="14" t="str">
        <x:f>IF(COUNT(K144:L144)&lt;2,"",K144+L144)</x:f>
      </x:c>
      <x:c r="O144" s="14" t="str">
        <x:f>IF(COUNT(K144)=0,"",ABS(K144-I144))</x:f>
      </x:c>
      <x:c r="P144" s="14" t="str">
        <x:f>IF(COUNT(O144)=0,"",IF(J144=0,IF(O144=0,0,999),O144/J144))</x:f>
      </x:c>
      <x:c r="Q144" t="str">
        <x:f>IF(COUNT(M144:N144)&lt;2,"",IF(AND(I144&gt;=M144,I144&lt;=N144,O144&lt;=J144),"PASS","FAIL"))</x:f>
      </x:c>
      <x:c r="R144" t="str"/>
      <x:c r="S144" t="str">
        <x:f>IF(R144=1,IF(Q144="PASS","PASS","FAIL"),"OPEN")</x:f>
        <x:v>OPEN</x:v>
      </x:c>
    </x:row>
    <x:row r="145">
      <x:c r="B145" t="str">
        <x:v>RAW-E139</x:v>
      </x:c>
      <x:c r="C145" t="str">
        <x:v>AM-01</x:v>
      </x:c>
      <x:c r="D145" t="str">
        <x:v>TR-B</x:v>
      </x:c>
      <x:c r="E145" t="str">
        <x:v>RFP-C2</x:v>
      </x:c>
      <x:c r="F145" t="str">
        <x:v>PTC-C</x:v>
      </x:c>
      <x:c r="G145" t="str">
        <x:v>QT-01</x:v>
      </x:c>
      <x:c r="H145" t="str">
        <x:v>RAW-V07</x:v>
      </x:c>
      <x:c r="I145" s="14" t="n">
        <x:f>'Reference Envelopes'!F13</x:f>
        <x:v>10</x:v>
      </x:c>
      <x:c r="J145" s="14" t="n">
        <x:f>'Reference Envelopes'!G13</x:f>
        <x:v>0.025</x:v>
      </x:c>
      <x:c r="K145" s="14" t="str">
        <x:f>IF(COUNT('Trial Register'!S145)=0,"",'Trial Register'!S145)</x:f>
      </x:c>
      <x:c r="L145" s="14" t="str">
        <x:f>IF(COUNT('Trial Register'!T145)=0,"",'Trial Register'!T145)</x:f>
      </x:c>
      <x:c r="M145" s="14" t="str">
        <x:f>IF(COUNT(K145:L145)&lt;2,"",K145-L145)</x:f>
      </x:c>
      <x:c r="N145" s="14" t="str">
        <x:f>IF(COUNT(K145:L145)&lt;2,"",K145+L145)</x:f>
      </x:c>
      <x:c r="O145" s="14" t="str">
        <x:f>IF(COUNT(K145)=0,"",ABS(K145-I145))</x:f>
      </x:c>
      <x:c r="P145" s="14" t="str">
        <x:f>IF(COUNT(O145)=0,"",IF(J145=0,IF(O145=0,0,999),O145/J145))</x:f>
      </x:c>
      <x:c r="Q145" t="str">
        <x:f>IF(COUNT(M145:N145)&lt;2,"",IF(AND(I145&gt;=M145,I145&lt;=N145,O145&lt;=J145),"PASS","FAIL"))</x:f>
      </x:c>
      <x:c r="R145" t="str"/>
      <x:c r="S145" t="str">
        <x:f>IF(R145=1,IF(Q145="PASS","PASS","FAIL"),"OPEN")</x:f>
        <x:v>OPEN</x:v>
      </x:c>
    </x:row>
    <x:row r="146">
      <x:c r="B146" t="str">
        <x:v>RAW-E140</x:v>
      </x:c>
      <x:c r="C146" t="str">
        <x:v>AM-01</x:v>
      </x:c>
      <x:c r="D146" t="str">
        <x:v>TR-B</x:v>
      </x:c>
      <x:c r="E146" t="str">
        <x:v>RFP-C2</x:v>
      </x:c>
      <x:c r="F146" t="str">
        <x:v>PTC-C</x:v>
      </x:c>
      <x:c r="G146" t="str">
        <x:v>QT-02</x:v>
      </x:c>
      <x:c r="H146" t="str">
        <x:v>RAW-V08</x:v>
      </x:c>
      <x:c r="I146" s="14" t="n">
        <x:f>'Reference Envelopes'!F14</x:f>
        <x:v>5</x:v>
      </x:c>
      <x:c r="J146" s="14" t="n">
        <x:f>'Reference Envelopes'!G14</x:f>
        <x:v>0.025</x:v>
      </x:c>
      <x:c r="K146" s="14" t="str">
        <x:f>IF(COUNT('Trial Register'!S146)=0,"",'Trial Register'!S146)</x:f>
      </x:c>
      <x:c r="L146" s="14" t="str">
        <x:f>IF(COUNT('Trial Register'!T146)=0,"",'Trial Register'!T146)</x:f>
      </x:c>
      <x:c r="M146" s="14" t="str">
        <x:f>IF(COUNT(K146:L146)&lt;2,"",K146-L146)</x:f>
      </x:c>
      <x:c r="N146" s="14" t="str">
        <x:f>IF(COUNT(K146:L146)&lt;2,"",K146+L146)</x:f>
      </x:c>
      <x:c r="O146" s="14" t="str">
        <x:f>IF(COUNT(K146)=0,"",ABS(K146-I146))</x:f>
      </x:c>
      <x:c r="P146" s="14" t="str">
        <x:f>IF(COUNT(O146)=0,"",IF(J146=0,IF(O146=0,0,999),O146/J146))</x:f>
      </x:c>
      <x:c r="Q146" t="str">
        <x:f>IF(COUNT(M146:N146)&lt;2,"",IF(AND(I146&gt;=M146,I146&lt;=N146,O146&lt;=J146),"PASS","FAIL"))</x:f>
      </x:c>
      <x:c r="R146" t="str"/>
      <x:c r="S146" t="str">
        <x:f>IF(R146=1,IF(Q146="PASS","PASS","FAIL"),"OPEN")</x:f>
        <x:v>OPEN</x:v>
      </x:c>
    </x:row>
    <x:row r="147">
      <x:c r="B147" t="str">
        <x:v>RAW-E141</x:v>
      </x:c>
      <x:c r="C147" t="str">
        <x:v>AM-01</x:v>
      </x:c>
      <x:c r="D147" t="str">
        <x:v>TR-B</x:v>
      </x:c>
      <x:c r="E147" t="str">
        <x:v>RFP-C2</x:v>
      </x:c>
      <x:c r="F147" t="str">
        <x:v>PTC-C</x:v>
      </x:c>
      <x:c r="G147" t="str">
        <x:v>QT-03</x:v>
      </x:c>
      <x:c r="H147" t="str">
        <x:v>RAW-V09</x:v>
      </x:c>
      <x:c r="I147" s="14" t="n">
        <x:f>'Reference Envelopes'!F15</x:f>
        <x:v>30</x:v>
      </x:c>
      <x:c r="J147" s="14" t="n">
        <x:f>'Reference Envelopes'!G15</x:f>
        <x:v>0.075</x:v>
      </x:c>
      <x:c r="K147" s="14" t="str">
        <x:f>IF(COUNT('Trial Register'!S147)=0,"",'Trial Register'!S147)</x:f>
      </x:c>
      <x:c r="L147" s="14" t="str">
        <x:f>IF(COUNT('Trial Register'!T147)=0,"",'Trial Register'!T147)</x:f>
      </x:c>
      <x:c r="M147" s="14" t="str">
        <x:f>IF(COUNT(K147:L147)&lt;2,"",K147-L147)</x:f>
      </x:c>
      <x:c r="N147" s="14" t="str">
        <x:f>IF(COUNT(K147:L147)&lt;2,"",K147+L147)</x:f>
      </x:c>
      <x:c r="O147" s="14" t="str">
        <x:f>IF(COUNT(K147)=0,"",ABS(K147-I147))</x:f>
      </x:c>
      <x:c r="P147" s="14" t="str">
        <x:f>IF(COUNT(O147)=0,"",IF(J147=0,IF(O147=0,0,999),O147/J147))</x:f>
      </x:c>
      <x:c r="Q147" t="str">
        <x:f>IF(COUNT(M147:N147)&lt;2,"",IF(AND(I147&gt;=M147,I147&lt;=N147,O147&lt;=J147),"PASS","FAIL"))</x:f>
      </x:c>
      <x:c r="R147" t="str"/>
      <x:c r="S147" t="str">
        <x:f>IF(R147=1,IF(Q147="PASS","PASS","FAIL"),"OPEN")</x:f>
        <x:v>OPEN</x:v>
      </x:c>
    </x:row>
    <x:row r="148">
      <x:c r="B148" t="str">
        <x:v>RAW-E142</x:v>
      </x:c>
      <x:c r="C148" t="str">
        <x:v>AM-01</x:v>
      </x:c>
      <x:c r="D148" t="str">
        <x:v>TR-B</x:v>
      </x:c>
      <x:c r="E148" t="str">
        <x:v>RFP-C2</x:v>
      </x:c>
      <x:c r="F148" t="str">
        <x:v>PTC-C</x:v>
      </x:c>
      <x:c r="G148" t="str">
        <x:v>QT-04</x:v>
      </x:c>
      <x:c r="H148" t="str">
        <x:v>RAW-V10</x:v>
      </x:c>
      <x:c r="I148" s="14" t="n">
        <x:f>'Reference Envelopes'!F16</x:f>
        <x:v>17.5</x:v>
      </x:c>
      <x:c r="J148" s="14" t="n">
        <x:f>'Reference Envelopes'!G16</x:f>
        <x:v>0.05</x:v>
      </x:c>
      <x:c r="K148" s="14" t="str">
        <x:f>IF(COUNT('Trial Register'!S148)=0,"",'Trial Register'!S148)</x:f>
      </x:c>
      <x:c r="L148" s="14" t="str">
        <x:f>IF(COUNT('Trial Register'!T148)=0,"",'Trial Register'!T148)</x:f>
      </x:c>
      <x:c r="M148" s="14" t="str">
        <x:f>IF(COUNT(K148:L148)&lt;2,"",K148-L148)</x:f>
      </x:c>
      <x:c r="N148" s="14" t="str">
        <x:f>IF(COUNT(K148:L148)&lt;2,"",K148+L148)</x:f>
      </x:c>
      <x:c r="O148" s="14" t="str">
        <x:f>IF(COUNT(K148)=0,"",ABS(K148-I148))</x:f>
      </x:c>
      <x:c r="P148" s="14" t="str">
        <x:f>IF(COUNT(O148)=0,"",IF(J148=0,IF(O148=0,0,999),O148/J148))</x:f>
      </x:c>
      <x:c r="Q148" t="str">
        <x:f>IF(COUNT(M148:N148)&lt;2,"",IF(AND(I148&gt;=M148,I148&lt;=N148,O148&lt;=J148),"PASS","FAIL"))</x:f>
      </x:c>
      <x:c r="R148" t="str"/>
      <x:c r="S148" t="str">
        <x:f>IF(R148=1,IF(Q148="PASS","PASS","FAIL"),"OPEN")</x:f>
        <x:v>OPEN</x:v>
      </x:c>
    </x:row>
    <x:row r="149">
      <x:c r="B149" t="str">
        <x:v>RAW-E143</x:v>
      </x:c>
      <x:c r="C149" t="str">
        <x:v>AM-01</x:v>
      </x:c>
      <x:c r="D149" t="str">
        <x:v>TR-B</x:v>
      </x:c>
      <x:c r="E149" t="str">
        <x:v>RFP-C2</x:v>
      </x:c>
      <x:c r="F149" t="str">
        <x:v>PTC-C</x:v>
      </x:c>
      <x:c r="G149" t="str">
        <x:v>QT-05</x:v>
      </x:c>
      <x:c r="H149" t="str">
        <x:v>RAW-V11</x:v>
      </x:c>
      <x:c r="I149" s="14" t="n">
        <x:f>'Reference Envelopes'!F17</x:f>
        <x:v>20</x:v>
      </x:c>
      <x:c r="J149" s="14" t="n">
        <x:f>'Reference Envelopes'!G17</x:f>
        <x:v>0.05</x:v>
      </x:c>
      <x:c r="K149" s="14" t="str">
        <x:f>IF(COUNT('Trial Register'!S149)=0,"",'Trial Register'!S149)</x:f>
      </x:c>
      <x:c r="L149" s="14" t="str">
        <x:f>IF(COUNT('Trial Register'!T149)=0,"",'Trial Register'!T149)</x:f>
      </x:c>
      <x:c r="M149" s="14" t="str">
        <x:f>IF(COUNT(K149:L149)&lt;2,"",K149-L149)</x:f>
      </x:c>
      <x:c r="N149" s="14" t="str">
        <x:f>IF(COUNT(K149:L149)&lt;2,"",K149+L149)</x:f>
      </x:c>
      <x:c r="O149" s="14" t="str">
        <x:f>IF(COUNT(K149)=0,"",ABS(K149-I149))</x:f>
      </x:c>
      <x:c r="P149" s="14" t="str">
        <x:f>IF(COUNT(O149)=0,"",IF(J149=0,IF(O149=0,0,999),O149/J149))</x:f>
      </x:c>
      <x:c r="Q149" t="str">
        <x:f>IF(COUNT(M149:N149)&lt;2,"",IF(AND(I149&gt;=M149,I149&lt;=N149,O149&lt;=J149),"PASS","FAIL"))</x:f>
      </x:c>
      <x:c r="R149" t="str"/>
      <x:c r="S149" t="str">
        <x:f>IF(R149=1,IF(Q149="PASS","PASS","FAIL"),"OPEN")</x:f>
        <x:v>OPEN</x:v>
      </x:c>
    </x:row>
    <x:row r="150">
      <x:c r="B150" t="str">
        <x:v>RAW-E144</x:v>
      </x:c>
      <x:c r="C150" t="str">
        <x:v>AM-01</x:v>
      </x:c>
      <x:c r="D150" t="str">
        <x:v>TR-B</x:v>
      </x:c>
      <x:c r="E150" t="str">
        <x:v>RFP-C2</x:v>
      </x:c>
      <x:c r="F150" t="str">
        <x:v>PTC-C</x:v>
      </x:c>
      <x:c r="G150" t="str">
        <x:v>QT-06</x:v>
      </x:c>
      <x:c r="H150" t="str">
        <x:v>RAW-V12</x:v>
      </x:c>
      <x:c r="I150" s="14" t="n">
        <x:f>'Reference Envelopes'!F18</x:f>
        <x:v>15</x:v>
      </x:c>
      <x:c r="J150" s="14" t="n">
        <x:f>'Reference Envelopes'!G18</x:f>
        <x:v>0.05</x:v>
      </x:c>
      <x:c r="K150" s="14" t="str">
        <x:f>IF(COUNT('Trial Register'!S150)=0,"",'Trial Register'!S150)</x:f>
      </x:c>
      <x:c r="L150" s="14" t="str">
        <x:f>IF(COUNT('Trial Register'!T150)=0,"",'Trial Register'!T150)</x:f>
      </x:c>
      <x:c r="M150" s="14" t="str">
        <x:f>IF(COUNT(K150:L150)&lt;2,"",K150-L150)</x:f>
      </x:c>
      <x:c r="N150" s="14" t="str">
        <x:f>IF(COUNT(K150:L150)&lt;2,"",K150+L150)</x:f>
      </x:c>
      <x:c r="O150" s="14" t="str">
        <x:f>IF(COUNT(K150)=0,"",ABS(K150-I150))</x:f>
      </x:c>
      <x:c r="P150" s="14" t="str">
        <x:f>IF(COUNT(O150)=0,"",IF(J150=0,IF(O150=0,0,999),O150/J150))</x:f>
      </x:c>
      <x:c r="Q150" t="str">
        <x:f>IF(COUNT(M150:N150)&lt;2,"",IF(AND(I150&gt;=M150,I150&lt;=N150,O150&lt;=J150),"PASS","FAIL"))</x:f>
      </x:c>
      <x:c r="R150" t="str"/>
      <x:c r="S150" t="str">
        <x:f>IF(R150=1,IF(Q150="PASS","PASS","FAIL"),"OPEN")</x:f>
        <x:v>OPEN</x:v>
      </x:c>
    </x:row>
    <x:row r="151">
      <x:c r="B151" t="str">
        <x:v>RAW-E145</x:v>
      </x:c>
      <x:c r="C151" t="str">
        <x:v>AM-02</x:v>
      </x:c>
      <x:c r="D151" t="str">
        <x:v>TR-A</x:v>
      </x:c>
      <x:c r="E151" t="str">
        <x:v>RFP-A1</x:v>
      </x:c>
      <x:c r="F151" t="str">
        <x:v>PTC-A</x:v>
      </x:c>
      <x:c r="G151" t="str">
        <x:v>QT-01</x:v>
      </x:c>
      <x:c r="H151" t="str">
        <x:v>RAW-V13</x:v>
      </x:c>
      <x:c r="I151" s="14" t="n">
        <x:f>'Reference Envelopes'!F19</x:f>
        <x:v>800</x:v>
      </x:c>
      <x:c r="J151" s="14" t="n">
        <x:f>'Reference Envelopes'!G19</x:f>
        <x:v>1</x:v>
      </x:c>
      <x:c r="K151" s="14" t="str">
        <x:f>IF(COUNT('Trial Register'!S151)=0,"",'Trial Register'!S151)</x:f>
      </x:c>
      <x:c r="L151" s="14" t="str">
        <x:f>IF(COUNT('Trial Register'!T151)=0,"",'Trial Register'!T151)</x:f>
      </x:c>
      <x:c r="M151" s="14" t="str">
        <x:f>IF(COUNT(K151:L151)&lt;2,"",K151-L151)</x:f>
      </x:c>
      <x:c r="N151" s="14" t="str">
        <x:f>IF(COUNT(K151:L151)&lt;2,"",K151+L151)</x:f>
      </x:c>
      <x:c r="O151" s="14" t="str">
        <x:f>IF(COUNT(K151)=0,"",ABS(K151-I151))</x:f>
      </x:c>
      <x:c r="P151" s="14" t="str">
        <x:f>IF(COUNT(O151)=0,"",IF(J151=0,IF(O151=0,0,999),O151/J151))</x:f>
      </x:c>
      <x:c r="Q151" t="str">
        <x:f>IF(COUNT(M151:N151)&lt;2,"",IF(AND(I151&gt;=M151,I151&lt;=N151,O151&lt;=J151),"PASS","FAIL"))</x:f>
      </x:c>
      <x:c r="R151" t="str"/>
      <x:c r="S151" t="str">
        <x:f>IF(R151=1,IF(Q151="PASS","PASS","FAIL"),"OPEN")</x:f>
        <x:v>OPEN</x:v>
      </x:c>
    </x:row>
    <x:row r="152">
      <x:c r="B152" t="str">
        <x:v>RAW-E146</x:v>
      </x:c>
      <x:c r="C152" t="str">
        <x:v>AM-02</x:v>
      </x:c>
      <x:c r="D152" t="str">
        <x:v>TR-A</x:v>
      </x:c>
      <x:c r="E152" t="str">
        <x:v>RFP-A1</x:v>
      </x:c>
      <x:c r="F152" t="str">
        <x:v>PTC-A</x:v>
      </x:c>
      <x:c r="G152" t="str">
        <x:v>QT-02</x:v>
      </x:c>
      <x:c r="H152" t="str">
        <x:v>RAW-V14</x:v>
      </x:c>
      <x:c r="I152" s="14" t="n">
        <x:f>'Reference Envelopes'!F20</x:f>
        <x:v>750</x:v>
      </x:c>
      <x:c r="J152" s="14" t="n">
        <x:f>'Reference Envelopes'!G20</x:f>
        <x:v>1</x:v>
      </x:c>
      <x:c r="K152" s="14" t="str">
        <x:f>IF(COUNT('Trial Register'!S152)=0,"",'Trial Register'!S152)</x:f>
      </x:c>
      <x:c r="L152" s="14" t="str">
        <x:f>IF(COUNT('Trial Register'!T152)=0,"",'Trial Register'!T152)</x:f>
      </x:c>
      <x:c r="M152" s="14" t="str">
        <x:f>IF(COUNT(K152:L152)&lt;2,"",K152-L152)</x:f>
      </x:c>
      <x:c r="N152" s="14" t="str">
        <x:f>IF(COUNT(K152:L152)&lt;2,"",K152+L152)</x:f>
      </x:c>
      <x:c r="O152" s="14" t="str">
        <x:f>IF(COUNT(K152)=0,"",ABS(K152-I152))</x:f>
      </x:c>
      <x:c r="P152" s="14" t="str">
        <x:f>IF(COUNT(O152)=0,"",IF(J152=0,IF(O152=0,0,999),O152/J152))</x:f>
      </x:c>
      <x:c r="Q152" t="str">
        <x:f>IF(COUNT(M152:N152)&lt;2,"",IF(AND(I152&gt;=M152,I152&lt;=N152,O152&lt;=J152),"PASS","FAIL"))</x:f>
      </x:c>
      <x:c r="R152" t="str"/>
      <x:c r="S152" t="str">
        <x:f>IF(R152=1,IF(Q152="PASS","PASS","FAIL"),"OPEN")</x:f>
        <x:v>OPEN</x:v>
      </x:c>
    </x:row>
    <x:row r="153">
      <x:c r="B153" t="str">
        <x:v>RAW-E147</x:v>
      </x:c>
      <x:c r="C153" t="str">
        <x:v>AM-02</x:v>
      </x:c>
      <x:c r="D153" t="str">
        <x:v>TR-A</x:v>
      </x:c>
      <x:c r="E153" t="str">
        <x:v>RFP-A1</x:v>
      </x:c>
      <x:c r="F153" t="str">
        <x:v>PTC-A</x:v>
      </x:c>
      <x:c r="G153" t="str">
        <x:v>QT-03</x:v>
      </x:c>
      <x:c r="H153" t="str">
        <x:v>RAW-V15</x:v>
      </x:c>
      <x:c r="I153" s="14" t="n">
        <x:f>'Reference Envelopes'!F21</x:f>
        <x:v>950</x:v>
      </x:c>
      <x:c r="J153" s="14" t="n">
        <x:f>'Reference Envelopes'!G21</x:f>
        <x:v>2</x:v>
      </x:c>
      <x:c r="K153" s="14" t="str">
        <x:f>IF(COUNT('Trial Register'!S153)=0,"",'Trial Register'!S153)</x:f>
      </x:c>
      <x:c r="L153" s="14" t="str">
        <x:f>IF(COUNT('Trial Register'!T153)=0,"",'Trial Register'!T153)</x:f>
      </x:c>
      <x:c r="M153" s="14" t="str">
        <x:f>IF(COUNT(K153:L153)&lt;2,"",K153-L153)</x:f>
      </x:c>
      <x:c r="N153" s="14" t="str">
        <x:f>IF(COUNT(K153:L153)&lt;2,"",K153+L153)</x:f>
      </x:c>
      <x:c r="O153" s="14" t="str">
        <x:f>IF(COUNT(K153)=0,"",ABS(K153-I153))</x:f>
      </x:c>
      <x:c r="P153" s="14" t="str">
        <x:f>IF(COUNT(O153)=0,"",IF(J153=0,IF(O153=0,0,999),O153/J153))</x:f>
      </x:c>
      <x:c r="Q153" t="str">
        <x:f>IF(COUNT(M153:N153)&lt;2,"",IF(AND(I153&gt;=M153,I153&lt;=N153,O153&lt;=J153),"PASS","FAIL"))</x:f>
      </x:c>
      <x:c r="R153" t="str"/>
      <x:c r="S153" t="str">
        <x:f>IF(R153=1,IF(Q153="PASS","PASS","FAIL"),"OPEN")</x:f>
        <x:v>OPEN</x:v>
      </x:c>
    </x:row>
    <x:row r="154">
      <x:c r="B154" t="str">
        <x:v>RAW-E148</x:v>
      </x:c>
      <x:c r="C154" t="str">
        <x:v>AM-02</x:v>
      </x:c>
      <x:c r="D154" t="str">
        <x:v>TR-A</x:v>
      </x:c>
      <x:c r="E154" t="str">
        <x:v>RFP-A1</x:v>
      </x:c>
      <x:c r="F154" t="str">
        <x:v>PTC-A</x:v>
      </x:c>
      <x:c r="G154" t="str">
        <x:v>QT-04</x:v>
      </x:c>
      <x:c r="H154" t="str">
        <x:v>RAW-V16</x:v>
      </x:c>
      <x:c r="I154" s="14" t="n">
        <x:f>'Reference Envelopes'!F22</x:f>
        <x:v>850</x:v>
      </x:c>
      <x:c r="J154" s="14" t="n">
        <x:f>'Reference Envelopes'!G22</x:f>
        <x:v>1.5</x:v>
      </x:c>
      <x:c r="K154" s="14" t="str">
        <x:f>IF(COUNT('Trial Register'!S154)=0,"",'Trial Register'!S154)</x:f>
      </x:c>
      <x:c r="L154" s="14" t="str">
        <x:f>IF(COUNT('Trial Register'!T154)=0,"",'Trial Register'!T154)</x:f>
      </x:c>
      <x:c r="M154" s="14" t="str">
        <x:f>IF(COUNT(K154:L154)&lt;2,"",K154-L154)</x:f>
      </x:c>
      <x:c r="N154" s="14" t="str">
        <x:f>IF(COUNT(K154:L154)&lt;2,"",K154+L154)</x:f>
      </x:c>
      <x:c r="O154" s="14" t="str">
        <x:f>IF(COUNT(K154)=0,"",ABS(K154-I154))</x:f>
      </x:c>
      <x:c r="P154" s="14" t="str">
        <x:f>IF(COUNT(O154)=0,"",IF(J154=0,IF(O154=0,0,999),O154/J154))</x:f>
      </x:c>
      <x:c r="Q154" t="str">
        <x:f>IF(COUNT(M154:N154)&lt;2,"",IF(AND(I154&gt;=M154,I154&lt;=N154,O154&lt;=J154),"PASS","FAIL"))</x:f>
      </x:c>
      <x:c r="R154" t="str"/>
      <x:c r="S154" t="str">
        <x:f>IF(R154=1,IF(Q154="PASS","PASS","FAIL"),"OPEN")</x:f>
        <x:v>OPEN</x:v>
      </x:c>
    </x:row>
    <x:row r="155">
      <x:c r="B155" t="str">
        <x:v>RAW-E149</x:v>
      </x:c>
      <x:c r="C155" t="str">
        <x:v>AM-02</x:v>
      </x:c>
      <x:c r="D155" t="str">
        <x:v>TR-A</x:v>
      </x:c>
      <x:c r="E155" t="str">
        <x:v>RFP-A1</x:v>
      </x:c>
      <x:c r="F155" t="str">
        <x:v>PTC-A</x:v>
      </x:c>
      <x:c r="G155" t="str">
        <x:v>QT-05</x:v>
      </x:c>
      <x:c r="H155" t="str">
        <x:v>RAW-V17</x:v>
      </x:c>
      <x:c r="I155" s="14" t="n">
        <x:f>'Reference Envelopes'!F23</x:f>
        <x:v>900</x:v>
      </x:c>
      <x:c r="J155" s="14" t="n">
        <x:f>'Reference Envelopes'!G23</x:f>
        <x:v>2</x:v>
      </x:c>
      <x:c r="K155" s="14" t="str">
        <x:f>IF(COUNT('Trial Register'!S155)=0,"",'Trial Register'!S155)</x:f>
      </x:c>
      <x:c r="L155" s="14" t="str">
        <x:f>IF(COUNT('Trial Register'!T155)=0,"",'Trial Register'!T155)</x:f>
      </x:c>
      <x:c r="M155" s="14" t="str">
        <x:f>IF(COUNT(K155:L155)&lt;2,"",K155-L155)</x:f>
      </x:c>
      <x:c r="N155" s="14" t="str">
        <x:f>IF(COUNT(K155:L155)&lt;2,"",K155+L155)</x:f>
      </x:c>
      <x:c r="O155" s="14" t="str">
        <x:f>IF(COUNT(K155)=0,"",ABS(K155-I155))</x:f>
      </x:c>
      <x:c r="P155" s="14" t="str">
        <x:f>IF(COUNT(O155)=0,"",IF(J155=0,IF(O155=0,0,999),O155/J155))</x:f>
      </x:c>
      <x:c r="Q155" t="str">
        <x:f>IF(COUNT(M155:N155)&lt;2,"",IF(AND(I155&gt;=M155,I155&lt;=N155,O155&lt;=J155),"PASS","FAIL"))</x:f>
      </x:c>
      <x:c r="R155" t="str"/>
      <x:c r="S155" t="str">
        <x:f>IF(R155=1,IF(Q155="PASS","PASS","FAIL"),"OPEN")</x:f>
        <x:v>OPEN</x:v>
      </x:c>
    </x:row>
    <x:row r="156">
      <x:c r="B156" t="str">
        <x:v>RAW-E150</x:v>
      </x:c>
      <x:c r="C156" t="str">
        <x:v>AM-02</x:v>
      </x:c>
      <x:c r="D156" t="str">
        <x:v>TR-A</x:v>
      </x:c>
      <x:c r="E156" t="str">
        <x:v>RFP-A1</x:v>
      </x:c>
      <x:c r="F156" t="str">
        <x:v>PTC-A</x:v>
      </x:c>
      <x:c r="G156" t="str">
        <x:v>QT-06</x:v>
      </x:c>
      <x:c r="H156" t="str">
        <x:v>RAW-V18</x:v>
      </x:c>
      <x:c r="I156" s="14" t="n">
        <x:f>'Reference Envelopes'!F24</x:f>
        <x:v>825</x:v>
      </x:c>
      <x:c r="J156" s="14" t="n">
        <x:f>'Reference Envelopes'!G24</x:f>
        <x:v>1.5</x:v>
      </x:c>
      <x:c r="K156" s="14" t="str">
        <x:f>IF(COUNT('Trial Register'!S156)=0,"",'Trial Register'!S156)</x:f>
      </x:c>
      <x:c r="L156" s="14" t="str">
        <x:f>IF(COUNT('Trial Register'!T156)=0,"",'Trial Register'!T156)</x:f>
      </x:c>
      <x:c r="M156" s="14" t="str">
        <x:f>IF(COUNT(K156:L156)&lt;2,"",K156-L156)</x:f>
      </x:c>
      <x:c r="N156" s="14" t="str">
        <x:f>IF(COUNT(K156:L156)&lt;2,"",K156+L156)</x:f>
      </x:c>
      <x:c r="O156" s="14" t="str">
        <x:f>IF(COUNT(K156)=0,"",ABS(K156-I156))</x:f>
      </x:c>
      <x:c r="P156" s="14" t="str">
        <x:f>IF(COUNT(O156)=0,"",IF(J156=0,IF(O156=0,0,999),O156/J156))</x:f>
      </x:c>
      <x:c r="Q156" t="str">
        <x:f>IF(COUNT(M156:N156)&lt;2,"",IF(AND(I156&gt;=M156,I156&lt;=N156,O156&lt;=J156),"PASS","FAIL"))</x:f>
      </x:c>
      <x:c r="R156" t="str"/>
      <x:c r="S156" t="str">
        <x:f>IF(R156=1,IF(Q156="PASS","PASS","FAIL"),"OPEN")</x:f>
        <x:v>OPEN</x:v>
      </x:c>
    </x:row>
    <x:row r="157">
      <x:c r="B157" t="str">
        <x:v>RAW-E151</x:v>
      </x:c>
      <x:c r="C157" t="str">
        <x:v>AM-02</x:v>
      </x:c>
      <x:c r="D157" t="str">
        <x:v>TR-B</x:v>
      </x:c>
      <x:c r="E157" t="str">
        <x:v>RFP-A1</x:v>
      </x:c>
      <x:c r="F157" t="str">
        <x:v>PTC-A</x:v>
      </x:c>
      <x:c r="G157" t="str">
        <x:v>QT-01</x:v>
      </x:c>
      <x:c r="H157" t="str">
        <x:v>RAW-V13</x:v>
      </x:c>
      <x:c r="I157" s="14" t="n">
        <x:f>'Reference Envelopes'!F19</x:f>
        <x:v>800</x:v>
      </x:c>
      <x:c r="J157" s="14" t="n">
        <x:f>'Reference Envelopes'!G19</x:f>
        <x:v>1</x:v>
      </x:c>
      <x:c r="K157" s="14" t="str">
        <x:f>IF(COUNT('Trial Register'!S157)=0,"",'Trial Register'!S157)</x:f>
      </x:c>
      <x:c r="L157" s="14" t="str">
        <x:f>IF(COUNT('Trial Register'!T157)=0,"",'Trial Register'!T157)</x:f>
      </x:c>
      <x:c r="M157" s="14" t="str">
        <x:f>IF(COUNT(K157:L157)&lt;2,"",K157-L157)</x:f>
      </x:c>
      <x:c r="N157" s="14" t="str">
        <x:f>IF(COUNT(K157:L157)&lt;2,"",K157+L157)</x:f>
      </x:c>
      <x:c r="O157" s="14" t="str">
        <x:f>IF(COUNT(K157)=0,"",ABS(K157-I157))</x:f>
      </x:c>
      <x:c r="P157" s="14" t="str">
        <x:f>IF(COUNT(O157)=0,"",IF(J157=0,IF(O157=0,0,999),O157/J157))</x:f>
      </x:c>
      <x:c r="Q157" t="str">
        <x:f>IF(COUNT(M157:N157)&lt;2,"",IF(AND(I157&gt;=M157,I157&lt;=N157,O157&lt;=J157),"PASS","FAIL"))</x:f>
      </x:c>
      <x:c r="R157" t="str"/>
      <x:c r="S157" t="str">
        <x:f>IF(R157=1,IF(Q157="PASS","PASS","FAIL"),"OPEN")</x:f>
        <x:v>OPEN</x:v>
      </x:c>
    </x:row>
    <x:row r="158">
      <x:c r="B158" t="str">
        <x:v>RAW-E152</x:v>
      </x:c>
      <x:c r="C158" t="str">
        <x:v>AM-02</x:v>
      </x:c>
      <x:c r="D158" t="str">
        <x:v>TR-B</x:v>
      </x:c>
      <x:c r="E158" t="str">
        <x:v>RFP-A1</x:v>
      </x:c>
      <x:c r="F158" t="str">
        <x:v>PTC-A</x:v>
      </x:c>
      <x:c r="G158" t="str">
        <x:v>QT-02</x:v>
      </x:c>
      <x:c r="H158" t="str">
        <x:v>RAW-V14</x:v>
      </x:c>
      <x:c r="I158" s="14" t="n">
        <x:f>'Reference Envelopes'!F20</x:f>
        <x:v>750</x:v>
      </x:c>
      <x:c r="J158" s="14" t="n">
        <x:f>'Reference Envelopes'!G20</x:f>
        <x:v>1</x:v>
      </x:c>
      <x:c r="K158" s="14" t="str">
        <x:f>IF(COUNT('Trial Register'!S158)=0,"",'Trial Register'!S158)</x:f>
      </x:c>
      <x:c r="L158" s="14" t="str">
        <x:f>IF(COUNT('Trial Register'!T158)=0,"",'Trial Register'!T158)</x:f>
      </x:c>
      <x:c r="M158" s="14" t="str">
        <x:f>IF(COUNT(K158:L158)&lt;2,"",K158-L158)</x:f>
      </x:c>
      <x:c r="N158" s="14" t="str">
        <x:f>IF(COUNT(K158:L158)&lt;2,"",K158+L158)</x:f>
      </x:c>
      <x:c r="O158" s="14" t="str">
        <x:f>IF(COUNT(K158)=0,"",ABS(K158-I158))</x:f>
      </x:c>
      <x:c r="P158" s="14" t="str">
        <x:f>IF(COUNT(O158)=0,"",IF(J158=0,IF(O158=0,0,999),O158/J158))</x:f>
      </x:c>
      <x:c r="Q158" t="str">
        <x:f>IF(COUNT(M158:N158)&lt;2,"",IF(AND(I158&gt;=M158,I158&lt;=N158,O158&lt;=J158),"PASS","FAIL"))</x:f>
      </x:c>
      <x:c r="R158" t="str"/>
      <x:c r="S158" t="str">
        <x:f>IF(R158=1,IF(Q158="PASS","PASS","FAIL"),"OPEN")</x:f>
        <x:v>OPEN</x:v>
      </x:c>
    </x:row>
    <x:row r="159">
      <x:c r="B159" t="str">
        <x:v>RAW-E153</x:v>
      </x:c>
      <x:c r="C159" t="str">
        <x:v>AM-02</x:v>
      </x:c>
      <x:c r="D159" t="str">
        <x:v>TR-B</x:v>
      </x:c>
      <x:c r="E159" t="str">
        <x:v>RFP-A1</x:v>
      </x:c>
      <x:c r="F159" t="str">
        <x:v>PTC-A</x:v>
      </x:c>
      <x:c r="G159" t="str">
        <x:v>QT-03</x:v>
      </x:c>
      <x:c r="H159" t="str">
        <x:v>RAW-V15</x:v>
      </x:c>
      <x:c r="I159" s="14" t="n">
        <x:f>'Reference Envelopes'!F21</x:f>
        <x:v>950</x:v>
      </x:c>
      <x:c r="J159" s="14" t="n">
        <x:f>'Reference Envelopes'!G21</x:f>
        <x:v>2</x:v>
      </x:c>
      <x:c r="K159" s="14" t="str">
        <x:f>IF(COUNT('Trial Register'!S159)=0,"",'Trial Register'!S159)</x:f>
      </x:c>
      <x:c r="L159" s="14" t="str">
        <x:f>IF(COUNT('Trial Register'!T159)=0,"",'Trial Register'!T159)</x:f>
      </x:c>
      <x:c r="M159" s="14" t="str">
        <x:f>IF(COUNT(K159:L159)&lt;2,"",K159-L159)</x:f>
      </x:c>
      <x:c r="N159" s="14" t="str">
        <x:f>IF(COUNT(K159:L159)&lt;2,"",K159+L159)</x:f>
      </x:c>
      <x:c r="O159" s="14" t="str">
        <x:f>IF(COUNT(K159)=0,"",ABS(K159-I159))</x:f>
      </x:c>
      <x:c r="P159" s="14" t="str">
        <x:f>IF(COUNT(O159)=0,"",IF(J159=0,IF(O159=0,0,999),O159/J159))</x:f>
      </x:c>
      <x:c r="Q159" t="str">
        <x:f>IF(COUNT(M159:N159)&lt;2,"",IF(AND(I159&gt;=M159,I159&lt;=N159,O159&lt;=J159),"PASS","FAIL"))</x:f>
      </x:c>
      <x:c r="R159" t="str"/>
      <x:c r="S159" t="str">
        <x:f>IF(R159=1,IF(Q159="PASS","PASS","FAIL"),"OPEN")</x:f>
        <x:v>OPEN</x:v>
      </x:c>
    </x:row>
    <x:row r="160">
      <x:c r="B160" t="str">
        <x:v>RAW-E154</x:v>
      </x:c>
      <x:c r="C160" t="str">
        <x:v>AM-02</x:v>
      </x:c>
      <x:c r="D160" t="str">
        <x:v>TR-B</x:v>
      </x:c>
      <x:c r="E160" t="str">
        <x:v>RFP-A1</x:v>
      </x:c>
      <x:c r="F160" t="str">
        <x:v>PTC-A</x:v>
      </x:c>
      <x:c r="G160" t="str">
        <x:v>QT-04</x:v>
      </x:c>
      <x:c r="H160" t="str">
        <x:v>RAW-V16</x:v>
      </x:c>
      <x:c r="I160" s="14" t="n">
        <x:f>'Reference Envelopes'!F22</x:f>
        <x:v>850</x:v>
      </x:c>
      <x:c r="J160" s="14" t="n">
        <x:f>'Reference Envelopes'!G22</x:f>
        <x:v>1.5</x:v>
      </x:c>
      <x:c r="K160" s="14" t="str">
        <x:f>IF(COUNT('Trial Register'!S160)=0,"",'Trial Register'!S160)</x:f>
      </x:c>
      <x:c r="L160" s="14" t="str">
        <x:f>IF(COUNT('Trial Register'!T160)=0,"",'Trial Register'!T160)</x:f>
      </x:c>
      <x:c r="M160" s="14" t="str">
        <x:f>IF(COUNT(K160:L160)&lt;2,"",K160-L160)</x:f>
      </x:c>
      <x:c r="N160" s="14" t="str">
        <x:f>IF(COUNT(K160:L160)&lt;2,"",K160+L160)</x:f>
      </x:c>
      <x:c r="O160" s="14" t="str">
        <x:f>IF(COUNT(K160)=0,"",ABS(K160-I160))</x:f>
      </x:c>
      <x:c r="P160" s="14" t="str">
        <x:f>IF(COUNT(O160)=0,"",IF(J160=0,IF(O160=0,0,999),O160/J160))</x:f>
      </x:c>
      <x:c r="Q160" t="str">
        <x:f>IF(COUNT(M160:N160)&lt;2,"",IF(AND(I160&gt;=M160,I160&lt;=N160,O160&lt;=J160),"PASS","FAIL"))</x:f>
      </x:c>
      <x:c r="R160" t="str"/>
      <x:c r="S160" t="str">
        <x:f>IF(R160=1,IF(Q160="PASS","PASS","FAIL"),"OPEN")</x:f>
        <x:v>OPEN</x:v>
      </x:c>
    </x:row>
    <x:row r="161">
      <x:c r="B161" t="str">
        <x:v>RAW-E155</x:v>
      </x:c>
      <x:c r="C161" t="str">
        <x:v>AM-02</x:v>
      </x:c>
      <x:c r="D161" t="str">
        <x:v>TR-B</x:v>
      </x:c>
      <x:c r="E161" t="str">
        <x:v>RFP-A1</x:v>
      </x:c>
      <x:c r="F161" t="str">
        <x:v>PTC-A</x:v>
      </x:c>
      <x:c r="G161" t="str">
        <x:v>QT-05</x:v>
      </x:c>
      <x:c r="H161" t="str">
        <x:v>RAW-V17</x:v>
      </x:c>
      <x:c r="I161" s="14" t="n">
        <x:f>'Reference Envelopes'!F23</x:f>
        <x:v>900</x:v>
      </x:c>
      <x:c r="J161" s="14" t="n">
        <x:f>'Reference Envelopes'!G23</x:f>
        <x:v>2</x:v>
      </x:c>
      <x:c r="K161" s="14" t="str">
        <x:f>IF(COUNT('Trial Register'!S161)=0,"",'Trial Register'!S161)</x:f>
      </x:c>
      <x:c r="L161" s="14" t="str">
        <x:f>IF(COUNT('Trial Register'!T161)=0,"",'Trial Register'!T161)</x:f>
      </x:c>
      <x:c r="M161" s="14" t="str">
        <x:f>IF(COUNT(K161:L161)&lt;2,"",K161-L161)</x:f>
      </x:c>
      <x:c r="N161" s="14" t="str">
        <x:f>IF(COUNT(K161:L161)&lt;2,"",K161+L161)</x:f>
      </x:c>
      <x:c r="O161" s="14" t="str">
        <x:f>IF(COUNT(K161)=0,"",ABS(K161-I161))</x:f>
      </x:c>
      <x:c r="P161" s="14" t="str">
        <x:f>IF(COUNT(O161)=0,"",IF(J161=0,IF(O161=0,0,999),O161/J161))</x:f>
      </x:c>
      <x:c r="Q161" t="str">
        <x:f>IF(COUNT(M161:N161)&lt;2,"",IF(AND(I161&gt;=M161,I161&lt;=N161,O161&lt;=J161),"PASS","FAIL"))</x:f>
      </x:c>
      <x:c r="R161" t="str"/>
      <x:c r="S161" t="str">
        <x:f>IF(R161=1,IF(Q161="PASS","PASS","FAIL"),"OPEN")</x:f>
        <x:v>OPEN</x:v>
      </x:c>
    </x:row>
    <x:row r="162">
      <x:c r="B162" t="str">
        <x:v>RAW-E156</x:v>
      </x:c>
      <x:c r="C162" t="str">
        <x:v>AM-02</x:v>
      </x:c>
      <x:c r="D162" t="str">
        <x:v>TR-B</x:v>
      </x:c>
      <x:c r="E162" t="str">
        <x:v>RFP-A1</x:v>
      </x:c>
      <x:c r="F162" t="str">
        <x:v>PTC-A</x:v>
      </x:c>
      <x:c r="G162" t="str">
        <x:v>QT-06</x:v>
      </x:c>
      <x:c r="H162" t="str">
        <x:v>RAW-V18</x:v>
      </x:c>
      <x:c r="I162" s="14" t="n">
        <x:f>'Reference Envelopes'!F24</x:f>
        <x:v>825</x:v>
      </x:c>
      <x:c r="J162" s="14" t="n">
        <x:f>'Reference Envelopes'!G24</x:f>
        <x:v>1.5</x:v>
      </x:c>
      <x:c r="K162" s="14" t="str">
        <x:f>IF(COUNT('Trial Register'!S162)=0,"",'Trial Register'!S162)</x:f>
      </x:c>
      <x:c r="L162" s="14" t="str">
        <x:f>IF(COUNT('Trial Register'!T162)=0,"",'Trial Register'!T162)</x:f>
      </x:c>
      <x:c r="M162" s="14" t="str">
        <x:f>IF(COUNT(K162:L162)&lt;2,"",K162-L162)</x:f>
      </x:c>
      <x:c r="N162" s="14" t="str">
        <x:f>IF(COUNT(K162:L162)&lt;2,"",K162+L162)</x:f>
      </x:c>
      <x:c r="O162" s="14" t="str">
        <x:f>IF(COUNT(K162)=0,"",ABS(K162-I162))</x:f>
      </x:c>
      <x:c r="P162" s="14" t="str">
        <x:f>IF(COUNT(O162)=0,"",IF(J162=0,IF(O162=0,0,999),O162/J162))</x:f>
      </x:c>
      <x:c r="Q162" t="str">
        <x:f>IF(COUNT(M162:N162)&lt;2,"",IF(AND(I162&gt;=M162,I162&lt;=N162,O162&lt;=J162),"PASS","FAIL"))</x:f>
      </x:c>
      <x:c r="R162" t="str"/>
      <x:c r="S162" t="str">
        <x:f>IF(R162=1,IF(Q162="PASS","PASS","FAIL"),"OPEN")</x:f>
        <x:v>OPEN</x:v>
      </x:c>
    </x:row>
    <x:row r="163">
      <x:c r="B163" t="str">
        <x:v>RAW-E157</x:v>
      </x:c>
      <x:c r="C163" t="str">
        <x:v>AM-02</x:v>
      </x:c>
      <x:c r="D163" t="str">
        <x:v>TR-A</x:v>
      </x:c>
      <x:c r="E163" t="str">
        <x:v>RFP-A2</x:v>
      </x:c>
      <x:c r="F163" t="str">
        <x:v>PTC-A</x:v>
      </x:c>
      <x:c r="G163" t="str">
        <x:v>QT-01</x:v>
      </x:c>
      <x:c r="H163" t="str">
        <x:v>RAW-V13</x:v>
      </x:c>
      <x:c r="I163" s="14" t="n">
        <x:f>'Reference Envelopes'!F19</x:f>
        <x:v>800</x:v>
      </x:c>
      <x:c r="J163" s="14" t="n">
        <x:f>'Reference Envelopes'!G19</x:f>
        <x:v>1</x:v>
      </x:c>
      <x:c r="K163" s="14" t="str">
        <x:f>IF(COUNT('Trial Register'!S163)=0,"",'Trial Register'!S163)</x:f>
      </x:c>
      <x:c r="L163" s="14" t="str">
        <x:f>IF(COUNT('Trial Register'!T163)=0,"",'Trial Register'!T163)</x:f>
      </x:c>
      <x:c r="M163" s="14" t="str">
        <x:f>IF(COUNT(K163:L163)&lt;2,"",K163-L163)</x:f>
      </x:c>
      <x:c r="N163" s="14" t="str">
        <x:f>IF(COUNT(K163:L163)&lt;2,"",K163+L163)</x:f>
      </x:c>
      <x:c r="O163" s="14" t="str">
        <x:f>IF(COUNT(K163)=0,"",ABS(K163-I163))</x:f>
      </x:c>
      <x:c r="P163" s="14" t="str">
        <x:f>IF(COUNT(O163)=0,"",IF(J163=0,IF(O163=0,0,999),O163/J163))</x:f>
      </x:c>
      <x:c r="Q163" t="str">
        <x:f>IF(COUNT(M163:N163)&lt;2,"",IF(AND(I163&gt;=M163,I163&lt;=N163,O163&lt;=J163),"PASS","FAIL"))</x:f>
      </x:c>
      <x:c r="R163" t="str"/>
      <x:c r="S163" t="str">
        <x:f>IF(R163=1,IF(Q163="PASS","PASS","FAIL"),"OPEN")</x:f>
        <x:v>OPEN</x:v>
      </x:c>
    </x:row>
    <x:row r="164">
      <x:c r="B164" t="str">
        <x:v>RAW-E158</x:v>
      </x:c>
      <x:c r="C164" t="str">
        <x:v>AM-02</x:v>
      </x:c>
      <x:c r="D164" t="str">
        <x:v>TR-A</x:v>
      </x:c>
      <x:c r="E164" t="str">
        <x:v>RFP-A2</x:v>
      </x:c>
      <x:c r="F164" t="str">
        <x:v>PTC-A</x:v>
      </x:c>
      <x:c r="G164" t="str">
        <x:v>QT-02</x:v>
      </x:c>
      <x:c r="H164" t="str">
        <x:v>RAW-V14</x:v>
      </x:c>
      <x:c r="I164" s="14" t="n">
        <x:f>'Reference Envelopes'!F20</x:f>
        <x:v>750</x:v>
      </x:c>
      <x:c r="J164" s="14" t="n">
        <x:f>'Reference Envelopes'!G20</x:f>
        <x:v>1</x:v>
      </x:c>
      <x:c r="K164" s="14" t="str">
        <x:f>IF(COUNT('Trial Register'!S164)=0,"",'Trial Register'!S164)</x:f>
      </x:c>
      <x:c r="L164" s="14" t="str">
        <x:f>IF(COUNT('Trial Register'!T164)=0,"",'Trial Register'!T164)</x:f>
      </x:c>
      <x:c r="M164" s="14" t="str">
        <x:f>IF(COUNT(K164:L164)&lt;2,"",K164-L164)</x:f>
      </x:c>
      <x:c r="N164" s="14" t="str">
        <x:f>IF(COUNT(K164:L164)&lt;2,"",K164+L164)</x:f>
      </x:c>
      <x:c r="O164" s="14" t="str">
        <x:f>IF(COUNT(K164)=0,"",ABS(K164-I164))</x:f>
      </x:c>
      <x:c r="P164" s="14" t="str">
        <x:f>IF(COUNT(O164)=0,"",IF(J164=0,IF(O164=0,0,999),O164/J164))</x:f>
      </x:c>
      <x:c r="Q164" t="str">
        <x:f>IF(COUNT(M164:N164)&lt;2,"",IF(AND(I164&gt;=M164,I164&lt;=N164,O164&lt;=J164),"PASS","FAIL"))</x:f>
      </x:c>
      <x:c r="R164" t="str"/>
      <x:c r="S164" t="str">
        <x:f>IF(R164=1,IF(Q164="PASS","PASS","FAIL"),"OPEN")</x:f>
        <x:v>OPEN</x:v>
      </x:c>
    </x:row>
    <x:row r="165">
      <x:c r="B165" t="str">
        <x:v>RAW-E159</x:v>
      </x:c>
      <x:c r="C165" t="str">
        <x:v>AM-02</x:v>
      </x:c>
      <x:c r="D165" t="str">
        <x:v>TR-A</x:v>
      </x:c>
      <x:c r="E165" t="str">
        <x:v>RFP-A2</x:v>
      </x:c>
      <x:c r="F165" t="str">
        <x:v>PTC-A</x:v>
      </x:c>
      <x:c r="G165" t="str">
        <x:v>QT-03</x:v>
      </x:c>
      <x:c r="H165" t="str">
        <x:v>RAW-V15</x:v>
      </x:c>
      <x:c r="I165" s="14" t="n">
        <x:f>'Reference Envelopes'!F21</x:f>
        <x:v>950</x:v>
      </x:c>
      <x:c r="J165" s="14" t="n">
        <x:f>'Reference Envelopes'!G21</x:f>
        <x:v>2</x:v>
      </x:c>
      <x:c r="K165" s="14" t="str">
        <x:f>IF(COUNT('Trial Register'!S165)=0,"",'Trial Register'!S165)</x:f>
      </x:c>
      <x:c r="L165" s="14" t="str">
        <x:f>IF(COUNT('Trial Register'!T165)=0,"",'Trial Register'!T165)</x:f>
      </x:c>
      <x:c r="M165" s="14" t="str">
        <x:f>IF(COUNT(K165:L165)&lt;2,"",K165-L165)</x:f>
      </x:c>
      <x:c r="N165" s="14" t="str">
        <x:f>IF(COUNT(K165:L165)&lt;2,"",K165+L165)</x:f>
      </x:c>
      <x:c r="O165" s="14" t="str">
        <x:f>IF(COUNT(K165)=0,"",ABS(K165-I165))</x:f>
      </x:c>
      <x:c r="P165" s="14" t="str">
        <x:f>IF(COUNT(O165)=0,"",IF(J165=0,IF(O165=0,0,999),O165/J165))</x:f>
      </x:c>
      <x:c r="Q165" t="str">
        <x:f>IF(COUNT(M165:N165)&lt;2,"",IF(AND(I165&gt;=M165,I165&lt;=N165,O165&lt;=J165),"PASS","FAIL"))</x:f>
      </x:c>
      <x:c r="R165" t="str"/>
      <x:c r="S165" t="str">
        <x:f>IF(R165=1,IF(Q165="PASS","PASS","FAIL"),"OPEN")</x:f>
        <x:v>OPEN</x:v>
      </x:c>
    </x:row>
    <x:row r="166">
      <x:c r="B166" t="str">
        <x:v>RAW-E160</x:v>
      </x:c>
      <x:c r="C166" t="str">
        <x:v>AM-02</x:v>
      </x:c>
      <x:c r="D166" t="str">
        <x:v>TR-A</x:v>
      </x:c>
      <x:c r="E166" t="str">
        <x:v>RFP-A2</x:v>
      </x:c>
      <x:c r="F166" t="str">
        <x:v>PTC-A</x:v>
      </x:c>
      <x:c r="G166" t="str">
        <x:v>QT-04</x:v>
      </x:c>
      <x:c r="H166" t="str">
        <x:v>RAW-V16</x:v>
      </x:c>
      <x:c r="I166" s="14" t="n">
        <x:f>'Reference Envelopes'!F22</x:f>
        <x:v>850</x:v>
      </x:c>
      <x:c r="J166" s="14" t="n">
        <x:f>'Reference Envelopes'!G22</x:f>
        <x:v>1.5</x:v>
      </x:c>
      <x:c r="K166" s="14" t="str">
        <x:f>IF(COUNT('Trial Register'!S166)=0,"",'Trial Register'!S166)</x:f>
      </x:c>
      <x:c r="L166" s="14" t="str">
        <x:f>IF(COUNT('Trial Register'!T166)=0,"",'Trial Register'!T166)</x:f>
      </x:c>
      <x:c r="M166" s="14" t="str">
        <x:f>IF(COUNT(K166:L166)&lt;2,"",K166-L166)</x:f>
      </x:c>
      <x:c r="N166" s="14" t="str">
        <x:f>IF(COUNT(K166:L166)&lt;2,"",K166+L166)</x:f>
      </x:c>
      <x:c r="O166" s="14" t="str">
        <x:f>IF(COUNT(K166)=0,"",ABS(K166-I166))</x:f>
      </x:c>
      <x:c r="P166" s="14" t="str">
        <x:f>IF(COUNT(O166)=0,"",IF(J166=0,IF(O166=0,0,999),O166/J166))</x:f>
      </x:c>
      <x:c r="Q166" t="str">
        <x:f>IF(COUNT(M166:N166)&lt;2,"",IF(AND(I166&gt;=M166,I166&lt;=N166,O166&lt;=J166),"PASS","FAIL"))</x:f>
      </x:c>
      <x:c r="R166" t="str"/>
      <x:c r="S166" t="str">
        <x:f>IF(R166=1,IF(Q166="PASS","PASS","FAIL"),"OPEN")</x:f>
        <x:v>OPEN</x:v>
      </x:c>
    </x:row>
    <x:row r="167">
      <x:c r="B167" t="str">
        <x:v>RAW-E161</x:v>
      </x:c>
      <x:c r="C167" t="str">
        <x:v>AM-02</x:v>
      </x:c>
      <x:c r="D167" t="str">
        <x:v>TR-A</x:v>
      </x:c>
      <x:c r="E167" t="str">
        <x:v>RFP-A2</x:v>
      </x:c>
      <x:c r="F167" t="str">
        <x:v>PTC-A</x:v>
      </x:c>
      <x:c r="G167" t="str">
        <x:v>QT-05</x:v>
      </x:c>
      <x:c r="H167" t="str">
        <x:v>RAW-V17</x:v>
      </x:c>
      <x:c r="I167" s="14" t="n">
        <x:f>'Reference Envelopes'!F23</x:f>
        <x:v>900</x:v>
      </x:c>
      <x:c r="J167" s="14" t="n">
        <x:f>'Reference Envelopes'!G23</x:f>
        <x:v>2</x:v>
      </x:c>
      <x:c r="K167" s="14" t="str">
        <x:f>IF(COUNT('Trial Register'!S167)=0,"",'Trial Register'!S167)</x:f>
      </x:c>
      <x:c r="L167" s="14" t="str">
        <x:f>IF(COUNT('Trial Register'!T167)=0,"",'Trial Register'!T167)</x:f>
      </x:c>
      <x:c r="M167" s="14" t="str">
        <x:f>IF(COUNT(K167:L167)&lt;2,"",K167-L167)</x:f>
      </x:c>
      <x:c r="N167" s="14" t="str">
        <x:f>IF(COUNT(K167:L167)&lt;2,"",K167+L167)</x:f>
      </x:c>
      <x:c r="O167" s="14" t="str">
        <x:f>IF(COUNT(K167)=0,"",ABS(K167-I167))</x:f>
      </x:c>
      <x:c r="P167" s="14" t="str">
        <x:f>IF(COUNT(O167)=0,"",IF(J167=0,IF(O167=0,0,999),O167/J167))</x:f>
      </x:c>
      <x:c r="Q167" t="str">
        <x:f>IF(COUNT(M167:N167)&lt;2,"",IF(AND(I167&gt;=M167,I167&lt;=N167,O167&lt;=J167),"PASS","FAIL"))</x:f>
      </x:c>
      <x:c r="R167" t="str"/>
      <x:c r="S167" t="str">
        <x:f>IF(R167=1,IF(Q167="PASS","PASS","FAIL"),"OPEN")</x:f>
        <x:v>OPEN</x:v>
      </x:c>
    </x:row>
    <x:row r="168">
      <x:c r="B168" t="str">
        <x:v>RAW-E162</x:v>
      </x:c>
      <x:c r="C168" t="str">
        <x:v>AM-02</x:v>
      </x:c>
      <x:c r="D168" t="str">
        <x:v>TR-A</x:v>
      </x:c>
      <x:c r="E168" t="str">
        <x:v>RFP-A2</x:v>
      </x:c>
      <x:c r="F168" t="str">
        <x:v>PTC-A</x:v>
      </x:c>
      <x:c r="G168" t="str">
        <x:v>QT-06</x:v>
      </x:c>
      <x:c r="H168" t="str">
        <x:v>RAW-V18</x:v>
      </x:c>
      <x:c r="I168" s="14" t="n">
        <x:f>'Reference Envelopes'!F24</x:f>
        <x:v>825</x:v>
      </x:c>
      <x:c r="J168" s="14" t="n">
        <x:f>'Reference Envelopes'!G24</x:f>
        <x:v>1.5</x:v>
      </x:c>
      <x:c r="K168" s="14" t="str">
        <x:f>IF(COUNT('Trial Register'!S168)=0,"",'Trial Register'!S168)</x:f>
      </x:c>
      <x:c r="L168" s="14" t="str">
        <x:f>IF(COUNT('Trial Register'!T168)=0,"",'Trial Register'!T168)</x:f>
      </x:c>
      <x:c r="M168" s="14" t="str">
        <x:f>IF(COUNT(K168:L168)&lt;2,"",K168-L168)</x:f>
      </x:c>
      <x:c r="N168" s="14" t="str">
        <x:f>IF(COUNT(K168:L168)&lt;2,"",K168+L168)</x:f>
      </x:c>
      <x:c r="O168" s="14" t="str">
        <x:f>IF(COUNT(K168)=0,"",ABS(K168-I168))</x:f>
      </x:c>
      <x:c r="P168" s="14" t="str">
        <x:f>IF(COUNT(O168)=0,"",IF(J168=0,IF(O168=0,0,999),O168/J168))</x:f>
      </x:c>
      <x:c r="Q168" t="str">
        <x:f>IF(COUNT(M168:N168)&lt;2,"",IF(AND(I168&gt;=M168,I168&lt;=N168,O168&lt;=J168),"PASS","FAIL"))</x:f>
      </x:c>
      <x:c r="R168" t="str"/>
      <x:c r="S168" t="str">
        <x:f>IF(R168=1,IF(Q168="PASS","PASS","FAIL"),"OPEN")</x:f>
        <x:v>OPEN</x:v>
      </x:c>
    </x:row>
    <x:row r="169">
      <x:c r="B169" t="str">
        <x:v>RAW-E163</x:v>
      </x:c>
      <x:c r="C169" t="str">
        <x:v>AM-02</x:v>
      </x:c>
      <x:c r="D169" t="str">
        <x:v>TR-B</x:v>
      </x:c>
      <x:c r="E169" t="str">
        <x:v>RFP-A2</x:v>
      </x:c>
      <x:c r="F169" t="str">
        <x:v>PTC-A</x:v>
      </x:c>
      <x:c r="G169" t="str">
        <x:v>QT-01</x:v>
      </x:c>
      <x:c r="H169" t="str">
        <x:v>RAW-V13</x:v>
      </x:c>
      <x:c r="I169" s="14" t="n">
        <x:f>'Reference Envelopes'!F19</x:f>
        <x:v>800</x:v>
      </x:c>
      <x:c r="J169" s="14" t="n">
        <x:f>'Reference Envelopes'!G19</x:f>
        <x:v>1</x:v>
      </x:c>
      <x:c r="K169" s="14" t="str">
        <x:f>IF(COUNT('Trial Register'!S169)=0,"",'Trial Register'!S169)</x:f>
      </x:c>
      <x:c r="L169" s="14" t="str">
        <x:f>IF(COUNT('Trial Register'!T169)=0,"",'Trial Register'!T169)</x:f>
      </x:c>
      <x:c r="M169" s="14" t="str">
        <x:f>IF(COUNT(K169:L169)&lt;2,"",K169-L169)</x:f>
      </x:c>
      <x:c r="N169" s="14" t="str">
        <x:f>IF(COUNT(K169:L169)&lt;2,"",K169+L169)</x:f>
      </x:c>
      <x:c r="O169" s="14" t="str">
        <x:f>IF(COUNT(K169)=0,"",ABS(K169-I169))</x:f>
      </x:c>
      <x:c r="P169" s="14" t="str">
        <x:f>IF(COUNT(O169)=0,"",IF(J169=0,IF(O169=0,0,999),O169/J169))</x:f>
      </x:c>
      <x:c r="Q169" t="str">
        <x:f>IF(COUNT(M169:N169)&lt;2,"",IF(AND(I169&gt;=M169,I169&lt;=N169,O169&lt;=J169),"PASS","FAIL"))</x:f>
      </x:c>
      <x:c r="R169" t="str"/>
      <x:c r="S169" t="str">
        <x:f>IF(R169=1,IF(Q169="PASS","PASS","FAIL"),"OPEN")</x:f>
        <x:v>OPEN</x:v>
      </x:c>
    </x:row>
    <x:row r="170">
      <x:c r="B170" t="str">
        <x:v>RAW-E164</x:v>
      </x:c>
      <x:c r="C170" t="str">
        <x:v>AM-02</x:v>
      </x:c>
      <x:c r="D170" t="str">
        <x:v>TR-B</x:v>
      </x:c>
      <x:c r="E170" t="str">
        <x:v>RFP-A2</x:v>
      </x:c>
      <x:c r="F170" t="str">
        <x:v>PTC-A</x:v>
      </x:c>
      <x:c r="G170" t="str">
        <x:v>QT-02</x:v>
      </x:c>
      <x:c r="H170" t="str">
        <x:v>RAW-V14</x:v>
      </x:c>
      <x:c r="I170" s="14" t="n">
        <x:f>'Reference Envelopes'!F20</x:f>
        <x:v>750</x:v>
      </x:c>
      <x:c r="J170" s="14" t="n">
        <x:f>'Reference Envelopes'!G20</x:f>
        <x:v>1</x:v>
      </x:c>
      <x:c r="K170" s="14" t="str">
        <x:f>IF(COUNT('Trial Register'!S170)=0,"",'Trial Register'!S170)</x:f>
      </x:c>
      <x:c r="L170" s="14" t="str">
        <x:f>IF(COUNT('Trial Register'!T170)=0,"",'Trial Register'!T170)</x:f>
      </x:c>
      <x:c r="M170" s="14" t="str">
        <x:f>IF(COUNT(K170:L170)&lt;2,"",K170-L170)</x:f>
      </x:c>
      <x:c r="N170" s="14" t="str">
        <x:f>IF(COUNT(K170:L170)&lt;2,"",K170+L170)</x:f>
      </x:c>
      <x:c r="O170" s="14" t="str">
        <x:f>IF(COUNT(K170)=0,"",ABS(K170-I170))</x:f>
      </x:c>
      <x:c r="P170" s="14" t="str">
        <x:f>IF(COUNT(O170)=0,"",IF(J170=0,IF(O170=0,0,999),O170/J170))</x:f>
      </x:c>
      <x:c r="Q170" t="str">
        <x:f>IF(COUNT(M170:N170)&lt;2,"",IF(AND(I170&gt;=M170,I170&lt;=N170,O170&lt;=J170),"PASS","FAIL"))</x:f>
      </x:c>
      <x:c r="R170" t="str"/>
      <x:c r="S170" t="str">
        <x:f>IF(R170=1,IF(Q170="PASS","PASS","FAIL"),"OPEN")</x:f>
        <x:v>OPEN</x:v>
      </x:c>
    </x:row>
    <x:row r="171">
      <x:c r="B171" t="str">
        <x:v>RAW-E165</x:v>
      </x:c>
      <x:c r="C171" t="str">
        <x:v>AM-02</x:v>
      </x:c>
      <x:c r="D171" t="str">
        <x:v>TR-B</x:v>
      </x:c>
      <x:c r="E171" t="str">
        <x:v>RFP-A2</x:v>
      </x:c>
      <x:c r="F171" t="str">
        <x:v>PTC-A</x:v>
      </x:c>
      <x:c r="G171" t="str">
        <x:v>QT-03</x:v>
      </x:c>
      <x:c r="H171" t="str">
        <x:v>RAW-V15</x:v>
      </x:c>
      <x:c r="I171" s="14" t="n">
        <x:f>'Reference Envelopes'!F21</x:f>
        <x:v>950</x:v>
      </x:c>
      <x:c r="J171" s="14" t="n">
        <x:f>'Reference Envelopes'!G21</x:f>
        <x:v>2</x:v>
      </x:c>
      <x:c r="K171" s="14" t="str">
        <x:f>IF(COUNT('Trial Register'!S171)=0,"",'Trial Register'!S171)</x:f>
      </x:c>
      <x:c r="L171" s="14" t="str">
        <x:f>IF(COUNT('Trial Register'!T171)=0,"",'Trial Register'!T171)</x:f>
      </x:c>
      <x:c r="M171" s="14" t="str">
        <x:f>IF(COUNT(K171:L171)&lt;2,"",K171-L171)</x:f>
      </x:c>
      <x:c r="N171" s="14" t="str">
        <x:f>IF(COUNT(K171:L171)&lt;2,"",K171+L171)</x:f>
      </x:c>
      <x:c r="O171" s="14" t="str">
        <x:f>IF(COUNT(K171)=0,"",ABS(K171-I171))</x:f>
      </x:c>
      <x:c r="P171" s="14" t="str">
        <x:f>IF(COUNT(O171)=0,"",IF(J171=0,IF(O171=0,0,999),O171/J171))</x:f>
      </x:c>
      <x:c r="Q171" t="str">
        <x:f>IF(COUNT(M171:N171)&lt;2,"",IF(AND(I171&gt;=M171,I171&lt;=N171,O171&lt;=J171),"PASS","FAIL"))</x:f>
      </x:c>
      <x:c r="R171" t="str"/>
      <x:c r="S171" t="str">
        <x:f>IF(R171=1,IF(Q171="PASS","PASS","FAIL"),"OPEN")</x:f>
        <x:v>OPEN</x:v>
      </x:c>
    </x:row>
    <x:row r="172">
      <x:c r="B172" t="str">
        <x:v>RAW-E166</x:v>
      </x:c>
      <x:c r="C172" t="str">
        <x:v>AM-02</x:v>
      </x:c>
      <x:c r="D172" t="str">
        <x:v>TR-B</x:v>
      </x:c>
      <x:c r="E172" t="str">
        <x:v>RFP-A2</x:v>
      </x:c>
      <x:c r="F172" t="str">
        <x:v>PTC-A</x:v>
      </x:c>
      <x:c r="G172" t="str">
        <x:v>QT-04</x:v>
      </x:c>
      <x:c r="H172" t="str">
        <x:v>RAW-V16</x:v>
      </x:c>
      <x:c r="I172" s="14" t="n">
        <x:f>'Reference Envelopes'!F22</x:f>
        <x:v>850</x:v>
      </x:c>
      <x:c r="J172" s="14" t="n">
        <x:f>'Reference Envelopes'!G22</x:f>
        <x:v>1.5</x:v>
      </x:c>
      <x:c r="K172" s="14" t="str">
        <x:f>IF(COUNT('Trial Register'!S172)=0,"",'Trial Register'!S172)</x:f>
      </x:c>
      <x:c r="L172" s="14" t="str">
        <x:f>IF(COUNT('Trial Register'!T172)=0,"",'Trial Register'!T172)</x:f>
      </x:c>
      <x:c r="M172" s="14" t="str">
        <x:f>IF(COUNT(K172:L172)&lt;2,"",K172-L172)</x:f>
      </x:c>
      <x:c r="N172" s="14" t="str">
        <x:f>IF(COUNT(K172:L172)&lt;2,"",K172+L172)</x:f>
      </x:c>
      <x:c r="O172" s="14" t="str">
        <x:f>IF(COUNT(K172)=0,"",ABS(K172-I172))</x:f>
      </x:c>
      <x:c r="P172" s="14" t="str">
        <x:f>IF(COUNT(O172)=0,"",IF(J172=0,IF(O172=0,0,999),O172/J172))</x:f>
      </x:c>
      <x:c r="Q172" t="str">
        <x:f>IF(COUNT(M172:N172)&lt;2,"",IF(AND(I172&gt;=M172,I172&lt;=N172,O172&lt;=J172),"PASS","FAIL"))</x:f>
      </x:c>
      <x:c r="R172" t="str"/>
      <x:c r="S172" t="str">
        <x:f>IF(R172=1,IF(Q172="PASS","PASS","FAIL"),"OPEN")</x:f>
        <x:v>OPEN</x:v>
      </x:c>
    </x:row>
    <x:row r="173">
      <x:c r="B173" t="str">
        <x:v>RAW-E167</x:v>
      </x:c>
      <x:c r="C173" t="str">
        <x:v>AM-02</x:v>
      </x:c>
      <x:c r="D173" t="str">
        <x:v>TR-B</x:v>
      </x:c>
      <x:c r="E173" t="str">
        <x:v>RFP-A2</x:v>
      </x:c>
      <x:c r="F173" t="str">
        <x:v>PTC-A</x:v>
      </x:c>
      <x:c r="G173" t="str">
        <x:v>QT-05</x:v>
      </x:c>
      <x:c r="H173" t="str">
        <x:v>RAW-V17</x:v>
      </x:c>
      <x:c r="I173" s="14" t="n">
        <x:f>'Reference Envelopes'!F23</x:f>
        <x:v>900</x:v>
      </x:c>
      <x:c r="J173" s="14" t="n">
        <x:f>'Reference Envelopes'!G23</x:f>
        <x:v>2</x:v>
      </x:c>
      <x:c r="K173" s="14" t="str">
        <x:f>IF(COUNT('Trial Register'!S173)=0,"",'Trial Register'!S173)</x:f>
      </x:c>
      <x:c r="L173" s="14" t="str">
        <x:f>IF(COUNT('Trial Register'!T173)=0,"",'Trial Register'!T173)</x:f>
      </x:c>
      <x:c r="M173" s="14" t="str">
        <x:f>IF(COUNT(K173:L173)&lt;2,"",K173-L173)</x:f>
      </x:c>
      <x:c r="N173" s="14" t="str">
        <x:f>IF(COUNT(K173:L173)&lt;2,"",K173+L173)</x:f>
      </x:c>
      <x:c r="O173" s="14" t="str">
        <x:f>IF(COUNT(K173)=0,"",ABS(K173-I173))</x:f>
      </x:c>
      <x:c r="P173" s="14" t="str">
        <x:f>IF(COUNT(O173)=0,"",IF(J173=0,IF(O173=0,0,999),O173/J173))</x:f>
      </x:c>
      <x:c r="Q173" t="str">
        <x:f>IF(COUNT(M173:N173)&lt;2,"",IF(AND(I173&gt;=M173,I173&lt;=N173,O173&lt;=J173),"PASS","FAIL"))</x:f>
      </x:c>
      <x:c r="R173" t="str"/>
      <x:c r="S173" t="str">
        <x:f>IF(R173=1,IF(Q173="PASS","PASS","FAIL"),"OPEN")</x:f>
        <x:v>OPEN</x:v>
      </x:c>
    </x:row>
    <x:row r="174">
      <x:c r="B174" t="str">
        <x:v>RAW-E168</x:v>
      </x:c>
      <x:c r="C174" t="str">
        <x:v>AM-02</x:v>
      </x:c>
      <x:c r="D174" t="str">
        <x:v>TR-B</x:v>
      </x:c>
      <x:c r="E174" t="str">
        <x:v>RFP-A2</x:v>
      </x:c>
      <x:c r="F174" t="str">
        <x:v>PTC-A</x:v>
      </x:c>
      <x:c r="G174" t="str">
        <x:v>QT-06</x:v>
      </x:c>
      <x:c r="H174" t="str">
        <x:v>RAW-V18</x:v>
      </x:c>
      <x:c r="I174" s="14" t="n">
        <x:f>'Reference Envelopes'!F24</x:f>
        <x:v>825</x:v>
      </x:c>
      <x:c r="J174" s="14" t="n">
        <x:f>'Reference Envelopes'!G24</x:f>
        <x:v>1.5</x:v>
      </x:c>
      <x:c r="K174" s="14" t="str">
        <x:f>IF(COUNT('Trial Register'!S174)=0,"",'Trial Register'!S174)</x:f>
      </x:c>
      <x:c r="L174" s="14" t="str">
        <x:f>IF(COUNT('Trial Register'!T174)=0,"",'Trial Register'!T174)</x:f>
      </x:c>
      <x:c r="M174" s="14" t="str">
        <x:f>IF(COUNT(K174:L174)&lt;2,"",K174-L174)</x:f>
      </x:c>
      <x:c r="N174" s="14" t="str">
        <x:f>IF(COUNT(K174:L174)&lt;2,"",K174+L174)</x:f>
      </x:c>
      <x:c r="O174" s="14" t="str">
        <x:f>IF(COUNT(K174)=0,"",ABS(K174-I174))</x:f>
      </x:c>
      <x:c r="P174" s="14" t="str">
        <x:f>IF(COUNT(O174)=0,"",IF(J174=0,IF(O174=0,0,999),O174/J174))</x:f>
      </x:c>
      <x:c r="Q174" t="str">
        <x:f>IF(COUNT(M174:N174)&lt;2,"",IF(AND(I174&gt;=M174,I174&lt;=N174,O174&lt;=J174),"PASS","FAIL"))</x:f>
      </x:c>
      <x:c r="R174" t="str"/>
      <x:c r="S174" t="str">
        <x:f>IF(R174=1,IF(Q174="PASS","PASS","FAIL"),"OPEN")</x:f>
        <x:v>OPEN</x:v>
      </x:c>
    </x:row>
    <x:row r="175">
      <x:c r="B175" t="str">
        <x:v>RAW-E169</x:v>
      </x:c>
      <x:c r="C175" t="str">
        <x:v>AM-02</x:v>
      </x:c>
      <x:c r="D175" t="str">
        <x:v>TR-A</x:v>
      </x:c>
      <x:c r="E175" t="str">
        <x:v>RFP-B1</x:v>
      </x:c>
      <x:c r="F175" t="str">
        <x:v>PTC-B</x:v>
      </x:c>
      <x:c r="G175" t="str">
        <x:v>QT-01</x:v>
      </x:c>
      <x:c r="H175" t="str">
        <x:v>RAW-V13</x:v>
      </x:c>
      <x:c r="I175" s="14" t="n">
        <x:f>'Reference Envelopes'!F19</x:f>
        <x:v>800</x:v>
      </x:c>
      <x:c r="J175" s="14" t="n">
        <x:f>'Reference Envelopes'!G19</x:f>
        <x:v>1</x:v>
      </x:c>
      <x:c r="K175" s="14" t="str">
        <x:f>IF(COUNT('Trial Register'!S175)=0,"",'Trial Register'!S175)</x:f>
      </x:c>
      <x:c r="L175" s="14" t="str">
        <x:f>IF(COUNT('Trial Register'!T175)=0,"",'Trial Register'!T175)</x:f>
      </x:c>
      <x:c r="M175" s="14" t="str">
        <x:f>IF(COUNT(K175:L175)&lt;2,"",K175-L175)</x:f>
      </x:c>
      <x:c r="N175" s="14" t="str">
        <x:f>IF(COUNT(K175:L175)&lt;2,"",K175+L175)</x:f>
      </x:c>
      <x:c r="O175" s="14" t="str">
        <x:f>IF(COUNT(K175)=0,"",ABS(K175-I175))</x:f>
      </x:c>
      <x:c r="P175" s="14" t="str">
        <x:f>IF(COUNT(O175)=0,"",IF(J175=0,IF(O175=0,0,999),O175/J175))</x:f>
      </x:c>
      <x:c r="Q175" t="str">
        <x:f>IF(COUNT(M175:N175)&lt;2,"",IF(AND(I175&gt;=M175,I175&lt;=N175,O175&lt;=J175),"PASS","FAIL"))</x:f>
      </x:c>
      <x:c r="R175" t="str"/>
      <x:c r="S175" t="str">
        <x:f>IF(R175=1,IF(Q175="PASS","PASS","FAIL"),"OPEN")</x:f>
        <x:v>OPEN</x:v>
      </x:c>
    </x:row>
    <x:row r="176">
      <x:c r="B176" t="str">
        <x:v>RAW-E170</x:v>
      </x:c>
      <x:c r="C176" t="str">
        <x:v>AM-02</x:v>
      </x:c>
      <x:c r="D176" t="str">
        <x:v>TR-A</x:v>
      </x:c>
      <x:c r="E176" t="str">
        <x:v>RFP-B1</x:v>
      </x:c>
      <x:c r="F176" t="str">
        <x:v>PTC-B</x:v>
      </x:c>
      <x:c r="G176" t="str">
        <x:v>QT-02</x:v>
      </x:c>
      <x:c r="H176" t="str">
        <x:v>RAW-V14</x:v>
      </x:c>
      <x:c r="I176" s="14" t="n">
        <x:f>'Reference Envelopes'!F20</x:f>
        <x:v>750</x:v>
      </x:c>
      <x:c r="J176" s="14" t="n">
        <x:f>'Reference Envelopes'!G20</x:f>
        <x:v>1</x:v>
      </x:c>
      <x:c r="K176" s="14" t="str">
        <x:f>IF(COUNT('Trial Register'!S176)=0,"",'Trial Register'!S176)</x:f>
      </x:c>
      <x:c r="L176" s="14" t="str">
        <x:f>IF(COUNT('Trial Register'!T176)=0,"",'Trial Register'!T176)</x:f>
      </x:c>
      <x:c r="M176" s="14" t="str">
        <x:f>IF(COUNT(K176:L176)&lt;2,"",K176-L176)</x:f>
      </x:c>
      <x:c r="N176" s="14" t="str">
        <x:f>IF(COUNT(K176:L176)&lt;2,"",K176+L176)</x:f>
      </x:c>
      <x:c r="O176" s="14" t="str">
        <x:f>IF(COUNT(K176)=0,"",ABS(K176-I176))</x:f>
      </x:c>
      <x:c r="P176" s="14" t="str">
        <x:f>IF(COUNT(O176)=0,"",IF(J176=0,IF(O176=0,0,999),O176/J176))</x:f>
      </x:c>
      <x:c r="Q176" t="str">
        <x:f>IF(COUNT(M176:N176)&lt;2,"",IF(AND(I176&gt;=M176,I176&lt;=N176,O176&lt;=J176),"PASS","FAIL"))</x:f>
      </x:c>
      <x:c r="R176" t="str"/>
      <x:c r="S176" t="str">
        <x:f>IF(R176=1,IF(Q176="PASS","PASS","FAIL"),"OPEN")</x:f>
        <x:v>OPEN</x:v>
      </x:c>
    </x:row>
    <x:row r="177">
      <x:c r="B177" t="str">
        <x:v>RAW-E171</x:v>
      </x:c>
      <x:c r="C177" t="str">
        <x:v>AM-02</x:v>
      </x:c>
      <x:c r="D177" t="str">
        <x:v>TR-A</x:v>
      </x:c>
      <x:c r="E177" t="str">
        <x:v>RFP-B1</x:v>
      </x:c>
      <x:c r="F177" t="str">
        <x:v>PTC-B</x:v>
      </x:c>
      <x:c r="G177" t="str">
        <x:v>QT-03</x:v>
      </x:c>
      <x:c r="H177" t="str">
        <x:v>RAW-V15</x:v>
      </x:c>
      <x:c r="I177" s="14" t="n">
        <x:f>'Reference Envelopes'!F21</x:f>
        <x:v>950</x:v>
      </x:c>
      <x:c r="J177" s="14" t="n">
        <x:f>'Reference Envelopes'!G21</x:f>
        <x:v>2</x:v>
      </x:c>
      <x:c r="K177" s="14" t="str">
        <x:f>IF(COUNT('Trial Register'!S177)=0,"",'Trial Register'!S177)</x:f>
      </x:c>
      <x:c r="L177" s="14" t="str">
        <x:f>IF(COUNT('Trial Register'!T177)=0,"",'Trial Register'!T177)</x:f>
      </x:c>
      <x:c r="M177" s="14" t="str">
        <x:f>IF(COUNT(K177:L177)&lt;2,"",K177-L177)</x:f>
      </x:c>
      <x:c r="N177" s="14" t="str">
        <x:f>IF(COUNT(K177:L177)&lt;2,"",K177+L177)</x:f>
      </x:c>
      <x:c r="O177" s="14" t="str">
        <x:f>IF(COUNT(K177)=0,"",ABS(K177-I177))</x:f>
      </x:c>
      <x:c r="P177" s="14" t="str">
        <x:f>IF(COUNT(O177)=0,"",IF(J177=0,IF(O177=0,0,999),O177/J177))</x:f>
      </x:c>
      <x:c r="Q177" t="str">
        <x:f>IF(COUNT(M177:N177)&lt;2,"",IF(AND(I177&gt;=M177,I177&lt;=N177,O177&lt;=J177),"PASS","FAIL"))</x:f>
      </x:c>
      <x:c r="R177" t="str"/>
      <x:c r="S177" t="str">
        <x:f>IF(R177=1,IF(Q177="PASS","PASS","FAIL"),"OPEN")</x:f>
        <x:v>OPEN</x:v>
      </x:c>
    </x:row>
    <x:row r="178">
      <x:c r="B178" t="str">
        <x:v>RAW-E172</x:v>
      </x:c>
      <x:c r="C178" t="str">
        <x:v>AM-02</x:v>
      </x:c>
      <x:c r="D178" t="str">
        <x:v>TR-A</x:v>
      </x:c>
      <x:c r="E178" t="str">
        <x:v>RFP-B1</x:v>
      </x:c>
      <x:c r="F178" t="str">
        <x:v>PTC-B</x:v>
      </x:c>
      <x:c r="G178" t="str">
        <x:v>QT-04</x:v>
      </x:c>
      <x:c r="H178" t="str">
        <x:v>RAW-V16</x:v>
      </x:c>
      <x:c r="I178" s="14" t="n">
        <x:f>'Reference Envelopes'!F22</x:f>
        <x:v>850</x:v>
      </x:c>
      <x:c r="J178" s="14" t="n">
        <x:f>'Reference Envelopes'!G22</x:f>
        <x:v>1.5</x:v>
      </x:c>
      <x:c r="K178" s="14" t="str">
        <x:f>IF(COUNT('Trial Register'!S178)=0,"",'Trial Register'!S178)</x:f>
      </x:c>
      <x:c r="L178" s="14" t="str">
        <x:f>IF(COUNT('Trial Register'!T178)=0,"",'Trial Register'!T178)</x:f>
      </x:c>
      <x:c r="M178" s="14" t="str">
        <x:f>IF(COUNT(K178:L178)&lt;2,"",K178-L178)</x:f>
      </x:c>
      <x:c r="N178" s="14" t="str">
        <x:f>IF(COUNT(K178:L178)&lt;2,"",K178+L178)</x:f>
      </x:c>
      <x:c r="O178" s="14" t="str">
        <x:f>IF(COUNT(K178)=0,"",ABS(K178-I178))</x:f>
      </x:c>
      <x:c r="P178" s="14" t="str">
        <x:f>IF(COUNT(O178)=0,"",IF(J178=0,IF(O178=0,0,999),O178/J178))</x:f>
      </x:c>
      <x:c r="Q178" t="str">
        <x:f>IF(COUNT(M178:N178)&lt;2,"",IF(AND(I178&gt;=M178,I178&lt;=N178,O178&lt;=J178),"PASS","FAIL"))</x:f>
      </x:c>
      <x:c r="R178" t="str"/>
      <x:c r="S178" t="str">
        <x:f>IF(R178=1,IF(Q178="PASS","PASS","FAIL"),"OPEN")</x:f>
        <x:v>OPEN</x:v>
      </x:c>
    </x:row>
    <x:row r="179">
      <x:c r="B179" t="str">
        <x:v>RAW-E173</x:v>
      </x:c>
      <x:c r="C179" t="str">
        <x:v>AM-02</x:v>
      </x:c>
      <x:c r="D179" t="str">
        <x:v>TR-A</x:v>
      </x:c>
      <x:c r="E179" t="str">
        <x:v>RFP-B1</x:v>
      </x:c>
      <x:c r="F179" t="str">
        <x:v>PTC-B</x:v>
      </x:c>
      <x:c r="G179" t="str">
        <x:v>QT-05</x:v>
      </x:c>
      <x:c r="H179" t="str">
        <x:v>RAW-V17</x:v>
      </x:c>
      <x:c r="I179" s="14" t="n">
        <x:f>'Reference Envelopes'!F23</x:f>
        <x:v>900</x:v>
      </x:c>
      <x:c r="J179" s="14" t="n">
        <x:f>'Reference Envelopes'!G23</x:f>
        <x:v>2</x:v>
      </x:c>
      <x:c r="K179" s="14" t="str">
        <x:f>IF(COUNT('Trial Register'!S179)=0,"",'Trial Register'!S179)</x:f>
      </x:c>
      <x:c r="L179" s="14" t="str">
        <x:f>IF(COUNT('Trial Register'!T179)=0,"",'Trial Register'!T179)</x:f>
      </x:c>
      <x:c r="M179" s="14" t="str">
        <x:f>IF(COUNT(K179:L179)&lt;2,"",K179-L179)</x:f>
      </x:c>
      <x:c r="N179" s="14" t="str">
        <x:f>IF(COUNT(K179:L179)&lt;2,"",K179+L179)</x:f>
      </x:c>
      <x:c r="O179" s="14" t="str">
        <x:f>IF(COUNT(K179)=0,"",ABS(K179-I179))</x:f>
      </x:c>
      <x:c r="P179" s="14" t="str">
        <x:f>IF(COUNT(O179)=0,"",IF(J179=0,IF(O179=0,0,999),O179/J179))</x:f>
      </x:c>
      <x:c r="Q179" t="str">
        <x:f>IF(COUNT(M179:N179)&lt;2,"",IF(AND(I179&gt;=M179,I179&lt;=N179,O179&lt;=J179),"PASS","FAIL"))</x:f>
      </x:c>
      <x:c r="R179" t="str"/>
      <x:c r="S179" t="str">
        <x:f>IF(R179=1,IF(Q179="PASS","PASS","FAIL"),"OPEN")</x:f>
        <x:v>OPEN</x:v>
      </x:c>
    </x:row>
    <x:row r="180">
      <x:c r="B180" t="str">
        <x:v>RAW-E174</x:v>
      </x:c>
      <x:c r="C180" t="str">
        <x:v>AM-02</x:v>
      </x:c>
      <x:c r="D180" t="str">
        <x:v>TR-A</x:v>
      </x:c>
      <x:c r="E180" t="str">
        <x:v>RFP-B1</x:v>
      </x:c>
      <x:c r="F180" t="str">
        <x:v>PTC-B</x:v>
      </x:c>
      <x:c r="G180" t="str">
        <x:v>QT-06</x:v>
      </x:c>
      <x:c r="H180" t="str">
        <x:v>RAW-V18</x:v>
      </x:c>
      <x:c r="I180" s="14" t="n">
        <x:f>'Reference Envelopes'!F24</x:f>
        <x:v>825</x:v>
      </x:c>
      <x:c r="J180" s="14" t="n">
        <x:f>'Reference Envelopes'!G24</x:f>
        <x:v>1.5</x:v>
      </x:c>
      <x:c r="K180" s="14" t="str">
        <x:f>IF(COUNT('Trial Register'!S180)=0,"",'Trial Register'!S180)</x:f>
      </x:c>
      <x:c r="L180" s="14" t="str">
        <x:f>IF(COUNT('Trial Register'!T180)=0,"",'Trial Register'!T180)</x:f>
      </x:c>
      <x:c r="M180" s="14" t="str">
        <x:f>IF(COUNT(K180:L180)&lt;2,"",K180-L180)</x:f>
      </x:c>
      <x:c r="N180" s="14" t="str">
        <x:f>IF(COUNT(K180:L180)&lt;2,"",K180+L180)</x:f>
      </x:c>
      <x:c r="O180" s="14" t="str">
        <x:f>IF(COUNT(K180)=0,"",ABS(K180-I180))</x:f>
      </x:c>
      <x:c r="P180" s="14" t="str">
        <x:f>IF(COUNT(O180)=0,"",IF(J180=0,IF(O180=0,0,999),O180/J180))</x:f>
      </x:c>
      <x:c r="Q180" t="str">
        <x:f>IF(COUNT(M180:N180)&lt;2,"",IF(AND(I180&gt;=M180,I180&lt;=N180,O180&lt;=J180),"PASS","FAIL"))</x:f>
      </x:c>
      <x:c r="R180" t="str"/>
      <x:c r="S180" t="str">
        <x:f>IF(R180=1,IF(Q180="PASS","PASS","FAIL"),"OPEN")</x:f>
        <x:v>OPEN</x:v>
      </x:c>
    </x:row>
    <x:row r="181">
      <x:c r="B181" t="str">
        <x:v>RAW-E175</x:v>
      </x:c>
      <x:c r="C181" t="str">
        <x:v>AM-02</x:v>
      </x:c>
      <x:c r="D181" t="str">
        <x:v>TR-B</x:v>
      </x:c>
      <x:c r="E181" t="str">
        <x:v>RFP-B1</x:v>
      </x:c>
      <x:c r="F181" t="str">
        <x:v>PTC-B</x:v>
      </x:c>
      <x:c r="G181" t="str">
        <x:v>QT-01</x:v>
      </x:c>
      <x:c r="H181" t="str">
        <x:v>RAW-V13</x:v>
      </x:c>
      <x:c r="I181" s="14" t="n">
        <x:f>'Reference Envelopes'!F19</x:f>
        <x:v>800</x:v>
      </x:c>
      <x:c r="J181" s="14" t="n">
        <x:f>'Reference Envelopes'!G19</x:f>
        <x:v>1</x:v>
      </x:c>
      <x:c r="K181" s="14" t="str">
        <x:f>IF(COUNT('Trial Register'!S181)=0,"",'Trial Register'!S181)</x:f>
      </x:c>
      <x:c r="L181" s="14" t="str">
        <x:f>IF(COUNT('Trial Register'!T181)=0,"",'Trial Register'!T181)</x:f>
      </x:c>
      <x:c r="M181" s="14" t="str">
        <x:f>IF(COUNT(K181:L181)&lt;2,"",K181-L181)</x:f>
      </x:c>
      <x:c r="N181" s="14" t="str">
        <x:f>IF(COUNT(K181:L181)&lt;2,"",K181+L181)</x:f>
      </x:c>
      <x:c r="O181" s="14" t="str">
        <x:f>IF(COUNT(K181)=0,"",ABS(K181-I181))</x:f>
      </x:c>
      <x:c r="P181" s="14" t="str">
        <x:f>IF(COUNT(O181)=0,"",IF(J181=0,IF(O181=0,0,999),O181/J181))</x:f>
      </x:c>
      <x:c r="Q181" t="str">
        <x:f>IF(COUNT(M181:N181)&lt;2,"",IF(AND(I181&gt;=M181,I181&lt;=N181,O181&lt;=J181),"PASS","FAIL"))</x:f>
      </x:c>
      <x:c r="R181" t="str"/>
      <x:c r="S181" t="str">
        <x:f>IF(R181=1,IF(Q181="PASS","PASS","FAIL"),"OPEN")</x:f>
        <x:v>OPEN</x:v>
      </x:c>
    </x:row>
    <x:row r="182">
      <x:c r="B182" t="str">
        <x:v>RAW-E176</x:v>
      </x:c>
      <x:c r="C182" t="str">
        <x:v>AM-02</x:v>
      </x:c>
      <x:c r="D182" t="str">
        <x:v>TR-B</x:v>
      </x:c>
      <x:c r="E182" t="str">
        <x:v>RFP-B1</x:v>
      </x:c>
      <x:c r="F182" t="str">
        <x:v>PTC-B</x:v>
      </x:c>
      <x:c r="G182" t="str">
        <x:v>QT-02</x:v>
      </x:c>
      <x:c r="H182" t="str">
        <x:v>RAW-V14</x:v>
      </x:c>
      <x:c r="I182" s="14" t="n">
        <x:f>'Reference Envelopes'!F20</x:f>
        <x:v>750</x:v>
      </x:c>
      <x:c r="J182" s="14" t="n">
        <x:f>'Reference Envelopes'!G20</x:f>
        <x:v>1</x:v>
      </x:c>
      <x:c r="K182" s="14" t="str">
        <x:f>IF(COUNT('Trial Register'!S182)=0,"",'Trial Register'!S182)</x:f>
      </x:c>
      <x:c r="L182" s="14" t="str">
        <x:f>IF(COUNT('Trial Register'!T182)=0,"",'Trial Register'!T182)</x:f>
      </x:c>
      <x:c r="M182" s="14" t="str">
        <x:f>IF(COUNT(K182:L182)&lt;2,"",K182-L182)</x:f>
      </x:c>
      <x:c r="N182" s="14" t="str">
        <x:f>IF(COUNT(K182:L182)&lt;2,"",K182+L182)</x:f>
      </x:c>
      <x:c r="O182" s="14" t="str">
        <x:f>IF(COUNT(K182)=0,"",ABS(K182-I182))</x:f>
      </x:c>
      <x:c r="P182" s="14" t="str">
        <x:f>IF(COUNT(O182)=0,"",IF(J182=0,IF(O182=0,0,999),O182/J182))</x:f>
      </x:c>
      <x:c r="Q182" t="str">
        <x:f>IF(COUNT(M182:N182)&lt;2,"",IF(AND(I182&gt;=M182,I182&lt;=N182,O182&lt;=J182),"PASS","FAIL"))</x:f>
      </x:c>
      <x:c r="R182" t="str"/>
      <x:c r="S182" t="str">
        <x:f>IF(R182=1,IF(Q182="PASS","PASS","FAIL"),"OPEN")</x:f>
        <x:v>OPEN</x:v>
      </x:c>
    </x:row>
    <x:row r="183">
      <x:c r="B183" t="str">
        <x:v>RAW-E177</x:v>
      </x:c>
      <x:c r="C183" t="str">
        <x:v>AM-02</x:v>
      </x:c>
      <x:c r="D183" t="str">
        <x:v>TR-B</x:v>
      </x:c>
      <x:c r="E183" t="str">
        <x:v>RFP-B1</x:v>
      </x:c>
      <x:c r="F183" t="str">
        <x:v>PTC-B</x:v>
      </x:c>
      <x:c r="G183" t="str">
        <x:v>QT-03</x:v>
      </x:c>
      <x:c r="H183" t="str">
        <x:v>RAW-V15</x:v>
      </x:c>
      <x:c r="I183" s="14" t="n">
        <x:f>'Reference Envelopes'!F21</x:f>
        <x:v>950</x:v>
      </x:c>
      <x:c r="J183" s="14" t="n">
        <x:f>'Reference Envelopes'!G21</x:f>
        <x:v>2</x:v>
      </x:c>
      <x:c r="K183" s="14" t="str">
        <x:f>IF(COUNT('Trial Register'!S183)=0,"",'Trial Register'!S183)</x:f>
      </x:c>
      <x:c r="L183" s="14" t="str">
        <x:f>IF(COUNT('Trial Register'!T183)=0,"",'Trial Register'!T183)</x:f>
      </x:c>
      <x:c r="M183" s="14" t="str">
        <x:f>IF(COUNT(K183:L183)&lt;2,"",K183-L183)</x:f>
      </x:c>
      <x:c r="N183" s="14" t="str">
        <x:f>IF(COUNT(K183:L183)&lt;2,"",K183+L183)</x:f>
      </x:c>
      <x:c r="O183" s="14" t="str">
        <x:f>IF(COUNT(K183)=0,"",ABS(K183-I183))</x:f>
      </x:c>
      <x:c r="P183" s="14" t="str">
        <x:f>IF(COUNT(O183)=0,"",IF(J183=0,IF(O183=0,0,999),O183/J183))</x:f>
      </x:c>
      <x:c r="Q183" t="str">
        <x:f>IF(COUNT(M183:N183)&lt;2,"",IF(AND(I183&gt;=M183,I183&lt;=N183,O183&lt;=J183),"PASS","FAIL"))</x:f>
      </x:c>
      <x:c r="R183" t="str"/>
      <x:c r="S183" t="str">
        <x:f>IF(R183=1,IF(Q183="PASS","PASS","FAIL"),"OPEN")</x:f>
        <x:v>OPEN</x:v>
      </x:c>
    </x:row>
    <x:row r="184">
      <x:c r="B184" t="str">
        <x:v>RAW-E178</x:v>
      </x:c>
      <x:c r="C184" t="str">
        <x:v>AM-02</x:v>
      </x:c>
      <x:c r="D184" t="str">
        <x:v>TR-B</x:v>
      </x:c>
      <x:c r="E184" t="str">
        <x:v>RFP-B1</x:v>
      </x:c>
      <x:c r="F184" t="str">
        <x:v>PTC-B</x:v>
      </x:c>
      <x:c r="G184" t="str">
        <x:v>QT-04</x:v>
      </x:c>
      <x:c r="H184" t="str">
        <x:v>RAW-V16</x:v>
      </x:c>
      <x:c r="I184" s="14" t="n">
        <x:f>'Reference Envelopes'!F22</x:f>
        <x:v>850</x:v>
      </x:c>
      <x:c r="J184" s="14" t="n">
        <x:f>'Reference Envelopes'!G22</x:f>
        <x:v>1.5</x:v>
      </x:c>
      <x:c r="K184" s="14" t="str">
        <x:f>IF(COUNT('Trial Register'!S184)=0,"",'Trial Register'!S184)</x:f>
      </x:c>
      <x:c r="L184" s="14" t="str">
        <x:f>IF(COUNT('Trial Register'!T184)=0,"",'Trial Register'!T184)</x:f>
      </x:c>
      <x:c r="M184" s="14" t="str">
        <x:f>IF(COUNT(K184:L184)&lt;2,"",K184-L184)</x:f>
      </x:c>
      <x:c r="N184" s="14" t="str">
        <x:f>IF(COUNT(K184:L184)&lt;2,"",K184+L184)</x:f>
      </x:c>
      <x:c r="O184" s="14" t="str">
        <x:f>IF(COUNT(K184)=0,"",ABS(K184-I184))</x:f>
      </x:c>
      <x:c r="P184" s="14" t="str">
        <x:f>IF(COUNT(O184)=0,"",IF(J184=0,IF(O184=0,0,999),O184/J184))</x:f>
      </x:c>
      <x:c r="Q184" t="str">
        <x:f>IF(COUNT(M184:N184)&lt;2,"",IF(AND(I184&gt;=M184,I184&lt;=N184,O184&lt;=J184),"PASS","FAIL"))</x:f>
      </x:c>
      <x:c r="R184" t="str"/>
      <x:c r="S184" t="str">
        <x:f>IF(R184=1,IF(Q184="PASS","PASS","FAIL"),"OPEN")</x:f>
        <x:v>OPEN</x:v>
      </x:c>
    </x:row>
    <x:row r="185">
      <x:c r="B185" t="str">
        <x:v>RAW-E179</x:v>
      </x:c>
      <x:c r="C185" t="str">
        <x:v>AM-02</x:v>
      </x:c>
      <x:c r="D185" t="str">
        <x:v>TR-B</x:v>
      </x:c>
      <x:c r="E185" t="str">
        <x:v>RFP-B1</x:v>
      </x:c>
      <x:c r="F185" t="str">
        <x:v>PTC-B</x:v>
      </x:c>
      <x:c r="G185" t="str">
        <x:v>QT-05</x:v>
      </x:c>
      <x:c r="H185" t="str">
        <x:v>RAW-V17</x:v>
      </x:c>
      <x:c r="I185" s="14" t="n">
        <x:f>'Reference Envelopes'!F23</x:f>
        <x:v>900</x:v>
      </x:c>
      <x:c r="J185" s="14" t="n">
        <x:f>'Reference Envelopes'!G23</x:f>
        <x:v>2</x:v>
      </x:c>
      <x:c r="K185" s="14" t="str">
        <x:f>IF(COUNT('Trial Register'!S185)=0,"",'Trial Register'!S185)</x:f>
      </x:c>
      <x:c r="L185" s="14" t="str">
        <x:f>IF(COUNT('Trial Register'!T185)=0,"",'Trial Register'!T185)</x:f>
      </x:c>
      <x:c r="M185" s="14" t="str">
        <x:f>IF(COUNT(K185:L185)&lt;2,"",K185-L185)</x:f>
      </x:c>
      <x:c r="N185" s="14" t="str">
        <x:f>IF(COUNT(K185:L185)&lt;2,"",K185+L185)</x:f>
      </x:c>
      <x:c r="O185" s="14" t="str">
        <x:f>IF(COUNT(K185)=0,"",ABS(K185-I185))</x:f>
      </x:c>
      <x:c r="P185" s="14" t="str">
        <x:f>IF(COUNT(O185)=0,"",IF(J185=0,IF(O185=0,0,999),O185/J185))</x:f>
      </x:c>
      <x:c r="Q185" t="str">
        <x:f>IF(COUNT(M185:N185)&lt;2,"",IF(AND(I185&gt;=M185,I185&lt;=N185,O185&lt;=J185),"PASS","FAIL"))</x:f>
      </x:c>
      <x:c r="R185" t="str"/>
      <x:c r="S185" t="str">
        <x:f>IF(R185=1,IF(Q185="PASS","PASS","FAIL"),"OPEN")</x:f>
        <x:v>OPEN</x:v>
      </x:c>
    </x:row>
    <x:row r="186">
      <x:c r="B186" t="str">
        <x:v>RAW-E180</x:v>
      </x:c>
      <x:c r="C186" t="str">
        <x:v>AM-02</x:v>
      </x:c>
      <x:c r="D186" t="str">
        <x:v>TR-B</x:v>
      </x:c>
      <x:c r="E186" t="str">
        <x:v>RFP-B1</x:v>
      </x:c>
      <x:c r="F186" t="str">
        <x:v>PTC-B</x:v>
      </x:c>
      <x:c r="G186" t="str">
        <x:v>QT-06</x:v>
      </x:c>
      <x:c r="H186" t="str">
        <x:v>RAW-V18</x:v>
      </x:c>
      <x:c r="I186" s="14" t="n">
        <x:f>'Reference Envelopes'!F24</x:f>
        <x:v>825</x:v>
      </x:c>
      <x:c r="J186" s="14" t="n">
        <x:f>'Reference Envelopes'!G24</x:f>
        <x:v>1.5</x:v>
      </x:c>
      <x:c r="K186" s="14" t="str">
        <x:f>IF(COUNT('Trial Register'!S186)=0,"",'Trial Register'!S186)</x:f>
      </x:c>
      <x:c r="L186" s="14" t="str">
        <x:f>IF(COUNT('Trial Register'!T186)=0,"",'Trial Register'!T186)</x:f>
      </x:c>
      <x:c r="M186" s="14" t="str">
        <x:f>IF(COUNT(K186:L186)&lt;2,"",K186-L186)</x:f>
      </x:c>
      <x:c r="N186" s="14" t="str">
        <x:f>IF(COUNT(K186:L186)&lt;2,"",K186+L186)</x:f>
      </x:c>
      <x:c r="O186" s="14" t="str">
        <x:f>IF(COUNT(K186)=0,"",ABS(K186-I186))</x:f>
      </x:c>
      <x:c r="P186" s="14" t="str">
        <x:f>IF(COUNT(O186)=0,"",IF(J186=0,IF(O186=0,0,999),O186/J186))</x:f>
      </x:c>
      <x:c r="Q186" t="str">
        <x:f>IF(COUNT(M186:N186)&lt;2,"",IF(AND(I186&gt;=M186,I186&lt;=N186,O186&lt;=J186),"PASS","FAIL"))</x:f>
      </x:c>
      <x:c r="R186" t="str"/>
      <x:c r="S186" t="str">
        <x:f>IF(R186=1,IF(Q186="PASS","PASS","FAIL"),"OPEN")</x:f>
        <x:v>OPEN</x:v>
      </x:c>
    </x:row>
    <x:row r="187">
      <x:c r="B187" t="str">
        <x:v>RAW-E181</x:v>
      </x:c>
      <x:c r="C187" t="str">
        <x:v>AM-02</x:v>
      </x:c>
      <x:c r="D187" t="str">
        <x:v>TR-A</x:v>
      </x:c>
      <x:c r="E187" t="str">
        <x:v>RFP-B2</x:v>
      </x:c>
      <x:c r="F187" t="str">
        <x:v>PTC-B</x:v>
      </x:c>
      <x:c r="G187" t="str">
        <x:v>QT-01</x:v>
      </x:c>
      <x:c r="H187" t="str">
        <x:v>RAW-V13</x:v>
      </x:c>
      <x:c r="I187" s="14" t="n">
        <x:f>'Reference Envelopes'!F19</x:f>
        <x:v>800</x:v>
      </x:c>
      <x:c r="J187" s="14" t="n">
        <x:f>'Reference Envelopes'!G19</x:f>
        <x:v>1</x:v>
      </x:c>
      <x:c r="K187" s="14" t="str">
        <x:f>IF(COUNT('Trial Register'!S187)=0,"",'Trial Register'!S187)</x:f>
      </x:c>
      <x:c r="L187" s="14" t="str">
        <x:f>IF(COUNT('Trial Register'!T187)=0,"",'Trial Register'!T187)</x:f>
      </x:c>
      <x:c r="M187" s="14" t="str">
        <x:f>IF(COUNT(K187:L187)&lt;2,"",K187-L187)</x:f>
      </x:c>
      <x:c r="N187" s="14" t="str">
        <x:f>IF(COUNT(K187:L187)&lt;2,"",K187+L187)</x:f>
      </x:c>
      <x:c r="O187" s="14" t="str">
        <x:f>IF(COUNT(K187)=0,"",ABS(K187-I187))</x:f>
      </x:c>
      <x:c r="P187" s="14" t="str">
        <x:f>IF(COUNT(O187)=0,"",IF(J187=0,IF(O187=0,0,999),O187/J187))</x:f>
      </x:c>
      <x:c r="Q187" t="str">
        <x:f>IF(COUNT(M187:N187)&lt;2,"",IF(AND(I187&gt;=M187,I187&lt;=N187,O187&lt;=J187),"PASS","FAIL"))</x:f>
      </x:c>
      <x:c r="R187" t="str"/>
      <x:c r="S187" t="str">
        <x:f>IF(R187=1,IF(Q187="PASS","PASS","FAIL"),"OPEN")</x:f>
        <x:v>OPEN</x:v>
      </x:c>
    </x:row>
    <x:row r="188">
      <x:c r="B188" t="str">
        <x:v>RAW-E182</x:v>
      </x:c>
      <x:c r="C188" t="str">
        <x:v>AM-02</x:v>
      </x:c>
      <x:c r="D188" t="str">
        <x:v>TR-A</x:v>
      </x:c>
      <x:c r="E188" t="str">
        <x:v>RFP-B2</x:v>
      </x:c>
      <x:c r="F188" t="str">
        <x:v>PTC-B</x:v>
      </x:c>
      <x:c r="G188" t="str">
        <x:v>QT-02</x:v>
      </x:c>
      <x:c r="H188" t="str">
        <x:v>RAW-V14</x:v>
      </x:c>
      <x:c r="I188" s="14" t="n">
        <x:f>'Reference Envelopes'!F20</x:f>
        <x:v>750</x:v>
      </x:c>
      <x:c r="J188" s="14" t="n">
        <x:f>'Reference Envelopes'!G20</x:f>
        <x:v>1</x:v>
      </x:c>
      <x:c r="K188" s="14" t="str">
        <x:f>IF(COUNT('Trial Register'!S188)=0,"",'Trial Register'!S188)</x:f>
      </x:c>
      <x:c r="L188" s="14" t="str">
        <x:f>IF(COUNT('Trial Register'!T188)=0,"",'Trial Register'!T188)</x:f>
      </x:c>
      <x:c r="M188" s="14" t="str">
        <x:f>IF(COUNT(K188:L188)&lt;2,"",K188-L188)</x:f>
      </x:c>
      <x:c r="N188" s="14" t="str">
        <x:f>IF(COUNT(K188:L188)&lt;2,"",K188+L188)</x:f>
      </x:c>
      <x:c r="O188" s="14" t="str">
        <x:f>IF(COUNT(K188)=0,"",ABS(K188-I188))</x:f>
      </x:c>
      <x:c r="P188" s="14" t="str">
        <x:f>IF(COUNT(O188)=0,"",IF(J188=0,IF(O188=0,0,999),O188/J188))</x:f>
      </x:c>
      <x:c r="Q188" t="str">
        <x:f>IF(COUNT(M188:N188)&lt;2,"",IF(AND(I188&gt;=M188,I188&lt;=N188,O188&lt;=J188),"PASS","FAIL"))</x:f>
      </x:c>
      <x:c r="R188" t="str"/>
      <x:c r="S188" t="str">
        <x:f>IF(R188=1,IF(Q188="PASS","PASS","FAIL"),"OPEN")</x:f>
        <x:v>OPEN</x:v>
      </x:c>
    </x:row>
    <x:row r="189">
      <x:c r="B189" t="str">
        <x:v>RAW-E183</x:v>
      </x:c>
      <x:c r="C189" t="str">
        <x:v>AM-02</x:v>
      </x:c>
      <x:c r="D189" t="str">
        <x:v>TR-A</x:v>
      </x:c>
      <x:c r="E189" t="str">
        <x:v>RFP-B2</x:v>
      </x:c>
      <x:c r="F189" t="str">
        <x:v>PTC-B</x:v>
      </x:c>
      <x:c r="G189" t="str">
        <x:v>QT-03</x:v>
      </x:c>
      <x:c r="H189" t="str">
        <x:v>RAW-V15</x:v>
      </x:c>
      <x:c r="I189" s="14" t="n">
        <x:f>'Reference Envelopes'!F21</x:f>
        <x:v>950</x:v>
      </x:c>
      <x:c r="J189" s="14" t="n">
        <x:f>'Reference Envelopes'!G21</x:f>
        <x:v>2</x:v>
      </x:c>
      <x:c r="K189" s="14" t="str">
        <x:f>IF(COUNT('Trial Register'!S189)=0,"",'Trial Register'!S189)</x:f>
      </x:c>
      <x:c r="L189" s="14" t="str">
        <x:f>IF(COUNT('Trial Register'!T189)=0,"",'Trial Register'!T189)</x:f>
      </x:c>
      <x:c r="M189" s="14" t="str">
        <x:f>IF(COUNT(K189:L189)&lt;2,"",K189-L189)</x:f>
      </x:c>
      <x:c r="N189" s="14" t="str">
        <x:f>IF(COUNT(K189:L189)&lt;2,"",K189+L189)</x:f>
      </x:c>
      <x:c r="O189" s="14" t="str">
        <x:f>IF(COUNT(K189)=0,"",ABS(K189-I189))</x:f>
      </x:c>
      <x:c r="P189" s="14" t="str">
        <x:f>IF(COUNT(O189)=0,"",IF(J189=0,IF(O189=0,0,999),O189/J189))</x:f>
      </x:c>
      <x:c r="Q189" t="str">
        <x:f>IF(COUNT(M189:N189)&lt;2,"",IF(AND(I189&gt;=M189,I189&lt;=N189,O189&lt;=J189),"PASS","FAIL"))</x:f>
      </x:c>
      <x:c r="R189" t="str"/>
      <x:c r="S189" t="str">
        <x:f>IF(R189=1,IF(Q189="PASS","PASS","FAIL"),"OPEN")</x:f>
        <x:v>OPEN</x:v>
      </x:c>
    </x:row>
    <x:row r="190">
      <x:c r="B190" t="str">
        <x:v>RAW-E184</x:v>
      </x:c>
      <x:c r="C190" t="str">
        <x:v>AM-02</x:v>
      </x:c>
      <x:c r="D190" t="str">
        <x:v>TR-A</x:v>
      </x:c>
      <x:c r="E190" t="str">
        <x:v>RFP-B2</x:v>
      </x:c>
      <x:c r="F190" t="str">
        <x:v>PTC-B</x:v>
      </x:c>
      <x:c r="G190" t="str">
        <x:v>QT-04</x:v>
      </x:c>
      <x:c r="H190" t="str">
        <x:v>RAW-V16</x:v>
      </x:c>
      <x:c r="I190" s="14" t="n">
        <x:f>'Reference Envelopes'!F22</x:f>
        <x:v>850</x:v>
      </x:c>
      <x:c r="J190" s="14" t="n">
        <x:f>'Reference Envelopes'!G22</x:f>
        <x:v>1.5</x:v>
      </x:c>
      <x:c r="K190" s="14" t="str">
        <x:f>IF(COUNT('Trial Register'!S190)=0,"",'Trial Register'!S190)</x:f>
      </x:c>
      <x:c r="L190" s="14" t="str">
        <x:f>IF(COUNT('Trial Register'!T190)=0,"",'Trial Register'!T190)</x:f>
      </x:c>
      <x:c r="M190" s="14" t="str">
        <x:f>IF(COUNT(K190:L190)&lt;2,"",K190-L190)</x:f>
      </x:c>
      <x:c r="N190" s="14" t="str">
        <x:f>IF(COUNT(K190:L190)&lt;2,"",K190+L190)</x:f>
      </x:c>
      <x:c r="O190" s="14" t="str">
        <x:f>IF(COUNT(K190)=0,"",ABS(K190-I190))</x:f>
      </x:c>
      <x:c r="P190" s="14" t="str">
        <x:f>IF(COUNT(O190)=0,"",IF(J190=0,IF(O190=0,0,999),O190/J190))</x:f>
      </x:c>
      <x:c r="Q190" t="str">
        <x:f>IF(COUNT(M190:N190)&lt;2,"",IF(AND(I190&gt;=M190,I190&lt;=N190,O190&lt;=J190),"PASS","FAIL"))</x:f>
      </x:c>
      <x:c r="R190" t="str"/>
      <x:c r="S190" t="str">
        <x:f>IF(R190=1,IF(Q190="PASS","PASS","FAIL"),"OPEN")</x:f>
        <x:v>OPEN</x:v>
      </x:c>
    </x:row>
    <x:row r="191">
      <x:c r="B191" t="str">
        <x:v>RAW-E185</x:v>
      </x:c>
      <x:c r="C191" t="str">
        <x:v>AM-02</x:v>
      </x:c>
      <x:c r="D191" t="str">
        <x:v>TR-A</x:v>
      </x:c>
      <x:c r="E191" t="str">
        <x:v>RFP-B2</x:v>
      </x:c>
      <x:c r="F191" t="str">
        <x:v>PTC-B</x:v>
      </x:c>
      <x:c r="G191" t="str">
        <x:v>QT-05</x:v>
      </x:c>
      <x:c r="H191" t="str">
        <x:v>RAW-V17</x:v>
      </x:c>
      <x:c r="I191" s="14" t="n">
        <x:f>'Reference Envelopes'!F23</x:f>
        <x:v>900</x:v>
      </x:c>
      <x:c r="J191" s="14" t="n">
        <x:f>'Reference Envelopes'!G23</x:f>
        <x:v>2</x:v>
      </x:c>
      <x:c r="K191" s="14" t="str">
        <x:f>IF(COUNT('Trial Register'!S191)=0,"",'Trial Register'!S191)</x:f>
      </x:c>
      <x:c r="L191" s="14" t="str">
        <x:f>IF(COUNT('Trial Register'!T191)=0,"",'Trial Register'!T191)</x:f>
      </x:c>
      <x:c r="M191" s="14" t="str">
        <x:f>IF(COUNT(K191:L191)&lt;2,"",K191-L191)</x:f>
      </x:c>
      <x:c r="N191" s="14" t="str">
        <x:f>IF(COUNT(K191:L191)&lt;2,"",K191+L191)</x:f>
      </x:c>
      <x:c r="O191" s="14" t="str">
        <x:f>IF(COUNT(K191)=0,"",ABS(K191-I191))</x:f>
      </x:c>
      <x:c r="P191" s="14" t="str">
        <x:f>IF(COUNT(O191)=0,"",IF(J191=0,IF(O191=0,0,999),O191/J191))</x:f>
      </x:c>
      <x:c r="Q191" t="str">
        <x:f>IF(COUNT(M191:N191)&lt;2,"",IF(AND(I191&gt;=M191,I191&lt;=N191,O191&lt;=J191),"PASS","FAIL"))</x:f>
      </x:c>
      <x:c r="R191" t="str"/>
      <x:c r="S191" t="str">
        <x:f>IF(R191=1,IF(Q191="PASS","PASS","FAIL"),"OPEN")</x:f>
        <x:v>OPEN</x:v>
      </x:c>
    </x:row>
    <x:row r="192">
      <x:c r="B192" t="str">
        <x:v>RAW-E186</x:v>
      </x:c>
      <x:c r="C192" t="str">
        <x:v>AM-02</x:v>
      </x:c>
      <x:c r="D192" t="str">
        <x:v>TR-A</x:v>
      </x:c>
      <x:c r="E192" t="str">
        <x:v>RFP-B2</x:v>
      </x:c>
      <x:c r="F192" t="str">
        <x:v>PTC-B</x:v>
      </x:c>
      <x:c r="G192" t="str">
        <x:v>QT-06</x:v>
      </x:c>
      <x:c r="H192" t="str">
        <x:v>RAW-V18</x:v>
      </x:c>
      <x:c r="I192" s="14" t="n">
        <x:f>'Reference Envelopes'!F24</x:f>
        <x:v>825</x:v>
      </x:c>
      <x:c r="J192" s="14" t="n">
        <x:f>'Reference Envelopes'!G24</x:f>
        <x:v>1.5</x:v>
      </x:c>
      <x:c r="K192" s="14" t="str">
        <x:f>IF(COUNT('Trial Register'!S192)=0,"",'Trial Register'!S192)</x:f>
      </x:c>
      <x:c r="L192" s="14" t="str">
        <x:f>IF(COUNT('Trial Register'!T192)=0,"",'Trial Register'!T192)</x:f>
      </x:c>
      <x:c r="M192" s="14" t="str">
        <x:f>IF(COUNT(K192:L192)&lt;2,"",K192-L192)</x:f>
      </x:c>
      <x:c r="N192" s="14" t="str">
        <x:f>IF(COUNT(K192:L192)&lt;2,"",K192+L192)</x:f>
      </x:c>
      <x:c r="O192" s="14" t="str">
        <x:f>IF(COUNT(K192)=0,"",ABS(K192-I192))</x:f>
      </x:c>
      <x:c r="P192" s="14" t="str">
        <x:f>IF(COUNT(O192)=0,"",IF(J192=0,IF(O192=0,0,999),O192/J192))</x:f>
      </x:c>
      <x:c r="Q192" t="str">
        <x:f>IF(COUNT(M192:N192)&lt;2,"",IF(AND(I192&gt;=M192,I192&lt;=N192,O192&lt;=J192),"PASS","FAIL"))</x:f>
      </x:c>
      <x:c r="R192" t="str"/>
      <x:c r="S192" t="str">
        <x:f>IF(R192=1,IF(Q192="PASS","PASS","FAIL"),"OPEN")</x:f>
        <x:v>OPEN</x:v>
      </x:c>
    </x:row>
    <x:row r="193">
      <x:c r="B193" t="str">
        <x:v>RAW-E187</x:v>
      </x:c>
      <x:c r="C193" t="str">
        <x:v>AM-02</x:v>
      </x:c>
      <x:c r="D193" t="str">
        <x:v>TR-B</x:v>
      </x:c>
      <x:c r="E193" t="str">
        <x:v>RFP-B2</x:v>
      </x:c>
      <x:c r="F193" t="str">
        <x:v>PTC-B</x:v>
      </x:c>
      <x:c r="G193" t="str">
        <x:v>QT-01</x:v>
      </x:c>
      <x:c r="H193" t="str">
        <x:v>RAW-V13</x:v>
      </x:c>
      <x:c r="I193" s="14" t="n">
        <x:f>'Reference Envelopes'!F19</x:f>
        <x:v>800</x:v>
      </x:c>
      <x:c r="J193" s="14" t="n">
        <x:f>'Reference Envelopes'!G19</x:f>
        <x:v>1</x:v>
      </x:c>
      <x:c r="K193" s="14" t="str">
        <x:f>IF(COUNT('Trial Register'!S193)=0,"",'Trial Register'!S193)</x:f>
      </x:c>
      <x:c r="L193" s="14" t="str">
        <x:f>IF(COUNT('Trial Register'!T193)=0,"",'Trial Register'!T193)</x:f>
      </x:c>
      <x:c r="M193" s="14" t="str">
        <x:f>IF(COUNT(K193:L193)&lt;2,"",K193-L193)</x:f>
      </x:c>
      <x:c r="N193" s="14" t="str">
        <x:f>IF(COUNT(K193:L193)&lt;2,"",K193+L193)</x:f>
      </x:c>
      <x:c r="O193" s="14" t="str">
        <x:f>IF(COUNT(K193)=0,"",ABS(K193-I193))</x:f>
      </x:c>
      <x:c r="P193" s="14" t="str">
        <x:f>IF(COUNT(O193)=0,"",IF(J193=0,IF(O193=0,0,999),O193/J193))</x:f>
      </x:c>
      <x:c r="Q193" t="str">
        <x:f>IF(COUNT(M193:N193)&lt;2,"",IF(AND(I193&gt;=M193,I193&lt;=N193,O193&lt;=J193),"PASS","FAIL"))</x:f>
      </x:c>
      <x:c r="R193" t="str"/>
      <x:c r="S193" t="str">
        <x:f>IF(R193=1,IF(Q193="PASS","PASS","FAIL"),"OPEN")</x:f>
        <x:v>OPEN</x:v>
      </x:c>
    </x:row>
    <x:row r="194">
      <x:c r="B194" t="str">
        <x:v>RAW-E188</x:v>
      </x:c>
      <x:c r="C194" t="str">
        <x:v>AM-02</x:v>
      </x:c>
      <x:c r="D194" t="str">
        <x:v>TR-B</x:v>
      </x:c>
      <x:c r="E194" t="str">
        <x:v>RFP-B2</x:v>
      </x:c>
      <x:c r="F194" t="str">
        <x:v>PTC-B</x:v>
      </x:c>
      <x:c r="G194" t="str">
        <x:v>QT-02</x:v>
      </x:c>
      <x:c r="H194" t="str">
        <x:v>RAW-V14</x:v>
      </x:c>
      <x:c r="I194" s="14" t="n">
        <x:f>'Reference Envelopes'!F20</x:f>
        <x:v>750</x:v>
      </x:c>
      <x:c r="J194" s="14" t="n">
        <x:f>'Reference Envelopes'!G20</x:f>
        <x:v>1</x:v>
      </x:c>
      <x:c r="K194" s="14" t="str">
        <x:f>IF(COUNT('Trial Register'!S194)=0,"",'Trial Register'!S194)</x:f>
      </x:c>
      <x:c r="L194" s="14" t="str">
        <x:f>IF(COUNT('Trial Register'!T194)=0,"",'Trial Register'!T194)</x:f>
      </x:c>
      <x:c r="M194" s="14" t="str">
        <x:f>IF(COUNT(K194:L194)&lt;2,"",K194-L194)</x:f>
      </x:c>
      <x:c r="N194" s="14" t="str">
        <x:f>IF(COUNT(K194:L194)&lt;2,"",K194+L194)</x:f>
      </x:c>
      <x:c r="O194" s="14" t="str">
        <x:f>IF(COUNT(K194)=0,"",ABS(K194-I194))</x:f>
      </x:c>
      <x:c r="P194" s="14" t="str">
        <x:f>IF(COUNT(O194)=0,"",IF(J194=0,IF(O194=0,0,999),O194/J194))</x:f>
      </x:c>
      <x:c r="Q194" t="str">
        <x:f>IF(COUNT(M194:N194)&lt;2,"",IF(AND(I194&gt;=M194,I194&lt;=N194,O194&lt;=J194),"PASS","FAIL"))</x:f>
      </x:c>
      <x:c r="R194" t="str"/>
      <x:c r="S194" t="str">
        <x:f>IF(R194=1,IF(Q194="PASS","PASS","FAIL"),"OPEN")</x:f>
        <x:v>OPEN</x:v>
      </x:c>
    </x:row>
    <x:row r="195">
      <x:c r="B195" t="str">
        <x:v>RAW-E189</x:v>
      </x:c>
      <x:c r="C195" t="str">
        <x:v>AM-02</x:v>
      </x:c>
      <x:c r="D195" t="str">
        <x:v>TR-B</x:v>
      </x:c>
      <x:c r="E195" t="str">
        <x:v>RFP-B2</x:v>
      </x:c>
      <x:c r="F195" t="str">
        <x:v>PTC-B</x:v>
      </x:c>
      <x:c r="G195" t="str">
        <x:v>QT-03</x:v>
      </x:c>
      <x:c r="H195" t="str">
        <x:v>RAW-V15</x:v>
      </x:c>
      <x:c r="I195" s="14" t="n">
        <x:f>'Reference Envelopes'!F21</x:f>
        <x:v>950</x:v>
      </x:c>
      <x:c r="J195" s="14" t="n">
        <x:f>'Reference Envelopes'!G21</x:f>
        <x:v>2</x:v>
      </x:c>
      <x:c r="K195" s="14" t="str">
        <x:f>IF(COUNT('Trial Register'!S195)=0,"",'Trial Register'!S195)</x:f>
      </x:c>
      <x:c r="L195" s="14" t="str">
        <x:f>IF(COUNT('Trial Register'!T195)=0,"",'Trial Register'!T195)</x:f>
      </x:c>
      <x:c r="M195" s="14" t="str">
        <x:f>IF(COUNT(K195:L195)&lt;2,"",K195-L195)</x:f>
      </x:c>
      <x:c r="N195" s="14" t="str">
        <x:f>IF(COUNT(K195:L195)&lt;2,"",K195+L195)</x:f>
      </x:c>
      <x:c r="O195" s="14" t="str">
        <x:f>IF(COUNT(K195)=0,"",ABS(K195-I195))</x:f>
      </x:c>
      <x:c r="P195" s="14" t="str">
        <x:f>IF(COUNT(O195)=0,"",IF(J195=0,IF(O195=0,0,999),O195/J195))</x:f>
      </x:c>
      <x:c r="Q195" t="str">
        <x:f>IF(COUNT(M195:N195)&lt;2,"",IF(AND(I195&gt;=M195,I195&lt;=N195,O195&lt;=J195),"PASS","FAIL"))</x:f>
      </x:c>
      <x:c r="R195" t="str"/>
      <x:c r="S195" t="str">
        <x:f>IF(R195=1,IF(Q195="PASS","PASS","FAIL"),"OPEN")</x:f>
        <x:v>OPEN</x:v>
      </x:c>
    </x:row>
    <x:row r="196">
      <x:c r="B196" t="str">
        <x:v>RAW-E190</x:v>
      </x:c>
      <x:c r="C196" t="str">
        <x:v>AM-02</x:v>
      </x:c>
      <x:c r="D196" t="str">
        <x:v>TR-B</x:v>
      </x:c>
      <x:c r="E196" t="str">
        <x:v>RFP-B2</x:v>
      </x:c>
      <x:c r="F196" t="str">
        <x:v>PTC-B</x:v>
      </x:c>
      <x:c r="G196" t="str">
        <x:v>QT-04</x:v>
      </x:c>
      <x:c r="H196" t="str">
        <x:v>RAW-V16</x:v>
      </x:c>
      <x:c r="I196" s="14" t="n">
        <x:f>'Reference Envelopes'!F22</x:f>
        <x:v>850</x:v>
      </x:c>
      <x:c r="J196" s="14" t="n">
        <x:f>'Reference Envelopes'!G22</x:f>
        <x:v>1.5</x:v>
      </x:c>
      <x:c r="K196" s="14" t="str">
        <x:f>IF(COUNT('Trial Register'!S196)=0,"",'Trial Register'!S196)</x:f>
      </x:c>
      <x:c r="L196" s="14" t="str">
        <x:f>IF(COUNT('Trial Register'!T196)=0,"",'Trial Register'!T196)</x:f>
      </x:c>
      <x:c r="M196" s="14" t="str">
        <x:f>IF(COUNT(K196:L196)&lt;2,"",K196-L196)</x:f>
      </x:c>
      <x:c r="N196" s="14" t="str">
        <x:f>IF(COUNT(K196:L196)&lt;2,"",K196+L196)</x:f>
      </x:c>
      <x:c r="O196" s="14" t="str">
        <x:f>IF(COUNT(K196)=0,"",ABS(K196-I196))</x:f>
      </x:c>
      <x:c r="P196" s="14" t="str">
        <x:f>IF(COUNT(O196)=0,"",IF(J196=0,IF(O196=0,0,999),O196/J196))</x:f>
      </x:c>
      <x:c r="Q196" t="str">
        <x:f>IF(COUNT(M196:N196)&lt;2,"",IF(AND(I196&gt;=M196,I196&lt;=N196,O196&lt;=J196),"PASS","FAIL"))</x:f>
      </x:c>
      <x:c r="R196" t="str"/>
      <x:c r="S196" t="str">
        <x:f>IF(R196=1,IF(Q196="PASS","PASS","FAIL"),"OPEN")</x:f>
        <x:v>OPEN</x:v>
      </x:c>
    </x:row>
    <x:row r="197">
      <x:c r="B197" t="str">
        <x:v>RAW-E191</x:v>
      </x:c>
      <x:c r="C197" t="str">
        <x:v>AM-02</x:v>
      </x:c>
      <x:c r="D197" t="str">
        <x:v>TR-B</x:v>
      </x:c>
      <x:c r="E197" t="str">
        <x:v>RFP-B2</x:v>
      </x:c>
      <x:c r="F197" t="str">
        <x:v>PTC-B</x:v>
      </x:c>
      <x:c r="G197" t="str">
        <x:v>QT-05</x:v>
      </x:c>
      <x:c r="H197" t="str">
        <x:v>RAW-V17</x:v>
      </x:c>
      <x:c r="I197" s="14" t="n">
        <x:f>'Reference Envelopes'!F23</x:f>
        <x:v>900</x:v>
      </x:c>
      <x:c r="J197" s="14" t="n">
        <x:f>'Reference Envelopes'!G23</x:f>
        <x:v>2</x:v>
      </x:c>
      <x:c r="K197" s="14" t="str">
        <x:f>IF(COUNT('Trial Register'!S197)=0,"",'Trial Register'!S197)</x:f>
      </x:c>
      <x:c r="L197" s="14" t="str">
        <x:f>IF(COUNT('Trial Register'!T197)=0,"",'Trial Register'!T197)</x:f>
      </x:c>
      <x:c r="M197" s="14" t="str">
        <x:f>IF(COUNT(K197:L197)&lt;2,"",K197-L197)</x:f>
      </x:c>
      <x:c r="N197" s="14" t="str">
        <x:f>IF(COUNT(K197:L197)&lt;2,"",K197+L197)</x:f>
      </x:c>
      <x:c r="O197" s="14" t="str">
        <x:f>IF(COUNT(K197)=0,"",ABS(K197-I197))</x:f>
      </x:c>
      <x:c r="P197" s="14" t="str">
        <x:f>IF(COUNT(O197)=0,"",IF(J197=0,IF(O197=0,0,999),O197/J197))</x:f>
      </x:c>
      <x:c r="Q197" t="str">
        <x:f>IF(COUNT(M197:N197)&lt;2,"",IF(AND(I197&gt;=M197,I197&lt;=N197,O197&lt;=J197),"PASS","FAIL"))</x:f>
      </x:c>
      <x:c r="R197" t="str"/>
      <x:c r="S197" t="str">
        <x:f>IF(R197=1,IF(Q197="PASS","PASS","FAIL"),"OPEN")</x:f>
        <x:v>OPEN</x:v>
      </x:c>
    </x:row>
    <x:row r="198">
      <x:c r="B198" t="str">
        <x:v>RAW-E192</x:v>
      </x:c>
      <x:c r="C198" t="str">
        <x:v>AM-02</x:v>
      </x:c>
      <x:c r="D198" t="str">
        <x:v>TR-B</x:v>
      </x:c>
      <x:c r="E198" t="str">
        <x:v>RFP-B2</x:v>
      </x:c>
      <x:c r="F198" t="str">
        <x:v>PTC-B</x:v>
      </x:c>
      <x:c r="G198" t="str">
        <x:v>QT-06</x:v>
      </x:c>
      <x:c r="H198" t="str">
        <x:v>RAW-V18</x:v>
      </x:c>
      <x:c r="I198" s="14" t="n">
        <x:f>'Reference Envelopes'!F24</x:f>
        <x:v>825</x:v>
      </x:c>
      <x:c r="J198" s="14" t="n">
        <x:f>'Reference Envelopes'!G24</x:f>
        <x:v>1.5</x:v>
      </x:c>
      <x:c r="K198" s="14" t="str">
        <x:f>IF(COUNT('Trial Register'!S198)=0,"",'Trial Register'!S198)</x:f>
      </x:c>
      <x:c r="L198" s="14" t="str">
        <x:f>IF(COUNT('Trial Register'!T198)=0,"",'Trial Register'!T198)</x:f>
      </x:c>
      <x:c r="M198" s="14" t="str">
        <x:f>IF(COUNT(K198:L198)&lt;2,"",K198-L198)</x:f>
      </x:c>
      <x:c r="N198" s="14" t="str">
        <x:f>IF(COUNT(K198:L198)&lt;2,"",K198+L198)</x:f>
      </x:c>
      <x:c r="O198" s="14" t="str">
        <x:f>IF(COUNT(K198)=0,"",ABS(K198-I198))</x:f>
      </x:c>
      <x:c r="P198" s="14" t="str">
        <x:f>IF(COUNT(O198)=0,"",IF(J198=0,IF(O198=0,0,999),O198/J198))</x:f>
      </x:c>
      <x:c r="Q198" t="str">
        <x:f>IF(COUNT(M198:N198)&lt;2,"",IF(AND(I198&gt;=M198,I198&lt;=N198,O198&lt;=J198),"PASS","FAIL"))</x:f>
      </x:c>
      <x:c r="R198" t="str"/>
      <x:c r="S198" t="str">
        <x:f>IF(R198=1,IF(Q198="PASS","PASS","FAIL"),"OPEN")</x:f>
        <x:v>OPEN</x:v>
      </x:c>
    </x:row>
    <x:row r="199">
      <x:c r="B199" t="str">
        <x:v>RAW-E193</x:v>
      </x:c>
      <x:c r="C199" t="str">
        <x:v>AM-02</x:v>
      </x:c>
      <x:c r="D199" t="str">
        <x:v>TR-A</x:v>
      </x:c>
      <x:c r="E199" t="str">
        <x:v>RFP-C1</x:v>
      </x:c>
      <x:c r="F199" t="str">
        <x:v>PTC-C</x:v>
      </x:c>
      <x:c r="G199" t="str">
        <x:v>QT-01</x:v>
      </x:c>
      <x:c r="H199" t="str">
        <x:v>RAW-V13</x:v>
      </x:c>
      <x:c r="I199" s="14" t="n">
        <x:f>'Reference Envelopes'!F19</x:f>
        <x:v>800</x:v>
      </x:c>
      <x:c r="J199" s="14" t="n">
        <x:f>'Reference Envelopes'!G19</x:f>
        <x:v>1</x:v>
      </x:c>
      <x:c r="K199" s="14" t="str">
        <x:f>IF(COUNT('Trial Register'!S199)=0,"",'Trial Register'!S199)</x:f>
      </x:c>
      <x:c r="L199" s="14" t="str">
        <x:f>IF(COUNT('Trial Register'!T199)=0,"",'Trial Register'!T199)</x:f>
      </x:c>
      <x:c r="M199" s="14" t="str">
        <x:f>IF(COUNT(K199:L199)&lt;2,"",K199-L199)</x:f>
      </x:c>
      <x:c r="N199" s="14" t="str">
        <x:f>IF(COUNT(K199:L199)&lt;2,"",K199+L199)</x:f>
      </x:c>
      <x:c r="O199" s="14" t="str">
        <x:f>IF(COUNT(K199)=0,"",ABS(K199-I199))</x:f>
      </x:c>
      <x:c r="P199" s="14" t="str">
        <x:f>IF(COUNT(O199)=0,"",IF(J199=0,IF(O199=0,0,999),O199/J199))</x:f>
      </x:c>
      <x:c r="Q199" t="str">
        <x:f>IF(COUNT(M199:N199)&lt;2,"",IF(AND(I199&gt;=M199,I199&lt;=N199,O199&lt;=J199),"PASS","FAIL"))</x:f>
      </x:c>
      <x:c r="R199" t="str"/>
      <x:c r="S199" t="str">
        <x:f>IF(R199=1,IF(Q199="PASS","PASS","FAIL"),"OPEN")</x:f>
        <x:v>OPEN</x:v>
      </x:c>
    </x:row>
    <x:row r="200">
      <x:c r="B200" t="str">
        <x:v>RAW-E194</x:v>
      </x:c>
      <x:c r="C200" t="str">
        <x:v>AM-02</x:v>
      </x:c>
      <x:c r="D200" t="str">
        <x:v>TR-A</x:v>
      </x:c>
      <x:c r="E200" t="str">
        <x:v>RFP-C1</x:v>
      </x:c>
      <x:c r="F200" t="str">
        <x:v>PTC-C</x:v>
      </x:c>
      <x:c r="G200" t="str">
        <x:v>QT-02</x:v>
      </x:c>
      <x:c r="H200" t="str">
        <x:v>RAW-V14</x:v>
      </x:c>
      <x:c r="I200" s="14" t="n">
        <x:f>'Reference Envelopes'!F20</x:f>
        <x:v>750</x:v>
      </x:c>
      <x:c r="J200" s="14" t="n">
        <x:f>'Reference Envelopes'!G20</x:f>
        <x:v>1</x:v>
      </x:c>
      <x:c r="K200" s="14" t="str">
        <x:f>IF(COUNT('Trial Register'!S200)=0,"",'Trial Register'!S200)</x:f>
      </x:c>
      <x:c r="L200" s="14" t="str">
        <x:f>IF(COUNT('Trial Register'!T200)=0,"",'Trial Register'!T200)</x:f>
      </x:c>
      <x:c r="M200" s="14" t="str">
        <x:f>IF(COUNT(K200:L200)&lt;2,"",K200-L200)</x:f>
      </x:c>
      <x:c r="N200" s="14" t="str">
        <x:f>IF(COUNT(K200:L200)&lt;2,"",K200+L200)</x:f>
      </x:c>
      <x:c r="O200" s="14" t="str">
        <x:f>IF(COUNT(K200)=0,"",ABS(K200-I200))</x:f>
      </x:c>
      <x:c r="P200" s="14" t="str">
        <x:f>IF(COUNT(O200)=0,"",IF(J200=0,IF(O200=0,0,999),O200/J200))</x:f>
      </x:c>
      <x:c r="Q200" t="str">
        <x:f>IF(COUNT(M200:N200)&lt;2,"",IF(AND(I200&gt;=M200,I200&lt;=N200,O200&lt;=J200),"PASS","FAIL"))</x:f>
      </x:c>
      <x:c r="R200" t="str"/>
      <x:c r="S200" t="str">
        <x:f>IF(R200=1,IF(Q200="PASS","PASS","FAIL"),"OPEN")</x:f>
        <x:v>OPEN</x:v>
      </x:c>
    </x:row>
    <x:row r="201">
      <x:c r="B201" t="str">
        <x:v>RAW-E195</x:v>
      </x:c>
      <x:c r="C201" t="str">
        <x:v>AM-02</x:v>
      </x:c>
      <x:c r="D201" t="str">
        <x:v>TR-A</x:v>
      </x:c>
      <x:c r="E201" t="str">
        <x:v>RFP-C1</x:v>
      </x:c>
      <x:c r="F201" t="str">
        <x:v>PTC-C</x:v>
      </x:c>
      <x:c r="G201" t="str">
        <x:v>QT-03</x:v>
      </x:c>
      <x:c r="H201" t="str">
        <x:v>RAW-V15</x:v>
      </x:c>
      <x:c r="I201" s="14" t="n">
        <x:f>'Reference Envelopes'!F21</x:f>
        <x:v>950</x:v>
      </x:c>
      <x:c r="J201" s="14" t="n">
        <x:f>'Reference Envelopes'!G21</x:f>
        <x:v>2</x:v>
      </x:c>
      <x:c r="K201" s="14" t="str">
        <x:f>IF(COUNT('Trial Register'!S201)=0,"",'Trial Register'!S201)</x:f>
      </x:c>
      <x:c r="L201" s="14" t="str">
        <x:f>IF(COUNT('Trial Register'!T201)=0,"",'Trial Register'!T201)</x:f>
      </x:c>
      <x:c r="M201" s="14" t="str">
        <x:f>IF(COUNT(K201:L201)&lt;2,"",K201-L201)</x:f>
      </x:c>
      <x:c r="N201" s="14" t="str">
        <x:f>IF(COUNT(K201:L201)&lt;2,"",K201+L201)</x:f>
      </x:c>
      <x:c r="O201" s="14" t="str">
        <x:f>IF(COUNT(K201)=0,"",ABS(K201-I201))</x:f>
      </x:c>
      <x:c r="P201" s="14" t="str">
        <x:f>IF(COUNT(O201)=0,"",IF(J201=0,IF(O201=0,0,999),O201/J201))</x:f>
      </x:c>
      <x:c r="Q201" t="str">
        <x:f>IF(COUNT(M201:N201)&lt;2,"",IF(AND(I201&gt;=M201,I201&lt;=N201,O201&lt;=J201),"PASS","FAIL"))</x:f>
      </x:c>
      <x:c r="R201" t="str"/>
      <x:c r="S201" t="str">
        <x:f>IF(R201=1,IF(Q201="PASS","PASS","FAIL"),"OPEN")</x:f>
        <x:v>OPEN</x:v>
      </x:c>
    </x:row>
    <x:row r="202">
      <x:c r="B202" t="str">
        <x:v>RAW-E196</x:v>
      </x:c>
      <x:c r="C202" t="str">
        <x:v>AM-02</x:v>
      </x:c>
      <x:c r="D202" t="str">
        <x:v>TR-A</x:v>
      </x:c>
      <x:c r="E202" t="str">
        <x:v>RFP-C1</x:v>
      </x:c>
      <x:c r="F202" t="str">
        <x:v>PTC-C</x:v>
      </x:c>
      <x:c r="G202" t="str">
        <x:v>QT-04</x:v>
      </x:c>
      <x:c r="H202" t="str">
        <x:v>RAW-V16</x:v>
      </x:c>
      <x:c r="I202" s="14" t="n">
        <x:f>'Reference Envelopes'!F22</x:f>
        <x:v>850</x:v>
      </x:c>
      <x:c r="J202" s="14" t="n">
        <x:f>'Reference Envelopes'!G22</x:f>
        <x:v>1.5</x:v>
      </x:c>
      <x:c r="K202" s="14" t="str">
        <x:f>IF(COUNT('Trial Register'!S202)=0,"",'Trial Register'!S202)</x:f>
      </x:c>
      <x:c r="L202" s="14" t="str">
        <x:f>IF(COUNT('Trial Register'!T202)=0,"",'Trial Register'!T202)</x:f>
      </x:c>
      <x:c r="M202" s="14" t="str">
        <x:f>IF(COUNT(K202:L202)&lt;2,"",K202-L202)</x:f>
      </x:c>
      <x:c r="N202" s="14" t="str">
        <x:f>IF(COUNT(K202:L202)&lt;2,"",K202+L202)</x:f>
      </x:c>
      <x:c r="O202" s="14" t="str">
        <x:f>IF(COUNT(K202)=0,"",ABS(K202-I202))</x:f>
      </x:c>
      <x:c r="P202" s="14" t="str">
        <x:f>IF(COUNT(O202)=0,"",IF(J202=0,IF(O202=0,0,999),O202/J202))</x:f>
      </x:c>
      <x:c r="Q202" t="str">
        <x:f>IF(COUNT(M202:N202)&lt;2,"",IF(AND(I202&gt;=M202,I202&lt;=N202,O202&lt;=J202),"PASS","FAIL"))</x:f>
      </x:c>
      <x:c r="R202" t="str"/>
      <x:c r="S202" t="str">
        <x:f>IF(R202=1,IF(Q202="PASS","PASS","FAIL"),"OPEN")</x:f>
        <x:v>OPEN</x:v>
      </x:c>
    </x:row>
    <x:row r="203">
      <x:c r="B203" t="str">
        <x:v>RAW-E197</x:v>
      </x:c>
      <x:c r="C203" t="str">
        <x:v>AM-02</x:v>
      </x:c>
      <x:c r="D203" t="str">
        <x:v>TR-A</x:v>
      </x:c>
      <x:c r="E203" t="str">
        <x:v>RFP-C1</x:v>
      </x:c>
      <x:c r="F203" t="str">
        <x:v>PTC-C</x:v>
      </x:c>
      <x:c r="G203" t="str">
        <x:v>QT-05</x:v>
      </x:c>
      <x:c r="H203" t="str">
        <x:v>RAW-V17</x:v>
      </x:c>
      <x:c r="I203" s="14" t="n">
        <x:f>'Reference Envelopes'!F23</x:f>
        <x:v>900</x:v>
      </x:c>
      <x:c r="J203" s="14" t="n">
        <x:f>'Reference Envelopes'!G23</x:f>
        <x:v>2</x:v>
      </x:c>
      <x:c r="K203" s="14" t="str">
        <x:f>IF(COUNT('Trial Register'!S203)=0,"",'Trial Register'!S203)</x:f>
      </x:c>
      <x:c r="L203" s="14" t="str">
        <x:f>IF(COUNT('Trial Register'!T203)=0,"",'Trial Register'!T203)</x:f>
      </x:c>
      <x:c r="M203" s="14" t="str">
        <x:f>IF(COUNT(K203:L203)&lt;2,"",K203-L203)</x:f>
      </x:c>
      <x:c r="N203" s="14" t="str">
        <x:f>IF(COUNT(K203:L203)&lt;2,"",K203+L203)</x:f>
      </x:c>
      <x:c r="O203" s="14" t="str">
        <x:f>IF(COUNT(K203)=0,"",ABS(K203-I203))</x:f>
      </x:c>
      <x:c r="P203" s="14" t="str">
        <x:f>IF(COUNT(O203)=0,"",IF(J203=0,IF(O203=0,0,999),O203/J203))</x:f>
      </x:c>
      <x:c r="Q203" t="str">
        <x:f>IF(COUNT(M203:N203)&lt;2,"",IF(AND(I203&gt;=M203,I203&lt;=N203,O203&lt;=J203),"PASS","FAIL"))</x:f>
      </x:c>
      <x:c r="R203" t="str"/>
      <x:c r="S203" t="str">
        <x:f>IF(R203=1,IF(Q203="PASS","PASS","FAIL"),"OPEN")</x:f>
        <x:v>OPEN</x:v>
      </x:c>
    </x:row>
    <x:row r="204">
      <x:c r="B204" t="str">
        <x:v>RAW-E198</x:v>
      </x:c>
      <x:c r="C204" t="str">
        <x:v>AM-02</x:v>
      </x:c>
      <x:c r="D204" t="str">
        <x:v>TR-A</x:v>
      </x:c>
      <x:c r="E204" t="str">
        <x:v>RFP-C1</x:v>
      </x:c>
      <x:c r="F204" t="str">
        <x:v>PTC-C</x:v>
      </x:c>
      <x:c r="G204" t="str">
        <x:v>QT-06</x:v>
      </x:c>
      <x:c r="H204" t="str">
        <x:v>RAW-V18</x:v>
      </x:c>
      <x:c r="I204" s="14" t="n">
        <x:f>'Reference Envelopes'!F24</x:f>
        <x:v>825</x:v>
      </x:c>
      <x:c r="J204" s="14" t="n">
        <x:f>'Reference Envelopes'!G24</x:f>
        <x:v>1.5</x:v>
      </x:c>
      <x:c r="K204" s="14" t="str">
        <x:f>IF(COUNT('Trial Register'!S204)=0,"",'Trial Register'!S204)</x:f>
      </x:c>
      <x:c r="L204" s="14" t="str">
        <x:f>IF(COUNT('Trial Register'!T204)=0,"",'Trial Register'!T204)</x:f>
      </x:c>
      <x:c r="M204" s="14" t="str">
        <x:f>IF(COUNT(K204:L204)&lt;2,"",K204-L204)</x:f>
      </x:c>
      <x:c r="N204" s="14" t="str">
        <x:f>IF(COUNT(K204:L204)&lt;2,"",K204+L204)</x:f>
      </x:c>
      <x:c r="O204" s="14" t="str">
        <x:f>IF(COUNT(K204)=0,"",ABS(K204-I204))</x:f>
      </x:c>
      <x:c r="P204" s="14" t="str">
        <x:f>IF(COUNT(O204)=0,"",IF(J204=0,IF(O204=0,0,999),O204/J204))</x:f>
      </x:c>
      <x:c r="Q204" t="str">
        <x:f>IF(COUNT(M204:N204)&lt;2,"",IF(AND(I204&gt;=M204,I204&lt;=N204,O204&lt;=J204),"PASS","FAIL"))</x:f>
      </x:c>
      <x:c r="R204" t="str"/>
      <x:c r="S204" t="str">
        <x:f>IF(R204=1,IF(Q204="PASS","PASS","FAIL"),"OPEN")</x:f>
        <x:v>OPEN</x:v>
      </x:c>
    </x:row>
    <x:row r="205">
      <x:c r="B205" t="str">
        <x:v>RAW-E199</x:v>
      </x:c>
      <x:c r="C205" t="str">
        <x:v>AM-02</x:v>
      </x:c>
      <x:c r="D205" t="str">
        <x:v>TR-B</x:v>
      </x:c>
      <x:c r="E205" t="str">
        <x:v>RFP-C1</x:v>
      </x:c>
      <x:c r="F205" t="str">
        <x:v>PTC-C</x:v>
      </x:c>
      <x:c r="G205" t="str">
        <x:v>QT-01</x:v>
      </x:c>
      <x:c r="H205" t="str">
        <x:v>RAW-V13</x:v>
      </x:c>
      <x:c r="I205" s="14" t="n">
        <x:f>'Reference Envelopes'!F19</x:f>
        <x:v>800</x:v>
      </x:c>
      <x:c r="J205" s="14" t="n">
        <x:f>'Reference Envelopes'!G19</x:f>
        <x:v>1</x:v>
      </x:c>
      <x:c r="K205" s="14" t="str">
        <x:f>IF(COUNT('Trial Register'!S205)=0,"",'Trial Register'!S205)</x:f>
      </x:c>
      <x:c r="L205" s="14" t="str">
        <x:f>IF(COUNT('Trial Register'!T205)=0,"",'Trial Register'!T205)</x:f>
      </x:c>
      <x:c r="M205" s="14" t="str">
        <x:f>IF(COUNT(K205:L205)&lt;2,"",K205-L205)</x:f>
      </x:c>
      <x:c r="N205" s="14" t="str">
        <x:f>IF(COUNT(K205:L205)&lt;2,"",K205+L205)</x:f>
      </x:c>
      <x:c r="O205" s="14" t="str">
        <x:f>IF(COUNT(K205)=0,"",ABS(K205-I205))</x:f>
      </x:c>
      <x:c r="P205" s="14" t="str">
        <x:f>IF(COUNT(O205)=0,"",IF(J205=0,IF(O205=0,0,999),O205/J205))</x:f>
      </x:c>
      <x:c r="Q205" t="str">
        <x:f>IF(COUNT(M205:N205)&lt;2,"",IF(AND(I205&gt;=M205,I205&lt;=N205,O205&lt;=J205),"PASS","FAIL"))</x:f>
      </x:c>
      <x:c r="R205" t="str"/>
      <x:c r="S205" t="str">
        <x:f>IF(R205=1,IF(Q205="PASS","PASS","FAIL"),"OPEN")</x:f>
        <x:v>OPEN</x:v>
      </x:c>
    </x:row>
    <x:row r="206">
      <x:c r="B206" t="str">
        <x:v>RAW-E200</x:v>
      </x:c>
      <x:c r="C206" t="str">
        <x:v>AM-02</x:v>
      </x:c>
      <x:c r="D206" t="str">
        <x:v>TR-B</x:v>
      </x:c>
      <x:c r="E206" t="str">
        <x:v>RFP-C1</x:v>
      </x:c>
      <x:c r="F206" t="str">
        <x:v>PTC-C</x:v>
      </x:c>
      <x:c r="G206" t="str">
        <x:v>QT-02</x:v>
      </x:c>
      <x:c r="H206" t="str">
        <x:v>RAW-V14</x:v>
      </x:c>
      <x:c r="I206" s="14" t="n">
        <x:f>'Reference Envelopes'!F20</x:f>
        <x:v>750</x:v>
      </x:c>
      <x:c r="J206" s="14" t="n">
        <x:f>'Reference Envelopes'!G20</x:f>
        <x:v>1</x:v>
      </x:c>
      <x:c r="K206" s="14" t="str">
        <x:f>IF(COUNT('Trial Register'!S206)=0,"",'Trial Register'!S206)</x:f>
      </x:c>
      <x:c r="L206" s="14" t="str">
        <x:f>IF(COUNT('Trial Register'!T206)=0,"",'Trial Register'!T206)</x:f>
      </x:c>
      <x:c r="M206" s="14" t="str">
        <x:f>IF(COUNT(K206:L206)&lt;2,"",K206-L206)</x:f>
      </x:c>
      <x:c r="N206" s="14" t="str">
        <x:f>IF(COUNT(K206:L206)&lt;2,"",K206+L206)</x:f>
      </x:c>
      <x:c r="O206" s="14" t="str">
        <x:f>IF(COUNT(K206)=0,"",ABS(K206-I206))</x:f>
      </x:c>
      <x:c r="P206" s="14" t="str">
        <x:f>IF(COUNT(O206)=0,"",IF(J206=0,IF(O206=0,0,999),O206/J206))</x:f>
      </x:c>
      <x:c r="Q206" t="str">
        <x:f>IF(COUNT(M206:N206)&lt;2,"",IF(AND(I206&gt;=M206,I206&lt;=N206,O206&lt;=J206),"PASS","FAIL"))</x:f>
      </x:c>
      <x:c r="R206" t="str"/>
      <x:c r="S206" t="str">
        <x:f>IF(R206=1,IF(Q206="PASS","PASS","FAIL"),"OPEN")</x:f>
        <x:v>OPEN</x:v>
      </x:c>
    </x:row>
    <x:row r="207">
      <x:c r="B207" t="str">
        <x:v>RAW-E201</x:v>
      </x:c>
      <x:c r="C207" t="str">
        <x:v>AM-02</x:v>
      </x:c>
      <x:c r="D207" t="str">
        <x:v>TR-B</x:v>
      </x:c>
      <x:c r="E207" t="str">
        <x:v>RFP-C1</x:v>
      </x:c>
      <x:c r="F207" t="str">
        <x:v>PTC-C</x:v>
      </x:c>
      <x:c r="G207" t="str">
        <x:v>QT-03</x:v>
      </x:c>
      <x:c r="H207" t="str">
        <x:v>RAW-V15</x:v>
      </x:c>
      <x:c r="I207" s="14" t="n">
        <x:f>'Reference Envelopes'!F21</x:f>
        <x:v>950</x:v>
      </x:c>
      <x:c r="J207" s="14" t="n">
        <x:f>'Reference Envelopes'!G21</x:f>
        <x:v>2</x:v>
      </x:c>
      <x:c r="K207" s="14" t="str">
        <x:f>IF(COUNT('Trial Register'!S207)=0,"",'Trial Register'!S207)</x:f>
      </x:c>
      <x:c r="L207" s="14" t="str">
        <x:f>IF(COUNT('Trial Register'!T207)=0,"",'Trial Register'!T207)</x:f>
      </x:c>
      <x:c r="M207" s="14" t="str">
        <x:f>IF(COUNT(K207:L207)&lt;2,"",K207-L207)</x:f>
      </x:c>
      <x:c r="N207" s="14" t="str">
        <x:f>IF(COUNT(K207:L207)&lt;2,"",K207+L207)</x:f>
      </x:c>
      <x:c r="O207" s="14" t="str">
        <x:f>IF(COUNT(K207)=0,"",ABS(K207-I207))</x:f>
      </x:c>
      <x:c r="P207" s="14" t="str">
        <x:f>IF(COUNT(O207)=0,"",IF(J207=0,IF(O207=0,0,999),O207/J207))</x:f>
      </x:c>
      <x:c r="Q207" t="str">
        <x:f>IF(COUNT(M207:N207)&lt;2,"",IF(AND(I207&gt;=M207,I207&lt;=N207,O207&lt;=J207),"PASS","FAIL"))</x:f>
      </x:c>
      <x:c r="R207" t="str"/>
      <x:c r="S207" t="str">
        <x:f>IF(R207=1,IF(Q207="PASS","PASS","FAIL"),"OPEN")</x:f>
        <x:v>OPEN</x:v>
      </x:c>
    </x:row>
    <x:row r="208">
      <x:c r="B208" t="str">
        <x:v>RAW-E202</x:v>
      </x:c>
      <x:c r="C208" t="str">
        <x:v>AM-02</x:v>
      </x:c>
      <x:c r="D208" t="str">
        <x:v>TR-B</x:v>
      </x:c>
      <x:c r="E208" t="str">
        <x:v>RFP-C1</x:v>
      </x:c>
      <x:c r="F208" t="str">
        <x:v>PTC-C</x:v>
      </x:c>
      <x:c r="G208" t="str">
        <x:v>QT-04</x:v>
      </x:c>
      <x:c r="H208" t="str">
        <x:v>RAW-V16</x:v>
      </x:c>
      <x:c r="I208" s="14" t="n">
        <x:f>'Reference Envelopes'!F22</x:f>
        <x:v>850</x:v>
      </x:c>
      <x:c r="J208" s="14" t="n">
        <x:f>'Reference Envelopes'!G22</x:f>
        <x:v>1.5</x:v>
      </x:c>
      <x:c r="K208" s="14" t="str">
        <x:f>IF(COUNT('Trial Register'!S208)=0,"",'Trial Register'!S208)</x:f>
      </x:c>
      <x:c r="L208" s="14" t="str">
        <x:f>IF(COUNT('Trial Register'!T208)=0,"",'Trial Register'!T208)</x:f>
      </x:c>
      <x:c r="M208" s="14" t="str">
        <x:f>IF(COUNT(K208:L208)&lt;2,"",K208-L208)</x:f>
      </x:c>
      <x:c r="N208" s="14" t="str">
        <x:f>IF(COUNT(K208:L208)&lt;2,"",K208+L208)</x:f>
      </x:c>
      <x:c r="O208" s="14" t="str">
        <x:f>IF(COUNT(K208)=0,"",ABS(K208-I208))</x:f>
      </x:c>
      <x:c r="P208" s="14" t="str">
        <x:f>IF(COUNT(O208)=0,"",IF(J208=0,IF(O208=0,0,999),O208/J208))</x:f>
      </x:c>
      <x:c r="Q208" t="str">
        <x:f>IF(COUNT(M208:N208)&lt;2,"",IF(AND(I208&gt;=M208,I208&lt;=N208,O208&lt;=J208),"PASS","FAIL"))</x:f>
      </x:c>
      <x:c r="R208" t="str"/>
      <x:c r="S208" t="str">
        <x:f>IF(R208=1,IF(Q208="PASS","PASS","FAIL"),"OPEN")</x:f>
        <x:v>OPEN</x:v>
      </x:c>
    </x:row>
    <x:row r="209">
      <x:c r="B209" t="str">
        <x:v>RAW-E203</x:v>
      </x:c>
      <x:c r="C209" t="str">
        <x:v>AM-02</x:v>
      </x:c>
      <x:c r="D209" t="str">
        <x:v>TR-B</x:v>
      </x:c>
      <x:c r="E209" t="str">
        <x:v>RFP-C1</x:v>
      </x:c>
      <x:c r="F209" t="str">
        <x:v>PTC-C</x:v>
      </x:c>
      <x:c r="G209" t="str">
        <x:v>QT-05</x:v>
      </x:c>
      <x:c r="H209" t="str">
        <x:v>RAW-V17</x:v>
      </x:c>
      <x:c r="I209" s="14" t="n">
        <x:f>'Reference Envelopes'!F23</x:f>
        <x:v>900</x:v>
      </x:c>
      <x:c r="J209" s="14" t="n">
        <x:f>'Reference Envelopes'!G23</x:f>
        <x:v>2</x:v>
      </x:c>
      <x:c r="K209" s="14" t="str">
        <x:f>IF(COUNT('Trial Register'!S209)=0,"",'Trial Register'!S209)</x:f>
      </x:c>
      <x:c r="L209" s="14" t="str">
        <x:f>IF(COUNT('Trial Register'!T209)=0,"",'Trial Register'!T209)</x:f>
      </x:c>
      <x:c r="M209" s="14" t="str">
        <x:f>IF(COUNT(K209:L209)&lt;2,"",K209-L209)</x:f>
      </x:c>
      <x:c r="N209" s="14" t="str">
        <x:f>IF(COUNT(K209:L209)&lt;2,"",K209+L209)</x:f>
      </x:c>
      <x:c r="O209" s="14" t="str">
        <x:f>IF(COUNT(K209)=0,"",ABS(K209-I209))</x:f>
      </x:c>
      <x:c r="P209" s="14" t="str">
        <x:f>IF(COUNT(O209)=0,"",IF(J209=0,IF(O209=0,0,999),O209/J209))</x:f>
      </x:c>
      <x:c r="Q209" t="str">
        <x:f>IF(COUNT(M209:N209)&lt;2,"",IF(AND(I209&gt;=M209,I209&lt;=N209,O209&lt;=J209),"PASS","FAIL"))</x:f>
      </x:c>
      <x:c r="R209" t="str"/>
      <x:c r="S209" t="str">
        <x:f>IF(R209=1,IF(Q209="PASS","PASS","FAIL"),"OPEN")</x:f>
        <x:v>OPEN</x:v>
      </x:c>
    </x:row>
    <x:row r="210">
      <x:c r="B210" t="str">
        <x:v>RAW-E204</x:v>
      </x:c>
      <x:c r="C210" t="str">
        <x:v>AM-02</x:v>
      </x:c>
      <x:c r="D210" t="str">
        <x:v>TR-B</x:v>
      </x:c>
      <x:c r="E210" t="str">
        <x:v>RFP-C1</x:v>
      </x:c>
      <x:c r="F210" t="str">
        <x:v>PTC-C</x:v>
      </x:c>
      <x:c r="G210" t="str">
        <x:v>QT-06</x:v>
      </x:c>
      <x:c r="H210" t="str">
        <x:v>RAW-V18</x:v>
      </x:c>
      <x:c r="I210" s="14" t="n">
        <x:f>'Reference Envelopes'!F24</x:f>
        <x:v>825</x:v>
      </x:c>
      <x:c r="J210" s="14" t="n">
        <x:f>'Reference Envelopes'!G24</x:f>
        <x:v>1.5</x:v>
      </x:c>
      <x:c r="K210" s="14" t="str">
        <x:f>IF(COUNT('Trial Register'!S210)=0,"",'Trial Register'!S210)</x:f>
      </x:c>
      <x:c r="L210" s="14" t="str">
        <x:f>IF(COUNT('Trial Register'!T210)=0,"",'Trial Register'!T210)</x:f>
      </x:c>
      <x:c r="M210" s="14" t="str">
        <x:f>IF(COUNT(K210:L210)&lt;2,"",K210-L210)</x:f>
      </x:c>
      <x:c r="N210" s="14" t="str">
        <x:f>IF(COUNT(K210:L210)&lt;2,"",K210+L210)</x:f>
      </x:c>
      <x:c r="O210" s="14" t="str">
        <x:f>IF(COUNT(K210)=0,"",ABS(K210-I210))</x:f>
      </x:c>
      <x:c r="P210" s="14" t="str">
        <x:f>IF(COUNT(O210)=0,"",IF(J210=0,IF(O210=0,0,999),O210/J210))</x:f>
      </x:c>
      <x:c r="Q210" t="str">
        <x:f>IF(COUNT(M210:N210)&lt;2,"",IF(AND(I210&gt;=M210,I210&lt;=N210,O210&lt;=J210),"PASS","FAIL"))</x:f>
      </x:c>
      <x:c r="R210" t="str"/>
      <x:c r="S210" t="str">
        <x:f>IF(R210=1,IF(Q210="PASS","PASS","FAIL"),"OPEN")</x:f>
        <x:v>OPEN</x:v>
      </x:c>
    </x:row>
    <x:row r="211">
      <x:c r="B211" t="str">
        <x:v>RAW-E205</x:v>
      </x:c>
      <x:c r="C211" t="str">
        <x:v>AM-02</x:v>
      </x:c>
      <x:c r="D211" t="str">
        <x:v>TR-A</x:v>
      </x:c>
      <x:c r="E211" t="str">
        <x:v>RFP-C2</x:v>
      </x:c>
      <x:c r="F211" t="str">
        <x:v>PTC-C</x:v>
      </x:c>
      <x:c r="G211" t="str">
        <x:v>QT-01</x:v>
      </x:c>
      <x:c r="H211" t="str">
        <x:v>RAW-V13</x:v>
      </x:c>
      <x:c r="I211" s="14" t="n">
        <x:f>'Reference Envelopes'!F19</x:f>
        <x:v>800</x:v>
      </x:c>
      <x:c r="J211" s="14" t="n">
        <x:f>'Reference Envelopes'!G19</x:f>
        <x:v>1</x:v>
      </x:c>
      <x:c r="K211" s="14" t="str">
        <x:f>IF(COUNT('Trial Register'!S211)=0,"",'Trial Register'!S211)</x:f>
      </x:c>
      <x:c r="L211" s="14" t="str">
        <x:f>IF(COUNT('Trial Register'!T211)=0,"",'Trial Register'!T211)</x:f>
      </x:c>
      <x:c r="M211" s="14" t="str">
        <x:f>IF(COUNT(K211:L211)&lt;2,"",K211-L211)</x:f>
      </x:c>
      <x:c r="N211" s="14" t="str">
        <x:f>IF(COUNT(K211:L211)&lt;2,"",K211+L211)</x:f>
      </x:c>
      <x:c r="O211" s="14" t="str">
        <x:f>IF(COUNT(K211)=0,"",ABS(K211-I211))</x:f>
      </x:c>
      <x:c r="P211" s="14" t="str">
        <x:f>IF(COUNT(O211)=0,"",IF(J211=0,IF(O211=0,0,999),O211/J211))</x:f>
      </x:c>
      <x:c r="Q211" t="str">
        <x:f>IF(COUNT(M211:N211)&lt;2,"",IF(AND(I211&gt;=M211,I211&lt;=N211,O211&lt;=J211),"PASS","FAIL"))</x:f>
      </x:c>
      <x:c r="R211" t="str"/>
      <x:c r="S211" t="str">
        <x:f>IF(R211=1,IF(Q211="PASS","PASS","FAIL"),"OPEN")</x:f>
        <x:v>OPEN</x:v>
      </x:c>
    </x:row>
    <x:row r="212">
      <x:c r="B212" t="str">
        <x:v>RAW-E206</x:v>
      </x:c>
      <x:c r="C212" t="str">
        <x:v>AM-02</x:v>
      </x:c>
      <x:c r="D212" t="str">
        <x:v>TR-A</x:v>
      </x:c>
      <x:c r="E212" t="str">
        <x:v>RFP-C2</x:v>
      </x:c>
      <x:c r="F212" t="str">
        <x:v>PTC-C</x:v>
      </x:c>
      <x:c r="G212" t="str">
        <x:v>QT-02</x:v>
      </x:c>
      <x:c r="H212" t="str">
        <x:v>RAW-V14</x:v>
      </x:c>
      <x:c r="I212" s="14" t="n">
        <x:f>'Reference Envelopes'!F20</x:f>
        <x:v>750</x:v>
      </x:c>
      <x:c r="J212" s="14" t="n">
        <x:f>'Reference Envelopes'!G20</x:f>
        <x:v>1</x:v>
      </x:c>
      <x:c r="K212" s="14" t="str">
        <x:f>IF(COUNT('Trial Register'!S212)=0,"",'Trial Register'!S212)</x:f>
      </x:c>
      <x:c r="L212" s="14" t="str">
        <x:f>IF(COUNT('Trial Register'!T212)=0,"",'Trial Register'!T212)</x:f>
      </x:c>
      <x:c r="M212" s="14" t="str">
        <x:f>IF(COUNT(K212:L212)&lt;2,"",K212-L212)</x:f>
      </x:c>
      <x:c r="N212" s="14" t="str">
        <x:f>IF(COUNT(K212:L212)&lt;2,"",K212+L212)</x:f>
      </x:c>
      <x:c r="O212" s="14" t="str">
        <x:f>IF(COUNT(K212)=0,"",ABS(K212-I212))</x:f>
      </x:c>
      <x:c r="P212" s="14" t="str">
        <x:f>IF(COUNT(O212)=0,"",IF(J212=0,IF(O212=0,0,999),O212/J212))</x:f>
      </x:c>
      <x:c r="Q212" t="str">
        <x:f>IF(COUNT(M212:N212)&lt;2,"",IF(AND(I212&gt;=M212,I212&lt;=N212,O212&lt;=J212),"PASS","FAIL"))</x:f>
      </x:c>
      <x:c r="R212" t="str"/>
      <x:c r="S212" t="str">
        <x:f>IF(R212=1,IF(Q212="PASS","PASS","FAIL"),"OPEN")</x:f>
        <x:v>OPEN</x:v>
      </x:c>
    </x:row>
    <x:row r="213">
      <x:c r="B213" t="str">
        <x:v>RAW-E207</x:v>
      </x:c>
      <x:c r="C213" t="str">
        <x:v>AM-02</x:v>
      </x:c>
      <x:c r="D213" t="str">
        <x:v>TR-A</x:v>
      </x:c>
      <x:c r="E213" t="str">
        <x:v>RFP-C2</x:v>
      </x:c>
      <x:c r="F213" t="str">
        <x:v>PTC-C</x:v>
      </x:c>
      <x:c r="G213" t="str">
        <x:v>QT-03</x:v>
      </x:c>
      <x:c r="H213" t="str">
        <x:v>RAW-V15</x:v>
      </x:c>
      <x:c r="I213" s="14" t="n">
        <x:f>'Reference Envelopes'!F21</x:f>
        <x:v>950</x:v>
      </x:c>
      <x:c r="J213" s="14" t="n">
        <x:f>'Reference Envelopes'!G21</x:f>
        <x:v>2</x:v>
      </x:c>
      <x:c r="K213" s="14" t="str">
        <x:f>IF(COUNT('Trial Register'!S213)=0,"",'Trial Register'!S213)</x:f>
      </x:c>
      <x:c r="L213" s="14" t="str">
        <x:f>IF(COUNT('Trial Register'!T213)=0,"",'Trial Register'!T213)</x:f>
      </x:c>
      <x:c r="M213" s="14" t="str">
        <x:f>IF(COUNT(K213:L213)&lt;2,"",K213-L213)</x:f>
      </x:c>
      <x:c r="N213" s="14" t="str">
        <x:f>IF(COUNT(K213:L213)&lt;2,"",K213+L213)</x:f>
      </x:c>
      <x:c r="O213" s="14" t="str">
        <x:f>IF(COUNT(K213)=0,"",ABS(K213-I213))</x:f>
      </x:c>
      <x:c r="P213" s="14" t="str">
        <x:f>IF(COUNT(O213)=0,"",IF(J213=0,IF(O213=0,0,999),O213/J213))</x:f>
      </x:c>
      <x:c r="Q213" t="str">
        <x:f>IF(COUNT(M213:N213)&lt;2,"",IF(AND(I213&gt;=M213,I213&lt;=N213,O213&lt;=J213),"PASS","FAIL"))</x:f>
      </x:c>
      <x:c r="R213" t="str"/>
      <x:c r="S213" t="str">
        <x:f>IF(R213=1,IF(Q213="PASS","PASS","FAIL"),"OPEN")</x:f>
        <x:v>OPEN</x:v>
      </x:c>
    </x:row>
    <x:row r="214">
      <x:c r="B214" t="str">
        <x:v>RAW-E208</x:v>
      </x:c>
      <x:c r="C214" t="str">
        <x:v>AM-02</x:v>
      </x:c>
      <x:c r="D214" t="str">
        <x:v>TR-A</x:v>
      </x:c>
      <x:c r="E214" t="str">
        <x:v>RFP-C2</x:v>
      </x:c>
      <x:c r="F214" t="str">
        <x:v>PTC-C</x:v>
      </x:c>
      <x:c r="G214" t="str">
        <x:v>QT-04</x:v>
      </x:c>
      <x:c r="H214" t="str">
        <x:v>RAW-V16</x:v>
      </x:c>
      <x:c r="I214" s="14" t="n">
        <x:f>'Reference Envelopes'!F22</x:f>
        <x:v>850</x:v>
      </x:c>
      <x:c r="J214" s="14" t="n">
        <x:f>'Reference Envelopes'!G22</x:f>
        <x:v>1.5</x:v>
      </x:c>
      <x:c r="K214" s="14" t="str">
        <x:f>IF(COUNT('Trial Register'!S214)=0,"",'Trial Register'!S214)</x:f>
      </x:c>
      <x:c r="L214" s="14" t="str">
        <x:f>IF(COUNT('Trial Register'!T214)=0,"",'Trial Register'!T214)</x:f>
      </x:c>
      <x:c r="M214" s="14" t="str">
        <x:f>IF(COUNT(K214:L214)&lt;2,"",K214-L214)</x:f>
      </x:c>
      <x:c r="N214" s="14" t="str">
        <x:f>IF(COUNT(K214:L214)&lt;2,"",K214+L214)</x:f>
      </x:c>
      <x:c r="O214" s="14" t="str">
        <x:f>IF(COUNT(K214)=0,"",ABS(K214-I214))</x:f>
      </x:c>
      <x:c r="P214" s="14" t="str">
        <x:f>IF(COUNT(O214)=0,"",IF(J214=0,IF(O214=0,0,999),O214/J214))</x:f>
      </x:c>
      <x:c r="Q214" t="str">
        <x:f>IF(COUNT(M214:N214)&lt;2,"",IF(AND(I214&gt;=M214,I214&lt;=N214,O214&lt;=J214),"PASS","FAIL"))</x:f>
      </x:c>
      <x:c r="R214" t="str"/>
      <x:c r="S214" t="str">
        <x:f>IF(R214=1,IF(Q214="PASS","PASS","FAIL"),"OPEN")</x:f>
        <x:v>OPEN</x:v>
      </x:c>
    </x:row>
    <x:row r="215">
      <x:c r="B215" t="str">
        <x:v>RAW-E209</x:v>
      </x:c>
      <x:c r="C215" t="str">
        <x:v>AM-02</x:v>
      </x:c>
      <x:c r="D215" t="str">
        <x:v>TR-A</x:v>
      </x:c>
      <x:c r="E215" t="str">
        <x:v>RFP-C2</x:v>
      </x:c>
      <x:c r="F215" t="str">
        <x:v>PTC-C</x:v>
      </x:c>
      <x:c r="G215" t="str">
        <x:v>QT-05</x:v>
      </x:c>
      <x:c r="H215" t="str">
        <x:v>RAW-V17</x:v>
      </x:c>
      <x:c r="I215" s="14" t="n">
        <x:f>'Reference Envelopes'!F23</x:f>
        <x:v>900</x:v>
      </x:c>
      <x:c r="J215" s="14" t="n">
        <x:f>'Reference Envelopes'!G23</x:f>
        <x:v>2</x:v>
      </x:c>
      <x:c r="K215" s="14" t="str">
        <x:f>IF(COUNT('Trial Register'!S215)=0,"",'Trial Register'!S215)</x:f>
      </x:c>
      <x:c r="L215" s="14" t="str">
        <x:f>IF(COUNT('Trial Register'!T215)=0,"",'Trial Register'!T215)</x:f>
      </x:c>
      <x:c r="M215" s="14" t="str">
        <x:f>IF(COUNT(K215:L215)&lt;2,"",K215-L215)</x:f>
      </x:c>
      <x:c r="N215" s="14" t="str">
        <x:f>IF(COUNT(K215:L215)&lt;2,"",K215+L215)</x:f>
      </x:c>
      <x:c r="O215" s="14" t="str">
        <x:f>IF(COUNT(K215)=0,"",ABS(K215-I215))</x:f>
      </x:c>
      <x:c r="P215" s="14" t="str">
        <x:f>IF(COUNT(O215)=0,"",IF(J215=0,IF(O215=0,0,999),O215/J215))</x:f>
      </x:c>
      <x:c r="Q215" t="str">
        <x:f>IF(COUNT(M215:N215)&lt;2,"",IF(AND(I215&gt;=M215,I215&lt;=N215,O215&lt;=J215),"PASS","FAIL"))</x:f>
      </x:c>
      <x:c r="R215" t="str"/>
      <x:c r="S215" t="str">
        <x:f>IF(R215=1,IF(Q215="PASS","PASS","FAIL"),"OPEN")</x:f>
        <x:v>OPEN</x:v>
      </x:c>
    </x:row>
    <x:row r="216">
      <x:c r="B216" t="str">
        <x:v>RAW-E210</x:v>
      </x:c>
      <x:c r="C216" t="str">
        <x:v>AM-02</x:v>
      </x:c>
      <x:c r="D216" t="str">
        <x:v>TR-A</x:v>
      </x:c>
      <x:c r="E216" t="str">
        <x:v>RFP-C2</x:v>
      </x:c>
      <x:c r="F216" t="str">
        <x:v>PTC-C</x:v>
      </x:c>
      <x:c r="G216" t="str">
        <x:v>QT-06</x:v>
      </x:c>
      <x:c r="H216" t="str">
        <x:v>RAW-V18</x:v>
      </x:c>
      <x:c r="I216" s="14" t="n">
        <x:f>'Reference Envelopes'!F24</x:f>
        <x:v>825</x:v>
      </x:c>
      <x:c r="J216" s="14" t="n">
        <x:f>'Reference Envelopes'!G24</x:f>
        <x:v>1.5</x:v>
      </x:c>
      <x:c r="K216" s="14" t="str">
        <x:f>IF(COUNT('Trial Register'!S216)=0,"",'Trial Register'!S216)</x:f>
      </x:c>
      <x:c r="L216" s="14" t="str">
        <x:f>IF(COUNT('Trial Register'!T216)=0,"",'Trial Register'!T216)</x:f>
      </x:c>
      <x:c r="M216" s="14" t="str">
        <x:f>IF(COUNT(K216:L216)&lt;2,"",K216-L216)</x:f>
      </x:c>
      <x:c r="N216" s="14" t="str">
        <x:f>IF(COUNT(K216:L216)&lt;2,"",K216+L216)</x:f>
      </x:c>
      <x:c r="O216" s="14" t="str">
        <x:f>IF(COUNT(K216)=0,"",ABS(K216-I216))</x:f>
      </x:c>
      <x:c r="P216" s="14" t="str">
        <x:f>IF(COUNT(O216)=0,"",IF(J216=0,IF(O216=0,0,999),O216/J216))</x:f>
      </x:c>
      <x:c r="Q216" t="str">
        <x:f>IF(COUNT(M216:N216)&lt;2,"",IF(AND(I216&gt;=M216,I216&lt;=N216,O216&lt;=J216),"PASS","FAIL"))</x:f>
      </x:c>
      <x:c r="R216" t="str"/>
      <x:c r="S216" t="str">
        <x:f>IF(R216=1,IF(Q216="PASS","PASS","FAIL"),"OPEN")</x:f>
        <x:v>OPEN</x:v>
      </x:c>
    </x:row>
    <x:row r="217">
      <x:c r="B217" t="str">
        <x:v>RAW-E211</x:v>
      </x:c>
      <x:c r="C217" t="str">
        <x:v>AM-02</x:v>
      </x:c>
      <x:c r="D217" t="str">
        <x:v>TR-B</x:v>
      </x:c>
      <x:c r="E217" t="str">
        <x:v>RFP-C2</x:v>
      </x:c>
      <x:c r="F217" t="str">
        <x:v>PTC-C</x:v>
      </x:c>
      <x:c r="G217" t="str">
        <x:v>QT-01</x:v>
      </x:c>
      <x:c r="H217" t="str">
        <x:v>RAW-V13</x:v>
      </x:c>
      <x:c r="I217" s="14" t="n">
        <x:f>'Reference Envelopes'!F19</x:f>
        <x:v>800</x:v>
      </x:c>
      <x:c r="J217" s="14" t="n">
        <x:f>'Reference Envelopes'!G19</x:f>
        <x:v>1</x:v>
      </x:c>
      <x:c r="K217" s="14" t="str">
        <x:f>IF(COUNT('Trial Register'!S217)=0,"",'Trial Register'!S217)</x:f>
      </x:c>
      <x:c r="L217" s="14" t="str">
        <x:f>IF(COUNT('Trial Register'!T217)=0,"",'Trial Register'!T217)</x:f>
      </x:c>
      <x:c r="M217" s="14" t="str">
        <x:f>IF(COUNT(K217:L217)&lt;2,"",K217-L217)</x:f>
      </x:c>
      <x:c r="N217" s="14" t="str">
        <x:f>IF(COUNT(K217:L217)&lt;2,"",K217+L217)</x:f>
      </x:c>
      <x:c r="O217" s="14" t="str">
        <x:f>IF(COUNT(K217)=0,"",ABS(K217-I217))</x:f>
      </x:c>
      <x:c r="P217" s="14" t="str">
        <x:f>IF(COUNT(O217)=0,"",IF(J217=0,IF(O217=0,0,999),O217/J217))</x:f>
      </x:c>
      <x:c r="Q217" t="str">
        <x:f>IF(COUNT(M217:N217)&lt;2,"",IF(AND(I217&gt;=M217,I217&lt;=N217,O217&lt;=J217),"PASS","FAIL"))</x:f>
      </x:c>
      <x:c r="R217" t="str"/>
      <x:c r="S217" t="str">
        <x:f>IF(R217=1,IF(Q217="PASS","PASS","FAIL"),"OPEN")</x:f>
        <x:v>OPEN</x:v>
      </x:c>
    </x:row>
    <x:row r="218">
      <x:c r="B218" t="str">
        <x:v>RAW-E212</x:v>
      </x:c>
      <x:c r="C218" t="str">
        <x:v>AM-02</x:v>
      </x:c>
      <x:c r="D218" t="str">
        <x:v>TR-B</x:v>
      </x:c>
      <x:c r="E218" t="str">
        <x:v>RFP-C2</x:v>
      </x:c>
      <x:c r="F218" t="str">
        <x:v>PTC-C</x:v>
      </x:c>
      <x:c r="G218" t="str">
        <x:v>QT-02</x:v>
      </x:c>
      <x:c r="H218" t="str">
        <x:v>RAW-V14</x:v>
      </x:c>
      <x:c r="I218" s="14" t="n">
        <x:f>'Reference Envelopes'!F20</x:f>
        <x:v>750</x:v>
      </x:c>
      <x:c r="J218" s="14" t="n">
        <x:f>'Reference Envelopes'!G20</x:f>
        <x:v>1</x:v>
      </x:c>
      <x:c r="K218" s="14" t="str">
        <x:f>IF(COUNT('Trial Register'!S218)=0,"",'Trial Register'!S218)</x:f>
      </x:c>
      <x:c r="L218" s="14" t="str">
        <x:f>IF(COUNT('Trial Register'!T218)=0,"",'Trial Register'!T218)</x:f>
      </x:c>
      <x:c r="M218" s="14" t="str">
        <x:f>IF(COUNT(K218:L218)&lt;2,"",K218-L218)</x:f>
      </x:c>
      <x:c r="N218" s="14" t="str">
        <x:f>IF(COUNT(K218:L218)&lt;2,"",K218+L218)</x:f>
      </x:c>
      <x:c r="O218" s="14" t="str">
        <x:f>IF(COUNT(K218)=0,"",ABS(K218-I218))</x:f>
      </x:c>
      <x:c r="P218" s="14" t="str">
        <x:f>IF(COUNT(O218)=0,"",IF(J218=0,IF(O218=0,0,999),O218/J218))</x:f>
      </x:c>
      <x:c r="Q218" t="str">
        <x:f>IF(COUNT(M218:N218)&lt;2,"",IF(AND(I218&gt;=M218,I218&lt;=N218,O218&lt;=J218),"PASS","FAIL"))</x:f>
      </x:c>
      <x:c r="R218" t="str"/>
      <x:c r="S218" t="str">
        <x:f>IF(R218=1,IF(Q218="PASS","PASS","FAIL"),"OPEN")</x:f>
        <x:v>OPEN</x:v>
      </x:c>
    </x:row>
    <x:row r="219">
      <x:c r="B219" t="str">
        <x:v>RAW-E213</x:v>
      </x:c>
      <x:c r="C219" t="str">
        <x:v>AM-02</x:v>
      </x:c>
      <x:c r="D219" t="str">
        <x:v>TR-B</x:v>
      </x:c>
      <x:c r="E219" t="str">
        <x:v>RFP-C2</x:v>
      </x:c>
      <x:c r="F219" t="str">
        <x:v>PTC-C</x:v>
      </x:c>
      <x:c r="G219" t="str">
        <x:v>QT-03</x:v>
      </x:c>
      <x:c r="H219" t="str">
        <x:v>RAW-V15</x:v>
      </x:c>
      <x:c r="I219" s="14" t="n">
        <x:f>'Reference Envelopes'!F21</x:f>
        <x:v>950</x:v>
      </x:c>
      <x:c r="J219" s="14" t="n">
        <x:f>'Reference Envelopes'!G21</x:f>
        <x:v>2</x:v>
      </x:c>
      <x:c r="K219" s="14" t="str">
        <x:f>IF(COUNT('Trial Register'!S219)=0,"",'Trial Register'!S219)</x:f>
      </x:c>
      <x:c r="L219" s="14" t="str">
        <x:f>IF(COUNT('Trial Register'!T219)=0,"",'Trial Register'!T219)</x:f>
      </x:c>
      <x:c r="M219" s="14" t="str">
        <x:f>IF(COUNT(K219:L219)&lt;2,"",K219-L219)</x:f>
      </x:c>
      <x:c r="N219" s="14" t="str">
        <x:f>IF(COUNT(K219:L219)&lt;2,"",K219+L219)</x:f>
      </x:c>
      <x:c r="O219" s="14" t="str">
        <x:f>IF(COUNT(K219)=0,"",ABS(K219-I219))</x:f>
      </x:c>
      <x:c r="P219" s="14" t="str">
        <x:f>IF(COUNT(O219)=0,"",IF(J219=0,IF(O219=0,0,999),O219/J219))</x:f>
      </x:c>
      <x:c r="Q219" t="str">
        <x:f>IF(COUNT(M219:N219)&lt;2,"",IF(AND(I219&gt;=M219,I219&lt;=N219,O219&lt;=J219),"PASS","FAIL"))</x:f>
      </x:c>
      <x:c r="R219" t="str"/>
      <x:c r="S219" t="str">
        <x:f>IF(R219=1,IF(Q219="PASS","PASS","FAIL"),"OPEN")</x:f>
        <x:v>OPEN</x:v>
      </x:c>
    </x:row>
    <x:row r="220">
      <x:c r="B220" t="str">
        <x:v>RAW-E214</x:v>
      </x:c>
      <x:c r="C220" t="str">
        <x:v>AM-02</x:v>
      </x:c>
      <x:c r="D220" t="str">
        <x:v>TR-B</x:v>
      </x:c>
      <x:c r="E220" t="str">
        <x:v>RFP-C2</x:v>
      </x:c>
      <x:c r="F220" t="str">
        <x:v>PTC-C</x:v>
      </x:c>
      <x:c r="G220" t="str">
        <x:v>QT-04</x:v>
      </x:c>
      <x:c r="H220" t="str">
        <x:v>RAW-V16</x:v>
      </x:c>
      <x:c r="I220" s="14" t="n">
        <x:f>'Reference Envelopes'!F22</x:f>
        <x:v>850</x:v>
      </x:c>
      <x:c r="J220" s="14" t="n">
        <x:f>'Reference Envelopes'!G22</x:f>
        <x:v>1.5</x:v>
      </x:c>
      <x:c r="K220" s="14" t="str">
        <x:f>IF(COUNT('Trial Register'!S220)=0,"",'Trial Register'!S220)</x:f>
      </x:c>
      <x:c r="L220" s="14" t="str">
        <x:f>IF(COUNT('Trial Register'!T220)=0,"",'Trial Register'!T220)</x:f>
      </x:c>
      <x:c r="M220" s="14" t="str">
        <x:f>IF(COUNT(K220:L220)&lt;2,"",K220-L220)</x:f>
      </x:c>
      <x:c r="N220" s="14" t="str">
        <x:f>IF(COUNT(K220:L220)&lt;2,"",K220+L220)</x:f>
      </x:c>
      <x:c r="O220" s="14" t="str">
        <x:f>IF(COUNT(K220)=0,"",ABS(K220-I220))</x:f>
      </x:c>
      <x:c r="P220" s="14" t="str">
        <x:f>IF(COUNT(O220)=0,"",IF(J220=0,IF(O220=0,0,999),O220/J220))</x:f>
      </x:c>
      <x:c r="Q220" t="str">
        <x:f>IF(COUNT(M220:N220)&lt;2,"",IF(AND(I220&gt;=M220,I220&lt;=N220,O220&lt;=J220),"PASS","FAIL"))</x:f>
      </x:c>
      <x:c r="R220" t="str"/>
      <x:c r="S220" t="str">
        <x:f>IF(R220=1,IF(Q220="PASS","PASS","FAIL"),"OPEN")</x:f>
        <x:v>OPEN</x:v>
      </x:c>
    </x:row>
    <x:row r="221">
      <x:c r="B221" t="str">
        <x:v>RAW-E215</x:v>
      </x:c>
      <x:c r="C221" t="str">
        <x:v>AM-02</x:v>
      </x:c>
      <x:c r="D221" t="str">
        <x:v>TR-B</x:v>
      </x:c>
      <x:c r="E221" t="str">
        <x:v>RFP-C2</x:v>
      </x:c>
      <x:c r="F221" t="str">
        <x:v>PTC-C</x:v>
      </x:c>
      <x:c r="G221" t="str">
        <x:v>QT-05</x:v>
      </x:c>
      <x:c r="H221" t="str">
        <x:v>RAW-V17</x:v>
      </x:c>
      <x:c r="I221" s="14" t="n">
        <x:f>'Reference Envelopes'!F23</x:f>
        <x:v>900</x:v>
      </x:c>
      <x:c r="J221" s="14" t="n">
        <x:f>'Reference Envelopes'!G23</x:f>
        <x:v>2</x:v>
      </x:c>
      <x:c r="K221" s="14" t="str">
        <x:f>IF(COUNT('Trial Register'!S221)=0,"",'Trial Register'!S221)</x:f>
      </x:c>
      <x:c r="L221" s="14" t="str">
        <x:f>IF(COUNT('Trial Register'!T221)=0,"",'Trial Register'!T221)</x:f>
      </x:c>
      <x:c r="M221" s="14" t="str">
        <x:f>IF(COUNT(K221:L221)&lt;2,"",K221-L221)</x:f>
      </x:c>
      <x:c r="N221" s="14" t="str">
        <x:f>IF(COUNT(K221:L221)&lt;2,"",K221+L221)</x:f>
      </x:c>
      <x:c r="O221" s="14" t="str">
        <x:f>IF(COUNT(K221)=0,"",ABS(K221-I221))</x:f>
      </x:c>
      <x:c r="P221" s="14" t="str">
        <x:f>IF(COUNT(O221)=0,"",IF(J221=0,IF(O221=0,0,999),O221/J221))</x:f>
      </x:c>
      <x:c r="Q221" t="str">
        <x:f>IF(COUNT(M221:N221)&lt;2,"",IF(AND(I221&gt;=M221,I221&lt;=N221,O221&lt;=J221),"PASS","FAIL"))</x:f>
      </x:c>
      <x:c r="R221" t="str"/>
      <x:c r="S221" t="str">
        <x:f>IF(R221=1,IF(Q221="PASS","PASS","FAIL"),"OPEN")</x:f>
        <x:v>OPEN</x:v>
      </x:c>
    </x:row>
    <x:row r="222">
      <x:c r="B222" t="str">
        <x:v>RAW-E216</x:v>
      </x:c>
      <x:c r="C222" t="str">
        <x:v>AM-02</x:v>
      </x:c>
      <x:c r="D222" t="str">
        <x:v>TR-B</x:v>
      </x:c>
      <x:c r="E222" t="str">
        <x:v>RFP-C2</x:v>
      </x:c>
      <x:c r="F222" t="str">
        <x:v>PTC-C</x:v>
      </x:c>
      <x:c r="G222" t="str">
        <x:v>QT-06</x:v>
      </x:c>
      <x:c r="H222" t="str">
        <x:v>RAW-V18</x:v>
      </x:c>
      <x:c r="I222" s="14" t="n">
        <x:f>'Reference Envelopes'!F24</x:f>
        <x:v>825</x:v>
      </x:c>
      <x:c r="J222" s="14" t="n">
        <x:f>'Reference Envelopes'!G24</x:f>
        <x:v>1.5</x:v>
      </x:c>
      <x:c r="K222" s="14" t="str">
        <x:f>IF(COUNT('Trial Register'!S222)=0,"",'Trial Register'!S222)</x:f>
      </x:c>
      <x:c r="L222" s="14" t="str">
        <x:f>IF(COUNT('Trial Register'!T222)=0,"",'Trial Register'!T222)</x:f>
      </x:c>
      <x:c r="M222" s="14" t="str">
        <x:f>IF(COUNT(K222:L222)&lt;2,"",K222-L222)</x:f>
      </x:c>
      <x:c r="N222" s="14" t="str">
        <x:f>IF(COUNT(K222:L222)&lt;2,"",K222+L222)</x:f>
      </x:c>
      <x:c r="O222" s="14" t="str">
        <x:f>IF(COUNT(K222)=0,"",ABS(K222-I222))</x:f>
      </x:c>
      <x:c r="P222" s="14" t="str">
        <x:f>IF(COUNT(O222)=0,"",IF(J222=0,IF(O222=0,0,999),O222/J222))</x:f>
      </x:c>
      <x:c r="Q222" t="str">
        <x:f>IF(COUNT(M222:N222)&lt;2,"",IF(AND(I222&gt;=M222,I222&lt;=N222,O222&lt;=J222),"PASS","FAIL"))</x:f>
      </x:c>
      <x:c r="R222" t="str"/>
      <x:c r="S222" t="str">
        <x:f>IF(R222=1,IF(Q222="PASS","PASS","FAIL"),"OPEN")</x:f>
        <x:v>OPEN</x:v>
      </x:c>
    </x:row>
    <x:row r="223">
      <x:c r="B223" t="str">
        <x:v>RAW-E217</x:v>
      </x:c>
      <x:c r="C223" t="str">
        <x:v>AM-03</x:v>
      </x:c>
      <x:c r="D223" t="str">
        <x:v>TR-A</x:v>
      </x:c>
      <x:c r="E223" t="str">
        <x:v>RFP-A1</x:v>
      </x:c>
      <x:c r="F223" t="str">
        <x:v>PTC-A</x:v>
      </x:c>
      <x:c r="G223" t="str">
        <x:v>QT-01</x:v>
      </x:c>
      <x:c r="H223" t="str">
        <x:v>RAW-V19</x:v>
      </x:c>
      <x:c r="I223" s="14" t="n">
        <x:f>'Reference Envelopes'!F25</x:f>
        <x:v>0</x:v>
      </x:c>
      <x:c r="J223" s="14" t="n">
        <x:f>'Reference Envelopes'!G25</x:f>
        <x:v>0.005</x:v>
      </x:c>
      <x:c r="K223" s="14" t="str">
        <x:f>IF(COUNT('Trial Register'!S223)=0,"",'Trial Register'!S223)</x:f>
      </x:c>
      <x:c r="L223" s="14" t="str">
        <x:f>IF(COUNT('Trial Register'!T223)=0,"",'Trial Register'!T223)</x:f>
      </x:c>
      <x:c r="M223" s="14" t="str">
        <x:f>IF(COUNT(K223:L223)&lt;2,"",K223-L223)</x:f>
      </x:c>
      <x:c r="N223" s="14" t="str">
        <x:f>IF(COUNT(K223:L223)&lt;2,"",K223+L223)</x:f>
      </x:c>
      <x:c r="O223" s="14" t="str">
        <x:f>IF(COUNT(K223)=0,"",ABS(K223-I223))</x:f>
      </x:c>
      <x:c r="P223" s="14" t="str">
        <x:f>IF(COUNT(O223)=0,"",IF(J223=0,IF(O223=0,0,999),O223/J223))</x:f>
      </x:c>
      <x:c r="Q223" t="str">
        <x:f>IF(COUNT(M223:N223)&lt;2,"",IF(AND(I223&gt;=M223,I223&lt;=N223,O223&lt;=J223),"PASS","FAIL"))</x:f>
      </x:c>
      <x:c r="R223" t="str"/>
      <x:c r="S223" t="str">
        <x:f>IF(R223=1,IF(Q223="PASS","PASS","FAIL"),"OPEN")</x:f>
        <x:v>OPEN</x:v>
      </x:c>
    </x:row>
    <x:row r="224">
      <x:c r="B224" t="str">
        <x:v>RAW-E218</x:v>
      </x:c>
      <x:c r="C224" t="str">
        <x:v>AM-03</x:v>
      </x:c>
      <x:c r="D224" t="str">
        <x:v>TR-A</x:v>
      </x:c>
      <x:c r="E224" t="str">
        <x:v>RFP-A1</x:v>
      </x:c>
      <x:c r="F224" t="str">
        <x:v>PTC-A</x:v>
      </x:c>
      <x:c r="G224" t="str">
        <x:v>QT-02</x:v>
      </x:c>
      <x:c r="H224" t="str">
        <x:v>RAW-V20</x:v>
      </x:c>
      <x:c r="I224" s="14" t="n">
        <x:f>'Reference Envelopes'!F26</x:f>
        <x:v>0.1</x:v>
      </x:c>
      <x:c r="J224" s="14" t="n">
        <x:f>'Reference Envelopes'!G26</x:f>
        <x:v>0.005</x:v>
      </x:c>
      <x:c r="K224" s="14" t="str">
        <x:f>IF(COUNT('Trial Register'!S224)=0,"",'Trial Register'!S224)</x:f>
      </x:c>
      <x:c r="L224" s="14" t="str">
        <x:f>IF(COUNT('Trial Register'!T224)=0,"",'Trial Register'!T224)</x:f>
      </x:c>
      <x:c r="M224" s="14" t="str">
        <x:f>IF(COUNT(K224:L224)&lt;2,"",K224-L224)</x:f>
      </x:c>
      <x:c r="N224" s="14" t="str">
        <x:f>IF(COUNT(K224:L224)&lt;2,"",K224+L224)</x:f>
      </x:c>
      <x:c r="O224" s="14" t="str">
        <x:f>IF(COUNT(K224)=0,"",ABS(K224-I224))</x:f>
      </x:c>
      <x:c r="P224" s="14" t="str">
        <x:f>IF(COUNT(O224)=0,"",IF(J224=0,IF(O224=0,0,999),O224/J224))</x:f>
      </x:c>
      <x:c r="Q224" t="str">
        <x:f>IF(COUNT(M224:N224)&lt;2,"",IF(AND(I224&gt;=M224,I224&lt;=N224,O224&lt;=J224),"PASS","FAIL"))</x:f>
      </x:c>
      <x:c r="R224" t="str"/>
      <x:c r="S224" t="str">
        <x:f>IF(R224=1,IF(Q224="PASS","PASS","FAIL"),"OPEN")</x:f>
        <x:v>OPEN</x:v>
      </x:c>
    </x:row>
    <x:row r="225">
      <x:c r="B225" t="str">
        <x:v>RAW-E219</x:v>
      </x:c>
      <x:c r="C225" t="str">
        <x:v>AM-03</x:v>
      </x:c>
      <x:c r="D225" t="str">
        <x:v>TR-A</x:v>
      </x:c>
      <x:c r="E225" t="str">
        <x:v>RFP-A1</x:v>
      </x:c>
      <x:c r="F225" t="str">
        <x:v>PTC-A</x:v>
      </x:c>
      <x:c r="G225" t="str">
        <x:v>QT-03</x:v>
      </x:c>
      <x:c r="H225" t="str">
        <x:v>RAW-V21</x:v>
      </x:c>
      <x:c r="I225" s="14" t="n">
        <x:f>'Reference Envelopes'!F27</x:f>
        <x:v>0.5</x:v>
      </x:c>
      <x:c r="J225" s="14" t="n">
        <x:f>'Reference Envelopes'!G27</x:f>
        <x:v>0.01</x:v>
      </x:c>
      <x:c r="K225" s="14" t="str">
        <x:f>IF(COUNT('Trial Register'!S225)=0,"",'Trial Register'!S225)</x:f>
      </x:c>
      <x:c r="L225" s="14" t="str">
        <x:f>IF(COUNT('Trial Register'!T225)=0,"",'Trial Register'!T225)</x:f>
      </x:c>
      <x:c r="M225" s="14" t="str">
        <x:f>IF(COUNT(K225:L225)&lt;2,"",K225-L225)</x:f>
      </x:c>
      <x:c r="N225" s="14" t="str">
        <x:f>IF(COUNT(K225:L225)&lt;2,"",K225+L225)</x:f>
      </x:c>
      <x:c r="O225" s="14" t="str">
        <x:f>IF(COUNT(K225)=0,"",ABS(K225-I225))</x:f>
      </x:c>
      <x:c r="P225" s="14" t="str">
        <x:f>IF(COUNT(O225)=0,"",IF(J225=0,IF(O225=0,0,999),O225/J225))</x:f>
      </x:c>
      <x:c r="Q225" t="str">
        <x:f>IF(COUNT(M225:N225)&lt;2,"",IF(AND(I225&gt;=M225,I225&lt;=N225,O225&lt;=J225),"PASS","FAIL"))</x:f>
      </x:c>
      <x:c r="R225" t="str"/>
      <x:c r="S225" t="str">
        <x:f>IF(R225=1,IF(Q225="PASS","PASS","FAIL"),"OPEN")</x:f>
        <x:v>OPEN</x:v>
      </x:c>
    </x:row>
    <x:row r="226">
      <x:c r="B226" t="str">
        <x:v>RAW-E220</x:v>
      </x:c>
      <x:c r="C226" t="str">
        <x:v>AM-03</x:v>
      </x:c>
      <x:c r="D226" t="str">
        <x:v>TR-A</x:v>
      </x:c>
      <x:c r="E226" t="str">
        <x:v>RFP-A1</x:v>
      </x:c>
      <x:c r="F226" t="str">
        <x:v>PTC-A</x:v>
      </x:c>
      <x:c r="G226" t="str">
        <x:v>QT-04</x:v>
      </x:c>
      <x:c r="H226" t="str">
        <x:v>RAW-V22</x:v>
      </x:c>
      <x:c r="I226" s="14" t="n">
        <x:f>'Reference Envelopes'!F28</x:f>
        <x:v>0.25</x:v>
      </x:c>
      <x:c r="J226" s="14" t="n">
        <x:f>'Reference Envelopes'!G28</x:f>
        <x:v>0.005</x:v>
      </x:c>
      <x:c r="K226" s="14" t="str">
        <x:f>IF(COUNT('Trial Register'!S226)=0,"",'Trial Register'!S226)</x:f>
      </x:c>
      <x:c r="L226" s="14" t="str">
        <x:f>IF(COUNT('Trial Register'!T226)=0,"",'Trial Register'!T226)</x:f>
      </x:c>
      <x:c r="M226" s="14" t="str">
        <x:f>IF(COUNT(K226:L226)&lt;2,"",K226-L226)</x:f>
      </x:c>
      <x:c r="N226" s="14" t="str">
        <x:f>IF(COUNT(K226:L226)&lt;2,"",K226+L226)</x:f>
      </x:c>
      <x:c r="O226" s="14" t="str">
        <x:f>IF(COUNT(K226)=0,"",ABS(K226-I226))</x:f>
      </x:c>
      <x:c r="P226" s="14" t="str">
        <x:f>IF(COUNT(O226)=0,"",IF(J226=0,IF(O226=0,0,999),O226/J226))</x:f>
      </x:c>
      <x:c r="Q226" t="str">
        <x:f>IF(COUNT(M226:N226)&lt;2,"",IF(AND(I226&gt;=M226,I226&lt;=N226,O226&lt;=J226),"PASS","FAIL"))</x:f>
      </x:c>
      <x:c r="R226" t="str"/>
      <x:c r="S226" t="str">
        <x:f>IF(R226=1,IF(Q226="PASS","PASS","FAIL"),"OPEN")</x:f>
        <x:v>OPEN</x:v>
      </x:c>
    </x:row>
    <x:row r="227">
      <x:c r="B227" t="str">
        <x:v>RAW-E221</x:v>
      </x:c>
      <x:c r="C227" t="str">
        <x:v>AM-03</x:v>
      </x:c>
      <x:c r="D227" t="str">
        <x:v>TR-A</x:v>
      </x:c>
      <x:c r="E227" t="str">
        <x:v>RFP-A1</x:v>
      </x:c>
      <x:c r="F227" t="str">
        <x:v>PTC-A</x:v>
      </x:c>
      <x:c r="G227" t="str">
        <x:v>QT-05</x:v>
      </x:c>
      <x:c r="H227" t="str">
        <x:v>RAW-V23</x:v>
      </x:c>
      <x:c r="I227" s="14" t="n">
        <x:f>'Reference Envelopes'!F29</x:f>
        <x:v>0.35</x:v>
      </x:c>
      <x:c r="J227" s="14" t="n">
        <x:f>'Reference Envelopes'!G29</x:f>
        <x:v>0.01</x:v>
      </x:c>
      <x:c r="K227" s="14" t="str">
        <x:f>IF(COUNT('Trial Register'!S227)=0,"",'Trial Register'!S227)</x:f>
      </x:c>
      <x:c r="L227" s="14" t="str">
        <x:f>IF(COUNT('Trial Register'!T227)=0,"",'Trial Register'!T227)</x:f>
      </x:c>
      <x:c r="M227" s="14" t="str">
        <x:f>IF(COUNT(K227:L227)&lt;2,"",K227-L227)</x:f>
      </x:c>
      <x:c r="N227" s="14" t="str">
        <x:f>IF(COUNT(K227:L227)&lt;2,"",K227+L227)</x:f>
      </x:c>
      <x:c r="O227" s="14" t="str">
        <x:f>IF(COUNT(K227)=0,"",ABS(K227-I227))</x:f>
      </x:c>
      <x:c r="P227" s="14" t="str">
        <x:f>IF(COUNT(O227)=0,"",IF(J227=0,IF(O227=0,0,999),O227/J227))</x:f>
      </x:c>
      <x:c r="Q227" t="str">
        <x:f>IF(COUNT(M227:N227)&lt;2,"",IF(AND(I227&gt;=M227,I227&lt;=N227,O227&lt;=J227),"PASS","FAIL"))</x:f>
      </x:c>
      <x:c r="R227" t="str"/>
      <x:c r="S227" t="str">
        <x:f>IF(R227=1,IF(Q227="PASS","PASS","FAIL"),"OPEN")</x:f>
        <x:v>OPEN</x:v>
      </x:c>
    </x:row>
    <x:row r="228">
      <x:c r="B228" t="str">
        <x:v>RAW-E222</x:v>
      </x:c>
      <x:c r="C228" t="str">
        <x:v>AM-03</x:v>
      </x:c>
      <x:c r="D228" t="str">
        <x:v>TR-A</x:v>
      </x:c>
      <x:c r="E228" t="str">
        <x:v>RFP-A1</x:v>
      </x:c>
      <x:c r="F228" t="str">
        <x:v>PTC-A</x:v>
      </x:c>
      <x:c r="G228" t="str">
        <x:v>QT-06</x:v>
      </x:c>
      <x:c r="H228" t="str">
        <x:v>RAW-V24</x:v>
      </x:c>
      <x:c r="I228" s="14" t="n">
        <x:f>'Reference Envelopes'!F30</x:f>
        <x:v>0.2</x:v>
      </x:c>
      <x:c r="J228" s="14" t="n">
        <x:f>'Reference Envelopes'!G30</x:f>
        <x:v>0.005</x:v>
      </x:c>
      <x:c r="K228" s="14" t="str">
        <x:f>IF(COUNT('Trial Register'!S228)=0,"",'Trial Register'!S228)</x:f>
      </x:c>
      <x:c r="L228" s="14" t="str">
        <x:f>IF(COUNT('Trial Register'!T228)=0,"",'Trial Register'!T228)</x:f>
      </x:c>
      <x:c r="M228" s="14" t="str">
        <x:f>IF(COUNT(K228:L228)&lt;2,"",K228-L228)</x:f>
      </x:c>
      <x:c r="N228" s="14" t="str">
        <x:f>IF(COUNT(K228:L228)&lt;2,"",K228+L228)</x:f>
      </x:c>
      <x:c r="O228" s="14" t="str">
        <x:f>IF(COUNT(K228)=0,"",ABS(K228-I228))</x:f>
      </x:c>
      <x:c r="P228" s="14" t="str">
        <x:f>IF(COUNT(O228)=0,"",IF(J228=0,IF(O228=0,0,999),O228/J228))</x:f>
      </x:c>
      <x:c r="Q228" t="str">
        <x:f>IF(COUNT(M228:N228)&lt;2,"",IF(AND(I228&gt;=M228,I228&lt;=N228,O228&lt;=J228),"PASS","FAIL"))</x:f>
      </x:c>
      <x:c r="R228" t="str"/>
      <x:c r="S228" t="str">
        <x:f>IF(R228=1,IF(Q228="PASS","PASS","FAIL"),"OPEN")</x:f>
        <x:v>OPEN</x:v>
      </x:c>
    </x:row>
    <x:row r="229">
      <x:c r="B229" t="str">
        <x:v>RAW-E223</x:v>
      </x:c>
      <x:c r="C229" t="str">
        <x:v>AM-03</x:v>
      </x:c>
      <x:c r="D229" t="str">
        <x:v>TR-B</x:v>
      </x:c>
      <x:c r="E229" t="str">
        <x:v>RFP-A1</x:v>
      </x:c>
      <x:c r="F229" t="str">
        <x:v>PTC-A</x:v>
      </x:c>
      <x:c r="G229" t="str">
        <x:v>QT-01</x:v>
      </x:c>
      <x:c r="H229" t="str">
        <x:v>RAW-V19</x:v>
      </x:c>
      <x:c r="I229" s="14" t="n">
        <x:f>'Reference Envelopes'!F25</x:f>
        <x:v>0</x:v>
      </x:c>
      <x:c r="J229" s="14" t="n">
        <x:f>'Reference Envelopes'!G25</x:f>
        <x:v>0.005</x:v>
      </x:c>
      <x:c r="K229" s="14" t="str">
        <x:f>IF(COUNT('Trial Register'!S229)=0,"",'Trial Register'!S229)</x:f>
      </x:c>
      <x:c r="L229" s="14" t="str">
        <x:f>IF(COUNT('Trial Register'!T229)=0,"",'Trial Register'!T229)</x:f>
      </x:c>
      <x:c r="M229" s="14" t="str">
        <x:f>IF(COUNT(K229:L229)&lt;2,"",K229-L229)</x:f>
      </x:c>
      <x:c r="N229" s="14" t="str">
        <x:f>IF(COUNT(K229:L229)&lt;2,"",K229+L229)</x:f>
      </x:c>
      <x:c r="O229" s="14" t="str">
        <x:f>IF(COUNT(K229)=0,"",ABS(K229-I229))</x:f>
      </x:c>
      <x:c r="P229" s="14" t="str">
        <x:f>IF(COUNT(O229)=0,"",IF(J229=0,IF(O229=0,0,999),O229/J229))</x:f>
      </x:c>
      <x:c r="Q229" t="str">
        <x:f>IF(COUNT(M229:N229)&lt;2,"",IF(AND(I229&gt;=M229,I229&lt;=N229,O229&lt;=J229),"PASS","FAIL"))</x:f>
      </x:c>
      <x:c r="R229" t="str"/>
      <x:c r="S229" t="str">
        <x:f>IF(R229=1,IF(Q229="PASS","PASS","FAIL"),"OPEN")</x:f>
        <x:v>OPEN</x:v>
      </x:c>
    </x:row>
    <x:row r="230">
      <x:c r="B230" t="str">
        <x:v>RAW-E224</x:v>
      </x:c>
      <x:c r="C230" t="str">
        <x:v>AM-03</x:v>
      </x:c>
      <x:c r="D230" t="str">
        <x:v>TR-B</x:v>
      </x:c>
      <x:c r="E230" t="str">
        <x:v>RFP-A1</x:v>
      </x:c>
      <x:c r="F230" t="str">
        <x:v>PTC-A</x:v>
      </x:c>
      <x:c r="G230" t="str">
        <x:v>QT-02</x:v>
      </x:c>
      <x:c r="H230" t="str">
        <x:v>RAW-V20</x:v>
      </x:c>
      <x:c r="I230" s="14" t="n">
        <x:f>'Reference Envelopes'!F26</x:f>
        <x:v>0.1</x:v>
      </x:c>
      <x:c r="J230" s="14" t="n">
        <x:f>'Reference Envelopes'!G26</x:f>
        <x:v>0.005</x:v>
      </x:c>
      <x:c r="K230" s="14" t="str">
        <x:f>IF(COUNT('Trial Register'!S230)=0,"",'Trial Register'!S230)</x:f>
      </x:c>
      <x:c r="L230" s="14" t="str">
        <x:f>IF(COUNT('Trial Register'!T230)=0,"",'Trial Register'!T230)</x:f>
      </x:c>
      <x:c r="M230" s="14" t="str">
        <x:f>IF(COUNT(K230:L230)&lt;2,"",K230-L230)</x:f>
      </x:c>
      <x:c r="N230" s="14" t="str">
        <x:f>IF(COUNT(K230:L230)&lt;2,"",K230+L230)</x:f>
      </x:c>
      <x:c r="O230" s="14" t="str">
        <x:f>IF(COUNT(K230)=0,"",ABS(K230-I230))</x:f>
      </x:c>
      <x:c r="P230" s="14" t="str">
        <x:f>IF(COUNT(O230)=0,"",IF(J230=0,IF(O230=0,0,999),O230/J230))</x:f>
      </x:c>
      <x:c r="Q230" t="str">
        <x:f>IF(COUNT(M230:N230)&lt;2,"",IF(AND(I230&gt;=M230,I230&lt;=N230,O230&lt;=J230),"PASS","FAIL"))</x:f>
      </x:c>
      <x:c r="R230" t="str"/>
      <x:c r="S230" t="str">
        <x:f>IF(R230=1,IF(Q230="PASS","PASS","FAIL"),"OPEN")</x:f>
        <x:v>OPEN</x:v>
      </x:c>
    </x:row>
    <x:row r="231">
      <x:c r="B231" t="str">
        <x:v>RAW-E225</x:v>
      </x:c>
      <x:c r="C231" t="str">
        <x:v>AM-03</x:v>
      </x:c>
      <x:c r="D231" t="str">
        <x:v>TR-B</x:v>
      </x:c>
      <x:c r="E231" t="str">
        <x:v>RFP-A1</x:v>
      </x:c>
      <x:c r="F231" t="str">
        <x:v>PTC-A</x:v>
      </x:c>
      <x:c r="G231" t="str">
        <x:v>QT-03</x:v>
      </x:c>
      <x:c r="H231" t="str">
        <x:v>RAW-V21</x:v>
      </x:c>
      <x:c r="I231" s="14" t="n">
        <x:f>'Reference Envelopes'!F27</x:f>
        <x:v>0.5</x:v>
      </x:c>
      <x:c r="J231" s="14" t="n">
        <x:f>'Reference Envelopes'!G27</x:f>
        <x:v>0.01</x:v>
      </x:c>
      <x:c r="K231" s="14" t="str">
        <x:f>IF(COUNT('Trial Register'!S231)=0,"",'Trial Register'!S231)</x:f>
      </x:c>
      <x:c r="L231" s="14" t="str">
        <x:f>IF(COUNT('Trial Register'!T231)=0,"",'Trial Register'!T231)</x:f>
      </x:c>
      <x:c r="M231" s="14" t="str">
        <x:f>IF(COUNT(K231:L231)&lt;2,"",K231-L231)</x:f>
      </x:c>
      <x:c r="N231" s="14" t="str">
        <x:f>IF(COUNT(K231:L231)&lt;2,"",K231+L231)</x:f>
      </x:c>
      <x:c r="O231" s="14" t="str">
        <x:f>IF(COUNT(K231)=0,"",ABS(K231-I231))</x:f>
      </x:c>
      <x:c r="P231" s="14" t="str">
        <x:f>IF(COUNT(O231)=0,"",IF(J231=0,IF(O231=0,0,999),O231/J231))</x:f>
      </x:c>
      <x:c r="Q231" t="str">
        <x:f>IF(COUNT(M231:N231)&lt;2,"",IF(AND(I231&gt;=M231,I231&lt;=N231,O231&lt;=J231),"PASS","FAIL"))</x:f>
      </x:c>
      <x:c r="R231" t="str"/>
      <x:c r="S231" t="str">
        <x:f>IF(R231=1,IF(Q231="PASS","PASS","FAIL"),"OPEN")</x:f>
        <x:v>OPEN</x:v>
      </x:c>
    </x:row>
    <x:row r="232">
      <x:c r="B232" t="str">
        <x:v>RAW-E226</x:v>
      </x:c>
      <x:c r="C232" t="str">
        <x:v>AM-03</x:v>
      </x:c>
      <x:c r="D232" t="str">
        <x:v>TR-B</x:v>
      </x:c>
      <x:c r="E232" t="str">
        <x:v>RFP-A1</x:v>
      </x:c>
      <x:c r="F232" t="str">
        <x:v>PTC-A</x:v>
      </x:c>
      <x:c r="G232" t="str">
        <x:v>QT-04</x:v>
      </x:c>
      <x:c r="H232" t="str">
        <x:v>RAW-V22</x:v>
      </x:c>
      <x:c r="I232" s="14" t="n">
        <x:f>'Reference Envelopes'!F28</x:f>
        <x:v>0.25</x:v>
      </x:c>
      <x:c r="J232" s="14" t="n">
        <x:f>'Reference Envelopes'!G28</x:f>
        <x:v>0.005</x:v>
      </x:c>
      <x:c r="K232" s="14" t="str">
        <x:f>IF(COUNT('Trial Register'!S232)=0,"",'Trial Register'!S232)</x:f>
      </x:c>
      <x:c r="L232" s="14" t="str">
        <x:f>IF(COUNT('Trial Register'!T232)=0,"",'Trial Register'!T232)</x:f>
      </x:c>
      <x:c r="M232" s="14" t="str">
        <x:f>IF(COUNT(K232:L232)&lt;2,"",K232-L232)</x:f>
      </x:c>
      <x:c r="N232" s="14" t="str">
        <x:f>IF(COUNT(K232:L232)&lt;2,"",K232+L232)</x:f>
      </x:c>
      <x:c r="O232" s="14" t="str">
        <x:f>IF(COUNT(K232)=0,"",ABS(K232-I232))</x:f>
      </x:c>
      <x:c r="P232" s="14" t="str">
        <x:f>IF(COUNT(O232)=0,"",IF(J232=0,IF(O232=0,0,999),O232/J232))</x:f>
      </x:c>
      <x:c r="Q232" t="str">
        <x:f>IF(COUNT(M232:N232)&lt;2,"",IF(AND(I232&gt;=M232,I232&lt;=N232,O232&lt;=J232),"PASS","FAIL"))</x:f>
      </x:c>
      <x:c r="R232" t="str"/>
      <x:c r="S232" t="str">
        <x:f>IF(R232=1,IF(Q232="PASS","PASS","FAIL"),"OPEN")</x:f>
        <x:v>OPEN</x:v>
      </x:c>
    </x:row>
    <x:row r="233">
      <x:c r="B233" t="str">
        <x:v>RAW-E227</x:v>
      </x:c>
      <x:c r="C233" t="str">
        <x:v>AM-03</x:v>
      </x:c>
      <x:c r="D233" t="str">
        <x:v>TR-B</x:v>
      </x:c>
      <x:c r="E233" t="str">
        <x:v>RFP-A1</x:v>
      </x:c>
      <x:c r="F233" t="str">
        <x:v>PTC-A</x:v>
      </x:c>
      <x:c r="G233" t="str">
        <x:v>QT-05</x:v>
      </x:c>
      <x:c r="H233" t="str">
        <x:v>RAW-V23</x:v>
      </x:c>
      <x:c r="I233" s="14" t="n">
        <x:f>'Reference Envelopes'!F29</x:f>
        <x:v>0.35</x:v>
      </x:c>
      <x:c r="J233" s="14" t="n">
        <x:f>'Reference Envelopes'!G29</x:f>
        <x:v>0.01</x:v>
      </x:c>
      <x:c r="K233" s="14" t="str">
        <x:f>IF(COUNT('Trial Register'!S233)=0,"",'Trial Register'!S233)</x:f>
      </x:c>
      <x:c r="L233" s="14" t="str">
        <x:f>IF(COUNT('Trial Register'!T233)=0,"",'Trial Register'!T233)</x:f>
      </x:c>
      <x:c r="M233" s="14" t="str">
        <x:f>IF(COUNT(K233:L233)&lt;2,"",K233-L233)</x:f>
      </x:c>
      <x:c r="N233" s="14" t="str">
        <x:f>IF(COUNT(K233:L233)&lt;2,"",K233+L233)</x:f>
      </x:c>
      <x:c r="O233" s="14" t="str">
        <x:f>IF(COUNT(K233)=0,"",ABS(K233-I233))</x:f>
      </x:c>
      <x:c r="P233" s="14" t="str">
        <x:f>IF(COUNT(O233)=0,"",IF(J233=0,IF(O233=0,0,999),O233/J233))</x:f>
      </x:c>
      <x:c r="Q233" t="str">
        <x:f>IF(COUNT(M233:N233)&lt;2,"",IF(AND(I233&gt;=M233,I233&lt;=N233,O233&lt;=J233),"PASS","FAIL"))</x:f>
      </x:c>
      <x:c r="R233" t="str"/>
      <x:c r="S233" t="str">
        <x:f>IF(R233=1,IF(Q233="PASS","PASS","FAIL"),"OPEN")</x:f>
        <x:v>OPEN</x:v>
      </x:c>
    </x:row>
    <x:row r="234">
      <x:c r="B234" t="str">
        <x:v>RAW-E228</x:v>
      </x:c>
      <x:c r="C234" t="str">
        <x:v>AM-03</x:v>
      </x:c>
      <x:c r="D234" t="str">
        <x:v>TR-B</x:v>
      </x:c>
      <x:c r="E234" t="str">
        <x:v>RFP-A1</x:v>
      </x:c>
      <x:c r="F234" t="str">
        <x:v>PTC-A</x:v>
      </x:c>
      <x:c r="G234" t="str">
        <x:v>QT-06</x:v>
      </x:c>
      <x:c r="H234" t="str">
        <x:v>RAW-V24</x:v>
      </x:c>
      <x:c r="I234" s="14" t="n">
        <x:f>'Reference Envelopes'!F30</x:f>
        <x:v>0.2</x:v>
      </x:c>
      <x:c r="J234" s="14" t="n">
        <x:f>'Reference Envelopes'!G30</x:f>
        <x:v>0.005</x:v>
      </x:c>
      <x:c r="K234" s="14" t="str">
        <x:f>IF(COUNT('Trial Register'!S234)=0,"",'Trial Register'!S234)</x:f>
      </x:c>
      <x:c r="L234" s="14" t="str">
        <x:f>IF(COUNT('Trial Register'!T234)=0,"",'Trial Register'!T234)</x:f>
      </x:c>
      <x:c r="M234" s="14" t="str">
        <x:f>IF(COUNT(K234:L234)&lt;2,"",K234-L234)</x:f>
      </x:c>
      <x:c r="N234" s="14" t="str">
        <x:f>IF(COUNT(K234:L234)&lt;2,"",K234+L234)</x:f>
      </x:c>
      <x:c r="O234" s="14" t="str">
        <x:f>IF(COUNT(K234)=0,"",ABS(K234-I234))</x:f>
      </x:c>
      <x:c r="P234" s="14" t="str">
        <x:f>IF(COUNT(O234)=0,"",IF(J234=0,IF(O234=0,0,999),O234/J234))</x:f>
      </x:c>
      <x:c r="Q234" t="str">
        <x:f>IF(COUNT(M234:N234)&lt;2,"",IF(AND(I234&gt;=M234,I234&lt;=N234,O234&lt;=J234),"PASS","FAIL"))</x:f>
      </x:c>
      <x:c r="R234" t="str"/>
      <x:c r="S234" t="str">
        <x:f>IF(R234=1,IF(Q234="PASS","PASS","FAIL"),"OPEN")</x:f>
        <x:v>OPEN</x:v>
      </x:c>
    </x:row>
    <x:row r="235">
      <x:c r="B235" t="str">
        <x:v>RAW-E229</x:v>
      </x:c>
      <x:c r="C235" t="str">
        <x:v>AM-03</x:v>
      </x:c>
      <x:c r="D235" t="str">
        <x:v>TR-A</x:v>
      </x:c>
      <x:c r="E235" t="str">
        <x:v>RFP-A2</x:v>
      </x:c>
      <x:c r="F235" t="str">
        <x:v>PTC-A</x:v>
      </x:c>
      <x:c r="G235" t="str">
        <x:v>QT-01</x:v>
      </x:c>
      <x:c r="H235" t="str">
        <x:v>RAW-V19</x:v>
      </x:c>
      <x:c r="I235" s="14" t="n">
        <x:f>'Reference Envelopes'!F25</x:f>
        <x:v>0</x:v>
      </x:c>
      <x:c r="J235" s="14" t="n">
        <x:f>'Reference Envelopes'!G25</x:f>
        <x:v>0.005</x:v>
      </x:c>
      <x:c r="K235" s="14" t="str">
        <x:f>IF(COUNT('Trial Register'!S235)=0,"",'Trial Register'!S235)</x:f>
      </x:c>
      <x:c r="L235" s="14" t="str">
        <x:f>IF(COUNT('Trial Register'!T235)=0,"",'Trial Register'!T235)</x:f>
      </x:c>
      <x:c r="M235" s="14" t="str">
        <x:f>IF(COUNT(K235:L235)&lt;2,"",K235-L235)</x:f>
      </x:c>
      <x:c r="N235" s="14" t="str">
        <x:f>IF(COUNT(K235:L235)&lt;2,"",K235+L235)</x:f>
      </x:c>
      <x:c r="O235" s="14" t="str">
        <x:f>IF(COUNT(K235)=0,"",ABS(K235-I235))</x:f>
      </x:c>
      <x:c r="P235" s="14" t="str">
        <x:f>IF(COUNT(O235)=0,"",IF(J235=0,IF(O235=0,0,999),O235/J235))</x:f>
      </x:c>
      <x:c r="Q235" t="str">
        <x:f>IF(COUNT(M235:N235)&lt;2,"",IF(AND(I235&gt;=M235,I235&lt;=N235,O235&lt;=J235),"PASS","FAIL"))</x:f>
      </x:c>
      <x:c r="R235" t="str"/>
      <x:c r="S235" t="str">
        <x:f>IF(R235=1,IF(Q235="PASS","PASS","FAIL"),"OPEN")</x:f>
        <x:v>OPEN</x:v>
      </x:c>
    </x:row>
    <x:row r="236">
      <x:c r="B236" t="str">
        <x:v>RAW-E230</x:v>
      </x:c>
      <x:c r="C236" t="str">
        <x:v>AM-03</x:v>
      </x:c>
      <x:c r="D236" t="str">
        <x:v>TR-A</x:v>
      </x:c>
      <x:c r="E236" t="str">
        <x:v>RFP-A2</x:v>
      </x:c>
      <x:c r="F236" t="str">
        <x:v>PTC-A</x:v>
      </x:c>
      <x:c r="G236" t="str">
        <x:v>QT-02</x:v>
      </x:c>
      <x:c r="H236" t="str">
        <x:v>RAW-V20</x:v>
      </x:c>
      <x:c r="I236" s="14" t="n">
        <x:f>'Reference Envelopes'!F26</x:f>
        <x:v>0.1</x:v>
      </x:c>
      <x:c r="J236" s="14" t="n">
        <x:f>'Reference Envelopes'!G26</x:f>
        <x:v>0.005</x:v>
      </x:c>
      <x:c r="K236" s="14" t="str">
        <x:f>IF(COUNT('Trial Register'!S236)=0,"",'Trial Register'!S236)</x:f>
      </x:c>
      <x:c r="L236" s="14" t="str">
        <x:f>IF(COUNT('Trial Register'!T236)=0,"",'Trial Register'!T236)</x:f>
      </x:c>
      <x:c r="M236" s="14" t="str">
        <x:f>IF(COUNT(K236:L236)&lt;2,"",K236-L236)</x:f>
      </x:c>
      <x:c r="N236" s="14" t="str">
        <x:f>IF(COUNT(K236:L236)&lt;2,"",K236+L236)</x:f>
      </x:c>
      <x:c r="O236" s="14" t="str">
        <x:f>IF(COUNT(K236)=0,"",ABS(K236-I236))</x:f>
      </x:c>
      <x:c r="P236" s="14" t="str">
        <x:f>IF(COUNT(O236)=0,"",IF(J236=0,IF(O236=0,0,999),O236/J236))</x:f>
      </x:c>
      <x:c r="Q236" t="str">
        <x:f>IF(COUNT(M236:N236)&lt;2,"",IF(AND(I236&gt;=M236,I236&lt;=N236,O236&lt;=J236),"PASS","FAIL"))</x:f>
      </x:c>
      <x:c r="R236" t="str"/>
      <x:c r="S236" t="str">
        <x:f>IF(R236=1,IF(Q236="PASS","PASS","FAIL"),"OPEN")</x:f>
        <x:v>OPEN</x:v>
      </x:c>
    </x:row>
    <x:row r="237">
      <x:c r="B237" t="str">
        <x:v>RAW-E231</x:v>
      </x:c>
      <x:c r="C237" t="str">
        <x:v>AM-03</x:v>
      </x:c>
      <x:c r="D237" t="str">
        <x:v>TR-A</x:v>
      </x:c>
      <x:c r="E237" t="str">
        <x:v>RFP-A2</x:v>
      </x:c>
      <x:c r="F237" t="str">
        <x:v>PTC-A</x:v>
      </x:c>
      <x:c r="G237" t="str">
        <x:v>QT-03</x:v>
      </x:c>
      <x:c r="H237" t="str">
        <x:v>RAW-V21</x:v>
      </x:c>
      <x:c r="I237" s="14" t="n">
        <x:f>'Reference Envelopes'!F27</x:f>
        <x:v>0.5</x:v>
      </x:c>
      <x:c r="J237" s="14" t="n">
        <x:f>'Reference Envelopes'!G27</x:f>
        <x:v>0.01</x:v>
      </x:c>
      <x:c r="K237" s="14" t="str">
        <x:f>IF(COUNT('Trial Register'!S237)=0,"",'Trial Register'!S237)</x:f>
      </x:c>
      <x:c r="L237" s="14" t="str">
        <x:f>IF(COUNT('Trial Register'!T237)=0,"",'Trial Register'!T237)</x:f>
      </x:c>
      <x:c r="M237" s="14" t="str">
        <x:f>IF(COUNT(K237:L237)&lt;2,"",K237-L237)</x:f>
      </x:c>
      <x:c r="N237" s="14" t="str">
        <x:f>IF(COUNT(K237:L237)&lt;2,"",K237+L237)</x:f>
      </x:c>
      <x:c r="O237" s="14" t="str">
        <x:f>IF(COUNT(K237)=0,"",ABS(K237-I237))</x:f>
      </x:c>
      <x:c r="P237" s="14" t="str">
        <x:f>IF(COUNT(O237)=0,"",IF(J237=0,IF(O237=0,0,999),O237/J237))</x:f>
      </x:c>
      <x:c r="Q237" t="str">
        <x:f>IF(COUNT(M237:N237)&lt;2,"",IF(AND(I237&gt;=M237,I237&lt;=N237,O237&lt;=J237),"PASS","FAIL"))</x:f>
      </x:c>
      <x:c r="R237" t="str"/>
      <x:c r="S237" t="str">
        <x:f>IF(R237=1,IF(Q237="PASS","PASS","FAIL"),"OPEN")</x:f>
        <x:v>OPEN</x:v>
      </x:c>
    </x:row>
    <x:row r="238">
      <x:c r="B238" t="str">
        <x:v>RAW-E232</x:v>
      </x:c>
      <x:c r="C238" t="str">
        <x:v>AM-03</x:v>
      </x:c>
      <x:c r="D238" t="str">
        <x:v>TR-A</x:v>
      </x:c>
      <x:c r="E238" t="str">
        <x:v>RFP-A2</x:v>
      </x:c>
      <x:c r="F238" t="str">
        <x:v>PTC-A</x:v>
      </x:c>
      <x:c r="G238" t="str">
        <x:v>QT-04</x:v>
      </x:c>
      <x:c r="H238" t="str">
        <x:v>RAW-V22</x:v>
      </x:c>
      <x:c r="I238" s="14" t="n">
        <x:f>'Reference Envelopes'!F28</x:f>
        <x:v>0.25</x:v>
      </x:c>
      <x:c r="J238" s="14" t="n">
        <x:f>'Reference Envelopes'!G28</x:f>
        <x:v>0.005</x:v>
      </x:c>
      <x:c r="K238" s="14" t="str">
        <x:f>IF(COUNT('Trial Register'!S238)=0,"",'Trial Register'!S238)</x:f>
      </x:c>
      <x:c r="L238" s="14" t="str">
        <x:f>IF(COUNT('Trial Register'!T238)=0,"",'Trial Register'!T238)</x:f>
      </x:c>
      <x:c r="M238" s="14" t="str">
        <x:f>IF(COUNT(K238:L238)&lt;2,"",K238-L238)</x:f>
      </x:c>
      <x:c r="N238" s="14" t="str">
        <x:f>IF(COUNT(K238:L238)&lt;2,"",K238+L238)</x:f>
      </x:c>
      <x:c r="O238" s="14" t="str">
        <x:f>IF(COUNT(K238)=0,"",ABS(K238-I238))</x:f>
      </x:c>
      <x:c r="P238" s="14" t="str">
        <x:f>IF(COUNT(O238)=0,"",IF(J238=0,IF(O238=0,0,999),O238/J238))</x:f>
      </x:c>
      <x:c r="Q238" t="str">
        <x:f>IF(COUNT(M238:N238)&lt;2,"",IF(AND(I238&gt;=M238,I238&lt;=N238,O238&lt;=J238),"PASS","FAIL"))</x:f>
      </x:c>
      <x:c r="R238" t="str"/>
      <x:c r="S238" t="str">
        <x:f>IF(R238=1,IF(Q238="PASS","PASS","FAIL"),"OPEN")</x:f>
        <x:v>OPEN</x:v>
      </x:c>
    </x:row>
    <x:row r="239">
      <x:c r="B239" t="str">
        <x:v>RAW-E233</x:v>
      </x:c>
      <x:c r="C239" t="str">
        <x:v>AM-03</x:v>
      </x:c>
      <x:c r="D239" t="str">
        <x:v>TR-A</x:v>
      </x:c>
      <x:c r="E239" t="str">
        <x:v>RFP-A2</x:v>
      </x:c>
      <x:c r="F239" t="str">
        <x:v>PTC-A</x:v>
      </x:c>
      <x:c r="G239" t="str">
        <x:v>QT-05</x:v>
      </x:c>
      <x:c r="H239" t="str">
        <x:v>RAW-V23</x:v>
      </x:c>
      <x:c r="I239" s="14" t="n">
        <x:f>'Reference Envelopes'!F29</x:f>
        <x:v>0.35</x:v>
      </x:c>
      <x:c r="J239" s="14" t="n">
        <x:f>'Reference Envelopes'!G29</x:f>
        <x:v>0.01</x:v>
      </x:c>
      <x:c r="K239" s="14" t="str">
        <x:f>IF(COUNT('Trial Register'!S239)=0,"",'Trial Register'!S239)</x:f>
      </x:c>
      <x:c r="L239" s="14" t="str">
        <x:f>IF(COUNT('Trial Register'!T239)=0,"",'Trial Register'!T239)</x:f>
      </x:c>
      <x:c r="M239" s="14" t="str">
        <x:f>IF(COUNT(K239:L239)&lt;2,"",K239-L239)</x:f>
      </x:c>
      <x:c r="N239" s="14" t="str">
        <x:f>IF(COUNT(K239:L239)&lt;2,"",K239+L239)</x:f>
      </x:c>
      <x:c r="O239" s="14" t="str">
        <x:f>IF(COUNT(K239)=0,"",ABS(K239-I239))</x:f>
      </x:c>
      <x:c r="P239" s="14" t="str">
        <x:f>IF(COUNT(O239)=0,"",IF(J239=0,IF(O239=0,0,999),O239/J239))</x:f>
      </x:c>
      <x:c r="Q239" t="str">
        <x:f>IF(COUNT(M239:N239)&lt;2,"",IF(AND(I239&gt;=M239,I239&lt;=N239,O239&lt;=J239),"PASS","FAIL"))</x:f>
      </x:c>
      <x:c r="R239" t="str"/>
      <x:c r="S239" t="str">
        <x:f>IF(R239=1,IF(Q239="PASS","PASS","FAIL"),"OPEN")</x:f>
        <x:v>OPEN</x:v>
      </x:c>
    </x:row>
    <x:row r="240">
      <x:c r="B240" t="str">
        <x:v>RAW-E234</x:v>
      </x:c>
      <x:c r="C240" t="str">
        <x:v>AM-03</x:v>
      </x:c>
      <x:c r="D240" t="str">
        <x:v>TR-A</x:v>
      </x:c>
      <x:c r="E240" t="str">
        <x:v>RFP-A2</x:v>
      </x:c>
      <x:c r="F240" t="str">
        <x:v>PTC-A</x:v>
      </x:c>
      <x:c r="G240" t="str">
        <x:v>QT-06</x:v>
      </x:c>
      <x:c r="H240" t="str">
        <x:v>RAW-V24</x:v>
      </x:c>
      <x:c r="I240" s="14" t="n">
        <x:f>'Reference Envelopes'!F30</x:f>
        <x:v>0.2</x:v>
      </x:c>
      <x:c r="J240" s="14" t="n">
        <x:f>'Reference Envelopes'!G30</x:f>
        <x:v>0.005</x:v>
      </x:c>
      <x:c r="K240" s="14" t="str">
        <x:f>IF(COUNT('Trial Register'!S240)=0,"",'Trial Register'!S240)</x:f>
      </x:c>
      <x:c r="L240" s="14" t="str">
        <x:f>IF(COUNT('Trial Register'!T240)=0,"",'Trial Register'!T240)</x:f>
      </x:c>
      <x:c r="M240" s="14" t="str">
        <x:f>IF(COUNT(K240:L240)&lt;2,"",K240-L240)</x:f>
      </x:c>
      <x:c r="N240" s="14" t="str">
        <x:f>IF(COUNT(K240:L240)&lt;2,"",K240+L240)</x:f>
      </x:c>
      <x:c r="O240" s="14" t="str">
        <x:f>IF(COUNT(K240)=0,"",ABS(K240-I240))</x:f>
      </x:c>
      <x:c r="P240" s="14" t="str">
        <x:f>IF(COUNT(O240)=0,"",IF(J240=0,IF(O240=0,0,999),O240/J240))</x:f>
      </x:c>
      <x:c r="Q240" t="str">
        <x:f>IF(COUNT(M240:N240)&lt;2,"",IF(AND(I240&gt;=M240,I240&lt;=N240,O240&lt;=J240),"PASS","FAIL"))</x:f>
      </x:c>
      <x:c r="R240" t="str"/>
      <x:c r="S240" t="str">
        <x:f>IF(R240=1,IF(Q240="PASS","PASS","FAIL"),"OPEN")</x:f>
        <x:v>OPEN</x:v>
      </x:c>
    </x:row>
    <x:row r="241">
      <x:c r="B241" t="str">
        <x:v>RAW-E235</x:v>
      </x:c>
      <x:c r="C241" t="str">
        <x:v>AM-03</x:v>
      </x:c>
      <x:c r="D241" t="str">
        <x:v>TR-B</x:v>
      </x:c>
      <x:c r="E241" t="str">
        <x:v>RFP-A2</x:v>
      </x:c>
      <x:c r="F241" t="str">
        <x:v>PTC-A</x:v>
      </x:c>
      <x:c r="G241" t="str">
        <x:v>QT-01</x:v>
      </x:c>
      <x:c r="H241" t="str">
        <x:v>RAW-V19</x:v>
      </x:c>
      <x:c r="I241" s="14" t="n">
        <x:f>'Reference Envelopes'!F25</x:f>
        <x:v>0</x:v>
      </x:c>
      <x:c r="J241" s="14" t="n">
        <x:f>'Reference Envelopes'!G25</x:f>
        <x:v>0.005</x:v>
      </x:c>
      <x:c r="K241" s="14" t="str">
        <x:f>IF(COUNT('Trial Register'!S241)=0,"",'Trial Register'!S241)</x:f>
      </x:c>
      <x:c r="L241" s="14" t="str">
        <x:f>IF(COUNT('Trial Register'!T241)=0,"",'Trial Register'!T241)</x:f>
      </x:c>
      <x:c r="M241" s="14" t="str">
        <x:f>IF(COUNT(K241:L241)&lt;2,"",K241-L241)</x:f>
      </x:c>
      <x:c r="N241" s="14" t="str">
        <x:f>IF(COUNT(K241:L241)&lt;2,"",K241+L241)</x:f>
      </x:c>
      <x:c r="O241" s="14" t="str">
        <x:f>IF(COUNT(K241)=0,"",ABS(K241-I241))</x:f>
      </x:c>
      <x:c r="P241" s="14" t="str">
        <x:f>IF(COUNT(O241)=0,"",IF(J241=0,IF(O241=0,0,999),O241/J241))</x:f>
      </x:c>
      <x:c r="Q241" t="str">
        <x:f>IF(COUNT(M241:N241)&lt;2,"",IF(AND(I241&gt;=M241,I241&lt;=N241,O241&lt;=J241),"PASS","FAIL"))</x:f>
      </x:c>
      <x:c r="R241" t="str"/>
      <x:c r="S241" t="str">
        <x:f>IF(R241=1,IF(Q241="PASS","PASS","FAIL"),"OPEN")</x:f>
        <x:v>OPEN</x:v>
      </x:c>
    </x:row>
    <x:row r="242">
      <x:c r="B242" t="str">
        <x:v>RAW-E236</x:v>
      </x:c>
      <x:c r="C242" t="str">
        <x:v>AM-03</x:v>
      </x:c>
      <x:c r="D242" t="str">
        <x:v>TR-B</x:v>
      </x:c>
      <x:c r="E242" t="str">
        <x:v>RFP-A2</x:v>
      </x:c>
      <x:c r="F242" t="str">
        <x:v>PTC-A</x:v>
      </x:c>
      <x:c r="G242" t="str">
        <x:v>QT-02</x:v>
      </x:c>
      <x:c r="H242" t="str">
        <x:v>RAW-V20</x:v>
      </x:c>
      <x:c r="I242" s="14" t="n">
        <x:f>'Reference Envelopes'!F26</x:f>
        <x:v>0.1</x:v>
      </x:c>
      <x:c r="J242" s="14" t="n">
        <x:f>'Reference Envelopes'!G26</x:f>
        <x:v>0.005</x:v>
      </x:c>
      <x:c r="K242" s="14" t="str">
        <x:f>IF(COUNT('Trial Register'!S242)=0,"",'Trial Register'!S242)</x:f>
      </x:c>
      <x:c r="L242" s="14" t="str">
        <x:f>IF(COUNT('Trial Register'!T242)=0,"",'Trial Register'!T242)</x:f>
      </x:c>
      <x:c r="M242" s="14" t="str">
        <x:f>IF(COUNT(K242:L242)&lt;2,"",K242-L242)</x:f>
      </x:c>
      <x:c r="N242" s="14" t="str">
        <x:f>IF(COUNT(K242:L242)&lt;2,"",K242+L242)</x:f>
      </x:c>
      <x:c r="O242" s="14" t="str">
        <x:f>IF(COUNT(K242)=0,"",ABS(K242-I242))</x:f>
      </x:c>
      <x:c r="P242" s="14" t="str">
        <x:f>IF(COUNT(O242)=0,"",IF(J242=0,IF(O242=0,0,999),O242/J242))</x:f>
      </x:c>
      <x:c r="Q242" t="str">
        <x:f>IF(COUNT(M242:N242)&lt;2,"",IF(AND(I242&gt;=M242,I242&lt;=N242,O242&lt;=J242),"PASS","FAIL"))</x:f>
      </x:c>
      <x:c r="R242" t="str"/>
      <x:c r="S242" t="str">
        <x:f>IF(R242=1,IF(Q242="PASS","PASS","FAIL"),"OPEN")</x:f>
        <x:v>OPEN</x:v>
      </x:c>
    </x:row>
    <x:row r="243">
      <x:c r="B243" t="str">
        <x:v>RAW-E237</x:v>
      </x:c>
      <x:c r="C243" t="str">
        <x:v>AM-03</x:v>
      </x:c>
      <x:c r="D243" t="str">
        <x:v>TR-B</x:v>
      </x:c>
      <x:c r="E243" t="str">
        <x:v>RFP-A2</x:v>
      </x:c>
      <x:c r="F243" t="str">
        <x:v>PTC-A</x:v>
      </x:c>
      <x:c r="G243" t="str">
        <x:v>QT-03</x:v>
      </x:c>
      <x:c r="H243" t="str">
        <x:v>RAW-V21</x:v>
      </x:c>
      <x:c r="I243" s="14" t="n">
        <x:f>'Reference Envelopes'!F27</x:f>
        <x:v>0.5</x:v>
      </x:c>
      <x:c r="J243" s="14" t="n">
        <x:f>'Reference Envelopes'!G27</x:f>
        <x:v>0.01</x:v>
      </x:c>
      <x:c r="K243" s="14" t="str">
        <x:f>IF(COUNT('Trial Register'!S243)=0,"",'Trial Register'!S243)</x:f>
      </x:c>
      <x:c r="L243" s="14" t="str">
        <x:f>IF(COUNT('Trial Register'!T243)=0,"",'Trial Register'!T243)</x:f>
      </x:c>
      <x:c r="M243" s="14" t="str">
        <x:f>IF(COUNT(K243:L243)&lt;2,"",K243-L243)</x:f>
      </x:c>
      <x:c r="N243" s="14" t="str">
        <x:f>IF(COUNT(K243:L243)&lt;2,"",K243+L243)</x:f>
      </x:c>
      <x:c r="O243" s="14" t="str">
        <x:f>IF(COUNT(K243)=0,"",ABS(K243-I243))</x:f>
      </x:c>
      <x:c r="P243" s="14" t="str">
        <x:f>IF(COUNT(O243)=0,"",IF(J243=0,IF(O243=0,0,999),O243/J243))</x:f>
      </x:c>
      <x:c r="Q243" t="str">
        <x:f>IF(COUNT(M243:N243)&lt;2,"",IF(AND(I243&gt;=M243,I243&lt;=N243,O243&lt;=J243),"PASS","FAIL"))</x:f>
      </x:c>
      <x:c r="R243" t="str"/>
      <x:c r="S243" t="str">
        <x:f>IF(R243=1,IF(Q243="PASS","PASS","FAIL"),"OPEN")</x:f>
        <x:v>OPEN</x:v>
      </x:c>
    </x:row>
    <x:row r="244">
      <x:c r="B244" t="str">
        <x:v>RAW-E238</x:v>
      </x:c>
      <x:c r="C244" t="str">
        <x:v>AM-03</x:v>
      </x:c>
      <x:c r="D244" t="str">
        <x:v>TR-B</x:v>
      </x:c>
      <x:c r="E244" t="str">
        <x:v>RFP-A2</x:v>
      </x:c>
      <x:c r="F244" t="str">
        <x:v>PTC-A</x:v>
      </x:c>
      <x:c r="G244" t="str">
        <x:v>QT-04</x:v>
      </x:c>
      <x:c r="H244" t="str">
        <x:v>RAW-V22</x:v>
      </x:c>
      <x:c r="I244" s="14" t="n">
        <x:f>'Reference Envelopes'!F28</x:f>
        <x:v>0.25</x:v>
      </x:c>
      <x:c r="J244" s="14" t="n">
        <x:f>'Reference Envelopes'!G28</x:f>
        <x:v>0.005</x:v>
      </x:c>
      <x:c r="K244" s="14" t="str">
        <x:f>IF(COUNT('Trial Register'!S244)=0,"",'Trial Register'!S244)</x:f>
      </x:c>
      <x:c r="L244" s="14" t="str">
        <x:f>IF(COUNT('Trial Register'!T244)=0,"",'Trial Register'!T244)</x:f>
      </x:c>
      <x:c r="M244" s="14" t="str">
        <x:f>IF(COUNT(K244:L244)&lt;2,"",K244-L244)</x:f>
      </x:c>
      <x:c r="N244" s="14" t="str">
        <x:f>IF(COUNT(K244:L244)&lt;2,"",K244+L244)</x:f>
      </x:c>
      <x:c r="O244" s="14" t="str">
        <x:f>IF(COUNT(K244)=0,"",ABS(K244-I244))</x:f>
      </x:c>
      <x:c r="P244" s="14" t="str">
        <x:f>IF(COUNT(O244)=0,"",IF(J244=0,IF(O244=0,0,999),O244/J244))</x:f>
      </x:c>
      <x:c r="Q244" t="str">
        <x:f>IF(COUNT(M244:N244)&lt;2,"",IF(AND(I244&gt;=M244,I244&lt;=N244,O244&lt;=J244),"PASS","FAIL"))</x:f>
      </x:c>
      <x:c r="R244" t="str"/>
      <x:c r="S244" t="str">
        <x:f>IF(R244=1,IF(Q244="PASS","PASS","FAIL"),"OPEN")</x:f>
        <x:v>OPEN</x:v>
      </x:c>
    </x:row>
    <x:row r="245">
      <x:c r="B245" t="str">
        <x:v>RAW-E239</x:v>
      </x:c>
      <x:c r="C245" t="str">
        <x:v>AM-03</x:v>
      </x:c>
      <x:c r="D245" t="str">
        <x:v>TR-B</x:v>
      </x:c>
      <x:c r="E245" t="str">
        <x:v>RFP-A2</x:v>
      </x:c>
      <x:c r="F245" t="str">
        <x:v>PTC-A</x:v>
      </x:c>
      <x:c r="G245" t="str">
        <x:v>QT-05</x:v>
      </x:c>
      <x:c r="H245" t="str">
        <x:v>RAW-V23</x:v>
      </x:c>
      <x:c r="I245" s="14" t="n">
        <x:f>'Reference Envelopes'!F29</x:f>
        <x:v>0.35</x:v>
      </x:c>
      <x:c r="J245" s="14" t="n">
        <x:f>'Reference Envelopes'!G29</x:f>
        <x:v>0.01</x:v>
      </x:c>
      <x:c r="K245" s="14" t="str">
        <x:f>IF(COUNT('Trial Register'!S245)=0,"",'Trial Register'!S245)</x:f>
      </x:c>
      <x:c r="L245" s="14" t="str">
        <x:f>IF(COUNT('Trial Register'!T245)=0,"",'Trial Register'!T245)</x:f>
      </x:c>
      <x:c r="M245" s="14" t="str">
        <x:f>IF(COUNT(K245:L245)&lt;2,"",K245-L245)</x:f>
      </x:c>
      <x:c r="N245" s="14" t="str">
        <x:f>IF(COUNT(K245:L245)&lt;2,"",K245+L245)</x:f>
      </x:c>
      <x:c r="O245" s="14" t="str">
        <x:f>IF(COUNT(K245)=0,"",ABS(K245-I245))</x:f>
      </x:c>
      <x:c r="P245" s="14" t="str">
        <x:f>IF(COUNT(O245)=0,"",IF(J245=0,IF(O245=0,0,999),O245/J245))</x:f>
      </x:c>
      <x:c r="Q245" t="str">
        <x:f>IF(COUNT(M245:N245)&lt;2,"",IF(AND(I245&gt;=M245,I245&lt;=N245,O245&lt;=J245),"PASS","FAIL"))</x:f>
      </x:c>
      <x:c r="R245" t="str"/>
      <x:c r="S245" t="str">
        <x:f>IF(R245=1,IF(Q245="PASS","PASS","FAIL"),"OPEN")</x:f>
        <x:v>OPEN</x:v>
      </x:c>
    </x:row>
    <x:row r="246">
      <x:c r="B246" t="str">
        <x:v>RAW-E240</x:v>
      </x:c>
      <x:c r="C246" t="str">
        <x:v>AM-03</x:v>
      </x:c>
      <x:c r="D246" t="str">
        <x:v>TR-B</x:v>
      </x:c>
      <x:c r="E246" t="str">
        <x:v>RFP-A2</x:v>
      </x:c>
      <x:c r="F246" t="str">
        <x:v>PTC-A</x:v>
      </x:c>
      <x:c r="G246" t="str">
        <x:v>QT-06</x:v>
      </x:c>
      <x:c r="H246" t="str">
        <x:v>RAW-V24</x:v>
      </x:c>
      <x:c r="I246" s="14" t="n">
        <x:f>'Reference Envelopes'!F30</x:f>
        <x:v>0.2</x:v>
      </x:c>
      <x:c r="J246" s="14" t="n">
        <x:f>'Reference Envelopes'!G30</x:f>
        <x:v>0.005</x:v>
      </x:c>
      <x:c r="K246" s="14" t="str">
        <x:f>IF(COUNT('Trial Register'!S246)=0,"",'Trial Register'!S246)</x:f>
      </x:c>
      <x:c r="L246" s="14" t="str">
        <x:f>IF(COUNT('Trial Register'!T246)=0,"",'Trial Register'!T246)</x:f>
      </x:c>
      <x:c r="M246" s="14" t="str">
        <x:f>IF(COUNT(K246:L246)&lt;2,"",K246-L246)</x:f>
      </x:c>
      <x:c r="N246" s="14" t="str">
        <x:f>IF(COUNT(K246:L246)&lt;2,"",K246+L246)</x:f>
      </x:c>
      <x:c r="O246" s="14" t="str">
        <x:f>IF(COUNT(K246)=0,"",ABS(K246-I246))</x:f>
      </x:c>
      <x:c r="P246" s="14" t="str">
        <x:f>IF(COUNT(O246)=0,"",IF(J246=0,IF(O246=0,0,999),O246/J246))</x:f>
      </x:c>
      <x:c r="Q246" t="str">
        <x:f>IF(COUNT(M246:N246)&lt;2,"",IF(AND(I246&gt;=M246,I246&lt;=N246,O246&lt;=J246),"PASS","FAIL"))</x:f>
      </x:c>
      <x:c r="R246" t="str"/>
      <x:c r="S246" t="str">
        <x:f>IF(R246=1,IF(Q246="PASS","PASS","FAIL"),"OPEN")</x:f>
        <x:v>OPEN</x:v>
      </x:c>
    </x:row>
    <x:row r="247">
      <x:c r="B247" t="str">
        <x:v>RAW-E241</x:v>
      </x:c>
      <x:c r="C247" t="str">
        <x:v>AM-03</x:v>
      </x:c>
      <x:c r="D247" t="str">
        <x:v>TR-A</x:v>
      </x:c>
      <x:c r="E247" t="str">
        <x:v>RFP-B1</x:v>
      </x:c>
      <x:c r="F247" t="str">
        <x:v>PTC-B</x:v>
      </x:c>
      <x:c r="G247" t="str">
        <x:v>QT-01</x:v>
      </x:c>
      <x:c r="H247" t="str">
        <x:v>RAW-V19</x:v>
      </x:c>
      <x:c r="I247" s="14" t="n">
        <x:f>'Reference Envelopes'!F25</x:f>
        <x:v>0</x:v>
      </x:c>
      <x:c r="J247" s="14" t="n">
        <x:f>'Reference Envelopes'!G25</x:f>
        <x:v>0.005</x:v>
      </x:c>
      <x:c r="K247" s="14" t="str">
        <x:f>IF(COUNT('Trial Register'!S247)=0,"",'Trial Register'!S247)</x:f>
      </x:c>
      <x:c r="L247" s="14" t="str">
        <x:f>IF(COUNT('Trial Register'!T247)=0,"",'Trial Register'!T247)</x:f>
      </x:c>
      <x:c r="M247" s="14" t="str">
        <x:f>IF(COUNT(K247:L247)&lt;2,"",K247-L247)</x:f>
      </x:c>
      <x:c r="N247" s="14" t="str">
        <x:f>IF(COUNT(K247:L247)&lt;2,"",K247+L247)</x:f>
      </x:c>
      <x:c r="O247" s="14" t="str">
        <x:f>IF(COUNT(K247)=0,"",ABS(K247-I247))</x:f>
      </x:c>
      <x:c r="P247" s="14" t="str">
        <x:f>IF(COUNT(O247)=0,"",IF(J247=0,IF(O247=0,0,999),O247/J247))</x:f>
      </x:c>
      <x:c r="Q247" t="str">
        <x:f>IF(COUNT(M247:N247)&lt;2,"",IF(AND(I247&gt;=M247,I247&lt;=N247,O247&lt;=J247),"PASS","FAIL"))</x:f>
      </x:c>
      <x:c r="R247" t="str"/>
      <x:c r="S247" t="str">
        <x:f>IF(R247=1,IF(Q247="PASS","PASS","FAIL"),"OPEN")</x:f>
        <x:v>OPEN</x:v>
      </x:c>
    </x:row>
    <x:row r="248">
      <x:c r="B248" t="str">
        <x:v>RAW-E242</x:v>
      </x:c>
      <x:c r="C248" t="str">
        <x:v>AM-03</x:v>
      </x:c>
      <x:c r="D248" t="str">
        <x:v>TR-A</x:v>
      </x:c>
      <x:c r="E248" t="str">
        <x:v>RFP-B1</x:v>
      </x:c>
      <x:c r="F248" t="str">
        <x:v>PTC-B</x:v>
      </x:c>
      <x:c r="G248" t="str">
        <x:v>QT-02</x:v>
      </x:c>
      <x:c r="H248" t="str">
        <x:v>RAW-V20</x:v>
      </x:c>
      <x:c r="I248" s="14" t="n">
        <x:f>'Reference Envelopes'!F26</x:f>
        <x:v>0.1</x:v>
      </x:c>
      <x:c r="J248" s="14" t="n">
        <x:f>'Reference Envelopes'!G26</x:f>
        <x:v>0.005</x:v>
      </x:c>
      <x:c r="K248" s="14" t="str">
        <x:f>IF(COUNT('Trial Register'!S248)=0,"",'Trial Register'!S248)</x:f>
      </x:c>
      <x:c r="L248" s="14" t="str">
        <x:f>IF(COUNT('Trial Register'!T248)=0,"",'Trial Register'!T248)</x:f>
      </x:c>
      <x:c r="M248" s="14" t="str">
        <x:f>IF(COUNT(K248:L248)&lt;2,"",K248-L248)</x:f>
      </x:c>
      <x:c r="N248" s="14" t="str">
        <x:f>IF(COUNT(K248:L248)&lt;2,"",K248+L248)</x:f>
      </x:c>
      <x:c r="O248" s="14" t="str">
        <x:f>IF(COUNT(K248)=0,"",ABS(K248-I248))</x:f>
      </x:c>
      <x:c r="P248" s="14" t="str">
        <x:f>IF(COUNT(O248)=0,"",IF(J248=0,IF(O248=0,0,999),O248/J248))</x:f>
      </x:c>
      <x:c r="Q248" t="str">
        <x:f>IF(COUNT(M248:N248)&lt;2,"",IF(AND(I248&gt;=M248,I248&lt;=N248,O248&lt;=J248),"PASS","FAIL"))</x:f>
      </x:c>
      <x:c r="R248" t="str"/>
      <x:c r="S248" t="str">
        <x:f>IF(R248=1,IF(Q248="PASS","PASS","FAIL"),"OPEN")</x:f>
        <x:v>OPEN</x:v>
      </x:c>
    </x:row>
    <x:row r="249">
      <x:c r="B249" t="str">
        <x:v>RAW-E243</x:v>
      </x:c>
      <x:c r="C249" t="str">
        <x:v>AM-03</x:v>
      </x:c>
      <x:c r="D249" t="str">
        <x:v>TR-A</x:v>
      </x:c>
      <x:c r="E249" t="str">
        <x:v>RFP-B1</x:v>
      </x:c>
      <x:c r="F249" t="str">
        <x:v>PTC-B</x:v>
      </x:c>
      <x:c r="G249" t="str">
        <x:v>QT-03</x:v>
      </x:c>
      <x:c r="H249" t="str">
        <x:v>RAW-V21</x:v>
      </x:c>
      <x:c r="I249" s="14" t="n">
        <x:f>'Reference Envelopes'!F27</x:f>
        <x:v>0.5</x:v>
      </x:c>
      <x:c r="J249" s="14" t="n">
        <x:f>'Reference Envelopes'!G27</x:f>
        <x:v>0.01</x:v>
      </x:c>
      <x:c r="K249" s="14" t="str">
        <x:f>IF(COUNT('Trial Register'!S249)=0,"",'Trial Register'!S249)</x:f>
      </x:c>
      <x:c r="L249" s="14" t="str">
        <x:f>IF(COUNT('Trial Register'!T249)=0,"",'Trial Register'!T249)</x:f>
      </x:c>
      <x:c r="M249" s="14" t="str">
        <x:f>IF(COUNT(K249:L249)&lt;2,"",K249-L249)</x:f>
      </x:c>
      <x:c r="N249" s="14" t="str">
        <x:f>IF(COUNT(K249:L249)&lt;2,"",K249+L249)</x:f>
      </x:c>
      <x:c r="O249" s="14" t="str">
        <x:f>IF(COUNT(K249)=0,"",ABS(K249-I249))</x:f>
      </x:c>
      <x:c r="P249" s="14" t="str">
        <x:f>IF(COUNT(O249)=0,"",IF(J249=0,IF(O249=0,0,999),O249/J249))</x:f>
      </x:c>
      <x:c r="Q249" t="str">
        <x:f>IF(COUNT(M249:N249)&lt;2,"",IF(AND(I249&gt;=M249,I249&lt;=N249,O249&lt;=J249),"PASS","FAIL"))</x:f>
      </x:c>
      <x:c r="R249" t="str"/>
      <x:c r="S249" t="str">
        <x:f>IF(R249=1,IF(Q249="PASS","PASS","FAIL"),"OPEN")</x:f>
        <x:v>OPEN</x:v>
      </x:c>
    </x:row>
    <x:row r="250">
      <x:c r="B250" t="str">
        <x:v>RAW-E244</x:v>
      </x:c>
      <x:c r="C250" t="str">
        <x:v>AM-03</x:v>
      </x:c>
      <x:c r="D250" t="str">
        <x:v>TR-A</x:v>
      </x:c>
      <x:c r="E250" t="str">
        <x:v>RFP-B1</x:v>
      </x:c>
      <x:c r="F250" t="str">
        <x:v>PTC-B</x:v>
      </x:c>
      <x:c r="G250" t="str">
        <x:v>QT-04</x:v>
      </x:c>
      <x:c r="H250" t="str">
        <x:v>RAW-V22</x:v>
      </x:c>
      <x:c r="I250" s="14" t="n">
        <x:f>'Reference Envelopes'!F28</x:f>
        <x:v>0.25</x:v>
      </x:c>
      <x:c r="J250" s="14" t="n">
        <x:f>'Reference Envelopes'!G28</x:f>
        <x:v>0.005</x:v>
      </x:c>
      <x:c r="K250" s="14" t="str">
        <x:f>IF(COUNT('Trial Register'!S250)=0,"",'Trial Register'!S250)</x:f>
      </x:c>
      <x:c r="L250" s="14" t="str">
        <x:f>IF(COUNT('Trial Register'!T250)=0,"",'Trial Register'!T250)</x:f>
      </x:c>
      <x:c r="M250" s="14" t="str">
        <x:f>IF(COUNT(K250:L250)&lt;2,"",K250-L250)</x:f>
      </x:c>
      <x:c r="N250" s="14" t="str">
        <x:f>IF(COUNT(K250:L250)&lt;2,"",K250+L250)</x:f>
      </x:c>
      <x:c r="O250" s="14" t="str">
        <x:f>IF(COUNT(K250)=0,"",ABS(K250-I250))</x:f>
      </x:c>
      <x:c r="P250" s="14" t="str">
        <x:f>IF(COUNT(O250)=0,"",IF(J250=0,IF(O250=0,0,999),O250/J250))</x:f>
      </x:c>
      <x:c r="Q250" t="str">
        <x:f>IF(COUNT(M250:N250)&lt;2,"",IF(AND(I250&gt;=M250,I250&lt;=N250,O250&lt;=J250),"PASS","FAIL"))</x:f>
      </x:c>
      <x:c r="R250" t="str"/>
      <x:c r="S250" t="str">
        <x:f>IF(R250=1,IF(Q250="PASS","PASS","FAIL"),"OPEN")</x:f>
        <x:v>OPEN</x:v>
      </x:c>
    </x:row>
    <x:row r="251">
      <x:c r="B251" t="str">
        <x:v>RAW-E245</x:v>
      </x:c>
      <x:c r="C251" t="str">
        <x:v>AM-03</x:v>
      </x:c>
      <x:c r="D251" t="str">
        <x:v>TR-A</x:v>
      </x:c>
      <x:c r="E251" t="str">
        <x:v>RFP-B1</x:v>
      </x:c>
      <x:c r="F251" t="str">
        <x:v>PTC-B</x:v>
      </x:c>
      <x:c r="G251" t="str">
        <x:v>QT-05</x:v>
      </x:c>
      <x:c r="H251" t="str">
        <x:v>RAW-V23</x:v>
      </x:c>
      <x:c r="I251" s="14" t="n">
        <x:f>'Reference Envelopes'!F29</x:f>
        <x:v>0.35</x:v>
      </x:c>
      <x:c r="J251" s="14" t="n">
        <x:f>'Reference Envelopes'!G29</x:f>
        <x:v>0.01</x:v>
      </x:c>
      <x:c r="K251" s="14" t="str">
        <x:f>IF(COUNT('Trial Register'!S251)=0,"",'Trial Register'!S251)</x:f>
      </x:c>
      <x:c r="L251" s="14" t="str">
        <x:f>IF(COUNT('Trial Register'!T251)=0,"",'Trial Register'!T251)</x:f>
      </x:c>
      <x:c r="M251" s="14" t="str">
        <x:f>IF(COUNT(K251:L251)&lt;2,"",K251-L251)</x:f>
      </x:c>
      <x:c r="N251" s="14" t="str">
        <x:f>IF(COUNT(K251:L251)&lt;2,"",K251+L251)</x:f>
      </x:c>
      <x:c r="O251" s="14" t="str">
        <x:f>IF(COUNT(K251)=0,"",ABS(K251-I251))</x:f>
      </x:c>
      <x:c r="P251" s="14" t="str">
        <x:f>IF(COUNT(O251)=0,"",IF(J251=0,IF(O251=0,0,999),O251/J251))</x:f>
      </x:c>
      <x:c r="Q251" t="str">
        <x:f>IF(COUNT(M251:N251)&lt;2,"",IF(AND(I251&gt;=M251,I251&lt;=N251,O251&lt;=J251),"PASS","FAIL"))</x:f>
      </x:c>
      <x:c r="R251" t="str"/>
      <x:c r="S251" t="str">
        <x:f>IF(R251=1,IF(Q251="PASS","PASS","FAIL"),"OPEN")</x:f>
        <x:v>OPEN</x:v>
      </x:c>
    </x:row>
    <x:row r="252">
      <x:c r="B252" t="str">
        <x:v>RAW-E246</x:v>
      </x:c>
      <x:c r="C252" t="str">
        <x:v>AM-03</x:v>
      </x:c>
      <x:c r="D252" t="str">
        <x:v>TR-A</x:v>
      </x:c>
      <x:c r="E252" t="str">
        <x:v>RFP-B1</x:v>
      </x:c>
      <x:c r="F252" t="str">
        <x:v>PTC-B</x:v>
      </x:c>
      <x:c r="G252" t="str">
        <x:v>QT-06</x:v>
      </x:c>
      <x:c r="H252" t="str">
        <x:v>RAW-V24</x:v>
      </x:c>
      <x:c r="I252" s="14" t="n">
        <x:f>'Reference Envelopes'!F30</x:f>
        <x:v>0.2</x:v>
      </x:c>
      <x:c r="J252" s="14" t="n">
        <x:f>'Reference Envelopes'!G30</x:f>
        <x:v>0.005</x:v>
      </x:c>
      <x:c r="K252" s="14" t="str">
        <x:f>IF(COUNT('Trial Register'!S252)=0,"",'Trial Register'!S252)</x:f>
      </x:c>
      <x:c r="L252" s="14" t="str">
        <x:f>IF(COUNT('Trial Register'!T252)=0,"",'Trial Register'!T252)</x:f>
      </x:c>
      <x:c r="M252" s="14" t="str">
        <x:f>IF(COUNT(K252:L252)&lt;2,"",K252-L252)</x:f>
      </x:c>
      <x:c r="N252" s="14" t="str">
        <x:f>IF(COUNT(K252:L252)&lt;2,"",K252+L252)</x:f>
      </x:c>
      <x:c r="O252" s="14" t="str">
        <x:f>IF(COUNT(K252)=0,"",ABS(K252-I252))</x:f>
      </x:c>
      <x:c r="P252" s="14" t="str">
        <x:f>IF(COUNT(O252)=0,"",IF(J252=0,IF(O252=0,0,999),O252/J252))</x:f>
      </x:c>
      <x:c r="Q252" t="str">
        <x:f>IF(COUNT(M252:N252)&lt;2,"",IF(AND(I252&gt;=M252,I252&lt;=N252,O252&lt;=J252),"PASS","FAIL"))</x:f>
      </x:c>
      <x:c r="R252" t="str"/>
      <x:c r="S252" t="str">
        <x:f>IF(R252=1,IF(Q252="PASS","PASS","FAIL"),"OPEN")</x:f>
        <x:v>OPEN</x:v>
      </x:c>
    </x:row>
    <x:row r="253">
      <x:c r="B253" t="str">
        <x:v>RAW-E247</x:v>
      </x:c>
      <x:c r="C253" t="str">
        <x:v>AM-03</x:v>
      </x:c>
      <x:c r="D253" t="str">
        <x:v>TR-B</x:v>
      </x:c>
      <x:c r="E253" t="str">
        <x:v>RFP-B1</x:v>
      </x:c>
      <x:c r="F253" t="str">
        <x:v>PTC-B</x:v>
      </x:c>
      <x:c r="G253" t="str">
        <x:v>QT-01</x:v>
      </x:c>
      <x:c r="H253" t="str">
        <x:v>RAW-V19</x:v>
      </x:c>
      <x:c r="I253" s="14" t="n">
        <x:f>'Reference Envelopes'!F25</x:f>
        <x:v>0</x:v>
      </x:c>
      <x:c r="J253" s="14" t="n">
        <x:f>'Reference Envelopes'!G25</x:f>
        <x:v>0.005</x:v>
      </x:c>
      <x:c r="K253" s="14" t="str">
        <x:f>IF(COUNT('Trial Register'!S253)=0,"",'Trial Register'!S253)</x:f>
      </x:c>
      <x:c r="L253" s="14" t="str">
        <x:f>IF(COUNT('Trial Register'!T253)=0,"",'Trial Register'!T253)</x:f>
      </x:c>
      <x:c r="M253" s="14" t="str">
        <x:f>IF(COUNT(K253:L253)&lt;2,"",K253-L253)</x:f>
      </x:c>
      <x:c r="N253" s="14" t="str">
        <x:f>IF(COUNT(K253:L253)&lt;2,"",K253+L253)</x:f>
      </x:c>
      <x:c r="O253" s="14" t="str">
        <x:f>IF(COUNT(K253)=0,"",ABS(K253-I253))</x:f>
      </x:c>
      <x:c r="P253" s="14" t="str">
        <x:f>IF(COUNT(O253)=0,"",IF(J253=0,IF(O253=0,0,999),O253/J253))</x:f>
      </x:c>
      <x:c r="Q253" t="str">
        <x:f>IF(COUNT(M253:N253)&lt;2,"",IF(AND(I253&gt;=M253,I253&lt;=N253,O253&lt;=J253),"PASS","FAIL"))</x:f>
      </x:c>
      <x:c r="R253" t="str"/>
      <x:c r="S253" t="str">
        <x:f>IF(R253=1,IF(Q253="PASS","PASS","FAIL"),"OPEN")</x:f>
        <x:v>OPEN</x:v>
      </x:c>
    </x:row>
    <x:row r="254">
      <x:c r="B254" t="str">
        <x:v>RAW-E248</x:v>
      </x:c>
      <x:c r="C254" t="str">
        <x:v>AM-03</x:v>
      </x:c>
      <x:c r="D254" t="str">
        <x:v>TR-B</x:v>
      </x:c>
      <x:c r="E254" t="str">
        <x:v>RFP-B1</x:v>
      </x:c>
      <x:c r="F254" t="str">
        <x:v>PTC-B</x:v>
      </x:c>
      <x:c r="G254" t="str">
        <x:v>QT-02</x:v>
      </x:c>
      <x:c r="H254" t="str">
        <x:v>RAW-V20</x:v>
      </x:c>
      <x:c r="I254" s="14" t="n">
        <x:f>'Reference Envelopes'!F26</x:f>
        <x:v>0.1</x:v>
      </x:c>
      <x:c r="J254" s="14" t="n">
        <x:f>'Reference Envelopes'!G26</x:f>
        <x:v>0.005</x:v>
      </x:c>
      <x:c r="K254" s="14" t="str">
        <x:f>IF(COUNT('Trial Register'!S254)=0,"",'Trial Register'!S254)</x:f>
      </x:c>
      <x:c r="L254" s="14" t="str">
        <x:f>IF(COUNT('Trial Register'!T254)=0,"",'Trial Register'!T254)</x:f>
      </x:c>
      <x:c r="M254" s="14" t="str">
        <x:f>IF(COUNT(K254:L254)&lt;2,"",K254-L254)</x:f>
      </x:c>
      <x:c r="N254" s="14" t="str">
        <x:f>IF(COUNT(K254:L254)&lt;2,"",K254+L254)</x:f>
      </x:c>
      <x:c r="O254" s="14" t="str">
        <x:f>IF(COUNT(K254)=0,"",ABS(K254-I254))</x:f>
      </x:c>
      <x:c r="P254" s="14" t="str">
        <x:f>IF(COUNT(O254)=0,"",IF(J254=0,IF(O254=0,0,999),O254/J254))</x:f>
      </x:c>
      <x:c r="Q254" t="str">
        <x:f>IF(COUNT(M254:N254)&lt;2,"",IF(AND(I254&gt;=M254,I254&lt;=N254,O254&lt;=J254),"PASS","FAIL"))</x:f>
      </x:c>
      <x:c r="R254" t="str"/>
      <x:c r="S254" t="str">
        <x:f>IF(R254=1,IF(Q254="PASS","PASS","FAIL"),"OPEN")</x:f>
        <x:v>OPEN</x:v>
      </x:c>
    </x:row>
    <x:row r="255">
      <x:c r="B255" t="str">
        <x:v>RAW-E249</x:v>
      </x:c>
      <x:c r="C255" t="str">
        <x:v>AM-03</x:v>
      </x:c>
      <x:c r="D255" t="str">
        <x:v>TR-B</x:v>
      </x:c>
      <x:c r="E255" t="str">
        <x:v>RFP-B1</x:v>
      </x:c>
      <x:c r="F255" t="str">
        <x:v>PTC-B</x:v>
      </x:c>
      <x:c r="G255" t="str">
        <x:v>QT-03</x:v>
      </x:c>
      <x:c r="H255" t="str">
        <x:v>RAW-V21</x:v>
      </x:c>
      <x:c r="I255" s="14" t="n">
        <x:f>'Reference Envelopes'!F27</x:f>
        <x:v>0.5</x:v>
      </x:c>
      <x:c r="J255" s="14" t="n">
        <x:f>'Reference Envelopes'!G27</x:f>
        <x:v>0.01</x:v>
      </x:c>
      <x:c r="K255" s="14" t="str">
        <x:f>IF(COUNT('Trial Register'!S255)=0,"",'Trial Register'!S255)</x:f>
      </x:c>
      <x:c r="L255" s="14" t="str">
        <x:f>IF(COUNT('Trial Register'!T255)=0,"",'Trial Register'!T255)</x:f>
      </x:c>
      <x:c r="M255" s="14" t="str">
        <x:f>IF(COUNT(K255:L255)&lt;2,"",K255-L255)</x:f>
      </x:c>
      <x:c r="N255" s="14" t="str">
        <x:f>IF(COUNT(K255:L255)&lt;2,"",K255+L255)</x:f>
      </x:c>
      <x:c r="O255" s="14" t="str">
        <x:f>IF(COUNT(K255)=0,"",ABS(K255-I255))</x:f>
      </x:c>
      <x:c r="P255" s="14" t="str">
        <x:f>IF(COUNT(O255)=0,"",IF(J255=0,IF(O255=0,0,999),O255/J255))</x:f>
      </x:c>
      <x:c r="Q255" t="str">
        <x:f>IF(COUNT(M255:N255)&lt;2,"",IF(AND(I255&gt;=M255,I255&lt;=N255,O255&lt;=J255),"PASS","FAIL"))</x:f>
      </x:c>
      <x:c r="R255" t="str"/>
      <x:c r="S255" t="str">
        <x:f>IF(R255=1,IF(Q255="PASS","PASS","FAIL"),"OPEN")</x:f>
        <x:v>OPEN</x:v>
      </x:c>
    </x:row>
    <x:row r="256">
      <x:c r="B256" t="str">
        <x:v>RAW-E250</x:v>
      </x:c>
      <x:c r="C256" t="str">
        <x:v>AM-03</x:v>
      </x:c>
      <x:c r="D256" t="str">
        <x:v>TR-B</x:v>
      </x:c>
      <x:c r="E256" t="str">
        <x:v>RFP-B1</x:v>
      </x:c>
      <x:c r="F256" t="str">
        <x:v>PTC-B</x:v>
      </x:c>
      <x:c r="G256" t="str">
        <x:v>QT-04</x:v>
      </x:c>
      <x:c r="H256" t="str">
        <x:v>RAW-V22</x:v>
      </x:c>
      <x:c r="I256" s="14" t="n">
        <x:f>'Reference Envelopes'!F28</x:f>
        <x:v>0.25</x:v>
      </x:c>
      <x:c r="J256" s="14" t="n">
        <x:f>'Reference Envelopes'!G28</x:f>
        <x:v>0.005</x:v>
      </x:c>
      <x:c r="K256" s="14" t="str">
        <x:f>IF(COUNT('Trial Register'!S256)=0,"",'Trial Register'!S256)</x:f>
      </x:c>
      <x:c r="L256" s="14" t="str">
        <x:f>IF(COUNT('Trial Register'!T256)=0,"",'Trial Register'!T256)</x:f>
      </x:c>
      <x:c r="M256" s="14" t="str">
        <x:f>IF(COUNT(K256:L256)&lt;2,"",K256-L256)</x:f>
      </x:c>
      <x:c r="N256" s="14" t="str">
        <x:f>IF(COUNT(K256:L256)&lt;2,"",K256+L256)</x:f>
      </x:c>
      <x:c r="O256" s="14" t="str">
        <x:f>IF(COUNT(K256)=0,"",ABS(K256-I256))</x:f>
      </x:c>
      <x:c r="P256" s="14" t="str">
        <x:f>IF(COUNT(O256)=0,"",IF(J256=0,IF(O256=0,0,999),O256/J256))</x:f>
      </x:c>
      <x:c r="Q256" t="str">
        <x:f>IF(COUNT(M256:N256)&lt;2,"",IF(AND(I256&gt;=M256,I256&lt;=N256,O256&lt;=J256),"PASS","FAIL"))</x:f>
      </x:c>
      <x:c r="R256" t="str"/>
      <x:c r="S256" t="str">
        <x:f>IF(R256=1,IF(Q256="PASS","PASS","FAIL"),"OPEN")</x:f>
        <x:v>OPEN</x:v>
      </x:c>
    </x:row>
    <x:row r="257">
      <x:c r="B257" t="str">
        <x:v>RAW-E251</x:v>
      </x:c>
      <x:c r="C257" t="str">
        <x:v>AM-03</x:v>
      </x:c>
      <x:c r="D257" t="str">
        <x:v>TR-B</x:v>
      </x:c>
      <x:c r="E257" t="str">
        <x:v>RFP-B1</x:v>
      </x:c>
      <x:c r="F257" t="str">
        <x:v>PTC-B</x:v>
      </x:c>
      <x:c r="G257" t="str">
        <x:v>QT-05</x:v>
      </x:c>
      <x:c r="H257" t="str">
        <x:v>RAW-V23</x:v>
      </x:c>
      <x:c r="I257" s="14" t="n">
        <x:f>'Reference Envelopes'!F29</x:f>
        <x:v>0.35</x:v>
      </x:c>
      <x:c r="J257" s="14" t="n">
        <x:f>'Reference Envelopes'!G29</x:f>
        <x:v>0.01</x:v>
      </x:c>
      <x:c r="K257" s="14" t="str">
        <x:f>IF(COUNT('Trial Register'!S257)=0,"",'Trial Register'!S257)</x:f>
      </x:c>
      <x:c r="L257" s="14" t="str">
        <x:f>IF(COUNT('Trial Register'!T257)=0,"",'Trial Register'!T257)</x:f>
      </x:c>
      <x:c r="M257" s="14" t="str">
        <x:f>IF(COUNT(K257:L257)&lt;2,"",K257-L257)</x:f>
      </x:c>
      <x:c r="N257" s="14" t="str">
        <x:f>IF(COUNT(K257:L257)&lt;2,"",K257+L257)</x:f>
      </x:c>
      <x:c r="O257" s="14" t="str">
        <x:f>IF(COUNT(K257)=0,"",ABS(K257-I257))</x:f>
      </x:c>
      <x:c r="P257" s="14" t="str">
        <x:f>IF(COUNT(O257)=0,"",IF(J257=0,IF(O257=0,0,999),O257/J257))</x:f>
      </x:c>
      <x:c r="Q257" t="str">
        <x:f>IF(COUNT(M257:N257)&lt;2,"",IF(AND(I257&gt;=M257,I257&lt;=N257,O257&lt;=J257),"PASS","FAIL"))</x:f>
      </x:c>
      <x:c r="R257" t="str"/>
      <x:c r="S257" t="str">
        <x:f>IF(R257=1,IF(Q257="PASS","PASS","FAIL"),"OPEN")</x:f>
        <x:v>OPEN</x:v>
      </x:c>
    </x:row>
    <x:row r="258">
      <x:c r="B258" t="str">
        <x:v>RAW-E252</x:v>
      </x:c>
      <x:c r="C258" t="str">
        <x:v>AM-03</x:v>
      </x:c>
      <x:c r="D258" t="str">
        <x:v>TR-B</x:v>
      </x:c>
      <x:c r="E258" t="str">
        <x:v>RFP-B1</x:v>
      </x:c>
      <x:c r="F258" t="str">
        <x:v>PTC-B</x:v>
      </x:c>
      <x:c r="G258" t="str">
        <x:v>QT-06</x:v>
      </x:c>
      <x:c r="H258" t="str">
        <x:v>RAW-V24</x:v>
      </x:c>
      <x:c r="I258" s="14" t="n">
        <x:f>'Reference Envelopes'!F30</x:f>
        <x:v>0.2</x:v>
      </x:c>
      <x:c r="J258" s="14" t="n">
        <x:f>'Reference Envelopes'!G30</x:f>
        <x:v>0.005</x:v>
      </x:c>
      <x:c r="K258" s="14" t="str">
        <x:f>IF(COUNT('Trial Register'!S258)=0,"",'Trial Register'!S258)</x:f>
      </x:c>
      <x:c r="L258" s="14" t="str">
        <x:f>IF(COUNT('Trial Register'!T258)=0,"",'Trial Register'!T258)</x:f>
      </x:c>
      <x:c r="M258" s="14" t="str">
        <x:f>IF(COUNT(K258:L258)&lt;2,"",K258-L258)</x:f>
      </x:c>
      <x:c r="N258" s="14" t="str">
        <x:f>IF(COUNT(K258:L258)&lt;2,"",K258+L258)</x:f>
      </x:c>
      <x:c r="O258" s="14" t="str">
        <x:f>IF(COUNT(K258)=0,"",ABS(K258-I258))</x:f>
      </x:c>
      <x:c r="P258" s="14" t="str">
        <x:f>IF(COUNT(O258)=0,"",IF(J258=0,IF(O258=0,0,999),O258/J258))</x:f>
      </x:c>
      <x:c r="Q258" t="str">
        <x:f>IF(COUNT(M258:N258)&lt;2,"",IF(AND(I258&gt;=M258,I258&lt;=N258,O258&lt;=J258),"PASS","FAIL"))</x:f>
      </x:c>
      <x:c r="R258" t="str"/>
      <x:c r="S258" t="str">
        <x:f>IF(R258=1,IF(Q258="PASS","PASS","FAIL"),"OPEN")</x:f>
        <x:v>OPEN</x:v>
      </x:c>
    </x:row>
    <x:row r="259">
      <x:c r="B259" t="str">
        <x:v>RAW-E253</x:v>
      </x:c>
      <x:c r="C259" t="str">
        <x:v>AM-03</x:v>
      </x:c>
      <x:c r="D259" t="str">
        <x:v>TR-A</x:v>
      </x:c>
      <x:c r="E259" t="str">
        <x:v>RFP-B2</x:v>
      </x:c>
      <x:c r="F259" t="str">
        <x:v>PTC-B</x:v>
      </x:c>
      <x:c r="G259" t="str">
        <x:v>QT-01</x:v>
      </x:c>
      <x:c r="H259" t="str">
        <x:v>RAW-V19</x:v>
      </x:c>
      <x:c r="I259" s="14" t="n">
        <x:f>'Reference Envelopes'!F25</x:f>
        <x:v>0</x:v>
      </x:c>
      <x:c r="J259" s="14" t="n">
        <x:f>'Reference Envelopes'!G25</x:f>
        <x:v>0.005</x:v>
      </x:c>
      <x:c r="K259" s="14" t="str">
        <x:f>IF(COUNT('Trial Register'!S259)=0,"",'Trial Register'!S259)</x:f>
      </x:c>
      <x:c r="L259" s="14" t="str">
        <x:f>IF(COUNT('Trial Register'!T259)=0,"",'Trial Register'!T259)</x:f>
      </x:c>
      <x:c r="M259" s="14" t="str">
        <x:f>IF(COUNT(K259:L259)&lt;2,"",K259-L259)</x:f>
      </x:c>
      <x:c r="N259" s="14" t="str">
        <x:f>IF(COUNT(K259:L259)&lt;2,"",K259+L259)</x:f>
      </x:c>
      <x:c r="O259" s="14" t="str">
        <x:f>IF(COUNT(K259)=0,"",ABS(K259-I259))</x:f>
      </x:c>
      <x:c r="P259" s="14" t="str">
        <x:f>IF(COUNT(O259)=0,"",IF(J259=0,IF(O259=0,0,999),O259/J259))</x:f>
      </x:c>
      <x:c r="Q259" t="str">
        <x:f>IF(COUNT(M259:N259)&lt;2,"",IF(AND(I259&gt;=M259,I259&lt;=N259,O259&lt;=J259),"PASS","FAIL"))</x:f>
      </x:c>
      <x:c r="R259" t="str"/>
      <x:c r="S259" t="str">
        <x:f>IF(R259=1,IF(Q259="PASS","PASS","FAIL"),"OPEN")</x:f>
        <x:v>OPEN</x:v>
      </x:c>
    </x:row>
    <x:row r="260">
      <x:c r="B260" t="str">
        <x:v>RAW-E254</x:v>
      </x:c>
      <x:c r="C260" t="str">
        <x:v>AM-03</x:v>
      </x:c>
      <x:c r="D260" t="str">
        <x:v>TR-A</x:v>
      </x:c>
      <x:c r="E260" t="str">
        <x:v>RFP-B2</x:v>
      </x:c>
      <x:c r="F260" t="str">
        <x:v>PTC-B</x:v>
      </x:c>
      <x:c r="G260" t="str">
        <x:v>QT-02</x:v>
      </x:c>
      <x:c r="H260" t="str">
        <x:v>RAW-V20</x:v>
      </x:c>
      <x:c r="I260" s="14" t="n">
        <x:f>'Reference Envelopes'!F26</x:f>
        <x:v>0.1</x:v>
      </x:c>
      <x:c r="J260" s="14" t="n">
        <x:f>'Reference Envelopes'!G26</x:f>
        <x:v>0.005</x:v>
      </x:c>
      <x:c r="K260" s="14" t="str">
        <x:f>IF(COUNT('Trial Register'!S260)=0,"",'Trial Register'!S260)</x:f>
      </x:c>
      <x:c r="L260" s="14" t="str">
        <x:f>IF(COUNT('Trial Register'!T260)=0,"",'Trial Register'!T260)</x:f>
      </x:c>
      <x:c r="M260" s="14" t="str">
        <x:f>IF(COUNT(K260:L260)&lt;2,"",K260-L260)</x:f>
      </x:c>
      <x:c r="N260" s="14" t="str">
        <x:f>IF(COUNT(K260:L260)&lt;2,"",K260+L260)</x:f>
      </x:c>
      <x:c r="O260" s="14" t="str">
        <x:f>IF(COUNT(K260)=0,"",ABS(K260-I260))</x:f>
      </x:c>
      <x:c r="P260" s="14" t="str">
        <x:f>IF(COUNT(O260)=0,"",IF(J260=0,IF(O260=0,0,999),O260/J260))</x:f>
      </x:c>
      <x:c r="Q260" t="str">
        <x:f>IF(COUNT(M260:N260)&lt;2,"",IF(AND(I260&gt;=M260,I260&lt;=N260,O260&lt;=J260),"PASS","FAIL"))</x:f>
      </x:c>
      <x:c r="R260" t="str"/>
      <x:c r="S260" t="str">
        <x:f>IF(R260=1,IF(Q260="PASS","PASS","FAIL"),"OPEN")</x:f>
        <x:v>OPEN</x:v>
      </x:c>
    </x:row>
    <x:row r="261">
      <x:c r="B261" t="str">
        <x:v>RAW-E255</x:v>
      </x:c>
      <x:c r="C261" t="str">
        <x:v>AM-03</x:v>
      </x:c>
      <x:c r="D261" t="str">
        <x:v>TR-A</x:v>
      </x:c>
      <x:c r="E261" t="str">
        <x:v>RFP-B2</x:v>
      </x:c>
      <x:c r="F261" t="str">
        <x:v>PTC-B</x:v>
      </x:c>
      <x:c r="G261" t="str">
        <x:v>QT-03</x:v>
      </x:c>
      <x:c r="H261" t="str">
        <x:v>RAW-V21</x:v>
      </x:c>
      <x:c r="I261" s="14" t="n">
        <x:f>'Reference Envelopes'!F27</x:f>
        <x:v>0.5</x:v>
      </x:c>
      <x:c r="J261" s="14" t="n">
        <x:f>'Reference Envelopes'!G27</x:f>
        <x:v>0.01</x:v>
      </x:c>
      <x:c r="K261" s="14" t="str">
        <x:f>IF(COUNT('Trial Register'!S261)=0,"",'Trial Register'!S261)</x:f>
      </x:c>
      <x:c r="L261" s="14" t="str">
        <x:f>IF(COUNT('Trial Register'!T261)=0,"",'Trial Register'!T261)</x:f>
      </x:c>
      <x:c r="M261" s="14" t="str">
        <x:f>IF(COUNT(K261:L261)&lt;2,"",K261-L261)</x:f>
      </x:c>
      <x:c r="N261" s="14" t="str">
        <x:f>IF(COUNT(K261:L261)&lt;2,"",K261+L261)</x:f>
      </x:c>
      <x:c r="O261" s="14" t="str">
        <x:f>IF(COUNT(K261)=0,"",ABS(K261-I261))</x:f>
      </x:c>
      <x:c r="P261" s="14" t="str">
        <x:f>IF(COUNT(O261)=0,"",IF(J261=0,IF(O261=0,0,999),O261/J261))</x:f>
      </x:c>
      <x:c r="Q261" t="str">
        <x:f>IF(COUNT(M261:N261)&lt;2,"",IF(AND(I261&gt;=M261,I261&lt;=N261,O261&lt;=J261),"PASS","FAIL"))</x:f>
      </x:c>
      <x:c r="R261" t="str"/>
      <x:c r="S261" t="str">
        <x:f>IF(R261=1,IF(Q261="PASS","PASS","FAIL"),"OPEN")</x:f>
        <x:v>OPEN</x:v>
      </x:c>
    </x:row>
    <x:row r="262">
      <x:c r="B262" t="str">
        <x:v>RAW-E256</x:v>
      </x:c>
      <x:c r="C262" t="str">
        <x:v>AM-03</x:v>
      </x:c>
      <x:c r="D262" t="str">
        <x:v>TR-A</x:v>
      </x:c>
      <x:c r="E262" t="str">
        <x:v>RFP-B2</x:v>
      </x:c>
      <x:c r="F262" t="str">
        <x:v>PTC-B</x:v>
      </x:c>
      <x:c r="G262" t="str">
        <x:v>QT-04</x:v>
      </x:c>
      <x:c r="H262" t="str">
        <x:v>RAW-V22</x:v>
      </x:c>
      <x:c r="I262" s="14" t="n">
        <x:f>'Reference Envelopes'!F28</x:f>
        <x:v>0.25</x:v>
      </x:c>
      <x:c r="J262" s="14" t="n">
        <x:f>'Reference Envelopes'!G28</x:f>
        <x:v>0.005</x:v>
      </x:c>
      <x:c r="K262" s="14" t="str">
        <x:f>IF(COUNT('Trial Register'!S262)=0,"",'Trial Register'!S262)</x:f>
      </x:c>
      <x:c r="L262" s="14" t="str">
        <x:f>IF(COUNT('Trial Register'!T262)=0,"",'Trial Register'!T262)</x:f>
      </x:c>
      <x:c r="M262" s="14" t="str">
        <x:f>IF(COUNT(K262:L262)&lt;2,"",K262-L262)</x:f>
      </x:c>
      <x:c r="N262" s="14" t="str">
        <x:f>IF(COUNT(K262:L262)&lt;2,"",K262+L262)</x:f>
      </x:c>
      <x:c r="O262" s="14" t="str">
        <x:f>IF(COUNT(K262)=0,"",ABS(K262-I262))</x:f>
      </x:c>
      <x:c r="P262" s="14" t="str">
        <x:f>IF(COUNT(O262)=0,"",IF(J262=0,IF(O262=0,0,999),O262/J262))</x:f>
      </x:c>
      <x:c r="Q262" t="str">
        <x:f>IF(COUNT(M262:N262)&lt;2,"",IF(AND(I262&gt;=M262,I262&lt;=N262,O262&lt;=J262),"PASS","FAIL"))</x:f>
      </x:c>
      <x:c r="R262" t="str"/>
      <x:c r="S262" t="str">
        <x:f>IF(R262=1,IF(Q262="PASS","PASS","FAIL"),"OPEN")</x:f>
        <x:v>OPEN</x:v>
      </x:c>
    </x:row>
    <x:row r="263">
      <x:c r="B263" t="str">
        <x:v>RAW-E257</x:v>
      </x:c>
      <x:c r="C263" t="str">
        <x:v>AM-03</x:v>
      </x:c>
      <x:c r="D263" t="str">
        <x:v>TR-A</x:v>
      </x:c>
      <x:c r="E263" t="str">
        <x:v>RFP-B2</x:v>
      </x:c>
      <x:c r="F263" t="str">
        <x:v>PTC-B</x:v>
      </x:c>
      <x:c r="G263" t="str">
        <x:v>QT-05</x:v>
      </x:c>
      <x:c r="H263" t="str">
        <x:v>RAW-V23</x:v>
      </x:c>
      <x:c r="I263" s="14" t="n">
        <x:f>'Reference Envelopes'!F29</x:f>
        <x:v>0.35</x:v>
      </x:c>
      <x:c r="J263" s="14" t="n">
        <x:f>'Reference Envelopes'!G29</x:f>
        <x:v>0.01</x:v>
      </x:c>
      <x:c r="K263" s="14" t="str">
        <x:f>IF(COUNT('Trial Register'!S263)=0,"",'Trial Register'!S263)</x:f>
      </x:c>
      <x:c r="L263" s="14" t="str">
        <x:f>IF(COUNT('Trial Register'!T263)=0,"",'Trial Register'!T263)</x:f>
      </x:c>
      <x:c r="M263" s="14" t="str">
        <x:f>IF(COUNT(K263:L263)&lt;2,"",K263-L263)</x:f>
      </x:c>
      <x:c r="N263" s="14" t="str">
        <x:f>IF(COUNT(K263:L263)&lt;2,"",K263+L263)</x:f>
      </x:c>
      <x:c r="O263" s="14" t="str">
        <x:f>IF(COUNT(K263)=0,"",ABS(K263-I263))</x:f>
      </x:c>
      <x:c r="P263" s="14" t="str">
        <x:f>IF(COUNT(O263)=0,"",IF(J263=0,IF(O263=0,0,999),O263/J263))</x:f>
      </x:c>
      <x:c r="Q263" t="str">
        <x:f>IF(COUNT(M263:N263)&lt;2,"",IF(AND(I263&gt;=M263,I263&lt;=N263,O263&lt;=J263),"PASS","FAIL"))</x:f>
      </x:c>
      <x:c r="R263" t="str"/>
      <x:c r="S263" t="str">
        <x:f>IF(R263=1,IF(Q263="PASS","PASS","FAIL"),"OPEN")</x:f>
        <x:v>OPEN</x:v>
      </x:c>
    </x:row>
    <x:row r="264">
      <x:c r="B264" t="str">
        <x:v>RAW-E258</x:v>
      </x:c>
      <x:c r="C264" t="str">
        <x:v>AM-03</x:v>
      </x:c>
      <x:c r="D264" t="str">
        <x:v>TR-A</x:v>
      </x:c>
      <x:c r="E264" t="str">
        <x:v>RFP-B2</x:v>
      </x:c>
      <x:c r="F264" t="str">
        <x:v>PTC-B</x:v>
      </x:c>
      <x:c r="G264" t="str">
        <x:v>QT-06</x:v>
      </x:c>
      <x:c r="H264" t="str">
        <x:v>RAW-V24</x:v>
      </x:c>
      <x:c r="I264" s="14" t="n">
        <x:f>'Reference Envelopes'!F30</x:f>
        <x:v>0.2</x:v>
      </x:c>
      <x:c r="J264" s="14" t="n">
        <x:f>'Reference Envelopes'!G30</x:f>
        <x:v>0.005</x:v>
      </x:c>
      <x:c r="K264" s="14" t="str">
        <x:f>IF(COUNT('Trial Register'!S264)=0,"",'Trial Register'!S264)</x:f>
      </x:c>
      <x:c r="L264" s="14" t="str">
        <x:f>IF(COUNT('Trial Register'!T264)=0,"",'Trial Register'!T264)</x:f>
      </x:c>
      <x:c r="M264" s="14" t="str">
        <x:f>IF(COUNT(K264:L264)&lt;2,"",K264-L264)</x:f>
      </x:c>
      <x:c r="N264" s="14" t="str">
        <x:f>IF(COUNT(K264:L264)&lt;2,"",K264+L264)</x:f>
      </x:c>
      <x:c r="O264" s="14" t="str">
        <x:f>IF(COUNT(K264)=0,"",ABS(K264-I264))</x:f>
      </x:c>
      <x:c r="P264" s="14" t="str">
        <x:f>IF(COUNT(O264)=0,"",IF(J264=0,IF(O264=0,0,999),O264/J264))</x:f>
      </x:c>
      <x:c r="Q264" t="str">
        <x:f>IF(COUNT(M264:N264)&lt;2,"",IF(AND(I264&gt;=M264,I264&lt;=N264,O264&lt;=J264),"PASS","FAIL"))</x:f>
      </x:c>
      <x:c r="R264" t="str"/>
      <x:c r="S264" t="str">
        <x:f>IF(R264=1,IF(Q264="PASS","PASS","FAIL"),"OPEN")</x:f>
        <x:v>OPEN</x:v>
      </x:c>
    </x:row>
    <x:row r="265">
      <x:c r="B265" t="str">
        <x:v>RAW-E259</x:v>
      </x:c>
      <x:c r="C265" t="str">
        <x:v>AM-03</x:v>
      </x:c>
      <x:c r="D265" t="str">
        <x:v>TR-B</x:v>
      </x:c>
      <x:c r="E265" t="str">
        <x:v>RFP-B2</x:v>
      </x:c>
      <x:c r="F265" t="str">
        <x:v>PTC-B</x:v>
      </x:c>
      <x:c r="G265" t="str">
        <x:v>QT-01</x:v>
      </x:c>
      <x:c r="H265" t="str">
        <x:v>RAW-V19</x:v>
      </x:c>
      <x:c r="I265" s="14" t="n">
        <x:f>'Reference Envelopes'!F25</x:f>
        <x:v>0</x:v>
      </x:c>
      <x:c r="J265" s="14" t="n">
        <x:f>'Reference Envelopes'!G25</x:f>
        <x:v>0.005</x:v>
      </x:c>
      <x:c r="K265" s="14" t="str">
        <x:f>IF(COUNT('Trial Register'!S265)=0,"",'Trial Register'!S265)</x:f>
      </x:c>
      <x:c r="L265" s="14" t="str">
        <x:f>IF(COUNT('Trial Register'!T265)=0,"",'Trial Register'!T265)</x:f>
      </x:c>
      <x:c r="M265" s="14" t="str">
        <x:f>IF(COUNT(K265:L265)&lt;2,"",K265-L265)</x:f>
      </x:c>
      <x:c r="N265" s="14" t="str">
        <x:f>IF(COUNT(K265:L265)&lt;2,"",K265+L265)</x:f>
      </x:c>
      <x:c r="O265" s="14" t="str">
        <x:f>IF(COUNT(K265)=0,"",ABS(K265-I265))</x:f>
      </x:c>
      <x:c r="P265" s="14" t="str">
        <x:f>IF(COUNT(O265)=0,"",IF(J265=0,IF(O265=0,0,999),O265/J265))</x:f>
      </x:c>
      <x:c r="Q265" t="str">
        <x:f>IF(COUNT(M265:N265)&lt;2,"",IF(AND(I265&gt;=M265,I265&lt;=N265,O265&lt;=J265),"PASS","FAIL"))</x:f>
      </x:c>
      <x:c r="R265" t="str"/>
      <x:c r="S265" t="str">
        <x:f>IF(R265=1,IF(Q265="PASS","PASS","FAIL"),"OPEN")</x:f>
        <x:v>OPEN</x:v>
      </x:c>
    </x:row>
    <x:row r="266">
      <x:c r="B266" t="str">
        <x:v>RAW-E260</x:v>
      </x:c>
      <x:c r="C266" t="str">
        <x:v>AM-03</x:v>
      </x:c>
      <x:c r="D266" t="str">
        <x:v>TR-B</x:v>
      </x:c>
      <x:c r="E266" t="str">
        <x:v>RFP-B2</x:v>
      </x:c>
      <x:c r="F266" t="str">
        <x:v>PTC-B</x:v>
      </x:c>
      <x:c r="G266" t="str">
        <x:v>QT-02</x:v>
      </x:c>
      <x:c r="H266" t="str">
        <x:v>RAW-V20</x:v>
      </x:c>
      <x:c r="I266" s="14" t="n">
        <x:f>'Reference Envelopes'!F26</x:f>
        <x:v>0.1</x:v>
      </x:c>
      <x:c r="J266" s="14" t="n">
        <x:f>'Reference Envelopes'!G26</x:f>
        <x:v>0.005</x:v>
      </x:c>
      <x:c r="K266" s="14" t="str">
        <x:f>IF(COUNT('Trial Register'!S266)=0,"",'Trial Register'!S266)</x:f>
      </x:c>
      <x:c r="L266" s="14" t="str">
        <x:f>IF(COUNT('Trial Register'!T266)=0,"",'Trial Register'!T266)</x:f>
      </x:c>
      <x:c r="M266" s="14" t="str">
        <x:f>IF(COUNT(K266:L266)&lt;2,"",K266-L266)</x:f>
      </x:c>
      <x:c r="N266" s="14" t="str">
        <x:f>IF(COUNT(K266:L266)&lt;2,"",K266+L266)</x:f>
      </x:c>
      <x:c r="O266" s="14" t="str">
        <x:f>IF(COUNT(K266)=0,"",ABS(K266-I266))</x:f>
      </x:c>
      <x:c r="P266" s="14" t="str">
        <x:f>IF(COUNT(O266)=0,"",IF(J266=0,IF(O266=0,0,999),O266/J266))</x:f>
      </x:c>
      <x:c r="Q266" t="str">
        <x:f>IF(COUNT(M266:N266)&lt;2,"",IF(AND(I266&gt;=M266,I266&lt;=N266,O266&lt;=J266),"PASS","FAIL"))</x:f>
      </x:c>
      <x:c r="R266" t="str"/>
      <x:c r="S266" t="str">
        <x:f>IF(R266=1,IF(Q266="PASS","PASS","FAIL"),"OPEN")</x:f>
        <x:v>OPEN</x:v>
      </x:c>
    </x:row>
    <x:row r="267">
      <x:c r="B267" t="str">
        <x:v>RAW-E261</x:v>
      </x:c>
      <x:c r="C267" t="str">
        <x:v>AM-03</x:v>
      </x:c>
      <x:c r="D267" t="str">
        <x:v>TR-B</x:v>
      </x:c>
      <x:c r="E267" t="str">
        <x:v>RFP-B2</x:v>
      </x:c>
      <x:c r="F267" t="str">
        <x:v>PTC-B</x:v>
      </x:c>
      <x:c r="G267" t="str">
        <x:v>QT-03</x:v>
      </x:c>
      <x:c r="H267" t="str">
        <x:v>RAW-V21</x:v>
      </x:c>
      <x:c r="I267" s="14" t="n">
        <x:f>'Reference Envelopes'!F27</x:f>
        <x:v>0.5</x:v>
      </x:c>
      <x:c r="J267" s="14" t="n">
        <x:f>'Reference Envelopes'!G27</x:f>
        <x:v>0.01</x:v>
      </x:c>
      <x:c r="K267" s="14" t="str">
        <x:f>IF(COUNT('Trial Register'!S267)=0,"",'Trial Register'!S267)</x:f>
      </x:c>
      <x:c r="L267" s="14" t="str">
        <x:f>IF(COUNT('Trial Register'!T267)=0,"",'Trial Register'!T267)</x:f>
      </x:c>
      <x:c r="M267" s="14" t="str">
        <x:f>IF(COUNT(K267:L267)&lt;2,"",K267-L267)</x:f>
      </x:c>
      <x:c r="N267" s="14" t="str">
        <x:f>IF(COUNT(K267:L267)&lt;2,"",K267+L267)</x:f>
      </x:c>
      <x:c r="O267" s="14" t="str">
        <x:f>IF(COUNT(K267)=0,"",ABS(K267-I267))</x:f>
      </x:c>
      <x:c r="P267" s="14" t="str">
        <x:f>IF(COUNT(O267)=0,"",IF(J267=0,IF(O267=0,0,999),O267/J267))</x:f>
      </x:c>
      <x:c r="Q267" t="str">
        <x:f>IF(COUNT(M267:N267)&lt;2,"",IF(AND(I267&gt;=M267,I267&lt;=N267,O267&lt;=J267),"PASS","FAIL"))</x:f>
      </x:c>
      <x:c r="R267" t="str"/>
      <x:c r="S267" t="str">
        <x:f>IF(R267=1,IF(Q267="PASS","PASS","FAIL"),"OPEN")</x:f>
        <x:v>OPEN</x:v>
      </x:c>
    </x:row>
    <x:row r="268">
      <x:c r="B268" t="str">
        <x:v>RAW-E262</x:v>
      </x:c>
      <x:c r="C268" t="str">
        <x:v>AM-03</x:v>
      </x:c>
      <x:c r="D268" t="str">
        <x:v>TR-B</x:v>
      </x:c>
      <x:c r="E268" t="str">
        <x:v>RFP-B2</x:v>
      </x:c>
      <x:c r="F268" t="str">
        <x:v>PTC-B</x:v>
      </x:c>
      <x:c r="G268" t="str">
        <x:v>QT-04</x:v>
      </x:c>
      <x:c r="H268" t="str">
        <x:v>RAW-V22</x:v>
      </x:c>
      <x:c r="I268" s="14" t="n">
        <x:f>'Reference Envelopes'!F28</x:f>
        <x:v>0.25</x:v>
      </x:c>
      <x:c r="J268" s="14" t="n">
        <x:f>'Reference Envelopes'!G28</x:f>
        <x:v>0.005</x:v>
      </x:c>
      <x:c r="K268" s="14" t="str">
        <x:f>IF(COUNT('Trial Register'!S268)=0,"",'Trial Register'!S268)</x:f>
      </x:c>
      <x:c r="L268" s="14" t="str">
        <x:f>IF(COUNT('Trial Register'!T268)=0,"",'Trial Register'!T268)</x:f>
      </x:c>
      <x:c r="M268" s="14" t="str">
        <x:f>IF(COUNT(K268:L268)&lt;2,"",K268-L268)</x:f>
      </x:c>
      <x:c r="N268" s="14" t="str">
        <x:f>IF(COUNT(K268:L268)&lt;2,"",K268+L268)</x:f>
      </x:c>
      <x:c r="O268" s="14" t="str">
        <x:f>IF(COUNT(K268)=0,"",ABS(K268-I268))</x:f>
      </x:c>
      <x:c r="P268" s="14" t="str">
        <x:f>IF(COUNT(O268)=0,"",IF(J268=0,IF(O268=0,0,999),O268/J268))</x:f>
      </x:c>
      <x:c r="Q268" t="str">
        <x:f>IF(COUNT(M268:N268)&lt;2,"",IF(AND(I268&gt;=M268,I268&lt;=N268,O268&lt;=J268),"PASS","FAIL"))</x:f>
      </x:c>
      <x:c r="R268" t="str"/>
      <x:c r="S268" t="str">
        <x:f>IF(R268=1,IF(Q268="PASS","PASS","FAIL"),"OPEN")</x:f>
        <x:v>OPEN</x:v>
      </x:c>
    </x:row>
    <x:row r="269">
      <x:c r="B269" t="str">
        <x:v>RAW-E263</x:v>
      </x:c>
      <x:c r="C269" t="str">
        <x:v>AM-03</x:v>
      </x:c>
      <x:c r="D269" t="str">
        <x:v>TR-B</x:v>
      </x:c>
      <x:c r="E269" t="str">
        <x:v>RFP-B2</x:v>
      </x:c>
      <x:c r="F269" t="str">
        <x:v>PTC-B</x:v>
      </x:c>
      <x:c r="G269" t="str">
        <x:v>QT-05</x:v>
      </x:c>
      <x:c r="H269" t="str">
        <x:v>RAW-V23</x:v>
      </x:c>
      <x:c r="I269" s="14" t="n">
        <x:f>'Reference Envelopes'!F29</x:f>
        <x:v>0.35</x:v>
      </x:c>
      <x:c r="J269" s="14" t="n">
        <x:f>'Reference Envelopes'!G29</x:f>
        <x:v>0.01</x:v>
      </x:c>
      <x:c r="K269" s="14" t="str">
        <x:f>IF(COUNT('Trial Register'!S269)=0,"",'Trial Register'!S269)</x:f>
      </x:c>
      <x:c r="L269" s="14" t="str">
        <x:f>IF(COUNT('Trial Register'!T269)=0,"",'Trial Register'!T269)</x:f>
      </x:c>
      <x:c r="M269" s="14" t="str">
        <x:f>IF(COUNT(K269:L269)&lt;2,"",K269-L269)</x:f>
      </x:c>
      <x:c r="N269" s="14" t="str">
        <x:f>IF(COUNT(K269:L269)&lt;2,"",K269+L269)</x:f>
      </x:c>
      <x:c r="O269" s="14" t="str">
        <x:f>IF(COUNT(K269)=0,"",ABS(K269-I269))</x:f>
      </x:c>
      <x:c r="P269" s="14" t="str">
        <x:f>IF(COUNT(O269)=0,"",IF(J269=0,IF(O269=0,0,999),O269/J269))</x:f>
      </x:c>
      <x:c r="Q269" t="str">
        <x:f>IF(COUNT(M269:N269)&lt;2,"",IF(AND(I269&gt;=M269,I269&lt;=N269,O269&lt;=J269),"PASS","FAIL"))</x:f>
      </x:c>
      <x:c r="R269" t="str"/>
      <x:c r="S269" t="str">
        <x:f>IF(R269=1,IF(Q269="PASS","PASS","FAIL"),"OPEN")</x:f>
        <x:v>OPEN</x:v>
      </x:c>
    </x:row>
    <x:row r="270">
      <x:c r="B270" t="str">
        <x:v>RAW-E264</x:v>
      </x:c>
      <x:c r="C270" t="str">
        <x:v>AM-03</x:v>
      </x:c>
      <x:c r="D270" t="str">
        <x:v>TR-B</x:v>
      </x:c>
      <x:c r="E270" t="str">
        <x:v>RFP-B2</x:v>
      </x:c>
      <x:c r="F270" t="str">
        <x:v>PTC-B</x:v>
      </x:c>
      <x:c r="G270" t="str">
        <x:v>QT-06</x:v>
      </x:c>
      <x:c r="H270" t="str">
        <x:v>RAW-V24</x:v>
      </x:c>
      <x:c r="I270" s="14" t="n">
        <x:f>'Reference Envelopes'!F30</x:f>
        <x:v>0.2</x:v>
      </x:c>
      <x:c r="J270" s="14" t="n">
        <x:f>'Reference Envelopes'!G30</x:f>
        <x:v>0.005</x:v>
      </x:c>
      <x:c r="K270" s="14" t="str">
        <x:f>IF(COUNT('Trial Register'!S270)=0,"",'Trial Register'!S270)</x:f>
      </x:c>
      <x:c r="L270" s="14" t="str">
        <x:f>IF(COUNT('Trial Register'!T270)=0,"",'Trial Register'!T270)</x:f>
      </x:c>
      <x:c r="M270" s="14" t="str">
        <x:f>IF(COUNT(K270:L270)&lt;2,"",K270-L270)</x:f>
      </x:c>
      <x:c r="N270" s="14" t="str">
        <x:f>IF(COUNT(K270:L270)&lt;2,"",K270+L270)</x:f>
      </x:c>
      <x:c r="O270" s="14" t="str">
        <x:f>IF(COUNT(K270)=0,"",ABS(K270-I270))</x:f>
      </x:c>
      <x:c r="P270" s="14" t="str">
        <x:f>IF(COUNT(O270)=0,"",IF(J270=0,IF(O270=0,0,999),O270/J270))</x:f>
      </x:c>
      <x:c r="Q270" t="str">
        <x:f>IF(COUNT(M270:N270)&lt;2,"",IF(AND(I270&gt;=M270,I270&lt;=N270,O270&lt;=J270),"PASS","FAIL"))</x:f>
      </x:c>
      <x:c r="R270" t="str"/>
      <x:c r="S270" t="str">
        <x:f>IF(R270=1,IF(Q270="PASS","PASS","FAIL"),"OPEN")</x:f>
        <x:v>OPEN</x:v>
      </x:c>
    </x:row>
    <x:row r="271">
      <x:c r="B271" t="str">
        <x:v>RAW-E265</x:v>
      </x:c>
      <x:c r="C271" t="str">
        <x:v>AM-03</x:v>
      </x:c>
      <x:c r="D271" t="str">
        <x:v>TR-A</x:v>
      </x:c>
      <x:c r="E271" t="str">
        <x:v>RFP-C1</x:v>
      </x:c>
      <x:c r="F271" t="str">
        <x:v>PTC-C</x:v>
      </x:c>
      <x:c r="G271" t="str">
        <x:v>QT-01</x:v>
      </x:c>
      <x:c r="H271" t="str">
        <x:v>RAW-V19</x:v>
      </x:c>
      <x:c r="I271" s="14" t="n">
        <x:f>'Reference Envelopes'!F25</x:f>
        <x:v>0</x:v>
      </x:c>
      <x:c r="J271" s="14" t="n">
        <x:f>'Reference Envelopes'!G25</x:f>
        <x:v>0.005</x:v>
      </x:c>
      <x:c r="K271" s="14" t="str">
        <x:f>IF(COUNT('Trial Register'!S271)=0,"",'Trial Register'!S271)</x:f>
      </x:c>
      <x:c r="L271" s="14" t="str">
        <x:f>IF(COUNT('Trial Register'!T271)=0,"",'Trial Register'!T271)</x:f>
      </x:c>
      <x:c r="M271" s="14" t="str">
        <x:f>IF(COUNT(K271:L271)&lt;2,"",K271-L271)</x:f>
      </x:c>
      <x:c r="N271" s="14" t="str">
        <x:f>IF(COUNT(K271:L271)&lt;2,"",K271+L271)</x:f>
      </x:c>
      <x:c r="O271" s="14" t="str">
        <x:f>IF(COUNT(K271)=0,"",ABS(K271-I271))</x:f>
      </x:c>
      <x:c r="P271" s="14" t="str">
        <x:f>IF(COUNT(O271)=0,"",IF(J271=0,IF(O271=0,0,999),O271/J271))</x:f>
      </x:c>
      <x:c r="Q271" t="str">
        <x:f>IF(COUNT(M271:N271)&lt;2,"",IF(AND(I271&gt;=M271,I271&lt;=N271,O271&lt;=J271),"PASS","FAIL"))</x:f>
      </x:c>
      <x:c r="R271" t="str"/>
      <x:c r="S271" t="str">
        <x:f>IF(R271=1,IF(Q271="PASS","PASS","FAIL"),"OPEN")</x:f>
        <x:v>OPEN</x:v>
      </x:c>
    </x:row>
    <x:row r="272">
      <x:c r="B272" t="str">
        <x:v>RAW-E266</x:v>
      </x:c>
      <x:c r="C272" t="str">
        <x:v>AM-03</x:v>
      </x:c>
      <x:c r="D272" t="str">
        <x:v>TR-A</x:v>
      </x:c>
      <x:c r="E272" t="str">
        <x:v>RFP-C1</x:v>
      </x:c>
      <x:c r="F272" t="str">
        <x:v>PTC-C</x:v>
      </x:c>
      <x:c r="G272" t="str">
        <x:v>QT-02</x:v>
      </x:c>
      <x:c r="H272" t="str">
        <x:v>RAW-V20</x:v>
      </x:c>
      <x:c r="I272" s="14" t="n">
        <x:f>'Reference Envelopes'!F26</x:f>
        <x:v>0.1</x:v>
      </x:c>
      <x:c r="J272" s="14" t="n">
        <x:f>'Reference Envelopes'!G26</x:f>
        <x:v>0.005</x:v>
      </x:c>
      <x:c r="K272" s="14" t="str">
        <x:f>IF(COUNT('Trial Register'!S272)=0,"",'Trial Register'!S272)</x:f>
      </x:c>
      <x:c r="L272" s="14" t="str">
        <x:f>IF(COUNT('Trial Register'!T272)=0,"",'Trial Register'!T272)</x:f>
      </x:c>
      <x:c r="M272" s="14" t="str">
        <x:f>IF(COUNT(K272:L272)&lt;2,"",K272-L272)</x:f>
      </x:c>
      <x:c r="N272" s="14" t="str">
        <x:f>IF(COUNT(K272:L272)&lt;2,"",K272+L272)</x:f>
      </x:c>
      <x:c r="O272" s="14" t="str">
        <x:f>IF(COUNT(K272)=0,"",ABS(K272-I272))</x:f>
      </x:c>
      <x:c r="P272" s="14" t="str">
        <x:f>IF(COUNT(O272)=0,"",IF(J272=0,IF(O272=0,0,999),O272/J272))</x:f>
      </x:c>
      <x:c r="Q272" t="str">
        <x:f>IF(COUNT(M272:N272)&lt;2,"",IF(AND(I272&gt;=M272,I272&lt;=N272,O272&lt;=J272),"PASS","FAIL"))</x:f>
      </x:c>
      <x:c r="R272" t="str"/>
      <x:c r="S272" t="str">
        <x:f>IF(R272=1,IF(Q272="PASS","PASS","FAIL"),"OPEN")</x:f>
        <x:v>OPEN</x:v>
      </x:c>
    </x:row>
    <x:row r="273">
      <x:c r="B273" t="str">
        <x:v>RAW-E267</x:v>
      </x:c>
      <x:c r="C273" t="str">
        <x:v>AM-03</x:v>
      </x:c>
      <x:c r="D273" t="str">
        <x:v>TR-A</x:v>
      </x:c>
      <x:c r="E273" t="str">
        <x:v>RFP-C1</x:v>
      </x:c>
      <x:c r="F273" t="str">
        <x:v>PTC-C</x:v>
      </x:c>
      <x:c r="G273" t="str">
        <x:v>QT-03</x:v>
      </x:c>
      <x:c r="H273" t="str">
        <x:v>RAW-V21</x:v>
      </x:c>
      <x:c r="I273" s="14" t="n">
        <x:f>'Reference Envelopes'!F27</x:f>
        <x:v>0.5</x:v>
      </x:c>
      <x:c r="J273" s="14" t="n">
        <x:f>'Reference Envelopes'!G27</x:f>
        <x:v>0.01</x:v>
      </x:c>
      <x:c r="K273" s="14" t="str">
        <x:f>IF(COUNT('Trial Register'!S273)=0,"",'Trial Register'!S273)</x:f>
      </x:c>
      <x:c r="L273" s="14" t="str">
        <x:f>IF(COUNT('Trial Register'!T273)=0,"",'Trial Register'!T273)</x:f>
      </x:c>
      <x:c r="M273" s="14" t="str">
        <x:f>IF(COUNT(K273:L273)&lt;2,"",K273-L273)</x:f>
      </x:c>
      <x:c r="N273" s="14" t="str">
        <x:f>IF(COUNT(K273:L273)&lt;2,"",K273+L273)</x:f>
      </x:c>
      <x:c r="O273" s="14" t="str">
        <x:f>IF(COUNT(K273)=0,"",ABS(K273-I273))</x:f>
      </x:c>
      <x:c r="P273" s="14" t="str">
        <x:f>IF(COUNT(O273)=0,"",IF(J273=0,IF(O273=0,0,999),O273/J273))</x:f>
      </x:c>
      <x:c r="Q273" t="str">
        <x:f>IF(COUNT(M273:N273)&lt;2,"",IF(AND(I273&gt;=M273,I273&lt;=N273,O273&lt;=J273),"PASS","FAIL"))</x:f>
      </x:c>
      <x:c r="R273" t="str"/>
      <x:c r="S273" t="str">
        <x:f>IF(R273=1,IF(Q273="PASS","PASS","FAIL"),"OPEN")</x:f>
        <x:v>OPEN</x:v>
      </x:c>
    </x:row>
    <x:row r="274">
      <x:c r="B274" t="str">
        <x:v>RAW-E268</x:v>
      </x:c>
      <x:c r="C274" t="str">
        <x:v>AM-03</x:v>
      </x:c>
      <x:c r="D274" t="str">
        <x:v>TR-A</x:v>
      </x:c>
      <x:c r="E274" t="str">
        <x:v>RFP-C1</x:v>
      </x:c>
      <x:c r="F274" t="str">
        <x:v>PTC-C</x:v>
      </x:c>
      <x:c r="G274" t="str">
        <x:v>QT-04</x:v>
      </x:c>
      <x:c r="H274" t="str">
        <x:v>RAW-V22</x:v>
      </x:c>
      <x:c r="I274" s="14" t="n">
        <x:f>'Reference Envelopes'!F28</x:f>
        <x:v>0.25</x:v>
      </x:c>
      <x:c r="J274" s="14" t="n">
        <x:f>'Reference Envelopes'!G28</x:f>
        <x:v>0.005</x:v>
      </x:c>
      <x:c r="K274" s="14" t="str">
        <x:f>IF(COUNT('Trial Register'!S274)=0,"",'Trial Register'!S274)</x:f>
      </x:c>
      <x:c r="L274" s="14" t="str">
        <x:f>IF(COUNT('Trial Register'!T274)=0,"",'Trial Register'!T274)</x:f>
      </x:c>
      <x:c r="M274" s="14" t="str">
        <x:f>IF(COUNT(K274:L274)&lt;2,"",K274-L274)</x:f>
      </x:c>
      <x:c r="N274" s="14" t="str">
        <x:f>IF(COUNT(K274:L274)&lt;2,"",K274+L274)</x:f>
      </x:c>
      <x:c r="O274" s="14" t="str">
        <x:f>IF(COUNT(K274)=0,"",ABS(K274-I274))</x:f>
      </x:c>
      <x:c r="P274" s="14" t="str">
        <x:f>IF(COUNT(O274)=0,"",IF(J274=0,IF(O274=0,0,999),O274/J274))</x:f>
      </x:c>
      <x:c r="Q274" t="str">
        <x:f>IF(COUNT(M274:N274)&lt;2,"",IF(AND(I274&gt;=M274,I274&lt;=N274,O274&lt;=J274),"PASS","FAIL"))</x:f>
      </x:c>
      <x:c r="R274" t="str"/>
      <x:c r="S274" t="str">
        <x:f>IF(R274=1,IF(Q274="PASS","PASS","FAIL"),"OPEN")</x:f>
        <x:v>OPEN</x:v>
      </x:c>
    </x:row>
    <x:row r="275">
      <x:c r="B275" t="str">
        <x:v>RAW-E269</x:v>
      </x:c>
      <x:c r="C275" t="str">
        <x:v>AM-03</x:v>
      </x:c>
      <x:c r="D275" t="str">
        <x:v>TR-A</x:v>
      </x:c>
      <x:c r="E275" t="str">
        <x:v>RFP-C1</x:v>
      </x:c>
      <x:c r="F275" t="str">
        <x:v>PTC-C</x:v>
      </x:c>
      <x:c r="G275" t="str">
        <x:v>QT-05</x:v>
      </x:c>
      <x:c r="H275" t="str">
        <x:v>RAW-V23</x:v>
      </x:c>
      <x:c r="I275" s="14" t="n">
        <x:f>'Reference Envelopes'!F29</x:f>
        <x:v>0.35</x:v>
      </x:c>
      <x:c r="J275" s="14" t="n">
        <x:f>'Reference Envelopes'!G29</x:f>
        <x:v>0.01</x:v>
      </x:c>
      <x:c r="K275" s="14" t="str">
        <x:f>IF(COUNT('Trial Register'!S275)=0,"",'Trial Register'!S275)</x:f>
      </x:c>
      <x:c r="L275" s="14" t="str">
        <x:f>IF(COUNT('Trial Register'!T275)=0,"",'Trial Register'!T275)</x:f>
      </x:c>
      <x:c r="M275" s="14" t="str">
        <x:f>IF(COUNT(K275:L275)&lt;2,"",K275-L275)</x:f>
      </x:c>
      <x:c r="N275" s="14" t="str">
        <x:f>IF(COUNT(K275:L275)&lt;2,"",K275+L275)</x:f>
      </x:c>
      <x:c r="O275" s="14" t="str">
        <x:f>IF(COUNT(K275)=0,"",ABS(K275-I275))</x:f>
      </x:c>
      <x:c r="P275" s="14" t="str">
        <x:f>IF(COUNT(O275)=0,"",IF(J275=0,IF(O275=0,0,999),O275/J275))</x:f>
      </x:c>
      <x:c r="Q275" t="str">
        <x:f>IF(COUNT(M275:N275)&lt;2,"",IF(AND(I275&gt;=M275,I275&lt;=N275,O275&lt;=J275),"PASS","FAIL"))</x:f>
      </x:c>
      <x:c r="R275" t="str"/>
      <x:c r="S275" t="str">
        <x:f>IF(R275=1,IF(Q275="PASS","PASS","FAIL"),"OPEN")</x:f>
        <x:v>OPEN</x:v>
      </x:c>
    </x:row>
    <x:row r="276">
      <x:c r="B276" t="str">
        <x:v>RAW-E270</x:v>
      </x:c>
      <x:c r="C276" t="str">
        <x:v>AM-03</x:v>
      </x:c>
      <x:c r="D276" t="str">
        <x:v>TR-A</x:v>
      </x:c>
      <x:c r="E276" t="str">
        <x:v>RFP-C1</x:v>
      </x:c>
      <x:c r="F276" t="str">
        <x:v>PTC-C</x:v>
      </x:c>
      <x:c r="G276" t="str">
        <x:v>QT-06</x:v>
      </x:c>
      <x:c r="H276" t="str">
        <x:v>RAW-V24</x:v>
      </x:c>
      <x:c r="I276" s="14" t="n">
        <x:f>'Reference Envelopes'!F30</x:f>
        <x:v>0.2</x:v>
      </x:c>
      <x:c r="J276" s="14" t="n">
        <x:f>'Reference Envelopes'!G30</x:f>
        <x:v>0.005</x:v>
      </x:c>
      <x:c r="K276" s="14" t="str">
        <x:f>IF(COUNT('Trial Register'!S276)=0,"",'Trial Register'!S276)</x:f>
      </x:c>
      <x:c r="L276" s="14" t="str">
        <x:f>IF(COUNT('Trial Register'!T276)=0,"",'Trial Register'!T276)</x:f>
      </x:c>
      <x:c r="M276" s="14" t="str">
        <x:f>IF(COUNT(K276:L276)&lt;2,"",K276-L276)</x:f>
      </x:c>
      <x:c r="N276" s="14" t="str">
        <x:f>IF(COUNT(K276:L276)&lt;2,"",K276+L276)</x:f>
      </x:c>
      <x:c r="O276" s="14" t="str">
        <x:f>IF(COUNT(K276)=0,"",ABS(K276-I276))</x:f>
      </x:c>
      <x:c r="P276" s="14" t="str">
        <x:f>IF(COUNT(O276)=0,"",IF(J276=0,IF(O276=0,0,999),O276/J276))</x:f>
      </x:c>
      <x:c r="Q276" t="str">
        <x:f>IF(COUNT(M276:N276)&lt;2,"",IF(AND(I276&gt;=M276,I276&lt;=N276,O276&lt;=J276),"PASS","FAIL"))</x:f>
      </x:c>
      <x:c r="R276" t="str"/>
      <x:c r="S276" t="str">
        <x:f>IF(R276=1,IF(Q276="PASS","PASS","FAIL"),"OPEN")</x:f>
        <x:v>OPEN</x:v>
      </x:c>
    </x:row>
    <x:row r="277">
      <x:c r="B277" t="str">
        <x:v>RAW-E271</x:v>
      </x:c>
      <x:c r="C277" t="str">
        <x:v>AM-03</x:v>
      </x:c>
      <x:c r="D277" t="str">
        <x:v>TR-B</x:v>
      </x:c>
      <x:c r="E277" t="str">
        <x:v>RFP-C1</x:v>
      </x:c>
      <x:c r="F277" t="str">
        <x:v>PTC-C</x:v>
      </x:c>
      <x:c r="G277" t="str">
        <x:v>QT-01</x:v>
      </x:c>
      <x:c r="H277" t="str">
        <x:v>RAW-V19</x:v>
      </x:c>
      <x:c r="I277" s="14" t="n">
        <x:f>'Reference Envelopes'!F25</x:f>
        <x:v>0</x:v>
      </x:c>
      <x:c r="J277" s="14" t="n">
        <x:f>'Reference Envelopes'!G25</x:f>
        <x:v>0.005</x:v>
      </x:c>
      <x:c r="K277" s="14" t="str">
        <x:f>IF(COUNT('Trial Register'!S277)=0,"",'Trial Register'!S277)</x:f>
      </x:c>
      <x:c r="L277" s="14" t="str">
        <x:f>IF(COUNT('Trial Register'!T277)=0,"",'Trial Register'!T277)</x:f>
      </x:c>
      <x:c r="M277" s="14" t="str">
        <x:f>IF(COUNT(K277:L277)&lt;2,"",K277-L277)</x:f>
      </x:c>
      <x:c r="N277" s="14" t="str">
        <x:f>IF(COUNT(K277:L277)&lt;2,"",K277+L277)</x:f>
      </x:c>
      <x:c r="O277" s="14" t="str">
        <x:f>IF(COUNT(K277)=0,"",ABS(K277-I277))</x:f>
      </x:c>
      <x:c r="P277" s="14" t="str">
        <x:f>IF(COUNT(O277)=0,"",IF(J277=0,IF(O277=0,0,999),O277/J277))</x:f>
      </x:c>
      <x:c r="Q277" t="str">
        <x:f>IF(COUNT(M277:N277)&lt;2,"",IF(AND(I277&gt;=M277,I277&lt;=N277,O277&lt;=J277),"PASS","FAIL"))</x:f>
      </x:c>
      <x:c r="R277" t="str"/>
      <x:c r="S277" t="str">
        <x:f>IF(R277=1,IF(Q277="PASS","PASS","FAIL"),"OPEN")</x:f>
        <x:v>OPEN</x:v>
      </x:c>
    </x:row>
    <x:row r="278">
      <x:c r="B278" t="str">
        <x:v>RAW-E272</x:v>
      </x:c>
      <x:c r="C278" t="str">
        <x:v>AM-03</x:v>
      </x:c>
      <x:c r="D278" t="str">
        <x:v>TR-B</x:v>
      </x:c>
      <x:c r="E278" t="str">
        <x:v>RFP-C1</x:v>
      </x:c>
      <x:c r="F278" t="str">
        <x:v>PTC-C</x:v>
      </x:c>
      <x:c r="G278" t="str">
        <x:v>QT-02</x:v>
      </x:c>
      <x:c r="H278" t="str">
        <x:v>RAW-V20</x:v>
      </x:c>
      <x:c r="I278" s="14" t="n">
        <x:f>'Reference Envelopes'!F26</x:f>
        <x:v>0.1</x:v>
      </x:c>
      <x:c r="J278" s="14" t="n">
        <x:f>'Reference Envelopes'!G26</x:f>
        <x:v>0.005</x:v>
      </x:c>
      <x:c r="K278" s="14" t="str">
        <x:f>IF(COUNT('Trial Register'!S278)=0,"",'Trial Register'!S278)</x:f>
      </x:c>
      <x:c r="L278" s="14" t="str">
        <x:f>IF(COUNT('Trial Register'!T278)=0,"",'Trial Register'!T278)</x:f>
      </x:c>
      <x:c r="M278" s="14" t="str">
        <x:f>IF(COUNT(K278:L278)&lt;2,"",K278-L278)</x:f>
      </x:c>
      <x:c r="N278" s="14" t="str">
        <x:f>IF(COUNT(K278:L278)&lt;2,"",K278+L278)</x:f>
      </x:c>
      <x:c r="O278" s="14" t="str">
        <x:f>IF(COUNT(K278)=0,"",ABS(K278-I278))</x:f>
      </x:c>
      <x:c r="P278" s="14" t="str">
        <x:f>IF(COUNT(O278)=0,"",IF(J278=0,IF(O278=0,0,999),O278/J278))</x:f>
      </x:c>
      <x:c r="Q278" t="str">
        <x:f>IF(COUNT(M278:N278)&lt;2,"",IF(AND(I278&gt;=M278,I278&lt;=N278,O278&lt;=J278),"PASS","FAIL"))</x:f>
      </x:c>
      <x:c r="R278" t="str"/>
      <x:c r="S278" t="str">
        <x:f>IF(R278=1,IF(Q278="PASS","PASS","FAIL"),"OPEN")</x:f>
        <x:v>OPEN</x:v>
      </x:c>
    </x:row>
    <x:row r="279">
      <x:c r="B279" t="str">
        <x:v>RAW-E273</x:v>
      </x:c>
      <x:c r="C279" t="str">
        <x:v>AM-03</x:v>
      </x:c>
      <x:c r="D279" t="str">
        <x:v>TR-B</x:v>
      </x:c>
      <x:c r="E279" t="str">
        <x:v>RFP-C1</x:v>
      </x:c>
      <x:c r="F279" t="str">
        <x:v>PTC-C</x:v>
      </x:c>
      <x:c r="G279" t="str">
        <x:v>QT-03</x:v>
      </x:c>
      <x:c r="H279" t="str">
        <x:v>RAW-V21</x:v>
      </x:c>
      <x:c r="I279" s="14" t="n">
        <x:f>'Reference Envelopes'!F27</x:f>
        <x:v>0.5</x:v>
      </x:c>
      <x:c r="J279" s="14" t="n">
        <x:f>'Reference Envelopes'!G27</x:f>
        <x:v>0.01</x:v>
      </x:c>
      <x:c r="K279" s="14" t="str">
        <x:f>IF(COUNT('Trial Register'!S279)=0,"",'Trial Register'!S279)</x:f>
      </x:c>
      <x:c r="L279" s="14" t="str">
        <x:f>IF(COUNT('Trial Register'!T279)=0,"",'Trial Register'!T279)</x:f>
      </x:c>
      <x:c r="M279" s="14" t="str">
        <x:f>IF(COUNT(K279:L279)&lt;2,"",K279-L279)</x:f>
      </x:c>
      <x:c r="N279" s="14" t="str">
        <x:f>IF(COUNT(K279:L279)&lt;2,"",K279+L279)</x:f>
      </x:c>
      <x:c r="O279" s="14" t="str">
        <x:f>IF(COUNT(K279)=0,"",ABS(K279-I279))</x:f>
      </x:c>
      <x:c r="P279" s="14" t="str">
        <x:f>IF(COUNT(O279)=0,"",IF(J279=0,IF(O279=0,0,999),O279/J279))</x:f>
      </x:c>
      <x:c r="Q279" t="str">
        <x:f>IF(COUNT(M279:N279)&lt;2,"",IF(AND(I279&gt;=M279,I279&lt;=N279,O279&lt;=J279),"PASS","FAIL"))</x:f>
      </x:c>
      <x:c r="R279" t="str"/>
      <x:c r="S279" t="str">
        <x:f>IF(R279=1,IF(Q279="PASS","PASS","FAIL"),"OPEN")</x:f>
        <x:v>OPEN</x:v>
      </x:c>
    </x:row>
    <x:row r="280">
      <x:c r="B280" t="str">
        <x:v>RAW-E274</x:v>
      </x:c>
      <x:c r="C280" t="str">
        <x:v>AM-03</x:v>
      </x:c>
      <x:c r="D280" t="str">
        <x:v>TR-B</x:v>
      </x:c>
      <x:c r="E280" t="str">
        <x:v>RFP-C1</x:v>
      </x:c>
      <x:c r="F280" t="str">
        <x:v>PTC-C</x:v>
      </x:c>
      <x:c r="G280" t="str">
        <x:v>QT-04</x:v>
      </x:c>
      <x:c r="H280" t="str">
        <x:v>RAW-V22</x:v>
      </x:c>
      <x:c r="I280" s="14" t="n">
        <x:f>'Reference Envelopes'!F28</x:f>
        <x:v>0.25</x:v>
      </x:c>
      <x:c r="J280" s="14" t="n">
        <x:f>'Reference Envelopes'!G28</x:f>
        <x:v>0.005</x:v>
      </x:c>
      <x:c r="K280" s="14" t="str">
        <x:f>IF(COUNT('Trial Register'!S280)=0,"",'Trial Register'!S280)</x:f>
      </x:c>
      <x:c r="L280" s="14" t="str">
        <x:f>IF(COUNT('Trial Register'!T280)=0,"",'Trial Register'!T280)</x:f>
      </x:c>
      <x:c r="M280" s="14" t="str">
        <x:f>IF(COUNT(K280:L280)&lt;2,"",K280-L280)</x:f>
      </x:c>
      <x:c r="N280" s="14" t="str">
        <x:f>IF(COUNT(K280:L280)&lt;2,"",K280+L280)</x:f>
      </x:c>
      <x:c r="O280" s="14" t="str">
        <x:f>IF(COUNT(K280)=0,"",ABS(K280-I280))</x:f>
      </x:c>
      <x:c r="P280" s="14" t="str">
        <x:f>IF(COUNT(O280)=0,"",IF(J280=0,IF(O280=0,0,999),O280/J280))</x:f>
      </x:c>
      <x:c r="Q280" t="str">
        <x:f>IF(COUNT(M280:N280)&lt;2,"",IF(AND(I280&gt;=M280,I280&lt;=N280,O280&lt;=J280),"PASS","FAIL"))</x:f>
      </x:c>
      <x:c r="R280" t="str"/>
      <x:c r="S280" t="str">
        <x:f>IF(R280=1,IF(Q280="PASS","PASS","FAIL"),"OPEN")</x:f>
        <x:v>OPEN</x:v>
      </x:c>
    </x:row>
    <x:row r="281">
      <x:c r="B281" t="str">
        <x:v>RAW-E275</x:v>
      </x:c>
      <x:c r="C281" t="str">
        <x:v>AM-03</x:v>
      </x:c>
      <x:c r="D281" t="str">
        <x:v>TR-B</x:v>
      </x:c>
      <x:c r="E281" t="str">
        <x:v>RFP-C1</x:v>
      </x:c>
      <x:c r="F281" t="str">
        <x:v>PTC-C</x:v>
      </x:c>
      <x:c r="G281" t="str">
        <x:v>QT-05</x:v>
      </x:c>
      <x:c r="H281" t="str">
        <x:v>RAW-V23</x:v>
      </x:c>
      <x:c r="I281" s="14" t="n">
        <x:f>'Reference Envelopes'!F29</x:f>
        <x:v>0.35</x:v>
      </x:c>
      <x:c r="J281" s="14" t="n">
        <x:f>'Reference Envelopes'!G29</x:f>
        <x:v>0.01</x:v>
      </x:c>
      <x:c r="K281" s="14" t="str">
        <x:f>IF(COUNT('Trial Register'!S281)=0,"",'Trial Register'!S281)</x:f>
      </x:c>
      <x:c r="L281" s="14" t="str">
        <x:f>IF(COUNT('Trial Register'!T281)=0,"",'Trial Register'!T281)</x:f>
      </x:c>
      <x:c r="M281" s="14" t="str">
        <x:f>IF(COUNT(K281:L281)&lt;2,"",K281-L281)</x:f>
      </x:c>
      <x:c r="N281" s="14" t="str">
        <x:f>IF(COUNT(K281:L281)&lt;2,"",K281+L281)</x:f>
      </x:c>
      <x:c r="O281" s="14" t="str">
        <x:f>IF(COUNT(K281)=0,"",ABS(K281-I281))</x:f>
      </x:c>
      <x:c r="P281" s="14" t="str">
        <x:f>IF(COUNT(O281)=0,"",IF(J281=0,IF(O281=0,0,999),O281/J281))</x:f>
      </x:c>
      <x:c r="Q281" t="str">
        <x:f>IF(COUNT(M281:N281)&lt;2,"",IF(AND(I281&gt;=M281,I281&lt;=N281,O281&lt;=J281),"PASS","FAIL"))</x:f>
      </x:c>
      <x:c r="R281" t="str"/>
      <x:c r="S281" t="str">
        <x:f>IF(R281=1,IF(Q281="PASS","PASS","FAIL"),"OPEN")</x:f>
        <x:v>OPEN</x:v>
      </x:c>
    </x:row>
    <x:row r="282">
      <x:c r="B282" t="str">
        <x:v>RAW-E276</x:v>
      </x:c>
      <x:c r="C282" t="str">
        <x:v>AM-03</x:v>
      </x:c>
      <x:c r="D282" t="str">
        <x:v>TR-B</x:v>
      </x:c>
      <x:c r="E282" t="str">
        <x:v>RFP-C1</x:v>
      </x:c>
      <x:c r="F282" t="str">
        <x:v>PTC-C</x:v>
      </x:c>
      <x:c r="G282" t="str">
        <x:v>QT-06</x:v>
      </x:c>
      <x:c r="H282" t="str">
        <x:v>RAW-V24</x:v>
      </x:c>
      <x:c r="I282" s="14" t="n">
        <x:f>'Reference Envelopes'!F30</x:f>
        <x:v>0.2</x:v>
      </x:c>
      <x:c r="J282" s="14" t="n">
        <x:f>'Reference Envelopes'!G30</x:f>
        <x:v>0.005</x:v>
      </x:c>
      <x:c r="K282" s="14" t="str">
        <x:f>IF(COUNT('Trial Register'!S282)=0,"",'Trial Register'!S282)</x:f>
      </x:c>
      <x:c r="L282" s="14" t="str">
        <x:f>IF(COUNT('Trial Register'!T282)=0,"",'Trial Register'!T282)</x:f>
      </x:c>
      <x:c r="M282" s="14" t="str">
        <x:f>IF(COUNT(K282:L282)&lt;2,"",K282-L282)</x:f>
      </x:c>
      <x:c r="N282" s="14" t="str">
        <x:f>IF(COUNT(K282:L282)&lt;2,"",K282+L282)</x:f>
      </x:c>
      <x:c r="O282" s="14" t="str">
        <x:f>IF(COUNT(K282)=0,"",ABS(K282-I282))</x:f>
      </x:c>
      <x:c r="P282" s="14" t="str">
        <x:f>IF(COUNT(O282)=0,"",IF(J282=0,IF(O282=0,0,999),O282/J282))</x:f>
      </x:c>
      <x:c r="Q282" t="str">
        <x:f>IF(COUNT(M282:N282)&lt;2,"",IF(AND(I282&gt;=M282,I282&lt;=N282,O282&lt;=J282),"PASS","FAIL"))</x:f>
      </x:c>
      <x:c r="R282" t="str"/>
      <x:c r="S282" t="str">
        <x:f>IF(R282=1,IF(Q282="PASS","PASS","FAIL"),"OPEN")</x:f>
        <x:v>OPEN</x:v>
      </x:c>
    </x:row>
    <x:row r="283">
      <x:c r="B283" t="str">
        <x:v>RAW-E277</x:v>
      </x:c>
      <x:c r="C283" t="str">
        <x:v>AM-03</x:v>
      </x:c>
      <x:c r="D283" t="str">
        <x:v>TR-A</x:v>
      </x:c>
      <x:c r="E283" t="str">
        <x:v>RFP-C2</x:v>
      </x:c>
      <x:c r="F283" t="str">
        <x:v>PTC-C</x:v>
      </x:c>
      <x:c r="G283" t="str">
        <x:v>QT-01</x:v>
      </x:c>
      <x:c r="H283" t="str">
        <x:v>RAW-V19</x:v>
      </x:c>
      <x:c r="I283" s="14" t="n">
        <x:f>'Reference Envelopes'!F25</x:f>
        <x:v>0</x:v>
      </x:c>
      <x:c r="J283" s="14" t="n">
        <x:f>'Reference Envelopes'!G25</x:f>
        <x:v>0.005</x:v>
      </x:c>
      <x:c r="K283" s="14" t="str">
        <x:f>IF(COUNT('Trial Register'!S283)=0,"",'Trial Register'!S283)</x:f>
      </x:c>
      <x:c r="L283" s="14" t="str">
        <x:f>IF(COUNT('Trial Register'!T283)=0,"",'Trial Register'!T283)</x:f>
      </x:c>
      <x:c r="M283" s="14" t="str">
        <x:f>IF(COUNT(K283:L283)&lt;2,"",K283-L283)</x:f>
      </x:c>
      <x:c r="N283" s="14" t="str">
        <x:f>IF(COUNT(K283:L283)&lt;2,"",K283+L283)</x:f>
      </x:c>
      <x:c r="O283" s="14" t="str">
        <x:f>IF(COUNT(K283)=0,"",ABS(K283-I283))</x:f>
      </x:c>
      <x:c r="P283" s="14" t="str">
        <x:f>IF(COUNT(O283)=0,"",IF(J283=0,IF(O283=0,0,999),O283/J283))</x:f>
      </x:c>
      <x:c r="Q283" t="str">
        <x:f>IF(COUNT(M283:N283)&lt;2,"",IF(AND(I283&gt;=M283,I283&lt;=N283,O283&lt;=J283),"PASS","FAIL"))</x:f>
      </x:c>
      <x:c r="R283" t="str"/>
      <x:c r="S283" t="str">
        <x:f>IF(R283=1,IF(Q283="PASS","PASS","FAIL"),"OPEN")</x:f>
        <x:v>OPEN</x:v>
      </x:c>
    </x:row>
    <x:row r="284">
      <x:c r="B284" t="str">
        <x:v>RAW-E278</x:v>
      </x:c>
      <x:c r="C284" t="str">
        <x:v>AM-03</x:v>
      </x:c>
      <x:c r="D284" t="str">
        <x:v>TR-A</x:v>
      </x:c>
      <x:c r="E284" t="str">
        <x:v>RFP-C2</x:v>
      </x:c>
      <x:c r="F284" t="str">
        <x:v>PTC-C</x:v>
      </x:c>
      <x:c r="G284" t="str">
        <x:v>QT-02</x:v>
      </x:c>
      <x:c r="H284" t="str">
        <x:v>RAW-V20</x:v>
      </x:c>
      <x:c r="I284" s="14" t="n">
        <x:f>'Reference Envelopes'!F26</x:f>
        <x:v>0.1</x:v>
      </x:c>
      <x:c r="J284" s="14" t="n">
        <x:f>'Reference Envelopes'!G26</x:f>
        <x:v>0.005</x:v>
      </x:c>
      <x:c r="K284" s="14" t="str">
        <x:f>IF(COUNT('Trial Register'!S284)=0,"",'Trial Register'!S284)</x:f>
      </x:c>
      <x:c r="L284" s="14" t="str">
        <x:f>IF(COUNT('Trial Register'!T284)=0,"",'Trial Register'!T284)</x:f>
      </x:c>
      <x:c r="M284" s="14" t="str">
        <x:f>IF(COUNT(K284:L284)&lt;2,"",K284-L284)</x:f>
      </x:c>
      <x:c r="N284" s="14" t="str">
        <x:f>IF(COUNT(K284:L284)&lt;2,"",K284+L284)</x:f>
      </x:c>
      <x:c r="O284" s="14" t="str">
        <x:f>IF(COUNT(K284)=0,"",ABS(K284-I284))</x:f>
      </x:c>
      <x:c r="P284" s="14" t="str">
        <x:f>IF(COUNT(O284)=0,"",IF(J284=0,IF(O284=0,0,999),O284/J284))</x:f>
      </x:c>
      <x:c r="Q284" t="str">
        <x:f>IF(COUNT(M284:N284)&lt;2,"",IF(AND(I284&gt;=M284,I284&lt;=N284,O284&lt;=J284),"PASS","FAIL"))</x:f>
      </x:c>
      <x:c r="R284" t="str"/>
      <x:c r="S284" t="str">
        <x:f>IF(R284=1,IF(Q284="PASS","PASS","FAIL"),"OPEN")</x:f>
        <x:v>OPEN</x:v>
      </x:c>
    </x:row>
    <x:row r="285">
      <x:c r="B285" t="str">
        <x:v>RAW-E279</x:v>
      </x:c>
      <x:c r="C285" t="str">
        <x:v>AM-03</x:v>
      </x:c>
      <x:c r="D285" t="str">
        <x:v>TR-A</x:v>
      </x:c>
      <x:c r="E285" t="str">
        <x:v>RFP-C2</x:v>
      </x:c>
      <x:c r="F285" t="str">
        <x:v>PTC-C</x:v>
      </x:c>
      <x:c r="G285" t="str">
        <x:v>QT-03</x:v>
      </x:c>
      <x:c r="H285" t="str">
        <x:v>RAW-V21</x:v>
      </x:c>
      <x:c r="I285" s="14" t="n">
        <x:f>'Reference Envelopes'!F27</x:f>
        <x:v>0.5</x:v>
      </x:c>
      <x:c r="J285" s="14" t="n">
        <x:f>'Reference Envelopes'!G27</x:f>
        <x:v>0.01</x:v>
      </x:c>
      <x:c r="K285" s="14" t="str">
        <x:f>IF(COUNT('Trial Register'!S285)=0,"",'Trial Register'!S285)</x:f>
      </x:c>
      <x:c r="L285" s="14" t="str">
        <x:f>IF(COUNT('Trial Register'!T285)=0,"",'Trial Register'!T285)</x:f>
      </x:c>
      <x:c r="M285" s="14" t="str">
        <x:f>IF(COUNT(K285:L285)&lt;2,"",K285-L285)</x:f>
      </x:c>
      <x:c r="N285" s="14" t="str">
        <x:f>IF(COUNT(K285:L285)&lt;2,"",K285+L285)</x:f>
      </x:c>
      <x:c r="O285" s="14" t="str">
        <x:f>IF(COUNT(K285)=0,"",ABS(K285-I285))</x:f>
      </x:c>
      <x:c r="P285" s="14" t="str">
        <x:f>IF(COUNT(O285)=0,"",IF(J285=0,IF(O285=0,0,999),O285/J285))</x:f>
      </x:c>
      <x:c r="Q285" t="str">
        <x:f>IF(COUNT(M285:N285)&lt;2,"",IF(AND(I285&gt;=M285,I285&lt;=N285,O285&lt;=J285),"PASS","FAIL"))</x:f>
      </x:c>
      <x:c r="R285" t="str"/>
      <x:c r="S285" t="str">
        <x:f>IF(R285=1,IF(Q285="PASS","PASS","FAIL"),"OPEN")</x:f>
        <x:v>OPEN</x:v>
      </x:c>
    </x:row>
    <x:row r="286">
      <x:c r="B286" t="str">
        <x:v>RAW-E280</x:v>
      </x:c>
      <x:c r="C286" t="str">
        <x:v>AM-03</x:v>
      </x:c>
      <x:c r="D286" t="str">
        <x:v>TR-A</x:v>
      </x:c>
      <x:c r="E286" t="str">
        <x:v>RFP-C2</x:v>
      </x:c>
      <x:c r="F286" t="str">
        <x:v>PTC-C</x:v>
      </x:c>
      <x:c r="G286" t="str">
        <x:v>QT-04</x:v>
      </x:c>
      <x:c r="H286" t="str">
        <x:v>RAW-V22</x:v>
      </x:c>
      <x:c r="I286" s="14" t="n">
        <x:f>'Reference Envelopes'!F28</x:f>
        <x:v>0.25</x:v>
      </x:c>
      <x:c r="J286" s="14" t="n">
        <x:f>'Reference Envelopes'!G28</x:f>
        <x:v>0.005</x:v>
      </x:c>
      <x:c r="K286" s="14" t="str">
        <x:f>IF(COUNT('Trial Register'!S286)=0,"",'Trial Register'!S286)</x:f>
      </x:c>
      <x:c r="L286" s="14" t="str">
        <x:f>IF(COUNT('Trial Register'!T286)=0,"",'Trial Register'!T286)</x:f>
      </x:c>
      <x:c r="M286" s="14" t="str">
        <x:f>IF(COUNT(K286:L286)&lt;2,"",K286-L286)</x:f>
      </x:c>
      <x:c r="N286" s="14" t="str">
        <x:f>IF(COUNT(K286:L286)&lt;2,"",K286+L286)</x:f>
      </x:c>
      <x:c r="O286" s="14" t="str">
        <x:f>IF(COUNT(K286)=0,"",ABS(K286-I286))</x:f>
      </x:c>
      <x:c r="P286" s="14" t="str">
        <x:f>IF(COUNT(O286)=0,"",IF(J286=0,IF(O286=0,0,999),O286/J286))</x:f>
      </x:c>
      <x:c r="Q286" t="str">
        <x:f>IF(COUNT(M286:N286)&lt;2,"",IF(AND(I286&gt;=M286,I286&lt;=N286,O286&lt;=J286),"PASS","FAIL"))</x:f>
      </x:c>
      <x:c r="R286" t="str"/>
      <x:c r="S286" t="str">
        <x:f>IF(R286=1,IF(Q286="PASS","PASS","FAIL"),"OPEN")</x:f>
        <x:v>OPEN</x:v>
      </x:c>
    </x:row>
    <x:row r="287">
      <x:c r="B287" t="str">
        <x:v>RAW-E281</x:v>
      </x:c>
      <x:c r="C287" t="str">
        <x:v>AM-03</x:v>
      </x:c>
      <x:c r="D287" t="str">
        <x:v>TR-A</x:v>
      </x:c>
      <x:c r="E287" t="str">
        <x:v>RFP-C2</x:v>
      </x:c>
      <x:c r="F287" t="str">
        <x:v>PTC-C</x:v>
      </x:c>
      <x:c r="G287" t="str">
        <x:v>QT-05</x:v>
      </x:c>
      <x:c r="H287" t="str">
        <x:v>RAW-V23</x:v>
      </x:c>
      <x:c r="I287" s="14" t="n">
        <x:f>'Reference Envelopes'!F29</x:f>
        <x:v>0.35</x:v>
      </x:c>
      <x:c r="J287" s="14" t="n">
        <x:f>'Reference Envelopes'!G29</x:f>
        <x:v>0.01</x:v>
      </x:c>
      <x:c r="K287" s="14" t="str">
        <x:f>IF(COUNT('Trial Register'!S287)=0,"",'Trial Register'!S287)</x:f>
      </x:c>
      <x:c r="L287" s="14" t="str">
        <x:f>IF(COUNT('Trial Register'!T287)=0,"",'Trial Register'!T287)</x:f>
      </x:c>
      <x:c r="M287" s="14" t="str">
        <x:f>IF(COUNT(K287:L287)&lt;2,"",K287-L287)</x:f>
      </x:c>
      <x:c r="N287" s="14" t="str">
        <x:f>IF(COUNT(K287:L287)&lt;2,"",K287+L287)</x:f>
      </x:c>
      <x:c r="O287" s="14" t="str">
        <x:f>IF(COUNT(K287)=0,"",ABS(K287-I287))</x:f>
      </x:c>
      <x:c r="P287" s="14" t="str">
        <x:f>IF(COUNT(O287)=0,"",IF(J287=0,IF(O287=0,0,999),O287/J287))</x:f>
      </x:c>
      <x:c r="Q287" t="str">
        <x:f>IF(COUNT(M287:N287)&lt;2,"",IF(AND(I287&gt;=M287,I287&lt;=N287,O287&lt;=J287),"PASS","FAIL"))</x:f>
      </x:c>
      <x:c r="R287" t="str"/>
      <x:c r="S287" t="str">
        <x:f>IF(R287=1,IF(Q287="PASS","PASS","FAIL"),"OPEN")</x:f>
        <x:v>OPEN</x:v>
      </x:c>
    </x:row>
    <x:row r="288">
      <x:c r="B288" t="str">
        <x:v>RAW-E282</x:v>
      </x:c>
      <x:c r="C288" t="str">
        <x:v>AM-03</x:v>
      </x:c>
      <x:c r="D288" t="str">
        <x:v>TR-A</x:v>
      </x:c>
      <x:c r="E288" t="str">
        <x:v>RFP-C2</x:v>
      </x:c>
      <x:c r="F288" t="str">
        <x:v>PTC-C</x:v>
      </x:c>
      <x:c r="G288" t="str">
        <x:v>QT-06</x:v>
      </x:c>
      <x:c r="H288" t="str">
        <x:v>RAW-V24</x:v>
      </x:c>
      <x:c r="I288" s="14" t="n">
        <x:f>'Reference Envelopes'!F30</x:f>
        <x:v>0.2</x:v>
      </x:c>
      <x:c r="J288" s="14" t="n">
        <x:f>'Reference Envelopes'!G30</x:f>
        <x:v>0.005</x:v>
      </x:c>
      <x:c r="K288" s="14" t="str">
        <x:f>IF(COUNT('Trial Register'!S288)=0,"",'Trial Register'!S288)</x:f>
      </x:c>
      <x:c r="L288" s="14" t="str">
        <x:f>IF(COUNT('Trial Register'!T288)=0,"",'Trial Register'!T288)</x:f>
      </x:c>
      <x:c r="M288" s="14" t="str">
        <x:f>IF(COUNT(K288:L288)&lt;2,"",K288-L288)</x:f>
      </x:c>
      <x:c r="N288" s="14" t="str">
        <x:f>IF(COUNT(K288:L288)&lt;2,"",K288+L288)</x:f>
      </x:c>
      <x:c r="O288" s="14" t="str">
        <x:f>IF(COUNT(K288)=0,"",ABS(K288-I288))</x:f>
      </x:c>
      <x:c r="P288" s="14" t="str">
        <x:f>IF(COUNT(O288)=0,"",IF(J288=0,IF(O288=0,0,999),O288/J288))</x:f>
      </x:c>
      <x:c r="Q288" t="str">
        <x:f>IF(COUNT(M288:N288)&lt;2,"",IF(AND(I288&gt;=M288,I288&lt;=N288,O288&lt;=J288),"PASS","FAIL"))</x:f>
      </x:c>
      <x:c r="R288" t="str"/>
      <x:c r="S288" t="str">
        <x:f>IF(R288=1,IF(Q288="PASS","PASS","FAIL"),"OPEN")</x:f>
        <x:v>OPEN</x:v>
      </x:c>
    </x:row>
    <x:row r="289">
      <x:c r="B289" t="str">
        <x:v>RAW-E283</x:v>
      </x:c>
      <x:c r="C289" t="str">
        <x:v>AM-03</x:v>
      </x:c>
      <x:c r="D289" t="str">
        <x:v>TR-B</x:v>
      </x:c>
      <x:c r="E289" t="str">
        <x:v>RFP-C2</x:v>
      </x:c>
      <x:c r="F289" t="str">
        <x:v>PTC-C</x:v>
      </x:c>
      <x:c r="G289" t="str">
        <x:v>QT-01</x:v>
      </x:c>
      <x:c r="H289" t="str">
        <x:v>RAW-V19</x:v>
      </x:c>
      <x:c r="I289" s="14" t="n">
        <x:f>'Reference Envelopes'!F25</x:f>
        <x:v>0</x:v>
      </x:c>
      <x:c r="J289" s="14" t="n">
        <x:f>'Reference Envelopes'!G25</x:f>
        <x:v>0.005</x:v>
      </x:c>
      <x:c r="K289" s="14" t="str">
        <x:f>IF(COUNT('Trial Register'!S289)=0,"",'Trial Register'!S289)</x:f>
      </x:c>
      <x:c r="L289" s="14" t="str">
        <x:f>IF(COUNT('Trial Register'!T289)=0,"",'Trial Register'!T289)</x:f>
      </x:c>
      <x:c r="M289" s="14" t="str">
        <x:f>IF(COUNT(K289:L289)&lt;2,"",K289-L289)</x:f>
      </x:c>
      <x:c r="N289" s="14" t="str">
        <x:f>IF(COUNT(K289:L289)&lt;2,"",K289+L289)</x:f>
      </x:c>
      <x:c r="O289" s="14" t="str">
        <x:f>IF(COUNT(K289)=0,"",ABS(K289-I289))</x:f>
      </x:c>
      <x:c r="P289" s="14" t="str">
        <x:f>IF(COUNT(O289)=0,"",IF(J289=0,IF(O289=0,0,999),O289/J289))</x:f>
      </x:c>
      <x:c r="Q289" t="str">
        <x:f>IF(COUNT(M289:N289)&lt;2,"",IF(AND(I289&gt;=M289,I289&lt;=N289,O289&lt;=J289),"PASS","FAIL"))</x:f>
      </x:c>
      <x:c r="R289" t="str"/>
      <x:c r="S289" t="str">
        <x:f>IF(R289=1,IF(Q289="PASS","PASS","FAIL"),"OPEN")</x:f>
        <x:v>OPEN</x:v>
      </x:c>
    </x:row>
    <x:row r="290">
      <x:c r="B290" t="str">
        <x:v>RAW-E284</x:v>
      </x:c>
      <x:c r="C290" t="str">
        <x:v>AM-03</x:v>
      </x:c>
      <x:c r="D290" t="str">
        <x:v>TR-B</x:v>
      </x:c>
      <x:c r="E290" t="str">
        <x:v>RFP-C2</x:v>
      </x:c>
      <x:c r="F290" t="str">
        <x:v>PTC-C</x:v>
      </x:c>
      <x:c r="G290" t="str">
        <x:v>QT-02</x:v>
      </x:c>
      <x:c r="H290" t="str">
        <x:v>RAW-V20</x:v>
      </x:c>
      <x:c r="I290" s="14" t="n">
        <x:f>'Reference Envelopes'!F26</x:f>
        <x:v>0.1</x:v>
      </x:c>
      <x:c r="J290" s="14" t="n">
        <x:f>'Reference Envelopes'!G26</x:f>
        <x:v>0.005</x:v>
      </x:c>
      <x:c r="K290" s="14" t="str">
        <x:f>IF(COUNT('Trial Register'!S290)=0,"",'Trial Register'!S290)</x:f>
      </x:c>
      <x:c r="L290" s="14" t="str">
        <x:f>IF(COUNT('Trial Register'!T290)=0,"",'Trial Register'!T290)</x:f>
      </x:c>
      <x:c r="M290" s="14" t="str">
        <x:f>IF(COUNT(K290:L290)&lt;2,"",K290-L290)</x:f>
      </x:c>
      <x:c r="N290" s="14" t="str">
        <x:f>IF(COUNT(K290:L290)&lt;2,"",K290+L290)</x:f>
      </x:c>
      <x:c r="O290" s="14" t="str">
        <x:f>IF(COUNT(K290)=0,"",ABS(K290-I290))</x:f>
      </x:c>
      <x:c r="P290" s="14" t="str">
        <x:f>IF(COUNT(O290)=0,"",IF(J290=0,IF(O290=0,0,999),O290/J290))</x:f>
      </x:c>
      <x:c r="Q290" t="str">
        <x:f>IF(COUNT(M290:N290)&lt;2,"",IF(AND(I290&gt;=M290,I290&lt;=N290,O290&lt;=J290),"PASS","FAIL"))</x:f>
      </x:c>
      <x:c r="R290" t="str"/>
      <x:c r="S290" t="str">
        <x:f>IF(R290=1,IF(Q290="PASS","PASS","FAIL"),"OPEN")</x:f>
        <x:v>OPEN</x:v>
      </x:c>
    </x:row>
    <x:row r="291">
      <x:c r="B291" t="str">
        <x:v>RAW-E285</x:v>
      </x:c>
      <x:c r="C291" t="str">
        <x:v>AM-03</x:v>
      </x:c>
      <x:c r="D291" t="str">
        <x:v>TR-B</x:v>
      </x:c>
      <x:c r="E291" t="str">
        <x:v>RFP-C2</x:v>
      </x:c>
      <x:c r="F291" t="str">
        <x:v>PTC-C</x:v>
      </x:c>
      <x:c r="G291" t="str">
        <x:v>QT-03</x:v>
      </x:c>
      <x:c r="H291" t="str">
        <x:v>RAW-V21</x:v>
      </x:c>
      <x:c r="I291" s="14" t="n">
        <x:f>'Reference Envelopes'!F27</x:f>
        <x:v>0.5</x:v>
      </x:c>
      <x:c r="J291" s="14" t="n">
        <x:f>'Reference Envelopes'!G27</x:f>
        <x:v>0.01</x:v>
      </x:c>
      <x:c r="K291" s="14" t="str">
        <x:f>IF(COUNT('Trial Register'!S291)=0,"",'Trial Register'!S291)</x:f>
      </x:c>
      <x:c r="L291" s="14" t="str">
        <x:f>IF(COUNT('Trial Register'!T291)=0,"",'Trial Register'!T291)</x:f>
      </x:c>
      <x:c r="M291" s="14" t="str">
        <x:f>IF(COUNT(K291:L291)&lt;2,"",K291-L291)</x:f>
      </x:c>
      <x:c r="N291" s="14" t="str">
        <x:f>IF(COUNT(K291:L291)&lt;2,"",K291+L291)</x:f>
      </x:c>
      <x:c r="O291" s="14" t="str">
        <x:f>IF(COUNT(K291)=0,"",ABS(K291-I291))</x:f>
      </x:c>
      <x:c r="P291" s="14" t="str">
        <x:f>IF(COUNT(O291)=0,"",IF(J291=0,IF(O291=0,0,999),O291/J291))</x:f>
      </x:c>
      <x:c r="Q291" t="str">
        <x:f>IF(COUNT(M291:N291)&lt;2,"",IF(AND(I291&gt;=M291,I291&lt;=N291,O291&lt;=J291),"PASS","FAIL"))</x:f>
      </x:c>
      <x:c r="R291" t="str"/>
      <x:c r="S291" t="str">
        <x:f>IF(R291=1,IF(Q291="PASS","PASS","FAIL"),"OPEN")</x:f>
        <x:v>OPEN</x:v>
      </x:c>
    </x:row>
    <x:row r="292">
      <x:c r="B292" t="str">
        <x:v>RAW-E286</x:v>
      </x:c>
      <x:c r="C292" t="str">
        <x:v>AM-03</x:v>
      </x:c>
      <x:c r="D292" t="str">
        <x:v>TR-B</x:v>
      </x:c>
      <x:c r="E292" t="str">
        <x:v>RFP-C2</x:v>
      </x:c>
      <x:c r="F292" t="str">
        <x:v>PTC-C</x:v>
      </x:c>
      <x:c r="G292" t="str">
        <x:v>QT-04</x:v>
      </x:c>
      <x:c r="H292" t="str">
        <x:v>RAW-V22</x:v>
      </x:c>
      <x:c r="I292" s="14" t="n">
        <x:f>'Reference Envelopes'!F28</x:f>
        <x:v>0.25</x:v>
      </x:c>
      <x:c r="J292" s="14" t="n">
        <x:f>'Reference Envelopes'!G28</x:f>
        <x:v>0.005</x:v>
      </x:c>
      <x:c r="K292" s="14" t="str">
        <x:f>IF(COUNT('Trial Register'!S292)=0,"",'Trial Register'!S292)</x:f>
      </x:c>
      <x:c r="L292" s="14" t="str">
        <x:f>IF(COUNT('Trial Register'!T292)=0,"",'Trial Register'!T292)</x:f>
      </x:c>
      <x:c r="M292" s="14" t="str">
        <x:f>IF(COUNT(K292:L292)&lt;2,"",K292-L292)</x:f>
      </x:c>
      <x:c r="N292" s="14" t="str">
        <x:f>IF(COUNT(K292:L292)&lt;2,"",K292+L292)</x:f>
      </x:c>
      <x:c r="O292" s="14" t="str">
        <x:f>IF(COUNT(K292)=0,"",ABS(K292-I292))</x:f>
      </x:c>
      <x:c r="P292" s="14" t="str">
        <x:f>IF(COUNT(O292)=0,"",IF(J292=0,IF(O292=0,0,999),O292/J292))</x:f>
      </x:c>
      <x:c r="Q292" t="str">
        <x:f>IF(COUNT(M292:N292)&lt;2,"",IF(AND(I292&gt;=M292,I292&lt;=N292,O292&lt;=J292),"PASS","FAIL"))</x:f>
      </x:c>
      <x:c r="R292" t="str"/>
      <x:c r="S292" t="str">
        <x:f>IF(R292=1,IF(Q292="PASS","PASS","FAIL"),"OPEN")</x:f>
        <x:v>OPEN</x:v>
      </x:c>
    </x:row>
    <x:row r="293">
      <x:c r="B293" t="str">
        <x:v>RAW-E287</x:v>
      </x:c>
      <x:c r="C293" t="str">
        <x:v>AM-03</x:v>
      </x:c>
      <x:c r="D293" t="str">
        <x:v>TR-B</x:v>
      </x:c>
      <x:c r="E293" t="str">
        <x:v>RFP-C2</x:v>
      </x:c>
      <x:c r="F293" t="str">
        <x:v>PTC-C</x:v>
      </x:c>
      <x:c r="G293" t="str">
        <x:v>QT-05</x:v>
      </x:c>
      <x:c r="H293" t="str">
        <x:v>RAW-V23</x:v>
      </x:c>
      <x:c r="I293" s="14" t="n">
        <x:f>'Reference Envelopes'!F29</x:f>
        <x:v>0.35</x:v>
      </x:c>
      <x:c r="J293" s="14" t="n">
        <x:f>'Reference Envelopes'!G29</x:f>
        <x:v>0.01</x:v>
      </x:c>
      <x:c r="K293" s="14" t="str">
        <x:f>IF(COUNT('Trial Register'!S293)=0,"",'Trial Register'!S293)</x:f>
      </x:c>
      <x:c r="L293" s="14" t="str">
        <x:f>IF(COUNT('Trial Register'!T293)=0,"",'Trial Register'!T293)</x:f>
      </x:c>
      <x:c r="M293" s="14" t="str">
        <x:f>IF(COUNT(K293:L293)&lt;2,"",K293-L293)</x:f>
      </x:c>
      <x:c r="N293" s="14" t="str">
        <x:f>IF(COUNT(K293:L293)&lt;2,"",K293+L293)</x:f>
      </x:c>
      <x:c r="O293" s="14" t="str">
        <x:f>IF(COUNT(K293)=0,"",ABS(K293-I293))</x:f>
      </x:c>
      <x:c r="P293" s="14" t="str">
        <x:f>IF(COUNT(O293)=0,"",IF(J293=0,IF(O293=0,0,999),O293/J293))</x:f>
      </x:c>
      <x:c r="Q293" t="str">
        <x:f>IF(COUNT(M293:N293)&lt;2,"",IF(AND(I293&gt;=M293,I293&lt;=N293,O293&lt;=J293),"PASS","FAIL"))</x:f>
      </x:c>
      <x:c r="R293" t="str"/>
      <x:c r="S293" t="str">
        <x:f>IF(R293=1,IF(Q293="PASS","PASS","FAIL"),"OPEN")</x:f>
        <x:v>OPEN</x:v>
      </x:c>
    </x:row>
    <x:row r="294">
      <x:c r="B294" t="str">
        <x:v>RAW-E288</x:v>
      </x:c>
      <x:c r="C294" t="str">
        <x:v>AM-03</x:v>
      </x:c>
      <x:c r="D294" t="str">
        <x:v>TR-B</x:v>
      </x:c>
      <x:c r="E294" t="str">
        <x:v>RFP-C2</x:v>
      </x:c>
      <x:c r="F294" t="str">
        <x:v>PTC-C</x:v>
      </x:c>
      <x:c r="G294" t="str">
        <x:v>QT-06</x:v>
      </x:c>
      <x:c r="H294" t="str">
        <x:v>RAW-V24</x:v>
      </x:c>
      <x:c r="I294" s="14" t="n">
        <x:f>'Reference Envelopes'!F30</x:f>
        <x:v>0.2</x:v>
      </x:c>
      <x:c r="J294" s="14" t="n">
        <x:f>'Reference Envelopes'!G30</x:f>
        <x:v>0.005</x:v>
      </x:c>
      <x:c r="K294" s="14" t="str">
        <x:f>IF(COUNT('Trial Register'!S294)=0,"",'Trial Register'!S294)</x:f>
      </x:c>
      <x:c r="L294" s="14" t="str">
        <x:f>IF(COUNT('Trial Register'!T294)=0,"",'Trial Register'!T294)</x:f>
      </x:c>
      <x:c r="M294" s="14" t="str">
        <x:f>IF(COUNT(K294:L294)&lt;2,"",K294-L294)</x:f>
      </x:c>
      <x:c r="N294" s="14" t="str">
        <x:f>IF(COUNT(K294:L294)&lt;2,"",K294+L294)</x:f>
      </x:c>
      <x:c r="O294" s="14" t="str">
        <x:f>IF(COUNT(K294)=0,"",ABS(K294-I294))</x:f>
      </x:c>
      <x:c r="P294" s="14" t="str">
        <x:f>IF(COUNT(O294)=0,"",IF(J294=0,IF(O294=0,0,999),O294/J294))</x:f>
      </x:c>
      <x:c r="Q294" t="str">
        <x:f>IF(COUNT(M294:N294)&lt;2,"",IF(AND(I294&gt;=M294,I294&lt;=N294,O294&lt;=J294),"PASS","FAIL"))</x:f>
      </x:c>
      <x:c r="R294" t="str"/>
      <x:c r="S294" t="str">
        <x:f>IF(R294=1,IF(Q294="PASS","PASS","FAIL"),"OPEN")</x:f>
        <x:v>OPEN</x:v>
      </x:c>
    </x:row>
    <x:row r="295">
      <x:c r="B295" t="str">
        <x:v>RAW-E289</x:v>
      </x:c>
      <x:c r="C295" t="str">
        <x:v>AM-04</x:v>
      </x:c>
      <x:c r="D295" t="str">
        <x:v>TR-A</x:v>
      </x:c>
      <x:c r="E295" t="str">
        <x:v>RFP-A1</x:v>
      </x:c>
      <x:c r="F295" t="str">
        <x:v>PTC-A</x:v>
      </x:c>
      <x:c r="G295" t="str">
        <x:v>QT-01</x:v>
      </x:c>
      <x:c r="H295" t="str">
        <x:v>RAW-V25</x:v>
      </x:c>
      <x:c r="I295" s="14" t="n">
        <x:f>'Reference Envelopes'!F31</x:f>
        <x:v>0.5</x:v>
      </x:c>
      <x:c r="J295" s="14" t="n">
        <x:f>'Reference Envelopes'!G31</x:f>
        <x:v>0.005</x:v>
      </x:c>
      <x:c r="K295" s="14" t="str">
        <x:f>IF(COUNT('Trial Register'!S295)=0,"",'Trial Register'!S295)</x:f>
      </x:c>
      <x:c r="L295" s="14" t="str">
        <x:f>IF(COUNT('Trial Register'!T295)=0,"",'Trial Register'!T295)</x:f>
      </x:c>
      <x:c r="M295" s="14" t="str">
        <x:f>IF(COUNT(K295:L295)&lt;2,"",K295-L295)</x:f>
      </x:c>
      <x:c r="N295" s="14" t="str">
        <x:f>IF(COUNT(K295:L295)&lt;2,"",K295+L295)</x:f>
      </x:c>
      <x:c r="O295" s="14" t="str">
        <x:f>IF(COUNT(K295)=0,"",ABS(K295-I295))</x:f>
      </x:c>
      <x:c r="P295" s="14" t="str">
        <x:f>IF(COUNT(O295)=0,"",IF(J295=0,IF(O295=0,0,999),O295/J295))</x:f>
      </x:c>
      <x:c r="Q295" t="str">
        <x:f>IF(COUNT(M295:N295)&lt;2,"",IF(AND(I295&gt;=M295,I295&lt;=N295,O295&lt;=J295),"PASS","FAIL"))</x:f>
      </x:c>
      <x:c r="R295" t="str"/>
      <x:c r="S295" t="str">
        <x:f>IF(R295=1,IF(Q295="PASS","PASS","FAIL"),"OPEN")</x:f>
        <x:v>OPEN</x:v>
      </x:c>
    </x:row>
    <x:row r="296">
      <x:c r="B296" t="str">
        <x:v>RAW-E290</x:v>
      </x:c>
      <x:c r="C296" t="str">
        <x:v>AM-04</x:v>
      </x:c>
      <x:c r="D296" t="str">
        <x:v>TR-A</x:v>
      </x:c>
      <x:c r="E296" t="str">
        <x:v>RFP-A1</x:v>
      </x:c>
      <x:c r="F296" t="str">
        <x:v>PTC-A</x:v>
      </x:c>
      <x:c r="G296" t="str">
        <x:v>QT-02</x:v>
      </x:c>
      <x:c r="H296" t="str">
        <x:v>RAW-V26</x:v>
      </x:c>
      <x:c r="I296" s="14" t="n">
        <x:f>'Reference Envelopes'!F32</x:f>
        <x:v>0.05</x:v>
      </x:c>
      <x:c r="J296" s="14" t="n">
        <x:f>'Reference Envelopes'!G32</x:f>
        <x:v>0.002</x:v>
      </x:c>
      <x:c r="K296" s="14" t="str">
        <x:f>IF(COUNT('Trial Register'!S296)=0,"",'Trial Register'!S296)</x:f>
      </x:c>
      <x:c r="L296" s="14" t="str">
        <x:f>IF(COUNT('Trial Register'!T296)=0,"",'Trial Register'!T296)</x:f>
      </x:c>
      <x:c r="M296" s="14" t="str">
        <x:f>IF(COUNT(K296:L296)&lt;2,"",K296-L296)</x:f>
      </x:c>
      <x:c r="N296" s="14" t="str">
        <x:f>IF(COUNT(K296:L296)&lt;2,"",K296+L296)</x:f>
      </x:c>
      <x:c r="O296" s="14" t="str">
        <x:f>IF(COUNT(K296)=0,"",ABS(K296-I296))</x:f>
      </x:c>
      <x:c r="P296" s="14" t="str">
        <x:f>IF(COUNT(O296)=0,"",IF(J296=0,IF(O296=0,0,999),O296/J296))</x:f>
      </x:c>
      <x:c r="Q296" t="str">
        <x:f>IF(COUNT(M296:N296)&lt;2,"",IF(AND(I296&gt;=M296,I296&lt;=N296,O296&lt;=J296),"PASS","FAIL"))</x:f>
      </x:c>
      <x:c r="R296" t="str"/>
      <x:c r="S296" t="str">
        <x:f>IF(R296=1,IF(Q296="PASS","PASS","FAIL"),"OPEN")</x:f>
        <x:v>OPEN</x:v>
      </x:c>
    </x:row>
    <x:row r="297">
      <x:c r="B297" t="str">
        <x:v>RAW-E291</x:v>
      </x:c>
      <x:c r="C297" t="str">
        <x:v>AM-04</x:v>
      </x:c>
      <x:c r="D297" t="str">
        <x:v>TR-A</x:v>
      </x:c>
      <x:c r="E297" t="str">
        <x:v>RFP-A1</x:v>
      </x:c>
      <x:c r="F297" t="str">
        <x:v>PTC-A</x:v>
      </x:c>
      <x:c r="G297" t="str">
        <x:v>QT-03</x:v>
      </x:c>
      <x:c r="H297" t="str">
        <x:v>RAW-V27</x:v>
      </x:c>
      <x:c r="I297" s="14" t="n">
        <x:f>'Reference Envelopes'!F33</x:f>
        <x:v>0.95</x:v>
      </x:c>
      <x:c r="J297" s="14" t="n">
        <x:f>'Reference Envelopes'!G33</x:f>
        <x:v>0.005</x:v>
      </x:c>
      <x:c r="K297" s="14" t="str">
        <x:f>IF(COUNT('Trial Register'!S297)=0,"",'Trial Register'!S297)</x:f>
      </x:c>
      <x:c r="L297" s="14" t="str">
        <x:f>IF(COUNT('Trial Register'!T297)=0,"",'Trial Register'!T297)</x:f>
      </x:c>
      <x:c r="M297" s="14" t="str">
        <x:f>IF(COUNT(K297:L297)&lt;2,"",K297-L297)</x:f>
      </x:c>
      <x:c r="N297" s="14" t="str">
        <x:f>IF(COUNT(K297:L297)&lt;2,"",K297+L297)</x:f>
      </x:c>
      <x:c r="O297" s="14" t="str">
        <x:f>IF(COUNT(K297)=0,"",ABS(K297-I297))</x:f>
      </x:c>
      <x:c r="P297" s="14" t="str">
        <x:f>IF(COUNT(O297)=0,"",IF(J297=0,IF(O297=0,0,999),O297/J297))</x:f>
      </x:c>
      <x:c r="Q297" t="str">
        <x:f>IF(COUNT(M297:N297)&lt;2,"",IF(AND(I297&gt;=M297,I297&lt;=N297,O297&lt;=J297),"PASS","FAIL"))</x:f>
      </x:c>
      <x:c r="R297" t="str"/>
      <x:c r="S297" t="str">
        <x:f>IF(R297=1,IF(Q297="PASS","PASS","FAIL"),"OPEN")</x:f>
        <x:v>OPEN</x:v>
      </x:c>
    </x:row>
    <x:row r="298">
      <x:c r="B298" t="str">
        <x:v>RAW-E292</x:v>
      </x:c>
      <x:c r="C298" t="str">
        <x:v>AM-04</x:v>
      </x:c>
      <x:c r="D298" t="str">
        <x:v>TR-A</x:v>
      </x:c>
      <x:c r="E298" t="str">
        <x:v>RFP-A1</x:v>
      </x:c>
      <x:c r="F298" t="str">
        <x:v>PTC-A</x:v>
      </x:c>
      <x:c r="G298" t="str">
        <x:v>QT-04</x:v>
      </x:c>
      <x:c r="H298" t="str">
        <x:v>RAW-V28</x:v>
      </x:c>
      <x:c r="I298" s="14" t="n">
        <x:f>'Reference Envelopes'!F34</x:f>
        <x:v>0.35</x:v>
      </x:c>
      <x:c r="J298" s="14" t="n">
        <x:f>'Reference Envelopes'!G34</x:f>
        <x:v>0.005</x:v>
      </x:c>
      <x:c r="K298" s="14" t="str">
        <x:f>IF(COUNT('Trial Register'!S298)=0,"",'Trial Register'!S298)</x:f>
      </x:c>
      <x:c r="L298" s="14" t="str">
        <x:f>IF(COUNT('Trial Register'!T298)=0,"",'Trial Register'!T298)</x:f>
      </x:c>
      <x:c r="M298" s="14" t="str">
        <x:f>IF(COUNT(K298:L298)&lt;2,"",K298-L298)</x:f>
      </x:c>
      <x:c r="N298" s="14" t="str">
        <x:f>IF(COUNT(K298:L298)&lt;2,"",K298+L298)</x:f>
      </x:c>
      <x:c r="O298" s="14" t="str">
        <x:f>IF(COUNT(K298)=0,"",ABS(K298-I298))</x:f>
      </x:c>
      <x:c r="P298" s="14" t="str">
        <x:f>IF(COUNT(O298)=0,"",IF(J298=0,IF(O298=0,0,999),O298/J298))</x:f>
      </x:c>
      <x:c r="Q298" t="str">
        <x:f>IF(COUNT(M298:N298)&lt;2,"",IF(AND(I298&gt;=M298,I298&lt;=N298,O298&lt;=J298),"PASS","FAIL"))</x:f>
      </x:c>
      <x:c r="R298" t="str"/>
      <x:c r="S298" t="str">
        <x:f>IF(R298=1,IF(Q298="PASS","PASS","FAIL"),"OPEN")</x:f>
        <x:v>OPEN</x:v>
      </x:c>
    </x:row>
    <x:row r="299">
      <x:c r="B299" t="str">
        <x:v>RAW-E293</x:v>
      </x:c>
      <x:c r="C299" t="str">
        <x:v>AM-04</x:v>
      </x:c>
      <x:c r="D299" t="str">
        <x:v>TR-A</x:v>
      </x:c>
      <x:c r="E299" t="str">
        <x:v>RFP-A1</x:v>
      </x:c>
      <x:c r="F299" t="str">
        <x:v>PTC-A</x:v>
      </x:c>
      <x:c r="G299" t="str">
        <x:v>QT-05</x:v>
      </x:c>
      <x:c r="H299" t="str">
        <x:v>RAW-V29</x:v>
      </x:c>
      <x:c r="I299" s="14" t="n">
        <x:f>'Reference Envelopes'!F35</x:f>
        <x:v>0.65</x:v>
      </x:c>
      <x:c r="J299" s="14" t="n">
        <x:f>'Reference Envelopes'!G35</x:f>
        <x:v>0.01</x:v>
      </x:c>
      <x:c r="K299" s="14" t="str">
        <x:f>IF(COUNT('Trial Register'!S299)=0,"",'Trial Register'!S299)</x:f>
      </x:c>
      <x:c r="L299" s="14" t="str">
        <x:f>IF(COUNT('Trial Register'!T299)=0,"",'Trial Register'!T299)</x:f>
      </x:c>
      <x:c r="M299" s="14" t="str">
        <x:f>IF(COUNT(K299:L299)&lt;2,"",K299-L299)</x:f>
      </x:c>
      <x:c r="N299" s="14" t="str">
        <x:f>IF(COUNT(K299:L299)&lt;2,"",K299+L299)</x:f>
      </x:c>
      <x:c r="O299" s="14" t="str">
        <x:f>IF(COUNT(K299)=0,"",ABS(K299-I299))</x:f>
      </x:c>
      <x:c r="P299" s="14" t="str">
        <x:f>IF(COUNT(O299)=0,"",IF(J299=0,IF(O299=0,0,999),O299/J299))</x:f>
      </x:c>
      <x:c r="Q299" t="str">
        <x:f>IF(COUNT(M299:N299)&lt;2,"",IF(AND(I299&gt;=M299,I299&lt;=N299,O299&lt;=J299),"PASS","FAIL"))</x:f>
      </x:c>
      <x:c r="R299" t="str"/>
      <x:c r="S299" t="str">
        <x:f>IF(R299=1,IF(Q299="PASS","PASS","FAIL"),"OPEN")</x:f>
        <x:v>OPEN</x:v>
      </x:c>
    </x:row>
    <x:row r="300">
      <x:c r="B300" t="str">
        <x:v>RAW-E294</x:v>
      </x:c>
      <x:c r="C300" t="str">
        <x:v>AM-04</x:v>
      </x:c>
      <x:c r="D300" t="str">
        <x:v>TR-A</x:v>
      </x:c>
      <x:c r="E300" t="str">
        <x:v>RFP-A1</x:v>
      </x:c>
      <x:c r="F300" t="str">
        <x:v>PTC-A</x:v>
      </x:c>
      <x:c r="G300" t="str">
        <x:v>QT-06</x:v>
      </x:c>
      <x:c r="H300" t="str">
        <x:v>RAW-V30</x:v>
      </x:c>
      <x:c r="I300" s="14" t="n">
        <x:f>'Reference Envelopes'!F36</x:f>
        <x:v>0.8</x:v>
      </x:c>
      <x:c r="J300" s="14" t="n">
        <x:f>'Reference Envelopes'!G36</x:f>
        <x:v>0.005</x:v>
      </x:c>
      <x:c r="K300" s="14" t="str">
        <x:f>IF(COUNT('Trial Register'!S300)=0,"",'Trial Register'!S300)</x:f>
      </x:c>
      <x:c r="L300" s="14" t="str">
        <x:f>IF(COUNT('Trial Register'!T300)=0,"",'Trial Register'!T300)</x:f>
      </x:c>
      <x:c r="M300" s="14" t="str">
        <x:f>IF(COUNT(K300:L300)&lt;2,"",K300-L300)</x:f>
      </x:c>
      <x:c r="N300" s="14" t="str">
        <x:f>IF(COUNT(K300:L300)&lt;2,"",K300+L300)</x:f>
      </x:c>
      <x:c r="O300" s="14" t="str">
        <x:f>IF(COUNT(K300)=0,"",ABS(K300-I300))</x:f>
      </x:c>
      <x:c r="P300" s="14" t="str">
        <x:f>IF(COUNT(O300)=0,"",IF(J300=0,IF(O300=0,0,999),O300/J300))</x:f>
      </x:c>
      <x:c r="Q300" t="str">
        <x:f>IF(COUNT(M300:N300)&lt;2,"",IF(AND(I300&gt;=M300,I300&lt;=N300,O300&lt;=J300),"PASS","FAIL"))</x:f>
      </x:c>
      <x:c r="R300" t="str"/>
      <x:c r="S300" t="str">
        <x:f>IF(R300=1,IF(Q300="PASS","PASS","FAIL"),"OPEN")</x:f>
        <x:v>OPEN</x:v>
      </x:c>
    </x:row>
    <x:row r="301">
      <x:c r="B301" t="str">
        <x:v>RAW-E295</x:v>
      </x:c>
      <x:c r="C301" t="str">
        <x:v>AM-04</x:v>
      </x:c>
      <x:c r="D301" t="str">
        <x:v>TR-B</x:v>
      </x:c>
      <x:c r="E301" t="str">
        <x:v>RFP-A1</x:v>
      </x:c>
      <x:c r="F301" t="str">
        <x:v>PTC-A</x:v>
      </x:c>
      <x:c r="G301" t="str">
        <x:v>QT-01</x:v>
      </x:c>
      <x:c r="H301" t="str">
        <x:v>RAW-V25</x:v>
      </x:c>
      <x:c r="I301" s="14" t="n">
        <x:f>'Reference Envelopes'!F31</x:f>
        <x:v>0.5</x:v>
      </x:c>
      <x:c r="J301" s="14" t="n">
        <x:f>'Reference Envelopes'!G31</x:f>
        <x:v>0.005</x:v>
      </x:c>
      <x:c r="K301" s="14" t="str">
        <x:f>IF(COUNT('Trial Register'!S301)=0,"",'Trial Register'!S301)</x:f>
      </x:c>
      <x:c r="L301" s="14" t="str">
        <x:f>IF(COUNT('Trial Register'!T301)=0,"",'Trial Register'!T301)</x:f>
      </x:c>
      <x:c r="M301" s="14" t="str">
        <x:f>IF(COUNT(K301:L301)&lt;2,"",K301-L301)</x:f>
      </x:c>
      <x:c r="N301" s="14" t="str">
        <x:f>IF(COUNT(K301:L301)&lt;2,"",K301+L301)</x:f>
      </x:c>
      <x:c r="O301" s="14" t="str">
        <x:f>IF(COUNT(K301)=0,"",ABS(K301-I301))</x:f>
      </x:c>
      <x:c r="P301" s="14" t="str">
        <x:f>IF(COUNT(O301)=0,"",IF(J301=0,IF(O301=0,0,999),O301/J301))</x:f>
      </x:c>
      <x:c r="Q301" t="str">
        <x:f>IF(COUNT(M301:N301)&lt;2,"",IF(AND(I301&gt;=M301,I301&lt;=N301,O301&lt;=J301),"PASS","FAIL"))</x:f>
      </x:c>
      <x:c r="R301" t="str"/>
      <x:c r="S301" t="str">
        <x:f>IF(R301=1,IF(Q301="PASS","PASS","FAIL"),"OPEN")</x:f>
        <x:v>OPEN</x:v>
      </x:c>
    </x:row>
    <x:row r="302">
      <x:c r="B302" t="str">
        <x:v>RAW-E296</x:v>
      </x:c>
      <x:c r="C302" t="str">
        <x:v>AM-04</x:v>
      </x:c>
      <x:c r="D302" t="str">
        <x:v>TR-B</x:v>
      </x:c>
      <x:c r="E302" t="str">
        <x:v>RFP-A1</x:v>
      </x:c>
      <x:c r="F302" t="str">
        <x:v>PTC-A</x:v>
      </x:c>
      <x:c r="G302" t="str">
        <x:v>QT-02</x:v>
      </x:c>
      <x:c r="H302" t="str">
        <x:v>RAW-V26</x:v>
      </x:c>
      <x:c r="I302" s="14" t="n">
        <x:f>'Reference Envelopes'!F32</x:f>
        <x:v>0.05</x:v>
      </x:c>
      <x:c r="J302" s="14" t="n">
        <x:f>'Reference Envelopes'!G32</x:f>
        <x:v>0.002</x:v>
      </x:c>
      <x:c r="K302" s="14" t="str">
        <x:f>IF(COUNT('Trial Register'!S302)=0,"",'Trial Register'!S302)</x:f>
      </x:c>
      <x:c r="L302" s="14" t="str">
        <x:f>IF(COUNT('Trial Register'!T302)=0,"",'Trial Register'!T302)</x:f>
      </x:c>
      <x:c r="M302" s="14" t="str">
        <x:f>IF(COUNT(K302:L302)&lt;2,"",K302-L302)</x:f>
      </x:c>
      <x:c r="N302" s="14" t="str">
        <x:f>IF(COUNT(K302:L302)&lt;2,"",K302+L302)</x:f>
      </x:c>
      <x:c r="O302" s="14" t="str">
        <x:f>IF(COUNT(K302)=0,"",ABS(K302-I302))</x:f>
      </x:c>
      <x:c r="P302" s="14" t="str">
        <x:f>IF(COUNT(O302)=0,"",IF(J302=0,IF(O302=0,0,999),O302/J302))</x:f>
      </x:c>
      <x:c r="Q302" t="str">
        <x:f>IF(COUNT(M302:N302)&lt;2,"",IF(AND(I302&gt;=M302,I302&lt;=N302,O302&lt;=J302),"PASS","FAIL"))</x:f>
      </x:c>
      <x:c r="R302" t="str"/>
      <x:c r="S302" t="str">
        <x:f>IF(R302=1,IF(Q302="PASS","PASS","FAIL"),"OPEN")</x:f>
        <x:v>OPEN</x:v>
      </x:c>
    </x:row>
    <x:row r="303">
      <x:c r="B303" t="str">
        <x:v>RAW-E297</x:v>
      </x:c>
      <x:c r="C303" t="str">
        <x:v>AM-04</x:v>
      </x:c>
      <x:c r="D303" t="str">
        <x:v>TR-B</x:v>
      </x:c>
      <x:c r="E303" t="str">
        <x:v>RFP-A1</x:v>
      </x:c>
      <x:c r="F303" t="str">
        <x:v>PTC-A</x:v>
      </x:c>
      <x:c r="G303" t="str">
        <x:v>QT-03</x:v>
      </x:c>
      <x:c r="H303" t="str">
        <x:v>RAW-V27</x:v>
      </x:c>
      <x:c r="I303" s="14" t="n">
        <x:f>'Reference Envelopes'!F33</x:f>
        <x:v>0.95</x:v>
      </x:c>
      <x:c r="J303" s="14" t="n">
        <x:f>'Reference Envelopes'!G33</x:f>
        <x:v>0.005</x:v>
      </x:c>
      <x:c r="K303" s="14" t="str">
        <x:f>IF(COUNT('Trial Register'!S303)=0,"",'Trial Register'!S303)</x:f>
      </x:c>
      <x:c r="L303" s="14" t="str">
        <x:f>IF(COUNT('Trial Register'!T303)=0,"",'Trial Register'!T303)</x:f>
      </x:c>
      <x:c r="M303" s="14" t="str">
        <x:f>IF(COUNT(K303:L303)&lt;2,"",K303-L303)</x:f>
      </x:c>
      <x:c r="N303" s="14" t="str">
        <x:f>IF(COUNT(K303:L303)&lt;2,"",K303+L303)</x:f>
      </x:c>
      <x:c r="O303" s="14" t="str">
        <x:f>IF(COUNT(K303)=0,"",ABS(K303-I303))</x:f>
      </x:c>
      <x:c r="P303" s="14" t="str">
        <x:f>IF(COUNT(O303)=0,"",IF(J303=0,IF(O303=0,0,999),O303/J303))</x:f>
      </x:c>
      <x:c r="Q303" t="str">
        <x:f>IF(COUNT(M303:N303)&lt;2,"",IF(AND(I303&gt;=M303,I303&lt;=N303,O303&lt;=J303),"PASS","FAIL"))</x:f>
      </x:c>
      <x:c r="R303" t="str"/>
      <x:c r="S303" t="str">
        <x:f>IF(R303=1,IF(Q303="PASS","PASS","FAIL"),"OPEN")</x:f>
        <x:v>OPEN</x:v>
      </x:c>
    </x:row>
    <x:row r="304">
      <x:c r="B304" t="str">
        <x:v>RAW-E298</x:v>
      </x:c>
      <x:c r="C304" t="str">
        <x:v>AM-04</x:v>
      </x:c>
      <x:c r="D304" t="str">
        <x:v>TR-B</x:v>
      </x:c>
      <x:c r="E304" t="str">
        <x:v>RFP-A1</x:v>
      </x:c>
      <x:c r="F304" t="str">
        <x:v>PTC-A</x:v>
      </x:c>
      <x:c r="G304" t="str">
        <x:v>QT-04</x:v>
      </x:c>
      <x:c r="H304" t="str">
        <x:v>RAW-V28</x:v>
      </x:c>
      <x:c r="I304" s="14" t="n">
        <x:f>'Reference Envelopes'!F34</x:f>
        <x:v>0.35</x:v>
      </x:c>
      <x:c r="J304" s="14" t="n">
        <x:f>'Reference Envelopes'!G34</x:f>
        <x:v>0.005</x:v>
      </x:c>
      <x:c r="K304" s="14" t="str">
        <x:f>IF(COUNT('Trial Register'!S304)=0,"",'Trial Register'!S304)</x:f>
      </x:c>
      <x:c r="L304" s="14" t="str">
        <x:f>IF(COUNT('Trial Register'!T304)=0,"",'Trial Register'!T304)</x:f>
      </x:c>
      <x:c r="M304" s="14" t="str">
        <x:f>IF(COUNT(K304:L304)&lt;2,"",K304-L304)</x:f>
      </x:c>
      <x:c r="N304" s="14" t="str">
        <x:f>IF(COUNT(K304:L304)&lt;2,"",K304+L304)</x:f>
      </x:c>
      <x:c r="O304" s="14" t="str">
        <x:f>IF(COUNT(K304)=0,"",ABS(K304-I304))</x:f>
      </x:c>
      <x:c r="P304" s="14" t="str">
        <x:f>IF(COUNT(O304)=0,"",IF(J304=0,IF(O304=0,0,999),O304/J304))</x:f>
      </x:c>
      <x:c r="Q304" t="str">
        <x:f>IF(COUNT(M304:N304)&lt;2,"",IF(AND(I304&gt;=M304,I304&lt;=N304,O304&lt;=J304),"PASS","FAIL"))</x:f>
      </x:c>
      <x:c r="R304" t="str"/>
      <x:c r="S304" t="str">
        <x:f>IF(R304=1,IF(Q304="PASS","PASS","FAIL"),"OPEN")</x:f>
        <x:v>OPEN</x:v>
      </x:c>
    </x:row>
    <x:row r="305">
      <x:c r="B305" t="str">
        <x:v>RAW-E299</x:v>
      </x:c>
      <x:c r="C305" t="str">
        <x:v>AM-04</x:v>
      </x:c>
      <x:c r="D305" t="str">
        <x:v>TR-B</x:v>
      </x:c>
      <x:c r="E305" t="str">
        <x:v>RFP-A1</x:v>
      </x:c>
      <x:c r="F305" t="str">
        <x:v>PTC-A</x:v>
      </x:c>
      <x:c r="G305" t="str">
        <x:v>QT-05</x:v>
      </x:c>
      <x:c r="H305" t="str">
        <x:v>RAW-V29</x:v>
      </x:c>
      <x:c r="I305" s="14" t="n">
        <x:f>'Reference Envelopes'!F35</x:f>
        <x:v>0.65</x:v>
      </x:c>
      <x:c r="J305" s="14" t="n">
        <x:f>'Reference Envelopes'!G35</x:f>
        <x:v>0.01</x:v>
      </x:c>
      <x:c r="K305" s="14" t="str">
        <x:f>IF(COUNT('Trial Register'!S305)=0,"",'Trial Register'!S305)</x:f>
      </x:c>
      <x:c r="L305" s="14" t="str">
        <x:f>IF(COUNT('Trial Register'!T305)=0,"",'Trial Register'!T305)</x:f>
      </x:c>
      <x:c r="M305" s="14" t="str">
        <x:f>IF(COUNT(K305:L305)&lt;2,"",K305-L305)</x:f>
      </x:c>
      <x:c r="N305" s="14" t="str">
        <x:f>IF(COUNT(K305:L305)&lt;2,"",K305+L305)</x:f>
      </x:c>
      <x:c r="O305" s="14" t="str">
        <x:f>IF(COUNT(K305)=0,"",ABS(K305-I305))</x:f>
      </x:c>
      <x:c r="P305" s="14" t="str">
        <x:f>IF(COUNT(O305)=0,"",IF(J305=0,IF(O305=0,0,999),O305/J305))</x:f>
      </x:c>
      <x:c r="Q305" t="str">
        <x:f>IF(COUNT(M305:N305)&lt;2,"",IF(AND(I305&gt;=M305,I305&lt;=N305,O305&lt;=J305),"PASS","FAIL"))</x:f>
      </x:c>
      <x:c r="R305" t="str"/>
      <x:c r="S305" t="str">
        <x:f>IF(R305=1,IF(Q305="PASS","PASS","FAIL"),"OPEN")</x:f>
        <x:v>OPEN</x:v>
      </x:c>
    </x:row>
    <x:row r="306">
      <x:c r="B306" t="str">
        <x:v>RAW-E300</x:v>
      </x:c>
      <x:c r="C306" t="str">
        <x:v>AM-04</x:v>
      </x:c>
      <x:c r="D306" t="str">
        <x:v>TR-B</x:v>
      </x:c>
      <x:c r="E306" t="str">
        <x:v>RFP-A1</x:v>
      </x:c>
      <x:c r="F306" t="str">
        <x:v>PTC-A</x:v>
      </x:c>
      <x:c r="G306" t="str">
        <x:v>QT-06</x:v>
      </x:c>
      <x:c r="H306" t="str">
        <x:v>RAW-V30</x:v>
      </x:c>
      <x:c r="I306" s="14" t="n">
        <x:f>'Reference Envelopes'!F36</x:f>
        <x:v>0.8</x:v>
      </x:c>
      <x:c r="J306" s="14" t="n">
        <x:f>'Reference Envelopes'!G36</x:f>
        <x:v>0.005</x:v>
      </x:c>
      <x:c r="K306" s="14" t="str">
        <x:f>IF(COUNT('Trial Register'!S306)=0,"",'Trial Register'!S306)</x:f>
      </x:c>
      <x:c r="L306" s="14" t="str">
        <x:f>IF(COUNT('Trial Register'!T306)=0,"",'Trial Register'!T306)</x:f>
      </x:c>
      <x:c r="M306" s="14" t="str">
        <x:f>IF(COUNT(K306:L306)&lt;2,"",K306-L306)</x:f>
      </x:c>
      <x:c r="N306" s="14" t="str">
        <x:f>IF(COUNT(K306:L306)&lt;2,"",K306+L306)</x:f>
      </x:c>
      <x:c r="O306" s="14" t="str">
        <x:f>IF(COUNT(K306)=0,"",ABS(K306-I306))</x:f>
      </x:c>
      <x:c r="P306" s="14" t="str">
        <x:f>IF(COUNT(O306)=0,"",IF(J306=0,IF(O306=0,0,999),O306/J306))</x:f>
      </x:c>
      <x:c r="Q306" t="str">
        <x:f>IF(COUNT(M306:N306)&lt;2,"",IF(AND(I306&gt;=M306,I306&lt;=N306,O306&lt;=J306),"PASS","FAIL"))</x:f>
      </x:c>
      <x:c r="R306" t="str"/>
      <x:c r="S306" t="str">
        <x:f>IF(R306=1,IF(Q306="PASS","PASS","FAIL"),"OPEN")</x:f>
        <x:v>OPEN</x:v>
      </x:c>
    </x:row>
    <x:row r="307">
      <x:c r="B307" t="str">
        <x:v>RAW-E301</x:v>
      </x:c>
      <x:c r="C307" t="str">
        <x:v>AM-04</x:v>
      </x:c>
      <x:c r="D307" t="str">
        <x:v>TR-A</x:v>
      </x:c>
      <x:c r="E307" t="str">
        <x:v>RFP-A2</x:v>
      </x:c>
      <x:c r="F307" t="str">
        <x:v>PTC-A</x:v>
      </x:c>
      <x:c r="G307" t="str">
        <x:v>QT-01</x:v>
      </x:c>
      <x:c r="H307" t="str">
        <x:v>RAW-V25</x:v>
      </x:c>
      <x:c r="I307" s="14" t="n">
        <x:f>'Reference Envelopes'!F31</x:f>
        <x:v>0.5</x:v>
      </x:c>
      <x:c r="J307" s="14" t="n">
        <x:f>'Reference Envelopes'!G31</x:f>
        <x:v>0.005</x:v>
      </x:c>
      <x:c r="K307" s="14" t="str">
        <x:f>IF(COUNT('Trial Register'!S307)=0,"",'Trial Register'!S307)</x:f>
      </x:c>
      <x:c r="L307" s="14" t="str">
        <x:f>IF(COUNT('Trial Register'!T307)=0,"",'Trial Register'!T307)</x:f>
      </x:c>
      <x:c r="M307" s="14" t="str">
        <x:f>IF(COUNT(K307:L307)&lt;2,"",K307-L307)</x:f>
      </x:c>
      <x:c r="N307" s="14" t="str">
        <x:f>IF(COUNT(K307:L307)&lt;2,"",K307+L307)</x:f>
      </x:c>
      <x:c r="O307" s="14" t="str">
        <x:f>IF(COUNT(K307)=0,"",ABS(K307-I307))</x:f>
      </x:c>
      <x:c r="P307" s="14" t="str">
        <x:f>IF(COUNT(O307)=0,"",IF(J307=0,IF(O307=0,0,999),O307/J307))</x:f>
      </x:c>
      <x:c r="Q307" t="str">
        <x:f>IF(COUNT(M307:N307)&lt;2,"",IF(AND(I307&gt;=M307,I307&lt;=N307,O307&lt;=J307),"PASS","FAIL"))</x:f>
      </x:c>
      <x:c r="R307" t="str"/>
      <x:c r="S307" t="str">
        <x:f>IF(R307=1,IF(Q307="PASS","PASS","FAIL"),"OPEN")</x:f>
        <x:v>OPEN</x:v>
      </x:c>
    </x:row>
    <x:row r="308">
      <x:c r="B308" t="str">
        <x:v>RAW-E302</x:v>
      </x:c>
      <x:c r="C308" t="str">
        <x:v>AM-04</x:v>
      </x:c>
      <x:c r="D308" t="str">
        <x:v>TR-A</x:v>
      </x:c>
      <x:c r="E308" t="str">
        <x:v>RFP-A2</x:v>
      </x:c>
      <x:c r="F308" t="str">
        <x:v>PTC-A</x:v>
      </x:c>
      <x:c r="G308" t="str">
        <x:v>QT-02</x:v>
      </x:c>
      <x:c r="H308" t="str">
        <x:v>RAW-V26</x:v>
      </x:c>
      <x:c r="I308" s="14" t="n">
        <x:f>'Reference Envelopes'!F32</x:f>
        <x:v>0.05</x:v>
      </x:c>
      <x:c r="J308" s="14" t="n">
        <x:f>'Reference Envelopes'!G32</x:f>
        <x:v>0.002</x:v>
      </x:c>
      <x:c r="K308" s="14" t="str">
        <x:f>IF(COUNT('Trial Register'!S308)=0,"",'Trial Register'!S308)</x:f>
      </x:c>
      <x:c r="L308" s="14" t="str">
        <x:f>IF(COUNT('Trial Register'!T308)=0,"",'Trial Register'!T308)</x:f>
      </x:c>
      <x:c r="M308" s="14" t="str">
        <x:f>IF(COUNT(K308:L308)&lt;2,"",K308-L308)</x:f>
      </x:c>
      <x:c r="N308" s="14" t="str">
        <x:f>IF(COUNT(K308:L308)&lt;2,"",K308+L308)</x:f>
      </x:c>
      <x:c r="O308" s="14" t="str">
        <x:f>IF(COUNT(K308)=0,"",ABS(K308-I308))</x:f>
      </x:c>
      <x:c r="P308" s="14" t="str">
        <x:f>IF(COUNT(O308)=0,"",IF(J308=0,IF(O308=0,0,999),O308/J308))</x:f>
      </x:c>
      <x:c r="Q308" t="str">
        <x:f>IF(COUNT(M308:N308)&lt;2,"",IF(AND(I308&gt;=M308,I308&lt;=N308,O308&lt;=J308),"PASS","FAIL"))</x:f>
      </x:c>
      <x:c r="R308" t="str"/>
      <x:c r="S308" t="str">
        <x:f>IF(R308=1,IF(Q308="PASS","PASS","FAIL"),"OPEN")</x:f>
        <x:v>OPEN</x:v>
      </x:c>
    </x:row>
    <x:row r="309">
      <x:c r="B309" t="str">
        <x:v>RAW-E303</x:v>
      </x:c>
      <x:c r="C309" t="str">
        <x:v>AM-04</x:v>
      </x:c>
      <x:c r="D309" t="str">
        <x:v>TR-A</x:v>
      </x:c>
      <x:c r="E309" t="str">
        <x:v>RFP-A2</x:v>
      </x:c>
      <x:c r="F309" t="str">
        <x:v>PTC-A</x:v>
      </x:c>
      <x:c r="G309" t="str">
        <x:v>QT-03</x:v>
      </x:c>
      <x:c r="H309" t="str">
        <x:v>RAW-V27</x:v>
      </x:c>
      <x:c r="I309" s="14" t="n">
        <x:f>'Reference Envelopes'!F33</x:f>
        <x:v>0.95</x:v>
      </x:c>
      <x:c r="J309" s="14" t="n">
        <x:f>'Reference Envelopes'!G33</x:f>
        <x:v>0.005</x:v>
      </x:c>
      <x:c r="K309" s="14" t="str">
        <x:f>IF(COUNT('Trial Register'!S309)=0,"",'Trial Register'!S309)</x:f>
      </x:c>
      <x:c r="L309" s="14" t="str">
        <x:f>IF(COUNT('Trial Register'!T309)=0,"",'Trial Register'!T309)</x:f>
      </x:c>
      <x:c r="M309" s="14" t="str">
        <x:f>IF(COUNT(K309:L309)&lt;2,"",K309-L309)</x:f>
      </x:c>
      <x:c r="N309" s="14" t="str">
        <x:f>IF(COUNT(K309:L309)&lt;2,"",K309+L309)</x:f>
      </x:c>
      <x:c r="O309" s="14" t="str">
        <x:f>IF(COUNT(K309)=0,"",ABS(K309-I309))</x:f>
      </x:c>
      <x:c r="P309" s="14" t="str">
        <x:f>IF(COUNT(O309)=0,"",IF(J309=0,IF(O309=0,0,999),O309/J309))</x:f>
      </x:c>
      <x:c r="Q309" t="str">
        <x:f>IF(COUNT(M309:N309)&lt;2,"",IF(AND(I309&gt;=M309,I309&lt;=N309,O309&lt;=J309),"PASS","FAIL"))</x:f>
      </x:c>
      <x:c r="R309" t="str"/>
      <x:c r="S309" t="str">
        <x:f>IF(R309=1,IF(Q309="PASS","PASS","FAIL"),"OPEN")</x:f>
        <x:v>OPEN</x:v>
      </x:c>
    </x:row>
    <x:row r="310">
      <x:c r="B310" t="str">
        <x:v>RAW-E304</x:v>
      </x:c>
      <x:c r="C310" t="str">
        <x:v>AM-04</x:v>
      </x:c>
      <x:c r="D310" t="str">
        <x:v>TR-A</x:v>
      </x:c>
      <x:c r="E310" t="str">
        <x:v>RFP-A2</x:v>
      </x:c>
      <x:c r="F310" t="str">
        <x:v>PTC-A</x:v>
      </x:c>
      <x:c r="G310" t="str">
        <x:v>QT-04</x:v>
      </x:c>
      <x:c r="H310" t="str">
        <x:v>RAW-V28</x:v>
      </x:c>
      <x:c r="I310" s="14" t="n">
        <x:f>'Reference Envelopes'!F34</x:f>
        <x:v>0.35</x:v>
      </x:c>
      <x:c r="J310" s="14" t="n">
        <x:f>'Reference Envelopes'!G34</x:f>
        <x:v>0.005</x:v>
      </x:c>
      <x:c r="K310" s="14" t="str">
        <x:f>IF(COUNT('Trial Register'!S310)=0,"",'Trial Register'!S310)</x:f>
      </x:c>
      <x:c r="L310" s="14" t="str">
        <x:f>IF(COUNT('Trial Register'!T310)=0,"",'Trial Register'!T310)</x:f>
      </x:c>
      <x:c r="M310" s="14" t="str">
        <x:f>IF(COUNT(K310:L310)&lt;2,"",K310-L310)</x:f>
      </x:c>
      <x:c r="N310" s="14" t="str">
        <x:f>IF(COUNT(K310:L310)&lt;2,"",K310+L310)</x:f>
      </x:c>
      <x:c r="O310" s="14" t="str">
        <x:f>IF(COUNT(K310)=0,"",ABS(K310-I310))</x:f>
      </x:c>
      <x:c r="P310" s="14" t="str">
        <x:f>IF(COUNT(O310)=0,"",IF(J310=0,IF(O310=0,0,999),O310/J310))</x:f>
      </x:c>
      <x:c r="Q310" t="str">
        <x:f>IF(COUNT(M310:N310)&lt;2,"",IF(AND(I310&gt;=M310,I310&lt;=N310,O310&lt;=J310),"PASS","FAIL"))</x:f>
      </x:c>
      <x:c r="R310" t="str"/>
      <x:c r="S310" t="str">
        <x:f>IF(R310=1,IF(Q310="PASS","PASS","FAIL"),"OPEN")</x:f>
        <x:v>OPEN</x:v>
      </x:c>
    </x:row>
    <x:row r="311">
      <x:c r="B311" t="str">
        <x:v>RAW-E305</x:v>
      </x:c>
      <x:c r="C311" t="str">
        <x:v>AM-04</x:v>
      </x:c>
      <x:c r="D311" t="str">
        <x:v>TR-A</x:v>
      </x:c>
      <x:c r="E311" t="str">
        <x:v>RFP-A2</x:v>
      </x:c>
      <x:c r="F311" t="str">
        <x:v>PTC-A</x:v>
      </x:c>
      <x:c r="G311" t="str">
        <x:v>QT-05</x:v>
      </x:c>
      <x:c r="H311" t="str">
        <x:v>RAW-V29</x:v>
      </x:c>
      <x:c r="I311" s="14" t="n">
        <x:f>'Reference Envelopes'!F35</x:f>
        <x:v>0.65</x:v>
      </x:c>
      <x:c r="J311" s="14" t="n">
        <x:f>'Reference Envelopes'!G35</x:f>
        <x:v>0.01</x:v>
      </x:c>
      <x:c r="K311" s="14" t="str">
        <x:f>IF(COUNT('Trial Register'!S311)=0,"",'Trial Register'!S311)</x:f>
      </x:c>
      <x:c r="L311" s="14" t="str">
        <x:f>IF(COUNT('Trial Register'!T311)=0,"",'Trial Register'!T311)</x:f>
      </x:c>
      <x:c r="M311" s="14" t="str">
        <x:f>IF(COUNT(K311:L311)&lt;2,"",K311-L311)</x:f>
      </x:c>
      <x:c r="N311" s="14" t="str">
        <x:f>IF(COUNT(K311:L311)&lt;2,"",K311+L311)</x:f>
      </x:c>
      <x:c r="O311" s="14" t="str">
        <x:f>IF(COUNT(K311)=0,"",ABS(K311-I311))</x:f>
      </x:c>
      <x:c r="P311" s="14" t="str">
        <x:f>IF(COUNT(O311)=0,"",IF(J311=0,IF(O311=0,0,999),O311/J311))</x:f>
      </x:c>
      <x:c r="Q311" t="str">
        <x:f>IF(COUNT(M311:N311)&lt;2,"",IF(AND(I311&gt;=M311,I311&lt;=N311,O311&lt;=J311),"PASS","FAIL"))</x:f>
      </x:c>
      <x:c r="R311" t="str"/>
      <x:c r="S311" t="str">
        <x:f>IF(R311=1,IF(Q311="PASS","PASS","FAIL"),"OPEN")</x:f>
        <x:v>OPEN</x:v>
      </x:c>
    </x:row>
    <x:row r="312">
      <x:c r="B312" t="str">
        <x:v>RAW-E306</x:v>
      </x:c>
      <x:c r="C312" t="str">
        <x:v>AM-04</x:v>
      </x:c>
      <x:c r="D312" t="str">
        <x:v>TR-A</x:v>
      </x:c>
      <x:c r="E312" t="str">
        <x:v>RFP-A2</x:v>
      </x:c>
      <x:c r="F312" t="str">
        <x:v>PTC-A</x:v>
      </x:c>
      <x:c r="G312" t="str">
        <x:v>QT-06</x:v>
      </x:c>
      <x:c r="H312" t="str">
        <x:v>RAW-V30</x:v>
      </x:c>
      <x:c r="I312" s="14" t="n">
        <x:f>'Reference Envelopes'!F36</x:f>
        <x:v>0.8</x:v>
      </x:c>
      <x:c r="J312" s="14" t="n">
        <x:f>'Reference Envelopes'!G36</x:f>
        <x:v>0.005</x:v>
      </x:c>
      <x:c r="K312" s="14" t="str">
        <x:f>IF(COUNT('Trial Register'!S312)=0,"",'Trial Register'!S312)</x:f>
      </x:c>
      <x:c r="L312" s="14" t="str">
        <x:f>IF(COUNT('Trial Register'!T312)=0,"",'Trial Register'!T312)</x:f>
      </x:c>
      <x:c r="M312" s="14" t="str">
        <x:f>IF(COUNT(K312:L312)&lt;2,"",K312-L312)</x:f>
      </x:c>
      <x:c r="N312" s="14" t="str">
        <x:f>IF(COUNT(K312:L312)&lt;2,"",K312+L312)</x:f>
      </x:c>
      <x:c r="O312" s="14" t="str">
        <x:f>IF(COUNT(K312)=0,"",ABS(K312-I312))</x:f>
      </x:c>
      <x:c r="P312" s="14" t="str">
        <x:f>IF(COUNT(O312)=0,"",IF(J312=0,IF(O312=0,0,999),O312/J312))</x:f>
      </x:c>
      <x:c r="Q312" t="str">
        <x:f>IF(COUNT(M312:N312)&lt;2,"",IF(AND(I312&gt;=M312,I312&lt;=N312,O312&lt;=J312),"PASS","FAIL"))</x:f>
      </x:c>
      <x:c r="R312" t="str"/>
      <x:c r="S312" t="str">
        <x:f>IF(R312=1,IF(Q312="PASS","PASS","FAIL"),"OPEN")</x:f>
        <x:v>OPEN</x:v>
      </x:c>
    </x:row>
    <x:row r="313">
      <x:c r="B313" t="str">
        <x:v>RAW-E307</x:v>
      </x:c>
      <x:c r="C313" t="str">
        <x:v>AM-04</x:v>
      </x:c>
      <x:c r="D313" t="str">
        <x:v>TR-B</x:v>
      </x:c>
      <x:c r="E313" t="str">
        <x:v>RFP-A2</x:v>
      </x:c>
      <x:c r="F313" t="str">
        <x:v>PTC-A</x:v>
      </x:c>
      <x:c r="G313" t="str">
        <x:v>QT-01</x:v>
      </x:c>
      <x:c r="H313" t="str">
        <x:v>RAW-V25</x:v>
      </x:c>
      <x:c r="I313" s="14" t="n">
        <x:f>'Reference Envelopes'!F31</x:f>
        <x:v>0.5</x:v>
      </x:c>
      <x:c r="J313" s="14" t="n">
        <x:f>'Reference Envelopes'!G31</x:f>
        <x:v>0.005</x:v>
      </x:c>
      <x:c r="K313" s="14" t="str">
        <x:f>IF(COUNT('Trial Register'!S313)=0,"",'Trial Register'!S313)</x:f>
      </x:c>
      <x:c r="L313" s="14" t="str">
        <x:f>IF(COUNT('Trial Register'!T313)=0,"",'Trial Register'!T313)</x:f>
      </x:c>
      <x:c r="M313" s="14" t="str">
        <x:f>IF(COUNT(K313:L313)&lt;2,"",K313-L313)</x:f>
      </x:c>
      <x:c r="N313" s="14" t="str">
        <x:f>IF(COUNT(K313:L313)&lt;2,"",K313+L313)</x:f>
      </x:c>
      <x:c r="O313" s="14" t="str">
        <x:f>IF(COUNT(K313)=0,"",ABS(K313-I313))</x:f>
      </x:c>
      <x:c r="P313" s="14" t="str">
        <x:f>IF(COUNT(O313)=0,"",IF(J313=0,IF(O313=0,0,999),O313/J313))</x:f>
      </x:c>
      <x:c r="Q313" t="str">
        <x:f>IF(COUNT(M313:N313)&lt;2,"",IF(AND(I313&gt;=M313,I313&lt;=N313,O313&lt;=J313),"PASS","FAIL"))</x:f>
      </x:c>
      <x:c r="R313" t="str"/>
      <x:c r="S313" t="str">
        <x:f>IF(R313=1,IF(Q313="PASS","PASS","FAIL"),"OPEN")</x:f>
        <x:v>OPEN</x:v>
      </x:c>
    </x:row>
    <x:row r="314">
      <x:c r="B314" t="str">
        <x:v>RAW-E308</x:v>
      </x:c>
      <x:c r="C314" t="str">
        <x:v>AM-04</x:v>
      </x:c>
      <x:c r="D314" t="str">
        <x:v>TR-B</x:v>
      </x:c>
      <x:c r="E314" t="str">
        <x:v>RFP-A2</x:v>
      </x:c>
      <x:c r="F314" t="str">
        <x:v>PTC-A</x:v>
      </x:c>
      <x:c r="G314" t="str">
        <x:v>QT-02</x:v>
      </x:c>
      <x:c r="H314" t="str">
        <x:v>RAW-V26</x:v>
      </x:c>
      <x:c r="I314" s="14" t="n">
        <x:f>'Reference Envelopes'!F32</x:f>
        <x:v>0.05</x:v>
      </x:c>
      <x:c r="J314" s="14" t="n">
        <x:f>'Reference Envelopes'!G32</x:f>
        <x:v>0.002</x:v>
      </x:c>
      <x:c r="K314" s="14" t="str">
        <x:f>IF(COUNT('Trial Register'!S314)=0,"",'Trial Register'!S314)</x:f>
      </x:c>
      <x:c r="L314" s="14" t="str">
        <x:f>IF(COUNT('Trial Register'!T314)=0,"",'Trial Register'!T314)</x:f>
      </x:c>
      <x:c r="M314" s="14" t="str">
        <x:f>IF(COUNT(K314:L314)&lt;2,"",K314-L314)</x:f>
      </x:c>
      <x:c r="N314" s="14" t="str">
        <x:f>IF(COUNT(K314:L314)&lt;2,"",K314+L314)</x:f>
      </x:c>
      <x:c r="O314" s="14" t="str">
        <x:f>IF(COUNT(K314)=0,"",ABS(K314-I314))</x:f>
      </x:c>
      <x:c r="P314" s="14" t="str">
        <x:f>IF(COUNT(O314)=0,"",IF(J314=0,IF(O314=0,0,999),O314/J314))</x:f>
      </x:c>
      <x:c r="Q314" t="str">
        <x:f>IF(COUNT(M314:N314)&lt;2,"",IF(AND(I314&gt;=M314,I314&lt;=N314,O314&lt;=J314),"PASS","FAIL"))</x:f>
      </x:c>
      <x:c r="R314" t="str"/>
      <x:c r="S314" t="str">
        <x:f>IF(R314=1,IF(Q314="PASS","PASS","FAIL"),"OPEN")</x:f>
        <x:v>OPEN</x:v>
      </x:c>
    </x:row>
    <x:row r="315">
      <x:c r="B315" t="str">
        <x:v>RAW-E309</x:v>
      </x:c>
      <x:c r="C315" t="str">
        <x:v>AM-04</x:v>
      </x:c>
      <x:c r="D315" t="str">
        <x:v>TR-B</x:v>
      </x:c>
      <x:c r="E315" t="str">
        <x:v>RFP-A2</x:v>
      </x:c>
      <x:c r="F315" t="str">
        <x:v>PTC-A</x:v>
      </x:c>
      <x:c r="G315" t="str">
        <x:v>QT-03</x:v>
      </x:c>
      <x:c r="H315" t="str">
        <x:v>RAW-V27</x:v>
      </x:c>
      <x:c r="I315" s="14" t="n">
        <x:f>'Reference Envelopes'!F33</x:f>
        <x:v>0.95</x:v>
      </x:c>
      <x:c r="J315" s="14" t="n">
        <x:f>'Reference Envelopes'!G33</x:f>
        <x:v>0.005</x:v>
      </x:c>
      <x:c r="K315" s="14" t="str">
        <x:f>IF(COUNT('Trial Register'!S315)=0,"",'Trial Register'!S315)</x:f>
      </x:c>
      <x:c r="L315" s="14" t="str">
        <x:f>IF(COUNT('Trial Register'!T315)=0,"",'Trial Register'!T315)</x:f>
      </x:c>
      <x:c r="M315" s="14" t="str">
        <x:f>IF(COUNT(K315:L315)&lt;2,"",K315-L315)</x:f>
      </x:c>
      <x:c r="N315" s="14" t="str">
        <x:f>IF(COUNT(K315:L315)&lt;2,"",K315+L315)</x:f>
      </x:c>
      <x:c r="O315" s="14" t="str">
        <x:f>IF(COUNT(K315)=0,"",ABS(K315-I315))</x:f>
      </x:c>
      <x:c r="P315" s="14" t="str">
        <x:f>IF(COUNT(O315)=0,"",IF(J315=0,IF(O315=0,0,999),O315/J315))</x:f>
      </x:c>
      <x:c r="Q315" t="str">
        <x:f>IF(COUNT(M315:N315)&lt;2,"",IF(AND(I315&gt;=M315,I315&lt;=N315,O315&lt;=J315),"PASS","FAIL"))</x:f>
      </x:c>
      <x:c r="R315" t="str"/>
      <x:c r="S315" t="str">
        <x:f>IF(R315=1,IF(Q315="PASS","PASS","FAIL"),"OPEN")</x:f>
        <x:v>OPEN</x:v>
      </x:c>
    </x:row>
    <x:row r="316">
      <x:c r="B316" t="str">
        <x:v>RAW-E310</x:v>
      </x:c>
      <x:c r="C316" t="str">
        <x:v>AM-04</x:v>
      </x:c>
      <x:c r="D316" t="str">
        <x:v>TR-B</x:v>
      </x:c>
      <x:c r="E316" t="str">
        <x:v>RFP-A2</x:v>
      </x:c>
      <x:c r="F316" t="str">
        <x:v>PTC-A</x:v>
      </x:c>
      <x:c r="G316" t="str">
        <x:v>QT-04</x:v>
      </x:c>
      <x:c r="H316" t="str">
        <x:v>RAW-V28</x:v>
      </x:c>
      <x:c r="I316" s="14" t="n">
        <x:f>'Reference Envelopes'!F34</x:f>
        <x:v>0.35</x:v>
      </x:c>
      <x:c r="J316" s="14" t="n">
        <x:f>'Reference Envelopes'!G34</x:f>
        <x:v>0.005</x:v>
      </x:c>
      <x:c r="K316" s="14" t="str">
        <x:f>IF(COUNT('Trial Register'!S316)=0,"",'Trial Register'!S316)</x:f>
      </x:c>
      <x:c r="L316" s="14" t="str">
        <x:f>IF(COUNT('Trial Register'!T316)=0,"",'Trial Register'!T316)</x:f>
      </x:c>
      <x:c r="M316" s="14" t="str">
        <x:f>IF(COUNT(K316:L316)&lt;2,"",K316-L316)</x:f>
      </x:c>
      <x:c r="N316" s="14" t="str">
        <x:f>IF(COUNT(K316:L316)&lt;2,"",K316+L316)</x:f>
      </x:c>
      <x:c r="O316" s="14" t="str">
        <x:f>IF(COUNT(K316)=0,"",ABS(K316-I316))</x:f>
      </x:c>
      <x:c r="P316" s="14" t="str">
        <x:f>IF(COUNT(O316)=0,"",IF(J316=0,IF(O316=0,0,999),O316/J316))</x:f>
      </x:c>
      <x:c r="Q316" t="str">
        <x:f>IF(COUNT(M316:N316)&lt;2,"",IF(AND(I316&gt;=M316,I316&lt;=N316,O316&lt;=J316),"PASS","FAIL"))</x:f>
      </x:c>
      <x:c r="R316" t="str"/>
      <x:c r="S316" t="str">
        <x:f>IF(R316=1,IF(Q316="PASS","PASS","FAIL"),"OPEN")</x:f>
        <x:v>OPEN</x:v>
      </x:c>
    </x:row>
    <x:row r="317">
      <x:c r="B317" t="str">
        <x:v>RAW-E311</x:v>
      </x:c>
      <x:c r="C317" t="str">
        <x:v>AM-04</x:v>
      </x:c>
      <x:c r="D317" t="str">
        <x:v>TR-B</x:v>
      </x:c>
      <x:c r="E317" t="str">
        <x:v>RFP-A2</x:v>
      </x:c>
      <x:c r="F317" t="str">
        <x:v>PTC-A</x:v>
      </x:c>
      <x:c r="G317" t="str">
        <x:v>QT-05</x:v>
      </x:c>
      <x:c r="H317" t="str">
        <x:v>RAW-V29</x:v>
      </x:c>
      <x:c r="I317" s="14" t="n">
        <x:f>'Reference Envelopes'!F35</x:f>
        <x:v>0.65</x:v>
      </x:c>
      <x:c r="J317" s="14" t="n">
        <x:f>'Reference Envelopes'!G35</x:f>
        <x:v>0.01</x:v>
      </x:c>
      <x:c r="K317" s="14" t="str">
        <x:f>IF(COUNT('Trial Register'!S317)=0,"",'Trial Register'!S317)</x:f>
      </x:c>
      <x:c r="L317" s="14" t="str">
        <x:f>IF(COUNT('Trial Register'!T317)=0,"",'Trial Register'!T317)</x:f>
      </x:c>
      <x:c r="M317" s="14" t="str">
        <x:f>IF(COUNT(K317:L317)&lt;2,"",K317-L317)</x:f>
      </x:c>
      <x:c r="N317" s="14" t="str">
        <x:f>IF(COUNT(K317:L317)&lt;2,"",K317+L317)</x:f>
      </x:c>
      <x:c r="O317" s="14" t="str">
        <x:f>IF(COUNT(K317)=0,"",ABS(K317-I317))</x:f>
      </x:c>
      <x:c r="P317" s="14" t="str">
        <x:f>IF(COUNT(O317)=0,"",IF(J317=0,IF(O317=0,0,999),O317/J317))</x:f>
      </x:c>
      <x:c r="Q317" t="str">
        <x:f>IF(COUNT(M317:N317)&lt;2,"",IF(AND(I317&gt;=M317,I317&lt;=N317,O317&lt;=J317),"PASS","FAIL"))</x:f>
      </x:c>
      <x:c r="R317" t="str"/>
      <x:c r="S317" t="str">
        <x:f>IF(R317=1,IF(Q317="PASS","PASS","FAIL"),"OPEN")</x:f>
        <x:v>OPEN</x:v>
      </x:c>
    </x:row>
    <x:row r="318">
      <x:c r="B318" t="str">
        <x:v>RAW-E312</x:v>
      </x:c>
      <x:c r="C318" t="str">
        <x:v>AM-04</x:v>
      </x:c>
      <x:c r="D318" t="str">
        <x:v>TR-B</x:v>
      </x:c>
      <x:c r="E318" t="str">
        <x:v>RFP-A2</x:v>
      </x:c>
      <x:c r="F318" t="str">
        <x:v>PTC-A</x:v>
      </x:c>
      <x:c r="G318" t="str">
        <x:v>QT-06</x:v>
      </x:c>
      <x:c r="H318" t="str">
        <x:v>RAW-V30</x:v>
      </x:c>
      <x:c r="I318" s="14" t="n">
        <x:f>'Reference Envelopes'!F36</x:f>
        <x:v>0.8</x:v>
      </x:c>
      <x:c r="J318" s="14" t="n">
        <x:f>'Reference Envelopes'!G36</x:f>
        <x:v>0.005</x:v>
      </x:c>
      <x:c r="K318" s="14" t="str">
        <x:f>IF(COUNT('Trial Register'!S318)=0,"",'Trial Register'!S318)</x:f>
      </x:c>
      <x:c r="L318" s="14" t="str">
        <x:f>IF(COUNT('Trial Register'!T318)=0,"",'Trial Register'!T318)</x:f>
      </x:c>
      <x:c r="M318" s="14" t="str">
        <x:f>IF(COUNT(K318:L318)&lt;2,"",K318-L318)</x:f>
      </x:c>
      <x:c r="N318" s="14" t="str">
        <x:f>IF(COUNT(K318:L318)&lt;2,"",K318+L318)</x:f>
      </x:c>
      <x:c r="O318" s="14" t="str">
        <x:f>IF(COUNT(K318)=0,"",ABS(K318-I318))</x:f>
      </x:c>
      <x:c r="P318" s="14" t="str">
        <x:f>IF(COUNT(O318)=0,"",IF(J318=0,IF(O318=0,0,999),O318/J318))</x:f>
      </x:c>
      <x:c r="Q318" t="str">
        <x:f>IF(COUNT(M318:N318)&lt;2,"",IF(AND(I318&gt;=M318,I318&lt;=N318,O318&lt;=J318),"PASS","FAIL"))</x:f>
      </x:c>
      <x:c r="R318" t="str"/>
      <x:c r="S318" t="str">
        <x:f>IF(R318=1,IF(Q318="PASS","PASS","FAIL"),"OPEN")</x:f>
        <x:v>OPEN</x:v>
      </x:c>
    </x:row>
    <x:row r="319">
      <x:c r="B319" t="str">
        <x:v>RAW-E313</x:v>
      </x:c>
      <x:c r="C319" t="str">
        <x:v>AM-04</x:v>
      </x:c>
      <x:c r="D319" t="str">
        <x:v>TR-A</x:v>
      </x:c>
      <x:c r="E319" t="str">
        <x:v>RFP-B1</x:v>
      </x:c>
      <x:c r="F319" t="str">
        <x:v>PTC-B</x:v>
      </x:c>
      <x:c r="G319" t="str">
        <x:v>QT-01</x:v>
      </x:c>
      <x:c r="H319" t="str">
        <x:v>RAW-V25</x:v>
      </x:c>
      <x:c r="I319" s="14" t="n">
        <x:f>'Reference Envelopes'!F31</x:f>
        <x:v>0.5</x:v>
      </x:c>
      <x:c r="J319" s="14" t="n">
        <x:f>'Reference Envelopes'!G31</x:f>
        <x:v>0.005</x:v>
      </x:c>
      <x:c r="K319" s="14" t="str">
        <x:f>IF(COUNT('Trial Register'!S319)=0,"",'Trial Register'!S319)</x:f>
      </x:c>
      <x:c r="L319" s="14" t="str">
        <x:f>IF(COUNT('Trial Register'!T319)=0,"",'Trial Register'!T319)</x:f>
      </x:c>
      <x:c r="M319" s="14" t="str">
        <x:f>IF(COUNT(K319:L319)&lt;2,"",K319-L319)</x:f>
      </x:c>
      <x:c r="N319" s="14" t="str">
        <x:f>IF(COUNT(K319:L319)&lt;2,"",K319+L319)</x:f>
      </x:c>
      <x:c r="O319" s="14" t="str">
        <x:f>IF(COUNT(K319)=0,"",ABS(K319-I319))</x:f>
      </x:c>
      <x:c r="P319" s="14" t="str">
        <x:f>IF(COUNT(O319)=0,"",IF(J319=0,IF(O319=0,0,999),O319/J319))</x:f>
      </x:c>
      <x:c r="Q319" t="str">
        <x:f>IF(COUNT(M319:N319)&lt;2,"",IF(AND(I319&gt;=M319,I319&lt;=N319,O319&lt;=J319),"PASS","FAIL"))</x:f>
      </x:c>
      <x:c r="R319" t="str"/>
      <x:c r="S319" t="str">
        <x:f>IF(R319=1,IF(Q319="PASS","PASS","FAIL"),"OPEN")</x:f>
        <x:v>OPEN</x:v>
      </x:c>
    </x:row>
    <x:row r="320">
      <x:c r="B320" t="str">
        <x:v>RAW-E314</x:v>
      </x:c>
      <x:c r="C320" t="str">
        <x:v>AM-04</x:v>
      </x:c>
      <x:c r="D320" t="str">
        <x:v>TR-A</x:v>
      </x:c>
      <x:c r="E320" t="str">
        <x:v>RFP-B1</x:v>
      </x:c>
      <x:c r="F320" t="str">
        <x:v>PTC-B</x:v>
      </x:c>
      <x:c r="G320" t="str">
        <x:v>QT-02</x:v>
      </x:c>
      <x:c r="H320" t="str">
        <x:v>RAW-V26</x:v>
      </x:c>
      <x:c r="I320" s="14" t="n">
        <x:f>'Reference Envelopes'!F32</x:f>
        <x:v>0.05</x:v>
      </x:c>
      <x:c r="J320" s="14" t="n">
        <x:f>'Reference Envelopes'!G32</x:f>
        <x:v>0.002</x:v>
      </x:c>
      <x:c r="K320" s="14" t="str">
        <x:f>IF(COUNT('Trial Register'!S320)=0,"",'Trial Register'!S320)</x:f>
      </x:c>
      <x:c r="L320" s="14" t="str">
        <x:f>IF(COUNT('Trial Register'!T320)=0,"",'Trial Register'!T320)</x:f>
      </x:c>
      <x:c r="M320" s="14" t="str">
        <x:f>IF(COUNT(K320:L320)&lt;2,"",K320-L320)</x:f>
      </x:c>
      <x:c r="N320" s="14" t="str">
        <x:f>IF(COUNT(K320:L320)&lt;2,"",K320+L320)</x:f>
      </x:c>
      <x:c r="O320" s="14" t="str">
        <x:f>IF(COUNT(K320)=0,"",ABS(K320-I320))</x:f>
      </x:c>
      <x:c r="P320" s="14" t="str">
        <x:f>IF(COUNT(O320)=0,"",IF(J320=0,IF(O320=0,0,999),O320/J320))</x:f>
      </x:c>
      <x:c r="Q320" t="str">
        <x:f>IF(COUNT(M320:N320)&lt;2,"",IF(AND(I320&gt;=M320,I320&lt;=N320,O320&lt;=J320),"PASS","FAIL"))</x:f>
      </x:c>
      <x:c r="R320" t="str"/>
      <x:c r="S320" t="str">
        <x:f>IF(R320=1,IF(Q320="PASS","PASS","FAIL"),"OPEN")</x:f>
        <x:v>OPEN</x:v>
      </x:c>
    </x:row>
    <x:row r="321">
      <x:c r="B321" t="str">
        <x:v>RAW-E315</x:v>
      </x:c>
      <x:c r="C321" t="str">
        <x:v>AM-04</x:v>
      </x:c>
      <x:c r="D321" t="str">
        <x:v>TR-A</x:v>
      </x:c>
      <x:c r="E321" t="str">
        <x:v>RFP-B1</x:v>
      </x:c>
      <x:c r="F321" t="str">
        <x:v>PTC-B</x:v>
      </x:c>
      <x:c r="G321" t="str">
        <x:v>QT-03</x:v>
      </x:c>
      <x:c r="H321" t="str">
        <x:v>RAW-V27</x:v>
      </x:c>
      <x:c r="I321" s="14" t="n">
        <x:f>'Reference Envelopes'!F33</x:f>
        <x:v>0.95</x:v>
      </x:c>
      <x:c r="J321" s="14" t="n">
        <x:f>'Reference Envelopes'!G33</x:f>
        <x:v>0.005</x:v>
      </x:c>
      <x:c r="K321" s="14" t="str">
        <x:f>IF(COUNT('Trial Register'!S321)=0,"",'Trial Register'!S321)</x:f>
      </x:c>
      <x:c r="L321" s="14" t="str">
        <x:f>IF(COUNT('Trial Register'!T321)=0,"",'Trial Register'!T321)</x:f>
      </x:c>
      <x:c r="M321" s="14" t="str">
        <x:f>IF(COUNT(K321:L321)&lt;2,"",K321-L321)</x:f>
      </x:c>
      <x:c r="N321" s="14" t="str">
        <x:f>IF(COUNT(K321:L321)&lt;2,"",K321+L321)</x:f>
      </x:c>
      <x:c r="O321" s="14" t="str">
        <x:f>IF(COUNT(K321)=0,"",ABS(K321-I321))</x:f>
      </x:c>
      <x:c r="P321" s="14" t="str">
        <x:f>IF(COUNT(O321)=0,"",IF(J321=0,IF(O321=0,0,999),O321/J321))</x:f>
      </x:c>
      <x:c r="Q321" t="str">
        <x:f>IF(COUNT(M321:N321)&lt;2,"",IF(AND(I321&gt;=M321,I321&lt;=N321,O321&lt;=J321),"PASS","FAIL"))</x:f>
      </x:c>
      <x:c r="R321" t="str"/>
      <x:c r="S321" t="str">
        <x:f>IF(R321=1,IF(Q321="PASS","PASS","FAIL"),"OPEN")</x:f>
        <x:v>OPEN</x:v>
      </x:c>
    </x:row>
    <x:row r="322">
      <x:c r="B322" t="str">
        <x:v>RAW-E316</x:v>
      </x:c>
      <x:c r="C322" t="str">
        <x:v>AM-04</x:v>
      </x:c>
      <x:c r="D322" t="str">
        <x:v>TR-A</x:v>
      </x:c>
      <x:c r="E322" t="str">
        <x:v>RFP-B1</x:v>
      </x:c>
      <x:c r="F322" t="str">
        <x:v>PTC-B</x:v>
      </x:c>
      <x:c r="G322" t="str">
        <x:v>QT-04</x:v>
      </x:c>
      <x:c r="H322" t="str">
        <x:v>RAW-V28</x:v>
      </x:c>
      <x:c r="I322" s="14" t="n">
        <x:f>'Reference Envelopes'!F34</x:f>
        <x:v>0.35</x:v>
      </x:c>
      <x:c r="J322" s="14" t="n">
        <x:f>'Reference Envelopes'!G34</x:f>
        <x:v>0.005</x:v>
      </x:c>
      <x:c r="K322" s="14" t="str">
        <x:f>IF(COUNT('Trial Register'!S322)=0,"",'Trial Register'!S322)</x:f>
      </x:c>
      <x:c r="L322" s="14" t="str">
        <x:f>IF(COUNT('Trial Register'!T322)=0,"",'Trial Register'!T322)</x:f>
      </x:c>
      <x:c r="M322" s="14" t="str">
        <x:f>IF(COUNT(K322:L322)&lt;2,"",K322-L322)</x:f>
      </x:c>
      <x:c r="N322" s="14" t="str">
        <x:f>IF(COUNT(K322:L322)&lt;2,"",K322+L322)</x:f>
      </x:c>
      <x:c r="O322" s="14" t="str">
        <x:f>IF(COUNT(K322)=0,"",ABS(K322-I322))</x:f>
      </x:c>
      <x:c r="P322" s="14" t="str">
        <x:f>IF(COUNT(O322)=0,"",IF(J322=0,IF(O322=0,0,999),O322/J322))</x:f>
      </x:c>
      <x:c r="Q322" t="str">
        <x:f>IF(COUNT(M322:N322)&lt;2,"",IF(AND(I322&gt;=M322,I322&lt;=N322,O322&lt;=J322),"PASS","FAIL"))</x:f>
      </x:c>
      <x:c r="R322" t="str"/>
      <x:c r="S322" t="str">
        <x:f>IF(R322=1,IF(Q322="PASS","PASS","FAIL"),"OPEN")</x:f>
        <x:v>OPEN</x:v>
      </x:c>
    </x:row>
    <x:row r="323">
      <x:c r="B323" t="str">
        <x:v>RAW-E317</x:v>
      </x:c>
      <x:c r="C323" t="str">
        <x:v>AM-04</x:v>
      </x:c>
      <x:c r="D323" t="str">
        <x:v>TR-A</x:v>
      </x:c>
      <x:c r="E323" t="str">
        <x:v>RFP-B1</x:v>
      </x:c>
      <x:c r="F323" t="str">
        <x:v>PTC-B</x:v>
      </x:c>
      <x:c r="G323" t="str">
        <x:v>QT-05</x:v>
      </x:c>
      <x:c r="H323" t="str">
        <x:v>RAW-V29</x:v>
      </x:c>
      <x:c r="I323" s="14" t="n">
        <x:f>'Reference Envelopes'!F35</x:f>
        <x:v>0.65</x:v>
      </x:c>
      <x:c r="J323" s="14" t="n">
        <x:f>'Reference Envelopes'!G35</x:f>
        <x:v>0.01</x:v>
      </x:c>
      <x:c r="K323" s="14" t="str">
        <x:f>IF(COUNT('Trial Register'!S323)=0,"",'Trial Register'!S323)</x:f>
      </x:c>
      <x:c r="L323" s="14" t="str">
        <x:f>IF(COUNT('Trial Register'!T323)=0,"",'Trial Register'!T323)</x:f>
      </x:c>
      <x:c r="M323" s="14" t="str">
        <x:f>IF(COUNT(K323:L323)&lt;2,"",K323-L323)</x:f>
      </x:c>
      <x:c r="N323" s="14" t="str">
        <x:f>IF(COUNT(K323:L323)&lt;2,"",K323+L323)</x:f>
      </x:c>
      <x:c r="O323" s="14" t="str">
        <x:f>IF(COUNT(K323)=0,"",ABS(K323-I323))</x:f>
      </x:c>
      <x:c r="P323" s="14" t="str">
        <x:f>IF(COUNT(O323)=0,"",IF(J323=0,IF(O323=0,0,999),O323/J323))</x:f>
      </x:c>
      <x:c r="Q323" t="str">
        <x:f>IF(COUNT(M323:N323)&lt;2,"",IF(AND(I323&gt;=M323,I323&lt;=N323,O323&lt;=J323),"PASS","FAIL"))</x:f>
      </x:c>
      <x:c r="R323" t="str"/>
      <x:c r="S323" t="str">
        <x:f>IF(R323=1,IF(Q323="PASS","PASS","FAIL"),"OPEN")</x:f>
        <x:v>OPEN</x:v>
      </x:c>
    </x:row>
    <x:row r="324">
      <x:c r="B324" t="str">
        <x:v>RAW-E318</x:v>
      </x:c>
      <x:c r="C324" t="str">
        <x:v>AM-04</x:v>
      </x:c>
      <x:c r="D324" t="str">
        <x:v>TR-A</x:v>
      </x:c>
      <x:c r="E324" t="str">
        <x:v>RFP-B1</x:v>
      </x:c>
      <x:c r="F324" t="str">
        <x:v>PTC-B</x:v>
      </x:c>
      <x:c r="G324" t="str">
        <x:v>QT-06</x:v>
      </x:c>
      <x:c r="H324" t="str">
        <x:v>RAW-V30</x:v>
      </x:c>
      <x:c r="I324" s="14" t="n">
        <x:f>'Reference Envelopes'!F36</x:f>
        <x:v>0.8</x:v>
      </x:c>
      <x:c r="J324" s="14" t="n">
        <x:f>'Reference Envelopes'!G36</x:f>
        <x:v>0.005</x:v>
      </x:c>
      <x:c r="K324" s="14" t="str">
        <x:f>IF(COUNT('Trial Register'!S324)=0,"",'Trial Register'!S324)</x:f>
      </x:c>
      <x:c r="L324" s="14" t="str">
        <x:f>IF(COUNT('Trial Register'!T324)=0,"",'Trial Register'!T324)</x:f>
      </x:c>
      <x:c r="M324" s="14" t="str">
        <x:f>IF(COUNT(K324:L324)&lt;2,"",K324-L324)</x:f>
      </x:c>
      <x:c r="N324" s="14" t="str">
        <x:f>IF(COUNT(K324:L324)&lt;2,"",K324+L324)</x:f>
      </x:c>
      <x:c r="O324" s="14" t="str">
        <x:f>IF(COUNT(K324)=0,"",ABS(K324-I324))</x:f>
      </x:c>
      <x:c r="P324" s="14" t="str">
        <x:f>IF(COUNT(O324)=0,"",IF(J324=0,IF(O324=0,0,999),O324/J324))</x:f>
      </x:c>
      <x:c r="Q324" t="str">
        <x:f>IF(COUNT(M324:N324)&lt;2,"",IF(AND(I324&gt;=M324,I324&lt;=N324,O324&lt;=J324),"PASS","FAIL"))</x:f>
      </x:c>
      <x:c r="R324" t="str"/>
      <x:c r="S324" t="str">
        <x:f>IF(R324=1,IF(Q324="PASS","PASS","FAIL"),"OPEN")</x:f>
        <x:v>OPEN</x:v>
      </x:c>
    </x:row>
    <x:row r="325">
      <x:c r="B325" t="str">
        <x:v>RAW-E319</x:v>
      </x:c>
      <x:c r="C325" t="str">
        <x:v>AM-04</x:v>
      </x:c>
      <x:c r="D325" t="str">
        <x:v>TR-B</x:v>
      </x:c>
      <x:c r="E325" t="str">
        <x:v>RFP-B1</x:v>
      </x:c>
      <x:c r="F325" t="str">
        <x:v>PTC-B</x:v>
      </x:c>
      <x:c r="G325" t="str">
        <x:v>QT-01</x:v>
      </x:c>
      <x:c r="H325" t="str">
        <x:v>RAW-V25</x:v>
      </x:c>
      <x:c r="I325" s="14" t="n">
        <x:f>'Reference Envelopes'!F31</x:f>
        <x:v>0.5</x:v>
      </x:c>
      <x:c r="J325" s="14" t="n">
        <x:f>'Reference Envelopes'!G31</x:f>
        <x:v>0.005</x:v>
      </x:c>
      <x:c r="K325" s="14" t="str">
        <x:f>IF(COUNT('Trial Register'!S325)=0,"",'Trial Register'!S325)</x:f>
      </x:c>
      <x:c r="L325" s="14" t="str">
        <x:f>IF(COUNT('Trial Register'!T325)=0,"",'Trial Register'!T325)</x:f>
      </x:c>
      <x:c r="M325" s="14" t="str">
        <x:f>IF(COUNT(K325:L325)&lt;2,"",K325-L325)</x:f>
      </x:c>
      <x:c r="N325" s="14" t="str">
        <x:f>IF(COUNT(K325:L325)&lt;2,"",K325+L325)</x:f>
      </x:c>
      <x:c r="O325" s="14" t="str">
        <x:f>IF(COUNT(K325)=0,"",ABS(K325-I325))</x:f>
      </x:c>
      <x:c r="P325" s="14" t="str">
        <x:f>IF(COUNT(O325)=0,"",IF(J325=0,IF(O325=0,0,999),O325/J325))</x:f>
      </x:c>
      <x:c r="Q325" t="str">
        <x:f>IF(COUNT(M325:N325)&lt;2,"",IF(AND(I325&gt;=M325,I325&lt;=N325,O325&lt;=J325),"PASS","FAIL"))</x:f>
      </x:c>
      <x:c r="R325" t="str"/>
      <x:c r="S325" t="str">
        <x:f>IF(R325=1,IF(Q325="PASS","PASS","FAIL"),"OPEN")</x:f>
        <x:v>OPEN</x:v>
      </x:c>
    </x:row>
    <x:row r="326">
      <x:c r="B326" t="str">
        <x:v>RAW-E320</x:v>
      </x:c>
      <x:c r="C326" t="str">
        <x:v>AM-04</x:v>
      </x:c>
      <x:c r="D326" t="str">
        <x:v>TR-B</x:v>
      </x:c>
      <x:c r="E326" t="str">
        <x:v>RFP-B1</x:v>
      </x:c>
      <x:c r="F326" t="str">
        <x:v>PTC-B</x:v>
      </x:c>
      <x:c r="G326" t="str">
        <x:v>QT-02</x:v>
      </x:c>
      <x:c r="H326" t="str">
        <x:v>RAW-V26</x:v>
      </x:c>
      <x:c r="I326" s="14" t="n">
        <x:f>'Reference Envelopes'!F32</x:f>
        <x:v>0.05</x:v>
      </x:c>
      <x:c r="J326" s="14" t="n">
        <x:f>'Reference Envelopes'!G32</x:f>
        <x:v>0.002</x:v>
      </x:c>
      <x:c r="K326" s="14" t="str">
        <x:f>IF(COUNT('Trial Register'!S326)=0,"",'Trial Register'!S326)</x:f>
      </x:c>
      <x:c r="L326" s="14" t="str">
        <x:f>IF(COUNT('Trial Register'!T326)=0,"",'Trial Register'!T326)</x:f>
      </x:c>
      <x:c r="M326" s="14" t="str">
        <x:f>IF(COUNT(K326:L326)&lt;2,"",K326-L326)</x:f>
      </x:c>
      <x:c r="N326" s="14" t="str">
        <x:f>IF(COUNT(K326:L326)&lt;2,"",K326+L326)</x:f>
      </x:c>
      <x:c r="O326" s="14" t="str">
        <x:f>IF(COUNT(K326)=0,"",ABS(K326-I326))</x:f>
      </x:c>
      <x:c r="P326" s="14" t="str">
        <x:f>IF(COUNT(O326)=0,"",IF(J326=0,IF(O326=0,0,999),O326/J326))</x:f>
      </x:c>
      <x:c r="Q326" t="str">
        <x:f>IF(COUNT(M326:N326)&lt;2,"",IF(AND(I326&gt;=M326,I326&lt;=N326,O326&lt;=J326),"PASS","FAIL"))</x:f>
      </x:c>
      <x:c r="R326" t="str"/>
      <x:c r="S326" t="str">
        <x:f>IF(R326=1,IF(Q326="PASS","PASS","FAIL"),"OPEN")</x:f>
        <x:v>OPEN</x:v>
      </x:c>
    </x:row>
    <x:row r="327">
      <x:c r="B327" t="str">
        <x:v>RAW-E321</x:v>
      </x:c>
      <x:c r="C327" t="str">
        <x:v>AM-04</x:v>
      </x:c>
      <x:c r="D327" t="str">
        <x:v>TR-B</x:v>
      </x:c>
      <x:c r="E327" t="str">
        <x:v>RFP-B1</x:v>
      </x:c>
      <x:c r="F327" t="str">
        <x:v>PTC-B</x:v>
      </x:c>
      <x:c r="G327" t="str">
        <x:v>QT-03</x:v>
      </x:c>
      <x:c r="H327" t="str">
        <x:v>RAW-V27</x:v>
      </x:c>
      <x:c r="I327" s="14" t="n">
        <x:f>'Reference Envelopes'!F33</x:f>
        <x:v>0.95</x:v>
      </x:c>
      <x:c r="J327" s="14" t="n">
        <x:f>'Reference Envelopes'!G33</x:f>
        <x:v>0.005</x:v>
      </x:c>
      <x:c r="K327" s="14" t="str">
        <x:f>IF(COUNT('Trial Register'!S327)=0,"",'Trial Register'!S327)</x:f>
      </x:c>
      <x:c r="L327" s="14" t="str">
        <x:f>IF(COUNT('Trial Register'!T327)=0,"",'Trial Register'!T327)</x:f>
      </x:c>
      <x:c r="M327" s="14" t="str">
        <x:f>IF(COUNT(K327:L327)&lt;2,"",K327-L327)</x:f>
      </x:c>
      <x:c r="N327" s="14" t="str">
        <x:f>IF(COUNT(K327:L327)&lt;2,"",K327+L327)</x:f>
      </x:c>
      <x:c r="O327" s="14" t="str">
        <x:f>IF(COUNT(K327)=0,"",ABS(K327-I327))</x:f>
      </x:c>
      <x:c r="P327" s="14" t="str">
        <x:f>IF(COUNT(O327)=0,"",IF(J327=0,IF(O327=0,0,999),O327/J327))</x:f>
      </x:c>
      <x:c r="Q327" t="str">
        <x:f>IF(COUNT(M327:N327)&lt;2,"",IF(AND(I327&gt;=M327,I327&lt;=N327,O327&lt;=J327),"PASS","FAIL"))</x:f>
      </x:c>
      <x:c r="R327" t="str"/>
      <x:c r="S327" t="str">
        <x:f>IF(R327=1,IF(Q327="PASS","PASS","FAIL"),"OPEN")</x:f>
        <x:v>OPEN</x:v>
      </x:c>
    </x:row>
    <x:row r="328">
      <x:c r="B328" t="str">
        <x:v>RAW-E322</x:v>
      </x:c>
      <x:c r="C328" t="str">
        <x:v>AM-04</x:v>
      </x:c>
      <x:c r="D328" t="str">
        <x:v>TR-B</x:v>
      </x:c>
      <x:c r="E328" t="str">
        <x:v>RFP-B1</x:v>
      </x:c>
      <x:c r="F328" t="str">
        <x:v>PTC-B</x:v>
      </x:c>
      <x:c r="G328" t="str">
        <x:v>QT-04</x:v>
      </x:c>
      <x:c r="H328" t="str">
        <x:v>RAW-V28</x:v>
      </x:c>
      <x:c r="I328" s="14" t="n">
        <x:f>'Reference Envelopes'!F34</x:f>
        <x:v>0.35</x:v>
      </x:c>
      <x:c r="J328" s="14" t="n">
        <x:f>'Reference Envelopes'!G34</x:f>
        <x:v>0.005</x:v>
      </x:c>
      <x:c r="K328" s="14" t="str">
        <x:f>IF(COUNT('Trial Register'!S328)=0,"",'Trial Register'!S328)</x:f>
      </x:c>
      <x:c r="L328" s="14" t="str">
        <x:f>IF(COUNT('Trial Register'!T328)=0,"",'Trial Register'!T328)</x:f>
      </x:c>
      <x:c r="M328" s="14" t="str">
        <x:f>IF(COUNT(K328:L328)&lt;2,"",K328-L328)</x:f>
      </x:c>
      <x:c r="N328" s="14" t="str">
        <x:f>IF(COUNT(K328:L328)&lt;2,"",K328+L328)</x:f>
      </x:c>
      <x:c r="O328" s="14" t="str">
        <x:f>IF(COUNT(K328)=0,"",ABS(K328-I328))</x:f>
      </x:c>
      <x:c r="P328" s="14" t="str">
        <x:f>IF(COUNT(O328)=0,"",IF(J328=0,IF(O328=0,0,999),O328/J328))</x:f>
      </x:c>
      <x:c r="Q328" t="str">
        <x:f>IF(COUNT(M328:N328)&lt;2,"",IF(AND(I328&gt;=M328,I328&lt;=N328,O328&lt;=J328),"PASS","FAIL"))</x:f>
      </x:c>
      <x:c r="R328" t="str"/>
      <x:c r="S328" t="str">
        <x:f>IF(R328=1,IF(Q328="PASS","PASS","FAIL"),"OPEN")</x:f>
        <x:v>OPEN</x:v>
      </x:c>
    </x:row>
    <x:row r="329">
      <x:c r="B329" t="str">
        <x:v>RAW-E323</x:v>
      </x:c>
      <x:c r="C329" t="str">
        <x:v>AM-04</x:v>
      </x:c>
      <x:c r="D329" t="str">
        <x:v>TR-B</x:v>
      </x:c>
      <x:c r="E329" t="str">
        <x:v>RFP-B1</x:v>
      </x:c>
      <x:c r="F329" t="str">
        <x:v>PTC-B</x:v>
      </x:c>
      <x:c r="G329" t="str">
        <x:v>QT-05</x:v>
      </x:c>
      <x:c r="H329" t="str">
        <x:v>RAW-V29</x:v>
      </x:c>
      <x:c r="I329" s="14" t="n">
        <x:f>'Reference Envelopes'!F35</x:f>
        <x:v>0.65</x:v>
      </x:c>
      <x:c r="J329" s="14" t="n">
        <x:f>'Reference Envelopes'!G35</x:f>
        <x:v>0.01</x:v>
      </x:c>
      <x:c r="K329" s="14" t="str">
        <x:f>IF(COUNT('Trial Register'!S329)=0,"",'Trial Register'!S329)</x:f>
      </x:c>
      <x:c r="L329" s="14" t="str">
        <x:f>IF(COUNT('Trial Register'!T329)=0,"",'Trial Register'!T329)</x:f>
      </x:c>
      <x:c r="M329" s="14" t="str">
        <x:f>IF(COUNT(K329:L329)&lt;2,"",K329-L329)</x:f>
      </x:c>
      <x:c r="N329" s="14" t="str">
        <x:f>IF(COUNT(K329:L329)&lt;2,"",K329+L329)</x:f>
      </x:c>
      <x:c r="O329" s="14" t="str">
        <x:f>IF(COUNT(K329)=0,"",ABS(K329-I329))</x:f>
      </x:c>
      <x:c r="P329" s="14" t="str">
        <x:f>IF(COUNT(O329)=0,"",IF(J329=0,IF(O329=0,0,999),O329/J329))</x:f>
      </x:c>
      <x:c r="Q329" t="str">
        <x:f>IF(COUNT(M329:N329)&lt;2,"",IF(AND(I329&gt;=M329,I329&lt;=N329,O329&lt;=J329),"PASS","FAIL"))</x:f>
      </x:c>
      <x:c r="R329" t="str"/>
      <x:c r="S329" t="str">
        <x:f>IF(R329=1,IF(Q329="PASS","PASS","FAIL"),"OPEN")</x:f>
        <x:v>OPEN</x:v>
      </x:c>
    </x:row>
    <x:row r="330">
      <x:c r="B330" t="str">
        <x:v>RAW-E324</x:v>
      </x:c>
      <x:c r="C330" t="str">
        <x:v>AM-04</x:v>
      </x:c>
      <x:c r="D330" t="str">
        <x:v>TR-B</x:v>
      </x:c>
      <x:c r="E330" t="str">
        <x:v>RFP-B1</x:v>
      </x:c>
      <x:c r="F330" t="str">
        <x:v>PTC-B</x:v>
      </x:c>
      <x:c r="G330" t="str">
        <x:v>QT-06</x:v>
      </x:c>
      <x:c r="H330" t="str">
        <x:v>RAW-V30</x:v>
      </x:c>
      <x:c r="I330" s="14" t="n">
        <x:f>'Reference Envelopes'!F36</x:f>
        <x:v>0.8</x:v>
      </x:c>
      <x:c r="J330" s="14" t="n">
        <x:f>'Reference Envelopes'!G36</x:f>
        <x:v>0.005</x:v>
      </x:c>
      <x:c r="K330" s="14" t="str">
        <x:f>IF(COUNT('Trial Register'!S330)=0,"",'Trial Register'!S330)</x:f>
      </x:c>
      <x:c r="L330" s="14" t="str">
        <x:f>IF(COUNT('Trial Register'!T330)=0,"",'Trial Register'!T330)</x:f>
      </x:c>
      <x:c r="M330" s="14" t="str">
        <x:f>IF(COUNT(K330:L330)&lt;2,"",K330-L330)</x:f>
      </x:c>
      <x:c r="N330" s="14" t="str">
        <x:f>IF(COUNT(K330:L330)&lt;2,"",K330+L330)</x:f>
      </x:c>
      <x:c r="O330" s="14" t="str">
        <x:f>IF(COUNT(K330)=0,"",ABS(K330-I330))</x:f>
      </x:c>
      <x:c r="P330" s="14" t="str">
        <x:f>IF(COUNT(O330)=0,"",IF(J330=0,IF(O330=0,0,999),O330/J330))</x:f>
      </x:c>
      <x:c r="Q330" t="str">
        <x:f>IF(COUNT(M330:N330)&lt;2,"",IF(AND(I330&gt;=M330,I330&lt;=N330,O330&lt;=J330),"PASS","FAIL"))</x:f>
      </x:c>
      <x:c r="R330" t="str"/>
      <x:c r="S330" t="str">
        <x:f>IF(R330=1,IF(Q330="PASS","PASS","FAIL"),"OPEN")</x:f>
        <x:v>OPEN</x:v>
      </x:c>
    </x:row>
    <x:row r="331">
      <x:c r="B331" t="str">
        <x:v>RAW-E325</x:v>
      </x:c>
      <x:c r="C331" t="str">
        <x:v>AM-04</x:v>
      </x:c>
      <x:c r="D331" t="str">
        <x:v>TR-A</x:v>
      </x:c>
      <x:c r="E331" t="str">
        <x:v>RFP-B2</x:v>
      </x:c>
      <x:c r="F331" t="str">
        <x:v>PTC-B</x:v>
      </x:c>
      <x:c r="G331" t="str">
        <x:v>QT-01</x:v>
      </x:c>
      <x:c r="H331" t="str">
        <x:v>RAW-V25</x:v>
      </x:c>
      <x:c r="I331" s="14" t="n">
        <x:f>'Reference Envelopes'!F31</x:f>
        <x:v>0.5</x:v>
      </x:c>
      <x:c r="J331" s="14" t="n">
        <x:f>'Reference Envelopes'!G31</x:f>
        <x:v>0.005</x:v>
      </x:c>
      <x:c r="K331" s="14" t="str">
        <x:f>IF(COUNT('Trial Register'!S331)=0,"",'Trial Register'!S331)</x:f>
      </x:c>
      <x:c r="L331" s="14" t="str">
        <x:f>IF(COUNT('Trial Register'!T331)=0,"",'Trial Register'!T331)</x:f>
      </x:c>
      <x:c r="M331" s="14" t="str">
        <x:f>IF(COUNT(K331:L331)&lt;2,"",K331-L331)</x:f>
      </x:c>
      <x:c r="N331" s="14" t="str">
        <x:f>IF(COUNT(K331:L331)&lt;2,"",K331+L331)</x:f>
      </x:c>
      <x:c r="O331" s="14" t="str">
        <x:f>IF(COUNT(K331)=0,"",ABS(K331-I331))</x:f>
      </x:c>
      <x:c r="P331" s="14" t="str">
        <x:f>IF(COUNT(O331)=0,"",IF(J331=0,IF(O331=0,0,999),O331/J331))</x:f>
      </x:c>
      <x:c r="Q331" t="str">
        <x:f>IF(COUNT(M331:N331)&lt;2,"",IF(AND(I331&gt;=M331,I331&lt;=N331,O331&lt;=J331),"PASS","FAIL"))</x:f>
      </x:c>
      <x:c r="R331" t="str"/>
      <x:c r="S331" t="str">
        <x:f>IF(R331=1,IF(Q331="PASS","PASS","FAIL"),"OPEN")</x:f>
        <x:v>OPEN</x:v>
      </x:c>
    </x:row>
    <x:row r="332">
      <x:c r="B332" t="str">
        <x:v>RAW-E326</x:v>
      </x:c>
      <x:c r="C332" t="str">
        <x:v>AM-04</x:v>
      </x:c>
      <x:c r="D332" t="str">
        <x:v>TR-A</x:v>
      </x:c>
      <x:c r="E332" t="str">
        <x:v>RFP-B2</x:v>
      </x:c>
      <x:c r="F332" t="str">
        <x:v>PTC-B</x:v>
      </x:c>
      <x:c r="G332" t="str">
        <x:v>QT-02</x:v>
      </x:c>
      <x:c r="H332" t="str">
        <x:v>RAW-V26</x:v>
      </x:c>
      <x:c r="I332" s="14" t="n">
        <x:f>'Reference Envelopes'!F32</x:f>
        <x:v>0.05</x:v>
      </x:c>
      <x:c r="J332" s="14" t="n">
        <x:f>'Reference Envelopes'!G32</x:f>
        <x:v>0.002</x:v>
      </x:c>
      <x:c r="K332" s="14" t="str">
        <x:f>IF(COUNT('Trial Register'!S332)=0,"",'Trial Register'!S332)</x:f>
      </x:c>
      <x:c r="L332" s="14" t="str">
        <x:f>IF(COUNT('Trial Register'!T332)=0,"",'Trial Register'!T332)</x:f>
      </x:c>
      <x:c r="M332" s="14" t="str">
        <x:f>IF(COUNT(K332:L332)&lt;2,"",K332-L332)</x:f>
      </x:c>
      <x:c r="N332" s="14" t="str">
        <x:f>IF(COUNT(K332:L332)&lt;2,"",K332+L332)</x:f>
      </x:c>
      <x:c r="O332" s="14" t="str">
        <x:f>IF(COUNT(K332)=0,"",ABS(K332-I332))</x:f>
      </x:c>
      <x:c r="P332" s="14" t="str">
        <x:f>IF(COUNT(O332)=0,"",IF(J332=0,IF(O332=0,0,999),O332/J332))</x:f>
      </x:c>
      <x:c r="Q332" t="str">
        <x:f>IF(COUNT(M332:N332)&lt;2,"",IF(AND(I332&gt;=M332,I332&lt;=N332,O332&lt;=J332),"PASS","FAIL"))</x:f>
      </x:c>
      <x:c r="R332" t="str"/>
      <x:c r="S332" t="str">
        <x:f>IF(R332=1,IF(Q332="PASS","PASS","FAIL"),"OPEN")</x:f>
        <x:v>OPEN</x:v>
      </x:c>
    </x:row>
    <x:row r="333">
      <x:c r="B333" t="str">
        <x:v>RAW-E327</x:v>
      </x:c>
      <x:c r="C333" t="str">
        <x:v>AM-04</x:v>
      </x:c>
      <x:c r="D333" t="str">
        <x:v>TR-A</x:v>
      </x:c>
      <x:c r="E333" t="str">
        <x:v>RFP-B2</x:v>
      </x:c>
      <x:c r="F333" t="str">
        <x:v>PTC-B</x:v>
      </x:c>
      <x:c r="G333" t="str">
        <x:v>QT-03</x:v>
      </x:c>
      <x:c r="H333" t="str">
        <x:v>RAW-V27</x:v>
      </x:c>
      <x:c r="I333" s="14" t="n">
        <x:f>'Reference Envelopes'!F33</x:f>
        <x:v>0.95</x:v>
      </x:c>
      <x:c r="J333" s="14" t="n">
        <x:f>'Reference Envelopes'!G33</x:f>
        <x:v>0.005</x:v>
      </x:c>
      <x:c r="K333" s="14" t="str">
        <x:f>IF(COUNT('Trial Register'!S333)=0,"",'Trial Register'!S333)</x:f>
      </x:c>
      <x:c r="L333" s="14" t="str">
        <x:f>IF(COUNT('Trial Register'!T333)=0,"",'Trial Register'!T333)</x:f>
      </x:c>
      <x:c r="M333" s="14" t="str">
        <x:f>IF(COUNT(K333:L333)&lt;2,"",K333-L333)</x:f>
      </x:c>
      <x:c r="N333" s="14" t="str">
        <x:f>IF(COUNT(K333:L333)&lt;2,"",K333+L333)</x:f>
      </x:c>
      <x:c r="O333" s="14" t="str">
        <x:f>IF(COUNT(K333)=0,"",ABS(K333-I333))</x:f>
      </x:c>
      <x:c r="P333" s="14" t="str">
        <x:f>IF(COUNT(O333)=0,"",IF(J333=0,IF(O333=0,0,999),O333/J333))</x:f>
      </x:c>
      <x:c r="Q333" t="str">
        <x:f>IF(COUNT(M333:N333)&lt;2,"",IF(AND(I333&gt;=M333,I333&lt;=N333,O333&lt;=J333),"PASS","FAIL"))</x:f>
      </x:c>
      <x:c r="R333" t="str"/>
      <x:c r="S333" t="str">
        <x:f>IF(R333=1,IF(Q333="PASS","PASS","FAIL"),"OPEN")</x:f>
        <x:v>OPEN</x:v>
      </x:c>
    </x:row>
    <x:row r="334">
      <x:c r="B334" t="str">
        <x:v>RAW-E328</x:v>
      </x:c>
      <x:c r="C334" t="str">
        <x:v>AM-04</x:v>
      </x:c>
      <x:c r="D334" t="str">
        <x:v>TR-A</x:v>
      </x:c>
      <x:c r="E334" t="str">
        <x:v>RFP-B2</x:v>
      </x:c>
      <x:c r="F334" t="str">
        <x:v>PTC-B</x:v>
      </x:c>
      <x:c r="G334" t="str">
        <x:v>QT-04</x:v>
      </x:c>
      <x:c r="H334" t="str">
        <x:v>RAW-V28</x:v>
      </x:c>
      <x:c r="I334" s="14" t="n">
        <x:f>'Reference Envelopes'!F34</x:f>
        <x:v>0.35</x:v>
      </x:c>
      <x:c r="J334" s="14" t="n">
        <x:f>'Reference Envelopes'!G34</x:f>
        <x:v>0.005</x:v>
      </x:c>
      <x:c r="K334" s="14" t="str">
        <x:f>IF(COUNT('Trial Register'!S334)=0,"",'Trial Register'!S334)</x:f>
      </x:c>
      <x:c r="L334" s="14" t="str">
        <x:f>IF(COUNT('Trial Register'!T334)=0,"",'Trial Register'!T334)</x:f>
      </x:c>
      <x:c r="M334" s="14" t="str">
        <x:f>IF(COUNT(K334:L334)&lt;2,"",K334-L334)</x:f>
      </x:c>
      <x:c r="N334" s="14" t="str">
        <x:f>IF(COUNT(K334:L334)&lt;2,"",K334+L334)</x:f>
      </x:c>
      <x:c r="O334" s="14" t="str">
        <x:f>IF(COUNT(K334)=0,"",ABS(K334-I334))</x:f>
      </x:c>
      <x:c r="P334" s="14" t="str">
        <x:f>IF(COUNT(O334)=0,"",IF(J334=0,IF(O334=0,0,999),O334/J334))</x:f>
      </x:c>
      <x:c r="Q334" t="str">
        <x:f>IF(COUNT(M334:N334)&lt;2,"",IF(AND(I334&gt;=M334,I334&lt;=N334,O334&lt;=J334),"PASS","FAIL"))</x:f>
      </x:c>
      <x:c r="R334" t="str"/>
      <x:c r="S334" t="str">
        <x:f>IF(R334=1,IF(Q334="PASS","PASS","FAIL"),"OPEN")</x:f>
        <x:v>OPEN</x:v>
      </x:c>
    </x:row>
    <x:row r="335">
      <x:c r="B335" t="str">
        <x:v>RAW-E329</x:v>
      </x:c>
      <x:c r="C335" t="str">
        <x:v>AM-04</x:v>
      </x:c>
      <x:c r="D335" t="str">
        <x:v>TR-A</x:v>
      </x:c>
      <x:c r="E335" t="str">
        <x:v>RFP-B2</x:v>
      </x:c>
      <x:c r="F335" t="str">
        <x:v>PTC-B</x:v>
      </x:c>
      <x:c r="G335" t="str">
        <x:v>QT-05</x:v>
      </x:c>
      <x:c r="H335" t="str">
        <x:v>RAW-V29</x:v>
      </x:c>
      <x:c r="I335" s="14" t="n">
        <x:f>'Reference Envelopes'!F35</x:f>
        <x:v>0.65</x:v>
      </x:c>
      <x:c r="J335" s="14" t="n">
        <x:f>'Reference Envelopes'!G35</x:f>
        <x:v>0.01</x:v>
      </x:c>
      <x:c r="K335" s="14" t="str">
        <x:f>IF(COUNT('Trial Register'!S335)=0,"",'Trial Register'!S335)</x:f>
      </x:c>
      <x:c r="L335" s="14" t="str">
        <x:f>IF(COUNT('Trial Register'!T335)=0,"",'Trial Register'!T335)</x:f>
      </x:c>
      <x:c r="M335" s="14" t="str">
        <x:f>IF(COUNT(K335:L335)&lt;2,"",K335-L335)</x:f>
      </x:c>
      <x:c r="N335" s="14" t="str">
        <x:f>IF(COUNT(K335:L335)&lt;2,"",K335+L335)</x:f>
      </x:c>
      <x:c r="O335" s="14" t="str">
        <x:f>IF(COUNT(K335)=0,"",ABS(K335-I335))</x:f>
      </x:c>
      <x:c r="P335" s="14" t="str">
        <x:f>IF(COUNT(O335)=0,"",IF(J335=0,IF(O335=0,0,999),O335/J335))</x:f>
      </x:c>
      <x:c r="Q335" t="str">
        <x:f>IF(COUNT(M335:N335)&lt;2,"",IF(AND(I335&gt;=M335,I335&lt;=N335,O335&lt;=J335),"PASS","FAIL"))</x:f>
      </x:c>
      <x:c r="R335" t="str"/>
      <x:c r="S335" t="str">
        <x:f>IF(R335=1,IF(Q335="PASS","PASS","FAIL"),"OPEN")</x:f>
        <x:v>OPEN</x:v>
      </x:c>
    </x:row>
    <x:row r="336">
      <x:c r="B336" t="str">
        <x:v>RAW-E330</x:v>
      </x:c>
      <x:c r="C336" t="str">
        <x:v>AM-04</x:v>
      </x:c>
      <x:c r="D336" t="str">
        <x:v>TR-A</x:v>
      </x:c>
      <x:c r="E336" t="str">
        <x:v>RFP-B2</x:v>
      </x:c>
      <x:c r="F336" t="str">
        <x:v>PTC-B</x:v>
      </x:c>
      <x:c r="G336" t="str">
        <x:v>QT-06</x:v>
      </x:c>
      <x:c r="H336" t="str">
        <x:v>RAW-V30</x:v>
      </x:c>
      <x:c r="I336" s="14" t="n">
        <x:f>'Reference Envelopes'!F36</x:f>
        <x:v>0.8</x:v>
      </x:c>
      <x:c r="J336" s="14" t="n">
        <x:f>'Reference Envelopes'!G36</x:f>
        <x:v>0.005</x:v>
      </x:c>
      <x:c r="K336" s="14" t="str">
        <x:f>IF(COUNT('Trial Register'!S336)=0,"",'Trial Register'!S336)</x:f>
      </x:c>
      <x:c r="L336" s="14" t="str">
        <x:f>IF(COUNT('Trial Register'!T336)=0,"",'Trial Register'!T336)</x:f>
      </x:c>
      <x:c r="M336" s="14" t="str">
        <x:f>IF(COUNT(K336:L336)&lt;2,"",K336-L336)</x:f>
      </x:c>
      <x:c r="N336" s="14" t="str">
        <x:f>IF(COUNT(K336:L336)&lt;2,"",K336+L336)</x:f>
      </x:c>
      <x:c r="O336" s="14" t="str">
        <x:f>IF(COUNT(K336)=0,"",ABS(K336-I336))</x:f>
      </x:c>
      <x:c r="P336" s="14" t="str">
        <x:f>IF(COUNT(O336)=0,"",IF(J336=0,IF(O336=0,0,999),O336/J336))</x:f>
      </x:c>
      <x:c r="Q336" t="str">
        <x:f>IF(COUNT(M336:N336)&lt;2,"",IF(AND(I336&gt;=M336,I336&lt;=N336,O336&lt;=J336),"PASS","FAIL"))</x:f>
      </x:c>
      <x:c r="R336" t="str"/>
      <x:c r="S336" t="str">
        <x:f>IF(R336=1,IF(Q336="PASS","PASS","FAIL"),"OPEN")</x:f>
        <x:v>OPEN</x:v>
      </x:c>
    </x:row>
    <x:row r="337">
      <x:c r="B337" t="str">
        <x:v>RAW-E331</x:v>
      </x:c>
      <x:c r="C337" t="str">
        <x:v>AM-04</x:v>
      </x:c>
      <x:c r="D337" t="str">
        <x:v>TR-B</x:v>
      </x:c>
      <x:c r="E337" t="str">
        <x:v>RFP-B2</x:v>
      </x:c>
      <x:c r="F337" t="str">
        <x:v>PTC-B</x:v>
      </x:c>
      <x:c r="G337" t="str">
        <x:v>QT-01</x:v>
      </x:c>
      <x:c r="H337" t="str">
        <x:v>RAW-V25</x:v>
      </x:c>
      <x:c r="I337" s="14" t="n">
        <x:f>'Reference Envelopes'!F31</x:f>
        <x:v>0.5</x:v>
      </x:c>
      <x:c r="J337" s="14" t="n">
        <x:f>'Reference Envelopes'!G31</x:f>
        <x:v>0.005</x:v>
      </x:c>
      <x:c r="K337" s="14" t="str">
        <x:f>IF(COUNT('Trial Register'!S337)=0,"",'Trial Register'!S337)</x:f>
      </x:c>
      <x:c r="L337" s="14" t="str">
        <x:f>IF(COUNT('Trial Register'!T337)=0,"",'Trial Register'!T337)</x:f>
      </x:c>
      <x:c r="M337" s="14" t="str">
        <x:f>IF(COUNT(K337:L337)&lt;2,"",K337-L337)</x:f>
      </x:c>
      <x:c r="N337" s="14" t="str">
        <x:f>IF(COUNT(K337:L337)&lt;2,"",K337+L337)</x:f>
      </x:c>
      <x:c r="O337" s="14" t="str">
        <x:f>IF(COUNT(K337)=0,"",ABS(K337-I337))</x:f>
      </x:c>
      <x:c r="P337" s="14" t="str">
        <x:f>IF(COUNT(O337)=0,"",IF(J337=0,IF(O337=0,0,999),O337/J337))</x:f>
      </x:c>
      <x:c r="Q337" t="str">
        <x:f>IF(COUNT(M337:N337)&lt;2,"",IF(AND(I337&gt;=M337,I337&lt;=N337,O337&lt;=J337),"PASS","FAIL"))</x:f>
      </x:c>
      <x:c r="R337" t="str"/>
      <x:c r="S337" t="str">
        <x:f>IF(R337=1,IF(Q337="PASS","PASS","FAIL"),"OPEN")</x:f>
        <x:v>OPEN</x:v>
      </x:c>
    </x:row>
    <x:row r="338">
      <x:c r="B338" t="str">
        <x:v>RAW-E332</x:v>
      </x:c>
      <x:c r="C338" t="str">
        <x:v>AM-04</x:v>
      </x:c>
      <x:c r="D338" t="str">
        <x:v>TR-B</x:v>
      </x:c>
      <x:c r="E338" t="str">
        <x:v>RFP-B2</x:v>
      </x:c>
      <x:c r="F338" t="str">
        <x:v>PTC-B</x:v>
      </x:c>
      <x:c r="G338" t="str">
        <x:v>QT-02</x:v>
      </x:c>
      <x:c r="H338" t="str">
        <x:v>RAW-V26</x:v>
      </x:c>
      <x:c r="I338" s="14" t="n">
        <x:f>'Reference Envelopes'!F32</x:f>
        <x:v>0.05</x:v>
      </x:c>
      <x:c r="J338" s="14" t="n">
        <x:f>'Reference Envelopes'!G32</x:f>
        <x:v>0.002</x:v>
      </x:c>
      <x:c r="K338" s="14" t="str">
        <x:f>IF(COUNT('Trial Register'!S338)=0,"",'Trial Register'!S338)</x:f>
      </x:c>
      <x:c r="L338" s="14" t="str">
        <x:f>IF(COUNT('Trial Register'!T338)=0,"",'Trial Register'!T338)</x:f>
      </x:c>
      <x:c r="M338" s="14" t="str">
        <x:f>IF(COUNT(K338:L338)&lt;2,"",K338-L338)</x:f>
      </x:c>
      <x:c r="N338" s="14" t="str">
        <x:f>IF(COUNT(K338:L338)&lt;2,"",K338+L338)</x:f>
      </x:c>
      <x:c r="O338" s="14" t="str">
        <x:f>IF(COUNT(K338)=0,"",ABS(K338-I338))</x:f>
      </x:c>
      <x:c r="P338" s="14" t="str">
        <x:f>IF(COUNT(O338)=0,"",IF(J338=0,IF(O338=0,0,999),O338/J338))</x:f>
      </x:c>
      <x:c r="Q338" t="str">
        <x:f>IF(COUNT(M338:N338)&lt;2,"",IF(AND(I338&gt;=M338,I338&lt;=N338,O338&lt;=J338),"PASS","FAIL"))</x:f>
      </x:c>
      <x:c r="R338" t="str"/>
      <x:c r="S338" t="str">
        <x:f>IF(R338=1,IF(Q338="PASS","PASS","FAIL"),"OPEN")</x:f>
        <x:v>OPEN</x:v>
      </x:c>
    </x:row>
    <x:row r="339">
      <x:c r="B339" t="str">
        <x:v>RAW-E333</x:v>
      </x:c>
      <x:c r="C339" t="str">
        <x:v>AM-04</x:v>
      </x:c>
      <x:c r="D339" t="str">
        <x:v>TR-B</x:v>
      </x:c>
      <x:c r="E339" t="str">
        <x:v>RFP-B2</x:v>
      </x:c>
      <x:c r="F339" t="str">
        <x:v>PTC-B</x:v>
      </x:c>
      <x:c r="G339" t="str">
        <x:v>QT-03</x:v>
      </x:c>
      <x:c r="H339" t="str">
        <x:v>RAW-V27</x:v>
      </x:c>
      <x:c r="I339" s="14" t="n">
        <x:f>'Reference Envelopes'!F33</x:f>
        <x:v>0.95</x:v>
      </x:c>
      <x:c r="J339" s="14" t="n">
        <x:f>'Reference Envelopes'!G33</x:f>
        <x:v>0.005</x:v>
      </x:c>
      <x:c r="K339" s="14" t="str">
        <x:f>IF(COUNT('Trial Register'!S339)=0,"",'Trial Register'!S339)</x:f>
      </x:c>
      <x:c r="L339" s="14" t="str">
        <x:f>IF(COUNT('Trial Register'!T339)=0,"",'Trial Register'!T339)</x:f>
      </x:c>
      <x:c r="M339" s="14" t="str">
        <x:f>IF(COUNT(K339:L339)&lt;2,"",K339-L339)</x:f>
      </x:c>
      <x:c r="N339" s="14" t="str">
        <x:f>IF(COUNT(K339:L339)&lt;2,"",K339+L339)</x:f>
      </x:c>
      <x:c r="O339" s="14" t="str">
        <x:f>IF(COUNT(K339)=0,"",ABS(K339-I339))</x:f>
      </x:c>
      <x:c r="P339" s="14" t="str">
        <x:f>IF(COUNT(O339)=0,"",IF(J339=0,IF(O339=0,0,999),O339/J339))</x:f>
      </x:c>
      <x:c r="Q339" t="str">
        <x:f>IF(COUNT(M339:N339)&lt;2,"",IF(AND(I339&gt;=M339,I339&lt;=N339,O339&lt;=J339),"PASS","FAIL"))</x:f>
      </x:c>
      <x:c r="R339" t="str"/>
      <x:c r="S339" t="str">
        <x:f>IF(R339=1,IF(Q339="PASS","PASS","FAIL"),"OPEN")</x:f>
        <x:v>OPEN</x:v>
      </x:c>
    </x:row>
    <x:row r="340">
      <x:c r="B340" t="str">
        <x:v>RAW-E334</x:v>
      </x:c>
      <x:c r="C340" t="str">
        <x:v>AM-04</x:v>
      </x:c>
      <x:c r="D340" t="str">
        <x:v>TR-B</x:v>
      </x:c>
      <x:c r="E340" t="str">
        <x:v>RFP-B2</x:v>
      </x:c>
      <x:c r="F340" t="str">
        <x:v>PTC-B</x:v>
      </x:c>
      <x:c r="G340" t="str">
        <x:v>QT-04</x:v>
      </x:c>
      <x:c r="H340" t="str">
        <x:v>RAW-V28</x:v>
      </x:c>
      <x:c r="I340" s="14" t="n">
        <x:f>'Reference Envelopes'!F34</x:f>
        <x:v>0.35</x:v>
      </x:c>
      <x:c r="J340" s="14" t="n">
        <x:f>'Reference Envelopes'!G34</x:f>
        <x:v>0.005</x:v>
      </x:c>
      <x:c r="K340" s="14" t="str">
        <x:f>IF(COUNT('Trial Register'!S340)=0,"",'Trial Register'!S340)</x:f>
      </x:c>
      <x:c r="L340" s="14" t="str">
        <x:f>IF(COUNT('Trial Register'!T340)=0,"",'Trial Register'!T340)</x:f>
      </x:c>
      <x:c r="M340" s="14" t="str">
        <x:f>IF(COUNT(K340:L340)&lt;2,"",K340-L340)</x:f>
      </x:c>
      <x:c r="N340" s="14" t="str">
        <x:f>IF(COUNT(K340:L340)&lt;2,"",K340+L340)</x:f>
      </x:c>
      <x:c r="O340" s="14" t="str">
        <x:f>IF(COUNT(K340)=0,"",ABS(K340-I340))</x:f>
      </x:c>
      <x:c r="P340" s="14" t="str">
        <x:f>IF(COUNT(O340)=0,"",IF(J340=0,IF(O340=0,0,999),O340/J340))</x:f>
      </x:c>
      <x:c r="Q340" t="str">
        <x:f>IF(COUNT(M340:N340)&lt;2,"",IF(AND(I340&gt;=M340,I340&lt;=N340,O340&lt;=J340),"PASS","FAIL"))</x:f>
      </x:c>
      <x:c r="R340" t="str"/>
      <x:c r="S340" t="str">
        <x:f>IF(R340=1,IF(Q340="PASS","PASS","FAIL"),"OPEN")</x:f>
        <x:v>OPEN</x:v>
      </x:c>
    </x:row>
    <x:row r="341">
      <x:c r="B341" t="str">
        <x:v>RAW-E335</x:v>
      </x:c>
      <x:c r="C341" t="str">
        <x:v>AM-04</x:v>
      </x:c>
      <x:c r="D341" t="str">
        <x:v>TR-B</x:v>
      </x:c>
      <x:c r="E341" t="str">
        <x:v>RFP-B2</x:v>
      </x:c>
      <x:c r="F341" t="str">
        <x:v>PTC-B</x:v>
      </x:c>
      <x:c r="G341" t="str">
        <x:v>QT-05</x:v>
      </x:c>
      <x:c r="H341" t="str">
        <x:v>RAW-V29</x:v>
      </x:c>
      <x:c r="I341" s="14" t="n">
        <x:f>'Reference Envelopes'!F35</x:f>
        <x:v>0.65</x:v>
      </x:c>
      <x:c r="J341" s="14" t="n">
        <x:f>'Reference Envelopes'!G35</x:f>
        <x:v>0.01</x:v>
      </x:c>
      <x:c r="K341" s="14" t="str">
        <x:f>IF(COUNT('Trial Register'!S341)=0,"",'Trial Register'!S341)</x:f>
      </x:c>
      <x:c r="L341" s="14" t="str">
        <x:f>IF(COUNT('Trial Register'!T341)=0,"",'Trial Register'!T341)</x:f>
      </x:c>
      <x:c r="M341" s="14" t="str">
        <x:f>IF(COUNT(K341:L341)&lt;2,"",K341-L341)</x:f>
      </x:c>
      <x:c r="N341" s="14" t="str">
        <x:f>IF(COUNT(K341:L341)&lt;2,"",K341+L341)</x:f>
      </x:c>
      <x:c r="O341" s="14" t="str">
        <x:f>IF(COUNT(K341)=0,"",ABS(K341-I341))</x:f>
      </x:c>
      <x:c r="P341" s="14" t="str">
        <x:f>IF(COUNT(O341)=0,"",IF(J341=0,IF(O341=0,0,999),O341/J341))</x:f>
      </x:c>
      <x:c r="Q341" t="str">
        <x:f>IF(COUNT(M341:N341)&lt;2,"",IF(AND(I341&gt;=M341,I341&lt;=N341,O341&lt;=J341),"PASS","FAIL"))</x:f>
      </x:c>
      <x:c r="R341" t="str"/>
      <x:c r="S341" t="str">
        <x:f>IF(R341=1,IF(Q341="PASS","PASS","FAIL"),"OPEN")</x:f>
        <x:v>OPEN</x:v>
      </x:c>
    </x:row>
    <x:row r="342">
      <x:c r="B342" t="str">
        <x:v>RAW-E336</x:v>
      </x:c>
      <x:c r="C342" t="str">
        <x:v>AM-04</x:v>
      </x:c>
      <x:c r="D342" t="str">
        <x:v>TR-B</x:v>
      </x:c>
      <x:c r="E342" t="str">
        <x:v>RFP-B2</x:v>
      </x:c>
      <x:c r="F342" t="str">
        <x:v>PTC-B</x:v>
      </x:c>
      <x:c r="G342" t="str">
        <x:v>QT-06</x:v>
      </x:c>
      <x:c r="H342" t="str">
        <x:v>RAW-V30</x:v>
      </x:c>
      <x:c r="I342" s="14" t="n">
        <x:f>'Reference Envelopes'!F36</x:f>
        <x:v>0.8</x:v>
      </x:c>
      <x:c r="J342" s="14" t="n">
        <x:f>'Reference Envelopes'!G36</x:f>
        <x:v>0.005</x:v>
      </x:c>
      <x:c r="K342" s="14" t="str">
        <x:f>IF(COUNT('Trial Register'!S342)=0,"",'Trial Register'!S342)</x:f>
      </x:c>
      <x:c r="L342" s="14" t="str">
        <x:f>IF(COUNT('Trial Register'!T342)=0,"",'Trial Register'!T342)</x:f>
      </x:c>
      <x:c r="M342" s="14" t="str">
        <x:f>IF(COUNT(K342:L342)&lt;2,"",K342-L342)</x:f>
      </x:c>
      <x:c r="N342" s="14" t="str">
        <x:f>IF(COUNT(K342:L342)&lt;2,"",K342+L342)</x:f>
      </x:c>
      <x:c r="O342" s="14" t="str">
        <x:f>IF(COUNT(K342)=0,"",ABS(K342-I342))</x:f>
      </x:c>
      <x:c r="P342" s="14" t="str">
        <x:f>IF(COUNT(O342)=0,"",IF(J342=0,IF(O342=0,0,999),O342/J342))</x:f>
      </x:c>
      <x:c r="Q342" t="str">
        <x:f>IF(COUNT(M342:N342)&lt;2,"",IF(AND(I342&gt;=M342,I342&lt;=N342,O342&lt;=J342),"PASS","FAIL"))</x:f>
      </x:c>
      <x:c r="R342" t="str"/>
      <x:c r="S342" t="str">
        <x:f>IF(R342=1,IF(Q342="PASS","PASS","FAIL"),"OPEN")</x:f>
        <x:v>OPEN</x:v>
      </x:c>
    </x:row>
    <x:row r="343">
      <x:c r="B343" t="str">
        <x:v>RAW-E337</x:v>
      </x:c>
      <x:c r="C343" t="str">
        <x:v>AM-04</x:v>
      </x:c>
      <x:c r="D343" t="str">
        <x:v>TR-A</x:v>
      </x:c>
      <x:c r="E343" t="str">
        <x:v>RFP-C1</x:v>
      </x:c>
      <x:c r="F343" t="str">
        <x:v>PTC-C</x:v>
      </x:c>
      <x:c r="G343" t="str">
        <x:v>QT-01</x:v>
      </x:c>
      <x:c r="H343" t="str">
        <x:v>RAW-V25</x:v>
      </x:c>
      <x:c r="I343" s="14" t="n">
        <x:f>'Reference Envelopes'!F31</x:f>
        <x:v>0.5</x:v>
      </x:c>
      <x:c r="J343" s="14" t="n">
        <x:f>'Reference Envelopes'!G31</x:f>
        <x:v>0.005</x:v>
      </x:c>
      <x:c r="K343" s="14" t="str">
        <x:f>IF(COUNT('Trial Register'!S343)=0,"",'Trial Register'!S343)</x:f>
      </x:c>
      <x:c r="L343" s="14" t="str">
        <x:f>IF(COUNT('Trial Register'!T343)=0,"",'Trial Register'!T343)</x:f>
      </x:c>
      <x:c r="M343" s="14" t="str">
        <x:f>IF(COUNT(K343:L343)&lt;2,"",K343-L343)</x:f>
      </x:c>
      <x:c r="N343" s="14" t="str">
        <x:f>IF(COUNT(K343:L343)&lt;2,"",K343+L343)</x:f>
      </x:c>
      <x:c r="O343" s="14" t="str">
        <x:f>IF(COUNT(K343)=0,"",ABS(K343-I343))</x:f>
      </x:c>
      <x:c r="P343" s="14" t="str">
        <x:f>IF(COUNT(O343)=0,"",IF(J343=0,IF(O343=0,0,999),O343/J343))</x:f>
      </x:c>
      <x:c r="Q343" t="str">
        <x:f>IF(COUNT(M343:N343)&lt;2,"",IF(AND(I343&gt;=M343,I343&lt;=N343,O343&lt;=J343),"PASS","FAIL"))</x:f>
      </x:c>
      <x:c r="R343" t="str"/>
      <x:c r="S343" t="str">
        <x:f>IF(R343=1,IF(Q343="PASS","PASS","FAIL"),"OPEN")</x:f>
        <x:v>OPEN</x:v>
      </x:c>
    </x:row>
    <x:row r="344">
      <x:c r="B344" t="str">
        <x:v>RAW-E338</x:v>
      </x:c>
      <x:c r="C344" t="str">
        <x:v>AM-04</x:v>
      </x:c>
      <x:c r="D344" t="str">
        <x:v>TR-A</x:v>
      </x:c>
      <x:c r="E344" t="str">
        <x:v>RFP-C1</x:v>
      </x:c>
      <x:c r="F344" t="str">
        <x:v>PTC-C</x:v>
      </x:c>
      <x:c r="G344" t="str">
        <x:v>QT-02</x:v>
      </x:c>
      <x:c r="H344" t="str">
        <x:v>RAW-V26</x:v>
      </x:c>
      <x:c r="I344" s="14" t="n">
        <x:f>'Reference Envelopes'!F32</x:f>
        <x:v>0.05</x:v>
      </x:c>
      <x:c r="J344" s="14" t="n">
        <x:f>'Reference Envelopes'!G32</x:f>
        <x:v>0.002</x:v>
      </x:c>
      <x:c r="K344" s="14" t="str">
        <x:f>IF(COUNT('Trial Register'!S344)=0,"",'Trial Register'!S344)</x:f>
      </x:c>
      <x:c r="L344" s="14" t="str">
        <x:f>IF(COUNT('Trial Register'!T344)=0,"",'Trial Register'!T344)</x:f>
      </x:c>
      <x:c r="M344" s="14" t="str">
        <x:f>IF(COUNT(K344:L344)&lt;2,"",K344-L344)</x:f>
      </x:c>
      <x:c r="N344" s="14" t="str">
        <x:f>IF(COUNT(K344:L344)&lt;2,"",K344+L344)</x:f>
      </x:c>
      <x:c r="O344" s="14" t="str">
        <x:f>IF(COUNT(K344)=0,"",ABS(K344-I344))</x:f>
      </x:c>
      <x:c r="P344" s="14" t="str">
        <x:f>IF(COUNT(O344)=0,"",IF(J344=0,IF(O344=0,0,999),O344/J344))</x:f>
      </x:c>
      <x:c r="Q344" t="str">
        <x:f>IF(COUNT(M344:N344)&lt;2,"",IF(AND(I344&gt;=M344,I344&lt;=N344,O344&lt;=J344),"PASS","FAIL"))</x:f>
      </x:c>
      <x:c r="R344" t="str"/>
      <x:c r="S344" t="str">
        <x:f>IF(R344=1,IF(Q344="PASS","PASS","FAIL"),"OPEN")</x:f>
        <x:v>OPEN</x:v>
      </x:c>
    </x:row>
    <x:row r="345">
      <x:c r="B345" t="str">
        <x:v>RAW-E339</x:v>
      </x:c>
      <x:c r="C345" t="str">
        <x:v>AM-04</x:v>
      </x:c>
      <x:c r="D345" t="str">
        <x:v>TR-A</x:v>
      </x:c>
      <x:c r="E345" t="str">
        <x:v>RFP-C1</x:v>
      </x:c>
      <x:c r="F345" t="str">
        <x:v>PTC-C</x:v>
      </x:c>
      <x:c r="G345" t="str">
        <x:v>QT-03</x:v>
      </x:c>
      <x:c r="H345" t="str">
        <x:v>RAW-V27</x:v>
      </x:c>
      <x:c r="I345" s="14" t="n">
        <x:f>'Reference Envelopes'!F33</x:f>
        <x:v>0.95</x:v>
      </x:c>
      <x:c r="J345" s="14" t="n">
        <x:f>'Reference Envelopes'!G33</x:f>
        <x:v>0.005</x:v>
      </x:c>
      <x:c r="K345" s="14" t="str">
        <x:f>IF(COUNT('Trial Register'!S345)=0,"",'Trial Register'!S345)</x:f>
      </x:c>
      <x:c r="L345" s="14" t="str">
        <x:f>IF(COUNT('Trial Register'!T345)=0,"",'Trial Register'!T345)</x:f>
      </x:c>
      <x:c r="M345" s="14" t="str">
        <x:f>IF(COUNT(K345:L345)&lt;2,"",K345-L345)</x:f>
      </x:c>
      <x:c r="N345" s="14" t="str">
        <x:f>IF(COUNT(K345:L345)&lt;2,"",K345+L345)</x:f>
      </x:c>
      <x:c r="O345" s="14" t="str">
        <x:f>IF(COUNT(K345)=0,"",ABS(K345-I345))</x:f>
      </x:c>
      <x:c r="P345" s="14" t="str">
        <x:f>IF(COUNT(O345)=0,"",IF(J345=0,IF(O345=0,0,999),O345/J345))</x:f>
      </x:c>
      <x:c r="Q345" t="str">
        <x:f>IF(COUNT(M345:N345)&lt;2,"",IF(AND(I345&gt;=M345,I345&lt;=N345,O345&lt;=J345),"PASS","FAIL"))</x:f>
      </x:c>
      <x:c r="R345" t="str"/>
      <x:c r="S345" t="str">
        <x:f>IF(R345=1,IF(Q345="PASS","PASS","FAIL"),"OPEN")</x:f>
        <x:v>OPEN</x:v>
      </x:c>
    </x:row>
    <x:row r="346">
      <x:c r="B346" t="str">
        <x:v>RAW-E340</x:v>
      </x:c>
      <x:c r="C346" t="str">
        <x:v>AM-04</x:v>
      </x:c>
      <x:c r="D346" t="str">
        <x:v>TR-A</x:v>
      </x:c>
      <x:c r="E346" t="str">
        <x:v>RFP-C1</x:v>
      </x:c>
      <x:c r="F346" t="str">
        <x:v>PTC-C</x:v>
      </x:c>
      <x:c r="G346" t="str">
        <x:v>QT-04</x:v>
      </x:c>
      <x:c r="H346" t="str">
        <x:v>RAW-V28</x:v>
      </x:c>
      <x:c r="I346" s="14" t="n">
        <x:f>'Reference Envelopes'!F34</x:f>
        <x:v>0.35</x:v>
      </x:c>
      <x:c r="J346" s="14" t="n">
        <x:f>'Reference Envelopes'!G34</x:f>
        <x:v>0.005</x:v>
      </x:c>
      <x:c r="K346" s="14" t="str">
        <x:f>IF(COUNT('Trial Register'!S346)=0,"",'Trial Register'!S346)</x:f>
      </x:c>
      <x:c r="L346" s="14" t="str">
        <x:f>IF(COUNT('Trial Register'!T346)=0,"",'Trial Register'!T346)</x:f>
      </x:c>
      <x:c r="M346" s="14" t="str">
        <x:f>IF(COUNT(K346:L346)&lt;2,"",K346-L346)</x:f>
      </x:c>
      <x:c r="N346" s="14" t="str">
        <x:f>IF(COUNT(K346:L346)&lt;2,"",K346+L346)</x:f>
      </x:c>
      <x:c r="O346" s="14" t="str">
        <x:f>IF(COUNT(K346)=0,"",ABS(K346-I346))</x:f>
      </x:c>
      <x:c r="P346" s="14" t="str">
        <x:f>IF(COUNT(O346)=0,"",IF(J346=0,IF(O346=0,0,999),O346/J346))</x:f>
      </x:c>
      <x:c r="Q346" t="str">
        <x:f>IF(COUNT(M346:N346)&lt;2,"",IF(AND(I346&gt;=M346,I346&lt;=N346,O346&lt;=J346),"PASS","FAIL"))</x:f>
      </x:c>
      <x:c r="R346" t="str"/>
      <x:c r="S346" t="str">
        <x:f>IF(R346=1,IF(Q346="PASS","PASS","FAIL"),"OPEN")</x:f>
        <x:v>OPEN</x:v>
      </x:c>
    </x:row>
    <x:row r="347">
      <x:c r="B347" t="str">
        <x:v>RAW-E341</x:v>
      </x:c>
      <x:c r="C347" t="str">
        <x:v>AM-04</x:v>
      </x:c>
      <x:c r="D347" t="str">
        <x:v>TR-A</x:v>
      </x:c>
      <x:c r="E347" t="str">
        <x:v>RFP-C1</x:v>
      </x:c>
      <x:c r="F347" t="str">
        <x:v>PTC-C</x:v>
      </x:c>
      <x:c r="G347" t="str">
        <x:v>QT-05</x:v>
      </x:c>
      <x:c r="H347" t="str">
        <x:v>RAW-V29</x:v>
      </x:c>
      <x:c r="I347" s="14" t="n">
        <x:f>'Reference Envelopes'!F35</x:f>
        <x:v>0.65</x:v>
      </x:c>
      <x:c r="J347" s="14" t="n">
        <x:f>'Reference Envelopes'!G35</x:f>
        <x:v>0.01</x:v>
      </x:c>
      <x:c r="K347" s="14" t="str">
        <x:f>IF(COUNT('Trial Register'!S347)=0,"",'Trial Register'!S347)</x:f>
      </x:c>
      <x:c r="L347" s="14" t="str">
        <x:f>IF(COUNT('Trial Register'!T347)=0,"",'Trial Register'!T347)</x:f>
      </x:c>
      <x:c r="M347" s="14" t="str">
        <x:f>IF(COUNT(K347:L347)&lt;2,"",K347-L347)</x:f>
      </x:c>
      <x:c r="N347" s="14" t="str">
        <x:f>IF(COUNT(K347:L347)&lt;2,"",K347+L347)</x:f>
      </x:c>
      <x:c r="O347" s="14" t="str">
        <x:f>IF(COUNT(K347)=0,"",ABS(K347-I347))</x:f>
      </x:c>
      <x:c r="P347" s="14" t="str">
        <x:f>IF(COUNT(O347)=0,"",IF(J347=0,IF(O347=0,0,999),O347/J347))</x:f>
      </x:c>
      <x:c r="Q347" t="str">
        <x:f>IF(COUNT(M347:N347)&lt;2,"",IF(AND(I347&gt;=M347,I347&lt;=N347,O347&lt;=J347),"PASS","FAIL"))</x:f>
      </x:c>
      <x:c r="R347" t="str"/>
      <x:c r="S347" t="str">
        <x:f>IF(R347=1,IF(Q347="PASS","PASS","FAIL"),"OPEN")</x:f>
        <x:v>OPEN</x:v>
      </x:c>
    </x:row>
    <x:row r="348">
      <x:c r="B348" t="str">
        <x:v>RAW-E342</x:v>
      </x:c>
      <x:c r="C348" t="str">
        <x:v>AM-04</x:v>
      </x:c>
      <x:c r="D348" t="str">
        <x:v>TR-A</x:v>
      </x:c>
      <x:c r="E348" t="str">
        <x:v>RFP-C1</x:v>
      </x:c>
      <x:c r="F348" t="str">
        <x:v>PTC-C</x:v>
      </x:c>
      <x:c r="G348" t="str">
        <x:v>QT-06</x:v>
      </x:c>
      <x:c r="H348" t="str">
        <x:v>RAW-V30</x:v>
      </x:c>
      <x:c r="I348" s="14" t="n">
        <x:f>'Reference Envelopes'!F36</x:f>
        <x:v>0.8</x:v>
      </x:c>
      <x:c r="J348" s="14" t="n">
        <x:f>'Reference Envelopes'!G36</x:f>
        <x:v>0.005</x:v>
      </x:c>
      <x:c r="K348" s="14" t="str">
        <x:f>IF(COUNT('Trial Register'!S348)=0,"",'Trial Register'!S348)</x:f>
      </x:c>
      <x:c r="L348" s="14" t="str">
        <x:f>IF(COUNT('Trial Register'!T348)=0,"",'Trial Register'!T348)</x:f>
      </x:c>
      <x:c r="M348" s="14" t="str">
        <x:f>IF(COUNT(K348:L348)&lt;2,"",K348-L348)</x:f>
      </x:c>
      <x:c r="N348" s="14" t="str">
        <x:f>IF(COUNT(K348:L348)&lt;2,"",K348+L348)</x:f>
      </x:c>
      <x:c r="O348" s="14" t="str">
        <x:f>IF(COUNT(K348)=0,"",ABS(K348-I348))</x:f>
      </x:c>
      <x:c r="P348" s="14" t="str">
        <x:f>IF(COUNT(O348)=0,"",IF(J348=0,IF(O348=0,0,999),O348/J348))</x:f>
      </x:c>
      <x:c r="Q348" t="str">
        <x:f>IF(COUNT(M348:N348)&lt;2,"",IF(AND(I348&gt;=M348,I348&lt;=N348,O348&lt;=J348),"PASS","FAIL"))</x:f>
      </x:c>
      <x:c r="R348" t="str"/>
      <x:c r="S348" t="str">
        <x:f>IF(R348=1,IF(Q348="PASS","PASS","FAIL"),"OPEN")</x:f>
        <x:v>OPEN</x:v>
      </x:c>
    </x:row>
    <x:row r="349">
      <x:c r="B349" t="str">
        <x:v>RAW-E343</x:v>
      </x:c>
      <x:c r="C349" t="str">
        <x:v>AM-04</x:v>
      </x:c>
      <x:c r="D349" t="str">
        <x:v>TR-B</x:v>
      </x:c>
      <x:c r="E349" t="str">
        <x:v>RFP-C1</x:v>
      </x:c>
      <x:c r="F349" t="str">
        <x:v>PTC-C</x:v>
      </x:c>
      <x:c r="G349" t="str">
        <x:v>QT-01</x:v>
      </x:c>
      <x:c r="H349" t="str">
        <x:v>RAW-V25</x:v>
      </x:c>
      <x:c r="I349" s="14" t="n">
        <x:f>'Reference Envelopes'!F31</x:f>
        <x:v>0.5</x:v>
      </x:c>
      <x:c r="J349" s="14" t="n">
        <x:f>'Reference Envelopes'!G31</x:f>
        <x:v>0.005</x:v>
      </x:c>
      <x:c r="K349" s="14" t="str">
        <x:f>IF(COUNT('Trial Register'!S349)=0,"",'Trial Register'!S349)</x:f>
      </x:c>
      <x:c r="L349" s="14" t="str">
        <x:f>IF(COUNT('Trial Register'!T349)=0,"",'Trial Register'!T349)</x:f>
      </x:c>
      <x:c r="M349" s="14" t="str">
        <x:f>IF(COUNT(K349:L349)&lt;2,"",K349-L349)</x:f>
      </x:c>
      <x:c r="N349" s="14" t="str">
        <x:f>IF(COUNT(K349:L349)&lt;2,"",K349+L349)</x:f>
      </x:c>
      <x:c r="O349" s="14" t="str">
        <x:f>IF(COUNT(K349)=0,"",ABS(K349-I349))</x:f>
      </x:c>
      <x:c r="P349" s="14" t="str">
        <x:f>IF(COUNT(O349)=0,"",IF(J349=0,IF(O349=0,0,999),O349/J349))</x:f>
      </x:c>
      <x:c r="Q349" t="str">
        <x:f>IF(COUNT(M349:N349)&lt;2,"",IF(AND(I349&gt;=M349,I349&lt;=N349,O349&lt;=J349),"PASS","FAIL"))</x:f>
      </x:c>
      <x:c r="R349" t="str"/>
      <x:c r="S349" t="str">
        <x:f>IF(R349=1,IF(Q349="PASS","PASS","FAIL"),"OPEN")</x:f>
        <x:v>OPEN</x:v>
      </x:c>
    </x:row>
    <x:row r="350">
      <x:c r="B350" t="str">
        <x:v>RAW-E344</x:v>
      </x:c>
      <x:c r="C350" t="str">
        <x:v>AM-04</x:v>
      </x:c>
      <x:c r="D350" t="str">
        <x:v>TR-B</x:v>
      </x:c>
      <x:c r="E350" t="str">
        <x:v>RFP-C1</x:v>
      </x:c>
      <x:c r="F350" t="str">
        <x:v>PTC-C</x:v>
      </x:c>
      <x:c r="G350" t="str">
        <x:v>QT-02</x:v>
      </x:c>
      <x:c r="H350" t="str">
        <x:v>RAW-V26</x:v>
      </x:c>
      <x:c r="I350" s="14" t="n">
        <x:f>'Reference Envelopes'!F32</x:f>
        <x:v>0.05</x:v>
      </x:c>
      <x:c r="J350" s="14" t="n">
        <x:f>'Reference Envelopes'!G32</x:f>
        <x:v>0.002</x:v>
      </x:c>
      <x:c r="K350" s="14" t="str">
        <x:f>IF(COUNT('Trial Register'!S350)=0,"",'Trial Register'!S350)</x:f>
      </x:c>
      <x:c r="L350" s="14" t="str">
        <x:f>IF(COUNT('Trial Register'!T350)=0,"",'Trial Register'!T350)</x:f>
      </x:c>
      <x:c r="M350" s="14" t="str">
        <x:f>IF(COUNT(K350:L350)&lt;2,"",K350-L350)</x:f>
      </x:c>
      <x:c r="N350" s="14" t="str">
        <x:f>IF(COUNT(K350:L350)&lt;2,"",K350+L350)</x:f>
      </x:c>
      <x:c r="O350" s="14" t="str">
        <x:f>IF(COUNT(K350)=0,"",ABS(K350-I350))</x:f>
      </x:c>
      <x:c r="P350" s="14" t="str">
        <x:f>IF(COUNT(O350)=0,"",IF(J350=0,IF(O350=0,0,999),O350/J350))</x:f>
      </x:c>
      <x:c r="Q350" t="str">
        <x:f>IF(COUNT(M350:N350)&lt;2,"",IF(AND(I350&gt;=M350,I350&lt;=N350,O350&lt;=J350),"PASS","FAIL"))</x:f>
      </x:c>
      <x:c r="R350" t="str"/>
      <x:c r="S350" t="str">
        <x:f>IF(R350=1,IF(Q350="PASS","PASS","FAIL"),"OPEN")</x:f>
        <x:v>OPEN</x:v>
      </x:c>
    </x:row>
    <x:row r="351">
      <x:c r="B351" t="str">
        <x:v>RAW-E345</x:v>
      </x:c>
      <x:c r="C351" t="str">
        <x:v>AM-04</x:v>
      </x:c>
      <x:c r="D351" t="str">
        <x:v>TR-B</x:v>
      </x:c>
      <x:c r="E351" t="str">
        <x:v>RFP-C1</x:v>
      </x:c>
      <x:c r="F351" t="str">
        <x:v>PTC-C</x:v>
      </x:c>
      <x:c r="G351" t="str">
        <x:v>QT-03</x:v>
      </x:c>
      <x:c r="H351" t="str">
        <x:v>RAW-V27</x:v>
      </x:c>
      <x:c r="I351" s="14" t="n">
        <x:f>'Reference Envelopes'!F33</x:f>
        <x:v>0.95</x:v>
      </x:c>
      <x:c r="J351" s="14" t="n">
        <x:f>'Reference Envelopes'!G33</x:f>
        <x:v>0.005</x:v>
      </x:c>
      <x:c r="K351" s="14" t="str">
        <x:f>IF(COUNT('Trial Register'!S351)=0,"",'Trial Register'!S351)</x:f>
      </x:c>
      <x:c r="L351" s="14" t="str">
        <x:f>IF(COUNT('Trial Register'!T351)=0,"",'Trial Register'!T351)</x:f>
      </x:c>
      <x:c r="M351" s="14" t="str">
        <x:f>IF(COUNT(K351:L351)&lt;2,"",K351-L351)</x:f>
      </x:c>
      <x:c r="N351" s="14" t="str">
        <x:f>IF(COUNT(K351:L351)&lt;2,"",K351+L351)</x:f>
      </x:c>
      <x:c r="O351" s="14" t="str">
        <x:f>IF(COUNT(K351)=0,"",ABS(K351-I351))</x:f>
      </x:c>
      <x:c r="P351" s="14" t="str">
        <x:f>IF(COUNT(O351)=0,"",IF(J351=0,IF(O351=0,0,999),O351/J351))</x:f>
      </x:c>
      <x:c r="Q351" t="str">
        <x:f>IF(COUNT(M351:N351)&lt;2,"",IF(AND(I351&gt;=M351,I351&lt;=N351,O351&lt;=J351),"PASS","FAIL"))</x:f>
      </x:c>
      <x:c r="R351" t="str"/>
      <x:c r="S351" t="str">
        <x:f>IF(R351=1,IF(Q351="PASS","PASS","FAIL"),"OPEN")</x:f>
        <x:v>OPEN</x:v>
      </x:c>
    </x:row>
    <x:row r="352">
      <x:c r="B352" t="str">
        <x:v>RAW-E346</x:v>
      </x:c>
      <x:c r="C352" t="str">
        <x:v>AM-04</x:v>
      </x:c>
      <x:c r="D352" t="str">
        <x:v>TR-B</x:v>
      </x:c>
      <x:c r="E352" t="str">
        <x:v>RFP-C1</x:v>
      </x:c>
      <x:c r="F352" t="str">
        <x:v>PTC-C</x:v>
      </x:c>
      <x:c r="G352" t="str">
        <x:v>QT-04</x:v>
      </x:c>
      <x:c r="H352" t="str">
        <x:v>RAW-V28</x:v>
      </x:c>
      <x:c r="I352" s="14" t="n">
        <x:f>'Reference Envelopes'!F34</x:f>
        <x:v>0.35</x:v>
      </x:c>
      <x:c r="J352" s="14" t="n">
        <x:f>'Reference Envelopes'!G34</x:f>
        <x:v>0.005</x:v>
      </x:c>
      <x:c r="K352" s="14" t="str">
        <x:f>IF(COUNT('Trial Register'!S352)=0,"",'Trial Register'!S352)</x:f>
      </x:c>
      <x:c r="L352" s="14" t="str">
        <x:f>IF(COUNT('Trial Register'!T352)=0,"",'Trial Register'!T352)</x:f>
      </x:c>
      <x:c r="M352" s="14" t="str">
        <x:f>IF(COUNT(K352:L352)&lt;2,"",K352-L352)</x:f>
      </x:c>
      <x:c r="N352" s="14" t="str">
        <x:f>IF(COUNT(K352:L352)&lt;2,"",K352+L352)</x:f>
      </x:c>
      <x:c r="O352" s="14" t="str">
        <x:f>IF(COUNT(K352)=0,"",ABS(K352-I352))</x:f>
      </x:c>
      <x:c r="P352" s="14" t="str">
        <x:f>IF(COUNT(O352)=0,"",IF(J352=0,IF(O352=0,0,999),O352/J352))</x:f>
      </x:c>
      <x:c r="Q352" t="str">
        <x:f>IF(COUNT(M352:N352)&lt;2,"",IF(AND(I352&gt;=M352,I352&lt;=N352,O352&lt;=J352),"PASS","FAIL"))</x:f>
      </x:c>
      <x:c r="R352" t="str"/>
      <x:c r="S352" t="str">
        <x:f>IF(R352=1,IF(Q352="PASS","PASS","FAIL"),"OPEN")</x:f>
        <x:v>OPEN</x:v>
      </x:c>
    </x:row>
    <x:row r="353">
      <x:c r="B353" t="str">
        <x:v>RAW-E347</x:v>
      </x:c>
      <x:c r="C353" t="str">
        <x:v>AM-04</x:v>
      </x:c>
      <x:c r="D353" t="str">
        <x:v>TR-B</x:v>
      </x:c>
      <x:c r="E353" t="str">
        <x:v>RFP-C1</x:v>
      </x:c>
      <x:c r="F353" t="str">
        <x:v>PTC-C</x:v>
      </x:c>
      <x:c r="G353" t="str">
        <x:v>QT-05</x:v>
      </x:c>
      <x:c r="H353" t="str">
        <x:v>RAW-V29</x:v>
      </x:c>
      <x:c r="I353" s="14" t="n">
        <x:f>'Reference Envelopes'!F35</x:f>
        <x:v>0.65</x:v>
      </x:c>
      <x:c r="J353" s="14" t="n">
        <x:f>'Reference Envelopes'!G35</x:f>
        <x:v>0.01</x:v>
      </x:c>
      <x:c r="K353" s="14" t="str">
        <x:f>IF(COUNT('Trial Register'!S353)=0,"",'Trial Register'!S353)</x:f>
      </x:c>
      <x:c r="L353" s="14" t="str">
        <x:f>IF(COUNT('Trial Register'!T353)=0,"",'Trial Register'!T353)</x:f>
      </x:c>
      <x:c r="M353" s="14" t="str">
        <x:f>IF(COUNT(K353:L353)&lt;2,"",K353-L353)</x:f>
      </x:c>
      <x:c r="N353" s="14" t="str">
        <x:f>IF(COUNT(K353:L353)&lt;2,"",K353+L353)</x:f>
      </x:c>
      <x:c r="O353" s="14" t="str">
        <x:f>IF(COUNT(K353)=0,"",ABS(K353-I353))</x:f>
      </x:c>
      <x:c r="P353" s="14" t="str">
        <x:f>IF(COUNT(O353)=0,"",IF(J353=0,IF(O353=0,0,999),O353/J353))</x:f>
      </x:c>
      <x:c r="Q353" t="str">
        <x:f>IF(COUNT(M353:N353)&lt;2,"",IF(AND(I353&gt;=M353,I353&lt;=N353,O353&lt;=J353),"PASS","FAIL"))</x:f>
      </x:c>
      <x:c r="R353" t="str"/>
      <x:c r="S353" t="str">
        <x:f>IF(R353=1,IF(Q353="PASS","PASS","FAIL"),"OPEN")</x:f>
        <x:v>OPEN</x:v>
      </x:c>
    </x:row>
    <x:row r="354">
      <x:c r="B354" t="str">
        <x:v>RAW-E348</x:v>
      </x:c>
      <x:c r="C354" t="str">
        <x:v>AM-04</x:v>
      </x:c>
      <x:c r="D354" t="str">
        <x:v>TR-B</x:v>
      </x:c>
      <x:c r="E354" t="str">
        <x:v>RFP-C1</x:v>
      </x:c>
      <x:c r="F354" t="str">
        <x:v>PTC-C</x:v>
      </x:c>
      <x:c r="G354" t="str">
        <x:v>QT-06</x:v>
      </x:c>
      <x:c r="H354" t="str">
        <x:v>RAW-V30</x:v>
      </x:c>
      <x:c r="I354" s="14" t="n">
        <x:f>'Reference Envelopes'!F36</x:f>
        <x:v>0.8</x:v>
      </x:c>
      <x:c r="J354" s="14" t="n">
        <x:f>'Reference Envelopes'!G36</x:f>
        <x:v>0.005</x:v>
      </x:c>
      <x:c r="K354" s="14" t="str">
        <x:f>IF(COUNT('Trial Register'!S354)=0,"",'Trial Register'!S354)</x:f>
      </x:c>
      <x:c r="L354" s="14" t="str">
        <x:f>IF(COUNT('Trial Register'!T354)=0,"",'Trial Register'!T354)</x:f>
      </x:c>
      <x:c r="M354" s="14" t="str">
        <x:f>IF(COUNT(K354:L354)&lt;2,"",K354-L354)</x:f>
      </x:c>
      <x:c r="N354" s="14" t="str">
        <x:f>IF(COUNT(K354:L354)&lt;2,"",K354+L354)</x:f>
      </x:c>
      <x:c r="O354" s="14" t="str">
        <x:f>IF(COUNT(K354)=0,"",ABS(K354-I354))</x:f>
      </x:c>
      <x:c r="P354" s="14" t="str">
        <x:f>IF(COUNT(O354)=0,"",IF(J354=0,IF(O354=0,0,999),O354/J354))</x:f>
      </x:c>
      <x:c r="Q354" t="str">
        <x:f>IF(COUNT(M354:N354)&lt;2,"",IF(AND(I354&gt;=M354,I354&lt;=N354,O354&lt;=J354),"PASS","FAIL"))</x:f>
      </x:c>
      <x:c r="R354" t="str"/>
      <x:c r="S354" t="str">
        <x:f>IF(R354=1,IF(Q354="PASS","PASS","FAIL"),"OPEN")</x:f>
        <x:v>OPEN</x:v>
      </x:c>
    </x:row>
    <x:row r="355">
      <x:c r="B355" t="str">
        <x:v>RAW-E349</x:v>
      </x:c>
      <x:c r="C355" t="str">
        <x:v>AM-04</x:v>
      </x:c>
      <x:c r="D355" t="str">
        <x:v>TR-A</x:v>
      </x:c>
      <x:c r="E355" t="str">
        <x:v>RFP-C2</x:v>
      </x:c>
      <x:c r="F355" t="str">
        <x:v>PTC-C</x:v>
      </x:c>
      <x:c r="G355" t="str">
        <x:v>QT-01</x:v>
      </x:c>
      <x:c r="H355" t="str">
        <x:v>RAW-V25</x:v>
      </x:c>
      <x:c r="I355" s="14" t="n">
        <x:f>'Reference Envelopes'!F31</x:f>
        <x:v>0.5</x:v>
      </x:c>
      <x:c r="J355" s="14" t="n">
        <x:f>'Reference Envelopes'!G31</x:f>
        <x:v>0.005</x:v>
      </x:c>
      <x:c r="K355" s="14" t="str">
        <x:f>IF(COUNT('Trial Register'!S355)=0,"",'Trial Register'!S355)</x:f>
      </x:c>
      <x:c r="L355" s="14" t="str">
        <x:f>IF(COUNT('Trial Register'!T355)=0,"",'Trial Register'!T355)</x:f>
      </x:c>
      <x:c r="M355" s="14" t="str">
        <x:f>IF(COUNT(K355:L355)&lt;2,"",K355-L355)</x:f>
      </x:c>
      <x:c r="N355" s="14" t="str">
        <x:f>IF(COUNT(K355:L355)&lt;2,"",K355+L355)</x:f>
      </x:c>
      <x:c r="O355" s="14" t="str">
        <x:f>IF(COUNT(K355)=0,"",ABS(K355-I355))</x:f>
      </x:c>
      <x:c r="P355" s="14" t="str">
        <x:f>IF(COUNT(O355)=0,"",IF(J355=0,IF(O355=0,0,999),O355/J355))</x:f>
      </x:c>
      <x:c r="Q355" t="str">
        <x:f>IF(COUNT(M355:N355)&lt;2,"",IF(AND(I355&gt;=M355,I355&lt;=N355,O355&lt;=J355),"PASS","FAIL"))</x:f>
      </x:c>
      <x:c r="R355" t="str"/>
      <x:c r="S355" t="str">
        <x:f>IF(R355=1,IF(Q355="PASS","PASS","FAIL"),"OPEN")</x:f>
        <x:v>OPEN</x:v>
      </x:c>
    </x:row>
    <x:row r="356">
      <x:c r="B356" t="str">
        <x:v>RAW-E350</x:v>
      </x:c>
      <x:c r="C356" t="str">
        <x:v>AM-04</x:v>
      </x:c>
      <x:c r="D356" t="str">
        <x:v>TR-A</x:v>
      </x:c>
      <x:c r="E356" t="str">
        <x:v>RFP-C2</x:v>
      </x:c>
      <x:c r="F356" t="str">
        <x:v>PTC-C</x:v>
      </x:c>
      <x:c r="G356" t="str">
        <x:v>QT-02</x:v>
      </x:c>
      <x:c r="H356" t="str">
        <x:v>RAW-V26</x:v>
      </x:c>
      <x:c r="I356" s="14" t="n">
        <x:f>'Reference Envelopes'!F32</x:f>
        <x:v>0.05</x:v>
      </x:c>
      <x:c r="J356" s="14" t="n">
        <x:f>'Reference Envelopes'!G32</x:f>
        <x:v>0.002</x:v>
      </x:c>
      <x:c r="K356" s="14" t="str">
        <x:f>IF(COUNT('Trial Register'!S356)=0,"",'Trial Register'!S356)</x:f>
      </x:c>
      <x:c r="L356" s="14" t="str">
        <x:f>IF(COUNT('Trial Register'!T356)=0,"",'Trial Register'!T356)</x:f>
      </x:c>
      <x:c r="M356" s="14" t="str">
        <x:f>IF(COUNT(K356:L356)&lt;2,"",K356-L356)</x:f>
      </x:c>
      <x:c r="N356" s="14" t="str">
        <x:f>IF(COUNT(K356:L356)&lt;2,"",K356+L356)</x:f>
      </x:c>
      <x:c r="O356" s="14" t="str">
        <x:f>IF(COUNT(K356)=0,"",ABS(K356-I356))</x:f>
      </x:c>
      <x:c r="P356" s="14" t="str">
        <x:f>IF(COUNT(O356)=0,"",IF(J356=0,IF(O356=0,0,999),O356/J356))</x:f>
      </x:c>
      <x:c r="Q356" t="str">
        <x:f>IF(COUNT(M356:N356)&lt;2,"",IF(AND(I356&gt;=M356,I356&lt;=N356,O356&lt;=J356),"PASS","FAIL"))</x:f>
      </x:c>
      <x:c r="R356" t="str"/>
      <x:c r="S356" t="str">
        <x:f>IF(R356=1,IF(Q356="PASS","PASS","FAIL"),"OPEN")</x:f>
        <x:v>OPEN</x:v>
      </x:c>
    </x:row>
    <x:row r="357">
      <x:c r="B357" t="str">
        <x:v>RAW-E351</x:v>
      </x:c>
      <x:c r="C357" t="str">
        <x:v>AM-04</x:v>
      </x:c>
      <x:c r="D357" t="str">
        <x:v>TR-A</x:v>
      </x:c>
      <x:c r="E357" t="str">
        <x:v>RFP-C2</x:v>
      </x:c>
      <x:c r="F357" t="str">
        <x:v>PTC-C</x:v>
      </x:c>
      <x:c r="G357" t="str">
        <x:v>QT-03</x:v>
      </x:c>
      <x:c r="H357" t="str">
        <x:v>RAW-V27</x:v>
      </x:c>
      <x:c r="I357" s="14" t="n">
        <x:f>'Reference Envelopes'!F33</x:f>
        <x:v>0.95</x:v>
      </x:c>
      <x:c r="J357" s="14" t="n">
        <x:f>'Reference Envelopes'!G33</x:f>
        <x:v>0.005</x:v>
      </x:c>
      <x:c r="K357" s="14" t="str">
        <x:f>IF(COUNT('Trial Register'!S357)=0,"",'Trial Register'!S357)</x:f>
      </x:c>
      <x:c r="L357" s="14" t="str">
        <x:f>IF(COUNT('Trial Register'!T357)=0,"",'Trial Register'!T357)</x:f>
      </x:c>
      <x:c r="M357" s="14" t="str">
        <x:f>IF(COUNT(K357:L357)&lt;2,"",K357-L357)</x:f>
      </x:c>
      <x:c r="N357" s="14" t="str">
        <x:f>IF(COUNT(K357:L357)&lt;2,"",K357+L357)</x:f>
      </x:c>
      <x:c r="O357" s="14" t="str">
        <x:f>IF(COUNT(K357)=0,"",ABS(K357-I357))</x:f>
      </x:c>
      <x:c r="P357" s="14" t="str">
        <x:f>IF(COUNT(O357)=0,"",IF(J357=0,IF(O357=0,0,999),O357/J357))</x:f>
      </x:c>
      <x:c r="Q357" t="str">
        <x:f>IF(COUNT(M357:N357)&lt;2,"",IF(AND(I357&gt;=M357,I357&lt;=N357,O357&lt;=J357),"PASS","FAIL"))</x:f>
      </x:c>
      <x:c r="R357" t="str"/>
      <x:c r="S357" t="str">
        <x:f>IF(R357=1,IF(Q357="PASS","PASS","FAIL"),"OPEN")</x:f>
        <x:v>OPEN</x:v>
      </x:c>
    </x:row>
    <x:row r="358">
      <x:c r="B358" t="str">
        <x:v>RAW-E352</x:v>
      </x:c>
      <x:c r="C358" t="str">
        <x:v>AM-04</x:v>
      </x:c>
      <x:c r="D358" t="str">
        <x:v>TR-A</x:v>
      </x:c>
      <x:c r="E358" t="str">
        <x:v>RFP-C2</x:v>
      </x:c>
      <x:c r="F358" t="str">
        <x:v>PTC-C</x:v>
      </x:c>
      <x:c r="G358" t="str">
        <x:v>QT-04</x:v>
      </x:c>
      <x:c r="H358" t="str">
        <x:v>RAW-V28</x:v>
      </x:c>
      <x:c r="I358" s="14" t="n">
        <x:f>'Reference Envelopes'!F34</x:f>
        <x:v>0.35</x:v>
      </x:c>
      <x:c r="J358" s="14" t="n">
        <x:f>'Reference Envelopes'!G34</x:f>
        <x:v>0.005</x:v>
      </x:c>
      <x:c r="K358" s="14" t="str">
        <x:f>IF(COUNT('Trial Register'!S358)=0,"",'Trial Register'!S358)</x:f>
      </x:c>
      <x:c r="L358" s="14" t="str">
        <x:f>IF(COUNT('Trial Register'!T358)=0,"",'Trial Register'!T358)</x:f>
      </x:c>
      <x:c r="M358" s="14" t="str">
        <x:f>IF(COUNT(K358:L358)&lt;2,"",K358-L358)</x:f>
      </x:c>
      <x:c r="N358" s="14" t="str">
        <x:f>IF(COUNT(K358:L358)&lt;2,"",K358+L358)</x:f>
      </x:c>
      <x:c r="O358" s="14" t="str">
        <x:f>IF(COUNT(K358)=0,"",ABS(K358-I358))</x:f>
      </x:c>
      <x:c r="P358" s="14" t="str">
        <x:f>IF(COUNT(O358)=0,"",IF(J358=0,IF(O358=0,0,999),O358/J358))</x:f>
      </x:c>
      <x:c r="Q358" t="str">
        <x:f>IF(COUNT(M358:N358)&lt;2,"",IF(AND(I358&gt;=M358,I358&lt;=N358,O358&lt;=J358),"PASS","FAIL"))</x:f>
      </x:c>
      <x:c r="R358" t="str"/>
      <x:c r="S358" t="str">
        <x:f>IF(R358=1,IF(Q358="PASS","PASS","FAIL"),"OPEN")</x:f>
        <x:v>OPEN</x:v>
      </x:c>
    </x:row>
    <x:row r="359">
      <x:c r="B359" t="str">
        <x:v>RAW-E353</x:v>
      </x:c>
      <x:c r="C359" t="str">
        <x:v>AM-04</x:v>
      </x:c>
      <x:c r="D359" t="str">
        <x:v>TR-A</x:v>
      </x:c>
      <x:c r="E359" t="str">
        <x:v>RFP-C2</x:v>
      </x:c>
      <x:c r="F359" t="str">
        <x:v>PTC-C</x:v>
      </x:c>
      <x:c r="G359" t="str">
        <x:v>QT-05</x:v>
      </x:c>
      <x:c r="H359" t="str">
        <x:v>RAW-V29</x:v>
      </x:c>
      <x:c r="I359" s="14" t="n">
        <x:f>'Reference Envelopes'!F35</x:f>
        <x:v>0.65</x:v>
      </x:c>
      <x:c r="J359" s="14" t="n">
        <x:f>'Reference Envelopes'!G35</x:f>
        <x:v>0.01</x:v>
      </x:c>
      <x:c r="K359" s="14" t="str">
        <x:f>IF(COUNT('Trial Register'!S359)=0,"",'Trial Register'!S359)</x:f>
      </x:c>
      <x:c r="L359" s="14" t="str">
        <x:f>IF(COUNT('Trial Register'!T359)=0,"",'Trial Register'!T359)</x:f>
      </x:c>
      <x:c r="M359" s="14" t="str">
        <x:f>IF(COUNT(K359:L359)&lt;2,"",K359-L359)</x:f>
      </x:c>
      <x:c r="N359" s="14" t="str">
        <x:f>IF(COUNT(K359:L359)&lt;2,"",K359+L359)</x:f>
      </x:c>
      <x:c r="O359" s="14" t="str">
        <x:f>IF(COUNT(K359)=0,"",ABS(K359-I359))</x:f>
      </x:c>
      <x:c r="P359" s="14" t="str">
        <x:f>IF(COUNT(O359)=0,"",IF(J359=0,IF(O359=0,0,999),O359/J359))</x:f>
      </x:c>
      <x:c r="Q359" t="str">
        <x:f>IF(COUNT(M359:N359)&lt;2,"",IF(AND(I359&gt;=M359,I359&lt;=N359,O359&lt;=J359),"PASS","FAIL"))</x:f>
      </x:c>
      <x:c r="R359" t="str"/>
      <x:c r="S359" t="str">
        <x:f>IF(R359=1,IF(Q359="PASS","PASS","FAIL"),"OPEN")</x:f>
        <x:v>OPEN</x:v>
      </x:c>
    </x:row>
    <x:row r="360">
      <x:c r="B360" t="str">
        <x:v>RAW-E354</x:v>
      </x:c>
      <x:c r="C360" t="str">
        <x:v>AM-04</x:v>
      </x:c>
      <x:c r="D360" t="str">
        <x:v>TR-A</x:v>
      </x:c>
      <x:c r="E360" t="str">
        <x:v>RFP-C2</x:v>
      </x:c>
      <x:c r="F360" t="str">
        <x:v>PTC-C</x:v>
      </x:c>
      <x:c r="G360" t="str">
        <x:v>QT-06</x:v>
      </x:c>
      <x:c r="H360" t="str">
        <x:v>RAW-V30</x:v>
      </x:c>
      <x:c r="I360" s="14" t="n">
        <x:f>'Reference Envelopes'!F36</x:f>
        <x:v>0.8</x:v>
      </x:c>
      <x:c r="J360" s="14" t="n">
        <x:f>'Reference Envelopes'!G36</x:f>
        <x:v>0.005</x:v>
      </x:c>
      <x:c r="K360" s="14" t="str">
        <x:f>IF(COUNT('Trial Register'!S360)=0,"",'Trial Register'!S360)</x:f>
      </x:c>
      <x:c r="L360" s="14" t="str">
        <x:f>IF(COUNT('Trial Register'!T360)=0,"",'Trial Register'!T360)</x:f>
      </x:c>
      <x:c r="M360" s="14" t="str">
        <x:f>IF(COUNT(K360:L360)&lt;2,"",K360-L360)</x:f>
      </x:c>
      <x:c r="N360" s="14" t="str">
        <x:f>IF(COUNT(K360:L360)&lt;2,"",K360+L360)</x:f>
      </x:c>
      <x:c r="O360" s="14" t="str">
        <x:f>IF(COUNT(K360)=0,"",ABS(K360-I360))</x:f>
      </x:c>
      <x:c r="P360" s="14" t="str">
        <x:f>IF(COUNT(O360)=0,"",IF(J360=0,IF(O360=0,0,999),O360/J360))</x:f>
      </x:c>
      <x:c r="Q360" t="str">
        <x:f>IF(COUNT(M360:N360)&lt;2,"",IF(AND(I360&gt;=M360,I360&lt;=N360,O360&lt;=J360),"PASS","FAIL"))</x:f>
      </x:c>
      <x:c r="R360" t="str"/>
      <x:c r="S360" t="str">
        <x:f>IF(R360=1,IF(Q360="PASS","PASS","FAIL"),"OPEN")</x:f>
        <x:v>OPEN</x:v>
      </x:c>
    </x:row>
    <x:row r="361">
      <x:c r="B361" t="str">
        <x:v>RAW-E355</x:v>
      </x:c>
      <x:c r="C361" t="str">
        <x:v>AM-04</x:v>
      </x:c>
      <x:c r="D361" t="str">
        <x:v>TR-B</x:v>
      </x:c>
      <x:c r="E361" t="str">
        <x:v>RFP-C2</x:v>
      </x:c>
      <x:c r="F361" t="str">
        <x:v>PTC-C</x:v>
      </x:c>
      <x:c r="G361" t="str">
        <x:v>QT-01</x:v>
      </x:c>
      <x:c r="H361" t="str">
        <x:v>RAW-V25</x:v>
      </x:c>
      <x:c r="I361" s="14" t="n">
        <x:f>'Reference Envelopes'!F31</x:f>
        <x:v>0.5</x:v>
      </x:c>
      <x:c r="J361" s="14" t="n">
        <x:f>'Reference Envelopes'!G31</x:f>
        <x:v>0.005</x:v>
      </x:c>
      <x:c r="K361" s="14" t="str">
        <x:f>IF(COUNT('Trial Register'!S361)=0,"",'Trial Register'!S361)</x:f>
      </x:c>
      <x:c r="L361" s="14" t="str">
        <x:f>IF(COUNT('Trial Register'!T361)=0,"",'Trial Register'!T361)</x:f>
      </x:c>
      <x:c r="M361" s="14" t="str">
        <x:f>IF(COUNT(K361:L361)&lt;2,"",K361-L361)</x:f>
      </x:c>
      <x:c r="N361" s="14" t="str">
        <x:f>IF(COUNT(K361:L361)&lt;2,"",K361+L361)</x:f>
      </x:c>
      <x:c r="O361" s="14" t="str">
        <x:f>IF(COUNT(K361)=0,"",ABS(K361-I361))</x:f>
      </x:c>
      <x:c r="P361" s="14" t="str">
        <x:f>IF(COUNT(O361)=0,"",IF(J361=0,IF(O361=0,0,999),O361/J361))</x:f>
      </x:c>
      <x:c r="Q361" t="str">
        <x:f>IF(COUNT(M361:N361)&lt;2,"",IF(AND(I361&gt;=M361,I361&lt;=N361,O361&lt;=J361),"PASS","FAIL"))</x:f>
      </x:c>
      <x:c r="R361" t="str"/>
      <x:c r="S361" t="str">
        <x:f>IF(R361=1,IF(Q361="PASS","PASS","FAIL"),"OPEN")</x:f>
        <x:v>OPEN</x:v>
      </x:c>
    </x:row>
    <x:row r="362">
      <x:c r="B362" t="str">
        <x:v>RAW-E356</x:v>
      </x:c>
      <x:c r="C362" t="str">
        <x:v>AM-04</x:v>
      </x:c>
      <x:c r="D362" t="str">
        <x:v>TR-B</x:v>
      </x:c>
      <x:c r="E362" t="str">
        <x:v>RFP-C2</x:v>
      </x:c>
      <x:c r="F362" t="str">
        <x:v>PTC-C</x:v>
      </x:c>
      <x:c r="G362" t="str">
        <x:v>QT-02</x:v>
      </x:c>
      <x:c r="H362" t="str">
        <x:v>RAW-V26</x:v>
      </x:c>
      <x:c r="I362" s="14" t="n">
        <x:f>'Reference Envelopes'!F32</x:f>
        <x:v>0.05</x:v>
      </x:c>
      <x:c r="J362" s="14" t="n">
        <x:f>'Reference Envelopes'!G32</x:f>
        <x:v>0.002</x:v>
      </x:c>
      <x:c r="K362" s="14" t="str">
        <x:f>IF(COUNT('Trial Register'!S362)=0,"",'Trial Register'!S362)</x:f>
      </x:c>
      <x:c r="L362" s="14" t="str">
        <x:f>IF(COUNT('Trial Register'!T362)=0,"",'Trial Register'!T362)</x:f>
      </x:c>
      <x:c r="M362" s="14" t="str">
        <x:f>IF(COUNT(K362:L362)&lt;2,"",K362-L362)</x:f>
      </x:c>
      <x:c r="N362" s="14" t="str">
        <x:f>IF(COUNT(K362:L362)&lt;2,"",K362+L362)</x:f>
      </x:c>
      <x:c r="O362" s="14" t="str">
        <x:f>IF(COUNT(K362)=0,"",ABS(K362-I362))</x:f>
      </x:c>
      <x:c r="P362" s="14" t="str">
        <x:f>IF(COUNT(O362)=0,"",IF(J362=0,IF(O362=0,0,999),O362/J362))</x:f>
      </x:c>
      <x:c r="Q362" t="str">
        <x:f>IF(COUNT(M362:N362)&lt;2,"",IF(AND(I362&gt;=M362,I362&lt;=N362,O362&lt;=J362),"PASS","FAIL"))</x:f>
      </x:c>
      <x:c r="R362" t="str"/>
      <x:c r="S362" t="str">
        <x:f>IF(R362=1,IF(Q362="PASS","PASS","FAIL"),"OPEN")</x:f>
        <x:v>OPEN</x:v>
      </x:c>
    </x:row>
    <x:row r="363">
      <x:c r="B363" t="str">
        <x:v>RAW-E357</x:v>
      </x:c>
      <x:c r="C363" t="str">
        <x:v>AM-04</x:v>
      </x:c>
      <x:c r="D363" t="str">
        <x:v>TR-B</x:v>
      </x:c>
      <x:c r="E363" t="str">
        <x:v>RFP-C2</x:v>
      </x:c>
      <x:c r="F363" t="str">
        <x:v>PTC-C</x:v>
      </x:c>
      <x:c r="G363" t="str">
        <x:v>QT-03</x:v>
      </x:c>
      <x:c r="H363" t="str">
        <x:v>RAW-V27</x:v>
      </x:c>
      <x:c r="I363" s="14" t="n">
        <x:f>'Reference Envelopes'!F33</x:f>
        <x:v>0.95</x:v>
      </x:c>
      <x:c r="J363" s="14" t="n">
        <x:f>'Reference Envelopes'!G33</x:f>
        <x:v>0.005</x:v>
      </x:c>
      <x:c r="K363" s="14" t="str">
        <x:f>IF(COUNT('Trial Register'!S363)=0,"",'Trial Register'!S363)</x:f>
      </x:c>
      <x:c r="L363" s="14" t="str">
        <x:f>IF(COUNT('Trial Register'!T363)=0,"",'Trial Register'!T363)</x:f>
      </x:c>
      <x:c r="M363" s="14" t="str">
        <x:f>IF(COUNT(K363:L363)&lt;2,"",K363-L363)</x:f>
      </x:c>
      <x:c r="N363" s="14" t="str">
        <x:f>IF(COUNT(K363:L363)&lt;2,"",K363+L363)</x:f>
      </x:c>
      <x:c r="O363" s="14" t="str">
        <x:f>IF(COUNT(K363)=0,"",ABS(K363-I363))</x:f>
      </x:c>
      <x:c r="P363" s="14" t="str">
        <x:f>IF(COUNT(O363)=0,"",IF(J363=0,IF(O363=0,0,999),O363/J363))</x:f>
      </x:c>
      <x:c r="Q363" t="str">
        <x:f>IF(COUNT(M363:N363)&lt;2,"",IF(AND(I363&gt;=M363,I363&lt;=N363,O363&lt;=J363),"PASS","FAIL"))</x:f>
      </x:c>
      <x:c r="R363" t="str"/>
      <x:c r="S363" t="str">
        <x:f>IF(R363=1,IF(Q363="PASS","PASS","FAIL"),"OPEN")</x:f>
        <x:v>OPEN</x:v>
      </x:c>
    </x:row>
    <x:row r="364">
      <x:c r="B364" t="str">
        <x:v>RAW-E358</x:v>
      </x:c>
      <x:c r="C364" t="str">
        <x:v>AM-04</x:v>
      </x:c>
      <x:c r="D364" t="str">
        <x:v>TR-B</x:v>
      </x:c>
      <x:c r="E364" t="str">
        <x:v>RFP-C2</x:v>
      </x:c>
      <x:c r="F364" t="str">
        <x:v>PTC-C</x:v>
      </x:c>
      <x:c r="G364" t="str">
        <x:v>QT-04</x:v>
      </x:c>
      <x:c r="H364" t="str">
        <x:v>RAW-V28</x:v>
      </x:c>
      <x:c r="I364" s="14" t="n">
        <x:f>'Reference Envelopes'!F34</x:f>
        <x:v>0.35</x:v>
      </x:c>
      <x:c r="J364" s="14" t="n">
        <x:f>'Reference Envelopes'!G34</x:f>
        <x:v>0.005</x:v>
      </x:c>
      <x:c r="K364" s="14" t="str">
        <x:f>IF(COUNT('Trial Register'!S364)=0,"",'Trial Register'!S364)</x:f>
      </x:c>
      <x:c r="L364" s="14" t="str">
        <x:f>IF(COUNT('Trial Register'!T364)=0,"",'Trial Register'!T364)</x:f>
      </x:c>
      <x:c r="M364" s="14" t="str">
        <x:f>IF(COUNT(K364:L364)&lt;2,"",K364-L364)</x:f>
      </x:c>
      <x:c r="N364" s="14" t="str">
        <x:f>IF(COUNT(K364:L364)&lt;2,"",K364+L364)</x:f>
      </x:c>
      <x:c r="O364" s="14" t="str">
        <x:f>IF(COUNT(K364)=0,"",ABS(K364-I364))</x:f>
      </x:c>
      <x:c r="P364" s="14" t="str">
        <x:f>IF(COUNT(O364)=0,"",IF(J364=0,IF(O364=0,0,999),O364/J364))</x:f>
      </x:c>
      <x:c r="Q364" t="str">
        <x:f>IF(COUNT(M364:N364)&lt;2,"",IF(AND(I364&gt;=M364,I364&lt;=N364,O364&lt;=J364),"PASS","FAIL"))</x:f>
      </x:c>
      <x:c r="R364" t="str"/>
      <x:c r="S364" t="str">
        <x:f>IF(R364=1,IF(Q364="PASS","PASS","FAIL"),"OPEN")</x:f>
        <x:v>OPEN</x:v>
      </x:c>
    </x:row>
    <x:row r="365">
      <x:c r="B365" t="str">
        <x:v>RAW-E359</x:v>
      </x:c>
      <x:c r="C365" t="str">
        <x:v>AM-04</x:v>
      </x:c>
      <x:c r="D365" t="str">
        <x:v>TR-B</x:v>
      </x:c>
      <x:c r="E365" t="str">
        <x:v>RFP-C2</x:v>
      </x:c>
      <x:c r="F365" t="str">
        <x:v>PTC-C</x:v>
      </x:c>
      <x:c r="G365" t="str">
        <x:v>QT-05</x:v>
      </x:c>
      <x:c r="H365" t="str">
        <x:v>RAW-V29</x:v>
      </x:c>
      <x:c r="I365" s="14" t="n">
        <x:f>'Reference Envelopes'!F35</x:f>
        <x:v>0.65</x:v>
      </x:c>
      <x:c r="J365" s="14" t="n">
        <x:f>'Reference Envelopes'!G35</x:f>
        <x:v>0.01</x:v>
      </x:c>
      <x:c r="K365" s="14" t="str">
        <x:f>IF(COUNT('Trial Register'!S365)=0,"",'Trial Register'!S365)</x:f>
      </x:c>
      <x:c r="L365" s="14" t="str">
        <x:f>IF(COUNT('Trial Register'!T365)=0,"",'Trial Register'!T365)</x:f>
      </x:c>
      <x:c r="M365" s="14" t="str">
        <x:f>IF(COUNT(K365:L365)&lt;2,"",K365-L365)</x:f>
      </x:c>
      <x:c r="N365" s="14" t="str">
        <x:f>IF(COUNT(K365:L365)&lt;2,"",K365+L365)</x:f>
      </x:c>
      <x:c r="O365" s="14" t="str">
        <x:f>IF(COUNT(K365)=0,"",ABS(K365-I365))</x:f>
      </x:c>
      <x:c r="P365" s="14" t="str">
        <x:f>IF(COUNT(O365)=0,"",IF(J365=0,IF(O365=0,0,999),O365/J365))</x:f>
      </x:c>
      <x:c r="Q365" t="str">
        <x:f>IF(COUNT(M365:N365)&lt;2,"",IF(AND(I365&gt;=M365,I365&lt;=N365,O365&lt;=J365),"PASS","FAIL"))</x:f>
      </x:c>
      <x:c r="R365" t="str"/>
      <x:c r="S365" t="str">
        <x:f>IF(R365=1,IF(Q365="PASS","PASS","FAIL"),"OPEN")</x:f>
        <x:v>OPEN</x:v>
      </x:c>
    </x:row>
    <x:row r="366">
      <x:c r="B366" t="str">
        <x:v>RAW-E360</x:v>
      </x:c>
      <x:c r="C366" t="str">
        <x:v>AM-04</x:v>
      </x:c>
      <x:c r="D366" t="str">
        <x:v>TR-B</x:v>
      </x:c>
      <x:c r="E366" t="str">
        <x:v>RFP-C2</x:v>
      </x:c>
      <x:c r="F366" t="str">
        <x:v>PTC-C</x:v>
      </x:c>
      <x:c r="G366" t="str">
        <x:v>QT-06</x:v>
      </x:c>
      <x:c r="H366" t="str">
        <x:v>RAW-V30</x:v>
      </x:c>
      <x:c r="I366" s="14" t="n">
        <x:f>'Reference Envelopes'!F36</x:f>
        <x:v>0.8</x:v>
      </x:c>
      <x:c r="J366" s="14" t="n">
        <x:f>'Reference Envelopes'!G36</x:f>
        <x:v>0.005</x:v>
      </x:c>
      <x:c r="K366" s="14" t="str">
        <x:f>IF(COUNT('Trial Register'!S366)=0,"",'Trial Register'!S366)</x:f>
      </x:c>
      <x:c r="L366" s="14" t="str">
        <x:f>IF(COUNT('Trial Register'!T366)=0,"",'Trial Register'!T366)</x:f>
      </x:c>
      <x:c r="M366" s="14" t="str">
        <x:f>IF(COUNT(K366:L366)&lt;2,"",K366-L366)</x:f>
      </x:c>
      <x:c r="N366" s="14" t="str">
        <x:f>IF(COUNT(K366:L366)&lt;2,"",K366+L366)</x:f>
      </x:c>
      <x:c r="O366" s="14" t="str">
        <x:f>IF(COUNT(K366)=0,"",ABS(K366-I366))</x:f>
      </x:c>
      <x:c r="P366" s="14" t="str">
        <x:f>IF(COUNT(O366)=0,"",IF(J366=0,IF(O366=0,0,999),O366/J366))</x:f>
      </x:c>
      <x:c r="Q366" t="str">
        <x:f>IF(COUNT(M366:N366)&lt;2,"",IF(AND(I366&gt;=M366,I366&lt;=N366,O366&lt;=J366),"PASS","FAIL"))</x:f>
      </x:c>
      <x:c r="R366" t="str"/>
      <x:c r="S366" t="str">
        <x:f>IF(R366=1,IF(Q366="PASS","PASS","FAIL"),"OPEN")</x:f>
        <x:v>OPEN</x:v>
      </x:c>
    </x:row>
  </x:sheetData>
  <x:conditionalFormatting sqref="Q7:Q366">
    <x:cfRule type="containsText" dxfId="120" priority="1" operator="containsText" text="FAIL"/>
    <x:cfRule type="containsText" dxfId="121" priority="2" operator="containsText" text="INVALID"/>
    <x:cfRule type="containsText" dxfId="122" priority="3" operator="containsText" text="BLOCKED"/>
    <x:cfRule type="containsText" dxfId="123" priority="4" operator="containsText" text="OPEN"/>
    <x:cfRule type="containsText" dxfId="124" priority="5" operator="containsText" text="GAP"/>
    <x:cfRule type="containsText" dxfId="125" priority="6" operator="containsText" text="DORMANT"/>
    <x:cfRule type="containsText" dxfId="126" priority="7" operator="containsText" text="PASS"/>
    <x:cfRule type="containsText" dxfId="127" priority="8" operator="containsText" text="VALID"/>
  </x:conditionalFormatting>
  <x:conditionalFormatting sqref="S7:S366">
    <x:cfRule type="containsText" dxfId="128" priority="9" operator="containsText" text="FAIL"/>
    <x:cfRule type="containsText" dxfId="129" priority="10" operator="containsText" text="INVALID"/>
    <x:cfRule type="containsText" dxfId="130" priority="11" operator="containsText" text="BLOCKED"/>
    <x:cfRule type="containsText" dxfId="131" priority="12" operator="containsText" text="OPEN"/>
    <x:cfRule type="containsText" dxfId="132" priority="13" operator="containsText" text="GAP"/>
    <x:cfRule type="containsText" dxfId="133" priority="14" operator="containsText" text="DORMANT"/>
    <x:cfRule type="containsText" dxfId="134" priority="15" operator="containsText" text="PASS"/>
    <x:cfRule type="containsText" dxfId="135" priority="16" operator="containsText" text="VALI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3" hidden="0" customWidth="1"/>
    <x:col min="5" max="5" width="17" hidden="0" customWidth="1"/>
    <x:col min="6" max="6" width="17" hidden="0" customWidth="1"/>
    <x:col min="7" max="7" width="28" hidden="0" customWidth="1"/>
    <x:col min="8" max="8" width="28" hidden="0" customWidth="1"/>
    <x:col min="9" max="9" width="18" hidden="0" customWidth="1"/>
    <x:col min="10" max="10" width="18" hidden="0" customWidth="1"/>
    <x:col min="11" max="11" width="20" hidden="0" customWidth="1"/>
    <x:col min="12" max="12" width="15" hidden="0" customWidth="1"/>
    <x:col min="13" max="13" width="14" hidden="0" customWidth="1"/>
  </x:cols>
  <x:sheetData>
    <x:row r="2">
      <x:c r="B2" s="1" t="str">
        <x:v>Thirty rig-level unlike-root agreements</x:v>
      </x:c>
    </x:row>
    <x:row r="3">
      <x:c r="B3" s="2" t="str">
        <x:v>Each rig must pass six classes under each truth root; normalized-error disagreement remains visible.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Agreement</x:v>
      </x:c>
      <x:c r="C6" s="7" t="str">
        <x:v>Method</x:v>
      </x:c>
      <x:c r="D6" s="7" t="str">
        <x:v>Rig</x:v>
      </x:c>
      <x:c r="E6" s="7" t="str">
        <x:v>TR-A passes</x:v>
      </x:c>
      <x:c r="F6" s="7" t="str">
        <x:v>TR-B passes</x:v>
      </x:c>
      <x:c r="G6" s="7" t="str">
        <x:v>TR-A mean normalized error</x:v>
      </x:c>
      <x:c r="H6" s="7" t="str">
        <x:v>TR-B mean normalized error</x:v>
      </x:c>
      <x:c r="I6" s="7" t="str">
        <x:v>Root gap</x:v>
      </x:c>
      <x:c r="J6" s="7" t="str">
        <x:v>Required gap</x:v>
      </x:c>
      <x:c r="K6" s="7" t="str">
        <x:v>Truth pass count</x:v>
      </x:c>
      <x:c r="L6" s="7" t="str">
        <x:v>Accepted</x:v>
      </x:c>
      <x:c r="M6" s="7" t="str">
        <x:v>State</x:v>
      </x:c>
    </x:row>
    <x:row r="7">
      <x:c r="B7" t="str">
        <x:v>AM-00-RFP-A1</x:v>
      </x:c>
      <x:c r="C7" t="str">
        <x:v>AM-00</x:v>
      </x:c>
      <x:c r="D7" t="str">
        <x:v>RFP-A1</x:v>
      </x:c>
      <x:c r="E7" s="14" t="n">
        <x:f>COUNTIFS('Trial Results'!$C$7:$C$366,C7,'Trial Results'!$D$7:$D$366,"TR-A",'Trial Results'!$E$7:$E$366,D7,'Trial Results'!$S$7:$S$366,"PASS")</x:f>
        <x:v>0</x:v>
      </x:c>
      <x:c r="F7" s="14" t="n">
        <x:f>COUNTIFS('Trial Results'!$C$7:$C$366,C7,'Trial Results'!$D$7:$D$366,"TR-B",'Trial Results'!$E$7:$E$366,D7,'Trial Results'!$S$7:$S$366,"PASS")</x:f>
        <x:v>0</x:v>
      </x:c>
      <x:c r="G7" s="14" t="str">
        <x:f>IF(E7=6,SUMIFS('Trial Results'!$P$7:$P$366,'Trial Results'!$C$7:$C$366,C7,'Trial Results'!$D$7:$D$366,"TR-A",'Trial Results'!$E$7:$E$366,D7)/E7,"")</x:f>
      </x:c>
      <x:c r="H7" s="14" t="str">
        <x:f>IF(F7=6,SUMIFS('Trial Results'!$P$7:$P$366,'Trial Results'!$C$7:$C$366,C7,'Trial Results'!$D$7:$D$366,"TR-B",'Trial Results'!$E$7:$E$366,D7)/F7,"")</x:f>
      </x:c>
      <x:c r="I7" s="14" t="str">
        <x:f>IF(COUNT(G7:H7)&lt;2,"",ABS(G7-H7))</x:f>
      </x:c>
      <x:c r="J7" s="14" t="n">
        <x:f>Controls!$D$57</x:f>
        <x:v>0.25</x:v>
      </x:c>
      <x:c r="K7" s="14" t="n">
        <x:f>E7+F7</x:f>
        <x:v>0</x:v>
      </x:c>
      <x:c r="L7" t="str"/>
      <x:c r="M7" t="str">
        <x:f>IF(L7=1,IF(AND(E7=6,F7=6,I7&lt;=J7),"PASS","FAIL"),"OPEN")</x:f>
        <x:v>OPEN</x:v>
      </x:c>
    </x:row>
    <x:row r="8">
      <x:c r="B8" t="str">
        <x:v>AM-00-RFP-A2</x:v>
      </x:c>
      <x:c r="C8" t="str">
        <x:v>AM-00</x:v>
      </x:c>
      <x:c r="D8" t="str">
        <x:v>RFP-A2</x:v>
      </x:c>
      <x:c r="E8" s="14" t="n">
        <x:f>COUNTIFS('Trial Results'!$C$7:$C$366,C8,'Trial Results'!$D$7:$D$366,"TR-A",'Trial Results'!$E$7:$E$366,D8,'Trial Results'!$S$7:$S$366,"PASS")</x:f>
        <x:v>0</x:v>
      </x:c>
      <x:c r="F8" s="14" t="n">
        <x:f>COUNTIFS('Trial Results'!$C$7:$C$366,C8,'Trial Results'!$D$7:$D$366,"TR-B",'Trial Results'!$E$7:$E$366,D8,'Trial Results'!$S$7:$S$366,"PASS")</x:f>
        <x:v>0</x:v>
      </x:c>
      <x:c r="G8" s="14" t="str">
        <x:f>IF(E8=6,SUMIFS('Trial Results'!$P$7:$P$366,'Trial Results'!$C$7:$C$366,C8,'Trial Results'!$D$7:$D$366,"TR-A",'Trial Results'!$E$7:$E$366,D8)/E8,"")</x:f>
      </x:c>
      <x:c r="H8" s="14" t="str">
        <x:f>IF(F8=6,SUMIFS('Trial Results'!$P$7:$P$366,'Trial Results'!$C$7:$C$366,C8,'Trial Results'!$D$7:$D$366,"TR-B",'Trial Results'!$E$7:$E$366,D8)/F8,"")</x:f>
      </x:c>
      <x:c r="I8" s="14" t="str">
        <x:f>IF(COUNT(G8:H8)&lt;2,"",ABS(G8-H8))</x:f>
      </x:c>
      <x:c r="J8" s="14" t="n">
        <x:f>Controls!$D$57</x:f>
        <x:v>0.25</x:v>
      </x:c>
      <x:c r="K8" s="14" t="n">
        <x:f>E8+F8</x:f>
        <x:v>0</x:v>
      </x:c>
      <x:c r="L8" t="str"/>
      <x:c r="M8" t="str">
        <x:f>IF(L8=1,IF(AND(E8=6,F8=6,I8&lt;=J8),"PASS","FAIL"),"OPEN")</x:f>
        <x:v>OPEN</x:v>
      </x:c>
    </x:row>
    <x:row r="9">
      <x:c r="B9" t="str">
        <x:v>AM-00-RFP-B1</x:v>
      </x:c>
      <x:c r="C9" t="str">
        <x:v>AM-00</x:v>
      </x:c>
      <x:c r="D9" t="str">
        <x:v>RFP-B1</x:v>
      </x:c>
      <x:c r="E9" s="14" t="n">
        <x:f>COUNTIFS('Trial Results'!$C$7:$C$366,C9,'Trial Results'!$D$7:$D$366,"TR-A",'Trial Results'!$E$7:$E$366,D9,'Trial Results'!$S$7:$S$366,"PASS")</x:f>
        <x:v>0</x:v>
      </x:c>
      <x:c r="F9" s="14" t="n">
        <x:f>COUNTIFS('Trial Results'!$C$7:$C$366,C9,'Trial Results'!$D$7:$D$366,"TR-B",'Trial Results'!$E$7:$E$366,D9,'Trial Results'!$S$7:$S$366,"PASS")</x:f>
        <x:v>0</x:v>
      </x:c>
      <x:c r="G9" s="14" t="str">
        <x:f>IF(E9=6,SUMIFS('Trial Results'!$P$7:$P$366,'Trial Results'!$C$7:$C$366,C9,'Trial Results'!$D$7:$D$366,"TR-A",'Trial Results'!$E$7:$E$366,D9)/E9,"")</x:f>
      </x:c>
      <x:c r="H9" s="14" t="str">
        <x:f>IF(F9=6,SUMIFS('Trial Results'!$P$7:$P$366,'Trial Results'!$C$7:$C$366,C9,'Trial Results'!$D$7:$D$366,"TR-B",'Trial Results'!$E$7:$E$366,D9)/F9,"")</x:f>
      </x:c>
      <x:c r="I9" s="14" t="str">
        <x:f>IF(COUNT(G9:H9)&lt;2,"",ABS(G9-H9))</x:f>
      </x:c>
      <x:c r="J9" s="14" t="n">
        <x:f>Controls!$D$57</x:f>
        <x:v>0.25</x:v>
      </x:c>
      <x:c r="K9" s="14" t="n">
        <x:f>E9+F9</x:f>
        <x:v>0</x:v>
      </x:c>
      <x:c r="L9" t="str"/>
      <x:c r="M9" t="str">
        <x:f>IF(L9=1,IF(AND(E9=6,F9=6,I9&lt;=J9),"PASS","FAIL"),"OPEN")</x:f>
        <x:v>OPEN</x:v>
      </x:c>
    </x:row>
    <x:row r="10">
      <x:c r="B10" t="str">
        <x:v>AM-00-RFP-B2</x:v>
      </x:c>
      <x:c r="C10" t="str">
        <x:v>AM-00</x:v>
      </x:c>
      <x:c r="D10" t="str">
        <x:v>RFP-B2</x:v>
      </x:c>
      <x:c r="E10" s="14" t="n">
        <x:f>COUNTIFS('Trial Results'!$C$7:$C$366,C10,'Trial Results'!$D$7:$D$366,"TR-A",'Trial Results'!$E$7:$E$366,D10,'Trial Results'!$S$7:$S$366,"PASS")</x:f>
        <x:v>0</x:v>
      </x:c>
      <x:c r="F10" s="14" t="n">
        <x:f>COUNTIFS('Trial Results'!$C$7:$C$366,C10,'Trial Results'!$D$7:$D$366,"TR-B",'Trial Results'!$E$7:$E$366,D10,'Trial Results'!$S$7:$S$366,"PASS")</x:f>
        <x:v>0</x:v>
      </x:c>
      <x:c r="G10" s="14" t="str">
        <x:f>IF(E10=6,SUMIFS('Trial Results'!$P$7:$P$366,'Trial Results'!$C$7:$C$366,C10,'Trial Results'!$D$7:$D$366,"TR-A",'Trial Results'!$E$7:$E$366,D10)/E10,"")</x:f>
      </x:c>
      <x:c r="H10" s="14" t="str">
        <x:f>IF(F10=6,SUMIFS('Trial Results'!$P$7:$P$366,'Trial Results'!$C$7:$C$366,C10,'Trial Results'!$D$7:$D$366,"TR-B",'Trial Results'!$E$7:$E$366,D10)/F10,"")</x:f>
      </x:c>
      <x:c r="I10" s="14" t="str">
        <x:f>IF(COUNT(G10:H10)&lt;2,"",ABS(G10-H10))</x:f>
      </x:c>
      <x:c r="J10" s="14" t="n">
        <x:f>Controls!$D$57</x:f>
        <x:v>0.25</x:v>
      </x:c>
      <x:c r="K10" s="14" t="n">
        <x:f>E10+F10</x:f>
        <x:v>0</x:v>
      </x:c>
      <x:c r="L10" t="str"/>
      <x:c r="M10" t="str">
        <x:f>IF(L10=1,IF(AND(E10=6,F10=6,I10&lt;=J10),"PASS","FAIL"),"OPEN")</x:f>
        <x:v>OPEN</x:v>
      </x:c>
    </x:row>
    <x:row r="11">
      <x:c r="B11" t="str">
        <x:v>AM-00-RFP-C1</x:v>
      </x:c>
      <x:c r="C11" t="str">
        <x:v>AM-00</x:v>
      </x:c>
      <x:c r="D11" t="str">
        <x:v>RFP-C1</x:v>
      </x:c>
      <x:c r="E11" s="14" t="n">
        <x:f>COUNTIFS('Trial Results'!$C$7:$C$366,C11,'Trial Results'!$D$7:$D$366,"TR-A",'Trial Results'!$E$7:$E$366,D11,'Trial Results'!$S$7:$S$366,"PASS")</x:f>
        <x:v>0</x:v>
      </x:c>
      <x:c r="F11" s="14" t="n">
        <x:f>COUNTIFS('Trial Results'!$C$7:$C$366,C11,'Trial Results'!$D$7:$D$366,"TR-B",'Trial Results'!$E$7:$E$366,D11,'Trial Results'!$S$7:$S$366,"PASS")</x:f>
        <x:v>0</x:v>
      </x:c>
      <x:c r="G11" s="14" t="str">
        <x:f>IF(E11=6,SUMIFS('Trial Results'!$P$7:$P$366,'Trial Results'!$C$7:$C$366,C11,'Trial Results'!$D$7:$D$366,"TR-A",'Trial Results'!$E$7:$E$366,D11)/E11,"")</x:f>
      </x:c>
      <x:c r="H11" s="14" t="str">
        <x:f>IF(F11=6,SUMIFS('Trial Results'!$P$7:$P$366,'Trial Results'!$C$7:$C$366,C11,'Trial Results'!$D$7:$D$366,"TR-B",'Trial Results'!$E$7:$E$366,D11)/F11,"")</x:f>
      </x:c>
      <x:c r="I11" s="14" t="str">
        <x:f>IF(COUNT(G11:H11)&lt;2,"",ABS(G11-H11))</x:f>
      </x:c>
      <x:c r="J11" s="14" t="n">
        <x:f>Controls!$D$57</x:f>
        <x:v>0.25</x:v>
      </x:c>
      <x:c r="K11" s="14" t="n">
        <x:f>E11+F11</x:f>
        <x:v>0</x:v>
      </x:c>
      <x:c r="L11" t="str"/>
      <x:c r="M11" t="str">
        <x:f>IF(L11=1,IF(AND(E11=6,F11=6,I11&lt;=J11),"PASS","FAIL"),"OPEN")</x:f>
        <x:v>OPEN</x:v>
      </x:c>
    </x:row>
    <x:row r="12">
      <x:c r="B12" t="str">
        <x:v>AM-00-RFP-C2</x:v>
      </x:c>
      <x:c r="C12" t="str">
        <x:v>AM-00</x:v>
      </x:c>
      <x:c r="D12" t="str">
        <x:v>RFP-C2</x:v>
      </x:c>
      <x:c r="E12" s="14" t="n">
        <x:f>COUNTIFS('Trial Results'!$C$7:$C$366,C12,'Trial Results'!$D$7:$D$366,"TR-A",'Trial Results'!$E$7:$E$366,D12,'Trial Results'!$S$7:$S$366,"PASS")</x:f>
        <x:v>0</x:v>
      </x:c>
      <x:c r="F12" s="14" t="n">
        <x:f>COUNTIFS('Trial Results'!$C$7:$C$366,C12,'Trial Results'!$D$7:$D$366,"TR-B",'Trial Results'!$E$7:$E$366,D12,'Trial Results'!$S$7:$S$366,"PASS")</x:f>
        <x:v>0</x:v>
      </x:c>
      <x:c r="G12" s="14" t="str">
        <x:f>IF(E12=6,SUMIFS('Trial Results'!$P$7:$P$366,'Trial Results'!$C$7:$C$366,C12,'Trial Results'!$D$7:$D$366,"TR-A",'Trial Results'!$E$7:$E$366,D12)/E12,"")</x:f>
      </x:c>
      <x:c r="H12" s="14" t="str">
        <x:f>IF(F12=6,SUMIFS('Trial Results'!$P$7:$P$366,'Trial Results'!$C$7:$C$366,C12,'Trial Results'!$D$7:$D$366,"TR-B",'Trial Results'!$E$7:$E$366,D12)/F12,"")</x:f>
      </x:c>
      <x:c r="I12" s="14" t="str">
        <x:f>IF(COUNT(G12:H12)&lt;2,"",ABS(G12-H12))</x:f>
      </x:c>
      <x:c r="J12" s="14" t="n">
        <x:f>Controls!$D$57</x:f>
        <x:v>0.25</x:v>
      </x:c>
      <x:c r="K12" s="14" t="n">
        <x:f>E12+F12</x:f>
        <x:v>0</x:v>
      </x:c>
      <x:c r="L12" t="str"/>
      <x:c r="M12" t="str">
        <x:f>IF(L12=1,IF(AND(E12=6,F12=6,I12&lt;=J12),"PASS","FAIL"),"OPEN")</x:f>
        <x:v>OPEN</x:v>
      </x:c>
    </x:row>
    <x:row r="13">
      <x:c r="B13" t="str">
        <x:v>AM-01-RFP-A1</x:v>
      </x:c>
      <x:c r="C13" t="str">
        <x:v>AM-01</x:v>
      </x:c>
      <x:c r="D13" t="str">
        <x:v>RFP-A1</x:v>
      </x:c>
      <x:c r="E13" s="14" t="n">
        <x:f>COUNTIFS('Trial Results'!$C$7:$C$366,C13,'Trial Results'!$D$7:$D$366,"TR-A",'Trial Results'!$E$7:$E$366,D13,'Trial Results'!$S$7:$S$366,"PASS")</x:f>
        <x:v>0</x:v>
      </x:c>
      <x:c r="F13" s="14" t="n">
        <x:f>COUNTIFS('Trial Results'!$C$7:$C$366,C13,'Trial Results'!$D$7:$D$366,"TR-B",'Trial Results'!$E$7:$E$366,D13,'Trial Results'!$S$7:$S$366,"PASS")</x:f>
        <x:v>0</x:v>
      </x:c>
      <x:c r="G13" s="14" t="str">
        <x:f>IF(E13=6,SUMIFS('Trial Results'!$P$7:$P$366,'Trial Results'!$C$7:$C$366,C13,'Trial Results'!$D$7:$D$366,"TR-A",'Trial Results'!$E$7:$E$366,D13)/E13,"")</x:f>
      </x:c>
      <x:c r="H13" s="14" t="str">
        <x:f>IF(F13=6,SUMIFS('Trial Results'!$P$7:$P$366,'Trial Results'!$C$7:$C$366,C13,'Trial Results'!$D$7:$D$366,"TR-B",'Trial Results'!$E$7:$E$366,D13)/F13,"")</x:f>
      </x:c>
      <x:c r="I13" s="14" t="str">
        <x:f>IF(COUNT(G13:H13)&lt;2,"",ABS(G13-H13))</x:f>
      </x:c>
      <x:c r="J13" s="14" t="n">
        <x:f>Controls!$D$57</x:f>
        <x:v>0.25</x:v>
      </x:c>
      <x:c r="K13" s="14" t="n">
        <x:f>E13+F13</x:f>
        <x:v>0</x:v>
      </x:c>
      <x:c r="L13" t="str"/>
      <x:c r="M13" t="str">
        <x:f>IF(L13=1,IF(AND(E13=6,F13=6,I13&lt;=J13),"PASS","FAIL"),"OPEN")</x:f>
        <x:v>OPEN</x:v>
      </x:c>
    </x:row>
    <x:row r="14">
      <x:c r="B14" t="str">
        <x:v>AM-01-RFP-A2</x:v>
      </x:c>
      <x:c r="C14" t="str">
        <x:v>AM-01</x:v>
      </x:c>
      <x:c r="D14" t="str">
        <x:v>RFP-A2</x:v>
      </x:c>
      <x:c r="E14" s="14" t="n">
        <x:f>COUNTIFS('Trial Results'!$C$7:$C$366,C14,'Trial Results'!$D$7:$D$366,"TR-A",'Trial Results'!$E$7:$E$366,D14,'Trial Results'!$S$7:$S$366,"PASS")</x:f>
        <x:v>0</x:v>
      </x:c>
      <x:c r="F14" s="14" t="n">
        <x:f>COUNTIFS('Trial Results'!$C$7:$C$366,C14,'Trial Results'!$D$7:$D$366,"TR-B",'Trial Results'!$E$7:$E$366,D14,'Trial Results'!$S$7:$S$366,"PASS")</x:f>
        <x:v>0</x:v>
      </x:c>
      <x:c r="G14" s="14" t="str">
        <x:f>IF(E14=6,SUMIFS('Trial Results'!$P$7:$P$366,'Trial Results'!$C$7:$C$366,C14,'Trial Results'!$D$7:$D$366,"TR-A",'Trial Results'!$E$7:$E$366,D14)/E14,"")</x:f>
      </x:c>
      <x:c r="H14" s="14" t="str">
        <x:f>IF(F14=6,SUMIFS('Trial Results'!$P$7:$P$366,'Trial Results'!$C$7:$C$366,C14,'Trial Results'!$D$7:$D$366,"TR-B",'Trial Results'!$E$7:$E$366,D14)/F14,"")</x:f>
      </x:c>
      <x:c r="I14" s="14" t="str">
        <x:f>IF(COUNT(G14:H14)&lt;2,"",ABS(G14-H14))</x:f>
      </x:c>
      <x:c r="J14" s="14" t="n">
        <x:f>Controls!$D$57</x:f>
        <x:v>0.25</x:v>
      </x:c>
      <x:c r="K14" s="14" t="n">
        <x:f>E14+F14</x:f>
        <x:v>0</x:v>
      </x:c>
      <x:c r="L14" t="str"/>
      <x:c r="M14" t="str">
        <x:f>IF(L14=1,IF(AND(E14=6,F14=6,I14&lt;=J14),"PASS","FAIL"),"OPEN")</x:f>
        <x:v>OPEN</x:v>
      </x:c>
    </x:row>
    <x:row r="15">
      <x:c r="B15" t="str">
        <x:v>AM-01-RFP-B1</x:v>
      </x:c>
      <x:c r="C15" t="str">
        <x:v>AM-01</x:v>
      </x:c>
      <x:c r="D15" t="str">
        <x:v>RFP-B1</x:v>
      </x:c>
      <x:c r="E15" s="14" t="n">
        <x:f>COUNTIFS('Trial Results'!$C$7:$C$366,C15,'Trial Results'!$D$7:$D$366,"TR-A",'Trial Results'!$E$7:$E$366,D15,'Trial Results'!$S$7:$S$366,"PASS")</x:f>
        <x:v>0</x:v>
      </x:c>
      <x:c r="F15" s="14" t="n">
        <x:f>COUNTIFS('Trial Results'!$C$7:$C$366,C15,'Trial Results'!$D$7:$D$366,"TR-B",'Trial Results'!$E$7:$E$366,D15,'Trial Results'!$S$7:$S$366,"PASS")</x:f>
        <x:v>0</x:v>
      </x:c>
      <x:c r="G15" s="14" t="str">
        <x:f>IF(E15=6,SUMIFS('Trial Results'!$P$7:$P$366,'Trial Results'!$C$7:$C$366,C15,'Trial Results'!$D$7:$D$366,"TR-A",'Trial Results'!$E$7:$E$366,D15)/E15,"")</x:f>
      </x:c>
      <x:c r="H15" s="14" t="str">
        <x:f>IF(F15=6,SUMIFS('Trial Results'!$P$7:$P$366,'Trial Results'!$C$7:$C$366,C15,'Trial Results'!$D$7:$D$366,"TR-B",'Trial Results'!$E$7:$E$366,D15)/F15,"")</x:f>
      </x:c>
      <x:c r="I15" s="14" t="str">
        <x:f>IF(COUNT(G15:H15)&lt;2,"",ABS(G15-H15))</x:f>
      </x:c>
      <x:c r="J15" s="14" t="n">
        <x:f>Controls!$D$57</x:f>
        <x:v>0.25</x:v>
      </x:c>
      <x:c r="K15" s="14" t="n">
        <x:f>E15+F15</x:f>
        <x:v>0</x:v>
      </x:c>
      <x:c r="L15" t="str"/>
      <x:c r="M15" t="str">
        <x:f>IF(L15=1,IF(AND(E15=6,F15=6,I15&lt;=J15),"PASS","FAIL"),"OPEN")</x:f>
        <x:v>OPEN</x:v>
      </x:c>
    </x:row>
    <x:row r="16">
      <x:c r="B16" t="str">
        <x:v>AM-01-RFP-B2</x:v>
      </x:c>
      <x:c r="C16" t="str">
        <x:v>AM-01</x:v>
      </x:c>
      <x:c r="D16" t="str">
        <x:v>RFP-B2</x:v>
      </x:c>
      <x:c r="E16" s="14" t="n">
        <x:f>COUNTIFS('Trial Results'!$C$7:$C$366,C16,'Trial Results'!$D$7:$D$366,"TR-A",'Trial Results'!$E$7:$E$366,D16,'Trial Results'!$S$7:$S$366,"PASS")</x:f>
        <x:v>0</x:v>
      </x:c>
      <x:c r="F16" s="14" t="n">
        <x:f>COUNTIFS('Trial Results'!$C$7:$C$366,C16,'Trial Results'!$D$7:$D$366,"TR-B",'Trial Results'!$E$7:$E$366,D16,'Trial Results'!$S$7:$S$366,"PASS")</x:f>
        <x:v>0</x:v>
      </x:c>
      <x:c r="G16" s="14" t="str">
        <x:f>IF(E16=6,SUMIFS('Trial Results'!$P$7:$P$366,'Trial Results'!$C$7:$C$366,C16,'Trial Results'!$D$7:$D$366,"TR-A",'Trial Results'!$E$7:$E$366,D16)/E16,"")</x:f>
      </x:c>
      <x:c r="H16" s="14" t="str">
        <x:f>IF(F16=6,SUMIFS('Trial Results'!$P$7:$P$366,'Trial Results'!$C$7:$C$366,C16,'Trial Results'!$D$7:$D$366,"TR-B",'Trial Results'!$E$7:$E$366,D16)/F16,"")</x:f>
      </x:c>
      <x:c r="I16" s="14" t="str">
        <x:f>IF(COUNT(G16:H16)&lt;2,"",ABS(G16-H16))</x:f>
      </x:c>
      <x:c r="J16" s="14" t="n">
        <x:f>Controls!$D$57</x:f>
        <x:v>0.25</x:v>
      </x:c>
      <x:c r="K16" s="14" t="n">
        <x:f>E16+F16</x:f>
        <x:v>0</x:v>
      </x:c>
      <x:c r="L16" t="str"/>
      <x:c r="M16" t="str">
        <x:f>IF(L16=1,IF(AND(E16=6,F16=6,I16&lt;=J16),"PASS","FAIL"),"OPEN")</x:f>
        <x:v>OPEN</x:v>
      </x:c>
    </x:row>
    <x:row r="17">
      <x:c r="B17" t="str">
        <x:v>AM-01-RFP-C1</x:v>
      </x:c>
      <x:c r="C17" t="str">
        <x:v>AM-01</x:v>
      </x:c>
      <x:c r="D17" t="str">
        <x:v>RFP-C1</x:v>
      </x:c>
      <x:c r="E17" s="14" t="n">
        <x:f>COUNTIFS('Trial Results'!$C$7:$C$366,C17,'Trial Results'!$D$7:$D$366,"TR-A",'Trial Results'!$E$7:$E$366,D17,'Trial Results'!$S$7:$S$366,"PASS")</x:f>
        <x:v>0</x:v>
      </x:c>
      <x:c r="F17" s="14" t="n">
        <x:f>COUNTIFS('Trial Results'!$C$7:$C$366,C17,'Trial Results'!$D$7:$D$366,"TR-B",'Trial Results'!$E$7:$E$366,D17,'Trial Results'!$S$7:$S$366,"PASS")</x:f>
        <x:v>0</x:v>
      </x:c>
      <x:c r="G17" s="14" t="str">
        <x:f>IF(E17=6,SUMIFS('Trial Results'!$P$7:$P$366,'Trial Results'!$C$7:$C$366,C17,'Trial Results'!$D$7:$D$366,"TR-A",'Trial Results'!$E$7:$E$366,D17)/E17,"")</x:f>
      </x:c>
      <x:c r="H17" s="14" t="str">
        <x:f>IF(F17=6,SUMIFS('Trial Results'!$P$7:$P$366,'Trial Results'!$C$7:$C$366,C17,'Trial Results'!$D$7:$D$366,"TR-B",'Trial Results'!$E$7:$E$366,D17)/F17,"")</x:f>
      </x:c>
      <x:c r="I17" s="14" t="str">
        <x:f>IF(COUNT(G17:H17)&lt;2,"",ABS(G17-H17))</x:f>
      </x:c>
      <x:c r="J17" s="14" t="n">
        <x:f>Controls!$D$57</x:f>
        <x:v>0.25</x:v>
      </x:c>
      <x:c r="K17" s="14" t="n">
        <x:f>E17+F17</x:f>
        <x:v>0</x:v>
      </x:c>
      <x:c r="L17" t="str"/>
      <x:c r="M17" t="str">
        <x:f>IF(L17=1,IF(AND(E17=6,F17=6,I17&lt;=J17),"PASS","FAIL"),"OPEN")</x:f>
        <x:v>OPEN</x:v>
      </x:c>
    </x:row>
    <x:row r="18">
      <x:c r="B18" t="str">
        <x:v>AM-01-RFP-C2</x:v>
      </x:c>
      <x:c r="C18" t="str">
        <x:v>AM-01</x:v>
      </x:c>
      <x:c r="D18" t="str">
        <x:v>RFP-C2</x:v>
      </x:c>
      <x:c r="E18" s="14" t="n">
        <x:f>COUNTIFS('Trial Results'!$C$7:$C$366,C18,'Trial Results'!$D$7:$D$366,"TR-A",'Trial Results'!$E$7:$E$366,D18,'Trial Results'!$S$7:$S$366,"PASS")</x:f>
        <x:v>0</x:v>
      </x:c>
      <x:c r="F18" s="14" t="n">
        <x:f>COUNTIFS('Trial Results'!$C$7:$C$366,C18,'Trial Results'!$D$7:$D$366,"TR-B",'Trial Results'!$E$7:$E$366,D18,'Trial Results'!$S$7:$S$366,"PASS")</x:f>
        <x:v>0</x:v>
      </x:c>
      <x:c r="G18" s="14" t="str">
        <x:f>IF(E18=6,SUMIFS('Trial Results'!$P$7:$P$366,'Trial Results'!$C$7:$C$366,C18,'Trial Results'!$D$7:$D$366,"TR-A",'Trial Results'!$E$7:$E$366,D18)/E18,"")</x:f>
      </x:c>
      <x:c r="H18" s="14" t="str">
        <x:f>IF(F18=6,SUMIFS('Trial Results'!$P$7:$P$366,'Trial Results'!$C$7:$C$366,C18,'Trial Results'!$D$7:$D$366,"TR-B",'Trial Results'!$E$7:$E$366,D18)/F18,"")</x:f>
      </x:c>
      <x:c r="I18" s="14" t="str">
        <x:f>IF(COUNT(G18:H18)&lt;2,"",ABS(G18-H18))</x:f>
      </x:c>
      <x:c r="J18" s="14" t="n">
        <x:f>Controls!$D$57</x:f>
        <x:v>0.25</x:v>
      </x:c>
      <x:c r="K18" s="14" t="n">
        <x:f>E18+F18</x:f>
        <x:v>0</x:v>
      </x:c>
      <x:c r="L18" t="str"/>
      <x:c r="M18" t="str">
        <x:f>IF(L18=1,IF(AND(E18=6,F18=6,I18&lt;=J18),"PASS","FAIL"),"OPEN")</x:f>
        <x:v>OPEN</x:v>
      </x:c>
    </x:row>
    <x:row r="19">
      <x:c r="B19" t="str">
        <x:v>AM-02-RFP-A1</x:v>
      </x:c>
      <x:c r="C19" t="str">
        <x:v>AM-02</x:v>
      </x:c>
      <x:c r="D19" t="str">
        <x:v>RFP-A1</x:v>
      </x:c>
      <x:c r="E19" s="14" t="n">
        <x:f>COUNTIFS('Trial Results'!$C$7:$C$366,C19,'Trial Results'!$D$7:$D$366,"TR-A",'Trial Results'!$E$7:$E$366,D19,'Trial Results'!$S$7:$S$366,"PASS")</x:f>
        <x:v>0</x:v>
      </x:c>
      <x:c r="F19" s="14" t="n">
        <x:f>COUNTIFS('Trial Results'!$C$7:$C$366,C19,'Trial Results'!$D$7:$D$366,"TR-B",'Trial Results'!$E$7:$E$366,D19,'Trial Results'!$S$7:$S$366,"PASS")</x:f>
        <x:v>0</x:v>
      </x:c>
      <x:c r="G19" s="14" t="str">
        <x:f>IF(E19=6,SUMIFS('Trial Results'!$P$7:$P$366,'Trial Results'!$C$7:$C$366,C19,'Trial Results'!$D$7:$D$366,"TR-A",'Trial Results'!$E$7:$E$366,D19)/E19,"")</x:f>
      </x:c>
      <x:c r="H19" s="14" t="str">
        <x:f>IF(F19=6,SUMIFS('Trial Results'!$P$7:$P$366,'Trial Results'!$C$7:$C$366,C19,'Trial Results'!$D$7:$D$366,"TR-B",'Trial Results'!$E$7:$E$366,D19)/F19,"")</x:f>
      </x:c>
      <x:c r="I19" s="14" t="str">
        <x:f>IF(COUNT(G19:H19)&lt;2,"",ABS(G19-H19))</x:f>
      </x:c>
      <x:c r="J19" s="14" t="n">
        <x:f>Controls!$D$57</x:f>
        <x:v>0.25</x:v>
      </x:c>
      <x:c r="K19" s="14" t="n">
        <x:f>E19+F19</x:f>
        <x:v>0</x:v>
      </x:c>
      <x:c r="L19" t="str"/>
      <x:c r="M19" t="str">
        <x:f>IF(L19=1,IF(AND(E19=6,F19=6,I19&lt;=J19),"PASS","FAIL"),"OPEN")</x:f>
        <x:v>OPEN</x:v>
      </x:c>
    </x:row>
    <x:row r="20">
      <x:c r="B20" t="str">
        <x:v>AM-02-RFP-A2</x:v>
      </x:c>
      <x:c r="C20" t="str">
        <x:v>AM-02</x:v>
      </x:c>
      <x:c r="D20" t="str">
        <x:v>RFP-A2</x:v>
      </x:c>
      <x:c r="E20" s="14" t="n">
        <x:f>COUNTIFS('Trial Results'!$C$7:$C$366,C20,'Trial Results'!$D$7:$D$366,"TR-A",'Trial Results'!$E$7:$E$366,D20,'Trial Results'!$S$7:$S$366,"PASS")</x:f>
        <x:v>0</x:v>
      </x:c>
      <x:c r="F20" s="14" t="n">
        <x:f>COUNTIFS('Trial Results'!$C$7:$C$366,C20,'Trial Results'!$D$7:$D$366,"TR-B",'Trial Results'!$E$7:$E$366,D20,'Trial Results'!$S$7:$S$366,"PASS")</x:f>
        <x:v>0</x:v>
      </x:c>
      <x:c r="G20" s="14" t="str">
        <x:f>IF(E20=6,SUMIFS('Trial Results'!$P$7:$P$366,'Trial Results'!$C$7:$C$366,C20,'Trial Results'!$D$7:$D$366,"TR-A",'Trial Results'!$E$7:$E$366,D20)/E20,"")</x:f>
      </x:c>
      <x:c r="H20" s="14" t="str">
        <x:f>IF(F20=6,SUMIFS('Trial Results'!$P$7:$P$366,'Trial Results'!$C$7:$C$366,C20,'Trial Results'!$D$7:$D$366,"TR-B",'Trial Results'!$E$7:$E$366,D20)/F20,"")</x:f>
      </x:c>
      <x:c r="I20" s="14" t="str">
        <x:f>IF(COUNT(G20:H20)&lt;2,"",ABS(G20-H20))</x:f>
      </x:c>
      <x:c r="J20" s="14" t="n">
        <x:f>Controls!$D$57</x:f>
        <x:v>0.25</x:v>
      </x:c>
      <x:c r="K20" s="14" t="n">
        <x:f>E20+F20</x:f>
        <x:v>0</x:v>
      </x:c>
      <x:c r="L20" t="str"/>
      <x:c r="M20" t="str">
        <x:f>IF(L20=1,IF(AND(E20=6,F20=6,I20&lt;=J20),"PASS","FAIL"),"OPEN")</x:f>
        <x:v>OPEN</x:v>
      </x:c>
    </x:row>
    <x:row r="21">
      <x:c r="B21" t="str">
        <x:v>AM-02-RFP-B1</x:v>
      </x:c>
      <x:c r="C21" t="str">
        <x:v>AM-02</x:v>
      </x:c>
      <x:c r="D21" t="str">
        <x:v>RFP-B1</x:v>
      </x:c>
      <x:c r="E21" s="14" t="n">
        <x:f>COUNTIFS('Trial Results'!$C$7:$C$366,C21,'Trial Results'!$D$7:$D$366,"TR-A",'Trial Results'!$E$7:$E$366,D21,'Trial Results'!$S$7:$S$366,"PASS")</x:f>
        <x:v>0</x:v>
      </x:c>
      <x:c r="F21" s="14" t="n">
        <x:f>COUNTIFS('Trial Results'!$C$7:$C$366,C21,'Trial Results'!$D$7:$D$366,"TR-B",'Trial Results'!$E$7:$E$366,D21,'Trial Results'!$S$7:$S$366,"PASS")</x:f>
        <x:v>0</x:v>
      </x:c>
      <x:c r="G21" s="14" t="str">
        <x:f>IF(E21=6,SUMIFS('Trial Results'!$P$7:$P$366,'Trial Results'!$C$7:$C$366,C21,'Trial Results'!$D$7:$D$366,"TR-A",'Trial Results'!$E$7:$E$366,D21)/E21,"")</x:f>
      </x:c>
      <x:c r="H21" s="14" t="str">
        <x:f>IF(F21=6,SUMIFS('Trial Results'!$P$7:$P$366,'Trial Results'!$C$7:$C$366,C21,'Trial Results'!$D$7:$D$366,"TR-B",'Trial Results'!$E$7:$E$366,D21)/F21,"")</x:f>
      </x:c>
      <x:c r="I21" s="14" t="str">
        <x:f>IF(COUNT(G21:H21)&lt;2,"",ABS(G21-H21))</x:f>
      </x:c>
      <x:c r="J21" s="14" t="n">
        <x:f>Controls!$D$57</x:f>
        <x:v>0.25</x:v>
      </x:c>
      <x:c r="K21" s="14" t="n">
        <x:f>E21+F21</x:f>
        <x:v>0</x:v>
      </x:c>
      <x:c r="L21" t="str"/>
      <x:c r="M21" t="str">
        <x:f>IF(L21=1,IF(AND(E21=6,F21=6,I21&lt;=J21),"PASS","FAIL"),"OPEN")</x:f>
        <x:v>OPEN</x:v>
      </x:c>
    </x:row>
    <x:row r="22">
      <x:c r="B22" t="str">
        <x:v>AM-02-RFP-B2</x:v>
      </x:c>
      <x:c r="C22" t="str">
        <x:v>AM-02</x:v>
      </x:c>
      <x:c r="D22" t="str">
        <x:v>RFP-B2</x:v>
      </x:c>
      <x:c r="E22" s="14" t="n">
        <x:f>COUNTIFS('Trial Results'!$C$7:$C$366,C22,'Trial Results'!$D$7:$D$366,"TR-A",'Trial Results'!$E$7:$E$366,D22,'Trial Results'!$S$7:$S$366,"PASS")</x:f>
        <x:v>0</x:v>
      </x:c>
      <x:c r="F22" s="14" t="n">
        <x:f>COUNTIFS('Trial Results'!$C$7:$C$366,C22,'Trial Results'!$D$7:$D$366,"TR-B",'Trial Results'!$E$7:$E$366,D22,'Trial Results'!$S$7:$S$366,"PASS")</x:f>
        <x:v>0</x:v>
      </x:c>
      <x:c r="G22" s="14" t="str">
        <x:f>IF(E22=6,SUMIFS('Trial Results'!$P$7:$P$366,'Trial Results'!$C$7:$C$366,C22,'Trial Results'!$D$7:$D$366,"TR-A",'Trial Results'!$E$7:$E$366,D22)/E22,"")</x:f>
      </x:c>
      <x:c r="H22" s="14" t="str">
        <x:f>IF(F22=6,SUMIFS('Trial Results'!$P$7:$P$366,'Trial Results'!$C$7:$C$366,C22,'Trial Results'!$D$7:$D$366,"TR-B",'Trial Results'!$E$7:$E$366,D22)/F22,"")</x:f>
      </x:c>
      <x:c r="I22" s="14" t="str">
        <x:f>IF(COUNT(G22:H22)&lt;2,"",ABS(G22-H22))</x:f>
      </x:c>
      <x:c r="J22" s="14" t="n">
        <x:f>Controls!$D$57</x:f>
        <x:v>0.25</x:v>
      </x:c>
      <x:c r="K22" s="14" t="n">
        <x:f>E22+F22</x:f>
        <x:v>0</x:v>
      </x:c>
      <x:c r="L22" t="str"/>
      <x:c r="M22" t="str">
        <x:f>IF(L22=1,IF(AND(E22=6,F22=6,I22&lt;=J22),"PASS","FAIL"),"OPEN")</x:f>
        <x:v>OPEN</x:v>
      </x:c>
    </x:row>
    <x:row r="23">
      <x:c r="B23" t="str">
        <x:v>AM-02-RFP-C1</x:v>
      </x:c>
      <x:c r="C23" t="str">
        <x:v>AM-02</x:v>
      </x:c>
      <x:c r="D23" t="str">
        <x:v>RFP-C1</x:v>
      </x:c>
      <x:c r="E23" s="14" t="n">
        <x:f>COUNTIFS('Trial Results'!$C$7:$C$366,C23,'Trial Results'!$D$7:$D$366,"TR-A",'Trial Results'!$E$7:$E$366,D23,'Trial Results'!$S$7:$S$366,"PASS")</x:f>
        <x:v>0</x:v>
      </x:c>
      <x:c r="F23" s="14" t="n">
        <x:f>COUNTIFS('Trial Results'!$C$7:$C$366,C23,'Trial Results'!$D$7:$D$366,"TR-B",'Trial Results'!$E$7:$E$366,D23,'Trial Results'!$S$7:$S$366,"PASS")</x:f>
        <x:v>0</x:v>
      </x:c>
      <x:c r="G23" s="14" t="str">
        <x:f>IF(E23=6,SUMIFS('Trial Results'!$P$7:$P$366,'Trial Results'!$C$7:$C$366,C23,'Trial Results'!$D$7:$D$366,"TR-A",'Trial Results'!$E$7:$E$366,D23)/E23,"")</x:f>
      </x:c>
      <x:c r="H23" s="14" t="str">
        <x:f>IF(F23=6,SUMIFS('Trial Results'!$P$7:$P$366,'Trial Results'!$C$7:$C$366,C23,'Trial Results'!$D$7:$D$366,"TR-B",'Trial Results'!$E$7:$E$366,D23)/F23,"")</x:f>
      </x:c>
      <x:c r="I23" s="14" t="str">
        <x:f>IF(COUNT(G23:H23)&lt;2,"",ABS(G23-H23))</x:f>
      </x:c>
      <x:c r="J23" s="14" t="n">
        <x:f>Controls!$D$57</x:f>
        <x:v>0.25</x:v>
      </x:c>
      <x:c r="K23" s="14" t="n">
        <x:f>E23+F23</x:f>
        <x:v>0</x:v>
      </x:c>
      <x:c r="L23" t="str"/>
      <x:c r="M23" t="str">
        <x:f>IF(L23=1,IF(AND(E23=6,F23=6,I23&lt;=J23),"PASS","FAIL"),"OPEN")</x:f>
        <x:v>OPEN</x:v>
      </x:c>
    </x:row>
    <x:row r="24">
      <x:c r="B24" t="str">
        <x:v>AM-02-RFP-C2</x:v>
      </x:c>
      <x:c r="C24" t="str">
        <x:v>AM-02</x:v>
      </x:c>
      <x:c r="D24" t="str">
        <x:v>RFP-C2</x:v>
      </x:c>
      <x:c r="E24" s="14" t="n">
        <x:f>COUNTIFS('Trial Results'!$C$7:$C$366,C24,'Trial Results'!$D$7:$D$366,"TR-A",'Trial Results'!$E$7:$E$366,D24,'Trial Results'!$S$7:$S$366,"PASS")</x:f>
        <x:v>0</x:v>
      </x:c>
      <x:c r="F24" s="14" t="n">
        <x:f>COUNTIFS('Trial Results'!$C$7:$C$366,C24,'Trial Results'!$D$7:$D$366,"TR-B",'Trial Results'!$E$7:$E$366,D24,'Trial Results'!$S$7:$S$366,"PASS")</x:f>
        <x:v>0</x:v>
      </x:c>
      <x:c r="G24" s="14" t="str">
        <x:f>IF(E24=6,SUMIFS('Trial Results'!$P$7:$P$366,'Trial Results'!$C$7:$C$366,C24,'Trial Results'!$D$7:$D$366,"TR-A",'Trial Results'!$E$7:$E$366,D24)/E24,"")</x:f>
      </x:c>
      <x:c r="H24" s="14" t="str">
        <x:f>IF(F24=6,SUMIFS('Trial Results'!$P$7:$P$366,'Trial Results'!$C$7:$C$366,C24,'Trial Results'!$D$7:$D$366,"TR-B",'Trial Results'!$E$7:$E$366,D24)/F24,"")</x:f>
      </x:c>
      <x:c r="I24" s="14" t="str">
        <x:f>IF(COUNT(G24:H24)&lt;2,"",ABS(G24-H24))</x:f>
      </x:c>
      <x:c r="J24" s="14" t="n">
        <x:f>Controls!$D$57</x:f>
        <x:v>0.25</x:v>
      </x:c>
      <x:c r="K24" s="14" t="n">
        <x:f>E24+F24</x:f>
        <x:v>0</x:v>
      </x:c>
      <x:c r="L24" t="str"/>
      <x:c r="M24" t="str">
        <x:f>IF(L24=1,IF(AND(E24=6,F24=6,I24&lt;=J24),"PASS","FAIL"),"OPEN")</x:f>
        <x:v>OPEN</x:v>
      </x:c>
    </x:row>
    <x:row r="25">
      <x:c r="B25" t="str">
        <x:v>AM-03-RFP-A1</x:v>
      </x:c>
      <x:c r="C25" t="str">
        <x:v>AM-03</x:v>
      </x:c>
      <x:c r="D25" t="str">
        <x:v>RFP-A1</x:v>
      </x:c>
      <x:c r="E25" s="14" t="n">
        <x:f>COUNTIFS('Trial Results'!$C$7:$C$366,C25,'Trial Results'!$D$7:$D$366,"TR-A",'Trial Results'!$E$7:$E$366,D25,'Trial Results'!$S$7:$S$366,"PASS")</x:f>
        <x:v>0</x:v>
      </x:c>
      <x:c r="F25" s="14" t="n">
        <x:f>COUNTIFS('Trial Results'!$C$7:$C$366,C25,'Trial Results'!$D$7:$D$366,"TR-B",'Trial Results'!$E$7:$E$366,D25,'Trial Results'!$S$7:$S$366,"PASS")</x:f>
        <x:v>0</x:v>
      </x:c>
      <x:c r="G25" s="14" t="str">
        <x:f>IF(E25=6,SUMIFS('Trial Results'!$P$7:$P$366,'Trial Results'!$C$7:$C$366,C25,'Trial Results'!$D$7:$D$366,"TR-A",'Trial Results'!$E$7:$E$366,D25)/E25,"")</x:f>
      </x:c>
      <x:c r="H25" s="14" t="str">
        <x:f>IF(F25=6,SUMIFS('Trial Results'!$P$7:$P$366,'Trial Results'!$C$7:$C$366,C25,'Trial Results'!$D$7:$D$366,"TR-B",'Trial Results'!$E$7:$E$366,D25)/F25,"")</x:f>
      </x:c>
      <x:c r="I25" s="14" t="str">
        <x:f>IF(COUNT(G25:H25)&lt;2,"",ABS(G25-H25))</x:f>
      </x:c>
      <x:c r="J25" s="14" t="n">
        <x:f>Controls!$D$57</x:f>
        <x:v>0.25</x:v>
      </x:c>
      <x:c r="K25" s="14" t="n">
        <x:f>E25+F25</x:f>
        <x:v>0</x:v>
      </x:c>
      <x:c r="L25" t="str"/>
      <x:c r="M25" t="str">
        <x:f>IF(L25=1,IF(AND(E25=6,F25=6,I25&lt;=J25),"PASS","FAIL"),"OPEN")</x:f>
        <x:v>OPEN</x:v>
      </x:c>
    </x:row>
    <x:row r="26">
      <x:c r="B26" t="str">
        <x:v>AM-03-RFP-A2</x:v>
      </x:c>
      <x:c r="C26" t="str">
        <x:v>AM-03</x:v>
      </x:c>
      <x:c r="D26" t="str">
        <x:v>RFP-A2</x:v>
      </x:c>
      <x:c r="E26" s="14" t="n">
        <x:f>COUNTIFS('Trial Results'!$C$7:$C$366,C26,'Trial Results'!$D$7:$D$366,"TR-A",'Trial Results'!$E$7:$E$366,D26,'Trial Results'!$S$7:$S$366,"PASS")</x:f>
        <x:v>0</x:v>
      </x:c>
      <x:c r="F26" s="14" t="n">
        <x:f>COUNTIFS('Trial Results'!$C$7:$C$366,C26,'Trial Results'!$D$7:$D$366,"TR-B",'Trial Results'!$E$7:$E$366,D26,'Trial Results'!$S$7:$S$366,"PASS")</x:f>
        <x:v>0</x:v>
      </x:c>
      <x:c r="G26" s="14" t="str">
        <x:f>IF(E26=6,SUMIFS('Trial Results'!$P$7:$P$366,'Trial Results'!$C$7:$C$366,C26,'Trial Results'!$D$7:$D$366,"TR-A",'Trial Results'!$E$7:$E$366,D26)/E26,"")</x:f>
      </x:c>
      <x:c r="H26" s="14" t="str">
        <x:f>IF(F26=6,SUMIFS('Trial Results'!$P$7:$P$366,'Trial Results'!$C$7:$C$366,C26,'Trial Results'!$D$7:$D$366,"TR-B",'Trial Results'!$E$7:$E$366,D26)/F26,"")</x:f>
      </x:c>
      <x:c r="I26" s="14" t="str">
        <x:f>IF(COUNT(G26:H26)&lt;2,"",ABS(G26-H26))</x:f>
      </x:c>
      <x:c r="J26" s="14" t="n">
        <x:f>Controls!$D$57</x:f>
        <x:v>0.25</x:v>
      </x:c>
      <x:c r="K26" s="14" t="n">
        <x:f>E26+F26</x:f>
        <x:v>0</x:v>
      </x:c>
      <x:c r="L26" t="str"/>
      <x:c r="M26" t="str">
        <x:f>IF(L26=1,IF(AND(E26=6,F26=6,I26&lt;=J26),"PASS","FAIL"),"OPEN")</x:f>
        <x:v>OPEN</x:v>
      </x:c>
    </x:row>
    <x:row r="27">
      <x:c r="B27" t="str">
        <x:v>AM-03-RFP-B1</x:v>
      </x:c>
      <x:c r="C27" t="str">
        <x:v>AM-03</x:v>
      </x:c>
      <x:c r="D27" t="str">
        <x:v>RFP-B1</x:v>
      </x:c>
      <x:c r="E27" s="14" t="n">
        <x:f>COUNTIFS('Trial Results'!$C$7:$C$366,C27,'Trial Results'!$D$7:$D$366,"TR-A",'Trial Results'!$E$7:$E$366,D27,'Trial Results'!$S$7:$S$366,"PASS")</x:f>
        <x:v>0</x:v>
      </x:c>
      <x:c r="F27" s="14" t="n">
        <x:f>COUNTIFS('Trial Results'!$C$7:$C$366,C27,'Trial Results'!$D$7:$D$366,"TR-B",'Trial Results'!$E$7:$E$366,D27,'Trial Results'!$S$7:$S$366,"PASS")</x:f>
        <x:v>0</x:v>
      </x:c>
      <x:c r="G27" s="14" t="str">
        <x:f>IF(E27=6,SUMIFS('Trial Results'!$P$7:$P$366,'Trial Results'!$C$7:$C$366,C27,'Trial Results'!$D$7:$D$366,"TR-A",'Trial Results'!$E$7:$E$366,D27)/E27,"")</x:f>
      </x:c>
      <x:c r="H27" s="14" t="str">
        <x:f>IF(F27=6,SUMIFS('Trial Results'!$P$7:$P$366,'Trial Results'!$C$7:$C$366,C27,'Trial Results'!$D$7:$D$366,"TR-B",'Trial Results'!$E$7:$E$366,D27)/F27,"")</x:f>
      </x:c>
      <x:c r="I27" s="14" t="str">
        <x:f>IF(COUNT(G27:H27)&lt;2,"",ABS(G27-H27))</x:f>
      </x:c>
      <x:c r="J27" s="14" t="n">
        <x:f>Controls!$D$57</x:f>
        <x:v>0.25</x:v>
      </x:c>
      <x:c r="K27" s="14" t="n">
        <x:f>E27+F27</x:f>
        <x:v>0</x:v>
      </x:c>
      <x:c r="L27" t="str"/>
      <x:c r="M27" t="str">
        <x:f>IF(L27=1,IF(AND(E27=6,F27=6,I27&lt;=J27),"PASS","FAIL"),"OPEN")</x:f>
        <x:v>OPEN</x:v>
      </x:c>
    </x:row>
    <x:row r="28">
      <x:c r="B28" t="str">
        <x:v>AM-03-RFP-B2</x:v>
      </x:c>
      <x:c r="C28" t="str">
        <x:v>AM-03</x:v>
      </x:c>
      <x:c r="D28" t="str">
        <x:v>RFP-B2</x:v>
      </x:c>
      <x:c r="E28" s="14" t="n">
        <x:f>COUNTIFS('Trial Results'!$C$7:$C$366,C28,'Trial Results'!$D$7:$D$366,"TR-A",'Trial Results'!$E$7:$E$366,D28,'Trial Results'!$S$7:$S$366,"PASS")</x:f>
        <x:v>0</x:v>
      </x:c>
      <x:c r="F28" s="14" t="n">
        <x:f>COUNTIFS('Trial Results'!$C$7:$C$366,C28,'Trial Results'!$D$7:$D$366,"TR-B",'Trial Results'!$E$7:$E$366,D28,'Trial Results'!$S$7:$S$366,"PASS")</x:f>
        <x:v>0</x:v>
      </x:c>
      <x:c r="G28" s="14" t="str">
        <x:f>IF(E28=6,SUMIFS('Trial Results'!$P$7:$P$366,'Trial Results'!$C$7:$C$366,C28,'Trial Results'!$D$7:$D$366,"TR-A",'Trial Results'!$E$7:$E$366,D28)/E28,"")</x:f>
      </x:c>
      <x:c r="H28" s="14" t="str">
        <x:f>IF(F28=6,SUMIFS('Trial Results'!$P$7:$P$366,'Trial Results'!$C$7:$C$366,C28,'Trial Results'!$D$7:$D$366,"TR-B",'Trial Results'!$E$7:$E$366,D28)/F28,"")</x:f>
      </x:c>
      <x:c r="I28" s="14" t="str">
        <x:f>IF(COUNT(G28:H28)&lt;2,"",ABS(G28-H28))</x:f>
      </x:c>
      <x:c r="J28" s="14" t="n">
        <x:f>Controls!$D$57</x:f>
        <x:v>0.25</x:v>
      </x:c>
      <x:c r="K28" s="14" t="n">
        <x:f>E28+F28</x:f>
        <x:v>0</x:v>
      </x:c>
      <x:c r="L28" t="str"/>
      <x:c r="M28" t="str">
        <x:f>IF(L28=1,IF(AND(E28=6,F28=6,I28&lt;=J28),"PASS","FAIL"),"OPEN")</x:f>
        <x:v>OPEN</x:v>
      </x:c>
    </x:row>
    <x:row r="29">
      <x:c r="B29" t="str">
        <x:v>AM-03-RFP-C1</x:v>
      </x:c>
      <x:c r="C29" t="str">
        <x:v>AM-03</x:v>
      </x:c>
      <x:c r="D29" t="str">
        <x:v>RFP-C1</x:v>
      </x:c>
      <x:c r="E29" s="14" t="n">
        <x:f>COUNTIFS('Trial Results'!$C$7:$C$366,C29,'Trial Results'!$D$7:$D$366,"TR-A",'Trial Results'!$E$7:$E$366,D29,'Trial Results'!$S$7:$S$366,"PASS")</x:f>
        <x:v>0</x:v>
      </x:c>
      <x:c r="F29" s="14" t="n">
        <x:f>COUNTIFS('Trial Results'!$C$7:$C$366,C29,'Trial Results'!$D$7:$D$366,"TR-B",'Trial Results'!$E$7:$E$366,D29,'Trial Results'!$S$7:$S$366,"PASS")</x:f>
        <x:v>0</x:v>
      </x:c>
      <x:c r="G29" s="14" t="str">
        <x:f>IF(E29=6,SUMIFS('Trial Results'!$P$7:$P$366,'Trial Results'!$C$7:$C$366,C29,'Trial Results'!$D$7:$D$366,"TR-A",'Trial Results'!$E$7:$E$366,D29)/E29,"")</x:f>
      </x:c>
      <x:c r="H29" s="14" t="str">
        <x:f>IF(F29=6,SUMIFS('Trial Results'!$P$7:$P$366,'Trial Results'!$C$7:$C$366,C29,'Trial Results'!$D$7:$D$366,"TR-B",'Trial Results'!$E$7:$E$366,D29)/F29,"")</x:f>
      </x:c>
      <x:c r="I29" s="14" t="str">
        <x:f>IF(COUNT(G29:H29)&lt;2,"",ABS(G29-H29))</x:f>
      </x:c>
      <x:c r="J29" s="14" t="n">
        <x:f>Controls!$D$57</x:f>
        <x:v>0.25</x:v>
      </x:c>
      <x:c r="K29" s="14" t="n">
        <x:f>E29+F29</x:f>
        <x:v>0</x:v>
      </x:c>
      <x:c r="L29" t="str"/>
      <x:c r="M29" t="str">
        <x:f>IF(L29=1,IF(AND(E29=6,F29=6,I29&lt;=J29),"PASS","FAIL"),"OPEN")</x:f>
        <x:v>OPEN</x:v>
      </x:c>
    </x:row>
    <x:row r="30">
      <x:c r="B30" t="str">
        <x:v>AM-03-RFP-C2</x:v>
      </x:c>
      <x:c r="C30" t="str">
        <x:v>AM-03</x:v>
      </x:c>
      <x:c r="D30" t="str">
        <x:v>RFP-C2</x:v>
      </x:c>
      <x:c r="E30" s="14" t="n">
        <x:f>COUNTIFS('Trial Results'!$C$7:$C$366,C30,'Trial Results'!$D$7:$D$366,"TR-A",'Trial Results'!$E$7:$E$366,D30,'Trial Results'!$S$7:$S$366,"PASS")</x:f>
        <x:v>0</x:v>
      </x:c>
      <x:c r="F30" s="14" t="n">
        <x:f>COUNTIFS('Trial Results'!$C$7:$C$366,C30,'Trial Results'!$D$7:$D$366,"TR-B",'Trial Results'!$E$7:$E$366,D30,'Trial Results'!$S$7:$S$366,"PASS")</x:f>
        <x:v>0</x:v>
      </x:c>
      <x:c r="G30" s="14" t="str">
        <x:f>IF(E30=6,SUMIFS('Trial Results'!$P$7:$P$366,'Trial Results'!$C$7:$C$366,C30,'Trial Results'!$D$7:$D$366,"TR-A",'Trial Results'!$E$7:$E$366,D30)/E30,"")</x:f>
      </x:c>
      <x:c r="H30" s="14" t="str">
        <x:f>IF(F30=6,SUMIFS('Trial Results'!$P$7:$P$366,'Trial Results'!$C$7:$C$366,C30,'Trial Results'!$D$7:$D$366,"TR-B",'Trial Results'!$E$7:$E$366,D30)/F30,"")</x:f>
      </x:c>
      <x:c r="I30" s="14" t="str">
        <x:f>IF(COUNT(G30:H30)&lt;2,"",ABS(G30-H30))</x:f>
      </x:c>
      <x:c r="J30" s="14" t="n">
        <x:f>Controls!$D$57</x:f>
        <x:v>0.25</x:v>
      </x:c>
      <x:c r="K30" s="14" t="n">
        <x:f>E30+F30</x:f>
        <x:v>0</x:v>
      </x:c>
      <x:c r="L30" t="str"/>
      <x:c r="M30" t="str">
        <x:f>IF(L30=1,IF(AND(E30=6,F30=6,I30&lt;=J30),"PASS","FAIL"),"OPEN")</x:f>
        <x:v>OPEN</x:v>
      </x:c>
    </x:row>
    <x:row r="31">
      <x:c r="B31" t="str">
        <x:v>AM-04-RFP-A1</x:v>
      </x:c>
      <x:c r="C31" t="str">
        <x:v>AM-04</x:v>
      </x:c>
      <x:c r="D31" t="str">
        <x:v>RFP-A1</x:v>
      </x:c>
      <x:c r="E31" s="14" t="n">
        <x:f>COUNTIFS('Trial Results'!$C$7:$C$366,C31,'Trial Results'!$D$7:$D$366,"TR-A",'Trial Results'!$E$7:$E$366,D31,'Trial Results'!$S$7:$S$366,"PASS")</x:f>
        <x:v>0</x:v>
      </x:c>
      <x:c r="F31" s="14" t="n">
        <x:f>COUNTIFS('Trial Results'!$C$7:$C$366,C31,'Trial Results'!$D$7:$D$366,"TR-B",'Trial Results'!$E$7:$E$366,D31,'Trial Results'!$S$7:$S$366,"PASS")</x:f>
        <x:v>0</x:v>
      </x:c>
      <x:c r="G31" s="14" t="str">
        <x:f>IF(E31=6,SUMIFS('Trial Results'!$P$7:$P$366,'Trial Results'!$C$7:$C$366,C31,'Trial Results'!$D$7:$D$366,"TR-A",'Trial Results'!$E$7:$E$366,D31)/E31,"")</x:f>
      </x:c>
      <x:c r="H31" s="14" t="str">
        <x:f>IF(F31=6,SUMIFS('Trial Results'!$P$7:$P$366,'Trial Results'!$C$7:$C$366,C31,'Trial Results'!$D$7:$D$366,"TR-B",'Trial Results'!$E$7:$E$366,D31)/F31,"")</x:f>
      </x:c>
      <x:c r="I31" s="14" t="str">
        <x:f>IF(COUNT(G31:H31)&lt;2,"",ABS(G31-H31))</x:f>
      </x:c>
      <x:c r="J31" s="14" t="n">
        <x:f>Controls!$D$57</x:f>
        <x:v>0.25</x:v>
      </x:c>
      <x:c r="K31" s="14" t="n">
        <x:f>E31+F31</x:f>
        <x:v>0</x:v>
      </x:c>
      <x:c r="L31" t="str"/>
      <x:c r="M31" t="str">
        <x:f>IF(L31=1,IF(AND(E31=6,F31=6,I31&lt;=J31),"PASS","FAIL"),"OPEN")</x:f>
        <x:v>OPEN</x:v>
      </x:c>
    </x:row>
    <x:row r="32">
      <x:c r="B32" t="str">
        <x:v>AM-04-RFP-A2</x:v>
      </x:c>
      <x:c r="C32" t="str">
        <x:v>AM-04</x:v>
      </x:c>
      <x:c r="D32" t="str">
        <x:v>RFP-A2</x:v>
      </x:c>
      <x:c r="E32" s="14" t="n">
        <x:f>COUNTIFS('Trial Results'!$C$7:$C$366,C32,'Trial Results'!$D$7:$D$366,"TR-A",'Trial Results'!$E$7:$E$366,D32,'Trial Results'!$S$7:$S$366,"PASS")</x:f>
        <x:v>0</x:v>
      </x:c>
      <x:c r="F32" s="14" t="n">
        <x:f>COUNTIFS('Trial Results'!$C$7:$C$366,C32,'Trial Results'!$D$7:$D$366,"TR-B",'Trial Results'!$E$7:$E$366,D32,'Trial Results'!$S$7:$S$366,"PASS")</x:f>
        <x:v>0</x:v>
      </x:c>
      <x:c r="G32" s="14" t="str">
        <x:f>IF(E32=6,SUMIFS('Trial Results'!$P$7:$P$366,'Trial Results'!$C$7:$C$366,C32,'Trial Results'!$D$7:$D$366,"TR-A",'Trial Results'!$E$7:$E$366,D32)/E32,"")</x:f>
      </x:c>
      <x:c r="H32" s="14" t="str">
        <x:f>IF(F32=6,SUMIFS('Trial Results'!$P$7:$P$366,'Trial Results'!$C$7:$C$366,C32,'Trial Results'!$D$7:$D$366,"TR-B",'Trial Results'!$E$7:$E$366,D32)/F32,"")</x:f>
      </x:c>
      <x:c r="I32" s="14" t="str">
        <x:f>IF(COUNT(G32:H32)&lt;2,"",ABS(G32-H32))</x:f>
      </x:c>
      <x:c r="J32" s="14" t="n">
        <x:f>Controls!$D$57</x:f>
        <x:v>0.25</x:v>
      </x:c>
      <x:c r="K32" s="14" t="n">
        <x:f>E32+F32</x:f>
        <x:v>0</x:v>
      </x:c>
      <x:c r="L32" t="str"/>
      <x:c r="M32" t="str">
        <x:f>IF(L32=1,IF(AND(E32=6,F32=6,I32&lt;=J32),"PASS","FAIL"),"OPEN")</x:f>
        <x:v>OPEN</x:v>
      </x:c>
    </x:row>
    <x:row r="33">
      <x:c r="B33" t="str">
        <x:v>AM-04-RFP-B1</x:v>
      </x:c>
      <x:c r="C33" t="str">
        <x:v>AM-04</x:v>
      </x:c>
      <x:c r="D33" t="str">
        <x:v>RFP-B1</x:v>
      </x:c>
      <x:c r="E33" s="14" t="n">
        <x:f>COUNTIFS('Trial Results'!$C$7:$C$366,C33,'Trial Results'!$D$7:$D$366,"TR-A",'Trial Results'!$E$7:$E$366,D33,'Trial Results'!$S$7:$S$366,"PASS")</x:f>
        <x:v>0</x:v>
      </x:c>
      <x:c r="F33" s="14" t="n">
        <x:f>COUNTIFS('Trial Results'!$C$7:$C$366,C33,'Trial Results'!$D$7:$D$366,"TR-B",'Trial Results'!$E$7:$E$366,D33,'Trial Results'!$S$7:$S$366,"PASS")</x:f>
        <x:v>0</x:v>
      </x:c>
      <x:c r="G33" s="14" t="str">
        <x:f>IF(E33=6,SUMIFS('Trial Results'!$P$7:$P$366,'Trial Results'!$C$7:$C$366,C33,'Trial Results'!$D$7:$D$366,"TR-A",'Trial Results'!$E$7:$E$366,D33)/E33,"")</x:f>
      </x:c>
      <x:c r="H33" s="14" t="str">
        <x:f>IF(F33=6,SUMIFS('Trial Results'!$P$7:$P$366,'Trial Results'!$C$7:$C$366,C33,'Trial Results'!$D$7:$D$366,"TR-B",'Trial Results'!$E$7:$E$366,D33)/F33,"")</x:f>
      </x:c>
      <x:c r="I33" s="14" t="str">
        <x:f>IF(COUNT(G33:H33)&lt;2,"",ABS(G33-H33))</x:f>
      </x:c>
      <x:c r="J33" s="14" t="n">
        <x:f>Controls!$D$57</x:f>
        <x:v>0.25</x:v>
      </x:c>
      <x:c r="K33" s="14" t="n">
        <x:f>E33+F33</x:f>
        <x:v>0</x:v>
      </x:c>
      <x:c r="L33" t="str"/>
      <x:c r="M33" t="str">
        <x:f>IF(L33=1,IF(AND(E33=6,F33=6,I33&lt;=J33),"PASS","FAIL"),"OPEN")</x:f>
        <x:v>OPEN</x:v>
      </x:c>
    </x:row>
    <x:row r="34">
      <x:c r="B34" t="str">
        <x:v>AM-04-RFP-B2</x:v>
      </x:c>
      <x:c r="C34" t="str">
        <x:v>AM-04</x:v>
      </x:c>
      <x:c r="D34" t="str">
        <x:v>RFP-B2</x:v>
      </x:c>
      <x:c r="E34" s="14" t="n">
        <x:f>COUNTIFS('Trial Results'!$C$7:$C$366,C34,'Trial Results'!$D$7:$D$366,"TR-A",'Trial Results'!$E$7:$E$366,D34,'Trial Results'!$S$7:$S$366,"PASS")</x:f>
        <x:v>0</x:v>
      </x:c>
      <x:c r="F34" s="14" t="n">
        <x:f>COUNTIFS('Trial Results'!$C$7:$C$366,C34,'Trial Results'!$D$7:$D$366,"TR-B",'Trial Results'!$E$7:$E$366,D34,'Trial Results'!$S$7:$S$366,"PASS")</x:f>
        <x:v>0</x:v>
      </x:c>
      <x:c r="G34" s="14" t="str">
        <x:f>IF(E34=6,SUMIFS('Trial Results'!$P$7:$P$366,'Trial Results'!$C$7:$C$366,C34,'Trial Results'!$D$7:$D$366,"TR-A",'Trial Results'!$E$7:$E$366,D34)/E34,"")</x:f>
      </x:c>
      <x:c r="H34" s="14" t="str">
        <x:f>IF(F34=6,SUMIFS('Trial Results'!$P$7:$P$366,'Trial Results'!$C$7:$C$366,C34,'Trial Results'!$D$7:$D$366,"TR-B",'Trial Results'!$E$7:$E$366,D34)/F34,"")</x:f>
      </x:c>
      <x:c r="I34" s="14" t="str">
        <x:f>IF(COUNT(G34:H34)&lt;2,"",ABS(G34-H34))</x:f>
      </x:c>
      <x:c r="J34" s="14" t="n">
        <x:f>Controls!$D$57</x:f>
        <x:v>0.25</x:v>
      </x:c>
      <x:c r="K34" s="14" t="n">
        <x:f>E34+F34</x:f>
        <x:v>0</x:v>
      </x:c>
      <x:c r="L34" t="str"/>
      <x:c r="M34" t="str">
        <x:f>IF(L34=1,IF(AND(E34=6,F34=6,I34&lt;=J34),"PASS","FAIL"),"OPEN")</x:f>
        <x:v>OPEN</x:v>
      </x:c>
    </x:row>
    <x:row r="35">
      <x:c r="B35" t="str">
        <x:v>AM-04-RFP-C1</x:v>
      </x:c>
      <x:c r="C35" t="str">
        <x:v>AM-04</x:v>
      </x:c>
      <x:c r="D35" t="str">
        <x:v>RFP-C1</x:v>
      </x:c>
      <x:c r="E35" s="14" t="n">
        <x:f>COUNTIFS('Trial Results'!$C$7:$C$366,C35,'Trial Results'!$D$7:$D$366,"TR-A",'Trial Results'!$E$7:$E$366,D35,'Trial Results'!$S$7:$S$366,"PASS")</x:f>
        <x:v>0</x:v>
      </x:c>
      <x:c r="F35" s="14" t="n">
        <x:f>COUNTIFS('Trial Results'!$C$7:$C$366,C35,'Trial Results'!$D$7:$D$366,"TR-B",'Trial Results'!$E$7:$E$366,D35,'Trial Results'!$S$7:$S$366,"PASS")</x:f>
        <x:v>0</x:v>
      </x:c>
      <x:c r="G35" s="14" t="str">
        <x:f>IF(E35=6,SUMIFS('Trial Results'!$P$7:$P$366,'Trial Results'!$C$7:$C$366,C35,'Trial Results'!$D$7:$D$366,"TR-A",'Trial Results'!$E$7:$E$366,D35)/E35,"")</x:f>
      </x:c>
      <x:c r="H35" s="14" t="str">
        <x:f>IF(F35=6,SUMIFS('Trial Results'!$P$7:$P$366,'Trial Results'!$C$7:$C$366,C35,'Trial Results'!$D$7:$D$366,"TR-B",'Trial Results'!$E$7:$E$366,D35)/F35,"")</x:f>
      </x:c>
      <x:c r="I35" s="14" t="str">
        <x:f>IF(COUNT(G35:H35)&lt;2,"",ABS(G35-H35))</x:f>
      </x:c>
      <x:c r="J35" s="14" t="n">
        <x:f>Controls!$D$57</x:f>
        <x:v>0.25</x:v>
      </x:c>
      <x:c r="K35" s="14" t="n">
        <x:f>E35+F35</x:f>
        <x:v>0</x:v>
      </x:c>
      <x:c r="L35" t="str"/>
      <x:c r="M35" t="str">
        <x:f>IF(L35=1,IF(AND(E35=6,F35=6,I35&lt;=J35),"PASS","FAIL"),"OPEN")</x:f>
        <x:v>OPEN</x:v>
      </x:c>
    </x:row>
    <x:row r="36">
      <x:c r="B36" t="str">
        <x:v>AM-04-RFP-C2</x:v>
      </x:c>
      <x:c r="C36" t="str">
        <x:v>AM-04</x:v>
      </x:c>
      <x:c r="D36" t="str">
        <x:v>RFP-C2</x:v>
      </x:c>
      <x:c r="E36" s="14" t="n">
        <x:f>COUNTIFS('Trial Results'!$C$7:$C$366,C36,'Trial Results'!$D$7:$D$366,"TR-A",'Trial Results'!$E$7:$E$366,D36,'Trial Results'!$S$7:$S$366,"PASS")</x:f>
        <x:v>0</x:v>
      </x:c>
      <x:c r="F36" s="14" t="n">
        <x:f>COUNTIFS('Trial Results'!$C$7:$C$366,C36,'Trial Results'!$D$7:$D$366,"TR-B",'Trial Results'!$E$7:$E$366,D36,'Trial Results'!$S$7:$S$366,"PASS")</x:f>
        <x:v>0</x:v>
      </x:c>
      <x:c r="G36" s="14" t="str">
        <x:f>IF(E36=6,SUMIFS('Trial Results'!$P$7:$P$366,'Trial Results'!$C$7:$C$366,C36,'Trial Results'!$D$7:$D$366,"TR-A",'Trial Results'!$E$7:$E$366,D36)/E36,"")</x:f>
      </x:c>
      <x:c r="H36" s="14" t="str">
        <x:f>IF(F36=6,SUMIFS('Trial Results'!$P$7:$P$366,'Trial Results'!$C$7:$C$366,C36,'Trial Results'!$D$7:$D$366,"TR-B",'Trial Results'!$E$7:$E$366,D36)/F36,"")</x:f>
      </x:c>
      <x:c r="I36" s="14" t="str">
        <x:f>IF(COUNT(G36:H36)&lt;2,"",ABS(G36-H36))</x:f>
      </x:c>
      <x:c r="J36" s="14" t="n">
        <x:f>Controls!$D$57</x:f>
        <x:v>0.25</x:v>
      </x:c>
      <x:c r="K36" s="14" t="n">
        <x:f>E36+F36</x:f>
        <x:v>0</x:v>
      </x:c>
      <x:c r="L36" t="str"/>
      <x:c r="M36" t="str">
        <x:f>IF(L36=1,IF(AND(E36=6,F36=6,I36&lt;=J36),"PASS","FAIL"),"OPEN")</x:f>
        <x:v>OPEN</x:v>
      </x:c>
    </x:row>
  </x:sheetData>
  <x:conditionalFormatting sqref="M7:M36">
    <x:cfRule type="containsText" dxfId="136" priority="1" operator="containsText" text="FAIL"/>
    <x:cfRule type="containsText" dxfId="137" priority="2" operator="containsText" text="INVALID"/>
    <x:cfRule type="containsText" dxfId="138" priority="3" operator="containsText" text="BLOCKED"/>
    <x:cfRule type="containsText" dxfId="139" priority="4" operator="containsText" text="OPEN"/>
    <x:cfRule type="containsText" dxfId="140" priority="5" operator="containsText" text="GAP"/>
    <x:cfRule type="containsText" dxfId="141" priority="6" operator="containsText" text="DORMANT"/>
    <x:cfRule type="containsText" dxfId="142" priority="7" operator="containsText" text="PASS"/>
    <x:cfRule type="containsText" dxfId="143" priority="8" operator="containsText" text="VALI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4" hidden="0" customWidth="1"/>
    <x:col min="5" max="5" width="17" hidden="0" customWidth="1"/>
    <x:col min="6" max="6" width="21" hidden="0" customWidth="1"/>
    <x:col min="7" max="7" width="21" hidden="0" customWidth="1"/>
    <x:col min="8" max="8" width="21" hidden="0" customWidth="1"/>
    <x:col min="9" max="9" width="19" hidden="0" customWidth="1"/>
    <x:col min="10" max="10" width="15" hidden="0" customWidth="1"/>
    <x:col min="11" max="11" width="14" hidden="0" customWidth="1"/>
  </x:cols>
  <x:sheetData>
    <x:row r="2">
      <x:c r="B2" s="1" t="str">
        <x:v>Ten cross-campus truth-root equivalence records</x:v>
      </x:c>
    </x:row>
    <x:row r="3">
      <x:c r="B3" s="2" t="str">
        <x:v>All thirty-six credits for one method-root must pass before campus comparison exists.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Equivalence</x:v>
      </x:c>
      <x:c r="C6" s="7" t="str">
        <x:v>Method</x:v>
      </x:c>
      <x:c r="D6" s="7" t="str">
        <x:v>Truth root</x:v>
      </x:c>
      <x:c r="E6" s="7" t="str">
        <x:v>Credit passes</x:v>
      </x:c>
      <x:c r="F6" s="7" t="str">
        <x:v>PTC-A mean error</x:v>
      </x:c>
      <x:c r="G6" s="7" t="str">
        <x:v>PTC-B mean error</x:v>
      </x:c>
      <x:c r="H6" s="7" t="str">
        <x:v>PTC-C mean error</x:v>
      </x:c>
      <x:c r="I6" s="7" t="str">
        <x:v>Campus spread</x:v>
      </x:c>
      <x:c r="J6" s="7" t="str">
        <x:v>Accepted</x:v>
      </x:c>
      <x:c r="K6" s="7" t="str">
        <x:v>State</x:v>
      </x:c>
    </x:row>
    <x:row r="7">
      <x:c r="B7" t="str">
        <x:v>AM-00-TR-A</x:v>
      </x:c>
      <x:c r="C7" t="str">
        <x:v>AM-00</x:v>
      </x:c>
      <x:c r="D7" t="str">
        <x:v>TR-A</x:v>
      </x:c>
      <x:c r="E7" s="14" t="n">
        <x:f>COUNTIFS('Trial Results'!$C$7:$C$366,C7,'Trial Results'!$D$7:$D$366,D7,'Trial Results'!$S$7:$S$366,"PASS")</x:f>
        <x:v>0</x:v>
      </x:c>
      <x:c r="F7" s="14" t="str">
        <x:f>IF(COUNTIFS('Trial Results'!$C$7:$C$366,C7,'Trial Results'!$D$7:$D$366,D7,'Trial Results'!$F$7:$F$366,"PTC-A",'Trial Results'!$S$7:$S$366,"PASS")=12,SUMIFS('Trial Results'!$P$7:$P$366,'Trial Results'!$C$7:$C$366,C7,'Trial Results'!$D$7:$D$366,D7,'Trial Results'!$F$7:$F$366,"PTC-A")/12,"")</x:f>
      </x:c>
      <x:c r="G7" s="14" t="str">
        <x:f>IF(COUNTIFS('Trial Results'!$C$7:$C$366,C7,'Trial Results'!$D$7:$D$366,D7,'Trial Results'!$F$7:$F$366,"PTC-B",'Trial Results'!$S$7:$S$366,"PASS")=12,SUMIFS('Trial Results'!$P$7:$P$366,'Trial Results'!$C$7:$C$366,C7,'Trial Results'!$D$7:$D$366,D7,'Trial Results'!$F$7:$F$366,"PTC-B")/12,"")</x:f>
      </x:c>
      <x:c r="H7" s="14" t="str">
        <x:f>IF(COUNTIFS('Trial Results'!$C$7:$C$366,C7,'Trial Results'!$D$7:$D$366,D7,'Trial Results'!$F$7:$F$366,"PTC-C",'Trial Results'!$S$7:$S$366,"PASS")=12,SUMIFS('Trial Results'!$P$7:$P$366,'Trial Results'!$C$7:$C$366,C7,'Trial Results'!$D$7:$D$366,D7,'Trial Results'!$F$7:$F$366,"PTC-C")/12,"")</x:f>
      </x:c>
      <x:c r="I7" s="14" t="str">
        <x:f>IF(COUNT(F7:H7)&lt;3,"",MAX(F7:H7)-MIN(F7:H7))</x:f>
      </x:c>
      <x:c r="J7" t="str"/>
      <x:c r="K7" t="str">
        <x:f>IF(J7=1,IF(AND(E7=36,I7&lt;=Controls!$D$57),"PASS","FAIL"),"OPEN")</x:f>
        <x:v>OPEN</x:v>
      </x:c>
    </x:row>
    <x:row r="8">
      <x:c r="B8" t="str">
        <x:v>AM-00-TR-B</x:v>
      </x:c>
      <x:c r="C8" t="str">
        <x:v>AM-00</x:v>
      </x:c>
      <x:c r="D8" t="str">
        <x:v>TR-B</x:v>
      </x:c>
      <x:c r="E8" s="14" t="n">
        <x:f>COUNTIFS('Trial Results'!$C$7:$C$366,C8,'Trial Results'!$D$7:$D$366,D8,'Trial Results'!$S$7:$S$366,"PASS")</x:f>
        <x:v>0</x:v>
      </x:c>
      <x:c r="F8" s="14" t="str">
        <x:f>IF(COUNTIFS('Trial Results'!$C$7:$C$366,C8,'Trial Results'!$D$7:$D$366,D8,'Trial Results'!$F$7:$F$366,"PTC-A",'Trial Results'!$S$7:$S$366,"PASS")=12,SUMIFS('Trial Results'!$P$7:$P$366,'Trial Results'!$C$7:$C$366,C8,'Trial Results'!$D$7:$D$366,D8,'Trial Results'!$F$7:$F$366,"PTC-A")/12,"")</x:f>
      </x:c>
      <x:c r="G8" s="14" t="str">
        <x:f>IF(COUNTIFS('Trial Results'!$C$7:$C$366,C8,'Trial Results'!$D$7:$D$366,D8,'Trial Results'!$F$7:$F$366,"PTC-B",'Trial Results'!$S$7:$S$366,"PASS")=12,SUMIFS('Trial Results'!$P$7:$P$366,'Trial Results'!$C$7:$C$366,C8,'Trial Results'!$D$7:$D$366,D8,'Trial Results'!$F$7:$F$366,"PTC-B")/12,"")</x:f>
      </x:c>
      <x:c r="H8" s="14" t="str">
        <x:f>IF(COUNTIFS('Trial Results'!$C$7:$C$366,C8,'Trial Results'!$D$7:$D$366,D8,'Trial Results'!$F$7:$F$366,"PTC-C",'Trial Results'!$S$7:$S$366,"PASS")=12,SUMIFS('Trial Results'!$P$7:$P$366,'Trial Results'!$C$7:$C$366,C8,'Trial Results'!$D$7:$D$366,D8,'Trial Results'!$F$7:$F$366,"PTC-C")/12,"")</x:f>
      </x:c>
      <x:c r="I8" s="14" t="str">
        <x:f>IF(COUNT(F8:H8)&lt;3,"",MAX(F8:H8)-MIN(F8:H8))</x:f>
      </x:c>
      <x:c r="J8" t="str"/>
      <x:c r="K8" t="str">
        <x:f>IF(J8=1,IF(AND(E8=36,I8&lt;=Controls!$D$57),"PASS","FAIL"),"OPEN")</x:f>
        <x:v>OPEN</x:v>
      </x:c>
    </x:row>
    <x:row r="9">
      <x:c r="B9" t="str">
        <x:v>AM-01-TR-A</x:v>
      </x:c>
      <x:c r="C9" t="str">
        <x:v>AM-01</x:v>
      </x:c>
      <x:c r="D9" t="str">
        <x:v>TR-A</x:v>
      </x:c>
      <x:c r="E9" s="14" t="n">
        <x:f>COUNTIFS('Trial Results'!$C$7:$C$366,C9,'Trial Results'!$D$7:$D$366,D9,'Trial Results'!$S$7:$S$366,"PASS")</x:f>
        <x:v>0</x:v>
      </x:c>
      <x:c r="F9" s="14" t="str">
        <x:f>IF(COUNTIFS('Trial Results'!$C$7:$C$366,C9,'Trial Results'!$D$7:$D$366,D9,'Trial Results'!$F$7:$F$366,"PTC-A",'Trial Results'!$S$7:$S$366,"PASS")=12,SUMIFS('Trial Results'!$P$7:$P$366,'Trial Results'!$C$7:$C$366,C9,'Trial Results'!$D$7:$D$366,D9,'Trial Results'!$F$7:$F$366,"PTC-A")/12,"")</x:f>
      </x:c>
      <x:c r="G9" s="14" t="str">
        <x:f>IF(COUNTIFS('Trial Results'!$C$7:$C$366,C9,'Trial Results'!$D$7:$D$366,D9,'Trial Results'!$F$7:$F$366,"PTC-B",'Trial Results'!$S$7:$S$366,"PASS")=12,SUMIFS('Trial Results'!$P$7:$P$366,'Trial Results'!$C$7:$C$366,C9,'Trial Results'!$D$7:$D$366,D9,'Trial Results'!$F$7:$F$366,"PTC-B")/12,"")</x:f>
      </x:c>
      <x:c r="H9" s="14" t="str">
        <x:f>IF(COUNTIFS('Trial Results'!$C$7:$C$366,C9,'Trial Results'!$D$7:$D$366,D9,'Trial Results'!$F$7:$F$366,"PTC-C",'Trial Results'!$S$7:$S$366,"PASS")=12,SUMIFS('Trial Results'!$P$7:$P$366,'Trial Results'!$C$7:$C$366,C9,'Trial Results'!$D$7:$D$366,D9,'Trial Results'!$F$7:$F$366,"PTC-C")/12,"")</x:f>
      </x:c>
      <x:c r="I9" s="14" t="str">
        <x:f>IF(COUNT(F9:H9)&lt;3,"",MAX(F9:H9)-MIN(F9:H9))</x:f>
      </x:c>
      <x:c r="J9" t="str"/>
      <x:c r="K9" t="str">
        <x:f>IF(J9=1,IF(AND(E9=36,I9&lt;=Controls!$D$57),"PASS","FAIL"),"OPEN")</x:f>
        <x:v>OPEN</x:v>
      </x:c>
    </x:row>
    <x:row r="10">
      <x:c r="B10" t="str">
        <x:v>AM-01-TR-B</x:v>
      </x:c>
      <x:c r="C10" t="str">
        <x:v>AM-01</x:v>
      </x:c>
      <x:c r="D10" t="str">
        <x:v>TR-B</x:v>
      </x:c>
      <x:c r="E10" s="14" t="n">
        <x:f>COUNTIFS('Trial Results'!$C$7:$C$366,C10,'Trial Results'!$D$7:$D$366,D10,'Trial Results'!$S$7:$S$366,"PASS")</x:f>
        <x:v>0</x:v>
      </x:c>
      <x:c r="F10" s="14" t="str">
        <x:f>IF(COUNTIFS('Trial Results'!$C$7:$C$366,C10,'Trial Results'!$D$7:$D$366,D10,'Trial Results'!$F$7:$F$366,"PTC-A",'Trial Results'!$S$7:$S$366,"PASS")=12,SUMIFS('Trial Results'!$P$7:$P$366,'Trial Results'!$C$7:$C$366,C10,'Trial Results'!$D$7:$D$366,D10,'Trial Results'!$F$7:$F$366,"PTC-A")/12,"")</x:f>
      </x:c>
      <x:c r="G10" s="14" t="str">
        <x:f>IF(COUNTIFS('Trial Results'!$C$7:$C$366,C10,'Trial Results'!$D$7:$D$366,D10,'Trial Results'!$F$7:$F$366,"PTC-B",'Trial Results'!$S$7:$S$366,"PASS")=12,SUMIFS('Trial Results'!$P$7:$P$366,'Trial Results'!$C$7:$C$366,C10,'Trial Results'!$D$7:$D$366,D10,'Trial Results'!$F$7:$F$366,"PTC-B")/12,"")</x:f>
      </x:c>
      <x:c r="H10" s="14" t="str">
        <x:f>IF(COUNTIFS('Trial Results'!$C$7:$C$366,C10,'Trial Results'!$D$7:$D$366,D10,'Trial Results'!$F$7:$F$366,"PTC-C",'Trial Results'!$S$7:$S$366,"PASS")=12,SUMIFS('Trial Results'!$P$7:$P$366,'Trial Results'!$C$7:$C$366,C10,'Trial Results'!$D$7:$D$366,D10,'Trial Results'!$F$7:$F$366,"PTC-C")/12,"")</x:f>
      </x:c>
      <x:c r="I10" s="14" t="str">
        <x:f>IF(COUNT(F10:H10)&lt;3,"",MAX(F10:H10)-MIN(F10:H10))</x:f>
      </x:c>
      <x:c r="J10" t="str"/>
      <x:c r="K10" t="str">
        <x:f>IF(J10=1,IF(AND(E10=36,I10&lt;=Controls!$D$57),"PASS","FAIL"),"OPEN")</x:f>
        <x:v>OPEN</x:v>
      </x:c>
    </x:row>
    <x:row r="11">
      <x:c r="B11" t="str">
        <x:v>AM-02-TR-A</x:v>
      </x:c>
      <x:c r="C11" t="str">
        <x:v>AM-02</x:v>
      </x:c>
      <x:c r="D11" t="str">
        <x:v>TR-A</x:v>
      </x:c>
      <x:c r="E11" s="14" t="n">
        <x:f>COUNTIFS('Trial Results'!$C$7:$C$366,C11,'Trial Results'!$D$7:$D$366,D11,'Trial Results'!$S$7:$S$366,"PASS")</x:f>
        <x:v>0</x:v>
      </x:c>
      <x:c r="F11" s="14" t="str">
        <x:f>IF(COUNTIFS('Trial Results'!$C$7:$C$366,C11,'Trial Results'!$D$7:$D$366,D11,'Trial Results'!$F$7:$F$366,"PTC-A",'Trial Results'!$S$7:$S$366,"PASS")=12,SUMIFS('Trial Results'!$P$7:$P$366,'Trial Results'!$C$7:$C$366,C11,'Trial Results'!$D$7:$D$366,D11,'Trial Results'!$F$7:$F$366,"PTC-A")/12,"")</x:f>
      </x:c>
      <x:c r="G11" s="14" t="str">
        <x:f>IF(COUNTIFS('Trial Results'!$C$7:$C$366,C11,'Trial Results'!$D$7:$D$366,D11,'Trial Results'!$F$7:$F$366,"PTC-B",'Trial Results'!$S$7:$S$366,"PASS")=12,SUMIFS('Trial Results'!$P$7:$P$366,'Trial Results'!$C$7:$C$366,C11,'Trial Results'!$D$7:$D$366,D11,'Trial Results'!$F$7:$F$366,"PTC-B")/12,"")</x:f>
      </x:c>
      <x:c r="H11" s="14" t="str">
        <x:f>IF(COUNTIFS('Trial Results'!$C$7:$C$366,C11,'Trial Results'!$D$7:$D$366,D11,'Trial Results'!$F$7:$F$366,"PTC-C",'Trial Results'!$S$7:$S$366,"PASS")=12,SUMIFS('Trial Results'!$P$7:$P$366,'Trial Results'!$C$7:$C$366,C11,'Trial Results'!$D$7:$D$366,D11,'Trial Results'!$F$7:$F$366,"PTC-C")/12,"")</x:f>
      </x:c>
      <x:c r="I11" s="14" t="str">
        <x:f>IF(COUNT(F11:H11)&lt;3,"",MAX(F11:H11)-MIN(F11:H11))</x:f>
      </x:c>
      <x:c r="J11" t="str"/>
      <x:c r="K11" t="str">
        <x:f>IF(J11=1,IF(AND(E11=36,I11&lt;=Controls!$D$57),"PASS","FAIL"),"OPEN")</x:f>
        <x:v>OPEN</x:v>
      </x:c>
    </x:row>
    <x:row r="12">
      <x:c r="B12" t="str">
        <x:v>AM-02-TR-B</x:v>
      </x:c>
      <x:c r="C12" t="str">
        <x:v>AM-02</x:v>
      </x:c>
      <x:c r="D12" t="str">
        <x:v>TR-B</x:v>
      </x:c>
      <x:c r="E12" s="14" t="n">
        <x:f>COUNTIFS('Trial Results'!$C$7:$C$366,C12,'Trial Results'!$D$7:$D$366,D12,'Trial Results'!$S$7:$S$366,"PASS")</x:f>
        <x:v>0</x:v>
      </x:c>
      <x:c r="F12" s="14" t="str">
        <x:f>IF(COUNTIFS('Trial Results'!$C$7:$C$366,C12,'Trial Results'!$D$7:$D$366,D12,'Trial Results'!$F$7:$F$366,"PTC-A",'Trial Results'!$S$7:$S$366,"PASS")=12,SUMIFS('Trial Results'!$P$7:$P$366,'Trial Results'!$C$7:$C$366,C12,'Trial Results'!$D$7:$D$366,D12,'Trial Results'!$F$7:$F$366,"PTC-A")/12,"")</x:f>
      </x:c>
      <x:c r="G12" s="14" t="str">
        <x:f>IF(COUNTIFS('Trial Results'!$C$7:$C$366,C12,'Trial Results'!$D$7:$D$366,D12,'Trial Results'!$F$7:$F$366,"PTC-B",'Trial Results'!$S$7:$S$366,"PASS")=12,SUMIFS('Trial Results'!$P$7:$P$366,'Trial Results'!$C$7:$C$366,C12,'Trial Results'!$D$7:$D$366,D12,'Trial Results'!$F$7:$F$366,"PTC-B")/12,"")</x:f>
      </x:c>
      <x:c r="H12" s="14" t="str">
        <x:f>IF(COUNTIFS('Trial Results'!$C$7:$C$366,C12,'Trial Results'!$D$7:$D$366,D12,'Trial Results'!$F$7:$F$366,"PTC-C",'Trial Results'!$S$7:$S$366,"PASS")=12,SUMIFS('Trial Results'!$P$7:$P$366,'Trial Results'!$C$7:$C$366,C12,'Trial Results'!$D$7:$D$366,D12,'Trial Results'!$F$7:$F$366,"PTC-C")/12,"")</x:f>
      </x:c>
      <x:c r="I12" s="14" t="str">
        <x:f>IF(COUNT(F12:H12)&lt;3,"",MAX(F12:H12)-MIN(F12:H12))</x:f>
      </x:c>
      <x:c r="J12" t="str"/>
      <x:c r="K12" t="str">
        <x:f>IF(J12=1,IF(AND(E12=36,I12&lt;=Controls!$D$57),"PASS","FAIL"),"OPEN")</x:f>
        <x:v>OPEN</x:v>
      </x:c>
    </x:row>
    <x:row r="13">
      <x:c r="B13" t="str">
        <x:v>AM-03-TR-A</x:v>
      </x:c>
      <x:c r="C13" t="str">
        <x:v>AM-03</x:v>
      </x:c>
      <x:c r="D13" t="str">
        <x:v>TR-A</x:v>
      </x:c>
      <x:c r="E13" s="14" t="n">
        <x:f>COUNTIFS('Trial Results'!$C$7:$C$366,C13,'Trial Results'!$D$7:$D$366,D13,'Trial Results'!$S$7:$S$366,"PASS")</x:f>
        <x:v>0</x:v>
      </x:c>
      <x:c r="F13" s="14" t="str">
        <x:f>IF(COUNTIFS('Trial Results'!$C$7:$C$366,C13,'Trial Results'!$D$7:$D$366,D13,'Trial Results'!$F$7:$F$366,"PTC-A",'Trial Results'!$S$7:$S$366,"PASS")=12,SUMIFS('Trial Results'!$P$7:$P$366,'Trial Results'!$C$7:$C$366,C13,'Trial Results'!$D$7:$D$366,D13,'Trial Results'!$F$7:$F$366,"PTC-A")/12,"")</x:f>
      </x:c>
      <x:c r="G13" s="14" t="str">
        <x:f>IF(COUNTIFS('Trial Results'!$C$7:$C$366,C13,'Trial Results'!$D$7:$D$366,D13,'Trial Results'!$F$7:$F$366,"PTC-B",'Trial Results'!$S$7:$S$366,"PASS")=12,SUMIFS('Trial Results'!$P$7:$P$366,'Trial Results'!$C$7:$C$366,C13,'Trial Results'!$D$7:$D$366,D13,'Trial Results'!$F$7:$F$366,"PTC-B")/12,"")</x:f>
      </x:c>
      <x:c r="H13" s="14" t="str">
        <x:f>IF(COUNTIFS('Trial Results'!$C$7:$C$366,C13,'Trial Results'!$D$7:$D$366,D13,'Trial Results'!$F$7:$F$366,"PTC-C",'Trial Results'!$S$7:$S$366,"PASS")=12,SUMIFS('Trial Results'!$P$7:$P$366,'Trial Results'!$C$7:$C$366,C13,'Trial Results'!$D$7:$D$366,D13,'Trial Results'!$F$7:$F$366,"PTC-C")/12,"")</x:f>
      </x:c>
      <x:c r="I13" s="14" t="str">
        <x:f>IF(COUNT(F13:H13)&lt;3,"",MAX(F13:H13)-MIN(F13:H13))</x:f>
      </x:c>
      <x:c r="J13" t="str"/>
      <x:c r="K13" t="str">
        <x:f>IF(J13=1,IF(AND(E13=36,I13&lt;=Controls!$D$57),"PASS","FAIL"),"OPEN")</x:f>
        <x:v>OPEN</x:v>
      </x:c>
    </x:row>
    <x:row r="14">
      <x:c r="B14" t="str">
        <x:v>AM-03-TR-B</x:v>
      </x:c>
      <x:c r="C14" t="str">
        <x:v>AM-03</x:v>
      </x:c>
      <x:c r="D14" t="str">
        <x:v>TR-B</x:v>
      </x:c>
      <x:c r="E14" s="14" t="n">
        <x:f>COUNTIFS('Trial Results'!$C$7:$C$366,C14,'Trial Results'!$D$7:$D$366,D14,'Trial Results'!$S$7:$S$366,"PASS")</x:f>
        <x:v>0</x:v>
      </x:c>
      <x:c r="F14" s="14" t="str">
        <x:f>IF(COUNTIFS('Trial Results'!$C$7:$C$366,C14,'Trial Results'!$D$7:$D$366,D14,'Trial Results'!$F$7:$F$366,"PTC-A",'Trial Results'!$S$7:$S$366,"PASS")=12,SUMIFS('Trial Results'!$P$7:$P$366,'Trial Results'!$C$7:$C$366,C14,'Trial Results'!$D$7:$D$366,D14,'Trial Results'!$F$7:$F$366,"PTC-A")/12,"")</x:f>
      </x:c>
      <x:c r="G14" s="14" t="str">
        <x:f>IF(COUNTIFS('Trial Results'!$C$7:$C$366,C14,'Trial Results'!$D$7:$D$366,D14,'Trial Results'!$F$7:$F$366,"PTC-B",'Trial Results'!$S$7:$S$366,"PASS")=12,SUMIFS('Trial Results'!$P$7:$P$366,'Trial Results'!$C$7:$C$366,C14,'Trial Results'!$D$7:$D$366,D14,'Trial Results'!$F$7:$F$366,"PTC-B")/12,"")</x:f>
      </x:c>
      <x:c r="H14" s="14" t="str">
        <x:f>IF(COUNTIFS('Trial Results'!$C$7:$C$366,C14,'Trial Results'!$D$7:$D$366,D14,'Trial Results'!$F$7:$F$366,"PTC-C",'Trial Results'!$S$7:$S$366,"PASS")=12,SUMIFS('Trial Results'!$P$7:$P$366,'Trial Results'!$C$7:$C$366,C14,'Trial Results'!$D$7:$D$366,D14,'Trial Results'!$F$7:$F$366,"PTC-C")/12,"")</x:f>
      </x:c>
      <x:c r="I14" s="14" t="str">
        <x:f>IF(COUNT(F14:H14)&lt;3,"",MAX(F14:H14)-MIN(F14:H14))</x:f>
      </x:c>
      <x:c r="J14" t="str"/>
      <x:c r="K14" t="str">
        <x:f>IF(J14=1,IF(AND(E14=36,I14&lt;=Controls!$D$57),"PASS","FAIL"),"OPEN")</x:f>
        <x:v>OPEN</x:v>
      </x:c>
    </x:row>
    <x:row r="15">
      <x:c r="B15" t="str">
        <x:v>AM-04-TR-A</x:v>
      </x:c>
      <x:c r="C15" t="str">
        <x:v>AM-04</x:v>
      </x:c>
      <x:c r="D15" t="str">
        <x:v>TR-A</x:v>
      </x:c>
      <x:c r="E15" s="14" t="n">
        <x:f>COUNTIFS('Trial Results'!$C$7:$C$366,C15,'Trial Results'!$D$7:$D$366,D15,'Trial Results'!$S$7:$S$366,"PASS")</x:f>
        <x:v>0</x:v>
      </x:c>
      <x:c r="F15" s="14" t="str">
        <x:f>IF(COUNTIFS('Trial Results'!$C$7:$C$366,C15,'Trial Results'!$D$7:$D$366,D15,'Trial Results'!$F$7:$F$366,"PTC-A",'Trial Results'!$S$7:$S$366,"PASS")=12,SUMIFS('Trial Results'!$P$7:$P$366,'Trial Results'!$C$7:$C$366,C15,'Trial Results'!$D$7:$D$366,D15,'Trial Results'!$F$7:$F$366,"PTC-A")/12,"")</x:f>
      </x:c>
      <x:c r="G15" s="14" t="str">
        <x:f>IF(COUNTIFS('Trial Results'!$C$7:$C$366,C15,'Trial Results'!$D$7:$D$366,D15,'Trial Results'!$F$7:$F$366,"PTC-B",'Trial Results'!$S$7:$S$366,"PASS")=12,SUMIFS('Trial Results'!$P$7:$P$366,'Trial Results'!$C$7:$C$366,C15,'Trial Results'!$D$7:$D$366,D15,'Trial Results'!$F$7:$F$366,"PTC-B")/12,"")</x:f>
      </x:c>
      <x:c r="H15" s="14" t="str">
        <x:f>IF(COUNTIFS('Trial Results'!$C$7:$C$366,C15,'Trial Results'!$D$7:$D$366,D15,'Trial Results'!$F$7:$F$366,"PTC-C",'Trial Results'!$S$7:$S$366,"PASS")=12,SUMIFS('Trial Results'!$P$7:$P$366,'Trial Results'!$C$7:$C$366,C15,'Trial Results'!$D$7:$D$366,D15,'Trial Results'!$F$7:$F$366,"PTC-C")/12,"")</x:f>
      </x:c>
      <x:c r="I15" s="14" t="str">
        <x:f>IF(COUNT(F15:H15)&lt;3,"",MAX(F15:H15)-MIN(F15:H15))</x:f>
      </x:c>
      <x:c r="J15" t="str"/>
      <x:c r="K15" t="str">
        <x:f>IF(J15=1,IF(AND(E15=36,I15&lt;=Controls!$D$57),"PASS","FAIL"),"OPEN")</x:f>
        <x:v>OPEN</x:v>
      </x:c>
    </x:row>
    <x:row r="16">
      <x:c r="B16" t="str">
        <x:v>AM-04-TR-B</x:v>
      </x:c>
      <x:c r="C16" t="str">
        <x:v>AM-04</x:v>
      </x:c>
      <x:c r="D16" t="str">
        <x:v>TR-B</x:v>
      </x:c>
      <x:c r="E16" s="14" t="n">
        <x:f>COUNTIFS('Trial Results'!$C$7:$C$366,C16,'Trial Results'!$D$7:$D$366,D16,'Trial Results'!$S$7:$S$366,"PASS")</x:f>
        <x:v>0</x:v>
      </x:c>
      <x:c r="F16" s="14" t="str">
        <x:f>IF(COUNTIFS('Trial Results'!$C$7:$C$366,C16,'Trial Results'!$D$7:$D$366,D16,'Trial Results'!$F$7:$F$366,"PTC-A",'Trial Results'!$S$7:$S$366,"PASS")=12,SUMIFS('Trial Results'!$P$7:$P$366,'Trial Results'!$C$7:$C$366,C16,'Trial Results'!$D$7:$D$366,D16,'Trial Results'!$F$7:$F$366,"PTC-A")/12,"")</x:f>
      </x:c>
      <x:c r="G16" s="14" t="str">
        <x:f>IF(COUNTIFS('Trial Results'!$C$7:$C$366,C16,'Trial Results'!$D$7:$D$366,D16,'Trial Results'!$F$7:$F$366,"PTC-B",'Trial Results'!$S$7:$S$366,"PASS")=12,SUMIFS('Trial Results'!$P$7:$P$366,'Trial Results'!$C$7:$C$366,C16,'Trial Results'!$D$7:$D$366,D16,'Trial Results'!$F$7:$F$366,"PTC-B")/12,"")</x:f>
      </x:c>
      <x:c r="H16" s="14" t="str">
        <x:f>IF(COUNTIFS('Trial Results'!$C$7:$C$366,C16,'Trial Results'!$D$7:$D$366,D16,'Trial Results'!$F$7:$F$366,"PTC-C",'Trial Results'!$S$7:$S$366,"PASS")=12,SUMIFS('Trial Results'!$P$7:$P$366,'Trial Results'!$C$7:$C$366,C16,'Trial Results'!$D$7:$D$366,D16,'Trial Results'!$F$7:$F$366,"PTC-C")/12,"")</x:f>
      </x:c>
      <x:c r="I16" s="14" t="str">
        <x:f>IF(COUNT(F16:H16)&lt;3,"",MAX(F16:H16)-MIN(F16:H16))</x:f>
      </x:c>
      <x:c r="J16" t="str"/>
      <x:c r="K16" t="str">
        <x:f>IF(J16=1,IF(AND(E16=36,I16&lt;=Controls!$D$57),"PASS","FAIL"),"OPEN")</x:f>
        <x:v>OPEN</x:v>
      </x:c>
    </x:row>
  </x:sheetData>
  <x:conditionalFormatting sqref="K7:K16">
    <x:cfRule type="containsText" dxfId="144" priority="1" operator="containsText" text="FAIL"/>
    <x:cfRule type="containsText" dxfId="145" priority="2" operator="containsText" text="INVALID"/>
    <x:cfRule type="containsText" dxfId="146" priority="3" operator="containsText" text="BLOCKED"/>
    <x:cfRule type="containsText" dxfId="147" priority="4" operator="containsText" text="OPEN"/>
    <x:cfRule type="containsText" dxfId="148" priority="5" operator="containsText" text="GAP"/>
    <x:cfRule type="containsText" dxfId="149" priority="6" operator="containsText" text="DORMANT"/>
    <x:cfRule type="containsText" dxfId="150" priority="7" operator="containsText" text="PASS"/>
    <x:cfRule type="containsText" dxfId="151" priority="8" operator="containsText" text="VALI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2" hidden="0" customWidth="1"/>
    <x:col min="4" max="4" width="18" hidden="0" customWidth="1"/>
    <x:col min="5" max="5" width="19" hidden="0" customWidth="1"/>
    <x:col min="6" max="6" width="21" hidden="0" customWidth="1"/>
    <x:col min="7" max="7" width="20" hidden="0" customWidth="1"/>
    <x:col min="8" max="8" width="21" hidden="0" customWidth="1"/>
    <x:col min="9" max="9" width="24" hidden="0" customWidth="1"/>
    <x:col min="10" max="10" width="17" hidden="0" customWidth="1"/>
    <x:col min="11" max="11" width="14" hidden="0" customWidth="1"/>
  </x:cols>
  <x:sheetData>
    <x:row r="2">
      <x:c r="B2" s="1" t="str">
        <x:v>Five conjunctive method qualifications</x:v>
      </x:c>
    </x:row>
    <x:row r="3">
      <x:c r="B3" s="2" t="str">
        <x:v>A board cannot qualify a method until every credit and shared public function is accepted.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</x:v>
      </x:c>
      <x:c r="C6" s="7" t="str">
        <x:v>Trial result passes</x:v>
      </x:c>
      <x:c r="D6" s="7" t="str">
        <x:v>Rig agreements</x:v>
      </x:c>
      <x:c r="E6" s="7" t="str">
        <x:v>Truth equivalence</x:v>
      </x:c>
      <x:c r="F6" s="7" t="str">
        <x:v>Calibration passes</x:v>
      </x:c>
      <x:c r="G6" s="7" t="str">
        <x:v>Time-node passes</x:v>
      </x:c>
      <x:c r="H6" s="7" t="str">
        <x:v>Uncertainty passes</x:v>
      </x:c>
      <x:c r="I6" s="7" t="str">
        <x:v>Evidence-object passes</x:v>
      </x:c>
      <x:c r="J6" s="7" t="str">
        <x:v>Board accepted</x:v>
      </x:c>
      <x:c r="K6" s="7" t="str">
        <x:v>State</x:v>
      </x:c>
    </x:row>
    <x:row r="7">
      <x:c r="B7" t="str">
        <x:v>AM-00</x:v>
      </x:c>
      <x:c r="C7" t="n">
        <x:f>COUNTIFS('Trial Results'!$C$7:$C$366,B7,'Trial Results'!$S$7:$S$366,"PASS")</x:f>
        <x:v>0</x:v>
      </x:c>
      <x:c r="D7" t="n">
        <x:f>COUNTIFS(Agreement!$C$7:$C$36,B7,Agreement!$M$7:$M$36,"PASS")</x:f>
        <x:v>0</x:v>
      </x:c>
      <x:c r="E7" t="n">
        <x:f>COUNTIFS(Equivalence!$C$7:$C$16,B7,Equivalence!$K$7:$K$16,"PASS")</x:f>
        <x:v>0</x:v>
      </x:c>
      <x:c r="F7" t="n">
        <x:f>COUNTIFS(Calibration!$I$7:$I$54,"PASS")</x:f>
        <x:v>0</x:v>
      </x:c>
      <x:c r="G7" t="n">
        <x:f>COUNTIFS('Time Nodes'!$J$7:$J$30,"PASS")</x:f>
        <x:v>0</x:v>
      </x:c>
      <x:c r="H7" t="n">
        <x:f>COUNTIFS(Uncertainty!$L$7:$L$36,"PASS")</x:f>
        <x:v>0</x:v>
      </x:c>
      <x:c r="I7" t="n">
        <x:f>COUNTIFS('Evidence Objects'!$F$7:$F$18,"PASS")</x:f>
        <x:v>0</x:v>
      </x:c>
      <x:c r="J7" t="str"/>
      <x:c r="K7" t="str">
        <x:f>IF(J7=1,IF(AND(C7=Controls!$D$59,D7=6,E7=2,F7=48,G7=24,H7=30,I7=12),"PASS","FAIL"),"OPEN")</x:f>
        <x:v>OPEN</x:v>
      </x:c>
    </x:row>
    <x:row r="8">
      <x:c r="B8" t="str">
        <x:v>AM-01</x:v>
      </x:c>
      <x:c r="C8" t="n">
        <x:f>COUNTIFS('Trial Results'!$C$7:$C$366,B8,'Trial Results'!$S$7:$S$366,"PASS")</x:f>
        <x:v>0</x:v>
      </x:c>
      <x:c r="D8" t="n">
        <x:f>COUNTIFS(Agreement!$C$7:$C$36,B8,Agreement!$M$7:$M$36,"PASS")</x:f>
        <x:v>0</x:v>
      </x:c>
      <x:c r="E8" t="n">
        <x:f>COUNTIFS(Equivalence!$C$7:$C$16,B8,Equivalence!$K$7:$K$16,"PASS")</x:f>
        <x:v>0</x:v>
      </x:c>
      <x:c r="F8" t="n">
        <x:f>COUNTIFS(Calibration!$I$7:$I$54,"PASS")</x:f>
        <x:v>0</x:v>
      </x:c>
      <x:c r="G8" t="n">
        <x:f>COUNTIFS('Time Nodes'!$J$7:$J$30,"PASS")</x:f>
        <x:v>0</x:v>
      </x:c>
      <x:c r="H8" t="n">
        <x:f>COUNTIFS(Uncertainty!$L$7:$L$36,"PASS")</x:f>
        <x:v>0</x:v>
      </x:c>
      <x:c r="I8" t="n">
        <x:f>COUNTIFS('Evidence Objects'!$F$7:$F$18,"PASS")</x:f>
        <x:v>0</x:v>
      </x:c>
      <x:c r="J8" t="str"/>
      <x:c r="K8" t="str">
        <x:f>IF(J8=1,IF(AND(C8=Controls!$D$59,D8=6,E8=2,F8=48,G8=24,H8=30,I8=12),"PASS","FAIL"),"OPEN")</x:f>
        <x:v>OPEN</x:v>
      </x:c>
    </x:row>
    <x:row r="9">
      <x:c r="B9" t="str">
        <x:v>AM-02</x:v>
      </x:c>
      <x:c r="C9" t="n">
        <x:f>COUNTIFS('Trial Results'!$C$7:$C$366,B9,'Trial Results'!$S$7:$S$366,"PASS")</x:f>
        <x:v>0</x:v>
      </x:c>
      <x:c r="D9" t="n">
        <x:f>COUNTIFS(Agreement!$C$7:$C$36,B9,Agreement!$M$7:$M$36,"PASS")</x:f>
        <x:v>0</x:v>
      </x:c>
      <x:c r="E9" t="n">
        <x:f>COUNTIFS(Equivalence!$C$7:$C$16,B9,Equivalence!$K$7:$K$16,"PASS")</x:f>
        <x:v>0</x:v>
      </x:c>
      <x:c r="F9" t="n">
        <x:f>COUNTIFS(Calibration!$I$7:$I$54,"PASS")</x:f>
        <x:v>0</x:v>
      </x:c>
      <x:c r="G9" t="n">
        <x:f>COUNTIFS('Time Nodes'!$J$7:$J$30,"PASS")</x:f>
        <x:v>0</x:v>
      </x:c>
      <x:c r="H9" t="n">
        <x:f>COUNTIFS(Uncertainty!$L$7:$L$36,"PASS")</x:f>
        <x:v>0</x:v>
      </x:c>
      <x:c r="I9" t="n">
        <x:f>COUNTIFS('Evidence Objects'!$F$7:$F$18,"PASS")</x:f>
        <x:v>0</x:v>
      </x:c>
      <x:c r="J9" t="str"/>
      <x:c r="K9" t="str">
        <x:f>IF(J9=1,IF(AND(C9=Controls!$D$59,D9=6,E9=2,F9=48,G9=24,H9=30,I9=12),"PASS","FAIL"),"OPEN")</x:f>
        <x:v>OPEN</x:v>
      </x:c>
    </x:row>
    <x:row r="10">
      <x:c r="B10" t="str">
        <x:v>AM-03</x:v>
      </x:c>
      <x:c r="C10" t="n">
        <x:f>COUNTIFS('Trial Results'!$C$7:$C$366,B10,'Trial Results'!$S$7:$S$366,"PASS")</x:f>
        <x:v>0</x:v>
      </x:c>
      <x:c r="D10" t="n">
        <x:f>COUNTIFS(Agreement!$C$7:$C$36,B10,Agreement!$M$7:$M$36,"PASS")</x:f>
        <x:v>0</x:v>
      </x:c>
      <x:c r="E10" t="n">
        <x:f>COUNTIFS(Equivalence!$C$7:$C$16,B10,Equivalence!$K$7:$K$16,"PASS")</x:f>
        <x:v>0</x:v>
      </x:c>
      <x:c r="F10" t="n">
        <x:f>COUNTIFS(Calibration!$I$7:$I$54,"PASS")</x:f>
        <x:v>0</x:v>
      </x:c>
      <x:c r="G10" t="n">
        <x:f>COUNTIFS('Time Nodes'!$J$7:$J$30,"PASS")</x:f>
        <x:v>0</x:v>
      </x:c>
      <x:c r="H10" t="n">
        <x:f>COUNTIFS(Uncertainty!$L$7:$L$36,"PASS")</x:f>
        <x:v>0</x:v>
      </x:c>
      <x:c r="I10" t="n">
        <x:f>COUNTIFS('Evidence Objects'!$F$7:$F$18,"PASS")</x:f>
        <x:v>0</x:v>
      </x:c>
      <x:c r="J10" t="str"/>
      <x:c r="K10" t="str">
        <x:f>IF(J10=1,IF(AND(C10=Controls!$D$59,D10=6,E10=2,F10=48,G10=24,H10=30,I10=12),"PASS","FAIL"),"OPEN")</x:f>
        <x:v>OPEN</x:v>
      </x:c>
    </x:row>
    <x:row r="11">
      <x:c r="B11" t="str">
        <x:v>AM-04</x:v>
      </x:c>
      <x:c r="C11" t="n">
        <x:f>COUNTIFS('Trial Results'!$C$7:$C$366,B11,'Trial Results'!$S$7:$S$366,"PASS")</x:f>
        <x:v>0</x:v>
      </x:c>
      <x:c r="D11" t="n">
        <x:f>COUNTIFS(Agreement!$C$7:$C$36,B11,Agreement!$M$7:$M$36,"PASS")</x:f>
        <x:v>0</x:v>
      </x:c>
      <x:c r="E11" t="n">
        <x:f>COUNTIFS(Equivalence!$C$7:$C$16,B11,Equivalence!$K$7:$K$16,"PASS")</x:f>
        <x:v>0</x:v>
      </x:c>
      <x:c r="F11" t="n">
        <x:f>COUNTIFS(Calibration!$I$7:$I$54,"PASS")</x:f>
        <x:v>0</x:v>
      </x:c>
      <x:c r="G11" t="n">
        <x:f>COUNTIFS('Time Nodes'!$J$7:$J$30,"PASS")</x:f>
        <x:v>0</x:v>
      </x:c>
      <x:c r="H11" t="n">
        <x:f>COUNTIFS(Uncertainty!$L$7:$L$36,"PASS")</x:f>
        <x:v>0</x:v>
      </x:c>
      <x:c r="I11" t="n">
        <x:f>COUNTIFS('Evidence Objects'!$F$7:$F$18,"PASS")</x:f>
        <x:v>0</x:v>
      </x:c>
      <x:c r="J11" t="str"/>
      <x:c r="K11" t="str">
        <x:f>IF(J11=1,IF(AND(C11=Controls!$D$59,D11=6,E11=2,F11=48,G11=24,H11=30,I11=12),"PASS","FAIL"),"OPEN")</x:f>
        <x:v>OPEN</x:v>
      </x:c>
    </x:row>
  </x:sheetData>
  <x:conditionalFormatting sqref="K7:K11">
    <x:cfRule type="containsText" dxfId="152" priority="1" operator="containsText" text="FAIL"/>
    <x:cfRule type="containsText" dxfId="153" priority="2" operator="containsText" text="INVALID"/>
    <x:cfRule type="containsText" dxfId="154" priority="3" operator="containsText" text="BLOCKED"/>
    <x:cfRule type="containsText" dxfId="155" priority="4" operator="containsText" text="OPEN"/>
    <x:cfRule type="containsText" dxfId="156" priority="5" operator="containsText" text="GAP"/>
    <x:cfRule type="containsText" dxfId="157" priority="6" operator="containsText" text="DORMANT"/>
    <x:cfRule type="containsText" dxfId="158" priority="7" operator="containsText" text="PASS"/>
    <x:cfRule type="containsText" dxfId="159" priority="8" operator="containsText" text="VALI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5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21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15" hidden="0" customWidth="1"/>
    <x:col min="14" max="14" width="14" hidden="0" customWidth="1"/>
  </x:cols>
  <x:sheetData>
    <x:row r="2">
      <x:c r="B2" s="1" t="str">
        <x:v>Sixty outside-origin replay decisions</x:v>
      </x:c>
    </x:row>
    <x:row r="3">
      <x:c r="B3" s="2" t="str">
        <x:v>The receiving campus reconstructs truth, uncertainty and disposition without an origin-site service.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Replay</x:v>
      </x:c>
      <x:c r="C6" s="7" t="str">
        <x:v>Trial</x:v>
      </x:c>
      <x:c r="D6" s="7" t="str">
        <x:v>Method</x:v>
      </x:c>
      <x:c r="E6" s="7" t="str">
        <x:v>Origin</x:v>
      </x:c>
      <x:c r="F6" s="7" t="str">
        <x:v>Receiver</x:v>
      </x:c>
      <x:c r="G6" s="7" t="str">
        <x:v>Truth root</x:v>
      </x:c>
      <x:c r="H6" s="7" t="str">
        <x:v>Received UTC</x:v>
      </x:c>
      <x:c r="I6" s="7" t="str">
        <x:v>Origin result</x:v>
      </x:c>
      <x:c r="J6" s="7" t="str">
        <x:v>Remote result</x:v>
      </x:c>
      <x:c r="K6" s="7" t="str">
        <x:v>Agreement</x:v>
      </x:c>
      <x:c r="L6" s="7" t="str">
        <x:v>Required</x:v>
      </x:c>
      <x:c r="M6" s="7" t="str">
        <x:v>Accepted</x:v>
      </x:c>
      <x:c r="N6" s="7" t="str">
        <x:v>State</x:v>
      </x:c>
    </x:row>
    <x:row r="7">
      <x:c r="B7" t="str">
        <x:v>RAW-RP-01</x:v>
      </x:c>
      <x:c r="C7" t="str">
        <x:v>RAW-E006</x:v>
      </x:c>
      <x:c r="D7" t="str">
        <x:v>AM-00</x:v>
      </x:c>
      <x:c r="E7" t="str">
        <x:v>PTC-A</x:v>
      </x:c>
      <x:c r="F7" t="str">
        <x:v>PTC-B</x:v>
      </x:c>
      <x:c r="G7" t="str">
        <x:v>TR-A</x:v>
      </x:c>
      <x:c r="H7" t="str"/>
      <x:c r="I7" t="str"/>
      <x:c r="J7" t="str"/>
      <x:c r="K7" t="str">
        <x:f>IF(OR(I7="",J7=""),"",IF(I7=J7,1,0))</x:f>
      </x:c>
      <x:c r="L7" t="n">
        <x:f>Controls!$D$56</x:f>
        <x:v>0.99</x:v>
      </x:c>
      <x:c r="M7" t="str"/>
      <x:c r="N7" t="str">
        <x:f>IF(M7=1,IF(K7&gt;=L7,"PASS","FAIL"),"OPEN")</x:f>
        <x:v>OPEN</x:v>
      </x:c>
    </x:row>
    <x:row r="8">
      <x:c r="B8" t="str">
        <x:v>RAW-RP-02</x:v>
      </x:c>
      <x:c r="C8" t="str">
        <x:v>RAW-E012</x:v>
      </x:c>
      <x:c r="D8" t="str">
        <x:v>AM-00</x:v>
      </x:c>
      <x:c r="E8" t="str">
        <x:v>PTC-A</x:v>
      </x:c>
      <x:c r="F8" t="str">
        <x:v>PTC-B</x:v>
      </x:c>
      <x:c r="G8" t="str">
        <x:v>TR-B</x:v>
      </x:c>
      <x:c r="H8" t="str"/>
      <x:c r="I8" t="str"/>
      <x:c r="J8" t="str"/>
      <x:c r="K8" t="str">
        <x:f>IF(OR(I8="",J8=""),"",IF(I8=J8,1,0))</x:f>
      </x:c>
      <x:c r="L8" t="n">
        <x:f>Controls!$D$56</x:f>
        <x:v>0.99</x:v>
      </x:c>
      <x:c r="M8" t="str"/>
      <x:c r="N8" t="str">
        <x:f>IF(M8=1,IF(K8&gt;=L8,"PASS","FAIL"),"OPEN")</x:f>
        <x:v>OPEN</x:v>
      </x:c>
    </x:row>
    <x:row r="9">
      <x:c r="B9" t="str">
        <x:v>RAW-RP-03</x:v>
      </x:c>
      <x:c r="C9" t="str">
        <x:v>RAW-E018</x:v>
      </x:c>
      <x:c r="D9" t="str">
        <x:v>AM-00</x:v>
      </x:c>
      <x:c r="E9" t="str">
        <x:v>PTC-A</x:v>
      </x:c>
      <x:c r="F9" t="str">
        <x:v>PTC-B</x:v>
      </x:c>
      <x:c r="G9" t="str">
        <x:v>TR-A</x:v>
      </x:c>
      <x:c r="H9" t="str"/>
      <x:c r="I9" t="str"/>
      <x:c r="J9" t="str"/>
      <x:c r="K9" t="str">
        <x:f>IF(OR(I9="",J9=""),"",IF(I9=J9,1,0))</x:f>
      </x:c>
      <x:c r="L9" t="n">
        <x:f>Controls!$D$56</x:f>
        <x:v>0.99</x:v>
      </x:c>
      <x:c r="M9" t="str"/>
      <x:c r="N9" t="str">
        <x:f>IF(M9=1,IF(K9&gt;=L9,"PASS","FAIL"),"OPEN")</x:f>
        <x:v>OPEN</x:v>
      </x:c>
    </x:row>
    <x:row r="10">
      <x:c r="B10" t="str">
        <x:v>RAW-RP-04</x:v>
      </x:c>
      <x:c r="C10" t="str">
        <x:v>RAW-E024</x:v>
      </x:c>
      <x:c r="D10" t="str">
        <x:v>AM-00</x:v>
      </x:c>
      <x:c r="E10" t="str">
        <x:v>PTC-A</x:v>
      </x:c>
      <x:c r="F10" t="str">
        <x:v>PTC-B</x:v>
      </x:c>
      <x:c r="G10" t="str">
        <x:v>TR-B</x:v>
      </x:c>
      <x:c r="H10" t="str"/>
      <x:c r="I10" t="str"/>
      <x:c r="J10" t="str"/>
      <x:c r="K10" t="str">
        <x:f>IF(OR(I10="",J10=""),"",IF(I10=J10,1,0))</x:f>
      </x:c>
      <x:c r="L10" t="n">
        <x:f>Controls!$D$56</x:f>
        <x:v>0.99</x:v>
      </x:c>
      <x:c r="M10" t="str"/>
      <x:c r="N10" t="str">
        <x:f>IF(M10=1,IF(K10&gt;=L10,"PASS","FAIL"),"OPEN")</x:f>
        <x:v>OPEN</x:v>
      </x:c>
    </x:row>
    <x:row r="11">
      <x:c r="B11" t="str">
        <x:v>RAW-RP-05</x:v>
      </x:c>
      <x:c r="C11" t="str">
        <x:v>RAW-E030</x:v>
      </x:c>
      <x:c r="D11" t="str">
        <x:v>AM-00</x:v>
      </x:c>
      <x:c r="E11" t="str">
        <x:v>PTC-B</x:v>
      </x:c>
      <x:c r="F11" t="str">
        <x:v>PTC-C</x:v>
      </x:c>
      <x:c r="G11" t="str">
        <x:v>TR-A</x:v>
      </x:c>
      <x:c r="H11" t="str"/>
      <x:c r="I11" t="str"/>
      <x:c r="J11" t="str"/>
      <x:c r="K11" t="str">
        <x:f>IF(OR(I11="",J11=""),"",IF(I11=J11,1,0))</x:f>
      </x:c>
      <x:c r="L11" t="n">
        <x:f>Controls!$D$56</x:f>
        <x:v>0.99</x:v>
      </x:c>
      <x:c r="M11" t="str"/>
      <x:c r="N11" t="str">
        <x:f>IF(M11=1,IF(K11&gt;=L11,"PASS","FAIL"),"OPEN")</x:f>
        <x:v>OPEN</x:v>
      </x:c>
    </x:row>
    <x:row r="12">
      <x:c r="B12" t="str">
        <x:v>RAW-RP-06</x:v>
      </x:c>
      <x:c r="C12" t="str">
        <x:v>RAW-E036</x:v>
      </x:c>
      <x:c r="D12" t="str">
        <x:v>AM-00</x:v>
      </x:c>
      <x:c r="E12" t="str">
        <x:v>PTC-B</x:v>
      </x:c>
      <x:c r="F12" t="str">
        <x:v>PTC-C</x:v>
      </x:c>
      <x:c r="G12" t="str">
        <x:v>TR-B</x:v>
      </x:c>
      <x:c r="H12" t="str"/>
      <x:c r="I12" t="str"/>
      <x:c r="J12" t="str"/>
      <x:c r="K12" t="str">
        <x:f>IF(OR(I12="",J12=""),"",IF(I12=J12,1,0))</x:f>
      </x:c>
      <x:c r="L12" t="n">
        <x:f>Controls!$D$56</x:f>
        <x:v>0.99</x:v>
      </x:c>
      <x:c r="M12" t="str"/>
      <x:c r="N12" t="str">
        <x:f>IF(M12=1,IF(K12&gt;=L12,"PASS","FAIL"),"OPEN")</x:f>
        <x:v>OPEN</x:v>
      </x:c>
    </x:row>
    <x:row r="13">
      <x:c r="B13" t="str">
        <x:v>RAW-RP-07</x:v>
      </x:c>
      <x:c r="C13" t="str">
        <x:v>RAW-E042</x:v>
      </x:c>
      <x:c r="D13" t="str">
        <x:v>AM-00</x:v>
      </x:c>
      <x:c r="E13" t="str">
        <x:v>PTC-B</x:v>
      </x:c>
      <x:c r="F13" t="str">
        <x:v>PTC-C</x:v>
      </x:c>
      <x:c r="G13" t="str">
        <x:v>TR-A</x:v>
      </x:c>
      <x:c r="H13" t="str"/>
      <x:c r="I13" t="str"/>
      <x:c r="J13" t="str"/>
      <x:c r="K13" t="str">
        <x:f>IF(OR(I13="",J13=""),"",IF(I13=J13,1,0))</x:f>
      </x:c>
      <x:c r="L13" t="n">
        <x:f>Controls!$D$56</x:f>
        <x:v>0.99</x:v>
      </x:c>
      <x:c r="M13" t="str"/>
      <x:c r="N13" t="str">
        <x:f>IF(M13=1,IF(K13&gt;=L13,"PASS","FAIL"),"OPEN")</x:f>
        <x:v>OPEN</x:v>
      </x:c>
    </x:row>
    <x:row r="14">
      <x:c r="B14" t="str">
        <x:v>RAW-RP-08</x:v>
      </x:c>
      <x:c r="C14" t="str">
        <x:v>RAW-E048</x:v>
      </x:c>
      <x:c r="D14" t="str">
        <x:v>AM-00</x:v>
      </x:c>
      <x:c r="E14" t="str">
        <x:v>PTC-B</x:v>
      </x:c>
      <x:c r="F14" t="str">
        <x:v>PTC-C</x:v>
      </x:c>
      <x:c r="G14" t="str">
        <x:v>TR-B</x:v>
      </x:c>
      <x:c r="H14" t="str"/>
      <x:c r="I14" t="str"/>
      <x:c r="J14" t="str"/>
      <x:c r="K14" t="str">
        <x:f>IF(OR(I14="",J14=""),"",IF(I14=J14,1,0))</x:f>
      </x:c>
      <x:c r="L14" t="n">
        <x:f>Controls!$D$56</x:f>
        <x:v>0.99</x:v>
      </x:c>
      <x:c r="M14" t="str"/>
      <x:c r="N14" t="str">
        <x:f>IF(M14=1,IF(K14&gt;=L14,"PASS","FAIL"),"OPEN")</x:f>
        <x:v>OPEN</x:v>
      </x:c>
    </x:row>
    <x:row r="15">
      <x:c r="B15" t="str">
        <x:v>RAW-RP-09</x:v>
      </x:c>
      <x:c r="C15" t="str">
        <x:v>RAW-E054</x:v>
      </x:c>
      <x:c r="D15" t="str">
        <x:v>AM-00</x:v>
      </x:c>
      <x:c r="E15" t="str">
        <x:v>PTC-C</x:v>
      </x:c>
      <x:c r="F15" t="str">
        <x:v>PTC-B</x:v>
      </x:c>
      <x:c r="G15" t="str">
        <x:v>TR-A</x:v>
      </x:c>
      <x:c r="H15" t="str"/>
      <x:c r="I15" t="str"/>
      <x:c r="J15" t="str"/>
      <x:c r="K15" t="str">
        <x:f>IF(OR(I15="",J15=""),"",IF(I15=J15,1,0))</x:f>
      </x:c>
      <x:c r="L15" t="n">
        <x:f>Controls!$D$56</x:f>
        <x:v>0.99</x:v>
      </x:c>
      <x:c r="M15" t="str"/>
      <x:c r="N15" t="str">
        <x:f>IF(M15=1,IF(K15&gt;=L15,"PASS","FAIL"),"OPEN")</x:f>
        <x:v>OPEN</x:v>
      </x:c>
    </x:row>
    <x:row r="16">
      <x:c r="B16" t="str">
        <x:v>RAW-RP-10</x:v>
      </x:c>
      <x:c r="C16" t="str">
        <x:v>RAW-E060</x:v>
      </x:c>
      <x:c r="D16" t="str">
        <x:v>AM-00</x:v>
      </x:c>
      <x:c r="E16" t="str">
        <x:v>PTC-C</x:v>
      </x:c>
      <x:c r="F16" t="str">
        <x:v>PTC-B</x:v>
      </x:c>
      <x:c r="G16" t="str">
        <x:v>TR-B</x:v>
      </x:c>
      <x:c r="H16" t="str"/>
      <x:c r="I16" t="str"/>
      <x:c r="J16" t="str"/>
      <x:c r="K16" t="str">
        <x:f>IF(OR(I16="",J16=""),"",IF(I16=J16,1,0))</x:f>
      </x:c>
      <x:c r="L16" t="n">
        <x:f>Controls!$D$56</x:f>
        <x:v>0.99</x:v>
      </x:c>
      <x:c r="M16" t="str"/>
      <x:c r="N16" t="str">
        <x:f>IF(M16=1,IF(K16&gt;=L16,"PASS","FAIL"),"OPEN")</x:f>
        <x:v>OPEN</x:v>
      </x:c>
    </x:row>
    <x:row r="17">
      <x:c r="B17" t="str">
        <x:v>RAW-RP-11</x:v>
      </x:c>
      <x:c r="C17" t="str">
        <x:v>RAW-E066</x:v>
      </x:c>
      <x:c r="D17" t="str">
        <x:v>AM-00</x:v>
      </x:c>
      <x:c r="E17" t="str">
        <x:v>PTC-C</x:v>
      </x:c>
      <x:c r="F17" t="str">
        <x:v>PTC-B</x:v>
      </x:c>
      <x:c r="G17" t="str">
        <x:v>TR-A</x:v>
      </x:c>
      <x:c r="H17" t="str"/>
      <x:c r="I17" t="str"/>
      <x:c r="J17" t="str"/>
      <x:c r="K17" t="str">
        <x:f>IF(OR(I17="",J17=""),"",IF(I17=J17,1,0))</x:f>
      </x:c>
      <x:c r="L17" t="n">
        <x:f>Controls!$D$56</x:f>
        <x:v>0.99</x:v>
      </x:c>
      <x:c r="M17" t="str"/>
      <x:c r="N17" t="str">
        <x:f>IF(M17=1,IF(K17&gt;=L17,"PASS","FAIL"),"OPEN")</x:f>
        <x:v>OPEN</x:v>
      </x:c>
    </x:row>
    <x:row r="18">
      <x:c r="B18" t="str">
        <x:v>RAW-RP-12</x:v>
      </x:c>
      <x:c r="C18" t="str">
        <x:v>RAW-E072</x:v>
      </x:c>
      <x:c r="D18" t="str">
        <x:v>AM-00</x:v>
      </x:c>
      <x:c r="E18" t="str">
        <x:v>PTC-C</x:v>
      </x:c>
      <x:c r="F18" t="str">
        <x:v>PTC-B</x:v>
      </x:c>
      <x:c r="G18" t="str">
        <x:v>TR-B</x:v>
      </x:c>
      <x:c r="H18" t="str"/>
      <x:c r="I18" t="str"/>
      <x:c r="J18" t="str"/>
      <x:c r="K18" t="str">
        <x:f>IF(OR(I18="",J18=""),"",IF(I18=J18,1,0))</x:f>
      </x:c>
      <x:c r="L18" t="n">
        <x:f>Controls!$D$56</x:f>
        <x:v>0.99</x:v>
      </x:c>
      <x:c r="M18" t="str"/>
      <x:c r="N18" t="str">
        <x:f>IF(M18=1,IF(K18&gt;=L18,"PASS","FAIL"),"OPEN")</x:f>
        <x:v>OPEN</x:v>
      </x:c>
    </x:row>
    <x:row r="19">
      <x:c r="B19" t="str">
        <x:v>RAW-RP-13</x:v>
      </x:c>
      <x:c r="C19" t="str">
        <x:v>RAW-E078</x:v>
      </x:c>
      <x:c r="D19" t="str">
        <x:v>AM-01</x:v>
      </x:c>
      <x:c r="E19" t="str">
        <x:v>PTC-A</x:v>
      </x:c>
      <x:c r="F19" t="str">
        <x:v>PTC-B</x:v>
      </x:c>
      <x:c r="G19" t="str">
        <x:v>TR-A</x:v>
      </x:c>
      <x:c r="H19" t="str"/>
      <x:c r="I19" t="str"/>
      <x:c r="J19" t="str"/>
      <x:c r="K19" t="str">
        <x:f>IF(OR(I19="",J19=""),"",IF(I19=J19,1,0))</x:f>
      </x:c>
      <x:c r="L19" t="n">
        <x:f>Controls!$D$56</x:f>
        <x:v>0.99</x:v>
      </x:c>
      <x:c r="M19" t="str"/>
      <x:c r="N19" t="str">
        <x:f>IF(M19=1,IF(K19&gt;=L19,"PASS","FAIL"),"OPEN")</x:f>
        <x:v>OPEN</x:v>
      </x:c>
    </x:row>
    <x:row r="20">
      <x:c r="B20" t="str">
        <x:v>RAW-RP-14</x:v>
      </x:c>
      <x:c r="C20" t="str">
        <x:v>RAW-E084</x:v>
      </x:c>
      <x:c r="D20" t="str">
        <x:v>AM-01</x:v>
      </x:c>
      <x:c r="E20" t="str">
        <x:v>PTC-A</x:v>
      </x:c>
      <x:c r="F20" t="str">
        <x:v>PTC-B</x:v>
      </x:c>
      <x:c r="G20" t="str">
        <x:v>TR-B</x:v>
      </x:c>
      <x:c r="H20" t="str"/>
      <x:c r="I20" t="str"/>
      <x:c r="J20" t="str"/>
      <x:c r="K20" t="str">
        <x:f>IF(OR(I20="",J20=""),"",IF(I20=J20,1,0))</x:f>
      </x:c>
      <x:c r="L20" t="n">
        <x:f>Controls!$D$56</x:f>
        <x:v>0.99</x:v>
      </x:c>
      <x:c r="M20" t="str"/>
      <x:c r="N20" t="str">
        <x:f>IF(M20=1,IF(K20&gt;=L20,"PASS","FAIL"),"OPEN")</x:f>
        <x:v>OPEN</x:v>
      </x:c>
    </x:row>
    <x:row r="21">
      <x:c r="B21" t="str">
        <x:v>RAW-RP-15</x:v>
      </x:c>
      <x:c r="C21" t="str">
        <x:v>RAW-E090</x:v>
      </x:c>
      <x:c r="D21" t="str">
        <x:v>AM-01</x:v>
      </x:c>
      <x:c r="E21" t="str">
        <x:v>PTC-A</x:v>
      </x:c>
      <x:c r="F21" t="str">
        <x:v>PTC-B</x:v>
      </x:c>
      <x:c r="G21" t="str">
        <x:v>TR-A</x:v>
      </x:c>
      <x:c r="H21" t="str"/>
      <x:c r="I21" t="str"/>
      <x:c r="J21" t="str"/>
      <x:c r="K21" t="str">
        <x:f>IF(OR(I21="",J21=""),"",IF(I21=J21,1,0))</x:f>
      </x:c>
      <x:c r="L21" t="n">
        <x:f>Controls!$D$56</x:f>
        <x:v>0.99</x:v>
      </x:c>
      <x:c r="M21" t="str"/>
      <x:c r="N21" t="str">
        <x:f>IF(M21=1,IF(K21&gt;=L21,"PASS","FAIL"),"OPEN")</x:f>
        <x:v>OPEN</x:v>
      </x:c>
    </x:row>
    <x:row r="22">
      <x:c r="B22" t="str">
        <x:v>RAW-RP-16</x:v>
      </x:c>
      <x:c r="C22" t="str">
        <x:v>RAW-E096</x:v>
      </x:c>
      <x:c r="D22" t="str">
        <x:v>AM-01</x:v>
      </x:c>
      <x:c r="E22" t="str">
        <x:v>PTC-A</x:v>
      </x:c>
      <x:c r="F22" t="str">
        <x:v>PTC-B</x:v>
      </x:c>
      <x:c r="G22" t="str">
        <x:v>TR-B</x:v>
      </x:c>
      <x:c r="H22" t="str"/>
      <x:c r="I22" t="str"/>
      <x:c r="J22" t="str"/>
      <x:c r="K22" t="str">
        <x:f>IF(OR(I22="",J22=""),"",IF(I22=J22,1,0))</x:f>
      </x:c>
      <x:c r="L22" t="n">
        <x:f>Controls!$D$56</x:f>
        <x:v>0.99</x:v>
      </x:c>
      <x:c r="M22" t="str"/>
      <x:c r="N22" t="str">
        <x:f>IF(M22=1,IF(K22&gt;=L22,"PASS","FAIL"),"OPEN")</x:f>
        <x:v>OPEN</x:v>
      </x:c>
    </x:row>
    <x:row r="23">
      <x:c r="B23" t="str">
        <x:v>RAW-RP-17</x:v>
      </x:c>
      <x:c r="C23" t="str">
        <x:v>RAW-E102</x:v>
      </x:c>
      <x:c r="D23" t="str">
        <x:v>AM-01</x:v>
      </x:c>
      <x:c r="E23" t="str">
        <x:v>PTC-B</x:v>
      </x:c>
      <x:c r="F23" t="str">
        <x:v>PTC-C</x:v>
      </x:c>
      <x:c r="G23" t="str">
        <x:v>TR-A</x:v>
      </x:c>
      <x:c r="H23" t="str"/>
      <x:c r="I23" t="str"/>
      <x:c r="J23" t="str"/>
      <x:c r="K23" t="str">
        <x:f>IF(OR(I23="",J23=""),"",IF(I23=J23,1,0))</x:f>
      </x:c>
      <x:c r="L23" t="n">
        <x:f>Controls!$D$56</x:f>
        <x:v>0.99</x:v>
      </x:c>
      <x:c r="M23" t="str"/>
      <x:c r="N23" t="str">
        <x:f>IF(M23=1,IF(K23&gt;=L23,"PASS","FAIL"),"OPEN")</x:f>
        <x:v>OPEN</x:v>
      </x:c>
    </x:row>
    <x:row r="24">
      <x:c r="B24" t="str">
        <x:v>RAW-RP-18</x:v>
      </x:c>
      <x:c r="C24" t="str">
        <x:v>RAW-E108</x:v>
      </x:c>
      <x:c r="D24" t="str">
        <x:v>AM-01</x:v>
      </x:c>
      <x:c r="E24" t="str">
        <x:v>PTC-B</x:v>
      </x:c>
      <x:c r="F24" t="str">
        <x:v>PTC-C</x:v>
      </x:c>
      <x:c r="G24" t="str">
        <x:v>TR-B</x:v>
      </x:c>
      <x:c r="H24" t="str"/>
      <x:c r="I24" t="str"/>
      <x:c r="J24" t="str"/>
      <x:c r="K24" t="str">
        <x:f>IF(OR(I24="",J24=""),"",IF(I24=J24,1,0))</x:f>
      </x:c>
      <x:c r="L24" t="n">
        <x:f>Controls!$D$56</x:f>
        <x:v>0.99</x:v>
      </x:c>
      <x:c r="M24" t="str"/>
      <x:c r="N24" t="str">
        <x:f>IF(M24=1,IF(K24&gt;=L24,"PASS","FAIL"),"OPEN")</x:f>
        <x:v>OPEN</x:v>
      </x:c>
    </x:row>
    <x:row r="25">
      <x:c r="B25" t="str">
        <x:v>RAW-RP-19</x:v>
      </x:c>
      <x:c r="C25" t="str">
        <x:v>RAW-E114</x:v>
      </x:c>
      <x:c r="D25" t="str">
        <x:v>AM-01</x:v>
      </x:c>
      <x:c r="E25" t="str">
        <x:v>PTC-B</x:v>
      </x:c>
      <x:c r="F25" t="str">
        <x:v>PTC-C</x:v>
      </x:c>
      <x:c r="G25" t="str">
        <x:v>TR-A</x:v>
      </x:c>
      <x:c r="H25" t="str"/>
      <x:c r="I25" t="str"/>
      <x:c r="J25" t="str"/>
      <x:c r="K25" t="str">
        <x:f>IF(OR(I25="",J25=""),"",IF(I25=J25,1,0))</x:f>
      </x:c>
      <x:c r="L25" t="n">
        <x:f>Controls!$D$56</x:f>
        <x:v>0.99</x:v>
      </x:c>
      <x:c r="M25" t="str"/>
      <x:c r="N25" t="str">
        <x:f>IF(M25=1,IF(K25&gt;=L25,"PASS","FAIL"),"OPEN")</x:f>
        <x:v>OPEN</x:v>
      </x:c>
    </x:row>
    <x:row r="26">
      <x:c r="B26" t="str">
        <x:v>RAW-RP-20</x:v>
      </x:c>
      <x:c r="C26" t="str">
        <x:v>RAW-E120</x:v>
      </x:c>
      <x:c r="D26" t="str">
        <x:v>AM-01</x:v>
      </x:c>
      <x:c r="E26" t="str">
        <x:v>PTC-B</x:v>
      </x:c>
      <x:c r="F26" t="str">
        <x:v>PTC-C</x:v>
      </x:c>
      <x:c r="G26" t="str">
        <x:v>TR-B</x:v>
      </x:c>
      <x:c r="H26" t="str"/>
      <x:c r="I26" t="str"/>
      <x:c r="J26" t="str"/>
      <x:c r="K26" t="str">
        <x:f>IF(OR(I26="",J26=""),"",IF(I26=J26,1,0))</x:f>
      </x:c>
      <x:c r="L26" t="n">
        <x:f>Controls!$D$56</x:f>
        <x:v>0.99</x:v>
      </x:c>
      <x:c r="M26" t="str"/>
      <x:c r="N26" t="str">
        <x:f>IF(M26=1,IF(K26&gt;=L26,"PASS","FAIL"),"OPEN")</x:f>
        <x:v>OPEN</x:v>
      </x:c>
    </x:row>
    <x:row r="27">
      <x:c r="B27" t="str">
        <x:v>RAW-RP-21</x:v>
      </x:c>
      <x:c r="C27" t="str">
        <x:v>RAW-E126</x:v>
      </x:c>
      <x:c r="D27" t="str">
        <x:v>AM-01</x:v>
      </x:c>
      <x:c r="E27" t="str">
        <x:v>PTC-C</x:v>
      </x:c>
      <x:c r="F27" t="str">
        <x:v>PTC-B</x:v>
      </x:c>
      <x:c r="G27" t="str">
        <x:v>TR-A</x:v>
      </x:c>
      <x:c r="H27" t="str"/>
      <x:c r="I27" t="str"/>
      <x:c r="J27" t="str"/>
      <x:c r="K27" t="str">
        <x:f>IF(OR(I27="",J27=""),"",IF(I27=J27,1,0))</x:f>
      </x:c>
      <x:c r="L27" t="n">
        <x:f>Controls!$D$56</x:f>
        <x:v>0.99</x:v>
      </x:c>
      <x:c r="M27" t="str"/>
      <x:c r="N27" t="str">
        <x:f>IF(M27=1,IF(K27&gt;=L27,"PASS","FAIL"),"OPEN")</x:f>
        <x:v>OPEN</x:v>
      </x:c>
    </x:row>
    <x:row r="28">
      <x:c r="B28" t="str">
        <x:v>RAW-RP-22</x:v>
      </x:c>
      <x:c r="C28" t="str">
        <x:v>RAW-E132</x:v>
      </x:c>
      <x:c r="D28" t="str">
        <x:v>AM-01</x:v>
      </x:c>
      <x:c r="E28" t="str">
        <x:v>PTC-C</x:v>
      </x:c>
      <x:c r="F28" t="str">
        <x:v>PTC-B</x:v>
      </x:c>
      <x:c r="G28" t="str">
        <x:v>TR-B</x:v>
      </x:c>
      <x:c r="H28" t="str"/>
      <x:c r="I28" t="str"/>
      <x:c r="J28" t="str"/>
      <x:c r="K28" t="str">
        <x:f>IF(OR(I28="",J28=""),"",IF(I28=J28,1,0))</x:f>
      </x:c>
      <x:c r="L28" t="n">
        <x:f>Controls!$D$56</x:f>
        <x:v>0.99</x:v>
      </x:c>
      <x:c r="M28" t="str"/>
      <x:c r="N28" t="str">
        <x:f>IF(M28=1,IF(K28&gt;=L28,"PASS","FAIL"),"OPEN")</x:f>
        <x:v>OPEN</x:v>
      </x:c>
    </x:row>
    <x:row r="29">
      <x:c r="B29" t="str">
        <x:v>RAW-RP-23</x:v>
      </x:c>
      <x:c r="C29" t="str">
        <x:v>RAW-E138</x:v>
      </x:c>
      <x:c r="D29" t="str">
        <x:v>AM-01</x:v>
      </x:c>
      <x:c r="E29" t="str">
        <x:v>PTC-C</x:v>
      </x:c>
      <x:c r="F29" t="str">
        <x:v>PTC-B</x:v>
      </x:c>
      <x:c r="G29" t="str">
        <x:v>TR-A</x:v>
      </x:c>
      <x:c r="H29" t="str"/>
      <x:c r="I29" t="str"/>
      <x:c r="J29" t="str"/>
      <x:c r="K29" t="str">
        <x:f>IF(OR(I29="",J29=""),"",IF(I29=J29,1,0))</x:f>
      </x:c>
      <x:c r="L29" t="n">
        <x:f>Controls!$D$56</x:f>
        <x:v>0.99</x:v>
      </x:c>
      <x:c r="M29" t="str"/>
      <x:c r="N29" t="str">
        <x:f>IF(M29=1,IF(K29&gt;=L29,"PASS","FAIL"),"OPEN")</x:f>
        <x:v>OPEN</x:v>
      </x:c>
    </x:row>
    <x:row r="30">
      <x:c r="B30" t="str">
        <x:v>RAW-RP-24</x:v>
      </x:c>
      <x:c r="C30" t="str">
        <x:v>RAW-E144</x:v>
      </x:c>
      <x:c r="D30" t="str">
        <x:v>AM-01</x:v>
      </x:c>
      <x:c r="E30" t="str">
        <x:v>PTC-C</x:v>
      </x:c>
      <x:c r="F30" t="str">
        <x:v>PTC-B</x:v>
      </x:c>
      <x:c r="G30" t="str">
        <x:v>TR-B</x:v>
      </x:c>
      <x:c r="H30" t="str"/>
      <x:c r="I30" t="str"/>
      <x:c r="J30" t="str"/>
      <x:c r="K30" t="str">
        <x:f>IF(OR(I30="",J30=""),"",IF(I30=J30,1,0))</x:f>
      </x:c>
      <x:c r="L30" t="n">
        <x:f>Controls!$D$56</x:f>
        <x:v>0.99</x:v>
      </x:c>
      <x:c r="M30" t="str"/>
      <x:c r="N30" t="str">
        <x:f>IF(M30=1,IF(K30&gt;=L30,"PASS","FAIL"),"OPEN")</x:f>
        <x:v>OPEN</x:v>
      </x:c>
    </x:row>
    <x:row r="31">
      <x:c r="B31" t="str">
        <x:v>RAW-RP-25</x:v>
      </x:c>
      <x:c r="C31" t="str">
        <x:v>RAW-E150</x:v>
      </x:c>
      <x:c r="D31" t="str">
        <x:v>AM-02</x:v>
      </x:c>
      <x:c r="E31" t="str">
        <x:v>PTC-A</x:v>
      </x:c>
      <x:c r="F31" t="str">
        <x:v>PTC-B</x:v>
      </x:c>
      <x:c r="G31" t="str">
        <x:v>TR-A</x:v>
      </x:c>
      <x:c r="H31" t="str"/>
      <x:c r="I31" t="str"/>
      <x:c r="J31" t="str"/>
      <x:c r="K31" t="str">
        <x:f>IF(OR(I31="",J31=""),"",IF(I31=J31,1,0))</x:f>
      </x:c>
      <x:c r="L31" t="n">
        <x:f>Controls!$D$56</x:f>
        <x:v>0.99</x:v>
      </x:c>
      <x:c r="M31" t="str"/>
      <x:c r="N31" t="str">
        <x:f>IF(M31=1,IF(K31&gt;=L31,"PASS","FAIL"),"OPEN")</x:f>
        <x:v>OPEN</x:v>
      </x:c>
    </x:row>
    <x:row r="32">
      <x:c r="B32" t="str">
        <x:v>RAW-RP-26</x:v>
      </x:c>
      <x:c r="C32" t="str">
        <x:v>RAW-E156</x:v>
      </x:c>
      <x:c r="D32" t="str">
        <x:v>AM-02</x:v>
      </x:c>
      <x:c r="E32" t="str">
        <x:v>PTC-A</x:v>
      </x:c>
      <x:c r="F32" t="str">
        <x:v>PTC-B</x:v>
      </x:c>
      <x:c r="G32" t="str">
        <x:v>TR-B</x:v>
      </x:c>
      <x:c r="H32" t="str"/>
      <x:c r="I32" t="str"/>
      <x:c r="J32" t="str"/>
      <x:c r="K32" t="str">
        <x:f>IF(OR(I32="",J32=""),"",IF(I32=J32,1,0))</x:f>
      </x:c>
      <x:c r="L32" t="n">
        <x:f>Controls!$D$56</x:f>
        <x:v>0.99</x:v>
      </x:c>
      <x:c r="M32" t="str"/>
      <x:c r="N32" t="str">
        <x:f>IF(M32=1,IF(K32&gt;=L32,"PASS","FAIL"),"OPEN")</x:f>
        <x:v>OPEN</x:v>
      </x:c>
    </x:row>
    <x:row r="33">
      <x:c r="B33" t="str">
        <x:v>RAW-RP-27</x:v>
      </x:c>
      <x:c r="C33" t="str">
        <x:v>RAW-E162</x:v>
      </x:c>
      <x:c r="D33" t="str">
        <x:v>AM-02</x:v>
      </x:c>
      <x:c r="E33" t="str">
        <x:v>PTC-A</x:v>
      </x:c>
      <x:c r="F33" t="str">
        <x:v>PTC-B</x:v>
      </x:c>
      <x:c r="G33" t="str">
        <x:v>TR-A</x:v>
      </x:c>
      <x:c r="H33" t="str"/>
      <x:c r="I33" t="str"/>
      <x:c r="J33" t="str"/>
      <x:c r="K33" t="str">
        <x:f>IF(OR(I33="",J33=""),"",IF(I33=J33,1,0))</x:f>
      </x:c>
      <x:c r="L33" t="n">
        <x:f>Controls!$D$56</x:f>
        <x:v>0.99</x:v>
      </x:c>
      <x:c r="M33" t="str"/>
      <x:c r="N33" t="str">
        <x:f>IF(M33=1,IF(K33&gt;=L33,"PASS","FAIL"),"OPEN")</x:f>
        <x:v>OPEN</x:v>
      </x:c>
    </x:row>
    <x:row r="34">
      <x:c r="B34" t="str">
        <x:v>RAW-RP-28</x:v>
      </x:c>
      <x:c r="C34" t="str">
        <x:v>RAW-E168</x:v>
      </x:c>
      <x:c r="D34" t="str">
        <x:v>AM-02</x:v>
      </x:c>
      <x:c r="E34" t="str">
        <x:v>PTC-A</x:v>
      </x:c>
      <x:c r="F34" t="str">
        <x:v>PTC-B</x:v>
      </x:c>
      <x:c r="G34" t="str">
        <x:v>TR-B</x:v>
      </x:c>
      <x:c r="H34" t="str"/>
      <x:c r="I34" t="str"/>
      <x:c r="J34" t="str"/>
      <x:c r="K34" t="str">
        <x:f>IF(OR(I34="",J34=""),"",IF(I34=J34,1,0))</x:f>
      </x:c>
      <x:c r="L34" t="n">
        <x:f>Controls!$D$56</x:f>
        <x:v>0.99</x:v>
      </x:c>
      <x:c r="M34" t="str"/>
      <x:c r="N34" t="str">
        <x:f>IF(M34=1,IF(K34&gt;=L34,"PASS","FAIL"),"OPEN")</x:f>
        <x:v>OPEN</x:v>
      </x:c>
    </x:row>
    <x:row r="35">
      <x:c r="B35" t="str">
        <x:v>RAW-RP-29</x:v>
      </x:c>
      <x:c r="C35" t="str">
        <x:v>RAW-E174</x:v>
      </x:c>
      <x:c r="D35" t="str">
        <x:v>AM-02</x:v>
      </x:c>
      <x:c r="E35" t="str">
        <x:v>PTC-B</x:v>
      </x:c>
      <x:c r="F35" t="str">
        <x:v>PTC-C</x:v>
      </x:c>
      <x:c r="G35" t="str">
        <x:v>TR-A</x:v>
      </x:c>
      <x:c r="H35" t="str"/>
      <x:c r="I35" t="str"/>
      <x:c r="J35" t="str"/>
      <x:c r="K35" t="str">
        <x:f>IF(OR(I35="",J35=""),"",IF(I35=J35,1,0))</x:f>
      </x:c>
      <x:c r="L35" t="n">
        <x:f>Controls!$D$56</x:f>
        <x:v>0.99</x:v>
      </x:c>
      <x:c r="M35" t="str"/>
      <x:c r="N35" t="str">
        <x:f>IF(M35=1,IF(K35&gt;=L35,"PASS","FAIL"),"OPEN")</x:f>
        <x:v>OPEN</x:v>
      </x:c>
    </x:row>
    <x:row r="36">
      <x:c r="B36" t="str">
        <x:v>RAW-RP-30</x:v>
      </x:c>
      <x:c r="C36" t="str">
        <x:v>RAW-E180</x:v>
      </x:c>
      <x:c r="D36" t="str">
        <x:v>AM-02</x:v>
      </x:c>
      <x:c r="E36" t="str">
        <x:v>PTC-B</x:v>
      </x:c>
      <x:c r="F36" t="str">
        <x:v>PTC-C</x:v>
      </x:c>
      <x:c r="G36" t="str">
        <x:v>TR-B</x:v>
      </x:c>
      <x:c r="H36" t="str"/>
      <x:c r="I36" t="str"/>
      <x:c r="J36" t="str"/>
      <x:c r="K36" t="str">
        <x:f>IF(OR(I36="",J36=""),"",IF(I36=J36,1,0))</x:f>
      </x:c>
      <x:c r="L36" t="n">
        <x:f>Controls!$D$56</x:f>
        <x:v>0.99</x:v>
      </x:c>
      <x:c r="M36" t="str"/>
      <x:c r="N36" t="str">
        <x:f>IF(M36=1,IF(K36&gt;=L36,"PASS","FAIL"),"OPEN")</x:f>
        <x:v>OPEN</x:v>
      </x:c>
    </x:row>
    <x:row r="37">
      <x:c r="B37" t="str">
        <x:v>RAW-RP-31</x:v>
      </x:c>
      <x:c r="C37" t="str">
        <x:v>RAW-E186</x:v>
      </x:c>
      <x:c r="D37" t="str">
        <x:v>AM-02</x:v>
      </x:c>
      <x:c r="E37" t="str">
        <x:v>PTC-B</x:v>
      </x:c>
      <x:c r="F37" t="str">
        <x:v>PTC-C</x:v>
      </x:c>
      <x:c r="G37" t="str">
        <x:v>TR-A</x:v>
      </x:c>
      <x:c r="H37" t="str"/>
      <x:c r="I37" t="str"/>
      <x:c r="J37" t="str"/>
      <x:c r="K37" t="str">
        <x:f>IF(OR(I37="",J37=""),"",IF(I37=J37,1,0))</x:f>
      </x:c>
      <x:c r="L37" t="n">
        <x:f>Controls!$D$56</x:f>
        <x:v>0.99</x:v>
      </x:c>
      <x:c r="M37" t="str"/>
      <x:c r="N37" t="str">
        <x:f>IF(M37=1,IF(K37&gt;=L37,"PASS","FAIL"),"OPEN")</x:f>
        <x:v>OPEN</x:v>
      </x:c>
    </x:row>
    <x:row r="38">
      <x:c r="B38" t="str">
        <x:v>RAW-RP-32</x:v>
      </x:c>
      <x:c r="C38" t="str">
        <x:v>RAW-E192</x:v>
      </x:c>
      <x:c r="D38" t="str">
        <x:v>AM-02</x:v>
      </x:c>
      <x:c r="E38" t="str">
        <x:v>PTC-B</x:v>
      </x:c>
      <x:c r="F38" t="str">
        <x:v>PTC-C</x:v>
      </x:c>
      <x:c r="G38" t="str">
        <x:v>TR-B</x:v>
      </x:c>
      <x:c r="H38" t="str"/>
      <x:c r="I38" t="str"/>
      <x:c r="J38" t="str"/>
      <x:c r="K38" t="str">
        <x:f>IF(OR(I38="",J38=""),"",IF(I38=J38,1,0))</x:f>
      </x:c>
      <x:c r="L38" t="n">
        <x:f>Controls!$D$56</x:f>
        <x:v>0.99</x:v>
      </x:c>
      <x:c r="M38" t="str"/>
      <x:c r="N38" t="str">
        <x:f>IF(M38=1,IF(K38&gt;=L38,"PASS","FAIL"),"OPEN")</x:f>
        <x:v>OPEN</x:v>
      </x:c>
    </x:row>
    <x:row r="39">
      <x:c r="B39" t="str">
        <x:v>RAW-RP-33</x:v>
      </x:c>
      <x:c r="C39" t="str">
        <x:v>RAW-E198</x:v>
      </x:c>
      <x:c r="D39" t="str">
        <x:v>AM-02</x:v>
      </x:c>
      <x:c r="E39" t="str">
        <x:v>PTC-C</x:v>
      </x:c>
      <x:c r="F39" t="str">
        <x:v>PTC-B</x:v>
      </x:c>
      <x:c r="G39" t="str">
        <x:v>TR-A</x:v>
      </x:c>
      <x:c r="H39" t="str"/>
      <x:c r="I39" t="str"/>
      <x:c r="J39" t="str"/>
      <x:c r="K39" t="str">
        <x:f>IF(OR(I39="",J39=""),"",IF(I39=J39,1,0))</x:f>
      </x:c>
      <x:c r="L39" t="n">
        <x:f>Controls!$D$56</x:f>
        <x:v>0.99</x:v>
      </x:c>
      <x:c r="M39" t="str"/>
      <x:c r="N39" t="str">
        <x:f>IF(M39=1,IF(K39&gt;=L39,"PASS","FAIL"),"OPEN")</x:f>
        <x:v>OPEN</x:v>
      </x:c>
    </x:row>
    <x:row r="40">
      <x:c r="B40" t="str">
        <x:v>RAW-RP-34</x:v>
      </x:c>
      <x:c r="C40" t="str">
        <x:v>RAW-E204</x:v>
      </x:c>
      <x:c r="D40" t="str">
        <x:v>AM-02</x:v>
      </x:c>
      <x:c r="E40" t="str">
        <x:v>PTC-C</x:v>
      </x:c>
      <x:c r="F40" t="str">
        <x:v>PTC-B</x:v>
      </x:c>
      <x:c r="G40" t="str">
        <x:v>TR-B</x:v>
      </x:c>
      <x:c r="H40" t="str"/>
      <x:c r="I40" t="str"/>
      <x:c r="J40" t="str"/>
      <x:c r="K40" t="str">
        <x:f>IF(OR(I40="",J40=""),"",IF(I40=J40,1,0))</x:f>
      </x:c>
      <x:c r="L40" t="n">
        <x:f>Controls!$D$56</x:f>
        <x:v>0.99</x:v>
      </x:c>
      <x:c r="M40" t="str"/>
      <x:c r="N40" t="str">
        <x:f>IF(M40=1,IF(K40&gt;=L40,"PASS","FAIL"),"OPEN")</x:f>
        <x:v>OPEN</x:v>
      </x:c>
    </x:row>
    <x:row r="41">
      <x:c r="B41" t="str">
        <x:v>RAW-RP-35</x:v>
      </x:c>
      <x:c r="C41" t="str">
        <x:v>RAW-E210</x:v>
      </x:c>
      <x:c r="D41" t="str">
        <x:v>AM-02</x:v>
      </x:c>
      <x:c r="E41" t="str">
        <x:v>PTC-C</x:v>
      </x:c>
      <x:c r="F41" t="str">
        <x:v>PTC-B</x:v>
      </x:c>
      <x:c r="G41" t="str">
        <x:v>TR-A</x:v>
      </x:c>
      <x:c r="H41" t="str"/>
      <x:c r="I41" t="str"/>
      <x:c r="J41" t="str"/>
      <x:c r="K41" t="str">
        <x:f>IF(OR(I41="",J41=""),"",IF(I41=J41,1,0))</x:f>
      </x:c>
      <x:c r="L41" t="n">
        <x:f>Controls!$D$56</x:f>
        <x:v>0.99</x:v>
      </x:c>
      <x:c r="M41" t="str"/>
      <x:c r="N41" t="str">
        <x:f>IF(M41=1,IF(K41&gt;=L41,"PASS","FAIL"),"OPEN")</x:f>
        <x:v>OPEN</x:v>
      </x:c>
    </x:row>
    <x:row r="42">
      <x:c r="B42" t="str">
        <x:v>RAW-RP-36</x:v>
      </x:c>
      <x:c r="C42" t="str">
        <x:v>RAW-E216</x:v>
      </x:c>
      <x:c r="D42" t="str">
        <x:v>AM-02</x:v>
      </x:c>
      <x:c r="E42" t="str">
        <x:v>PTC-C</x:v>
      </x:c>
      <x:c r="F42" t="str">
        <x:v>PTC-B</x:v>
      </x:c>
      <x:c r="G42" t="str">
        <x:v>TR-B</x:v>
      </x:c>
      <x:c r="H42" t="str"/>
      <x:c r="I42" t="str"/>
      <x:c r="J42" t="str"/>
      <x:c r="K42" t="str">
        <x:f>IF(OR(I42="",J42=""),"",IF(I42=J42,1,0))</x:f>
      </x:c>
      <x:c r="L42" t="n">
        <x:f>Controls!$D$56</x:f>
        <x:v>0.99</x:v>
      </x:c>
      <x:c r="M42" t="str"/>
      <x:c r="N42" t="str">
        <x:f>IF(M42=1,IF(K42&gt;=L42,"PASS","FAIL"),"OPEN")</x:f>
        <x:v>OPEN</x:v>
      </x:c>
    </x:row>
    <x:row r="43">
      <x:c r="B43" t="str">
        <x:v>RAW-RP-37</x:v>
      </x:c>
      <x:c r="C43" t="str">
        <x:v>RAW-E222</x:v>
      </x:c>
      <x:c r="D43" t="str">
        <x:v>AM-03</x:v>
      </x:c>
      <x:c r="E43" t="str">
        <x:v>PTC-A</x:v>
      </x:c>
      <x:c r="F43" t="str">
        <x:v>PTC-B</x:v>
      </x:c>
      <x:c r="G43" t="str">
        <x:v>TR-A</x:v>
      </x:c>
      <x:c r="H43" t="str"/>
      <x:c r="I43" t="str"/>
      <x:c r="J43" t="str"/>
      <x:c r="K43" t="str">
        <x:f>IF(OR(I43="",J43=""),"",IF(I43=J43,1,0))</x:f>
      </x:c>
      <x:c r="L43" t="n">
        <x:f>Controls!$D$56</x:f>
        <x:v>0.99</x:v>
      </x:c>
      <x:c r="M43" t="str"/>
      <x:c r="N43" t="str">
        <x:f>IF(M43=1,IF(K43&gt;=L43,"PASS","FAIL"),"OPEN")</x:f>
        <x:v>OPEN</x:v>
      </x:c>
    </x:row>
    <x:row r="44">
      <x:c r="B44" t="str">
        <x:v>RAW-RP-38</x:v>
      </x:c>
      <x:c r="C44" t="str">
        <x:v>RAW-E228</x:v>
      </x:c>
      <x:c r="D44" t="str">
        <x:v>AM-03</x:v>
      </x:c>
      <x:c r="E44" t="str">
        <x:v>PTC-A</x:v>
      </x:c>
      <x:c r="F44" t="str">
        <x:v>PTC-B</x:v>
      </x:c>
      <x:c r="G44" t="str">
        <x:v>TR-B</x:v>
      </x:c>
      <x:c r="H44" t="str"/>
      <x:c r="I44" t="str"/>
      <x:c r="J44" t="str"/>
      <x:c r="K44" t="str">
        <x:f>IF(OR(I44="",J44=""),"",IF(I44=J44,1,0))</x:f>
      </x:c>
      <x:c r="L44" t="n">
        <x:f>Controls!$D$56</x:f>
        <x:v>0.99</x:v>
      </x:c>
      <x:c r="M44" t="str"/>
      <x:c r="N44" t="str">
        <x:f>IF(M44=1,IF(K44&gt;=L44,"PASS","FAIL"),"OPEN")</x:f>
        <x:v>OPEN</x:v>
      </x:c>
    </x:row>
    <x:row r="45">
      <x:c r="B45" t="str">
        <x:v>RAW-RP-39</x:v>
      </x:c>
      <x:c r="C45" t="str">
        <x:v>RAW-E234</x:v>
      </x:c>
      <x:c r="D45" t="str">
        <x:v>AM-03</x:v>
      </x:c>
      <x:c r="E45" t="str">
        <x:v>PTC-A</x:v>
      </x:c>
      <x:c r="F45" t="str">
        <x:v>PTC-B</x:v>
      </x:c>
      <x:c r="G45" t="str">
        <x:v>TR-A</x:v>
      </x:c>
      <x:c r="H45" t="str"/>
      <x:c r="I45" t="str"/>
      <x:c r="J45" t="str"/>
      <x:c r="K45" t="str">
        <x:f>IF(OR(I45="",J45=""),"",IF(I45=J45,1,0))</x:f>
      </x:c>
      <x:c r="L45" t="n">
        <x:f>Controls!$D$56</x:f>
        <x:v>0.99</x:v>
      </x:c>
      <x:c r="M45" t="str"/>
      <x:c r="N45" t="str">
        <x:f>IF(M45=1,IF(K45&gt;=L45,"PASS","FAIL"),"OPEN")</x:f>
        <x:v>OPEN</x:v>
      </x:c>
    </x:row>
    <x:row r="46">
      <x:c r="B46" t="str">
        <x:v>RAW-RP-40</x:v>
      </x:c>
      <x:c r="C46" t="str">
        <x:v>RAW-E240</x:v>
      </x:c>
      <x:c r="D46" t="str">
        <x:v>AM-03</x:v>
      </x:c>
      <x:c r="E46" t="str">
        <x:v>PTC-A</x:v>
      </x:c>
      <x:c r="F46" t="str">
        <x:v>PTC-B</x:v>
      </x:c>
      <x:c r="G46" t="str">
        <x:v>TR-B</x:v>
      </x:c>
      <x:c r="H46" t="str"/>
      <x:c r="I46" t="str"/>
      <x:c r="J46" t="str"/>
      <x:c r="K46" t="str">
        <x:f>IF(OR(I46="",J46=""),"",IF(I46=J46,1,0))</x:f>
      </x:c>
      <x:c r="L46" t="n">
        <x:f>Controls!$D$56</x:f>
        <x:v>0.99</x:v>
      </x:c>
      <x:c r="M46" t="str"/>
      <x:c r="N46" t="str">
        <x:f>IF(M46=1,IF(K46&gt;=L46,"PASS","FAIL"),"OPEN")</x:f>
        <x:v>OPEN</x:v>
      </x:c>
    </x:row>
    <x:row r="47">
      <x:c r="B47" t="str">
        <x:v>RAW-RP-41</x:v>
      </x:c>
      <x:c r="C47" t="str">
        <x:v>RAW-E246</x:v>
      </x:c>
      <x:c r="D47" t="str">
        <x:v>AM-03</x:v>
      </x:c>
      <x:c r="E47" t="str">
        <x:v>PTC-B</x:v>
      </x:c>
      <x:c r="F47" t="str">
        <x:v>PTC-C</x:v>
      </x:c>
      <x:c r="G47" t="str">
        <x:v>TR-A</x:v>
      </x:c>
      <x:c r="H47" t="str"/>
      <x:c r="I47" t="str"/>
      <x:c r="J47" t="str"/>
      <x:c r="K47" t="str">
        <x:f>IF(OR(I47="",J47=""),"",IF(I47=J47,1,0))</x:f>
      </x:c>
      <x:c r="L47" t="n">
        <x:f>Controls!$D$56</x:f>
        <x:v>0.99</x:v>
      </x:c>
      <x:c r="M47" t="str"/>
      <x:c r="N47" t="str">
        <x:f>IF(M47=1,IF(K47&gt;=L47,"PASS","FAIL"),"OPEN")</x:f>
        <x:v>OPEN</x:v>
      </x:c>
    </x:row>
    <x:row r="48">
      <x:c r="B48" t="str">
        <x:v>RAW-RP-42</x:v>
      </x:c>
      <x:c r="C48" t="str">
        <x:v>RAW-E252</x:v>
      </x:c>
      <x:c r="D48" t="str">
        <x:v>AM-03</x:v>
      </x:c>
      <x:c r="E48" t="str">
        <x:v>PTC-B</x:v>
      </x:c>
      <x:c r="F48" t="str">
        <x:v>PTC-C</x:v>
      </x:c>
      <x:c r="G48" t="str">
        <x:v>TR-B</x:v>
      </x:c>
      <x:c r="H48" t="str"/>
      <x:c r="I48" t="str"/>
      <x:c r="J48" t="str"/>
      <x:c r="K48" t="str">
        <x:f>IF(OR(I48="",J48=""),"",IF(I48=J48,1,0))</x:f>
      </x:c>
      <x:c r="L48" t="n">
        <x:f>Controls!$D$56</x:f>
        <x:v>0.99</x:v>
      </x:c>
      <x:c r="M48" t="str"/>
      <x:c r="N48" t="str">
        <x:f>IF(M48=1,IF(K48&gt;=L48,"PASS","FAIL"),"OPEN")</x:f>
        <x:v>OPEN</x:v>
      </x:c>
    </x:row>
    <x:row r="49">
      <x:c r="B49" t="str">
        <x:v>RAW-RP-43</x:v>
      </x:c>
      <x:c r="C49" t="str">
        <x:v>RAW-E258</x:v>
      </x:c>
      <x:c r="D49" t="str">
        <x:v>AM-03</x:v>
      </x:c>
      <x:c r="E49" t="str">
        <x:v>PTC-B</x:v>
      </x:c>
      <x:c r="F49" t="str">
        <x:v>PTC-C</x:v>
      </x:c>
      <x:c r="G49" t="str">
        <x:v>TR-A</x:v>
      </x:c>
      <x:c r="H49" t="str"/>
      <x:c r="I49" t="str"/>
      <x:c r="J49" t="str"/>
      <x:c r="K49" t="str">
        <x:f>IF(OR(I49="",J49=""),"",IF(I49=J49,1,0))</x:f>
      </x:c>
      <x:c r="L49" t="n">
        <x:f>Controls!$D$56</x:f>
        <x:v>0.99</x:v>
      </x:c>
      <x:c r="M49" t="str"/>
      <x:c r="N49" t="str">
        <x:f>IF(M49=1,IF(K49&gt;=L49,"PASS","FAIL"),"OPEN")</x:f>
        <x:v>OPEN</x:v>
      </x:c>
    </x:row>
    <x:row r="50">
      <x:c r="B50" t="str">
        <x:v>RAW-RP-44</x:v>
      </x:c>
      <x:c r="C50" t="str">
        <x:v>RAW-E264</x:v>
      </x:c>
      <x:c r="D50" t="str">
        <x:v>AM-03</x:v>
      </x:c>
      <x:c r="E50" t="str">
        <x:v>PTC-B</x:v>
      </x:c>
      <x:c r="F50" t="str">
        <x:v>PTC-C</x:v>
      </x:c>
      <x:c r="G50" t="str">
        <x:v>TR-B</x:v>
      </x:c>
      <x:c r="H50" t="str"/>
      <x:c r="I50" t="str"/>
      <x:c r="J50" t="str"/>
      <x:c r="K50" t="str">
        <x:f>IF(OR(I50="",J50=""),"",IF(I50=J50,1,0))</x:f>
      </x:c>
      <x:c r="L50" t="n">
        <x:f>Controls!$D$56</x:f>
        <x:v>0.99</x:v>
      </x:c>
      <x:c r="M50" t="str"/>
      <x:c r="N50" t="str">
        <x:f>IF(M50=1,IF(K50&gt;=L50,"PASS","FAIL"),"OPEN")</x:f>
        <x:v>OPEN</x:v>
      </x:c>
    </x:row>
    <x:row r="51">
      <x:c r="B51" t="str">
        <x:v>RAW-RP-45</x:v>
      </x:c>
      <x:c r="C51" t="str">
        <x:v>RAW-E270</x:v>
      </x:c>
      <x:c r="D51" t="str">
        <x:v>AM-03</x:v>
      </x:c>
      <x:c r="E51" t="str">
        <x:v>PTC-C</x:v>
      </x:c>
      <x:c r="F51" t="str">
        <x:v>PTC-B</x:v>
      </x:c>
      <x:c r="G51" t="str">
        <x:v>TR-A</x:v>
      </x:c>
      <x:c r="H51" t="str"/>
      <x:c r="I51" t="str"/>
      <x:c r="J51" t="str"/>
      <x:c r="K51" t="str">
        <x:f>IF(OR(I51="",J51=""),"",IF(I51=J51,1,0))</x:f>
      </x:c>
      <x:c r="L51" t="n">
        <x:f>Controls!$D$56</x:f>
        <x:v>0.99</x:v>
      </x:c>
      <x:c r="M51" t="str"/>
      <x:c r="N51" t="str">
        <x:f>IF(M51=1,IF(K51&gt;=L51,"PASS","FAIL"),"OPEN")</x:f>
        <x:v>OPEN</x:v>
      </x:c>
    </x:row>
    <x:row r="52">
      <x:c r="B52" t="str">
        <x:v>RAW-RP-46</x:v>
      </x:c>
      <x:c r="C52" t="str">
        <x:v>RAW-E276</x:v>
      </x:c>
      <x:c r="D52" t="str">
        <x:v>AM-03</x:v>
      </x:c>
      <x:c r="E52" t="str">
        <x:v>PTC-C</x:v>
      </x:c>
      <x:c r="F52" t="str">
        <x:v>PTC-B</x:v>
      </x:c>
      <x:c r="G52" t="str">
        <x:v>TR-B</x:v>
      </x:c>
      <x:c r="H52" t="str"/>
      <x:c r="I52" t="str"/>
      <x:c r="J52" t="str"/>
      <x:c r="K52" t="str">
        <x:f>IF(OR(I52="",J52=""),"",IF(I52=J52,1,0))</x:f>
      </x:c>
      <x:c r="L52" t="n">
        <x:f>Controls!$D$56</x:f>
        <x:v>0.99</x:v>
      </x:c>
      <x:c r="M52" t="str"/>
      <x:c r="N52" t="str">
        <x:f>IF(M52=1,IF(K52&gt;=L52,"PASS","FAIL"),"OPEN")</x:f>
        <x:v>OPEN</x:v>
      </x:c>
    </x:row>
    <x:row r="53">
      <x:c r="B53" t="str">
        <x:v>RAW-RP-47</x:v>
      </x:c>
      <x:c r="C53" t="str">
        <x:v>RAW-E282</x:v>
      </x:c>
      <x:c r="D53" t="str">
        <x:v>AM-03</x:v>
      </x:c>
      <x:c r="E53" t="str">
        <x:v>PTC-C</x:v>
      </x:c>
      <x:c r="F53" t="str">
        <x:v>PTC-B</x:v>
      </x:c>
      <x:c r="G53" t="str">
        <x:v>TR-A</x:v>
      </x:c>
      <x:c r="H53" t="str"/>
      <x:c r="I53" t="str"/>
      <x:c r="J53" t="str"/>
      <x:c r="K53" t="str">
        <x:f>IF(OR(I53="",J53=""),"",IF(I53=J53,1,0))</x:f>
      </x:c>
      <x:c r="L53" t="n">
        <x:f>Controls!$D$56</x:f>
        <x:v>0.99</x:v>
      </x:c>
      <x:c r="M53" t="str"/>
      <x:c r="N53" t="str">
        <x:f>IF(M53=1,IF(K53&gt;=L53,"PASS","FAIL"),"OPEN")</x:f>
        <x:v>OPEN</x:v>
      </x:c>
    </x:row>
    <x:row r="54">
      <x:c r="B54" t="str">
        <x:v>RAW-RP-48</x:v>
      </x:c>
      <x:c r="C54" t="str">
        <x:v>RAW-E288</x:v>
      </x:c>
      <x:c r="D54" t="str">
        <x:v>AM-03</x:v>
      </x:c>
      <x:c r="E54" t="str">
        <x:v>PTC-C</x:v>
      </x:c>
      <x:c r="F54" t="str">
        <x:v>PTC-B</x:v>
      </x:c>
      <x:c r="G54" t="str">
        <x:v>TR-B</x:v>
      </x:c>
      <x:c r="H54" t="str"/>
      <x:c r="I54" t="str"/>
      <x:c r="J54" t="str"/>
      <x:c r="K54" t="str">
        <x:f>IF(OR(I54="",J54=""),"",IF(I54=J54,1,0))</x:f>
      </x:c>
      <x:c r="L54" t="n">
        <x:f>Controls!$D$56</x:f>
        <x:v>0.99</x:v>
      </x:c>
      <x:c r="M54" t="str"/>
      <x:c r="N54" t="str">
        <x:f>IF(M54=1,IF(K54&gt;=L54,"PASS","FAIL"),"OPEN")</x:f>
        <x:v>OPEN</x:v>
      </x:c>
    </x:row>
    <x:row r="55">
      <x:c r="B55" t="str">
        <x:v>RAW-RP-49</x:v>
      </x:c>
      <x:c r="C55" t="str">
        <x:v>RAW-E294</x:v>
      </x:c>
      <x:c r="D55" t="str">
        <x:v>AM-04</x:v>
      </x:c>
      <x:c r="E55" t="str">
        <x:v>PTC-A</x:v>
      </x:c>
      <x:c r="F55" t="str">
        <x:v>PTC-B</x:v>
      </x:c>
      <x:c r="G55" t="str">
        <x:v>TR-A</x:v>
      </x:c>
      <x:c r="H55" t="str"/>
      <x:c r="I55" t="str"/>
      <x:c r="J55" t="str"/>
      <x:c r="K55" t="str">
        <x:f>IF(OR(I55="",J55=""),"",IF(I55=J55,1,0))</x:f>
      </x:c>
      <x:c r="L55" t="n">
        <x:f>Controls!$D$56</x:f>
        <x:v>0.99</x:v>
      </x:c>
      <x:c r="M55" t="str"/>
      <x:c r="N55" t="str">
        <x:f>IF(M55=1,IF(K55&gt;=L55,"PASS","FAIL"),"OPEN")</x:f>
        <x:v>OPEN</x:v>
      </x:c>
    </x:row>
    <x:row r="56">
      <x:c r="B56" t="str">
        <x:v>RAW-RP-50</x:v>
      </x:c>
      <x:c r="C56" t="str">
        <x:v>RAW-E300</x:v>
      </x:c>
      <x:c r="D56" t="str">
        <x:v>AM-04</x:v>
      </x:c>
      <x:c r="E56" t="str">
        <x:v>PTC-A</x:v>
      </x:c>
      <x:c r="F56" t="str">
        <x:v>PTC-B</x:v>
      </x:c>
      <x:c r="G56" t="str">
        <x:v>TR-B</x:v>
      </x:c>
      <x:c r="H56" t="str"/>
      <x:c r="I56" t="str"/>
      <x:c r="J56" t="str"/>
      <x:c r="K56" t="str">
        <x:f>IF(OR(I56="",J56=""),"",IF(I56=J56,1,0))</x:f>
      </x:c>
      <x:c r="L56" t="n">
        <x:f>Controls!$D$56</x:f>
        <x:v>0.99</x:v>
      </x:c>
      <x:c r="M56" t="str"/>
      <x:c r="N56" t="str">
        <x:f>IF(M56=1,IF(K56&gt;=L56,"PASS","FAIL"),"OPEN")</x:f>
        <x:v>OPEN</x:v>
      </x:c>
    </x:row>
    <x:row r="57">
      <x:c r="B57" t="str">
        <x:v>RAW-RP-51</x:v>
      </x:c>
      <x:c r="C57" t="str">
        <x:v>RAW-E306</x:v>
      </x:c>
      <x:c r="D57" t="str">
        <x:v>AM-04</x:v>
      </x:c>
      <x:c r="E57" t="str">
        <x:v>PTC-A</x:v>
      </x:c>
      <x:c r="F57" t="str">
        <x:v>PTC-B</x:v>
      </x:c>
      <x:c r="G57" t="str">
        <x:v>TR-A</x:v>
      </x:c>
      <x:c r="H57" t="str"/>
      <x:c r="I57" t="str"/>
      <x:c r="J57" t="str"/>
      <x:c r="K57" t="str">
        <x:f>IF(OR(I57="",J57=""),"",IF(I57=J57,1,0))</x:f>
      </x:c>
      <x:c r="L57" t="n">
        <x:f>Controls!$D$56</x:f>
        <x:v>0.99</x:v>
      </x:c>
      <x:c r="M57" t="str"/>
      <x:c r="N57" t="str">
        <x:f>IF(M57=1,IF(K57&gt;=L57,"PASS","FAIL"),"OPEN")</x:f>
        <x:v>OPEN</x:v>
      </x:c>
    </x:row>
    <x:row r="58">
      <x:c r="B58" t="str">
        <x:v>RAW-RP-52</x:v>
      </x:c>
      <x:c r="C58" t="str">
        <x:v>RAW-E312</x:v>
      </x:c>
      <x:c r="D58" t="str">
        <x:v>AM-04</x:v>
      </x:c>
      <x:c r="E58" t="str">
        <x:v>PTC-A</x:v>
      </x:c>
      <x:c r="F58" t="str">
        <x:v>PTC-B</x:v>
      </x:c>
      <x:c r="G58" t="str">
        <x:v>TR-B</x:v>
      </x:c>
      <x:c r="H58" t="str"/>
      <x:c r="I58" t="str"/>
      <x:c r="J58" t="str"/>
      <x:c r="K58" t="str">
        <x:f>IF(OR(I58="",J58=""),"",IF(I58=J58,1,0))</x:f>
      </x:c>
      <x:c r="L58" t="n">
        <x:f>Controls!$D$56</x:f>
        <x:v>0.99</x:v>
      </x:c>
      <x:c r="M58" t="str"/>
      <x:c r="N58" t="str">
        <x:f>IF(M58=1,IF(K58&gt;=L58,"PASS","FAIL"),"OPEN")</x:f>
        <x:v>OPEN</x:v>
      </x:c>
    </x:row>
    <x:row r="59">
      <x:c r="B59" t="str">
        <x:v>RAW-RP-53</x:v>
      </x:c>
      <x:c r="C59" t="str">
        <x:v>RAW-E318</x:v>
      </x:c>
      <x:c r="D59" t="str">
        <x:v>AM-04</x:v>
      </x:c>
      <x:c r="E59" t="str">
        <x:v>PTC-B</x:v>
      </x:c>
      <x:c r="F59" t="str">
        <x:v>PTC-C</x:v>
      </x:c>
      <x:c r="G59" t="str">
        <x:v>TR-A</x:v>
      </x:c>
      <x:c r="H59" t="str"/>
      <x:c r="I59" t="str"/>
      <x:c r="J59" t="str"/>
      <x:c r="K59" t="str">
        <x:f>IF(OR(I59="",J59=""),"",IF(I59=J59,1,0))</x:f>
      </x:c>
      <x:c r="L59" t="n">
        <x:f>Controls!$D$56</x:f>
        <x:v>0.99</x:v>
      </x:c>
      <x:c r="M59" t="str"/>
      <x:c r="N59" t="str">
        <x:f>IF(M59=1,IF(K59&gt;=L59,"PASS","FAIL"),"OPEN")</x:f>
        <x:v>OPEN</x:v>
      </x:c>
    </x:row>
    <x:row r="60">
      <x:c r="B60" t="str">
        <x:v>RAW-RP-54</x:v>
      </x:c>
      <x:c r="C60" t="str">
        <x:v>RAW-E324</x:v>
      </x:c>
      <x:c r="D60" t="str">
        <x:v>AM-04</x:v>
      </x:c>
      <x:c r="E60" t="str">
        <x:v>PTC-B</x:v>
      </x:c>
      <x:c r="F60" t="str">
        <x:v>PTC-C</x:v>
      </x:c>
      <x:c r="G60" t="str">
        <x:v>TR-B</x:v>
      </x:c>
      <x:c r="H60" t="str"/>
      <x:c r="I60" t="str"/>
      <x:c r="J60" t="str"/>
      <x:c r="K60" t="str">
        <x:f>IF(OR(I60="",J60=""),"",IF(I60=J60,1,0))</x:f>
      </x:c>
      <x:c r="L60" t="n">
        <x:f>Controls!$D$56</x:f>
        <x:v>0.99</x:v>
      </x:c>
      <x:c r="M60" t="str"/>
      <x:c r="N60" t="str">
        <x:f>IF(M60=1,IF(K60&gt;=L60,"PASS","FAIL"),"OPEN")</x:f>
        <x:v>OPEN</x:v>
      </x:c>
    </x:row>
    <x:row r="61">
      <x:c r="B61" t="str">
        <x:v>RAW-RP-55</x:v>
      </x:c>
      <x:c r="C61" t="str">
        <x:v>RAW-E330</x:v>
      </x:c>
      <x:c r="D61" t="str">
        <x:v>AM-04</x:v>
      </x:c>
      <x:c r="E61" t="str">
        <x:v>PTC-B</x:v>
      </x:c>
      <x:c r="F61" t="str">
        <x:v>PTC-C</x:v>
      </x:c>
      <x:c r="G61" t="str">
        <x:v>TR-A</x:v>
      </x:c>
      <x:c r="H61" t="str"/>
      <x:c r="I61" t="str"/>
      <x:c r="J61" t="str"/>
      <x:c r="K61" t="str">
        <x:f>IF(OR(I61="",J61=""),"",IF(I61=J61,1,0))</x:f>
      </x:c>
      <x:c r="L61" t="n">
        <x:f>Controls!$D$56</x:f>
        <x:v>0.99</x:v>
      </x:c>
      <x:c r="M61" t="str"/>
      <x:c r="N61" t="str">
        <x:f>IF(M61=1,IF(K61&gt;=L61,"PASS","FAIL"),"OPEN")</x:f>
        <x:v>OPEN</x:v>
      </x:c>
    </x:row>
    <x:row r="62">
      <x:c r="B62" t="str">
        <x:v>RAW-RP-56</x:v>
      </x:c>
      <x:c r="C62" t="str">
        <x:v>RAW-E336</x:v>
      </x:c>
      <x:c r="D62" t="str">
        <x:v>AM-04</x:v>
      </x:c>
      <x:c r="E62" t="str">
        <x:v>PTC-B</x:v>
      </x:c>
      <x:c r="F62" t="str">
        <x:v>PTC-C</x:v>
      </x:c>
      <x:c r="G62" t="str">
        <x:v>TR-B</x:v>
      </x:c>
      <x:c r="H62" t="str"/>
      <x:c r="I62" t="str"/>
      <x:c r="J62" t="str"/>
      <x:c r="K62" t="str">
        <x:f>IF(OR(I62="",J62=""),"",IF(I62=J62,1,0))</x:f>
      </x:c>
      <x:c r="L62" t="n">
        <x:f>Controls!$D$56</x:f>
        <x:v>0.99</x:v>
      </x:c>
      <x:c r="M62" t="str"/>
      <x:c r="N62" t="str">
        <x:f>IF(M62=1,IF(K62&gt;=L62,"PASS","FAIL"),"OPEN")</x:f>
        <x:v>OPEN</x:v>
      </x:c>
    </x:row>
    <x:row r="63">
      <x:c r="B63" t="str">
        <x:v>RAW-RP-57</x:v>
      </x:c>
      <x:c r="C63" t="str">
        <x:v>RAW-E342</x:v>
      </x:c>
      <x:c r="D63" t="str">
        <x:v>AM-04</x:v>
      </x:c>
      <x:c r="E63" t="str">
        <x:v>PTC-C</x:v>
      </x:c>
      <x:c r="F63" t="str">
        <x:v>PTC-B</x:v>
      </x:c>
      <x:c r="G63" t="str">
        <x:v>TR-A</x:v>
      </x:c>
      <x:c r="H63" t="str"/>
      <x:c r="I63" t="str"/>
      <x:c r="J63" t="str"/>
      <x:c r="K63" t="str">
        <x:f>IF(OR(I63="",J63=""),"",IF(I63=J63,1,0))</x:f>
      </x:c>
      <x:c r="L63" t="n">
        <x:f>Controls!$D$56</x:f>
        <x:v>0.99</x:v>
      </x:c>
      <x:c r="M63" t="str"/>
      <x:c r="N63" t="str">
        <x:f>IF(M63=1,IF(K63&gt;=L63,"PASS","FAIL"),"OPEN")</x:f>
        <x:v>OPEN</x:v>
      </x:c>
    </x:row>
    <x:row r="64">
      <x:c r="B64" t="str">
        <x:v>RAW-RP-58</x:v>
      </x:c>
      <x:c r="C64" t="str">
        <x:v>RAW-E348</x:v>
      </x:c>
      <x:c r="D64" t="str">
        <x:v>AM-04</x:v>
      </x:c>
      <x:c r="E64" t="str">
        <x:v>PTC-C</x:v>
      </x:c>
      <x:c r="F64" t="str">
        <x:v>PTC-B</x:v>
      </x:c>
      <x:c r="G64" t="str">
        <x:v>TR-B</x:v>
      </x:c>
      <x:c r="H64" t="str"/>
      <x:c r="I64" t="str"/>
      <x:c r="J64" t="str"/>
      <x:c r="K64" t="str">
        <x:f>IF(OR(I64="",J64=""),"",IF(I64=J64,1,0))</x:f>
      </x:c>
      <x:c r="L64" t="n">
        <x:f>Controls!$D$56</x:f>
        <x:v>0.99</x:v>
      </x:c>
      <x:c r="M64" t="str"/>
      <x:c r="N64" t="str">
        <x:f>IF(M64=1,IF(K64&gt;=L64,"PASS","FAIL"),"OPEN")</x:f>
        <x:v>OPEN</x:v>
      </x:c>
    </x:row>
    <x:row r="65">
      <x:c r="B65" t="str">
        <x:v>RAW-RP-59</x:v>
      </x:c>
      <x:c r="C65" t="str">
        <x:v>RAW-E354</x:v>
      </x:c>
      <x:c r="D65" t="str">
        <x:v>AM-04</x:v>
      </x:c>
      <x:c r="E65" t="str">
        <x:v>PTC-C</x:v>
      </x:c>
      <x:c r="F65" t="str">
        <x:v>PTC-B</x:v>
      </x:c>
      <x:c r="G65" t="str">
        <x:v>TR-A</x:v>
      </x:c>
      <x:c r="H65" t="str"/>
      <x:c r="I65" t="str"/>
      <x:c r="J65" t="str"/>
      <x:c r="K65" t="str">
        <x:f>IF(OR(I65="",J65=""),"",IF(I65=J65,1,0))</x:f>
      </x:c>
      <x:c r="L65" t="n">
        <x:f>Controls!$D$56</x:f>
        <x:v>0.99</x:v>
      </x:c>
      <x:c r="M65" t="str"/>
      <x:c r="N65" t="str">
        <x:f>IF(M65=1,IF(K65&gt;=L65,"PASS","FAIL"),"OPEN")</x:f>
        <x:v>OPEN</x:v>
      </x:c>
    </x:row>
    <x:row r="66">
      <x:c r="B66" t="str">
        <x:v>RAW-RP-60</x:v>
      </x:c>
      <x:c r="C66" t="str">
        <x:v>RAW-E360</x:v>
      </x:c>
      <x:c r="D66" t="str">
        <x:v>AM-04</x:v>
      </x:c>
      <x:c r="E66" t="str">
        <x:v>PTC-C</x:v>
      </x:c>
      <x:c r="F66" t="str">
        <x:v>PTC-B</x:v>
      </x:c>
      <x:c r="G66" t="str">
        <x:v>TR-B</x:v>
      </x:c>
      <x:c r="H66" t="str"/>
      <x:c r="I66" t="str"/>
      <x:c r="J66" t="str"/>
      <x:c r="K66" t="str">
        <x:f>IF(OR(I66="",J66=""),"",IF(I66=J66,1,0))</x:f>
      </x:c>
      <x:c r="L66" t="n">
        <x:f>Controls!$D$56</x:f>
        <x:v>0.99</x:v>
      </x:c>
      <x:c r="M66" t="str"/>
      <x:c r="N66" t="str">
        <x:f>IF(M66=1,IF(K66&gt;=L66,"PASS","FAIL"),"OPEN")</x:f>
        <x:v>OPEN</x:v>
      </x:c>
    </x:row>
  </x:sheetData>
  <x:conditionalFormatting sqref="N7:N66">
    <x:cfRule type="containsText" dxfId="160" priority="1" operator="containsText" text="FAIL"/>
    <x:cfRule type="containsText" dxfId="161" priority="2" operator="containsText" text="INVALID"/>
    <x:cfRule type="containsText" dxfId="162" priority="3" operator="containsText" text="BLOCKED"/>
    <x:cfRule type="containsText" dxfId="163" priority="4" operator="containsText" text="OPEN"/>
    <x:cfRule type="containsText" dxfId="164" priority="5" operator="containsText" text="GAP"/>
    <x:cfRule type="containsText" dxfId="165" priority="6" operator="containsText" text="DORMANT"/>
    <x:cfRule type="containsText" dxfId="166" priority="7" operator="containsText" text="PASS"/>
    <x:cfRule type="containsText" dxfId="167" priority="8" operator="containsText" text="VALID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7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</x:cols>
  <x:sheetData>
    <x:row r="2">
      <x:c r="B2" s="1" t="str">
        <x:v>Seventy-five dormant invalid-attempt tokens</x:v>
      </x:c>
    </x:row>
    <x:row r="3">
      <x:c r="B3" s="2" t="str">
        <x:v>A token activates only after independent invalidity and receives a new trial identity.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Token</x:v>
      </x:c>
      <x:c r="C6" s="7" t="str">
        <x:v>Class</x:v>
      </x:c>
      <x:c r="D6" s="7" t="str">
        <x:v>Rig reservation</x:v>
      </x:c>
      <x:c r="E6" s="7" t="str">
        <x:v>Rig-days</x:v>
      </x:c>
      <x:c r="F6" s="7" t="str">
        <x:v>Trigger trial</x:v>
      </x:c>
      <x:c r="G6" s="7" t="str">
        <x:v>Replacement</x:v>
      </x:c>
      <x:c r="H6" s="7" t="str">
        <x:v>State</x:v>
      </x:c>
    </x:row>
    <x:row r="7">
      <x:c r="B7" t="str">
        <x:v>RAW-R001</x:v>
      </x:c>
      <x:c r="C7" t="str">
        <x:v>QT-01</x:v>
      </x:c>
      <x:c r="D7" t="str">
        <x:v>RFP-A1</x:v>
      </x:c>
      <x:c r="E7" t="n">
        <x:v>2</x:v>
      </x:c>
      <x:c r="F7" t="str">
        <x:v>unassigned</x:v>
      </x:c>
      <x:c r="G7" t="str">
        <x:v>none</x:v>
      </x:c>
      <x:c r="H7" t="str">
        <x:v>DORMANT</x:v>
      </x:c>
    </x:row>
    <x:row r="8">
      <x:c r="B8" t="str">
        <x:v>RAW-R002</x:v>
      </x:c>
      <x:c r="C8" t="str">
        <x:v>QT-01</x:v>
      </x:c>
      <x:c r="D8" t="str">
        <x:v>RFP-A2</x:v>
      </x:c>
      <x:c r="E8" t="n">
        <x:v>2</x:v>
      </x:c>
      <x:c r="F8" t="str">
        <x:v>unassigned</x:v>
      </x:c>
      <x:c r="G8" t="str">
        <x:v>none</x:v>
      </x:c>
      <x:c r="H8" t="str">
        <x:v>DORMANT</x:v>
      </x:c>
    </x:row>
    <x:row r="9">
      <x:c r="B9" t="str">
        <x:v>RAW-R003</x:v>
      </x:c>
      <x:c r="C9" t="str">
        <x:v>QT-01</x:v>
      </x:c>
      <x:c r="D9" t="str">
        <x:v>RFP-B1</x:v>
      </x:c>
      <x:c r="E9" t="n">
        <x:v>2</x:v>
      </x:c>
      <x:c r="F9" t="str">
        <x:v>unassigned</x:v>
      </x:c>
      <x:c r="G9" t="str">
        <x:v>none</x:v>
      </x:c>
      <x:c r="H9" t="str">
        <x:v>DORMANT</x:v>
      </x:c>
    </x:row>
    <x:row r="10">
      <x:c r="B10" t="str">
        <x:v>RAW-R004</x:v>
      </x:c>
      <x:c r="C10" t="str">
        <x:v>QT-01</x:v>
      </x:c>
      <x:c r="D10" t="str">
        <x:v>RFP-B2</x:v>
      </x:c>
      <x:c r="E10" t="n">
        <x:v>2</x:v>
      </x:c>
      <x:c r="F10" t="str">
        <x:v>unassigned</x:v>
      </x:c>
      <x:c r="G10" t="str">
        <x:v>none</x:v>
      </x:c>
      <x:c r="H10" t="str">
        <x:v>DORMANT</x:v>
      </x:c>
    </x:row>
    <x:row r="11">
      <x:c r="B11" t="str">
        <x:v>RAW-R005</x:v>
      </x:c>
      <x:c r="C11" t="str">
        <x:v>QT-01</x:v>
      </x:c>
      <x:c r="D11" t="str">
        <x:v>RFP-C1</x:v>
      </x:c>
      <x:c r="E11" t="n">
        <x:v>2</x:v>
      </x:c>
      <x:c r="F11" t="str">
        <x:v>unassigned</x:v>
      </x:c>
      <x:c r="G11" t="str">
        <x:v>none</x:v>
      </x:c>
      <x:c r="H11" t="str">
        <x:v>DORMANT</x:v>
      </x:c>
    </x:row>
    <x:row r="12">
      <x:c r="B12" t="str">
        <x:v>RAW-R006</x:v>
      </x:c>
      <x:c r="C12" t="str">
        <x:v>QT-01</x:v>
      </x:c>
      <x:c r="D12" t="str">
        <x:v>RFP-C2</x:v>
      </x:c>
      <x:c r="E12" t="n">
        <x:v>2</x:v>
      </x:c>
      <x:c r="F12" t="str">
        <x:v>unassigned</x:v>
      </x:c>
      <x:c r="G12" t="str">
        <x:v>none</x:v>
      </x:c>
      <x:c r="H12" t="str">
        <x:v>DORMANT</x:v>
      </x:c>
    </x:row>
    <x:row r="13">
      <x:c r="B13" t="str">
        <x:v>RAW-R007</x:v>
      </x:c>
      <x:c r="C13" t="str">
        <x:v>QT-02</x:v>
      </x:c>
      <x:c r="D13" t="str">
        <x:v>RFP-A1</x:v>
      </x:c>
      <x:c r="E13" t="n">
        <x:v>2</x:v>
      </x:c>
      <x:c r="F13" t="str">
        <x:v>unassigned</x:v>
      </x:c>
      <x:c r="G13" t="str">
        <x:v>none</x:v>
      </x:c>
      <x:c r="H13" t="str">
        <x:v>DORMANT</x:v>
      </x:c>
    </x:row>
    <x:row r="14">
      <x:c r="B14" t="str">
        <x:v>RAW-R008</x:v>
      </x:c>
      <x:c r="C14" t="str">
        <x:v>QT-02</x:v>
      </x:c>
      <x:c r="D14" t="str">
        <x:v>RFP-A2</x:v>
      </x:c>
      <x:c r="E14" t="n">
        <x:v>2</x:v>
      </x:c>
      <x:c r="F14" t="str">
        <x:v>unassigned</x:v>
      </x:c>
      <x:c r="G14" t="str">
        <x:v>none</x:v>
      </x:c>
      <x:c r="H14" t="str">
        <x:v>DORMANT</x:v>
      </x:c>
    </x:row>
    <x:row r="15">
      <x:c r="B15" t="str">
        <x:v>RAW-R009</x:v>
      </x:c>
      <x:c r="C15" t="str">
        <x:v>QT-02</x:v>
      </x:c>
      <x:c r="D15" t="str">
        <x:v>RFP-B1</x:v>
      </x:c>
      <x:c r="E15" t="n">
        <x:v>2</x:v>
      </x:c>
      <x:c r="F15" t="str">
        <x:v>unassigned</x:v>
      </x:c>
      <x:c r="G15" t="str">
        <x:v>none</x:v>
      </x:c>
      <x:c r="H15" t="str">
        <x:v>DORMANT</x:v>
      </x:c>
    </x:row>
    <x:row r="16">
      <x:c r="B16" t="str">
        <x:v>RAW-R010</x:v>
      </x:c>
      <x:c r="C16" t="str">
        <x:v>QT-02</x:v>
      </x:c>
      <x:c r="D16" t="str">
        <x:v>RFP-B2</x:v>
      </x:c>
      <x:c r="E16" t="n">
        <x:v>2</x:v>
      </x:c>
      <x:c r="F16" t="str">
        <x:v>unassigned</x:v>
      </x:c>
      <x:c r="G16" t="str">
        <x:v>none</x:v>
      </x:c>
      <x:c r="H16" t="str">
        <x:v>DORMANT</x:v>
      </x:c>
    </x:row>
    <x:row r="17">
      <x:c r="B17" t="str">
        <x:v>RAW-R011</x:v>
      </x:c>
      <x:c r="C17" t="str">
        <x:v>QT-02</x:v>
      </x:c>
      <x:c r="D17" t="str">
        <x:v>RFP-C1</x:v>
      </x:c>
      <x:c r="E17" t="n">
        <x:v>2</x:v>
      </x:c>
      <x:c r="F17" t="str">
        <x:v>unassigned</x:v>
      </x:c>
      <x:c r="G17" t="str">
        <x:v>none</x:v>
      </x:c>
      <x:c r="H17" t="str">
        <x:v>DORMANT</x:v>
      </x:c>
    </x:row>
    <x:row r="18">
      <x:c r="B18" t="str">
        <x:v>RAW-R012</x:v>
      </x:c>
      <x:c r="C18" t="str">
        <x:v>QT-02</x:v>
      </x:c>
      <x:c r="D18" t="str">
        <x:v>RFP-C2</x:v>
      </x:c>
      <x:c r="E18" t="n">
        <x:v>2</x:v>
      </x:c>
      <x:c r="F18" t="str">
        <x:v>unassigned</x:v>
      </x:c>
      <x:c r="G18" t="str">
        <x:v>none</x:v>
      </x:c>
      <x:c r="H18" t="str">
        <x:v>DORMANT</x:v>
      </x:c>
    </x:row>
    <x:row r="19">
      <x:c r="B19" t="str">
        <x:v>RAW-R013</x:v>
      </x:c>
      <x:c r="C19" t="str">
        <x:v>QT-02</x:v>
      </x:c>
      <x:c r="D19" t="str">
        <x:v>RFP-A1</x:v>
      </x:c>
      <x:c r="E19" t="n">
        <x:v>2</x:v>
      </x:c>
      <x:c r="F19" t="str">
        <x:v>unassigned</x:v>
      </x:c>
      <x:c r="G19" t="str">
        <x:v>none</x:v>
      </x:c>
      <x:c r="H19" t="str">
        <x:v>DORMANT</x:v>
      </x:c>
    </x:row>
    <x:row r="20">
      <x:c r="B20" t="str">
        <x:v>RAW-R014</x:v>
      </x:c>
      <x:c r="C20" t="str">
        <x:v>QT-02</x:v>
      </x:c>
      <x:c r="D20" t="str">
        <x:v>RFP-A2</x:v>
      </x:c>
      <x:c r="E20" t="n">
        <x:v>2</x:v>
      </x:c>
      <x:c r="F20" t="str">
        <x:v>unassigned</x:v>
      </x:c>
      <x:c r="G20" t="str">
        <x:v>none</x:v>
      </x:c>
      <x:c r="H20" t="str">
        <x:v>DORMANT</x:v>
      </x:c>
    </x:row>
    <x:row r="21">
      <x:c r="B21" t="str">
        <x:v>RAW-R015</x:v>
      </x:c>
      <x:c r="C21" t="str">
        <x:v>QT-02</x:v>
      </x:c>
      <x:c r="D21" t="str">
        <x:v>RFP-B1</x:v>
      </x:c>
      <x:c r="E21" t="n">
        <x:v>2</x:v>
      </x:c>
      <x:c r="F21" t="str">
        <x:v>unassigned</x:v>
      </x:c>
      <x:c r="G21" t="str">
        <x:v>none</x:v>
      </x:c>
      <x:c r="H21" t="str">
        <x:v>DORMANT</x:v>
      </x:c>
    </x:row>
    <x:row r="22">
      <x:c r="B22" t="str">
        <x:v>RAW-R016</x:v>
      </x:c>
      <x:c r="C22" t="str">
        <x:v>QT-03</x:v>
      </x:c>
      <x:c r="D22" t="str">
        <x:v>RFP-B2</x:v>
      </x:c>
      <x:c r="E22" t="n">
        <x:v>2</x:v>
      </x:c>
      <x:c r="F22" t="str">
        <x:v>unassigned</x:v>
      </x:c>
      <x:c r="G22" t="str">
        <x:v>none</x:v>
      </x:c>
      <x:c r="H22" t="str">
        <x:v>DORMANT</x:v>
      </x:c>
    </x:row>
    <x:row r="23">
      <x:c r="B23" t="str">
        <x:v>RAW-R017</x:v>
      </x:c>
      <x:c r="C23" t="str">
        <x:v>QT-03</x:v>
      </x:c>
      <x:c r="D23" t="str">
        <x:v>RFP-C1</x:v>
      </x:c>
      <x:c r="E23" t="n">
        <x:v>2</x:v>
      </x:c>
      <x:c r="F23" t="str">
        <x:v>unassigned</x:v>
      </x:c>
      <x:c r="G23" t="str">
        <x:v>none</x:v>
      </x:c>
      <x:c r="H23" t="str">
        <x:v>DORMANT</x:v>
      </x:c>
    </x:row>
    <x:row r="24">
      <x:c r="B24" t="str">
        <x:v>RAW-R018</x:v>
      </x:c>
      <x:c r="C24" t="str">
        <x:v>QT-03</x:v>
      </x:c>
      <x:c r="D24" t="str">
        <x:v>RFP-C2</x:v>
      </x:c>
      <x:c r="E24" t="n">
        <x:v>2</x:v>
      </x:c>
      <x:c r="F24" t="str">
        <x:v>unassigned</x:v>
      </x:c>
      <x:c r="G24" t="str">
        <x:v>none</x:v>
      </x:c>
      <x:c r="H24" t="str">
        <x:v>DORMANT</x:v>
      </x:c>
    </x:row>
    <x:row r="25">
      <x:c r="B25" t="str">
        <x:v>RAW-R019</x:v>
      </x:c>
      <x:c r="C25" t="str">
        <x:v>QT-03</x:v>
      </x:c>
      <x:c r="D25" t="str">
        <x:v>RFP-A1</x:v>
      </x:c>
      <x:c r="E25" t="n">
        <x:v>2</x:v>
      </x:c>
      <x:c r="F25" t="str">
        <x:v>unassigned</x:v>
      </x:c>
      <x:c r="G25" t="str">
        <x:v>none</x:v>
      </x:c>
      <x:c r="H25" t="str">
        <x:v>DORMANT</x:v>
      </x:c>
    </x:row>
    <x:row r="26">
      <x:c r="B26" t="str">
        <x:v>RAW-R020</x:v>
      </x:c>
      <x:c r="C26" t="str">
        <x:v>QT-03</x:v>
      </x:c>
      <x:c r="D26" t="str">
        <x:v>RFP-A2</x:v>
      </x:c>
      <x:c r="E26" t="n">
        <x:v>2</x:v>
      </x:c>
      <x:c r="F26" t="str">
        <x:v>unassigned</x:v>
      </x:c>
      <x:c r="G26" t="str">
        <x:v>none</x:v>
      </x:c>
      <x:c r="H26" t="str">
        <x:v>DORMANT</x:v>
      </x:c>
    </x:row>
    <x:row r="27">
      <x:c r="B27" t="str">
        <x:v>RAW-R021</x:v>
      </x:c>
      <x:c r="C27" t="str">
        <x:v>QT-03</x:v>
      </x:c>
      <x:c r="D27" t="str">
        <x:v>RFP-B1</x:v>
      </x:c>
      <x:c r="E27" t="n">
        <x:v>2</x:v>
      </x:c>
      <x:c r="F27" t="str">
        <x:v>unassigned</x:v>
      </x:c>
      <x:c r="G27" t="str">
        <x:v>none</x:v>
      </x:c>
      <x:c r="H27" t="str">
        <x:v>DORMANT</x:v>
      </x:c>
    </x:row>
    <x:row r="28">
      <x:c r="B28" t="str">
        <x:v>RAW-R022</x:v>
      </x:c>
      <x:c r="C28" t="str">
        <x:v>QT-03</x:v>
      </x:c>
      <x:c r="D28" t="str">
        <x:v>RFP-B2</x:v>
      </x:c>
      <x:c r="E28" t="n">
        <x:v>2</x:v>
      </x:c>
      <x:c r="F28" t="str">
        <x:v>unassigned</x:v>
      </x:c>
      <x:c r="G28" t="str">
        <x:v>none</x:v>
      </x:c>
      <x:c r="H28" t="str">
        <x:v>DORMANT</x:v>
      </x:c>
    </x:row>
    <x:row r="29">
      <x:c r="B29" t="str">
        <x:v>RAW-R023</x:v>
      </x:c>
      <x:c r="C29" t="str">
        <x:v>QT-03</x:v>
      </x:c>
      <x:c r="D29" t="str">
        <x:v>RFP-C1</x:v>
      </x:c>
      <x:c r="E29" t="n">
        <x:v>2</x:v>
      </x:c>
      <x:c r="F29" t="str">
        <x:v>unassigned</x:v>
      </x:c>
      <x:c r="G29" t="str">
        <x:v>none</x:v>
      </x:c>
      <x:c r="H29" t="str">
        <x:v>DORMANT</x:v>
      </x:c>
    </x:row>
    <x:row r="30">
      <x:c r="B30" t="str">
        <x:v>RAW-R024</x:v>
      </x:c>
      <x:c r="C30" t="str">
        <x:v>QT-03</x:v>
      </x:c>
      <x:c r="D30" t="str">
        <x:v>RFP-C2</x:v>
      </x:c>
      <x:c r="E30" t="n">
        <x:v>2</x:v>
      </x:c>
      <x:c r="F30" t="str">
        <x:v>unassigned</x:v>
      </x:c>
      <x:c r="G30" t="str">
        <x:v>none</x:v>
      </x:c>
      <x:c r="H30" t="str">
        <x:v>DORMANT</x:v>
      </x:c>
    </x:row>
    <x:row r="31">
      <x:c r="B31" t="str">
        <x:v>RAW-R025</x:v>
      </x:c>
      <x:c r="C31" t="str">
        <x:v>QT-04</x:v>
      </x:c>
      <x:c r="D31" t="str">
        <x:v>RFP-A1</x:v>
      </x:c>
      <x:c r="E31" t="n">
        <x:v>3</x:v>
      </x:c>
      <x:c r="F31" t="str">
        <x:v>unassigned</x:v>
      </x:c>
      <x:c r="G31" t="str">
        <x:v>none</x:v>
      </x:c>
      <x:c r="H31" t="str">
        <x:v>DORMANT</x:v>
      </x:c>
    </x:row>
    <x:row r="32">
      <x:c r="B32" t="str">
        <x:v>RAW-R026</x:v>
      </x:c>
      <x:c r="C32" t="str">
        <x:v>QT-04</x:v>
      </x:c>
      <x:c r="D32" t="str">
        <x:v>RFP-A2</x:v>
      </x:c>
      <x:c r="E32" t="n">
        <x:v>3</x:v>
      </x:c>
      <x:c r="F32" t="str">
        <x:v>unassigned</x:v>
      </x:c>
      <x:c r="G32" t="str">
        <x:v>none</x:v>
      </x:c>
      <x:c r="H32" t="str">
        <x:v>DORMANT</x:v>
      </x:c>
    </x:row>
    <x:row r="33">
      <x:c r="B33" t="str">
        <x:v>RAW-R027</x:v>
      </x:c>
      <x:c r="C33" t="str">
        <x:v>QT-04</x:v>
      </x:c>
      <x:c r="D33" t="str">
        <x:v>RFP-B1</x:v>
      </x:c>
      <x:c r="E33" t="n">
        <x:v>3</x:v>
      </x:c>
      <x:c r="F33" t="str">
        <x:v>unassigned</x:v>
      </x:c>
      <x:c r="G33" t="str">
        <x:v>none</x:v>
      </x:c>
      <x:c r="H33" t="str">
        <x:v>DORMANT</x:v>
      </x:c>
    </x:row>
    <x:row r="34">
      <x:c r="B34" t="str">
        <x:v>RAW-R028</x:v>
      </x:c>
      <x:c r="C34" t="str">
        <x:v>QT-04</x:v>
      </x:c>
      <x:c r="D34" t="str">
        <x:v>RFP-B2</x:v>
      </x:c>
      <x:c r="E34" t="n">
        <x:v>3</x:v>
      </x:c>
      <x:c r="F34" t="str">
        <x:v>unassigned</x:v>
      </x:c>
      <x:c r="G34" t="str">
        <x:v>none</x:v>
      </x:c>
      <x:c r="H34" t="str">
        <x:v>DORMANT</x:v>
      </x:c>
    </x:row>
    <x:row r="35">
      <x:c r="B35" t="str">
        <x:v>RAW-R029</x:v>
      </x:c>
      <x:c r="C35" t="str">
        <x:v>QT-04</x:v>
      </x:c>
      <x:c r="D35" t="str">
        <x:v>RFP-C1</x:v>
      </x:c>
      <x:c r="E35" t="n">
        <x:v>3</x:v>
      </x:c>
      <x:c r="F35" t="str">
        <x:v>unassigned</x:v>
      </x:c>
      <x:c r="G35" t="str">
        <x:v>none</x:v>
      </x:c>
      <x:c r="H35" t="str">
        <x:v>DORMANT</x:v>
      </x:c>
    </x:row>
    <x:row r="36">
      <x:c r="B36" t="str">
        <x:v>RAW-R030</x:v>
      </x:c>
      <x:c r="C36" t="str">
        <x:v>QT-04</x:v>
      </x:c>
      <x:c r="D36" t="str">
        <x:v>RFP-C2</x:v>
      </x:c>
      <x:c r="E36" t="n">
        <x:v>3</x:v>
      </x:c>
      <x:c r="F36" t="str">
        <x:v>unassigned</x:v>
      </x:c>
      <x:c r="G36" t="str">
        <x:v>none</x:v>
      </x:c>
      <x:c r="H36" t="str">
        <x:v>DORMANT</x:v>
      </x:c>
    </x:row>
    <x:row r="37">
      <x:c r="B37" t="str">
        <x:v>RAW-R031</x:v>
      </x:c>
      <x:c r="C37" t="str">
        <x:v>QT-04</x:v>
      </x:c>
      <x:c r="D37" t="str">
        <x:v>RFP-A1</x:v>
      </x:c>
      <x:c r="E37" t="n">
        <x:v>3</x:v>
      </x:c>
      <x:c r="F37" t="str">
        <x:v>unassigned</x:v>
      </x:c>
      <x:c r="G37" t="str">
        <x:v>none</x:v>
      </x:c>
      <x:c r="H37" t="str">
        <x:v>DORMANT</x:v>
      </x:c>
    </x:row>
    <x:row r="38">
      <x:c r="B38" t="str">
        <x:v>RAW-R032</x:v>
      </x:c>
      <x:c r="C38" t="str">
        <x:v>QT-04</x:v>
      </x:c>
      <x:c r="D38" t="str">
        <x:v>RFP-A2</x:v>
      </x:c>
      <x:c r="E38" t="n">
        <x:v>3</x:v>
      </x:c>
      <x:c r="F38" t="str">
        <x:v>unassigned</x:v>
      </x:c>
      <x:c r="G38" t="str">
        <x:v>none</x:v>
      </x:c>
      <x:c r="H38" t="str">
        <x:v>DORMANT</x:v>
      </x:c>
    </x:row>
    <x:row r="39">
      <x:c r="B39" t="str">
        <x:v>RAW-R033</x:v>
      </x:c>
      <x:c r="C39" t="str">
        <x:v>QT-04</x:v>
      </x:c>
      <x:c r="D39" t="str">
        <x:v>RFP-B1</x:v>
      </x:c>
      <x:c r="E39" t="n">
        <x:v>3</x:v>
      </x:c>
      <x:c r="F39" t="str">
        <x:v>unassigned</x:v>
      </x:c>
      <x:c r="G39" t="str">
        <x:v>none</x:v>
      </x:c>
      <x:c r="H39" t="str">
        <x:v>DORMANT</x:v>
      </x:c>
    </x:row>
    <x:row r="40">
      <x:c r="B40" t="str">
        <x:v>RAW-R034</x:v>
      </x:c>
      <x:c r="C40" t="str">
        <x:v>QT-04</x:v>
      </x:c>
      <x:c r="D40" t="str">
        <x:v>RFP-B2</x:v>
      </x:c>
      <x:c r="E40" t="n">
        <x:v>3</x:v>
      </x:c>
      <x:c r="F40" t="str">
        <x:v>unassigned</x:v>
      </x:c>
      <x:c r="G40" t="str">
        <x:v>none</x:v>
      </x:c>
      <x:c r="H40" t="str">
        <x:v>DORMANT</x:v>
      </x:c>
    </x:row>
    <x:row r="41">
      <x:c r="B41" t="str">
        <x:v>RAW-R035</x:v>
      </x:c>
      <x:c r="C41" t="str">
        <x:v>QT-04</x:v>
      </x:c>
      <x:c r="D41" t="str">
        <x:v>RFP-C1</x:v>
      </x:c>
      <x:c r="E41" t="n">
        <x:v>3</x:v>
      </x:c>
      <x:c r="F41" t="str">
        <x:v>unassigned</x:v>
      </x:c>
      <x:c r="G41" t="str">
        <x:v>none</x:v>
      </x:c>
      <x:c r="H41" t="str">
        <x:v>DORMANT</x:v>
      </x:c>
    </x:row>
    <x:row r="42">
      <x:c r="B42" t="str">
        <x:v>RAW-R036</x:v>
      </x:c>
      <x:c r="C42" t="str">
        <x:v>QT-04</x:v>
      </x:c>
      <x:c r="D42" t="str">
        <x:v>RFP-C2</x:v>
      </x:c>
      <x:c r="E42" t="n">
        <x:v>3</x:v>
      </x:c>
      <x:c r="F42" t="str">
        <x:v>unassigned</x:v>
      </x:c>
      <x:c r="G42" t="str">
        <x:v>none</x:v>
      </x:c>
      <x:c r="H42" t="str">
        <x:v>DORMANT</x:v>
      </x:c>
    </x:row>
    <x:row r="43">
      <x:c r="B43" t="str">
        <x:v>RAW-R037</x:v>
      </x:c>
      <x:c r="C43" t="str">
        <x:v>QT-04</x:v>
      </x:c>
      <x:c r="D43" t="str">
        <x:v>RFP-A1</x:v>
      </x:c>
      <x:c r="E43" t="n">
        <x:v>3</x:v>
      </x:c>
      <x:c r="F43" t="str">
        <x:v>unassigned</x:v>
      </x:c>
      <x:c r="G43" t="str">
        <x:v>none</x:v>
      </x:c>
      <x:c r="H43" t="str">
        <x:v>DORMANT</x:v>
      </x:c>
    </x:row>
    <x:row r="44">
      <x:c r="B44" t="str">
        <x:v>RAW-R038</x:v>
      </x:c>
      <x:c r="C44" t="str">
        <x:v>QT-04</x:v>
      </x:c>
      <x:c r="D44" t="str">
        <x:v>RFP-A2</x:v>
      </x:c>
      <x:c r="E44" t="n">
        <x:v>3</x:v>
      </x:c>
      <x:c r="F44" t="str">
        <x:v>unassigned</x:v>
      </x:c>
      <x:c r="G44" t="str">
        <x:v>none</x:v>
      </x:c>
      <x:c r="H44" t="str">
        <x:v>DORMANT</x:v>
      </x:c>
    </x:row>
    <x:row r="45">
      <x:c r="B45" t="str">
        <x:v>RAW-R039</x:v>
      </x:c>
      <x:c r="C45" t="str">
        <x:v>QT-05</x:v>
      </x:c>
      <x:c r="D45" t="str">
        <x:v>RFP-B1</x:v>
      </x:c>
      <x:c r="E45" t="n">
        <x:v>3</x:v>
      </x:c>
      <x:c r="F45" t="str">
        <x:v>unassigned</x:v>
      </x:c>
      <x:c r="G45" t="str">
        <x:v>none</x:v>
      </x:c>
      <x:c r="H45" t="str">
        <x:v>DORMANT</x:v>
      </x:c>
    </x:row>
    <x:row r="46">
      <x:c r="B46" t="str">
        <x:v>RAW-R040</x:v>
      </x:c>
      <x:c r="C46" t="str">
        <x:v>QT-05</x:v>
      </x:c>
      <x:c r="D46" t="str">
        <x:v>RFP-B2</x:v>
      </x:c>
      <x:c r="E46" t="n">
        <x:v>3</x:v>
      </x:c>
      <x:c r="F46" t="str">
        <x:v>unassigned</x:v>
      </x:c>
      <x:c r="G46" t="str">
        <x:v>none</x:v>
      </x:c>
      <x:c r="H46" t="str">
        <x:v>DORMANT</x:v>
      </x:c>
    </x:row>
    <x:row r="47">
      <x:c r="B47" t="str">
        <x:v>RAW-R041</x:v>
      </x:c>
      <x:c r="C47" t="str">
        <x:v>QT-05</x:v>
      </x:c>
      <x:c r="D47" t="str">
        <x:v>RFP-C1</x:v>
      </x:c>
      <x:c r="E47" t="n">
        <x:v>3</x:v>
      </x:c>
      <x:c r="F47" t="str">
        <x:v>unassigned</x:v>
      </x:c>
      <x:c r="G47" t="str">
        <x:v>none</x:v>
      </x:c>
      <x:c r="H47" t="str">
        <x:v>DORMANT</x:v>
      </x:c>
    </x:row>
    <x:row r="48">
      <x:c r="B48" t="str">
        <x:v>RAW-R042</x:v>
      </x:c>
      <x:c r="C48" t="str">
        <x:v>QT-05</x:v>
      </x:c>
      <x:c r="D48" t="str">
        <x:v>RFP-C2</x:v>
      </x:c>
      <x:c r="E48" t="n">
        <x:v>3</x:v>
      </x:c>
      <x:c r="F48" t="str">
        <x:v>unassigned</x:v>
      </x:c>
      <x:c r="G48" t="str">
        <x:v>none</x:v>
      </x:c>
      <x:c r="H48" t="str">
        <x:v>DORMANT</x:v>
      </x:c>
    </x:row>
    <x:row r="49">
      <x:c r="B49" t="str">
        <x:v>RAW-R043</x:v>
      </x:c>
      <x:c r="C49" t="str">
        <x:v>QT-05</x:v>
      </x:c>
      <x:c r="D49" t="str">
        <x:v>RFP-A1</x:v>
      </x:c>
      <x:c r="E49" t="n">
        <x:v>3</x:v>
      </x:c>
      <x:c r="F49" t="str">
        <x:v>unassigned</x:v>
      </x:c>
      <x:c r="G49" t="str">
        <x:v>none</x:v>
      </x:c>
      <x:c r="H49" t="str">
        <x:v>DORMANT</x:v>
      </x:c>
    </x:row>
    <x:row r="50">
      <x:c r="B50" t="str">
        <x:v>RAW-R044</x:v>
      </x:c>
      <x:c r="C50" t="str">
        <x:v>QT-05</x:v>
      </x:c>
      <x:c r="D50" t="str">
        <x:v>RFP-A2</x:v>
      </x:c>
      <x:c r="E50" t="n">
        <x:v>3</x:v>
      </x:c>
      <x:c r="F50" t="str">
        <x:v>unassigned</x:v>
      </x:c>
      <x:c r="G50" t="str">
        <x:v>none</x:v>
      </x:c>
      <x:c r="H50" t="str">
        <x:v>DORMANT</x:v>
      </x:c>
    </x:row>
    <x:row r="51">
      <x:c r="B51" t="str">
        <x:v>RAW-R045</x:v>
      </x:c>
      <x:c r="C51" t="str">
        <x:v>QT-05</x:v>
      </x:c>
      <x:c r="D51" t="str">
        <x:v>RFP-B1</x:v>
      </x:c>
      <x:c r="E51" t="n">
        <x:v>3</x:v>
      </x:c>
      <x:c r="F51" t="str">
        <x:v>unassigned</x:v>
      </x:c>
      <x:c r="G51" t="str">
        <x:v>none</x:v>
      </x:c>
      <x:c r="H51" t="str">
        <x:v>DORMANT</x:v>
      </x:c>
    </x:row>
    <x:row r="52">
      <x:c r="B52" t="str">
        <x:v>RAW-R046</x:v>
      </x:c>
      <x:c r="C52" t="str">
        <x:v>QT-05</x:v>
      </x:c>
      <x:c r="D52" t="str">
        <x:v>RFP-B2</x:v>
      </x:c>
      <x:c r="E52" t="n">
        <x:v>3</x:v>
      </x:c>
      <x:c r="F52" t="str">
        <x:v>unassigned</x:v>
      </x:c>
      <x:c r="G52" t="str">
        <x:v>none</x:v>
      </x:c>
      <x:c r="H52" t="str">
        <x:v>DORMANT</x:v>
      </x:c>
    </x:row>
    <x:row r="53">
      <x:c r="B53" t="str">
        <x:v>RAW-R047</x:v>
      </x:c>
      <x:c r="C53" t="str">
        <x:v>QT-05</x:v>
      </x:c>
      <x:c r="D53" t="str">
        <x:v>RFP-C1</x:v>
      </x:c>
      <x:c r="E53" t="n">
        <x:v>3</x:v>
      </x:c>
      <x:c r="F53" t="str">
        <x:v>unassigned</x:v>
      </x:c>
      <x:c r="G53" t="str">
        <x:v>none</x:v>
      </x:c>
      <x:c r="H53" t="str">
        <x:v>DORMANT</x:v>
      </x:c>
    </x:row>
    <x:row r="54">
      <x:c r="B54" t="str">
        <x:v>RAW-R048</x:v>
      </x:c>
      <x:c r="C54" t="str">
        <x:v>QT-05</x:v>
      </x:c>
      <x:c r="D54" t="str">
        <x:v>RFP-C2</x:v>
      </x:c>
      <x:c r="E54" t="n">
        <x:v>3</x:v>
      </x:c>
      <x:c r="F54" t="str">
        <x:v>unassigned</x:v>
      </x:c>
      <x:c r="G54" t="str">
        <x:v>none</x:v>
      </x:c>
      <x:c r="H54" t="str">
        <x:v>DORMANT</x:v>
      </x:c>
    </x:row>
    <x:row r="55">
      <x:c r="B55" t="str">
        <x:v>RAW-R049</x:v>
      </x:c>
      <x:c r="C55" t="str">
        <x:v>QT-05</x:v>
      </x:c>
      <x:c r="D55" t="str">
        <x:v>RFP-A1</x:v>
      </x:c>
      <x:c r="E55" t="n">
        <x:v>3</x:v>
      </x:c>
      <x:c r="F55" t="str">
        <x:v>unassigned</x:v>
      </x:c>
      <x:c r="G55" t="str">
        <x:v>none</x:v>
      </x:c>
      <x:c r="H55" t="str">
        <x:v>DORMANT</x:v>
      </x:c>
    </x:row>
    <x:row r="56">
      <x:c r="B56" t="str">
        <x:v>RAW-R050</x:v>
      </x:c>
      <x:c r="C56" t="str">
        <x:v>QT-05</x:v>
      </x:c>
      <x:c r="D56" t="str">
        <x:v>RFP-A2</x:v>
      </x:c>
      <x:c r="E56" t="n">
        <x:v>3</x:v>
      </x:c>
      <x:c r="F56" t="str">
        <x:v>unassigned</x:v>
      </x:c>
      <x:c r="G56" t="str">
        <x:v>none</x:v>
      </x:c>
      <x:c r="H56" t="str">
        <x:v>DORMANT</x:v>
      </x:c>
    </x:row>
    <x:row r="57">
      <x:c r="B57" t="str">
        <x:v>RAW-R051</x:v>
      </x:c>
      <x:c r="C57" t="str">
        <x:v>QT-05</x:v>
      </x:c>
      <x:c r="D57" t="str">
        <x:v>RFP-B1</x:v>
      </x:c>
      <x:c r="E57" t="n">
        <x:v>3</x:v>
      </x:c>
      <x:c r="F57" t="str">
        <x:v>unassigned</x:v>
      </x:c>
      <x:c r="G57" t="str">
        <x:v>none</x:v>
      </x:c>
      <x:c r="H57" t="str">
        <x:v>DORMANT</x:v>
      </x:c>
    </x:row>
    <x:row r="58">
      <x:c r="B58" t="str">
        <x:v>RAW-R052</x:v>
      </x:c>
      <x:c r="C58" t="str">
        <x:v>QT-05</x:v>
      </x:c>
      <x:c r="D58" t="str">
        <x:v>RFP-B2</x:v>
      </x:c>
      <x:c r="E58" t="n">
        <x:v>3</x:v>
      </x:c>
      <x:c r="F58" t="str">
        <x:v>unassigned</x:v>
      </x:c>
      <x:c r="G58" t="str">
        <x:v>none</x:v>
      </x:c>
      <x:c r="H58" t="str">
        <x:v>DORMANT</x:v>
      </x:c>
    </x:row>
    <x:row r="59">
      <x:c r="B59" t="str">
        <x:v>RAW-R053</x:v>
      </x:c>
      <x:c r="C59" t="str">
        <x:v>QT-05</x:v>
      </x:c>
      <x:c r="D59" t="str">
        <x:v>RFP-C1</x:v>
      </x:c>
      <x:c r="E59" t="n">
        <x:v>3</x:v>
      </x:c>
      <x:c r="F59" t="str">
        <x:v>unassigned</x:v>
      </x:c>
      <x:c r="G59" t="str">
        <x:v>none</x:v>
      </x:c>
      <x:c r="H59" t="str">
        <x:v>DORMANT</x:v>
      </x:c>
    </x:row>
    <x:row r="60">
      <x:c r="B60" t="str">
        <x:v>RAW-R054</x:v>
      </x:c>
      <x:c r="C60" t="str">
        <x:v>QT-05</x:v>
      </x:c>
      <x:c r="D60" t="str">
        <x:v>RFP-C2</x:v>
      </x:c>
      <x:c r="E60" t="n">
        <x:v>3</x:v>
      </x:c>
      <x:c r="F60" t="str">
        <x:v>unassigned</x:v>
      </x:c>
      <x:c r="G60" t="str">
        <x:v>none</x:v>
      </x:c>
      <x:c r="H60" t="str">
        <x:v>DORMANT</x:v>
      </x:c>
    </x:row>
    <x:row r="61">
      <x:c r="B61" t="str">
        <x:v>RAW-R055</x:v>
      </x:c>
      <x:c r="C61" t="str">
        <x:v>QT-05</x:v>
      </x:c>
      <x:c r="D61" t="str">
        <x:v>RFP-A1</x:v>
      </x:c>
      <x:c r="E61" t="n">
        <x:v>3</x:v>
      </x:c>
      <x:c r="F61" t="str">
        <x:v>unassigned</x:v>
      </x:c>
      <x:c r="G61" t="str">
        <x:v>none</x:v>
      </x:c>
      <x:c r="H61" t="str">
        <x:v>DORMANT</x:v>
      </x:c>
    </x:row>
    <x:row r="62">
      <x:c r="B62" t="str">
        <x:v>RAW-R056</x:v>
      </x:c>
      <x:c r="C62" t="str">
        <x:v>QT-06</x:v>
      </x:c>
      <x:c r="D62" t="str">
        <x:v>RFP-A2</x:v>
      </x:c>
      <x:c r="E62" t="n">
        <x:v>4</x:v>
      </x:c>
      <x:c r="F62" t="str">
        <x:v>unassigned</x:v>
      </x:c>
      <x:c r="G62" t="str">
        <x:v>none</x:v>
      </x:c>
      <x:c r="H62" t="str">
        <x:v>DORMANT</x:v>
      </x:c>
    </x:row>
    <x:row r="63">
      <x:c r="B63" t="str">
        <x:v>RAW-R057</x:v>
      </x:c>
      <x:c r="C63" t="str">
        <x:v>QT-06</x:v>
      </x:c>
      <x:c r="D63" t="str">
        <x:v>RFP-B1</x:v>
      </x:c>
      <x:c r="E63" t="n">
        <x:v>4</x:v>
      </x:c>
      <x:c r="F63" t="str">
        <x:v>unassigned</x:v>
      </x:c>
      <x:c r="G63" t="str">
        <x:v>none</x:v>
      </x:c>
      <x:c r="H63" t="str">
        <x:v>DORMANT</x:v>
      </x:c>
    </x:row>
    <x:row r="64">
      <x:c r="B64" t="str">
        <x:v>RAW-R058</x:v>
      </x:c>
      <x:c r="C64" t="str">
        <x:v>QT-06</x:v>
      </x:c>
      <x:c r="D64" t="str">
        <x:v>RFP-B2</x:v>
      </x:c>
      <x:c r="E64" t="n">
        <x:v>4</x:v>
      </x:c>
      <x:c r="F64" t="str">
        <x:v>unassigned</x:v>
      </x:c>
      <x:c r="G64" t="str">
        <x:v>none</x:v>
      </x:c>
      <x:c r="H64" t="str">
        <x:v>DORMANT</x:v>
      </x:c>
    </x:row>
    <x:row r="65">
      <x:c r="B65" t="str">
        <x:v>RAW-R059</x:v>
      </x:c>
      <x:c r="C65" t="str">
        <x:v>QT-06</x:v>
      </x:c>
      <x:c r="D65" t="str">
        <x:v>RFP-C1</x:v>
      </x:c>
      <x:c r="E65" t="n">
        <x:v>4</x:v>
      </x:c>
      <x:c r="F65" t="str">
        <x:v>unassigned</x:v>
      </x:c>
      <x:c r="G65" t="str">
        <x:v>none</x:v>
      </x:c>
      <x:c r="H65" t="str">
        <x:v>DORMANT</x:v>
      </x:c>
    </x:row>
    <x:row r="66">
      <x:c r="B66" t="str">
        <x:v>RAW-R060</x:v>
      </x:c>
      <x:c r="C66" t="str">
        <x:v>QT-06</x:v>
      </x:c>
      <x:c r="D66" t="str">
        <x:v>RFP-C2</x:v>
      </x:c>
      <x:c r="E66" t="n">
        <x:v>4</x:v>
      </x:c>
      <x:c r="F66" t="str">
        <x:v>unassigned</x:v>
      </x:c>
      <x:c r="G66" t="str">
        <x:v>none</x:v>
      </x:c>
      <x:c r="H66" t="str">
        <x:v>DORMANT</x:v>
      </x:c>
    </x:row>
    <x:row r="67">
      <x:c r="B67" t="str">
        <x:v>RAW-R061</x:v>
      </x:c>
      <x:c r="C67" t="str">
        <x:v>QT-06</x:v>
      </x:c>
      <x:c r="D67" t="str">
        <x:v>RFP-A1</x:v>
      </x:c>
      <x:c r="E67" t="n">
        <x:v>4</x:v>
      </x:c>
      <x:c r="F67" t="str">
        <x:v>unassigned</x:v>
      </x:c>
      <x:c r="G67" t="str">
        <x:v>none</x:v>
      </x:c>
      <x:c r="H67" t="str">
        <x:v>DORMANT</x:v>
      </x:c>
    </x:row>
    <x:row r="68">
      <x:c r="B68" t="str">
        <x:v>RAW-R062</x:v>
      </x:c>
      <x:c r="C68" t="str">
        <x:v>QT-06</x:v>
      </x:c>
      <x:c r="D68" t="str">
        <x:v>RFP-A2</x:v>
      </x:c>
      <x:c r="E68" t="n">
        <x:v>4</x:v>
      </x:c>
      <x:c r="F68" t="str">
        <x:v>unassigned</x:v>
      </x:c>
      <x:c r="G68" t="str">
        <x:v>none</x:v>
      </x:c>
      <x:c r="H68" t="str">
        <x:v>DORMANT</x:v>
      </x:c>
    </x:row>
    <x:row r="69">
      <x:c r="B69" t="str">
        <x:v>RAW-R063</x:v>
      </x:c>
      <x:c r="C69" t="str">
        <x:v>QT-06</x:v>
      </x:c>
      <x:c r="D69" t="str">
        <x:v>RFP-B1</x:v>
      </x:c>
      <x:c r="E69" t="n">
        <x:v>4</x:v>
      </x:c>
      <x:c r="F69" t="str">
        <x:v>unassigned</x:v>
      </x:c>
      <x:c r="G69" t="str">
        <x:v>none</x:v>
      </x:c>
      <x:c r="H69" t="str">
        <x:v>DORMANT</x:v>
      </x:c>
    </x:row>
    <x:row r="70">
      <x:c r="B70" t="str">
        <x:v>RAW-R064</x:v>
      </x:c>
      <x:c r="C70" t="str">
        <x:v>QT-06</x:v>
      </x:c>
      <x:c r="D70" t="str">
        <x:v>RFP-B2</x:v>
      </x:c>
      <x:c r="E70" t="n">
        <x:v>4</x:v>
      </x:c>
      <x:c r="F70" t="str">
        <x:v>unassigned</x:v>
      </x:c>
      <x:c r="G70" t="str">
        <x:v>none</x:v>
      </x:c>
      <x:c r="H70" t="str">
        <x:v>DORMANT</x:v>
      </x:c>
    </x:row>
    <x:row r="71">
      <x:c r="B71" t="str">
        <x:v>RAW-R065</x:v>
      </x:c>
      <x:c r="C71" t="str">
        <x:v>QT-06</x:v>
      </x:c>
      <x:c r="D71" t="str">
        <x:v>RFP-C1</x:v>
      </x:c>
      <x:c r="E71" t="n">
        <x:v>4</x:v>
      </x:c>
      <x:c r="F71" t="str">
        <x:v>unassigned</x:v>
      </x:c>
      <x:c r="G71" t="str">
        <x:v>none</x:v>
      </x:c>
      <x:c r="H71" t="str">
        <x:v>DORMANT</x:v>
      </x:c>
    </x:row>
    <x:row r="72">
      <x:c r="B72" t="str">
        <x:v>RAW-R066</x:v>
      </x:c>
      <x:c r="C72" t="str">
        <x:v>QT-06</x:v>
      </x:c>
      <x:c r="D72" t="str">
        <x:v>RFP-C2</x:v>
      </x:c>
      <x:c r="E72" t="n">
        <x:v>4</x:v>
      </x:c>
      <x:c r="F72" t="str">
        <x:v>unassigned</x:v>
      </x:c>
      <x:c r="G72" t="str">
        <x:v>none</x:v>
      </x:c>
      <x:c r="H72" t="str">
        <x:v>DORMANT</x:v>
      </x:c>
    </x:row>
    <x:row r="73">
      <x:c r="B73" t="str">
        <x:v>RAW-R067</x:v>
      </x:c>
      <x:c r="C73" t="str">
        <x:v>QT-06</x:v>
      </x:c>
      <x:c r="D73" t="str">
        <x:v>RFP-A1</x:v>
      </x:c>
      <x:c r="E73" t="n">
        <x:v>4</x:v>
      </x:c>
      <x:c r="F73" t="str">
        <x:v>unassigned</x:v>
      </x:c>
      <x:c r="G73" t="str">
        <x:v>none</x:v>
      </x:c>
      <x:c r="H73" t="str">
        <x:v>DORMANT</x:v>
      </x:c>
    </x:row>
    <x:row r="74">
      <x:c r="B74" t="str">
        <x:v>RAW-R068</x:v>
      </x:c>
      <x:c r="C74" t="str">
        <x:v>QT-06</x:v>
      </x:c>
      <x:c r="D74" t="str">
        <x:v>RFP-A2</x:v>
      </x:c>
      <x:c r="E74" t="n">
        <x:v>4</x:v>
      </x:c>
      <x:c r="F74" t="str">
        <x:v>unassigned</x:v>
      </x:c>
      <x:c r="G74" t="str">
        <x:v>none</x:v>
      </x:c>
      <x:c r="H74" t="str">
        <x:v>DORMANT</x:v>
      </x:c>
    </x:row>
    <x:row r="75">
      <x:c r="B75" t="str">
        <x:v>RAW-R069</x:v>
      </x:c>
      <x:c r="C75" t="str">
        <x:v>QT-06</x:v>
      </x:c>
      <x:c r="D75" t="str">
        <x:v>RFP-B1</x:v>
      </x:c>
      <x:c r="E75" t="n">
        <x:v>4</x:v>
      </x:c>
      <x:c r="F75" t="str">
        <x:v>unassigned</x:v>
      </x:c>
      <x:c r="G75" t="str">
        <x:v>none</x:v>
      </x:c>
      <x:c r="H75" t="str">
        <x:v>DORMANT</x:v>
      </x:c>
    </x:row>
    <x:row r="76">
      <x:c r="B76" t="str">
        <x:v>RAW-R070</x:v>
      </x:c>
      <x:c r="C76" t="str">
        <x:v>QT-06</x:v>
      </x:c>
      <x:c r="D76" t="str">
        <x:v>RFP-B2</x:v>
      </x:c>
      <x:c r="E76" t="n">
        <x:v>4</x:v>
      </x:c>
      <x:c r="F76" t="str">
        <x:v>unassigned</x:v>
      </x:c>
      <x:c r="G76" t="str">
        <x:v>none</x:v>
      </x:c>
      <x:c r="H76" t="str">
        <x:v>DORMANT</x:v>
      </x:c>
    </x:row>
    <x:row r="77">
      <x:c r="B77" t="str">
        <x:v>RAW-R071</x:v>
      </x:c>
      <x:c r="C77" t="str">
        <x:v>QT-06</x:v>
      </x:c>
      <x:c r="D77" t="str">
        <x:v>RFP-C1</x:v>
      </x:c>
      <x:c r="E77" t="n">
        <x:v>4</x:v>
      </x:c>
      <x:c r="F77" t="str">
        <x:v>unassigned</x:v>
      </x:c>
      <x:c r="G77" t="str">
        <x:v>none</x:v>
      </x:c>
      <x:c r="H77" t="str">
        <x:v>DORMANT</x:v>
      </x:c>
    </x:row>
    <x:row r="78">
      <x:c r="B78" t="str">
        <x:v>RAW-R072</x:v>
      </x:c>
      <x:c r="C78" t="str">
        <x:v>QT-06</x:v>
      </x:c>
      <x:c r="D78" t="str">
        <x:v>RFP-C2</x:v>
      </x:c>
      <x:c r="E78" t="n">
        <x:v>4</x:v>
      </x:c>
      <x:c r="F78" t="str">
        <x:v>unassigned</x:v>
      </x:c>
      <x:c r="G78" t="str">
        <x:v>none</x:v>
      </x:c>
      <x:c r="H78" t="str">
        <x:v>DORMANT</x:v>
      </x:c>
    </x:row>
    <x:row r="79">
      <x:c r="B79" t="str">
        <x:v>RAW-R073</x:v>
      </x:c>
      <x:c r="C79" t="str">
        <x:v>QT-06</x:v>
      </x:c>
      <x:c r="D79" t="str">
        <x:v>RFP-A1</x:v>
      </x:c>
      <x:c r="E79" t="n">
        <x:v>4</x:v>
      </x:c>
      <x:c r="F79" t="str">
        <x:v>unassigned</x:v>
      </x:c>
      <x:c r="G79" t="str">
        <x:v>none</x:v>
      </x:c>
      <x:c r="H79" t="str">
        <x:v>DORMANT</x:v>
      </x:c>
    </x:row>
    <x:row r="80">
      <x:c r="B80" t="str">
        <x:v>RAW-R074</x:v>
      </x:c>
      <x:c r="C80" t="str">
        <x:v>QT-06</x:v>
      </x:c>
      <x:c r="D80" t="str">
        <x:v>RFP-A2</x:v>
      </x:c>
      <x:c r="E80" t="n">
        <x:v>4</x:v>
      </x:c>
      <x:c r="F80" t="str">
        <x:v>unassigned</x:v>
      </x:c>
      <x:c r="G80" t="str">
        <x:v>none</x:v>
      </x:c>
      <x:c r="H80" t="str">
        <x:v>DORMANT</x:v>
      </x:c>
    </x:row>
    <x:row r="81">
      <x:c r="B81" t="str">
        <x:v>RAW-R075</x:v>
      </x:c>
      <x:c r="C81" t="str">
        <x:v>QT-06</x:v>
      </x:c>
      <x:c r="D81" t="str">
        <x:v>RFP-B1</x:v>
      </x:c>
      <x:c r="E81" t="n">
        <x:v>4</x:v>
      </x:c>
      <x:c r="F81" t="str">
        <x:v>unassigned</x:v>
      </x:c>
      <x:c r="G81" t="str">
        <x:v>none</x:v>
      </x:c>
      <x:c r="H81" t="str">
        <x:v>DORMANT</x:v>
      </x:c>
    </x:row>
  </x:sheetData>
  <x:conditionalFormatting sqref="H7:H81">
    <x:cfRule type="containsText" dxfId="168" priority="1" operator="containsText" text="FAIL"/>
    <x:cfRule type="containsText" dxfId="169" priority="2" operator="containsText" text="INVALID"/>
    <x:cfRule type="containsText" dxfId="170" priority="3" operator="containsText" text="BLOCKED"/>
    <x:cfRule type="containsText" dxfId="171" priority="4" operator="containsText" text="OPEN"/>
    <x:cfRule type="containsText" dxfId="172" priority="5" operator="containsText" text="GAP"/>
    <x:cfRule type="containsText" dxfId="173" priority="6" operator="containsText" text="DORMANT"/>
    <x:cfRule type="containsText" dxfId="174" priority="7" operator="containsText" text="PASS"/>
    <x:cfRule type="containsText" dxfId="175" priority="8" operator="containsText" text="VALI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8" hidden="0" customWidth="1"/>
    <x:col min="3" max="3" width="20" hidden="0" customWidth="1"/>
    <x:col min="4" max="4" width="18" hidden="0" customWidth="1"/>
    <x:col min="5" max="5" width="55" hidden="0" customWidth="1"/>
  </x:cols>
  <x:sheetData>
    <x:row r="2">
      <x:c r="B2" s="1" t="str">
        <x:v>Qualification evidence provision</x:v>
      </x:c>
    </x:row>
    <x:row r="3">
      <x:c r="B3" s="2" t="str">
        <x:v>Every trial retains native public observations; derived results never replace them.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Input or result</x:v>
      </x:c>
      <x:c r="C6" s="7" t="str">
        <x:v>Value</x:v>
      </x:c>
      <x:c r="D6" s="7" t="str">
        <x:v>Unit</x:v>
      </x:c>
      <x:c r="E6" s="7" t="str">
        <x:v>Formula role</x:v>
      </x:c>
    </x:row>
    <x:row r="7">
      <x:c r="B7" t="str">
        <x:v>base credits</x:v>
      </x:c>
      <x:c r="C7" t="n">
        <x:f>Controls!$D$11</x:f>
        <x:v>360</x:v>
      </x:c>
      <x:c r="D7" t="str">
        <x:v>trials</x:v>
      </x:c>
      <x:c r="E7" t="str">
        <x:v>required valid population</x:v>
      </x:c>
    </x:row>
    <x:row r="8">
      <x:c r="B8" t="str">
        <x:v>reserve attempts</x:v>
      </x:c>
      <x:c r="C8" t="n">
        <x:f>Controls!$D$12</x:f>
        <x:v>75</x:v>
      </x:c>
      <x:c r="D8" t="str">
        <x:v>trials</x:v>
      </x:c>
      <x:c r="E8" t="str">
        <x:v>invalid-attempt provision</x:v>
      </x:c>
    </x:row>
    <x:row r="9">
      <x:c r="B9" t="str">
        <x:v>native data rate</x:v>
      </x:c>
      <x:c r="C9" t="n">
        <x:f>Controls!$D$13</x:f>
        <x:v>53.40384</x:v>
      </x:c>
      <x:c r="D9" t="str">
        <x:v>MB/s</x:v>
      </x:c>
      <x:c r="E9" t="str">
        <x:v>public rig rate</x:v>
      </x:c>
    </x:row>
    <x:row r="10">
      <x:c r="B10" t="str">
        <x:v>full-rate interval</x:v>
      </x:c>
      <x:c r="C10" t="n">
        <x:f>Controls!$D$14</x:f>
        <x:v>600</x:v>
      </x:c>
      <x:c r="D10" t="str">
        <x:v>s</x:v>
      </x:c>
      <x:c r="E10" t="str">
        <x:v>registered interval</x:v>
      </x:c>
    </x:row>
    <x:row r="11">
      <x:c r="B11" t="str">
        <x:v>tail interval</x:v>
      </x:c>
      <x:c r="C11" t="n">
        <x:f>Controls!$D$15</x:f>
        <x:v>21600</x:v>
      </x:c>
      <x:c r="D11" t="str">
        <x:v>s</x:v>
      </x:c>
      <x:c r="E11" t="str">
        <x:v>six-hour tail</x:v>
      </x:c>
    </x:row>
    <x:row r="12">
      <x:c r="B12" t="str">
        <x:v>tail fraction</x:v>
      </x:c>
      <x:c r="C12" t="n">
        <x:f>Controls!$D$16</x:f>
        <x:v>0.01</x:v>
      </x:c>
      <x:c r="D12" t="str">
        <x:v>ratio</x:v>
      </x:c>
      <x:c r="E12" t="str">
        <x:v>reduced-rate share</x:v>
      </x:c>
    </x:row>
    <x:row r="13">
      <x:c r="B13" t="str">
        <x:v>native originals</x:v>
      </x:c>
      <x:c r="C13" t="n">
        <x:f>Controls!$D$17</x:f>
        <x:v>2</x:v>
      </x:c>
      <x:c r="D13" t="str">
        <x:v>count</x:v>
      </x:c>
      <x:c r="E13" t="str">
        <x:v>independent originals</x:v>
      </x:c>
    </x:row>
    <x:row r="14">
      <x:c r="B14" t="str">
        <x:v>custody factor</x:v>
      </x:c>
      <x:c r="C14" t="n">
        <x:f>Controls!$D$18</x:f>
        <x:v>1.35</x:v>
      </x:c>
      <x:c r="D14" t="str">
        <x:v>ratio</x:v>
      </x:c>
      <x:c r="E14" t="str">
        <x:v>index and custody burden</x:v>
      </x:c>
    </x:row>
    <x:row r="15">
      <x:c r="B15" t="str">
        <x:v>forensic overhead</x:v>
      </x:c>
      <x:c r="C15" t="n">
        <x:f>Controls!$D$19</x:f>
        <x:v>0.3</x:v>
      </x:c>
      <x:c r="D15" t="str">
        <x:v>ratio</x:v>
      </x:c>
      <x:c r="E15" t="str">
        <x:v>truth articles, samples and replay</x:v>
      </x:c>
    </x:row>
    <x:row r="16">
      <x:c r="B16" s="12" t="str">
        <x:v>GB per trial</x:v>
      </x:c>
      <x:c r="C16" s="12" t="n">
        <x:f>C9*(C10+C11*C12)*C13*C14/1000</x:f>
        <x:v>117.65934028800001</x:v>
      </x:c>
      <x:c r="D16" s="12" t="str">
        <x:v>GB</x:v>
      </x:c>
      <x:c r="E16" s="12" t="str">
        <x:v>native trial record</x:v>
      </x:c>
    </x:row>
    <x:row r="17">
      <x:c r="B17" s="12" t="str">
        <x:v>base evidence</x:v>
      </x:c>
      <x:c r="C17" s="12" t="n">
        <x:f>C7*C16/1000</x:f>
        <x:v>42.35736250368</x:v>
      </x:c>
      <x:c r="D17" s="12" t="str">
        <x:v>TB</x:v>
      </x:c>
      <x:c r="E17" s="12" t="str">
        <x:v>360 credits</x:v>
      </x:c>
    </x:row>
    <x:row r="18">
      <x:c r="B18" s="12" t="str">
        <x:v>base plus reserve</x:v>
      </x:c>
      <x:c r="C18" s="12" t="n">
        <x:f>(C7+C8)*C16/1000*(1+C15)</x:f>
        <x:v>66.53635693286401</x:v>
      </x:c>
      <x:c r="D18" s="12" t="str">
        <x:v>TB</x:v>
      </x:c>
      <x:c r="E18" s="12" t="str">
        <x:v>435 attempts plus forensic overhead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2" hidden="0" customWidth="1"/>
    <x:col min="4" max="4" width="89" hidden="0" customWidth="1"/>
    <x:col min="5" max="5" width="21" hidden="0" customWidth="1"/>
    <x:col min="6" max="6" width="14" hidden="0" customWidth="1"/>
  </x:cols>
  <x:sheetData>
    <x:row r="2">
      <x:c r="B2" s="1" t="str">
        <x:v>Twelve immutable qualification objects</x:v>
      </x:c>
    </x:row>
    <x:row r="3">
      <x:c r="B3" s="2" t="str">
        <x:v>Another campus must be able to reconstruct the method and decision without origin-site service.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Object</x:v>
      </x:c>
      <x:c r="C6" s="7" t="str">
        <x:v>Record</x:v>
      </x:c>
      <x:c r="D6" s="7" t="str">
        <x:v>Required contents</x:v>
      </x:c>
      <x:c r="E6" s="7" t="str">
        <x:v>Accepted UTC</x:v>
      </x:c>
      <x:c r="F6" s="7" t="str">
        <x:v>State</x:v>
      </x:c>
    </x:row>
    <x:row r="7" ht="42" customHeight="1">
      <x:c r="B7" t="str">
        <x:v>EV-01</x:v>
      </x:c>
      <x:c r="C7" t="str">
        <x:v>trial configuration</x:v>
      </x:c>
      <x:c r="D7" s="10" t="str">
        <x:v>article, rig, envelope, method, truth-root and software ancestry</x:v>
      </x:c>
      <x:c r="E7" t="str"/>
      <x:c r="F7" t="str">
        <x:v>OPEN</x:v>
      </x:c>
    </x:row>
    <x:row r="8" ht="42" customHeight="1">
      <x:c r="B8" t="str">
        <x:v>EV-02</x:v>
      </x:c>
      <x:c r="C8" t="str">
        <x:v>truth artifact</x:v>
      </x:c>
      <x:c r="D8" s="10" t="str">
        <x:v>serial, characteristics, calibration, storage and custody</x:v>
      </x:c>
      <x:c r="E8" t="str"/>
      <x:c r="F8" t="str">
        <x:v>OPEN</x:v>
      </x:c>
    </x:row>
    <x:row r="9" ht="42" customHeight="1">
      <x:c r="B9" t="str">
        <x:v>EV-03</x:v>
      </x:c>
      <x:c r="C9" t="str">
        <x:v>challenge state</x:v>
      </x:c>
      <x:c r="D9" s="10" t="str">
        <x:v>native physical state, dwell, blindness and witness</x:v>
      </x:c>
      <x:c r="E9" t="str"/>
      <x:c r="F9" t="str">
        <x:v>OPEN</x:v>
      </x:c>
    </x:row>
    <x:row r="10" ht="42" customHeight="1">
      <x:c r="B10" t="str">
        <x:v>EV-04</x:v>
      </x:c>
      <x:c r="C10" t="str">
        <x:v>native original A</x:v>
      </x:c>
      <x:c r="D10" s="10" t="str">
        <x:v>complete public acquisition and event time</x:v>
      </x:c>
      <x:c r="E10" t="str"/>
      <x:c r="F10" t="str">
        <x:v>OPEN</x:v>
      </x:c>
    </x:row>
    <x:row r="11" ht="42" customHeight="1">
      <x:c r="B11" t="str">
        <x:v>EV-05</x:v>
      </x:c>
      <x:c r="C11" t="str">
        <x:v>native original B</x:v>
      </x:c>
      <x:c r="D11" s="10" t="str">
        <x:v>separate complete public acquisition and event time</x:v>
      </x:c>
      <x:c r="E11" t="str"/>
      <x:c r="F11" t="str">
        <x:v>OPEN</x:v>
      </x:c>
    </x:row>
    <x:row r="12" ht="42" customHeight="1">
      <x:c r="B12" t="str">
        <x:v>EV-06</x:v>
      </x:c>
      <x:c r="C12" t="str">
        <x:v>outside-site copy</x:v>
      </x:c>
      <x:c r="D12" s="10" t="str">
        <x:v>portable packet received before origin-site replay</x:v>
      </x:c>
      <x:c r="E12" t="str"/>
      <x:c r="F12" t="str">
        <x:v>OPEN</x:v>
      </x:c>
    </x:row>
    <x:row r="13" ht="42" customHeight="1">
      <x:c r="B13" t="str">
        <x:v>EV-07</x:v>
      </x:c>
      <x:c r="C13" t="str">
        <x:v>command and safeing</x:v>
      </x:c>
      <x:c r="D13" s="10" t="str">
        <x:v>issuer, threshold, vote, final element and consequence</x:v>
      </x:c>
      <x:c r="E13" t="str"/>
      <x:c r="F13" t="str">
        <x:v>OPEN</x:v>
      </x:c>
    </x:row>
    <x:row r="14" ht="42" customHeight="1">
      <x:c r="B14" t="str">
        <x:v>EV-08</x:v>
      </x:c>
      <x:c r="C14" t="str">
        <x:v>inventory closure</x:v>
      </x:c>
      <x:c r="D14" s="10" t="str">
        <x:v>water, surrogate, tracer, residue and casualty custody</x:v>
      </x:c>
      <x:c r="E14" t="str"/>
      <x:c r="F14" t="str">
        <x:v>OPEN</x:v>
      </x:c>
    </x:row>
    <x:row r="15" ht="42" customHeight="1">
      <x:c r="B15" t="str">
        <x:v>EV-09</x:v>
      </x:c>
      <x:c r="C15" t="str">
        <x:v>fault and denial</x:v>
      </x:c>
      <x:c r="D15" s="10" t="str">
        <x:v>seed truth, denied chain, survivor and detection</x:v>
      </x:c>
      <x:c r="E15" t="str"/>
      <x:c r="F15" t="str">
        <x:v>OPEN</x:v>
      </x:c>
    </x:row>
    <x:row r="16" ht="42" customHeight="1">
      <x:c r="B16" t="str">
        <x:v>EV-10</x:v>
      </x:c>
      <x:c r="C16" t="str">
        <x:v>uncertainty</x:v>
      </x:c>
      <x:c r="D16" s="10" t="str">
        <x:v>components, covariance decision and expanded interval</x:v>
      </x:c>
      <x:c r="E16" t="str"/>
      <x:c r="F16" t="str">
        <x:v>OPEN</x:v>
      </x:c>
    </x:row>
    <x:row r="17" ht="42" customHeight="1">
      <x:c r="B17" t="str">
        <x:v>EV-11</x:v>
      </x:c>
      <x:c r="C17" t="str">
        <x:v>independent disposition</x:v>
      </x:c>
      <x:c r="D17" s="10" t="str">
        <x:v>validity, truth containment, credit and method decision</x:v>
      </x:c>
      <x:c r="E17" t="str"/>
      <x:c r="F17" t="str">
        <x:v>OPEN</x:v>
      </x:c>
    </x:row>
    <x:row r="18" ht="42" customHeight="1">
      <x:c r="B18" t="str">
        <x:v>EV-12</x:v>
      </x:c>
      <x:c r="C18" t="str">
        <x:v>reproduction package</x:v>
      </x:c>
      <x:c r="D18" s="10" t="str">
        <x:v>portable method, data, code, environment and exact version</x:v>
      </x:c>
      <x:c r="E18" t="str"/>
      <x:c r="F18" t="str">
        <x:v>OPEN</x:v>
      </x:c>
    </x:row>
  </x:sheetData>
  <x:conditionalFormatting sqref="F7:F18">
    <x:cfRule type="containsText" dxfId="176" priority="1" operator="containsText" text="FAIL"/>
    <x:cfRule type="containsText" dxfId="177" priority="2" operator="containsText" text="INVALID"/>
    <x:cfRule type="containsText" dxfId="178" priority="3" operator="containsText" text="BLOCKED"/>
    <x:cfRule type="containsText" dxfId="179" priority="4" operator="containsText" text="OPEN"/>
    <x:cfRule type="containsText" dxfId="180" priority="5" operator="containsText" text="GAP"/>
    <x:cfRule type="containsText" dxfId="181" priority="6" operator="containsText" text="DORMANT"/>
    <x:cfRule type="containsText" dxfId="182" priority="7" operator="containsText" text="PASS"/>
    <x:cfRule type="containsText" dxfId="183" priority="8" operator="containsText" text="VALI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84" hidden="0" customWidth="1"/>
  </x:cols>
  <x:sheetData>
    <x:row r="2">
      <x:c r="B2" s="1" t="str">
        <x:v>Fourteen anti-erasure change classes</x:v>
      </x:c>
    </x:row>
    <x:row r="3">
      <x:c r="B3" s="2" t="str">
        <x:v>Qualification learning changes prospective versions while preserving every prior trial and decision.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Class</x:v>
      </x:c>
      <x:c r="C6" s="7" t="str">
        <x:v>Change</x:v>
      </x:c>
      <x:c r="D6" s="7" t="str">
        <x:v>Record treatment</x:v>
      </x:c>
    </x:row>
    <x:row r="7" ht="40" customHeight="1">
      <x:c r="B7" t="str">
        <x:v>AC-01</x:v>
      </x:c>
      <x:c r="C7" s="10" t="str">
        <x:v>pre-freeze correction</x:v>
      </x:c>
      <x:c r="D7" s="10" t="str">
        <x:v>replace draft and retain review history</x:v>
      </x:c>
    </x:row>
    <x:row r="8" ht="40" customHeight="1">
      <x:c r="B8" t="str">
        <x:v>AC-02</x:v>
      </x:c>
      <x:c r="C8" s="10" t="str">
        <x:v>post-freeze clerical defect</x:v>
      </x:c>
      <x:c r="D8" s="10" t="str">
        <x:v>append correction and preserve original</x:v>
      </x:c>
    </x:row>
    <x:row r="9" ht="40" customHeight="1">
      <x:c r="B9" t="str">
        <x:v>AC-03</x:v>
      </x:c>
      <x:c r="C9" s="10" t="str">
        <x:v>safety-critical discovery</x:v>
      </x:c>
      <x:c r="D9" s="10" t="str">
        <x:v>immediate hold and prospective method revision</x:v>
      </x:c>
    </x:row>
    <x:row r="10" ht="40" customHeight="1">
      <x:c r="B10" t="str">
        <x:v>AC-04</x:v>
      </x:c>
      <x:c r="C10" s="10" t="str">
        <x:v>truth-artifact substitution</x:v>
      </x:c>
      <x:c r="D10" s="10" t="str">
        <x:v>new serial and new ancestry packet</x:v>
      </x:c>
    </x:row>
    <x:row r="11" ht="40" customHeight="1">
      <x:c r="B11" t="str">
        <x:v>AC-05</x:v>
      </x:c>
      <x:c r="C11" s="10" t="str">
        <x:v>truth-root change</x:v>
      </x:c>
      <x:c r="D11" s="10" t="str">
        <x:v>new qualification version; prior root remains</x:v>
      </x:c>
    </x:row>
    <x:row r="12" ht="40" customHeight="1">
      <x:c r="B12" t="str">
        <x:v>AC-06</x:v>
      </x:c>
      <x:c r="C12" s="10" t="str">
        <x:v>tolerance change</x:v>
      </x:c>
      <x:c r="D12" s="10" t="str">
        <x:v>new envelope and new required trial identity</x:v>
      </x:c>
    </x:row>
    <x:row r="13" ht="40" customHeight="1">
      <x:c r="B13" t="str">
        <x:v>AC-07</x:v>
      </x:c>
      <x:c r="C13" s="10" t="str">
        <x:v>calibration change</x:v>
      </x:c>
      <x:c r="D13" s="10" t="str">
        <x:v>new chain and affected-trial review</x:v>
      </x:c>
    </x:row>
    <x:row r="14" ht="40" customHeight="1">
      <x:c r="B14" t="str">
        <x:v>AC-08</x:v>
      </x:c>
      <x:c r="C14" s="10" t="str">
        <x:v>feature-software change</x:v>
      </x:c>
      <x:c r="D14" s="10" t="str">
        <x:v>retain both outputs and reprocess affected set</x:v>
      </x:c>
    </x:row>
    <x:row r="15" ht="40" customHeight="1">
      <x:c r="B15" t="str">
        <x:v>AC-09</x:v>
      </x:c>
      <x:c r="C15" s="10" t="str">
        <x:v>missing-data change</x:v>
      </x:c>
      <x:c r="D15" s="10" t="str">
        <x:v>prospective unless complete readjudication</x:v>
      </x:c>
    </x:row>
    <x:row r="16" ht="40" customHeight="1">
      <x:c r="B16" t="str">
        <x:v>AC-10</x:v>
      </x:c>
      <x:c r="C16" s="10" t="str">
        <x:v>site-procedure change</x:v>
      </x:c>
      <x:c r="D16" s="10" t="str">
        <x:v>new site-method version and equivalence review</x:v>
      </x:c>
    </x:row>
    <x:row r="17" ht="40" customHeight="1">
      <x:c r="B17" t="str">
        <x:v>AC-11</x:v>
      </x:c>
      <x:c r="C17" s="10" t="str">
        <x:v>reserve assignment</x:v>
      </x:c>
      <x:c r="D17" s="10" t="str">
        <x:v>link invalid original, cause, correction and replacement</x:v>
      </x:c>
    </x:row>
    <x:row r="18" ht="40" customHeight="1">
      <x:c r="B18" t="str">
        <x:v>AC-12</x:v>
      </x:c>
      <x:c r="C18" s="10" t="str">
        <x:v>credit correction</x:v>
      </x:c>
      <x:c r="D18" s="10" t="str">
        <x:v>append board decision and reason</x:v>
      </x:c>
    </x:row>
    <x:row r="19" ht="40" customHeight="1">
      <x:c r="B19" t="str">
        <x:v>AC-13</x:v>
      </x:c>
      <x:c r="C19" s="10" t="str">
        <x:v>replay-package change</x:v>
      </x:c>
      <x:c r="D19" s="10" t="str">
        <x:v>replay all affected portable originals</x:v>
      </x:c>
    </x:row>
    <x:row r="20" ht="40" customHeight="1">
      <x:c r="B20" t="str">
        <x:v>AC-14</x:v>
      </x:c>
      <x:c r="C20" s="10" t="str">
        <x:v>public-safeing change</x:v>
      </x:c>
      <x:c r="D20" s="10" t="str">
        <x:v>requalify command, denial and native evidence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8" hidden="0" customWidth="1"/>
    <x:col min="4" max="4" width="74" hidden="0" customWidth="1"/>
    <x:col min="5" max="5" width="21" hidden="0" customWidth="1"/>
    <x:col min="6" max="6" width="14" hidden="0" customWidth="1"/>
  </x:cols>
  <x:sheetData>
    <x:row r="2">
      <x:c r="B2" s="1" t="str">
        <x:v>Sixteen physical and analytical change triggers</x:v>
      </x:c>
    </x:row>
    <x:row r="3">
      <x:c r="B3" s="2" t="str">
        <x:v>A repaired or revised object returns only after its affected qualification set is reaccepted.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Regression</x:v>
      </x:c>
      <x:c r="C6" s="7" t="str">
        <x:v>Changed object</x:v>
      </x:c>
      <x:c r="D6" s="7" t="str">
        <x:v>Required regression</x:v>
      </x:c>
      <x:c r="E6" s="7" t="str">
        <x:v>Accepted UTC</x:v>
      </x:c>
      <x:c r="F6" s="7" t="str">
        <x:v>State</x:v>
      </x:c>
    </x:row>
    <x:row r="7" ht="42" customHeight="1">
      <x:c r="B7" t="str">
        <x:v>RG-01</x:v>
      </x:c>
      <x:c r="C7" s="10" t="str">
        <x:v>terrain cassette or panel</x:v>
      </x:c>
      <x:c r="D7" s="10" t="str">
        <x:v>AM-00 and AM-03 geometry, load and state</x:v>
      </x:c>
      <x:c r="E7" t="str"/>
      <x:c r="F7" t="str">
        <x:v>OPEN</x:v>
      </x:c>
    </x:row>
    <x:row r="8" ht="42" customHeight="1">
      <x:c r="B8" t="str">
        <x:v>RG-02</x:v>
      </x:c>
      <x:c r="C8" s="10" t="str">
        <x:v>drain cartridge or gallery</x:v>
      </x:c>
      <x:c r="D8" s="10" t="str">
        <x:v>AM-01 through AM-04 flow, ancestry and recovery</x:v>
      </x:c>
      <x:c r="E8" t="str"/>
      <x:c r="F8" t="str">
        <x:v>OPEN</x:v>
      </x:c>
    </x:row>
    <x:row r="9" ht="42" customHeight="1">
      <x:c r="B9" t="str">
        <x:v>RG-03</x:v>
      </x:c>
      <x:c r="C9" s="10" t="str">
        <x:v>water supply or return</x:v>
      </x:c>
      <x:c r="D9" s="10" t="str">
        <x:v>AM-01 through AM-04 flow and inventory</x:v>
      </x:c>
      <x:c r="E9" t="str"/>
      <x:c r="F9" t="str">
        <x:v>OPEN</x:v>
      </x:c>
    </x:row>
    <x:row r="10" ht="42" customHeight="1">
      <x:c r="B10" t="str">
        <x:v>RG-04</x:v>
      </x:c>
      <x:c r="C10" s="10" t="str">
        <x:v>surrogate preparation</x:v>
      </x:c>
      <x:c r="D10" s="10" t="str">
        <x:v>AM-02 property and homogeneity</x:v>
      </x:c>
      <x:c r="E10" t="str"/>
      <x:c r="F10" t="str">
        <x:v>OPEN</x:v>
      </x:c>
    </x:row>
    <x:row r="11" ht="42" customHeight="1">
      <x:c r="B11" t="str">
        <x:v>RG-05</x:v>
      </x:c>
      <x:c r="C11" s="10" t="str">
        <x:v>tracer preparation</x:v>
      </x:c>
      <x:c r="D11" s="10" t="str">
        <x:v>AM-04 identity, cross-talk and fractionation</x:v>
      </x:c>
      <x:c r="E11" t="str"/>
      <x:c r="F11" t="str">
        <x:v>OPEN</x:v>
      </x:c>
    </x:row>
    <x:row r="12" ht="42" customHeight="1">
      <x:c r="B12" t="str">
        <x:v>RG-06</x:v>
      </x:c>
      <x:c r="C12" s="10" t="str">
        <x:v>debris article</x:v>
      </x:c>
      <x:c r="D12" s="10" t="str">
        <x:v>AM-03 count, mass, spatial state and recovery</x:v>
      </x:c>
      <x:c r="E12" t="str"/>
      <x:c r="F12" t="str">
        <x:v>OPEN</x:v>
      </x:c>
    </x:row>
    <x:row r="13" ht="42" customHeight="1">
      <x:c r="B13" t="str">
        <x:v>RG-07</x:v>
      </x:c>
      <x:c r="C13" s="10" t="str">
        <x:v>coordinate reference</x:v>
      </x:c>
      <x:c r="D13" s="10" t="str">
        <x:v>AM-00 through AM-04 geometry</x:v>
      </x:c>
      <x:c r="E13" t="str"/>
      <x:c r="F13" t="str">
        <x:v>OPEN</x:v>
      </x:c>
    </x:row>
    <x:row r="14" ht="42" customHeight="1">
      <x:c r="B14" t="str">
        <x:v>RG-08</x:v>
      </x:c>
      <x:c r="C14" s="10" t="str">
        <x:v>time node</x:v>
      </x:c>
      <x:c r="D14" s="10" t="str">
        <x:v>all method timing and causal order</x:v>
      </x:c>
      <x:c r="E14" t="str"/>
      <x:c r="F14" t="str">
        <x:v>OPEN</x:v>
      </x:c>
    </x:row>
    <x:row r="15" ht="42" customHeight="1">
      <x:c r="B15" t="str">
        <x:v>RG-09</x:v>
      </x:c>
      <x:c r="C15" s="10" t="str">
        <x:v>native evidence path</x:v>
      </x:c>
      <x:c r="D15" s="10" t="str">
        <x:v>all methods, both originals and replay</x:v>
      </x:c>
      <x:c r="E15" t="str"/>
      <x:c r="F15" t="str">
        <x:v>OPEN</x:v>
      </x:c>
    </x:row>
    <x:row r="16" ht="42" customHeight="1">
      <x:c r="B16" t="str">
        <x:v>RG-10</x:v>
      </x:c>
      <x:c r="C16" s="10" t="str">
        <x:v>truth artifact software</x:v>
      </x:c>
      <x:c r="D16" s="10" t="str">
        <x:v>full artifact family and affected trials</x:v>
      </x:c>
      <x:c r="E16" t="str"/>
      <x:c r="F16" t="str">
        <x:v>OPEN</x:v>
      </x:c>
    </x:row>
    <x:row r="17" ht="42" customHeight="1">
      <x:c r="B17" t="str">
        <x:v>RG-11</x:v>
      </x:c>
      <x:c r="C17" s="10" t="str">
        <x:v>public command logic</x:v>
      </x:c>
      <x:c r="D17" s="10" t="str">
        <x:v>all method commands and final elements</x:v>
      </x:c>
      <x:c r="E17" t="str"/>
      <x:c r="F17" t="str">
        <x:v>OPEN</x:v>
      </x:c>
    </x:row>
    <x:row r="18" ht="42" customHeight="1">
      <x:c r="B18" t="str">
        <x:v>RG-12</x:v>
      </x:c>
      <x:c r="C18" s="10" t="str">
        <x:v>blind custody process</x:v>
      </x:c>
      <x:c r="D18" s="10" t="str">
        <x:v>QT-04 and QT-05 across affected methods</x:v>
      </x:c>
      <x:c r="E18" t="str"/>
      <x:c r="F18" t="str">
        <x:v>OPEN</x:v>
      </x:c>
    </x:row>
    <x:row r="19" ht="42" customHeight="1">
      <x:c r="B19" t="str">
        <x:v>RG-13</x:v>
      </x:c>
      <x:c r="C19" s="10" t="str">
        <x:v>truth estimator</x:v>
      </x:c>
      <x:c r="D19" s="10" t="str">
        <x:v>all affected reported intervals</x:v>
      </x:c>
      <x:c r="E19" t="str"/>
      <x:c r="F19" t="str">
        <x:v>OPEN</x:v>
      </x:c>
    </x:row>
    <x:row r="20" ht="42" customHeight="1">
      <x:c r="B20" t="str">
        <x:v>RG-14</x:v>
      </x:c>
      <x:c r="C20" s="10" t="str">
        <x:v>uncertainty model</x:v>
      </x:c>
      <x:c r="D20" s="10" t="str">
        <x:v>all affected envelopes and credit decisions</x:v>
      </x:c>
      <x:c r="E20" t="str"/>
      <x:c r="F20" t="str">
        <x:v>OPEN</x:v>
      </x:c>
    </x:row>
    <x:row r="21" ht="42" customHeight="1">
      <x:c r="B21" t="str">
        <x:v>RG-15</x:v>
      </x:c>
      <x:c r="C21" s="10" t="str">
        <x:v>replay process</x:v>
      </x:c>
      <x:c r="D21" s="10" t="str">
        <x:v>all affected outside-site trials</x:v>
      </x:c>
      <x:c r="E21" t="str"/>
      <x:c r="F21" t="str">
        <x:v>OPEN</x:v>
      </x:c>
    </x:row>
    <x:row r="22" ht="42" customHeight="1">
      <x:c r="B22" t="str">
        <x:v>RG-16</x:v>
      </x:c>
      <x:c r="C22" s="10" t="str">
        <x:v>site infrastructure</x:v>
      </x:c>
      <x:c r="D22" s="10" t="str">
        <x:v>method equivalence across all assigned rigs</x:v>
      </x:c>
      <x:c r="E22" t="str"/>
      <x:c r="F22" t="str">
        <x:v>OPEN</x:v>
      </x:c>
    </x:row>
  </x:sheetData>
  <x:conditionalFormatting sqref="F7:F22">
    <x:cfRule type="containsText" dxfId="184" priority="1" operator="containsText" text="FAIL"/>
    <x:cfRule type="containsText" dxfId="185" priority="2" operator="containsText" text="INVALID"/>
    <x:cfRule type="containsText" dxfId="186" priority="3" operator="containsText" text="BLOCKED"/>
    <x:cfRule type="containsText" dxfId="187" priority="4" operator="containsText" text="OPEN"/>
    <x:cfRule type="containsText" dxfId="188" priority="5" operator="containsText" text="GAP"/>
    <x:cfRule type="containsText" dxfId="189" priority="6" operator="containsText" text="DORMANT"/>
    <x:cfRule type="containsText" dxfId="190" priority="7" operator="containsText" text="PASS"/>
    <x:cfRule type="containsText" dxfId="191" priority="8" operator="containsText" text="VALI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42" hidden="0" customWidth="1"/>
    <x:col min="4" max="4" width="79" hidden="0" customWidth="1"/>
    <x:col min="5" max="5" width="31" hidden="0" customWidth="1"/>
    <x:col min="6" max="6" width="21" hidden="0" customWidth="1"/>
    <x:col min="7" max="7" width="14" hidden="0" customWidth="1"/>
  </x:cols>
  <x:sheetData>
    <x:row r="2">
      <x:c r="B2" s="1" t="str">
        <x:v>Twelve technology campaigns inside qualification</x:v>
      </x:c>
    </x:row>
    <x:row r="3">
      <x:c r="B3" s="2" t="str">
        <x:v>The first qualification wave creates and tests capabilities that do not yet exist at mission scale.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Campaign</x:v>
      </x:c>
      <x:c r="C6" s="7" t="str">
        <x:v>Capability</x:v>
      </x:c>
      <x:c r="D6" s="7" t="str">
        <x:v>Qualification advance</x:v>
      </x:c>
      <x:c r="E6" s="7" t="str">
        <x:v>First use</x:v>
      </x:c>
      <x:c r="F6" s="7" t="str">
        <x:v>Demonstrated UTC</x:v>
      </x:c>
      <x:c r="G6" s="7" t="str">
        <x:v>State</x:v>
      </x:c>
    </x:row>
    <x:row r="7" ht="44" customHeight="1">
      <x:c r="B7" t="str">
        <x:v>TC-01</x:v>
      </x:c>
      <x:c r="C7" s="10" t="str">
        <x:v>real-time source inventory tomography</x:v>
      </x:c>
      <x:c r="D7" s="10" t="str">
        <x:v>known distributed fluid states contained by reported intervals</x:v>
      </x:c>
      <x:c r="E7" t="str">
        <x:v>AM-04 blind mixtures</x:v>
      </x:c>
      <x:c r="F7" t="str"/>
      <x:c r="G7" t="str">
        <x:v>OPEN</x:v>
      </x:c>
    </x:row>
    <x:row r="8" ht="44" customHeight="1">
      <x:c r="B8" t="str">
        <x:v>TC-02</x:v>
      </x:c>
      <x:c r="C8" s="10" t="str">
        <x:v>dual-coded fluid ancestry</x:v>
      </x:c>
      <x:c r="D8" s="10" t="str">
        <x:v>orthogonal public codes survive mixture, fractionation and reader loss</x:v>
      </x:c>
      <x:c r="E8" t="str">
        <x:v>AM-04 truth roots</x:v>
      </x:c>
      <x:c r="F8" t="str"/>
      <x:c r="G8" t="str">
        <x:v>OPEN</x:v>
      </x:c>
    </x:row>
    <x:row r="9" ht="44" customHeight="1">
      <x:c r="B9" t="str">
        <x:v>TC-03</x:v>
      </x:c>
      <x:c r="C9" s="10" t="str">
        <x:v>instrumented terrain skin</x:v>
      </x:c>
      <x:c r="D9" s="10" t="str">
        <x:v>replaceable panels retain geometry, wetting and reaction truth</x:v>
      </x:c>
      <x:c r="E9" t="str">
        <x:v>AM-00 and AM-03</x:v>
      </x:c>
      <x:c r="F9" t="str"/>
      <x:c r="G9" t="str">
        <x:v>OPEN</x:v>
      </x:c>
    </x:row>
    <x:row r="10" ht="44" customHeight="1">
      <x:c r="B10" t="str">
        <x:v>TC-04</x:v>
      </x:c>
      <x:c r="C10" s="10" t="str">
        <x:v>radiant-field tomography</x:v>
      </x:c>
      <x:c r="D10" s="10" t="str">
        <x:v>known field reconstruction under occlusion and sensor denial</x:v>
      </x:c>
      <x:c r="E10" t="str">
        <x:v>shared calibration precursor</x:v>
      </x:c>
      <x:c r="F10" t="str"/>
      <x:c r="G10" t="str">
        <x:v>OPEN</x:v>
      </x:c>
    </x:row>
    <x:row r="11" ht="44" customHeight="1">
      <x:c r="B11" t="str">
        <x:v>TC-05</x:v>
      </x:c>
      <x:c r="C11" s="10" t="str">
        <x:v>self-describing instruments</x:v>
      </x:c>
      <x:c r="D11" s="10" t="str">
        <x:v>serial, location, calibration, time and method role bind at acquisition</x:v>
      </x:c>
      <x:c r="E11" t="str">
        <x:v>all five methods</x:v>
      </x:c>
      <x:c r="F11" t="str"/>
      <x:c r="G11" t="str">
        <x:v>OPEN</x:v>
      </x:c>
    </x:row>
    <x:row r="12" ht="44" customHeight="1">
      <x:c r="B12" t="str">
        <x:v>TC-06</x:v>
      </x:c>
      <x:c r="C12" s="10" t="str">
        <x:v>traceable distributed time</x:v>
      </x:c>
      <x:c r="D12" s="10" t="str">
        <x:v>five-microsecond order survives network and primary-time denial</x:v>
      </x:c>
      <x:c r="E12" t="str">
        <x:v>QT-05</x:v>
      </x:c>
      <x:c r="F12" t="str"/>
      <x:c r="G12" t="str">
        <x:v>OPEN</x:v>
      </x:c>
    </x:row>
    <x:row r="13" ht="44" customHeight="1">
      <x:c r="B13" t="str">
        <x:v>TC-07</x:v>
      </x:c>
      <x:c r="C13" s="10" t="str">
        <x:v>public intervention recorder</x:v>
      </x:c>
      <x:c r="D13" s="10" t="str">
        <x:v>threshold, vote, final element and inventory become one public object</x:v>
      </x:c>
      <x:c r="E13" t="str">
        <x:v>safeing qualification</x:v>
      </x:c>
      <x:c r="F13" t="str"/>
      <x:c r="G13" t="str">
        <x:v>OPEN</x:v>
      </x:c>
    </x:row>
    <x:row r="14" ht="44" customHeight="1">
      <x:c r="B14" t="str">
        <x:v>TC-08</x:v>
      </x:c>
      <x:c r="C14" s="10" t="str">
        <x:v>remote casualty reconnaissance</x:v>
      </x:c>
      <x:c r="D14" s="10" t="str">
        <x:v>people, heat, liquid, structure and access map before entry</x:v>
      </x:c>
      <x:c r="E14" t="str">
        <x:v>recovery precursor</x:v>
      </x:c>
      <x:c r="F14" t="str"/>
      <x:c r="G14" t="str">
        <x:v>OPEN</x:v>
      </x:c>
    </x:row>
    <x:row r="15" ht="44" customHeight="1">
      <x:c r="B15" t="str">
        <x:v>TC-09</x:v>
      </x:c>
      <x:c r="C15" s="10" t="str">
        <x:v>rapid source-water microanalysis</x:v>
      </x:c>
      <x:c r="D15" s="10" t="str">
        <x:v>blind mixtures classified at drain and receiver timescales</x:v>
      </x:c>
      <x:c r="E15" t="str">
        <x:v>AM-04</x:v>
      </x:c>
      <x:c r="F15" t="str"/>
      <x:c r="G15" t="str">
        <x:v>OPEN</x:v>
      </x:c>
    </x:row>
    <x:row r="16" ht="44" customHeight="1">
      <x:c r="B16" t="str">
        <x:v>TC-10</x:v>
      </x:c>
      <x:c r="C16" s="10" t="str">
        <x:v>public causal-state compiler</x:v>
      </x:c>
      <x:c r="D16" s="10" t="str">
        <x:v>native records produce versioned features with machine-checkable ancestry</x:v>
      </x:c>
      <x:c r="E16" t="str">
        <x:v>all trial results</x:v>
      </x:c>
      <x:c r="F16" t="str"/>
      <x:c r="G16" t="str">
        <x:v>OPEN</x:v>
      </x:c>
    </x:row>
    <x:row r="17" ht="44" customHeight="1">
      <x:c r="B17" t="str">
        <x:v>TC-11</x:v>
      </x:c>
      <x:c r="C17" s="10" t="str">
        <x:v>robotic post-event material recovery</x:v>
      </x:c>
      <x:c r="D17" s="10" t="str">
        <x:v>source-bearing solids sampled without altering custody</x:v>
      </x:c>
      <x:c r="E17" t="str">
        <x:v>AM-03</x:v>
      </x:c>
      <x:c r="F17" t="str"/>
      <x:c r="G17" t="str">
        <x:v>OPEN</x:v>
      </x:c>
    </x:row>
    <x:row r="18" ht="44" customHeight="1">
      <x:c r="B18" t="str">
        <x:v>TC-12</x:v>
      </x:c>
      <x:c r="C18" s="10" t="str">
        <x:v>outside-site executable replay</x:v>
      </x:c>
      <x:c r="D18" s="10" t="str">
        <x:v>truth, uncertainty and decision reproduced from portable originals</x:v>
      </x:c>
      <x:c r="E18" t="str">
        <x:v>QT-06</x:v>
      </x:c>
      <x:c r="F18" t="str"/>
      <x:c r="G18" t="str">
        <x:v>OPEN</x:v>
      </x:c>
    </x:row>
  </x:sheetData>
  <x:conditionalFormatting sqref="G7:G18">
    <x:cfRule type="containsText" dxfId="192" priority="1" operator="containsText" text="FAIL"/>
    <x:cfRule type="containsText" dxfId="193" priority="2" operator="containsText" text="INVALID"/>
    <x:cfRule type="containsText" dxfId="194" priority="3" operator="containsText" text="BLOCKED"/>
    <x:cfRule type="containsText" dxfId="195" priority="4" operator="containsText" text="OPEN"/>
    <x:cfRule type="containsText" dxfId="196" priority="5" operator="containsText" text="GAP"/>
    <x:cfRule type="containsText" dxfId="197" priority="6" operator="containsText" text="DORMANT"/>
    <x:cfRule type="containsText" dxfId="198" priority="7" operator="containsText" text="PASS"/>
    <x:cfRule type="containsText" dxfId="199" priority="8" operator="containsText" text="VALID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8" hidden="0" customWidth="1"/>
    <x:col min="4" max="4" width="17" hidden="0" customWidth="1"/>
    <x:col min="5" max="5" width="17" hidden="0" customWidth="1"/>
    <x:col min="6" max="6" width="74" hidden="0" customWidth="1"/>
  </x:cols>
  <x:sheetData>
    <x:row r="2">
      <x:c r="B2" s="1" t="str">
        <x:v>Thirty-month known-truth qualification wave</x:v>
      </x:c>
    </x:row>
    <x:row r="3">
      <x:c r="B3" s="2" t="str">
        <x:v>Physical concurrency is allowed only where truth roots, articles and evidence remain independent.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Phase</x:v>
      </x:c>
      <x:c r="C6" s="7" t="str">
        <x:v>Work</x:v>
      </x:c>
      <x:c r="D6" s="7" t="str">
        <x:v>Start month</x:v>
      </x:c>
      <x:c r="E6" s="7" t="str">
        <x:v>End month</x:v>
      </x:c>
      <x:c r="F6" s="7" t="str">
        <x:v>Exit</x:v>
      </x:c>
    </x:row>
    <x:row r="7" ht="42" customHeight="1">
      <x:c r="B7" t="str">
        <x:v>PH-01</x:v>
      </x:c>
      <x:c r="C7" t="str">
        <x:v>truth-root design freeze</x:v>
      </x:c>
      <x:c r="D7" t="n">
        <x:v>1</x:v>
      </x:c>
      <x:c r="E7" t="n">
        <x:v>3</x:v>
      </x:c>
      <x:c r="F7" s="10" t="str">
        <x:v>ten unlike method-root specifications frozen</x:v>
      </x:c>
    </x:row>
    <x:row r="8" ht="42" customHeight="1">
      <x:c r="B8" t="str">
        <x:v>PH-02</x:v>
      </x:c>
      <x:c r="C8" t="str">
        <x:v>article-family build</x:v>
      </x:c>
      <x:c r="D8" t="n">
        <x:v>2</x:v>
      </x:c>
      <x:c r="E8" t="n">
        <x:v>9</x:v>
      </x:c>
      <x:c r="F8" s="10" t="str">
        <x:v>120 serial articles under public custody</x:v>
      </x:c>
    </x:row>
    <x:row r="9" ht="42" customHeight="1">
      <x:c r="B9" t="str">
        <x:v>PH-03</x:v>
      </x:c>
      <x:c r="C9" t="str">
        <x:v>calibration and time qualification</x:v>
      </x:c>
      <x:c r="D9" t="n">
        <x:v>2</x:v>
      </x:c>
      <x:c r="E9" t="n">
        <x:v>10</x:v>
      </x:c>
      <x:c r="F9" s="10" t="str">
        <x:v>forty-eight chains and twenty-four time nodes</x:v>
      </x:c>
    </x:row>
    <x:row r="10" ht="42" customHeight="1">
      <x:c r="B10" t="str">
        <x:v>PH-04</x:v>
      </x:c>
      <x:c r="C10" t="str">
        <x:v>terrain and debris truth</x:v>
      </x:c>
      <x:c r="D10" t="n">
        <x:v>5</x:v>
      </x:c>
      <x:c r="E10" t="n">
        <x:v>12</x:v>
      </x:c>
      <x:c r="F10" s="10" t="str">
        <x:v>terrain and debris cards accepted</x:v>
      </x:c>
    </x:row>
    <x:row r="11" ht="42" customHeight="1">
      <x:c r="B11" t="str">
        <x:v>PH-05</x:v>
      </x:c>
      <x:c r="C11" t="str">
        <x:v>water and surrogate truth</x:v>
      </x:c>
      <x:c r="D11" t="n">
        <x:v>6</x:v>
      </x:c>
      <x:c r="E11" t="n">
        <x:v>13</x:v>
      </x:c>
      <x:c r="F11" s="10" t="str">
        <x:v>fluid cards and inventory closure accepted</x:v>
      </x:c>
    </x:row>
    <x:row r="12" ht="42" customHeight="1">
      <x:c r="B12" t="str">
        <x:v>PH-06</x:v>
      </x:c>
      <x:c r="C12" t="str">
        <x:v>dual-tracer truth</x:v>
      </x:c>
      <x:c r="D12" t="n">
        <x:v>7</x:v>
      </x:c>
      <x:c r="E12" t="n">
        <x:v>14</x:v>
      </x:c>
      <x:c r="F12" s="10" t="str">
        <x:v>two unlike ancestry roots accepted</x:v>
      </x:c>
    </x:row>
    <x:row r="13" ht="42" customHeight="1">
      <x:c r="B13" t="str">
        <x:v>PH-07</x:v>
      </x:c>
      <x:c r="C13" t="str">
        <x:v>datum and corner trials</x:v>
      </x:c>
      <x:c r="D13" t="n">
        <x:v>10</x:v>
      </x:c>
      <x:c r="E13" t="n">
        <x:v>17</x:v>
      </x:c>
      <x:c r="F13" s="10" t="str">
        <x:v>QT-01 through QT-03 credits</x:v>
      </x:c>
    </x:row>
    <x:row r="14" ht="42" customHeight="1">
      <x:c r="B14" t="str">
        <x:v>PH-08</x:v>
      </x:c>
      <x:c r="C14" t="str">
        <x:v>blinded defect trials</x:v>
      </x:c>
      <x:c r="D14" t="n">
        <x:v>14</x:v>
      </x:c>
      <x:c r="E14" t="n">
        <x:v>21</x:v>
      </x:c>
      <x:c r="F14" s="10" t="str">
        <x:v>QT-04 credits and fault detection</x:v>
      </x:c>
    </x:row>
    <x:row r="15" ht="42" customHeight="1">
      <x:c r="B15" t="str">
        <x:v>PH-09</x:v>
      </x:c>
      <x:c r="C15" t="str">
        <x:v>decisive-chain denial</x:v>
      </x:c>
      <x:c r="D15" t="n">
        <x:v>17</x:v>
      </x:c>
      <x:c r="E15" t="n">
        <x:v>23</x:v>
      </x:c>
      <x:c r="F15" s="10" t="str">
        <x:v>QT-05 credits and survivor evidence</x:v>
      </x:c>
    </x:row>
    <x:row r="16" ht="42" customHeight="1">
      <x:c r="B16" t="str">
        <x:v>PH-10</x:v>
      </x:c>
      <x:c r="C16" t="str">
        <x:v>outside-origin replay</x:v>
      </x:c>
      <x:c r="D16" t="n">
        <x:v>20</x:v>
      </x:c>
      <x:c r="E16" t="n">
        <x:v>26</x:v>
      </x:c>
      <x:c r="F16" s="10" t="str">
        <x:v>QT-06 decisions reproduced</x:v>
      </x:c>
    </x:row>
    <x:row r="17" ht="42" customHeight="1">
      <x:c r="B17" t="str">
        <x:v>PH-11</x:v>
      </x:c>
      <x:c r="C17" t="str">
        <x:v>cross-campus equivalence</x:v>
      </x:c>
      <x:c r="D17" t="n">
        <x:v>24</x:v>
      </x:c>
      <x:c r="E17" t="n">
        <x:v>29</x:v>
      </x:c>
      <x:c r="F17" s="10" t="str">
        <x:v>thirty rig agreements and ten equivalence records</x:v>
      </x:c>
    </x:row>
    <x:row r="18" ht="42" customHeight="1">
      <x:c r="B18" t="str">
        <x:v>PH-12</x:v>
      </x:c>
      <x:c r="C18" t="str">
        <x:v>independent release review</x:v>
      </x:c>
      <x:c r="D18" t="n">
        <x:v>29</x:v>
      </x:c>
      <x:c r="E18" t="n">
        <x:v>30</x:v>
      </x:c>
      <x:c r="F18" s="10" t="str">
        <x:v>five method decisions transferred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3" hidden="0" customWidth="1"/>
    <x:col min="4" max="4" width="17" hidden="0" customWidth="1"/>
    <x:col min="5" max="5" width="18" hidden="0" customWidth="1"/>
    <x:col min="6" max="6" width="19" hidden="0" customWidth="1"/>
    <x:col min="7" max="7" width="20" hidden="0" customWidth="1"/>
    <x:col min="8" max="8" width="18" hidden="0" customWidth="1"/>
    <x:col min="9" max="9" width="21" hidden="0" customWidth="1"/>
    <x:col min="10" max="10" width="17" hidden="0" customWidth="1"/>
  </x:cols>
  <x:sheetData>
    <x:row r="2">
      <x:c r="B2" s="1" t="str">
        <x:v>Rig capacity and reserve</x:v>
      </x:c>
    </x:row>
    <x:row r="3">
      <x:c r="B3" s="2" t="str">
        <x:v>The reserve is physical schedule capacity for invalid attempts, not permission to repeat valid adverse trials.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Rig</x:v>
      </x:c>
      <x:c r="C6" s="7" t="str">
        <x:v>Campus</x:v>
      </x:c>
      <x:c r="D6" s="7" t="str">
        <x:v>Base credits</x:v>
      </x:c>
      <x:c r="E6" s="7" t="str">
        <x:v>Base rig-days</x:v>
      </x:c>
      <x:c r="F6" s="7" t="str">
        <x:v>Reserve tokens</x:v>
      </x:c>
      <x:c r="G6" s="7" t="str">
        <x:v>Reserve rig-days</x:v>
      </x:c>
      <x:c r="H6" s="7" t="str">
        <x:v>Total rig-days</x:v>
      </x:c>
      <x:c r="I6" s="7" t="str">
        <x:v>Available rig-days</x:v>
      </x:c>
      <x:c r="J6" s="7" t="str">
        <x:v>Utilization</x:v>
      </x:c>
    </x:row>
    <x:row r="7">
      <x:c r="B7" t="str">
        <x:v>RFP-A1</x:v>
      </x:c>
      <x:c r="C7" t="str">
        <x:v>PTC-A</x:v>
      </x:c>
      <x:c r="D7" s="14" t="n">
        <x:f>COUNTIFS('Trial Register'!$E$7:$E$366,B7)</x:f>
        <x:v>60</x:v>
      </x:c>
      <x:c r="E7" s="14" t="n">
        <x:f>SUMIFS('Trial Register'!$M$7:$M$366,'Trial Register'!$E$7:$E$366,B7)</x:f>
        <x:v>160</x:v>
      </x:c>
      <x:c r="F7" s="14" t="n">
        <x:f>COUNTIFS('Reserve Ledger'!$D$7:$D$81,B7)</x:f>
        <x:v>13</x:v>
      </x:c>
      <x:c r="G7" s="14" t="n">
        <x:f>SUMIFS('Reserve Ledger'!$E$7:$E$81,'Reserve Ledger'!$D$7:$D$81,B7)</x:f>
        <x:v>38</x:v>
      </x:c>
      <x:c r="H7" s="14" t="n">
        <x:f>E7+G7</x:f>
        <x:v>198</x:v>
      </x:c>
      <x:c r="I7" s="14" t="n">
        <x:f>Controls!$D$20*30.44*Controls!$D$21</x:f>
        <x:v>502.26000000000005</x:v>
      </x:c>
      <x:c r="J7" s="14" t="n">
        <x:f>H7/I7</x:f>
        <x:v>0.39421813403416556</x:v>
      </x:c>
    </x:row>
    <x:row r="8">
      <x:c r="B8" t="str">
        <x:v>RFP-A2</x:v>
      </x:c>
      <x:c r="C8" t="str">
        <x:v>PTC-A</x:v>
      </x:c>
      <x:c r="D8" s="14" t="n">
        <x:f>COUNTIFS('Trial Register'!$E$7:$E$366,B8)</x:f>
        <x:v>60</x:v>
      </x:c>
      <x:c r="E8" s="14" t="n">
        <x:f>SUMIFS('Trial Register'!$M$7:$M$366,'Trial Register'!$E$7:$E$366,B8)</x:f>
        <x:v>160</x:v>
      </x:c>
      <x:c r="F8" s="14" t="n">
        <x:f>COUNTIFS('Reserve Ledger'!$D$7:$D$81,B8)</x:f>
        <x:v>13</x:v>
      </x:c>
      <x:c r="G8" s="14" t="n">
        <x:f>SUMIFS('Reserve Ledger'!$E$7:$E$81,'Reserve Ledger'!$D$7:$D$81,B8)</x:f>
        <x:v>39</x:v>
      </x:c>
      <x:c r="H8" s="14" t="n">
        <x:f>E8+G8</x:f>
        <x:v>199</x:v>
      </x:c>
      <x:c r="I8" s="14" t="n">
        <x:f>Controls!$D$20*30.44*Controls!$D$21</x:f>
        <x:v>502.26000000000005</x:v>
      </x:c>
      <x:c r="J8" s="14" t="n">
        <x:f>H8/I8</x:f>
        <x:v>0.39620913471110575</x:v>
      </x:c>
    </x:row>
    <x:row r="9">
      <x:c r="B9" t="str">
        <x:v>RFP-B1</x:v>
      </x:c>
      <x:c r="C9" t="str">
        <x:v>PTC-B</x:v>
      </x:c>
      <x:c r="D9" s="14" t="n">
        <x:f>COUNTIFS('Trial Register'!$E$7:$E$366,B9)</x:f>
        <x:v>60</x:v>
      </x:c>
      <x:c r="E9" s="14" t="n">
        <x:f>SUMIFS('Trial Register'!$M$7:$M$366,'Trial Register'!$E$7:$E$366,B9)</x:f>
        <x:v>160</x:v>
      </x:c>
      <x:c r="F9" s="14" t="n">
        <x:f>COUNTIFS('Reserve Ledger'!$D$7:$D$81,B9)</x:f>
        <x:v>13</x:v>
      </x:c>
      <x:c r="G9" s="14" t="n">
        <x:f>SUMIFS('Reserve Ledger'!$E$7:$E$81,'Reserve Ledger'!$D$7:$D$81,B9)</x:f>
        <x:v>39</x:v>
      </x:c>
      <x:c r="H9" s="14" t="n">
        <x:f>E9+G9</x:f>
        <x:v>199</x:v>
      </x:c>
      <x:c r="I9" s="14" t="n">
        <x:f>Controls!$D$20*30.44*Controls!$D$21</x:f>
        <x:v>502.26000000000005</x:v>
      </x:c>
      <x:c r="J9" s="14" t="n">
        <x:f>H9/I9</x:f>
        <x:v>0.39620913471110575</x:v>
      </x:c>
    </x:row>
    <x:row r="10">
      <x:c r="B10" t="str">
        <x:v>RFP-B2</x:v>
      </x:c>
      <x:c r="C10" t="str">
        <x:v>PTC-B</x:v>
      </x:c>
      <x:c r="D10" s="14" t="n">
        <x:f>COUNTIFS('Trial Register'!$E$7:$E$366,B10)</x:f>
        <x:v>60</x:v>
      </x:c>
      <x:c r="E10" s="14" t="n">
        <x:f>SUMIFS('Trial Register'!$M$7:$M$366,'Trial Register'!$E$7:$E$366,B10)</x:f>
        <x:v>160</x:v>
      </x:c>
      <x:c r="F10" s="14" t="n">
        <x:f>COUNTIFS('Reserve Ledger'!$D$7:$D$81,B10)</x:f>
        <x:v>12</x:v>
      </x:c>
      <x:c r="G10" s="14" t="n">
        <x:f>SUMIFS('Reserve Ledger'!$E$7:$E$81,'Reserve Ledger'!$D$7:$D$81,B10)</x:f>
        <x:v>35</x:v>
      </x:c>
      <x:c r="H10" s="14" t="n">
        <x:f>E10+G10</x:f>
        <x:v>195</x:v>
      </x:c>
      <x:c r="I10" s="14" t="n">
        <x:f>Controls!$D$20*30.44*Controls!$D$21</x:f>
        <x:v>502.26000000000005</x:v>
      </x:c>
      <x:c r="J10" s="14" t="n">
        <x:f>H10/I10</x:f>
        <x:v>0.3882451320033448</x:v>
      </x:c>
    </x:row>
    <x:row r="11">
      <x:c r="B11" t="str">
        <x:v>RFP-C1</x:v>
      </x:c>
      <x:c r="C11" t="str">
        <x:v>PTC-C</x:v>
      </x:c>
      <x:c r="D11" s="14" t="n">
        <x:f>COUNTIFS('Trial Register'!$E$7:$E$366,B11)</x:f>
        <x:v>60</x:v>
      </x:c>
      <x:c r="E11" s="14" t="n">
        <x:f>SUMIFS('Trial Register'!$M$7:$M$366,'Trial Register'!$E$7:$E$366,B11)</x:f>
        <x:v>160</x:v>
      </x:c>
      <x:c r="F11" s="14" t="n">
        <x:f>COUNTIFS('Reserve Ledger'!$D$7:$D$81,B11)</x:f>
        <x:v>12</x:v>
      </x:c>
      <x:c r="G11" s="14" t="n">
        <x:f>SUMIFS('Reserve Ledger'!$E$7:$E$81,'Reserve Ledger'!$D$7:$D$81,B11)</x:f>
        <x:v>35</x:v>
      </x:c>
      <x:c r="H11" s="14" t="n">
        <x:f>E11+G11</x:f>
        <x:v>195</x:v>
      </x:c>
      <x:c r="I11" s="14" t="n">
        <x:f>Controls!$D$20*30.44*Controls!$D$21</x:f>
        <x:v>502.26000000000005</x:v>
      </x:c>
      <x:c r="J11" s="14" t="n">
        <x:f>H11/I11</x:f>
        <x:v>0.3882451320033448</x:v>
      </x:c>
    </x:row>
    <x:row r="12">
      <x:c r="B12" t="str">
        <x:v>RFP-C2</x:v>
      </x:c>
      <x:c r="C12" t="str">
        <x:v>PTC-C</x:v>
      </x:c>
      <x:c r="D12" s="14" t="n">
        <x:f>COUNTIFS('Trial Register'!$E$7:$E$366,B12)</x:f>
        <x:v>60</x:v>
      </x:c>
      <x:c r="E12" s="14" t="n">
        <x:f>SUMIFS('Trial Register'!$M$7:$M$366,'Trial Register'!$E$7:$E$366,B12)</x:f>
        <x:v>160</x:v>
      </x:c>
      <x:c r="F12" s="14" t="n">
        <x:f>COUNTIFS('Reserve Ledger'!$D$7:$D$81,B12)</x:f>
        <x:v>12</x:v>
      </x:c>
      <x:c r="G12" s="14" t="n">
        <x:f>SUMIFS('Reserve Ledger'!$E$7:$E$81,'Reserve Ledger'!$D$7:$D$81,B12)</x:f>
        <x:v>35</x:v>
      </x:c>
      <x:c r="H12" s="14" t="n">
        <x:f>E12+G12</x:f>
        <x:v>195</x:v>
      </x:c>
      <x:c r="I12" s="14" t="n">
        <x:f>Controls!$D$20*30.44*Controls!$D$21</x:f>
        <x:v>502.26000000000005</x:v>
      </x:c>
      <x:c r="J12" s="14" t="n">
        <x:f>H12/I12</x:f>
        <x:v>0.3882451320033448</x:v>
      </x:c>
    </x:row>
    <x:row r="13">
      <x:c r="D13" s="14"/>
      <x:c r="E13" s="14"/>
      <x:c r="F13" s="14"/>
      <x:c r="G13" s="14"/>
      <x:c r="H13" s="14"/>
      <x:c r="I13" s="14"/>
      <x:c r="J13" s="14"/>
    </x:row>
    <x:row r="14">
      <x:c r="B14" s="12" t="str">
        <x:v>TOTAL</x:v>
      </x:c>
      <x:c r="C14" s="12" t="str"/>
      <x:c r="D14" s="15" t="n">
        <x:f>SUM(D7:D12)</x:f>
        <x:v>360</x:v>
      </x:c>
      <x:c r="E14" s="15" t="n">
        <x:f>SUM(E7:E12)</x:f>
        <x:v>960</x:v>
      </x:c>
      <x:c r="F14" s="15" t="n">
        <x:f>SUM(F7:F12)</x:f>
        <x:v>75</x:v>
      </x:c>
      <x:c r="G14" s="15" t="n">
        <x:f>SUM(G7:G12)</x:f>
        <x:v>221</x:v>
      </x:c>
      <x:c r="H14" s="15" t="n">
        <x:f>SUM(H7:H12)</x:f>
        <x:v>1181</x:v>
      </x:c>
      <x:c r="I14" s="15" t="n">
        <x:f>SUM(I7:I12)</x:f>
        <x:v>3013.5600000000004</x:v>
      </x:c>
      <x:c r="J14" s="15" t="n">
        <x:f>H14/I14</x:f>
        <x:v>0.3918952999110686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5" hidden="0" customWidth="1"/>
    <x:col min="3" max="3" width="18" hidden="0" customWidth="1"/>
    <x:col min="4" max="4" width="16" hidden="0" customWidth="1"/>
    <x:col min="5" max="5" width="56" hidden="0" customWidth="1"/>
  </x:cols>
  <x:sheetData>
    <x:row r="2">
      <x:c r="B2" s="1" t="str">
        <x:v>Known-truth qualification establishment</x:v>
      </x:c>
    </x:row>
    <x:row r="3">
      <x:c r="B3" s="2" t="str">
        <x:v>Candidate-builder labor and construction trades are additional contract capacity.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Function</x:v>
      </x:c>
      <x:c r="C6" s="7" t="str">
        <x:v>Positions</x:v>
      </x:c>
      <x:c r="D6" s="7" t="str">
        <x:v>Share</x:v>
      </x:c>
      <x:c r="E6" s="7" t="str">
        <x:v>Mission</x:v>
      </x:c>
    </x:row>
    <x:row r="7">
      <x:c r="B7" t="str">
        <x:v>method execution</x:v>
      </x:c>
      <x:c r="C7" s="14" t="n">
        <x:v>72</x:v>
      </x:c>
      <x:c r="D7" s="14" t="n">
        <x:f>C7/C18</x:f>
        <x:v>0.1651376146788991</x:v>
      </x:c>
      <x:c r="E7" t="str">
        <x:v>method execution</x:v>
      </x:c>
    </x:row>
    <x:row r="8">
      <x:c r="B8" t="str">
        <x:v>metrology and truth systems</x:v>
      </x:c>
      <x:c r="C8" s="14" t="n">
        <x:v>64</x:v>
      </x:c>
      <x:c r="D8" s="14" t="n">
        <x:f>C8/C18</x:f>
        <x:v>0.14678899082568808</x:v>
      </x:c>
      <x:c r="E8" t="str">
        <x:v>metrology and truth systems</x:v>
      </x:c>
    </x:row>
    <x:row r="9">
      <x:c r="B9" t="str">
        <x:v>terrain and debris</x:v>
      </x:c>
      <x:c r="C9" s="14" t="n">
        <x:v>48</x:v>
      </x:c>
      <x:c r="D9" s="14" t="n">
        <x:f>C9/C18</x:f>
        <x:v>0.11009174311926606</x:v>
      </x:c>
      <x:c r="E9" t="str">
        <x:v>terrain and debris</x:v>
      </x:c>
    </x:row>
    <x:row r="10">
      <x:c r="B10" t="str">
        <x:v>hydraulics</x:v>
      </x:c>
      <x:c r="C10" s="14" t="n">
        <x:v>48</x:v>
      </x:c>
      <x:c r="D10" s="14" t="n">
        <x:f>C10/C18</x:f>
        <x:v>0.11009174311926606</x:v>
      </x:c>
      <x:c r="E10" t="str">
        <x:v>hydraulics</x:v>
      </x:c>
    </x:row>
    <x:row r="11">
      <x:c r="B11" t="str">
        <x:v>chemistry and ancestry</x:v>
      </x:c>
      <x:c r="C11" s="14" t="n">
        <x:v>50</x:v>
      </x:c>
      <x:c r="D11" s="14" t="n">
        <x:f>C11/C18</x:f>
        <x:v>0.11467889908256881</x:v>
      </x:c>
      <x:c r="E11" t="str">
        <x:v>chemistry and ancestry</x:v>
      </x:c>
    </x:row>
    <x:row r="12">
      <x:c r="B12" t="str">
        <x:v>data and distributed time</x:v>
      </x:c>
      <x:c r="C12" s="14" t="n">
        <x:v>56</x:v>
      </x:c>
      <x:c r="D12" s="14" t="n">
        <x:f>C12/C18</x:f>
        <x:v>0.12844036697247707</x:v>
      </x:c>
      <x:c r="E12" t="str">
        <x:v>data and distributed time</x:v>
      </x:c>
    </x:row>
    <x:row r="13">
      <x:c r="B13" t="str">
        <x:v>blind custody</x:v>
      </x:c>
      <x:c r="C13" s="14" t="n">
        <x:v>24</x:v>
      </x:c>
      <x:c r="D13" s="14" t="n">
        <x:f>C13/C18</x:f>
        <x:v>0.05504587155963303</x:v>
      </x:c>
      <x:c r="E13" t="str">
        <x:v>blind custody</x:v>
      </x:c>
    </x:row>
    <x:row r="14">
      <x:c r="B14" t="str">
        <x:v>robotics and recovery</x:v>
      </x:c>
      <x:c r="C14" s="14" t="n">
        <x:v>28</x:v>
      </x:c>
      <x:c r="D14" s="14" t="n">
        <x:f>C14/C18</x:f>
        <x:v>0.06422018348623854</x:v>
      </x:c>
      <x:c r="E14" t="str">
        <x:v>robotics and recovery</x:v>
      </x:c>
    </x:row>
    <x:row r="15">
      <x:c r="B15" t="str">
        <x:v>safety and clinical</x:v>
      </x:c>
      <x:c r="C15" s="14" t="n">
        <x:v>28</x:v>
      </x:c>
      <x:c r="D15" s="14" t="n">
        <x:f>C15/C18</x:f>
        <x:v>0.06422018348623854</x:v>
      </x:c>
      <x:c r="E15" t="str">
        <x:v>safety and clinical</x:v>
      </x:c>
    </x:row>
    <x:row r="16">
      <x:c r="B16" t="str">
        <x:v>independent adjudication</x:v>
      </x:c>
      <x:c r="C16" s="14" t="n">
        <x:v>18</x:v>
      </x:c>
      <x:c r="D16" s="14" t="n">
        <x:f>C16/C18</x:f>
        <x:v>0.04128440366972477</x:v>
      </x:c>
      <x:c r="E16" t="str">
        <x:v>independent adjudication</x:v>
      </x:c>
    </x:row>
    <x:row r="17">
      <x:c r="C17" s="14"/>
      <x:c r="D17" s="14"/>
    </x:row>
    <x:row r="18">
      <x:c r="B18" s="12" t="str">
        <x:v>TOTAL</x:v>
      </x:c>
      <x:c r="C18" s="15" t="n">
        <x:f>SUM(C7:C16)</x:f>
        <x:v>436</x:v>
      </x:c>
      <x:c r="D18" s="15" t="n">
        <x:v>1</x:v>
      </x:c>
      <x:c r="E18" s="12" t="str">
        <x:v>mission establishment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2" hidden="0" customWidth="1"/>
    <x:col min="3" max="3" width="20" hidden="0" customWidth="1"/>
    <x:col min="4" max="4" width="19" hidden="0" customWidth="1"/>
    <x:col min="5" max="5" width="21" hidden="0" customWidth="1"/>
    <x:col min="6" max="6" width="18" hidden="0" customWidth="1"/>
    <x:col min="7" max="7" width="14" hidden="0" customWidth="1"/>
  </x:cols>
  <x:sheetData>
    <x:row r="2">
      <x:c r="B2" s="1" t="str">
        <x:v>RAW-1 capital allocation</x:v>
      </x:c>
    </x:row>
    <x:row r="3">
      <x:c r="B3" s="2" t="str">
        <x:v>Gross, CISA and shared-technology ownership sum explicitly.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</x:v>
      </x:c>
      <x:c r="D6" s="7" t="str">
        <x:v>CISA USD M</x:v>
      </x:c>
      <x:c r="E6" s="7" t="str">
        <x:v>Shared USD M</x:v>
      </x:c>
      <x:c r="F6" s="7" t="str">
        <x:v>Share check</x:v>
      </x:c>
      <x:c r="G6" s="7" t="str">
        <x:v>State</x:v>
      </x:c>
    </x:row>
    <x:row r="7">
      <x:c r="B7" t="str">
        <x:v>truth article families</x:v>
      </x:c>
      <x:c r="C7" s="14" t="n">
        <x:v>76</x:v>
      </x:c>
      <x:c r="D7" s="14" t="n">
        <x:v>48</x:v>
      </x:c>
      <x:c r="E7" s="14" t="n">
        <x:v>28</x:v>
      </x:c>
      <x:c r="F7" s="14" t="n">
        <x:f>C7-D7-E7</x:f>
        <x:v>0</x:v>
      </x:c>
      <x:c r="G7" t="str">
        <x:f>IF(ABS(F7)&lt;0.001,"PASS","FAIL")</x:f>
        <x:v>PASS</x:v>
      </x:c>
    </x:row>
    <x:row r="8">
      <x:c r="B8" t="str">
        <x:v>terrain reference systems</x:v>
      </x:c>
      <x:c r="C8" s="14" t="n">
        <x:v>48</x:v>
      </x:c>
      <x:c r="D8" s="14" t="n">
        <x:v>34</x:v>
      </x:c>
      <x:c r="E8" s="14" t="n">
        <x:v>14</x:v>
      </x:c>
      <x:c r="F8" s="14" t="n">
        <x:f>C8-D8-E8</x:f>
        <x:v>0</x:v>
      </x:c>
      <x:c r="G8" t="str">
        <x:f>IF(ABS(F8)&lt;0.001,"PASS","FAIL")</x:f>
        <x:v>PASS</x:v>
      </x:c>
    </x:row>
    <x:row r="9">
      <x:c r="B9" t="str">
        <x:v>gravimetric and volumetric standards</x:v>
      </x:c>
      <x:c r="C9" s="14" t="n">
        <x:v>58</x:v>
      </x:c>
      <x:c r="D9" s="14" t="n">
        <x:v>38</x:v>
      </x:c>
      <x:c r="E9" s="14" t="n">
        <x:v>20</x:v>
      </x:c>
      <x:c r="F9" s="14" t="n">
        <x:f>C9-D9-E9</x:f>
        <x:v>0</x:v>
      </x:c>
      <x:c r="G9" t="str">
        <x:f>IF(ABS(F9)&lt;0.001,"PASS","FAIL")</x:f>
        <x:v>PASS</x:v>
      </x:c>
    </x:row>
    <x:row r="10">
      <x:c r="B10" t="str">
        <x:v>surrogate and tracer laboratories</x:v>
      </x:c>
      <x:c r="C10" s="14" t="n">
        <x:v>68</x:v>
      </x:c>
      <x:c r="D10" s="14" t="n">
        <x:v>42</x:v>
      </x:c>
      <x:c r="E10" s="14" t="n">
        <x:v>26</x:v>
      </x:c>
      <x:c r="F10" s="14" t="n">
        <x:f>C10-D10-E10</x:f>
        <x:v>0</x:v>
      </x:c>
      <x:c r="G10" t="str">
        <x:f>IF(ABS(F10)&lt;0.001,"PASS","FAIL")</x:f>
        <x:v>PASS</x:v>
      </x:c>
    </x:row>
    <x:row r="11">
      <x:c r="B11" t="str">
        <x:v>debris and defect fabrication</x:v>
      </x:c>
      <x:c r="C11" s="14" t="n">
        <x:v>42</x:v>
      </x:c>
      <x:c r="D11" s="14" t="n">
        <x:v>30</x:v>
      </x:c>
      <x:c r="E11" s="14" t="n">
        <x:v>12</x:v>
      </x:c>
      <x:c r="F11" s="14" t="n">
        <x:f>C11-D11-E11</x:f>
        <x:v>0</x:v>
      </x:c>
      <x:c r="G11" t="str">
        <x:f>IF(ABS(F11)&lt;0.001,"PASS","FAIL")</x:f>
        <x:v>PASS</x:v>
      </x:c>
    </x:row>
    <x:row r="12">
      <x:c r="B12" t="str">
        <x:v>distributed timing and evidence</x:v>
      </x:c>
      <x:c r="C12" s="14" t="n">
        <x:v>34</x:v>
      </x:c>
      <x:c r="D12" s="14" t="n">
        <x:v>18</x:v>
      </x:c>
      <x:c r="E12" s="14" t="n">
        <x:v>16</x:v>
      </x:c>
      <x:c r="F12" s="14" t="n">
        <x:f>C12-D12-E12</x:f>
        <x:v>0</x:v>
      </x:c>
      <x:c r="G12" t="str">
        <x:f>IF(ABS(F12)&lt;0.001,"PASS","FAIL")</x:f>
        <x:v>PASS</x:v>
      </x:c>
    </x:row>
    <x:row r="13">
      <x:c r="B13" t="str">
        <x:v>blind custody systems</x:v>
      </x:c>
      <x:c r="C13" s="14" t="n">
        <x:v>18</x:v>
      </x:c>
      <x:c r="D13" s="14" t="n">
        <x:v>12</x:v>
      </x:c>
      <x:c r="E13" s="14" t="n">
        <x:v>6</x:v>
      </x:c>
      <x:c r="F13" s="14" t="n">
        <x:f>C13-D13-E13</x:f>
        <x:v>0</x:v>
      </x:c>
      <x:c r="G13" t="str">
        <x:f>IF(ABS(F13)&lt;0.001,"PASS","FAIL")</x:f>
        <x:v>PASS</x:v>
      </x:c>
    </x:row>
    <x:row r="14">
      <x:c r="B14" t="str">
        <x:v>robotic handling</x:v>
      </x:c>
      <x:c r="C14" s="14" t="n">
        <x:v>24</x:v>
      </x:c>
      <x:c r="D14" s="14" t="n">
        <x:v>18</x:v>
      </x:c>
      <x:c r="E14" s="14" t="n">
        <x:v>6</x:v>
      </x:c>
      <x:c r="F14" s="14" t="n">
        <x:f>C14-D14-E14</x:f>
        <x:v>0</x:v>
      </x:c>
      <x:c r="G14" t="str">
        <x:f>IF(ABS(F14)&lt;0.001,"PASS","FAIL")</x:f>
        <x:v>PASS</x:v>
      </x:c>
    </x:row>
    <x:row r="15">
      <x:c r="B15" t="str">
        <x:v>independent calibration estate</x:v>
      </x:c>
      <x:c r="C15" s="14" t="n">
        <x:v>38</x:v>
      </x:c>
      <x:c r="D15" s="14" t="n">
        <x:v>25</x:v>
      </x:c>
      <x:c r="E15" s="14" t="n">
        <x:v>13</x:v>
      </x:c>
      <x:c r="F15" s="14" t="n">
        <x:f>C15-D15-E15</x:f>
        <x:v>0</x:v>
      </x:c>
      <x:c r="G15" t="str">
        <x:f>IF(ABS(F15)&lt;0.001,"PASS","FAIL")</x:f>
        <x:v>PASS</x:v>
      </x:c>
    </x:row>
    <x:row r="16">
      <x:c r="B16" t="str">
        <x:v>cross-site replay</x:v>
      </x:c>
      <x:c r="C16" s="14" t="n">
        <x:v>30</x:v>
      </x:c>
      <x:c r="D16" s="14" t="n">
        <x:v>15</x:v>
      </x:c>
      <x:c r="E16" s="14" t="n">
        <x:v>15</x:v>
      </x:c>
      <x:c r="F16" s="14" t="n">
        <x:f>C16-D16-E16</x:f>
        <x:v>0</x:v>
      </x:c>
      <x:c r="G16" t="str">
        <x:f>IF(ABS(F16)&lt;0.001,"PASS","FAIL")</x:f>
        <x:v>PASS</x:v>
      </x:c>
    </x:row>
    <x:row r="17">
      <x:c r="B17" t="str">
        <x:v>safeing integration</x:v>
      </x:c>
      <x:c r="C17" s="14" t="n">
        <x:v>16</x:v>
      </x:c>
      <x:c r="D17" s="14" t="n">
        <x:v>12</x:v>
      </x:c>
      <x:c r="E17" s="14" t="n">
        <x:v>4</x:v>
      </x:c>
      <x:c r="F17" s="14" t="n">
        <x:f>C17-D17-E17</x:f>
        <x:v>0</x:v>
      </x:c>
      <x:c r="G17" t="str">
        <x:f>IF(ABS(F17)&lt;0.001,"PASS","FAIL")</x:f>
        <x:v>PASS</x:v>
      </x:c>
    </x:row>
    <x:row r="18">
      <x:c r="B18" t="str">
        <x:v>controlled capital uncertainty</x:v>
      </x:c>
      <x:c r="C18" s="14" t="n">
        <x:v>28</x:v>
      </x:c>
      <x:c r="D18" s="14" t="n">
        <x:v>8</x:v>
      </x:c>
      <x:c r="E18" s="14" t="n">
        <x:v>20</x:v>
      </x:c>
      <x:c r="F18" s="14" t="n">
        <x:f>C18-D18-E18</x:f>
        <x:v>0</x:v>
      </x:c>
      <x:c r="G18" t="str">
        <x:f>IF(ABS(F18)&lt;0.001,"PASS","FAIL")</x:f>
        <x:v>PASS</x:v>
      </x:c>
    </x:row>
    <x:row r="19">
      <x:c r="C19" s="14"/>
      <x:c r="D19" s="14"/>
      <x:c r="E19" s="14"/>
      <x:c r="F19" s="14"/>
    </x:row>
    <x:row r="20">
      <x:c r="B20" s="12" t="str">
        <x:v>TOTAL</x:v>
      </x:c>
      <x:c r="C20" s="15" t="n">
        <x:f>SUM(C7:C18)</x:f>
        <x:v>480</x:v>
      </x:c>
      <x:c r="D20" s="15" t="n">
        <x:f>SUM(D7:D18)</x:f>
        <x:v>300</x:v>
      </x:c>
      <x:c r="E20" s="15" t="n">
        <x:f>SUM(E7:E18)</x:f>
        <x:v>180</x:v>
      </x:c>
      <x:c r="F20" s="15" t="n">
        <x:f>C20-D20-E20</x:f>
        <x:v>0</x:v>
      </x:c>
      <x:c r="G20" s="12" t="str">
        <x:f>IF(ABS(F20)&lt;0.001,"PASS","FAIL")</x:f>
        <x:v>PASS</x:v>
      </x:c>
    </x:row>
  </x:sheetData>
  <x:conditionalFormatting sqref="G7:G20">
    <x:cfRule type="containsText" dxfId="200" priority="1" operator="containsText" text="FAIL"/>
    <x:cfRule type="containsText" dxfId="201" priority="2" operator="containsText" text="INVALID"/>
    <x:cfRule type="containsText" dxfId="202" priority="3" operator="containsText" text="BLOCKED"/>
    <x:cfRule type="containsText" dxfId="203" priority="4" operator="containsText" text="OPEN"/>
    <x:cfRule type="containsText" dxfId="204" priority="5" operator="containsText" text="GAP"/>
    <x:cfRule type="containsText" dxfId="205" priority="6" operator="containsText" text="DORMANT"/>
    <x:cfRule type="containsText" dxfId="206" priority="7" operator="containsText" text="PASS"/>
    <x:cfRule type="containsText" dxfId="207" priority="8" operator="containsText" text="VALID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0" hidden="0" customWidth="1"/>
    <x:col min="3" max="3" width="23" hidden="0" customWidth="1"/>
    <x:col min="4" max="4" width="22" hidden="0" customWidth="1"/>
    <x:col min="5" max="5" width="24" hidden="0" customWidth="1"/>
    <x:col min="6" max="6" width="18" hidden="0" customWidth="1"/>
    <x:col min="7" max="7" width="14" hidden="0" customWidth="1"/>
  </x:cols>
  <x:sheetData>
    <x:row r="2">
      <x:c r="B2" s="1" t="str">
        <x:v>RAW-1 annual operating allocation</x:v>
      </x:c>
    </x:row>
    <x:row r="3">
      <x:c r="B3" s="2" t="str">
        <x:v>Permanent public truth competence is not hidden in article capital.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M/year</x:v>
      </x:c>
      <x:c r="D6" s="7" t="str">
        <x:v>CISA USD M/year</x:v>
      </x:c>
      <x:c r="E6" s="7" t="str">
        <x:v>Shared USD M/year</x:v>
      </x:c>
      <x:c r="F6" s="7" t="str">
        <x:v>Share check</x:v>
      </x:c>
      <x:c r="G6" s="7" t="str">
        <x:v>State</x:v>
      </x:c>
    </x:row>
    <x:row r="7">
      <x:c r="B7" t="str">
        <x:v>mission workforce</x:v>
      </x:c>
      <x:c r="C7" s="14" t="n">
        <x:v>112</x:v>
      </x:c>
      <x:c r="D7" s="14" t="n">
        <x:v>76</x:v>
      </x:c>
      <x:c r="E7" s="14" t="n">
        <x:v>36</x:v>
      </x:c>
      <x:c r="F7" s="14" t="n">
        <x:f>C7-D7-E7</x:f>
        <x:v>0</x:v>
      </x:c>
      <x:c r="G7" t="str">
        <x:f>IF(ABS(F7)&lt;0.001,"PASS","FAIL")</x:f>
        <x:v>PASS</x:v>
      </x:c>
    </x:row>
    <x:row r="8">
      <x:c r="B8" t="str">
        <x:v>reference article production</x:v>
      </x:c>
      <x:c r="C8" s="14" t="n">
        <x:v>12</x:v>
      </x:c>
      <x:c r="D8" s="14" t="n">
        <x:v>8</x:v>
      </x:c>
      <x:c r="E8" s="14" t="n">
        <x:v>4</x:v>
      </x:c>
      <x:c r="F8" s="14" t="n">
        <x:f>C8-D8-E8</x:f>
        <x:v>0</x:v>
      </x:c>
      <x:c r="G8" t="str">
        <x:f>IF(ABS(F8)&lt;0.001,"PASS","FAIL")</x:f>
        <x:v>PASS</x:v>
      </x:c>
    </x:row>
    <x:row r="9">
      <x:c r="B9" t="str">
        <x:v>calibration and metrology</x:v>
      </x:c>
      <x:c r="C9" s="14" t="n">
        <x:v>16</x:v>
      </x:c>
      <x:c r="D9" s="14" t="n">
        <x:v>10</x:v>
      </x:c>
      <x:c r="E9" s="14" t="n">
        <x:v>6</x:v>
      </x:c>
      <x:c r="F9" s="14" t="n">
        <x:f>C9-D9-E9</x:f>
        <x:v>0</x:v>
      </x:c>
      <x:c r="G9" t="str">
        <x:f>IF(ABS(F9)&lt;0.001,"PASS","FAIL")</x:f>
        <x:v>PASS</x:v>
      </x:c>
    </x:row>
    <x:row r="10">
      <x:c r="B10" t="str">
        <x:v>fluid and tracer media</x:v>
      </x:c>
      <x:c r="C10" s="14" t="n">
        <x:v>10</x:v>
      </x:c>
      <x:c r="D10" s="14" t="n">
        <x:v>8</x:v>
      </x:c>
      <x:c r="E10" s="14" t="n">
        <x:v>2</x:v>
      </x:c>
      <x:c r="F10" s="14" t="n">
        <x:f>C10-D10-E10</x:f>
        <x:v>0</x:v>
      </x:c>
      <x:c r="G10" t="str">
        <x:f>IF(ABS(F10)&lt;0.001,"PASS","FAIL")</x:f>
        <x:v>PASS</x:v>
      </x:c>
    </x:row>
    <x:row r="11">
      <x:c r="B11" t="str">
        <x:v>facility utilities</x:v>
      </x:c>
      <x:c r="C11" s="14" t="n">
        <x:v>8</x:v>
      </x:c>
      <x:c r="D11" s="14" t="n">
        <x:v>6</x:v>
      </x:c>
      <x:c r="E11" s="14" t="n">
        <x:v>2</x:v>
      </x:c>
      <x:c r="F11" s="14" t="n">
        <x:f>C11-D11-E11</x:f>
        <x:v>0</x:v>
      </x:c>
      <x:c r="G11" t="str">
        <x:f>IF(ABS(F11)&lt;0.001,"PASS","FAIL")</x:f>
        <x:v>PASS</x:v>
      </x:c>
    </x:row>
    <x:row r="12">
      <x:c r="B12" t="str">
        <x:v>data and replay</x:v>
      </x:c>
      <x:c r="C12" s="14" t="n">
        <x:v>8</x:v>
      </x:c>
      <x:c r="D12" s="14" t="n">
        <x:v>4</x:v>
      </x:c>
      <x:c r="E12" s="14" t="n">
        <x:v>4</x:v>
      </x:c>
      <x:c r="F12" s="14" t="n">
        <x:f>C12-D12-E12</x:f>
        <x:v>0</x:v>
      </x:c>
      <x:c r="G12" t="str">
        <x:f>IF(ABS(F12)&lt;0.001,"PASS","FAIL")</x:f>
        <x:v>PASS</x:v>
      </x:c>
    </x:row>
    <x:row r="13">
      <x:c r="B13" t="str">
        <x:v>safety and clinical</x:v>
      </x:c>
      <x:c r="C13" s="14" t="n">
        <x:v>5</x:v>
      </x:c>
      <x:c r="D13" s="14" t="n">
        <x:v>4</x:v>
      </x:c>
      <x:c r="E13" s="14" t="n">
        <x:v>1</x:v>
      </x:c>
      <x:c r="F13" s="14" t="n">
        <x:f>C13-D13-E13</x:f>
        <x:v>0</x:v>
      </x:c>
      <x:c r="G13" t="str">
        <x:f>IF(ABS(F13)&lt;0.001,"PASS","FAIL")</x:f>
        <x:v>PASS</x:v>
      </x:c>
    </x:row>
    <x:row r="14">
      <x:c r="B14" t="str">
        <x:v>maintenance</x:v>
      </x:c>
      <x:c r="C14" s="14" t="n">
        <x:v>7</x:v>
      </x:c>
      <x:c r="D14" s="14" t="n">
        <x:v>4</x:v>
      </x:c>
      <x:c r="E14" s="14" t="n">
        <x:v>3</x:v>
      </x:c>
      <x:c r="F14" s="14" t="n">
        <x:f>C14-D14-E14</x:f>
        <x:v>0</x:v>
      </x:c>
      <x:c r="G14" t="str">
        <x:f>IF(ABS(F14)&lt;0.001,"PASS","FAIL")</x:f>
        <x:v>PASS</x:v>
      </x:c>
    </x:row>
    <x:row r="15">
      <x:c r="B15" t="str">
        <x:v>independent review</x:v>
      </x:c>
      <x:c r="C15" s="14" t="n">
        <x:v>5</x:v>
      </x:c>
      <x:c r="D15" s="14" t="n">
        <x:v>1</x:v>
      </x:c>
      <x:c r="E15" s="14" t="n">
        <x:v>4</x:v>
      </x:c>
      <x:c r="F15" s="14" t="n">
        <x:f>C15-D15-E15</x:f>
        <x:v>0</x:v>
      </x:c>
      <x:c r="G15" t="str">
        <x:f>IF(ABS(F15)&lt;0.001,"PASS","FAIL")</x:f>
        <x:v>PASS</x:v>
      </x:c>
    </x:row>
    <x:row r="16">
      <x:c r="B16" t="str">
        <x:v>controlled annual uncertainty</x:v>
      </x:c>
      <x:c r="C16" s="14" t="n">
        <x:v>5</x:v>
      </x:c>
      <x:c r="D16" s="14" t="n">
        <x:v>1</x:v>
      </x:c>
      <x:c r="E16" s="14" t="n">
        <x:v>4</x:v>
      </x:c>
      <x:c r="F16" s="14" t="n">
        <x:f>C16-D16-E16</x:f>
        <x:v>0</x:v>
      </x:c>
      <x:c r="G16" t="str">
        <x:f>IF(ABS(F16)&lt;0.001,"PASS","FAIL")</x:f>
        <x:v>PASS</x:v>
      </x:c>
    </x:row>
    <x:row r="17">
      <x:c r="C17" s="14"/>
      <x:c r="D17" s="14"/>
      <x:c r="E17" s="14"/>
      <x:c r="F17" s="14"/>
    </x:row>
    <x:row r="18">
      <x:c r="B18" s="12" t="str">
        <x:v>TOTAL</x:v>
      </x:c>
      <x:c r="C18" s="15" t="n">
        <x:f>SUM(C7:C16)</x:f>
        <x:v>188</x:v>
      </x:c>
      <x:c r="D18" s="15" t="n">
        <x:f>SUM(D7:D16)</x:f>
        <x:v>122</x:v>
      </x:c>
      <x:c r="E18" s="15" t="n">
        <x:f>SUM(E7:E16)</x:f>
        <x:v>66</x:v>
      </x:c>
      <x:c r="F18" s="15" t="n">
        <x:f>C18-D18-E18</x:f>
        <x:v>0</x:v>
      </x:c>
      <x:c r="G18" s="12" t="str">
        <x:f>IF(ABS(F18)&lt;0.001,"PASS","FAIL")</x:f>
        <x:v>PASS</x:v>
      </x:c>
    </x:row>
  </x:sheetData>
  <x:conditionalFormatting sqref="G7:G18">
    <x:cfRule type="containsText" dxfId="208" priority="1" operator="containsText" text="FAIL"/>
    <x:cfRule type="containsText" dxfId="209" priority="2" operator="containsText" text="INVALID"/>
    <x:cfRule type="containsText" dxfId="210" priority="3" operator="containsText" text="BLOCKED"/>
    <x:cfRule type="containsText" dxfId="211" priority="4" operator="containsText" text="OPEN"/>
    <x:cfRule type="containsText" dxfId="212" priority="5" operator="containsText" text="GAP"/>
    <x:cfRule type="containsText" dxfId="213" priority="6" operator="containsText" text="DORMANT"/>
    <x:cfRule type="containsText" dxfId="214" priority="7" operator="containsText" text="PASS"/>
    <x:cfRule type="containsText" dxfId="215" priority="8" operator="containsText" text="VALID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22" hidden="0" customWidth="1"/>
    <x:col min="4" max="4" width="24" hidden="0" customWidth="1"/>
    <x:col min="5" max="5" width="64" hidden="0" customWidth="1"/>
  </x:cols>
  <x:sheetData>
    <x:row r="2">
      <x:c r="B2" s="1" t="str">
        <x:v>Gross, overlap, ownership and corrected boundary</x:v>
      </x:c>
    </x:row>
    <x:row r="3">
      <x:c r="B3" s="2" t="str">
        <x:v>Overlap prevents duplicate counting. It does not reduce the physical obligation.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View</x:v>
      </x:c>
      <x:c r="C6" s="7" t="str">
        <x:v>Capital USD M</x:v>
      </x:c>
      <x:c r="D6" s="7" t="str">
        <x:v>Annual USD M/year</x:v>
      </x:c>
      <x:c r="E6" s="7" t="str">
        <x:v>Formula note</x:v>
      </x:c>
    </x:row>
    <x:row r="7">
      <x:c r="B7" t="str">
        <x:v>RAW-1 gross</x:v>
      </x:c>
      <x:c r="C7" s="14" t="n">
        <x:f>Controls!$D$23</x:f>
        <x:v>480</x:v>
      </x:c>
      <x:c r="D7" s="14" t="n">
        <x:f>Controls!$D$24</x:f>
        <x:v>188</x:v>
      </x:c>
      <x:c r="E7" t="str"/>
    </x:row>
    <x:row r="8">
      <x:c r="B8" t="str">
        <x:v>registered overlap</x:v>
      </x:c>
      <x:c r="C8" s="14" t="n">
        <x:f>Controls!$D$29</x:f>
        <x:v>410</x:v>
      </x:c>
      <x:c r="D8" s="14" t="n">
        <x:f>Controls!$D$30</x:f>
        <x:v>162</x:v>
      </x:c>
      <x:c r="E8" t="str"/>
    </x:row>
    <x:row r="9">
      <x:c r="B9" t="str">
        <x:v>gross net-new</x:v>
      </x:c>
      <x:c r="C9" s="14" t="n">
        <x:f>C7-C8</x:f>
        <x:v>70</x:v>
      </x:c>
      <x:c r="D9" s="14" t="n">
        <x:f>D7-D8</x:f>
        <x:v>26</x:v>
      </x:c>
      <x:c r="E9" t="str"/>
    </x:row>
    <x:row r="10">
      <x:c r="B10" t="str">
        <x:v>CISA gross share</x:v>
      </x:c>
      <x:c r="C10" s="14" t="n">
        <x:f>Controls!$D$25</x:f>
        <x:v>300</x:v>
      </x:c>
      <x:c r="D10" s="14" t="n">
        <x:f>Controls!$D$27</x:f>
        <x:v>122</x:v>
      </x:c>
      <x:c r="E10" t="str"/>
    </x:row>
    <x:row r="11">
      <x:c r="B11" t="str">
        <x:v>CISA overlap</x:v>
      </x:c>
      <x:c r="C11" s="14" t="n">
        <x:f>Controls!$D$31</x:f>
        <x:v>255</x:v>
      </x:c>
      <x:c r="D11" s="14" t="n">
        <x:f>Controls!$D$32</x:f>
        <x:v>106</x:v>
      </x:c>
      <x:c r="E11" t="str"/>
    </x:row>
    <x:row r="12">
      <x:c r="B12" t="str">
        <x:v>CISA net-new</x:v>
      </x:c>
      <x:c r="C12" s="14" t="n">
        <x:f>C10-C11</x:f>
        <x:v>45</x:v>
      </x:c>
      <x:c r="D12" s="14" t="n">
        <x:f>D10-D11</x:f>
        <x:v>16</x:v>
      </x:c>
      <x:c r="E12" t="str"/>
    </x:row>
    <x:row r="13">
      <x:c r="B13" t="str">
        <x:v>shared gross share</x:v>
      </x:c>
      <x:c r="C13" s="14" t="n">
        <x:f>Controls!$D$26</x:f>
        <x:v>180</x:v>
      </x:c>
      <x:c r="D13" s="14" t="n">
        <x:f>Controls!$D$28</x:f>
        <x:v>66</x:v>
      </x:c>
      <x:c r="E13" t="str"/>
    </x:row>
    <x:row r="14">
      <x:c r="B14" t="str">
        <x:v>shared overlap</x:v>
      </x:c>
      <x:c r="C14" s="14" t="n">
        <x:f>Controls!$D$33</x:f>
        <x:v>155</x:v>
      </x:c>
      <x:c r="D14" s="14" t="n">
        <x:f>Controls!$D$34</x:f>
        <x:v>56</x:v>
      </x:c>
      <x:c r="E14" t="str"/>
    </x:row>
    <x:row r="15">
      <x:c r="B15" t="str">
        <x:v>shared net-new</x:v>
      </x:c>
      <x:c r="C15" s="14" t="n">
        <x:f>C13-C14</x:f>
        <x:v>25</x:v>
      </x:c>
      <x:c r="D15" s="14" t="n">
        <x:f>D13-D14</x:f>
        <x:v>10</x:v>
      </x:c>
      <x:c r="E15" t="str"/>
    </x:row>
    <x:row r="16">
      <x:c r="B16" t="str">
        <x:v>BRD-12R inherited</x:v>
      </x:c>
      <x:c r="C16" s="14" t="n">
        <x:f>Controls!$D$35</x:f>
        <x:v>2350</x:v>
      </x:c>
      <x:c r="D16" s="14" t="n">
        <x:f>Controls!$D$36</x:f>
        <x:v>430</x:v>
      </x:c>
      <x:c r="E16" t="str"/>
    </x:row>
    <x:row r="17">
      <x:c r="B17" t="str">
        <x:v>BRD-13R corrected</x:v>
      </x:c>
      <x:c r="C17" s="14" t="n">
        <x:f>C16+C12</x:f>
        <x:v>2395</x:v>
      </x:c>
      <x:c r="D17" s="14" t="n">
        <x:f>D16+D12</x:f>
        <x:v>446</x:v>
      </x:c>
      <x:c r="E17" t="str"/>
    </x:row>
    <x:row r="18">
      <x:c r="B18" t="str">
        <x:v>CISA parent</x:v>
      </x:c>
      <x:c r="C18" s="14" t="n">
        <x:f>Controls!$D$39</x:f>
        <x:v>960</x:v>
      </x:c>
      <x:c r="D18" s="14" t="n">
        <x:f>Controls!$D$40</x:f>
        <x:v>260</x:v>
      </x:c>
      <x:c r="E18" t="str"/>
    </x:row>
    <x:row r="19">
      <x:c r="B19" t="str">
        <x:v>BRD-13R remainder</x:v>
      </x:c>
      <x:c r="C19" s="14" t="n">
        <x:f>C18-C17</x:f>
        <x:v>-1435</x:v>
      </x:c>
      <x:c r="D19" s="14" t="n">
        <x:f>D18-D17</x:f>
        <x:v>-186</x:v>
      </x:c>
      <x:c r="E19" t="str"/>
    </x:row>
    <x:row r="20">
      <x:c r="B20" t="str">
        <x:v>BRD-12U inherited</x:v>
      </x:c>
      <x:c r="C20" s="14" t="n">
        <x:f>Controls!$D$37</x:f>
        <x:v>2965</x:v>
      </x:c>
      <x:c r="D20" s="14" t="n">
        <x:f>Controls!$D$38</x:f>
        <x:v>583</x:v>
      </x:c>
      <x:c r="E20" t="str"/>
    </x:row>
    <x:row r="21">
      <x:c r="B21" t="str">
        <x:v>BRD-13U uncredited</x:v>
      </x:c>
      <x:c r="C21" s="14" t="n">
        <x:f>C20+C9</x:f>
        <x:v>3035</x:v>
      </x:c>
      <x:c r="D21" s="14" t="n">
        <x:f>D20+D9</x:f>
        <x:v>609</x:v>
      </x:c>
      <x:c r="E21" t="str"/>
    </x:row>
    <x:row r="22">
      <x:c r="B22" t="str">
        <x:v>program-period exposure</x:v>
      </x:c>
      <x:c r="C22" s="14" t="n">
        <x:f>Controls!$D$23+Controls!$D$24*Controls!$D$20/12</x:f>
        <x:v>950</x:v>
      </x:c>
      <x:c r="D22" s="14" t="str"/>
      <x:c r="E22" t="str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5" hidden="0" customWidth="1"/>
    <x:col min="4" max="4" width="38" hidden="0" customWidth="1"/>
    <x:col min="5" max="5" width="34" hidden="0" customWidth="1"/>
    <x:col min="6" max="6" width="14" hidden="0" customWidth="1"/>
    <x:col min="7" max="7" width="14" hidden="0" customWidth="1"/>
    <x:col min="8" max="8" width="31" hidden="0" customWidth="1"/>
    <x:col min="9" max="9" width="14" hidden="0" customWidth="1"/>
    <x:col min="11" max="11" width="16" hidden="0" customWidth="1"/>
  </x:cols>
  <x:sheetData>
    <x:row r="2">
      <x:c r="B2" s="1" t="str">
        <x:v>RAW-1 release ledger</x:v>
      </x:c>
      <x:c r="K2" t="n">
        <x:v>1606</x:v>
      </x:c>
    </x:row>
    <x:row r="3">
      <x:c r="B3" s="2" t="str">
        <x:v>Planning completeness cannot grant physical method, source, candidate-entry or rendering authority.</x:v>
      </x:c>
      <x:c r="K3" t="n">
        <x:v>2811</x:v>
      </x:c>
    </x:row>
    <x:row r="4">
      <x:c r="K4" t="n">
        <x:v>9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Gate</x:v>
      </x:c>
      <x:c r="C6" s="7" t="str">
        <x:v>Class</x:v>
      </x:c>
      <x:c r="D6" s="7" t="str">
        <x:v>Requirement</x:v>
      </x:c>
      <x:c r="E6" s="7" t="str">
        <x:v>Evidence</x:v>
      </x:c>
      <x:c r="F6" s="7" t="str">
        <x:v>Observed</x:v>
      </x:c>
      <x:c r="G6" s="7" t="str">
        <x:v>Required</x:v>
      </x:c>
      <x:c r="H6" s="7" t="str">
        <x:v>Owner</x:v>
      </x:c>
      <x:c r="I6" s="7" t="str">
        <x:v>State</x:v>
      </x:c>
    </x:row>
    <x:row r="7">
      <x:c r="B7" t="str">
        <x:v>PL-0001</x:v>
      </x:c>
      <x:c r="C7" t="str">
        <x:v>PLANNING</x:v>
      </x:c>
      <x:c r="D7" t="str">
        <x:v>method</x:v>
      </x:c>
      <x:c r="E7" t="str">
        <x:v>method 1</x:v>
      </x:c>
      <x:c r="F7" t="n">
        <x:f>Controls!$D$41</x:f>
        <x:v>1</x:v>
      </x:c>
      <x:c r="G7" t="n">
        <x:v>1</x:v>
      </x:c>
      <x:c r="H7" t="str">
        <x:v>RAW design authority</x:v>
      </x:c>
      <x:c r="I7" t="str">
        <x:f>IF(F7=1,"PASS","GAP")</x:f>
        <x:v>PASS</x:v>
      </x:c>
    </x:row>
    <x:row r="8">
      <x:c r="B8" t="str">
        <x:v>PL-0002</x:v>
      </x:c>
      <x:c r="C8" t="str">
        <x:v>PLANNING</x:v>
      </x:c>
      <x:c r="D8" t="str">
        <x:v>method</x:v>
      </x:c>
      <x:c r="E8" t="str">
        <x:v>method 2</x:v>
      </x:c>
      <x:c r="F8" t="n">
        <x:f>Controls!$D$41</x:f>
        <x:v>1</x:v>
      </x:c>
      <x:c r="G8" t="n">
        <x:v>1</x:v>
      </x:c>
      <x:c r="H8" t="str">
        <x:v>RAW design authority</x:v>
      </x:c>
      <x:c r="I8" t="str">
        <x:f>IF(F8=1,"PASS","GAP")</x:f>
        <x:v>PASS</x:v>
      </x:c>
    </x:row>
    <x:row r="9">
      <x:c r="B9" t="str">
        <x:v>PL-0003</x:v>
      </x:c>
      <x:c r="C9" t="str">
        <x:v>PLANNING</x:v>
      </x:c>
      <x:c r="D9" t="str">
        <x:v>method</x:v>
      </x:c>
      <x:c r="E9" t="str">
        <x:v>method 3</x:v>
      </x:c>
      <x:c r="F9" t="n">
        <x:f>Controls!$D$41</x:f>
        <x:v>1</x:v>
      </x:c>
      <x:c r="G9" t="n">
        <x:v>1</x:v>
      </x:c>
      <x:c r="H9" t="str">
        <x:v>RAW design authority</x:v>
      </x:c>
      <x:c r="I9" t="str">
        <x:f>IF(F9=1,"PASS","GAP")</x:f>
        <x:v>PASS</x:v>
      </x:c>
    </x:row>
    <x:row r="10">
      <x:c r="B10" t="str">
        <x:v>PL-0004</x:v>
      </x:c>
      <x:c r="C10" t="str">
        <x:v>PLANNING</x:v>
      </x:c>
      <x:c r="D10" t="str">
        <x:v>method</x:v>
      </x:c>
      <x:c r="E10" t="str">
        <x:v>method 4</x:v>
      </x:c>
      <x:c r="F10" t="n">
        <x:f>Controls!$D$41</x:f>
        <x:v>1</x:v>
      </x:c>
      <x:c r="G10" t="n">
        <x:v>1</x:v>
      </x:c>
      <x:c r="H10" t="str">
        <x:v>RAW design authority</x:v>
      </x:c>
      <x:c r="I10" t="str">
        <x:f>IF(F10=1,"PASS","GAP")</x:f>
        <x:v>PASS</x:v>
      </x:c>
    </x:row>
    <x:row r="11">
      <x:c r="B11" t="str">
        <x:v>PL-0005</x:v>
      </x:c>
      <x:c r="C11" t="str">
        <x:v>PLANNING</x:v>
      </x:c>
      <x:c r="D11" t="str">
        <x:v>method</x:v>
      </x:c>
      <x:c r="E11" t="str">
        <x:v>method 5</x:v>
      </x:c>
      <x:c r="F11" t="n">
        <x:f>Controls!$D$41</x:f>
        <x:v>1</x:v>
      </x:c>
      <x:c r="G11" t="n">
        <x:v>1</x:v>
      </x:c>
      <x:c r="H11" t="str">
        <x:v>RAW design authority</x:v>
      </x:c>
      <x:c r="I11" t="str">
        <x:f>IF(F11=1,"PASS","GAP")</x:f>
        <x:v>PASS</x:v>
      </x:c>
    </x:row>
    <x:row r="12">
      <x:c r="B12" t="str">
        <x:v>PL-0006</x:v>
      </x:c>
      <x:c r="C12" t="str">
        <x:v>PLANNING</x:v>
      </x:c>
      <x:c r="D12" t="str">
        <x:v>trial class</x:v>
      </x:c>
      <x:c r="E12" t="str">
        <x:v>trial class 1</x:v>
      </x:c>
      <x:c r="F12" t="n">
        <x:f>Controls!$D$41</x:f>
        <x:v>1</x:v>
      </x:c>
      <x:c r="G12" t="n">
        <x:v>1</x:v>
      </x:c>
      <x:c r="H12" t="str">
        <x:v>RAW design authority</x:v>
      </x:c>
      <x:c r="I12" t="str">
        <x:f>IF(F12=1,"PASS","GAP")</x:f>
        <x:v>PASS</x:v>
      </x:c>
    </x:row>
    <x:row r="13">
      <x:c r="B13" t="str">
        <x:v>PL-0007</x:v>
      </x:c>
      <x:c r="C13" t="str">
        <x:v>PLANNING</x:v>
      </x:c>
      <x:c r="D13" t="str">
        <x:v>trial class</x:v>
      </x:c>
      <x:c r="E13" t="str">
        <x:v>trial class 2</x:v>
      </x:c>
      <x:c r="F13" t="n">
        <x:f>Controls!$D$41</x:f>
        <x:v>1</x:v>
      </x:c>
      <x:c r="G13" t="n">
        <x:v>1</x:v>
      </x:c>
      <x:c r="H13" t="str">
        <x:v>RAW design authority</x:v>
      </x:c>
      <x:c r="I13" t="str">
        <x:f>IF(F13=1,"PASS","GAP")</x:f>
        <x:v>PASS</x:v>
      </x:c>
    </x:row>
    <x:row r="14">
      <x:c r="B14" t="str">
        <x:v>PL-0008</x:v>
      </x:c>
      <x:c r="C14" t="str">
        <x:v>PLANNING</x:v>
      </x:c>
      <x:c r="D14" t="str">
        <x:v>trial class</x:v>
      </x:c>
      <x:c r="E14" t="str">
        <x:v>trial class 3</x:v>
      </x:c>
      <x:c r="F14" t="n">
        <x:f>Controls!$D$41</x:f>
        <x:v>1</x:v>
      </x:c>
      <x:c r="G14" t="n">
        <x:v>1</x:v>
      </x:c>
      <x:c r="H14" t="str">
        <x:v>RAW design authority</x:v>
      </x:c>
      <x:c r="I14" t="str">
        <x:f>IF(F14=1,"PASS","GAP")</x:f>
        <x:v>PASS</x:v>
      </x:c>
    </x:row>
    <x:row r="15">
      <x:c r="B15" t="str">
        <x:v>PL-0009</x:v>
      </x:c>
      <x:c r="C15" t="str">
        <x:v>PLANNING</x:v>
      </x:c>
      <x:c r="D15" t="str">
        <x:v>trial class</x:v>
      </x:c>
      <x:c r="E15" t="str">
        <x:v>trial class 4</x:v>
      </x:c>
      <x:c r="F15" t="n">
        <x:f>Controls!$D$41</x:f>
        <x:v>1</x:v>
      </x:c>
      <x:c r="G15" t="n">
        <x:v>1</x:v>
      </x:c>
      <x:c r="H15" t="str">
        <x:v>RAW design authority</x:v>
      </x:c>
      <x:c r="I15" t="str">
        <x:f>IF(F15=1,"PASS","GAP")</x:f>
        <x:v>PASS</x:v>
      </x:c>
    </x:row>
    <x:row r="16">
      <x:c r="B16" t="str">
        <x:v>PL-0010</x:v>
      </x:c>
      <x:c r="C16" t="str">
        <x:v>PLANNING</x:v>
      </x:c>
      <x:c r="D16" t="str">
        <x:v>trial class</x:v>
      </x:c>
      <x:c r="E16" t="str">
        <x:v>trial class 5</x:v>
      </x:c>
      <x:c r="F16" t="n">
        <x:f>Controls!$D$41</x:f>
        <x:v>1</x:v>
      </x:c>
      <x:c r="G16" t="n">
        <x:v>1</x:v>
      </x:c>
      <x:c r="H16" t="str">
        <x:v>RAW design authority</x:v>
      </x:c>
      <x:c r="I16" t="str">
        <x:f>IF(F16=1,"PASS","GAP")</x:f>
        <x:v>PASS</x:v>
      </x:c>
    </x:row>
    <x:row r="17">
      <x:c r="B17" t="str">
        <x:v>PL-0011</x:v>
      </x:c>
      <x:c r="C17" t="str">
        <x:v>PLANNING</x:v>
      </x:c>
      <x:c r="D17" t="str">
        <x:v>trial class</x:v>
      </x:c>
      <x:c r="E17" t="str">
        <x:v>trial class 6</x:v>
      </x:c>
      <x:c r="F17" t="n">
        <x:f>Controls!$D$41</x:f>
        <x:v>1</x:v>
      </x:c>
      <x:c r="G17" t="n">
        <x:v>1</x:v>
      </x:c>
      <x:c r="H17" t="str">
        <x:v>RAW design authority</x:v>
      </x:c>
      <x:c r="I17" t="str">
        <x:f>IF(F17=1,"PASS","GAP")</x:f>
        <x:v>PASS</x:v>
      </x:c>
    </x:row>
    <x:row r="18">
      <x:c r="B18" t="str">
        <x:v>PL-0012</x:v>
      </x:c>
      <x:c r="C18" t="str">
        <x:v>PLANNING</x:v>
      </x:c>
      <x:c r="D18" t="str">
        <x:v>truth root</x:v>
      </x:c>
      <x:c r="E18" t="str">
        <x:v>truth root 1</x:v>
      </x:c>
      <x:c r="F18" t="n">
        <x:f>Controls!$D$41</x:f>
        <x:v>1</x:v>
      </x:c>
      <x:c r="G18" t="n">
        <x:v>1</x:v>
      </x:c>
      <x:c r="H18" t="str">
        <x:v>RAW design authority</x:v>
      </x:c>
      <x:c r="I18" t="str">
        <x:f>IF(F18=1,"PASS","GAP")</x:f>
        <x:v>PASS</x:v>
      </x:c>
    </x:row>
    <x:row r="19">
      <x:c r="B19" t="str">
        <x:v>PL-0013</x:v>
      </x:c>
      <x:c r="C19" t="str">
        <x:v>PLANNING</x:v>
      </x:c>
      <x:c r="D19" t="str">
        <x:v>truth root</x:v>
      </x:c>
      <x:c r="E19" t="str">
        <x:v>truth root 2</x:v>
      </x:c>
      <x:c r="F19" t="n">
        <x:f>Controls!$D$41</x:f>
        <x:v>1</x:v>
      </x:c>
      <x:c r="G19" t="n">
        <x:v>1</x:v>
      </x:c>
      <x:c r="H19" t="str">
        <x:v>RAW design authority</x:v>
      </x:c>
      <x:c r="I19" t="str">
        <x:f>IF(F19=1,"PASS","GAP")</x:f>
        <x:v>PASS</x:v>
      </x:c>
    </x:row>
    <x:row r="20">
      <x:c r="B20" t="str">
        <x:v>PL-0014</x:v>
      </x:c>
      <x:c r="C20" t="str">
        <x:v>PLANNING</x:v>
      </x:c>
      <x:c r="D20" t="str">
        <x:v>truth root</x:v>
      </x:c>
      <x:c r="E20" t="str">
        <x:v>truth root 3</x:v>
      </x:c>
      <x:c r="F20" t="n">
        <x:f>Controls!$D$41</x:f>
        <x:v>1</x:v>
      </x:c>
      <x:c r="G20" t="n">
        <x:v>1</x:v>
      </x:c>
      <x:c r="H20" t="str">
        <x:v>RAW design authority</x:v>
      </x:c>
      <x:c r="I20" t="str">
        <x:f>IF(F20=1,"PASS","GAP")</x:f>
        <x:v>PASS</x:v>
      </x:c>
    </x:row>
    <x:row r="21">
      <x:c r="B21" t="str">
        <x:v>PL-0015</x:v>
      </x:c>
      <x:c r="C21" t="str">
        <x:v>PLANNING</x:v>
      </x:c>
      <x:c r="D21" t="str">
        <x:v>truth root</x:v>
      </x:c>
      <x:c r="E21" t="str">
        <x:v>truth root 4</x:v>
      </x:c>
      <x:c r="F21" t="n">
        <x:f>Controls!$D$41</x:f>
        <x:v>1</x:v>
      </x:c>
      <x:c r="G21" t="n">
        <x:v>1</x:v>
      </x:c>
      <x:c r="H21" t="str">
        <x:v>RAW design authority</x:v>
      </x:c>
      <x:c r="I21" t="str">
        <x:f>IF(F21=1,"PASS","GAP")</x:f>
        <x:v>PASS</x:v>
      </x:c>
    </x:row>
    <x:row r="22">
      <x:c r="B22" t="str">
        <x:v>PL-0016</x:v>
      </x:c>
      <x:c r="C22" t="str">
        <x:v>PLANNING</x:v>
      </x:c>
      <x:c r="D22" t="str">
        <x:v>truth root</x:v>
      </x:c>
      <x:c r="E22" t="str">
        <x:v>truth root 5</x:v>
      </x:c>
      <x:c r="F22" t="n">
        <x:f>Controls!$D$41</x:f>
        <x:v>1</x:v>
      </x:c>
      <x:c r="G22" t="n">
        <x:v>1</x:v>
      </x:c>
      <x:c r="H22" t="str">
        <x:v>RAW design authority</x:v>
      </x:c>
      <x:c r="I22" t="str">
        <x:f>IF(F22=1,"PASS","GAP")</x:f>
        <x:v>PASS</x:v>
      </x:c>
    </x:row>
    <x:row r="23">
      <x:c r="B23" t="str">
        <x:v>PL-0017</x:v>
      </x:c>
      <x:c r="C23" t="str">
        <x:v>PLANNING</x:v>
      </x:c>
      <x:c r="D23" t="str">
        <x:v>truth root</x:v>
      </x:c>
      <x:c r="E23" t="str">
        <x:v>truth root 6</x:v>
      </x:c>
      <x:c r="F23" t="n">
        <x:f>Controls!$D$41</x:f>
        <x:v>1</x:v>
      </x:c>
      <x:c r="G23" t="n">
        <x:v>1</x:v>
      </x:c>
      <x:c r="H23" t="str">
        <x:v>RAW design authority</x:v>
      </x:c>
      <x:c r="I23" t="str">
        <x:f>IF(F23=1,"PASS","GAP")</x:f>
        <x:v>PASS</x:v>
      </x:c>
    </x:row>
    <x:row r="24">
      <x:c r="B24" t="str">
        <x:v>PL-0018</x:v>
      </x:c>
      <x:c r="C24" t="str">
        <x:v>PLANNING</x:v>
      </x:c>
      <x:c r="D24" t="str">
        <x:v>truth root</x:v>
      </x:c>
      <x:c r="E24" t="str">
        <x:v>truth root 7</x:v>
      </x:c>
      <x:c r="F24" t="n">
        <x:f>Controls!$D$41</x:f>
        <x:v>1</x:v>
      </x:c>
      <x:c r="G24" t="n">
        <x:v>1</x:v>
      </x:c>
      <x:c r="H24" t="str">
        <x:v>RAW design authority</x:v>
      </x:c>
      <x:c r="I24" t="str">
        <x:f>IF(F24=1,"PASS","GAP")</x:f>
        <x:v>PASS</x:v>
      </x:c>
    </x:row>
    <x:row r="25">
      <x:c r="B25" t="str">
        <x:v>PL-0019</x:v>
      </x:c>
      <x:c r="C25" t="str">
        <x:v>PLANNING</x:v>
      </x:c>
      <x:c r="D25" t="str">
        <x:v>truth root</x:v>
      </x:c>
      <x:c r="E25" t="str">
        <x:v>truth root 8</x:v>
      </x:c>
      <x:c r="F25" t="n">
        <x:f>Controls!$D$41</x:f>
        <x:v>1</x:v>
      </x:c>
      <x:c r="G25" t="n">
        <x:v>1</x:v>
      </x:c>
      <x:c r="H25" t="str">
        <x:v>RAW design authority</x:v>
      </x:c>
      <x:c r="I25" t="str">
        <x:f>IF(F25=1,"PASS","GAP")</x:f>
        <x:v>PASS</x:v>
      </x:c>
    </x:row>
    <x:row r="26">
      <x:c r="B26" t="str">
        <x:v>PL-0020</x:v>
      </x:c>
      <x:c r="C26" t="str">
        <x:v>PLANNING</x:v>
      </x:c>
      <x:c r="D26" t="str">
        <x:v>truth root</x:v>
      </x:c>
      <x:c r="E26" t="str">
        <x:v>truth root 9</x:v>
      </x:c>
      <x:c r="F26" t="n">
        <x:f>Controls!$D$41</x:f>
        <x:v>1</x:v>
      </x:c>
      <x:c r="G26" t="n">
        <x:v>1</x:v>
      </x:c>
      <x:c r="H26" t="str">
        <x:v>RAW design authority</x:v>
      </x:c>
      <x:c r="I26" t="str">
        <x:f>IF(F26=1,"PASS","GAP")</x:f>
        <x:v>PASS</x:v>
      </x:c>
    </x:row>
    <x:row r="27">
      <x:c r="B27" t="str">
        <x:v>PL-0021</x:v>
      </x:c>
      <x:c r="C27" t="str">
        <x:v>PLANNING</x:v>
      </x:c>
      <x:c r="D27" t="str">
        <x:v>truth root</x:v>
      </x:c>
      <x:c r="E27" t="str">
        <x:v>truth root 10</x:v>
      </x:c>
      <x:c r="F27" t="n">
        <x:f>Controls!$D$41</x:f>
        <x:v>1</x:v>
      </x:c>
      <x:c r="G27" t="n">
        <x:v>1</x:v>
      </x:c>
      <x:c r="H27" t="str">
        <x:v>RAW design authority</x:v>
      </x:c>
      <x:c r="I27" t="str">
        <x:f>IF(F27=1,"PASS","GAP")</x:f>
        <x:v>PASS</x:v>
      </x:c>
    </x:row>
    <x:row r="28">
      <x:c r="B28" t="str">
        <x:v>PL-0022</x:v>
      </x:c>
      <x:c r="C28" t="str">
        <x:v>PLANNING</x:v>
      </x:c>
      <x:c r="D28" t="str">
        <x:v>artifact</x:v>
      </x:c>
      <x:c r="E28" t="str">
        <x:v>artifact 1</x:v>
      </x:c>
      <x:c r="F28" t="n">
        <x:f>Controls!$D$41</x:f>
        <x:v>1</x:v>
      </x:c>
      <x:c r="G28" t="n">
        <x:v>1</x:v>
      </x:c>
      <x:c r="H28" t="str">
        <x:v>RAW design authority</x:v>
      </x:c>
      <x:c r="I28" t="str">
        <x:f>IF(F28=1,"PASS","GAP")</x:f>
        <x:v>PASS</x:v>
      </x:c>
    </x:row>
    <x:row r="29">
      <x:c r="B29" t="str">
        <x:v>PL-0023</x:v>
      </x:c>
      <x:c r="C29" t="str">
        <x:v>PLANNING</x:v>
      </x:c>
      <x:c r="D29" t="str">
        <x:v>artifact</x:v>
      </x:c>
      <x:c r="E29" t="str">
        <x:v>artifact 2</x:v>
      </x:c>
      <x:c r="F29" t="n">
        <x:f>Controls!$D$41</x:f>
        <x:v>1</x:v>
      </x:c>
      <x:c r="G29" t="n">
        <x:v>1</x:v>
      </x:c>
      <x:c r="H29" t="str">
        <x:v>RAW design authority</x:v>
      </x:c>
      <x:c r="I29" t="str">
        <x:f>IF(F29=1,"PASS","GAP")</x:f>
        <x:v>PASS</x:v>
      </x:c>
    </x:row>
    <x:row r="30">
      <x:c r="B30" t="str">
        <x:v>PL-0024</x:v>
      </x:c>
      <x:c r="C30" t="str">
        <x:v>PLANNING</x:v>
      </x:c>
      <x:c r="D30" t="str">
        <x:v>artifact</x:v>
      </x:c>
      <x:c r="E30" t="str">
        <x:v>artifact 3</x:v>
      </x:c>
      <x:c r="F30" t="n">
        <x:f>Controls!$D$41</x:f>
        <x:v>1</x:v>
      </x:c>
      <x:c r="G30" t="n">
        <x:v>1</x:v>
      </x:c>
      <x:c r="H30" t="str">
        <x:v>RAW design authority</x:v>
      </x:c>
      <x:c r="I30" t="str">
        <x:f>IF(F30=1,"PASS","GAP")</x:f>
        <x:v>PASS</x:v>
      </x:c>
    </x:row>
    <x:row r="31">
      <x:c r="B31" t="str">
        <x:v>PL-0025</x:v>
      </x:c>
      <x:c r="C31" t="str">
        <x:v>PLANNING</x:v>
      </x:c>
      <x:c r="D31" t="str">
        <x:v>artifact</x:v>
      </x:c>
      <x:c r="E31" t="str">
        <x:v>artifact 4</x:v>
      </x:c>
      <x:c r="F31" t="n">
        <x:f>Controls!$D$41</x:f>
        <x:v>1</x:v>
      </x:c>
      <x:c r="G31" t="n">
        <x:v>1</x:v>
      </x:c>
      <x:c r="H31" t="str">
        <x:v>RAW design authority</x:v>
      </x:c>
      <x:c r="I31" t="str">
        <x:f>IF(F31=1,"PASS","GAP")</x:f>
        <x:v>PASS</x:v>
      </x:c>
    </x:row>
    <x:row r="32">
      <x:c r="B32" t="str">
        <x:v>PL-0026</x:v>
      </x:c>
      <x:c r="C32" t="str">
        <x:v>PLANNING</x:v>
      </x:c>
      <x:c r="D32" t="str">
        <x:v>artifact</x:v>
      </x:c>
      <x:c r="E32" t="str">
        <x:v>artifact 5</x:v>
      </x:c>
      <x:c r="F32" t="n">
        <x:f>Controls!$D$41</x:f>
        <x:v>1</x:v>
      </x:c>
      <x:c r="G32" t="n">
        <x:v>1</x:v>
      </x:c>
      <x:c r="H32" t="str">
        <x:v>RAW design authority</x:v>
      </x:c>
      <x:c r="I32" t="str">
        <x:f>IF(F32=1,"PASS","GAP")</x:f>
        <x:v>PASS</x:v>
      </x:c>
    </x:row>
    <x:row r="33">
      <x:c r="B33" t="str">
        <x:v>PL-0027</x:v>
      </x:c>
      <x:c r="C33" t="str">
        <x:v>PLANNING</x:v>
      </x:c>
      <x:c r="D33" t="str">
        <x:v>artifact</x:v>
      </x:c>
      <x:c r="E33" t="str">
        <x:v>artifact 6</x:v>
      </x:c>
      <x:c r="F33" t="n">
        <x:f>Controls!$D$41</x:f>
        <x:v>1</x:v>
      </x:c>
      <x:c r="G33" t="n">
        <x:v>1</x:v>
      </x:c>
      <x:c r="H33" t="str">
        <x:v>RAW design authority</x:v>
      </x:c>
      <x:c r="I33" t="str">
        <x:f>IF(F33=1,"PASS","GAP")</x:f>
        <x:v>PASS</x:v>
      </x:c>
    </x:row>
    <x:row r="34">
      <x:c r="B34" t="str">
        <x:v>PL-0028</x:v>
      </x:c>
      <x:c r="C34" t="str">
        <x:v>PLANNING</x:v>
      </x:c>
      <x:c r="D34" t="str">
        <x:v>artifact</x:v>
      </x:c>
      <x:c r="E34" t="str">
        <x:v>artifact 7</x:v>
      </x:c>
      <x:c r="F34" t="n">
        <x:f>Controls!$D$41</x:f>
        <x:v>1</x:v>
      </x:c>
      <x:c r="G34" t="n">
        <x:v>1</x:v>
      </x:c>
      <x:c r="H34" t="str">
        <x:v>RAW design authority</x:v>
      </x:c>
      <x:c r="I34" t="str">
        <x:f>IF(F34=1,"PASS","GAP")</x:f>
        <x:v>PASS</x:v>
      </x:c>
    </x:row>
    <x:row r="35">
      <x:c r="B35" t="str">
        <x:v>PL-0029</x:v>
      </x:c>
      <x:c r="C35" t="str">
        <x:v>PLANNING</x:v>
      </x:c>
      <x:c r="D35" t="str">
        <x:v>artifact</x:v>
      </x:c>
      <x:c r="E35" t="str">
        <x:v>artifact 8</x:v>
      </x:c>
      <x:c r="F35" t="n">
        <x:f>Controls!$D$41</x:f>
        <x:v>1</x:v>
      </x:c>
      <x:c r="G35" t="n">
        <x:v>1</x:v>
      </x:c>
      <x:c r="H35" t="str">
        <x:v>RAW design authority</x:v>
      </x:c>
      <x:c r="I35" t="str">
        <x:f>IF(F35=1,"PASS","GAP")</x:f>
        <x:v>PASS</x:v>
      </x:c>
    </x:row>
    <x:row r="36">
      <x:c r="B36" t="str">
        <x:v>PL-0030</x:v>
      </x:c>
      <x:c r="C36" t="str">
        <x:v>PLANNING</x:v>
      </x:c>
      <x:c r="D36" t="str">
        <x:v>artifact</x:v>
      </x:c>
      <x:c r="E36" t="str">
        <x:v>artifact 9</x:v>
      </x:c>
      <x:c r="F36" t="n">
        <x:f>Controls!$D$41</x:f>
        <x:v>1</x:v>
      </x:c>
      <x:c r="G36" t="n">
        <x:v>1</x:v>
      </x:c>
      <x:c r="H36" t="str">
        <x:v>RAW design authority</x:v>
      </x:c>
      <x:c r="I36" t="str">
        <x:f>IF(F36=1,"PASS","GAP")</x:f>
        <x:v>PASS</x:v>
      </x:c>
    </x:row>
    <x:row r="37">
      <x:c r="B37" t="str">
        <x:v>PL-0031</x:v>
      </x:c>
      <x:c r="C37" t="str">
        <x:v>PLANNING</x:v>
      </x:c>
      <x:c r="D37" t="str">
        <x:v>artifact</x:v>
      </x:c>
      <x:c r="E37" t="str">
        <x:v>artifact 10</x:v>
      </x:c>
      <x:c r="F37" t="n">
        <x:f>Controls!$D$41</x:f>
        <x:v>1</x:v>
      </x:c>
      <x:c r="G37" t="n">
        <x:v>1</x:v>
      </x:c>
      <x:c r="H37" t="str">
        <x:v>RAW design authority</x:v>
      </x:c>
      <x:c r="I37" t="str">
        <x:f>IF(F37=1,"PASS","GAP")</x:f>
        <x:v>PASS</x:v>
      </x:c>
    </x:row>
    <x:row r="38">
      <x:c r="B38" t="str">
        <x:v>PL-0032</x:v>
      </x:c>
      <x:c r="C38" t="str">
        <x:v>PLANNING</x:v>
      </x:c>
      <x:c r="D38" t="str">
        <x:v>artifact</x:v>
      </x:c>
      <x:c r="E38" t="str">
        <x:v>artifact 11</x:v>
      </x:c>
      <x:c r="F38" t="n">
        <x:f>Controls!$D$41</x:f>
        <x:v>1</x:v>
      </x:c>
      <x:c r="G38" t="n">
        <x:v>1</x:v>
      </x:c>
      <x:c r="H38" t="str">
        <x:v>RAW design authority</x:v>
      </x:c>
      <x:c r="I38" t="str">
        <x:f>IF(F38=1,"PASS","GAP")</x:f>
        <x:v>PASS</x:v>
      </x:c>
    </x:row>
    <x:row r="39">
      <x:c r="B39" t="str">
        <x:v>PL-0033</x:v>
      </x:c>
      <x:c r="C39" t="str">
        <x:v>PLANNING</x:v>
      </x:c>
      <x:c r="D39" t="str">
        <x:v>artifact</x:v>
      </x:c>
      <x:c r="E39" t="str">
        <x:v>artifact 12</x:v>
      </x:c>
      <x:c r="F39" t="n">
        <x:f>Controls!$D$41</x:f>
        <x:v>1</x:v>
      </x:c>
      <x:c r="G39" t="n">
        <x:v>1</x:v>
      </x:c>
      <x:c r="H39" t="str">
        <x:v>RAW design authority</x:v>
      </x:c>
      <x:c r="I39" t="str">
        <x:f>IF(F39=1,"PASS","GAP")</x:f>
        <x:v>PASS</x:v>
      </x:c>
    </x:row>
    <x:row r="40">
      <x:c r="B40" t="str">
        <x:v>PL-0034</x:v>
      </x:c>
      <x:c r="C40" t="str">
        <x:v>PLANNING</x:v>
      </x:c>
      <x:c r="D40" t="str">
        <x:v>artifact</x:v>
      </x:c>
      <x:c r="E40" t="str">
        <x:v>artifact 13</x:v>
      </x:c>
      <x:c r="F40" t="n">
        <x:f>Controls!$D$41</x:f>
        <x:v>1</x:v>
      </x:c>
      <x:c r="G40" t="n">
        <x:v>1</x:v>
      </x:c>
      <x:c r="H40" t="str">
        <x:v>RAW design authority</x:v>
      </x:c>
      <x:c r="I40" t="str">
        <x:f>IF(F40=1,"PASS","GAP")</x:f>
        <x:v>PASS</x:v>
      </x:c>
    </x:row>
    <x:row r="41">
      <x:c r="B41" t="str">
        <x:v>PL-0035</x:v>
      </x:c>
      <x:c r="C41" t="str">
        <x:v>PLANNING</x:v>
      </x:c>
      <x:c r="D41" t="str">
        <x:v>artifact</x:v>
      </x:c>
      <x:c r="E41" t="str">
        <x:v>artifact 14</x:v>
      </x:c>
      <x:c r="F41" t="n">
        <x:f>Controls!$D$41</x:f>
        <x:v>1</x:v>
      </x:c>
      <x:c r="G41" t="n">
        <x:v>1</x:v>
      </x:c>
      <x:c r="H41" t="str">
        <x:v>RAW design authority</x:v>
      </x:c>
      <x:c r="I41" t="str">
        <x:f>IF(F41=1,"PASS","GAP")</x:f>
        <x:v>PASS</x:v>
      </x:c>
    </x:row>
    <x:row r="42">
      <x:c r="B42" t="str">
        <x:v>PL-0036</x:v>
      </x:c>
      <x:c r="C42" t="str">
        <x:v>PLANNING</x:v>
      </x:c>
      <x:c r="D42" t="str">
        <x:v>artifact</x:v>
      </x:c>
      <x:c r="E42" t="str">
        <x:v>artifact 15</x:v>
      </x:c>
      <x:c r="F42" t="n">
        <x:f>Controls!$D$41</x:f>
        <x:v>1</x:v>
      </x:c>
      <x:c r="G42" t="n">
        <x:v>1</x:v>
      </x:c>
      <x:c r="H42" t="str">
        <x:v>RAW design authority</x:v>
      </x:c>
      <x:c r="I42" t="str">
        <x:f>IF(F42=1,"PASS","GAP")</x:f>
        <x:v>PASS</x:v>
      </x:c>
    </x:row>
    <x:row r="43">
      <x:c r="B43" t="str">
        <x:v>PL-0037</x:v>
      </x:c>
      <x:c r="C43" t="str">
        <x:v>PLANNING</x:v>
      </x:c>
      <x:c r="D43" t="str">
        <x:v>artifact</x:v>
      </x:c>
      <x:c r="E43" t="str">
        <x:v>artifact 16</x:v>
      </x:c>
      <x:c r="F43" t="n">
        <x:f>Controls!$D$41</x:f>
        <x:v>1</x:v>
      </x:c>
      <x:c r="G43" t="n">
        <x:v>1</x:v>
      </x:c>
      <x:c r="H43" t="str">
        <x:v>RAW design authority</x:v>
      </x:c>
      <x:c r="I43" t="str">
        <x:f>IF(F43=1,"PASS","GAP")</x:f>
        <x:v>PASS</x:v>
      </x:c>
    </x:row>
    <x:row r="44">
      <x:c r="B44" t="str">
        <x:v>PL-0038</x:v>
      </x:c>
      <x:c r="C44" t="str">
        <x:v>PLANNING</x:v>
      </x:c>
      <x:c r="D44" t="str">
        <x:v>artifact</x:v>
      </x:c>
      <x:c r="E44" t="str">
        <x:v>artifact 17</x:v>
      </x:c>
      <x:c r="F44" t="n">
        <x:f>Controls!$D$41</x:f>
        <x:v>1</x:v>
      </x:c>
      <x:c r="G44" t="n">
        <x:v>1</x:v>
      </x:c>
      <x:c r="H44" t="str">
        <x:v>RAW design authority</x:v>
      </x:c>
      <x:c r="I44" t="str">
        <x:f>IF(F44=1,"PASS","GAP")</x:f>
        <x:v>PASS</x:v>
      </x:c>
    </x:row>
    <x:row r="45">
      <x:c r="B45" t="str">
        <x:v>PL-0039</x:v>
      </x:c>
      <x:c r="C45" t="str">
        <x:v>PLANNING</x:v>
      </x:c>
      <x:c r="D45" t="str">
        <x:v>artifact</x:v>
      </x:c>
      <x:c r="E45" t="str">
        <x:v>artifact 18</x:v>
      </x:c>
      <x:c r="F45" t="n">
        <x:f>Controls!$D$41</x:f>
        <x:v>1</x:v>
      </x:c>
      <x:c r="G45" t="n">
        <x:v>1</x:v>
      </x:c>
      <x:c r="H45" t="str">
        <x:v>RAW design authority</x:v>
      </x:c>
      <x:c r="I45" t="str">
        <x:f>IF(F45=1,"PASS","GAP")</x:f>
        <x:v>PASS</x:v>
      </x:c>
    </x:row>
    <x:row r="46">
      <x:c r="B46" t="str">
        <x:v>PL-0040</x:v>
      </x:c>
      <x:c r="C46" t="str">
        <x:v>PLANNING</x:v>
      </x:c>
      <x:c r="D46" t="str">
        <x:v>artifact</x:v>
      </x:c>
      <x:c r="E46" t="str">
        <x:v>artifact 19</x:v>
      </x:c>
      <x:c r="F46" t="n">
        <x:f>Controls!$D$41</x:f>
        <x:v>1</x:v>
      </x:c>
      <x:c r="G46" t="n">
        <x:v>1</x:v>
      </x:c>
      <x:c r="H46" t="str">
        <x:v>RAW design authority</x:v>
      </x:c>
      <x:c r="I46" t="str">
        <x:f>IF(F46=1,"PASS","GAP")</x:f>
        <x:v>PASS</x:v>
      </x:c>
    </x:row>
    <x:row r="47">
      <x:c r="B47" t="str">
        <x:v>PL-0041</x:v>
      </x:c>
      <x:c r="C47" t="str">
        <x:v>PLANNING</x:v>
      </x:c>
      <x:c r="D47" t="str">
        <x:v>artifact</x:v>
      </x:c>
      <x:c r="E47" t="str">
        <x:v>artifact 20</x:v>
      </x:c>
      <x:c r="F47" t="n">
        <x:f>Controls!$D$41</x:f>
        <x:v>1</x:v>
      </x:c>
      <x:c r="G47" t="n">
        <x:v>1</x:v>
      </x:c>
      <x:c r="H47" t="str">
        <x:v>RAW design authority</x:v>
      </x:c>
      <x:c r="I47" t="str">
        <x:f>IF(F47=1,"PASS","GAP")</x:f>
        <x:v>PASS</x:v>
      </x:c>
    </x:row>
    <x:row r="48">
      <x:c r="B48" t="str">
        <x:v>PL-0042</x:v>
      </x:c>
      <x:c r="C48" t="str">
        <x:v>PLANNING</x:v>
      </x:c>
      <x:c r="D48" t="str">
        <x:v>artifact</x:v>
      </x:c>
      <x:c r="E48" t="str">
        <x:v>artifact 21</x:v>
      </x:c>
      <x:c r="F48" t="n">
        <x:f>Controls!$D$41</x:f>
        <x:v>1</x:v>
      </x:c>
      <x:c r="G48" t="n">
        <x:v>1</x:v>
      </x:c>
      <x:c r="H48" t="str">
        <x:v>RAW design authority</x:v>
      </x:c>
      <x:c r="I48" t="str">
        <x:f>IF(F48=1,"PASS","GAP")</x:f>
        <x:v>PASS</x:v>
      </x:c>
    </x:row>
    <x:row r="49">
      <x:c r="B49" t="str">
        <x:v>PL-0043</x:v>
      </x:c>
      <x:c r="C49" t="str">
        <x:v>PLANNING</x:v>
      </x:c>
      <x:c r="D49" t="str">
        <x:v>artifact</x:v>
      </x:c>
      <x:c r="E49" t="str">
        <x:v>artifact 22</x:v>
      </x:c>
      <x:c r="F49" t="n">
        <x:f>Controls!$D$41</x:f>
        <x:v>1</x:v>
      </x:c>
      <x:c r="G49" t="n">
        <x:v>1</x:v>
      </x:c>
      <x:c r="H49" t="str">
        <x:v>RAW design authority</x:v>
      </x:c>
      <x:c r="I49" t="str">
        <x:f>IF(F49=1,"PASS","GAP")</x:f>
        <x:v>PASS</x:v>
      </x:c>
    </x:row>
    <x:row r="50">
      <x:c r="B50" t="str">
        <x:v>PL-0044</x:v>
      </x:c>
      <x:c r="C50" t="str">
        <x:v>PLANNING</x:v>
      </x:c>
      <x:c r="D50" t="str">
        <x:v>artifact</x:v>
      </x:c>
      <x:c r="E50" t="str">
        <x:v>artifact 23</x:v>
      </x:c>
      <x:c r="F50" t="n">
        <x:f>Controls!$D$41</x:f>
        <x:v>1</x:v>
      </x:c>
      <x:c r="G50" t="n">
        <x:v>1</x:v>
      </x:c>
      <x:c r="H50" t="str">
        <x:v>RAW design authority</x:v>
      </x:c>
      <x:c r="I50" t="str">
        <x:f>IF(F50=1,"PASS","GAP")</x:f>
        <x:v>PASS</x:v>
      </x:c>
    </x:row>
    <x:row r="51">
      <x:c r="B51" t="str">
        <x:v>PL-0045</x:v>
      </x:c>
      <x:c r="C51" t="str">
        <x:v>PLANNING</x:v>
      </x:c>
      <x:c r="D51" t="str">
        <x:v>artifact</x:v>
      </x:c>
      <x:c r="E51" t="str">
        <x:v>artifact 24</x:v>
      </x:c>
      <x:c r="F51" t="n">
        <x:f>Controls!$D$41</x:f>
        <x:v>1</x:v>
      </x:c>
      <x:c r="G51" t="n">
        <x:v>1</x:v>
      </x:c>
      <x:c r="H51" t="str">
        <x:v>RAW design authority</x:v>
      </x:c>
      <x:c r="I51" t="str">
        <x:f>IF(F51=1,"PASS","GAP")</x:f>
        <x:v>PASS</x:v>
      </x:c>
    </x:row>
    <x:row r="52">
      <x:c r="B52" t="str">
        <x:v>PL-0046</x:v>
      </x:c>
      <x:c r="C52" t="str">
        <x:v>PLANNING</x:v>
      </x:c>
      <x:c r="D52" t="str">
        <x:v>artifact</x:v>
      </x:c>
      <x:c r="E52" t="str">
        <x:v>artifact 25</x:v>
      </x:c>
      <x:c r="F52" t="n">
        <x:f>Controls!$D$41</x:f>
        <x:v>1</x:v>
      </x:c>
      <x:c r="G52" t="n">
        <x:v>1</x:v>
      </x:c>
      <x:c r="H52" t="str">
        <x:v>RAW design authority</x:v>
      </x:c>
      <x:c r="I52" t="str">
        <x:f>IF(F52=1,"PASS","GAP")</x:f>
        <x:v>PASS</x:v>
      </x:c>
    </x:row>
    <x:row r="53">
      <x:c r="B53" t="str">
        <x:v>PL-0047</x:v>
      </x:c>
      <x:c r="C53" t="str">
        <x:v>PLANNING</x:v>
      </x:c>
      <x:c r="D53" t="str">
        <x:v>artifact</x:v>
      </x:c>
      <x:c r="E53" t="str">
        <x:v>artifact 26</x:v>
      </x:c>
      <x:c r="F53" t="n">
        <x:f>Controls!$D$41</x:f>
        <x:v>1</x:v>
      </x:c>
      <x:c r="G53" t="n">
        <x:v>1</x:v>
      </x:c>
      <x:c r="H53" t="str">
        <x:v>RAW design authority</x:v>
      </x:c>
      <x:c r="I53" t="str">
        <x:f>IF(F53=1,"PASS","GAP")</x:f>
        <x:v>PASS</x:v>
      </x:c>
    </x:row>
    <x:row r="54">
      <x:c r="B54" t="str">
        <x:v>PL-0048</x:v>
      </x:c>
      <x:c r="C54" t="str">
        <x:v>PLANNING</x:v>
      </x:c>
      <x:c r="D54" t="str">
        <x:v>artifact</x:v>
      </x:c>
      <x:c r="E54" t="str">
        <x:v>artifact 27</x:v>
      </x:c>
      <x:c r="F54" t="n">
        <x:f>Controls!$D$41</x:f>
        <x:v>1</x:v>
      </x:c>
      <x:c r="G54" t="n">
        <x:v>1</x:v>
      </x:c>
      <x:c r="H54" t="str">
        <x:v>RAW design authority</x:v>
      </x:c>
      <x:c r="I54" t="str">
        <x:f>IF(F54=1,"PASS","GAP")</x:f>
        <x:v>PASS</x:v>
      </x:c>
    </x:row>
    <x:row r="55">
      <x:c r="B55" t="str">
        <x:v>PL-0049</x:v>
      </x:c>
      <x:c r="C55" t="str">
        <x:v>PLANNING</x:v>
      </x:c>
      <x:c r="D55" t="str">
        <x:v>artifact</x:v>
      </x:c>
      <x:c r="E55" t="str">
        <x:v>artifact 28</x:v>
      </x:c>
      <x:c r="F55" t="n">
        <x:f>Controls!$D$41</x:f>
        <x:v>1</x:v>
      </x:c>
      <x:c r="G55" t="n">
        <x:v>1</x:v>
      </x:c>
      <x:c r="H55" t="str">
        <x:v>RAW design authority</x:v>
      </x:c>
      <x:c r="I55" t="str">
        <x:f>IF(F55=1,"PASS","GAP")</x:f>
        <x:v>PASS</x:v>
      </x:c>
    </x:row>
    <x:row r="56">
      <x:c r="B56" t="str">
        <x:v>PL-0050</x:v>
      </x:c>
      <x:c r="C56" t="str">
        <x:v>PLANNING</x:v>
      </x:c>
      <x:c r="D56" t="str">
        <x:v>artifact</x:v>
      </x:c>
      <x:c r="E56" t="str">
        <x:v>artifact 29</x:v>
      </x:c>
      <x:c r="F56" t="n">
        <x:f>Controls!$D$41</x:f>
        <x:v>1</x:v>
      </x:c>
      <x:c r="G56" t="n">
        <x:v>1</x:v>
      </x:c>
      <x:c r="H56" t="str">
        <x:v>RAW design authority</x:v>
      </x:c>
      <x:c r="I56" t="str">
        <x:f>IF(F56=1,"PASS","GAP")</x:f>
        <x:v>PASS</x:v>
      </x:c>
    </x:row>
    <x:row r="57">
      <x:c r="B57" t="str">
        <x:v>PL-0051</x:v>
      </x:c>
      <x:c r="C57" t="str">
        <x:v>PLANNING</x:v>
      </x:c>
      <x:c r="D57" t="str">
        <x:v>artifact</x:v>
      </x:c>
      <x:c r="E57" t="str">
        <x:v>artifact 30</x:v>
      </x:c>
      <x:c r="F57" t="n">
        <x:f>Controls!$D$41</x:f>
        <x:v>1</x:v>
      </x:c>
      <x:c r="G57" t="n">
        <x:v>1</x:v>
      </x:c>
      <x:c r="H57" t="str">
        <x:v>RAW design authority</x:v>
      </x:c>
      <x:c r="I57" t="str">
        <x:f>IF(F57=1,"PASS","GAP")</x:f>
        <x:v>PASS</x:v>
      </x:c>
    </x:row>
    <x:row r="58">
      <x:c r="B58" t="str">
        <x:v>PL-0052</x:v>
      </x:c>
      <x:c r="C58" t="str">
        <x:v>PLANNING</x:v>
      </x:c>
      <x:c r="D58" t="str">
        <x:v>artifact</x:v>
      </x:c>
      <x:c r="E58" t="str">
        <x:v>artifact 31</x:v>
      </x:c>
      <x:c r="F58" t="n">
        <x:f>Controls!$D$41</x:f>
        <x:v>1</x:v>
      </x:c>
      <x:c r="G58" t="n">
        <x:v>1</x:v>
      </x:c>
      <x:c r="H58" t="str">
        <x:v>RAW design authority</x:v>
      </x:c>
      <x:c r="I58" t="str">
        <x:f>IF(F58=1,"PASS","GAP")</x:f>
        <x:v>PASS</x:v>
      </x:c>
    </x:row>
    <x:row r="59">
      <x:c r="B59" t="str">
        <x:v>PL-0053</x:v>
      </x:c>
      <x:c r="C59" t="str">
        <x:v>PLANNING</x:v>
      </x:c>
      <x:c r="D59" t="str">
        <x:v>artifact</x:v>
      </x:c>
      <x:c r="E59" t="str">
        <x:v>artifact 32</x:v>
      </x:c>
      <x:c r="F59" t="n">
        <x:f>Controls!$D$41</x:f>
        <x:v>1</x:v>
      </x:c>
      <x:c r="G59" t="n">
        <x:v>1</x:v>
      </x:c>
      <x:c r="H59" t="str">
        <x:v>RAW design authority</x:v>
      </x:c>
      <x:c r="I59" t="str">
        <x:f>IF(F59=1,"PASS","GAP")</x:f>
        <x:v>PASS</x:v>
      </x:c>
    </x:row>
    <x:row r="60">
      <x:c r="B60" t="str">
        <x:v>PL-0054</x:v>
      </x:c>
      <x:c r="C60" t="str">
        <x:v>PLANNING</x:v>
      </x:c>
      <x:c r="D60" t="str">
        <x:v>artifact</x:v>
      </x:c>
      <x:c r="E60" t="str">
        <x:v>artifact 33</x:v>
      </x:c>
      <x:c r="F60" t="n">
        <x:f>Controls!$D$41</x:f>
        <x:v>1</x:v>
      </x:c>
      <x:c r="G60" t="n">
        <x:v>1</x:v>
      </x:c>
      <x:c r="H60" t="str">
        <x:v>RAW design authority</x:v>
      </x:c>
      <x:c r="I60" t="str">
        <x:f>IF(F60=1,"PASS","GAP")</x:f>
        <x:v>PASS</x:v>
      </x:c>
    </x:row>
    <x:row r="61">
      <x:c r="B61" t="str">
        <x:v>PL-0055</x:v>
      </x:c>
      <x:c r="C61" t="str">
        <x:v>PLANNING</x:v>
      </x:c>
      <x:c r="D61" t="str">
        <x:v>artifact</x:v>
      </x:c>
      <x:c r="E61" t="str">
        <x:v>artifact 34</x:v>
      </x:c>
      <x:c r="F61" t="n">
        <x:f>Controls!$D$41</x:f>
        <x:v>1</x:v>
      </x:c>
      <x:c r="G61" t="n">
        <x:v>1</x:v>
      </x:c>
      <x:c r="H61" t="str">
        <x:v>RAW design authority</x:v>
      </x:c>
      <x:c r="I61" t="str">
        <x:f>IF(F61=1,"PASS","GAP")</x:f>
        <x:v>PASS</x:v>
      </x:c>
    </x:row>
    <x:row r="62">
      <x:c r="B62" t="str">
        <x:v>PL-0056</x:v>
      </x:c>
      <x:c r="C62" t="str">
        <x:v>PLANNING</x:v>
      </x:c>
      <x:c r="D62" t="str">
        <x:v>artifact</x:v>
      </x:c>
      <x:c r="E62" t="str">
        <x:v>artifact 35</x:v>
      </x:c>
      <x:c r="F62" t="n">
        <x:f>Controls!$D$41</x:f>
        <x:v>1</x:v>
      </x:c>
      <x:c r="G62" t="n">
        <x:v>1</x:v>
      </x:c>
      <x:c r="H62" t="str">
        <x:v>RAW design authority</x:v>
      </x:c>
      <x:c r="I62" t="str">
        <x:f>IF(F62=1,"PASS","GAP")</x:f>
        <x:v>PASS</x:v>
      </x:c>
    </x:row>
    <x:row r="63">
      <x:c r="B63" t="str">
        <x:v>PL-0057</x:v>
      </x:c>
      <x:c r="C63" t="str">
        <x:v>PLANNING</x:v>
      </x:c>
      <x:c r="D63" t="str">
        <x:v>artifact</x:v>
      </x:c>
      <x:c r="E63" t="str">
        <x:v>artifact 36</x:v>
      </x:c>
      <x:c r="F63" t="n">
        <x:f>Controls!$D$41</x:f>
        <x:v>1</x:v>
      </x:c>
      <x:c r="G63" t="n">
        <x:v>1</x:v>
      </x:c>
      <x:c r="H63" t="str">
        <x:v>RAW design authority</x:v>
      </x:c>
      <x:c r="I63" t="str">
        <x:f>IF(F63=1,"PASS","GAP")</x:f>
        <x:v>PASS</x:v>
      </x:c>
    </x:row>
    <x:row r="64">
      <x:c r="B64" t="str">
        <x:v>PL-0058</x:v>
      </x:c>
      <x:c r="C64" t="str">
        <x:v>PLANNING</x:v>
      </x:c>
      <x:c r="D64" t="str">
        <x:v>artifact</x:v>
      </x:c>
      <x:c r="E64" t="str">
        <x:v>artifact 37</x:v>
      </x:c>
      <x:c r="F64" t="n">
        <x:f>Controls!$D$41</x:f>
        <x:v>1</x:v>
      </x:c>
      <x:c r="G64" t="n">
        <x:v>1</x:v>
      </x:c>
      <x:c r="H64" t="str">
        <x:v>RAW design authority</x:v>
      </x:c>
      <x:c r="I64" t="str">
        <x:f>IF(F64=1,"PASS","GAP")</x:f>
        <x:v>PASS</x:v>
      </x:c>
    </x:row>
    <x:row r="65">
      <x:c r="B65" t="str">
        <x:v>PL-0059</x:v>
      </x:c>
      <x:c r="C65" t="str">
        <x:v>PLANNING</x:v>
      </x:c>
      <x:c r="D65" t="str">
        <x:v>artifact</x:v>
      </x:c>
      <x:c r="E65" t="str">
        <x:v>artifact 38</x:v>
      </x:c>
      <x:c r="F65" t="n">
        <x:f>Controls!$D$41</x:f>
        <x:v>1</x:v>
      </x:c>
      <x:c r="G65" t="n">
        <x:v>1</x:v>
      </x:c>
      <x:c r="H65" t="str">
        <x:v>RAW design authority</x:v>
      </x:c>
      <x:c r="I65" t="str">
        <x:f>IF(F65=1,"PASS","GAP")</x:f>
        <x:v>PASS</x:v>
      </x:c>
    </x:row>
    <x:row r="66">
      <x:c r="B66" t="str">
        <x:v>PL-0060</x:v>
      </x:c>
      <x:c r="C66" t="str">
        <x:v>PLANNING</x:v>
      </x:c>
      <x:c r="D66" t="str">
        <x:v>artifact</x:v>
      </x:c>
      <x:c r="E66" t="str">
        <x:v>artifact 39</x:v>
      </x:c>
      <x:c r="F66" t="n">
        <x:f>Controls!$D$41</x:f>
        <x:v>1</x:v>
      </x:c>
      <x:c r="G66" t="n">
        <x:v>1</x:v>
      </x:c>
      <x:c r="H66" t="str">
        <x:v>RAW design authority</x:v>
      </x:c>
      <x:c r="I66" t="str">
        <x:f>IF(F66=1,"PASS","GAP")</x:f>
        <x:v>PASS</x:v>
      </x:c>
    </x:row>
    <x:row r="67">
      <x:c r="B67" t="str">
        <x:v>PL-0061</x:v>
      </x:c>
      <x:c r="C67" t="str">
        <x:v>PLANNING</x:v>
      </x:c>
      <x:c r="D67" t="str">
        <x:v>artifact</x:v>
      </x:c>
      <x:c r="E67" t="str">
        <x:v>artifact 40</x:v>
      </x:c>
      <x:c r="F67" t="n">
        <x:f>Controls!$D$41</x:f>
        <x:v>1</x:v>
      </x:c>
      <x:c r="G67" t="n">
        <x:v>1</x:v>
      </x:c>
      <x:c r="H67" t="str">
        <x:v>RAW design authority</x:v>
      </x:c>
      <x:c r="I67" t="str">
        <x:f>IF(F67=1,"PASS","GAP")</x:f>
        <x:v>PASS</x:v>
      </x:c>
    </x:row>
    <x:row r="68">
      <x:c r="B68" t="str">
        <x:v>PL-0062</x:v>
      </x:c>
      <x:c r="C68" t="str">
        <x:v>PLANNING</x:v>
      </x:c>
      <x:c r="D68" t="str">
        <x:v>artifact</x:v>
      </x:c>
      <x:c r="E68" t="str">
        <x:v>artifact 41</x:v>
      </x:c>
      <x:c r="F68" t="n">
        <x:f>Controls!$D$41</x:f>
        <x:v>1</x:v>
      </x:c>
      <x:c r="G68" t="n">
        <x:v>1</x:v>
      </x:c>
      <x:c r="H68" t="str">
        <x:v>RAW design authority</x:v>
      </x:c>
      <x:c r="I68" t="str">
        <x:f>IF(F68=1,"PASS","GAP")</x:f>
        <x:v>PASS</x:v>
      </x:c>
    </x:row>
    <x:row r="69">
      <x:c r="B69" t="str">
        <x:v>PL-0063</x:v>
      </x:c>
      <x:c r="C69" t="str">
        <x:v>PLANNING</x:v>
      </x:c>
      <x:c r="D69" t="str">
        <x:v>artifact</x:v>
      </x:c>
      <x:c r="E69" t="str">
        <x:v>artifact 42</x:v>
      </x:c>
      <x:c r="F69" t="n">
        <x:f>Controls!$D$41</x:f>
        <x:v>1</x:v>
      </x:c>
      <x:c r="G69" t="n">
        <x:v>1</x:v>
      </x:c>
      <x:c r="H69" t="str">
        <x:v>RAW design authority</x:v>
      </x:c>
      <x:c r="I69" t="str">
        <x:f>IF(F69=1,"PASS","GAP")</x:f>
        <x:v>PASS</x:v>
      </x:c>
    </x:row>
    <x:row r="70">
      <x:c r="B70" t="str">
        <x:v>PL-0064</x:v>
      </x:c>
      <x:c r="C70" t="str">
        <x:v>PLANNING</x:v>
      </x:c>
      <x:c r="D70" t="str">
        <x:v>artifact</x:v>
      </x:c>
      <x:c r="E70" t="str">
        <x:v>artifact 43</x:v>
      </x:c>
      <x:c r="F70" t="n">
        <x:f>Controls!$D$41</x:f>
        <x:v>1</x:v>
      </x:c>
      <x:c r="G70" t="n">
        <x:v>1</x:v>
      </x:c>
      <x:c r="H70" t="str">
        <x:v>RAW design authority</x:v>
      </x:c>
      <x:c r="I70" t="str">
        <x:f>IF(F70=1,"PASS","GAP")</x:f>
        <x:v>PASS</x:v>
      </x:c>
    </x:row>
    <x:row r="71">
      <x:c r="B71" t="str">
        <x:v>PL-0065</x:v>
      </x:c>
      <x:c r="C71" t="str">
        <x:v>PLANNING</x:v>
      </x:c>
      <x:c r="D71" t="str">
        <x:v>artifact</x:v>
      </x:c>
      <x:c r="E71" t="str">
        <x:v>artifact 44</x:v>
      </x:c>
      <x:c r="F71" t="n">
        <x:f>Controls!$D$41</x:f>
        <x:v>1</x:v>
      </x:c>
      <x:c r="G71" t="n">
        <x:v>1</x:v>
      </x:c>
      <x:c r="H71" t="str">
        <x:v>RAW design authority</x:v>
      </x:c>
      <x:c r="I71" t="str">
        <x:f>IF(F71=1,"PASS","GAP")</x:f>
        <x:v>PASS</x:v>
      </x:c>
    </x:row>
    <x:row r="72">
      <x:c r="B72" t="str">
        <x:v>PL-0066</x:v>
      </x:c>
      <x:c r="C72" t="str">
        <x:v>PLANNING</x:v>
      </x:c>
      <x:c r="D72" t="str">
        <x:v>artifact</x:v>
      </x:c>
      <x:c r="E72" t="str">
        <x:v>artifact 45</x:v>
      </x:c>
      <x:c r="F72" t="n">
        <x:f>Controls!$D$41</x:f>
        <x:v>1</x:v>
      </x:c>
      <x:c r="G72" t="n">
        <x:v>1</x:v>
      </x:c>
      <x:c r="H72" t="str">
        <x:v>RAW design authority</x:v>
      </x:c>
      <x:c r="I72" t="str">
        <x:f>IF(F72=1,"PASS","GAP")</x:f>
        <x:v>PASS</x:v>
      </x:c>
    </x:row>
    <x:row r="73">
      <x:c r="B73" t="str">
        <x:v>PL-0067</x:v>
      </x:c>
      <x:c r="C73" t="str">
        <x:v>PLANNING</x:v>
      </x:c>
      <x:c r="D73" t="str">
        <x:v>artifact</x:v>
      </x:c>
      <x:c r="E73" t="str">
        <x:v>artifact 46</x:v>
      </x:c>
      <x:c r="F73" t="n">
        <x:f>Controls!$D$41</x:f>
        <x:v>1</x:v>
      </x:c>
      <x:c r="G73" t="n">
        <x:v>1</x:v>
      </x:c>
      <x:c r="H73" t="str">
        <x:v>RAW design authority</x:v>
      </x:c>
      <x:c r="I73" t="str">
        <x:f>IF(F73=1,"PASS","GAP")</x:f>
        <x:v>PASS</x:v>
      </x:c>
    </x:row>
    <x:row r="74">
      <x:c r="B74" t="str">
        <x:v>PL-0068</x:v>
      </x:c>
      <x:c r="C74" t="str">
        <x:v>PLANNING</x:v>
      </x:c>
      <x:c r="D74" t="str">
        <x:v>artifact</x:v>
      </x:c>
      <x:c r="E74" t="str">
        <x:v>artifact 47</x:v>
      </x:c>
      <x:c r="F74" t="n">
        <x:f>Controls!$D$41</x:f>
        <x:v>1</x:v>
      </x:c>
      <x:c r="G74" t="n">
        <x:v>1</x:v>
      </x:c>
      <x:c r="H74" t="str">
        <x:v>RAW design authority</x:v>
      </x:c>
      <x:c r="I74" t="str">
        <x:f>IF(F74=1,"PASS","GAP")</x:f>
        <x:v>PASS</x:v>
      </x:c>
    </x:row>
    <x:row r="75">
      <x:c r="B75" t="str">
        <x:v>PL-0069</x:v>
      </x:c>
      <x:c r="C75" t="str">
        <x:v>PLANNING</x:v>
      </x:c>
      <x:c r="D75" t="str">
        <x:v>artifact</x:v>
      </x:c>
      <x:c r="E75" t="str">
        <x:v>artifact 48</x:v>
      </x:c>
      <x:c r="F75" t="n">
        <x:f>Controls!$D$41</x:f>
        <x:v>1</x:v>
      </x:c>
      <x:c r="G75" t="n">
        <x:v>1</x:v>
      </x:c>
      <x:c r="H75" t="str">
        <x:v>RAW design authority</x:v>
      </x:c>
      <x:c r="I75" t="str">
        <x:f>IF(F75=1,"PASS","GAP")</x:f>
        <x:v>PASS</x:v>
      </x:c>
    </x:row>
    <x:row r="76">
      <x:c r="B76" t="str">
        <x:v>PL-0070</x:v>
      </x:c>
      <x:c r="C76" t="str">
        <x:v>PLANNING</x:v>
      </x:c>
      <x:c r="D76" t="str">
        <x:v>artifact</x:v>
      </x:c>
      <x:c r="E76" t="str">
        <x:v>artifact 49</x:v>
      </x:c>
      <x:c r="F76" t="n">
        <x:f>Controls!$D$41</x:f>
        <x:v>1</x:v>
      </x:c>
      <x:c r="G76" t="n">
        <x:v>1</x:v>
      </x:c>
      <x:c r="H76" t="str">
        <x:v>RAW design authority</x:v>
      </x:c>
      <x:c r="I76" t="str">
        <x:f>IF(F76=1,"PASS","GAP")</x:f>
        <x:v>PASS</x:v>
      </x:c>
    </x:row>
    <x:row r="77">
      <x:c r="B77" t="str">
        <x:v>PL-0071</x:v>
      </x:c>
      <x:c r="C77" t="str">
        <x:v>PLANNING</x:v>
      </x:c>
      <x:c r="D77" t="str">
        <x:v>artifact</x:v>
      </x:c>
      <x:c r="E77" t="str">
        <x:v>artifact 50</x:v>
      </x:c>
      <x:c r="F77" t="n">
        <x:f>Controls!$D$41</x:f>
        <x:v>1</x:v>
      </x:c>
      <x:c r="G77" t="n">
        <x:v>1</x:v>
      </x:c>
      <x:c r="H77" t="str">
        <x:v>RAW design authority</x:v>
      </x:c>
      <x:c r="I77" t="str">
        <x:f>IF(F77=1,"PASS","GAP")</x:f>
        <x:v>PASS</x:v>
      </x:c>
    </x:row>
    <x:row r="78">
      <x:c r="B78" t="str">
        <x:v>PL-0072</x:v>
      </x:c>
      <x:c r="C78" t="str">
        <x:v>PLANNING</x:v>
      </x:c>
      <x:c r="D78" t="str">
        <x:v>artifact</x:v>
      </x:c>
      <x:c r="E78" t="str">
        <x:v>artifact 51</x:v>
      </x:c>
      <x:c r="F78" t="n">
        <x:f>Controls!$D$41</x:f>
        <x:v>1</x:v>
      </x:c>
      <x:c r="G78" t="n">
        <x:v>1</x:v>
      </x:c>
      <x:c r="H78" t="str">
        <x:v>RAW design authority</x:v>
      </x:c>
      <x:c r="I78" t="str">
        <x:f>IF(F78=1,"PASS","GAP")</x:f>
        <x:v>PASS</x:v>
      </x:c>
    </x:row>
    <x:row r="79">
      <x:c r="B79" t="str">
        <x:v>PL-0073</x:v>
      </x:c>
      <x:c r="C79" t="str">
        <x:v>PLANNING</x:v>
      </x:c>
      <x:c r="D79" t="str">
        <x:v>artifact</x:v>
      </x:c>
      <x:c r="E79" t="str">
        <x:v>artifact 52</x:v>
      </x:c>
      <x:c r="F79" t="n">
        <x:f>Controls!$D$41</x:f>
        <x:v>1</x:v>
      </x:c>
      <x:c r="G79" t="n">
        <x:v>1</x:v>
      </x:c>
      <x:c r="H79" t="str">
        <x:v>RAW design authority</x:v>
      </x:c>
      <x:c r="I79" t="str">
        <x:f>IF(F79=1,"PASS","GAP")</x:f>
        <x:v>PASS</x:v>
      </x:c>
    </x:row>
    <x:row r="80">
      <x:c r="B80" t="str">
        <x:v>PL-0074</x:v>
      </x:c>
      <x:c r="C80" t="str">
        <x:v>PLANNING</x:v>
      </x:c>
      <x:c r="D80" t="str">
        <x:v>artifact</x:v>
      </x:c>
      <x:c r="E80" t="str">
        <x:v>artifact 53</x:v>
      </x:c>
      <x:c r="F80" t="n">
        <x:f>Controls!$D$41</x:f>
        <x:v>1</x:v>
      </x:c>
      <x:c r="G80" t="n">
        <x:v>1</x:v>
      </x:c>
      <x:c r="H80" t="str">
        <x:v>RAW design authority</x:v>
      </x:c>
      <x:c r="I80" t="str">
        <x:f>IF(F80=1,"PASS","GAP")</x:f>
        <x:v>PASS</x:v>
      </x:c>
    </x:row>
    <x:row r="81">
      <x:c r="B81" t="str">
        <x:v>PL-0075</x:v>
      </x:c>
      <x:c r="C81" t="str">
        <x:v>PLANNING</x:v>
      </x:c>
      <x:c r="D81" t="str">
        <x:v>artifact</x:v>
      </x:c>
      <x:c r="E81" t="str">
        <x:v>artifact 54</x:v>
      </x:c>
      <x:c r="F81" t="n">
        <x:f>Controls!$D$41</x:f>
        <x:v>1</x:v>
      </x:c>
      <x:c r="G81" t="n">
        <x:v>1</x:v>
      </x:c>
      <x:c r="H81" t="str">
        <x:v>RAW design authority</x:v>
      </x:c>
      <x:c r="I81" t="str">
        <x:f>IF(F81=1,"PASS","GAP")</x:f>
        <x:v>PASS</x:v>
      </x:c>
    </x:row>
    <x:row r="82">
      <x:c r="B82" t="str">
        <x:v>PL-0076</x:v>
      </x:c>
      <x:c r="C82" t="str">
        <x:v>PLANNING</x:v>
      </x:c>
      <x:c r="D82" t="str">
        <x:v>artifact</x:v>
      </x:c>
      <x:c r="E82" t="str">
        <x:v>artifact 55</x:v>
      </x:c>
      <x:c r="F82" t="n">
        <x:f>Controls!$D$41</x:f>
        <x:v>1</x:v>
      </x:c>
      <x:c r="G82" t="n">
        <x:v>1</x:v>
      </x:c>
      <x:c r="H82" t="str">
        <x:v>RAW design authority</x:v>
      </x:c>
      <x:c r="I82" t="str">
        <x:f>IF(F82=1,"PASS","GAP")</x:f>
        <x:v>PASS</x:v>
      </x:c>
    </x:row>
    <x:row r="83">
      <x:c r="B83" t="str">
        <x:v>PL-0077</x:v>
      </x:c>
      <x:c r="C83" t="str">
        <x:v>PLANNING</x:v>
      </x:c>
      <x:c r="D83" t="str">
        <x:v>artifact</x:v>
      </x:c>
      <x:c r="E83" t="str">
        <x:v>artifact 56</x:v>
      </x:c>
      <x:c r="F83" t="n">
        <x:f>Controls!$D$41</x:f>
        <x:v>1</x:v>
      </x:c>
      <x:c r="G83" t="n">
        <x:v>1</x:v>
      </x:c>
      <x:c r="H83" t="str">
        <x:v>RAW design authority</x:v>
      </x:c>
      <x:c r="I83" t="str">
        <x:f>IF(F83=1,"PASS","GAP")</x:f>
        <x:v>PASS</x:v>
      </x:c>
    </x:row>
    <x:row r="84">
      <x:c r="B84" t="str">
        <x:v>PL-0078</x:v>
      </x:c>
      <x:c r="C84" t="str">
        <x:v>PLANNING</x:v>
      </x:c>
      <x:c r="D84" t="str">
        <x:v>artifact</x:v>
      </x:c>
      <x:c r="E84" t="str">
        <x:v>artifact 57</x:v>
      </x:c>
      <x:c r="F84" t="n">
        <x:f>Controls!$D$41</x:f>
        <x:v>1</x:v>
      </x:c>
      <x:c r="G84" t="n">
        <x:v>1</x:v>
      </x:c>
      <x:c r="H84" t="str">
        <x:v>RAW design authority</x:v>
      </x:c>
      <x:c r="I84" t="str">
        <x:f>IF(F84=1,"PASS","GAP")</x:f>
        <x:v>PASS</x:v>
      </x:c>
    </x:row>
    <x:row r="85">
      <x:c r="B85" t="str">
        <x:v>PL-0079</x:v>
      </x:c>
      <x:c r="C85" t="str">
        <x:v>PLANNING</x:v>
      </x:c>
      <x:c r="D85" t="str">
        <x:v>artifact</x:v>
      </x:c>
      <x:c r="E85" t="str">
        <x:v>artifact 58</x:v>
      </x:c>
      <x:c r="F85" t="n">
        <x:f>Controls!$D$41</x:f>
        <x:v>1</x:v>
      </x:c>
      <x:c r="G85" t="n">
        <x:v>1</x:v>
      </x:c>
      <x:c r="H85" t="str">
        <x:v>RAW design authority</x:v>
      </x:c>
      <x:c r="I85" t="str">
        <x:f>IF(F85=1,"PASS","GAP")</x:f>
        <x:v>PASS</x:v>
      </x:c>
    </x:row>
    <x:row r="86">
      <x:c r="B86" t="str">
        <x:v>PL-0080</x:v>
      </x:c>
      <x:c r="C86" t="str">
        <x:v>PLANNING</x:v>
      </x:c>
      <x:c r="D86" t="str">
        <x:v>artifact</x:v>
      </x:c>
      <x:c r="E86" t="str">
        <x:v>artifact 59</x:v>
      </x:c>
      <x:c r="F86" t="n">
        <x:f>Controls!$D$41</x:f>
        <x:v>1</x:v>
      </x:c>
      <x:c r="G86" t="n">
        <x:v>1</x:v>
      </x:c>
      <x:c r="H86" t="str">
        <x:v>RAW design authority</x:v>
      </x:c>
      <x:c r="I86" t="str">
        <x:f>IF(F86=1,"PASS","GAP")</x:f>
        <x:v>PASS</x:v>
      </x:c>
    </x:row>
    <x:row r="87">
      <x:c r="B87" t="str">
        <x:v>PL-0081</x:v>
      </x:c>
      <x:c r="C87" t="str">
        <x:v>PLANNING</x:v>
      </x:c>
      <x:c r="D87" t="str">
        <x:v>artifact</x:v>
      </x:c>
      <x:c r="E87" t="str">
        <x:v>artifact 60</x:v>
      </x:c>
      <x:c r="F87" t="n">
        <x:f>Controls!$D$41</x:f>
        <x:v>1</x:v>
      </x:c>
      <x:c r="G87" t="n">
        <x:v>1</x:v>
      </x:c>
      <x:c r="H87" t="str">
        <x:v>RAW design authority</x:v>
      </x:c>
      <x:c r="I87" t="str">
        <x:f>IF(F87=1,"PASS","GAP")</x:f>
        <x:v>PASS</x:v>
      </x:c>
    </x:row>
    <x:row r="88">
      <x:c r="B88" t="str">
        <x:v>PL-0082</x:v>
      </x:c>
      <x:c r="C88" t="str">
        <x:v>PLANNING</x:v>
      </x:c>
      <x:c r="D88" t="str">
        <x:v>artifact</x:v>
      </x:c>
      <x:c r="E88" t="str">
        <x:v>artifact 61</x:v>
      </x:c>
      <x:c r="F88" t="n">
        <x:f>Controls!$D$41</x:f>
        <x:v>1</x:v>
      </x:c>
      <x:c r="G88" t="n">
        <x:v>1</x:v>
      </x:c>
      <x:c r="H88" t="str">
        <x:v>RAW design authority</x:v>
      </x:c>
      <x:c r="I88" t="str">
        <x:f>IF(F88=1,"PASS","GAP")</x:f>
        <x:v>PASS</x:v>
      </x:c>
    </x:row>
    <x:row r="89">
      <x:c r="B89" t="str">
        <x:v>PL-0083</x:v>
      </x:c>
      <x:c r="C89" t="str">
        <x:v>PLANNING</x:v>
      </x:c>
      <x:c r="D89" t="str">
        <x:v>artifact</x:v>
      </x:c>
      <x:c r="E89" t="str">
        <x:v>artifact 62</x:v>
      </x:c>
      <x:c r="F89" t="n">
        <x:f>Controls!$D$41</x:f>
        <x:v>1</x:v>
      </x:c>
      <x:c r="G89" t="n">
        <x:v>1</x:v>
      </x:c>
      <x:c r="H89" t="str">
        <x:v>RAW design authority</x:v>
      </x:c>
      <x:c r="I89" t="str">
        <x:f>IF(F89=1,"PASS","GAP")</x:f>
        <x:v>PASS</x:v>
      </x:c>
    </x:row>
    <x:row r="90">
      <x:c r="B90" t="str">
        <x:v>PL-0084</x:v>
      </x:c>
      <x:c r="C90" t="str">
        <x:v>PLANNING</x:v>
      </x:c>
      <x:c r="D90" t="str">
        <x:v>artifact</x:v>
      </x:c>
      <x:c r="E90" t="str">
        <x:v>artifact 63</x:v>
      </x:c>
      <x:c r="F90" t="n">
        <x:f>Controls!$D$41</x:f>
        <x:v>1</x:v>
      </x:c>
      <x:c r="G90" t="n">
        <x:v>1</x:v>
      </x:c>
      <x:c r="H90" t="str">
        <x:v>RAW design authority</x:v>
      </x:c>
      <x:c r="I90" t="str">
        <x:f>IF(F90=1,"PASS","GAP")</x:f>
        <x:v>PASS</x:v>
      </x:c>
    </x:row>
    <x:row r="91">
      <x:c r="B91" t="str">
        <x:v>PL-0085</x:v>
      </x:c>
      <x:c r="C91" t="str">
        <x:v>PLANNING</x:v>
      </x:c>
      <x:c r="D91" t="str">
        <x:v>artifact</x:v>
      </x:c>
      <x:c r="E91" t="str">
        <x:v>artifact 64</x:v>
      </x:c>
      <x:c r="F91" t="n">
        <x:f>Controls!$D$41</x:f>
        <x:v>1</x:v>
      </x:c>
      <x:c r="G91" t="n">
        <x:v>1</x:v>
      </x:c>
      <x:c r="H91" t="str">
        <x:v>RAW design authority</x:v>
      </x:c>
      <x:c r="I91" t="str">
        <x:f>IF(F91=1,"PASS","GAP")</x:f>
        <x:v>PASS</x:v>
      </x:c>
    </x:row>
    <x:row r="92">
      <x:c r="B92" t="str">
        <x:v>PL-0086</x:v>
      </x:c>
      <x:c r="C92" t="str">
        <x:v>PLANNING</x:v>
      </x:c>
      <x:c r="D92" t="str">
        <x:v>artifact</x:v>
      </x:c>
      <x:c r="E92" t="str">
        <x:v>artifact 65</x:v>
      </x:c>
      <x:c r="F92" t="n">
        <x:f>Controls!$D$41</x:f>
        <x:v>1</x:v>
      </x:c>
      <x:c r="G92" t="n">
        <x:v>1</x:v>
      </x:c>
      <x:c r="H92" t="str">
        <x:v>RAW design authority</x:v>
      </x:c>
      <x:c r="I92" t="str">
        <x:f>IF(F92=1,"PASS","GAP")</x:f>
        <x:v>PASS</x:v>
      </x:c>
    </x:row>
    <x:row r="93">
      <x:c r="B93" t="str">
        <x:v>PL-0087</x:v>
      </x:c>
      <x:c r="C93" t="str">
        <x:v>PLANNING</x:v>
      </x:c>
      <x:c r="D93" t="str">
        <x:v>artifact</x:v>
      </x:c>
      <x:c r="E93" t="str">
        <x:v>artifact 66</x:v>
      </x:c>
      <x:c r="F93" t="n">
        <x:f>Controls!$D$41</x:f>
        <x:v>1</x:v>
      </x:c>
      <x:c r="G93" t="n">
        <x:v>1</x:v>
      </x:c>
      <x:c r="H93" t="str">
        <x:v>RAW design authority</x:v>
      </x:c>
      <x:c r="I93" t="str">
        <x:f>IF(F93=1,"PASS","GAP")</x:f>
        <x:v>PASS</x:v>
      </x:c>
    </x:row>
    <x:row r="94">
      <x:c r="B94" t="str">
        <x:v>PL-0088</x:v>
      </x:c>
      <x:c r="C94" t="str">
        <x:v>PLANNING</x:v>
      </x:c>
      <x:c r="D94" t="str">
        <x:v>artifact</x:v>
      </x:c>
      <x:c r="E94" t="str">
        <x:v>artifact 67</x:v>
      </x:c>
      <x:c r="F94" t="n">
        <x:f>Controls!$D$41</x:f>
        <x:v>1</x:v>
      </x:c>
      <x:c r="G94" t="n">
        <x:v>1</x:v>
      </x:c>
      <x:c r="H94" t="str">
        <x:v>RAW design authority</x:v>
      </x:c>
      <x:c r="I94" t="str">
        <x:f>IF(F94=1,"PASS","GAP")</x:f>
        <x:v>PASS</x:v>
      </x:c>
    </x:row>
    <x:row r="95">
      <x:c r="B95" t="str">
        <x:v>PL-0089</x:v>
      </x:c>
      <x:c r="C95" t="str">
        <x:v>PLANNING</x:v>
      </x:c>
      <x:c r="D95" t="str">
        <x:v>artifact</x:v>
      </x:c>
      <x:c r="E95" t="str">
        <x:v>artifact 68</x:v>
      </x:c>
      <x:c r="F95" t="n">
        <x:f>Controls!$D$41</x:f>
        <x:v>1</x:v>
      </x:c>
      <x:c r="G95" t="n">
        <x:v>1</x:v>
      </x:c>
      <x:c r="H95" t="str">
        <x:v>RAW design authority</x:v>
      </x:c>
      <x:c r="I95" t="str">
        <x:f>IF(F95=1,"PASS","GAP")</x:f>
        <x:v>PASS</x:v>
      </x:c>
    </x:row>
    <x:row r="96">
      <x:c r="B96" t="str">
        <x:v>PL-0090</x:v>
      </x:c>
      <x:c r="C96" t="str">
        <x:v>PLANNING</x:v>
      </x:c>
      <x:c r="D96" t="str">
        <x:v>artifact</x:v>
      </x:c>
      <x:c r="E96" t="str">
        <x:v>artifact 69</x:v>
      </x:c>
      <x:c r="F96" t="n">
        <x:f>Controls!$D$41</x:f>
        <x:v>1</x:v>
      </x:c>
      <x:c r="G96" t="n">
        <x:v>1</x:v>
      </x:c>
      <x:c r="H96" t="str">
        <x:v>RAW design authority</x:v>
      </x:c>
      <x:c r="I96" t="str">
        <x:f>IF(F96=1,"PASS","GAP")</x:f>
        <x:v>PASS</x:v>
      </x:c>
    </x:row>
    <x:row r="97">
      <x:c r="B97" t="str">
        <x:v>PL-0091</x:v>
      </x:c>
      <x:c r="C97" t="str">
        <x:v>PLANNING</x:v>
      </x:c>
      <x:c r="D97" t="str">
        <x:v>artifact</x:v>
      </x:c>
      <x:c r="E97" t="str">
        <x:v>artifact 70</x:v>
      </x:c>
      <x:c r="F97" t="n">
        <x:f>Controls!$D$41</x:f>
        <x:v>1</x:v>
      </x:c>
      <x:c r="G97" t="n">
        <x:v>1</x:v>
      </x:c>
      <x:c r="H97" t="str">
        <x:v>RAW design authority</x:v>
      </x:c>
      <x:c r="I97" t="str">
        <x:f>IF(F97=1,"PASS","GAP")</x:f>
        <x:v>PASS</x:v>
      </x:c>
    </x:row>
    <x:row r="98">
      <x:c r="B98" t="str">
        <x:v>PL-0092</x:v>
      </x:c>
      <x:c r="C98" t="str">
        <x:v>PLANNING</x:v>
      </x:c>
      <x:c r="D98" t="str">
        <x:v>artifact</x:v>
      </x:c>
      <x:c r="E98" t="str">
        <x:v>artifact 71</x:v>
      </x:c>
      <x:c r="F98" t="n">
        <x:f>Controls!$D$41</x:f>
        <x:v>1</x:v>
      </x:c>
      <x:c r="G98" t="n">
        <x:v>1</x:v>
      </x:c>
      <x:c r="H98" t="str">
        <x:v>RAW design authority</x:v>
      </x:c>
      <x:c r="I98" t="str">
        <x:f>IF(F98=1,"PASS","GAP")</x:f>
        <x:v>PASS</x:v>
      </x:c>
    </x:row>
    <x:row r="99">
      <x:c r="B99" t="str">
        <x:v>PL-0093</x:v>
      </x:c>
      <x:c r="C99" t="str">
        <x:v>PLANNING</x:v>
      </x:c>
      <x:c r="D99" t="str">
        <x:v>artifact</x:v>
      </x:c>
      <x:c r="E99" t="str">
        <x:v>artifact 72</x:v>
      </x:c>
      <x:c r="F99" t="n">
        <x:f>Controls!$D$41</x:f>
        <x:v>1</x:v>
      </x:c>
      <x:c r="G99" t="n">
        <x:v>1</x:v>
      </x:c>
      <x:c r="H99" t="str">
        <x:v>RAW design authority</x:v>
      </x:c>
      <x:c r="I99" t="str">
        <x:f>IF(F99=1,"PASS","GAP")</x:f>
        <x:v>PASS</x:v>
      </x:c>
    </x:row>
    <x:row r="100">
      <x:c r="B100" t="str">
        <x:v>PL-0094</x:v>
      </x:c>
      <x:c r="C100" t="str">
        <x:v>PLANNING</x:v>
      </x:c>
      <x:c r="D100" t="str">
        <x:v>artifact</x:v>
      </x:c>
      <x:c r="E100" t="str">
        <x:v>artifact 73</x:v>
      </x:c>
      <x:c r="F100" t="n">
        <x:f>Controls!$D$41</x:f>
        <x:v>1</x:v>
      </x:c>
      <x:c r="G100" t="n">
        <x:v>1</x:v>
      </x:c>
      <x:c r="H100" t="str">
        <x:v>RAW design authority</x:v>
      </x:c>
      <x:c r="I100" t="str">
        <x:f>IF(F100=1,"PASS","GAP")</x:f>
        <x:v>PASS</x:v>
      </x:c>
    </x:row>
    <x:row r="101">
      <x:c r="B101" t="str">
        <x:v>PL-0095</x:v>
      </x:c>
      <x:c r="C101" t="str">
        <x:v>PLANNING</x:v>
      </x:c>
      <x:c r="D101" t="str">
        <x:v>artifact</x:v>
      </x:c>
      <x:c r="E101" t="str">
        <x:v>artifact 74</x:v>
      </x:c>
      <x:c r="F101" t="n">
        <x:f>Controls!$D$41</x:f>
        <x:v>1</x:v>
      </x:c>
      <x:c r="G101" t="n">
        <x:v>1</x:v>
      </x:c>
      <x:c r="H101" t="str">
        <x:v>RAW design authority</x:v>
      </x:c>
      <x:c r="I101" t="str">
        <x:f>IF(F101=1,"PASS","GAP")</x:f>
        <x:v>PASS</x:v>
      </x:c>
    </x:row>
    <x:row r="102">
      <x:c r="B102" t="str">
        <x:v>PL-0096</x:v>
      </x:c>
      <x:c r="C102" t="str">
        <x:v>PLANNING</x:v>
      </x:c>
      <x:c r="D102" t="str">
        <x:v>artifact</x:v>
      </x:c>
      <x:c r="E102" t="str">
        <x:v>artifact 75</x:v>
      </x:c>
      <x:c r="F102" t="n">
        <x:f>Controls!$D$41</x:f>
        <x:v>1</x:v>
      </x:c>
      <x:c r="G102" t="n">
        <x:v>1</x:v>
      </x:c>
      <x:c r="H102" t="str">
        <x:v>RAW design authority</x:v>
      </x:c>
      <x:c r="I102" t="str">
        <x:f>IF(F102=1,"PASS","GAP")</x:f>
        <x:v>PASS</x:v>
      </x:c>
    </x:row>
    <x:row r="103">
      <x:c r="B103" t="str">
        <x:v>PL-0097</x:v>
      </x:c>
      <x:c r="C103" t="str">
        <x:v>PLANNING</x:v>
      </x:c>
      <x:c r="D103" t="str">
        <x:v>artifact</x:v>
      </x:c>
      <x:c r="E103" t="str">
        <x:v>artifact 76</x:v>
      </x:c>
      <x:c r="F103" t="n">
        <x:f>Controls!$D$41</x:f>
        <x:v>1</x:v>
      </x:c>
      <x:c r="G103" t="n">
        <x:v>1</x:v>
      </x:c>
      <x:c r="H103" t="str">
        <x:v>RAW design authority</x:v>
      </x:c>
      <x:c r="I103" t="str">
        <x:f>IF(F103=1,"PASS","GAP")</x:f>
        <x:v>PASS</x:v>
      </x:c>
    </x:row>
    <x:row r="104">
      <x:c r="B104" t="str">
        <x:v>PL-0098</x:v>
      </x:c>
      <x:c r="C104" t="str">
        <x:v>PLANNING</x:v>
      </x:c>
      <x:c r="D104" t="str">
        <x:v>artifact</x:v>
      </x:c>
      <x:c r="E104" t="str">
        <x:v>artifact 77</x:v>
      </x:c>
      <x:c r="F104" t="n">
        <x:f>Controls!$D$41</x:f>
        <x:v>1</x:v>
      </x:c>
      <x:c r="G104" t="n">
        <x:v>1</x:v>
      </x:c>
      <x:c r="H104" t="str">
        <x:v>RAW design authority</x:v>
      </x:c>
      <x:c r="I104" t="str">
        <x:f>IF(F104=1,"PASS","GAP")</x:f>
        <x:v>PASS</x:v>
      </x:c>
    </x:row>
    <x:row r="105">
      <x:c r="B105" t="str">
        <x:v>PL-0099</x:v>
      </x:c>
      <x:c r="C105" t="str">
        <x:v>PLANNING</x:v>
      </x:c>
      <x:c r="D105" t="str">
        <x:v>artifact</x:v>
      </x:c>
      <x:c r="E105" t="str">
        <x:v>artifact 78</x:v>
      </x:c>
      <x:c r="F105" t="n">
        <x:f>Controls!$D$41</x:f>
        <x:v>1</x:v>
      </x:c>
      <x:c r="G105" t="n">
        <x:v>1</x:v>
      </x:c>
      <x:c r="H105" t="str">
        <x:v>RAW design authority</x:v>
      </x:c>
      <x:c r="I105" t="str">
        <x:f>IF(F105=1,"PASS","GAP")</x:f>
        <x:v>PASS</x:v>
      </x:c>
    </x:row>
    <x:row r="106">
      <x:c r="B106" t="str">
        <x:v>PL-0100</x:v>
      </x:c>
      <x:c r="C106" t="str">
        <x:v>PLANNING</x:v>
      </x:c>
      <x:c r="D106" t="str">
        <x:v>artifact</x:v>
      </x:c>
      <x:c r="E106" t="str">
        <x:v>artifact 79</x:v>
      </x:c>
      <x:c r="F106" t="n">
        <x:f>Controls!$D$41</x:f>
        <x:v>1</x:v>
      </x:c>
      <x:c r="G106" t="n">
        <x:v>1</x:v>
      </x:c>
      <x:c r="H106" t="str">
        <x:v>RAW design authority</x:v>
      </x:c>
      <x:c r="I106" t="str">
        <x:f>IF(F106=1,"PASS","GAP")</x:f>
        <x:v>PASS</x:v>
      </x:c>
    </x:row>
    <x:row r="107">
      <x:c r="B107" t="str">
        <x:v>PL-0101</x:v>
      </x:c>
      <x:c r="C107" t="str">
        <x:v>PLANNING</x:v>
      </x:c>
      <x:c r="D107" t="str">
        <x:v>artifact</x:v>
      </x:c>
      <x:c r="E107" t="str">
        <x:v>artifact 80</x:v>
      </x:c>
      <x:c r="F107" t="n">
        <x:f>Controls!$D$41</x:f>
        <x:v>1</x:v>
      </x:c>
      <x:c r="G107" t="n">
        <x:v>1</x:v>
      </x:c>
      <x:c r="H107" t="str">
        <x:v>RAW design authority</x:v>
      </x:c>
      <x:c r="I107" t="str">
        <x:f>IF(F107=1,"PASS","GAP")</x:f>
        <x:v>PASS</x:v>
      </x:c>
    </x:row>
    <x:row r="108">
      <x:c r="B108" t="str">
        <x:v>PL-0102</x:v>
      </x:c>
      <x:c r="C108" t="str">
        <x:v>PLANNING</x:v>
      </x:c>
      <x:c r="D108" t="str">
        <x:v>artifact</x:v>
      </x:c>
      <x:c r="E108" t="str">
        <x:v>artifact 81</x:v>
      </x:c>
      <x:c r="F108" t="n">
        <x:f>Controls!$D$41</x:f>
        <x:v>1</x:v>
      </x:c>
      <x:c r="G108" t="n">
        <x:v>1</x:v>
      </x:c>
      <x:c r="H108" t="str">
        <x:v>RAW design authority</x:v>
      </x:c>
      <x:c r="I108" t="str">
        <x:f>IF(F108=1,"PASS","GAP")</x:f>
        <x:v>PASS</x:v>
      </x:c>
    </x:row>
    <x:row r="109">
      <x:c r="B109" t="str">
        <x:v>PL-0103</x:v>
      </x:c>
      <x:c r="C109" t="str">
        <x:v>PLANNING</x:v>
      </x:c>
      <x:c r="D109" t="str">
        <x:v>artifact</x:v>
      </x:c>
      <x:c r="E109" t="str">
        <x:v>artifact 82</x:v>
      </x:c>
      <x:c r="F109" t="n">
        <x:f>Controls!$D$41</x:f>
        <x:v>1</x:v>
      </x:c>
      <x:c r="G109" t="n">
        <x:v>1</x:v>
      </x:c>
      <x:c r="H109" t="str">
        <x:v>RAW design authority</x:v>
      </x:c>
      <x:c r="I109" t="str">
        <x:f>IF(F109=1,"PASS","GAP")</x:f>
        <x:v>PASS</x:v>
      </x:c>
    </x:row>
    <x:row r="110">
      <x:c r="B110" t="str">
        <x:v>PL-0104</x:v>
      </x:c>
      <x:c r="C110" t="str">
        <x:v>PLANNING</x:v>
      </x:c>
      <x:c r="D110" t="str">
        <x:v>artifact</x:v>
      </x:c>
      <x:c r="E110" t="str">
        <x:v>artifact 83</x:v>
      </x:c>
      <x:c r="F110" t="n">
        <x:f>Controls!$D$41</x:f>
        <x:v>1</x:v>
      </x:c>
      <x:c r="G110" t="n">
        <x:v>1</x:v>
      </x:c>
      <x:c r="H110" t="str">
        <x:v>RAW design authority</x:v>
      </x:c>
      <x:c r="I110" t="str">
        <x:f>IF(F110=1,"PASS","GAP")</x:f>
        <x:v>PASS</x:v>
      </x:c>
    </x:row>
    <x:row r="111">
      <x:c r="B111" t="str">
        <x:v>PL-0105</x:v>
      </x:c>
      <x:c r="C111" t="str">
        <x:v>PLANNING</x:v>
      </x:c>
      <x:c r="D111" t="str">
        <x:v>artifact</x:v>
      </x:c>
      <x:c r="E111" t="str">
        <x:v>artifact 84</x:v>
      </x:c>
      <x:c r="F111" t="n">
        <x:f>Controls!$D$41</x:f>
        <x:v>1</x:v>
      </x:c>
      <x:c r="G111" t="n">
        <x:v>1</x:v>
      </x:c>
      <x:c r="H111" t="str">
        <x:v>RAW design authority</x:v>
      </x:c>
      <x:c r="I111" t="str">
        <x:f>IF(F111=1,"PASS","GAP")</x:f>
        <x:v>PASS</x:v>
      </x:c>
    </x:row>
    <x:row r="112">
      <x:c r="B112" t="str">
        <x:v>PL-0106</x:v>
      </x:c>
      <x:c r="C112" t="str">
        <x:v>PLANNING</x:v>
      </x:c>
      <x:c r="D112" t="str">
        <x:v>artifact</x:v>
      </x:c>
      <x:c r="E112" t="str">
        <x:v>artifact 85</x:v>
      </x:c>
      <x:c r="F112" t="n">
        <x:f>Controls!$D$41</x:f>
        <x:v>1</x:v>
      </x:c>
      <x:c r="G112" t="n">
        <x:v>1</x:v>
      </x:c>
      <x:c r="H112" t="str">
        <x:v>RAW design authority</x:v>
      </x:c>
      <x:c r="I112" t="str">
        <x:f>IF(F112=1,"PASS","GAP")</x:f>
        <x:v>PASS</x:v>
      </x:c>
    </x:row>
    <x:row r="113">
      <x:c r="B113" t="str">
        <x:v>PL-0107</x:v>
      </x:c>
      <x:c r="C113" t="str">
        <x:v>PLANNING</x:v>
      </x:c>
      <x:c r="D113" t="str">
        <x:v>artifact</x:v>
      </x:c>
      <x:c r="E113" t="str">
        <x:v>artifact 86</x:v>
      </x:c>
      <x:c r="F113" t="n">
        <x:f>Controls!$D$41</x:f>
        <x:v>1</x:v>
      </x:c>
      <x:c r="G113" t="n">
        <x:v>1</x:v>
      </x:c>
      <x:c r="H113" t="str">
        <x:v>RAW design authority</x:v>
      </x:c>
      <x:c r="I113" t="str">
        <x:f>IF(F113=1,"PASS","GAP")</x:f>
        <x:v>PASS</x:v>
      </x:c>
    </x:row>
    <x:row r="114">
      <x:c r="B114" t="str">
        <x:v>PL-0108</x:v>
      </x:c>
      <x:c r="C114" t="str">
        <x:v>PLANNING</x:v>
      </x:c>
      <x:c r="D114" t="str">
        <x:v>artifact</x:v>
      </x:c>
      <x:c r="E114" t="str">
        <x:v>artifact 87</x:v>
      </x:c>
      <x:c r="F114" t="n">
        <x:f>Controls!$D$41</x:f>
        <x:v>1</x:v>
      </x:c>
      <x:c r="G114" t="n">
        <x:v>1</x:v>
      </x:c>
      <x:c r="H114" t="str">
        <x:v>RAW design authority</x:v>
      </x:c>
      <x:c r="I114" t="str">
        <x:f>IF(F114=1,"PASS","GAP")</x:f>
        <x:v>PASS</x:v>
      </x:c>
    </x:row>
    <x:row r="115">
      <x:c r="B115" t="str">
        <x:v>PL-0109</x:v>
      </x:c>
      <x:c r="C115" t="str">
        <x:v>PLANNING</x:v>
      </x:c>
      <x:c r="D115" t="str">
        <x:v>artifact</x:v>
      </x:c>
      <x:c r="E115" t="str">
        <x:v>artifact 88</x:v>
      </x:c>
      <x:c r="F115" t="n">
        <x:f>Controls!$D$41</x:f>
        <x:v>1</x:v>
      </x:c>
      <x:c r="G115" t="n">
        <x:v>1</x:v>
      </x:c>
      <x:c r="H115" t="str">
        <x:v>RAW design authority</x:v>
      </x:c>
      <x:c r="I115" t="str">
        <x:f>IF(F115=1,"PASS","GAP")</x:f>
        <x:v>PASS</x:v>
      </x:c>
    </x:row>
    <x:row r="116">
      <x:c r="B116" t="str">
        <x:v>PL-0110</x:v>
      </x:c>
      <x:c r="C116" t="str">
        <x:v>PLANNING</x:v>
      </x:c>
      <x:c r="D116" t="str">
        <x:v>artifact</x:v>
      </x:c>
      <x:c r="E116" t="str">
        <x:v>artifact 89</x:v>
      </x:c>
      <x:c r="F116" t="n">
        <x:f>Controls!$D$41</x:f>
        <x:v>1</x:v>
      </x:c>
      <x:c r="G116" t="n">
        <x:v>1</x:v>
      </x:c>
      <x:c r="H116" t="str">
        <x:v>RAW design authority</x:v>
      </x:c>
      <x:c r="I116" t="str">
        <x:f>IF(F116=1,"PASS","GAP")</x:f>
        <x:v>PASS</x:v>
      </x:c>
    </x:row>
    <x:row r="117">
      <x:c r="B117" t="str">
        <x:v>PL-0111</x:v>
      </x:c>
      <x:c r="C117" t="str">
        <x:v>PLANNING</x:v>
      </x:c>
      <x:c r="D117" t="str">
        <x:v>artifact</x:v>
      </x:c>
      <x:c r="E117" t="str">
        <x:v>artifact 90</x:v>
      </x:c>
      <x:c r="F117" t="n">
        <x:f>Controls!$D$41</x:f>
        <x:v>1</x:v>
      </x:c>
      <x:c r="G117" t="n">
        <x:v>1</x:v>
      </x:c>
      <x:c r="H117" t="str">
        <x:v>RAW design authority</x:v>
      </x:c>
      <x:c r="I117" t="str">
        <x:f>IF(F117=1,"PASS","GAP")</x:f>
        <x:v>PASS</x:v>
      </x:c>
    </x:row>
    <x:row r="118">
      <x:c r="B118" t="str">
        <x:v>PL-0112</x:v>
      </x:c>
      <x:c r="C118" t="str">
        <x:v>PLANNING</x:v>
      </x:c>
      <x:c r="D118" t="str">
        <x:v>artifact</x:v>
      </x:c>
      <x:c r="E118" t="str">
        <x:v>artifact 91</x:v>
      </x:c>
      <x:c r="F118" t="n">
        <x:f>Controls!$D$41</x:f>
        <x:v>1</x:v>
      </x:c>
      <x:c r="G118" t="n">
        <x:v>1</x:v>
      </x:c>
      <x:c r="H118" t="str">
        <x:v>RAW design authority</x:v>
      </x:c>
      <x:c r="I118" t="str">
        <x:f>IF(F118=1,"PASS","GAP")</x:f>
        <x:v>PASS</x:v>
      </x:c>
    </x:row>
    <x:row r="119">
      <x:c r="B119" t="str">
        <x:v>PL-0113</x:v>
      </x:c>
      <x:c r="C119" t="str">
        <x:v>PLANNING</x:v>
      </x:c>
      <x:c r="D119" t="str">
        <x:v>artifact</x:v>
      </x:c>
      <x:c r="E119" t="str">
        <x:v>artifact 92</x:v>
      </x:c>
      <x:c r="F119" t="n">
        <x:f>Controls!$D$41</x:f>
        <x:v>1</x:v>
      </x:c>
      <x:c r="G119" t="n">
        <x:v>1</x:v>
      </x:c>
      <x:c r="H119" t="str">
        <x:v>RAW design authority</x:v>
      </x:c>
      <x:c r="I119" t="str">
        <x:f>IF(F119=1,"PASS","GAP")</x:f>
        <x:v>PASS</x:v>
      </x:c>
    </x:row>
    <x:row r="120">
      <x:c r="B120" t="str">
        <x:v>PL-0114</x:v>
      </x:c>
      <x:c r="C120" t="str">
        <x:v>PLANNING</x:v>
      </x:c>
      <x:c r="D120" t="str">
        <x:v>artifact</x:v>
      </x:c>
      <x:c r="E120" t="str">
        <x:v>artifact 93</x:v>
      </x:c>
      <x:c r="F120" t="n">
        <x:f>Controls!$D$41</x:f>
        <x:v>1</x:v>
      </x:c>
      <x:c r="G120" t="n">
        <x:v>1</x:v>
      </x:c>
      <x:c r="H120" t="str">
        <x:v>RAW design authority</x:v>
      </x:c>
      <x:c r="I120" t="str">
        <x:f>IF(F120=1,"PASS","GAP")</x:f>
        <x:v>PASS</x:v>
      </x:c>
    </x:row>
    <x:row r="121">
      <x:c r="B121" t="str">
        <x:v>PL-0115</x:v>
      </x:c>
      <x:c r="C121" t="str">
        <x:v>PLANNING</x:v>
      </x:c>
      <x:c r="D121" t="str">
        <x:v>artifact</x:v>
      </x:c>
      <x:c r="E121" t="str">
        <x:v>artifact 94</x:v>
      </x:c>
      <x:c r="F121" t="n">
        <x:f>Controls!$D$41</x:f>
        <x:v>1</x:v>
      </x:c>
      <x:c r="G121" t="n">
        <x:v>1</x:v>
      </x:c>
      <x:c r="H121" t="str">
        <x:v>RAW design authority</x:v>
      </x:c>
      <x:c r="I121" t="str">
        <x:f>IF(F121=1,"PASS","GAP")</x:f>
        <x:v>PASS</x:v>
      </x:c>
    </x:row>
    <x:row r="122">
      <x:c r="B122" t="str">
        <x:v>PL-0116</x:v>
      </x:c>
      <x:c r="C122" t="str">
        <x:v>PLANNING</x:v>
      </x:c>
      <x:c r="D122" t="str">
        <x:v>artifact</x:v>
      </x:c>
      <x:c r="E122" t="str">
        <x:v>artifact 95</x:v>
      </x:c>
      <x:c r="F122" t="n">
        <x:f>Controls!$D$41</x:f>
        <x:v>1</x:v>
      </x:c>
      <x:c r="G122" t="n">
        <x:v>1</x:v>
      </x:c>
      <x:c r="H122" t="str">
        <x:v>RAW design authority</x:v>
      </x:c>
      <x:c r="I122" t="str">
        <x:f>IF(F122=1,"PASS","GAP")</x:f>
        <x:v>PASS</x:v>
      </x:c>
    </x:row>
    <x:row r="123">
      <x:c r="B123" t="str">
        <x:v>PL-0117</x:v>
      </x:c>
      <x:c r="C123" t="str">
        <x:v>PLANNING</x:v>
      </x:c>
      <x:c r="D123" t="str">
        <x:v>artifact</x:v>
      </x:c>
      <x:c r="E123" t="str">
        <x:v>artifact 96</x:v>
      </x:c>
      <x:c r="F123" t="n">
        <x:f>Controls!$D$41</x:f>
        <x:v>1</x:v>
      </x:c>
      <x:c r="G123" t="n">
        <x:v>1</x:v>
      </x:c>
      <x:c r="H123" t="str">
        <x:v>RAW design authority</x:v>
      </x:c>
      <x:c r="I123" t="str">
        <x:f>IF(F123=1,"PASS","GAP")</x:f>
        <x:v>PASS</x:v>
      </x:c>
    </x:row>
    <x:row r="124">
      <x:c r="B124" t="str">
        <x:v>PL-0118</x:v>
      </x:c>
      <x:c r="C124" t="str">
        <x:v>PLANNING</x:v>
      </x:c>
      <x:c r="D124" t="str">
        <x:v>artifact</x:v>
      </x:c>
      <x:c r="E124" t="str">
        <x:v>artifact 97</x:v>
      </x:c>
      <x:c r="F124" t="n">
        <x:f>Controls!$D$41</x:f>
        <x:v>1</x:v>
      </x:c>
      <x:c r="G124" t="n">
        <x:v>1</x:v>
      </x:c>
      <x:c r="H124" t="str">
        <x:v>RAW design authority</x:v>
      </x:c>
      <x:c r="I124" t="str">
        <x:f>IF(F124=1,"PASS","GAP")</x:f>
        <x:v>PASS</x:v>
      </x:c>
    </x:row>
    <x:row r="125">
      <x:c r="B125" t="str">
        <x:v>PL-0119</x:v>
      </x:c>
      <x:c r="C125" t="str">
        <x:v>PLANNING</x:v>
      </x:c>
      <x:c r="D125" t="str">
        <x:v>artifact</x:v>
      </x:c>
      <x:c r="E125" t="str">
        <x:v>artifact 98</x:v>
      </x:c>
      <x:c r="F125" t="n">
        <x:f>Controls!$D$41</x:f>
        <x:v>1</x:v>
      </x:c>
      <x:c r="G125" t="n">
        <x:v>1</x:v>
      </x:c>
      <x:c r="H125" t="str">
        <x:v>RAW design authority</x:v>
      </x:c>
      <x:c r="I125" t="str">
        <x:f>IF(F125=1,"PASS","GAP")</x:f>
        <x:v>PASS</x:v>
      </x:c>
    </x:row>
    <x:row r="126">
      <x:c r="B126" t="str">
        <x:v>PL-0120</x:v>
      </x:c>
      <x:c r="C126" t="str">
        <x:v>PLANNING</x:v>
      </x:c>
      <x:c r="D126" t="str">
        <x:v>artifact</x:v>
      </x:c>
      <x:c r="E126" t="str">
        <x:v>artifact 99</x:v>
      </x:c>
      <x:c r="F126" t="n">
        <x:f>Controls!$D$41</x:f>
        <x:v>1</x:v>
      </x:c>
      <x:c r="G126" t="n">
        <x:v>1</x:v>
      </x:c>
      <x:c r="H126" t="str">
        <x:v>RAW design authority</x:v>
      </x:c>
      <x:c r="I126" t="str">
        <x:f>IF(F126=1,"PASS","GAP")</x:f>
        <x:v>PASS</x:v>
      </x:c>
    </x:row>
    <x:row r="127">
      <x:c r="B127" t="str">
        <x:v>PL-0121</x:v>
      </x:c>
      <x:c r="C127" t="str">
        <x:v>PLANNING</x:v>
      </x:c>
      <x:c r="D127" t="str">
        <x:v>artifact</x:v>
      </x:c>
      <x:c r="E127" t="str">
        <x:v>artifact 100</x:v>
      </x:c>
      <x:c r="F127" t="n">
        <x:f>Controls!$D$41</x:f>
        <x:v>1</x:v>
      </x:c>
      <x:c r="G127" t="n">
        <x:v>1</x:v>
      </x:c>
      <x:c r="H127" t="str">
        <x:v>RAW design authority</x:v>
      </x:c>
      <x:c r="I127" t="str">
        <x:f>IF(F127=1,"PASS","GAP")</x:f>
        <x:v>PASS</x:v>
      </x:c>
    </x:row>
    <x:row r="128">
      <x:c r="B128" t="str">
        <x:v>PL-0122</x:v>
      </x:c>
      <x:c r="C128" t="str">
        <x:v>PLANNING</x:v>
      </x:c>
      <x:c r="D128" t="str">
        <x:v>artifact</x:v>
      </x:c>
      <x:c r="E128" t="str">
        <x:v>artifact 101</x:v>
      </x:c>
      <x:c r="F128" t="n">
        <x:f>Controls!$D$41</x:f>
        <x:v>1</x:v>
      </x:c>
      <x:c r="G128" t="n">
        <x:v>1</x:v>
      </x:c>
      <x:c r="H128" t="str">
        <x:v>RAW design authority</x:v>
      </x:c>
      <x:c r="I128" t="str">
        <x:f>IF(F128=1,"PASS","GAP")</x:f>
        <x:v>PASS</x:v>
      </x:c>
    </x:row>
    <x:row r="129">
      <x:c r="B129" t="str">
        <x:v>PL-0123</x:v>
      </x:c>
      <x:c r="C129" t="str">
        <x:v>PLANNING</x:v>
      </x:c>
      <x:c r="D129" t="str">
        <x:v>artifact</x:v>
      </x:c>
      <x:c r="E129" t="str">
        <x:v>artifact 102</x:v>
      </x:c>
      <x:c r="F129" t="n">
        <x:f>Controls!$D$41</x:f>
        <x:v>1</x:v>
      </x:c>
      <x:c r="G129" t="n">
        <x:v>1</x:v>
      </x:c>
      <x:c r="H129" t="str">
        <x:v>RAW design authority</x:v>
      </x:c>
      <x:c r="I129" t="str">
        <x:f>IF(F129=1,"PASS","GAP")</x:f>
        <x:v>PASS</x:v>
      </x:c>
    </x:row>
    <x:row r="130">
      <x:c r="B130" t="str">
        <x:v>PL-0124</x:v>
      </x:c>
      <x:c r="C130" t="str">
        <x:v>PLANNING</x:v>
      </x:c>
      <x:c r="D130" t="str">
        <x:v>artifact</x:v>
      </x:c>
      <x:c r="E130" t="str">
        <x:v>artifact 103</x:v>
      </x:c>
      <x:c r="F130" t="n">
        <x:f>Controls!$D$41</x:f>
        <x:v>1</x:v>
      </x:c>
      <x:c r="G130" t="n">
        <x:v>1</x:v>
      </x:c>
      <x:c r="H130" t="str">
        <x:v>RAW design authority</x:v>
      </x:c>
      <x:c r="I130" t="str">
        <x:f>IF(F130=1,"PASS","GAP")</x:f>
        <x:v>PASS</x:v>
      </x:c>
    </x:row>
    <x:row r="131">
      <x:c r="B131" t="str">
        <x:v>PL-0125</x:v>
      </x:c>
      <x:c r="C131" t="str">
        <x:v>PLANNING</x:v>
      </x:c>
      <x:c r="D131" t="str">
        <x:v>artifact</x:v>
      </x:c>
      <x:c r="E131" t="str">
        <x:v>artifact 104</x:v>
      </x:c>
      <x:c r="F131" t="n">
        <x:f>Controls!$D$41</x:f>
        <x:v>1</x:v>
      </x:c>
      <x:c r="G131" t="n">
        <x:v>1</x:v>
      </x:c>
      <x:c r="H131" t="str">
        <x:v>RAW design authority</x:v>
      </x:c>
      <x:c r="I131" t="str">
        <x:f>IF(F131=1,"PASS","GAP")</x:f>
        <x:v>PASS</x:v>
      </x:c>
    </x:row>
    <x:row r="132">
      <x:c r="B132" t="str">
        <x:v>PL-0126</x:v>
      </x:c>
      <x:c r="C132" t="str">
        <x:v>PLANNING</x:v>
      </x:c>
      <x:c r="D132" t="str">
        <x:v>artifact</x:v>
      </x:c>
      <x:c r="E132" t="str">
        <x:v>artifact 105</x:v>
      </x:c>
      <x:c r="F132" t="n">
        <x:f>Controls!$D$41</x:f>
        <x:v>1</x:v>
      </x:c>
      <x:c r="G132" t="n">
        <x:v>1</x:v>
      </x:c>
      <x:c r="H132" t="str">
        <x:v>RAW design authority</x:v>
      </x:c>
      <x:c r="I132" t="str">
        <x:f>IF(F132=1,"PASS","GAP")</x:f>
        <x:v>PASS</x:v>
      </x:c>
    </x:row>
    <x:row r="133">
      <x:c r="B133" t="str">
        <x:v>PL-0127</x:v>
      </x:c>
      <x:c r="C133" t="str">
        <x:v>PLANNING</x:v>
      </x:c>
      <x:c r="D133" t="str">
        <x:v>artifact</x:v>
      </x:c>
      <x:c r="E133" t="str">
        <x:v>artifact 106</x:v>
      </x:c>
      <x:c r="F133" t="n">
        <x:f>Controls!$D$41</x:f>
        <x:v>1</x:v>
      </x:c>
      <x:c r="G133" t="n">
        <x:v>1</x:v>
      </x:c>
      <x:c r="H133" t="str">
        <x:v>RAW design authority</x:v>
      </x:c>
      <x:c r="I133" t="str">
        <x:f>IF(F133=1,"PASS","GAP")</x:f>
        <x:v>PASS</x:v>
      </x:c>
    </x:row>
    <x:row r="134">
      <x:c r="B134" t="str">
        <x:v>PL-0128</x:v>
      </x:c>
      <x:c r="C134" t="str">
        <x:v>PLANNING</x:v>
      </x:c>
      <x:c r="D134" t="str">
        <x:v>artifact</x:v>
      </x:c>
      <x:c r="E134" t="str">
        <x:v>artifact 107</x:v>
      </x:c>
      <x:c r="F134" t="n">
        <x:f>Controls!$D$41</x:f>
        <x:v>1</x:v>
      </x:c>
      <x:c r="G134" t="n">
        <x:v>1</x:v>
      </x:c>
      <x:c r="H134" t="str">
        <x:v>RAW design authority</x:v>
      </x:c>
      <x:c r="I134" t="str">
        <x:f>IF(F134=1,"PASS","GAP")</x:f>
        <x:v>PASS</x:v>
      </x:c>
    </x:row>
    <x:row r="135">
      <x:c r="B135" t="str">
        <x:v>PL-0129</x:v>
      </x:c>
      <x:c r="C135" t="str">
        <x:v>PLANNING</x:v>
      </x:c>
      <x:c r="D135" t="str">
        <x:v>artifact</x:v>
      </x:c>
      <x:c r="E135" t="str">
        <x:v>artifact 108</x:v>
      </x:c>
      <x:c r="F135" t="n">
        <x:f>Controls!$D$41</x:f>
        <x:v>1</x:v>
      </x:c>
      <x:c r="G135" t="n">
        <x:v>1</x:v>
      </x:c>
      <x:c r="H135" t="str">
        <x:v>RAW design authority</x:v>
      </x:c>
      <x:c r="I135" t="str">
        <x:f>IF(F135=1,"PASS","GAP")</x:f>
        <x:v>PASS</x:v>
      </x:c>
    </x:row>
    <x:row r="136">
      <x:c r="B136" t="str">
        <x:v>PL-0130</x:v>
      </x:c>
      <x:c r="C136" t="str">
        <x:v>PLANNING</x:v>
      </x:c>
      <x:c r="D136" t="str">
        <x:v>artifact</x:v>
      </x:c>
      <x:c r="E136" t="str">
        <x:v>artifact 109</x:v>
      </x:c>
      <x:c r="F136" t="n">
        <x:f>Controls!$D$41</x:f>
        <x:v>1</x:v>
      </x:c>
      <x:c r="G136" t="n">
        <x:v>1</x:v>
      </x:c>
      <x:c r="H136" t="str">
        <x:v>RAW design authority</x:v>
      </x:c>
      <x:c r="I136" t="str">
        <x:f>IF(F136=1,"PASS","GAP")</x:f>
        <x:v>PASS</x:v>
      </x:c>
    </x:row>
    <x:row r="137">
      <x:c r="B137" t="str">
        <x:v>PL-0131</x:v>
      </x:c>
      <x:c r="C137" t="str">
        <x:v>PLANNING</x:v>
      </x:c>
      <x:c r="D137" t="str">
        <x:v>artifact</x:v>
      </x:c>
      <x:c r="E137" t="str">
        <x:v>artifact 110</x:v>
      </x:c>
      <x:c r="F137" t="n">
        <x:f>Controls!$D$41</x:f>
        <x:v>1</x:v>
      </x:c>
      <x:c r="G137" t="n">
        <x:v>1</x:v>
      </x:c>
      <x:c r="H137" t="str">
        <x:v>RAW design authority</x:v>
      </x:c>
      <x:c r="I137" t="str">
        <x:f>IF(F137=1,"PASS","GAP")</x:f>
        <x:v>PASS</x:v>
      </x:c>
    </x:row>
    <x:row r="138">
      <x:c r="B138" t="str">
        <x:v>PL-0132</x:v>
      </x:c>
      <x:c r="C138" t="str">
        <x:v>PLANNING</x:v>
      </x:c>
      <x:c r="D138" t="str">
        <x:v>artifact</x:v>
      </x:c>
      <x:c r="E138" t="str">
        <x:v>artifact 111</x:v>
      </x:c>
      <x:c r="F138" t="n">
        <x:f>Controls!$D$41</x:f>
        <x:v>1</x:v>
      </x:c>
      <x:c r="G138" t="n">
        <x:v>1</x:v>
      </x:c>
      <x:c r="H138" t="str">
        <x:v>RAW design authority</x:v>
      </x:c>
      <x:c r="I138" t="str">
        <x:f>IF(F138=1,"PASS","GAP")</x:f>
        <x:v>PASS</x:v>
      </x:c>
    </x:row>
    <x:row r="139">
      <x:c r="B139" t="str">
        <x:v>PL-0133</x:v>
      </x:c>
      <x:c r="C139" t="str">
        <x:v>PLANNING</x:v>
      </x:c>
      <x:c r="D139" t="str">
        <x:v>artifact</x:v>
      </x:c>
      <x:c r="E139" t="str">
        <x:v>artifact 112</x:v>
      </x:c>
      <x:c r="F139" t="n">
        <x:f>Controls!$D$41</x:f>
        <x:v>1</x:v>
      </x:c>
      <x:c r="G139" t="n">
        <x:v>1</x:v>
      </x:c>
      <x:c r="H139" t="str">
        <x:v>RAW design authority</x:v>
      </x:c>
      <x:c r="I139" t="str">
        <x:f>IF(F139=1,"PASS","GAP")</x:f>
        <x:v>PASS</x:v>
      </x:c>
    </x:row>
    <x:row r="140">
      <x:c r="B140" t="str">
        <x:v>PL-0134</x:v>
      </x:c>
      <x:c r="C140" t="str">
        <x:v>PLANNING</x:v>
      </x:c>
      <x:c r="D140" t="str">
        <x:v>artifact</x:v>
      </x:c>
      <x:c r="E140" t="str">
        <x:v>artifact 113</x:v>
      </x:c>
      <x:c r="F140" t="n">
        <x:f>Controls!$D$41</x:f>
        <x:v>1</x:v>
      </x:c>
      <x:c r="G140" t="n">
        <x:v>1</x:v>
      </x:c>
      <x:c r="H140" t="str">
        <x:v>RAW design authority</x:v>
      </x:c>
      <x:c r="I140" t="str">
        <x:f>IF(F140=1,"PASS","GAP")</x:f>
        <x:v>PASS</x:v>
      </x:c>
    </x:row>
    <x:row r="141">
      <x:c r="B141" t="str">
        <x:v>PL-0135</x:v>
      </x:c>
      <x:c r="C141" t="str">
        <x:v>PLANNING</x:v>
      </x:c>
      <x:c r="D141" t="str">
        <x:v>artifact</x:v>
      </x:c>
      <x:c r="E141" t="str">
        <x:v>artifact 114</x:v>
      </x:c>
      <x:c r="F141" t="n">
        <x:f>Controls!$D$41</x:f>
        <x:v>1</x:v>
      </x:c>
      <x:c r="G141" t="n">
        <x:v>1</x:v>
      </x:c>
      <x:c r="H141" t="str">
        <x:v>RAW design authority</x:v>
      </x:c>
      <x:c r="I141" t="str">
        <x:f>IF(F141=1,"PASS","GAP")</x:f>
        <x:v>PASS</x:v>
      </x:c>
    </x:row>
    <x:row r="142">
      <x:c r="B142" t="str">
        <x:v>PL-0136</x:v>
      </x:c>
      <x:c r="C142" t="str">
        <x:v>PLANNING</x:v>
      </x:c>
      <x:c r="D142" t="str">
        <x:v>artifact</x:v>
      </x:c>
      <x:c r="E142" t="str">
        <x:v>artifact 115</x:v>
      </x:c>
      <x:c r="F142" t="n">
        <x:f>Controls!$D$41</x:f>
        <x:v>1</x:v>
      </x:c>
      <x:c r="G142" t="n">
        <x:v>1</x:v>
      </x:c>
      <x:c r="H142" t="str">
        <x:v>RAW design authority</x:v>
      </x:c>
      <x:c r="I142" t="str">
        <x:f>IF(F142=1,"PASS","GAP")</x:f>
        <x:v>PASS</x:v>
      </x:c>
    </x:row>
    <x:row r="143">
      <x:c r="B143" t="str">
        <x:v>PL-0137</x:v>
      </x:c>
      <x:c r="C143" t="str">
        <x:v>PLANNING</x:v>
      </x:c>
      <x:c r="D143" t="str">
        <x:v>artifact</x:v>
      </x:c>
      <x:c r="E143" t="str">
        <x:v>artifact 116</x:v>
      </x:c>
      <x:c r="F143" t="n">
        <x:f>Controls!$D$41</x:f>
        <x:v>1</x:v>
      </x:c>
      <x:c r="G143" t="n">
        <x:v>1</x:v>
      </x:c>
      <x:c r="H143" t="str">
        <x:v>RAW design authority</x:v>
      </x:c>
      <x:c r="I143" t="str">
        <x:f>IF(F143=1,"PASS","GAP")</x:f>
        <x:v>PASS</x:v>
      </x:c>
    </x:row>
    <x:row r="144">
      <x:c r="B144" t="str">
        <x:v>PL-0138</x:v>
      </x:c>
      <x:c r="C144" t="str">
        <x:v>PLANNING</x:v>
      </x:c>
      <x:c r="D144" t="str">
        <x:v>artifact</x:v>
      </x:c>
      <x:c r="E144" t="str">
        <x:v>artifact 117</x:v>
      </x:c>
      <x:c r="F144" t="n">
        <x:f>Controls!$D$41</x:f>
        <x:v>1</x:v>
      </x:c>
      <x:c r="G144" t="n">
        <x:v>1</x:v>
      </x:c>
      <x:c r="H144" t="str">
        <x:v>RAW design authority</x:v>
      </x:c>
      <x:c r="I144" t="str">
        <x:f>IF(F144=1,"PASS","GAP")</x:f>
        <x:v>PASS</x:v>
      </x:c>
    </x:row>
    <x:row r="145">
      <x:c r="B145" t="str">
        <x:v>PL-0139</x:v>
      </x:c>
      <x:c r="C145" t="str">
        <x:v>PLANNING</x:v>
      </x:c>
      <x:c r="D145" t="str">
        <x:v>artifact</x:v>
      </x:c>
      <x:c r="E145" t="str">
        <x:v>artifact 118</x:v>
      </x:c>
      <x:c r="F145" t="n">
        <x:f>Controls!$D$41</x:f>
        <x:v>1</x:v>
      </x:c>
      <x:c r="G145" t="n">
        <x:v>1</x:v>
      </x:c>
      <x:c r="H145" t="str">
        <x:v>RAW design authority</x:v>
      </x:c>
      <x:c r="I145" t="str">
        <x:f>IF(F145=1,"PASS","GAP")</x:f>
        <x:v>PASS</x:v>
      </x:c>
    </x:row>
    <x:row r="146">
      <x:c r="B146" t="str">
        <x:v>PL-0140</x:v>
      </x:c>
      <x:c r="C146" t="str">
        <x:v>PLANNING</x:v>
      </x:c>
      <x:c r="D146" t="str">
        <x:v>artifact</x:v>
      </x:c>
      <x:c r="E146" t="str">
        <x:v>artifact 119</x:v>
      </x:c>
      <x:c r="F146" t="n">
        <x:f>Controls!$D$41</x:f>
        <x:v>1</x:v>
      </x:c>
      <x:c r="G146" t="n">
        <x:v>1</x:v>
      </x:c>
      <x:c r="H146" t="str">
        <x:v>RAW design authority</x:v>
      </x:c>
      <x:c r="I146" t="str">
        <x:f>IF(F146=1,"PASS","GAP")</x:f>
        <x:v>PASS</x:v>
      </x:c>
    </x:row>
    <x:row r="147">
      <x:c r="B147" t="str">
        <x:v>PL-0141</x:v>
      </x:c>
      <x:c r="C147" t="str">
        <x:v>PLANNING</x:v>
      </x:c>
      <x:c r="D147" t="str">
        <x:v>artifact</x:v>
      </x:c>
      <x:c r="E147" t="str">
        <x:v>artifact 120</x:v>
      </x:c>
      <x:c r="F147" t="n">
        <x:f>Controls!$D$41</x:f>
        <x:v>1</x:v>
      </x:c>
      <x:c r="G147" t="n">
        <x:v>1</x:v>
      </x:c>
      <x:c r="H147" t="str">
        <x:v>RAW design authority</x:v>
      </x:c>
      <x:c r="I147" t="str">
        <x:f>IF(F147=1,"PASS","GAP")</x:f>
        <x:v>PASS</x:v>
      </x:c>
    </x:row>
    <x:row r="148">
      <x:c r="B148" t="str">
        <x:v>PL-0142</x:v>
      </x:c>
      <x:c r="C148" t="str">
        <x:v>PLANNING</x:v>
      </x:c>
      <x:c r="D148" t="str">
        <x:v>characteristic</x:v>
      </x:c>
      <x:c r="E148" t="str">
        <x:v>characteristic 1</x:v>
      </x:c>
      <x:c r="F148" t="n">
        <x:f>Controls!$D$41</x:f>
        <x:v>1</x:v>
      </x:c>
      <x:c r="G148" t="n">
        <x:v>1</x:v>
      </x:c>
      <x:c r="H148" t="str">
        <x:v>RAW design authority</x:v>
      </x:c>
      <x:c r="I148" t="str">
        <x:f>IF(F148=1,"PASS","GAP")</x:f>
        <x:v>PASS</x:v>
      </x:c>
    </x:row>
    <x:row r="149">
      <x:c r="B149" t="str">
        <x:v>PL-0143</x:v>
      </x:c>
      <x:c r="C149" t="str">
        <x:v>PLANNING</x:v>
      </x:c>
      <x:c r="D149" t="str">
        <x:v>characteristic</x:v>
      </x:c>
      <x:c r="E149" t="str">
        <x:v>characteristic 2</x:v>
      </x:c>
      <x:c r="F149" t="n">
        <x:f>Controls!$D$41</x:f>
        <x:v>1</x:v>
      </x:c>
      <x:c r="G149" t="n">
        <x:v>1</x:v>
      </x:c>
      <x:c r="H149" t="str">
        <x:v>RAW design authority</x:v>
      </x:c>
      <x:c r="I149" t="str">
        <x:f>IF(F149=1,"PASS","GAP")</x:f>
        <x:v>PASS</x:v>
      </x:c>
    </x:row>
    <x:row r="150">
      <x:c r="B150" t="str">
        <x:v>PL-0144</x:v>
      </x:c>
      <x:c r="C150" t="str">
        <x:v>PLANNING</x:v>
      </x:c>
      <x:c r="D150" t="str">
        <x:v>characteristic</x:v>
      </x:c>
      <x:c r="E150" t="str">
        <x:v>characteristic 3</x:v>
      </x:c>
      <x:c r="F150" t="n">
        <x:f>Controls!$D$41</x:f>
        <x:v>1</x:v>
      </x:c>
      <x:c r="G150" t="n">
        <x:v>1</x:v>
      </x:c>
      <x:c r="H150" t="str">
        <x:v>RAW design authority</x:v>
      </x:c>
      <x:c r="I150" t="str">
        <x:f>IF(F150=1,"PASS","GAP")</x:f>
        <x:v>PASS</x:v>
      </x:c>
    </x:row>
    <x:row r="151">
      <x:c r="B151" t="str">
        <x:v>PL-0145</x:v>
      </x:c>
      <x:c r="C151" t="str">
        <x:v>PLANNING</x:v>
      </x:c>
      <x:c r="D151" t="str">
        <x:v>characteristic</x:v>
      </x:c>
      <x:c r="E151" t="str">
        <x:v>characteristic 4</x:v>
      </x:c>
      <x:c r="F151" t="n">
        <x:f>Controls!$D$41</x:f>
        <x:v>1</x:v>
      </x:c>
      <x:c r="G151" t="n">
        <x:v>1</x:v>
      </x:c>
      <x:c r="H151" t="str">
        <x:v>RAW design authority</x:v>
      </x:c>
      <x:c r="I151" t="str">
        <x:f>IF(F151=1,"PASS","GAP")</x:f>
        <x:v>PASS</x:v>
      </x:c>
    </x:row>
    <x:row r="152">
      <x:c r="B152" t="str">
        <x:v>PL-0146</x:v>
      </x:c>
      <x:c r="C152" t="str">
        <x:v>PLANNING</x:v>
      </x:c>
      <x:c r="D152" t="str">
        <x:v>characteristic</x:v>
      </x:c>
      <x:c r="E152" t="str">
        <x:v>characteristic 5</x:v>
      </x:c>
      <x:c r="F152" t="n">
        <x:f>Controls!$D$41</x:f>
        <x:v>1</x:v>
      </x:c>
      <x:c r="G152" t="n">
        <x:v>1</x:v>
      </x:c>
      <x:c r="H152" t="str">
        <x:v>RAW design authority</x:v>
      </x:c>
      <x:c r="I152" t="str">
        <x:f>IF(F152=1,"PASS","GAP")</x:f>
        <x:v>PASS</x:v>
      </x:c>
    </x:row>
    <x:row r="153">
      <x:c r="B153" t="str">
        <x:v>PL-0147</x:v>
      </x:c>
      <x:c r="C153" t="str">
        <x:v>PLANNING</x:v>
      </x:c>
      <x:c r="D153" t="str">
        <x:v>characteristic</x:v>
      </x:c>
      <x:c r="E153" t="str">
        <x:v>characteristic 6</x:v>
      </x:c>
      <x:c r="F153" t="n">
        <x:f>Controls!$D$41</x:f>
        <x:v>1</x:v>
      </x:c>
      <x:c r="G153" t="n">
        <x:v>1</x:v>
      </x:c>
      <x:c r="H153" t="str">
        <x:v>RAW design authority</x:v>
      </x:c>
      <x:c r="I153" t="str">
        <x:f>IF(F153=1,"PASS","GAP")</x:f>
        <x:v>PASS</x:v>
      </x:c>
    </x:row>
    <x:row r="154">
      <x:c r="B154" t="str">
        <x:v>PL-0148</x:v>
      </x:c>
      <x:c r="C154" t="str">
        <x:v>PLANNING</x:v>
      </x:c>
      <x:c r="D154" t="str">
        <x:v>characteristic</x:v>
      </x:c>
      <x:c r="E154" t="str">
        <x:v>characteristic 7</x:v>
      </x:c>
      <x:c r="F154" t="n">
        <x:f>Controls!$D$41</x:f>
        <x:v>1</x:v>
      </x:c>
      <x:c r="G154" t="n">
        <x:v>1</x:v>
      </x:c>
      <x:c r="H154" t="str">
        <x:v>RAW design authority</x:v>
      </x:c>
      <x:c r="I154" t="str">
        <x:f>IF(F154=1,"PASS","GAP")</x:f>
        <x:v>PASS</x:v>
      </x:c>
    </x:row>
    <x:row r="155">
      <x:c r="B155" t="str">
        <x:v>PL-0149</x:v>
      </x:c>
      <x:c r="C155" t="str">
        <x:v>PLANNING</x:v>
      </x:c>
      <x:c r="D155" t="str">
        <x:v>characteristic</x:v>
      </x:c>
      <x:c r="E155" t="str">
        <x:v>characteristic 8</x:v>
      </x:c>
      <x:c r="F155" t="n">
        <x:f>Controls!$D$41</x:f>
        <x:v>1</x:v>
      </x:c>
      <x:c r="G155" t="n">
        <x:v>1</x:v>
      </x:c>
      <x:c r="H155" t="str">
        <x:v>RAW design authority</x:v>
      </x:c>
      <x:c r="I155" t="str">
        <x:f>IF(F155=1,"PASS","GAP")</x:f>
        <x:v>PASS</x:v>
      </x:c>
    </x:row>
    <x:row r="156">
      <x:c r="B156" t="str">
        <x:v>PL-0150</x:v>
      </x:c>
      <x:c r="C156" t="str">
        <x:v>PLANNING</x:v>
      </x:c>
      <x:c r="D156" t="str">
        <x:v>characteristic</x:v>
      </x:c>
      <x:c r="E156" t="str">
        <x:v>characteristic 9</x:v>
      </x:c>
      <x:c r="F156" t="n">
        <x:f>Controls!$D$41</x:f>
        <x:v>1</x:v>
      </x:c>
      <x:c r="G156" t="n">
        <x:v>1</x:v>
      </x:c>
      <x:c r="H156" t="str">
        <x:v>RAW design authority</x:v>
      </x:c>
      <x:c r="I156" t="str">
        <x:f>IF(F156=1,"PASS","GAP")</x:f>
        <x:v>PASS</x:v>
      </x:c>
    </x:row>
    <x:row r="157">
      <x:c r="B157" t="str">
        <x:v>PL-0151</x:v>
      </x:c>
      <x:c r="C157" t="str">
        <x:v>PLANNING</x:v>
      </x:c>
      <x:c r="D157" t="str">
        <x:v>characteristic</x:v>
      </x:c>
      <x:c r="E157" t="str">
        <x:v>characteristic 10</x:v>
      </x:c>
      <x:c r="F157" t="n">
        <x:f>Controls!$D$41</x:f>
        <x:v>1</x:v>
      </x:c>
      <x:c r="G157" t="n">
        <x:v>1</x:v>
      </x:c>
      <x:c r="H157" t="str">
        <x:v>RAW design authority</x:v>
      </x:c>
      <x:c r="I157" t="str">
        <x:f>IF(F157=1,"PASS","GAP")</x:f>
        <x:v>PASS</x:v>
      </x:c>
    </x:row>
    <x:row r="158">
      <x:c r="B158" t="str">
        <x:v>PL-0152</x:v>
      </x:c>
      <x:c r="C158" t="str">
        <x:v>PLANNING</x:v>
      </x:c>
      <x:c r="D158" t="str">
        <x:v>characteristic</x:v>
      </x:c>
      <x:c r="E158" t="str">
        <x:v>characteristic 11</x:v>
      </x:c>
      <x:c r="F158" t="n">
        <x:f>Controls!$D$41</x:f>
        <x:v>1</x:v>
      </x:c>
      <x:c r="G158" t="n">
        <x:v>1</x:v>
      </x:c>
      <x:c r="H158" t="str">
        <x:v>RAW design authority</x:v>
      </x:c>
      <x:c r="I158" t="str">
        <x:f>IF(F158=1,"PASS","GAP")</x:f>
        <x:v>PASS</x:v>
      </x:c>
    </x:row>
    <x:row r="159">
      <x:c r="B159" t="str">
        <x:v>PL-0153</x:v>
      </x:c>
      <x:c r="C159" t="str">
        <x:v>PLANNING</x:v>
      </x:c>
      <x:c r="D159" t="str">
        <x:v>characteristic</x:v>
      </x:c>
      <x:c r="E159" t="str">
        <x:v>characteristic 12</x:v>
      </x:c>
      <x:c r="F159" t="n">
        <x:f>Controls!$D$41</x:f>
        <x:v>1</x:v>
      </x:c>
      <x:c r="G159" t="n">
        <x:v>1</x:v>
      </x:c>
      <x:c r="H159" t="str">
        <x:v>RAW design authority</x:v>
      </x:c>
      <x:c r="I159" t="str">
        <x:f>IF(F159=1,"PASS","GAP")</x:f>
        <x:v>PASS</x:v>
      </x:c>
    </x:row>
    <x:row r="160">
      <x:c r="B160" t="str">
        <x:v>PL-0154</x:v>
      </x:c>
      <x:c r="C160" t="str">
        <x:v>PLANNING</x:v>
      </x:c>
      <x:c r="D160" t="str">
        <x:v>characteristic</x:v>
      </x:c>
      <x:c r="E160" t="str">
        <x:v>characteristic 13</x:v>
      </x:c>
      <x:c r="F160" t="n">
        <x:f>Controls!$D$41</x:f>
        <x:v>1</x:v>
      </x:c>
      <x:c r="G160" t="n">
        <x:v>1</x:v>
      </x:c>
      <x:c r="H160" t="str">
        <x:v>RAW design authority</x:v>
      </x:c>
      <x:c r="I160" t="str">
        <x:f>IF(F160=1,"PASS","GAP")</x:f>
        <x:v>PASS</x:v>
      </x:c>
    </x:row>
    <x:row r="161">
      <x:c r="B161" t="str">
        <x:v>PL-0155</x:v>
      </x:c>
      <x:c r="C161" t="str">
        <x:v>PLANNING</x:v>
      </x:c>
      <x:c r="D161" t="str">
        <x:v>characteristic</x:v>
      </x:c>
      <x:c r="E161" t="str">
        <x:v>characteristic 14</x:v>
      </x:c>
      <x:c r="F161" t="n">
        <x:f>Controls!$D$41</x:f>
        <x:v>1</x:v>
      </x:c>
      <x:c r="G161" t="n">
        <x:v>1</x:v>
      </x:c>
      <x:c r="H161" t="str">
        <x:v>RAW design authority</x:v>
      </x:c>
      <x:c r="I161" t="str">
        <x:f>IF(F161=1,"PASS","GAP")</x:f>
        <x:v>PASS</x:v>
      </x:c>
    </x:row>
    <x:row r="162">
      <x:c r="B162" t="str">
        <x:v>PL-0156</x:v>
      </x:c>
      <x:c r="C162" t="str">
        <x:v>PLANNING</x:v>
      </x:c>
      <x:c r="D162" t="str">
        <x:v>characteristic</x:v>
      </x:c>
      <x:c r="E162" t="str">
        <x:v>characteristic 15</x:v>
      </x:c>
      <x:c r="F162" t="n">
        <x:f>Controls!$D$41</x:f>
        <x:v>1</x:v>
      </x:c>
      <x:c r="G162" t="n">
        <x:v>1</x:v>
      </x:c>
      <x:c r="H162" t="str">
        <x:v>RAW design authority</x:v>
      </x:c>
      <x:c r="I162" t="str">
        <x:f>IF(F162=1,"PASS","GAP")</x:f>
        <x:v>PASS</x:v>
      </x:c>
    </x:row>
    <x:row r="163">
      <x:c r="B163" t="str">
        <x:v>PL-0157</x:v>
      </x:c>
      <x:c r="C163" t="str">
        <x:v>PLANNING</x:v>
      </x:c>
      <x:c r="D163" t="str">
        <x:v>characteristic</x:v>
      </x:c>
      <x:c r="E163" t="str">
        <x:v>characteristic 16</x:v>
      </x:c>
      <x:c r="F163" t="n">
        <x:f>Controls!$D$41</x:f>
        <x:v>1</x:v>
      </x:c>
      <x:c r="G163" t="n">
        <x:v>1</x:v>
      </x:c>
      <x:c r="H163" t="str">
        <x:v>RAW design authority</x:v>
      </x:c>
      <x:c r="I163" t="str">
        <x:f>IF(F163=1,"PASS","GAP")</x:f>
        <x:v>PASS</x:v>
      </x:c>
    </x:row>
    <x:row r="164">
      <x:c r="B164" t="str">
        <x:v>PL-0158</x:v>
      </x:c>
      <x:c r="C164" t="str">
        <x:v>PLANNING</x:v>
      </x:c>
      <x:c r="D164" t="str">
        <x:v>characteristic</x:v>
      </x:c>
      <x:c r="E164" t="str">
        <x:v>characteristic 17</x:v>
      </x:c>
      <x:c r="F164" t="n">
        <x:f>Controls!$D$41</x:f>
        <x:v>1</x:v>
      </x:c>
      <x:c r="G164" t="n">
        <x:v>1</x:v>
      </x:c>
      <x:c r="H164" t="str">
        <x:v>RAW design authority</x:v>
      </x:c>
      <x:c r="I164" t="str">
        <x:f>IF(F164=1,"PASS","GAP")</x:f>
        <x:v>PASS</x:v>
      </x:c>
    </x:row>
    <x:row r="165">
      <x:c r="B165" t="str">
        <x:v>PL-0159</x:v>
      </x:c>
      <x:c r="C165" t="str">
        <x:v>PLANNING</x:v>
      </x:c>
      <x:c r="D165" t="str">
        <x:v>characteristic</x:v>
      </x:c>
      <x:c r="E165" t="str">
        <x:v>characteristic 18</x:v>
      </x:c>
      <x:c r="F165" t="n">
        <x:f>Controls!$D$41</x:f>
        <x:v>1</x:v>
      </x:c>
      <x:c r="G165" t="n">
        <x:v>1</x:v>
      </x:c>
      <x:c r="H165" t="str">
        <x:v>RAW design authority</x:v>
      </x:c>
      <x:c r="I165" t="str">
        <x:f>IF(F165=1,"PASS","GAP")</x:f>
        <x:v>PASS</x:v>
      </x:c>
    </x:row>
    <x:row r="166">
      <x:c r="B166" t="str">
        <x:v>PL-0160</x:v>
      </x:c>
      <x:c r="C166" t="str">
        <x:v>PLANNING</x:v>
      </x:c>
      <x:c r="D166" t="str">
        <x:v>characteristic</x:v>
      </x:c>
      <x:c r="E166" t="str">
        <x:v>characteristic 19</x:v>
      </x:c>
      <x:c r="F166" t="n">
        <x:f>Controls!$D$41</x:f>
        <x:v>1</x:v>
      </x:c>
      <x:c r="G166" t="n">
        <x:v>1</x:v>
      </x:c>
      <x:c r="H166" t="str">
        <x:v>RAW design authority</x:v>
      </x:c>
      <x:c r="I166" t="str">
        <x:f>IF(F166=1,"PASS","GAP")</x:f>
        <x:v>PASS</x:v>
      </x:c>
    </x:row>
    <x:row r="167">
      <x:c r="B167" t="str">
        <x:v>PL-0161</x:v>
      </x:c>
      <x:c r="C167" t="str">
        <x:v>PLANNING</x:v>
      </x:c>
      <x:c r="D167" t="str">
        <x:v>characteristic</x:v>
      </x:c>
      <x:c r="E167" t="str">
        <x:v>characteristic 20</x:v>
      </x:c>
      <x:c r="F167" t="n">
        <x:f>Controls!$D$41</x:f>
        <x:v>1</x:v>
      </x:c>
      <x:c r="G167" t="n">
        <x:v>1</x:v>
      </x:c>
      <x:c r="H167" t="str">
        <x:v>RAW design authority</x:v>
      </x:c>
      <x:c r="I167" t="str">
        <x:f>IF(F167=1,"PASS","GAP")</x:f>
        <x:v>PASS</x:v>
      </x:c>
    </x:row>
    <x:row r="168">
      <x:c r="B168" t="str">
        <x:v>PL-0162</x:v>
      </x:c>
      <x:c r="C168" t="str">
        <x:v>PLANNING</x:v>
      </x:c>
      <x:c r="D168" t="str">
        <x:v>characteristic</x:v>
      </x:c>
      <x:c r="E168" t="str">
        <x:v>characteristic 21</x:v>
      </x:c>
      <x:c r="F168" t="n">
        <x:f>Controls!$D$41</x:f>
        <x:v>1</x:v>
      </x:c>
      <x:c r="G168" t="n">
        <x:v>1</x:v>
      </x:c>
      <x:c r="H168" t="str">
        <x:v>RAW design authority</x:v>
      </x:c>
      <x:c r="I168" t="str">
        <x:f>IF(F168=1,"PASS","GAP")</x:f>
        <x:v>PASS</x:v>
      </x:c>
    </x:row>
    <x:row r="169">
      <x:c r="B169" t="str">
        <x:v>PL-0163</x:v>
      </x:c>
      <x:c r="C169" t="str">
        <x:v>PLANNING</x:v>
      </x:c>
      <x:c r="D169" t="str">
        <x:v>characteristic</x:v>
      </x:c>
      <x:c r="E169" t="str">
        <x:v>characteristic 22</x:v>
      </x:c>
      <x:c r="F169" t="n">
        <x:f>Controls!$D$41</x:f>
        <x:v>1</x:v>
      </x:c>
      <x:c r="G169" t="n">
        <x:v>1</x:v>
      </x:c>
      <x:c r="H169" t="str">
        <x:v>RAW design authority</x:v>
      </x:c>
      <x:c r="I169" t="str">
        <x:f>IF(F169=1,"PASS","GAP")</x:f>
        <x:v>PASS</x:v>
      </x:c>
    </x:row>
    <x:row r="170">
      <x:c r="B170" t="str">
        <x:v>PL-0164</x:v>
      </x:c>
      <x:c r="C170" t="str">
        <x:v>PLANNING</x:v>
      </x:c>
      <x:c r="D170" t="str">
        <x:v>characteristic</x:v>
      </x:c>
      <x:c r="E170" t="str">
        <x:v>characteristic 23</x:v>
      </x:c>
      <x:c r="F170" t="n">
        <x:f>Controls!$D$41</x:f>
        <x:v>1</x:v>
      </x:c>
      <x:c r="G170" t="n">
        <x:v>1</x:v>
      </x:c>
      <x:c r="H170" t="str">
        <x:v>RAW design authority</x:v>
      </x:c>
      <x:c r="I170" t="str">
        <x:f>IF(F170=1,"PASS","GAP")</x:f>
        <x:v>PASS</x:v>
      </x:c>
    </x:row>
    <x:row r="171">
      <x:c r="B171" t="str">
        <x:v>PL-0165</x:v>
      </x:c>
      <x:c r="C171" t="str">
        <x:v>PLANNING</x:v>
      </x:c>
      <x:c r="D171" t="str">
        <x:v>characteristic</x:v>
      </x:c>
      <x:c r="E171" t="str">
        <x:v>characteristic 24</x:v>
      </x:c>
      <x:c r="F171" t="n">
        <x:f>Controls!$D$41</x:f>
        <x:v>1</x:v>
      </x:c>
      <x:c r="G171" t="n">
        <x:v>1</x:v>
      </x:c>
      <x:c r="H171" t="str">
        <x:v>RAW design authority</x:v>
      </x:c>
      <x:c r="I171" t="str">
        <x:f>IF(F171=1,"PASS","GAP")</x:f>
        <x:v>PASS</x:v>
      </x:c>
    </x:row>
    <x:row r="172">
      <x:c r="B172" t="str">
        <x:v>PL-0166</x:v>
      </x:c>
      <x:c r="C172" t="str">
        <x:v>PLANNING</x:v>
      </x:c>
      <x:c r="D172" t="str">
        <x:v>characteristic</x:v>
      </x:c>
      <x:c r="E172" t="str">
        <x:v>characteristic 25</x:v>
      </x:c>
      <x:c r="F172" t="n">
        <x:f>Controls!$D$41</x:f>
        <x:v>1</x:v>
      </x:c>
      <x:c r="G172" t="n">
        <x:v>1</x:v>
      </x:c>
      <x:c r="H172" t="str">
        <x:v>RAW design authority</x:v>
      </x:c>
      <x:c r="I172" t="str">
        <x:f>IF(F172=1,"PASS","GAP")</x:f>
        <x:v>PASS</x:v>
      </x:c>
    </x:row>
    <x:row r="173">
      <x:c r="B173" t="str">
        <x:v>PL-0167</x:v>
      </x:c>
      <x:c r="C173" t="str">
        <x:v>PLANNING</x:v>
      </x:c>
      <x:c r="D173" t="str">
        <x:v>characteristic</x:v>
      </x:c>
      <x:c r="E173" t="str">
        <x:v>characteristic 26</x:v>
      </x:c>
      <x:c r="F173" t="n">
        <x:f>Controls!$D$41</x:f>
        <x:v>1</x:v>
      </x:c>
      <x:c r="G173" t="n">
        <x:v>1</x:v>
      </x:c>
      <x:c r="H173" t="str">
        <x:v>RAW design authority</x:v>
      </x:c>
      <x:c r="I173" t="str">
        <x:f>IF(F173=1,"PASS","GAP")</x:f>
        <x:v>PASS</x:v>
      </x:c>
    </x:row>
    <x:row r="174">
      <x:c r="B174" t="str">
        <x:v>PL-0168</x:v>
      </x:c>
      <x:c r="C174" t="str">
        <x:v>PLANNING</x:v>
      </x:c>
      <x:c r="D174" t="str">
        <x:v>characteristic</x:v>
      </x:c>
      <x:c r="E174" t="str">
        <x:v>characteristic 27</x:v>
      </x:c>
      <x:c r="F174" t="n">
        <x:f>Controls!$D$41</x:f>
        <x:v>1</x:v>
      </x:c>
      <x:c r="G174" t="n">
        <x:v>1</x:v>
      </x:c>
      <x:c r="H174" t="str">
        <x:v>RAW design authority</x:v>
      </x:c>
      <x:c r="I174" t="str">
        <x:f>IF(F174=1,"PASS","GAP")</x:f>
        <x:v>PASS</x:v>
      </x:c>
    </x:row>
    <x:row r="175">
      <x:c r="B175" t="str">
        <x:v>PL-0169</x:v>
      </x:c>
      <x:c r="C175" t="str">
        <x:v>PLANNING</x:v>
      </x:c>
      <x:c r="D175" t="str">
        <x:v>characteristic</x:v>
      </x:c>
      <x:c r="E175" t="str">
        <x:v>characteristic 28</x:v>
      </x:c>
      <x:c r="F175" t="n">
        <x:f>Controls!$D$41</x:f>
        <x:v>1</x:v>
      </x:c>
      <x:c r="G175" t="n">
        <x:v>1</x:v>
      </x:c>
      <x:c r="H175" t="str">
        <x:v>RAW design authority</x:v>
      </x:c>
      <x:c r="I175" t="str">
        <x:f>IF(F175=1,"PASS","GAP")</x:f>
        <x:v>PASS</x:v>
      </x:c>
    </x:row>
    <x:row r="176">
      <x:c r="B176" t="str">
        <x:v>PL-0170</x:v>
      </x:c>
      <x:c r="C176" t="str">
        <x:v>PLANNING</x:v>
      </x:c>
      <x:c r="D176" t="str">
        <x:v>characteristic</x:v>
      </x:c>
      <x:c r="E176" t="str">
        <x:v>characteristic 29</x:v>
      </x:c>
      <x:c r="F176" t="n">
        <x:f>Controls!$D$41</x:f>
        <x:v>1</x:v>
      </x:c>
      <x:c r="G176" t="n">
        <x:v>1</x:v>
      </x:c>
      <x:c r="H176" t="str">
        <x:v>RAW design authority</x:v>
      </x:c>
      <x:c r="I176" t="str">
        <x:f>IF(F176=1,"PASS","GAP")</x:f>
        <x:v>PASS</x:v>
      </x:c>
    </x:row>
    <x:row r="177">
      <x:c r="B177" t="str">
        <x:v>PL-0171</x:v>
      </x:c>
      <x:c r="C177" t="str">
        <x:v>PLANNING</x:v>
      </x:c>
      <x:c r="D177" t="str">
        <x:v>characteristic</x:v>
      </x:c>
      <x:c r="E177" t="str">
        <x:v>characteristic 30</x:v>
      </x:c>
      <x:c r="F177" t="n">
        <x:f>Controls!$D$41</x:f>
        <x:v>1</x:v>
      </x:c>
      <x:c r="G177" t="n">
        <x:v>1</x:v>
      </x:c>
      <x:c r="H177" t="str">
        <x:v>RAW design authority</x:v>
      </x:c>
      <x:c r="I177" t="str">
        <x:f>IF(F177=1,"PASS","GAP")</x:f>
        <x:v>PASS</x:v>
      </x:c>
    </x:row>
    <x:row r="178">
      <x:c r="B178" t="str">
        <x:v>PL-0172</x:v>
      </x:c>
      <x:c r="C178" t="str">
        <x:v>PLANNING</x:v>
      </x:c>
      <x:c r="D178" t="str">
        <x:v>characteristic</x:v>
      </x:c>
      <x:c r="E178" t="str">
        <x:v>characteristic 31</x:v>
      </x:c>
      <x:c r="F178" t="n">
        <x:f>Controls!$D$41</x:f>
        <x:v>1</x:v>
      </x:c>
      <x:c r="G178" t="n">
        <x:v>1</x:v>
      </x:c>
      <x:c r="H178" t="str">
        <x:v>RAW design authority</x:v>
      </x:c>
      <x:c r="I178" t="str">
        <x:f>IF(F178=1,"PASS","GAP")</x:f>
        <x:v>PASS</x:v>
      </x:c>
    </x:row>
    <x:row r="179">
      <x:c r="B179" t="str">
        <x:v>PL-0173</x:v>
      </x:c>
      <x:c r="C179" t="str">
        <x:v>PLANNING</x:v>
      </x:c>
      <x:c r="D179" t="str">
        <x:v>characteristic</x:v>
      </x:c>
      <x:c r="E179" t="str">
        <x:v>characteristic 32</x:v>
      </x:c>
      <x:c r="F179" t="n">
        <x:f>Controls!$D$41</x:f>
        <x:v>1</x:v>
      </x:c>
      <x:c r="G179" t="n">
        <x:v>1</x:v>
      </x:c>
      <x:c r="H179" t="str">
        <x:v>RAW design authority</x:v>
      </x:c>
      <x:c r="I179" t="str">
        <x:f>IF(F179=1,"PASS","GAP")</x:f>
        <x:v>PASS</x:v>
      </x:c>
    </x:row>
    <x:row r="180">
      <x:c r="B180" t="str">
        <x:v>PL-0174</x:v>
      </x:c>
      <x:c r="C180" t="str">
        <x:v>PLANNING</x:v>
      </x:c>
      <x:c r="D180" t="str">
        <x:v>characteristic</x:v>
      </x:c>
      <x:c r="E180" t="str">
        <x:v>characteristic 33</x:v>
      </x:c>
      <x:c r="F180" t="n">
        <x:f>Controls!$D$41</x:f>
        <x:v>1</x:v>
      </x:c>
      <x:c r="G180" t="n">
        <x:v>1</x:v>
      </x:c>
      <x:c r="H180" t="str">
        <x:v>RAW design authority</x:v>
      </x:c>
      <x:c r="I180" t="str">
        <x:f>IF(F180=1,"PASS","GAP")</x:f>
        <x:v>PASS</x:v>
      </x:c>
    </x:row>
    <x:row r="181">
      <x:c r="B181" t="str">
        <x:v>PL-0175</x:v>
      </x:c>
      <x:c r="C181" t="str">
        <x:v>PLANNING</x:v>
      </x:c>
      <x:c r="D181" t="str">
        <x:v>characteristic</x:v>
      </x:c>
      <x:c r="E181" t="str">
        <x:v>characteristic 34</x:v>
      </x:c>
      <x:c r="F181" t="n">
        <x:f>Controls!$D$41</x:f>
        <x:v>1</x:v>
      </x:c>
      <x:c r="G181" t="n">
        <x:v>1</x:v>
      </x:c>
      <x:c r="H181" t="str">
        <x:v>RAW design authority</x:v>
      </x:c>
      <x:c r="I181" t="str">
        <x:f>IF(F181=1,"PASS","GAP")</x:f>
        <x:v>PASS</x:v>
      </x:c>
    </x:row>
    <x:row r="182">
      <x:c r="B182" t="str">
        <x:v>PL-0176</x:v>
      </x:c>
      <x:c r="C182" t="str">
        <x:v>PLANNING</x:v>
      </x:c>
      <x:c r="D182" t="str">
        <x:v>characteristic</x:v>
      </x:c>
      <x:c r="E182" t="str">
        <x:v>characteristic 35</x:v>
      </x:c>
      <x:c r="F182" t="n">
        <x:f>Controls!$D$41</x:f>
        <x:v>1</x:v>
      </x:c>
      <x:c r="G182" t="n">
        <x:v>1</x:v>
      </x:c>
      <x:c r="H182" t="str">
        <x:v>RAW design authority</x:v>
      </x:c>
      <x:c r="I182" t="str">
        <x:f>IF(F182=1,"PASS","GAP")</x:f>
        <x:v>PASS</x:v>
      </x:c>
    </x:row>
    <x:row r="183">
      <x:c r="B183" t="str">
        <x:v>PL-0177</x:v>
      </x:c>
      <x:c r="C183" t="str">
        <x:v>PLANNING</x:v>
      </x:c>
      <x:c r="D183" t="str">
        <x:v>characteristic</x:v>
      </x:c>
      <x:c r="E183" t="str">
        <x:v>characteristic 36</x:v>
      </x:c>
      <x:c r="F183" t="n">
        <x:f>Controls!$D$41</x:f>
        <x:v>1</x:v>
      </x:c>
      <x:c r="G183" t="n">
        <x:v>1</x:v>
      </x:c>
      <x:c r="H183" t="str">
        <x:v>RAW design authority</x:v>
      </x:c>
      <x:c r="I183" t="str">
        <x:f>IF(F183=1,"PASS","GAP")</x:f>
        <x:v>PASS</x:v>
      </x:c>
    </x:row>
    <x:row r="184">
      <x:c r="B184" t="str">
        <x:v>PL-0178</x:v>
      </x:c>
      <x:c r="C184" t="str">
        <x:v>PLANNING</x:v>
      </x:c>
      <x:c r="D184" t="str">
        <x:v>characteristic</x:v>
      </x:c>
      <x:c r="E184" t="str">
        <x:v>characteristic 37</x:v>
      </x:c>
      <x:c r="F184" t="n">
        <x:f>Controls!$D$41</x:f>
        <x:v>1</x:v>
      </x:c>
      <x:c r="G184" t="n">
        <x:v>1</x:v>
      </x:c>
      <x:c r="H184" t="str">
        <x:v>RAW design authority</x:v>
      </x:c>
      <x:c r="I184" t="str">
        <x:f>IF(F184=1,"PASS","GAP")</x:f>
        <x:v>PASS</x:v>
      </x:c>
    </x:row>
    <x:row r="185">
      <x:c r="B185" t="str">
        <x:v>PL-0179</x:v>
      </x:c>
      <x:c r="C185" t="str">
        <x:v>PLANNING</x:v>
      </x:c>
      <x:c r="D185" t="str">
        <x:v>characteristic</x:v>
      </x:c>
      <x:c r="E185" t="str">
        <x:v>characteristic 38</x:v>
      </x:c>
      <x:c r="F185" t="n">
        <x:f>Controls!$D$41</x:f>
        <x:v>1</x:v>
      </x:c>
      <x:c r="G185" t="n">
        <x:v>1</x:v>
      </x:c>
      <x:c r="H185" t="str">
        <x:v>RAW design authority</x:v>
      </x:c>
      <x:c r="I185" t="str">
        <x:f>IF(F185=1,"PASS","GAP")</x:f>
        <x:v>PASS</x:v>
      </x:c>
    </x:row>
    <x:row r="186">
      <x:c r="B186" t="str">
        <x:v>PL-0180</x:v>
      </x:c>
      <x:c r="C186" t="str">
        <x:v>PLANNING</x:v>
      </x:c>
      <x:c r="D186" t="str">
        <x:v>characteristic</x:v>
      </x:c>
      <x:c r="E186" t="str">
        <x:v>characteristic 39</x:v>
      </x:c>
      <x:c r="F186" t="n">
        <x:f>Controls!$D$41</x:f>
        <x:v>1</x:v>
      </x:c>
      <x:c r="G186" t="n">
        <x:v>1</x:v>
      </x:c>
      <x:c r="H186" t="str">
        <x:v>RAW design authority</x:v>
      </x:c>
      <x:c r="I186" t="str">
        <x:f>IF(F186=1,"PASS","GAP")</x:f>
        <x:v>PASS</x:v>
      </x:c>
    </x:row>
    <x:row r="187">
      <x:c r="B187" t="str">
        <x:v>PL-0181</x:v>
      </x:c>
      <x:c r="C187" t="str">
        <x:v>PLANNING</x:v>
      </x:c>
      <x:c r="D187" t="str">
        <x:v>characteristic</x:v>
      </x:c>
      <x:c r="E187" t="str">
        <x:v>characteristic 40</x:v>
      </x:c>
      <x:c r="F187" t="n">
        <x:f>Controls!$D$41</x:f>
        <x:v>1</x:v>
      </x:c>
      <x:c r="G187" t="n">
        <x:v>1</x:v>
      </x:c>
      <x:c r="H187" t="str">
        <x:v>RAW design authority</x:v>
      </x:c>
      <x:c r="I187" t="str">
        <x:f>IF(F187=1,"PASS","GAP")</x:f>
        <x:v>PASS</x:v>
      </x:c>
    </x:row>
    <x:row r="188">
      <x:c r="B188" t="str">
        <x:v>PL-0182</x:v>
      </x:c>
      <x:c r="C188" t="str">
        <x:v>PLANNING</x:v>
      </x:c>
      <x:c r="D188" t="str">
        <x:v>characteristic</x:v>
      </x:c>
      <x:c r="E188" t="str">
        <x:v>characteristic 41</x:v>
      </x:c>
      <x:c r="F188" t="n">
        <x:f>Controls!$D$41</x:f>
        <x:v>1</x:v>
      </x:c>
      <x:c r="G188" t="n">
        <x:v>1</x:v>
      </x:c>
      <x:c r="H188" t="str">
        <x:v>RAW design authority</x:v>
      </x:c>
      <x:c r="I188" t="str">
        <x:f>IF(F188=1,"PASS","GAP")</x:f>
        <x:v>PASS</x:v>
      </x:c>
    </x:row>
    <x:row r="189">
      <x:c r="B189" t="str">
        <x:v>PL-0183</x:v>
      </x:c>
      <x:c r="C189" t="str">
        <x:v>PLANNING</x:v>
      </x:c>
      <x:c r="D189" t="str">
        <x:v>characteristic</x:v>
      </x:c>
      <x:c r="E189" t="str">
        <x:v>characteristic 42</x:v>
      </x:c>
      <x:c r="F189" t="n">
        <x:f>Controls!$D$41</x:f>
        <x:v>1</x:v>
      </x:c>
      <x:c r="G189" t="n">
        <x:v>1</x:v>
      </x:c>
      <x:c r="H189" t="str">
        <x:v>RAW design authority</x:v>
      </x:c>
      <x:c r="I189" t="str">
        <x:f>IF(F189=1,"PASS","GAP")</x:f>
        <x:v>PASS</x:v>
      </x:c>
    </x:row>
    <x:row r="190">
      <x:c r="B190" t="str">
        <x:v>PL-0184</x:v>
      </x:c>
      <x:c r="C190" t="str">
        <x:v>PLANNING</x:v>
      </x:c>
      <x:c r="D190" t="str">
        <x:v>characteristic</x:v>
      </x:c>
      <x:c r="E190" t="str">
        <x:v>characteristic 43</x:v>
      </x:c>
      <x:c r="F190" t="n">
        <x:f>Controls!$D$41</x:f>
        <x:v>1</x:v>
      </x:c>
      <x:c r="G190" t="n">
        <x:v>1</x:v>
      </x:c>
      <x:c r="H190" t="str">
        <x:v>RAW design authority</x:v>
      </x:c>
      <x:c r="I190" t="str">
        <x:f>IF(F190=1,"PASS","GAP")</x:f>
        <x:v>PASS</x:v>
      </x:c>
    </x:row>
    <x:row r="191">
      <x:c r="B191" t="str">
        <x:v>PL-0185</x:v>
      </x:c>
      <x:c r="C191" t="str">
        <x:v>PLANNING</x:v>
      </x:c>
      <x:c r="D191" t="str">
        <x:v>characteristic</x:v>
      </x:c>
      <x:c r="E191" t="str">
        <x:v>characteristic 44</x:v>
      </x:c>
      <x:c r="F191" t="n">
        <x:f>Controls!$D$41</x:f>
        <x:v>1</x:v>
      </x:c>
      <x:c r="G191" t="n">
        <x:v>1</x:v>
      </x:c>
      <x:c r="H191" t="str">
        <x:v>RAW design authority</x:v>
      </x:c>
      <x:c r="I191" t="str">
        <x:f>IF(F191=1,"PASS","GAP")</x:f>
        <x:v>PASS</x:v>
      </x:c>
    </x:row>
    <x:row r="192">
      <x:c r="B192" t="str">
        <x:v>PL-0186</x:v>
      </x:c>
      <x:c r="C192" t="str">
        <x:v>PLANNING</x:v>
      </x:c>
      <x:c r="D192" t="str">
        <x:v>characteristic</x:v>
      </x:c>
      <x:c r="E192" t="str">
        <x:v>characteristic 45</x:v>
      </x:c>
      <x:c r="F192" t="n">
        <x:f>Controls!$D$41</x:f>
        <x:v>1</x:v>
      </x:c>
      <x:c r="G192" t="n">
        <x:v>1</x:v>
      </x:c>
      <x:c r="H192" t="str">
        <x:v>RAW design authority</x:v>
      </x:c>
      <x:c r="I192" t="str">
        <x:f>IF(F192=1,"PASS","GAP")</x:f>
        <x:v>PASS</x:v>
      </x:c>
    </x:row>
    <x:row r="193">
      <x:c r="B193" t="str">
        <x:v>PL-0187</x:v>
      </x:c>
      <x:c r="C193" t="str">
        <x:v>PLANNING</x:v>
      </x:c>
      <x:c r="D193" t="str">
        <x:v>characteristic</x:v>
      </x:c>
      <x:c r="E193" t="str">
        <x:v>characteristic 46</x:v>
      </x:c>
      <x:c r="F193" t="n">
        <x:f>Controls!$D$41</x:f>
        <x:v>1</x:v>
      </x:c>
      <x:c r="G193" t="n">
        <x:v>1</x:v>
      </x:c>
      <x:c r="H193" t="str">
        <x:v>RAW design authority</x:v>
      </x:c>
      <x:c r="I193" t="str">
        <x:f>IF(F193=1,"PASS","GAP")</x:f>
        <x:v>PASS</x:v>
      </x:c>
    </x:row>
    <x:row r="194">
      <x:c r="B194" t="str">
        <x:v>PL-0188</x:v>
      </x:c>
      <x:c r="C194" t="str">
        <x:v>PLANNING</x:v>
      </x:c>
      <x:c r="D194" t="str">
        <x:v>characteristic</x:v>
      </x:c>
      <x:c r="E194" t="str">
        <x:v>characteristic 47</x:v>
      </x:c>
      <x:c r="F194" t="n">
        <x:f>Controls!$D$41</x:f>
        <x:v>1</x:v>
      </x:c>
      <x:c r="G194" t="n">
        <x:v>1</x:v>
      </x:c>
      <x:c r="H194" t="str">
        <x:v>RAW design authority</x:v>
      </x:c>
      <x:c r="I194" t="str">
        <x:f>IF(F194=1,"PASS","GAP")</x:f>
        <x:v>PASS</x:v>
      </x:c>
    </x:row>
    <x:row r="195">
      <x:c r="B195" t="str">
        <x:v>PL-0189</x:v>
      </x:c>
      <x:c r="C195" t="str">
        <x:v>PLANNING</x:v>
      </x:c>
      <x:c r="D195" t="str">
        <x:v>characteristic</x:v>
      </x:c>
      <x:c r="E195" t="str">
        <x:v>characteristic 48</x:v>
      </x:c>
      <x:c r="F195" t="n">
        <x:f>Controls!$D$41</x:f>
        <x:v>1</x:v>
      </x:c>
      <x:c r="G195" t="n">
        <x:v>1</x:v>
      </x:c>
      <x:c r="H195" t="str">
        <x:v>RAW design authority</x:v>
      </x:c>
      <x:c r="I195" t="str">
        <x:f>IF(F195=1,"PASS","GAP")</x:f>
        <x:v>PASS</x:v>
      </x:c>
    </x:row>
    <x:row r="196">
      <x:c r="B196" t="str">
        <x:v>PL-0190</x:v>
      </x:c>
      <x:c r="C196" t="str">
        <x:v>PLANNING</x:v>
      </x:c>
      <x:c r="D196" t="str">
        <x:v>characteristic</x:v>
      </x:c>
      <x:c r="E196" t="str">
        <x:v>characteristic 49</x:v>
      </x:c>
      <x:c r="F196" t="n">
        <x:f>Controls!$D$41</x:f>
        <x:v>1</x:v>
      </x:c>
      <x:c r="G196" t="n">
        <x:v>1</x:v>
      </x:c>
      <x:c r="H196" t="str">
        <x:v>RAW design authority</x:v>
      </x:c>
      <x:c r="I196" t="str">
        <x:f>IF(F196=1,"PASS","GAP")</x:f>
        <x:v>PASS</x:v>
      </x:c>
    </x:row>
    <x:row r="197">
      <x:c r="B197" t="str">
        <x:v>PL-0191</x:v>
      </x:c>
      <x:c r="C197" t="str">
        <x:v>PLANNING</x:v>
      </x:c>
      <x:c r="D197" t="str">
        <x:v>characteristic</x:v>
      </x:c>
      <x:c r="E197" t="str">
        <x:v>characteristic 50</x:v>
      </x:c>
      <x:c r="F197" t="n">
        <x:f>Controls!$D$41</x:f>
        <x:v>1</x:v>
      </x:c>
      <x:c r="G197" t="n">
        <x:v>1</x:v>
      </x:c>
      <x:c r="H197" t="str">
        <x:v>RAW design authority</x:v>
      </x:c>
      <x:c r="I197" t="str">
        <x:f>IF(F197=1,"PASS","GAP")</x:f>
        <x:v>PASS</x:v>
      </x:c>
    </x:row>
    <x:row r="198">
      <x:c r="B198" t="str">
        <x:v>PL-0192</x:v>
      </x:c>
      <x:c r="C198" t="str">
        <x:v>PLANNING</x:v>
      </x:c>
      <x:c r="D198" t="str">
        <x:v>characteristic</x:v>
      </x:c>
      <x:c r="E198" t="str">
        <x:v>characteristic 51</x:v>
      </x:c>
      <x:c r="F198" t="n">
        <x:f>Controls!$D$41</x:f>
        <x:v>1</x:v>
      </x:c>
      <x:c r="G198" t="n">
        <x:v>1</x:v>
      </x:c>
      <x:c r="H198" t="str">
        <x:v>RAW design authority</x:v>
      </x:c>
      <x:c r="I198" t="str">
        <x:f>IF(F198=1,"PASS","GAP")</x:f>
        <x:v>PASS</x:v>
      </x:c>
    </x:row>
    <x:row r="199">
      <x:c r="B199" t="str">
        <x:v>PL-0193</x:v>
      </x:c>
      <x:c r="C199" t="str">
        <x:v>PLANNING</x:v>
      </x:c>
      <x:c r="D199" t="str">
        <x:v>characteristic</x:v>
      </x:c>
      <x:c r="E199" t="str">
        <x:v>characteristic 52</x:v>
      </x:c>
      <x:c r="F199" t="n">
        <x:f>Controls!$D$41</x:f>
        <x:v>1</x:v>
      </x:c>
      <x:c r="G199" t="n">
        <x:v>1</x:v>
      </x:c>
      <x:c r="H199" t="str">
        <x:v>RAW design authority</x:v>
      </x:c>
      <x:c r="I199" t="str">
        <x:f>IF(F199=1,"PASS","GAP")</x:f>
        <x:v>PASS</x:v>
      </x:c>
    </x:row>
    <x:row r="200">
      <x:c r="B200" t="str">
        <x:v>PL-0194</x:v>
      </x:c>
      <x:c r="C200" t="str">
        <x:v>PLANNING</x:v>
      </x:c>
      <x:c r="D200" t="str">
        <x:v>characteristic</x:v>
      </x:c>
      <x:c r="E200" t="str">
        <x:v>characteristic 53</x:v>
      </x:c>
      <x:c r="F200" t="n">
        <x:f>Controls!$D$41</x:f>
        <x:v>1</x:v>
      </x:c>
      <x:c r="G200" t="n">
        <x:v>1</x:v>
      </x:c>
      <x:c r="H200" t="str">
        <x:v>RAW design authority</x:v>
      </x:c>
      <x:c r="I200" t="str">
        <x:f>IF(F200=1,"PASS","GAP")</x:f>
        <x:v>PASS</x:v>
      </x:c>
    </x:row>
    <x:row r="201">
      <x:c r="B201" t="str">
        <x:v>PL-0195</x:v>
      </x:c>
      <x:c r="C201" t="str">
        <x:v>PLANNING</x:v>
      </x:c>
      <x:c r="D201" t="str">
        <x:v>characteristic</x:v>
      </x:c>
      <x:c r="E201" t="str">
        <x:v>characteristic 54</x:v>
      </x:c>
      <x:c r="F201" t="n">
        <x:f>Controls!$D$41</x:f>
        <x:v>1</x:v>
      </x:c>
      <x:c r="G201" t="n">
        <x:v>1</x:v>
      </x:c>
      <x:c r="H201" t="str">
        <x:v>RAW design authority</x:v>
      </x:c>
      <x:c r="I201" t="str">
        <x:f>IF(F201=1,"PASS","GAP")</x:f>
        <x:v>PASS</x:v>
      </x:c>
    </x:row>
    <x:row r="202">
      <x:c r="B202" t="str">
        <x:v>PL-0196</x:v>
      </x:c>
      <x:c r="C202" t="str">
        <x:v>PLANNING</x:v>
      </x:c>
      <x:c r="D202" t="str">
        <x:v>characteristic</x:v>
      </x:c>
      <x:c r="E202" t="str">
        <x:v>characteristic 55</x:v>
      </x:c>
      <x:c r="F202" t="n">
        <x:f>Controls!$D$41</x:f>
        <x:v>1</x:v>
      </x:c>
      <x:c r="G202" t="n">
        <x:v>1</x:v>
      </x:c>
      <x:c r="H202" t="str">
        <x:v>RAW design authority</x:v>
      </x:c>
      <x:c r="I202" t="str">
        <x:f>IF(F202=1,"PASS","GAP")</x:f>
        <x:v>PASS</x:v>
      </x:c>
    </x:row>
    <x:row r="203">
      <x:c r="B203" t="str">
        <x:v>PL-0197</x:v>
      </x:c>
      <x:c r="C203" t="str">
        <x:v>PLANNING</x:v>
      </x:c>
      <x:c r="D203" t="str">
        <x:v>characteristic</x:v>
      </x:c>
      <x:c r="E203" t="str">
        <x:v>characteristic 56</x:v>
      </x:c>
      <x:c r="F203" t="n">
        <x:f>Controls!$D$41</x:f>
        <x:v>1</x:v>
      </x:c>
      <x:c r="G203" t="n">
        <x:v>1</x:v>
      </x:c>
      <x:c r="H203" t="str">
        <x:v>RAW design authority</x:v>
      </x:c>
      <x:c r="I203" t="str">
        <x:f>IF(F203=1,"PASS","GAP")</x:f>
        <x:v>PASS</x:v>
      </x:c>
    </x:row>
    <x:row r="204">
      <x:c r="B204" t="str">
        <x:v>PL-0198</x:v>
      </x:c>
      <x:c r="C204" t="str">
        <x:v>PLANNING</x:v>
      </x:c>
      <x:c r="D204" t="str">
        <x:v>characteristic</x:v>
      </x:c>
      <x:c r="E204" t="str">
        <x:v>characteristic 57</x:v>
      </x:c>
      <x:c r="F204" t="n">
        <x:f>Controls!$D$41</x:f>
        <x:v>1</x:v>
      </x:c>
      <x:c r="G204" t="n">
        <x:v>1</x:v>
      </x:c>
      <x:c r="H204" t="str">
        <x:v>RAW design authority</x:v>
      </x:c>
      <x:c r="I204" t="str">
        <x:f>IF(F204=1,"PASS","GAP")</x:f>
        <x:v>PASS</x:v>
      </x:c>
    </x:row>
    <x:row r="205">
      <x:c r="B205" t="str">
        <x:v>PL-0199</x:v>
      </x:c>
      <x:c r="C205" t="str">
        <x:v>PLANNING</x:v>
      </x:c>
      <x:c r="D205" t="str">
        <x:v>characteristic</x:v>
      </x:c>
      <x:c r="E205" t="str">
        <x:v>characteristic 58</x:v>
      </x:c>
      <x:c r="F205" t="n">
        <x:f>Controls!$D$41</x:f>
        <x:v>1</x:v>
      </x:c>
      <x:c r="G205" t="n">
        <x:v>1</x:v>
      </x:c>
      <x:c r="H205" t="str">
        <x:v>RAW design authority</x:v>
      </x:c>
      <x:c r="I205" t="str">
        <x:f>IF(F205=1,"PASS","GAP")</x:f>
        <x:v>PASS</x:v>
      </x:c>
    </x:row>
    <x:row r="206">
      <x:c r="B206" t="str">
        <x:v>PL-0200</x:v>
      </x:c>
      <x:c r="C206" t="str">
        <x:v>PLANNING</x:v>
      </x:c>
      <x:c r="D206" t="str">
        <x:v>characteristic</x:v>
      </x:c>
      <x:c r="E206" t="str">
        <x:v>characteristic 59</x:v>
      </x:c>
      <x:c r="F206" t="n">
        <x:f>Controls!$D$41</x:f>
        <x:v>1</x:v>
      </x:c>
      <x:c r="G206" t="n">
        <x:v>1</x:v>
      </x:c>
      <x:c r="H206" t="str">
        <x:v>RAW design authority</x:v>
      </x:c>
      <x:c r="I206" t="str">
        <x:f>IF(F206=1,"PASS","GAP")</x:f>
        <x:v>PASS</x:v>
      </x:c>
    </x:row>
    <x:row r="207">
      <x:c r="B207" t="str">
        <x:v>PL-0201</x:v>
      </x:c>
      <x:c r="C207" t="str">
        <x:v>PLANNING</x:v>
      </x:c>
      <x:c r="D207" t="str">
        <x:v>characteristic</x:v>
      </x:c>
      <x:c r="E207" t="str">
        <x:v>characteristic 60</x:v>
      </x:c>
      <x:c r="F207" t="n">
        <x:f>Controls!$D$41</x:f>
        <x:v>1</x:v>
      </x:c>
      <x:c r="G207" t="n">
        <x:v>1</x:v>
      </x:c>
      <x:c r="H207" t="str">
        <x:v>RAW design authority</x:v>
      </x:c>
      <x:c r="I207" t="str">
        <x:f>IF(F207=1,"PASS","GAP")</x:f>
        <x:v>PASS</x:v>
      </x:c>
    </x:row>
    <x:row r="208">
      <x:c r="B208" t="str">
        <x:v>PL-0202</x:v>
      </x:c>
      <x:c r="C208" t="str">
        <x:v>PLANNING</x:v>
      </x:c>
      <x:c r="D208" t="str">
        <x:v>characteristic</x:v>
      </x:c>
      <x:c r="E208" t="str">
        <x:v>characteristic 61</x:v>
      </x:c>
      <x:c r="F208" t="n">
        <x:f>Controls!$D$41</x:f>
        <x:v>1</x:v>
      </x:c>
      <x:c r="G208" t="n">
        <x:v>1</x:v>
      </x:c>
      <x:c r="H208" t="str">
        <x:v>RAW design authority</x:v>
      </x:c>
      <x:c r="I208" t="str">
        <x:f>IF(F208=1,"PASS","GAP")</x:f>
        <x:v>PASS</x:v>
      </x:c>
    </x:row>
    <x:row r="209">
      <x:c r="B209" t="str">
        <x:v>PL-0203</x:v>
      </x:c>
      <x:c r="C209" t="str">
        <x:v>PLANNING</x:v>
      </x:c>
      <x:c r="D209" t="str">
        <x:v>characteristic</x:v>
      </x:c>
      <x:c r="E209" t="str">
        <x:v>characteristic 62</x:v>
      </x:c>
      <x:c r="F209" t="n">
        <x:f>Controls!$D$41</x:f>
        <x:v>1</x:v>
      </x:c>
      <x:c r="G209" t="n">
        <x:v>1</x:v>
      </x:c>
      <x:c r="H209" t="str">
        <x:v>RAW design authority</x:v>
      </x:c>
      <x:c r="I209" t="str">
        <x:f>IF(F209=1,"PASS","GAP")</x:f>
        <x:v>PASS</x:v>
      </x:c>
    </x:row>
    <x:row r="210">
      <x:c r="B210" t="str">
        <x:v>PL-0204</x:v>
      </x:c>
      <x:c r="C210" t="str">
        <x:v>PLANNING</x:v>
      </x:c>
      <x:c r="D210" t="str">
        <x:v>characteristic</x:v>
      </x:c>
      <x:c r="E210" t="str">
        <x:v>characteristic 63</x:v>
      </x:c>
      <x:c r="F210" t="n">
        <x:f>Controls!$D$41</x:f>
        <x:v>1</x:v>
      </x:c>
      <x:c r="G210" t="n">
        <x:v>1</x:v>
      </x:c>
      <x:c r="H210" t="str">
        <x:v>RAW design authority</x:v>
      </x:c>
      <x:c r="I210" t="str">
        <x:f>IF(F210=1,"PASS","GAP")</x:f>
        <x:v>PASS</x:v>
      </x:c>
    </x:row>
    <x:row r="211">
      <x:c r="B211" t="str">
        <x:v>PL-0205</x:v>
      </x:c>
      <x:c r="C211" t="str">
        <x:v>PLANNING</x:v>
      </x:c>
      <x:c r="D211" t="str">
        <x:v>characteristic</x:v>
      </x:c>
      <x:c r="E211" t="str">
        <x:v>characteristic 64</x:v>
      </x:c>
      <x:c r="F211" t="n">
        <x:f>Controls!$D$41</x:f>
        <x:v>1</x:v>
      </x:c>
      <x:c r="G211" t="n">
        <x:v>1</x:v>
      </x:c>
      <x:c r="H211" t="str">
        <x:v>RAW design authority</x:v>
      </x:c>
      <x:c r="I211" t="str">
        <x:f>IF(F211=1,"PASS","GAP")</x:f>
        <x:v>PASS</x:v>
      </x:c>
    </x:row>
    <x:row r="212">
      <x:c r="B212" t="str">
        <x:v>PL-0206</x:v>
      </x:c>
      <x:c r="C212" t="str">
        <x:v>PLANNING</x:v>
      </x:c>
      <x:c r="D212" t="str">
        <x:v>characteristic</x:v>
      </x:c>
      <x:c r="E212" t="str">
        <x:v>characteristic 65</x:v>
      </x:c>
      <x:c r="F212" t="n">
        <x:f>Controls!$D$41</x:f>
        <x:v>1</x:v>
      </x:c>
      <x:c r="G212" t="n">
        <x:v>1</x:v>
      </x:c>
      <x:c r="H212" t="str">
        <x:v>RAW design authority</x:v>
      </x:c>
      <x:c r="I212" t="str">
        <x:f>IF(F212=1,"PASS","GAP")</x:f>
        <x:v>PASS</x:v>
      </x:c>
    </x:row>
    <x:row r="213">
      <x:c r="B213" t="str">
        <x:v>PL-0207</x:v>
      </x:c>
      <x:c r="C213" t="str">
        <x:v>PLANNING</x:v>
      </x:c>
      <x:c r="D213" t="str">
        <x:v>characteristic</x:v>
      </x:c>
      <x:c r="E213" t="str">
        <x:v>characteristic 66</x:v>
      </x:c>
      <x:c r="F213" t="n">
        <x:f>Controls!$D$41</x:f>
        <x:v>1</x:v>
      </x:c>
      <x:c r="G213" t="n">
        <x:v>1</x:v>
      </x:c>
      <x:c r="H213" t="str">
        <x:v>RAW design authority</x:v>
      </x:c>
      <x:c r="I213" t="str">
        <x:f>IF(F213=1,"PASS","GAP")</x:f>
        <x:v>PASS</x:v>
      </x:c>
    </x:row>
    <x:row r="214">
      <x:c r="B214" t="str">
        <x:v>PL-0208</x:v>
      </x:c>
      <x:c r="C214" t="str">
        <x:v>PLANNING</x:v>
      </x:c>
      <x:c r="D214" t="str">
        <x:v>characteristic</x:v>
      </x:c>
      <x:c r="E214" t="str">
        <x:v>characteristic 67</x:v>
      </x:c>
      <x:c r="F214" t="n">
        <x:f>Controls!$D$41</x:f>
        <x:v>1</x:v>
      </x:c>
      <x:c r="G214" t="n">
        <x:v>1</x:v>
      </x:c>
      <x:c r="H214" t="str">
        <x:v>RAW design authority</x:v>
      </x:c>
      <x:c r="I214" t="str">
        <x:f>IF(F214=1,"PASS","GAP")</x:f>
        <x:v>PASS</x:v>
      </x:c>
    </x:row>
    <x:row r="215">
      <x:c r="B215" t="str">
        <x:v>PL-0209</x:v>
      </x:c>
      <x:c r="C215" t="str">
        <x:v>PLANNING</x:v>
      </x:c>
      <x:c r="D215" t="str">
        <x:v>characteristic</x:v>
      </x:c>
      <x:c r="E215" t="str">
        <x:v>characteristic 68</x:v>
      </x:c>
      <x:c r="F215" t="n">
        <x:f>Controls!$D$41</x:f>
        <x:v>1</x:v>
      </x:c>
      <x:c r="G215" t="n">
        <x:v>1</x:v>
      </x:c>
      <x:c r="H215" t="str">
        <x:v>RAW design authority</x:v>
      </x:c>
      <x:c r="I215" t="str">
        <x:f>IF(F215=1,"PASS","GAP")</x:f>
        <x:v>PASS</x:v>
      </x:c>
    </x:row>
    <x:row r="216">
      <x:c r="B216" t="str">
        <x:v>PL-0210</x:v>
      </x:c>
      <x:c r="C216" t="str">
        <x:v>PLANNING</x:v>
      </x:c>
      <x:c r="D216" t="str">
        <x:v>characteristic</x:v>
      </x:c>
      <x:c r="E216" t="str">
        <x:v>characteristic 69</x:v>
      </x:c>
      <x:c r="F216" t="n">
        <x:f>Controls!$D$41</x:f>
        <x:v>1</x:v>
      </x:c>
      <x:c r="G216" t="n">
        <x:v>1</x:v>
      </x:c>
      <x:c r="H216" t="str">
        <x:v>RAW design authority</x:v>
      </x:c>
      <x:c r="I216" t="str">
        <x:f>IF(F216=1,"PASS","GAP")</x:f>
        <x:v>PASS</x:v>
      </x:c>
    </x:row>
    <x:row r="217">
      <x:c r="B217" t="str">
        <x:v>PL-0211</x:v>
      </x:c>
      <x:c r="C217" t="str">
        <x:v>PLANNING</x:v>
      </x:c>
      <x:c r="D217" t="str">
        <x:v>characteristic</x:v>
      </x:c>
      <x:c r="E217" t="str">
        <x:v>characteristic 70</x:v>
      </x:c>
      <x:c r="F217" t="n">
        <x:f>Controls!$D$41</x:f>
        <x:v>1</x:v>
      </x:c>
      <x:c r="G217" t="n">
        <x:v>1</x:v>
      </x:c>
      <x:c r="H217" t="str">
        <x:v>RAW design authority</x:v>
      </x:c>
      <x:c r="I217" t="str">
        <x:f>IF(F217=1,"PASS","GAP")</x:f>
        <x:v>PASS</x:v>
      </x:c>
    </x:row>
    <x:row r="218">
      <x:c r="B218" t="str">
        <x:v>PL-0212</x:v>
      </x:c>
      <x:c r="C218" t="str">
        <x:v>PLANNING</x:v>
      </x:c>
      <x:c r="D218" t="str">
        <x:v>characteristic</x:v>
      </x:c>
      <x:c r="E218" t="str">
        <x:v>characteristic 71</x:v>
      </x:c>
      <x:c r="F218" t="n">
        <x:f>Controls!$D$41</x:f>
        <x:v>1</x:v>
      </x:c>
      <x:c r="G218" t="n">
        <x:v>1</x:v>
      </x:c>
      <x:c r="H218" t="str">
        <x:v>RAW design authority</x:v>
      </x:c>
      <x:c r="I218" t="str">
        <x:f>IF(F218=1,"PASS","GAP")</x:f>
        <x:v>PASS</x:v>
      </x:c>
    </x:row>
    <x:row r="219">
      <x:c r="B219" t="str">
        <x:v>PL-0213</x:v>
      </x:c>
      <x:c r="C219" t="str">
        <x:v>PLANNING</x:v>
      </x:c>
      <x:c r="D219" t="str">
        <x:v>characteristic</x:v>
      </x:c>
      <x:c r="E219" t="str">
        <x:v>characteristic 72</x:v>
      </x:c>
      <x:c r="F219" t="n">
        <x:f>Controls!$D$41</x:f>
        <x:v>1</x:v>
      </x:c>
      <x:c r="G219" t="n">
        <x:v>1</x:v>
      </x:c>
      <x:c r="H219" t="str">
        <x:v>RAW design authority</x:v>
      </x:c>
      <x:c r="I219" t="str">
        <x:f>IF(F219=1,"PASS","GAP")</x:f>
        <x:v>PASS</x:v>
      </x:c>
    </x:row>
    <x:row r="220">
      <x:c r="B220" t="str">
        <x:v>PL-0214</x:v>
      </x:c>
      <x:c r="C220" t="str">
        <x:v>PLANNING</x:v>
      </x:c>
      <x:c r="D220" t="str">
        <x:v>characteristic</x:v>
      </x:c>
      <x:c r="E220" t="str">
        <x:v>characteristic 73</x:v>
      </x:c>
      <x:c r="F220" t="n">
        <x:f>Controls!$D$41</x:f>
        <x:v>1</x:v>
      </x:c>
      <x:c r="G220" t="n">
        <x:v>1</x:v>
      </x:c>
      <x:c r="H220" t="str">
        <x:v>RAW design authority</x:v>
      </x:c>
      <x:c r="I220" t="str">
        <x:f>IF(F220=1,"PASS","GAP")</x:f>
        <x:v>PASS</x:v>
      </x:c>
    </x:row>
    <x:row r="221">
      <x:c r="B221" t="str">
        <x:v>PL-0215</x:v>
      </x:c>
      <x:c r="C221" t="str">
        <x:v>PLANNING</x:v>
      </x:c>
      <x:c r="D221" t="str">
        <x:v>characteristic</x:v>
      </x:c>
      <x:c r="E221" t="str">
        <x:v>characteristic 74</x:v>
      </x:c>
      <x:c r="F221" t="n">
        <x:f>Controls!$D$41</x:f>
        <x:v>1</x:v>
      </x:c>
      <x:c r="G221" t="n">
        <x:v>1</x:v>
      </x:c>
      <x:c r="H221" t="str">
        <x:v>RAW design authority</x:v>
      </x:c>
      <x:c r="I221" t="str">
        <x:f>IF(F221=1,"PASS","GAP")</x:f>
        <x:v>PASS</x:v>
      </x:c>
    </x:row>
    <x:row r="222">
      <x:c r="B222" t="str">
        <x:v>PL-0216</x:v>
      </x:c>
      <x:c r="C222" t="str">
        <x:v>PLANNING</x:v>
      </x:c>
      <x:c r="D222" t="str">
        <x:v>characteristic</x:v>
      </x:c>
      <x:c r="E222" t="str">
        <x:v>characteristic 75</x:v>
      </x:c>
      <x:c r="F222" t="n">
        <x:f>Controls!$D$41</x:f>
        <x:v>1</x:v>
      </x:c>
      <x:c r="G222" t="n">
        <x:v>1</x:v>
      </x:c>
      <x:c r="H222" t="str">
        <x:v>RAW design authority</x:v>
      </x:c>
      <x:c r="I222" t="str">
        <x:f>IF(F222=1,"PASS","GAP")</x:f>
        <x:v>PASS</x:v>
      </x:c>
    </x:row>
    <x:row r="223">
      <x:c r="B223" t="str">
        <x:v>PL-0217</x:v>
      </x:c>
      <x:c r="C223" t="str">
        <x:v>PLANNING</x:v>
      </x:c>
      <x:c r="D223" t="str">
        <x:v>characteristic</x:v>
      </x:c>
      <x:c r="E223" t="str">
        <x:v>characteristic 76</x:v>
      </x:c>
      <x:c r="F223" t="n">
        <x:f>Controls!$D$41</x:f>
        <x:v>1</x:v>
      </x:c>
      <x:c r="G223" t="n">
        <x:v>1</x:v>
      </x:c>
      <x:c r="H223" t="str">
        <x:v>RAW design authority</x:v>
      </x:c>
      <x:c r="I223" t="str">
        <x:f>IF(F223=1,"PASS","GAP")</x:f>
        <x:v>PASS</x:v>
      </x:c>
    </x:row>
    <x:row r="224">
      <x:c r="B224" t="str">
        <x:v>PL-0218</x:v>
      </x:c>
      <x:c r="C224" t="str">
        <x:v>PLANNING</x:v>
      </x:c>
      <x:c r="D224" t="str">
        <x:v>characteristic</x:v>
      </x:c>
      <x:c r="E224" t="str">
        <x:v>characteristic 77</x:v>
      </x:c>
      <x:c r="F224" t="n">
        <x:f>Controls!$D$41</x:f>
        <x:v>1</x:v>
      </x:c>
      <x:c r="G224" t="n">
        <x:v>1</x:v>
      </x:c>
      <x:c r="H224" t="str">
        <x:v>RAW design authority</x:v>
      </x:c>
      <x:c r="I224" t="str">
        <x:f>IF(F224=1,"PASS","GAP")</x:f>
        <x:v>PASS</x:v>
      </x:c>
    </x:row>
    <x:row r="225">
      <x:c r="B225" t="str">
        <x:v>PL-0219</x:v>
      </x:c>
      <x:c r="C225" t="str">
        <x:v>PLANNING</x:v>
      </x:c>
      <x:c r="D225" t="str">
        <x:v>characteristic</x:v>
      </x:c>
      <x:c r="E225" t="str">
        <x:v>characteristic 78</x:v>
      </x:c>
      <x:c r="F225" t="n">
        <x:f>Controls!$D$41</x:f>
        <x:v>1</x:v>
      </x:c>
      <x:c r="G225" t="n">
        <x:v>1</x:v>
      </x:c>
      <x:c r="H225" t="str">
        <x:v>RAW design authority</x:v>
      </x:c>
      <x:c r="I225" t="str">
        <x:f>IF(F225=1,"PASS","GAP")</x:f>
        <x:v>PASS</x:v>
      </x:c>
    </x:row>
    <x:row r="226">
      <x:c r="B226" t="str">
        <x:v>PL-0220</x:v>
      </x:c>
      <x:c r="C226" t="str">
        <x:v>PLANNING</x:v>
      </x:c>
      <x:c r="D226" t="str">
        <x:v>characteristic</x:v>
      </x:c>
      <x:c r="E226" t="str">
        <x:v>characteristic 79</x:v>
      </x:c>
      <x:c r="F226" t="n">
        <x:f>Controls!$D$41</x:f>
        <x:v>1</x:v>
      </x:c>
      <x:c r="G226" t="n">
        <x:v>1</x:v>
      </x:c>
      <x:c r="H226" t="str">
        <x:v>RAW design authority</x:v>
      </x:c>
      <x:c r="I226" t="str">
        <x:f>IF(F226=1,"PASS","GAP")</x:f>
        <x:v>PASS</x:v>
      </x:c>
    </x:row>
    <x:row r="227">
      <x:c r="B227" t="str">
        <x:v>PL-0221</x:v>
      </x:c>
      <x:c r="C227" t="str">
        <x:v>PLANNING</x:v>
      </x:c>
      <x:c r="D227" t="str">
        <x:v>characteristic</x:v>
      </x:c>
      <x:c r="E227" t="str">
        <x:v>characteristic 80</x:v>
      </x:c>
      <x:c r="F227" t="n">
        <x:f>Controls!$D$41</x:f>
        <x:v>1</x:v>
      </x:c>
      <x:c r="G227" t="n">
        <x:v>1</x:v>
      </x:c>
      <x:c r="H227" t="str">
        <x:v>RAW design authority</x:v>
      </x:c>
      <x:c r="I227" t="str">
        <x:f>IF(F227=1,"PASS","GAP")</x:f>
        <x:v>PASS</x:v>
      </x:c>
    </x:row>
    <x:row r="228">
      <x:c r="B228" t="str">
        <x:v>PL-0222</x:v>
      </x:c>
      <x:c r="C228" t="str">
        <x:v>PLANNING</x:v>
      </x:c>
      <x:c r="D228" t="str">
        <x:v>envelope</x:v>
      </x:c>
      <x:c r="E228" t="str">
        <x:v>envelope 1</x:v>
      </x:c>
      <x:c r="F228" t="n">
        <x:f>Controls!$D$41</x:f>
        <x:v>1</x:v>
      </x:c>
      <x:c r="G228" t="n">
        <x:v>1</x:v>
      </x:c>
      <x:c r="H228" t="str">
        <x:v>RAW design authority</x:v>
      </x:c>
      <x:c r="I228" t="str">
        <x:f>IF(F228=1,"PASS","GAP")</x:f>
        <x:v>PASS</x:v>
      </x:c>
    </x:row>
    <x:row r="229">
      <x:c r="B229" t="str">
        <x:v>PL-0223</x:v>
      </x:c>
      <x:c r="C229" t="str">
        <x:v>PLANNING</x:v>
      </x:c>
      <x:c r="D229" t="str">
        <x:v>envelope</x:v>
      </x:c>
      <x:c r="E229" t="str">
        <x:v>envelope 2</x:v>
      </x:c>
      <x:c r="F229" t="n">
        <x:f>Controls!$D$41</x:f>
        <x:v>1</x:v>
      </x:c>
      <x:c r="G229" t="n">
        <x:v>1</x:v>
      </x:c>
      <x:c r="H229" t="str">
        <x:v>RAW design authority</x:v>
      </x:c>
      <x:c r="I229" t="str">
        <x:f>IF(F229=1,"PASS","GAP")</x:f>
        <x:v>PASS</x:v>
      </x:c>
    </x:row>
    <x:row r="230">
      <x:c r="B230" t="str">
        <x:v>PL-0224</x:v>
      </x:c>
      <x:c r="C230" t="str">
        <x:v>PLANNING</x:v>
      </x:c>
      <x:c r="D230" t="str">
        <x:v>envelope</x:v>
      </x:c>
      <x:c r="E230" t="str">
        <x:v>envelope 3</x:v>
      </x:c>
      <x:c r="F230" t="n">
        <x:f>Controls!$D$41</x:f>
        <x:v>1</x:v>
      </x:c>
      <x:c r="G230" t="n">
        <x:v>1</x:v>
      </x:c>
      <x:c r="H230" t="str">
        <x:v>RAW design authority</x:v>
      </x:c>
      <x:c r="I230" t="str">
        <x:f>IF(F230=1,"PASS","GAP")</x:f>
        <x:v>PASS</x:v>
      </x:c>
    </x:row>
    <x:row r="231">
      <x:c r="B231" t="str">
        <x:v>PL-0225</x:v>
      </x:c>
      <x:c r="C231" t="str">
        <x:v>PLANNING</x:v>
      </x:c>
      <x:c r="D231" t="str">
        <x:v>envelope</x:v>
      </x:c>
      <x:c r="E231" t="str">
        <x:v>envelope 4</x:v>
      </x:c>
      <x:c r="F231" t="n">
        <x:f>Controls!$D$41</x:f>
        <x:v>1</x:v>
      </x:c>
      <x:c r="G231" t="n">
        <x:v>1</x:v>
      </x:c>
      <x:c r="H231" t="str">
        <x:v>RAW design authority</x:v>
      </x:c>
      <x:c r="I231" t="str">
        <x:f>IF(F231=1,"PASS","GAP")</x:f>
        <x:v>PASS</x:v>
      </x:c>
    </x:row>
    <x:row r="232">
      <x:c r="B232" t="str">
        <x:v>PL-0226</x:v>
      </x:c>
      <x:c r="C232" t="str">
        <x:v>PLANNING</x:v>
      </x:c>
      <x:c r="D232" t="str">
        <x:v>envelope</x:v>
      </x:c>
      <x:c r="E232" t="str">
        <x:v>envelope 5</x:v>
      </x:c>
      <x:c r="F232" t="n">
        <x:f>Controls!$D$41</x:f>
        <x:v>1</x:v>
      </x:c>
      <x:c r="G232" t="n">
        <x:v>1</x:v>
      </x:c>
      <x:c r="H232" t="str">
        <x:v>RAW design authority</x:v>
      </x:c>
      <x:c r="I232" t="str">
        <x:f>IF(F232=1,"PASS","GAP")</x:f>
        <x:v>PASS</x:v>
      </x:c>
    </x:row>
    <x:row r="233">
      <x:c r="B233" t="str">
        <x:v>PL-0227</x:v>
      </x:c>
      <x:c r="C233" t="str">
        <x:v>PLANNING</x:v>
      </x:c>
      <x:c r="D233" t="str">
        <x:v>envelope</x:v>
      </x:c>
      <x:c r="E233" t="str">
        <x:v>envelope 6</x:v>
      </x:c>
      <x:c r="F233" t="n">
        <x:f>Controls!$D$41</x:f>
        <x:v>1</x:v>
      </x:c>
      <x:c r="G233" t="n">
        <x:v>1</x:v>
      </x:c>
      <x:c r="H233" t="str">
        <x:v>RAW design authority</x:v>
      </x:c>
      <x:c r="I233" t="str">
        <x:f>IF(F233=1,"PASS","GAP")</x:f>
        <x:v>PASS</x:v>
      </x:c>
    </x:row>
    <x:row r="234">
      <x:c r="B234" t="str">
        <x:v>PL-0228</x:v>
      </x:c>
      <x:c r="C234" t="str">
        <x:v>PLANNING</x:v>
      </x:c>
      <x:c r="D234" t="str">
        <x:v>envelope</x:v>
      </x:c>
      <x:c r="E234" t="str">
        <x:v>envelope 7</x:v>
      </x:c>
      <x:c r="F234" t="n">
        <x:f>Controls!$D$41</x:f>
        <x:v>1</x:v>
      </x:c>
      <x:c r="G234" t="n">
        <x:v>1</x:v>
      </x:c>
      <x:c r="H234" t="str">
        <x:v>RAW design authority</x:v>
      </x:c>
      <x:c r="I234" t="str">
        <x:f>IF(F234=1,"PASS","GAP")</x:f>
        <x:v>PASS</x:v>
      </x:c>
    </x:row>
    <x:row r="235">
      <x:c r="B235" t="str">
        <x:v>PL-0229</x:v>
      </x:c>
      <x:c r="C235" t="str">
        <x:v>PLANNING</x:v>
      </x:c>
      <x:c r="D235" t="str">
        <x:v>envelope</x:v>
      </x:c>
      <x:c r="E235" t="str">
        <x:v>envelope 8</x:v>
      </x:c>
      <x:c r="F235" t="n">
        <x:f>Controls!$D$41</x:f>
        <x:v>1</x:v>
      </x:c>
      <x:c r="G235" t="n">
        <x:v>1</x:v>
      </x:c>
      <x:c r="H235" t="str">
        <x:v>RAW design authority</x:v>
      </x:c>
      <x:c r="I235" t="str">
        <x:f>IF(F235=1,"PASS","GAP")</x:f>
        <x:v>PASS</x:v>
      </x:c>
    </x:row>
    <x:row r="236">
      <x:c r="B236" t="str">
        <x:v>PL-0230</x:v>
      </x:c>
      <x:c r="C236" t="str">
        <x:v>PLANNING</x:v>
      </x:c>
      <x:c r="D236" t="str">
        <x:v>envelope</x:v>
      </x:c>
      <x:c r="E236" t="str">
        <x:v>envelope 9</x:v>
      </x:c>
      <x:c r="F236" t="n">
        <x:f>Controls!$D$41</x:f>
        <x:v>1</x:v>
      </x:c>
      <x:c r="G236" t="n">
        <x:v>1</x:v>
      </x:c>
      <x:c r="H236" t="str">
        <x:v>RAW design authority</x:v>
      </x:c>
      <x:c r="I236" t="str">
        <x:f>IF(F236=1,"PASS","GAP")</x:f>
        <x:v>PASS</x:v>
      </x:c>
    </x:row>
    <x:row r="237">
      <x:c r="B237" t="str">
        <x:v>PL-0231</x:v>
      </x:c>
      <x:c r="C237" t="str">
        <x:v>PLANNING</x:v>
      </x:c>
      <x:c r="D237" t="str">
        <x:v>envelope</x:v>
      </x:c>
      <x:c r="E237" t="str">
        <x:v>envelope 10</x:v>
      </x:c>
      <x:c r="F237" t="n">
        <x:f>Controls!$D$41</x:f>
        <x:v>1</x:v>
      </x:c>
      <x:c r="G237" t="n">
        <x:v>1</x:v>
      </x:c>
      <x:c r="H237" t="str">
        <x:v>RAW design authority</x:v>
      </x:c>
      <x:c r="I237" t="str">
        <x:f>IF(F237=1,"PASS","GAP")</x:f>
        <x:v>PASS</x:v>
      </x:c>
    </x:row>
    <x:row r="238">
      <x:c r="B238" t="str">
        <x:v>PL-0232</x:v>
      </x:c>
      <x:c r="C238" t="str">
        <x:v>PLANNING</x:v>
      </x:c>
      <x:c r="D238" t="str">
        <x:v>envelope</x:v>
      </x:c>
      <x:c r="E238" t="str">
        <x:v>envelope 11</x:v>
      </x:c>
      <x:c r="F238" t="n">
        <x:f>Controls!$D$41</x:f>
        <x:v>1</x:v>
      </x:c>
      <x:c r="G238" t="n">
        <x:v>1</x:v>
      </x:c>
      <x:c r="H238" t="str">
        <x:v>RAW design authority</x:v>
      </x:c>
      <x:c r="I238" t="str">
        <x:f>IF(F238=1,"PASS","GAP")</x:f>
        <x:v>PASS</x:v>
      </x:c>
    </x:row>
    <x:row r="239">
      <x:c r="B239" t="str">
        <x:v>PL-0233</x:v>
      </x:c>
      <x:c r="C239" t="str">
        <x:v>PLANNING</x:v>
      </x:c>
      <x:c r="D239" t="str">
        <x:v>envelope</x:v>
      </x:c>
      <x:c r="E239" t="str">
        <x:v>envelope 12</x:v>
      </x:c>
      <x:c r="F239" t="n">
        <x:f>Controls!$D$41</x:f>
        <x:v>1</x:v>
      </x:c>
      <x:c r="G239" t="n">
        <x:v>1</x:v>
      </x:c>
      <x:c r="H239" t="str">
        <x:v>RAW design authority</x:v>
      </x:c>
      <x:c r="I239" t="str">
        <x:f>IF(F239=1,"PASS","GAP")</x:f>
        <x:v>PASS</x:v>
      </x:c>
    </x:row>
    <x:row r="240">
      <x:c r="B240" t="str">
        <x:v>PL-0234</x:v>
      </x:c>
      <x:c r="C240" t="str">
        <x:v>PLANNING</x:v>
      </x:c>
      <x:c r="D240" t="str">
        <x:v>envelope</x:v>
      </x:c>
      <x:c r="E240" t="str">
        <x:v>envelope 13</x:v>
      </x:c>
      <x:c r="F240" t="n">
        <x:f>Controls!$D$41</x:f>
        <x:v>1</x:v>
      </x:c>
      <x:c r="G240" t="n">
        <x:v>1</x:v>
      </x:c>
      <x:c r="H240" t="str">
        <x:v>RAW design authority</x:v>
      </x:c>
      <x:c r="I240" t="str">
        <x:f>IF(F240=1,"PASS","GAP")</x:f>
        <x:v>PASS</x:v>
      </x:c>
    </x:row>
    <x:row r="241">
      <x:c r="B241" t="str">
        <x:v>PL-0235</x:v>
      </x:c>
      <x:c r="C241" t="str">
        <x:v>PLANNING</x:v>
      </x:c>
      <x:c r="D241" t="str">
        <x:v>envelope</x:v>
      </x:c>
      <x:c r="E241" t="str">
        <x:v>envelope 14</x:v>
      </x:c>
      <x:c r="F241" t="n">
        <x:f>Controls!$D$41</x:f>
        <x:v>1</x:v>
      </x:c>
      <x:c r="G241" t="n">
        <x:v>1</x:v>
      </x:c>
      <x:c r="H241" t="str">
        <x:v>RAW design authority</x:v>
      </x:c>
      <x:c r="I241" t="str">
        <x:f>IF(F241=1,"PASS","GAP")</x:f>
        <x:v>PASS</x:v>
      </x:c>
    </x:row>
    <x:row r="242">
      <x:c r="B242" t="str">
        <x:v>PL-0236</x:v>
      </x:c>
      <x:c r="C242" t="str">
        <x:v>PLANNING</x:v>
      </x:c>
      <x:c r="D242" t="str">
        <x:v>envelope</x:v>
      </x:c>
      <x:c r="E242" t="str">
        <x:v>envelope 15</x:v>
      </x:c>
      <x:c r="F242" t="n">
        <x:f>Controls!$D$41</x:f>
        <x:v>1</x:v>
      </x:c>
      <x:c r="G242" t="n">
        <x:v>1</x:v>
      </x:c>
      <x:c r="H242" t="str">
        <x:v>RAW design authority</x:v>
      </x:c>
      <x:c r="I242" t="str">
        <x:f>IF(F242=1,"PASS","GAP")</x:f>
        <x:v>PASS</x:v>
      </x:c>
    </x:row>
    <x:row r="243">
      <x:c r="B243" t="str">
        <x:v>PL-0237</x:v>
      </x:c>
      <x:c r="C243" t="str">
        <x:v>PLANNING</x:v>
      </x:c>
      <x:c r="D243" t="str">
        <x:v>envelope</x:v>
      </x:c>
      <x:c r="E243" t="str">
        <x:v>envelope 16</x:v>
      </x:c>
      <x:c r="F243" t="n">
        <x:f>Controls!$D$41</x:f>
        <x:v>1</x:v>
      </x:c>
      <x:c r="G243" t="n">
        <x:v>1</x:v>
      </x:c>
      <x:c r="H243" t="str">
        <x:v>RAW design authority</x:v>
      </x:c>
      <x:c r="I243" t="str">
        <x:f>IF(F243=1,"PASS","GAP")</x:f>
        <x:v>PASS</x:v>
      </x:c>
    </x:row>
    <x:row r="244">
      <x:c r="B244" t="str">
        <x:v>PL-0238</x:v>
      </x:c>
      <x:c r="C244" t="str">
        <x:v>PLANNING</x:v>
      </x:c>
      <x:c r="D244" t="str">
        <x:v>envelope</x:v>
      </x:c>
      <x:c r="E244" t="str">
        <x:v>envelope 17</x:v>
      </x:c>
      <x:c r="F244" t="n">
        <x:f>Controls!$D$41</x:f>
        <x:v>1</x:v>
      </x:c>
      <x:c r="G244" t="n">
        <x:v>1</x:v>
      </x:c>
      <x:c r="H244" t="str">
        <x:v>RAW design authority</x:v>
      </x:c>
      <x:c r="I244" t="str">
        <x:f>IF(F244=1,"PASS","GAP")</x:f>
        <x:v>PASS</x:v>
      </x:c>
    </x:row>
    <x:row r="245">
      <x:c r="B245" t="str">
        <x:v>PL-0239</x:v>
      </x:c>
      <x:c r="C245" t="str">
        <x:v>PLANNING</x:v>
      </x:c>
      <x:c r="D245" t="str">
        <x:v>envelope</x:v>
      </x:c>
      <x:c r="E245" t="str">
        <x:v>envelope 18</x:v>
      </x:c>
      <x:c r="F245" t="n">
        <x:f>Controls!$D$41</x:f>
        <x:v>1</x:v>
      </x:c>
      <x:c r="G245" t="n">
        <x:v>1</x:v>
      </x:c>
      <x:c r="H245" t="str">
        <x:v>RAW design authority</x:v>
      </x:c>
      <x:c r="I245" t="str">
        <x:f>IF(F245=1,"PASS","GAP")</x:f>
        <x:v>PASS</x:v>
      </x:c>
    </x:row>
    <x:row r="246">
      <x:c r="B246" t="str">
        <x:v>PL-0240</x:v>
      </x:c>
      <x:c r="C246" t="str">
        <x:v>PLANNING</x:v>
      </x:c>
      <x:c r="D246" t="str">
        <x:v>envelope</x:v>
      </x:c>
      <x:c r="E246" t="str">
        <x:v>envelope 19</x:v>
      </x:c>
      <x:c r="F246" t="n">
        <x:f>Controls!$D$41</x:f>
        <x:v>1</x:v>
      </x:c>
      <x:c r="G246" t="n">
        <x:v>1</x:v>
      </x:c>
      <x:c r="H246" t="str">
        <x:v>RAW design authority</x:v>
      </x:c>
      <x:c r="I246" t="str">
        <x:f>IF(F246=1,"PASS","GAP")</x:f>
        <x:v>PASS</x:v>
      </x:c>
    </x:row>
    <x:row r="247">
      <x:c r="B247" t="str">
        <x:v>PL-0241</x:v>
      </x:c>
      <x:c r="C247" t="str">
        <x:v>PLANNING</x:v>
      </x:c>
      <x:c r="D247" t="str">
        <x:v>envelope</x:v>
      </x:c>
      <x:c r="E247" t="str">
        <x:v>envelope 20</x:v>
      </x:c>
      <x:c r="F247" t="n">
        <x:f>Controls!$D$41</x:f>
        <x:v>1</x:v>
      </x:c>
      <x:c r="G247" t="n">
        <x:v>1</x:v>
      </x:c>
      <x:c r="H247" t="str">
        <x:v>RAW design authority</x:v>
      </x:c>
      <x:c r="I247" t="str">
        <x:f>IF(F247=1,"PASS","GAP")</x:f>
        <x:v>PASS</x:v>
      </x:c>
    </x:row>
    <x:row r="248">
      <x:c r="B248" t="str">
        <x:v>PL-0242</x:v>
      </x:c>
      <x:c r="C248" t="str">
        <x:v>PLANNING</x:v>
      </x:c>
      <x:c r="D248" t="str">
        <x:v>envelope</x:v>
      </x:c>
      <x:c r="E248" t="str">
        <x:v>envelope 21</x:v>
      </x:c>
      <x:c r="F248" t="n">
        <x:f>Controls!$D$41</x:f>
        <x:v>1</x:v>
      </x:c>
      <x:c r="G248" t="n">
        <x:v>1</x:v>
      </x:c>
      <x:c r="H248" t="str">
        <x:v>RAW design authority</x:v>
      </x:c>
      <x:c r="I248" t="str">
        <x:f>IF(F248=1,"PASS","GAP")</x:f>
        <x:v>PASS</x:v>
      </x:c>
    </x:row>
    <x:row r="249">
      <x:c r="B249" t="str">
        <x:v>PL-0243</x:v>
      </x:c>
      <x:c r="C249" t="str">
        <x:v>PLANNING</x:v>
      </x:c>
      <x:c r="D249" t="str">
        <x:v>envelope</x:v>
      </x:c>
      <x:c r="E249" t="str">
        <x:v>envelope 22</x:v>
      </x:c>
      <x:c r="F249" t="n">
        <x:f>Controls!$D$41</x:f>
        <x:v>1</x:v>
      </x:c>
      <x:c r="G249" t="n">
        <x:v>1</x:v>
      </x:c>
      <x:c r="H249" t="str">
        <x:v>RAW design authority</x:v>
      </x:c>
      <x:c r="I249" t="str">
        <x:f>IF(F249=1,"PASS","GAP")</x:f>
        <x:v>PASS</x:v>
      </x:c>
    </x:row>
    <x:row r="250">
      <x:c r="B250" t="str">
        <x:v>PL-0244</x:v>
      </x:c>
      <x:c r="C250" t="str">
        <x:v>PLANNING</x:v>
      </x:c>
      <x:c r="D250" t="str">
        <x:v>envelope</x:v>
      </x:c>
      <x:c r="E250" t="str">
        <x:v>envelope 23</x:v>
      </x:c>
      <x:c r="F250" t="n">
        <x:f>Controls!$D$41</x:f>
        <x:v>1</x:v>
      </x:c>
      <x:c r="G250" t="n">
        <x:v>1</x:v>
      </x:c>
      <x:c r="H250" t="str">
        <x:v>RAW design authority</x:v>
      </x:c>
      <x:c r="I250" t="str">
        <x:f>IF(F250=1,"PASS","GAP")</x:f>
        <x:v>PASS</x:v>
      </x:c>
    </x:row>
    <x:row r="251">
      <x:c r="B251" t="str">
        <x:v>PL-0245</x:v>
      </x:c>
      <x:c r="C251" t="str">
        <x:v>PLANNING</x:v>
      </x:c>
      <x:c r="D251" t="str">
        <x:v>envelope</x:v>
      </x:c>
      <x:c r="E251" t="str">
        <x:v>envelope 24</x:v>
      </x:c>
      <x:c r="F251" t="n">
        <x:f>Controls!$D$41</x:f>
        <x:v>1</x:v>
      </x:c>
      <x:c r="G251" t="n">
        <x:v>1</x:v>
      </x:c>
      <x:c r="H251" t="str">
        <x:v>RAW design authority</x:v>
      </x:c>
      <x:c r="I251" t="str">
        <x:f>IF(F251=1,"PASS","GAP")</x:f>
        <x:v>PASS</x:v>
      </x:c>
    </x:row>
    <x:row r="252">
      <x:c r="B252" t="str">
        <x:v>PL-0246</x:v>
      </x:c>
      <x:c r="C252" t="str">
        <x:v>PLANNING</x:v>
      </x:c>
      <x:c r="D252" t="str">
        <x:v>envelope</x:v>
      </x:c>
      <x:c r="E252" t="str">
        <x:v>envelope 25</x:v>
      </x:c>
      <x:c r="F252" t="n">
        <x:f>Controls!$D$41</x:f>
        <x:v>1</x:v>
      </x:c>
      <x:c r="G252" t="n">
        <x:v>1</x:v>
      </x:c>
      <x:c r="H252" t="str">
        <x:v>RAW design authority</x:v>
      </x:c>
      <x:c r="I252" t="str">
        <x:f>IF(F252=1,"PASS","GAP")</x:f>
        <x:v>PASS</x:v>
      </x:c>
    </x:row>
    <x:row r="253">
      <x:c r="B253" t="str">
        <x:v>PL-0247</x:v>
      </x:c>
      <x:c r="C253" t="str">
        <x:v>PLANNING</x:v>
      </x:c>
      <x:c r="D253" t="str">
        <x:v>envelope</x:v>
      </x:c>
      <x:c r="E253" t="str">
        <x:v>envelope 26</x:v>
      </x:c>
      <x:c r="F253" t="n">
        <x:f>Controls!$D$41</x:f>
        <x:v>1</x:v>
      </x:c>
      <x:c r="G253" t="n">
        <x:v>1</x:v>
      </x:c>
      <x:c r="H253" t="str">
        <x:v>RAW design authority</x:v>
      </x:c>
      <x:c r="I253" t="str">
        <x:f>IF(F253=1,"PASS","GAP")</x:f>
        <x:v>PASS</x:v>
      </x:c>
    </x:row>
    <x:row r="254">
      <x:c r="B254" t="str">
        <x:v>PL-0248</x:v>
      </x:c>
      <x:c r="C254" t="str">
        <x:v>PLANNING</x:v>
      </x:c>
      <x:c r="D254" t="str">
        <x:v>envelope</x:v>
      </x:c>
      <x:c r="E254" t="str">
        <x:v>envelope 27</x:v>
      </x:c>
      <x:c r="F254" t="n">
        <x:f>Controls!$D$41</x:f>
        <x:v>1</x:v>
      </x:c>
      <x:c r="G254" t="n">
        <x:v>1</x:v>
      </x:c>
      <x:c r="H254" t="str">
        <x:v>RAW design authority</x:v>
      </x:c>
      <x:c r="I254" t="str">
        <x:f>IF(F254=1,"PASS","GAP")</x:f>
        <x:v>PASS</x:v>
      </x:c>
    </x:row>
    <x:row r="255">
      <x:c r="B255" t="str">
        <x:v>PL-0249</x:v>
      </x:c>
      <x:c r="C255" t="str">
        <x:v>PLANNING</x:v>
      </x:c>
      <x:c r="D255" t="str">
        <x:v>envelope</x:v>
      </x:c>
      <x:c r="E255" t="str">
        <x:v>envelope 28</x:v>
      </x:c>
      <x:c r="F255" t="n">
        <x:f>Controls!$D$41</x:f>
        <x:v>1</x:v>
      </x:c>
      <x:c r="G255" t="n">
        <x:v>1</x:v>
      </x:c>
      <x:c r="H255" t="str">
        <x:v>RAW design authority</x:v>
      </x:c>
      <x:c r="I255" t="str">
        <x:f>IF(F255=1,"PASS","GAP")</x:f>
        <x:v>PASS</x:v>
      </x:c>
    </x:row>
    <x:row r="256">
      <x:c r="B256" t="str">
        <x:v>PL-0250</x:v>
      </x:c>
      <x:c r="C256" t="str">
        <x:v>PLANNING</x:v>
      </x:c>
      <x:c r="D256" t="str">
        <x:v>envelope</x:v>
      </x:c>
      <x:c r="E256" t="str">
        <x:v>envelope 29</x:v>
      </x:c>
      <x:c r="F256" t="n">
        <x:f>Controls!$D$41</x:f>
        <x:v>1</x:v>
      </x:c>
      <x:c r="G256" t="n">
        <x:v>1</x:v>
      </x:c>
      <x:c r="H256" t="str">
        <x:v>RAW design authority</x:v>
      </x:c>
      <x:c r="I256" t="str">
        <x:f>IF(F256=1,"PASS","GAP")</x:f>
        <x:v>PASS</x:v>
      </x:c>
    </x:row>
    <x:row r="257">
      <x:c r="B257" t="str">
        <x:v>PL-0251</x:v>
      </x:c>
      <x:c r="C257" t="str">
        <x:v>PLANNING</x:v>
      </x:c>
      <x:c r="D257" t="str">
        <x:v>envelope</x:v>
      </x:c>
      <x:c r="E257" t="str">
        <x:v>envelope 30</x:v>
      </x:c>
      <x:c r="F257" t="n">
        <x:f>Controls!$D$41</x:f>
        <x:v>1</x:v>
      </x:c>
      <x:c r="G257" t="n">
        <x:v>1</x:v>
      </x:c>
      <x:c r="H257" t="str">
        <x:v>RAW design authority</x:v>
      </x:c>
      <x:c r="I257" t="str">
        <x:f>IF(F257=1,"PASS","GAP")</x:f>
        <x:v>PASS</x:v>
      </x:c>
    </x:row>
    <x:row r="258">
      <x:c r="B258" t="str">
        <x:v>PL-0252</x:v>
      </x:c>
      <x:c r="C258" t="str">
        <x:v>PLANNING</x:v>
      </x:c>
      <x:c r="D258" t="str">
        <x:v>trial</x:v>
      </x:c>
      <x:c r="E258" t="str">
        <x:v>trial 1</x:v>
      </x:c>
      <x:c r="F258" t="n">
        <x:f>Controls!$D$41</x:f>
        <x:v>1</x:v>
      </x:c>
      <x:c r="G258" t="n">
        <x:v>1</x:v>
      </x:c>
      <x:c r="H258" t="str">
        <x:v>RAW design authority</x:v>
      </x:c>
      <x:c r="I258" t="str">
        <x:f>IF(F258=1,"PASS","GAP")</x:f>
        <x:v>PASS</x:v>
      </x:c>
    </x:row>
    <x:row r="259">
      <x:c r="B259" t="str">
        <x:v>PL-0253</x:v>
      </x:c>
      <x:c r="C259" t="str">
        <x:v>PLANNING</x:v>
      </x:c>
      <x:c r="D259" t="str">
        <x:v>trial</x:v>
      </x:c>
      <x:c r="E259" t="str">
        <x:v>trial 2</x:v>
      </x:c>
      <x:c r="F259" t="n">
        <x:f>Controls!$D$41</x:f>
        <x:v>1</x:v>
      </x:c>
      <x:c r="G259" t="n">
        <x:v>1</x:v>
      </x:c>
      <x:c r="H259" t="str">
        <x:v>RAW design authority</x:v>
      </x:c>
      <x:c r="I259" t="str">
        <x:f>IF(F259=1,"PASS","GAP")</x:f>
        <x:v>PASS</x:v>
      </x:c>
    </x:row>
    <x:row r="260">
      <x:c r="B260" t="str">
        <x:v>PL-0254</x:v>
      </x:c>
      <x:c r="C260" t="str">
        <x:v>PLANNING</x:v>
      </x:c>
      <x:c r="D260" t="str">
        <x:v>trial</x:v>
      </x:c>
      <x:c r="E260" t="str">
        <x:v>trial 3</x:v>
      </x:c>
      <x:c r="F260" t="n">
        <x:f>Controls!$D$41</x:f>
        <x:v>1</x:v>
      </x:c>
      <x:c r="G260" t="n">
        <x:v>1</x:v>
      </x:c>
      <x:c r="H260" t="str">
        <x:v>RAW design authority</x:v>
      </x:c>
      <x:c r="I260" t="str">
        <x:f>IF(F260=1,"PASS","GAP")</x:f>
        <x:v>PASS</x:v>
      </x:c>
    </x:row>
    <x:row r="261">
      <x:c r="B261" t="str">
        <x:v>PL-0255</x:v>
      </x:c>
      <x:c r="C261" t="str">
        <x:v>PLANNING</x:v>
      </x:c>
      <x:c r="D261" t="str">
        <x:v>trial</x:v>
      </x:c>
      <x:c r="E261" t="str">
        <x:v>trial 4</x:v>
      </x:c>
      <x:c r="F261" t="n">
        <x:f>Controls!$D$41</x:f>
        <x:v>1</x:v>
      </x:c>
      <x:c r="G261" t="n">
        <x:v>1</x:v>
      </x:c>
      <x:c r="H261" t="str">
        <x:v>RAW design authority</x:v>
      </x:c>
      <x:c r="I261" t="str">
        <x:f>IF(F261=1,"PASS","GAP")</x:f>
        <x:v>PASS</x:v>
      </x:c>
    </x:row>
    <x:row r="262">
      <x:c r="B262" t="str">
        <x:v>PL-0256</x:v>
      </x:c>
      <x:c r="C262" t="str">
        <x:v>PLANNING</x:v>
      </x:c>
      <x:c r="D262" t="str">
        <x:v>trial</x:v>
      </x:c>
      <x:c r="E262" t="str">
        <x:v>trial 5</x:v>
      </x:c>
      <x:c r="F262" t="n">
        <x:f>Controls!$D$41</x:f>
        <x:v>1</x:v>
      </x:c>
      <x:c r="G262" t="n">
        <x:v>1</x:v>
      </x:c>
      <x:c r="H262" t="str">
        <x:v>RAW design authority</x:v>
      </x:c>
      <x:c r="I262" t="str">
        <x:f>IF(F262=1,"PASS","GAP")</x:f>
        <x:v>PASS</x:v>
      </x:c>
    </x:row>
    <x:row r="263">
      <x:c r="B263" t="str">
        <x:v>PL-0257</x:v>
      </x:c>
      <x:c r="C263" t="str">
        <x:v>PLANNING</x:v>
      </x:c>
      <x:c r="D263" t="str">
        <x:v>trial</x:v>
      </x:c>
      <x:c r="E263" t="str">
        <x:v>trial 6</x:v>
      </x:c>
      <x:c r="F263" t="n">
        <x:f>Controls!$D$41</x:f>
        <x:v>1</x:v>
      </x:c>
      <x:c r="G263" t="n">
        <x:v>1</x:v>
      </x:c>
      <x:c r="H263" t="str">
        <x:v>RAW design authority</x:v>
      </x:c>
      <x:c r="I263" t="str">
        <x:f>IF(F263=1,"PASS","GAP")</x:f>
        <x:v>PASS</x:v>
      </x:c>
    </x:row>
    <x:row r="264">
      <x:c r="B264" t="str">
        <x:v>PL-0258</x:v>
      </x:c>
      <x:c r="C264" t="str">
        <x:v>PLANNING</x:v>
      </x:c>
      <x:c r="D264" t="str">
        <x:v>trial</x:v>
      </x:c>
      <x:c r="E264" t="str">
        <x:v>trial 7</x:v>
      </x:c>
      <x:c r="F264" t="n">
        <x:f>Controls!$D$41</x:f>
        <x:v>1</x:v>
      </x:c>
      <x:c r="G264" t="n">
        <x:v>1</x:v>
      </x:c>
      <x:c r="H264" t="str">
        <x:v>RAW design authority</x:v>
      </x:c>
      <x:c r="I264" t="str">
        <x:f>IF(F264=1,"PASS","GAP")</x:f>
        <x:v>PASS</x:v>
      </x:c>
    </x:row>
    <x:row r="265">
      <x:c r="B265" t="str">
        <x:v>PL-0259</x:v>
      </x:c>
      <x:c r="C265" t="str">
        <x:v>PLANNING</x:v>
      </x:c>
      <x:c r="D265" t="str">
        <x:v>trial</x:v>
      </x:c>
      <x:c r="E265" t="str">
        <x:v>trial 8</x:v>
      </x:c>
      <x:c r="F265" t="n">
        <x:f>Controls!$D$41</x:f>
        <x:v>1</x:v>
      </x:c>
      <x:c r="G265" t="n">
        <x:v>1</x:v>
      </x:c>
      <x:c r="H265" t="str">
        <x:v>RAW design authority</x:v>
      </x:c>
      <x:c r="I265" t="str">
        <x:f>IF(F265=1,"PASS","GAP")</x:f>
        <x:v>PASS</x:v>
      </x:c>
    </x:row>
    <x:row r="266">
      <x:c r="B266" t="str">
        <x:v>PL-0260</x:v>
      </x:c>
      <x:c r="C266" t="str">
        <x:v>PLANNING</x:v>
      </x:c>
      <x:c r="D266" t="str">
        <x:v>trial</x:v>
      </x:c>
      <x:c r="E266" t="str">
        <x:v>trial 9</x:v>
      </x:c>
      <x:c r="F266" t="n">
        <x:f>Controls!$D$41</x:f>
        <x:v>1</x:v>
      </x:c>
      <x:c r="G266" t="n">
        <x:v>1</x:v>
      </x:c>
      <x:c r="H266" t="str">
        <x:v>RAW design authority</x:v>
      </x:c>
      <x:c r="I266" t="str">
        <x:f>IF(F266=1,"PASS","GAP")</x:f>
        <x:v>PASS</x:v>
      </x:c>
    </x:row>
    <x:row r="267">
      <x:c r="B267" t="str">
        <x:v>PL-0261</x:v>
      </x:c>
      <x:c r="C267" t="str">
        <x:v>PLANNING</x:v>
      </x:c>
      <x:c r="D267" t="str">
        <x:v>trial</x:v>
      </x:c>
      <x:c r="E267" t="str">
        <x:v>trial 10</x:v>
      </x:c>
      <x:c r="F267" t="n">
        <x:f>Controls!$D$41</x:f>
        <x:v>1</x:v>
      </x:c>
      <x:c r="G267" t="n">
        <x:v>1</x:v>
      </x:c>
      <x:c r="H267" t="str">
        <x:v>RAW design authority</x:v>
      </x:c>
      <x:c r="I267" t="str">
        <x:f>IF(F267=1,"PASS","GAP")</x:f>
        <x:v>PASS</x:v>
      </x:c>
    </x:row>
    <x:row r="268">
      <x:c r="B268" t="str">
        <x:v>PL-0262</x:v>
      </x:c>
      <x:c r="C268" t="str">
        <x:v>PLANNING</x:v>
      </x:c>
      <x:c r="D268" t="str">
        <x:v>trial</x:v>
      </x:c>
      <x:c r="E268" t="str">
        <x:v>trial 11</x:v>
      </x:c>
      <x:c r="F268" t="n">
        <x:f>Controls!$D$41</x:f>
        <x:v>1</x:v>
      </x:c>
      <x:c r="G268" t="n">
        <x:v>1</x:v>
      </x:c>
      <x:c r="H268" t="str">
        <x:v>RAW design authority</x:v>
      </x:c>
      <x:c r="I268" t="str">
        <x:f>IF(F268=1,"PASS","GAP")</x:f>
        <x:v>PASS</x:v>
      </x:c>
    </x:row>
    <x:row r="269">
      <x:c r="B269" t="str">
        <x:v>PL-0263</x:v>
      </x:c>
      <x:c r="C269" t="str">
        <x:v>PLANNING</x:v>
      </x:c>
      <x:c r="D269" t="str">
        <x:v>trial</x:v>
      </x:c>
      <x:c r="E269" t="str">
        <x:v>trial 12</x:v>
      </x:c>
      <x:c r="F269" t="n">
        <x:f>Controls!$D$41</x:f>
        <x:v>1</x:v>
      </x:c>
      <x:c r="G269" t="n">
        <x:v>1</x:v>
      </x:c>
      <x:c r="H269" t="str">
        <x:v>RAW design authority</x:v>
      </x:c>
      <x:c r="I269" t="str">
        <x:f>IF(F269=1,"PASS","GAP")</x:f>
        <x:v>PASS</x:v>
      </x:c>
    </x:row>
    <x:row r="270">
      <x:c r="B270" t="str">
        <x:v>PL-0264</x:v>
      </x:c>
      <x:c r="C270" t="str">
        <x:v>PLANNING</x:v>
      </x:c>
      <x:c r="D270" t="str">
        <x:v>trial</x:v>
      </x:c>
      <x:c r="E270" t="str">
        <x:v>trial 13</x:v>
      </x:c>
      <x:c r="F270" t="n">
        <x:f>Controls!$D$41</x:f>
        <x:v>1</x:v>
      </x:c>
      <x:c r="G270" t="n">
        <x:v>1</x:v>
      </x:c>
      <x:c r="H270" t="str">
        <x:v>RAW design authority</x:v>
      </x:c>
      <x:c r="I270" t="str">
        <x:f>IF(F270=1,"PASS","GAP")</x:f>
        <x:v>PASS</x:v>
      </x:c>
    </x:row>
    <x:row r="271">
      <x:c r="B271" t="str">
        <x:v>PL-0265</x:v>
      </x:c>
      <x:c r="C271" t="str">
        <x:v>PLANNING</x:v>
      </x:c>
      <x:c r="D271" t="str">
        <x:v>trial</x:v>
      </x:c>
      <x:c r="E271" t="str">
        <x:v>trial 14</x:v>
      </x:c>
      <x:c r="F271" t="n">
        <x:f>Controls!$D$41</x:f>
        <x:v>1</x:v>
      </x:c>
      <x:c r="G271" t="n">
        <x:v>1</x:v>
      </x:c>
      <x:c r="H271" t="str">
        <x:v>RAW design authority</x:v>
      </x:c>
      <x:c r="I271" t="str">
        <x:f>IF(F271=1,"PASS","GAP")</x:f>
        <x:v>PASS</x:v>
      </x:c>
    </x:row>
    <x:row r="272">
      <x:c r="B272" t="str">
        <x:v>PL-0266</x:v>
      </x:c>
      <x:c r="C272" t="str">
        <x:v>PLANNING</x:v>
      </x:c>
      <x:c r="D272" t="str">
        <x:v>trial</x:v>
      </x:c>
      <x:c r="E272" t="str">
        <x:v>trial 15</x:v>
      </x:c>
      <x:c r="F272" t="n">
        <x:f>Controls!$D$41</x:f>
        <x:v>1</x:v>
      </x:c>
      <x:c r="G272" t="n">
        <x:v>1</x:v>
      </x:c>
      <x:c r="H272" t="str">
        <x:v>RAW design authority</x:v>
      </x:c>
      <x:c r="I272" t="str">
        <x:f>IF(F272=1,"PASS","GAP")</x:f>
        <x:v>PASS</x:v>
      </x:c>
    </x:row>
    <x:row r="273">
      <x:c r="B273" t="str">
        <x:v>PL-0267</x:v>
      </x:c>
      <x:c r="C273" t="str">
        <x:v>PLANNING</x:v>
      </x:c>
      <x:c r="D273" t="str">
        <x:v>trial</x:v>
      </x:c>
      <x:c r="E273" t="str">
        <x:v>trial 16</x:v>
      </x:c>
      <x:c r="F273" t="n">
        <x:f>Controls!$D$41</x:f>
        <x:v>1</x:v>
      </x:c>
      <x:c r="G273" t="n">
        <x:v>1</x:v>
      </x:c>
      <x:c r="H273" t="str">
        <x:v>RAW design authority</x:v>
      </x:c>
      <x:c r="I273" t="str">
        <x:f>IF(F273=1,"PASS","GAP")</x:f>
        <x:v>PASS</x:v>
      </x:c>
    </x:row>
    <x:row r="274">
      <x:c r="B274" t="str">
        <x:v>PL-0268</x:v>
      </x:c>
      <x:c r="C274" t="str">
        <x:v>PLANNING</x:v>
      </x:c>
      <x:c r="D274" t="str">
        <x:v>trial</x:v>
      </x:c>
      <x:c r="E274" t="str">
        <x:v>trial 17</x:v>
      </x:c>
      <x:c r="F274" t="n">
        <x:f>Controls!$D$41</x:f>
        <x:v>1</x:v>
      </x:c>
      <x:c r="G274" t="n">
        <x:v>1</x:v>
      </x:c>
      <x:c r="H274" t="str">
        <x:v>RAW design authority</x:v>
      </x:c>
      <x:c r="I274" t="str">
        <x:f>IF(F274=1,"PASS","GAP")</x:f>
        <x:v>PASS</x:v>
      </x:c>
    </x:row>
    <x:row r="275">
      <x:c r="B275" t="str">
        <x:v>PL-0269</x:v>
      </x:c>
      <x:c r="C275" t="str">
        <x:v>PLANNING</x:v>
      </x:c>
      <x:c r="D275" t="str">
        <x:v>trial</x:v>
      </x:c>
      <x:c r="E275" t="str">
        <x:v>trial 18</x:v>
      </x:c>
      <x:c r="F275" t="n">
        <x:f>Controls!$D$41</x:f>
        <x:v>1</x:v>
      </x:c>
      <x:c r="G275" t="n">
        <x:v>1</x:v>
      </x:c>
      <x:c r="H275" t="str">
        <x:v>RAW design authority</x:v>
      </x:c>
      <x:c r="I275" t="str">
        <x:f>IF(F275=1,"PASS","GAP")</x:f>
        <x:v>PASS</x:v>
      </x:c>
    </x:row>
    <x:row r="276">
      <x:c r="B276" t="str">
        <x:v>PL-0270</x:v>
      </x:c>
      <x:c r="C276" t="str">
        <x:v>PLANNING</x:v>
      </x:c>
      <x:c r="D276" t="str">
        <x:v>trial</x:v>
      </x:c>
      <x:c r="E276" t="str">
        <x:v>trial 19</x:v>
      </x:c>
      <x:c r="F276" t="n">
        <x:f>Controls!$D$41</x:f>
        <x:v>1</x:v>
      </x:c>
      <x:c r="G276" t="n">
        <x:v>1</x:v>
      </x:c>
      <x:c r="H276" t="str">
        <x:v>RAW design authority</x:v>
      </x:c>
      <x:c r="I276" t="str">
        <x:f>IF(F276=1,"PASS","GAP")</x:f>
        <x:v>PASS</x:v>
      </x:c>
    </x:row>
    <x:row r="277">
      <x:c r="B277" t="str">
        <x:v>PL-0271</x:v>
      </x:c>
      <x:c r="C277" t="str">
        <x:v>PLANNING</x:v>
      </x:c>
      <x:c r="D277" t="str">
        <x:v>trial</x:v>
      </x:c>
      <x:c r="E277" t="str">
        <x:v>trial 20</x:v>
      </x:c>
      <x:c r="F277" t="n">
        <x:f>Controls!$D$41</x:f>
        <x:v>1</x:v>
      </x:c>
      <x:c r="G277" t="n">
        <x:v>1</x:v>
      </x:c>
      <x:c r="H277" t="str">
        <x:v>RAW design authority</x:v>
      </x:c>
      <x:c r="I277" t="str">
        <x:f>IF(F277=1,"PASS","GAP")</x:f>
        <x:v>PASS</x:v>
      </x:c>
    </x:row>
    <x:row r="278">
      <x:c r="B278" t="str">
        <x:v>PL-0272</x:v>
      </x:c>
      <x:c r="C278" t="str">
        <x:v>PLANNING</x:v>
      </x:c>
      <x:c r="D278" t="str">
        <x:v>trial</x:v>
      </x:c>
      <x:c r="E278" t="str">
        <x:v>trial 21</x:v>
      </x:c>
      <x:c r="F278" t="n">
        <x:f>Controls!$D$41</x:f>
        <x:v>1</x:v>
      </x:c>
      <x:c r="G278" t="n">
        <x:v>1</x:v>
      </x:c>
      <x:c r="H278" t="str">
        <x:v>RAW design authority</x:v>
      </x:c>
      <x:c r="I278" t="str">
        <x:f>IF(F278=1,"PASS","GAP")</x:f>
        <x:v>PASS</x:v>
      </x:c>
    </x:row>
    <x:row r="279">
      <x:c r="B279" t="str">
        <x:v>PL-0273</x:v>
      </x:c>
      <x:c r="C279" t="str">
        <x:v>PLANNING</x:v>
      </x:c>
      <x:c r="D279" t="str">
        <x:v>trial</x:v>
      </x:c>
      <x:c r="E279" t="str">
        <x:v>trial 22</x:v>
      </x:c>
      <x:c r="F279" t="n">
        <x:f>Controls!$D$41</x:f>
        <x:v>1</x:v>
      </x:c>
      <x:c r="G279" t="n">
        <x:v>1</x:v>
      </x:c>
      <x:c r="H279" t="str">
        <x:v>RAW design authority</x:v>
      </x:c>
      <x:c r="I279" t="str">
        <x:f>IF(F279=1,"PASS","GAP")</x:f>
        <x:v>PASS</x:v>
      </x:c>
    </x:row>
    <x:row r="280">
      <x:c r="B280" t="str">
        <x:v>PL-0274</x:v>
      </x:c>
      <x:c r="C280" t="str">
        <x:v>PLANNING</x:v>
      </x:c>
      <x:c r="D280" t="str">
        <x:v>trial</x:v>
      </x:c>
      <x:c r="E280" t="str">
        <x:v>trial 23</x:v>
      </x:c>
      <x:c r="F280" t="n">
        <x:f>Controls!$D$41</x:f>
        <x:v>1</x:v>
      </x:c>
      <x:c r="G280" t="n">
        <x:v>1</x:v>
      </x:c>
      <x:c r="H280" t="str">
        <x:v>RAW design authority</x:v>
      </x:c>
      <x:c r="I280" t="str">
        <x:f>IF(F280=1,"PASS","GAP")</x:f>
        <x:v>PASS</x:v>
      </x:c>
    </x:row>
    <x:row r="281">
      <x:c r="B281" t="str">
        <x:v>PL-0275</x:v>
      </x:c>
      <x:c r="C281" t="str">
        <x:v>PLANNING</x:v>
      </x:c>
      <x:c r="D281" t="str">
        <x:v>trial</x:v>
      </x:c>
      <x:c r="E281" t="str">
        <x:v>trial 24</x:v>
      </x:c>
      <x:c r="F281" t="n">
        <x:f>Controls!$D$41</x:f>
        <x:v>1</x:v>
      </x:c>
      <x:c r="G281" t="n">
        <x:v>1</x:v>
      </x:c>
      <x:c r="H281" t="str">
        <x:v>RAW design authority</x:v>
      </x:c>
      <x:c r="I281" t="str">
        <x:f>IF(F281=1,"PASS","GAP")</x:f>
        <x:v>PASS</x:v>
      </x:c>
    </x:row>
    <x:row r="282">
      <x:c r="B282" t="str">
        <x:v>PL-0276</x:v>
      </x:c>
      <x:c r="C282" t="str">
        <x:v>PLANNING</x:v>
      </x:c>
      <x:c r="D282" t="str">
        <x:v>trial</x:v>
      </x:c>
      <x:c r="E282" t="str">
        <x:v>trial 25</x:v>
      </x:c>
      <x:c r="F282" t="n">
        <x:f>Controls!$D$41</x:f>
        <x:v>1</x:v>
      </x:c>
      <x:c r="G282" t="n">
        <x:v>1</x:v>
      </x:c>
      <x:c r="H282" t="str">
        <x:v>RAW design authority</x:v>
      </x:c>
      <x:c r="I282" t="str">
        <x:f>IF(F282=1,"PASS","GAP")</x:f>
        <x:v>PASS</x:v>
      </x:c>
    </x:row>
    <x:row r="283">
      <x:c r="B283" t="str">
        <x:v>PL-0277</x:v>
      </x:c>
      <x:c r="C283" t="str">
        <x:v>PLANNING</x:v>
      </x:c>
      <x:c r="D283" t="str">
        <x:v>trial</x:v>
      </x:c>
      <x:c r="E283" t="str">
        <x:v>trial 26</x:v>
      </x:c>
      <x:c r="F283" t="n">
        <x:f>Controls!$D$41</x:f>
        <x:v>1</x:v>
      </x:c>
      <x:c r="G283" t="n">
        <x:v>1</x:v>
      </x:c>
      <x:c r="H283" t="str">
        <x:v>RAW design authority</x:v>
      </x:c>
      <x:c r="I283" t="str">
        <x:f>IF(F283=1,"PASS","GAP")</x:f>
        <x:v>PASS</x:v>
      </x:c>
    </x:row>
    <x:row r="284">
      <x:c r="B284" t="str">
        <x:v>PL-0278</x:v>
      </x:c>
      <x:c r="C284" t="str">
        <x:v>PLANNING</x:v>
      </x:c>
      <x:c r="D284" t="str">
        <x:v>trial</x:v>
      </x:c>
      <x:c r="E284" t="str">
        <x:v>trial 27</x:v>
      </x:c>
      <x:c r="F284" t="n">
        <x:f>Controls!$D$41</x:f>
        <x:v>1</x:v>
      </x:c>
      <x:c r="G284" t="n">
        <x:v>1</x:v>
      </x:c>
      <x:c r="H284" t="str">
        <x:v>RAW design authority</x:v>
      </x:c>
      <x:c r="I284" t="str">
        <x:f>IF(F284=1,"PASS","GAP")</x:f>
        <x:v>PASS</x:v>
      </x:c>
    </x:row>
    <x:row r="285">
      <x:c r="B285" t="str">
        <x:v>PL-0279</x:v>
      </x:c>
      <x:c r="C285" t="str">
        <x:v>PLANNING</x:v>
      </x:c>
      <x:c r="D285" t="str">
        <x:v>trial</x:v>
      </x:c>
      <x:c r="E285" t="str">
        <x:v>trial 28</x:v>
      </x:c>
      <x:c r="F285" t="n">
        <x:f>Controls!$D$41</x:f>
        <x:v>1</x:v>
      </x:c>
      <x:c r="G285" t="n">
        <x:v>1</x:v>
      </x:c>
      <x:c r="H285" t="str">
        <x:v>RAW design authority</x:v>
      </x:c>
      <x:c r="I285" t="str">
        <x:f>IF(F285=1,"PASS","GAP")</x:f>
        <x:v>PASS</x:v>
      </x:c>
    </x:row>
    <x:row r="286">
      <x:c r="B286" t="str">
        <x:v>PL-0280</x:v>
      </x:c>
      <x:c r="C286" t="str">
        <x:v>PLANNING</x:v>
      </x:c>
      <x:c r="D286" t="str">
        <x:v>trial</x:v>
      </x:c>
      <x:c r="E286" t="str">
        <x:v>trial 29</x:v>
      </x:c>
      <x:c r="F286" t="n">
        <x:f>Controls!$D$41</x:f>
        <x:v>1</x:v>
      </x:c>
      <x:c r="G286" t="n">
        <x:v>1</x:v>
      </x:c>
      <x:c r="H286" t="str">
        <x:v>RAW design authority</x:v>
      </x:c>
      <x:c r="I286" t="str">
        <x:f>IF(F286=1,"PASS","GAP")</x:f>
        <x:v>PASS</x:v>
      </x:c>
    </x:row>
    <x:row r="287">
      <x:c r="B287" t="str">
        <x:v>PL-0281</x:v>
      </x:c>
      <x:c r="C287" t="str">
        <x:v>PLANNING</x:v>
      </x:c>
      <x:c r="D287" t="str">
        <x:v>trial</x:v>
      </x:c>
      <x:c r="E287" t="str">
        <x:v>trial 30</x:v>
      </x:c>
      <x:c r="F287" t="n">
        <x:f>Controls!$D$41</x:f>
        <x:v>1</x:v>
      </x:c>
      <x:c r="G287" t="n">
        <x:v>1</x:v>
      </x:c>
      <x:c r="H287" t="str">
        <x:v>RAW design authority</x:v>
      </x:c>
      <x:c r="I287" t="str">
        <x:f>IF(F287=1,"PASS","GAP")</x:f>
        <x:v>PASS</x:v>
      </x:c>
    </x:row>
    <x:row r="288">
      <x:c r="B288" t="str">
        <x:v>PL-0282</x:v>
      </x:c>
      <x:c r="C288" t="str">
        <x:v>PLANNING</x:v>
      </x:c>
      <x:c r="D288" t="str">
        <x:v>trial</x:v>
      </x:c>
      <x:c r="E288" t="str">
        <x:v>trial 31</x:v>
      </x:c>
      <x:c r="F288" t="n">
        <x:f>Controls!$D$41</x:f>
        <x:v>1</x:v>
      </x:c>
      <x:c r="G288" t="n">
        <x:v>1</x:v>
      </x:c>
      <x:c r="H288" t="str">
        <x:v>RAW design authority</x:v>
      </x:c>
      <x:c r="I288" t="str">
        <x:f>IF(F288=1,"PASS","GAP")</x:f>
        <x:v>PASS</x:v>
      </x:c>
    </x:row>
    <x:row r="289">
      <x:c r="B289" t="str">
        <x:v>PL-0283</x:v>
      </x:c>
      <x:c r="C289" t="str">
        <x:v>PLANNING</x:v>
      </x:c>
      <x:c r="D289" t="str">
        <x:v>trial</x:v>
      </x:c>
      <x:c r="E289" t="str">
        <x:v>trial 32</x:v>
      </x:c>
      <x:c r="F289" t="n">
        <x:f>Controls!$D$41</x:f>
        <x:v>1</x:v>
      </x:c>
      <x:c r="G289" t="n">
        <x:v>1</x:v>
      </x:c>
      <x:c r="H289" t="str">
        <x:v>RAW design authority</x:v>
      </x:c>
      <x:c r="I289" t="str">
        <x:f>IF(F289=1,"PASS","GAP")</x:f>
        <x:v>PASS</x:v>
      </x:c>
    </x:row>
    <x:row r="290">
      <x:c r="B290" t="str">
        <x:v>PL-0284</x:v>
      </x:c>
      <x:c r="C290" t="str">
        <x:v>PLANNING</x:v>
      </x:c>
      <x:c r="D290" t="str">
        <x:v>trial</x:v>
      </x:c>
      <x:c r="E290" t="str">
        <x:v>trial 33</x:v>
      </x:c>
      <x:c r="F290" t="n">
        <x:f>Controls!$D$41</x:f>
        <x:v>1</x:v>
      </x:c>
      <x:c r="G290" t="n">
        <x:v>1</x:v>
      </x:c>
      <x:c r="H290" t="str">
        <x:v>RAW design authority</x:v>
      </x:c>
      <x:c r="I290" t="str">
        <x:f>IF(F290=1,"PASS","GAP")</x:f>
        <x:v>PASS</x:v>
      </x:c>
    </x:row>
    <x:row r="291">
      <x:c r="B291" t="str">
        <x:v>PL-0285</x:v>
      </x:c>
      <x:c r="C291" t="str">
        <x:v>PLANNING</x:v>
      </x:c>
      <x:c r="D291" t="str">
        <x:v>trial</x:v>
      </x:c>
      <x:c r="E291" t="str">
        <x:v>trial 34</x:v>
      </x:c>
      <x:c r="F291" t="n">
        <x:f>Controls!$D$41</x:f>
        <x:v>1</x:v>
      </x:c>
      <x:c r="G291" t="n">
        <x:v>1</x:v>
      </x:c>
      <x:c r="H291" t="str">
        <x:v>RAW design authority</x:v>
      </x:c>
      <x:c r="I291" t="str">
        <x:f>IF(F291=1,"PASS","GAP")</x:f>
        <x:v>PASS</x:v>
      </x:c>
    </x:row>
    <x:row r="292">
      <x:c r="B292" t="str">
        <x:v>PL-0286</x:v>
      </x:c>
      <x:c r="C292" t="str">
        <x:v>PLANNING</x:v>
      </x:c>
      <x:c r="D292" t="str">
        <x:v>trial</x:v>
      </x:c>
      <x:c r="E292" t="str">
        <x:v>trial 35</x:v>
      </x:c>
      <x:c r="F292" t="n">
        <x:f>Controls!$D$41</x:f>
        <x:v>1</x:v>
      </x:c>
      <x:c r="G292" t="n">
        <x:v>1</x:v>
      </x:c>
      <x:c r="H292" t="str">
        <x:v>RAW design authority</x:v>
      </x:c>
      <x:c r="I292" t="str">
        <x:f>IF(F292=1,"PASS","GAP")</x:f>
        <x:v>PASS</x:v>
      </x:c>
    </x:row>
    <x:row r="293">
      <x:c r="B293" t="str">
        <x:v>PL-0287</x:v>
      </x:c>
      <x:c r="C293" t="str">
        <x:v>PLANNING</x:v>
      </x:c>
      <x:c r="D293" t="str">
        <x:v>trial</x:v>
      </x:c>
      <x:c r="E293" t="str">
        <x:v>trial 36</x:v>
      </x:c>
      <x:c r="F293" t="n">
        <x:f>Controls!$D$41</x:f>
        <x:v>1</x:v>
      </x:c>
      <x:c r="G293" t="n">
        <x:v>1</x:v>
      </x:c>
      <x:c r="H293" t="str">
        <x:v>RAW design authority</x:v>
      </x:c>
      <x:c r="I293" t="str">
        <x:f>IF(F293=1,"PASS","GAP")</x:f>
        <x:v>PASS</x:v>
      </x:c>
    </x:row>
    <x:row r="294">
      <x:c r="B294" t="str">
        <x:v>PL-0288</x:v>
      </x:c>
      <x:c r="C294" t="str">
        <x:v>PLANNING</x:v>
      </x:c>
      <x:c r="D294" t="str">
        <x:v>trial</x:v>
      </x:c>
      <x:c r="E294" t="str">
        <x:v>trial 37</x:v>
      </x:c>
      <x:c r="F294" t="n">
        <x:f>Controls!$D$41</x:f>
        <x:v>1</x:v>
      </x:c>
      <x:c r="G294" t="n">
        <x:v>1</x:v>
      </x:c>
      <x:c r="H294" t="str">
        <x:v>RAW design authority</x:v>
      </x:c>
      <x:c r="I294" t="str">
        <x:f>IF(F294=1,"PASS","GAP")</x:f>
        <x:v>PASS</x:v>
      </x:c>
    </x:row>
    <x:row r="295">
      <x:c r="B295" t="str">
        <x:v>PL-0289</x:v>
      </x:c>
      <x:c r="C295" t="str">
        <x:v>PLANNING</x:v>
      </x:c>
      <x:c r="D295" t="str">
        <x:v>trial</x:v>
      </x:c>
      <x:c r="E295" t="str">
        <x:v>trial 38</x:v>
      </x:c>
      <x:c r="F295" t="n">
        <x:f>Controls!$D$41</x:f>
        <x:v>1</x:v>
      </x:c>
      <x:c r="G295" t="n">
        <x:v>1</x:v>
      </x:c>
      <x:c r="H295" t="str">
        <x:v>RAW design authority</x:v>
      </x:c>
      <x:c r="I295" t="str">
        <x:f>IF(F295=1,"PASS","GAP")</x:f>
        <x:v>PASS</x:v>
      </x:c>
    </x:row>
    <x:row r="296">
      <x:c r="B296" t="str">
        <x:v>PL-0290</x:v>
      </x:c>
      <x:c r="C296" t="str">
        <x:v>PLANNING</x:v>
      </x:c>
      <x:c r="D296" t="str">
        <x:v>trial</x:v>
      </x:c>
      <x:c r="E296" t="str">
        <x:v>trial 39</x:v>
      </x:c>
      <x:c r="F296" t="n">
        <x:f>Controls!$D$41</x:f>
        <x:v>1</x:v>
      </x:c>
      <x:c r="G296" t="n">
        <x:v>1</x:v>
      </x:c>
      <x:c r="H296" t="str">
        <x:v>RAW design authority</x:v>
      </x:c>
      <x:c r="I296" t="str">
        <x:f>IF(F296=1,"PASS","GAP")</x:f>
        <x:v>PASS</x:v>
      </x:c>
    </x:row>
    <x:row r="297">
      <x:c r="B297" t="str">
        <x:v>PL-0291</x:v>
      </x:c>
      <x:c r="C297" t="str">
        <x:v>PLANNING</x:v>
      </x:c>
      <x:c r="D297" t="str">
        <x:v>trial</x:v>
      </x:c>
      <x:c r="E297" t="str">
        <x:v>trial 40</x:v>
      </x:c>
      <x:c r="F297" t="n">
        <x:f>Controls!$D$41</x:f>
        <x:v>1</x:v>
      </x:c>
      <x:c r="G297" t="n">
        <x:v>1</x:v>
      </x:c>
      <x:c r="H297" t="str">
        <x:v>RAW design authority</x:v>
      </x:c>
      <x:c r="I297" t="str">
        <x:f>IF(F297=1,"PASS","GAP")</x:f>
        <x:v>PASS</x:v>
      </x:c>
    </x:row>
    <x:row r="298">
      <x:c r="B298" t="str">
        <x:v>PL-0292</x:v>
      </x:c>
      <x:c r="C298" t="str">
        <x:v>PLANNING</x:v>
      </x:c>
      <x:c r="D298" t="str">
        <x:v>trial</x:v>
      </x:c>
      <x:c r="E298" t="str">
        <x:v>trial 41</x:v>
      </x:c>
      <x:c r="F298" t="n">
        <x:f>Controls!$D$41</x:f>
        <x:v>1</x:v>
      </x:c>
      <x:c r="G298" t="n">
        <x:v>1</x:v>
      </x:c>
      <x:c r="H298" t="str">
        <x:v>RAW design authority</x:v>
      </x:c>
      <x:c r="I298" t="str">
        <x:f>IF(F298=1,"PASS","GAP")</x:f>
        <x:v>PASS</x:v>
      </x:c>
    </x:row>
    <x:row r="299">
      <x:c r="B299" t="str">
        <x:v>PL-0293</x:v>
      </x:c>
      <x:c r="C299" t="str">
        <x:v>PLANNING</x:v>
      </x:c>
      <x:c r="D299" t="str">
        <x:v>trial</x:v>
      </x:c>
      <x:c r="E299" t="str">
        <x:v>trial 42</x:v>
      </x:c>
      <x:c r="F299" t="n">
        <x:f>Controls!$D$41</x:f>
        <x:v>1</x:v>
      </x:c>
      <x:c r="G299" t="n">
        <x:v>1</x:v>
      </x:c>
      <x:c r="H299" t="str">
        <x:v>RAW design authority</x:v>
      </x:c>
      <x:c r="I299" t="str">
        <x:f>IF(F299=1,"PASS","GAP")</x:f>
        <x:v>PASS</x:v>
      </x:c>
    </x:row>
    <x:row r="300">
      <x:c r="B300" t="str">
        <x:v>PL-0294</x:v>
      </x:c>
      <x:c r="C300" t="str">
        <x:v>PLANNING</x:v>
      </x:c>
      <x:c r="D300" t="str">
        <x:v>trial</x:v>
      </x:c>
      <x:c r="E300" t="str">
        <x:v>trial 43</x:v>
      </x:c>
      <x:c r="F300" t="n">
        <x:f>Controls!$D$41</x:f>
        <x:v>1</x:v>
      </x:c>
      <x:c r="G300" t="n">
        <x:v>1</x:v>
      </x:c>
      <x:c r="H300" t="str">
        <x:v>RAW design authority</x:v>
      </x:c>
      <x:c r="I300" t="str">
        <x:f>IF(F300=1,"PASS","GAP")</x:f>
        <x:v>PASS</x:v>
      </x:c>
    </x:row>
    <x:row r="301">
      <x:c r="B301" t="str">
        <x:v>PL-0295</x:v>
      </x:c>
      <x:c r="C301" t="str">
        <x:v>PLANNING</x:v>
      </x:c>
      <x:c r="D301" t="str">
        <x:v>trial</x:v>
      </x:c>
      <x:c r="E301" t="str">
        <x:v>trial 44</x:v>
      </x:c>
      <x:c r="F301" t="n">
        <x:f>Controls!$D$41</x:f>
        <x:v>1</x:v>
      </x:c>
      <x:c r="G301" t="n">
        <x:v>1</x:v>
      </x:c>
      <x:c r="H301" t="str">
        <x:v>RAW design authority</x:v>
      </x:c>
      <x:c r="I301" t="str">
        <x:f>IF(F301=1,"PASS","GAP")</x:f>
        <x:v>PASS</x:v>
      </x:c>
    </x:row>
    <x:row r="302">
      <x:c r="B302" t="str">
        <x:v>PL-0296</x:v>
      </x:c>
      <x:c r="C302" t="str">
        <x:v>PLANNING</x:v>
      </x:c>
      <x:c r="D302" t="str">
        <x:v>trial</x:v>
      </x:c>
      <x:c r="E302" t="str">
        <x:v>trial 45</x:v>
      </x:c>
      <x:c r="F302" t="n">
        <x:f>Controls!$D$41</x:f>
        <x:v>1</x:v>
      </x:c>
      <x:c r="G302" t="n">
        <x:v>1</x:v>
      </x:c>
      <x:c r="H302" t="str">
        <x:v>RAW design authority</x:v>
      </x:c>
      <x:c r="I302" t="str">
        <x:f>IF(F302=1,"PASS","GAP")</x:f>
        <x:v>PASS</x:v>
      </x:c>
    </x:row>
    <x:row r="303">
      <x:c r="B303" t="str">
        <x:v>PL-0297</x:v>
      </x:c>
      <x:c r="C303" t="str">
        <x:v>PLANNING</x:v>
      </x:c>
      <x:c r="D303" t="str">
        <x:v>trial</x:v>
      </x:c>
      <x:c r="E303" t="str">
        <x:v>trial 46</x:v>
      </x:c>
      <x:c r="F303" t="n">
        <x:f>Controls!$D$41</x:f>
        <x:v>1</x:v>
      </x:c>
      <x:c r="G303" t="n">
        <x:v>1</x:v>
      </x:c>
      <x:c r="H303" t="str">
        <x:v>RAW design authority</x:v>
      </x:c>
      <x:c r="I303" t="str">
        <x:f>IF(F303=1,"PASS","GAP")</x:f>
        <x:v>PASS</x:v>
      </x:c>
    </x:row>
    <x:row r="304">
      <x:c r="B304" t="str">
        <x:v>PL-0298</x:v>
      </x:c>
      <x:c r="C304" t="str">
        <x:v>PLANNING</x:v>
      </x:c>
      <x:c r="D304" t="str">
        <x:v>trial</x:v>
      </x:c>
      <x:c r="E304" t="str">
        <x:v>trial 47</x:v>
      </x:c>
      <x:c r="F304" t="n">
        <x:f>Controls!$D$41</x:f>
        <x:v>1</x:v>
      </x:c>
      <x:c r="G304" t="n">
        <x:v>1</x:v>
      </x:c>
      <x:c r="H304" t="str">
        <x:v>RAW design authority</x:v>
      </x:c>
      <x:c r="I304" t="str">
        <x:f>IF(F304=1,"PASS","GAP")</x:f>
        <x:v>PASS</x:v>
      </x:c>
    </x:row>
    <x:row r="305">
      <x:c r="B305" t="str">
        <x:v>PL-0299</x:v>
      </x:c>
      <x:c r="C305" t="str">
        <x:v>PLANNING</x:v>
      </x:c>
      <x:c r="D305" t="str">
        <x:v>trial</x:v>
      </x:c>
      <x:c r="E305" t="str">
        <x:v>trial 48</x:v>
      </x:c>
      <x:c r="F305" t="n">
        <x:f>Controls!$D$41</x:f>
        <x:v>1</x:v>
      </x:c>
      <x:c r="G305" t="n">
        <x:v>1</x:v>
      </x:c>
      <x:c r="H305" t="str">
        <x:v>RAW design authority</x:v>
      </x:c>
      <x:c r="I305" t="str">
        <x:f>IF(F305=1,"PASS","GAP")</x:f>
        <x:v>PASS</x:v>
      </x:c>
    </x:row>
    <x:row r="306">
      <x:c r="B306" t="str">
        <x:v>PL-0300</x:v>
      </x:c>
      <x:c r="C306" t="str">
        <x:v>PLANNING</x:v>
      </x:c>
      <x:c r="D306" t="str">
        <x:v>trial</x:v>
      </x:c>
      <x:c r="E306" t="str">
        <x:v>trial 49</x:v>
      </x:c>
      <x:c r="F306" t="n">
        <x:f>Controls!$D$41</x:f>
        <x:v>1</x:v>
      </x:c>
      <x:c r="G306" t="n">
        <x:v>1</x:v>
      </x:c>
      <x:c r="H306" t="str">
        <x:v>RAW design authority</x:v>
      </x:c>
      <x:c r="I306" t="str">
        <x:f>IF(F306=1,"PASS","GAP")</x:f>
        <x:v>PASS</x:v>
      </x:c>
    </x:row>
    <x:row r="307">
      <x:c r="B307" t="str">
        <x:v>PL-0301</x:v>
      </x:c>
      <x:c r="C307" t="str">
        <x:v>PLANNING</x:v>
      </x:c>
      <x:c r="D307" t="str">
        <x:v>trial</x:v>
      </x:c>
      <x:c r="E307" t="str">
        <x:v>trial 50</x:v>
      </x:c>
      <x:c r="F307" t="n">
        <x:f>Controls!$D$41</x:f>
        <x:v>1</x:v>
      </x:c>
      <x:c r="G307" t="n">
        <x:v>1</x:v>
      </x:c>
      <x:c r="H307" t="str">
        <x:v>RAW design authority</x:v>
      </x:c>
      <x:c r="I307" t="str">
        <x:f>IF(F307=1,"PASS","GAP")</x:f>
        <x:v>PASS</x:v>
      </x:c>
    </x:row>
    <x:row r="308">
      <x:c r="B308" t="str">
        <x:v>PL-0302</x:v>
      </x:c>
      <x:c r="C308" t="str">
        <x:v>PLANNING</x:v>
      </x:c>
      <x:c r="D308" t="str">
        <x:v>trial</x:v>
      </x:c>
      <x:c r="E308" t="str">
        <x:v>trial 51</x:v>
      </x:c>
      <x:c r="F308" t="n">
        <x:f>Controls!$D$41</x:f>
        <x:v>1</x:v>
      </x:c>
      <x:c r="G308" t="n">
        <x:v>1</x:v>
      </x:c>
      <x:c r="H308" t="str">
        <x:v>RAW design authority</x:v>
      </x:c>
      <x:c r="I308" t="str">
        <x:f>IF(F308=1,"PASS","GAP")</x:f>
        <x:v>PASS</x:v>
      </x:c>
    </x:row>
    <x:row r="309">
      <x:c r="B309" t="str">
        <x:v>PL-0303</x:v>
      </x:c>
      <x:c r="C309" t="str">
        <x:v>PLANNING</x:v>
      </x:c>
      <x:c r="D309" t="str">
        <x:v>trial</x:v>
      </x:c>
      <x:c r="E309" t="str">
        <x:v>trial 52</x:v>
      </x:c>
      <x:c r="F309" t="n">
        <x:f>Controls!$D$41</x:f>
        <x:v>1</x:v>
      </x:c>
      <x:c r="G309" t="n">
        <x:v>1</x:v>
      </x:c>
      <x:c r="H309" t="str">
        <x:v>RAW design authority</x:v>
      </x:c>
      <x:c r="I309" t="str">
        <x:f>IF(F309=1,"PASS","GAP")</x:f>
        <x:v>PASS</x:v>
      </x:c>
    </x:row>
    <x:row r="310">
      <x:c r="B310" t="str">
        <x:v>PL-0304</x:v>
      </x:c>
      <x:c r="C310" t="str">
        <x:v>PLANNING</x:v>
      </x:c>
      <x:c r="D310" t="str">
        <x:v>trial</x:v>
      </x:c>
      <x:c r="E310" t="str">
        <x:v>trial 53</x:v>
      </x:c>
      <x:c r="F310" t="n">
        <x:f>Controls!$D$41</x:f>
        <x:v>1</x:v>
      </x:c>
      <x:c r="G310" t="n">
        <x:v>1</x:v>
      </x:c>
      <x:c r="H310" t="str">
        <x:v>RAW design authority</x:v>
      </x:c>
      <x:c r="I310" t="str">
        <x:f>IF(F310=1,"PASS","GAP")</x:f>
        <x:v>PASS</x:v>
      </x:c>
    </x:row>
    <x:row r="311">
      <x:c r="B311" t="str">
        <x:v>PL-0305</x:v>
      </x:c>
      <x:c r="C311" t="str">
        <x:v>PLANNING</x:v>
      </x:c>
      <x:c r="D311" t="str">
        <x:v>trial</x:v>
      </x:c>
      <x:c r="E311" t="str">
        <x:v>trial 54</x:v>
      </x:c>
      <x:c r="F311" t="n">
        <x:f>Controls!$D$41</x:f>
        <x:v>1</x:v>
      </x:c>
      <x:c r="G311" t="n">
        <x:v>1</x:v>
      </x:c>
      <x:c r="H311" t="str">
        <x:v>RAW design authority</x:v>
      </x:c>
      <x:c r="I311" t="str">
        <x:f>IF(F311=1,"PASS","GAP")</x:f>
        <x:v>PASS</x:v>
      </x:c>
    </x:row>
    <x:row r="312">
      <x:c r="B312" t="str">
        <x:v>PL-0306</x:v>
      </x:c>
      <x:c r="C312" t="str">
        <x:v>PLANNING</x:v>
      </x:c>
      <x:c r="D312" t="str">
        <x:v>trial</x:v>
      </x:c>
      <x:c r="E312" t="str">
        <x:v>trial 55</x:v>
      </x:c>
      <x:c r="F312" t="n">
        <x:f>Controls!$D$41</x:f>
        <x:v>1</x:v>
      </x:c>
      <x:c r="G312" t="n">
        <x:v>1</x:v>
      </x:c>
      <x:c r="H312" t="str">
        <x:v>RAW design authority</x:v>
      </x:c>
      <x:c r="I312" t="str">
        <x:f>IF(F312=1,"PASS","GAP")</x:f>
        <x:v>PASS</x:v>
      </x:c>
    </x:row>
    <x:row r="313">
      <x:c r="B313" t="str">
        <x:v>PL-0307</x:v>
      </x:c>
      <x:c r="C313" t="str">
        <x:v>PLANNING</x:v>
      </x:c>
      <x:c r="D313" t="str">
        <x:v>trial</x:v>
      </x:c>
      <x:c r="E313" t="str">
        <x:v>trial 56</x:v>
      </x:c>
      <x:c r="F313" t="n">
        <x:f>Controls!$D$41</x:f>
        <x:v>1</x:v>
      </x:c>
      <x:c r="G313" t="n">
        <x:v>1</x:v>
      </x:c>
      <x:c r="H313" t="str">
        <x:v>RAW design authority</x:v>
      </x:c>
      <x:c r="I313" t="str">
        <x:f>IF(F313=1,"PASS","GAP")</x:f>
        <x:v>PASS</x:v>
      </x:c>
    </x:row>
    <x:row r="314">
      <x:c r="B314" t="str">
        <x:v>PL-0308</x:v>
      </x:c>
      <x:c r="C314" t="str">
        <x:v>PLANNING</x:v>
      </x:c>
      <x:c r="D314" t="str">
        <x:v>trial</x:v>
      </x:c>
      <x:c r="E314" t="str">
        <x:v>trial 57</x:v>
      </x:c>
      <x:c r="F314" t="n">
        <x:f>Controls!$D$41</x:f>
        <x:v>1</x:v>
      </x:c>
      <x:c r="G314" t="n">
        <x:v>1</x:v>
      </x:c>
      <x:c r="H314" t="str">
        <x:v>RAW design authority</x:v>
      </x:c>
      <x:c r="I314" t="str">
        <x:f>IF(F314=1,"PASS","GAP")</x:f>
        <x:v>PASS</x:v>
      </x:c>
    </x:row>
    <x:row r="315">
      <x:c r="B315" t="str">
        <x:v>PL-0309</x:v>
      </x:c>
      <x:c r="C315" t="str">
        <x:v>PLANNING</x:v>
      </x:c>
      <x:c r="D315" t="str">
        <x:v>trial</x:v>
      </x:c>
      <x:c r="E315" t="str">
        <x:v>trial 58</x:v>
      </x:c>
      <x:c r="F315" t="n">
        <x:f>Controls!$D$41</x:f>
        <x:v>1</x:v>
      </x:c>
      <x:c r="G315" t="n">
        <x:v>1</x:v>
      </x:c>
      <x:c r="H315" t="str">
        <x:v>RAW design authority</x:v>
      </x:c>
      <x:c r="I315" t="str">
        <x:f>IF(F315=1,"PASS","GAP")</x:f>
        <x:v>PASS</x:v>
      </x:c>
    </x:row>
    <x:row r="316">
      <x:c r="B316" t="str">
        <x:v>PL-0310</x:v>
      </x:c>
      <x:c r="C316" t="str">
        <x:v>PLANNING</x:v>
      </x:c>
      <x:c r="D316" t="str">
        <x:v>trial</x:v>
      </x:c>
      <x:c r="E316" t="str">
        <x:v>trial 59</x:v>
      </x:c>
      <x:c r="F316" t="n">
        <x:f>Controls!$D$41</x:f>
        <x:v>1</x:v>
      </x:c>
      <x:c r="G316" t="n">
        <x:v>1</x:v>
      </x:c>
      <x:c r="H316" t="str">
        <x:v>RAW design authority</x:v>
      </x:c>
      <x:c r="I316" t="str">
        <x:f>IF(F316=1,"PASS","GAP")</x:f>
        <x:v>PASS</x:v>
      </x:c>
    </x:row>
    <x:row r="317">
      <x:c r="B317" t="str">
        <x:v>PL-0311</x:v>
      </x:c>
      <x:c r="C317" t="str">
        <x:v>PLANNING</x:v>
      </x:c>
      <x:c r="D317" t="str">
        <x:v>trial</x:v>
      </x:c>
      <x:c r="E317" t="str">
        <x:v>trial 60</x:v>
      </x:c>
      <x:c r="F317" t="n">
        <x:f>Controls!$D$41</x:f>
        <x:v>1</x:v>
      </x:c>
      <x:c r="G317" t="n">
        <x:v>1</x:v>
      </x:c>
      <x:c r="H317" t="str">
        <x:v>RAW design authority</x:v>
      </x:c>
      <x:c r="I317" t="str">
        <x:f>IF(F317=1,"PASS","GAP")</x:f>
        <x:v>PASS</x:v>
      </x:c>
    </x:row>
    <x:row r="318">
      <x:c r="B318" t="str">
        <x:v>PL-0312</x:v>
      </x:c>
      <x:c r="C318" t="str">
        <x:v>PLANNING</x:v>
      </x:c>
      <x:c r="D318" t="str">
        <x:v>trial</x:v>
      </x:c>
      <x:c r="E318" t="str">
        <x:v>trial 61</x:v>
      </x:c>
      <x:c r="F318" t="n">
        <x:f>Controls!$D$41</x:f>
        <x:v>1</x:v>
      </x:c>
      <x:c r="G318" t="n">
        <x:v>1</x:v>
      </x:c>
      <x:c r="H318" t="str">
        <x:v>RAW design authority</x:v>
      </x:c>
      <x:c r="I318" t="str">
        <x:f>IF(F318=1,"PASS","GAP")</x:f>
        <x:v>PASS</x:v>
      </x:c>
    </x:row>
    <x:row r="319">
      <x:c r="B319" t="str">
        <x:v>PL-0313</x:v>
      </x:c>
      <x:c r="C319" t="str">
        <x:v>PLANNING</x:v>
      </x:c>
      <x:c r="D319" t="str">
        <x:v>trial</x:v>
      </x:c>
      <x:c r="E319" t="str">
        <x:v>trial 62</x:v>
      </x:c>
      <x:c r="F319" t="n">
        <x:f>Controls!$D$41</x:f>
        <x:v>1</x:v>
      </x:c>
      <x:c r="G319" t="n">
        <x:v>1</x:v>
      </x:c>
      <x:c r="H319" t="str">
        <x:v>RAW design authority</x:v>
      </x:c>
      <x:c r="I319" t="str">
        <x:f>IF(F319=1,"PASS","GAP")</x:f>
        <x:v>PASS</x:v>
      </x:c>
    </x:row>
    <x:row r="320">
      <x:c r="B320" t="str">
        <x:v>PL-0314</x:v>
      </x:c>
      <x:c r="C320" t="str">
        <x:v>PLANNING</x:v>
      </x:c>
      <x:c r="D320" t="str">
        <x:v>trial</x:v>
      </x:c>
      <x:c r="E320" t="str">
        <x:v>trial 63</x:v>
      </x:c>
      <x:c r="F320" t="n">
        <x:f>Controls!$D$41</x:f>
        <x:v>1</x:v>
      </x:c>
      <x:c r="G320" t="n">
        <x:v>1</x:v>
      </x:c>
      <x:c r="H320" t="str">
        <x:v>RAW design authority</x:v>
      </x:c>
      <x:c r="I320" t="str">
        <x:f>IF(F320=1,"PASS","GAP")</x:f>
        <x:v>PASS</x:v>
      </x:c>
    </x:row>
    <x:row r="321">
      <x:c r="B321" t="str">
        <x:v>PL-0315</x:v>
      </x:c>
      <x:c r="C321" t="str">
        <x:v>PLANNING</x:v>
      </x:c>
      <x:c r="D321" t="str">
        <x:v>trial</x:v>
      </x:c>
      <x:c r="E321" t="str">
        <x:v>trial 64</x:v>
      </x:c>
      <x:c r="F321" t="n">
        <x:f>Controls!$D$41</x:f>
        <x:v>1</x:v>
      </x:c>
      <x:c r="G321" t="n">
        <x:v>1</x:v>
      </x:c>
      <x:c r="H321" t="str">
        <x:v>RAW design authority</x:v>
      </x:c>
      <x:c r="I321" t="str">
        <x:f>IF(F321=1,"PASS","GAP")</x:f>
        <x:v>PASS</x:v>
      </x:c>
    </x:row>
    <x:row r="322">
      <x:c r="B322" t="str">
        <x:v>PL-0316</x:v>
      </x:c>
      <x:c r="C322" t="str">
        <x:v>PLANNING</x:v>
      </x:c>
      <x:c r="D322" t="str">
        <x:v>trial</x:v>
      </x:c>
      <x:c r="E322" t="str">
        <x:v>trial 65</x:v>
      </x:c>
      <x:c r="F322" t="n">
        <x:f>Controls!$D$41</x:f>
        <x:v>1</x:v>
      </x:c>
      <x:c r="G322" t="n">
        <x:v>1</x:v>
      </x:c>
      <x:c r="H322" t="str">
        <x:v>RAW design authority</x:v>
      </x:c>
      <x:c r="I322" t="str">
        <x:f>IF(F322=1,"PASS","GAP")</x:f>
        <x:v>PASS</x:v>
      </x:c>
    </x:row>
    <x:row r="323">
      <x:c r="B323" t="str">
        <x:v>PL-0317</x:v>
      </x:c>
      <x:c r="C323" t="str">
        <x:v>PLANNING</x:v>
      </x:c>
      <x:c r="D323" t="str">
        <x:v>trial</x:v>
      </x:c>
      <x:c r="E323" t="str">
        <x:v>trial 66</x:v>
      </x:c>
      <x:c r="F323" t="n">
        <x:f>Controls!$D$41</x:f>
        <x:v>1</x:v>
      </x:c>
      <x:c r="G323" t="n">
        <x:v>1</x:v>
      </x:c>
      <x:c r="H323" t="str">
        <x:v>RAW design authority</x:v>
      </x:c>
      <x:c r="I323" t="str">
        <x:f>IF(F323=1,"PASS","GAP")</x:f>
        <x:v>PASS</x:v>
      </x:c>
    </x:row>
    <x:row r="324">
      <x:c r="B324" t="str">
        <x:v>PL-0318</x:v>
      </x:c>
      <x:c r="C324" t="str">
        <x:v>PLANNING</x:v>
      </x:c>
      <x:c r="D324" t="str">
        <x:v>trial</x:v>
      </x:c>
      <x:c r="E324" t="str">
        <x:v>trial 67</x:v>
      </x:c>
      <x:c r="F324" t="n">
        <x:f>Controls!$D$41</x:f>
        <x:v>1</x:v>
      </x:c>
      <x:c r="G324" t="n">
        <x:v>1</x:v>
      </x:c>
      <x:c r="H324" t="str">
        <x:v>RAW design authority</x:v>
      </x:c>
      <x:c r="I324" t="str">
        <x:f>IF(F324=1,"PASS","GAP")</x:f>
        <x:v>PASS</x:v>
      </x:c>
    </x:row>
    <x:row r="325">
      <x:c r="B325" t="str">
        <x:v>PL-0319</x:v>
      </x:c>
      <x:c r="C325" t="str">
        <x:v>PLANNING</x:v>
      </x:c>
      <x:c r="D325" t="str">
        <x:v>trial</x:v>
      </x:c>
      <x:c r="E325" t="str">
        <x:v>trial 68</x:v>
      </x:c>
      <x:c r="F325" t="n">
        <x:f>Controls!$D$41</x:f>
        <x:v>1</x:v>
      </x:c>
      <x:c r="G325" t="n">
        <x:v>1</x:v>
      </x:c>
      <x:c r="H325" t="str">
        <x:v>RAW design authority</x:v>
      </x:c>
      <x:c r="I325" t="str">
        <x:f>IF(F325=1,"PASS","GAP")</x:f>
        <x:v>PASS</x:v>
      </x:c>
    </x:row>
    <x:row r="326">
      <x:c r="B326" t="str">
        <x:v>PL-0320</x:v>
      </x:c>
      <x:c r="C326" t="str">
        <x:v>PLANNING</x:v>
      </x:c>
      <x:c r="D326" t="str">
        <x:v>trial</x:v>
      </x:c>
      <x:c r="E326" t="str">
        <x:v>trial 69</x:v>
      </x:c>
      <x:c r="F326" t="n">
        <x:f>Controls!$D$41</x:f>
        <x:v>1</x:v>
      </x:c>
      <x:c r="G326" t="n">
        <x:v>1</x:v>
      </x:c>
      <x:c r="H326" t="str">
        <x:v>RAW design authority</x:v>
      </x:c>
      <x:c r="I326" t="str">
        <x:f>IF(F326=1,"PASS","GAP")</x:f>
        <x:v>PASS</x:v>
      </x:c>
    </x:row>
    <x:row r="327">
      <x:c r="B327" t="str">
        <x:v>PL-0321</x:v>
      </x:c>
      <x:c r="C327" t="str">
        <x:v>PLANNING</x:v>
      </x:c>
      <x:c r="D327" t="str">
        <x:v>trial</x:v>
      </x:c>
      <x:c r="E327" t="str">
        <x:v>trial 70</x:v>
      </x:c>
      <x:c r="F327" t="n">
        <x:f>Controls!$D$41</x:f>
        <x:v>1</x:v>
      </x:c>
      <x:c r="G327" t="n">
        <x:v>1</x:v>
      </x:c>
      <x:c r="H327" t="str">
        <x:v>RAW design authority</x:v>
      </x:c>
      <x:c r="I327" t="str">
        <x:f>IF(F327=1,"PASS","GAP")</x:f>
        <x:v>PASS</x:v>
      </x:c>
    </x:row>
    <x:row r="328">
      <x:c r="B328" t="str">
        <x:v>PL-0322</x:v>
      </x:c>
      <x:c r="C328" t="str">
        <x:v>PLANNING</x:v>
      </x:c>
      <x:c r="D328" t="str">
        <x:v>trial</x:v>
      </x:c>
      <x:c r="E328" t="str">
        <x:v>trial 71</x:v>
      </x:c>
      <x:c r="F328" t="n">
        <x:f>Controls!$D$41</x:f>
        <x:v>1</x:v>
      </x:c>
      <x:c r="G328" t="n">
        <x:v>1</x:v>
      </x:c>
      <x:c r="H328" t="str">
        <x:v>RAW design authority</x:v>
      </x:c>
      <x:c r="I328" t="str">
        <x:f>IF(F328=1,"PASS","GAP")</x:f>
        <x:v>PASS</x:v>
      </x:c>
    </x:row>
    <x:row r="329">
      <x:c r="B329" t="str">
        <x:v>PL-0323</x:v>
      </x:c>
      <x:c r="C329" t="str">
        <x:v>PLANNING</x:v>
      </x:c>
      <x:c r="D329" t="str">
        <x:v>trial</x:v>
      </x:c>
      <x:c r="E329" t="str">
        <x:v>trial 72</x:v>
      </x:c>
      <x:c r="F329" t="n">
        <x:f>Controls!$D$41</x:f>
        <x:v>1</x:v>
      </x:c>
      <x:c r="G329" t="n">
        <x:v>1</x:v>
      </x:c>
      <x:c r="H329" t="str">
        <x:v>RAW design authority</x:v>
      </x:c>
      <x:c r="I329" t="str">
        <x:f>IF(F329=1,"PASS","GAP")</x:f>
        <x:v>PASS</x:v>
      </x:c>
    </x:row>
    <x:row r="330">
      <x:c r="B330" t="str">
        <x:v>PL-0324</x:v>
      </x:c>
      <x:c r="C330" t="str">
        <x:v>PLANNING</x:v>
      </x:c>
      <x:c r="D330" t="str">
        <x:v>trial</x:v>
      </x:c>
      <x:c r="E330" t="str">
        <x:v>trial 73</x:v>
      </x:c>
      <x:c r="F330" t="n">
        <x:f>Controls!$D$41</x:f>
        <x:v>1</x:v>
      </x:c>
      <x:c r="G330" t="n">
        <x:v>1</x:v>
      </x:c>
      <x:c r="H330" t="str">
        <x:v>RAW design authority</x:v>
      </x:c>
      <x:c r="I330" t="str">
        <x:f>IF(F330=1,"PASS","GAP")</x:f>
        <x:v>PASS</x:v>
      </x:c>
    </x:row>
    <x:row r="331">
      <x:c r="B331" t="str">
        <x:v>PL-0325</x:v>
      </x:c>
      <x:c r="C331" t="str">
        <x:v>PLANNING</x:v>
      </x:c>
      <x:c r="D331" t="str">
        <x:v>trial</x:v>
      </x:c>
      <x:c r="E331" t="str">
        <x:v>trial 74</x:v>
      </x:c>
      <x:c r="F331" t="n">
        <x:f>Controls!$D$41</x:f>
        <x:v>1</x:v>
      </x:c>
      <x:c r="G331" t="n">
        <x:v>1</x:v>
      </x:c>
      <x:c r="H331" t="str">
        <x:v>RAW design authority</x:v>
      </x:c>
      <x:c r="I331" t="str">
        <x:f>IF(F331=1,"PASS","GAP")</x:f>
        <x:v>PASS</x:v>
      </x:c>
    </x:row>
    <x:row r="332">
      <x:c r="B332" t="str">
        <x:v>PL-0326</x:v>
      </x:c>
      <x:c r="C332" t="str">
        <x:v>PLANNING</x:v>
      </x:c>
      <x:c r="D332" t="str">
        <x:v>trial</x:v>
      </x:c>
      <x:c r="E332" t="str">
        <x:v>trial 75</x:v>
      </x:c>
      <x:c r="F332" t="n">
        <x:f>Controls!$D$41</x:f>
        <x:v>1</x:v>
      </x:c>
      <x:c r="G332" t="n">
        <x:v>1</x:v>
      </x:c>
      <x:c r="H332" t="str">
        <x:v>RAW design authority</x:v>
      </x:c>
      <x:c r="I332" t="str">
        <x:f>IF(F332=1,"PASS","GAP")</x:f>
        <x:v>PASS</x:v>
      </x:c>
    </x:row>
    <x:row r="333">
      <x:c r="B333" t="str">
        <x:v>PL-0327</x:v>
      </x:c>
      <x:c r="C333" t="str">
        <x:v>PLANNING</x:v>
      </x:c>
      <x:c r="D333" t="str">
        <x:v>trial</x:v>
      </x:c>
      <x:c r="E333" t="str">
        <x:v>trial 76</x:v>
      </x:c>
      <x:c r="F333" t="n">
        <x:f>Controls!$D$41</x:f>
        <x:v>1</x:v>
      </x:c>
      <x:c r="G333" t="n">
        <x:v>1</x:v>
      </x:c>
      <x:c r="H333" t="str">
        <x:v>RAW design authority</x:v>
      </x:c>
      <x:c r="I333" t="str">
        <x:f>IF(F333=1,"PASS","GAP")</x:f>
        <x:v>PASS</x:v>
      </x:c>
    </x:row>
    <x:row r="334">
      <x:c r="B334" t="str">
        <x:v>PL-0328</x:v>
      </x:c>
      <x:c r="C334" t="str">
        <x:v>PLANNING</x:v>
      </x:c>
      <x:c r="D334" t="str">
        <x:v>trial</x:v>
      </x:c>
      <x:c r="E334" t="str">
        <x:v>trial 77</x:v>
      </x:c>
      <x:c r="F334" t="n">
        <x:f>Controls!$D$41</x:f>
        <x:v>1</x:v>
      </x:c>
      <x:c r="G334" t="n">
        <x:v>1</x:v>
      </x:c>
      <x:c r="H334" t="str">
        <x:v>RAW design authority</x:v>
      </x:c>
      <x:c r="I334" t="str">
        <x:f>IF(F334=1,"PASS","GAP")</x:f>
        <x:v>PASS</x:v>
      </x:c>
    </x:row>
    <x:row r="335">
      <x:c r="B335" t="str">
        <x:v>PL-0329</x:v>
      </x:c>
      <x:c r="C335" t="str">
        <x:v>PLANNING</x:v>
      </x:c>
      <x:c r="D335" t="str">
        <x:v>trial</x:v>
      </x:c>
      <x:c r="E335" t="str">
        <x:v>trial 78</x:v>
      </x:c>
      <x:c r="F335" t="n">
        <x:f>Controls!$D$41</x:f>
        <x:v>1</x:v>
      </x:c>
      <x:c r="G335" t="n">
        <x:v>1</x:v>
      </x:c>
      <x:c r="H335" t="str">
        <x:v>RAW design authority</x:v>
      </x:c>
      <x:c r="I335" t="str">
        <x:f>IF(F335=1,"PASS","GAP")</x:f>
        <x:v>PASS</x:v>
      </x:c>
    </x:row>
    <x:row r="336">
      <x:c r="B336" t="str">
        <x:v>PL-0330</x:v>
      </x:c>
      <x:c r="C336" t="str">
        <x:v>PLANNING</x:v>
      </x:c>
      <x:c r="D336" t="str">
        <x:v>trial</x:v>
      </x:c>
      <x:c r="E336" t="str">
        <x:v>trial 79</x:v>
      </x:c>
      <x:c r="F336" t="n">
        <x:f>Controls!$D$41</x:f>
        <x:v>1</x:v>
      </x:c>
      <x:c r="G336" t="n">
        <x:v>1</x:v>
      </x:c>
      <x:c r="H336" t="str">
        <x:v>RAW design authority</x:v>
      </x:c>
      <x:c r="I336" t="str">
        <x:f>IF(F336=1,"PASS","GAP")</x:f>
        <x:v>PASS</x:v>
      </x:c>
    </x:row>
    <x:row r="337">
      <x:c r="B337" t="str">
        <x:v>PL-0331</x:v>
      </x:c>
      <x:c r="C337" t="str">
        <x:v>PLANNING</x:v>
      </x:c>
      <x:c r="D337" t="str">
        <x:v>trial</x:v>
      </x:c>
      <x:c r="E337" t="str">
        <x:v>trial 80</x:v>
      </x:c>
      <x:c r="F337" t="n">
        <x:f>Controls!$D$41</x:f>
        <x:v>1</x:v>
      </x:c>
      <x:c r="G337" t="n">
        <x:v>1</x:v>
      </x:c>
      <x:c r="H337" t="str">
        <x:v>RAW design authority</x:v>
      </x:c>
      <x:c r="I337" t="str">
        <x:f>IF(F337=1,"PASS","GAP")</x:f>
        <x:v>PASS</x:v>
      </x:c>
    </x:row>
    <x:row r="338">
      <x:c r="B338" t="str">
        <x:v>PL-0332</x:v>
      </x:c>
      <x:c r="C338" t="str">
        <x:v>PLANNING</x:v>
      </x:c>
      <x:c r="D338" t="str">
        <x:v>trial</x:v>
      </x:c>
      <x:c r="E338" t="str">
        <x:v>trial 81</x:v>
      </x:c>
      <x:c r="F338" t="n">
        <x:f>Controls!$D$41</x:f>
        <x:v>1</x:v>
      </x:c>
      <x:c r="G338" t="n">
        <x:v>1</x:v>
      </x:c>
      <x:c r="H338" t="str">
        <x:v>RAW design authority</x:v>
      </x:c>
      <x:c r="I338" t="str">
        <x:f>IF(F338=1,"PASS","GAP")</x:f>
        <x:v>PASS</x:v>
      </x:c>
    </x:row>
    <x:row r="339">
      <x:c r="B339" t="str">
        <x:v>PL-0333</x:v>
      </x:c>
      <x:c r="C339" t="str">
        <x:v>PLANNING</x:v>
      </x:c>
      <x:c r="D339" t="str">
        <x:v>trial</x:v>
      </x:c>
      <x:c r="E339" t="str">
        <x:v>trial 82</x:v>
      </x:c>
      <x:c r="F339" t="n">
        <x:f>Controls!$D$41</x:f>
        <x:v>1</x:v>
      </x:c>
      <x:c r="G339" t="n">
        <x:v>1</x:v>
      </x:c>
      <x:c r="H339" t="str">
        <x:v>RAW design authority</x:v>
      </x:c>
      <x:c r="I339" t="str">
        <x:f>IF(F339=1,"PASS","GAP")</x:f>
        <x:v>PASS</x:v>
      </x:c>
    </x:row>
    <x:row r="340">
      <x:c r="B340" t="str">
        <x:v>PL-0334</x:v>
      </x:c>
      <x:c r="C340" t="str">
        <x:v>PLANNING</x:v>
      </x:c>
      <x:c r="D340" t="str">
        <x:v>trial</x:v>
      </x:c>
      <x:c r="E340" t="str">
        <x:v>trial 83</x:v>
      </x:c>
      <x:c r="F340" t="n">
        <x:f>Controls!$D$41</x:f>
        <x:v>1</x:v>
      </x:c>
      <x:c r="G340" t="n">
        <x:v>1</x:v>
      </x:c>
      <x:c r="H340" t="str">
        <x:v>RAW design authority</x:v>
      </x:c>
      <x:c r="I340" t="str">
        <x:f>IF(F340=1,"PASS","GAP")</x:f>
        <x:v>PASS</x:v>
      </x:c>
    </x:row>
    <x:row r="341">
      <x:c r="B341" t="str">
        <x:v>PL-0335</x:v>
      </x:c>
      <x:c r="C341" t="str">
        <x:v>PLANNING</x:v>
      </x:c>
      <x:c r="D341" t="str">
        <x:v>trial</x:v>
      </x:c>
      <x:c r="E341" t="str">
        <x:v>trial 84</x:v>
      </x:c>
      <x:c r="F341" t="n">
        <x:f>Controls!$D$41</x:f>
        <x:v>1</x:v>
      </x:c>
      <x:c r="G341" t="n">
        <x:v>1</x:v>
      </x:c>
      <x:c r="H341" t="str">
        <x:v>RAW design authority</x:v>
      </x:c>
      <x:c r="I341" t="str">
        <x:f>IF(F341=1,"PASS","GAP")</x:f>
        <x:v>PASS</x:v>
      </x:c>
    </x:row>
    <x:row r="342">
      <x:c r="B342" t="str">
        <x:v>PL-0336</x:v>
      </x:c>
      <x:c r="C342" t="str">
        <x:v>PLANNING</x:v>
      </x:c>
      <x:c r="D342" t="str">
        <x:v>trial</x:v>
      </x:c>
      <x:c r="E342" t="str">
        <x:v>trial 85</x:v>
      </x:c>
      <x:c r="F342" t="n">
        <x:f>Controls!$D$41</x:f>
        <x:v>1</x:v>
      </x:c>
      <x:c r="G342" t="n">
        <x:v>1</x:v>
      </x:c>
      <x:c r="H342" t="str">
        <x:v>RAW design authority</x:v>
      </x:c>
      <x:c r="I342" t="str">
        <x:f>IF(F342=1,"PASS","GAP")</x:f>
        <x:v>PASS</x:v>
      </x:c>
    </x:row>
    <x:row r="343">
      <x:c r="B343" t="str">
        <x:v>PL-0337</x:v>
      </x:c>
      <x:c r="C343" t="str">
        <x:v>PLANNING</x:v>
      </x:c>
      <x:c r="D343" t="str">
        <x:v>trial</x:v>
      </x:c>
      <x:c r="E343" t="str">
        <x:v>trial 86</x:v>
      </x:c>
      <x:c r="F343" t="n">
        <x:f>Controls!$D$41</x:f>
        <x:v>1</x:v>
      </x:c>
      <x:c r="G343" t="n">
        <x:v>1</x:v>
      </x:c>
      <x:c r="H343" t="str">
        <x:v>RAW design authority</x:v>
      </x:c>
      <x:c r="I343" t="str">
        <x:f>IF(F343=1,"PASS","GAP")</x:f>
        <x:v>PASS</x:v>
      </x:c>
    </x:row>
    <x:row r="344">
      <x:c r="B344" t="str">
        <x:v>PL-0338</x:v>
      </x:c>
      <x:c r="C344" t="str">
        <x:v>PLANNING</x:v>
      </x:c>
      <x:c r="D344" t="str">
        <x:v>trial</x:v>
      </x:c>
      <x:c r="E344" t="str">
        <x:v>trial 87</x:v>
      </x:c>
      <x:c r="F344" t="n">
        <x:f>Controls!$D$41</x:f>
        <x:v>1</x:v>
      </x:c>
      <x:c r="G344" t="n">
        <x:v>1</x:v>
      </x:c>
      <x:c r="H344" t="str">
        <x:v>RAW design authority</x:v>
      </x:c>
      <x:c r="I344" t="str">
        <x:f>IF(F344=1,"PASS","GAP")</x:f>
        <x:v>PASS</x:v>
      </x:c>
    </x:row>
    <x:row r="345">
      <x:c r="B345" t="str">
        <x:v>PL-0339</x:v>
      </x:c>
      <x:c r="C345" t="str">
        <x:v>PLANNING</x:v>
      </x:c>
      <x:c r="D345" t="str">
        <x:v>trial</x:v>
      </x:c>
      <x:c r="E345" t="str">
        <x:v>trial 88</x:v>
      </x:c>
      <x:c r="F345" t="n">
        <x:f>Controls!$D$41</x:f>
        <x:v>1</x:v>
      </x:c>
      <x:c r="G345" t="n">
        <x:v>1</x:v>
      </x:c>
      <x:c r="H345" t="str">
        <x:v>RAW design authority</x:v>
      </x:c>
      <x:c r="I345" t="str">
        <x:f>IF(F345=1,"PASS","GAP")</x:f>
        <x:v>PASS</x:v>
      </x:c>
    </x:row>
    <x:row r="346">
      <x:c r="B346" t="str">
        <x:v>PL-0340</x:v>
      </x:c>
      <x:c r="C346" t="str">
        <x:v>PLANNING</x:v>
      </x:c>
      <x:c r="D346" t="str">
        <x:v>trial</x:v>
      </x:c>
      <x:c r="E346" t="str">
        <x:v>trial 89</x:v>
      </x:c>
      <x:c r="F346" t="n">
        <x:f>Controls!$D$41</x:f>
        <x:v>1</x:v>
      </x:c>
      <x:c r="G346" t="n">
        <x:v>1</x:v>
      </x:c>
      <x:c r="H346" t="str">
        <x:v>RAW design authority</x:v>
      </x:c>
      <x:c r="I346" t="str">
        <x:f>IF(F346=1,"PASS","GAP")</x:f>
        <x:v>PASS</x:v>
      </x:c>
    </x:row>
    <x:row r="347">
      <x:c r="B347" t="str">
        <x:v>PL-0341</x:v>
      </x:c>
      <x:c r="C347" t="str">
        <x:v>PLANNING</x:v>
      </x:c>
      <x:c r="D347" t="str">
        <x:v>trial</x:v>
      </x:c>
      <x:c r="E347" t="str">
        <x:v>trial 90</x:v>
      </x:c>
      <x:c r="F347" t="n">
        <x:f>Controls!$D$41</x:f>
        <x:v>1</x:v>
      </x:c>
      <x:c r="G347" t="n">
        <x:v>1</x:v>
      </x:c>
      <x:c r="H347" t="str">
        <x:v>RAW design authority</x:v>
      </x:c>
      <x:c r="I347" t="str">
        <x:f>IF(F347=1,"PASS","GAP")</x:f>
        <x:v>PASS</x:v>
      </x:c>
    </x:row>
    <x:row r="348">
      <x:c r="B348" t="str">
        <x:v>PL-0342</x:v>
      </x:c>
      <x:c r="C348" t="str">
        <x:v>PLANNING</x:v>
      </x:c>
      <x:c r="D348" t="str">
        <x:v>trial</x:v>
      </x:c>
      <x:c r="E348" t="str">
        <x:v>trial 91</x:v>
      </x:c>
      <x:c r="F348" t="n">
        <x:f>Controls!$D$41</x:f>
        <x:v>1</x:v>
      </x:c>
      <x:c r="G348" t="n">
        <x:v>1</x:v>
      </x:c>
      <x:c r="H348" t="str">
        <x:v>RAW design authority</x:v>
      </x:c>
      <x:c r="I348" t="str">
        <x:f>IF(F348=1,"PASS","GAP")</x:f>
        <x:v>PASS</x:v>
      </x:c>
    </x:row>
    <x:row r="349">
      <x:c r="B349" t="str">
        <x:v>PL-0343</x:v>
      </x:c>
      <x:c r="C349" t="str">
        <x:v>PLANNING</x:v>
      </x:c>
      <x:c r="D349" t="str">
        <x:v>trial</x:v>
      </x:c>
      <x:c r="E349" t="str">
        <x:v>trial 92</x:v>
      </x:c>
      <x:c r="F349" t="n">
        <x:f>Controls!$D$41</x:f>
        <x:v>1</x:v>
      </x:c>
      <x:c r="G349" t="n">
        <x:v>1</x:v>
      </x:c>
      <x:c r="H349" t="str">
        <x:v>RAW design authority</x:v>
      </x:c>
      <x:c r="I349" t="str">
        <x:f>IF(F349=1,"PASS","GAP")</x:f>
        <x:v>PASS</x:v>
      </x:c>
    </x:row>
    <x:row r="350">
      <x:c r="B350" t="str">
        <x:v>PL-0344</x:v>
      </x:c>
      <x:c r="C350" t="str">
        <x:v>PLANNING</x:v>
      </x:c>
      <x:c r="D350" t="str">
        <x:v>trial</x:v>
      </x:c>
      <x:c r="E350" t="str">
        <x:v>trial 93</x:v>
      </x:c>
      <x:c r="F350" t="n">
        <x:f>Controls!$D$41</x:f>
        <x:v>1</x:v>
      </x:c>
      <x:c r="G350" t="n">
        <x:v>1</x:v>
      </x:c>
      <x:c r="H350" t="str">
        <x:v>RAW design authority</x:v>
      </x:c>
      <x:c r="I350" t="str">
        <x:f>IF(F350=1,"PASS","GAP")</x:f>
        <x:v>PASS</x:v>
      </x:c>
    </x:row>
    <x:row r="351">
      <x:c r="B351" t="str">
        <x:v>PL-0345</x:v>
      </x:c>
      <x:c r="C351" t="str">
        <x:v>PLANNING</x:v>
      </x:c>
      <x:c r="D351" t="str">
        <x:v>trial</x:v>
      </x:c>
      <x:c r="E351" t="str">
        <x:v>trial 94</x:v>
      </x:c>
      <x:c r="F351" t="n">
        <x:f>Controls!$D$41</x:f>
        <x:v>1</x:v>
      </x:c>
      <x:c r="G351" t="n">
        <x:v>1</x:v>
      </x:c>
      <x:c r="H351" t="str">
        <x:v>RAW design authority</x:v>
      </x:c>
      <x:c r="I351" t="str">
        <x:f>IF(F351=1,"PASS","GAP")</x:f>
        <x:v>PASS</x:v>
      </x:c>
    </x:row>
    <x:row r="352">
      <x:c r="B352" t="str">
        <x:v>PL-0346</x:v>
      </x:c>
      <x:c r="C352" t="str">
        <x:v>PLANNING</x:v>
      </x:c>
      <x:c r="D352" t="str">
        <x:v>trial</x:v>
      </x:c>
      <x:c r="E352" t="str">
        <x:v>trial 95</x:v>
      </x:c>
      <x:c r="F352" t="n">
        <x:f>Controls!$D$41</x:f>
        <x:v>1</x:v>
      </x:c>
      <x:c r="G352" t="n">
        <x:v>1</x:v>
      </x:c>
      <x:c r="H352" t="str">
        <x:v>RAW design authority</x:v>
      </x:c>
      <x:c r="I352" t="str">
        <x:f>IF(F352=1,"PASS","GAP")</x:f>
        <x:v>PASS</x:v>
      </x:c>
    </x:row>
    <x:row r="353">
      <x:c r="B353" t="str">
        <x:v>PL-0347</x:v>
      </x:c>
      <x:c r="C353" t="str">
        <x:v>PLANNING</x:v>
      </x:c>
      <x:c r="D353" t="str">
        <x:v>trial</x:v>
      </x:c>
      <x:c r="E353" t="str">
        <x:v>trial 96</x:v>
      </x:c>
      <x:c r="F353" t="n">
        <x:f>Controls!$D$41</x:f>
        <x:v>1</x:v>
      </x:c>
      <x:c r="G353" t="n">
        <x:v>1</x:v>
      </x:c>
      <x:c r="H353" t="str">
        <x:v>RAW design authority</x:v>
      </x:c>
      <x:c r="I353" t="str">
        <x:f>IF(F353=1,"PASS","GAP")</x:f>
        <x:v>PASS</x:v>
      </x:c>
    </x:row>
    <x:row r="354">
      <x:c r="B354" t="str">
        <x:v>PL-0348</x:v>
      </x:c>
      <x:c r="C354" t="str">
        <x:v>PLANNING</x:v>
      </x:c>
      <x:c r="D354" t="str">
        <x:v>trial</x:v>
      </x:c>
      <x:c r="E354" t="str">
        <x:v>trial 97</x:v>
      </x:c>
      <x:c r="F354" t="n">
        <x:f>Controls!$D$41</x:f>
        <x:v>1</x:v>
      </x:c>
      <x:c r="G354" t="n">
        <x:v>1</x:v>
      </x:c>
      <x:c r="H354" t="str">
        <x:v>RAW design authority</x:v>
      </x:c>
      <x:c r="I354" t="str">
        <x:f>IF(F354=1,"PASS","GAP")</x:f>
        <x:v>PASS</x:v>
      </x:c>
    </x:row>
    <x:row r="355">
      <x:c r="B355" t="str">
        <x:v>PL-0349</x:v>
      </x:c>
      <x:c r="C355" t="str">
        <x:v>PLANNING</x:v>
      </x:c>
      <x:c r="D355" t="str">
        <x:v>trial</x:v>
      </x:c>
      <x:c r="E355" t="str">
        <x:v>trial 98</x:v>
      </x:c>
      <x:c r="F355" t="n">
        <x:f>Controls!$D$41</x:f>
        <x:v>1</x:v>
      </x:c>
      <x:c r="G355" t="n">
        <x:v>1</x:v>
      </x:c>
      <x:c r="H355" t="str">
        <x:v>RAW design authority</x:v>
      </x:c>
      <x:c r="I355" t="str">
        <x:f>IF(F355=1,"PASS","GAP")</x:f>
        <x:v>PASS</x:v>
      </x:c>
    </x:row>
    <x:row r="356">
      <x:c r="B356" t="str">
        <x:v>PL-0350</x:v>
      </x:c>
      <x:c r="C356" t="str">
        <x:v>PLANNING</x:v>
      </x:c>
      <x:c r="D356" t="str">
        <x:v>trial</x:v>
      </x:c>
      <x:c r="E356" t="str">
        <x:v>trial 99</x:v>
      </x:c>
      <x:c r="F356" t="n">
        <x:f>Controls!$D$41</x:f>
        <x:v>1</x:v>
      </x:c>
      <x:c r="G356" t="n">
        <x:v>1</x:v>
      </x:c>
      <x:c r="H356" t="str">
        <x:v>RAW design authority</x:v>
      </x:c>
      <x:c r="I356" t="str">
        <x:f>IF(F356=1,"PASS","GAP")</x:f>
        <x:v>PASS</x:v>
      </x:c>
    </x:row>
    <x:row r="357">
      <x:c r="B357" t="str">
        <x:v>PL-0351</x:v>
      </x:c>
      <x:c r="C357" t="str">
        <x:v>PLANNING</x:v>
      </x:c>
      <x:c r="D357" t="str">
        <x:v>trial</x:v>
      </x:c>
      <x:c r="E357" t="str">
        <x:v>trial 100</x:v>
      </x:c>
      <x:c r="F357" t="n">
        <x:f>Controls!$D$41</x:f>
        <x:v>1</x:v>
      </x:c>
      <x:c r="G357" t="n">
        <x:v>1</x:v>
      </x:c>
      <x:c r="H357" t="str">
        <x:v>RAW design authority</x:v>
      </x:c>
      <x:c r="I357" t="str">
        <x:f>IF(F357=1,"PASS","GAP")</x:f>
        <x:v>PASS</x:v>
      </x:c>
    </x:row>
    <x:row r="358">
      <x:c r="B358" t="str">
        <x:v>PL-0352</x:v>
      </x:c>
      <x:c r="C358" t="str">
        <x:v>PLANNING</x:v>
      </x:c>
      <x:c r="D358" t="str">
        <x:v>trial</x:v>
      </x:c>
      <x:c r="E358" t="str">
        <x:v>trial 101</x:v>
      </x:c>
      <x:c r="F358" t="n">
        <x:f>Controls!$D$41</x:f>
        <x:v>1</x:v>
      </x:c>
      <x:c r="G358" t="n">
        <x:v>1</x:v>
      </x:c>
      <x:c r="H358" t="str">
        <x:v>RAW design authority</x:v>
      </x:c>
      <x:c r="I358" t="str">
        <x:f>IF(F358=1,"PASS","GAP")</x:f>
        <x:v>PASS</x:v>
      </x:c>
    </x:row>
    <x:row r="359">
      <x:c r="B359" t="str">
        <x:v>PL-0353</x:v>
      </x:c>
      <x:c r="C359" t="str">
        <x:v>PLANNING</x:v>
      </x:c>
      <x:c r="D359" t="str">
        <x:v>trial</x:v>
      </x:c>
      <x:c r="E359" t="str">
        <x:v>trial 102</x:v>
      </x:c>
      <x:c r="F359" t="n">
        <x:f>Controls!$D$41</x:f>
        <x:v>1</x:v>
      </x:c>
      <x:c r="G359" t="n">
        <x:v>1</x:v>
      </x:c>
      <x:c r="H359" t="str">
        <x:v>RAW design authority</x:v>
      </x:c>
      <x:c r="I359" t="str">
        <x:f>IF(F359=1,"PASS","GAP")</x:f>
        <x:v>PASS</x:v>
      </x:c>
    </x:row>
    <x:row r="360">
      <x:c r="B360" t="str">
        <x:v>PL-0354</x:v>
      </x:c>
      <x:c r="C360" t="str">
        <x:v>PLANNING</x:v>
      </x:c>
      <x:c r="D360" t="str">
        <x:v>trial</x:v>
      </x:c>
      <x:c r="E360" t="str">
        <x:v>trial 103</x:v>
      </x:c>
      <x:c r="F360" t="n">
        <x:f>Controls!$D$41</x:f>
        <x:v>1</x:v>
      </x:c>
      <x:c r="G360" t="n">
        <x:v>1</x:v>
      </x:c>
      <x:c r="H360" t="str">
        <x:v>RAW design authority</x:v>
      </x:c>
      <x:c r="I360" t="str">
        <x:f>IF(F360=1,"PASS","GAP")</x:f>
        <x:v>PASS</x:v>
      </x:c>
    </x:row>
    <x:row r="361">
      <x:c r="B361" t="str">
        <x:v>PL-0355</x:v>
      </x:c>
      <x:c r="C361" t="str">
        <x:v>PLANNING</x:v>
      </x:c>
      <x:c r="D361" t="str">
        <x:v>trial</x:v>
      </x:c>
      <x:c r="E361" t="str">
        <x:v>trial 104</x:v>
      </x:c>
      <x:c r="F361" t="n">
        <x:f>Controls!$D$41</x:f>
        <x:v>1</x:v>
      </x:c>
      <x:c r="G361" t="n">
        <x:v>1</x:v>
      </x:c>
      <x:c r="H361" t="str">
        <x:v>RAW design authority</x:v>
      </x:c>
      <x:c r="I361" t="str">
        <x:f>IF(F361=1,"PASS","GAP")</x:f>
        <x:v>PASS</x:v>
      </x:c>
    </x:row>
    <x:row r="362">
      <x:c r="B362" t="str">
        <x:v>PL-0356</x:v>
      </x:c>
      <x:c r="C362" t="str">
        <x:v>PLANNING</x:v>
      </x:c>
      <x:c r="D362" t="str">
        <x:v>trial</x:v>
      </x:c>
      <x:c r="E362" t="str">
        <x:v>trial 105</x:v>
      </x:c>
      <x:c r="F362" t="n">
        <x:f>Controls!$D$41</x:f>
        <x:v>1</x:v>
      </x:c>
      <x:c r="G362" t="n">
        <x:v>1</x:v>
      </x:c>
      <x:c r="H362" t="str">
        <x:v>RAW design authority</x:v>
      </x:c>
      <x:c r="I362" t="str">
        <x:f>IF(F362=1,"PASS","GAP")</x:f>
        <x:v>PASS</x:v>
      </x:c>
    </x:row>
    <x:row r="363">
      <x:c r="B363" t="str">
        <x:v>PL-0357</x:v>
      </x:c>
      <x:c r="C363" t="str">
        <x:v>PLANNING</x:v>
      </x:c>
      <x:c r="D363" t="str">
        <x:v>trial</x:v>
      </x:c>
      <x:c r="E363" t="str">
        <x:v>trial 106</x:v>
      </x:c>
      <x:c r="F363" t="n">
        <x:f>Controls!$D$41</x:f>
        <x:v>1</x:v>
      </x:c>
      <x:c r="G363" t="n">
        <x:v>1</x:v>
      </x:c>
      <x:c r="H363" t="str">
        <x:v>RAW design authority</x:v>
      </x:c>
      <x:c r="I363" t="str">
        <x:f>IF(F363=1,"PASS","GAP")</x:f>
        <x:v>PASS</x:v>
      </x:c>
    </x:row>
    <x:row r="364">
      <x:c r="B364" t="str">
        <x:v>PL-0358</x:v>
      </x:c>
      <x:c r="C364" t="str">
        <x:v>PLANNING</x:v>
      </x:c>
      <x:c r="D364" t="str">
        <x:v>trial</x:v>
      </x:c>
      <x:c r="E364" t="str">
        <x:v>trial 107</x:v>
      </x:c>
      <x:c r="F364" t="n">
        <x:f>Controls!$D$41</x:f>
        <x:v>1</x:v>
      </x:c>
      <x:c r="G364" t="n">
        <x:v>1</x:v>
      </x:c>
      <x:c r="H364" t="str">
        <x:v>RAW design authority</x:v>
      </x:c>
      <x:c r="I364" t="str">
        <x:f>IF(F364=1,"PASS","GAP")</x:f>
        <x:v>PASS</x:v>
      </x:c>
    </x:row>
    <x:row r="365">
      <x:c r="B365" t="str">
        <x:v>PL-0359</x:v>
      </x:c>
      <x:c r="C365" t="str">
        <x:v>PLANNING</x:v>
      </x:c>
      <x:c r="D365" t="str">
        <x:v>trial</x:v>
      </x:c>
      <x:c r="E365" t="str">
        <x:v>trial 108</x:v>
      </x:c>
      <x:c r="F365" t="n">
        <x:f>Controls!$D$41</x:f>
        <x:v>1</x:v>
      </x:c>
      <x:c r="G365" t="n">
        <x:v>1</x:v>
      </x:c>
      <x:c r="H365" t="str">
        <x:v>RAW design authority</x:v>
      </x:c>
      <x:c r="I365" t="str">
        <x:f>IF(F365=1,"PASS","GAP")</x:f>
        <x:v>PASS</x:v>
      </x:c>
    </x:row>
    <x:row r="366">
      <x:c r="B366" t="str">
        <x:v>PL-0360</x:v>
      </x:c>
      <x:c r="C366" t="str">
        <x:v>PLANNING</x:v>
      </x:c>
      <x:c r="D366" t="str">
        <x:v>trial</x:v>
      </x:c>
      <x:c r="E366" t="str">
        <x:v>trial 109</x:v>
      </x:c>
      <x:c r="F366" t="n">
        <x:f>Controls!$D$41</x:f>
        <x:v>1</x:v>
      </x:c>
      <x:c r="G366" t="n">
        <x:v>1</x:v>
      </x:c>
      <x:c r="H366" t="str">
        <x:v>RAW design authority</x:v>
      </x:c>
      <x:c r="I366" t="str">
        <x:f>IF(F366=1,"PASS","GAP")</x:f>
        <x:v>PASS</x:v>
      </x:c>
    </x:row>
    <x:row r="367">
      <x:c r="B367" t="str">
        <x:v>PL-0361</x:v>
      </x:c>
      <x:c r="C367" t="str">
        <x:v>PLANNING</x:v>
      </x:c>
      <x:c r="D367" t="str">
        <x:v>trial</x:v>
      </x:c>
      <x:c r="E367" t="str">
        <x:v>trial 110</x:v>
      </x:c>
      <x:c r="F367" t="n">
        <x:f>Controls!$D$41</x:f>
        <x:v>1</x:v>
      </x:c>
      <x:c r="G367" t="n">
        <x:v>1</x:v>
      </x:c>
      <x:c r="H367" t="str">
        <x:v>RAW design authority</x:v>
      </x:c>
      <x:c r="I367" t="str">
        <x:f>IF(F367=1,"PASS","GAP")</x:f>
        <x:v>PASS</x:v>
      </x:c>
    </x:row>
    <x:row r="368">
      <x:c r="B368" t="str">
        <x:v>PL-0362</x:v>
      </x:c>
      <x:c r="C368" t="str">
        <x:v>PLANNING</x:v>
      </x:c>
      <x:c r="D368" t="str">
        <x:v>trial</x:v>
      </x:c>
      <x:c r="E368" t="str">
        <x:v>trial 111</x:v>
      </x:c>
      <x:c r="F368" t="n">
        <x:f>Controls!$D$41</x:f>
        <x:v>1</x:v>
      </x:c>
      <x:c r="G368" t="n">
        <x:v>1</x:v>
      </x:c>
      <x:c r="H368" t="str">
        <x:v>RAW design authority</x:v>
      </x:c>
      <x:c r="I368" t="str">
        <x:f>IF(F368=1,"PASS","GAP")</x:f>
        <x:v>PASS</x:v>
      </x:c>
    </x:row>
    <x:row r="369">
      <x:c r="B369" t="str">
        <x:v>PL-0363</x:v>
      </x:c>
      <x:c r="C369" t="str">
        <x:v>PLANNING</x:v>
      </x:c>
      <x:c r="D369" t="str">
        <x:v>trial</x:v>
      </x:c>
      <x:c r="E369" t="str">
        <x:v>trial 112</x:v>
      </x:c>
      <x:c r="F369" t="n">
        <x:f>Controls!$D$41</x:f>
        <x:v>1</x:v>
      </x:c>
      <x:c r="G369" t="n">
        <x:v>1</x:v>
      </x:c>
      <x:c r="H369" t="str">
        <x:v>RAW design authority</x:v>
      </x:c>
      <x:c r="I369" t="str">
        <x:f>IF(F369=1,"PASS","GAP")</x:f>
        <x:v>PASS</x:v>
      </x:c>
    </x:row>
    <x:row r="370">
      <x:c r="B370" t="str">
        <x:v>PL-0364</x:v>
      </x:c>
      <x:c r="C370" t="str">
        <x:v>PLANNING</x:v>
      </x:c>
      <x:c r="D370" t="str">
        <x:v>trial</x:v>
      </x:c>
      <x:c r="E370" t="str">
        <x:v>trial 113</x:v>
      </x:c>
      <x:c r="F370" t="n">
        <x:f>Controls!$D$41</x:f>
        <x:v>1</x:v>
      </x:c>
      <x:c r="G370" t="n">
        <x:v>1</x:v>
      </x:c>
      <x:c r="H370" t="str">
        <x:v>RAW design authority</x:v>
      </x:c>
      <x:c r="I370" t="str">
        <x:f>IF(F370=1,"PASS","GAP")</x:f>
        <x:v>PASS</x:v>
      </x:c>
    </x:row>
    <x:row r="371">
      <x:c r="B371" t="str">
        <x:v>PL-0365</x:v>
      </x:c>
      <x:c r="C371" t="str">
        <x:v>PLANNING</x:v>
      </x:c>
      <x:c r="D371" t="str">
        <x:v>trial</x:v>
      </x:c>
      <x:c r="E371" t="str">
        <x:v>trial 114</x:v>
      </x:c>
      <x:c r="F371" t="n">
        <x:f>Controls!$D$41</x:f>
        <x:v>1</x:v>
      </x:c>
      <x:c r="G371" t="n">
        <x:v>1</x:v>
      </x:c>
      <x:c r="H371" t="str">
        <x:v>RAW design authority</x:v>
      </x:c>
      <x:c r="I371" t="str">
        <x:f>IF(F371=1,"PASS","GAP")</x:f>
        <x:v>PASS</x:v>
      </x:c>
    </x:row>
    <x:row r="372">
      <x:c r="B372" t="str">
        <x:v>PL-0366</x:v>
      </x:c>
      <x:c r="C372" t="str">
        <x:v>PLANNING</x:v>
      </x:c>
      <x:c r="D372" t="str">
        <x:v>trial</x:v>
      </x:c>
      <x:c r="E372" t="str">
        <x:v>trial 115</x:v>
      </x:c>
      <x:c r="F372" t="n">
        <x:f>Controls!$D$41</x:f>
        <x:v>1</x:v>
      </x:c>
      <x:c r="G372" t="n">
        <x:v>1</x:v>
      </x:c>
      <x:c r="H372" t="str">
        <x:v>RAW design authority</x:v>
      </x:c>
      <x:c r="I372" t="str">
        <x:f>IF(F372=1,"PASS","GAP")</x:f>
        <x:v>PASS</x:v>
      </x:c>
    </x:row>
    <x:row r="373">
      <x:c r="B373" t="str">
        <x:v>PL-0367</x:v>
      </x:c>
      <x:c r="C373" t="str">
        <x:v>PLANNING</x:v>
      </x:c>
      <x:c r="D373" t="str">
        <x:v>trial</x:v>
      </x:c>
      <x:c r="E373" t="str">
        <x:v>trial 116</x:v>
      </x:c>
      <x:c r="F373" t="n">
        <x:f>Controls!$D$41</x:f>
        <x:v>1</x:v>
      </x:c>
      <x:c r="G373" t="n">
        <x:v>1</x:v>
      </x:c>
      <x:c r="H373" t="str">
        <x:v>RAW design authority</x:v>
      </x:c>
      <x:c r="I373" t="str">
        <x:f>IF(F373=1,"PASS","GAP")</x:f>
        <x:v>PASS</x:v>
      </x:c>
    </x:row>
    <x:row r="374">
      <x:c r="B374" t="str">
        <x:v>PL-0368</x:v>
      </x:c>
      <x:c r="C374" t="str">
        <x:v>PLANNING</x:v>
      </x:c>
      <x:c r="D374" t="str">
        <x:v>trial</x:v>
      </x:c>
      <x:c r="E374" t="str">
        <x:v>trial 117</x:v>
      </x:c>
      <x:c r="F374" t="n">
        <x:f>Controls!$D$41</x:f>
        <x:v>1</x:v>
      </x:c>
      <x:c r="G374" t="n">
        <x:v>1</x:v>
      </x:c>
      <x:c r="H374" t="str">
        <x:v>RAW design authority</x:v>
      </x:c>
      <x:c r="I374" t="str">
        <x:f>IF(F374=1,"PASS","GAP")</x:f>
        <x:v>PASS</x:v>
      </x:c>
    </x:row>
    <x:row r="375">
      <x:c r="B375" t="str">
        <x:v>PL-0369</x:v>
      </x:c>
      <x:c r="C375" t="str">
        <x:v>PLANNING</x:v>
      </x:c>
      <x:c r="D375" t="str">
        <x:v>trial</x:v>
      </x:c>
      <x:c r="E375" t="str">
        <x:v>trial 118</x:v>
      </x:c>
      <x:c r="F375" t="n">
        <x:f>Controls!$D$41</x:f>
        <x:v>1</x:v>
      </x:c>
      <x:c r="G375" t="n">
        <x:v>1</x:v>
      </x:c>
      <x:c r="H375" t="str">
        <x:v>RAW design authority</x:v>
      </x:c>
      <x:c r="I375" t="str">
        <x:f>IF(F375=1,"PASS","GAP")</x:f>
        <x:v>PASS</x:v>
      </x:c>
    </x:row>
    <x:row r="376">
      <x:c r="B376" t="str">
        <x:v>PL-0370</x:v>
      </x:c>
      <x:c r="C376" t="str">
        <x:v>PLANNING</x:v>
      </x:c>
      <x:c r="D376" t="str">
        <x:v>trial</x:v>
      </x:c>
      <x:c r="E376" t="str">
        <x:v>trial 119</x:v>
      </x:c>
      <x:c r="F376" t="n">
        <x:f>Controls!$D$41</x:f>
        <x:v>1</x:v>
      </x:c>
      <x:c r="G376" t="n">
        <x:v>1</x:v>
      </x:c>
      <x:c r="H376" t="str">
        <x:v>RAW design authority</x:v>
      </x:c>
      <x:c r="I376" t="str">
        <x:f>IF(F376=1,"PASS","GAP")</x:f>
        <x:v>PASS</x:v>
      </x:c>
    </x:row>
    <x:row r="377">
      <x:c r="B377" t="str">
        <x:v>PL-0371</x:v>
      </x:c>
      <x:c r="C377" t="str">
        <x:v>PLANNING</x:v>
      </x:c>
      <x:c r="D377" t="str">
        <x:v>trial</x:v>
      </x:c>
      <x:c r="E377" t="str">
        <x:v>trial 120</x:v>
      </x:c>
      <x:c r="F377" t="n">
        <x:f>Controls!$D$41</x:f>
        <x:v>1</x:v>
      </x:c>
      <x:c r="G377" t="n">
        <x:v>1</x:v>
      </x:c>
      <x:c r="H377" t="str">
        <x:v>RAW design authority</x:v>
      </x:c>
      <x:c r="I377" t="str">
        <x:f>IF(F377=1,"PASS","GAP")</x:f>
        <x:v>PASS</x:v>
      </x:c>
    </x:row>
    <x:row r="378">
      <x:c r="B378" t="str">
        <x:v>PL-0372</x:v>
      </x:c>
      <x:c r="C378" t="str">
        <x:v>PLANNING</x:v>
      </x:c>
      <x:c r="D378" t="str">
        <x:v>trial</x:v>
      </x:c>
      <x:c r="E378" t="str">
        <x:v>trial 121</x:v>
      </x:c>
      <x:c r="F378" t="n">
        <x:f>Controls!$D$41</x:f>
        <x:v>1</x:v>
      </x:c>
      <x:c r="G378" t="n">
        <x:v>1</x:v>
      </x:c>
      <x:c r="H378" t="str">
        <x:v>RAW design authority</x:v>
      </x:c>
      <x:c r="I378" t="str">
        <x:f>IF(F378=1,"PASS","GAP")</x:f>
        <x:v>PASS</x:v>
      </x:c>
    </x:row>
    <x:row r="379">
      <x:c r="B379" t="str">
        <x:v>PL-0373</x:v>
      </x:c>
      <x:c r="C379" t="str">
        <x:v>PLANNING</x:v>
      </x:c>
      <x:c r="D379" t="str">
        <x:v>trial</x:v>
      </x:c>
      <x:c r="E379" t="str">
        <x:v>trial 122</x:v>
      </x:c>
      <x:c r="F379" t="n">
        <x:f>Controls!$D$41</x:f>
        <x:v>1</x:v>
      </x:c>
      <x:c r="G379" t="n">
        <x:v>1</x:v>
      </x:c>
      <x:c r="H379" t="str">
        <x:v>RAW design authority</x:v>
      </x:c>
      <x:c r="I379" t="str">
        <x:f>IF(F379=1,"PASS","GAP")</x:f>
        <x:v>PASS</x:v>
      </x:c>
    </x:row>
    <x:row r="380">
      <x:c r="B380" t="str">
        <x:v>PL-0374</x:v>
      </x:c>
      <x:c r="C380" t="str">
        <x:v>PLANNING</x:v>
      </x:c>
      <x:c r="D380" t="str">
        <x:v>trial</x:v>
      </x:c>
      <x:c r="E380" t="str">
        <x:v>trial 123</x:v>
      </x:c>
      <x:c r="F380" t="n">
        <x:f>Controls!$D$41</x:f>
        <x:v>1</x:v>
      </x:c>
      <x:c r="G380" t="n">
        <x:v>1</x:v>
      </x:c>
      <x:c r="H380" t="str">
        <x:v>RAW design authority</x:v>
      </x:c>
      <x:c r="I380" t="str">
        <x:f>IF(F380=1,"PASS","GAP")</x:f>
        <x:v>PASS</x:v>
      </x:c>
    </x:row>
    <x:row r="381">
      <x:c r="B381" t="str">
        <x:v>PL-0375</x:v>
      </x:c>
      <x:c r="C381" t="str">
        <x:v>PLANNING</x:v>
      </x:c>
      <x:c r="D381" t="str">
        <x:v>trial</x:v>
      </x:c>
      <x:c r="E381" t="str">
        <x:v>trial 124</x:v>
      </x:c>
      <x:c r="F381" t="n">
        <x:f>Controls!$D$41</x:f>
        <x:v>1</x:v>
      </x:c>
      <x:c r="G381" t="n">
        <x:v>1</x:v>
      </x:c>
      <x:c r="H381" t="str">
        <x:v>RAW design authority</x:v>
      </x:c>
      <x:c r="I381" t="str">
        <x:f>IF(F381=1,"PASS","GAP")</x:f>
        <x:v>PASS</x:v>
      </x:c>
    </x:row>
    <x:row r="382">
      <x:c r="B382" t="str">
        <x:v>PL-0376</x:v>
      </x:c>
      <x:c r="C382" t="str">
        <x:v>PLANNING</x:v>
      </x:c>
      <x:c r="D382" t="str">
        <x:v>trial</x:v>
      </x:c>
      <x:c r="E382" t="str">
        <x:v>trial 125</x:v>
      </x:c>
      <x:c r="F382" t="n">
        <x:f>Controls!$D$41</x:f>
        <x:v>1</x:v>
      </x:c>
      <x:c r="G382" t="n">
        <x:v>1</x:v>
      </x:c>
      <x:c r="H382" t="str">
        <x:v>RAW design authority</x:v>
      </x:c>
      <x:c r="I382" t="str">
        <x:f>IF(F382=1,"PASS","GAP")</x:f>
        <x:v>PASS</x:v>
      </x:c>
    </x:row>
    <x:row r="383">
      <x:c r="B383" t="str">
        <x:v>PL-0377</x:v>
      </x:c>
      <x:c r="C383" t="str">
        <x:v>PLANNING</x:v>
      </x:c>
      <x:c r="D383" t="str">
        <x:v>trial</x:v>
      </x:c>
      <x:c r="E383" t="str">
        <x:v>trial 126</x:v>
      </x:c>
      <x:c r="F383" t="n">
        <x:f>Controls!$D$41</x:f>
        <x:v>1</x:v>
      </x:c>
      <x:c r="G383" t="n">
        <x:v>1</x:v>
      </x:c>
      <x:c r="H383" t="str">
        <x:v>RAW design authority</x:v>
      </x:c>
      <x:c r="I383" t="str">
        <x:f>IF(F383=1,"PASS","GAP")</x:f>
        <x:v>PASS</x:v>
      </x:c>
    </x:row>
    <x:row r="384">
      <x:c r="B384" t="str">
        <x:v>PL-0378</x:v>
      </x:c>
      <x:c r="C384" t="str">
        <x:v>PLANNING</x:v>
      </x:c>
      <x:c r="D384" t="str">
        <x:v>trial</x:v>
      </x:c>
      <x:c r="E384" t="str">
        <x:v>trial 127</x:v>
      </x:c>
      <x:c r="F384" t="n">
        <x:f>Controls!$D$41</x:f>
        <x:v>1</x:v>
      </x:c>
      <x:c r="G384" t="n">
        <x:v>1</x:v>
      </x:c>
      <x:c r="H384" t="str">
        <x:v>RAW design authority</x:v>
      </x:c>
      <x:c r="I384" t="str">
        <x:f>IF(F384=1,"PASS","GAP")</x:f>
        <x:v>PASS</x:v>
      </x:c>
    </x:row>
    <x:row r="385">
      <x:c r="B385" t="str">
        <x:v>PL-0379</x:v>
      </x:c>
      <x:c r="C385" t="str">
        <x:v>PLANNING</x:v>
      </x:c>
      <x:c r="D385" t="str">
        <x:v>trial</x:v>
      </x:c>
      <x:c r="E385" t="str">
        <x:v>trial 128</x:v>
      </x:c>
      <x:c r="F385" t="n">
        <x:f>Controls!$D$41</x:f>
        <x:v>1</x:v>
      </x:c>
      <x:c r="G385" t="n">
        <x:v>1</x:v>
      </x:c>
      <x:c r="H385" t="str">
        <x:v>RAW design authority</x:v>
      </x:c>
      <x:c r="I385" t="str">
        <x:f>IF(F385=1,"PASS","GAP")</x:f>
        <x:v>PASS</x:v>
      </x:c>
    </x:row>
    <x:row r="386">
      <x:c r="B386" t="str">
        <x:v>PL-0380</x:v>
      </x:c>
      <x:c r="C386" t="str">
        <x:v>PLANNING</x:v>
      </x:c>
      <x:c r="D386" t="str">
        <x:v>trial</x:v>
      </x:c>
      <x:c r="E386" t="str">
        <x:v>trial 129</x:v>
      </x:c>
      <x:c r="F386" t="n">
        <x:f>Controls!$D$41</x:f>
        <x:v>1</x:v>
      </x:c>
      <x:c r="G386" t="n">
        <x:v>1</x:v>
      </x:c>
      <x:c r="H386" t="str">
        <x:v>RAW design authority</x:v>
      </x:c>
      <x:c r="I386" t="str">
        <x:f>IF(F386=1,"PASS","GAP")</x:f>
        <x:v>PASS</x:v>
      </x:c>
    </x:row>
    <x:row r="387">
      <x:c r="B387" t="str">
        <x:v>PL-0381</x:v>
      </x:c>
      <x:c r="C387" t="str">
        <x:v>PLANNING</x:v>
      </x:c>
      <x:c r="D387" t="str">
        <x:v>trial</x:v>
      </x:c>
      <x:c r="E387" t="str">
        <x:v>trial 130</x:v>
      </x:c>
      <x:c r="F387" t="n">
        <x:f>Controls!$D$41</x:f>
        <x:v>1</x:v>
      </x:c>
      <x:c r="G387" t="n">
        <x:v>1</x:v>
      </x:c>
      <x:c r="H387" t="str">
        <x:v>RAW design authority</x:v>
      </x:c>
      <x:c r="I387" t="str">
        <x:f>IF(F387=1,"PASS","GAP")</x:f>
        <x:v>PASS</x:v>
      </x:c>
    </x:row>
    <x:row r="388">
      <x:c r="B388" t="str">
        <x:v>PL-0382</x:v>
      </x:c>
      <x:c r="C388" t="str">
        <x:v>PLANNING</x:v>
      </x:c>
      <x:c r="D388" t="str">
        <x:v>trial</x:v>
      </x:c>
      <x:c r="E388" t="str">
        <x:v>trial 131</x:v>
      </x:c>
      <x:c r="F388" t="n">
        <x:f>Controls!$D$41</x:f>
        <x:v>1</x:v>
      </x:c>
      <x:c r="G388" t="n">
        <x:v>1</x:v>
      </x:c>
      <x:c r="H388" t="str">
        <x:v>RAW design authority</x:v>
      </x:c>
      <x:c r="I388" t="str">
        <x:f>IF(F388=1,"PASS","GAP")</x:f>
        <x:v>PASS</x:v>
      </x:c>
    </x:row>
    <x:row r="389">
      <x:c r="B389" t="str">
        <x:v>PL-0383</x:v>
      </x:c>
      <x:c r="C389" t="str">
        <x:v>PLANNING</x:v>
      </x:c>
      <x:c r="D389" t="str">
        <x:v>trial</x:v>
      </x:c>
      <x:c r="E389" t="str">
        <x:v>trial 132</x:v>
      </x:c>
      <x:c r="F389" t="n">
        <x:f>Controls!$D$41</x:f>
        <x:v>1</x:v>
      </x:c>
      <x:c r="G389" t="n">
        <x:v>1</x:v>
      </x:c>
      <x:c r="H389" t="str">
        <x:v>RAW design authority</x:v>
      </x:c>
      <x:c r="I389" t="str">
        <x:f>IF(F389=1,"PASS","GAP")</x:f>
        <x:v>PASS</x:v>
      </x:c>
    </x:row>
    <x:row r="390">
      <x:c r="B390" t="str">
        <x:v>PL-0384</x:v>
      </x:c>
      <x:c r="C390" t="str">
        <x:v>PLANNING</x:v>
      </x:c>
      <x:c r="D390" t="str">
        <x:v>trial</x:v>
      </x:c>
      <x:c r="E390" t="str">
        <x:v>trial 133</x:v>
      </x:c>
      <x:c r="F390" t="n">
        <x:f>Controls!$D$41</x:f>
        <x:v>1</x:v>
      </x:c>
      <x:c r="G390" t="n">
        <x:v>1</x:v>
      </x:c>
      <x:c r="H390" t="str">
        <x:v>RAW design authority</x:v>
      </x:c>
      <x:c r="I390" t="str">
        <x:f>IF(F390=1,"PASS","GAP")</x:f>
        <x:v>PASS</x:v>
      </x:c>
    </x:row>
    <x:row r="391">
      <x:c r="B391" t="str">
        <x:v>PL-0385</x:v>
      </x:c>
      <x:c r="C391" t="str">
        <x:v>PLANNING</x:v>
      </x:c>
      <x:c r="D391" t="str">
        <x:v>trial</x:v>
      </x:c>
      <x:c r="E391" t="str">
        <x:v>trial 134</x:v>
      </x:c>
      <x:c r="F391" t="n">
        <x:f>Controls!$D$41</x:f>
        <x:v>1</x:v>
      </x:c>
      <x:c r="G391" t="n">
        <x:v>1</x:v>
      </x:c>
      <x:c r="H391" t="str">
        <x:v>RAW design authority</x:v>
      </x:c>
      <x:c r="I391" t="str">
        <x:f>IF(F391=1,"PASS","GAP")</x:f>
        <x:v>PASS</x:v>
      </x:c>
    </x:row>
    <x:row r="392">
      <x:c r="B392" t="str">
        <x:v>PL-0386</x:v>
      </x:c>
      <x:c r="C392" t="str">
        <x:v>PLANNING</x:v>
      </x:c>
      <x:c r="D392" t="str">
        <x:v>trial</x:v>
      </x:c>
      <x:c r="E392" t="str">
        <x:v>trial 135</x:v>
      </x:c>
      <x:c r="F392" t="n">
        <x:f>Controls!$D$41</x:f>
        <x:v>1</x:v>
      </x:c>
      <x:c r="G392" t="n">
        <x:v>1</x:v>
      </x:c>
      <x:c r="H392" t="str">
        <x:v>RAW design authority</x:v>
      </x:c>
      <x:c r="I392" t="str">
        <x:f>IF(F392=1,"PASS","GAP")</x:f>
        <x:v>PASS</x:v>
      </x:c>
    </x:row>
    <x:row r="393">
      <x:c r="B393" t="str">
        <x:v>PL-0387</x:v>
      </x:c>
      <x:c r="C393" t="str">
        <x:v>PLANNING</x:v>
      </x:c>
      <x:c r="D393" t="str">
        <x:v>trial</x:v>
      </x:c>
      <x:c r="E393" t="str">
        <x:v>trial 136</x:v>
      </x:c>
      <x:c r="F393" t="n">
        <x:f>Controls!$D$41</x:f>
        <x:v>1</x:v>
      </x:c>
      <x:c r="G393" t="n">
        <x:v>1</x:v>
      </x:c>
      <x:c r="H393" t="str">
        <x:v>RAW design authority</x:v>
      </x:c>
      <x:c r="I393" t="str">
        <x:f>IF(F393=1,"PASS","GAP")</x:f>
        <x:v>PASS</x:v>
      </x:c>
    </x:row>
    <x:row r="394">
      <x:c r="B394" t="str">
        <x:v>PL-0388</x:v>
      </x:c>
      <x:c r="C394" t="str">
        <x:v>PLANNING</x:v>
      </x:c>
      <x:c r="D394" t="str">
        <x:v>trial</x:v>
      </x:c>
      <x:c r="E394" t="str">
        <x:v>trial 137</x:v>
      </x:c>
      <x:c r="F394" t="n">
        <x:f>Controls!$D$41</x:f>
        <x:v>1</x:v>
      </x:c>
      <x:c r="G394" t="n">
        <x:v>1</x:v>
      </x:c>
      <x:c r="H394" t="str">
        <x:v>RAW design authority</x:v>
      </x:c>
      <x:c r="I394" t="str">
        <x:f>IF(F394=1,"PASS","GAP")</x:f>
        <x:v>PASS</x:v>
      </x:c>
    </x:row>
    <x:row r="395">
      <x:c r="B395" t="str">
        <x:v>PL-0389</x:v>
      </x:c>
      <x:c r="C395" t="str">
        <x:v>PLANNING</x:v>
      </x:c>
      <x:c r="D395" t="str">
        <x:v>trial</x:v>
      </x:c>
      <x:c r="E395" t="str">
        <x:v>trial 138</x:v>
      </x:c>
      <x:c r="F395" t="n">
        <x:f>Controls!$D$41</x:f>
        <x:v>1</x:v>
      </x:c>
      <x:c r="G395" t="n">
        <x:v>1</x:v>
      </x:c>
      <x:c r="H395" t="str">
        <x:v>RAW design authority</x:v>
      </x:c>
      <x:c r="I395" t="str">
        <x:f>IF(F395=1,"PASS","GAP")</x:f>
        <x:v>PASS</x:v>
      </x:c>
    </x:row>
    <x:row r="396">
      <x:c r="B396" t="str">
        <x:v>PL-0390</x:v>
      </x:c>
      <x:c r="C396" t="str">
        <x:v>PLANNING</x:v>
      </x:c>
      <x:c r="D396" t="str">
        <x:v>trial</x:v>
      </x:c>
      <x:c r="E396" t="str">
        <x:v>trial 139</x:v>
      </x:c>
      <x:c r="F396" t="n">
        <x:f>Controls!$D$41</x:f>
        <x:v>1</x:v>
      </x:c>
      <x:c r="G396" t="n">
        <x:v>1</x:v>
      </x:c>
      <x:c r="H396" t="str">
        <x:v>RAW design authority</x:v>
      </x:c>
      <x:c r="I396" t="str">
        <x:f>IF(F396=1,"PASS","GAP")</x:f>
        <x:v>PASS</x:v>
      </x:c>
    </x:row>
    <x:row r="397">
      <x:c r="B397" t="str">
        <x:v>PL-0391</x:v>
      </x:c>
      <x:c r="C397" t="str">
        <x:v>PLANNING</x:v>
      </x:c>
      <x:c r="D397" t="str">
        <x:v>trial</x:v>
      </x:c>
      <x:c r="E397" t="str">
        <x:v>trial 140</x:v>
      </x:c>
      <x:c r="F397" t="n">
        <x:f>Controls!$D$41</x:f>
        <x:v>1</x:v>
      </x:c>
      <x:c r="G397" t="n">
        <x:v>1</x:v>
      </x:c>
      <x:c r="H397" t="str">
        <x:v>RAW design authority</x:v>
      </x:c>
      <x:c r="I397" t="str">
        <x:f>IF(F397=1,"PASS","GAP")</x:f>
        <x:v>PASS</x:v>
      </x:c>
    </x:row>
    <x:row r="398">
      <x:c r="B398" t="str">
        <x:v>PL-0392</x:v>
      </x:c>
      <x:c r="C398" t="str">
        <x:v>PLANNING</x:v>
      </x:c>
      <x:c r="D398" t="str">
        <x:v>trial</x:v>
      </x:c>
      <x:c r="E398" t="str">
        <x:v>trial 141</x:v>
      </x:c>
      <x:c r="F398" t="n">
        <x:f>Controls!$D$41</x:f>
        <x:v>1</x:v>
      </x:c>
      <x:c r="G398" t="n">
        <x:v>1</x:v>
      </x:c>
      <x:c r="H398" t="str">
        <x:v>RAW design authority</x:v>
      </x:c>
      <x:c r="I398" t="str">
        <x:f>IF(F398=1,"PASS","GAP")</x:f>
        <x:v>PASS</x:v>
      </x:c>
    </x:row>
    <x:row r="399">
      <x:c r="B399" t="str">
        <x:v>PL-0393</x:v>
      </x:c>
      <x:c r="C399" t="str">
        <x:v>PLANNING</x:v>
      </x:c>
      <x:c r="D399" t="str">
        <x:v>trial</x:v>
      </x:c>
      <x:c r="E399" t="str">
        <x:v>trial 142</x:v>
      </x:c>
      <x:c r="F399" t="n">
        <x:f>Controls!$D$41</x:f>
        <x:v>1</x:v>
      </x:c>
      <x:c r="G399" t="n">
        <x:v>1</x:v>
      </x:c>
      <x:c r="H399" t="str">
        <x:v>RAW design authority</x:v>
      </x:c>
      <x:c r="I399" t="str">
        <x:f>IF(F399=1,"PASS","GAP")</x:f>
        <x:v>PASS</x:v>
      </x:c>
    </x:row>
    <x:row r="400">
      <x:c r="B400" t="str">
        <x:v>PL-0394</x:v>
      </x:c>
      <x:c r="C400" t="str">
        <x:v>PLANNING</x:v>
      </x:c>
      <x:c r="D400" t="str">
        <x:v>trial</x:v>
      </x:c>
      <x:c r="E400" t="str">
        <x:v>trial 143</x:v>
      </x:c>
      <x:c r="F400" t="n">
        <x:f>Controls!$D$41</x:f>
        <x:v>1</x:v>
      </x:c>
      <x:c r="G400" t="n">
        <x:v>1</x:v>
      </x:c>
      <x:c r="H400" t="str">
        <x:v>RAW design authority</x:v>
      </x:c>
      <x:c r="I400" t="str">
        <x:f>IF(F400=1,"PASS","GAP")</x:f>
        <x:v>PASS</x:v>
      </x:c>
    </x:row>
    <x:row r="401">
      <x:c r="B401" t="str">
        <x:v>PL-0395</x:v>
      </x:c>
      <x:c r="C401" t="str">
        <x:v>PLANNING</x:v>
      </x:c>
      <x:c r="D401" t="str">
        <x:v>trial</x:v>
      </x:c>
      <x:c r="E401" t="str">
        <x:v>trial 144</x:v>
      </x:c>
      <x:c r="F401" t="n">
        <x:f>Controls!$D$41</x:f>
        <x:v>1</x:v>
      </x:c>
      <x:c r="G401" t="n">
        <x:v>1</x:v>
      </x:c>
      <x:c r="H401" t="str">
        <x:v>RAW design authority</x:v>
      </x:c>
      <x:c r="I401" t="str">
        <x:f>IF(F401=1,"PASS","GAP")</x:f>
        <x:v>PASS</x:v>
      </x:c>
    </x:row>
    <x:row r="402">
      <x:c r="B402" t="str">
        <x:v>PL-0396</x:v>
      </x:c>
      <x:c r="C402" t="str">
        <x:v>PLANNING</x:v>
      </x:c>
      <x:c r="D402" t="str">
        <x:v>trial</x:v>
      </x:c>
      <x:c r="E402" t="str">
        <x:v>trial 145</x:v>
      </x:c>
      <x:c r="F402" t="n">
        <x:f>Controls!$D$41</x:f>
        <x:v>1</x:v>
      </x:c>
      <x:c r="G402" t="n">
        <x:v>1</x:v>
      </x:c>
      <x:c r="H402" t="str">
        <x:v>RAW design authority</x:v>
      </x:c>
      <x:c r="I402" t="str">
        <x:f>IF(F402=1,"PASS","GAP")</x:f>
        <x:v>PASS</x:v>
      </x:c>
    </x:row>
    <x:row r="403">
      <x:c r="B403" t="str">
        <x:v>PL-0397</x:v>
      </x:c>
      <x:c r="C403" t="str">
        <x:v>PLANNING</x:v>
      </x:c>
      <x:c r="D403" t="str">
        <x:v>trial</x:v>
      </x:c>
      <x:c r="E403" t="str">
        <x:v>trial 146</x:v>
      </x:c>
      <x:c r="F403" t="n">
        <x:f>Controls!$D$41</x:f>
        <x:v>1</x:v>
      </x:c>
      <x:c r="G403" t="n">
        <x:v>1</x:v>
      </x:c>
      <x:c r="H403" t="str">
        <x:v>RAW design authority</x:v>
      </x:c>
      <x:c r="I403" t="str">
        <x:f>IF(F403=1,"PASS","GAP")</x:f>
        <x:v>PASS</x:v>
      </x:c>
    </x:row>
    <x:row r="404">
      <x:c r="B404" t="str">
        <x:v>PL-0398</x:v>
      </x:c>
      <x:c r="C404" t="str">
        <x:v>PLANNING</x:v>
      </x:c>
      <x:c r="D404" t="str">
        <x:v>trial</x:v>
      </x:c>
      <x:c r="E404" t="str">
        <x:v>trial 147</x:v>
      </x:c>
      <x:c r="F404" t="n">
        <x:f>Controls!$D$41</x:f>
        <x:v>1</x:v>
      </x:c>
      <x:c r="G404" t="n">
        <x:v>1</x:v>
      </x:c>
      <x:c r="H404" t="str">
        <x:v>RAW design authority</x:v>
      </x:c>
      <x:c r="I404" t="str">
        <x:f>IF(F404=1,"PASS","GAP")</x:f>
        <x:v>PASS</x:v>
      </x:c>
    </x:row>
    <x:row r="405">
      <x:c r="B405" t="str">
        <x:v>PL-0399</x:v>
      </x:c>
      <x:c r="C405" t="str">
        <x:v>PLANNING</x:v>
      </x:c>
      <x:c r="D405" t="str">
        <x:v>trial</x:v>
      </x:c>
      <x:c r="E405" t="str">
        <x:v>trial 148</x:v>
      </x:c>
      <x:c r="F405" t="n">
        <x:f>Controls!$D$41</x:f>
        <x:v>1</x:v>
      </x:c>
      <x:c r="G405" t="n">
        <x:v>1</x:v>
      </x:c>
      <x:c r="H405" t="str">
        <x:v>RAW design authority</x:v>
      </x:c>
      <x:c r="I405" t="str">
        <x:f>IF(F405=1,"PASS","GAP")</x:f>
        <x:v>PASS</x:v>
      </x:c>
    </x:row>
    <x:row r="406">
      <x:c r="B406" t="str">
        <x:v>PL-0400</x:v>
      </x:c>
      <x:c r="C406" t="str">
        <x:v>PLANNING</x:v>
      </x:c>
      <x:c r="D406" t="str">
        <x:v>trial</x:v>
      </x:c>
      <x:c r="E406" t="str">
        <x:v>trial 149</x:v>
      </x:c>
      <x:c r="F406" t="n">
        <x:f>Controls!$D$41</x:f>
        <x:v>1</x:v>
      </x:c>
      <x:c r="G406" t="n">
        <x:v>1</x:v>
      </x:c>
      <x:c r="H406" t="str">
        <x:v>RAW design authority</x:v>
      </x:c>
      <x:c r="I406" t="str">
        <x:f>IF(F406=1,"PASS","GAP")</x:f>
        <x:v>PASS</x:v>
      </x:c>
    </x:row>
    <x:row r="407">
      <x:c r="B407" t="str">
        <x:v>PL-0401</x:v>
      </x:c>
      <x:c r="C407" t="str">
        <x:v>PLANNING</x:v>
      </x:c>
      <x:c r="D407" t="str">
        <x:v>trial</x:v>
      </x:c>
      <x:c r="E407" t="str">
        <x:v>trial 150</x:v>
      </x:c>
      <x:c r="F407" t="n">
        <x:f>Controls!$D$41</x:f>
        <x:v>1</x:v>
      </x:c>
      <x:c r="G407" t="n">
        <x:v>1</x:v>
      </x:c>
      <x:c r="H407" t="str">
        <x:v>RAW design authority</x:v>
      </x:c>
      <x:c r="I407" t="str">
        <x:f>IF(F407=1,"PASS","GAP")</x:f>
        <x:v>PASS</x:v>
      </x:c>
    </x:row>
    <x:row r="408">
      <x:c r="B408" t="str">
        <x:v>PL-0402</x:v>
      </x:c>
      <x:c r="C408" t="str">
        <x:v>PLANNING</x:v>
      </x:c>
      <x:c r="D408" t="str">
        <x:v>trial</x:v>
      </x:c>
      <x:c r="E408" t="str">
        <x:v>trial 151</x:v>
      </x:c>
      <x:c r="F408" t="n">
        <x:f>Controls!$D$41</x:f>
        <x:v>1</x:v>
      </x:c>
      <x:c r="G408" t="n">
        <x:v>1</x:v>
      </x:c>
      <x:c r="H408" t="str">
        <x:v>RAW design authority</x:v>
      </x:c>
      <x:c r="I408" t="str">
        <x:f>IF(F408=1,"PASS","GAP")</x:f>
        <x:v>PASS</x:v>
      </x:c>
    </x:row>
    <x:row r="409">
      <x:c r="B409" t="str">
        <x:v>PL-0403</x:v>
      </x:c>
      <x:c r="C409" t="str">
        <x:v>PLANNING</x:v>
      </x:c>
      <x:c r="D409" t="str">
        <x:v>trial</x:v>
      </x:c>
      <x:c r="E409" t="str">
        <x:v>trial 152</x:v>
      </x:c>
      <x:c r="F409" t="n">
        <x:f>Controls!$D$41</x:f>
        <x:v>1</x:v>
      </x:c>
      <x:c r="G409" t="n">
        <x:v>1</x:v>
      </x:c>
      <x:c r="H409" t="str">
        <x:v>RAW design authority</x:v>
      </x:c>
      <x:c r="I409" t="str">
        <x:f>IF(F409=1,"PASS","GAP")</x:f>
        <x:v>PASS</x:v>
      </x:c>
    </x:row>
    <x:row r="410">
      <x:c r="B410" t="str">
        <x:v>PL-0404</x:v>
      </x:c>
      <x:c r="C410" t="str">
        <x:v>PLANNING</x:v>
      </x:c>
      <x:c r="D410" t="str">
        <x:v>trial</x:v>
      </x:c>
      <x:c r="E410" t="str">
        <x:v>trial 153</x:v>
      </x:c>
      <x:c r="F410" t="n">
        <x:f>Controls!$D$41</x:f>
        <x:v>1</x:v>
      </x:c>
      <x:c r="G410" t="n">
        <x:v>1</x:v>
      </x:c>
      <x:c r="H410" t="str">
        <x:v>RAW design authority</x:v>
      </x:c>
      <x:c r="I410" t="str">
        <x:f>IF(F410=1,"PASS","GAP")</x:f>
        <x:v>PASS</x:v>
      </x:c>
    </x:row>
    <x:row r="411">
      <x:c r="B411" t="str">
        <x:v>PL-0405</x:v>
      </x:c>
      <x:c r="C411" t="str">
        <x:v>PLANNING</x:v>
      </x:c>
      <x:c r="D411" t="str">
        <x:v>trial</x:v>
      </x:c>
      <x:c r="E411" t="str">
        <x:v>trial 154</x:v>
      </x:c>
      <x:c r="F411" t="n">
        <x:f>Controls!$D$41</x:f>
        <x:v>1</x:v>
      </x:c>
      <x:c r="G411" t="n">
        <x:v>1</x:v>
      </x:c>
      <x:c r="H411" t="str">
        <x:v>RAW design authority</x:v>
      </x:c>
      <x:c r="I411" t="str">
        <x:f>IF(F411=1,"PASS","GAP")</x:f>
        <x:v>PASS</x:v>
      </x:c>
    </x:row>
    <x:row r="412">
      <x:c r="B412" t="str">
        <x:v>PL-0406</x:v>
      </x:c>
      <x:c r="C412" t="str">
        <x:v>PLANNING</x:v>
      </x:c>
      <x:c r="D412" t="str">
        <x:v>trial</x:v>
      </x:c>
      <x:c r="E412" t="str">
        <x:v>trial 155</x:v>
      </x:c>
      <x:c r="F412" t="n">
        <x:f>Controls!$D$41</x:f>
        <x:v>1</x:v>
      </x:c>
      <x:c r="G412" t="n">
        <x:v>1</x:v>
      </x:c>
      <x:c r="H412" t="str">
        <x:v>RAW design authority</x:v>
      </x:c>
      <x:c r="I412" t="str">
        <x:f>IF(F412=1,"PASS","GAP")</x:f>
        <x:v>PASS</x:v>
      </x:c>
    </x:row>
    <x:row r="413">
      <x:c r="B413" t="str">
        <x:v>PL-0407</x:v>
      </x:c>
      <x:c r="C413" t="str">
        <x:v>PLANNING</x:v>
      </x:c>
      <x:c r="D413" t="str">
        <x:v>trial</x:v>
      </x:c>
      <x:c r="E413" t="str">
        <x:v>trial 156</x:v>
      </x:c>
      <x:c r="F413" t="n">
        <x:f>Controls!$D$41</x:f>
        <x:v>1</x:v>
      </x:c>
      <x:c r="G413" t="n">
        <x:v>1</x:v>
      </x:c>
      <x:c r="H413" t="str">
        <x:v>RAW design authority</x:v>
      </x:c>
      <x:c r="I413" t="str">
        <x:f>IF(F413=1,"PASS","GAP")</x:f>
        <x:v>PASS</x:v>
      </x:c>
    </x:row>
    <x:row r="414">
      <x:c r="B414" t="str">
        <x:v>PL-0408</x:v>
      </x:c>
      <x:c r="C414" t="str">
        <x:v>PLANNING</x:v>
      </x:c>
      <x:c r="D414" t="str">
        <x:v>trial</x:v>
      </x:c>
      <x:c r="E414" t="str">
        <x:v>trial 157</x:v>
      </x:c>
      <x:c r="F414" t="n">
        <x:f>Controls!$D$41</x:f>
        <x:v>1</x:v>
      </x:c>
      <x:c r="G414" t="n">
        <x:v>1</x:v>
      </x:c>
      <x:c r="H414" t="str">
        <x:v>RAW design authority</x:v>
      </x:c>
      <x:c r="I414" t="str">
        <x:f>IF(F414=1,"PASS","GAP")</x:f>
        <x:v>PASS</x:v>
      </x:c>
    </x:row>
    <x:row r="415">
      <x:c r="B415" t="str">
        <x:v>PL-0409</x:v>
      </x:c>
      <x:c r="C415" t="str">
        <x:v>PLANNING</x:v>
      </x:c>
      <x:c r="D415" t="str">
        <x:v>trial</x:v>
      </x:c>
      <x:c r="E415" t="str">
        <x:v>trial 158</x:v>
      </x:c>
      <x:c r="F415" t="n">
        <x:f>Controls!$D$41</x:f>
        <x:v>1</x:v>
      </x:c>
      <x:c r="G415" t="n">
        <x:v>1</x:v>
      </x:c>
      <x:c r="H415" t="str">
        <x:v>RAW design authority</x:v>
      </x:c>
      <x:c r="I415" t="str">
        <x:f>IF(F415=1,"PASS","GAP")</x:f>
        <x:v>PASS</x:v>
      </x:c>
    </x:row>
    <x:row r="416">
      <x:c r="B416" t="str">
        <x:v>PL-0410</x:v>
      </x:c>
      <x:c r="C416" t="str">
        <x:v>PLANNING</x:v>
      </x:c>
      <x:c r="D416" t="str">
        <x:v>trial</x:v>
      </x:c>
      <x:c r="E416" t="str">
        <x:v>trial 159</x:v>
      </x:c>
      <x:c r="F416" t="n">
        <x:f>Controls!$D$41</x:f>
        <x:v>1</x:v>
      </x:c>
      <x:c r="G416" t="n">
        <x:v>1</x:v>
      </x:c>
      <x:c r="H416" t="str">
        <x:v>RAW design authority</x:v>
      </x:c>
      <x:c r="I416" t="str">
        <x:f>IF(F416=1,"PASS","GAP")</x:f>
        <x:v>PASS</x:v>
      </x:c>
    </x:row>
    <x:row r="417">
      <x:c r="B417" t="str">
        <x:v>PL-0411</x:v>
      </x:c>
      <x:c r="C417" t="str">
        <x:v>PLANNING</x:v>
      </x:c>
      <x:c r="D417" t="str">
        <x:v>trial</x:v>
      </x:c>
      <x:c r="E417" t="str">
        <x:v>trial 160</x:v>
      </x:c>
      <x:c r="F417" t="n">
        <x:f>Controls!$D$41</x:f>
        <x:v>1</x:v>
      </x:c>
      <x:c r="G417" t="n">
        <x:v>1</x:v>
      </x:c>
      <x:c r="H417" t="str">
        <x:v>RAW design authority</x:v>
      </x:c>
      <x:c r="I417" t="str">
        <x:f>IF(F417=1,"PASS","GAP")</x:f>
        <x:v>PASS</x:v>
      </x:c>
    </x:row>
    <x:row r="418">
      <x:c r="B418" t="str">
        <x:v>PL-0412</x:v>
      </x:c>
      <x:c r="C418" t="str">
        <x:v>PLANNING</x:v>
      </x:c>
      <x:c r="D418" t="str">
        <x:v>trial</x:v>
      </x:c>
      <x:c r="E418" t="str">
        <x:v>trial 161</x:v>
      </x:c>
      <x:c r="F418" t="n">
        <x:f>Controls!$D$41</x:f>
        <x:v>1</x:v>
      </x:c>
      <x:c r="G418" t="n">
        <x:v>1</x:v>
      </x:c>
      <x:c r="H418" t="str">
        <x:v>RAW design authority</x:v>
      </x:c>
      <x:c r="I418" t="str">
        <x:f>IF(F418=1,"PASS","GAP")</x:f>
        <x:v>PASS</x:v>
      </x:c>
    </x:row>
    <x:row r="419">
      <x:c r="B419" t="str">
        <x:v>PL-0413</x:v>
      </x:c>
      <x:c r="C419" t="str">
        <x:v>PLANNING</x:v>
      </x:c>
      <x:c r="D419" t="str">
        <x:v>trial</x:v>
      </x:c>
      <x:c r="E419" t="str">
        <x:v>trial 162</x:v>
      </x:c>
      <x:c r="F419" t="n">
        <x:f>Controls!$D$41</x:f>
        <x:v>1</x:v>
      </x:c>
      <x:c r="G419" t="n">
        <x:v>1</x:v>
      </x:c>
      <x:c r="H419" t="str">
        <x:v>RAW design authority</x:v>
      </x:c>
      <x:c r="I419" t="str">
        <x:f>IF(F419=1,"PASS","GAP")</x:f>
        <x:v>PASS</x:v>
      </x:c>
    </x:row>
    <x:row r="420">
      <x:c r="B420" t="str">
        <x:v>PL-0414</x:v>
      </x:c>
      <x:c r="C420" t="str">
        <x:v>PLANNING</x:v>
      </x:c>
      <x:c r="D420" t="str">
        <x:v>trial</x:v>
      </x:c>
      <x:c r="E420" t="str">
        <x:v>trial 163</x:v>
      </x:c>
      <x:c r="F420" t="n">
        <x:f>Controls!$D$41</x:f>
        <x:v>1</x:v>
      </x:c>
      <x:c r="G420" t="n">
        <x:v>1</x:v>
      </x:c>
      <x:c r="H420" t="str">
        <x:v>RAW design authority</x:v>
      </x:c>
      <x:c r="I420" t="str">
        <x:f>IF(F420=1,"PASS","GAP")</x:f>
        <x:v>PASS</x:v>
      </x:c>
    </x:row>
    <x:row r="421">
      <x:c r="B421" t="str">
        <x:v>PL-0415</x:v>
      </x:c>
      <x:c r="C421" t="str">
        <x:v>PLANNING</x:v>
      </x:c>
      <x:c r="D421" t="str">
        <x:v>trial</x:v>
      </x:c>
      <x:c r="E421" t="str">
        <x:v>trial 164</x:v>
      </x:c>
      <x:c r="F421" t="n">
        <x:f>Controls!$D$41</x:f>
        <x:v>1</x:v>
      </x:c>
      <x:c r="G421" t="n">
        <x:v>1</x:v>
      </x:c>
      <x:c r="H421" t="str">
        <x:v>RAW design authority</x:v>
      </x:c>
      <x:c r="I421" t="str">
        <x:f>IF(F421=1,"PASS","GAP")</x:f>
        <x:v>PASS</x:v>
      </x:c>
    </x:row>
    <x:row r="422">
      <x:c r="B422" t="str">
        <x:v>PL-0416</x:v>
      </x:c>
      <x:c r="C422" t="str">
        <x:v>PLANNING</x:v>
      </x:c>
      <x:c r="D422" t="str">
        <x:v>trial</x:v>
      </x:c>
      <x:c r="E422" t="str">
        <x:v>trial 165</x:v>
      </x:c>
      <x:c r="F422" t="n">
        <x:f>Controls!$D$41</x:f>
        <x:v>1</x:v>
      </x:c>
      <x:c r="G422" t="n">
        <x:v>1</x:v>
      </x:c>
      <x:c r="H422" t="str">
        <x:v>RAW design authority</x:v>
      </x:c>
      <x:c r="I422" t="str">
        <x:f>IF(F422=1,"PASS","GAP")</x:f>
        <x:v>PASS</x:v>
      </x:c>
    </x:row>
    <x:row r="423">
      <x:c r="B423" t="str">
        <x:v>PL-0417</x:v>
      </x:c>
      <x:c r="C423" t="str">
        <x:v>PLANNING</x:v>
      </x:c>
      <x:c r="D423" t="str">
        <x:v>trial</x:v>
      </x:c>
      <x:c r="E423" t="str">
        <x:v>trial 166</x:v>
      </x:c>
      <x:c r="F423" t="n">
        <x:f>Controls!$D$41</x:f>
        <x:v>1</x:v>
      </x:c>
      <x:c r="G423" t="n">
        <x:v>1</x:v>
      </x:c>
      <x:c r="H423" t="str">
        <x:v>RAW design authority</x:v>
      </x:c>
      <x:c r="I423" t="str">
        <x:f>IF(F423=1,"PASS","GAP")</x:f>
        <x:v>PASS</x:v>
      </x:c>
    </x:row>
    <x:row r="424">
      <x:c r="B424" t="str">
        <x:v>PL-0418</x:v>
      </x:c>
      <x:c r="C424" t="str">
        <x:v>PLANNING</x:v>
      </x:c>
      <x:c r="D424" t="str">
        <x:v>trial</x:v>
      </x:c>
      <x:c r="E424" t="str">
        <x:v>trial 167</x:v>
      </x:c>
      <x:c r="F424" t="n">
        <x:f>Controls!$D$41</x:f>
        <x:v>1</x:v>
      </x:c>
      <x:c r="G424" t="n">
        <x:v>1</x:v>
      </x:c>
      <x:c r="H424" t="str">
        <x:v>RAW design authority</x:v>
      </x:c>
      <x:c r="I424" t="str">
        <x:f>IF(F424=1,"PASS","GAP")</x:f>
        <x:v>PASS</x:v>
      </x:c>
    </x:row>
    <x:row r="425">
      <x:c r="B425" t="str">
        <x:v>PL-0419</x:v>
      </x:c>
      <x:c r="C425" t="str">
        <x:v>PLANNING</x:v>
      </x:c>
      <x:c r="D425" t="str">
        <x:v>trial</x:v>
      </x:c>
      <x:c r="E425" t="str">
        <x:v>trial 168</x:v>
      </x:c>
      <x:c r="F425" t="n">
        <x:f>Controls!$D$41</x:f>
        <x:v>1</x:v>
      </x:c>
      <x:c r="G425" t="n">
        <x:v>1</x:v>
      </x:c>
      <x:c r="H425" t="str">
        <x:v>RAW design authority</x:v>
      </x:c>
      <x:c r="I425" t="str">
        <x:f>IF(F425=1,"PASS","GAP")</x:f>
        <x:v>PASS</x:v>
      </x:c>
    </x:row>
    <x:row r="426">
      <x:c r="B426" t="str">
        <x:v>PL-0420</x:v>
      </x:c>
      <x:c r="C426" t="str">
        <x:v>PLANNING</x:v>
      </x:c>
      <x:c r="D426" t="str">
        <x:v>trial</x:v>
      </x:c>
      <x:c r="E426" t="str">
        <x:v>trial 169</x:v>
      </x:c>
      <x:c r="F426" t="n">
        <x:f>Controls!$D$41</x:f>
        <x:v>1</x:v>
      </x:c>
      <x:c r="G426" t="n">
        <x:v>1</x:v>
      </x:c>
      <x:c r="H426" t="str">
        <x:v>RAW design authority</x:v>
      </x:c>
      <x:c r="I426" t="str">
        <x:f>IF(F426=1,"PASS","GAP")</x:f>
        <x:v>PASS</x:v>
      </x:c>
    </x:row>
    <x:row r="427">
      <x:c r="B427" t="str">
        <x:v>PL-0421</x:v>
      </x:c>
      <x:c r="C427" t="str">
        <x:v>PLANNING</x:v>
      </x:c>
      <x:c r="D427" t="str">
        <x:v>trial</x:v>
      </x:c>
      <x:c r="E427" t="str">
        <x:v>trial 170</x:v>
      </x:c>
      <x:c r="F427" t="n">
        <x:f>Controls!$D$41</x:f>
        <x:v>1</x:v>
      </x:c>
      <x:c r="G427" t="n">
        <x:v>1</x:v>
      </x:c>
      <x:c r="H427" t="str">
        <x:v>RAW design authority</x:v>
      </x:c>
      <x:c r="I427" t="str">
        <x:f>IF(F427=1,"PASS","GAP")</x:f>
        <x:v>PASS</x:v>
      </x:c>
    </x:row>
    <x:row r="428">
      <x:c r="B428" t="str">
        <x:v>PL-0422</x:v>
      </x:c>
      <x:c r="C428" t="str">
        <x:v>PLANNING</x:v>
      </x:c>
      <x:c r="D428" t="str">
        <x:v>trial</x:v>
      </x:c>
      <x:c r="E428" t="str">
        <x:v>trial 171</x:v>
      </x:c>
      <x:c r="F428" t="n">
        <x:f>Controls!$D$41</x:f>
        <x:v>1</x:v>
      </x:c>
      <x:c r="G428" t="n">
        <x:v>1</x:v>
      </x:c>
      <x:c r="H428" t="str">
        <x:v>RAW design authority</x:v>
      </x:c>
      <x:c r="I428" t="str">
        <x:f>IF(F428=1,"PASS","GAP")</x:f>
        <x:v>PASS</x:v>
      </x:c>
    </x:row>
    <x:row r="429">
      <x:c r="B429" t="str">
        <x:v>PL-0423</x:v>
      </x:c>
      <x:c r="C429" t="str">
        <x:v>PLANNING</x:v>
      </x:c>
      <x:c r="D429" t="str">
        <x:v>trial</x:v>
      </x:c>
      <x:c r="E429" t="str">
        <x:v>trial 172</x:v>
      </x:c>
      <x:c r="F429" t="n">
        <x:f>Controls!$D$41</x:f>
        <x:v>1</x:v>
      </x:c>
      <x:c r="G429" t="n">
        <x:v>1</x:v>
      </x:c>
      <x:c r="H429" t="str">
        <x:v>RAW design authority</x:v>
      </x:c>
      <x:c r="I429" t="str">
        <x:f>IF(F429=1,"PASS","GAP")</x:f>
        <x:v>PASS</x:v>
      </x:c>
    </x:row>
    <x:row r="430">
      <x:c r="B430" t="str">
        <x:v>PL-0424</x:v>
      </x:c>
      <x:c r="C430" t="str">
        <x:v>PLANNING</x:v>
      </x:c>
      <x:c r="D430" t="str">
        <x:v>trial</x:v>
      </x:c>
      <x:c r="E430" t="str">
        <x:v>trial 173</x:v>
      </x:c>
      <x:c r="F430" t="n">
        <x:f>Controls!$D$41</x:f>
        <x:v>1</x:v>
      </x:c>
      <x:c r="G430" t="n">
        <x:v>1</x:v>
      </x:c>
      <x:c r="H430" t="str">
        <x:v>RAW design authority</x:v>
      </x:c>
      <x:c r="I430" t="str">
        <x:f>IF(F430=1,"PASS","GAP")</x:f>
        <x:v>PASS</x:v>
      </x:c>
    </x:row>
    <x:row r="431">
      <x:c r="B431" t="str">
        <x:v>PL-0425</x:v>
      </x:c>
      <x:c r="C431" t="str">
        <x:v>PLANNING</x:v>
      </x:c>
      <x:c r="D431" t="str">
        <x:v>trial</x:v>
      </x:c>
      <x:c r="E431" t="str">
        <x:v>trial 174</x:v>
      </x:c>
      <x:c r="F431" t="n">
        <x:f>Controls!$D$41</x:f>
        <x:v>1</x:v>
      </x:c>
      <x:c r="G431" t="n">
        <x:v>1</x:v>
      </x:c>
      <x:c r="H431" t="str">
        <x:v>RAW design authority</x:v>
      </x:c>
      <x:c r="I431" t="str">
        <x:f>IF(F431=1,"PASS","GAP")</x:f>
        <x:v>PASS</x:v>
      </x:c>
    </x:row>
    <x:row r="432">
      <x:c r="B432" t="str">
        <x:v>PL-0426</x:v>
      </x:c>
      <x:c r="C432" t="str">
        <x:v>PLANNING</x:v>
      </x:c>
      <x:c r="D432" t="str">
        <x:v>trial</x:v>
      </x:c>
      <x:c r="E432" t="str">
        <x:v>trial 175</x:v>
      </x:c>
      <x:c r="F432" t="n">
        <x:f>Controls!$D$41</x:f>
        <x:v>1</x:v>
      </x:c>
      <x:c r="G432" t="n">
        <x:v>1</x:v>
      </x:c>
      <x:c r="H432" t="str">
        <x:v>RAW design authority</x:v>
      </x:c>
      <x:c r="I432" t="str">
        <x:f>IF(F432=1,"PASS","GAP")</x:f>
        <x:v>PASS</x:v>
      </x:c>
    </x:row>
    <x:row r="433">
      <x:c r="B433" t="str">
        <x:v>PL-0427</x:v>
      </x:c>
      <x:c r="C433" t="str">
        <x:v>PLANNING</x:v>
      </x:c>
      <x:c r="D433" t="str">
        <x:v>trial</x:v>
      </x:c>
      <x:c r="E433" t="str">
        <x:v>trial 176</x:v>
      </x:c>
      <x:c r="F433" t="n">
        <x:f>Controls!$D$41</x:f>
        <x:v>1</x:v>
      </x:c>
      <x:c r="G433" t="n">
        <x:v>1</x:v>
      </x:c>
      <x:c r="H433" t="str">
        <x:v>RAW design authority</x:v>
      </x:c>
      <x:c r="I433" t="str">
        <x:f>IF(F433=1,"PASS","GAP")</x:f>
        <x:v>PASS</x:v>
      </x:c>
    </x:row>
    <x:row r="434">
      <x:c r="B434" t="str">
        <x:v>PL-0428</x:v>
      </x:c>
      <x:c r="C434" t="str">
        <x:v>PLANNING</x:v>
      </x:c>
      <x:c r="D434" t="str">
        <x:v>trial</x:v>
      </x:c>
      <x:c r="E434" t="str">
        <x:v>trial 177</x:v>
      </x:c>
      <x:c r="F434" t="n">
        <x:f>Controls!$D$41</x:f>
        <x:v>1</x:v>
      </x:c>
      <x:c r="G434" t="n">
        <x:v>1</x:v>
      </x:c>
      <x:c r="H434" t="str">
        <x:v>RAW design authority</x:v>
      </x:c>
      <x:c r="I434" t="str">
        <x:f>IF(F434=1,"PASS","GAP")</x:f>
        <x:v>PASS</x:v>
      </x:c>
    </x:row>
    <x:row r="435">
      <x:c r="B435" t="str">
        <x:v>PL-0429</x:v>
      </x:c>
      <x:c r="C435" t="str">
        <x:v>PLANNING</x:v>
      </x:c>
      <x:c r="D435" t="str">
        <x:v>trial</x:v>
      </x:c>
      <x:c r="E435" t="str">
        <x:v>trial 178</x:v>
      </x:c>
      <x:c r="F435" t="n">
        <x:f>Controls!$D$41</x:f>
        <x:v>1</x:v>
      </x:c>
      <x:c r="G435" t="n">
        <x:v>1</x:v>
      </x:c>
      <x:c r="H435" t="str">
        <x:v>RAW design authority</x:v>
      </x:c>
      <x:c r="I435" t="str">
        <x:f>IF(F435=1,"PASS","GAP")</x:f>
        <x:v>PASS</x:v>
      </x:c>
    </x:row>
    <x:row r="436">
      <x:c r="B436" t="str">
        <x:v>PL-0430</x:v>
      </x:c>
      <x:c r="C436" t="str">
        <x:v>PLANNING</x:v>
      </x:c>
      <x:c r="D436" t="str">
        <x:v>trial</x:v>
      </x:c>
      <x:c r="E436" t="str">
        <x:v>trial 179</x:v>
      </x:c>
      <x:c r="F436" t="n">
        <x:f>Controls!$D$41</x:f>
        <x:v>1</x:v>
      </x:c>
      <x:c r="G436" t="n">
        <x:v>1</x:v>
      </x:c>
      <x:c r="H436" t="str">
        <x:v>RAW design authority</x:v>
      </x:c>
      <x:c r="I436" t="str">
        <x:f>IF(F436=1,"PASS","GAP")</x:f>
        <x:v>PASS</x:v>
      </x:c>
    </x:row>
    <x:row r="437">
      <x:c r="B437" t="str">
        <x:v>PL-0431</x:v>
      </x:c>
      <x:c r="C437" t="str">
        <x:v>PLANNING</x:v>
      </x:c>
      <x:c r="D437" t="str">
        <x:v>trial</x:v>
      </x:c>
      <x:c r="E437" t="str">
        <x:v>trial 180</x:v>
      </x:c>
      <x:c r="F437" t="n">
        <x:f>Controls!$D$41</x:f>
        <x:v>1</x:v>
      </x:c>
      <x:c r="G437" t="n">
        <x:v>1</x:v>
      </x:c>
      <x:c r="H437" t="str">
        <x:v>RAW design authority</x:v>
      </x:c>
      <x:c r="I437" t="str">
        <x:f>IF(F437=1,"PASS","GAP")</x:f>
        <x:v>PASS</x:v>
      </x:c>
    </x:row>
    <x:row r="438">
      <x:c r="B438" t="str">
        <x:v>PL-0432</x:v>
      </x:c>
      <x:c r="C438" t="str">
        <x:v>PLANNING</x:v>
      </x:c>
      <x:c r="D438" t="str">
        <x:v>trial</x:v>
      </x:c>
      <x:c r="E438" t="str">
        <x:v>trial 181</x:v>
      </x:c>
      <x:c r="F438" t="n">
        <x:f>Controls!$D$41</x:f>
        <x:v>1</x:v>
      </x:c>
      <x:c r="G438" t="n">
        <x:v>1</x:v>
      </x:c>
      <x:c r="H438" t="str">
        <x:v>RAW design authority</x:v>
      </x:c>
      <x:c r="I438" t="str">
        <x:f>IF(F438=1,"PASS","GAP")</x:f>
        <x:v>PASS</x:v>
      </x:c>
    </x:row>
    <x:row r="439">
      <x:c r="B439" t="str">
        <x:v>PL-0433</x:v>
      </x:c>
      <x:c r="C439" t="str">
        <x:v>PLANNING</x:v>
      </x:c>
      <x:c r="D439" t="str">
        <x:v>trial</x:v>
      </x:c>
      <x:c r="E439" t="str">
        <x:v>trial 182</x:v>
      </x:c>
      <x:c r="F439" t="n">
        <x:f>Controls!$D$41</x:f>
        <x:v>1</x:v>
      </x:c>
      <x:c r="G439" t="n">
        <x:v>1</x:v>
      </x:c>
      <x:c r="H439" t="str">
        <x:v>RAW design authority</x:v>
      </x:c>
      <x:c r="I439" t="str">
        <x:f>IF(F439=1,"PASS","GAP")</x:f>
        <x:v>PASS</x:v>
      </x:c>
    </x:row>
    <x:row r="440">
      <x:c r="B440" t="str">
        <x:v>PL-0434</x:v>
      </x:c>
      <x:c r="C440" t="str">
        <x:v>PLANNING</x:v>
      </x:c>
      <x:c r="D440" t="str">
        <x:v>trial</x:v>
      </x:c>
      <x:c r="E440" t="str">
        <x:v>trial 183</x:v>
      </x:c>
      <x:c r="F440" t="n">
        <x:f>Controls!$D$41</x:f>
        <x:v>1</x:v>
      </x:c>
      <x:c r="G440" t="n">
        <x:v>1</x:v>
      </x:c>
      <x:c r="H440" t="str">
        <x:v>RAW design authority</x:v>
      </x:c>
      <x:c r="I440" t="str">
        <x:f>IF(F440=1,"PASS","GAP")</x:f>
        <x:v>PASS</x:v>
      </x:c>
    </x:row>
    <x:row r="441">
      <x:c r="B441" t="str">
        <x:v>PL-0435</x:v>
      </x:c>
      <x:c r="C441" t="str">
        <x:v>PLANNING</x:v>
      </x:c>
      <x:c r="D441" t="str">
        <x:v>trial</x:v>
      </x:c>
      <x:c r="E441" t="str">
        <x:v>trial 184</x:v>
      </x:c>
      <x:c r="F441" t="n">
        <x:f>Controls!$D$41</x:f>
        <x:v>1</x:v>
      </x:c>
      <x:c r="G441" t="n">
        <x:v>1</x:v>
      </x:c>
      <x:c r="H441" t="str">
        <x:v>RAW design authority</x:v>
      </x:c>
      <x:c r="I441" t="str">
        <x:f>IF(F441=1,"PASS","GAP")</x:f>
        <x:v>PASS</x:v>
      </x:c>
    </x:row>
    <x:row r="442">
      <x:c r="B442" t="str">
        <x:v>PL-0436</x:v>
      </x:c>
      <x:c r="C442" t="str">
        <x:v>PLANNING</x:v>
      </x:c>
      <x:c r="D442" t="str">
        <x:v>trial</x:v>
      </x:c>
      <x:c r="E442" t="str">
        <x:v>trial 185</x:v>
      </x:c>
      <x:c r="F442" t="n">
        <x:f>Controls!$D$41</x:f>
        <x:v>1</x:v>
      </x:c>
      <x:c r="G442" t="n">
        <x:v>1</x:v>
      </x:c>
      <x:c r="H442" t="str">
        <x:v>RAW design authority</x:v>
      </x:c>
      <x:c r="I442" t="str">
        <x:f>IF(F442=1,"PASS","GAP")</x:f>
        <x:v>PASS</x:v>
      </x:c>
    </x:row>
    <x:row r="443">
      <x:c r="B443" t="str">
        <x:v>PL-0437</x:v>
      </x:c>
      <x:c r="C443" t="str">
        <x:v>PLANNING</x:v>
      </x:c>
      <x:c r="D443" t="str">
        <x:v>trial</x:v>
      </x:c>
      <x:c r="E443" t="str">
        <x:v>trial 186</x:v>
      </x:c>
      <x:c r="F443" t="n">
        <x:f>Controls!$D$41</x:f>
        <x:v>1</x:v>
      </x:c>
      <x:c r="G443" t="n">
        <x:v>1</x:v>
      </x:c>
      <x:c r="H443" t="str">
        <x:v>RAW design authority</x:v>
      </x:c>
      <x:c r="I443" t="str">
        <x:f>IF(F443=1,"PASS","GAP")</x:f>
        <x:v>PASS</x:v>
      </x:c>
    </x:row>
    <x:row r="444">
      <x:c r="B444" t="str">
        <x:v>PL-0438</x:v>
      </x:c>
      <x:c r="C444" t="str">
        <x:v>PLANNING</x:v>
      </x:c>
      <x:c r="D444" t="str">
        <x:v>trial</x:v>
      </x:c>
      <x:c r="E444" t="str">
        <x:v>trial 187</x:v>
      </x:c>
      <x:c r="F444" t="n">
        <x:f>Controls!$D$41</x:f>
        <x:v>1</x:v>
      </x:c>
      <x:c r="G444" t="n">
        <x:v>1</x:v>
      </x:c>
      <x:c r="H444" t="str">
        <x:v>RAW design authority</x:v>
      </x:c>
      <x:c r="I444" t="str">
        <x:f>IF(F444=1,"PASS","GAP")</x:f>
        <x:v>PASS</x:v>
      </x:c>
    </x:row>
    <x:row r="445">
      <x:c r="B445" t="str">
        <x:v>PL-0439</x:v>
      </x:c>
      <x:c r="C445" t="str">
        <x:v>PLANNING</x:v>
      </x:c>
      <x:c r="D445" t="str">
        <x:v>trial</x:v>
      </x:c>
      <x:c r="E445" t="str">
        <x:v>trial 188</x:v>
      </x:c>
      <x:c r="F445" t="n">
        <x:f>Controls!$D$41</x:f>
        <x:v>1</x:v>
      </x:c>
      <x:c r="G445" t="n">
        <x:v>1</x:v>
      </x:c>
      <x:c r="H445" t="str">
        <x:v>RAW design authority</x:v>
      </x:c>
      <x:c r="I445" t="str">
        <x:f>IF(F445=1,"PASS","GAP")</x:f>
        <x:v>PASS</x:v>
      </x:c>
    </x:row>
    <x:row r="446">
      <x:c r="B446" t="str">
        <x:v>PL-0440</x:v>
      </x:c>
      <x:c r="C446" t="str">
        <x:v>PLANNING</x:v>
      </x:c>
      <x:c r="D446" t="str">
        <x:v>trial</x:v>
      </x:c>
      <x:c r="E446" t="str">
        <x:v>trial 189</x:v>
      </x:c>
      <x:c r="F446" t="n">
        <x:f>Controls!$D$41</x:f>
        <x:v>1</x:v>
      </x:c>
      <x:c r="G446" t="n">
        <x:v>1</x:v>
      </x:c>
      <x:c r="H446" t="str">
        <x:v>RAW design authority</x:v>
      </x:c>
      <x:c r="I446" t="str">
        <x:f>IF(F446=1,"PASS","GAP")</x:f>
        <x:v>PASS</x:v>
      </x:c>
    </x:row>
    <x:row r="447">
      <x:c r="B447" t="str">
        <x:v>PL-0441</x:v>
      </x:c>
      <x:c r="C447" t="str">
        <x:v>PLANNING</x:v>
      </x:c>
      <x:c r="D447" t="str">
        <x:v>trial</x:v>
      </x:c>
      <x:c r="E447" t="str">
        <x:v>trial 190</x:v>
      </x:c>
      <x:c r="F447" t="n">
        <x:f>Controls!$D$41</x:f>
        <x:v>1</x:v>
      </x:c>
      <x:c r="G447" t="n">
        <x:v>1</x:v>
      </x:c>
      <x:c r="H447" t="str">
        <x:v>RAW design authority</x:v>
      </x:c>
      <x:c r="I447" t="str">
        <x:f>IF(F447=1,"PASS","GAP")</x:f>
        <x:v>PASS</x:v>
      </x:c>
    </x:row>
    <x:row r="448">
      <x:c r="B448" t="str">
        <x:v>PL-0442</x:v>
      </x:c>
      <x:c r="C448" t="str">
        <x:v>PLANNING</x:v>
      </x:c>
      <x:c r="D448" t="str">
        <x:v>trial</x:v>
      </x:c>
      <x:c r="E448" t="str">
        <x:v>trial 191</x:v>
      </x:c>
      <x:c r="F448" t="n">
        <x:f>Controls!$D$41</x:f>
        <x:v>1</x:v>
      </x:c>
      <x:c r="G448" t="n">
        <x:v>1</x:v>
      </x:c>
      <x:c r="H448" t="str">
        <x:v>RAW design authority</x:v>
      </x:c>
      <x:c r="I448" t="str">
        <x:f>IF(F448=1,"PASS","GAP")</x:f>
        <x:v>PASS</x:v>
      </x:c>
    </x:row>
    <x:row r="449">
      <x:c r="B449" t="str">
        <x:v>PL-0443</x:v>
      </x:c>
      <x:c r="C449" t="str">
        <x:v>PLANNING</x:v>
      </x:c>
      <x:c r="D449" t="str">
        <x:v>trial</x:v>
      </x:c>
      <x:c r="E449" t="str">
        <x:v>trial 192</x:v>
      </x:c>
      <x:c r="F449" t="n">
        <x:f>Controls!$D$41</x:f>
        <x:v>1</x:v>
      </x:c>
      <x:c r="G449" t="n">
        <x:v>1</x:v>
      </x:c>
      <x:c r="H449" t="str">
        <x:v>RAW design authority</x:v>
      </x:c>
      <x:c r="I449" t="str">
        <x:f>IF(F449=1,"PASS","GAP")</x:f>
        <x:v>PASS</x:v>
      </x:c>
    </x:row>
    <x:row r="450">
      <x:c r="B450" t="str">
        <x:v>PL-0444</x:v>
      </x:c>
      <x:c r="C450" t="str">
        <x:v>PLANNING</x:v>
      </x:c>
      <x:c r="D450" t="str">
        <x:v>trial</x:v>
      </x:c>
      <x:c r="E450" t="str">
        <x:v>trial 193</x:v>
      </x:c>
      <x:c r="F450" t="n">
        <x:f>Controls!$D$41</x:f>
        <x:v>1</x:v>
      </x:c>
      <x:c r="G450" t="n">
        <x:v>1</x:v>
      </x:c>
      <x:c r="H450" t="str">
        <x:v>RAW design authority</x:v>
      </x:c>
      <x:c r="I450" t="str">
        <x:f>IF(F450=1,"PASS","GAP")</x:f>
        <x:v>PASS</x:v>
      </x:c>
    </x:row>
    <x:row r="451">
      <x:c r="B451" t="str">
        <x:v>PL-0445</x:v>
      </x:c>
      <x:c r="C451" t="str">
        <x:v>PLANNING</x:v>
      </x:c>
      <x:c r="D451" t="str">
        <x:v>trial</x:v>
      </x:c>
      <x:c r="E451" t="str">
        <x:v>trial 194</x:v>
      </x:c>
      <x:c r="F451" t="n">
        <x:f>Controls!$D$41</x:f>
        <x:v>1</x:v>
      </x:c>
      <x:c r="G451" t="n">
        <x:v>1</x:v>
      </x:c>
      <x:c r="H451" t="str">
        <x:v>RAW design authority</x:v>
      </x:c>
      <x:c r="I451" t="str">
        <x:f>IF(F451=1,"PASS","GAP")</x:f>
        <x:v>PASS</x:v>
      </x:c>
    </x:row>
    <x:row r="452">
      <x:c r="B452" t="str">
        <x:v>PL-0446</x:v>
      </x:c>
      <x:c r="C452" t="str">
        <x:v>PLANNING</x:v>
      </x:c>
      <x:c r="D452" t="str">
        <x:v>trial</x:v>
      </x:c>
      <x:c r="E452" t="str">
        <x:v>trial 195</x:v>
      </x:c>
      <x:c r="F452" t="n">
        <x:f>Controls!$D$41</x:f>
        <x:v>1</x:v>
      </x:c>
      <x:c r="G452" t="n">
        <x:v>1</x:v>
      </x:c>
      <x:c r="H452" t="str">
        <x:v>RAW design authority</x:v>
      </x:c>
      <x:c r="I452" t="str">
        <x:f>IF(F452=1,"PASS","GAP")</x:f>
        <x:v>PASS</x:v>
      </x:c>
    </x:row>
    <x:row r="453">
      <x:c r="B453" t="str">
        <x:v>PL-0447</x:v>
      </x:c>
      <x:c r="C453" t="str">
        <x:v>PLANNING</x:v>
      </x:c>
      <x:c r="D453" t="str">
        <x:v>trial</x:v>
      </x:c>
      <x:c r="E453" t="str">
        <x:v>trial 196</x:v>
      </x:c>
      <x:c r="F453" t="n">
        <x:f>Controls!$D$41</x:f>
        <x:v>1</x:v>
      </x:c>
      <x:c r="G453" t="n">
        <x:v>1</x:v>
      </x:c>
      <x:c r="H453" t="str">
        <x:v>RAW design authority</x:v>
      </x:c>
      <x:c r="I453" t="str">
        <x:f>IF(F453=1,"PASS","GAP")</x:f>
        <x:v>PASS</x:v>
      </x:c>
    </x:row>
    <x:row r="454">
      <x:c r="B454" t="str">
        <x:v>PL-0448</x:v>
      </x:c>
      <x:c r="C454" t="str">
        <x:v>PLANNING</x:v>
      </x:c>
      <x:c r="D454" t="str">
        <x:v>trial</x:v>
      </x:c>
      <x:c r="E454" t="str">
        <x:v>trial 197</x:v>
      </x:c>
      <x:c r="F454" t="n">
        <x:f>Controls!$D$41</x:f>
        <x:v>1</x:v>
      </x:c>
      <x:c r="G454" t="n">
        <x:v>1</x:v>
      </x:c>
      <x:c r="H454" t="str">
        <x:v>RAW design authority</x:v>
      </x:c>
      <x:c r="I454" t="str">
        <x:f>IF(F454=1,"PASS","GAP")</x:f>
        <x:v>PASS</x:v>
      </x:c>
    </x:row>
    <x:row r="455">
      <x:c r="B455" t="str">
        <x:v>PL-0449</x:v>
      </x:c>
      <x:c r="C455" t="str">
        <x:v>PLANNING</x:v>
      </x:c>
      <x:c r="D455" t="str">
        <x:v>trial</x:v>
      </x:c>
      <x:c r="E455" t="str">
        <x:v>trial 198</x:v>
      </x:c>
      <x:c r="F455" t="n">
        <x:f>Controls!$D$41</x:f>
        <x:v>1</x:v>
      </x:c>
      <x:c r="G455" t="n">
        <x:v>1</x:v>
      </x:c>
      <x:c r="H455" t="str">
        <x:v>RAW design authority</x:v>
      </x:c>
      <x:c r="I455" t="str">
        <x:f>IF(F455=1,"PASS","GAP")</x:f>
        <x:v>PASS</x:v>
      </x:c>
    </x:row>
    <x:row r="456">
      <x:c r="B456" t="str">
        <x:v>PL-0450</x:v>
      </x:c>
      <x:c r="C456" t="str">
        <x:v>PLANNING</x:v>
      </x:c>
      <x:c r="D456" t="str">
        <x:v>trial</x:v>
      </x:c>
      <x:c r="E456" t="str">
        <x:v>trial 199</x:v>
      </x:c>
      <x:c r="F456" t="n">
        <x:f>Controls!$D$41</x:f>
        <x:v>1</x:v>
      </x:c>
      <x:c r="G456" t="n">
        <x:v>1</x:v>
      </x:c>
      <x:c r="H456" t="str">
        <x:v>RAW design authority</x:v>
      </x:c>
      <x:c r="I456" t="str">
        <x:f>IF(F456=1,"PASS","GAP")</x:f>
        <x:v>PASS</x:v>
      </x:c>
    </x:row>
    <x:row r="457">
      <x:c r="B457" t="str">
        <x:v>PL-0451</x:v>
      </x:c>
      <x:c r="C457" t="str">
        <x:v>PLANNING</x:v>
      </x:c>
      <x:c r="D457" t="str">
        <x:v>trial</x:v>
      </x:c>
      <x:c r="E457" t="str">
        <x:v>trial 200</x:v>
      </x:c>
      <x:c r="F457" t="n">
        <x:f>Controls!$D$41</x:f>
        <x:v>1</x:v>
      </x:c>
      <x:c r="G457" t="n">
        <x:v>1</x:v>
      </x:c>
      <x:c r="H457" t="str">
        <x:v>RAW design authority</x:v>
      </x:c>
      <x:c r="I457" t="str">
        <x:f>IF(F457=1,"PASS","GAP")</x:f>
        <x:v>PASS</x:v>
      </x:c>
    </x:row>
    <x:row r="458">
      <x:c r="B458" t="str">
        <x:v>PL-0452</x:v>
      </x:c>
      <x:c r="C458" t="str">
        <x:v>PLANNING</x:v>
      </x:c>
      <x:c r="D458" t="str">
        <x:v>trial</x:v>
      </x:c>
      <x:c r="E458" t="str">
        <x:v>trial 201</x:v>
      </x:c>
      <x:c r="F458" t="n">
        <x:f>Controls!$D$41</x:f>
        <x:v>1</x:v>
      </x:c>
      <x:c r="G458" t="n">
        <x:v>1</x:v>
      </x:c>
      <x:c r="H458" t="str">
        <x:v>RAW design authority</x:v>
      </x:c>
      <x:c r="I458" t="str">
        <x:f>IF(F458=1,"PASS","GAP")</x:f>
        <x:v>PASS</x:v>
      </x:c>
    </x:row>
    <x:row r="459">
      <x:c r="B459" t="str">
        <x:v>PL-0453</x:v>
      </x:c>
      <x:c r="C459" t="str">
        <x:v>PLANNING</x:v>
      </x:c>
      <x:c r="D459" t="str">
        <x:v>trial</x:v>
      </x:c>
      <x:c r="E459" t="str">
        <x:v>trial 202</x:v>
      </x:c>
      <x:c r="F459" t="n">
        <x:f>Controls!$D$41</x:f>
        <x:v>1</x:v>
      </x:c>
      <x:c r="G459" t="n">
        <x:v>1</x:v>
      </x:c>
      <x:c r="H459" t="str">
        <x:v>RAW design authority</x:v>
      </x:c>
      <x:c r="I459" t="str">
        <x:f>IF(F459=1,"PASS","GAP")</x:f>
        <x:v>PASS</x:v>
      </x:c>
    </x:row>
    <x:row r="460">
      <x:c r="B460" t="str">
        <x:v>PL-0454</x:v>
      </x:c>
      <x:c r="C460" t="str">
        <x:v>PLANNING</x:v>
      </x:c>
      <x:c r="D460" t="str">
        <x:v>trial</x:v>
      </x:c>
      <x:c r="E460" t="str">
        <x:v>trial 203</x:v>
      </x:c>
      <x:c r="F460" t="n">
        <x:f>Controls!$D$41</x:f>
        <x:v>1</x:v>
      </x:c>
      <x:c r="G460" t="n">
        <x:v>1</x:v>
      </x:c>
      <x:c r="H460" t="str">
        <x:v>RAW design authority</x:v>
      </x:c>
      <x:c r="I460" t="str">
        <x:f>IF(F460=1,"PASS","GAP")</x:f>
        <x:v>PASS</x:v>
      </x:c>
    </x:row>
    <x:row r="461">
      <x:c r="B461" t="str">
        <x:v>PL-0455</x:v>
      </x:c>
      <x:c r="C461" t="str">
        <x:v>PLANNING</x:v>
      </x:c>
      <x:c r="D461" t="str">
        <x:v>trial</x:v>
      </x:c>
      <x:c r="E461" t="str">
        <x:v>trial 204</x:v>
      </x:c>
      <x:c r="F461" t="n">
        <x:f>Controls!$D$41</x:f>
        <x:v>1</x:v>
      </x:c>
      <x:c r="G461" t="n">
        <x:v>1</x:v>
      </x:c>
      <x:c r="H461" t="str">
        <x:v>RAW design authority</x:v>
      </x:c>
      <x:c r="I461" t="str">
        <x:f>IF(F461=1,"PASS","GAP")</x:f>
        <x:v>PASS</x:v>
      </x:c>
    </x:row>
    <x:row r="462">
      <x:c r="B462" t="str">
        <x:v>PL-0456</x:v>
      </x:c>
      <x:c r="C462" t="str">
        <x:v>PLANNING</x:v>
      </x:c>
      <x:c r="D462" t="str">
        <x:v>trial</x:v>
      </x:c>
      <x:c r="E462" t="str">
        <x:v>trial 205</x:v>
      </x:c>
      <x:c r="F462" t="n">
        <x:f>Controls!$D$41</x:f>
        <x:v>1</x:v>
      </x:c>
      <x:c r="G462" t="n">
        <x:v>1</x:v>
      </x:c>
      <x:c r="H462" t="str">
        <x:v>RAW design authority</x:v>
      </x:c>
      <x:c r="I462" t="str">
        <x:f>IF(F462=1,"PASS","GAP")</x:f>
        <x:v>PASS</x:v>
      </x:c>
    </x:row>
    <x:row r="463">
      <x:c r="B463" t="str">
        <x:v>PL-0457</x:v>
      </x:c>
      <x:c r="C463" t="str">
        <x:v>PLANNING</x:v>
      </x:c>
      <x:c r="D463" t="str">
        <x:v>trial</x:v>
      </x:c>
      <x:c r="E463" t="str">
        <x:v>trial 206</x:v>
      </x:c>
      <x:c r="F463" t="n">
        <x:f>Controls!$D$41</x:f>
        <x:v>1</x:v>
      </x:c>
      <x:c r="G463" t="n">
        <x:v>1</x:v>
      </x:c>
      <x:c r="H463" t="str">
        <x:v>RAW design authority</x:v>
      </x:c>
      <x:c r="I463" t="str">
        <x:f>IF(F463=1,"PASS","GAP")</x:f>
        <x:v>PASS</x:v>
      </x:c>
    </x:row>
    <x:row r="464">
      <x:c r="B464" t="str">
        <x:v>PL-0458</x:v>
      </x:c>
      <x:c r="C464" t="str">
        <x:v>PLANNING</x:v>
      </x:c>
      <x:c r="D464" t="str">
        <x:v>trial</x:v>
      </x:c>
      <x:c r="E464" t="str">
        <x:v>trial 207</x:v>
      </x:c>
      <x:c r="F464" t="n">
        <x:f>Controls!$D$41</x:f>
        <x:v>1</x:v>
      </x:c>
      <x:c r="G464" t="n">
        <x:v>1</x:v>
      </x:c>
      <x:c r="H464" t="str">
        <x:v>RAW design authority</x:v>
      </x:c>
      <x:c r="I464" t="str">
        <x:f>IF(F464=1,"PASS","GAP")</x:f>
        <x:v>PASS</x:v>
      </x:c>
    </x:row>
    <x:row r="465">
      <x:c r="B465" t="str">
        <x:v>PL-0459</x:v>
      </x:c>
      <x:c r="C465" t="str">
        <x:v>PLANNING</x:v>
      </x:c>
      <x:c r="D465" t="str">
        <x:v>trial</x:v>
      </x:c>
      <x:c r="E465" t="str">
        <x:v>trial 208</x:v>
      </x:c>
      <x:c r="F465" t="n">
        <x:f>Controls!$D$41</x:f>
        <x:v>1</x:v>
      </x:c>
      <x:c r="G465" t="n">
        <x:v>1</x:v>
      </x:c>
      <x:c r="H465" t="str">
        <x:v>RAW design authority</x:v>
      </x:c>
      <x:c r="I465" t="str">
        <x:f>IF(F465=1,"PASS","GAP")</x:f>
        <x:v>PASS</x:v>
      </x:c>
    </x:row>
    <x:row r="466">
      <x:c r="B466" t="str">
        <x:v>PL-0460</x:v>
      </x:c>
      <x:c r="C466" t="str">
        <x:v>PLANNING</x:v>
      </x:c>
      <x:c r="D466" t="str">
        <x:v>trial</x:v>
      </x:c>
      <x:c r="E466" t="str">
        <x:v>trial 209</x:v>
      </x:c>
      <x:c r="F466" t="n">
        <x:f>Controls!$D$41</x:f>
        <x:v>1</x:v>
      </x:c>
      <x:c r="G466" t="n">
        <x:v>1</x:v>
      </x:c>
      <x:c r="H466" t="str">
        <x:v>RAW design authority</x:v>
      </x:c>
      <x:c r="I466" t="str">
        <x:f>IF(F466=1,"PASS","GAP")</x:f>
        <x:v>PASS</x:v>
      </x:c>
    </x:row>
    <x:row r="467">
      <x:c r="B467" t="str">
        <x:v>PL-0461</x:v>
      </x:c>
      <x:c r="C467" t="str">
        <x:v>PLANNING</x:v>
      </x:c>
      <x:c r="D467" t="str">
        <x:v>trial</x:v>
      </x:c>
      <x:c r="E467" t="str">
        <x:v>trial 210</x:v>
      </x:c>
      <x:c r="F467" t="n">
        <x:f>Controls!$D$41</x:f>
        <x:v>1</x:v>
      </x:c>
      <x:c r="G467" t="n">
        <x:v>1</x:v>
      </x:c>
      <x:c r="H467" t="str">
        <x:v>RAW design authority</x:v>
      </x:c>
      <x:c r="I467" t="str">
        <x:f>IF(F467=1,"PASS","GAP")</x:f>
        <x:v>PASS</x:v>
      </x:c>
    </x:row>
    <x:row r="468">
      <x:c r="B468" t="str">
        <x:v>PL-0462</x:v>
      </x:c>
      <x:c r="C468" t="str">
        <x:v>PLANNING</x:v>
      </x:c>
      <x:c r="D468" t="str">
        <x:v>trial</x:v>
      </x:c>
      <x:c r="E468" t="str">
        <x:v>trial 211</x:v>
      </x:c>
      <x:c r="F468" t="n">
        <x:f>Controls!$D$41</x:f>
        <x:v>1</x:v>
      </x:c>
      <x:c r="G468" t="n">
        <x:v>1</x:v>
      </x:c>
      <x:c r="H468" t="str">
        <x:v>RAW design authority</x:v>
      </x:c>
      <x:c r="I468" t="str">
        <x:f>IF(F468=1,"PASS","GAP")</x:f>
        <x:v>PASS</x:v>
      </x:c>
    </x:row>
    <x:row r="469">
      <x:c r="B469" t="str">
        <x:v>PL-0463</x:v>
      </x:c>
      <x:c r="C469" t="str">
        <x:v>PLANNING</x:v>
      </x:c>
      <x:c r="D469" t="str">
        <x:v>trial</x:v>
      </x:c>
      <x:c r="E469" t="str">
        <x:v>trial 212</x:v>
      </x:c>
      <x:c r="F469" t="n">
        <x:f>Controls!$D$41</x:f>
        <x:v>1</x:v>
      </x:c>
      <x:c r="G469" t="n">
        <x:v>1</x:v>
      </x:c>
      <x:c r="H469" t="str">
        <x:v>RAW design authority</x:v>
      </x:c>
      <x:c r="I469" t="str">
        <x:f>IF(F469=1,"PASS","GAP")</x:f>
        <x:v>PASS</x:v>
      </x:c>
    </x:row>
    <x:row r="470">
      <x:c r="B470" t="str">
        <x:v>PL-0464</x:v>
      </x:c>
      <x:c r="C470" t="str">
        <x:v>PLANNING</x:v>
      </x:c>
      <x:c r="D470" t="str">
        <x:v>trial</x:v>
      </x:c>
      <x:c r="E470" t="str">
        <x:v>trial 213</x:v>
      </x:c>
      <x:c r="F470" t="n">
        <x:f>Controls!$D$41</x:f>
        <x:v>1</x:v>
      </x:c>
      <x:c r="G470" t="n">
        <x:v>1</x:v>
      </x:c>
      <x:c r="H470" t="str">
        <x:v>RAW design authority</x:v>
      </x:c>
      <x:c r="I470" t="str">
        <x:f>IF(F470=1,"PASS","GAP")</x:f>
        <x:v>PASS</x:v>
      </x:c>
    </x:row>
    <x:row r="471">
      <x:c r="B471" t="str">
        <x:v>PL-0465</x:v>
      </x:c>
      <x:c r="C471" t="str">
        <x:v>PLANNING</x:v>
      </x:c>
      <x:c r="D471" t="str">
        <x:v>trial</x:v>
      </x:c>
      <x:c r="E471" t="str">
        <x:v>trial 214</x:v>
      </x:c>
      <x:c r="F471" t="n">
        <x:f>Controls!$D$41</x:f>
        <x:v>1</x:v>
      </x:c>
      <x:c r="G471" t="n">
        <x:v>1</x:v>
      </x:c>
      <x:c r="H471" t="str">
        <x:v>RAW design authority</x:v>
      </x:c>
      <x:c r="I471" t="str">
        <x:f>IF(F471=1,"PASS","GAP")</x:f>
        <x:v>PASS</x:v>
      </x:c>
    </x:row>
    <x:row r="472">
      <x:c r="B472" t="str">
        <x:v>PL-0466</x:v>
      </x:c>
      <x:c r="C472" t="str">
        <x:v>PLANNING</x:v>
      </x:c>
      <x:c r="D472" t="str">
        <x:v>trial</x:v>
      </x:c>
      <x:c r="E472" t="str">
        <x:v>trial 215</x:v>
      </x:c>
      <x:c r="F472" t="n">
        <x:f>Controls!$D$41</x:f>
        <x:v>1</x:v>
      </x:c>
      <x:c r="G472" t="n">
        <x:v>1</x:v>
      </x:c>
      <x:c r="H472" t="str">
        <x:v>RAW design authority</x:v>
      </x:c>
      <x:c r="I472" t="str">
        <x:f>IF(F472=1,"PASS","GAP")</x:f>
        <x:v>PASS</x:v>
      </x:c>
    </x:row>
    <x:row r="473">
      <x:c r="B473" t="str">
        <x:v>PL-0467</x:v>
      </x:c>
      <x:c r="C473" t="str">
        <x:v>PLANNING</x:v>
      </x:c>
      <x:c r="D473" t="str">
        <x:v>trial</x:v>
      </x:c>
      <x:c r="E473" t="str">
        <x:v>trial 216</x:v>
      </x:c>
      <x:c r="F473" t="n">
        <x:f>Controls!$D$41</x:f>
        <x:v>1</x:v>
      </x:c>
      <x:c r="G473" t="n">
        <x:v>1</x:v>
      </x:c>
      <x:c r="H473" t="str">
        <x:v>RAW design authority</x:v>
      </x:c>
      <x:c r="I473" t="str">
        <x:f>IF(F473=1,"PASS","GAP")</x:f>
        <x:v>PASS</x:v>
      </x:c>
    </x:row>
    <x:row r="474">
      <x:c r="B474" t="str">
        <x:v>PL-0468</x:v>
      </x:c>
      <x:c r="C474" t="str">
        <x:v>PLANNING</x:v>
      </x:c>
      <x:c r="D474" t="str">
        <x:v>trial</x:v>
      </x:c>
      <x:c r="E474" t="str">
        <x:v>trial 217</x:v>
      </x:c>
      <x:c r="F474" t="n">
        <x:f>Controls!$D$41</x:f>
        <x:v>1</x:v>
      </x:c>
      <x:c r="G474" t="n">
        <x:v>1</x:v>
      </x:c>
      <x:c r="H474" t="str">
        <x:v>RAW design authority</x:v>
      </x:c>
      <x:c r="I474" t="str">
        <x:f>IF(F474=1,"PASS","GAP")</x:f>
        <x:v>PASS</x:v>
      </x:c>
    </x:row>
    <x:row r="475">
      <x:c r="B475" t="str">
        <x:v>PL-0469</x:v>
      </x:c>
      <x:c r="C475" t="str">
        <x:v>PLANNING</x:v>
      </x:c>
      <x:c r="D475" t="str">
        <x:v>trial</x:v>
      </x:c>
      <x:c r="E475" t="str">
        <x:v>trial 218</x:v>
      </x:c>
      <x:c r="F475" t="n">
        <x:f>Controls!$D$41</x:f>
        <x:v>1</x:v>
      </x:c>
      <x:c r="G475" t="n">
        <x:v>1</x:v>
      </x:c>
      <x:c r="H475" t="str">
        <x:v>RAW design authority</x:v>
      </x:c>
      <x:c r="I475" t="str">
        <x:f>IF(F475=1,"PASS","GAP")</x:f>
        <x:v>PASS</x:v>
      </x:c>
    </x:row>
    <x:row r="476">
      <x:c r="B476" t="str">
        <x:v>PL-0470</x:v>
      </x:c>
      <x:c r="C476" t="str">
        <x:v>PLANNING</x:v>
      </x:c>
      <x:c r="D476" t="str">
        <x:v>trial</x:v>
      </x:c>
      <x:c r="E476" t="str">
        <x:v>trial 219</x:v>
      </x:c>
      <x:c r="F476" t="n">
        <x:f>Controls!$D$41</x:f>
        <x:v>1</x:v>
      </x:c>
      <x:c r="G476" t="n">
        <x:v>1</x:v>
      </x:c>
      <x:c r="H476" t="str">
        <x:v>RAW design authority</x:v>
      </x:c>
      <x:c r="I476" t="str">
        <x:f>IF(F476=1,"PASS","GAP")</x:f>
        <x:v>PASS</x:v>
      </x:c>
    </x:row>
    <x:row r="477">
      <x:c r="B477" t="str">
        <x:v>PL-0471</x:v>
      </x:c>
      <x:c r="C477" t="str">
        <x:v>PLANNING</x:v>
      </x:c>
      <x:c r="D477" t="str">
        <x:v>trial</x:v>
      </x:c>
      <x:c r="E477" t="str">
        <x:v>trial 220</x:v>
      </x:c>
      <x:c r="F477" t="n">
        <x:f>Controls!$D$41</x:f>
        <x:v>1</x:v>
      </x:c>
      <x:c r="G477" t="n">
        <x:v>1</x:v>
      </x:c>
      <x:c r="H477" t="str">
        <x:v>RAW design authority</x:v>
      </x:c>
      <x:c r="I477" t="str">
        <x:f>IF(F477=1,"PASS","GAP")</x:f>
        <x:v>PASS</x:v>
      </x:c>
    </x:row>
    <x:row r="478">
      <x:c r="B478" t="str">
        <x:v>PL-0472</x:v>
      </x:c>
      <x:c r="C478" t="str">
        <x:v>PLANNING</x:v>
      </x:c>
      <x:c r="D478" t="str">
        <x:v>trial</x:v>
      </x:c>
      <x:c r="E478" t="str">
        <x:v>trial 221</x:v>
      </x:c>
      <x:c r="F478" t="n">
        <x:f>Controls!$D$41</x:f>
        <x:v>1</x:v>
      </x:c>
      <x:c r="G478" t="n">
        <x:v>1</x:v>
      </x:c>
      <x:c r="H478" t="str">
        <x:v>RAW design authority</x:v>
      </x:c>
      <x:c r="I478" t="str">
        <x:f>IF(F478=1,"PASS","GAP")</x:f>
        <x:v>PASS</x:v>
      </x:c>
    </x:row>
    <x:row r="479">
      <x:c r="B479" t="str">
        <x:v>PL-0473</x:v>
      </x:c>
      <x:c r="C479" t="str">
        <x:v>PLANNING</x:v>
      </x:c>
      <x:c r="D479" t="str">
        <x:v>trial</x:v>
      </x:c>
      <x:c r="E479" t="str">
        <x:v>trial 222</x:v>
      </x:c>
      <x:c r="F479" t="n">
        <x:f>Controls!$D$41</x:f>
        <x:v>1</x:v>
      </x:c>
      <x:c r="G479" t="n">
        <x:v>1</x:v>
      </x:c>
      <x:c r="H479" t="str">
        <x:v>RAW design authority</x:v>
      </x:c>
      <x:c r="I479" t="str">
        <x:f>IF(F479=1,"PASS","GAP")</x:f>
        <x:v>PASS</x:v>
      </x:c>
    </x:row>
    <x:row r="480">
      <x:c r="B480" t="str">
        <x:v>PL-0474</x:v>
      </x:c>
      <x:c r="C480" t="str">
        <x:v>PLANNING</x:v>
      </x:c>
      <x:c r="D480" t="str">
        <x:v>trial</x:v>
      </x:c>
      <x:c r="E480" t="str">
        <x:v>trial 223</x:v>
      </x:c>
      <x:c r="F480" t="n">
        <x:f>Controls!$D$41</x:f>
        <x:v>1</x:v>
      </x:c>
      <x:c r="G480" t="n">
        <x:v>1</x:v>
      </x:c>
      <x:c r="H480" t="str">
        <x:v>RAW design authority</x:v>
      </x:c>
      <x:c r="I480" t="str">
        <x:f>IF(F480=1,"PASS","GAP")</x:f>
        <x:v>PASS</x:v>
      </x:c>
    </x:row>
    <x:row r="481">
      <x:c r="B481" t="str">
        <x:v>PL-0475</x:v>
      </x:c>
      <x:c r="C481" t="str">
        <x:v>PLANNING</x:v>
      </x:c>
      <x:c r="D481" t="str">
        <x:v>trial</x:v>
      </x:c>
      <x:c r="E481" t="str">
        <x:v>trial 224</x:v>
      </x:c>
      <x:c r="F481" t="n">
        <x:f>Controls!$D$41</x:f>
        <x:v>1</x:v>
      </x:c>
      <x:c r="G481" t="n">
        <x:v>1</x:v>
      </x:c>
      <x:c r="H481" t="str">
        <x:v>RAW design authority</x:v>
      </x:c>
      <x:c r="I481" t="str">
        <x:f>IF(F481=1,"PASS","GAP")</x:f>
        <x:v>PASS</x:v>
      </x:c>
    </x:row>
    <x:row r="482">
      <x:c r="B482" t="str">
        <x:v>PL-0476</x:v>
      </x:c>
      <x:c r="C482" t="str">
        <x:v>PLANNING</x:v>
      </x:c>
      <x:c r="D482" t="str">
        <x:v>trial</x:v>
      </x:c>
      <x:c r="E482" t="str">
        <x:v>trial 225</x:v>
      </x:c>
      <x:c r="F482" t="n">
        <x:f>Controls!$D$41</x:f>
        <x:v>1</x:v>
      </x:c>
      <x:c r="G482" t="n">
        <x:v>1</x:v>
      </x:c>
      <x:c r="H482" t="str">
        <x:v>RAW design authority</x:v>
      </x:c>
      <x:c r="I482" t="str">
        <x:f>IF(F482=1,"PASS","GAP")</x:f>
        <x:v>PASS</x:v>
      </x:c>
    </x:row>
    <x:row r="483">
      <x:c r="B483" t="str">
        <x:v>PL-0477</x:v>
      </x:c>
      <x:c r="C483" t="str">
        <x:v>PLANNING</x:v>
      </x:c>
      <x:c r="D483" t="str">
        <x:v>trial</x:v>
      </x:c>
      <x:c r="E483" t="str">
        <x:v>trial 226</x:v>
      </x:c>
      <x:c r="F483" t="n">
        <x:f>Controls!$D$41</x:f>
        <x:v>1</x:v>
      </x:c>
      <x:c r="G483" t="n">
        <x:v>1</x:v>
      </x:c>
      <x:c r="H483" t="str">
        <x:v>RAW design authority</x:v>
      </x:c>
      <x:c r="I483" t="str">
        <x:f>IF(F483=1,"PASS","GAP")</x:f>
        <x:v>PASS</x:v>
      </x:c>
    </x:row>
    <x:row r="484">
      <x:c r="B484" t="str">
        <x:v>PL-0478</x:v>
      </x:c>
      <x:c r="C484" t="str">
        <x:v>PLANNING</x:v>
      </x:c>
      <x:c r="D484" t="str">
        <x:v>trial</x:v>
      </x:c>
      <x:c r="E484" t="str">
        <x:v>trial 227</x:v>
      </x:c>
      <x:c r="F484" t="n">
        <x:f>Controls!$D$41</x:f>
        <x:v>1</x:v>
      </x:c>
      <x:c r="G484" t="n">
        <x:v>1</x:v>
      </x:c>
      <x:c r="H484" t="str">
        <x:v>RAW design authority</x:v>
      </x:c>
      <x:c r="I484" t="str">
        <x:f>IF(F484=1,"PASS","GAP")</x:f>
        <x:v>PASS</x:v>
      </x:c>
    </x:row>
    <x:row r="485">
      <x:c r="B485" t="str">
        <x:v>PL-0479</x:v>
      </x:c>
      <x:c r="C485" t="str">
        <x:v>PLANNING</x:v>
      </x:c>
      <x:c r="D485" t="str">
        <x:v>trial</x:v>
      </x:c>
      <x:c r="E485" t="str">
        <x:v>trial 228</x:v>
      </x:c>
      <x:c r="F485" t="n">
        <x:f>Controls!$D$41</x:f>
        <x:v>1</x:v>
      </x:c>
      <x:c r="G485" t="n">
        <x:v>1</x:v>
      </x:c>
      <x:c r="H485" t="str">
        <x:v>RAW design authority</x:v>
      </x:c>
      <x:c r="I485" t="str">
        <x:f>IF(F485=1,"PASS","GAP")</x:f>
        <x:v>PASS</x:v>
      </x:c>
    </x:row>
    <x:row r="486">
      <x:c r="B486" t="str">
        <x:v>PL-0480</x:v>
      </x:c>
      <x:c r="C486" t="str">
        <x:v>PLANNING</x:v>
      </x:c>
      <x:c r="D486" t="str">
        <x:v>trial</x:v>
      </x:c>
      <x:c r="E486" t="str">
        <x:v>trial 229</x:v>
      </x:c>
      <x:c r="F486" t="n">
        <x:f>Controls!$D$41</x:f>
        <x:v>1</x:v>
      </x:c>
      <x:c r="G486" t="n">
        <x:v>1</x:v>
      </x:c>
      <x:c r="H486" t="str">
        <x:v>RAW design authority</x:v>
      </x:c>
      <x:c r="I486" t="str">
        <x:f>IF(F486=1,"PASS","GAP")</x:f>
        <x:v>PASS</x:v>
      </x:c>
    </x:row>
    <x:row r="487">
      <x:c r="B487" t="str">
        <x:v>PL-0481</x:v>
      </x:c>
      <x:c r="C487" t="str">
        <x:v>PLANNING</x:v>
      </x:c>
      <x:c r="D487" t="str">
        <x:v>trial</x:v>
      </x:c>
      <x:c r="E487" t="str">
        <x:v>trial 230</x:v>
      </x:c>
      <x:c r="F487" t="n">
        <x:f>Controls!$D$41</x:f>
        <x:v>1</x:v>
      </x:c>
      <x:c r="G487" t="n">
        <x:v>1</x:v>
      </x:c>
      <x:c r="H487" t="str">
        <x:v>RAW design authority</x:v>
      </x:c>
      <x:c r="I487" t="str">
        <x:f>IF(F487=1,"PASS","GAP")</x:f>
        <x:v>PASS</x:v>
      </x:c>
    </x:row>
    <x:row r="488">
      <x:c r="B488" t="str">
        <x:v>PL-0482</x:v>
      </x:c>
      <x:c r="C488" t="str">
        <x:v>PLANNING</x:v>
      </x:c>
      <x:c r="D488" t="str">
        <x:v>trial</x:v>
      </x:c>
      <x:c r="E488" t="str">
        <x:v>trial 231</x:v>
      </x:c>
      <x:c r="F488" t="n">
        <x:f>Controls!$D$41</x:f>
        <x:v>1</x:v>
      </x:c>
      <x:c r="G488" t="n">
        <x:v>1</x:v>
      </x:c>
      <x:c r="H488" t="str">
        <x:v>RAW design authority</x:v>
      </x:c>
      <x:c r="I488" t="str">
        <x:f>IF(F488=1,"PASS","GAP")</x:f>
        <x:v>PASS</x:v>
      </x:c>
    </x:row>
    <x:row r="489">
      <x:c r="B489" t="str">
        <x:v>PL-0483</x:v>
      </x:c>
      <x:c r="C489" t="str">
        <x:v>PLANNING</x:v>
      </x:c>
      <x:c r="D489" t="str">
        <x:v>trial</x:v>
      </x:c>
      <x:c r="E489" t="str">
        <x:v>trial 232</x:v>
      </x:c>
      <x:c r="F489" t="n">
        <x:f>Controls!$D$41</x:f>
        <x:v>1</x:v>
      </x:c>
      <x:c r="G489" t="n">
        <x:v>1</x:v>
      </x:c>
      <x:c r="H489" t="str">
        <x:v>RAW design authority</x:v>
      </x:c>
      <x:c r="I489" t="str">
        <x:f>IF(F489=1,"PASS","GAP")</x:f>
        <x:v>PASS</x:v>
      </x:c>
    </x:row>
    <x:row r="490">
      <x:c r="B490" t="str">
        <x:v>PL-0484</x:v>
      </x:c>
      <x:c r="C490" t="str">
        <x:v>PLANNING</x:v>
      </x:c>
      <x:c r="D490" t="str">
        <x:v>trial</x:v>
      </x:c>
      <x:c r="E490" t="str">
        <x:v>trial 233</x:v>
      </x:c>
      <x:c r="F490" t="n">
        <x:f>Controls!$D$41</x:f>
        <x:v>1</x:v>
      </x:c>
      <x:c r="G490" t="n">
        <x:v>1</x:v>
      </x:c>
      <x:c r="H490" t="str">
        <x:v>RAW design authority</x:v>
      </x:c>
      <x:c r="I490" t="str">
        <x:f>IF(F490=1,"PASS","GAP")</x:f>
        <x:v>PASS</x:v>
      </x:c>
    </x:row>
    <x:row r="491">
      <x:c r="B491" t="str">
        <x:v>PL-0485</x:v>
      </x:c>
      <x:c r="C491" t="str">
        <x:v>PLANNING</x:v>
      </x:c>
      <x:c r="D491" t="str">
        <x:v>trial</x:v>
      </x:c>
      <x:c r="E491" t="str">
        <x:v>trial 234</x:v>
      </x:c>
      <x:c r="F491" t="n">
        <x:f>Controls!$D$41</x:f>
        <x:v>1</x:v>
      </x:c>
      <x:c r="G491" t="n">
        <x:v>1</x:v>
      </x:c>
      <x:c r="H491" t="str">
        <x:v>RAW design authority</x:v>
      </x:c>
      <x:c r="I491" t="str">
        <x:f>IF(F491=1,"PASS","GAP")</x:f>
        <x:v>PASS</x:v>
      </x:c>
    </x:row>
    <x:row r="492">
      <x:c r="B492" t="str">
        <x:v>PL-0486</x:v>
      </x:c>
      <x:c r="C492" t="str">
        <x:v>PLANNING</x:v>
      </x:c>
      <x:c r="D492" t="str">
        <x:v>trial</x:v>
      </x:c>
      <x:c r="E492" t="str">
        <x:v>trial 235</x:v>
      </x:c>
      <x:c r="F492" t="n">
        <x:f>Controls!$D$41</x:f>
        <x:v>1</x:v>
      </x:c>
      <x:c r="G492" t="n">
        <x:v>1</x:v>
      </x:c>
      <x:c r="H492" t="str">
        <x:v>RAW design authority</x:v>
      </x:c>
      <x:c r="I492" t="str">
        <x:f>IF(F492=1,"PASS","GAP")</x:f>
        <x:v>PASS</x:v>
      </x:c>
    </x:row>
    <x:row r="493">
      <x:c r="B493" t="str">
        <x:v>PL-0487</x:v>
      </x:c>
      <x:c r="C493" t="str">
        <x:v>PLANNING</x:v>
      </x:c>
      <x:c r="D493" t="str">
        <x:v>trial</x:v>
      </x:c>
      <x:c r="E493" t="str">
        <x:v>trial 236</x:v>
      </x:c>
      <x:c r="F493" t="n">
        <x:f>Controls!$D$41</x:f>
        <x:v>1</x:v>
      </x:c>
      <x:c r="G493" t="n">
        <x:v>1</x:v>
      </x:c>
      <x:c r="H493" t="str">
        <x:v>RAW design authority</x:v>
      </x:c>
      <x:c r="I493" t="str">
        <x:f>IF(F493=1,"PASS","GAP")</x:f>
        <x:v>PASS</x:v>
      </x:c>
    </x:row>
    <x:row r="494">
      <x:c r="B494" t="str">
        <x:v>PL-0488</x:v>
      </x:c>
      <x:c r="C494" t="str">
        <x:v>PLANNING</x:v>
      </x:c>
      <x:c r="D494" t="str">
        <x:v>trial</x:v>
      </x:c>
      <x:c r="E494" t="str">
        <x:v>trial 237</x:v>
      </x:c>
      <x:c r="F494" t="n">
        <x:f>Controls!$D$41</x:f>
        <x:v>1</x:v>
      </x:c>
      <x:c r="G494" t="n">
        <x:v>1</x:v>
      </x:c>
      <x:c r="H494" t="str">
        <x:v>RAW design authority</x:v>
      </x:c>
      <x:c r="I494" t="str">
        <x:f>IF(F494=1,"PASS","GAP")</x:f>
        <x:v>PASS</x:v>
      </x:c>
    </x:row>
    <x:row r="495">
      <x:c r="B495" t="str">
        <x:v>PL-0489</x:v>
      </x:c>
      <x:c r="C495" t="str">
        <x:v>PLANNING</x:v>
      </x:c>
      <x:c r="D495" t="str">
        <x:v>trial</x:v>
      </x:c>
      <x:c r="E495" t="str">
        <x:v>trial 238</x:v>
      </x:c>
      <x:c r="F495" t="n">
        <x:f>Controls!$D$41</x:f>
        <x:v>1</x:v>
      </x:c>
      <x:c r="G495" t="n">
        <x:v>1</x:v>
      </x:c>
      <x:c r="H495" t="str">
        <x:v>RAW design authority</x:v>
      </x:c>
      <x:c r="I495" t="str">
        <x:f>IF(F495=1,"PASS","GAP")</x:f>
        <x:v>PASS</x:v>
      </x:c>
    </x:row>
    <x:row r="496">
      <x:c r="B496" t="str">
        <x:v>PL-0490</x:v>
      </x:c>
      <x:c r="C496" t="str">
        <x:v>PLANNING</x:v>
      </x:c>
      <x:c r="D496" t="str">
        <x:v>trial</x:v>
      </x:c>
      <x:c r="E496" t="str">
        <x:v>trial 239</x:v>
      </x:c>
      <x:c r="F496" t="n">
        <x:f>Controls!$D$41</x:f>
        <x:v>1</x:v>
      </x:c>
      <x:c r="G496" t="n">
        <x:v>1</x:v>
      </x:c>
      <x:c r="H496" t="str">
        <x:v>RAW design authority</x:v>
      </x:c>
      <x:c r="I496" t="str">
        <x:f>IF(F496=1,"PASS","GAP")</x:f>
        <x:v>PASS</x:v>
      </x:c>
    </x:row>
    <x:row r="497">
      <x:c r="B497" t="str">
        <x:v>PL-0491</x:v>
      </x:c>
      <x:c r="C497" t="str">
        <x:v>PLANNING</x:v>
      </x:c>
      <x:c r="D497" t="str">
        <x:v>trial</x:v>
      </x:c>
      <x:c r="E497" t="str">
        <x:v>trial 240</x:v>
      </x:c>
      <x:c r="F497" t="n">
        <x:f>Controls!$D$41</x:f>
        <x:v>1</x:v>
      </x:c>
      <x:c r="G497" t="n">
        <x:v>1</x:v>
      </x:c>
      <x:c r="H497" t="str">
        <x:v>RAW design authority</x:v>
      </x:c>
      <x:c r="I497" t="str">
        <x:f>IF(F497=1,"PASS","GAP")</x:f>
        <x:v>PASS</x:v>
      </x:c>
    </x:row>
    <x:row r="498">
      <x:c r="B498" t="str">
        <x:v>PL-0492</x:v>
      </x:c>
      <x:c r="C498" t="str">
        <x:v>PLANNING</x:v>
      </x:c>
      <x:c r="D498" t="str">
        <x:v>trial</x:v>
      </x:c>
      <x:c r="E498" t="str">
        <x:v>trial 241</x:v>
      </x:c>
      <x:c r="F498" t="n">
        <x:f>Controls!$D$41</x:f>
        <x:v>1</x:v>
      </x:c>
      <x:c r="G498" t="n">
        <x:v>1</x:v>
      </x:c>
      <x:c r="H498" t="str">
        <x:v>RAW design authority</x:v>
      </x:c>
      <x:c r="I498" t="str">
        <x:f>IF(F498=1,"PASS","GAP")</x:f>
        <x:v>PASS</x:v>
      </x:c>
    </x:row>
    <x:row r="499">
      <x:c r="B499" t="str">
        <x:v>PL-0493</x:v>
      </x:c>
      <x:c r="C499" t="str">
        <x:v>PLANNING</x:v>
      </x:c>
      <x:c r="D499" t="str">
        <x:v>trial</x:v>
      </x:c>
      <x:c r="E499" t="str">
        <x:v>trial 242</x:v>
      </x:c>
      <x:c r="F499" t="n">
        <x:f>Controls!$D$41</x:f>
        <x:v>1</x:v>
      </x:c>
      <x:c r="G499" t="n">
        <x:v>1</x:v>
      </x:c>
      <x:c r="H499" t="str">
        <x:v>RAW design authority</x:v>
      </x:c>
      <x:c r="I499" t="str">
        <x:f>IF(F499=1,"PASS","GAP")</x:f>
        <x:v>PASS</x:v>
      </x:c>
    </x:row>
    <x:row r="500">
      <x:c r="B500" t="str">
        <x:v>PL-0494</x:v>
      </x:c>
      <x:c r="C500" t="str">
        <x:v>PLANNING</x:v>
      </x:c>
      <x:c r="D500" t="str">
        <x:v>trial</x:v>
      </x:c>
      <x:c r="E500" t="str">
        <x:v>trial 243</x:v>
      </x:c>
      <x:c r="F500" t="n">
        <x:f>Controls!$D$41</x:f>
        <x:v>1</x:v>
      </x:c>
      <x:c r="G500" t="n">
        <x:v>1</x:v>
      </x:c>
      <x:c r="H500" t="str">
        <x:v>RAW design authority</x:v>
      </x:c>
      <x:c r="I500" t="str">
        <x:f>IF(F500=1,"PASS","GAP")</x:f>
        <x:v>PASS</x:v>
      </x:c>
    </x:row>
    <x:row r="501">
      <x:c r="B501" t="str">
        <x:v>PL-0495</x:v>
      </x:c>
      <x:c r="C501" t="str">
        <x:v>PLANNING</x:v>
      </x:c>
      <x:c r="D501" t="str">
        <x:v>trial</x:v>
      </x:c>
      <x:c r="E501" t="str">
        <x:v>trial 244</x:v>
      </x:c>
      <x:c r="F501" t="n">
        <x:f>Controls!$D$41</x:f>
        <x:v>1</x:v>
      </x:c>
      <x:c r="G501" t="n">
        <x:v>1</x:v>
      </x:c>
      <x:c r="H501" t="str">
        <x:v>RAW design authority</x:v>
      </x:c>
      <x:c r="I501" t="str">
        <x:f>IF(F501=1,"PASS","GAP")</x:f>
        <x:v>PASS</x:v>
      </x:c>
    </x:row>
    <x:row r="502">
      <x:c r="B502" t="str">
        <x:v>PL-0496</x:v>
      </x:c>
      <x:c r="C502" t="str">
        <x:v>PLANNING</x:v>
      </x:c>
      <x:c r="D502" t="str">
        <x:v>trial</x:v>
      </x:c>
      <x:c r="E502" t="str">
        <x:v>trial 245</x:v>
      </x:c>
      <x:c r="F502" t="n">
        <x:f>Controls!$D$41</x:f>
        <x:v>1</x:v>
      </x:c>
      <x:c r="G502" t="n">
        <x:v>1</x:v>
      </x:c>
      <x:c r="H502" t="str">
        <x:v>RAW design authority</x:v>
      </x:c>
      <x:c r="I502" t="str">
        <x:f>IF(F502=1,"PASS","GAP")</x:f>
        <x:v>PASS</x:v>
      </x:c>
    </x:row>
    <x:row r="503">
      <x:c r="B503" t="str">
        <x:v>PL-0497</x:v>
      </x:c>
      <x:c r="C503" t="str">
        <x:v>PLANNING</x:v>
      </x:c>
      <x:c r="D503" t="str">
        <x:v>trial</x:v>
      </x:c>
      <x:c r="E503" t="str">
        <x:v>trial 246</x:v>
      </x:c>
      <x:c r="F503" t="n">
        <x:f>Controls!$D$41</x:f>
        <x:v>1</x:v>
      </x:c>
      <x:c r="G503" t="n">
        <x:v>1</x:v>
      </x:c>
      <x:c r="H503" t="str">
        <x:v>RAW design authority</x:v>
      </x:c>
      <x:c r="I503" t="str">
        <x:f>IF(F503=1,"PASS","GAP")</x:f>
        <x:v>PASS</x:v>
      </x:c>
    </x:row>
    <x:row r="504">
      <x:c r="B504" t="str">
        <x:v>PL-0498</x:v>
      </x:c>
      <x:c r="C504" t="str">
        <x:v>PLANNING</x:v>
      </x:c>
      <x:c r="D504" t="str">
        <x:v>trial</x:v>
      </x:c>
      <x:c r="E504" t="str">
        <x:v>trial 247</x:v>
      </x:c>
      <x:c r="F504" t="n">
        <x:f>Controls!$D$41</x:f>
        <x:v>1</x:v>
      </x:c>
      <x:c r="G504" t="n">
        <x:v>1</x:v>
      </x:c>
      <x:c r="H504" t="str">
        <x:v>RAW design authority</x:v>
      </x:c>
      <x:c r="I504" t="str">
        <x:f>IF(F504=1,"PASS","GAP")</x:f>
        <x:v>PASS</x:v>
      </x:c>
    </x:row>
    <x:row r="505">
      <x:c r="B505" t="str">
        <x:v>PL-0499</x:v>
      </x:c>
      <x:c r="C505" t="str">
        <x:v>PLANNING</x:v>
      </x:c>
      <x:c r="D505" t="str">
        <x:v>trial</x:v>
      </x:c>
      <x:c r="E505" t="str">
        <x:v>trial 248</x:v>
      </x:c>
      <x:c r="F505" t="n">
        <x:f>Controls!$D$41</x:f>
        <x:v>1</x:v>
      </x:c>
      <x:c r="G505" t="n">
        <x:v>1</x:v>
      </x:c>
      <x:c r="H505" t="str">
        <x:v>RAW design authority</x:v>
      </x:c>
      <x:c r="I505" t="str">
        <x:f>IF(F505=1,"PASS","GAP")</x:f>
        <x:v>PASS</x:v>
      </x:c>
    </x:row>
    <x:row r="506">
      <x:c r="B506" t="str">
        <x:v>PL-0500</x:v>
      </x:c>
      <x:c r="C506" t="str">
        <x:v>PLANNING</x:v>
      </x:c>
      <x:c r="D506" t="str">
        <x:v>trial</x:v>
      </x:c>
      <x:c r="E506" t="str">
        <x:v>trial 249</x:v>
      </x:c>
      <x:c r="F506" t="n">
        <x:f>Controls!$D$41</x:f>
        <x:v>1</x:v>
      </x:c>
      <x:c r="G506" t="n">
        <x:v>1</x:v>
      </x:c>
      <x:c r="H506" t="str">
        <x:v>RAW design authority</x:v>
      </x:c>
      <x:c r="I506" t="str">
        <x:f>IF(F506=1,"PASS","GAP")</x:f>
        <x:v>PASS</x:v>
      </x:c>
    </x:row>
    <x:row r="507">
      <x:c r="B507" t="str">
        <x:v>PL-0501</x:v>
      </x:c>
      <x:c r="C507" t="str">
        <x:v>PLANNING</x:v>
      </x:c>
      <x:c r="D507" t="str">
        <x:v>trial</x:v>
      </x:c>
      <x:c r="E507" t="str">
        <x:v>trial 250</x:v>
      </x:c>
      <x:c r="F507" t="n">
        <x:f>Controls!$D$41</x:f>
        <x:v>1</x:v>
      </x:c>
      <x:c r="G507" t="n">
        <x:v>1</x:v>
      </x:c>
      <x:c r="H507" t="str">
        <x:v>RAW design authority</x:v>
      </x:c>
      <x:c r="I507" t="str">
        <x:f>IF(F507=1,"PASS","GAP")</x:f>
        <x:v>PASS</x:v>
      </x:c>
    </x:row>
    <x:row r="508">
      <x:c r="B508" t="str">
        <x:v>PL-0502</x:v>
      </x:c>
      <x:c r="C508" t="str">
        <x:v>PLANNING</x:v>
      </x:c>
      <x:c r="D508" t="str">
        <x:v>trial</x:v>
      </x:c>
      <x:c r="E508" t="str">
        <x:v>trial 251</x:v>
      </x:c>
      <x:c r="F508" t="n">
        <x:f>Controls!$D$41</x:f>
        <x:v>1</x:v>
      </x:c>
      <x:c r="G508" t="n">
        <x:v>1</x:v>
      </x:c>
      <x:c r="H508" t="str">
        <x:v>RAW design authority</x:v>
      </x:c>
      <x:c r="I508" t="str">
        <x:f>IF(F508=1,"PASS","GAP")</x:f>
        <x:v>PASS</x:v>
      </x:c>
    </x:row>
    <x:row r="509">
      <x:c r="B509" t="str">
        <x:v>PL-0503</x:v>
      </x:c>
      <x:c r="C509" t="str">
        <x:v>PLANNING</x:v>
      </x:c>
      <x:c r="D509" t="str">
        <x:v>trial</x:v>
      </x:c>
      <x:c r="E509" t="str">
        <x:v>trial 252</x:v>
      </x:c>
      <x:c r="F509" t="n">
        <x:f>Controls!$D$41</x:f>
        <x:v>1</x:v>
      </x:c>
      <x:c r="G509" t="n">
        <x:v>1</x:v>
      </x:c>
      <x:c r="H509" t="str">
        <x:v>RAW design authority</x:v>
      </x:c>
      <x:c r="I509" t="str">
        <x:f>IF(F509=1,"PASS","GAP")</x:f>
        <x:v>PASS</x:v>
      </x:c>
    </x:row>
    <x:row r="510">
      <x:c r="B510" t="str">
        <x:v>PL-0504</x:v>
      </x:c>
      <x:c r="C510" t="str">
        <x:v>PLANNING</x:v>
      </x:c>
      <x:c r="D510" t="str">
        <x:v>trial</x:v>
      </x:c>
      <x:c r="E510" t="str">
        <x:v>trial 253</x:v>
      </x:c>
      <x:c r="F510" t="n">
        <x:f>Controls!$D$41</x:f>
        <x:v>1</x:v>
      </x:c>
      <x:c r="G510" t="n">
        <x:v>1</x:v>
      </x:c>
      <x:c r="H510" t="str">
        <x:v>RAW design authority</x:v>
      </x:c>
      <x:c r="I510" t="str">
        <x:f>IF(F510=1,"PASS","GAP")</x:f>
        <x:v>PASS</x:v>
      </x:c>
    </x:row>
    <x:row r="511">
      <x:c r="B511" t="str">
        <x:v>PL-0505</x:v>
      </x:c>
      <x:c r="C511" t="str">
        <x:v>PLANNING</x:v>
      </x:c>
      <x:c r="D511" t="str">
        <x:v>trial</x:v>
      </x:c>
      <x:c r="E511" t="str">
        <x:v>trial 254</x:v>
      </x:c>
      <x:c r="F511" t="n">
        <x:f>Controls!$D$41</x:f>
        <x:v>1</x:v>
      </x:c>
      <x:c r="G511" t="n">
        <x:v>1</x:v>
      </x:c>
      <x:c r="H511" t="str">
        <x:v>RAW design authority</x:v>
      </x:c>
      <x:c r="I511" t="str">
        <x:f>IF(F511=1,"PASS","GAP")</x:f>
        <x:v>PASS</x:v>
      </x:c>
    </x:row>
    <x:row r="512">
      <x:c r="B512" t="str">
        <x:v>PL-0506</x:v>
      </x:c>
      <x:c r="C512" t="str">
        <x:v>PLANNING</x:v>
      </x:c>
      <x:c r="D512" t="str">
        <x:v>trial</x:v>
      </x:c>
      <x:c r="E512" t="str">
        <x:v>trial 255</x:v>
      </x:c>
      <x:c r="F512" t="n">
        <x:f>Controls!$D$41</x:f>
        <x:v>1</x:v>
      </x:c>
      <x:c r="G512" t="n">
        <x:v>1</x:v>
      </x:c>
      <x:c r="H512" t="str">
        <x:v>RAW design authority</x:v>
      </x:c>
      <x:c r="I512" t="str">
        <x:f>IF(F512=1,"PASS","GAP")</x:f>
        <x:v>PASS</x:v>
      </x:c>
    </x:row>
    <x:row r="513">
      <x:c r="B513" t="str">
        <x:v>PL-0507</x:v>
      </x:c>
      <x:c r="C513" t="str">
        <x:v>PLANNING</x:v>
      </x:c>
      <x:c r="D513" t="str">
        <x:v>trial</x:v>
      </x:c>
      <x:c r="E513" t="str">
        <x:v>trial 256</x:v>
      </x:c>
      <x:c r="F513" t="n">
        <x:f>Controls!$D$41</x:f>
        <x:v>1</x:v>
      </x:c>
      <x:c r="G513" t="n">
        <x:v>1</x:v>
      </x:c>
      <x:c r="H513" t="str">
        <x:v>RAW design authority</x:v>
      </x:c>
      <x:c r="I513" t="str">
        <x:f>IF(F513=1,"PASS","GAP")</x:f>
        <x:v>PASS</x:v>
      </x:c>
    </x:row>
    <x:row r="514">
      <x:c r="B514" t="str">
        <x:v>PL-0508</x:v>
      </x:c>
      <x:c r="C514" t="str">
        <x:v>PLANNING</x:v>
      </x:c>
      <x:c r="D514" t="str">
        <x:v>trial</x:v>
      </x:c>
      <x:c r="E514" t="str">
        <x:v>trial 257</x:v>
      </x:c>
      <x:c r="F514" t="n">
        <x:f>Controls!$D$41</x:f>
        <x:v>1</x:v>
      </x:c>
      <x:c r="G514" t="n">
        <x:v>1</x:v>
      </x:c>
      <x:c r="H514" t="str">
        <x:v>RAW design authority</x:v>
      </x:c>
      <x:c r="I514" t="str">
        <x:f>IF(F514=1,"PASS","GAP")</x:f>
        <x:v>PASS</x:v>
      </x:c>
    </x:row>
    <x:row r="515">
      <x:c r="B515" t="str">
        <x:v>PL-0509</x:v>
      </x:c>
      <x:c r="C515" t="str">
        <x:v>PLANNING</x:v>
      </x:c>
      <x:c r="D515" t="str">
        <x:v>trial</x:v>
      </x:c>
      <x:c r="E515" t="str">
        <x:v>trial 258</x:v>
      </x:c>
      <x:c r="F515" t="n">
        <x:f>Controls!$D$41</x:f>
        <x:v>1</x:v>
      </x:c>
      <x:c r="G515" t="n">
        <x:v>1</x:v>
      </x:c>
      <x:c r="H515" t="str">
        <x:v>RAW design authority</x:v>
      </x:c>
      <x:c r="I515" t="str">
        <x:f>IF(F515=1,"PASS","GAP")</x:f>
        <x:v>PASS</x:v>
      </x:c>
    </x:row>
    <x:row r="516">
      <x:c r="B516" t="str">
        <x:v>PL-0510</x:v>
      </x:c>
      <x:c r="C516" t="str">
        <x:v>PLANNING</x:v>
      </x:c>
      <x:c r="D516" t="str">
        <x:v>trial</x:v>
      </x:c>
      <x:c r="E516" t="str">
        <x:v>trial 259</x:v>
      </x:c>
      <x:c r="F516" t="n">
        <x:f>Controls!$D$41</x:f>
        <x:v>1</x:v>
      </x:c>
      <x:c r="G516" t="n">
        <x:v>1</x:v>
      </x:c>
      <x:c r="H516" t="str">
        <x:v>RAW design authority</x:v>
      </x:c>
      <x:c r="I516" t="str">
        <x:f>IF(F516=1,"PASS","GAP")</x:f>
        <x:v>PASS</x:v>
      </x:c>
    </x:row>
    <x:row r="517">
      <x:c r="B517" t="str">
        <x:v>PL-0511</x:v>
      </x:c>
      <x:c r="C517" t="str">
        <x:v>PLANNING</x:v>
      </x:c>
      <x:c r="D517" t="str">
        <x:v>trial</x:v>
      </x:c>
      <x:c r="E517" t="str">
        <x:v>trial 260</x:v>
      </x:c>
      <x:c r="F517" t="n">
        <x:f>Controls!$D$41</x:f>
        <x:v>1</x:v>
      </x:c>
      <x:c r="G517" t="n">
        <x:v>1</x:v>
      </x:c>
      <x:c r="H517" t="str">
        <x:v>RAW design authority</x:v>
      </x:c>
      <x:c r="I517" t="str">
        <x:f>IF(F517=1,"PASS","GAP")</x:f>
        <x:v>PASS</x:v>
      </x:c>
    </x:row>
    <x:row r="518">
      <x:c r="B518" t="str">
        <x:v>PL-0512</x:v>
      </x:c>
      <x:c r="C518" t="str">
        <x:v>PLANNING</x:v>
      </x:c>
      <x:c r="D518" t="str">
        <x:v>trial</x:v>
      </x:c>
      <x:c r="E518" t="str">
        <x:v>trial 261</x:v>
      </x:c>
      <x:c r="F518" t="n">
        <x:f>Controls!$D$41</x:f>
        <x:v>1</x:v>
      </x:c>
      <x:c r="G518" t="n">
        <x:v>1</x:v>
      </x:c>
      <x:c r="H518" t="str">
        <x:v>RAW design authority</x:v>
      </x:c>
      <x:c r="I518" t="str">
        <x:f>IF(F518=1,"PASS","GAP")</x:f>
        <x:v>PASS</x:v>
      </x:c>
    </x:row>
    <x:row r="519">
      <x:c r="B519" t="str">
        <x:v>PL-0513</x:v>
      </x:c>
      <x:c r="C519" t="str">
        <x:v>PLANNING</x:v>
      </x:c>
      <x:c r="D519" t="str">
        <x:v>trial</x:v>
      </x:c>
      <x:c r="E519" t="str">
        <x:v>trial 262</x:v>
      </x:c>
      <x:c r="F519" t="n">
        <x:f>Controls!$D$41</x:f>
        <x:v>1</x:v>
      </x:c>
      <x:c r="G519" t="n">
        <x:v>1</x:v>
      </x:c>
      <x:c r="H519" t="str">
        <x:v>RAW design authority</x:v>
      </x:c>
      <x:c r="I519" t="str">
        <x:f>IF(F519=1,"PASS","GAP")</x:f>
        <x:v>PASS</x:v>
      </x:c>
    </x:row>
    <x:row r="520">
      <x:c r="B520" t="str">
        <x:v>PL-0514</x:v>
      </x:c>
      <x:c r="C520" t="str">
        <x:v>PLANNING</x:v>
      </x:c>
      <x:c r="D520" t="str">
        <x:v>trial</x:v>
      </x:c>
      <x:c r="E520" t="str">
        <x:v>trial 263</x:v>
      </x:c>
      <x:c r="F520" t="n">
        <x:f>Controls!$D$41</x:f>
        <x:v>1</x:v>
      </x:c>
      <x:c r="G520" t="n">
        <x:v>1</x:v>
      </x:c>
      <x:c r="H520" t="str">
        <x:v>RAW design authority</x:v>
      </x:c>
      <x:c r="I520" t="str">
        <x:f>IF(F520=1,"PASS","GAP")</x:f>
        <x:v>PASS</x:v>
      </x:c>
    </x:row>
    <x:row r="521">
      <x:c r="B521" t="str">
        <x:v>PL-0515</x:v>
      </x:c>
      <x:c r="C521" t="str">
        <x:v>PLANNING</x:v>
      </x:c>
      <x:c r="D521" t="str">
        <x:v>trial</x:v>
      </x:c>
      <x:c r="E521" t="str">
        <x:v>trial 264</x:v>
      </x:c>
      <x:c r="F521" t="n">
        <x:f>Controls!$D$41</x:f>
        <x:v>1</x:v>
      </x:c>
      <x:c r="G521" t="n">
        <x:v>1</x:v>
      </x:c>
      <x:c r="H521" t="str">
        <x:v>RAW design authority</x:v>
      </x:c>
      <x:c r="I521" t="str">
        <x:f>IF(F521=1,"PASS","GAP")</x:f>
        <x:v>PASS</x:v>
      </x:c>
    </x:row>
    <x:row r="522">
      <x:c r="B522" t="str">
        <x:v>PL-0516</x:v>
      </x:c>
      <x:c r="C522" t="str">
        <x:v>PLANNING</x:v>
      </x:c>
      <x:c r="D522" t="str">
        <x:v>trial</x:v>
      </x:c>
      <x:c r="E522" t="str">
        <x:v>trial 265</x:v>
      </x:c>
      <x:c r="F522" t="n">
        <x:f>Controls!$D$41</x:f>
        <x:v>1</x:v>
      </x:c>
      <x:c r="G522" t="n">
        <x:v>1</x:v>
      </x:c>
      <x:c r="H522" t="str">
        <x:v>RAW design authority</x:v>
      </x:c>
      <x:c r="I522" t="str">
        <x:f>IF(F522=1,"PASS","GAP")</x:f>
        <x:v>PASS</x:v>
      </x:c>
    </x:row>
    <x:row r="523">
      <x:c r="B523" t="str">
        <x:v>PL-0517</x:v>
      </x:c>
      <x:c r="C523" t="str">
        <x:v>PLANNING</x:v>
      </x:c>
      <x:c r="D523" t="str">
        <x:v>trial</x:v>
      </x:c>
      <x:c r="E523" t="str">
        <x:v>trial 266</x:v>
      </x:c>
      <x:c r="F523" t="n">
        <x:f>Controls!$D$41</x:f>
        <x:v>1</x:v>
      </x:c>
      <x:c r="G523" t="n">
        <x:v>1</x:v>
      </x:c>
      <x:c r="H523" t="str">
        <x:v>RAW design authority</x:v>
      </x:c>
      <x:c r="I523" t="str">
        <x:f>IF(F523=1,"PASS","GAP")</x:f>
        <x:v>PASS</x:v>
      </x:c>
    </x:row>
    <x:row r="524">
      <x:c r="B524" t="str">
        <x:v>PL-0518</x:v>
      </x:c>
      <x:c r="C524" t="str">
        <x:v>PLANNING</x:v>
      </x:c>
      <x:c r="D524" t="str">
        <x:v>trial</x:v>
      </x:c>
      <x:c r="E524" t="str">
        <x:v>trial 267</x:v>
      </x:c>
      <x:c r="F524" t="n">
        <x:f>Controls!$D$41</x:f>
        <x:v>1</x:v>
      </x:c>
      <x:c r="G524" t="n">
        <x:v>1</x:v>
      </x:c>
      <x:c r="H524" t="str">
        <x:v>RAW design authority</x:v>
      </x:c>
      <x:c r="I524" t="str">
        <x:f>IF(F524=1,"PASS","GAP")</x:f>
        <x:v>PASS</x:v>
      </x:c>
    </x:row>
    <x:row r="525">
      <x:c r="B525" t="str">
        <x:v>PL-0519</x:v>
      </x:c>
      <x:c r="C525" t="str">
        <x:v>PLANNING</x:v>
      </x:c>
      <x:c r="D525" t="str">
        <x:v>trial</x:v>
      </x:c>
      <x:c r="E525" t="str">
        <x:v>trial 268</x:v>
      </x:c>
      <x:c r="F525" t="n">
        <x:f>Controls!$D$41</x:f>
        <x:v>1</x:v>
      </x:c>
      <x:c r="G525" t="n">
        <x:v>1</x:v>
      </x:c>
      <x:c r="H525" t="str">
        <x:v>RAW design authority</x:v>
      </x:c>
      <x:c r="I525" t="str">
        <x:f>IF(F525=1,"PASS","GAP")</x:f>
        <x:v>PASS</x:v>
      </x:c>
    </x:row>
    <x:row r="526">
      <x:c r="B526" t="str">
        <x:v>PL-0520</x:v>
      </x:c>
      <x:c r="C526" t="str">
        <x:v>PLANNING</x:v>
      </x:c>
      <x:c r="D526" t="str">
        <x:v>trial</x:v>
      </x:c>
      <x:c r="E526" t="str">
        <x:v>trial 269</x:v>
      </x:c>
      <x:c r="F526" t="n">
        <x:f>Controls!$D$41</x:f>
        <x:v>1</x:v>
      </x:c>
      <x:c r="G526" t="n">
        <x:v>1</x:v>
      </x:c>
      <x:c r="H526" t="str">
        <x:v>RAW design authority</x:v>
      </x:c>
      <x:c r="I526" t="str">
        <x:f>IF(F526=1,"PASS","GAP")</x:f>
        <x:v>PASS</x:v>
      </x:c>
    </x:row>
    <x:row r="527">
      <x:c r="B527" t="str">
        <x:v>PL-0521</x:v>
      </x:c>
      <x:c r="C527" t="str">
        <x:v>PLANNING</x:v>
      </x:c>
      <x:c r="D527" t="str">
        <x:v>trial</x:v>
      </x:c>
      <x:c r="E527" t="str">
        <x:v>trial 270</x:v>
      </x:c>
      <x:c r="F527" t="n">
        <x:f>Controls!$D$41</x:f>
        <x:v>1</x:v>
      </x:c>
      <x:c r="G527" t="n">
        <x:v>1</x:v>
      </x:c>
      <x:c r="H527" t="str">
        <x:v>RAW design authority</x:v>
      </x:c>
      <x:c r="I527" t="str">
        <x:f>IF(F527=1,"PASS","GAP")</x:f>
        <x:v>PASS</x:v>
      </x:c>
    </x:row>
    <x:row r="528">
      <x:c r="B528" t="str">
        <x:v>PL-0522</x:v>
      </x:c>
      <x:c r="C528" t="str">
        <x:v>PLANNING</x:v>
      </x:c>
      <x:c r="D528" t="str">
        <x:v>trial</x:v>
      </x:c>
      <x:c r="E528" t="str">
        <x:v>trial 271</x:v>
      </x:c>
      <x:c r="F528" t="n">
        <x:f>Controls!$D$41</x:f>
        <x:v>1</x:v>
      </x:c>
      <x:c r="G528" t="n">
        <x:v>1</x:v>
      </x:c>
      <x:c r="H528" t="str">
        <x:v>RAW design authority</x:v>
      </x:c>
      <x:c r="I528" t="str">
        <x:f>IF(F528=1,"PASS","GAP")</x:f>
        <x:v>PASS</x:v>
      </x:c>
    </x:row>
    <x:row r="529">
      <x:c r="B529" t="str">
        <x:v>PL-0523</x:v>
      </x:c>
      <x:c r="C529" t="str">
        <x:v>PLANNING</x:v>
      </x:c>
      <x:c r="D529" t="str">
        <x:v>trial</x:v>
      </x:c>
      <x:c r="E529" t="str">
        <x:v>trial 272</x:v>
      </x:c>
      <x:c r="F529" t="n">
        <x:f>Controls!$D$41</x:f>
        <x:v>1</x:v>
      </x:c>
      <x:c r="G529" t="n">
        <x:v>1</x:v>
      </x:c>
      <x:c r="H529" t="str">
        <x:v>RAW design authority</x:v>
      </x:c>
      <x:c r="I529" t="str">
        <x:f>IF(F529=1,"PASS","GAP")</x:f>
        <x:v>PASS</x:v>
      </x:c>
    </x:row>
    <x:row r="530">
      <x:c r="B530" t="str">
        <x:v>PL-0524</x:v>
      </x:c>
      <x:c r="C530" t="str">
        <x:v>PLANNING</x:v>
      </x:c>
      <x:c r="D530" t="str">
        <x:v>trial</x:v>
      </x:c>
      <x:c r="E530" t="str">
        <x:v>trial 273</x:v>
      </x:c>
      <x:c r="F530" t="n">
        <x:f>Controls!$D$41</x:f>
        <x:v>1</x:v>
      </x:c>
      <x:c r="G530" t="n">
        <x:v>1</x:v>
      </x:c>
      <x:c r="H530" t="str">
        <x:v>RAW design authority</x:v>
      </x:c>
      <x:c r="I530" t="str">
        <x:f>IF(F530=1,"PASS","GAP")</x:f>
        <x:v>PASS</x:v>
      </x:c>
    </x:row>
    <x:row r="531">
      <x:c r="B531" t="str">
        <x:v>PL-0525</x:v>
      </x:c>
      <x:c r="C531" t="str">
        <x:v>PLANNING</x:v>
      </x:c>
      <x:c r="D531" t="str">
        <x:v>trial</x:v>
      </x:c>
      <x:c r="E531" t="str">
        <x:v>trial 274</x:v>
      </x:c>
      <x:c r="F531" t="n">
        <x:f>Controls!$D$41</x:f>
        <x:v>1</x:v>
      </x:c>
      <x:c r="G531" t="n">
        <x:v>1</x:v>
      </x:c>
      <x:c r="H531" t="str">
        <x:v>RAW design authority</x:v>
      </x:c>
      <x:c r="I531" t="str">
        <x:f>IF(F531=1,"PASS","GAP")</x:f>
        <x:v>PASS</x:v>
      </x:c>
    </x:row>
    <x:row r="532">
      <x:c r="B532" t="str">
        <x:v>PL-0526</x:v>
      </x:c>
      <x:c r="C532" t="str">
        <x:v>PLANNING</x:v>
      </x:c>
      <x:c r="D532" t="str">
        <x:v>trial</x:v>
      </x:c>
      <x:c r="E532" t="str">
        <x:v>trial 275</x:v>
      </x:c>
      <x:c r="F532" t="n">
        <x:f>Controls!$D$41</x:f>
        <x:v>1</x:v>
      </x:c>
      <x:c r="G532" t="n">
        <x:v>1</x:v>
      </x:c>
      <x:c r="H532" t="str">
        <x:v>RAW design authority</x:v>
      </x:c>
      <x:c r="I532" t="str">
        <x:f>IF(F532=1,"PASS","GAP")</x:f>
        <x:v>PASS</x:v>
      </x:c>
    </x:row>
    <x:row r="533">
      <x:c r="B533" t="str">
        <x:v>PL-0527</x:v>
      </x:c>
      <x:c r="C533" t="str">
        <x:v>PLANNING</x:v>
      </x:c>
      <x:c r="D533" t="str">
        <x:v>trial</x:v>
      </x:c>
      <x:c r="E533" t="str">
        <x:v>trial 276</x:v>
      </x:c>
      <x:c r="F533" t="n">
        <x:f>Controls!$D$41</x:f>
        <x:v>1</x:v>
      </x:c>
      <x:c r="G533" t="n">
        <x:v>1</x:v>
      </x:c>
      <x:c r="H533" t="str">
        <x:v>RAW design authority</x:v>
      </x:c>
      <x:c r="I533" t="str">
        <x:f>IF(F533=1,"PASS","GAP")</x:f>
        <x:v>PASS</x:v>
      </x:c>
    </x:row>
    <x:row r="534">
      <x:c r="B534" t="str">
        <x:v>PL-0528</x:v>
      </x:c>
      <x:c r="C534" t="str">
        <x:v>PLANNING</x:v>
      </x:c>
      <x:c r="D534" t="str">
        <x:v>trial</x:v>
      </x:c>
      <x:c r="E534" t="str">
        <x:v>trial 277</x:v>
      </x:c>
      <x:c r="F534" t="n">
        <x:f>Controls!$D$41</x:f>
        <x:v>1</x:v>
      </x:c>
      <x:c r="G534" t="n">
        <x:v>1</x:v>
      </x:c>
      <x:c r="H534" t="str">
        <x:v>RAW design authority</x:v>
      </x:c>
      <x:c r="I534" t="str">
        <x:f>IF(F534=1,"PASS","GAP")</x:f>
        <x:v>PASS</x:v>
      </x:c>
    </x:row>
    <x:row r="535">
      <x:c r="B535" t="str">
        <x:v>PL-0529</x:v>
      </x:c>
      <x:c r="C535" t="str">
        <x:v>PLANNING</x:v>
      </x:c>
      <x:c r="D535" t="str">
        <x:v>trial</x:v>
      </x:c>
      <x:c r="E535" t="str">
        <x:v>trial 278</x:v>
      </x:c>
      <x:c r="F535" t="n">
        <x:f>Controls!$D$41</x:f>
        <x:v>1</x:v>
      </x:c>
      <x:c r="G535" t="n">
        <x:v>1</x:v>
      </x:c>
      <x:c r="H535" t="str">
        <x:v>RAW design authority</x:v>
      </x:c>
      <x:c r="I535" t="str">
        <x:f>IF(F535=1,"PASS","GAP")</x:f>
        <x:v>PASS</x:v>
      </x:c>
    </x:row>
    <x:row r="536">
      <x:c r="B536" t="str">
        <x:v>PL-0530</x:v>
      </x:c>
      <x:c r="C536" t="str">
        <x:v>PLANNING</x:v>
      </x:c>
      <x:c r="D536" t="str">
        <x:v>trial</x:v>
      </x:c>
      <x:c r="E536" t="str">
        <x:v>trial 279</x:v>
      </x:c>
      <x:c r="F536" t="n">
        <x:f>Controls!$D$41</x:f>
        <x:v>1</x:v>
      </x:c>
      <x:c r="G536" t="n">
        <x:v>1</x:v>
      </x:c>
      <x:c r="H536" t="str">
        <x:v>RAW design authority</x:v>
      </x:c>
      <x:c r="I536" t="str">
        <x:f>IF(F536=1,"PASS","GAP")</x:f>
        <x:v>PASS</x:v>
      </x:c>
    </x:row>
    <x:row r="537">
      <x:c r="B537" t="str">
        <x:v>PL-0531</x:v>
      </x:c>
      <x:c r="C537" t="str">
        <x:v>PLANNING</x:v>
      </x:c>
      <x:c r="D537" t="str">
        <x:v>trial</x:v>
      </x:c>
      <x:c r="E537" t="str">
        <x:v>trial 280</x:v>
      </x:c>
      <x:c r="F537" t="n">
        <x:f>Controls!$D$41</x:f>
        <x:v>1</x:v>
      </x:c>
      <x:c r="G537" t="n">
        <x:v>1</x:v>
      </x:c>
      <x:c r="H537" t="str">
        <x:v>RAW design authority</x:v>
      </x:c>
      <x:c r="I537" t="str">
        <x:f>IF(F537=1,"PASS","GAP")</x:f>
        <x:v>PASS</x:v>
      </x:c>
    </x:row>
    <x:row r="538">
      <x:c r="B538" t="str">
        <x:v>PL-0532</x:v>
      </x:c>
      <x:c r="C538" t="str">
        <x:v>PLANNING</x:v>
      </x:c>
      <x:c r="D538" t="str">
        <x:v>trial</x:v>
      </x:c>
      <x:c r="E538" t="str">
        <x:v>trial 281</x:v>
      </x:c>
      <x:c r="F538" t="n">
        <x:f>Controls!$D$41</x:f>
        <x:v>1</x:v>
      </x:c>
      <x:c r="G538" t="n">
        <x:v>1</x:v>
      </x:c>
      <x:c r="H538" t="str">
        <x:v>RAW design authority</x:v>
      </x:c>
      <x:c r="I538" t="str">
        <x:f>IF(F538=1,"PASS","GAP")</x:f>
        <x:v>PASS</x:v>
      </x:c>
    </x:row>
    <x:row r="539">
      <x:c r="B539" t="str">
        <x:v>PL-0533</x:v>
      </x:c>
      <x:c r="C539" t="str">
        <x:v>PLANNING</x:v>
      </x:c>
      <x:c r="D539" t="str">
        <x:v>trial</x:v>
      </x:c>
      <x:c r="E539" t="str">
        <x:v>trial 282</x:v>
      </x:c>
      <x:c r="F539" t="n">
        <x:f>Controls!$D$41</x:f>
        <x:v>1</x:v>
      </x:c>
      <x:c r="G539" t="n">
        <x:v>1</x:v>
      </x:c>
      <x:c r="H539" t="str">
        <x:v>RAW design authority</x:v>
      </x:c>
      <x:c r="I539" t="str">
        <x:f>IF(F539=1,"PASS","GAP")</x:f>
        <x:v>PASS</x:v>
      </x:c>
    </x:row>
    <x:row r="540">
      <x:c r="B540" t="str">
        <x:v>PL-0534</x:v>
      </x:c>
      <x:c r="C540" t="str">
        <x:v>PLANNING</x:v>
      </x:c>
      <x:c r="D540" t="str">
        <x:v>trial</x:v>
      </x:c>
      <x:c r="E540" t="str">
        <x:v>trial 283</x:v>
      </x:c>
      <x:c r="F540" t="n">
        <x:f>Controls!$D$41</x:f>
        <x:v>1</x:v>
      </x:c>
      <x:c r="G540" t="n">
        <x:v>1</x:v>
      </x:c>
      <x:c r="H540" t="str">
        <x:v>RAW design authority</x:v>
      </x:c>
      <x:c r="I540" t="str">
        <x:f>IF(F540=1,"PASS","GAP")</x:f>
        <x:v>PASS</x:v>
      </x:c>
    </x:row>
    <x:row r="541">
      <x:c r="B541" t="str">
        <x:v>PL-0535</x:v>
      </x:c>
      <x:c r="C541" t="str">
        <x:v>PLANNING</x:v>
      </x:c>
      <x:c r="D541" t="str">
        <x:v>trial</x:v>
      </x:c>
      <x:c r="E541" t="str">
        <x:v>trial 284</x:v>
      </x:c>
      <x:c r="F541" t="n">
        <x:f>Controls!$D$41</x:f>
        <x:v>1</x:v>
      </x:c>
      <x:c r="G541" t="n">
        <x:v>1</x:v>
      </x:c>
      <x:c r="H541" t="str">
        <x:v>RAW design authority</x:v>
      </x:c>
      <x:c r="I541" t="str">
        <x:f>IF(F541=1,"PASS","GAP")</x:f>
        <x:v>PASS</x:v>
      </x:c>
    </x:row>
    <x:row r="542">
      <x:c r="B542" t="str">
        <x:v>PL-0536</x:v>
      </x:c>
      <x:c r="C542" t="str">
        <x:v>PLANNING</x:v>
      </x:c>
      <x:c r="D542" t="str">
        <x:v>trial</x:v>
      </x:c>
      <x:c r="E542" t="str">
        <x:v>trial 285</x:v>
      </x:c>
      <x:c r="F542" t="n">
        <x:f>Controls!$D$41</x:f>
        <x:v>1</x:v>
      </x:c>
      <x:c r="G542" t="n">
        <x:v>1</x:v>
      </x:c>
      <x:c r="H542" t="str">
        <x:v>RAW design authority</x:v>
      </x:c>
      <x:c r="I542" t="str">
        <x:f>IF(F542=1,"PASS","GAP")</x:f>
        <x:v>PASS</x:v>
      </x:c>
    </x:row>
    <x:row r="543">
      <x:c r="B543" t="str">
        <x:v>PL-0537</x:v>
      </x:c>
      <x:c r="C543" t="str">
        <x:v>PLANNING</x:v>
      </x:c>
      <x:c r="D543" t="str">
        <x:v>trial</x:v>
      </x:c>
      <x:c r="E543" t="str">
        <x:v>trial 286</x:v>
      </x:c>
      <x:c r="F543" t="n">
        <x:f>Controls!$D$41</x:f>
        <x:v>1</x:v>
      </x:c>
      <x:c r="G543" t="n">
        <x:v>1</x:v>
      </x:c>
      <x:c r="H543" t="str">
        <x:v>RAW design authority</x:v>
      </x:c>
      <x:c r="I543" t="str">
        <x:f>IF(F543=1,"PASS","GAP")</x:f>
        <x:v>PASS</x:v>
      </x:c>
    </x:row>
    <x:row r="544">
      <x:c r="B544" t="str">
        <x:v>PL-0538</x:v>
      </x:c>
      <x:c r="C544" t="str">
        <x:v>PLANNING</x:v>
      </x:c>
      <x:c r="D544" t="str">
        <x:v>trial</x:v>
      </x:c>
      <x:c r="E544" t="str">
        <x:v>trial 287</x:v>
      </x:c>
      <x:c r="F544" t="n">
        <x:f>Controls!$D$41</x:f>
        <x:v>1</x:v>
      </x:c>
      <x:c r="G544" t="n">
        <x:v>1</x:v>
      </x:c>
      <x:c r="H544" t="str">
        <x:v>RAW design authority</x:v>
      </x:c>
      <x:c r="I544" t="str">
        <x:f>IF(F544=1,"PASS","GAP")</x:f>
        <x:v>PASS</x:v>
      </x:c>
    </x:row>
    <x:row r="545">
      <x:c r="B545" t="str">
        <x:v>PL-0539</x:v>
      </x:c>
      <x:c r="C545" t="str">
        <x:v>PLANNING</x:v>
      </x:c>
      <x:c r="D545" t="str">
        <x:v>trial</x:v>
      </x:c>
      <x:c r="E545" t="str">
        <x:v>trial 288</x:v>
      </x:c>
      <x:c r="F545" t="n">
        <x:f>Controls!$D$41</x:f>
        <x:v>1</x:v>
      </x:c>
      <x:c r="G545" t="n">
        <x:v>1</x:v>
      </x:c>
      <x:c r="H545" t="str">
        <x:v>RAW design authority</x:v>
      </x:c>
      <x:c r="I545" t="str">
        <x:f>IF(F545=1,"PASS","GAP")</x:f>
        <x:v>PASS</x:v>
      </x:c>
    </x:row>
    <x:row r="546">
      <x:c r="B546" t="str">
        <x:v>PL-0540</x:v>
      </x:c>
      <x:c r="C546" t="str">
        <x:v>PLANNING</x:v>
      </x:c>
      <x:c r="D546" t="str">
        <x:v>trial</x:v>
      </x:c>
      <x:c r="E546" t="str">
        <x:v>trial 289</x:v>
      </x:c>
      <x:c r="F546" t="n">
        <x:f>Controls!$D$41</x:f>
        <x:v>1</x:v>
      </x:c>
      <x:c r="G546" t="n">
        <x:v>1</x:v>
      </x:c>
      <x:c r="H546" t="str">
        <x:v>RAW design authority</x:v>
      </x:c>
      <x:c r="I546" t="str">
        <x:f>IF(F546=1,"PASS","GAP")</x:f>
        <x:v>PASS</x:v>
      </x:c>
    </x:row>
    <x:row r="547">
      <x:c r="B547" t="str">
        <x:v>PL-0541</x:v>
      </x:c>
      <x:c r="C547" t="str">
        <x:v>PLANNING</x:v>
      </x:c>
      <x:c r="D547" t="str">
        <x:v>trial</x:v>
      </x:c>
      <x:c r="E547" t="str">
        <x:v>trial 290</x:v>
      </x:c>
      <x:c r="F547" t="n">
        <x:f>Controls!$D$41</x:f>
        <x:v>1</x:v>
      </x:c>
      <x:c r="G547" t="n">
        <x:v>1</x:v>
      </x:c>
      <x:c r="H547" t="str">
        <x:v>RAW design authority</x:v>
      </x:c>
      <x:c r="I547" t="str">
        <x:f>IF(F547=1,"PASS","GAP")</x:f>
        <x:v>PASS</x:v>
      </x:c>
    </x:row>
    <x:row r="548">
      <x:c r="B548" t="str">
        <x:v>PL-0542</x:v>
      </x:c>
      <x:c r="C548" t="str">
        <x:v>PLANNING</x:v>
      </x:c>
      <x:c r="D548" t="str">
        <x:v>trial</x:v>
      </x:c>
      <x:c r="E548" t="str">
        <x:v>trial 291</x:v>
      </x:c>
      <x:c r="F548" t="n">
        <x:f>Controls!$D$41</x:f>
        <x:v>1</x:v>
      </x:c>
      <x:c r="G548" t="n">
        <x:v>1</x:v>
      </x:c>
      <x:c r="H548" t="str">
        <x:v>RAW design authority</x:v>
      </x:c>
      <x:c r="I548" t="str">
        <x:f>IF(F548=1,"PASS","GAP")</x:f>
        <x:v>PASS</x:v>
      </x:c>
    </x:row>
    <x:row r="549">
      <x:c r="B549" t="str">
        <x:v>PL-0543</x:v>
      </x:c>
      <x:c r="C549" t="str">
        <x:v>PLANNING</x:v>
      </x:c>
      <x:c r="D549" t="str">
        <x:v>trial</x:v>
      </x:c>
      <x:c r="E549" t="str">
        <x:v>trial 292</x:v>
      </x:c>
      <x:c r="F549" t="n">
        <x:f>Controls!$D$41</x:f>
        <x:v>1</x:v>
      </x:c>
      <x:c r="G549" t="n">
        <x:v>1</x:v>
      </x:c>
      <x:c r="H549" t="str">
        <x:v>RAW design authority</x:v>
      </x:c>
      <x:c r="I549" t="str">
        <x:f>IF(F549=1,"PASS","GAP")</x:f>
        <x:v>PASS</x:v>
      </x:c>
    </x:row>
    <x:row r="550">
      <x:c r="B550" t="str">
        <x:v>PL-0544</x:v>
      </x:c>
      <x:c r="C550" t="str">
        <x:v>PLANNING</x:v>
      </x:c>
      <x:c r="D550" t="str">
        <x:v>trial</x:v>
      </x:c>
      <x:c r="E550" t="str">
        <x:v>trial 293</x:v>
      </x:c>
      <x:c r="F550" t="n">
        <x:f>Controls!$D$41</x:f>
        <x:v>1</x:v>
      </x:c>
      <x:c r="G550" t="n">
        <x:v>1</x:v>
      </x:c>
      <x:c r="H550" t="str">
        <x:v>RAW design authority</x:v>
      </x:c>
      <x:c r="I550" t="str">
        <x:f>IF(F550=1,"PASS","GAP")</x:f>
        <x:v>PASS</x:v>
      </x:c>
    </x:row>
    <x:row r="551">
      <x:c r="B551" t="str">
        <x:v>PL-0545</x:v>
      </x:c>
      <x:c r="C551" t="str">
        <x:v>PLANNING</x:v>
      </x:c>
      <x:c r="D551" t="str">
        <x:v>trial</x:v>
      </x:c>
      <x:c r="E551" t="str">
        <x:v>trial 294</x:v>
      </x:c>
      <x:c r="F551" t="n">
        <x:f>Controls!$D$41</x:f>
        <x:v>1</x:v>
      </x:c>
      <x:c r="G551" t="n">
        <x:v>1</x:v>
      </x:c>
      <x:c r="H551" t="str">
        <x:v>RAW design authority</x:v>
      </x:c>
      <x:c r="I551" t="str">
        <x:f>IF(F551=1,"PASS","GAP")</x:f>
        <x:v>PASS</x:v>
      </x:c>
    </x:row>
    <x:row r="552">
      <x:c r="B552" t="str">
        <x:v>PL-0546</x:v>
      </x:c>
      <x:c r="C552" t="str">
        <x:v>PLANNING</x:v>
      </x:c>
      <x:c r="D552" t="str">
        <x:v>trial</x:v>
      </x:c>
      <x:c r="E552" t="str">
        <x:v>trial 295</x:v>
      </x:c>
      <x:c r="F552" t="n">
        <x:f>Controls!$D$41</x:f>
        <x:v>1</x:v>
      </x:c>
      <x:c r="G552" t="n">
        <x:v>1</x:v>
      </x:c>
      <x:c r="H552" t="str">
        <x:v>RAW design authority</x:v>
      </x:c>
      <x:c r="I552" t="str">
        <x:f>IF(F552=1,"PASS","GAP")</x:f>
        <x:v>PASS</x:v>
      </x:c>
    </x:row>
    <x:row r="553">
      <x:c r="B553" t="str">
        <x:v>PL-0547</x:v>
      </x:c>
      <x:c r="C553" t="str">
        <x:v>PLANNING</x:v>
      </x:c>
      <x:c r="D553" t="str">
        <x:v>trial</x:v>
      </x:c>
      <x:c r="E553" t="str">
        <x:v>trial 296</x:v>
      </x:c>
      <x:c r="F553" t="n">
        <x:f>Controls!$D$41</x:f>
        <x:v>1</x:v>
      </x:c>
      <x:c r="G553" t="n">
        <x:v>1</x:v>
      </x:c>
      <x:c r="H553" t="str">
        <x:v>RAW design authority</x:v>
      </x:c>
      <x:c r="I553" t="str">
        <x:f>IF(F553=1,"PASS","GAP")</x:f>
        <x:v>PASS</x:v>
      </x:c>
    </x:row>
    <x:row r="554">
      <x:c r="B554" t="str">
        <x:v>PL-0548</x:v>
      </x:c>
      <x:c r="C554" t="str">
        <x:v>PLANNING</x:v>
      </x:c>
      <x:c r="D554" t="str">
        <x:v>trial</x:v>
      </x:c>
      <x:c r="E554" t="str">
        <x:v>trial 297</x:v>
      </x:c>
      <x:c r="F554" t="n">
        <x:f>Controls!$D$41</x:f>
        <x:v>1</x:v>
      </x:c>
      <x:c r="G554" t="n">
        <x:v>1</x:v>
      </x:c>
      <x:c r="H554" t="str">
        <x:v>RAW design authority</x:v>
      </x:c>
      <x:c r="I554" t="str">
        <x:f>IF(F554=1,"PASS","GAP")</x:f>
        <x:v>PASS</x:v>
      </x:c>
    </x:row>
    <x:row r="555">
      <x:c r="B555" t="str">
        <x:v>PL-0549</x:v>
      </x:c>
      <x:c r="C555" t="str">
        <x:v>PLANNING</x:v>
      </x:c>
      <x:c r="D555" t="str">
        <x:v>trial</x:v>
      </x:c>
      <x:c r="E555" t="str">
        <x:v>trial 298</x:v>
      </x:c>
      <x:c r="F555" t="n">
        <x:f>Controls!$D$41</x:f>
        <x:v>1</x:v>
      </x:c>
      <x:c r="G555" t="n">
        <x:v>1</x:v>
      </x:c>
      <x:c r="H555" t="str">
        <x:v>RAW design authority</x:v>
      </x:c>
      <x:c r="I555" t="str">
        <x:f>IF(F555=1,"PASS","GAP")</x:f>
        <x:v>PASS</x:v>
      </x:c>
    </x:row>
    <x:row r="556">
      <x:c r="B556" t="str">
        <x:v>PL-0550</x:v>
      </x:c>
      <x:c r="C556" t="str">
        <x:v>PLANNING</x:v>
      </x:c>
      <x:c r="D556" t="str">
        <x:v>trial</x:v>
      </x:c>
      <x:c r="E556" t="str">
        <x:v>trial 299</x:v>
      </x:c>
      <x:c r="F556" t="n">
        <x:f>Controls!$D$41</x:f>
        <x:v>1</x:v>
      </x:c>
      <x:c r="G556" t="n">
        <x:v>1</x:v>
      </x:c>
      <x:c r="H556" t="str">
        <x:v>RAW design authority</x:v>
      </x:c>
      <x:c r="I556" t="str">
        <x:f>IF(F556=1,"PASS","GAP")</x:f>
        <x:v>PASS</x:v>
      </x:c>
    </x:row>
    <x:row r="557">
      <x:c r="B557" t="str">
        <x:v>PL-0551</x:v>
      </x:c>
      <x:c r="C557" t="str">
        <x:v>PLANNING</x:v>
      </x:c>
      <x:c r="D557" t="str">
        <x:v>trial</x:v>
      </x:c>
      <x:c r="E557" t="str">
        <x:v>trial 300</x:v>
      </x:c>
      <x:c r="F557" t="n">
        <x:f>Controls!$D$41</x:f>
        <x:v>1</x:v>
      </x:c>
      <x:c r="G557" t="n">
        <x:v>1</x:v>
      </x:c>
      <x:c r="H557" t="str">
        <x:v>RAW design authority</x:v>
      </x:c>
      <x:c r="I557" t="str">
        <x:f>IF(F557=1,"PASS","GAP")</x:f>
        <x:v>PASS</x:v>
      </x:c>
    </x:row>
    <x:row r="558">
      <x:c r="B558" t="str">
        <x:v>PL-0552</x:v>
      </x:c>
      <x:c r="C558" t="str">
        <x:v>PLANNING</x:v>
      </x:c>
      <x:c r="D558" t="str">
        <x:v>trial</x:v>
      </x:c>
      <x:c r="E558" t="str">
        <x:v>trial 301</x:v>
      </x:c>
      <x:c r="F558" t="n">
        <x:f>Controls!$D$41</x:f>
        <x:v>1</x:v>
      </x:c>
      <x:c r="G558" t="n">
        <x:v>1</x:v>
      </x:c>
      <x:c r="H558" t="str">
        <x:v>RAW design authority</x:v>
      </x:c>
      <x:c r="I558" t="str">
        <x:f>IF(F558=1,"PASS","GAP")</x:f>
        <x:v>PASS</x:v>
      </x:c>
    </x:row>
    <x:row r="559">
      <x:c r="B559" t="str">
        <x:v>PL-0553</x:v>
      </x:c>
      <x:c r="C559" t="str">
        <x:v>PLANNING</x:v>
      </x:c>
      <x:c r="D559" t="str">
        <x:v>trial</x:v>
      </x:c>
      <x:c r="E559" t="str">
        <x:v>trial 302</x:v>
      </x:c>
      <x:c r="F559" t="n">
        <x:f>Controls!$D$41</x:f>
        <x:v>1</x:v>
      </x:c>
      <x:c r="G559" t="n">
        <x:v>1</x:v>
      </x:c>
      <x:c r="H559" t="str">
        <x:v>RAW design authority</x:v>
      </x:c>
      <x:c r="I559" t="str">
        <x:f>IF(F559=1,"PASS","GAP")</x:f>
        <x:v>PASS</x:v>
      </x:c>
    </x:row>
    <x:row r="560">
      <x:c r="B560" t="str">
        <x:v>PL-0554</x:v>
      </x:c>
      <x:c r="C560" t="str">
        <x:v>PLANNING</x:v>
      </x:c>
      <x:c r="D560" t="str">
        <x:v>trial</x:v>
      </x:c>
      <x:c r="E560" t="str">
        <x:v>trial 303</x:v>
      </x:c>
      <x:c r="F560" t="n">
        <x:f>Controls!$D$41</x:f>
        <x:v>1</x:v>
      </x:c>
      <x:c r="G560" t="n">
        <x:v>1</x:v>
      </x:c>
      <x:c r="H560" t="str">
        <x:v>RAW design authority</x:v>
      </x:c>
      <x:c r="I560" t="str">
        <x:f>IF(F560=1,"PASS","GAP")</x:f>
        <x:v>PASS</x:v>
      </x:c>
    </x:row>
    <x:row r="561">
      <x:c r="B561" t="str">
        <x:v>PL-0555</x:v>
      </x:c>
      <x:c r="C561" t="str">
        <x:v>PLANNING</x:v>
      </x:c>
      <x:c r="D561" t="str">
        <x:v>trial</x:v>
      </x:c>
      <x:c r="E561" t="str">
        <x:v>trial 304</x:v>
      </x:c>
      <x:c r="F561" t="n">
        <x:f>Controls!$D$41</x:f>
        <x:v>1</x:v>
      </x:c>
      <x:c r="G561" t="n">
        <x:v>1</x:v>
      </x:c>
      <x:c r="H561" t="str">
        <x:v>RAW design authority</x:v>
      </x:c>
      <x:c r="I561" t="str">
        <x:f>IF(F561=1,"PASS","GAP")</x:f>
        <x:v>PASS</x:v>
      </x:c>
    </x:row>
    <x:row r="562">
      <x:c r="B562" t="str">
        <x:v>PL-0556</x:v>
      </x:c>
      <x:c r="C562" t="str">
        <x:v>PLANNING</x:v>
      </x:c>
      <x:c r="D562" t="str">
        <x:v>trial</x:v>
      </x:c>
      <x:c r="E562" t="str">
        <x:v>trial 305</x:v>
      </x:c>
      <x:c r="F562" t="n">
        <x:f>Controls!$D$41</x:f>
        <x:v>1</x:v>
      </x:c>
      <x:c r="G562" t="n">
        <x:v>1</x:v>
      </x:c>
      <x:c r="H562" t="str">
        <x:v>RAW design authority</x:v>
      </x:c>
      <x:c r="I562" t="str">
        <x:f>IF(F562=1,"PASS","GAP")</x:f>
        <x:v>PASS</x:v>
      </x:c>
    </x:row>
    <x:row r="563">
      <x:c r="B563" t="str">
        <x:v>PL-0557</x:v>
      </x:c>
      <x:c r="C563" t="str">
        <x:v>PLANNING</x:v>
      </x:c>
      <x:c r="D563" t="str">
        <x:v>trial</x:v>
      </x:c>
      <x:c r="E563" t="str">
        <x:v>trial 306</x:v>
      </x:c>
      <x:c r="F563" t="n">
        <x:f>Controls!$D$41</x:f>
        <x:v>1</x:v>
      </x:c>
      <x:c r="G563" t="n">
        <x:v>1</x:v>
      </x:c>
      <x:c r="H563" t="str">
        <x:v>RAW design authority</x:v>
      </x:c>
      <x:c r="I563" t="str">
        <x:f>IF(F563=1,"PASS","GAP")</x:f>
        <x:v>PASS</x:v>
      </x:c>
    </x:row>
    <x:row r="564">
      <x:c r="B564" t="str">
        <x:v>PL-0558</x:v>
      </x:c>
      <x:c r="C564" t="str">
        <x:v>PLANNING</x:v>
      </x:c>
      <x:c r="D564" t="str">
        <x:v>trial</x:v>
      </x:c>
      <x:c r="E564" t="str">
        <x:v>trial 307</x:v>
      </x:c>
      <x:c r="F564" t="n">
        <x:f>Controls!$D$41</x:f>
        <x:v>1</x:v>
      </x:c>
      <x:c r="G564" t="n">
        <x:v>1</x:v>
      </x:c>
      <x:c r="H564" t="str">
        <x:v>RAW design authority</x:v>
      </x:c>
      <x:c r="I564" t="str">
        <x:f>IF(F564=1,"PASS","GAP")</x:f>
        <x:v>PASS</x:v>
      </x:c>
    </x:row>
    <x:row r="565">
      <x:c r="B565" t="str">
        <x:v>PL-0559</x:v>
      </x:c>
      <x:c r="C565" t="str">
        <x:v>PLANNING</x:v>
      </x:c>
      <x:c r="D565" t="str">
        <x:v>trial</x:v>
      </x:c>
      <x:c r="E565" t="str">
        <x:v>trial 308</x:v>
      </x:c>
      <x:c r="F565" t="n">
        <x:f>Controls!$D$41</x:f>
        <x:v>1</x:v>
      </x:c>
      <x:c r="G565" t="n">
        <x:v>1</x:v>
      </x:c>
      <x:c r="H565" t="str">
        <x:v>RAW design authority</x:v>
      </x:c>
      <x:c r="I565" t="str">
        <x:f>IF(F565=1,"PASS","GAP")</x:f>
        <x:v>PASS</x:v>
      </x:c>
    </x:row>
    <x:row r="566">
      <x:c r="B566" t="str">
        <x:v>PL-0560</x:v>
      </x:c>
      <x:c r="C566" t="str">
        <x:v>PLANNING</x:v>
      </x:c>
      <x:c r="D566" t="str">
        <x:v>trial</x:v>
      </x:c>
      <x:c r="E566" t="str">
        <x:v>trial 309</x:v>
      </x:c>
      <x:c r="F566" t="n">
        <x:f>Controls!$D$41</x:f>
        <x:v>1</x:v>
      </x:c>
      <x:c r="G566" t="n">
        <x:v>1</x:v>
      </x:c>
      <x:c r="H566" t="str">
        <x:v>RAW design authority</x:v>
      </x:c>
      <x:c r="I566" t="str">
        <x:f>IF(F566=1,"PASS","GAP")</x:f>
        <x:v>PASS</x:v>
      </x:c>
    </x:row>
    <x:row r="567">
      <x:c r="B567" t="str">
        <x:v>PL-0561</x:v>
      </x:c>
      <x:c r="C567" t="str">
        <x:v>PLANNING</x:v>
      </x:c>
      <x:c r="D567" t="str">
        <x:v>trial</x:v>
      </x:c>
      <x:c r="E567" t="str">
        <x:v>trial 310</x:v>
      </x:c>
      <x:c r="F567" t="n">
        <x:f>Controls!$D$41</x:f>
        <x:v>1</x:v>
      </x:c>
      <x:c r="G567" t="n">
        <x:v>1</x:v>
      </x:c>
      <x:c r="H567" t="str">
        <x:v>RAW design authority</x:v>
      </x:c>
      <x:c r="I567" t="str">
        <x:f>IF(F567=1,"PASS","GAP")</x:f>
        <x:v>PASS</x:v>
      </x:c>
    </x:row>
    <x:row r="568">
      <x:c r="B568" t="str">
        <x:v>PL-0562</x:v>
      </x:c>
      <x:c r="C568" t="str">
        <x:v>PLANNING</x:v>
      </x:c>
      <x:c r="D568" t="str">
        <x:v>trial</x:v>
      </x:c>
      <x:c r="E568" t="str">
        <x:v>trial 311</x:v>
      </x:c>
      <x:c r="F568" t="n">
        <x:f>Controls!$D$41</x:f>
        <x:v>1</x:v>
      </x:c>
      <x:c r="G568" t="n">
        <x:v>1</x:v>
      </x:c>
      <x:c r="H568" t="str">
        <x:v>RAW design authority</x:v>
      </x:c>
      <x:c r="I568" t="str">
        <x:f>IF(F568=1,"PASS","GAP")</x:f>
        <x:v>PASS</x:v>
      </x:c>
    </x:row>
    <x:row r="569">
      <x:c r="B569" t="str">
        <x:v>PL-0563</x:v>
      </x:c>
      <x:c r="C569" t="str">
        <x:v>PLANNING</x:v>
      </x:c>
      <x:c r="D569" t="str">
        <x:v>trial</x:v>
      </x:c>
      <x:c r="E569" t="str">
        <x:v>trial 312</x:v>
      </x:c>
      <x:c r="F569" t="n">
        <x:f>Controls!$D$41</x:f>
        <x:v>1</x:v>
      </x:c>
      <x:c r="G569" t="n">
        <x:v>1</x:v>
      </x:c>
      <x:c r="H569" t="str">
        <x:v>RAW design authority</x:v>
      </x:c>
      <x:c r="I569" t="str">
        <x:f>IF(F569=1,"PASS","GAP")</x:f>
        <x:v>PASS</x:v>
      </x:c>
    </x:row>
    <x:row r="570">
      <x:c r="B570" t="str">
        <x:v>PL-0564</x:v>
      </x:c>
      <x:c r="C570" t="str">
        <x:v>PLANNING</x:v>
      </x:c>
      <x:c r="D570" t="str">
        <x:v>trial</x:v>
      </x:c>
      <x:c r="E570" t="str">
        <x:v>trial 313</x:v>
      </x:c>
      <x:c r="F570" t="n">
        <x:f>Controls!$D$41</x:f>
        <x:v>1</x:v>
      </x:c>
      <x:c r="G570" t="n">
        <x:v>1</x:v>
      </x:c>
      <x:c r="H570" t="str">
        <x:v>RAW design authority</x:v>
      </x:c>
      <x:c r="I570" t="str">
        <x:f>IF(F570=1,"PASS","GAP")</x:f>
        <x:v>PASS</x:v>
      </x:c>
    </x:row>
    <x:row r="571">
      <x:c r="B571" t="str">
        <x:v>PL-0565</x:v>
      </x:c>
      <x:c r="C571" t="str">
        <x:v>PLANNING</x:v>
      </x:c>
      <x:c r="D571" t="str">
        <x:v>trial</x:v>
      </x:c>
      <x:c r="E571" t="str">
        <x:v>trial 314</x:v>
      </x:c>
      <x:c r="F571" t="n">
        <x:f>Controls!$D$41</x:f>
        <x:v>1</x:v>
      </x:c>
      <x:c r="G571" t="n">
        <x:v>1</x:v>
      </x:c>
      <x:c r="H571" t="str">
        <x:v>RAW design authority</x:v>
      </x:c>
      <x:c r="I571" t="str">
        <x:f>IF(F571=1,"PASS","GAP")</x:f>
        <x:v>PASS</x:v>
      </x:c>
    </x:row>
    <x:row r="572">
      <x:c r="B572" t="str">
        <x:v>PL-0566</x:v>
      </x:c>
      <x:c r="C572" t="str">
        <x:v>PLANNING</x:v>
      </x:c>
      <x:c r="D572" t="str">
        <x:v>trial</x:v>
      </x:c>
      <x:c r="E572" t="str">
        <x:v>trial 315</x:v>
      </x:c>
      <x:c r="F572" t="n">
        <x:f>Controls!$D$41</x:f>
        <x:v>1</x:v>
      </x:c>
      <x:c r="G572" t="n">
        <x:v>1</x:v>
      </x:c>
      <x:c r="H572" t="str">
        <x:v>RAW design authority</x:v>
      </x:c>
      <x:c r="I572" t="str">
        <x:f>IF(F572=1,"PASS","GAP")</x:f>
        <x:v>PASS</x:v>
      </x:c>
    </x:row>
    <x:row r="573">
      <x:c r="B573" t="str">
        <x:v>PL-0567</x:v>
      </x:c>
      <x:c r="C573" t="str">
        <x:v>PLANNING</x:v>
      </x:c>
      <x:c r="D573" t="str">
        <x:v>trial</x:v>
      </x:c>
      <x:c r="E573" t="str">
        <x:v>trial 316</x:v>
      </x:c>
      <x:c r="F573" t="n">
        <x:f>Controls!$D$41</x:f>
        <x:v>1</x:v>
      </x:c>
      <x:c r="G573" t="n">
        <x:v>1</x:v>
      </x:c>
      <x:c r="H573" t="str">
        <x:v>RAW design authority</x:v>
      </x:c>
      <x:c r="I573" t="str">
        <x:f>IF(F573=1,"PASS","GAP")</x:f>
        <x:v>PASS</x:v>
      </x:c>
    </x:row>
    <x:row r="574">
      <x:c r="B574" t="str">
        <x:v>PL-0568</x:v>
      </x:c>
      <x:c r="C574" t="str">
        <x:v>PLANNING</x:v>
      </x:c>
      <x:c r="D574" t="str">
        <x:v>trial</x:v>
      </x:c>
      <x:c r="E574" t="str">
        <x:v>trial 317</x:v>
      </x:c>
      <x:c r="F574" t="n">
        <x:f>Controls!$D$41</x:f>
        <x:v>1</x:v>
      </x:c>
      <x:c r="G574" t="n">
        <x:v>1</x:v>
      </x:c>
      <x:c r="H574" t="str">
        <x:v>RAW design authority</x:v>
      </x:c>
      <x:c r="I574" t="str">
        <x:f>IF(F574=1,"PASS","GAP")</x:f>
        <x:v>PASS</x:v>
      </x:c>
    </x:row>
    <x:row r="575">
      <x:c r="B575" t="str">
        <x:v>PL-0569</x:v>
      </x:c>
      <x:c r="C575" t="str">
        <x:v>PLANNING</x:v>
      </x:c>
      <x:c r="D575" t="str">
        <x:v>trial</x:v>
      </x:c>
      <x:c r="E575" t="str">
        <x:v>trial 318</x:v>
      </x:c>
      <x:c r="F575" t="n">
        <x:f>Controls!$D$41</x:f>
        <x:v>1</x:v>
      </x:c>
      <x:c r="G575" t="n">
        <x:v>1</x:v>
      </x:c>
      <x:c r="H575" t="str">
        <x:v>RAW design authority</x:v>
      </x:c>
      <x:c r="I575" t="str">
        <x:f>IF(F575=1,"PASS","GAP")</x:f>
        <x:v>PASS</x:v>
      </x:c>
    </x:row>
    <x:row r="576">
      <x:c r="B576" t="str">
        <x:v>PL-0570</x:v>
      </x:c>
      <x:c r="C576" t="str">
        <x:v>PLANNING</x:v>
      </x:c>
      <x:c r="D576" t="str">
        <x:v>trial</x:v>
      </x:c>
      <x:c r="E576" t="str">
        <x:v>trial 319</x:v>
      </x:c>
      <x:c r="F576" t="n">
        <x:f>Controls!$D$41</x:f>
        <x:v>1</x:v>
      </x:c>
      <x:c r="G576" t="n">
        <x:v>1</x:v>
      </x:c>
      <x:c r="H576" t="str">
        <x:v>RAW design authority</x:v>
      </x:c>
      <x:c r="I576" t="str">
        <x:f>IF(F576=1,"PASS","GAP")</x:f>
        <x:v>PASS</x:v>
      </x:c>
    </x:row>
    <x:row r="577">
      <x:c r="B577" t="str">
        <x:v>PL-0571</x:v>
      </x:c>
      <x:c r="C577" t="str">
        <x:v>PLANNING</x:v>
      </x:c>
      <x:c r="D577" t="str">
        <x:v>trial</x:v>
      </x:c>
      <x:c r="E577" t="str">
        <x:v>trial 320</x:v>
      </x:c>
      <x:c r="F577" t="n">
        <x:f>Controls!$D$41</x:f>
        <x:v>1</x:v>
      </x:c>
      <x:c r="G577" t="n">
        <x:v>1</x:v>
      </x:c>
      <x:c r="H577" t="str">
        <x:v>RAW design authority</x:v>
      </x:c>
      <x:c r="I577" t="str">
        <x:f>IF(F577=1,"PASS","GAP")</x:f>
        <x:v>PASS</x:v>
      </x:c>
    </x:row>
    <x:row r="578">
      <x:c r="B578" t="str">
        <x:v>PL-0572</x:v>
      </x:c>
      <x:c r="C578" t="str">
        <x:v>PLANNING</x:v>
      </x:c>
      <x:c r="D578" t="str">
        <x:v>trial</x:v>
      </x:c>
      <x:c r="E578" t="str">
        <x:v>trial 321</x:v>
      </x:c>
      <x:c r="F578" t="n">
        <x:f>Controls!$D$41</x:f>
        <x:v>1</x:v>
      </x:c>
      <x:c r="G578" t="n">
        <x:v>1</x:v>
      </x:c>
      <x:c r="H578" t="str">
        <x:v>RAW design authority</x:v>
      </x:c>
      <x:c r="I578" t="str">
        <x:f>IF(F578=1,"PASS","GAP")</x:f>
        <x:v>PASS</x:v>
      </x:c>
    </x:row>
    <x:row r="579">
      <x:c r="B579" t="str">
        <x:v>PL-0573</x:v>
      </x:c>
      <x:c r="C579" t="str">
        <x:v>PLANNING</x:v>
      </x:c>
      <x:c r="D579" t="str">
        <x:v>trial</x:v>
      </x:c>
      <x:c r="E579" t="str">
        <x:v>trial 322</x:v>
      </x:c>
      <x:c r="F579" t="n">
        <x:f>Controls!$D$41</x:f>
        <x:v>1</x:v>
      </x:c>
      <x:c r="G579" t="n">
        <x:v>1</x:v>
      </x:c>
      <x:c r="H579" t="str">
        <x:v>RAW design authority</x:v>
      </x:c>
      <x:c r="I579" t="str">
        <x:f>IF(F579=1,"PASS","GAP")</x:f>
        <x:v>PASS</x:v>
      </x:c>
    </x:row>
    <x:row r="580">
      <x:c r="B580" t="str">
        <x:v>PL-0574</x:v>
      </x:c>
      <x:c r="C580" t="str">
        <x:v>PLANNING</x:v>
      </x:c>
      <x:c r="D580" t="str">
        <x:v>trial</x:v>
      </x:c>
      <x:c r="E580" t="str">
        <x:v>trial 323</x:v>
      </x:c>
      <x:c r="F580" t="n">
        <x:f>Controls!$D$41</x:f>
        <x:v>1</x:v>
      </x:c>
      <x:c r="G580" t="n">
        <x:v>1</x:v>
      </x:c>
      <x:c r="H580" t="str">
        <x:v>RAW design authority</x:v>
      </x:c>
      <x:c r="I580" t="str">
        <x:f>IF(F580=1,"PASS","GAP")</x:f>
        <x:v>PASS</x:v>
      </x:c>
    </x:row>
    <x:row r="581">
      <x:c r="B581" t="str">
        <x:v>PL-0575</x:v>
      </x:c>
      <x:c r="C581" t="str">
        <x:v>PLANNING</x:v>
      </x:c>
      <x:c r="D581" t="str">
        <x:v>trial</x:v>
      </x:c>
      <x:c r="E581" t="str">
        <x:v>trial 324</x:v>
      </x:c>
      <x:c r="F581" t="n">
        <x:f>Controls!$D$41</x:f>
        <x:v>1</x:v>
      </x:c>
      <x:c r="G581" t="n">
        <x:v>1</x:v>
      </x:c>
      <x:c r="H581" t="str">
        <x:v>RAW design authority</x:v>
      </x:c>
      <x:c r="I581" t="str">
        <x:f>IF(F581=1,"PASS","GAP")</x:f>
        <x:v>PASS</x:v>
      </x:c>
    </x:row>
    <x:row r="582">
      <x:c r="B582" t="str">
        <x:v>PL-0576</x:v>
      </x:c>
      <x:c r="C582" t="str">
        <x:v>PLANNING</x:v>
      </x:c>
      <x:c r="D582" t="str">
        <x:v>trial</x:v>
      </x:c>
      <x:c r="E582" t="str">
        <x:v>trial 325</x:v>
      </x:c>
      <x:c r="F582" t="n">
        <x:f>Controls!$D$41</x:f>
        <x:v>1</x:v>
      </x:c>
      <x:c r="G582" t="n">
        <x:v>1</x:v>
      </x:c>
      <x:c r="H582" t="str">
        <x:v>RAW design authority</x:v>
      </x:c>
      <x:c r="I582" t="str">
        <x:f>IF(F582=1,"PASS","GAP")</x:f>
        <x:v>PASS</x:v>
      </x:c>
    </x:row>
    <x:row r="583">
      <x:c r="B583" t="str">
        <x:v>PL-0577</x:v>
      </x:c>
      <x:c r="C583" t="str">
        <x:v>PLANNING</x:v>
      </x:c>
      <x:c r="D583" t="str">
        <x:v>trial</x:v>
      </x:c>
      <x:c r="E583" t="str">
        <x:v>trial 326</x:v>
      </x:c>
      <x:c r="F583" t="n">
        <x:f>Controls!$D$41</x:f>
        <x:v>1</x:v>
      </x:c>
      <x:c r="G583" t="n">
        <x:v>1</x:v>
      </x:c>
      <x:c r="H583" t="str">
        <x:v>RAW design authority</x:v>
      </x:c>
      <x:c r="I583" t="str">
        <x:f>IF(F583=1,"PASS","GAP")</x:f>
        <x:v>PASS</x:v>
      </x:c>
    </x:row>
    <x:row r="584">
      <x:c r="B584" t="str">
        <x:v>PL-0578</x:v>
      </x:c>
      <x:c r="C584" t="str">
        <x:v>PLANNING</x:v>
      </x:c>
      <x:c r="D584" t="str">
        <x:v>trial</x:v>
      </x:c>
      <x:c r="E584" t="str">
        <x:v>trial 327</x:v>
      </x:c>
      <x:c r="F584" t="n">
        <x:f>Controls!$D$41</x:f>
        <x:v>1</x:v>
      </x:c>
      <x:c r="G584" t="n">
        <x:v>1</x:v>
      </x:c>
      <x:c r="H584" t="str">
        <x:v>RAW design authority</x:v>
      </x:c>
      <x:c r="I584" t="str">
        <x:f>IF(F584=1,"PASS","GAP")</x:f>
        <x:v>PASS</x:v>
      </x:c>
    </x:row>
    <x:row r="585">
      <x:c r="B585" t="str">
        <x:v>PL-0579</x:v>
      </x:c>
      <x:c r="C585" t="str">
        <x:v>PLANNING</x:v>
      </x:c>
      <x:c r="D585" t="str">
        <x:v>trial</x:v>
      </x:c>
      <x:c r="E585" t="str">
        <x:v>trial 328</x:v>
      </x:c>
      <x:c r="F585" t="n">
        <x:f>Controls!$D$41</x:f>
        <x:v>1</x:v>
      </x:c>
      <x:c r="G585" t="n">
        <x:v>1</x:v>
      </x:c>
      <x:c r="H585" t="str">
        <x:v>RAW design authority</x:v>
      </x:c>
      <x:c r="I585" t="str">
        <x:f>IF(F585=1,"PASS","GAP")</x:f>
        <x:v>PASS</x:v>
      </x:c>
    </x:row>
    <x:row r="586">
      <x:c r="B586" t="str">
        <x:v>PL-0580</x:v>
      </x:c>
      <x:c r="C586" t="str">
        <x:v>PLANNING</x:v>
      </x:c>
      <x:c r="D586" t="str">
        <x:v>trial</x:v>
      </x:c>
      <x:c r="E586" t="str">
        <x:v>trial 329</x:v>
      </x:c>
      <x:c r="F586" t="n">
        <x:f>Controls!$D$41</x:f>
        <x:v>1</x:v>
      </x:c>
      <x:c r="G586" t="n">
        <x:v>1</x:v>
      </x:c>
      <x:c r="H586" t="str">
        <x:v>RAW design authority</x:v>
      </x:c>
      <x:c r="I586" t="str">
        <x:f>IF(F586=1,"PASS","GAP")</x:f>
        <x:v>PASS</x:v>
      </x:c>
    </x:row>
    <x:row r="587">
      <x:c r="B587" t="str">
        <x:v>PL-0581</x:v>
      </x:c>
      <x:c r="C587" t="str">
        <x:v>PLANNING</x:v>
      </x:c>
      <x:c r="D587" t="str">
        <x:v>trial</x:v>
      </x:c>
      <x:c r="E587" t="str">
        <x:v>trial 330</x:v>
      </x:c>
      <x:c r="F587" t="n">
        <x:f>Controls!$D$41</x:f>
        <x:v>1</x:v>
      </x:c>
      <x:c r="G587" t="n">
        <x:v>1</x:v>
      </x:c>
      <x:c r="H587" t="str">
        <x:v>RAW design authority</x:v>
      </x:c>
      <x:c r="I587" t="str">
        <x:f>IF(F587=1,"PASS","GAP")</x:f>
        <x:v>PASS</x:v>
      </x:c>
    </x:row>
    <x:row r="588">
      <x:c r="B588" t="str">
        <x:v>PL-0582</x:v>
      </x:c>
      <x:c r="C588" t="str">
        <x:v>PLANNING</x:v>
      </x:c>
      <x:c r="D588" t="str">
        <x:v>trial</x:v>
      </x:c>
      <x:c r="E588" t="str">
        <x:v>trial 331</x:v>
      </x:c>
      <x:c r="F588" t="n">
        <x:f>Controls!$D$41</x:f>
        <x:v>1</x:v>
      </x:c>
      <x:c r="G588" t="n">
        <x:v>1</x:v>
      </x:c>
      <x:c r="H588" t="str">
        <x:v>RAW design authority</x:v>
      </x:c>
      <x:c r="I588" t="str">
        <x:f>IF(F588=1,"PASS","GAP")</x:f>
        <x:v>PASS</x:v>
      </x:c>
    </x:row>
    <x:row r="589">
      <x:c r="B589" t="str">
        <x:v>PL-0583</x:v>
      </x:c>
      <x:c r="C589" t="str">
        <x:v>PLANNING</x:v>
      </x:c>
      <x:c r="D589" t="str">
        <x:v>trial</x:v>
      </x:c>
      <x:c r="E589" t="str">
        <x:v>trial 332</x:v>
      </x:c>
      <x:c r="F589" t="n">
        <x:f>Controls!$D$41</x:f>
        <x:v>1</x:v>
      </x:c>
      <x:c r="G589" t="n">
        <x:v>1</x:v>
      </x:c>
      <x:c r="H589" t="str">
        <x:v>RAW design authority</x:v>
      </x:c>
      <x:c r="I589" t="str">
        <x:f>IF(F589=1,"PASS","GAP")</x:f>
        <x:v>PASS</x:v>
      </x:c>
    </x:row>
    <x:row r="590">
      <x:c r="B590" t="str">
        <x:v>PL-0584</x:v>
      </x:c>
      <x:c r="C590" t="str">
        <x:v>PLANNING</x:v>
      </x:c>
      <x:c r="D590" t="str">
        <x:v>trial</x:v>
      </x:c>
      <x:c r="E590" t="str">
        <x:v>trial 333</x:v>
      </x:c>
      <x:c r="F590" t="n">
        <x:f>Controls!$D$41</x:f>
        <x:v>1</x:v>
      </x:c>
      <x:c r="G590" t="n">
        <x:v>1</x:v>
      </x:c>
      <x:c r="H590" t="str">
        <x:v>RAW design authority</x:v>
      </x:c>
      <x:c r="I590" t="str">
        <x:f>IF(F590=1,"PASS","GAP")</x:f>
        <x:v>PASS</x:v>
      </x:c>
    </x:row>
    <x:row r="591">
      <x:c r="B591" t="str">
        <x:v>PL-0585</x:v>
      </x:c>
      <x:c r="C591" t="str">
        <x:v>PLANNING</x:v>
      </x:c>
      <x:c r="D591" t="str">
        <x:v>trial</x:v>
      </x:c>
      <x:c r="E591" t="str">
        <x:v>trial 334</x:v>
      </x:c>
      <x:c r="F591" t="n">
        <x:f>Controls!$D$41</x:f>
        <x:v>1</x:v>
      </x:c>
      <x:c r="G591" t="n">
        <x:v>1</x:v>
      </x:c>
      <x:c r="H591" t="str">
        <x:v>RAW design authority</x:v>
      </x:c>
      <x:c r="I591" t="str">
        <x:f>IF(F591=1,"PASS","GAP")</x:f>
        <x:v>PASS</x:v>
      </x:c>
    </x:row>
    <x:row r="592">
      <x:c r="B592" t="str">
        <x:v>PL-0586</x:v>
      </x:c>
      <x:c r="C592" t="str">
        <x:v>PLANNING</x:v>
      </x:c>
      <x:c r="D592" t="str">
        <x:v>trial</x:v>
      </x:c>
      <x:c r="E592" t="str">
        <x:v>trial 335</x:v>
      </x:c>
      <x:c r="F592" t="n">
        <x:f>Controls!$D$41</x:f>
        <x:v>1</x:v>
      </x:c>
      <x:c r="G592" t="n">
        <x:v>1</x:v>
      </x:c>
      <x:c r="H592" t="str">
        <x:v>RAW design authority</x:v>
      </x:c>
      <x:c r="I592" t="str">
        <x:f>IF(F592=1,"PASS","GAP")</x:f>
        <x:v>PASS</x:v>
      </x:c>
    </x:row>
    <x:row r="593">
      <x:c r="B593" t="str">
        <x:v>PL-0587</x:v>
      </x:c>
      <x:c r="C593" t="str">
        <x:v>PLANNING</x:v>
      </x:c>
      <x:c r="D593" t="str">
        <x:v>trial</x:v>
      </x:c>
      <x:c r="E593" t="str">
        <x:v>trial 336</x:v>
      </x:c>
      <x:c r="F593" t="n">
        <x:f>Controls!$D$41</x:f>
        <x:v>1</x:v>
      </x:c>
      <x:c r="G593" t="n">
        <x:v>1</x:v>
      </x:c>
      <x:c r="H593" t="str">
        <x:v>RAW design authority</x:v>
      </x:c>
      <x:c r="I593" t="str">
        <x:f>IF(F593=1,"PASS","GAP")</x:f>
        <x:v>PASS</x:v>
      </x:c>
    </x:row>
    <x:row r="594">
      <x:c r="B594" t="str">
        <x:v>PL-0588</x:v>
      </x:c>
      <x:c r="C594" t="str">
        <x:v>PLANNING</x:v>
      </x:c>
      <x:c r="D594" t="str">
        <x:v>trial</x:v>
      </x:c>
      <x:c r="E594" t="str">
        <x:v>trial 337</x:v>
      </x:c>
      <x:c r="F594" t="n">
        <x:f>Controls!$D$41</x:f>
        <x:v>1</x:v>
      </x:c>
      <x:c r="G594" t="n">
        <x:v>1</x:v>
      </x:c>
      <x:c r="H594" t="str">
        <x:v>RAW design authority</x:v>
      </x:c>
      <x:c r="I594" t="str">
        <x:f>IF(F594=1,"PASS","GAP")</x:f>
        <x:v>PASS</x:v>
      </x:c>
    </x:row>
    <x:row r="595">
      <x:c r="B595" t="str">
        <x:v>PL-0589</x:v>
      </x:c>
      <x:c r="C595" t="str">
        <x:v>PLANNING</x:v>
      </x:c>
      <x:c r="D595" t="str">
        <x:v>trial</x:v>
      </x:c>
      <x:c r="E595" t="str">
        <x:v>trial 338</x:v>
      </x:c>
      <x:c r="F595" t="n">
        <x:f>Controls!$D$41</x:f>
        <x:v>1</x:v>
      </x:c>
      <x:c r="G595" t="n">
        <x:v>1</x:v>
      </x:c>
      <x:c r="H595" t="str">
        <x:v>RAW design authority</x:v>
      </x:c>
      <x:c r="I595" t="str">
        <x:f>IF(F595=1,"PASS","GAP")</x:f>
        <x:v>PASS</x:v>
      </x:c>
    </x:row>
    <x:row r="596">
      <x:c r="B596" t="str">
        <x:v>PL-0590</x:v>
      </x:c>
      <x:c r="C596" t="str">
        <x:v>PLANNING</x:v>
      </x:c>
      <x:c r="D596" t="str">
        <x:v>trial</x:v>
      </x:c>
      <x:c r="E596" t="str">
        <x:v>trial 339</x:v>
      </x:c>
      <x:c r="F596" t="n">
        <x:f>Controls!$D$41</x:f>
        <x:v>1</x:v>
      </x:c>
      <x:c r="G596" t="n">
        <x:v>1</x:v>
      </x:c>
      <x:c r="H596" t="str">
        <x:v>RAW design authority</x:v>
      </x:c>
      <x:c r="I596" t="str">
        <x:f>IF(F596=1,"PASS","GAP")</x:f>
        <x:v>PASS</x:v>
      </x:c>
    </x:row>
    <x:row r="597">
      <x:c r="B597" t="str">
        <x:v>PL-0591</x:v>
      </x:c>
      <x:c r="C597" t="str">
        <x:v>PLANNING</x:v>
      </x:c>
      <x:c r="D597" t="str">
        <x:v>trial</x:v>
      </x:c>
      <x:c r="E597" t="str">
        <x:v>trial 340</x:v>
      </x:c>
      <x:c r="F597" t="n">
        <x:f>Controls!$D$41</x:f>
        <x:v>1</x:v>
      </x:c>
      <x:c r="G597" t="n">
        <x:v>1</x:v>
      </x:c>
      <x:c r="H597" t="str">
        <x:v>RAW design authority</x:v>
      </x:c>
      <x:c r="I597" t="str">
        <x:f>IF(F597=1,"PASS","GAP")</x:f>
        <x:v>PASS</x:v>
      </x:c>
    </x:row>
    <x:row r="598">
      <x:c r="B598" t="str">
        <x:v>PL-0592</x:v>
      </x:c>
      <x:c r="C598" t="str">
        <x:v>PLANNING</x:v>
      </x:c>
      <x:c r="D598" t="str">
        <x:v>trial</x:v>
      </x:c>
      <x:c r="E598" t="str">
        <x:v>trial 341</x:v>
      </x:c>
      <x:c r="F598" t="n">
        <x:f>Controls!$D$41</x:f>
        <x:v>1</x:v>
      </x:c>
      <x:c r="G598" t="n">
        <x:v>1</x:v>
      </x:c>
      <x:c r="H598" t="str">
        <x:v>RAW design authority</x:v>
      </x:c>
      <x:c r="I598" t="str">
        <x:f>IF(F598=1,"PASS","GAP")</x:f>
        <x:v>PASS</x:v>
      </x:c>
    </x:row>
    <x:row r="599">
      <x:c r="B599" t="str">
        <x:v>PL-0593</x:v>
      </x:c>
      <x:c r="C599" t="str">
        <x:v>PLANNING</x:v>
      </x:c>
      <x:c r="D599" t="str">
        <x:v>trial</x:v>
      </x:c>
      <x:c r="E599" t="str">
        <x:v>trial 342</x:v>
      </x:c>
      <x:c r="F599" t="n">
        <x:f>Controls!$D$41</x:f>
        <x:v>1</x:v>
      </x:c>
      <x:c r="G599" t="n">
        <x:v>1</x:v>
      </x:c>
      <x:c r="H599" t="str">
        <x:v>RAW design authority</x:v>
      </x:c>
      <x:c r="I599" t="str">
        <x:f>IF(F599=1,"PASS","GAP")</x:f>
        <x:v>PASS</x:v>
      </x:c>
    </x:row>
    <x:row r="600">
      <x:c r="B600" t="str">
        <x:v>PL-0594</x:v>
      </x:c>
      <x:c r="C600" t="str">
        <x:v>PLANNING</x:v>
      </x:c>
      <x:c r="D600" t="str">
        <x:v>trial</x:v>
      </x:c>
      <x:c r="E600" t="str">
        <x:v>trial 343</x:v>
      </x:c>
      <x:c r="F600" t="n">
        <x:f>Controls!$D$41</x:f>
        <x:v>1</x:v>
      </x:c>
      <x:c r="G600" t="n">
        <x:v>1</x:v>
      </x:c>
      <x:c r="H600" t="str">
        <x:v>RAW design authority</x:v>
      </x:c>
      <x:c r="I600" t="str">
        <x:f>IF(F600=1,"PASS","GAP")</x:f>
        <x:v>PASS</x:v>
      </x:c>
    </x:row>
    <x:row r="601">
      <x:c r="B601" t="str">
        <x:v>PL-0595</x:v>
      </x:c>
      <x:c r="C601" t="str">
        <x:v>PLANNING</x:v>
      </x:c>
      <x:c r="D601" t="str">
        <x:v>trial</x:v>
      </x:c>
      <x:c r="E601" t="str">
        <x:v>trial 344</x:v>
      </x:c>
      <x:c r="F601" t="n">
        <x:f>Controls!$D$41</x:f>
        <x:v>1</x:v>
      </x:c>
      <x:c r="G601" t="n">
        <x:v>1</x:v>
      </x:c>
      <x:c r="H601" t="str">
        <x:v>RAW design authority</x:v>
      </x:c>
      <x:c r="I601" t="str">
        <x:f>IF(F601=1,"PASS","GAP")</x:f>
        <x:v>PASS</x:v>
      </x:c>
    </x:row>
    <x:row r="602">
      <x:c r="B602" t="str">
        <x:v>PL-0596</x:v>
      </x:c>
      <x:c r="C602" t="str">
        <x:v>PLANNING</x:v>
      </x:c>
      <x:c r="D602" t="str">
        <x:v>trial</x:v>
      </x:c>
      <x:c r="E602" t="str">
        <x:v>trial 345</x:v>
      </x:c>
      <x:c r="F602" t="n">
        <x:f>Controls!$D$41</x:f>
        <x:v>1</x:v>
      </x:c>
      <x:c r="G602" t="n">
        <x:v>1</x:v>
      </x:c>
      <x:c r="H602" t="str">
        <x:v>RAW design authority</x:v>
      </x:c>
      <x:c r="I602" t="str">
        <x:f>IF(F602=1,"PASS","GAP")</x:f>
        <x:v>PASS</x:v>
      </x:c>
    </x:row>
    <x:row r="603">
      <x:c r="B603" t="str">
        <x:v>PL-0597</x:v>
      </x:c>
      <x:c r="C603" t="str">
        <x:v>PLANNING</x:v>
      </x:c>
      <x:c r="D603" t="str">
        <x:v>trial</x:v>
      </x:c>
      <x:c r="E603" t="str">
        <x:v>trial 346</x:v>
      </x:c>
      <x:c r="F603" t="n">
        <x:f>Controls!$D$41</x:f>
        <x:v>1</x:v>
      </x:c>
      <x:c r="G603" t="n">
        <x:v>1</x:v>
      </x:c>
      <x:c r="H603" t="str">
        <x:v>RAW design authority</x:v>
      </x:c>
      <x:c r="I603" t="str">
        <x:f>IF(F603=1,"PASS","GAP")</x:f>
        <x:v>PASS</x:v>
      </x:c>
    </x:row>
    <x:row r="604">
      <x:c r="B604" t="str">
        <x:v>PL-0598</x:v>
      </x:c>
      <x:c r="C604" t="str">
        <x:v>PLANNING</x:v>
      </x:c>
      <x:c r="D604" t="str">
        <x:v>trial</x:v>
      </x:c>
      <x:c r="E604" t="str">
        <x:v>trial 347</x:v>
      </x:c>
      <x:c r="F604" t="n">
        <x:f>Controls!$D$41</x:f>
        <x:v>1</x:v>
      </x:c>
      <x:c r="G604" t="n">
        <x:v>1</x:v>
      </x:c>
      <x:c r="H604" t="str">
        <x:v>RAW design authority</x:v>
      </x:c>
      <x:c r="I604" t="str">
        <x:f>IF(F604=1,"PASS","GAP")</x:f>
        <x:v>PASS</x:v>
      </x:c>
    </x:row>
    <x:row r="605">
      <x:c r="B605" t="str">
        <x:v>PL-0599</x:v>
      </x:c>
      <x:c r="C605" t="str">
        <x:v>PLANNING</x:v>
      </x:c>
      <x:c r="D605" t="str">
        <x:v>trial</x:v>
      </x:c>
      <x:c r="E605" t="str">
        <x:v>trial 348</x:v>
      </x:c>
      <x:c r="F605" t="n">
        <x:f>Controls!$D$41</x:f>
        <x:v>1</x:v>
      </x:c>
      <x:c r="G605" t="n">
        <x:v>1</x:v>
      </x:c>
      <x:c r="H605" t="str">
        <x:v>RAW design authority</x:v>
      </x:c>
      <x:c r="I605" t="str">
        <x:f>IF(F605=1,"PASS","GAP")</x:f>
        <x:v>PASS</x:v>
      </x:c>
    </x:row>
    <x:row r="606">
      <x:c r="B606" t="str">
        <x:v>PL-0600</x:v>
      </x:c>
      <x:c r="C606" t="str">
        <x:v>PLANNING</x:v>
      </x:c>
      <x:c r="D606" t="str">
        <x:v>trial</x:v>
      </x:c>
      <x:c r="E606" t="str">
        <x:v>trial 349</x:v>
      </x:c>
      <x:c r="F606" t="n">
        <x:f>Controls!$D$41</x:f>
        <x:v>1</x:v>
      </x:c>
      <x:c r="G606" t="n">
        <x:v>1</x:v>
      </x:c>
      <x:c r="H606" t="str">
        <x:v>RAW design authority</x:v>
      </x:c>
      <x:c r="I606" t="str">
        <x:f>IF(F606=1,"PASS","GAP")</x:f>
        <x:v>PASS</x:v>
      </x:c>
    </x:row>
    <x:row r="607">
      <x:c r="B607" t="str">
        <x:v>PL-0601</x:v>
      </x:c>
      <x:c r="C607" t="str">
        <x:v>PLANNING</x:v>
      </x:c>
      <x:c r="D607" t="str">
        <x:v>trial</x:v>
      </x:c>
      <x:c r="E607" t="str">
        <x:v>trial 350</x:v>
      </x:c>
      <x:c r="F607" t="n">
        <x:f>Controls!$D$41</x:f>
        <x:v>1</x:v>
      </x:c>
      <x:c r="G607" t="n">
        <x:v>1</x:v>
      </x:c>
      <x:c r="H607" t="str">
        <x:v>RAW design authority</x:v>
      </x:c>
      <x:c r="I607" t="str">
        <x:f>IF(F607=1,"PASS","GAP")</x:f>
        <x:v>PASS</x:v>
      </x:c>
    </x:row>
    <x:row r="608">
      <x:c r="B608" t="str">
        <x:v>PL-0602</x:v>
      </x:c>
      <x:c r="C608" t="str">
        <x:v>PLANNING</x:v>
      </x:c>
      <x:c r="D608" t="str">
        <x:v>trial</x:v>
      </x:c>
      <x:c r="E608" t="str">
        <x:v>trial 351</x:v>
      </x:c>
      <x:c r="F608" t="n">
        <x:f>Controls!$D$41</x:f>
        <x:v>1</x:v>
      </x:c>
      <x:c r="G608" t="n">
        <x:v>1</x:v>
      </x:c>
      <x:c r="H608" t="str">
        <x:v>RAW design authority</x:v>
      </x:c>
      <x:c r="I608" t="str">
        <x:f>IF(F608=1,"PASS","GAP")</x:f>
        <x:v>PASS</x:v>
      </x:c>
    </x:row>
    <x:row r="609">
      <x:c r="B609" t="str">
        <x:v>PL-0603</x:v>
      </x:c>
      <x:c r="C609" t="str">
        <x:v>PLANNING</x:v>
      </x:c>
      <x:c r="D609" t="str">
        <x:v>trial</x:v>
      </x:c>
      <x:c r="E609" t="str">
        <x:v>trial 352</x:v>
      </x:c>
      <x:c r="F609" t="n">
        <x:f>Controls!$D$41</x:f>
        <x:v>1</x:v>
      </x:c>
      <x:c r="G609" t="n">
        <x:v>1</x:v>
      </x:c>
      <x:c r="H609" t="str">
        <x:v>RAW design authority</x:v>
      </x:c>
      <x:c r="I609" t="str">
        <x:f>IF(F609=1,"PASS","GAP")</x:f>
        <x:v>PASS</x:v>
      </x:c>
    </x:row>
    <x:row r="610">
      <x:c r="B610" t="str">
        <x:v>PL-0604</x:v>
      </x:c>
      <x:c r="C610" t="str">
        <x:v>PLANNING</x:v>
      </x:c>
      <x:c r="D610" t="str">
        <x:v>trial</x:v>
      </x:c>
      <x:c r="E610" t="str">
        <x:v>trial 353</x:v>
      </x:c>
      <x:c r="F610" t="n">
        <x:f>Controls!$D$41</x:f>
        <x:v>1</x:v>
      </x:c>
      <x:c r="G610" t="n">
        <x:v>1</x:v>
      </x:c>
      <x:c r="H610" t="str">
        <x:v>RAW design authority</x:v>
      </x:c>
      <x:c r="I610" t="str">
        <x:f>IF(F610=1,"PASS","GAP")</x:f>
        <x:v>PASS</x:v>
      </x:c>
    </x:row>
    <x:row r="611">
      <x:c r="B611" t="str">
        <x:v>PL-0605</x:v>
      </x:c>
      <x:c r="C611" t="str">
        <x:v>PLANNING</x:v>
      </x:c>
      <x:c r="D611" t="str">
        <x:v>trial</x:v>
      </x:c>
      <x:c r="E611" t="str">
        <x:v>trial 354</x:v>
      </x:c>
      <x:c r="F611" t="n">
        <x:f>Controls!$D$41</x:f>
        <x:v>1</x:v>
      </x:c>
      <x:c r="G611" t="n">
        <x:v>1</x:v>
      </x:c>
      <x:c r="H611" t="str">
        <x:v>RAW design authority</x:v>
      </x:c>
      <x:c r="I611" t="str">
        <x:f>IF(F611=1,"PASS","GAP")</x:f>
        <x:v>PASS</x:v>
      </x:c>
    </x:row>
    <x:row r="612">
      <x:c r="B612" t="str">
        <x:v>PL-0606</x:v>
      </x:c>
      <x:c r="C612" t="str">
        <x:v>PLANNING</x:v>
      </x:c>
      <x:c r="D612" t="str">
        <x:v>trial</x:v>
      </x:c>
      <x:c r="E612" t="str">
        <x:v>trial 355</x:v>
      </x:c>
      <x:c r="F612" t="n">
        <x:f>Controls!$D$41</x:f>
        <x:v>1</x:v>
      </x:c>
      <x:c r="G612" t="n">
        <x:v>1</x:v>
      </x:c>
      <x:c r="H612" t="str">
        <x:v>RAW design authority</x:v>
      </x:c>
      <x:c r="I612" t="str">
        <x:f>IF(F612=1,"PASS","GAP")</x:f>
        <x:v>PASS</x:v>
      </x:c>
    </x:row>
    <x:row r="613">
      <x:c r="B613" t="str">
        <x:v>PL-0607</x:v>
      </x:c>
      <x:c r="C613" t="str">
        <x:v>PLANNING</x:v>
      </x:c>
      <x:c r="D613" t="str">
        <x:v>trial</x:v>
      </x:c>
      <x:c r="E613" t="str">
        <x:v>trial 356</x:v>
      </x:c>
      <x:c r="F613" t="n">
        <x:f>Controls!$D$41</x:f>
        <x:v>1</x:v>
      </x:c>
      <x:c r="G613" t="n">
        <x:v>1</x:v>
      </x:c>
      <x:c r="H613" t="str">
        <x:v>RAW design authority</x:v>
      </x:c>
      <x:c r="I613" t="str">
        <x:f>IF(F613=1,"PASS","GAP")</x:f>
        <x:v>PASS</x:v>
      </x:c>
    </x:row>
    <x:row r="614">
      <x:c r="B614" t="str">
        <x:v>PL-0608</x:v>
      </x:c>
      <x:c r="C614" t="str">
        <x:v>PLANNING</x:v>
      </x:c>
      <x:c r="D614" t="str">
        <x:v>trial</x:v>
      </x:c>
      <x:c r="E614" t="str">
        <x:v>trial 357</x:v>
      </x:c>
      <x:c r="F614" t="n">
        <x:f>Controls!$D$41</x:f>
        <x:v>1</x:v>
      </x:c>
      <x:c r="G614" t="n">
        <x:v>1</x:v>
      </x:c>
      <x:c r="H614" t="str">
        <x:v>RAW design authority</x:v>
      </x:c>
      <x:c r="I614" t="str">
        <x:f>IF(F614=1,"PASS","GAP")</x:f>
        <x:v>PASS</x:v>
      </x:c>
    </x:row>
    <x:row r="615">
      <x:c r="B615" t="str">
        <x:v>PL-0609</x:v>
      </x:c>
      <x:c r="C615" t="str">
        <x:v>PLANNING</x:v>
      </x:c>
      <x:c r="D615" t="str">
        <x:v>trial</x:v>
      </x:c>
      <x:c r="E615" t="str">
        <x:v>trial 358</x:v>
      </x:c>
      <x:c r="F615" t="n">
        <x:f>Controls!$D$41</x:f>
        <x:v>1</x:v>
      </x:c>
      <x:c r="G615" t="n">
        <x:v>1</x:v>
      </x:c>
      <x:c r="H615" t="str">
        <x:v>RAW design authority</x:v>
      </x:c>
      <x:c r="I615" t="str">
        <x:f>IF(F615=1,"PASS","GAP")</x:f>
        <x:v>PASS</x:v>
      </x:c>
    </x:row>
    <x:row r="616">
      <x:c r="B616" t="str">
        <x:v>PL-0610</x:v>
      </x:c>
      <x:c r="C616" t="str">
        <x:v>PLANNING</x:v>
      </x:c>
      <x:c r="D616" t="str">
        <x:v>trial</x:v>
      </x:c>
      <x:c r="E616" t="str">
        <x:v>trial 359</x:v>
      </x:c>
      <x:c r="F616" t="n">
        <x:f>Controls!$D$41</x:f>
        <x:v>1</x:v>
      </x:c>
      <x:c r="G616" t="n">
        <x:v>1</x:v>
      </x:c>
      <x:c r="H616" t="str">
        <x:v>RAW design authority</x:v>
      </x:c>
      <x:c r="I616" t="str">
        <x:f>IF(F616=1,"PASS","GAP")</x:f>
        <x:v>PASS</x:v>
      </x:c>
    </x:row>
    <x:row r="617">
      <x:c r="B617" t="str">
        <x:v>PL-0611</x:v>
      </x:c>
      <x:c r="C617" t="str">
        <x:v>PLANNING</x:v>
      </x:c>
      <x:c r="D617" t="str">
        <x:v>trial</x:v>
      </x:c>
      <x:c r="E617" t="str">
        <x:v>trial 360</x:v>
      </x:c>
      <x:c r="F617" t="n">
        <x:f>Controls!$D$41</x:f>
        <x:v>1</x:v>
      </x:c>
      <x:c r="G617" t="n">
        <x:v>1</x:v>
      </x:c>
      <x:c r="H617" t="str">
        <x:v>RAW design authority</x:v>
      </x:c>
      <x:c r="I617" t="str">
        <x:f>IF(F617=1,"PASS","GAP")</x:f>
        <x:v>PASS</x:v>
      </x:c>
    </x:row>
    <x:row r="618">
      <x:c r="B618" t="str">
        <x:v>PL-0612</x:v>
      </x:c>
      <x:c r="C618" t="str">
        <x:v>PLANNING</x:v>
      </x:c>
      <x:c r="D618" t="str">
        <x:v>worked-cell trial</x:v>
      </x:c>
      <x:c r="E618" t="str">
        <x:v>worked-cell trial 1</x:v>
      </x:c>
      <x:c r="F618" t="n">
        <x:f>Controls!$D$41</x:f>
        <x:v>1</x:v>
      </x:c>
      <x:c r="G618" t="n">
        <x:v>1</x:v>
      </x:c>
      <x:c r="H618" t="str">
        <x:v>RAW design authority</x:v>
      </x:c>
      <x:c r="I618" t="str">
        <x:f>IF(F618=1,"PASS","GAP")</x:f>
        <x:v>PASS</x:v>
      </x:c>
    </x:row>
    <x:row r="619">
      <x:c r="B619" t="str">
        <x:v>PL-0613</x:v>
      </x:c>
      <x:c r="C619" t="str">
        <x:v>PLANNING</x:v>
      </x:c>
      <x:c r="D619" t="str">
        <x:v>worked-cell trial</x:v>
      </x:c>
      <x:c r="E619" t="str">
        <x:v>worked-cell trial 2</x:v>
      </x:c>
      <x:c r="F619" t="n">
        <x:f>Controls!$D$41</x:f>
        <x:v>1</x:v>
      </x:c>
      <x:c r="G619" t="n">
        <x:v>1</x:v>
      </x:c>
      <x:c r="H619" t="str">
        <x:v>RAW design authority</x:v>
      </x:c>
      <x:c r="I619" t="str">
        <x:f>IF(F619=1,"PASS","GAP")</x:f>
        <x:v>PASS</x:v>
      </x:c>
    </x:row>
    <x:row r="620">
      <x:c r="B620" t="str">
        <x:v>PL-0614</x:v>
      </x:c>
      <x:c r="C620" t="str">
        <x:v>PLANNING</x:v>
      </x:c>
      <x:c r="D620" t="str">
        <x:v>worked-cell trial</x:v>
      </x:c>
      <x:c r="E620" t="str">
        <x:v>worked-cell trial 3</x:v>
      </x:c>
      <x:c r="F620" t="n">
        <x:f>Controls!$D$41</x:f>
        <x:v>1</x:v>
      </x:c>
      <x:c r="G620" t="n">
        <x:v>1</x:v>
      </x:c>
      <x:c r="H620" t="str">
        <x:v>RAW design authority</x:v>
      </x:c>
      <x:c r="I620" t="str">
        <x:f>IF(F620=1,"PASS","GAP")</x:f>
        <x:v>PASS</x:v>
      </x:c>
    </x:row>
    <x:row r="621">
      <x:c r="B621" t="str">
        <x:v>PL-0615</x:v>
      </x:c>
      <x:c r="C621" t="str">
        <x:v>PLANNING</x:v>
      </x:c>
      <x:c r="D621" t="str">
        <x:v>worked-cell trial</x:v>
      </x:c>
      <x:c r="E621" t="str">
        <x:v>worked-cell trial 4</x:v>
      </x:c>
      <x:c r="F621" t="n">
        <x:f>Controls!$D$41</x:f>
        <x:v>1</x:v>
      </x:c>
      <x:c r="G621" t="n">
        <x:v>1</x:v>
      </x:c>
      <x:c r="H621" t="str">
        <x:v>RAW design authority</x:v>
      </x:c>
      <x:c r="I621" t="str">
        <x:f>IF(F621=1,"PASS","GAP")</x:f>
        <x:v>PASS</x:v>
      </x:c>
    </x:row>
    <x:row r="622">
      <x:c r="B622" t="str">
        <x:v>PL-0616</x:v>
      </x:c>
      <x:c r="C622" t="str">
        <x:v>PLANNING</x:v>
      </x:c>
      <x:c r="D622" t="str">
        <x:v>worked-cell trial</x:v>
      </x:c>
      <x:c r="E622" t="str">
        <x:v>worked-cell trial 5</x:v>
      </x:c>
      <x:c r="F622" t="n">
        <x:f>Controls!$D$41</x:f>
        <x:v>1</x:v>
      </x:c>
      <x:c r="G622" t="n">
        <x:v>1</x:v>
      </x:c>
      <x:c r="H622" t="str">
        <x:v>RAW design authority</x:v>
      </x:c>
      <x:c r="I622" t="str">
        <x:f>IF(F622=1,"PASS","GAP")</x:f>
        <x:v>PASS</x:v>
      </x:c>
    </x:row>
    <x:row r="623">
      <x:c r="B623" t="str">
        <x:v>PL-0617</x:v>
      </x:c>
      <x:c r="C623" t="str">
        <x:v>PLANNING</x:v>
      </x:c>
      <x:c r="D623" t="str">
        <x:v>worked-cell trial</x:v>
      </x:c>
      <x:c r="E623" t="str">
        <x:v>worked-cell trial 6</x:v>
      </x:c>
      <x:c r="F623" t="n">
        <x:f>Controls!$D$41</x:f>
        <x:v>1</x:v>
      </x:c>
      <x:c r="G623" t="n">
        <x:v>1</x:v>
      </x:c>
      <x:c r="H623" t="str">
        <x:v>RAW design authority</x:v>
      </x:c>
      <x:c r="I623" t="str">
        <x:f>IF(F623=1,"PASS","GAP")</x:f>
        <x:v>PASS</x:v>
      </x:c>
    </x:row>
    <x:row r="624">
      <x:c r="B624" t="str">
        <x:v>PL-0618</x:v>
      </x:c>
      <x:c r="C624" t="str">
        <x:v>PLANNING</x:v>
      </x:c>
      <x:c r="D624" t="str">
        <x:v>worked-cell trial</x:v>
      </x:c>
      <x:c r="E624" t="str">
        <x:v>worked-cell trial 7</x:v>
      </x:c>
      <x:c r="F624" t="n">
        <x:f>Controls!$D$41</x:f>
        <x:v>1</x:v>
      </x:c>
      <x:c r="G624" t="n">
        <x:v>1</x:v>
      </x:c>
      <x:c r="H624" t="str">
        <x:v>RAW design authority</x:v>
      </x:c>
      <x:c r="I624" t="str">
        <x:f>IF(F624=1,"PASS","GAP")</x:f>
        <x:v>PASS</x:v>
      </x:c>
    </x:row>
    <x:row r="625">
      <x:c r="B625" t="str">
        <x:v>PL-0619</x:v>
      </x:c>
      <x:c r="C625" t="str">
        <x:v>PLANNING</x:v>
      </x:c>
      <x:c r="D625" t="str">
        <x:v>worked-cell trial</x:v>
      </x:c>
      <x:c r="E625" t="str">
        <x:v>worked-cell trial 8</x:v>
      </x:c>
      <x:c r="F625" t="n">
        <x:f>Controls!$D$41</x:f>
        <x:v>1</x:v>
      </x:c>
      <x:c r="G625" t="n">
        <x:v>1</x:v>
      </x:c>
      <x:c r="H625" t="str">
        <x:v>RAW design authority</x:v>
      </x:c>
      <x:c r="I625" t="str">
        <x:f>IF(F625=1,"PASS","GAP")</x:f>
        <x:v>PASS</x:v>
      </x:c>
    </x:row>
    <x:row r="626">
      <x:c r="B626" t="str">
        <x:v>PL-0620</x:v>
      </x:c>
      <x:c r="C626" t="str">
        <x:v>PLANNING</x:v>
      </x:c>
      <x:c r="D626" t="str">
        <x:v>worked-cell trial</x:v>
      </x:c>
      <x:c r="E626" t="str">
        <x:v>worked-cell trial 9</x:v>
      </x:c>
      <x:c r="F626" t="n">
        <x:f>Controls!$D$41</x:f>
        <x:v>1</x:v>
      </x:c>
      <x:c r="G626" t="n">
        <x:v>1</x:v>
      </x:c>
      <x:c r="H626" t="str">
        <x:v>RAW design authority</x:v>
      </x:c>
      <x:c r="I626" t="str">
        <x:f>IF(F626=1,"PASS","GAP")</x:f>
        <x:v>PASS</x:v>
      </x:c>
    </x:row>
    <x:row r="627">
      <x:c r="B627" t="str">
        <x:v>PL-0621</x:v>
      </x:c>
      <x:c r="C627" t="str">
        <x:v>PLANNING</x:v>
      </x:c>
      <x:c r="D627" t="str">
        <x:v>worked-cell trial</x:v>
      </x:c>
      <x:c r="E627" t="str">
        <x:v>worked-cell trial 10</x:v>
      </x:c>
      <x:c r="F627" t="n">
        <x:f>Controls!$D$41</x:f>
        <x:v>1</x:v>
      </x:c>
      <x:c r="G627" t="n">
        <x:v>1</x:v>
      </x:c>
      <x:c r="H627" t="str">
        <x:v>RAW design authority</x:v>
      </x:c>
      <x:c r="I627" t="str">
        <x:f>IF(F627=1,"PASS","GAP")</x:f>
        <x:v>PASS</x:v>
      </x:c>
    </x:row>
    <x:row r="628">
      <x:c r="B628" t="str">
        <x:v>PL-0622</x:v>
      </x:c>
      <x:c r="C628" t="str">
        <x:v>PLANNING</x:v>
      </x:c>
      <x:c r="D628" t="str">
        <x:v>worked-cell trial</x:v>
      </x:c>
      <x:c r="E628" t="str">
        <x:v>worked-cell trial 11</x:v>
      </x:c>
      <x:c r="F628" t="n">
        <x:f>Controls!$D$41</x:f>
        <x:v>1</x:v>
      </x:c>
      <x:c r="G628" t="n">
        <x:v>1</x:v>
      </x:c>
      <x:c r="H628" t="str">
        <x:v>RAW design authority</x:v>
      </x:c>
      <x:c r="I628" t="str">
        <x:f>IF(F628=1,"PASS","GAP")</x:f>
        <x:v>PASS</x:v>
      </x:c>
    </x:row>
    <x:row r="629">
      <x:c r="B629" t="str">
        <x:v>PL-0623</x:v>
      </x:c>
      <x:c r="C629" t="str">
        <x:v>PLANNING</x:v>
      </x:c>
      <x:c r="D629" t="str">
        <x:v>worked-cell trial</x:v>
      </x:c>
      <x:c r="E629" t="str">
        <x:v>worked-cell trial 12</x:v>
      </x:c>
      <x:c r="F629" t="n">
        <x:f>Controls!$D$41</x:f>
        <x:v>1</x:v>
      </x:c>
      <x:c r="G629" t="n">
        <x:v>1</x:v>
      </x:c>
      <x:c r="H629" t="str">
        <x:v>RAW design authority</x:v>
      </x:c>
      <x:c r="I629" t="str">
        <x:f>IF(F629=1,"PASS","GAP")</x:f>
        <x:v>PASS</x:v>
      </x:c>
    </x:row>
    <x:row r="630">
      <x:c r="B630" t="str">
        <x:v>PL-0624</x:v>
      </x:c>
      <x:c r="C630" t="str">
        <x:v>PLANNING</x:v>
      </x:c>
      <x:c r="D630" t="str">
        <x:v>calibration</x:v>
      </x:c>
      <x:c r="E630" t="str">
        <x:v>calibration 1</x:v>
      </x:c>
      <x:c r="F630" t="n">
        <x:f>Controls!$D$41</x:f>
        <x:v>1</x:v>
      </x:c>
      <x:c r="G630" t="n">
        <x:v>1</x:v>
      </x:c>
      <x:c r="H630" t="str">
        <x:v>RAW design authority</x:v>
      </x:c>
      <x:c r="I630" t="str">
        <x:f>IF(F630=1,"PASS","GAP")</x:f>
        <x:v>PASS</x:v>
      </x:c>
    </x:row>
    <x:row r="631">
      <x:c r="B631" t="str">
        <x:v>PL-0625</x:v>
      </x:c>
      <x:c r="C631" t="str">
        <x:v>PLANNING</x:v>
      </x:c>
      <x:c r="D631" t="str">
        <x:v>calibration</x:v>
      </x:c>
      <x:c r="E631" t="str">
        <x:v>calibration 2</x:v>
      </x:c>
      <x:c r="F631" t="n">
        <x:f>Controls!$D$41</x:f>
        <x:v>1</x:v>
      </x:c>
      <x:c r="G631" t="n">
        <x:v>1</x:v>
      </x:c>
      <x:c r="H631" t="str">
        <x:v>RAW design authority</x:v>
      </x:c>
      <x:c r="I631" t="str">
        <x:f>IF(F631=1,"PASS","GAP")</x:f>
        <x:v>PASS</x:v>
      </x:c>
    </x:row>
    <x:row r="632">
      <x:c r="B632" t="str">
        <x:v>PL-0626</x:v>
      </x:c>
      <x:c r="C632" t="str">
        <x:v>PLANNING</x:v>
      </x:c>
      <x:c r="D632" t="str">
        <x:v>calibration</x:v>
      </x:c>
      <x:c r="E632" t="str">
        <x:v>calibration 3</x:v>
      </x:c>
      <x:c r="F632" t="n">
        <x:f>Controls!$D$41</x:f>
        <x:v>1</x:v>
      </x:c>
      <x:c r="G632" t="n">
        <x:v>1</x:v>
      </x:c>
      <x:c r="H632" t="str">
        <x:v>RAW design authority</x:v>
      </x:c>
      <x:c r="I632" t="str">
        <x:f>IF(F632=1,"PASS","GAP")</x:f>
        <x:v>PASS</x:v>
      </x:c>
    </x:row>
    <x:row r="633">
      <x:c r="B633" t="str">
        <x:v>PL-0627</x:v>
      </x:c>
      <x:c r="C633" t="str">
        <x:v>PLANNING</x:v>
      </x:c>
      <x:c r="D633" t="str">
        <x:v>calibration</x:v>
      </x:c>
      <x:c r="E633" t="str">
        <x:v>calibration 4</x:v>
      </x:c>
      <x:c r="F633" t="n">
        <x:f>Controls!$D$41</x:f>
        <x:v>1</x:v>
      </x:c>
      <x:c r="G633" t="n">
        <x:v>1</x:v>
      </x:c>
      <x:c r="H633" t="str">
        <x:v>RAW design authority</x:v>
      </x:c>
      <x:c r="I633" t="str">
        <x:f>IF(F633=1,"PASS","GAP")</x:f>
        <x:v>PASS</x:v>
      </x:c>
    </x:row>
    <x:row r="634">
      <x:c r="B634" t="str">
        <x:v>PL-0628</x:v>
      </x:c>
      <x:c r="C634" t="str">
        <x:v>PLANNING</x:v>
      </x:c>
      <x:c r="D634" t="str">
        <x:v>calibration</x:v>
      </x:c>
      <x:c r="E634" t="str">
        <x:v>calibration 5</x:v>
      </x:c>
      <x:c r="F634" t="n">
        <x:f>Controls!$D$41</x:f>
        <x:v>1</x:v>
      </x:c>
      <x:c r="G634" t="n">
        <x:v>1</x:v>
      </x:c>
      <x:c r="H634" t="str">
        <x:v>RAW design authority</x:v>
      </x:c>
      <x:c r="I634" t="str">
        <x:f>IF(F634=1,"PASS","GAP")</x:f>
        <x:v>PASS</x:v>
      </x:c>
    </x:row>
    <x:row r="635">
      <x:c r="B635" t="str">
        <x:v>PL-0629</x:v>
      </x:c>
      <x:c r="C635" t="str">
        <x:v>PLANNING</x:v>
      </x:c>
      <x:c r="D635" t="str">
        <x:v>calibration</x:v>
      </x:c>
      <x:c r="E635" t="str">
        <x:v>calibration 6</x:v>
      </x:c>
      <x:c r="F635" t="n">
        <x:f>Controls!$D$41</x:f>
        <x:v>1</x:v>
      </x:c>
      <x:c r="G635" t="n">
        <x:v>1</x:v>
      </x:c>
      <x:c r="H635" t="str">
        <x:v>RAW design authority</x:v>
      </x:c>
      <x:c r="I635" t="str">
        <x:f>IF(F635=1,"PASS","GAP")</x:f>
        <x:v>PASS</x:v>
      </x:c>
    </x:row>
    <x:row r="636">
      <x:c r="B636" t="str">
        <x:v>PL-0630</x:v>
      </x:c>
      <x:c r="C636" t="str">
        <x:v>PLANNING</x:v>
      </x:c>
      <x:c r="D636" t="str">
        <x:v>calibration</x:v>
      </x:c>
      <x:c r="E636" t="str">
        <x:v>calibration 7</x:v>
      </x:c>
      <x:c r="F636" t="n">
        <x:f>Controls!$D$41</x:f>
        <x:v>1</x:v>
      </x:c>
      <x:c r="G636" t="n">
        <x:v>1</x:v>
      </x:c>
      <x:c r="H636" t="str">
        <x:v>RAW design authority</x:v>
      </x:c>
      <x:c r="I636" t="str">
        <x:f>IF(F636=1,"PASS","GAP")</x:f>
        <x:v>PASS</x:v>
      </x:c>
    </x:row>
    <x:row r="637">
      <x:c r="B637" t="str">
        <x:v>PL-0631</x:v>
      </x:c>
      <x:c r="C637" t="str">
        <x:v>PLANNING</x:v>
      </x:c>
      <x:c r="D637" t="str">
        <x:v>calibration</x:v>
      </x:c>
      <x:c r="E637" t="str">
        <x:v>calibration 8</x:v>
      </x:c>
      <x:c r="F637" t="n">
        <x:f>Controls!$D$41</x:f>
        <x:v>1</x:v>
      </x:c>
      <x:c r="G637" t="n">
        <x:v>1</x:v>
      </x:c>
      <x:c r="H637" t="str">
        <x:v>RAW design authority</x:v>
      </x:c>
      <x:c r="I637" t="str">
        <x:f>IF(F637=1,"PASS","GAP")</x:f>
        <x:v>PASS</x:v>
      </x:c>
    </x:row>
    <x:row r="638">
      <x:c r="B638" t="str">
        <x:v>PL-0632</x:v>
      </x:c>
      <x:c r="C638" t="str">
        <x:v>PLANNING</x:v>
      </x:c>
      <x:c r="D638" t="str">
        <x:v>calibration</x:v>
      </x:c>
      <x:c r="E638" t="str">
        <x:v>calibration 9</x:v>
      </x:c>
      <x:c r="F638" t="n">
        <x:f>Controls!$D$41</x:f>
        <x:v>1</x:v>
      </x:c>
      <x:c r="G638" t="n">
        <x:v>1</x:v>
      </x:c>
      <x:c r="H638" t="str">
        <x:v>RAW design authority</x:v>
      </x:c>
      <x:c r="I638" t="str">
        <x:f>IF(F638=1,"PASS","GAP")</x:f>
        <x:v>PASS</x:v>
      </x:c>
    </x:row>
    <x:row r="639">
      <x:c r="B639" t="str">
        <x:v>PL-0633</x:v>
      </x:c>
      <x:c r="C639" t="str">
        <x:v>PLANNING</x:v>
      </x:c>
      <x:c r="D639" t="str">
        <x:v>calibration</x:v>
      </x:c>
      <x:c r="E639" t="str">
        <x:v>calibration 10</x:v>
      </x:c>
      <x:c r="F639" t="n">
        <x:f>Controls!$D$41</x:f>
        <x:v>1</x:v>
      </x:c>
      <x:c r="G639" t="n">
        <x:v>1</x:v>
      </x:c>
      <x:c r="H639" t="str">
        <x:v>RAW design authority</x:v>
      </x:c>
      <x:c r="I639" t="str">
        <x:f>IF(F639=1,"PASS","GAP")</x:f>
        <x:v>PASS</x:v>
      </x:c>
    </x:row>
    <x:row r="640">
      <x:c r="B640" t="str">
        <x:v>PL-0634</x:v>
      </x:c>
      <x:c r="C640" t="str">
        <x:v>PLANNING</x:v>
      </x:c>
      <x:c r="D640" t="str">
        <x:v>calibration</x:v>
      </x:c>
      <x:c r="E640" t="str">
        <x:v>calibration 11</x:v>
      </x:c>
      <x:c r="F640" t="n">
        <x:f>Controls!$D$41</x:f>
        <x:v>1</x:v>
      </x:c>
      <x:c r="G640" t="n">
        <x:v>1</x:v>
      </x:c>
      <x:c r="H640" t="str">
        <x:v>RAW design authority</x:v>
      </x:c>
      <x:c r="I640" t="str">
        <x:f>IF(F640=1,"PASS","GAP")</x:f>
        <x:v>PASS</x:v>
      </x:c>
    </x:row>
    <x:row r="641">
      <x:c r="B641" t="str">
        <x:v>PL-0635</x:v>
      </x:c>
      <x:c r="C641" t="str">
        <x:v>PLANNING</x:v>
      </x:c>
      <x:c r="D641" t="str">
        <x:v>calibration</x:v>
      </x:c>
      <x:c r="E641" t="str">
        <x:v>calibration 12</x:v>
      </x:c>
      <x:c r="F641" t="n">
        <x:f>Controls!$D$41</x:f>
        <x:v>1</x:v>
      </x:c>
      <x:c r="G641" t="n">
        <x:v>1</x:v>
      </x:c>
      <x:c r="H641" t="str">
        <x:v>RAW design authority</x:v>
      </x:c>
      <x:c r="I641" t="str">
        <x:f>IF(F641=1,"PASS","GAP")</x:f>
        <x:v>PASS</x:v>
      </x:c>
    </x:row>
    <x:row r="642">
      <x:c r="B642" t="str">
        <x:v>PL-0636</x:v>
      </x:c>
      <x:c r="C642" t="str">
        <x:v>PLANNING</x:v>
      </x:c>
      <x:c r="D642" t="str">
        <x:v>calibration</x:v>
      </x:c>
      <x:c r="E642" t="str">
        <x:v>calibration 13</x:v>
      </x:c>
      <x:c r="F642" t="n">
        <x:f>Controls!$D$41</x:f>
        <x:v>1</x:v>
      </x:c>
      <x:c r="G642" t="n">
        <x:v>1</x:v>
      </x:c>
      <x:c r="H642" t="str">
        <x:v>RAW design authority</x:v>
      </x:c>
      <x:c r="I642" t="str">
        <x:f>IF(F642=1,"PASS","GAP")</x:f>
        <x:v>PASS</x:v>
      </x:c>
    </x:row>
    <x:row r="643">
      <x:c r="B643" t="str">
        <x:v>PL-0637</x:v>
      </x:c>
      <x:c r="C643" t="str">
        <x:v>PLANNING</x:v>
      </x:c>
      <x:c r="D643" t="str">
        <x:v>calibration</x:v>
      </x:c>
      <x:c r="E643" t="str">
        <x:v>calibration 14</x:v>
      </x:c>
      <x:c r="F643" t="n">
        <x:f>Controls!$D$41</x:f>
        <x:v>1</x:v>
      </x:c>
      <x:c r="G643" t="n">
        <x:v>1</x:v>
      </x:c>
      <x:c r="H643" t="str">
        <x:v>RAW design authority</x:v>
      </x:c>
      <x:c r="I643" t="str">
        <x:f>IF(F643=1,"PASS","GAP")</x:f>
        <x:v>PASS</x:v>
      </x:c>
    </x:row>
    <x:row r="644">
      <x:c r="B644" t="str">
        <x:v>PL-0638</x:v>
      </x:c>
      <x:c r="C644" t="str">
        <x:v>PLANNING</x:v>
      </x:c>
      <x:c r="D644" t="str">
        <x:v>calibration</x:v>
      </x:c>
      <x:c r="E644" t="str">
        <x:v>calibration 15</x:v>
      </x:c>
      <x:c r="F644" t="n">
        <x:f>Controls!$D$41</x:f>
        <x:v>1</x:v>
      </x:c>
      <x:c r="G644" t="n">
        <x:v>1</x:v>
      </x:c>
      <x:c r="H644" t="str">
        <x:v>RAW design authority</x:v>
      </x:c>
      <x:c r="I644" t="str">
        <x:f>IF(F644=1,"PASS","GAP")</x:f>
        <x:v>PASS</x:v>
      </x:c>
    </x:row>
    <x:row r="645">
      <x:c r="B645" t="str">
        <x:v>PL-0639</x:v>
      </x:c>
      <x:c r="C645" t="str">
        <x:v>PLANNING</x:v>
      </x:c>
      <x:c r="D645" t="str">
        <x:v>calibration</x:v>
      </x:c>
      <x:c r="E645" t="str">
        <x:v>calibration 16</x:v>
      </x:c>
      <x:c r="F645" t="n">
        <x:f>Controls!$D$41</x:f>
        <x:v>1</x:v>
      </x:c>
      <x:c r="G645" t="n">
        <x:v>1</x:v>
      </x:c>
      <x:c r="H645" t="str">
        <x:v>RAW design authority</x:v>
      </x:c>
      <x:c r="I645" t="str">
        <x:f>IF(F645=1,"PASS","GAP")</x:f>
        <x:v>PASS</x:v>
      </x:c>
    </x:row>
    <x:row r="646">
      <x:c r="B646" t="str">
        <x:v>PL-0640</x:v>
      </x:c>
      <x:c r="C646" t="str">
        <x:v>PLANNING</x:v>
      </x:c>
      <x:c r="D646" t="str">
        <x:v>calibration</x:v>
      </x:c>
      <x:c r="E646" t="str">
        <x:v>calibration 17</x:v>
      </x:c>
      <x:c r="F646" t="n">
        <x:f>Controls!$D$41</x:f>
        <x:v>1</x:v>
      </x:c>
      <x:c r="G646" t="n">
        <x:v>1</x:v>
      </x:c>
      <x:c r="H646" t="str">
        <x:v>RAW design authority</x:v>
      </x:c>
      <x:c r="I646" t="str">
        <x:f>IF(F646=1,"PASS","GAP")</x:f>
        <x:v>PASS</x:v>
      </x:c>
    </x:row>
    <x:row r="647">
      <x:c r="B647" t="str">
        <x:v>PL-0641</x:v>
      </x:c>
      <x:c r="C647" t="str">
        <x:v>PLANNING</x:v>
      </x:c>
      <x:c r="D647" t="str">
        <x:v>calibration</x:v>
      </x:c>
      <x:c r="E647" t="str">
        <x:v>calibration 18</x:v>
      </x:c>
      <x:c r="F647" t="n">
        <x:f>Controls!$D$41</x:f>
        <x:v>1</x:v>
      </x:c>
      <x:c r="G647" t="n">
        <x:v>1</x:v>
      </x:c>
      <x:c r="H647" t="str">
        <x:v>RAW design authority</x:v>
      </x:c>
      <x:c r="I647" t="str">
        <x:f>IF(F647=1,"PASS","GAP")</x:f>
        <x:v>PASS</x:v>
      </x:c>
    </x:row>
    <x:row r="648">
      <x:c r="B648" t="str">
        <x:v>PL-0642</x:v>
      </x:c>
      <x:c r="C648" t="str">
        <x:v>PLANNING</x:v>
      </x:c>
      <x:c r="D648" t="str">
        <x:v>calibration</x:v>
      </x:c>
      <x:c r="E648" t="str">
        <x:v>calibration 19</x:v>
      </x:c>
      <x:c r="F648" t="n">
        <x:f>Controls!$D$41</x:f>
        <x:v>1</x:v>
      </x:c>
      <x:c r="G648" t="n">
        <x:v>1</x:v>
      </x:c>
      <x:c r="H648" t="str">
        <x:v>RAW design authority</x:v>
      </x:c>
      <x:c r="I648" t="str">
        <x:f>IF(F648=1,"PASS","GAP")</x:f>
        <x:v>PASS</x:v>
      </x:c>
    </x:row>
    <x:row r="649">
      <x:c r="B649" t="str">
        <x:v>PL-0643</x:v>
      </x:c>
      <x:c r="C649" t="str">
        <x:v>PLANNING</x:v>
      </x:c>
      <x:c r="D649" t="str">
        <x:v>calibration</x:v>
      </x:c>
      <x:c r="E649" t="str">
        <x:v>calibration 20</x:v>
      </x:c>
      <x:c r="F649" t="n">
        <x:f>Controls!$D$41</x:f>
        <x:v>1</x:v>
      </x:c>
      <x:c r="G649" t="n">
        <x:v>1</x:v>
      </x:c>
      <x:c r="H649" t="str">
        <x:v>RAW design authority</x:v>
      </x:c>
      <x:c r="I649" t="str">
        <x:f>IF(F649=1,"PASS","GAP")</x:f>
        <x:v>PASS</x:v>
      </x:c>
    </x:row>
    <x:row r="650">
      <x:c r="B650" t="str">
        <x:v>PL-0644</x:v>
      </x:c>
      <x:c r="C650" t="str">
        <x:v>PLANNING</x:v>
      </x:c>
      <x:c r="D650" t="str">
        <x:v>calibration</x:v>
      </x:c>
      <x:c r="E650" t="str">
        <x:v>calibration 21</x:v>
      </x:c>
      <x:c r="F650" t="n">
        <x:f>Controls!$D$41</x:f>
        <x:v>1</x:v>
      </x:c>
      <x:c r="G650" t="n">
        <x:v>1</x:v>
      </x:c>
      <x:c r="H650" t="str">
        <x:v>RAW design authority</x:v>
      </x:c>
      <x:c r="I650" t="str">
        <x:f>IF(F650=1,"PASS","GAP")</x:f>
        <x:v>PASS</x:v>
      </x:c>
    </x:row>
    <x:row r="651">
      <x:c r="B651" t="str">
        <x:v>PL-0645</x:v>
      </x:c>
      <x:c r="C651" t="str">
        <x:v>PLANNING</x:v>
      </x:c>
      <x:c r="D651" t="str">
        <x:v>calibration</x:v>
      </x:c>
      <x:c r="E651" t="str">
        <x:v>calibration 22</x:v>
      </x:c>
      <x:c r="F651" t="n">
        <x:f>Controls!$D$41</x:f>
        <x:v>1</x:v>
      </x:c>
      <x:c r="G651" t="n">
        <x:v>1</x:v>
      </x:c>
      <x:c r="H651" t="str">
        <x:v>RAW design authority</x:v>
      </x:c>
      <x:c r="I651" t="str">
        <x:f>IF(F651=1,"PASS","GAP")</x:f>
        <x:v>PASS</x:v>
      </x:c>
    </x:row>
    <x:row r="652">
      <x:c r="B652" t="str">
        <x:v>PL-0646</x:v>
      </x:c>
      <x:c r="C652" t="str">
        <x:v>PLANNING</x:v>
      </x:c>
      <x:c r="D652" t="str">
        <x:v>calibration</x:v>
      </x:c>
      <x:c r="E652" t="str">
        <x:v>calibration 23</x:v>
      </x:c>
      <x:c r="F652" t="n">
        <x:f>Controls!$D$41</x:f>
        <x:v>1</x:v>
      </x:c>
      <x:c r="G652" t="n">
        <x:v>1</x:v>
      </x:c>
      <x:c r="H652" t="str">
        <x:v>RAW design authority</x:v>
      </x:c>
      <x:c r="I652" t="str">
        <x:f>IF(F652=1,"PASS","GAP")</x:f>
        <x:v>PASS</x:v>
      </x:c>
    </x:row>
    <x:row r="653">
      <x:c r="B653" t="str">
        <x:v>PL-0647</x:v>
      </x:c>
      <x:c r="C653" t="str">
        <x:v>PLANNING</x:v>
      </x:c>
      <x:c r="D653" t="str">
        <x:v>calibration</x:v>
      </x:c>
      <x:c r="E653" t="str">
        <x:v>calibration 24</x:v>
      </x:c>
      <x:c r="F653" t="n">
        <x:f>Controls!$D$41</x:f>
        <x:v>1</x:v>
      </x:c>
      <x:c r="G653" t="n">
        <x:v>1</x:v>
      </x:c>
      <x:c r="H653" t="str">
        <x:v>RAW design authority</x:v>
      </x:c>
      <x:c r="I653" t="str">
        <x:f>IF(F653=1,"PASS","GAP")</x:f>
        <x:v>PASS</x:v>
      </x:c>
    </x:row>
    <x:row r="654">
      <x:c r="B654" t="str">
        <x:v>PL-0648</x:v>
      </x:c>
      <x:c r="C654" t="str">
        <x:v>PLANNING</x:v>
      </x:c>
      <x:c r="D654" t="str">
        <x:v>calibration</x:v>
      </x:c>
      <x:c r="E654" t="str">
        <x:v>calibration 25</x:v>
      </x:c>
      <x:c r="F654" t="n">
        <x:f>Controls!$D$41</x:f>
        <x:v>1</x:v>
      </x:c>
      <x:c r="G654" t="n">
        <x:v>1</x:v>
      </x:c>
      <x:c r="H654" t="str">
        <x:v>RAW design authority</x:v>
      </x:c>
      <x:c r="I654" t="str">
        <x:f>IF(F654=1,"PASS","GAP")</x:f>
        <x:v>PASS</x:v>
      </x:c>
    </x:row>
    <x:row r="655">
      <x:c r="B655" t="str">
        <x:v>PL-0649</x:v>
      </x:c>
      <x:c r="C655" t="str">
        <x:v>PLANNING</x:v>
      </x:c>
      <x:c r="D655" t="str">
        <x:v>calibration</x:v>
      </x:c>
      <x:c r="E655" t="str">
        <x:v>calibration 26</x:v>
      </x:c>
      <x:c r="F655" t="n">
        <x:f>Controls!$D$41</x:f>
        <x:v>1</x:v>
      </x:c>
      <x:c r="G655" t="n">
        <x:v>1</x:v>
      </x:c>
      <x:c r="H655" t="str">
        <x:v>RAW design authority</x:v>
      </x:c>
      <x:c r="I655" t="str">
        <x:f>IF(F655=1,"PASS","GAP")</x:f>
        <x:v>PASS</x:v>
      </x:c>
    </x:row>
    <x:row r="656">
      <x:c r="B656" t="str">
        <x:v>PL-0650</x:v>
      </x:c>
      <x:c r="C656" t="str">
        <x:v>PLANNING</x:v>
      </x:c>
      <x:c r="D656" t="str">
        <x:v>calibration</x:v>
      </x:c>
      <x:c r="E656" t="str">
        <x:v>calibration 27</x:v>
      </x:c>
      <x:c r="F656" t="n">
        <x:f>Controls!$D$41</x:f>
        <x:v>1</x:v>
      </x:c>
      <x:c r="G656" t="n">
        <x:v>1</x:v>
      </x:c>
      <x:c r="H656" t="str">
        <x:v>RAW design authority</x:v>
      </x:c>
      <x:c r="I656" t="str">
        <x:f>IF(F656=1,"PASS","GAP")</x:f>
        <x:v>PASS</x:v>
      </x:c>
    </x:row>
    <x:row r="657">
      <x:c r="B657" t="str">
        <x:v>PL-0651</x:v>
      </x:c>
      <x:c r="C657" t="str">
        <x:v>PLANNING</x:v>
      </x:c>
      <x:c r="D657" t="str">
        <x:v>calibration</x:v>
      </x:c>
      <x:c r="E657" t="str">
        <x:v>calibration 28</x:v>
      </x:c>
      <x:c r="F657" t="n">
        <x:f>Controls!$D$41</x:f>
        <x:v>1</x:v>
      </x:c>
      <x:c r="G657" t="n">
        <x:v>1</x:v>
      </x:c>
      <x:c r="H657" t="str">
        <x:v>RAW design authority</x:v>
      </x:c>
      <x:c r="I657" t="str">
        <x:f>IF(F657=1,"PASS","GAP")</x:f>
        <x:v>PASS</x:v>
      </x:c>
    </x:row>
    <x:row r="658">
      <x:c r="B658" t="str">
        <x:v>PL-0652</x:v>
      </x:c>
      <x:c r="C658" t="str">
        <x:v>PLANNING</x:v>
      </x:c>
      <x:c r="D658" t="str">
        <x:v>calibration</x:v>
      </x:c>
      <x:c r="E658" t="str">
        <x:v>calibration 29</x:v>
      </x:c>
      <x:c r="F658" t="n">
        <x:f>Controls!$D$41</x:f>
        <x:v>1</x:v>
      </x:c>
      <x:c r="G658" t="n">
        <x:v>1</x:v>
      </x:c>
      <x:c r="H658" t="str">
        <x:v>RAW design authority</x:v>
      </x:c>
      <x:c r="I658" t="str">
        <x:f>IF(F658=1,"PASS","GAP")</x:f>
        <x:v>PASS</x:v>
      </x:c>
    </x:row>
    <x:row r="659">
      <x:c r="B659" t="str">
        <x:v>PL-0653</x:v>
      </x:c>
      <x:c r="C659" t="str">
        <x:v>PLANNING</x:v>
      </x:c>
      <x:c r="D659" t="str">
        <x:v>calibration</x:v>
      </x:c>
      <x:c r="E659" t="str">
        <x:v>calibration 30</x:v>
      </x:c>
      <x:c r="F659" t="n">
        <x:f>Controls!$D$41</x:f>
        <x:v>1</x:v>
      </x:c>
      <x:c r="G659" t="n">
        <x:v>1</x:v>
      </x:c>
      <x:c r="H659" t="str">
        <x:v>RAW design authority</x:v>
      </x:c>
      <x:c r="I659" t="str">
        <x:f>IF(F659=1,"PASS","GAP")</x:f>
        <x:v>PASS</x:v>
      </x:c>
    </x:row>
    <x:row r="660">
      <x:c r="B660" t="str">
        <x:v>PL-0654</x:v>
      </x:c>
      <x:c r="C660" t="str">
        <x:v>PLANNING</x:v>
      </x:c>
      <x:c r="D660" t="str">
        <x:v>calibration</x:v>
      </x:c>
      <x:c r="E660" t="str">
        <x:v>calibration 31</x:v>
      </x:c>
      <x:c r="F660" t="n">
        <x:f>Controls!$D$41</x:f>
        <x:v>1</x:v>
      </x:c>
      <x:c r="G660" t="n">
        <x:v>1</x:v>
      </x:c>
      <x:c r="H660" t="str">
        <x:v>RAW design authority</x:v>
      </x:c>
      <x:c r="I660" t="str">
        <x:f>IF(F660=1,"PASS","GAP")</x:f>
        <x:v>PASS</x:v>
      </x:c>
    </x:row>
    <x:row r="661">
      <x:c r="B661" t="str">
        <x:v>PL-0655</x:v>
      </x:c>
      <x:c r="C661" t="str">
        <x:v>PLANNING</x:v>
      </x:c>
      <x:c r="D661" t="str">
        <x:v>calibration</x:v>
      </x:c>
      <x:c r="E661" t="str">
        <x:v>calibration 32</x:v>
      </x:c>
      <x:c r="F661" t="n">
        <x:f>Controls!$D$41</x:f>
        <x:v>1</x:v>
      </x:c>
      <x:c r="G661" t="n">
        <x:v>1</x:v>
      </x:c>
      <x:c r="H661" t="str">
        <x:v>RAW design authority</x:v>
      </x:c>
      <x:c r="I661" t="str">
        <x:f>IF(F661=1,"PASS","GAP")</x:f>
        <x:v>PASS</x:v>
      </x:c>
    </x:row>
    <x:row r="662">
      <x:c r="B662" t="str">
        <x:v>PL-0656</x:v>
      </x:c>
      <x:c r="C662" t="str">
        <x:v>PLANNING</x:v>
      </x:c>
      <x:c r="D662" t="str">
        <x:v>calibration</x:v>
      </x:c>
      <x:c r="E662" t="str">
        <x:v>calibration 33</x:v>
      </x:c>
      <x:c r="F662" t="n">
        <x:f>Controls!$D$41</x:f>
        <x:v>1</x:v>
      </x:c>
      <x:c r="G662" t="n">
        <x:v>1</x:v>
      </x:c>
      <x:c r="H662" t="str">
        <x:v>RAW design authority</x:v>
      </x:c>
      <x:c r="I662" t="str">
        <x:f>IF(F662=1,"PASS","GAP")</x:f>
        <x:v>PASS</x:v>
      </x:c>
    </x:row>
    <x:row r="663">
      <x:c r="B663" t="str">
        <x:v>PL-0657</x:v>
      </x:c>
      <x:c r="C663" t="str">
        <x:v>PLANNING</x:v>
      </x:c>
      <x:c r="D663" t="str">
        <x:v>calibration</x:v>
      </x:c>
      <x:c r="E663" t="str">
        <x:v>calibration 34</x:v>
      </x:c>
      <x:c r="F663" t="n">
        <x:f>Controls!$D$41</x:f>
        <x:v>1</x:v>
      </x:c>
      <x:c r="G663" t="n">
        <x:v>1</x:v>
      </x:c>
      <x:c r="H663" t="str">
        <x:v>RAW design authority</x:v>
      </x:c>
      <x:c r="I663" t="str">
        <x:f>IF(F663=1,"PASS","GAP")</x:f>
        <x:v>PASS</x:v>
      </x:c>
    </x:row>
    <x:row r="664">
      <x:c r="B664" t="str">
        <x:v>PL-0658</x:v>
      </x:c>
      <x:c r="C664" t="str">
        <x:v>PLANNING</x:v>
      </x:c>
      <x:c r="D664" t="str">
        <x:v>calibration</x:v>
      </x:c>
      <x:c r="E664" t="str">
        <x:v>calibration 35</x:v>
      </x:c>
      <x:c r="F664" t="n">
        <x:f>Controls!$D$41</x:f>
        <x:v>1</x:v>
      </x:c>
      <x:c r="G664" t="n">
        <x:v>1</x:v>
      </x:c>
      <x:c r="H664" t="str">
        <x:v>RAW design authority</x:v>
      </x:c>
      <x:c r="I664" t="str">
        <x:f>IF(F664=1,"PASS","GAP")</x:f>
        <x:v>PASS</x:v>
      </x:c>
    </x:row>
    <x:row r="665">
      <x:c r="B665" t="str">
        <x:v>PL-0659</x:v>
      </x:c>
      <x:c r="C665" t="str">
        <x:v>PLANNING</x:v>
      </x:c>
      <x:c r="D665" t="str">
        <x:v>calibration</x:v>
      </x:c>
      <x:c r="E665" t="str">
        <x:v>calibration 36</x:v>
      </x:c>
      <x:c r="F665" t="n">
        <x:f>Controls!$D$41</x:f>
        <x:v>1</x:v>
      </x:c>
      <x:c r="G665" t="n">
        <x:v>1</x:v>
      </x:c>
      <x:c r="H665" t="str">
        <x:v>RAW design authority</x:v>
      </x:c>
      <x:c r="I665" t="str">
        <x:f>IF(F665=1,"PASS","GAP")</x:f>
        <x:v>PASS</x:v>
      </x:c>
    </x:row>
    <x:row r="666">
      <x:c r="B666" t="str">
        <x:v>PL-0660</x:v>
      </x:c>
      <x:c r="C666" t="str">
        <x:v>PLANNING</x:v>
      </x:c>
      <x:c r="D666" t="str">
        <x:v>calibration</x:v>
      </x:c>
      <x:c r="E666" t="str">
        <x:v>calibration 37</x:v>
      </x:c>
      <x:c r="F666" t="n">
        <x:f>Controls!$D$41</x:f>
        <x:v>1</x:v>
      </x:c>
      <x:c r="G666" t="n">
        <x:v>1</x:v>
      </x:c>
      <x:c r="H666" t="str">
        <x:v>RAW design authority</x:v>
      </x:c>
      <x:c r="I666" t="str">
        <x:f>IF(F666=1,"PASS","GAP")</x:f>
        <x:v>PASS</x:v>
      </x:c>
    </x:row>
    <x:row r="667">
      <x:c r="B667" t="str">
        <x:v>PL-0661</x:v>
      </x:c>
      <x:c r="C667" t="str">
        <x:v>PLANNING</x:v>
      </x:c>
      <x:c r="D667" t="str">
        <x:v>calibration</x:v>
      </x:c>
      <x:c r="E667" t="str">
        <x:v>calibration 38</x:v>
      </x:c>
      <x:c r="F667" t="n">
        <x:f>Controls!$D$41</x:f>
        <x:v>1</x:v>
      </x:c>
      <x:c r="G667" t="n">
        <x:v>1</x:v>
      </x:c>
      <x:c r="H667" t="str">
        <x:v>RAW design authority</x:v>
      </x:c>
      <x:c r="I667" t="str">
        <x:f>IF(F667=1,"PASS","GAP")</x:f>
        <x:v>PASS</x:v>
      </x:c>
    </x:row>
    <x:row r="668">
      <x:c r="B668" t="str">
        <x:v>PL-0662</x:v>
      </x:c>
      <x:c r="C668" t="str">
        <x:v>PLANNING</x:v>
      </x:c>
      <x:c r="D668" t="str">
        <x:v>calibration</x:v>
      </x:c>
      <x:c r="E668" t="str">
        <x:v>calibration 39</x:v>
      </x:c>
      <x:c r="F668" t="n">
        <x:f>Controls!$D$41</x:f>
        <x:v>1</x:v>
      </x:c>
      <x:c r="G668" t="n">
        <x:v>1</x:v>
      </x:c>
      <x:c r="H668" t="str">
        <x:v>RAW design authority</x:v>
      </x:c>
      <x:c r="I668" t="str">
        <x:f>IF(F668=1,"PASS","GAP")</x:f>
        <x:v>PASS</x:v>
      </x:c>
    </x:row>
    <x:row r="669">
      <x:c r="B669" t="str">
        <x:v>PL-0663</x:v>
      </x:c>
      <x:c r="C669" t="str">
        <x:v>PLANNING</x:v>
      </x:c>
      <x:c r="D669" t="str">
        <x:v>calibration</x:v>
      </x:c>
      <x:c r="E669" t="str">
        <x:v>calibration 40</x:v>
      </x:c>
      <x:c r="F669" t="n">
        <x:f>Controls!$D$41</x:f>
        <x:v>1</x:v>
      </x:c>
      <x:c r="G669" t="n">
        <x:v>1</x:v>
      </x:c>
      <x:c r="H669" t="str">
        <x:v>RAW design authority</x:v>
      </x:c>
      <x:c r="I669" t="str">
        <x:f>IF(F669=1,"PASS","GAP")</x:f>
        <x:v>PASS</x:v>
      </x:c>
    </x:row>
    <x:row r="670">
      <x:c r="B670" t="str">
        <x:v>PL-0664</x:v>
      </x:c>
      <x:c r="C670" t="str">
        <x:v>PLANNING</x:v>
      </x:c>
      <x:c r="D670" t="str">
        <x:v>calibration</x:v>
      </x:c>
      <x:c r="E670" t="str">
        <x:v>calibration 41</x:v>
      </x:c>
      <x:c r="F670" t="n">
        <x:f>Controls!$D$41</x:f>
        <x:v>1</x:v>
      </x:c>
      <x:c r="G670" t="n">
        <x:v>1</x:v>
      </x:c>
      <x:c r="H670" t="str">
        <x:v>RAW design authority</x:v>
      </x:c>
      <x:c r="I670" t="str">
        <x:f>IF(F670=1,"PASS","GAP")</x:f>
        <x:v>PASS</x:v>
      </x:c>
    </x:row>
    <x:row r="671">
      <x:c r="B671" t="str">
        <x:v>PL-0665</x:v>
      </x:c>
      <x:c r="C671" t="str">
        <x:v>PLANNING</x:v>
      </x:c>
      <x:c r="D671" t="str">
        <x:v>calibration</x:v>
      </x:c>
      <x:c r="E671" t="str">
        <x:v>calibration 42</x:v>
      </x:c>
      <x:c r="F671" t="n">
        <x:f>Controls!$D$41</x:f>
        <x:v>1</x:v>
      </x:c>
      <x:c r="G671" t="n">
        <x:v>1</x:v>
      </x:c>
      <x:c r="H671" t="str">
        <x:v>RAW design authority</x:v>
      </x:c>
      <x:c r="I671" t="str">
        <x:f>IF(F671=1,"PASS","GAP")</x:f>
        <x:v>PASS</x:v>
      </x:c>
    </x:row>
    <x:row r="672">
      <x:c r="B672" t="str">
        <x:v>PL-0666</x:v>
      </x:c>
      <x:c r="C672" t="str">
        <x:v>PLANNING</x:v>
      </x:c>
      <x:c r="D672" t="str">
        <x:v>calibration</x:v>
      </x:c>
      <x:c r="E672" t="str">
        <x:v>calibration 43</x:v>
      </x:c>
      <x:c r="F672" t="n">
        <x:f>Controls!$D$41</x:f>
        <x:v>1</x:v>
      </x:c>
      <x:c r="G672" t="n">
        <x:v>1</x:v>
      </x:c>
      <x:c r="H672" t="str">
        <x:v>RAW design authority</x:v>
      </x:c>
      <x:c r="I672" t="str">
        <x:f>IF(F672=1,"PASS","GAP")</x:f>
        <x:v>PASS</x:v>
      </x:c>
    </x:row>
    <x:row r="673">
      <x:c r="B673" t="str">
        <x:v>PL-0667</x:v>
      </x:c>
      <x:c r="C673" t="str">
        <x:v>PLANNING</x:v>
      </x:c>
      <x:c r="D673" t="str">
        <x:v>calibration</x:v>
      </x:c>
      <x:c r="E673" t="str">
        <x:v>calibration 44</x:v>
      </x:c>
      <x:c r="F673" t="n">
        <x:f>Controls!$D$41</x:f>
        <x:v>1</x:v>
      </x:c>
      <x:c r="G673" t="n">
        <x:v>1</x:v>
      </x:c>
      <x:c r="H673" t="str">
        <x:v>RAW design authority</x:v>
      </x:c>
      <x:c r="I673" t="str">
        <x:f>IF(F673=1,"PASS","GAP")</x:f>
        <x:v>PASS</x:v>
      </x:c>
    </x:row>
    <x:row r="674">
      <x:c r="B674" t="str">
        <x:v>PL-0668</x:v>
      </x:c>
      <x:c r="C674" t="str">
        <x:v>PLANNING</x:v>
      </x:c>
      <x:c r="D674" t="str">
        <x:v>calibration</x:v>
      </x:c>
      <x:c r="E674" t="str">
        <x:v>calibration 45</x:v>
      </x:c>
      <x:c r="F674" t="n">
        <x:f>Controls!$D$41</x:f>
        <x:v>1</x:v>
      </x:c>
      <x:c r="G674" t="n">
        <x:v>1</x:v>
      </x:c>
      <x:c r="H674" t="str">
        <x:v>RAW design authority</x:v>
      </x:c>
      <x:c r="I674" t="str">
        <x:f>IF(F674=1,"PASS","GAP")</x:f>
        <x:v>PASS</x:v>
      </x:c>
    </x:row>
    <x:row r="675">
      <x:c r="B675" t="str">
        <x:v>PL-0669</x:v>
      </x:c>
      <x:c r="C675" t="str">
        <x:v>PLANNING</x:v>
      </x:c>
      <x:c r="D675" t="str">
        <x:v>calibration</x:v>
      </x:c>
      <x:c r="E675" t="str">
        <x:v>calibration 46</x:v>
      </x:c>
      <x:c r="F675" t="n">
        <x:f>Controls!$D$41</x:f>
        <x:v>1</x:v>
      </x:c>
      <x:c r="G675" t="n">
        <x:v>1</x:v>
      </x:c>
      <x:c r="H675" t="str">
        <x:v>RAW design authority</x:v>
      </x:c>
      <x:c r="I675" t="str">
        <x:f>IF(F675=1,"PASS","GAP")</x:f>
        <x:v>PASS</x:v>
      </x:c>
    </x:row>
    <x:row r="676">
      <x:c r="B676" t="str">
        <x:v>PL-0670</x:v>
      </x:c>
      <x:c r="C676" t="str">
        <x:v>PLANNING</x:v>
      </x:c>
      <x:c r="D676" t="str">
        <x:v>calibration</x:v>
      </x:c>
      <x:c r="E676" t="str">
        <x:v>calibration 47</x:v>
      </x:c>
      <x:c r="F676" t="n">
        <x:f>Controls!$D$41</x:f>
        <x:v>1</x:v>
      </x:c>
      <x:c r="G676" t="n">
        <x:v>1</x:v>
      </x:c>
      <x:c r="H676" t="str">
        <x:v>RAW design authority</x:v>
      </x:c>
      <x:c r="I676" t="str">
        <x:f>IF(F676=1,"PASS","GAP")</x:f>
        <x:v>PASS</x:v>
      </x:c>
    </x:row>
    <x:row r="677">
      <x:c r="B677" t="str">
        <x:v>PL-0671</x:v>
      </x:c>
      <x:c r="C677" t="str">
        <x:v>PLANNING</x:v>
      </x:c>
      <x:c r="D677" t="str">
        <x:v>calibration</x:v>
      </x:c>
      <x:c r="E677" t="str">
        <x:v>calibration 48</x:v>
      </x:c>
      <x:c r="F677" t="n">
        <x:f>Controls!$D$41</x:f>
        <x:v>1</x:v>
      </x:c>
      <x:c r="G677" t="n">
        <x:v>1</x:v>
      </x:c>
      <x:c r="H677" t="str">
        <x:v>RAW design authority</x:v>
      </x:c>
      <x:c r="I677" t="str">
        <x:f>IF(F677=1,"PASS","GAP")</x:f>
        <x:v>PASS</x:v>
      </x:c>
    </x:row>
    <x:row r="678">
      <x:c r="B678" t="str">
        <x:v>PL-0672</x:v>
      </x:c>
      <x:c r="C678" t="str">
        <x:v>PLANNING</x:v>
      </x:c>
      <x:c r="D678" t="str">
        <x:v>blind package</x:v>
      </x:c>
      <x:c r="E678" t="str">
        <x:v>blind package 1</x:v>
      </x:c>
      <x:c r="F678" t="n">
        <x:f>Controls!$D$41</x:f>
        <x:v>1</x:v>
      </x:c>
      <x:c r="G678" t="n">
        <x:v>1</x:v>
      </x:c>
      <x:c r="H678" t="str">
        <x:v>RAW design authority</x:v>
      </x:c>
      <x:c r="I678" t="str">
        <x:f>IF(F678=1,"PASS","GAP")</x:f>
        <x:v>PASS</x:v>
      </x:c>
    </x:row>
    <x:row r="679">
      <x:c r="B679" t="str">
        <x:v>PL-0673</x:v>
      </x:c>
      <x:c r="C679" t="str">
        <x:v>PLANNING</x:v>
      </x:c>
      <x:c r="D679" t="str">
        <x:v>blind package</x:v>
      </x:c>
      <x:c r="E679" t="str">
        <x:v>blind package 2</x:v>
      </x:c>
      <x:c r="F679" t="n">
        <x:f>Controls!$D$41</x:f>
        <x:v>1</x:v>
      </x:c>
      <x:c r="G679" t="n">
        <x:v>1</x:v>
      </x:c>
      <x:c r="H679" t="str">
        <x:v>RAW design authority</x:v>
      </x:c>
      <x:c r="I679" t="str">
        <x:f>IF(F679=1,"PASS","GAP")</x:f>
        <x:v>PASS</x:v>
      </x:c>
    </x:row>
    <x:row r="680">
      <x:c r="B680" t="str">
        <x:v>PL-0674</x:v>
      </x:c>
      <x:c r="C680" t="str">
        <x:v>PLANNING</x:v>
      </x:c>
      <x:c r="D680" t="str">
        <x:v>blind package</x:v>
      </x:c>
      <x:c r="E680" t="str">
        <x:v>blind package 3</x:v>
      </x:c>
      <x:c r="F680" t="n">
        <x:f>Controls!$D$41</x:f>
        <x:v>1</x:v>
      </x:c>
      <x:c r="G680" t="n">
        <x:v>1</x:v>
      </x:c>
      <x:c r="H680" t="str">
        <x:v>RAW design authority</x:v>
      </x:c>
      <x:c r="I680" t="str">
        <x:f>IF(F680=1,"PASS","GAP")</x:f>
        <x:v>PASS</x:v>
      </x:c>
    </x:row>
    <x:row r="681">
      <x:c r="B681" t="str">
        <x:v>PL-0675</x:v>
      </x:c>
      <x:c r="C681" t="str">
        <x:v>PLANNING</x:v>
      </x:c>
      <x:c r="D681" t="str">
        <x:v>blind package</x:v>
      </x:c>
      <x:c r="E681" t="str">
        <x:v>blind package 4</x:v>
      </x:c>
      <x:c r="F681" t="n">
        <x:f>Controls!$D$41</x:f>
        <x:v>1</x:v>
      </x:c>
      <x:c r="G681" t="n">
        <x:v>1</x:v>
      </x:c>
      <x:c r="H681" t="str">
        <x:v>RAW design authority</x:v>
      </x:c>
      <x:c r="I681" t="str">
        <x:f>IF(F681=1,"PASS","GAP")</x:f>
        <x:v>PASS</x:v>
      </x:c>
    </x:row>
    <x:row r="682">
      <x:c r="B682" t="str">
        <x:v>PL-0676</x:v>
      </x:c>
      <x:c r="C682" t="str">
        <x:v>PLANNING</x:v>
      </x:c>
      <x:c r="D682" t="str">
        <x:v>blind package</x:v>
      </x:c>
      <x:c r="E682" t="str">
        <x:v>blind package 5</x:v>
      </x:c>
      <x:c r="F682" t="n">
        <x:f>Controls!$D$41</x:f>
        <x:v>1</x:v>
      </x:c>
      <x:c r="G682" t="n">
        <x:v>1</x:v>
      </x:c>
      <x:c r="H682" t="str">
        <x:v>RAW design authority</x:v>
      </x:c>
      <x:c r="I682" t="str">
        <x:f>IF(F682=1,"PASS","GAP")</x:f>
        <x:v>PASS</x:v>
      </x:c>
    </x:row>
    <x:row r="683">
      <x:c r="B683" t="str">
        <x:v>PL-0677</x:v>
      </x:c>
      <x:c r="C683" t="str">
        <x:v>PLANNING</x:v>
      </x:c>
      <x:c r="D683" t="str">
        <x:v>blind package</x:v>
      </x:c>
      <x:c r="E683" t="str">
        <x:v>blind package 6</x:v>
      </x:c>
      <x:c r="F683" t="n">
        <x:f>Controls!$D$41</x:f>
        <x:v>1</x:v>
      </x:c>
      <x:c r="G683" t="n">
        <x:v>1</x:v>
      </x:c>
      <x:c r="H683" t="str">
        <x:v>RAW design authority</x:v>
      </x:c>
      <x:c r="I683" t="str">
        <x:f>IF(F683=1,"PASS","GAP")</x:f>
        <x:v>PASS</x:v>
      </x:c>
    </x:row>
    <x:row r="684">
      <x:c r="B684" t="str">
        <x:v>PL-0678</x:v>
      </x:c>
      <x:c r="C684" t="str">
        <x:v>PLANNING</x:v>
      </x:c>
      <x:c r="D684" t="str">
        <x:v>blind package</x:v>
      </x:c>
      <x:c r="E684" t="str">
        <x:v>blind package 7</x:v>
      </x:c>
      <x:c r="F684" t="n">
        <x:f>Controls!$D$41</x:f>
        <x:v>1</x:v>
      </x:c>
      <x:c r="G684" t="n">
        <x:v>1</x:v>
      </x:c>
      <x:c r="H684" t="str">
        <x:v>RAW design authority</x:v>
      </x:c>
      <x:c r="I684" t="str">
        <x:f>IF(F684=1,"PASS","GAP")</x:f>
        <x:v>PASS</x:v>
      </x:c>
    </x:row>
    <x:row r="685">
      <x:c r="B685" t="str">
        <x:v>PL-0679</x:v>
      </x:c>
      <x:c r="C685" t="str">
        <x:v>PLANNING</x:v>
      </x:c>
      <x:c r="D685" t="str">
        <x:v>blind package</x:v>
      </x:c>
      <x:c r="E685" t="str">
        <x:v>blind package 8</x:v>
      </x:c>
      <x:c r="F685" t="n">
        <x:f>Controls!$D$41</x:f>
        <x:v>1</x:v>
      </x:c>
      <x:c r="G685" t="n">
        <x:v>1</x:v>
      </x:c>
      <x:c r="H685" t="str">
        <x:v>RAW design authority</x:v>
      </x:c>
      <x:c r="I685" t="str">
        <x:f>IF(F685=1,"PASS","GAP")</x:f>
        <x:v>PASS</x:v>
      </x:c>
    </x:row>
    <x:row r="686">
      <x:c r="B686" t="str">
        <x:v>PL-0680</x:v>
      </x:c>
      <x:c r="C686" t="str">
        <x:v>PLANNING</x:v>
      </x:c>
      <x:c r="D686" t="str">
        <x:v>blind package</x:v>
      </x:c>
      <x:c r="E686" t="str">
        <x:v>blind package 9</x:v>
      </x:c>
      <x:c r="F686" t="n">
        <x:f>Controls!$D$41</x:f>
        <x:v>1</x:v>
      </x:c>
      <x:c r="G686" t="n">
        <x:v>1</x:v>
      </x:c>
      <x:c r="H686" t="str">
        <x:v>RAW design authority</x:v>
      </x:c>
      <x:c r="I686" t="str">
        <x:f>IF(F686=1,"PASS","GAP")</x:f>
        <x:v>PASS</x:v>
      </x:c>
    </x:row>
    <x:row r="687">
      <x:c r="B687" t="str">
        <x:v>PL-0681</x:v>
      </x:c>
      <x:c r="C687" t="str">
        <x:v>PLANNING</x:v>
      </x:c>
      <x:c r="D687" t="str">
        <x:v>blind package</x:v>
      </x:c>
      <x:c r="E687" t="str">
        <x:v>blind package 10</x:v>
      </x:c>
      <x:c r="F687" t="n">
        <x:f>Controls!$D$41</x:f>
        <x:v>1</x:v>
      </x:c>
      <x:c r="G687" t="n">
        <x:v>1</x:v>
      </x:c>
      <x:c r="H687" t="str">
        <x:v>RAW design authority</x:v>
      </x:c>
      <x:c r="I687" t="str">
        <x:f>IF(F687=1,"PASS","GAP")</x:f>
        <x:v>PASS</x:v>
      </x:c>
    </x:row>
    <x:row r="688">
      <x:c r="B688" t="str">
        <x:v>PL-0682</x:v>
      </x:c>
      <x:c r="C688" t="str">
        <x:v>PLANNING</x:v>
      </x:c>
      <x:c r="D688" t="str">
        <x:v>blind package</x:v>
      </x:c>
      <x:c r="E688" t="str">
        <x:v>blind package 11</x:v>
      </x:c>
      <x:c r="F688" t="n">
        <x:f>Controls!$D$41</x:f>
        <x:v>1</x:v>
      </x:c>
      <x:c r="G688" t="n">
        <x:v>1</x:v>
      </x:c>
      <x:c r="H688" t="str">
        <x:v>RAW design authority</x:v>
      </x:c>
      <x:c r="I688" t="str">
        <x:f>IF(F688=1,"PASS","GAP")</x:f>
        <x:v>PASS</x:v>
      </x:c>
    </x:row>
    <x:row r="689">
      <x:c r="B689" t="str">
        <x:v>PL-0683</x:v>
      </x:c>
      <x:c r="C689" t="str">
        <x:v>PLANNING</x:v>
      </x:c>
      <x:c r="D689" t="str">
        <x:v>blind package</x:v>
      </x:c>
      <x:c r="E689" t="str">
        <x:v>blind package 12</x:v>
      </x:c>
      <x:c r="F689" t="n">
        <x:f>Controls!$D$41</x:f>
        <x:v>1</x:v>
      </x:c>
      <x:c r="G689" t="n">
        <x:v>1</x:v>
      </x:c>
      <x:c r="H689" t="str">
        <x:v>RAW design authority</x:v>
      </x:c>
      <x:c r="I689" t="str">
        <x:f>IF(F689=1,"PASS","GAP")</x:f>
        <x:v>PASS</x:v>
      </x:c>
    </x:row>
    <x:row r="690">
      <x:c r="B690" t="str">
        <x:v>PL-0684</x:v>
      </x:c>
      <x:c r="C690" t="str">
        <x:v>PLANNING</x:v>
      </x:c>
      <x:c r="D690" t="str">
        <x:v>blind package</x:v>
      </x:c>
      <x:c r="E690" t="str">
        <x:v>blind package 13</x:v>
      </x:c>
      <x:c r="F690" t="n">
        <x:f>Controls!$D$41</x:f>
        <x:v>1</x:v>
      </x:c>
      <x:c r="G690" t="n">
        <x:v>1</x:v>
      </x:c>
      <x:c r="H690" t="str">
        <x:v>RAW design authority</x:v>
      </x:c>
      <x:c r="I690" t="str">
        <x:f>IF(F690=1,"PASS","GAP")</x:f>
        <x:v>PASS</x:v>
      </x:c>
    </x:row>
    <x:row r="691">
      <x:c r="B691" t="str">
        <x:v>PL-0685</x:v>
      </x:c>
      <x:c r="C691" t="str">
        <x:v>PLANNING</x:v>
      </x:c>
      <x:c r="D691" t="str">
        <x:v>blind package</x:v>
      </x:c>
      <x:c r="E691" t="str">
        <x:v>blind package 14</x:v>
      </x:c>
      <x:c r="F691" t="n">
        <x:f>Controls!$D$41</x:f>
        <x:v>1</x:v>
      </x:c>
      <x:c r="G691" t="n">
        <x:v>1</x:v>
      </x:c>
      <x:c r="H691" t="str">
        <x:v>RAW design authority</x:v>
      </x:c>
      <x:c r="I691" t="str">
        <x:f>IF(F691=1,"PASS","GAP")</x:f>
        <x:v>PASS</x:v>
      </x:c>
    </x:row>
    <x:row r="692">
      <x:c r="B692" t="str">
        <x:v>PL-0686</x:v>
      </x:c>
      <x:c r="C692" t="str">
        <x:v>PLANNING</x:v>
      </x:c>
      <x:c r="D692" t="str">
        <x:v>blind package</x:v>
      </x:c>
      <x:c r="E692" t="str">
        <x:v>blind package 15</x:v>
      </x:c>
      <x:c r="F692" t="n">
        <x:f>Controls!$D$41</x:f>
        <x:v>1</x:v>
      </x:c>
      <x:c r="G692" t="n">
        <x:v>1</x:v>
      </x:c>
      <x:c r="H692" t="str">
        <x:v>RAW design authority</x:v>
      </x:c>
      <x:c r="I692" t="str">
        <x:f>IF(F692=1,"PASS","GAP")</x:f>
        <x:v>PASS</x:v>
      </x:c>
    </x:row>
    <x:row r="693">
      <x:c r="B693" t="str">
        <x:v>PL-0687</x:v>
      </x:c>
      <x:c r="C693" t="str">
        <x:v>PLANNING</x:v>
      </x:c>
      <x:c r="D693" t="str">
        <x:v>blind package</x:v>
      </x:c>
      <x:c r="E693" t="str">
        <x:v>blind package 16</x:v>
      </x:c>
      <x:c r="F693" t="n">
        <x:f>Controls!$D$41</x:f>
        <x:v>1</x:v>
      </x:c>
      <x:c r="G693" t="n">
        <x:v>1</x:v>
      </x:c>
      <x:c r="H693" t="str">
        <x:v>RAW design authority</x:v>
      </x:c>
      <x:c r="I693" t="str">
        <x:f>IF(F693=1,"PASS","GAP")</x:f>
        <x:v>PASS</x:v>
      </x:c>
    </x:row>
    <x:row r="694">
      <x:c r="B694" t="str">
        <x:v>PL-0688</x:v>
      </x:c>
      <x:c r="C694" t="str">
        <x:v>PLANNING</x:v>
      </x:c>
      <x:c r="D694" t="str">
        <x:v>blind package</x:v>
      </x:c>
      <x:c r="E694" t="str">
        <x:v>blind package 17</x:v>
      </x:c>
      <x:c r="F694" t="n">
        <x:f>Controls!$D$41</x:f>
        <x:v>1</x:v>
      </x:c>
      <x:c r="G694" t="n">
        <x:v>1</x:v>
      </x:c>
      <x:c r="H694" t="str">
        <x:v>RAW design authority</x:v>
      </x:c>
      <x:c r="I694" t="str">
        <x:f>IF(F694=1,"PASS","GAP")</x:f>
        <x:v>PASS</x:v>
      </x:c>
    </x:row>
    <x:row r="695">
      <x:c r="B695" t="str">
        <x:v>PL-0689</x:v>
      </x:c>
      <x:c r="C695" t="str">
        <x:v>PLANNING</x:v>
      </x:c>
      <x:c r="D695" t="str">
        <x:v>blind package</x:v>
      </x:c>
      <x:c r="E695" t="str">
        <x:v>blind package 18</x:v>
      </x:c>
      <x:c r="F695" t="n">
        <x:f>Controls!$D$41</x:f>
        <x:v>1</x:v>
      </x:c>
      <x:c r="G695" t="n">
        <x:v>1</x:v>
      </x:c>
      <x:c r="H695" t="str">
        <x:v>RAW design authority</x:v>
      </x:c>
      <x:c r="I695" t="str">
        <x:f>IF(F695=1,"PASS","GAP")</x:f>
        <x:v>PASS</x:v>
      </x:c>
    </x:row>
    <x:row r="696">
      <x:c r="B696" t="str">
        <x:v>PL-0690</x:v>
      </x:c>
      <x:c r="C696" t="str">
        <x:v>PLANNING</x:v>
      </x:c>
      <x:c r="D696" t="str">
        <x:v>blind package</x:v>
      </x:c>
      <x:c r="E696" t="str">
        <x:v>blind package 19</x:v>
      </x:c>
      <x:c r="F696" t="n">
        <x:f>Controls!$D$41</x:f>
        <x:v>1</x:v>
      </x:c>
      <x:c r="G696" t="n">
        <x:v>1</x:v>
      </x:c>
      <x:c r="H696" t="str">
        <x:v>RAW design authority</x:v>
      </x:c>
      <x:c r="I696" t="str">
        <x:f>IF(F696=1,"PASS","GAP")</x:f>
        <x:v>PASS</x:v>
      </x:c>
    </x:row>
    <x:row r="697">
      <x:c r="B697" t="str">
        <x:v>PL-0691</x:v>
      </x:c>
      <x:c r="C697" t="str">
        <x:v>PLANNING</x:v>
      </x:c>
      <x:c r="D697" t="str">
        <x:v>blind package</x:v>
      </x:c>
      <x:c r="E697" t="str">
        <x:v>blind package 20</x:v>
      </x:c>
      <x:c r="F697" t="n">
        <x:f>Controls!$D$41</x:f>
        <x:v>1</x:v>
      </x:c>
      <x:c r="G697" t="n">
        <x:v>1</x:v>
      </x:c>
      <x:c r="H697" t="str">
        <x:v>RAW design authority</x:v>
      </x:c>
      <x:c r="I697" t="str">
        <x:f>IF(F697=1,"PASS","GAP")</x:f>
        <x:v>PASS</x:v>
      </x:c>
    </x:row>
    <x:row r="698">
      <x:c r="B698" t="str">
        <x:v>PL-0692</x:v>
      </x:c>
      <x:c r="C698" t="str">
        <x:v>PLANNING</x:v>
      </x:c>
      <x:c r="D698" t="str">
        <x:v>blind package</x:v>
      </x:c>
      <x:c r="E698" t="str">
        <x:v>blind package 21</x:v>
      </x:c>
      <x:c r="F698" t="n">
        <x:f>Controls!$D$41</x:f>
        <x:v>1</x:v>
      </x:c>
      <x:c r="G698" t="n">
        <x:v>1</x:v>
      </x:c>
      <x:c r="H698" t="str">
        <x:v>RAW design authority</x:v>
      </x:c>
      <x:c r="I698" t="str">
        <x:f>IF(F698=1,"PASS","GAP")</x:f>
        <x:v>PASS</x:v>
      </x:c>
    </x:row>
    <x:row r="699">
      <x:c r="B699" t="str">
        <x:v>PL-0693</x:v>
      </x:c>
      <x:c r="C699" t="str">
        <x:v>PLANNING</x:v>
      </x:c>
      <x:c r="D699" t="str">
        <x:v>blind package</x:v>
      </x:c>
      <x:c r="E699" t="str">
        <x:v>blind package 22</x:v>
      </x:c>
      <x:c r="F699" t="n">
        <x:f>Controls!$D$41</x:f>
        <x:v>1</x:v>
      </x:c>
      <x:c r="G699" t="n">
        <x:v>1</x:v>
      </x:c>
      <x:c r="H699" t="str">
        <x:v>RAW design authority</x:v>
      </x:c>
      <x:c r="I699" t="str">
        <x:f>IF(F699=1,"PASS","GAP")</x:f>
        <x:v>PASS</x:v>
      </x:c>
    </x:row>
    <x:row r="700">
      <x:c r="B700" t="str">
        <x:v>PL-0694</x:v>
      </x:c>
      <x:c r="C700" t="str">
        <x:v>PLANNING</x:v>
      </x:c>
      <x:c r="D700" t="str">
        <x:v>blind package</x:v>
      </x:c>
      <x:c r="E700" t="str">
        <x:v>blind package 23</x:v>
      </x:c>
      <x:c r="F700" t="n">
        <x:f>Controls!$D$41</x:f>
        <x:v>1</x:v>
      </x:c>
      <x:c r="G700" t="n">
        <x:v>1</x:v>
      </x:c>
      <x:c r="H700" t="str">
        <x:v>RAW design authority</x:v>
      </x:c>
      <x:c r="I700" t="str">
        <x:f>IF(F700=1,"PASS","GAP")</x:f>
        <x:v>PASS</x:v>
      </x:c>
    </x:row>
    <x:row r="701">
      <x:c r="B701" t="str">
        <x:v>PL-0695</x:v>
      </x:c>
      <x:c r="C701" t="str">
        <x:v>PLANNING</x:v>
      </x:c>
      <x:c r="D701" t="str">
        <x:v>blind package</x:v>
      </x:c>
      <x:c r="E701" t="str">
        <x:v>blind package 24</x:v>
      </x:c>
      <x:c r="F701" t="n">
        <x:f>Controls!$D$41</x:f>
        <x:v>1</x:v>
      </x:c>
      <x:c r="G701" t="n">
        <x:v>1</x:v>
      </x:c>
      <x:c r="H701" t="str">
        <x:v>RAW design authority</x:v>
      </x:c>
      <x:c r="I701" t="str">
        <x:f>IF(F701=1,"PASS","GAP")</x:f>
        <x:v>PASS</x:v>
      </x:c>
    </x:row>
    <x:row r="702">
      <x:c r="B702" t="str">
        <x:v>PL-0696</x:v>
      </x:c>
      <x:c r="C702" t="str">
        <x:v>PLANNING</x:v>
      </x:c>
      <x:c r="D702" t="str">
        <x:v>blind package</x:v>
      </x:c>
      <x:c r="E702" t="str">
        <x:v>blind package 25</x:v>
      </x:c>
      <x:c r="F702" t="n">
        <x:f>Controls!$D$41</x:f>
        <x:v>1</x:v>
      </x:c>
      <x:c r="G702" t="n">
        <x:v>1</x:v>
      </x:c>
      <x:c r="H702" t="str">
        <x:v>RAW design authority</x:v>
      </x:c>
      <x:c r="I702" t="str">
        <x:f>IF(F702=1,"PASS","GAP")</x:f>
        <x:v>PASS</x:v>
      </x:c>
    </x:row>
    <x:row r="703">
      <x:c r="B703" t="str">
        <x:v>PL-0697</x:v>
      </x:c>
      <x:c r="C703" t="str">
        <x:v>PLANNING</x:v>
      </x:c>
      <x:c r="D703" t="str">
        <x:v>blind package</x:v>
      </x:c>
      <x:c r="E703" t="str">
        <x:v>blind package 26</x:v>
      </x:c>
      <x:c r="F703" t="n">
        <x:f>Controls!$D$41</x:f>
        <x:v>1</x:v>
      </x:c>
      <x:c r="G703" t="n">
        <x:v>1</x:v>
      </x:c>
      <x:c r="H703" t="str">
        <x:v>RAW design authority</x:v>
      </x:c>
      <x:c r="I703" t="str">
        <x:f>IF(F703=1,"PASS","GAP")</x:f>
        <x:v>PASS</x:v>
      </x:c>
    </x:row>
    <x:row r="704">
      <x:c r="B704" t="str">
        <x:v>PL-0698</x:v>
      </x:c>
      <x:c r="C704" t="str">
        <x:v>PLANNING</x:v>
      </x:c>
      <x:c r="D704" t="str">
        <x:v>blind package</x:v>
      </x:c>
      <x:c r="E704" t="str">
        <x:v>blind package 27</x:v>
      </x:c>
      <x:c r="F704" t="n">
        <x:f>Controls!$D$41</x:f>
        <x:v>1</x:v>
      </x:c>
      <x:c r="G704" t="n">
        <x:v>1</x:v>
      </x:c>
      <x:c r="H704" t="str">
        <x:v>RAW design authority</x:v>
      </x:c>
      <x:c r="I704" t="str">
        <x:f>IF(F704=1,"PASS","GAP")</x:f>
        <x:v>PASS</x:v>
      </x:c>
    </x:row>
    <x:row r="705">
      <x:c r="B705" t="str">
        <x:v>PL-0699</x:v>
      </x:c>
      <x:c r="C705" t="str">
        <x:v>PLANNING</x:v>
      </x:c>
      <x:c r="D705" t="str">
        <x:v>blind package</x:v>
      </x:c>
      <x:c r="E705" t="str">
        <x:v>blind package 28</x:v>
      </x:c>
      <x:c r="F705" t="n">
        <x:f>Controls!$D$41</x:f>
        <x:v>1</x:v>
      </x:c>
      <x:c r="G705" t="n">
        <x:v>1</x:v>
      </x:c>
      <x:c r="H705" t="str">
        <x:v>RAW design authority</x:v>
      </x:c>
      <x:c r="I705" t="str">
        <x:f>IF(F705=1,"PASS","GAP")</x:f>
        <x:v>PASS</x:v>
      </x:c>
    </x:row>
    <x:row r="706">
      <x:c r="B706" t="str">
        <x:v>PL-0700</x:v>
      </x:c>
      <x:c r="C706" t="str">
        <x:v>PLANNING</x:v>
      </x:c>
      <x:c r="D706" t="str">
        <x:v>blind package</x:v>
      </x:c>
      <x:c r="E706" t="str">
        <x:v>blind package 29</x:v>
      </x:c>
      <x:c r="F706" t="n">
        <x:f>Controls!$D$41</x:f>
        <x:v>1</x:v>
      </x:c>
      <x:c r="G706" t="n">
        <x:v>1</x:v>
      </x:c>
      <x:c r="H706" t="str">
        <x:v>RAW design authority</x:v>
      </x:c>
      <x:c r="I706" t="str">
        <x:f>IF(F706=1,"PASS","GAP")</x:f>
        <x:v>PASS</x:v>
      </x:c>
    </x:row>
    <x:row r="707">
      <x:c r="B707" t="str">
        <x:v>PL-0701</x:v>
      </x:c>
      <x:c r="C707" t="str">
        <x:v>PLANNING</x:v>
      </x:c>
      <x:c r="D707" t="str">
        <x:v>blind package</x:v>
      </x:c>
      <x:c r="E707" t="str">
        <x:v>blind package 30</x:v>
      </x:c>
      <x:c r="F707" t="n">
        <x:f>Controls!$D$41</x:f>
        <x:v>1</x:v>
      </x:c>
      <x:c r="G707" t="n">
        <x:v>1</x:v>
      </x:c>
      <x:c r="H707" t="str">
        <x:v>RAW design authority</x:v>
      </x:c>
      <x:c r="I707" t="str">
        <x:f>IF(F707=1,"PASS","GAP")</x:f>
        <x:v>PASS</x:v>
      </x:c>
    </x:row>
    <x:row r="708">
      <x:c r="B708" t="str">
        <x:v>PL-0702</x:v>
      </x:c>
      <x:c r="C708" t="str">
        <x:v>PLANNING</x:v>
      </x:c>
      <x:c r="D708" t="str">
        <x:v>blind package</x:v>
      </x:c>
      <x:c r="E708" t="str">
        <x:v>blind package 31</x:v>
      </x:c>
      <x:c r="F708" t="n">
        <x:f>Controls!$D$41</x:f>
        <x:v>1</x:v>
      </x:c>
      <x:c r="G708" t="n">
        <x:v>1</x:v>
      </x:c>
      <x:c r="H708" t="str">
        <x:v>RAW design authority</x:v>
      </x:c>
      <x:c r="I708" t="str">
        <x:f>IF(F708=1,"PASS","GAP")</x:f>
        <x:v>PASS</x:v>
      </x:c>
    </x:row>
    <x:row r="709">
      <x:c r="B709" t="str">
        <x:v>PL-0703</x:v>
      </x:c>
      <x:c r="C709" t="str">
        <x:v>PLANNING</x:v>
      </x:c>
      <x:c r="D709" t="str">
        <x:v>blind package</x:v>
      </x:c>
      <x:c r="E709" t="str">
        <x:v>blind package 32</x:v>
      </x:c>
      <x:c r="F709" t="n">
        <x:f>Controls!$D$41</x:f>
        <x:v>1</x:v>
      </x:c>
      <x:c r="G709" t="n">
        <x:v>1</x:v>
      </x:c>
      <x:c r="H709" t="str">
        <x:v>RAW design authority</x:v>
      </x:c>
      <x:c r="I709" t="str">
        <x:f>IF(F709=1,"PASS","GAP")</x:f>
        <x:v>PASS</x:v>
      </x:c>
    </x:row>
    <x:row r="710">
      <x:c r="B710" t="str">
        <x:v>PL-0704</x:v>
      </x:c>
      <x:c r="C710" t="str">
        <x:v>PLANNING</x:v>
      </x:c>
      <x:c r="D710" t="str">
        <x:v>blind package</x:v>
      </x:c>
      <x:c r="E710" t="str">
        <x:v>blind package 33</x:v>
      </x:c>
      <x:c r="F710" t="n">
        <x:f>Controls!$D$41</x:f>
        <x:v>1</x:v>
      </x:c>
      <x:c r="G710" t="n">
        <x:v>1</x:v>
      </x:c>
      <x:c r="H710" t="str">
        <x:v>RAW design authority</x:v>
      </x:c>
      <x:c r="I710" t="str">
        <x:f>IF(F710=1,"PASS","GAP")</x:f>
        <x:v>PASS</x:v>
      </x:c>
    </x:row>
    <x:row r="711">
      <x:c r="B711" t="str">
        <x:v>PL-0705</x:v>
      </x:c>
      <x:c r="C711" t="str">
        <x:v>PLANNING</x:v>
      </x:c>
      <x:c r="D711" t="str">
        <x:v>blind package</x:v>
      </x:c>
      <x:c r="E711" t="str">
        <x:v>blind package 34</x:v>
      </x:c>
      <x:c r="F711" t="n">
        <x:f>Controls!$D$41</x:f>
        <x:v>1</x:v>
      </x:c>
      <x:c r="G711" t="n">
        <x:v>1</x:v>
      </x:c>
      <x:c r="H711" t="str">
        <x:v>RAW design authority</x:v>
      </x:c>
      <x:c r="I711" t="str">
        <x:f>IF(F711=1,"PASS","GAP")</x:f>
        <x:v>PASS</x:v>
      </x:c>
    </x:row>
    <x:row r="712">
      <x:c r="B712" t="str">
        <x:v>PL-0706</x:v>
      </x:c>
      <x:c r="C712" t="str">
        <x:v>PLANNING</x:v>
      </x:c>
      <x:c r="D712" t="str">
        <x:v>blind package</x:v>
      </x:c>
      <x:c r="E712" t="str">
        <x:v>blind package 35</x:v>
      </x:c>
      <x:c r="F712" t="n">
        <x:f>Controls!$D$41</x:f>
        <x:v>1</x:v>
      </x:c>
      <x:c r="G712" t="n">
        <x:v>1</x:v>
      </x:c>
      <x:c r="H712" t="str">
        <x:v>RAW design authority</x:v>
      </x:c>
      <x:c r="I712" t="str">
        <x:f>IF(F712=1,"PASS","GAP")</x:f>
        <x:v>PASS</x:v>
      </x:c>
    </x:row>
    <x:row r="713">
      <x:c r="B713" t="str">
        <x:v>PL-0707</x:v>
      </x:c>
      <x:c r="C713" t="str">
        <x:v>PLANNING</x:v>
      </x:c>
      <x:c r="D713" t="str">
        <x:v>blind package</x:v>
      </x:c>
      <x:c r="E713" t="str">
        <x:v>blind package 36</x:v>
      </x:c>
      <x:c r="F713" t="n">
        <x:f>Controls!$D$41</x:f>
        <x:v>1</x:v>
      </x:c>
      <x:c r="G713" t="n">
        <x:v>1</x:v>
      </x:c>
      <x:c r="H713" t="str">
        <x:v>RAW design authority</x:v>
      </x:c>
      <x:c r="I713" t="str">
        <x:f>IF(F713=1,"PASS","GAP")</x:f>
        <x:v>PASS</x:v>
      </x:c>
    </x:row>
    <x:row r="714">
      <x:c r="B714" t="str">
        <x:v>PL-0708</x:v>
      </x:c>
      <x:c r="C714" t="str">
        <x:v>PLANNING</x:v>
      </x:c>
      <x:c r="D714" t="str">
        <x:v>blind package</x:v>
      </x:c>
      <x:c r="E714" t="str">
        <x:v>blind package 37</x:v>
      </x:c>
      <x:c r="F714" t="n">
        <x:f>Controls!$D$41</x:f>
        <x:v>1</x:v>
      </x:c>
      <x:c r="G714" t="n">
        <x:v>1</x:v>
      </x:c>
      <x:c r="H714" t="str">
        <x:v>RAW design authority</x:v>
      </x:c>
      <x:c r="I714" t="str">
        <x:f>IF(F714=1,"PASS","GAP")</x:f>
        <x:v>PASS</x:v>
      </x:c>
    </x:row>
    <x:row r="715">
      <x:c r="B715" t="str">
        <x:v>PL-0709</x:v>
      </x:c>
      <x:c r="C715" t="str">
        <x:v>PLANNING</x:v>
      </x:c>
      <x:c r="D715" t="str">
        <x:v>blind package</x:v>
      </x:c>
      <x:c r="E715" t="str">
        <x:v>blind package 38</x:v>
      </x:c>
      <x:c r="F715" t="n">
        <x:f>Controls!$D$41</x:f>
        <x:v>1</x:v>
      </x:c>
      <x:c r="G715" t="n">
        <x:v>1</x:v>
      </x:c>
      <x:c r="H715" t="str">
        <x:v>RAW design authority</x:v>
      </x:c>
      <x:c r="I715" t="str">
        <x:f>IF(F715=1,"PASS","GAP")</x:f>
        <x:v>PASS</x:v>
      </x:c>
    </x:row>
    <x:row r="716">
      <x:c r="B716" t="str">
        <x:v>PL-0710</x:v>
      </x:c>
      <x:c r="C716" t="str">
        <x:v>PLANNING</x:v>
      </x:c>
      <x:c r="D716" t="str">
        <x:v>blind package</x:v>
      </x:c>
      <x:c r="E716" t="str">
        <x:v>blind package 39</x:v>
      </x:c>
      <x:c r="F716" t="n">
        <x:f>Controls!$D$41</x:f>
        <x:v>1</x:v>
      </x:c>
      <x:c r="G716" t="n">
        <x:v>1</x:v>
      </x:c>
      <x:c r="H716" t="str">
        <x:v>RAW design authority</x:v>
      </x:c>
      <x:c r="I716" t="str">
        <x:f>IF(F716=1,"PASS","GAP")</x:f>
        <x:v>PASS</x:v>
      </x:c>
    </x:row>
    <x:row r="717">
      <x:c r="B717" t="str">
        <x:v>PL-0711</x:v>
      </x:c>
      <x:c r="C717" t="str">
        <x:v>PLANNING</x:v>
      </x:c>
      <x:c r="D717" t="str">
        <x:v>blind package</x:v>
      </x:c>
      <x:c r="E717" t="str">
        <x:v>blind package 40</x:v>
      </x:c>
      <x:c r="F717" t="n">
        <x:f>Controls!$D$41</x:f>
        <x:v>1</x:v>
      </x:c>
      <x:c r="G717" t="n">
        <x:v>1</x:v>
      </x:c>
      <x:c r="H717" t="str">
        <x:v>RAW design authority</x:v>
      </x:c>
      <x:c r="I717" t="str">
        <x:f>IF(F717=1,"PASS","GAP")</x:f>
        <x:v>PASS</x:v>
      </x:c>
    </x:row>
    <x:row r="718">
      <x:c r="B718" t="str">
        <x:v>PL-0712</x:v>
      </x:c>
      <x:c r="C718" t="str">
        <x:v>PLANNING</x:v>
      </x:c>
      <x:c r="D718" t="str">
        <x:v>blind package</x:v>
      </x:c>
      <x:c r="E718" t="str">
        <x:v>blind package 41</x:v>
      </x:c>
      <x:c r="F718" t="n">
        <x:f>Controls!$D$41</x:f>
        <x:v>1</x:v>
      </x:c>
      <x:c r="G718" t="n">
        <x:v>1</x:v>
      </x:c>
      <x:c r="H718" t="str">
        <x:v>RAW design authority</x:v>
      </x:c>
      <x:c r="I718" t="str">
        <x:f>IF(F718=1,"PASS","GAP")</x:f>
        <x:v>PASS</x:v>
      </x:c>
    </x:row>
    <x:row r="719">
      <x:c r="B719" t="str">
        <x:v>PL-0713</x:v>
      </x:c>
      <x:c r="C719" t="str">
        <x:v>PLANNING</x:v>
      </x:c>
      <x:c r="D719" t="str">
        <x:v>blind package</x:v>
      </x:c>
      <x:c r="E719" t="str">
        <x:v>blind package 42</x:v>
      </x:c>
      <x:c r="F719" t="n">
        <x:f>Controls!$D$41</x:f>
        <x:v>1</x:v>
      </x:c>
      <x:c r="G719" t="n">
        <x:v>1</x:v>
      </x:c>
      <x:c r="H719" t="str">
        <x:v>RAW design authority</x:v>
      </x:c>
      <x:c r="I719" t="str">
        <x:f>IF(F719=1,"PASS","GAP")</x:f>
        <x:v>PASS</x:v>
      </x:c>
    </x:row>
    <x:row r="720">
      <x:c r="B720" t="str">
        <x:v>PL-0714</x:v>
      </x:c>
      <x:c r="C720" t="str">
        <x:v>PLANNING</x:v>
      </x:c>
      <x:c r="D720" t="str">
        <x:v>blind package</x:v>
      </x:c>
      <x:c r="E720" t="str">
        <x:v>blind package 43</x:v>
      </x:c>
      <x:c r="F720" t="n">
        <x:f>Controls!$D$41</x:f>
        <x:v>1</x:v>
      </x:c>
      <x:c r="G720" t="n">
        <x:v>1</x:v>
      </x:c>
      <x:c r="H720" t="str">
        <x:v>RAW design authority</x:v>
      </x:c>
      <x:c r="I720" t="str">
        <x:f>IF(F720=1,"PASS","GAP")</x:f>
        <x:v>PASS</x:v>
      </x:c>
    </x:row>
    <x:row r="721">
      <x:c r="B721" t="str">
        <x:v>PL-0715</x:v>
      </x:c>
      <x:c r="C721" t="str">
        <x:v>PLANNING</x:v>
      </x:c>
      <x:c r="D721" t="str">
        <x:v>blind package</x:v>
      </x:c>
      <x:c r="E721" t="str">
        <x:v>blind package 44</x:v>
      </x:c>
      <x:c r="F721" t="n">
        <x:f>Controls!$D$41</x:f>
        <x:v>1</x:v>
      </x:c>
      <x:c r="G721" t="n">
        <x:v>1</x:v>
      </x:c>
      <x:c r="H721" t="str">
        <x:v>RAW design authority</x:v>
      </x:c>
      <x:c r="I721" t="str">
        <x:f>IF(F721=1,"PASS","GAP")</x:f>
        <x:v>PASS</x:v>
      </x:c>
    </x:row>
    <x:row r="722">
      <x:c r="B722" t="str">
        <x:v>PL-0716</x:v>
      </x:c>
      <x:c r="C722" t="str">
        <x:v>PLANNING</x:v>
      </x:c>
      <x:c r="D722" t="str">
        <x:v>blind package</x:v>
      </x:c>
      <x:c r="E722" t="str">
        <x:v>blind package 45</x:v>
      </x:c>
      <x:c r="F722" t="n">
        <x:f>Controls!$D$41</x:f>
        <x:v>1</x:v>
      </x:c>
      <x:c r="G722" t="n">
        <x:v>1</x:v>
      </x:c>
      <x:c r="H722" t="str">
        <x:v>RAW design authority</x:v>
      </x:c>
      <x:c r="I722" t="str">
        <x:f>IF(F722=1,"PASS","GAP")</x:f>
        <x:v>PASS</x:v>
      </x:c>
    </x:row>
    <x:row r="723">
      <x:c r="B723" t="str">
        <x:v>PL-0717</x:v>
      </x:c>
      <x:c r="C723" t="str">
        <x:v>PLANNING</x:v>
      </x:c>
      <x:c r="D723" t="str">
        <x:v>blind package</x:v>
      </x:c>
      <x:c r="E723" t="str">
        <x:v>blind package 46</x:v>
      </x:c>
      <x:c r="F723" t="n">
        <x:f>Controls!$D$41</x:f>
        <x:v>1</x:v>
      </x:c>
      <x:c r="G723" t="n">
        <x:v>1</x:v>
      </x:c>
      <x:c r="H723" t="str">
        <x:v>RAW design authority</x:v>
      </x:c>
      <x:c r="I723" t="str">
        <x:f>IF(F723=1,"PASS","GAP")</x:f>
        <x:v>PASS</x:v>
      </x:c>
    </x:row>
    <x:row r="724">
      <x:c r="B724" t="str">
        <x:v>PL-0718</x:v>
      </x:c>
      <x:c r="C724" t="str">
        <x:v>PLANNING</x:v>
      </x:c>
      <x:c r="D724" t="str">
        <x:v>blind package</x:v>
      </x:c>
      <x:c r="E724" t="str">
        <x:v>blind package 47</x:v>
      </x:c>
      <x:c r="F724" t="n">
        <x:f>Controls!$D$41</x:f>
        <x:v>1</x:v>
      </x:c>
      <x:c r="G724" t="n">
        <x:v>1</x:v>
      </x:c>
      <x:c r="H724" t="str">
        <x:v>RAW design authority</x:v>
      </x:c>
      <x:c r="I724" t="str">
        <x:f>IF(F724=1,"PASS","GAP")</x:f>
        <x:v>PASS</x:v>
      </x:c>
    </x:row>
    <x:row r="725">
      <x:c r="B725" t="str">
        <x:v>PL-0719</x:v>
      </x:c>
      <x:c r="C725" t="str">
        <x:v>PLANNING</x:v>
      </x:c>
      <x:c r="D725" t="str">
        <x:v>blind package</x:v>
      </x:c>
      <x:c r="E725" t="str">
        <x:v>blind package 48</x:v>
      </x:c>
      <x:c r="F725" t="n">
        <x:f>Controls!$D$41</x:f>
        <x:v>1</x:v>
      </x:c>
      <x:c r="G725" t="n">
        <x:v>1</x:v>
      </x:c>
      <x:c r="H725" t="str">
        <x:v>RAW design authority</x:v>
      </x:c>
      <x:c r="I725" t="str">
        <x:f>IF(F725=1,"PASS","GAP")</x:f>
        <x:v>PASS</x:v>
      </x:c>
    </x:row>
    <x:row r="726">
      <x:c r="B726" t="str">
        <x:v>PL-0720</x:v>
      </x:c>
      <x:c r="C726" t="str">
        <x:v>PLANNING</x:v>
      </x:c>
      <x:c r="D726" t="str">
        <x:v>blind package</x:v>
      </x:c>
      <x:c r="E726" t="str">
        <x:v>blind package 49</x:v>
      </x:c>
      <x:c r="F726" t="n">
        <x:f>Controls!$D$41</x:f>
        <x:v>1</x:v>
      </x:c>
      <x:c r="G726" t="n">
        <x:v>1</x:v>
      </x:c>
      <x:c r="H726" t="str">
        <x:v>RAW design authority</x:v>
      </x:c>
      <x:c r="I726" t="str">
        <x:f>IF(F726=1,"PASS","GAP")</x:f>
        <x:v>PASS</x:v>
      </x:c>
    </x:row>
    <x:row r="727">
      <x:c r="B727" t="str">
        <x:v>PL-0721</x:v>
      </x:c>
      <x:c r="C727" t="str">
        <x:v>PLANNING</x:v>
      </x:c>
      <x:c r="D727" t="str">
        <x:v>blind package</x:v>
      </x:c>
      <x:c r="E727" t="str">
        <x:v>blind package 50</x:v>
      </x:c>
      <x:c r="F727" t="n">
        <x:f>Controls!$D$41</x:f>
        <x:v>1</x:v>
      </x:c>
      <x:c r="G727" t="n">
        <x:v>1</x:v>
      </x:c>
      <x:c r="H727" t="str">
        <x:v>RAW design authority</x:v>
      </x:c>
      <x:c r="I727" t="str">
        <x:f>IF(F727=1,"PASS","GAP")</x:f>
        <x:v>PASS</x:v>
      </x:c>
    </x:row>
    <x:row r="728">
      <x:c r="B728" t="str">
        <x:v>PL-0722</x:v>
      </x:c>
      <x:c r="C728" t="str">
        <x:v>PLANNING</x:v>
      </x:c>
      <x:c r="D728" t="str">
        <x:v>blind package</x:v>
      </x:c>
      <x:c r="E728" t="str">
        <x:v>blind package 51</x:v>
      </x:c>
      <x:c r="F728" t="n">
        <x:f>Controls!$D$41</x:f>
        <x:v>1</x:v>
      </x:c>
      <x:c r="G728" t="n">
        <x:v>1</x:v>
      </x:c>
      <x:c r="H728" t="str">
        <x:v>RAW design authority</x:v>
      </x:c>
      <x:c r="I728" t="str">
        <x:f>IF(F728=1,"PASS","GAP")</x:f>
        <x:v>PASS</x:v>
      </x:c>
    </x:row>
    <x:row r="729">
      <x:c r="B729" t="str">
        <x:v>PL-0723</x:v>
      </x:c>
      <x:c r="C729" t="str">
        <x:v>PLANNING</x:v>
      </x:c>
      <x:c r="D729" t="str">
        <x:v>blind package</x:v>
      </x:c>
      <x:c r="E729" t="str">
        <x:v>blind package 52</x:v>
      </x:c>
      <x:c r="F729" t="n">
        <x:f>Controls!$D$41</x:f>
        <x:v>1</x:v>
      </x:c>
      <x:c r="G729" t="n">
        <x:v>1</x:v>
      </x:c>
      <x:c r="H729" t="str">
        <x:v>RAW design authority</x:v>
      </x:c>
      <x:c r="I729" t="str">
        <x:f>IF(F729=1,"PASS","GAP")</x:f>
        <x:v>PASS</x:v>
      </x:c>
    </x:row>
    <x:row r="730">
      <x:c r="B730" t="str">
        <x:v>PL-0724</x:v>
      </x:c>
      <x:c r="C730" t="str">
        <x:v>PLANNING</x:v>
      </x:c>
      <x:c r="D730" t="str">
        <x:v>blind package</x:v>
      </x:c>
      <x:c r="E730" t="str">
        <x:v>blind package 53</x:v>
      </x:c>
      <x:c r="F730" t="n">
        <x:f>Controls!$D$41</x:f>
        <x:v>1</x:v>
      </x:c>
      <x:c r="G730" t="n">
        <x:v>1</x:v>
      </x:c>
      <x:c r="H730" t="str">
        <x:v>RAW design authority</x:v>
      </x:c>
      <x:c r="I730" t="str">
        <x:f>IF(F730=1,"PASS","GAP")</x:f>
        <x:v>PASS</x:v>
      </x:c>
    </x:row>
    <x:row r="731">
      <x:c r="B731" t="str">
        <x:v>PL-0725</x:v>
      </x:c>
      <x:c r="C731" t="str">
        <x:v>PLANNING</x:v>
      </x:c>
      <x:c r="D731" t="str">
        <x:v>blind package</x:v>
      </x:c>
      <x:c r="E731" t="str">
        <x:v>blind package 54</x:v>
      </x:c>
      <x:c r="F731" t="n">
        <x:f>Controls!$D$41</x:f>
        <x:v>1</x:v>
      </x:c>
      <x:c r="G731" t="n">
        <x:v>1</x:v>
      </x:c>
      <x:c r="H731" t="str">
        <x:v>RAW design authority</x:v>
      </x:c>
      <x:c r="I731" t="str">
        <x:f>IF(F731=1,"PASS","GAP")</x:f>
        <x:v>PASS</x:v>
      </x:c>
    </x:row>
    <x:row r="732">
      <x:c r="B732" t="str">
        <x:v>PL-0726</x:v>
      </x:c>
      <x:c r="C732" t="str">
        <x:v>PLANNING</x:v>
      </x:c>
      <x:c r="D732" t="str">
        <x:v>blind package</x:v>
      </x:c>
      <x:c r="E732" t="str">
        <x:v>blind package 55</x:v>
      </x:c>
      <x:c r="F732" t="n">
        <x:f>Controls!$D$41</x:f>
        <x:v>1</x:v>
      </x:c>
      <x:c r="G732" t="n">
        <x:v>1</x:v>
      </x:c>
      <x:c r="H732" t="str">
        <x:v>RAW design authority</x:v>
      </x:c>
      <x:c r="I732" t="str">
        <x:f>IF(F732=1,"PASS","GAP")</x:f>
        <x:v>PASS</x:v>
      </x:c>
    </x:row>
    <x:row r="733">
      <x:c r="B733" t="str">
        <x:v>PL-0727</x:v>
      </x:c>
      <x:c r="C733" t="str">
        <x:v>PLANNING</x:v>
      </x:c>
      <x:c r="D733" t="str">
        <x:v>blind package</x:v>
      </x:c>
      <x:c r="E733" t="str">
        <x:v>blind package 56</x:v>
      </x:c>
      <x:c r="F733" t="n">
        <x:f>Controls!$D$41</x:f>
        <x:v>1</x:v>
      </x:c>
      <x:c r="G733" t="n">
        <x:v>1</x:v>
      </x:c>
      <x:c r="H733" t="str">
        <x:v>RAW design authority</x:v>
      </x:c>
      <x:c r="I733" t="str">
        <x:f>IF(F733=1,"PASS","GAP")</x:f>
        <x:v>PASS</x:v>
      </x:c>
    </x:row>
    <x:row r="734">
      <x:c r="B734" t="str">
        <x:v>PL-0728</x:v>
      </x:c>
      <x:c r="C734" t="str">
        <x:v>PLANNING</x:v>
      </x:c>
      <x:c r="D734" t="str">
        <x:v>blind package</x:v>
      </x:c>
      <x:c r="E734" t="str">
        <x:v>blind package 57</x:v>
      </x:c>
      <x:c r="F734" t="n">
        <x:f>Controls!$D$41</x:f>
        <x:v>1</x:v>
      </x:c>
      <x:c r="G734" t="n">
        <x:v>1</x:v>
      </x:c>
      <x:c r="H734" t="str">
        <x:v>RAW design authority</x:v>
      </x:c>
      <x:c r="I734" t="str">
        <x:f>IF(F734=1,"PASS","GAP")</x:f>
        <x:v>PASS</x:v>
      </x:c>
    </x:row>
    <x:row r="735">
      <x:c r="B735" t="str">
        <x:v>PL-0729</x:v>
      </x:c>
      <x:c r="C735" t="str">
        <x:v>PLANNING</x:v>
      </x:c>
      <x:c r="D735" t="str">
        <x:v>blind package</x:v>
      </x:c>
      <x:c r="E735" t="str">
        <x:v>blind package 58</x:v>
      </x:c>
      <x:c r="F735" t="n">
        <x:f>Controls!$D$41</x:f>
        <x:v>1</x:v>
      </x:c>
      <x:c r="G735" t="n">
        <x:v>1</x:v>
      </x:c>
      <x:c r="H735" t="str">
        <x:v>RAW design authority</x:v>
      </x:c>
      <x:c r="I735" t="str">
        <x:f>IF(F735=1,"PASS","GAP")</x:f>
        <x:v>PASS</x:v>
      </x:c>
    </x:row>
    <x:row r="736">
      <x:c r="B736" t="str">
        <x:v>PL-0730</x:v>
      </x:c>
      <x:c r="C736" t="str">
        <x:v>PLANNING</x:v>
      </x:c>
      <x:c r="D736" t="str">
        <x:v>blind package</x:v>
      </x:c>
      <x:c r="E736" t="str">
        <x:v>blind package 59</x:v>
      </x:c>
      <x:c r="F736" t="n">
        <x:f>Controls!$D$41</x:f>
        <x:v>1</x:v>
      </x:c>
      <x:c r="G736" t="n">
        <x:v>1</x:v>
      </x:c>
      <x:c r="H736" t="str">
        <x:v>RAW design authority</x:v>
      </x:c>
      <x:c r="I736" t="str">
        <x:f>IF(F736=1,"PASS","GAP")</x:f>
        <x:v>PASS</x:v>
      </x:c>
    </x:row>
    <x:row r="737">
      <x:c r="B737" t="str">
        <x:v>PL-0731</x:v>
      </x:c>
      <x:c r="C737" t="str">
        <x:v>PLANNING</x:v>
      </x:c>
      <x:c r="D737" t="str">
        <x:v>blind package</x:v>
      </x:c>
      <x:c r="E737" t="str">
        <x:v>blind package 60</x:v>
      </x:c>
      <x:c r="F737" t="n">
        <x:f>Controls!$D$41</x:f>
        <x:v>1</x:v>
      </x:c>
      <x:c r="G737" t="n">
        <x:v>1</x:v>
      </x:c>
      <x:c r="H737" t="str">
        <x:v>RAW design authority</x:v>
      </x:c>
      <x:c r="I737" t="str">
        <x:f>IF(F737=1,"PASS","GAP")</x:f>
        <x:v>PASS</x:v>
      </x:c>
    </x:row>
    <x:row r="738">
      <x:c r="B738" t="str">
        <x:v>PL-0732</x:v>
      </x:c>
      <x:c r="C738" t="str">
        <x:v>PLANNING</x:v>
      </x:c>
      <x:c r="D738" t="str">
        <x:v>fault card</x:v>
      </x:c>
      <x:c r="E738" t="str">
        <x:v>fault card 1</x:v>
      </x:c>
      <x:c r="F738" t="n">
        <x:f>Controls!$D$41</x:f>
        <x:v>1</x:v>
      </x:c>
      <x:c r="G738" t="n">
        <x:v>1</x:v>
      </x:c>
      <x:c r="H738" t="str">
        <x:v>RAW design authority</x:v>
      </x:c>
      <x:c r="I738" t="str">
        <x:f>IF(F738=1,"PASS","GAP")</x:f>
        <x:v>PASS</x:v>
      </x:c>
    </x:row>
    <x:row r="739">
      <x:c r="B739" t="str">
        <x:v>PL-0733</x:v>
      </x:c>
      <x:c r="C739" t="str">
        <x:v>PLANNING</x:v>
      </x:c>
      <x:c r="D739" t="str">
        <x:v>fault card</x:v>
      </x:c>
      <x:c r="E739" t="str">
        <x:v>fault card 2</x:v>
      </x:c>
      <x:c r="F739" t="n">
        <x:f>Controls!$D$41</x:f>
        <x:v>1</x:v>
      </x:c>
      <x:c r="G739" t="n">
        <x:v>1</x:v>
      </x:c>
      <x:c r="H739" t="str">
        <x:v>RAW design authority</x:v>
      </x:c>
      <x:c r="I739" t="str">
        <x:f>IF(F739=1,"PASS","GAP")</x:f>
        <x:v>PASS</x:v>
      </x:c>
    </x:row>
    <x:row r="740">
      <x:c r="B740" t="str">
        <x:v>PL-0734</x:v>
      </x:c>
      <x:c r="C740" t="str">
        <x:v>PLANNING</x:v>
      </x:c>
      <x:c r="D740" t="str">
        <x:v>fault card</x:v>
      </x:c>
      <x:c r="E740" t="str">
        <x:v>fault card 3</x:v>
      </x:c>
      <x:c r="F740" t="n">
        <x:f>Controls!$D$41</x:f>
        <x:v>1</x:v>
      </x:c>
      <x:c r="G740" t="n">
        <x:v>1</x:v>
      </x:c>
      <x:c r="H740" t="str">
        <x:v>RAW design authority</x:v>
      </x:c>
      <x:c r="I740" t="str">
        <x:f>IF(F740=1,"PASS","GAP")</x:f>
        <x:v>PASS</x:v>
      </x:c>
    </x:row>
    <x:row r="741">
      <x:c r="B741" t="str">
        <x:v>PL-0735</x:v>
      </x:c>
      <x:c r="C741" t="str">
        <x:v>PLANNING</x:v>
      </x:c>
      <x:c r="D741" t="str">
        <x:v>fault card</x:v>
      </x:c>
      <x:c r="E741" t="str">
        <x:v>fault card 4</x:v>
      </x:c>
      <x:c r="F741" t="n">
        <x:f>Controls!$D$41</x:f>
        <x:v>1</x:v>
      </x:c>
      <x:c r="G741" t="n">
        <x:v>1</x:v>
      </x:c>
      <x:c r="H741" t="str">
        <x:v>RAW design authority</x:v>
      </x:c>
      <x:c r="I741" t="str">
        <x:f>IF(F741=1,"PASS","GAP")</x:f>
        <x:v>PASS</x:v>
      </x:c>
    </x:row>
    <x:row r="742">
      <x:c r="B742" t="str">
        <x:v>PL-0736</x:v>
      </x:c>
      <x:c r="C742" t="str">
        <x:v>PLANNING</x:v>
      </x:c>
      <x:c r="D742" t="str">
        <x:v>fault card</x:v>
      </x:c>
      <x:c r="E742" t="str">
        <x:v>fault card 5</x:v>
      </x:c>
      <x:c r="F742" t="n">
        <x:f>Controls!$D$41</x:f>
        <x:v>1</x:v>
      </x:c>
      <x:c r="G742" t="n">
        <x:v>1</x:v>
      </x:c>
      <x:c r="H742" t="str">
        <x:v>RAW design authority</x:v>
      </x:c>
      <x:c r="I742" t="str">
        <x:f>IF(F742=1,"PASS","GAP")</x:f>
        <x:v>PASS</x:v>
      </x:c>
    </x:row>
    <x:row r="743">
      <x:c r="B743" t="str">
        <x:v>PL-0737</x:v>
      </x:c>
      <x:c r="C743" t="str">
        <x:v>PLANNING</x:v>
      </x:c>
      <x:c r="D743" t="str">
        <x:v>fault card</x:v>
      </x:c>
      <x:c r="E743" t="str">
        <x:v>fault card 6</x:v>
      </x:c>
      <x:c r="F743" t="n">
        <x:f>Controls!$D$41</x:f>
        <x:v>1</x:v>
      </x:c>
      <x:c r="G743" t="n">
        <x:v>1</x:v>
      </x:c>
      <x:c r="H743" t="str">
        <x:v>RAW design authority</x:v>
      </x:c>
      <x:c r="I743" t="str">
        <x:f>IF(F743=1,"PASS","GAP")</x:f>
        <x:v>PASS</x:v>
      </x:c>
    </x:row>
    <x:row r="744">
      <x:c r="B744" t="str">
        <x:v>PL-0738</x:v>
      </x:c>
      <x:c r="C744" t="str">
        <x:v>PLANNING</x:v>
      </x:c>
      <x:c r="D744" t="str">
        <x:v>fault card</x:v>
      </x:c>
      <x:c r="E744" t="str">
        <x:v>fault card 7</x:v>
      </x:c>
      <x:c r="F744" t="n">
        <x:f>Controls!$D$41</x:f>
        <x:v>1</x:v>
      </x:c>
      <x:c r="G744" t="n">
        <x:v>1</x:v>
      </x:c>
      <x:c r="H744" t="str">
        <x:v>RAW design authority</x:v>
      </x:c>
      <x:c r="I744" t="str">
        <x:f>IF(F744=1,"PASS","GAP")</x:f>
        <x:v>PASS</x:v>
      </x:c>
    </x:row>
    <x:row r="745">
      <x:c r="B745" t="str">
        <x:v>PL-0739</x:v>
      </x:c>
      <x:c r="C745" t="str">
        <x:v>PLANNING</x:v>
      </x:c>
      <x:c r="D745" t="str">
        <x:v>fault card</x:v>
      </x:c>
      <x:c r="E745" t="str">
        <x:v>fault card 8</x:v>
      </x:c>
      <x:c r="F745" t="n">
        <x:f>Controls!$D$41</x:f>
        <x:v>1</x:v>
      </x:c>
      <x:c r="G745" t="n">
        <x:v>1</x:v>
      </x:c>
      <x:c r="H745" t="str">
        <x:v>RAW design authority</x:v>
      </x:c>
      <x:c r="I745" t="str">
        <x:f>IF(F745=1,"PASS","GAP")</x:f>
        <x:v>PASS</x:v>
      </x:c>
    </x:row>
    <x:row r="746">
      <x:c r="B746" t="str">
        <x:v>PL-0740</x:v>
      </x:c>
      <x:c r="C746" t="str">
        <x:v>PLANNING</x:v>
      </x:c>
      <x:c r="D746" t="str">
        <x:v>fault card</x:v>
      </x:c>
      <x:c r="E746" t="str">
        <x:v>fault card 9</x:v>
      </x:c>
      <x:c r="F746" t="n">
        <x:f>Controls!$D$41</x:f>
        <x:v>1</x:v>
      </x:c>
      <x:c r="G746" t="n">
        <x:v>1</x:v>
      </x:c>
      <x:c r="H746" t="str">
        <x:v>RAW design authority</x:v>
      </x:c>
      <x:c r="I746" t="str">
        <x:f>IF(F746=1,"PASS","GAP")</x:f>
        <x:v>PASS</x:v>
      </x:c>
    </x:row>
    <x:row r="747">
      <x:c r="B747" t="str">
        <x:v>PL-0741</x:v>
      </x:c>
      <x:c r="C747" t="str">
        <x:v>PLANNING</x:v>
      </x:c>
      <x:c r="D747" t="str">
        <x:v>fault card</x:v>
      </x:c>
      <x:c r="E747" t="str">
        <x:v>fault card 10</x:v>
      </x:c>
      <x:c r="F747" t="n">
        <x:f>Controls!$D$41</x:f>
        <x:v>1</x:v>
      </x:c>
      <x:c r="G747" t="n">
        <x:v>1</x:v>
      </x:c>
      <x:c r="H747" t="str">
        <x:v>RAW design authority</x:v>
      </x:c>
      <x:c r="I747" t="str">
        <x:f>IF(F747=1,"PASS","GAP")</x:f>
        <x:v>PASS</x:v>
      </x:c>
    </x:row>
    <x:row r="748">
      <x:c r="B748" t="str">
        <x:v>PL-0742</x:v>
      </x:c>
      <x:c r="C748" t="str">
        <x:v>PLANNING</x:v>
      </x:c>
      <x:c r="D748" t="str">
        <x:v>fault card</x:v>
      </x:c>
      <x:c r="E748" t="str">
        <x:v>fault card 11</x:v>
      </x:c>
      <x:c r="F748" t="n">
        <x:f>Controls!$D$41</x:f>
        <x:v>1</x:v>
      </x:c>
      <x:c r="G748" t="n">
        <x:v>1</x:v>
      </x:c>
      <x:c r="H748" t="str">
        <x:v>RAW design authority</x:v>
      </x:c>
      <x:c r="I748" t="str">
        <x:f>IF(F748=1,"PASS","GAP")</x:f>
        <x:v>PASS</x:v>
      </x:c>
    </x:row>
    <x:row r="749">
      <x:c r="B749" t="str">
        <x:v>PL-0743</x:v>
      </x:c>
      <x:c r="C749" t="str">
        <x:v>PLANNING</x:v>
      </x:c>
      <x:c r="D749" t="str">
        <x:v>fault card</x:v>
      </x:c>
      <x:c r="E749" t="str">
        <x:v>fault card 12</x:v>
      </x:c>
      <x:c r="F749" t="n">
        <x:f>Controls!$D$41</x:f>
        <x:v>1</x:v>
      </x:c>
      <x:c r="G749" t="n">
        <x:v>1</x:v>
      </x:c>
      <x:c r="H749" t="str">
        <x:v>RAW design authority</x:v>
      </x:c>
      <x:c r="I749" t="str">
        <x:f>IF(F749=1,"PASS","GAP")</x:f>
        <x:v>PASS</x:v>
      </x:c>
    </x:row>
    <x:row r="750">
      <x:c r="B750" t="str">
        <x:v>PL-0744</x:v>
      </x:c>
      <x:c r="C750" t="str">
        <x:v>PLANNING</x:v>
      </x:c>
      <x:c r="D750" t="str">
        <x:v>fault card</x:v>
      </x:c>
      <x:c r="E750" t="str">
        <x:v>fault card 13</x:v>
      </x:c>
      <x:c r="F750" t="n">
        <x:f>Controls!$D$41</x:f>
        <x:v>1</x:v>
      </x:c>
      <x:c r="G750" t="n">
        <x:v>1</x:v>
      </x:c>
      <x:c r="H750" t="str">
        <x:v>RAW design authority</x:v>
      </x:c>
      <x:c r="I750" t="str">
        <x:f>IF(F750=1,"PASS","GAP")</x:f>
        <x:v>PASS</x:v>
      </x:c>
    </x:row>
    <x:row r="751">
      <x:c r="B751" t="str">
        <x:v>PL-0745</x:v>
      </x:c>
      <x:c r="C751" t="str">
        <x:v>PLANNING</x:v>
      </x:c>
      <x:c r="D751" t="str">
        <x:v>fault card</x:v>
      </x:c>
      <x:c r="E751" t="str">
        <x:v>fault card 14</x:v>
      </x:c>
      <x:c r="F751" t="n">
        <x:f>Controls!$D$41</x:f>
        <x:v>1</x:v>
      </x:c>
      <x:c r="G751" t="n">
        <x:v>1</x:v>
      </x:c>
      <x:c r="H751" t="str">
        <x:v>RAW design authority</x:v>
      </x:c>
      <x:c r="I751" t="str">
        <x:f>IF(F751=1,"PASS","GAP")</x:f>
        <x:v>PASS</x:v>
      </x:c>
    </x:row>
    <x:row r="752">
      <x:c r="B752" t="str">
        <x:v>PL-0746</x:v>
      </x:c>
      <x:c r="C752" t="str">
        <x:v>PLANNING</x:v>
      </x:c>
      <x:c r="D752" t="str">
        <x:v>fault card</x:v>
      </x:c>
      <x:c r="E752" t="str">
        <x:v>fault card 15</x:v>
      </x:c>
      <x:c r="F752" t="n">
        <x:f>Controls!$D$41</x:f>
        <x:v>1</x:v>
      </x:c>
      <x:c r="G752" t="n">
        <x:v>1</x:v>
      </x:c>
      <x:c r="H752" t="str">
        <x:v>RAW design authority</x:v>
      </x:c>
      <x:c r="I752" t="str">
        <x:f>IF(F752=1,"PASS","GAP")</x:f>
        <x:v>PASS</x:v>
      </x:c>
    </x:row>
    <x:row r="753">
      <x:c r="B753" t="str">
        <x:v>PL-0747</x:v>
      </x:c>
      <x:c r="C753" t="str">
        <x:v>PLANNING</x:v>
      </x:c>
      <x:c r="D753" t="str">
        <x:v>fault card</x:v>
      </x:c>
      <x:c r="E753" t="str">
        <x:v>fault card 16</x:v>
      </x:c>
      <x:c r="F753" t="n">
        <x:f>Controls!$D$41</x:f>
        <x:v>1</x:v>
      </x:c>
      <x:c r="G753" t="n">
        <x:v>1</x:v>
      </x:c>
      <x:c r="H753" t="str">
        <x:v>RAW design authority</x:v>
      </x:c>
      <x:c r="I753" t="str">
        <x:f>IF(F753=1,"PASS","GAP")</x:f>
        <x:v>PASS</x:v>
      </x:c>
    </x:row>
    <x:row r="754">
      <x:c r="B754" t="str">
        <x:v>PL-0748</x:v>
      </x:c>
      <x:c r="C754" t="str">
        <x:v>PLANNING</x:v>
      </x:c>
      <x:c r="D754" t="str">
        <x:v>fault card</x:v>
      </x:c>
      <x:c r="E754" t="str">
        <x:v>fault card 17</x:v>
      </x:c>
      <x:c r="F754" t="n">
        <x:f>Controls!$D$41</x:f>
        <x:v>1</x:v>
      </x:c>
      <x:c r="G754" t="n">
        <x:v>1</x:v>
      </x:c>
      <x:c r="H754" t="str">
        <x:v>RAW design authority</x:v>
      </x:c>
      <x:c r="I754" t="str">
        <x:f>IF(F754=1,"PASS","GAP")</x:f>
        <x:v>PASS</x:v>
      </x:c>
    </x:row>
    <x:row r="755">
      <x:c r="B755" t="str">
        <x:v>PL-0749</x:v>
      </x:c>
      <x:c r="C755" t="str">
        <x:v>PLANNING</x:v>
      </x:c>
      <x:c r="D755" t="str">
        <x:v>fault card</x:v>
      </x:c>
      <x:c r="E755" t="str">
        <x:v>fault card 18</x:v>
      </x:c>
      <x:c r="F755" t="n">
        <x:f>Controls!$D$41</x:f>
        <x:v>1</x:v>
      </x:c>
      <x:c r="G755" t="n">
        <x:v>1</x:v>
      </x:c>
      <x:c r="H755" t="str">
        <x:v>RAW design authority</x:v>
      </x:c>
      <x:c r="I755" t="str">
        <x:f>IF(F755=1,"PASS","GAP")</x:f>
        <x:v>PASS</x:v>
      </x:c>
    </x:row>
    <x:row r="756">
      <x:c r="B756" t="str">
        <x:v>PL-0750</x:v>
      </x:c>
      <x:c r="C756" t="str">
        <x:v>PLANNING</x:v>
      </x:c>
      <x:c r="D756" t="str">
        <x:v>fault card</x:v>
      </x:c>
      <x:c r="E756" t="str">
        <x:v>fault card 19</x:v>
      </x:c>
      <x:c r="F756" t="n">
        <x:f>Controls!$D$41</x:f>
        <x:v>1</x:v>
      </x:c>
      <x:c r="G756" t="n">
        <x:v>1</x:v>
      </x:c>
      <x:c r="H756" t="str">
        <x:v>RAW design authority</x:v>
      </x:c>
      <x:c r="I756" t="str">
        <x:f>IF(F756=1,"PASS","GAP")</x:f>
        <x:v>PASS</x:v>
      </x:c>
    </x:row>
    <x:row r="757">
      <x:c r="B757" t="str">
        <x:v>PL-0751</x:v>
      </x:c>
      <x:c r="C757" t="str">
        <x:v>PLANNING</x:v>
      </x:c>
      <x:c r="D757" t="str">
        <x:v>fault card</x:v>
      </x:c>
      <x:c r="E757" t="str">
        <x:v>fault card 20</x:v>
      </x:c>
      <x:c r="F757" t="n">
        <x:f>Controls!$D$41</x:f>
        <x:v>1</x:v>
      </x:c>
      <x:c r="G757" t="n">
        <x:v>1</x:v>
      </x:c>
      <x:c r="H757" t="str">
        <x:v>RAW design authority</x:v>
      </x:c>
      <x:c r="I757" t="str">
        <x:f>IF(F757=1,"PASS","GAP")</x:f>
        <x:v>PASS</x:v>
      </x:c>
    </x:row>
    <x:row r="758">
      <x:c r="B758" t="str">
        <x:v>PL-0752</x:v>
      </x:c>
      <x:c r="C758" t="str">
        <x:v>PLANNING</x:v>
      </x:c>
      <x:c r="D758" t="str">
        <x:v>denial card</x:v>
      </x:c>
      <x:c r="E758" t="str">
        <x:v>denial card 1</x:v>
      </x:c>
      <x:c r="F758" t="n">
        <x:f>Controls!$D$41</x:f>
        <x:v>1</x:v>
      </x:c>
      <x:c r="G758" t="n">
        <x:v>1</x:v>
      </x:c>
      <x:c r="H758" t="str">
        <x:v>RAW design authority</x:v>
      </x:c>
      <x:c r="I758" t="str">
        <x:f>IF(F758=1,"PASS","GAP")</x:f>
        <x:v>PASS</x:v>
      </x:c>
    </x:row>
    <x:row r="759">
      <x:c r="B759" t="str">
        <x:v>PL-0753</x:v>
      </x:c>
      <x:c r="C759" t="str">
        <x:v>PLANNING</x:v>
      </x:c>
      <x:c r="D759" t="str">
        <x:v>denial card</x:v>
      </x:c>
      <x:c r="E759" t="str">
        <x:v>denial card 2</x:v>
      </x:c>
      <x:c r="F759" t="n">
        <x:f>Controls!$D$41</x:f>
        <x:v>1</x:v>
      </x:c>
      <x:c r="G759" t="n">
        <x:v>1</x:v>
      </x:c>
      <x:c r="H759" t="str">
        <x:v>RAW design authority</x:v>
      </x:c>
      <x:c r="I759" t="str">
        <x:f>IF(F759=1,"PASS","GAP")</x:f>
        <x:v>PASS</x:v>
      </x:c>
    </x:row>
    <x:row r="760">
      <x:c r="B760" t="str">
        <x:v>PL-0754</x:v>
      </x:c>
      <x:c r="C760" t="str">
        <x:v>PLANNING</x:v>
      </x:c>
      <x:c r="D760" t="str">
        <x:v>denial card</x:v>
      </x:c>
      <x:c r="E760" t="str">
        <x:v>denial card 3</x:v>
      </x:c>
      <x:c r="F760" t="n">
        <x:f>Controls!$D$41</x:f>
        <x:v>1</x:v>
      </x:c>
      <x:c r="G760" t="n">
        <x:v>1</x:v>
      </x:c>
      <x:c r="H760" t="str">
        <x:v>RAW design authority</x:v>
      </x:c>
      <x:c r="I760" t="str">
        <x:f>IF(F760=1,"PASS","GAP")</x:f>
        <x:v>PASS</x:v>
      </x:c>
    </x:row>
    <x:row r="761">
      <x:c r="B761" t="str">
        <x:v>PL-0755</x:v>
      </x:c>
      <x:c r="C761" t="str">
        <x:v>PLANNING</x:v>
      </x:c>
      <x:c r="D761" t="str">
        <x:v>denial card</x:v>
      </x:c>
      <x:c r="E761" t="str">
        <x:v>denial card 4</x:v>
      </x:c>
      <x:c r="F761" t="n">
        <x:f>Controls!$D$41</x:f>
        <x:v>1</x:v>
      </x:c>
      <x:c r="G761" t="n">
        <x:v>1</x:v>
      </x:c>
      <x:c r="H761" t="str">
        <x:v>RAW design authority</x:v>
      </x:c>
      <x:c r="I761" t="str">
        <x:f>IF(F761=1,"PASS","GAP")</x:f>
        <x:v>PASS</x:v>
      </x:c>
    </x:row>
    <x:row r="762">
      <x:c r="B762" t="str">
        <x:v>PL-0756</x:v>
      </x:c>
      <x:c r="C762" t="str">
        <x:v>PLANNING</x:v>
      </x:c>
      <x:c r="D762" t="str">
        <x:v>denial card</x:v>
      </x:c>
      <x:c r="E762" t="str">
        <x:v>denial card 5</x:v>
      </x:c>
      <x:c r="F762" t="n">
        <x:f>Controls!$D$41</x:f>
        <x:v>1</x:v>
      </x:c>
      <x:c r="G762" t="n">
        <x:v>1</x:v>
      </x:c>
      <x:c r="H762" t="str">
        <x:v>RAW design authority</x:v>
      </x:c>
      <x:c r="I762" t="str">
        <x:f>IF(F762=1,"PASS","GAP")</x:f>
        <x:v>PASS</x:v>
      </x:c>
    </x:row>
    <x:row r="763">
      <x:c r="B763" t="str">
        <x:v>PL-0757</x:v>
      </x:c>
      <x:c r="C763" t="str">
        <x:v>PLANNING</x:v>
      </x:c>
      <x:c r="D763" t="str">
        <x:v>denial card</x:v>
      </x:c>
      <x:c r="E763" t="str">
        <x:v>denial card 6</x:v>
      </x:c>
      <x:c r="F763" t="n">
        <x:f>Controls!$D$41</x:f>
        <x:v>1</x:v>
      </x:c>
      <x:c r="G763" t="n">
        <x:v>1</x:v>
      </x:c>
      <x:c r="H763" t="str">
        <x:v>RAW design authority</x:v>
      </x:c>
      <x:c r="I763" t="str">
        <x:f>IF(F763=1,"PASS","GAP")</x:f>
        <x:v>PASS</x:v>
      </x:c>
    </x:row>
    <x:row r="764">
      <x:c r="B764" t="str">
        <x:v>PL-0758</x:v>
      </x:c>
      <x:c r="C764" t="str">
        <x:v>PLANNING</x:v>
      </x:c>
      <x:c r="D764" t="str">
        <x:v>denial card</x:v>
      </x:c>
      <x:c r="E764" t="str">
        <x:v>denial card 7</x:v>
      </x:c>
      <x:c r="F764" t="n">
        <x:f>Controls!$D$41</x:f>
        <x:v>1</x:v>
      </x:c>
      <x:c r="G764" t="n">
        <x:v>1</x:v>
      </x:c>
      <x:c r="H764" t="str">
        <x:v>RAW design authority</x:v>
      </x:c>
      <x:c r="I764" t="str">
        <x:f>IF(F764=1,"PASS","GAP")</x:f>
        <x:v>PASS</x:v>
      </x:c>
    </x:row>
    <x:row r="765">
      <x:c r="B765" t="str">
        <x:v>PL-0759</x:v>
      </x:c>
      <x:c r="C765" t="str">
        <x:v>PLANNING</x:v>
      </x:c>
      <x:c r="D765" t="str">
        <x:v>denial card</x:v>
      </x:c>
      <x:c r="E765" t="str">
        <x:v>denial card 8</x:v>
      </x:c>
      <x:c r="F765" t="n">
        <x:f>Controls!$D$41</x:f>
        <x:v>1</x:v>
      </x:c>
      <x:c r="G765" t="n">
        <x:v>1</x:v>
      </x:c>
      <x:c r="H765" t="str">
        <x:v>RAW design authority</x:v>
      </x:c>
      <x:c r="I765" t="str">
        <x:f>IF(F765=1,"PASS","GAP")</x:f>
        <x:v>PASS</x:v>
      </x:c>
    </x:row>
    <x:row r="766">
      <x:c r="B766" t="str">
        <x:v>PL-0760</x:v>
      </x:c>
      <x:c r="C766" t="str">
        <x:v>PLANNING</x:v>
      </x:c>
      <x:c r="D766" t="str">
        <x:v>denial card</x:v>
      </x:c>
      <x:c r="E766" t="str">
        <x:v>denial card 9</x:v>
      </x:c>
      <x:c r="F766" t="n">
        <x:f>Controls!$D$41</x:f>
        <x:v>1</x:v>
      </x:c>
      <x:c r="G766" t="n">
        <x:v>1</x:v>
      </x:c>
      <x:c r="H766" t="str">
        <x:v>RAW design authority</x:v>
      </x:c>
      <x:c r="I766" t="str">
        <x:f>IF(F766=1,"PASS","GAP")</x:f>
        <x:v>PASS</x:v>
      </x:c>
    </x:row>
    <x:row r="767">
      <x:c r="B767" t="str">
        <x:v>PL-0761</x:v>
      </x:c>
      <x:c r="C767" t="str">
        <x:v>PLANNING</x:v>
      </x:c>
      <x:c r="D767" t="str">
        <x:v>denial card</x:v>
      </x:c>
      <x:c r="E767" t="str">
        <x:v>denial card 10</x:v>
      </x:c>
      <x:c r="F767" t="n">
        <x:f>Controls!$D$41</x:f>
        <x:v>1</x:v>
      </x:c>
      <x:c r="G767" t="n">
        <x:v>1</x:v>
      </x:c>
      <x:c r="H767" t="str">
        <x:v>RAW design authority</x:v>
      </x:c>
      <x:c r="I767" t="str">
        <x:f>IF(F767=1,"PASS","GAP")</x:f>
        <x:v>PASS</x:v>
      </x:c>
    </x:row>
    <x:row r="768">
      <x:c r="B768" t="str">
        <x:v>PL-0762</x:v>
      </x:c>
      <x:c r="C768" t="str">
        <x:v>PLANNING</x:v>
      </x:c>
      <x:c r="D768" t="str">
        <x:v>time node</x:v>
      </x:c>
      <x:c r="E768" t="str">
        <x:v>time node 1</x:v>
      </x:c>
      <x:c r="F768" t="n">
        <x:f>Controls!$D$41</x:f>
        <x:v>1</x:v>
      </x:c>
      <x:c r="G768" t="n">
        <x:v>1</x:v>
      </x:c>
      <x:c r="H768" t="str">
        <x:v>RAW design authority</x:v>
      </x:c>
      <x:c r="I768" t="str">
        <x:f>IF(F768=1,"PASS","GAP")</x:f>
        <x:v>PASS</x:v>
      </x:c>
    </x:row>
    <x:row r="769">
      <x:c r="B769" t="str">
        <x:v>PL-0763</x:v>
      </x:c>
      <x:c r="C769" t="str">
        <x:v>PLANNING</x:v>
      </x:c>
      <x:c r="D769" t="str">
        <x:v>time node</x:v>
      </x:c>
      <x:c r="E769" t="str">
        <x:v>time node 2</x:v>
      </x:c>
      <x:c r="F769" t="n">
        <x:f>Controls!$D$41</x:f>
        <x:v>1</x:v>
      </x:c>
      <x:c r="G769" t="n">
        <x:v>1</x:v>
      </x:c>
      <x:c r="H769" t="str">
        <x:v>RAW design authority</x:v>
      </x:c>
      <x:c r="I769" t="str">
        <x:f>IF(F769=1,"PASS","GAP")</x:f>
        <x:v>PASS</x:v>
      </x:c>
    </x:row>
    <x:row r="770">
      <x:c r="B770" t="str">
        <x:v>PL-0764</x:v>
      </x:c>
      <x:c r="C770" t="str">
        <x:v>PLANNING</x:v>
      </x:c>
      <x:c r="D770" t="str">
        <x:v>time node</x:v>
      </x:c>
      <x:c r="E770" t="str">
        <x:v>time node 3</x:v>
      </x:c>
      <x:c r="F770" t="n">
        <x:f>Controls!$D$41</x:f>
        <x:v>1</x:v>
      </x:c>
      <x:c r="G770" t="n">
        <x:v>1</x:v>
      </x:c>
      <x:c r="H770" t="str">
        <x:v>RAW design authority</x:v>
      </x:c>
      <x:c r="I770" t="str">
        <x:f>IF(F770=1,"PASS","GAP")</x:f>
        <x:v>PASS</x:v>
      </x:c>
    </x:row>
    <x:row r="771">
      <x:c r="B771" t="str">
        <x:v>PL-0765</x:v>
      </x:c>
      <x:c r="C771" t="str">
        <x:v>PLANNING</x:v>
      </x:c>
      <x:c r="D771" t="str">
        <x:v>time node</x:v>
      </x:c>
      <x:c r="E771" t="str">
        <x:v>time node 4</x:v>
      </x:c>
      <x:c r="F771" t="n">
        <x:f>Controls!$D$41</x:f>
        <x:v>1</x:v>
      </x:c>
      <x:c r="G771" t="n">
        <x:v>1</x:v>
      </x:c>
      <x:c r="H771" t="str">
        <x:v>RAW design authority</x:v>
      </x:c>
      <x:c r="I771" t="str">
        <x:f>IF(F771=1,"PASS","GAP")</x:f>
        <x:v>PASS</x:v>
      </x:c>
    </x:row>
    <x:row r="772">
      <x:c r="B772" t="str">
        <x:v>PL-0766</x:v>
      </x:c>
      <x:c r="C772" t="str">
        <x:v>PLANNING</x:v>
      </x:c>
      <x:c r="D772" t="str">
        <x:v>time node</x:v>
      </x:c>
      <x:c r="E772" t="str">
        <x:v>time node 5</x:v>
      </x:c>
      <x:c r="F772" t="n">
        <x:f>Controls!$D$41</x:f>
        <x:v>1</x:v>
      </x:c>
      <x:c r="G772" t="n">
        <x:v>1</x:v>
      </x:c>
      <x:c r="H772" t="str">
        <x:v>RAW design authority</x:v>
      </x:c>
      <x:c r="I772" t="str">
        <x:f>IF(F772=1,"PASS","GAP")</x:f>
        <x:v>PASS</x:v>
      </x:c>
    </x:row>
    <x:row r="773">
      <x:c r="B773" t="str">
        <x:v>PL-0767</x:v>
      </x:c>
      <x:c r="C773" t="str">
        <x:v>PLANNING</x:v>
      </x:c>
      <x:c r="D773" t="str">
        <x:v>time node</x:v>
      </x:c>
      <x:c r="E773" t="str">
        <x:v>time node 6</x:v>
      </x:c>
      <x:c r="F773" t="n">
        <x:f>Controls!$D$41</x:f>
        <x:v>1</x:v>
      </x:c>
      <x:c r="G773" t="n">
        <x:v>1</x:v>
      </x:c>
      <x:c r="H773" t="str">
        <x:v>RAW design authority</x:v>
      </x:c>
      <x:c r="I773" t="str">
        <x:f>IF(F773=1,"PASS","GAP")</x:f>
        <x:v>PASS</x:v>
      </x:c>
    </x:row>
    <x:row r="774">
      <x:c r="B774" t="str">
        <x:v>PL-0768</x:v>
      </x:c>
      <x:c r="C774" t="str">
        <x:v>PLANNING</x:v>
      </x:c>
      <x:c r="D774" t="str">
        <x:v>time node</x:v>
      </x:c>
      <x:c r="E774" t="str">
        <x:v>time node 7</x:v>
      </x:c>
      <x:c r="F774" t="n">
        <x:f>Controls!$D$41</x:f>
        <x:v>1</x:v>
      </x:c>
      <x:c r="G774" t="n">
        <x:v>1</x:v>
      </x:c>
      <x:c r="H774" t="str">
        <x:v>RAW design authority</x:v>
      </x:c>
      <x:c r="I774" t="str">
        <x:f>IF(F774=1,"PASS","GAP")</x:f>
        <x:v>PASS</x:v>
      </x:c>
    </x:row>
    <x:row r="775">
      <x:c r="B775" t="str">
        <x:v>PL-0769</x:v>
      </x:c>
      <x:c r="C775" t="str">
        <x:v>PLANNING</x:v>
      </x:c>
      <x:c r="D775" t="str">
        <x:v>time node</x:v>
      </x:c>
      <x:c r="E775" t="str">
        <x:v>time node 8</x:v>
      </x:c>
      <x:c r="F775" t="n">
        <x:f>Controls!$D$41</x:f>
        <x:v>1</x:v>
      </x:c>
      <x:c r="G775" t="n">
        <x:v>1</x:v>
      </x:c>
      <x:c r="H775" t="str">
        <x:v>RAW design authority</x:v>
      </x:c>
      <x:c r="I775" t="str">
        <x:f>IF(F775=1,"PASS","GAP")</x:f>
        <x:v>PASS</x:v>
      </x:c>
    </x:row>
    <x:row r="776">
      <x:c r="B776" t="str">
        <x:v>PL-0770</x:v>
      </x:c>
      <x:c r="C776" t="str">
        <x:v>PLANNING</x:v>
      </x:c>
      <x:c r="D776" t="str">
        <x:v>time node</x:v>
      </x:c>
      <x:c r="E776" t="str">
        <x:v>time node 9</x:v>
      </x:c>
      <x:c r="F776" t="n">
        <x:f>Controls!$D$41</x:f>
        <x:v>1</x:v>
      </x:c>
      <x:c r="G776" t="n">
        <x:v>1</x:v>
      </x:c>
      <x:c r="H776" t="str">
        <x:v>RAW design authority</x:v>
      </x:c>
      <x:c r="I776" t="str">
        <x:f>IF(F776=1,"PASS","GAP")</x:f>
        <x:v>PASS</x:v>
      </x:c>
    </x:row>
    <x:row r="777">
      <x:c r="B777" t="str">
        <x:v>PL-0771</x:v>
      </x:c>
      <x:c r="C777" t="str">
        <x:v>PLANNING</x:v>
      </x:c>
      <x:c r="D777" t="str">
        <x:v>time node</x:v>
      </x:c>
      <x:c r="E777" t="str">
        <x:v>time node 10</x:v>
      </x:c>
      <x:c r="F777" t="n">
        <x:f>Controls!$D$41</x:f>
        <x:v>1</x:v>
      </x:c>
      <x:c r="G777" t="n">
        <x:v>1</x:v>
      </x:c>
      <x:c r="H777" t="str">
        <x:v>RAW design authority</x:v>
      </x:c>
      <x:c r="I777" t="str">
        <x:f>IF(F777=1,"PASS","GAP")</x:f>
        <x:v>PASS</x:v>
      </x:c>
    </x:row>
    <x:row r="778">
      <x:c r="B778" t="str">
        <x:v>PL-0772</x:v>
      </x:c>
      <x:c r="C778" t="str">
        <x:v>PLANNING</x:v>
      </x:c>
      <x:c r="D778" t="str">
        <x:v>time node</x:v>
      </x:c>
      <x:c r="E778" t="str">
        <x:v>time node 11</x:v>
      </x:c>
      <x:c r="F778" t="n">
        <x:f>Controls!$D$41</x:f>
        <x:v>1</x:v>
      </x:c>
      <x:c r="G778" t="n">
        <x:v>1</x:v>
      </x:c>
      <x:c r="H778" t="str">
        <x:v>RAW design authority</x:v>
      </x:c>
      <x:c r="I778" t="str">
        <x:f>IF(F778=1,"PASS","GAP")</x:f>
        <x:v>PASS</x:v>
      </x:c>
    </x:row>
    <x:row r="779">
      <x:c r="B779" t="str">
        <x:v>PL-0773</x:v>
      </x:c>
      <x:c r="C779" t="str">
        <x:v>PLANNING</x:v>
      </x:c>
      <x:c r="D779" t="str">
        <x:v>time node</x:v>
      </x:c>
      <x:c r="E779" t="str">
        <x:v>time node 12</x:v>
      </x:c>
      <x:c r="F779" t="n">
        <x:f>Controls!$D$41</x:f>
        <x:v>1</x:v>
      </x:c>
      <x:c r="G779" t="n">
        <x:v>1</x:v>
      </x:c>
      <x:c r="H779" t="str">
        <x:v>RAW design authority</x:v>
      </x:c>
      <x:c r="I779" t="str">
        <x:f>IF(F779=1,"PASS","GAP")</x:f>
        <x:v>PASS</x:v>
      </x:c>
    </x:row>
    <x:row r="780">
      <x:c r="B780" t="str">
        <x:v>PL-0774</x:v>
      </x:c>
      <x:c r="C780" t="str">
        <x:v>PLANNING</x:v>
      </x:c>
      <x:c r="D780" t="str">
        <x:v>time node</x:v>
      </x:c>
      <x:c r="E780" t="str">
        <x:v>time node 13</x:v>
      </x:c>
      <x:c r="F780" t="n">
        <x:f>Controls!$D$41</x:f>
        <x:v>1</x:v>
      </x:c>
      <x:c r="G780" t="n">
        <x:v>1</x:v>
      </x:c>
      <x:c r="H780" t="str">
        <x:v>RAW design authority</x:v>
      </x:c>
      <x:c r="I780" t="str">
        <x:f>IF(F780=1,"PASS","GAP")</x:f>
        <x:v>PASS</x:v>
      </x:c>
    </x:row>
    <x:row r="781">
      <x:c r="B781" t="str">
        <x:v>PL-0775</x:v>
      </x:c>
      <x:c r="C781" t="str">
        <x:v>PLANNING</x:v>
      </x:c>
      <x:c r="D781" t="str">
        <x:v>time node</x:v>
      </x:c>
      <x:c r="E781" t="str">
        <x:v>time node 14</x:v>
      </x:c>
      <x:c r="F781" t="n">
        <x:f>Controls!$D$41</x:f>
        <x:v>1</x:v>
      </x:c>
      <x:c r="G781" t="n">
        <x:v>1</x:v>
      </x:c>
      <x:c r="H781" t="str">
        <x:v>RAW design authority</x:v>
      </x:c>
      <x:c r="I781" t="str">
        <x:f>IF(F781=1,"PASS","GAP")</x:f>
        <x:v>PASS</x:v>
      </x:c>
    </x:row>
    <x:row r="782">
      <x:c r="B782" t="str">
        <x:v>PL-0776</x:v>
      </x:c>
      <x:c r="C782" t="str">
        <x:v>PLANNING</x:v>
      </x:c>
      <x:c r="D782" t="str">
        <x:v>time node</x:v>
      </x:c>
      <x:c r="E782" t="str">
        <x:v>time node 15</x:v>
      </x:c>
      <x:c r="F782" t="n">
        <x:f>Controls!$D$41</x:f>
        <x:v>1</x:v>
      </x:c>
      <x:c r="G782" t="n">
        <x:v>1</x:v>
      </x:c>
      <x:c r="H782" t="str">
        <x:v>RAW design authority</x:v>
      </x:c>
      <x:c r="I782" t="str">
        <x:f>IF(F782=1,"PASS","GAP")</x:f>
        <x:v>PASS</x:v>
      </x:c>
    </x:row>
    <x:row r="783">
      <x:c r="B783" t="str">
        <x:v>PL-0777</x:v>
      </x:c>
      <x:c r="C783" t="str">
        <x:v>PLANNING</x:v>
      </x:c>
      <x:c r="D783" t="str">
        <x:v>time node</x:v>
      </x:c>
      <x:c r="E783" t="str">
        <x:v>time node 16</x:v>
      </x:c>
      <x:c r="F783" t="n">
        <x:f>Controls!$D$41</x:f>
        <x:v>1</x:v>
      </x:c>
      <x:c r="G783" t="n">
        <x:v>1</x:v>
      </x:c>
      <x:c r="H783" t="str">
        <x:v>RAW design authority</x:v>
      </x:c>
      <x:c r="I783" t="str">
        <x:f>IF(F783=1,"PASS","GAP")</x:f>
        <x:v>PASS</x:v>
      </x:c>
    </x:row>
    <x:row r="784">
      <x:c r="B784" t="str">
        <x:v>PL-0778</x:v>
      </x:c>
      <x:c r="C784" t="str">
        <x:v>PLANNING</x:v>
      </x:c>
      <x:c r="D784" t="str">
        <x:v>time node</x:v>
      </x:c>
      <x:c r="E784" t="str">
        <x:v>time node 17</x:v>
      </x:c>
      <x:c r="F784" t="n">
        <x:f>Controls!$D$41</x:f>
        <x:v>1</x:v>
      </x:c>
      <x:c r="G784" t="n">
        <x:v>1</x:v>
      </x:c>
      <x:c r="H784" t="str">
        <x:v>RAW design authority</x:v>
      </x:c>
      <x:c r="I784" t="str">
        <x:f>IF(F784=1,"PASS","GAP")</x:f>
        <x:v>PASS</x:v>
      </x:c>
    </x:row>
    <x:row r="785">
      <x:c r="B785" t="str">
        <x:v>PL-0779</x:v>
      </x:c>
      <x:c r="C785" t="str">
        <x:v>PLANNING</x:v>
      </x:c>
      <x:c r="D785" t="str">
        <x:v>time node</x:v>
      </x:c>
      <x:c r="E785" t="str">
        <x:v>time node 18</x:v>
      </x:c>
      <x:c r="F785" t="n">
        <x:f>Controls!$D$41</x:f>
        <x:v>1</x:v>
      </x:c>
      <x:c r="G785" t="n">
        <x:v>1</x:v>
      </x:c>
      <x:c r="H785" t="str">
        <x:v>RAW design authority</x:v>
      </x:c>
      <x:c r="I785" t="str">
        <x:f>IF(F785=1,"PASS","GAP")</x:f>
        <x:v>PASS</x:v>
      </x:c>
    </x:row>
    <x:row r="786">
      <x:c r="B786" t="str">
        <x:v>PL-0780</x:v>
      </x:c>
      <x:c r="C786" t="str">
        <x:v>PLANNING</x:v>
      </x:c>
      <x:c r="D786" t="str">
        <x:v>time node</x:v>
      </x:c>
      <x:c r="E786" t="str">
        <x:v>time node 19</x:v>
      </x:c>
      <x:c r="F786" t="n">
        <x:f>Controls!$D$41</x:f>
        <x:v>1</x:v>
      </x:c>
      <x:c r="G786" t="n">
        <x:v>1</x:v>
      </x:c>
      <x:c r="H786" t="str">
        <x:v>RAW design authority</x:v>
      </x:c>
      <x:c r="I786" t="str">
        <x:f>IF(F786=1,"PASS","GAP")</x:f>
        <x:v>PASS</x:v>
      </x:c>
    </x:row>
    <x:row r="787">
      <x:c r="B787" t="str">
        <x:v>PL-0781</x:v>
      </x:c>
      <x:c r="C787" t="str">
        <x:v>PLANNING</x:v>
      </x:c>
      <x:c r="D787" t="str">
        <x:v>time node</x:v>
      </x:c>
      <x:c r="E787" t="str">
        <x:v>time node 20</x:v>
      </x:c>
      <x:c r="F787" t="n">
        <x:f>Controls!$D$41</x:f>
        <x:v>1</x:v>
      </x:c>
      <x:c r="G787" t="n">
        <x:v>1</x:v>
      </x:c>
      <x:c r="H787" t="str">
        <x:v>RAW design authority</x:v>
      </x:c>
      <x:c r="I787" t="str">
        <x:f>IF(F787=1,"PASS","GAP")</x:f>
        <x:v>PASS</x:v>
      </x:c>
    </x:row>
    <x:row r="788">
      <x:c r="B788" t="str">
        <x:v>PL-0782</x:v>
      </x:c>
      <x:c r="C788" t="str">
        <x:v>PLANNING</x:v>
      </x:c>
      <x:c r="D788" t="str">
        <x:v>time node</x:v>
      </x:c>
      <x:c r="E788" t="str">
        <x:v>time node 21</x:v>
      </x:c>
      <x:c r="F788" t="n">
        <x:f>Controls!$D$41</x:f>
        <x:v>1</x:v>
      </x:c>
      <x:c r="G788" t="n">
        <x:v>1</x:v>
      </x:c>
      <x:c r="H788" t="str">
        <x:v>RAW design authority</x:v>
      </x:c>
      <x:c r="I788" t="str">
        <x:f>IF(F788=1,"PASS","GAP")</x:f>
        <x:v>PASS</x:v>
      </x:c>
    </x:row>
    <x:row r="789">
      <x:c r="B789" t="str">
        <x:v>PL-0783</x:v>
      </x:c>
      <x:c r="C789" t="str">
        <x:v>PLANNING</x:v>
      </x:c>
      <x:c r="D789" t="str">
        <x:v>time node</x:v>
      </x:c>
      <x:c r="E789" t="str">
        <x:v>time node 22</x:v>
      </x:c>
      <x:c r="F789" t="n">
        <x:f>Controls!$D$41</x:f>
        <x:v>1</x:v>
      </x:c>
      <x:c r="G789" t="n">
        <x:v>1</x:v>
      </x:c>
      <x:c r="H789" t="str">
        <x:v>RAW design authority</x:v>
      </x:c>
      <x:c r="I789" t="str">
        <x:f>IF(F789=1,"PASS","GAP")</x:f>
        <x:v>PASS</x:v>
      </x:c>
    </x:row>
    <x:row r="790">
      <x:c r="B790" t="str">
        <x:v>PL-0784</x:v>
      </x:c>
      <x:c r="C790" t="str">
        <x:v>PLANNING</x:v>
      </x:c>
      <x:c r="D790" t="str">
        <x:v>time node</x:v>
      </x:c>
      <x:c r="E790" t="str">
        <x:v>time node 23</x:v>
      </x:c>
      <x:c r="F790" t="n">
        <x:f>Controls!$D$41</x:f>
        <x:v>1</x:v>
      </x:c>
      <x:c r="G790" t="n">
        <x:v>1</x:v>
      </x:c>
      <x:c r="H790" t="str">
        <x:v>RAW design authority</x:v>
      </x:c>
      <x:c r="I790" t="str">
        <x:f>IF(F790=1,"PASS","GAP")</x:f>
        <x:v>PASS</x:v>
      </x:c>
    </x:row>
    <x:row r="791">
      <x:c r="B791" t="str">
        <x:v>PL-0785</x:v>
      </x:c>
      <x:c r="C791" t="str">
        <x:v>PLANNING</x:v>
      </x:c>
      <x:c r="D791" t="str">
        <x:v>time node</x:v>
      </x:c>
      <x:c r="E791" t="str">
        <x:v>time node 24</x:v>
      </x:c>
      <x:c r="F791" t="n">
        <x:f>Controls!$D$41</x:f>
        <x:v>1</x:v>
      </x:c>
      <x:c r="G791" t="n">
        <x:v>1</x:v>
      </x:c>
      <x:c r="H791" t="str">
        <x:v>RAW design authority</x:v>
      </x:c>
      <x:c r="I791" t="str">
        <x:f>IF(F791=1,"PASS","GAP")</x:f>
        <x:v>PASS</x:v>
      </x:c>
    </x:row>
    <x:row r="792">
      <x:c r="B792" t="str">
        <x:v>PL-0786</x:v>
      </x:c>
      <x:c r="C792" t="str">
        <x:v>PLANNING</x:v>
      </x:c>
      <x:c r="D792" t="str">
        <x:v>terrain truth</x:v>
      </x:c>
      <x:c r="E792" t="str">
        <x:v>terrain truth 1</x:v>
      </x:c>
      <x:c r="F792" t="n">
        <x:f>Controls!$D$41</x:f>
        <x:v>1</x:v>
      </x:c>
      <x:c r="G792" t="n">
        <x:v>1</x:v>
      </x:c>
      <x:c r="H792" t="str">
        <x:v>RAW design authority</x:v>
      </x:c>
      <x:c r="I792" t="str">
        <x:f>IF(F792=1,"PASS","GAP")</x:f>
        <x:v>PASS</x:v>
      </x:c>
    </x:row>
    <x:row r="793">
      <x:c r="B793" t="str">
        <x:v>PL-0787</x:v>
      </x:c>
      <x:c r="C793" t="str">
        <x:v>PLANNING</x:v>
      </x:c>
      <x:c r="D793" t="str">
        <x:v>terrain truth</x:v>
      </x:c>
      <x:c r="E793" t="str">
        <x:v>terrain truth 2</x:v>
      </x:c>
      <x:c r="F793" t="n">
        <x:f>Controls!$D$41</x:f>
        <x:v>1</x:v>
      </x:c>
      <x:c r="G793" t="n">
        <x:v>1</x:v>
      </x:c>
      <x:c r="H793" t="str">
        <x:v>RAW design authority</x:v>
      </x:c>
      <x:c r="I793" t="str">
        <x:f>IF(F793=1,"PASS","GAP")</x:f>
        <x:v>PASS</x:v>
      </x:c>
    </x:row>
    <x:row r="794">
      <x:c r="B794" t="str">
        <x:v>PL-0788</x:v>
      </x:c>
      <x:c r="C794" t="str">
        <x:v>PLANNING</x:v>
      </x:c>
      <x:c r="D794" t="str">
        <x:v>terrain truth</x:v>
      </x:c>
      <x:c r="E794" t="str">
        <x:v>terrain truth 3</x:v>
      </x:c>
      <x:c r="F794" t="n">
        <x:f>Controls!$D$41</x:f>
        <x:v>1</x:v>
      </x:c>
      <x:c r="G794" t="n">
        <x:v>1</x:v>
      </x:c>
      <x:c r="H794" t="str">
        <x:v>RAW design authority</x:v>
      </x:c>
      <x:c r="I794" t="str">
        <x:f>IF(F794=1,"PASS","GAP")</x:f>
        <x:v>PASS</x:v>
      </x:c>
    </x:row>
    <x:row r="795">
      <x:c r="B795" t="str">
        <x:v>PL-0789</x:v>
      </x:c>
      <x:c r="C795" t="str">
        <x:v>PLANNING</x:v>
      </x:c>
      <x:c r="D795" t="str">
        <x:v>terrain truth</x:v>
      </x:c>
      <x:c r="E795" t="str">
        <x:v>terrain truth 4</x:v>
      </x:c>
      <x:c r="F795" t="n">
        <x:f>Controls!$D$41</x:f>
        <x:v>1</x:v>
      </x:c>
      <x:c r="G795" t="n">
        <x:v>1</x:v>
      </x:c>
      <x:c r="H795" t="str">
        <x:v>RAW design authority</x:v>
      </x:c>
      <x:c r="I795" t="str">
        <x:f>IF(F795=1,"PASS","GAP")</x:f>
        <x:v>PASS</x:v>
      </x:c>
    </x:row>
    <x:row r="796">
      <x:c r="B796" t="str">
        <x:v>PL-0790</x:v>
      </x:c>
      <x:c r="C796" t="str">
        <x:v>PLANNING</x:v>
      </x:c>
      <x:c r="D796" t="str">
        <x:v>terrain truth</x:v>
      </x:c>
      <x:c r="E796" t="str">
        <x:v>terrain truth 5</x:v>
      </x:c>
      <x:c r="F796" t="n">
        <x:f>Controls!$D$41</x:f>
        <x:v>1</x:v>
      </x:c>
      <x:c r="G796" t="n">
        <x:v>1</x:v>
      </x:c>
      <x:c r="H796" t="str">
        <x:v>RAW design authority</x:v>
      </x:c>
      <x:c r="I796" t="str">
        <x:f>IF(F796=1,"PASS","GAP")</x:f>
        <x:v>PASS</x:v>
      </x:c>
    </x:row>
    <x:row r="797">
      <x:c r="B797" t="str">
        <x:v>PL-0791</x:v>
      </x:c>
      <x:c r="C797" t="str">
        <x:v>PLANNING</x:v>
      </x:c>
      <x:c r="D797" t="str">
        <x:v>terrain truth</x:v>
      </x:c>
      <x:c r="E797" t="str">
        <x:v>terrain truth 6</x:v>
      </x:c>
      <x:c r="F797" t="n">
        <x:f>Controls!$D$41</x:f>
        <x:v>1</x:v>
      </x:c>
      <x:c r="G797" t="n">
        <x:v>1</x:v>
      </x:c>
      <x:c r="H797" t="str">
        <x:v>RAW design authority</x:v>
      </x:c>
      <x:c r="I797" t="str">
        <x:f>IF(F797=1,"PASS","GAP")</x:f>
        <x:v>PASS</x:v>
      </x:c>
    </x:row>
    <x:row r="798">
      <x:c r="B798" t="str">
        <x:v>PL-0792</x:v>
      </x:c>
      <x:c r="C798" t="str">
        <x:v>PLANNING</x:v>
      </x:c>
      <x:c r="D798" t="str">
        <x:v>terrain truth</x:v>
      </x:c>
      <x:c r="E798" t="str">
        <x:v>terrain truth 7</x:v>
      </x:c>
      <x:c r="F798" t="n">
        <x:f>Controls!$D$41</x:f>
        <x:v>1</x:v>
      </x:c>
      <x:c r="G798" t="n">
        <x:v>1</x:v>
      </x:c>
      <x:c r="H798" t="str">
        <x:v>RAW design authority</x:v>
      </x:c>
      <x:c r="I798" t="str">
        <x:f>IF(F798=1,"PASS","GAP")</x:f>
        <x:v>PASS</x:v>
      </x:c>
    </x:row>
    <x:row r="799">
      <x:c r="B799" t="str">
        <x:v>PL-0793</x:v>
      </x:c>
      <x:c r="C799" t="str">
        <x:v>PLANNING</x:v>
      </x:c>
      <x:c r="D799" t="str">
        <x:v>terrain truth</x:v>
      </x:c>
      <x:c r="E799" t="str">
        <x:v>terrain truth 8</x:v>
      </x:c>
      <x:c r="F799" t="n">
        <x:f>Controls!$D$41</x:f>
        <x:v>1</x:v>
      </x:c>
      <x:c r="G799" t="n">
        <x:v>1</x:v>
      </x:c>
      <x:c r="H799" t="str">
        <x:v>RAW design authority</x:v>
      </x:c>
      <x:c r="I799" t="str">
        <x:f>IF(F799=1,"PASS","GAP")</x:f>
        <x:v>PASS</x:v>
      </x:c>
    </x:row>
    <x:row r="800">
      <x:c r="B800" t="str">
        <x:v>PL-0794</x:v>
      </x:c>
      <x:c r="C800" t="str">
        <x:v>PLANNING</x:v>
      </x:c>
      <x:c r="D800" t="str">
        <x:v>terrain truth</x:v>
      </x:c>
      <x:c r="E800" t="str">
        <x:v>terrain truth 9</x:v>
      </x:c>
      <x:c r="F800" t="n">
        <x:f>Controls!$D$41</x:f>
        <x:v>1</x:v>
      </x:c>
      <x:c r="G800" t="n">
        <x:v>1</x:v>
      </x:c>
      <x:c r="H800" t="str">
        <x:v>RAW design authority</x:v>
      </x:c>
      <x:c r="I800" t="str">
        <x:f>IF(F800=1,"PASS","GAP")</x:f>
        <x:v>PASS</x:v>
      </x:c>
    </x:row>
    <x:row r="801">
      <x:c r="B801" t="str">
        <x:v>PL-0795</x:v>
      </x:c>
      <x:c r="C801" t="str">
        <x:v>PLANNING</x:v>
      </x:c>
      <x:c r="D801" t="str">
        <x:v>terrain truth</x:v>
      </x:c>
      <x:c r="E801" t="str">
        <x:v>terrain truth 10</x:v>
      </x:c>
      <x:c r="F801" t="n">
        <x:f>Controls!$D$41</x:f>
        <x:v>1</x:v>
      </x:c>
      <x:c r="G801" t="n">
        <x:v>1</x:v>
      </x:c>
      <x:c r="H801" t="str">
        <x:v>RAW design authority</x:v>
      </x:c>
      <x:c r="I801" t="str">
        <x:f>IF(F801=1,"PASS","GAP")</x:f>
        <x:v>PASS</x:v>
      </x:c>
    </x:row>
    <x:row r="802">
      <x:c r="B802" t="str">
        <x:v>PL-0796</x:v>
      </x:c>
      <x:c r="C802" t="str">
        <x:v>PLANNING</x:v>
      </x:c>
      <x:c r="D802" t="str">
        <x:v>terrain truth</x:v>
      </x:c>
      <x:c r="E802" t="str">
        <x:v>terrain truth 11</x:v>
      </x:c>
      <x:c r="F802" t="n">
        <x:f>Controls!$D$41</x:f>
        <x:v>1</x:v>
      </x:c>
      <x:c r="G802" t="n">
        <x:v>1</x:v>
      </x:c>
      <x:c r="H802" t="str">
        <x:v>RAW design authority</x:v>
      </x:c>
      <x:c r="I802" t="str">
        <x:f>IF(F802=1,"PASS","GAP")</x:f>
        <x:v>PASS</x:v>
      </x:c>
    </x:row>
    <x:row r="803">
      <x:c r="B803" t="str">
        <x:v>PL-0797</x:v>
      </x:c>
      <x:c r="C803" t="str">
        <x:v>PLANNING</x:v>
      </x:c>
      <x:c r="D803" t="str">
        <x:v>terrain truth</x:v>
      </x:c>
      <x:c r="E803" t="str">
        <x:v>terrain truth 12</x:v>
      </x:c>
      <x:c r="F803" t="n">
        <x:f>Controls!$D$41</x:f>
        <x:v>1</x:v>
      </x:c>
      <x:c r="G803" t="n">
        <x:v>1</x:v>
      </x:c>
      <x:c r="H803" t="str">
        <x:v>RAW design authority</x:v>
      </x:c>
      <x:c r="I803" t="str">
        <x:f>IF(F803=1,"PASS","GAP")</x:f>
        <x:v>PASS</x:v>
      </x:c>
    </x:row>
    <x:row r="804">
      <x:c r="B804" t="str">
        <x:v>PL-0798</x:v>
      </x:c>
      <x:c r="C804" t="str">
        <x:v>PLANNING</x:v>
      </x:c>
      <x:c r="D804" t="str">
        <x:v>terrain truth</x:v>
      </x:c>
      <x:c r="E804" t="str">
        <x:v>terrain truth 13</x:v>
      </x:c>
      <x:c r="F804" t="n">
        <x:f>Controls!$D$41</x:f>
        <x:v>1</x:v>
      </x:c>
      <x:c r="G804" t="n">
        <x:v>1</x:v>
      </x:c>
      <x:c r="H804" t="str">
        <x:v>RAW design authority</x:v>
      </x:c>
      <x:c r="I804" t="str">
        <x:f>IF(F804=1,"PASS","GAP")</x:f>
        <x:v>PASS</x:v>
      </x:c>
    </x:row>
    <x:row r="805">
      <x:c r="B805" t="str">
        <x:v>PL-0799</x:v>
      </x:c>
      <x:c r="C805" t="str">
        <x:v>PLANNING</x:v>
      </x:c>
      <x:c r="D805" t="str">
        <x:v>terrain truth</x:v>
      </x:c>
      <x:c r="E805" t="str">
        <x:v>terrain truth 14</x:v>
      </x:c>
      <x:c r="F805" t="n">
        <x:f>Controls!$D$41</x:f>
        <x:v>1</x:v>
      </x:c>
      <x:c r="G805" t="n">
        <x:v>1</x:v>
      </x:c>
      <x:c r="H805" t="str">
        <x:v>RAW design authority</x:v>
      </x:c>
      <x:c r="I805" t="str">
        <x:f>IF(F805=1,"PASS","GAP")</x:f>
        <x:v>PASS</x:v>
      </x:c>
    </x:row>
    <x:row r="806">
      <x:c r="B806" t="str">
        <x:v>PL-0800</x:v>
      </x:c>
      <x:c r="C806" t="str">
        <x:v>PLANNING</x:v>
      </x:c>
      <x:c r="D806" t="str">
        <x:v>terrain truth</x:v>
      </x:c>
      <x:c r="E806" t="str">
        <x:v>terrain truth 15</x:v>
      </x:c>
      <x:c r="F806" t="n">
        <x:f>Controls!$D$41</x:f>
        <x:v>1</x:v>
      </x:c>
      <x:c r="G806" t="n">
        <x:v>1</x:v>
      </x:c>
      <x:c r="H806" t="str">
        <x:v>RAW design authority</x:v>
      </x:c>
      <x:c r="I806" t="str">
        <x:f>IF(F806=1,"PASS","GAP")</x:f>
        <x:v>PASS</x:v>
      </x:c>
    </x:row>
    <x:row r="807">
      <x:c r="B807" t="str">
        <x:v>PL-0801</x:v>
      </x:c>
      <x:c r="C807" t="str">
        <x:v>PLANNING</x:v>
      </x:c>
      <x:c r="D807" t="str">
        <x:v>terrain truth</x:v>
      </x:c>
      <x:c r="E807" t="str">
        <x:v>terrain truth 16</x:v>
      </x:c>
      <x:c r="F807" t="n">
        <x:f>Controls!$D$41</x:f>
        <x:v>1</x:v>
      </x:c>
      <x:c r="G807" t="n">
        <x:v>1</x:v>
      </x:c>
      <x:c r="H807" t="str">
        <x:v>RAW design authority</x:v>
      </x:c>
      <x:c r="I807" t="str">
        <x:f>IF(F807=1,"PASS","GAP")</x:f>
        <x:v>PASS</x:v>
      </x:c>
    </x:row>
    <x:row r="808">
      <x:c r="B808" t="str">
        <x:v>PL-0802</x:v>
      </x:c>
      <x:c r="C808" t="str">
        <x:v>PLANNING</x:v>
      </x:c>
      <x:c r="D808" t="str">
        <x:v>terrain truth</x:v>
      </x:c>
      <x:c r="E808" t="str">
        <x:v>terrain truth 17</x:v>
      </x:c>
      <x:c r="F808" t="n">
        <x:f>Controls!$D$41</x:f>
        <x:v>1</x:v>
      </x:c>
      <x:c r="G808" t="n">
        <x:v>1</x:v>
      </x:c>
      <x:c r="H808" t="str">
        <x:v>RAW design authority</x:v>
      </x:c>
      <x:c r="I808" t="str">
        <x:f>IF(F808=1,"PASS","GAP")</x:f>
        <x:v>PASS</x:v>
      </x:c>
    </x:row>
    <x:row r="809">
      <x:c r="B809" t="str">
        <x:v>PL-0803</x:v>
      </x:c>
      <x:c r="C809" t="str">
        <x:v>PLANNING</x:v>
      </x:c>
      <x:c r="D809" t="str">
        <x:v>terrain truth</x:v>
      </x:c>
      <x:c r="E809" t="str">
        <x:v>terrain truth 18</x:v>
      </x:c>
      <x:c r="F809" t="n">
        <x:f>Controls!$D$41</x:f>
        <x:v>1</x:v>
      </x:c>
      <x:c r="G809" t="n">
        <x:v>1</x:v>
      </x:c>
      <x:c r="H809" t="str">
        <x:v>RAW design authority</x:v>
      </x:c>
      <x:c r="I809" t="str">
        <x:f>IF(F809=1,"PASS","GAP")</x:f>
        <x:v>PASS</x:v>
      </x:c>
    </x:row>
    <x:row r="810">
      <x:c r="B810" t="str">
        <x:v>PL-0804</x:v>
      </x:c>
      <x:c r="C810" t="str">
        <x:v>PLANNING</x:v>
      </x:c>
      <x:c r="D810" t="str">
        <x:v>terrain truth</x:v>
      </x:c>
      <x:c r="E810" t="str">
        <x:v>terrain truth 19</x:v>
      </x:c>
      <x:c r="F810" t="n">
        <x:f>Controls!$D$41</x:f>
        <x:v>1</x:v>
      </x:c>
      <x:c r="G810" t="n">
        <x:v>1</x:v>
      </x:c>
      <x:c r="H810" t="str">
        <x:v>RAW design authority</x:v>
      </x:c>
      <x:c r="I810" t="str">
        <x:f>IF(F810=1,"PASS","GAP")</x:f>
        <x:v>PASS</x:v>
      </x:c>
    </x:row>
    <x:row r="811">
      <x:c r="B811" t="str">
        <x:v>PL-0805</x:v>
      </x:c>
      <x:c r="C811" t="str">
        <x:v>PLANNING</x:v>
      </x:c>
      <x:c r="D811" t="str">
        <x:v>terrain truth</x:v>
      </x:c>
      <x:c r="E811" t="str">
        <x:v>terrain truth 20</x:v>
      </x:c>
      <x:c r="F811" t="n">
        <x:f>Controls!$D$41</x:f>
        <x:v>1</x:v>
      </x:c>
      <x:c r="G811" t="n">
        <x:v>1</x:v>
      </x:c>
      <x:c r="H811" t="str">
        <x:v>RAW design authority</x:v>
      </x:c>
      <x:c r="I811" t="str">
        <x:f>IF(F811=1,"PASS","GAP")</x:f>
        <x:v>PASS</x:v>
      </x:c>
    </x:row>
    <x:row r="812">
      <x:c r="B812" t="str">
        <x:v>PL-0806</x:v>
      </x:c>
      <x:c r="C812" t="str">
        <x:v>PLANNING</x:v>
      </x:c>
      <x:c r="D812" t="str">
        <x:v>terrain truth</x:v>
      </x:c>
      <x:c r="E812" t="str">
        <x:v>terrain truth 21</x:v>
      </x:c>
      <x:c r="F812" t="n">
        <x:f>Controls!$D$41</x:f>
        <x:v>1</x:v>
      </x:c>
      <x:c r="G812" t="n">
        <x:v>1</x:v>
      </x:c>
      <x:c r="H812" t="str">
        <x:v>RAW design authority</x:v>
      </x:c>
      <x:c r="I812" t="str">
        <x:f>IF(F812=1,"PASS","GAP")</x:f>
        <x:v>PASS</x:v>
      </x:c>
    </x:row>
    <x:row r="813">
      <x:c r="B813" t="str">
        <x:v>PL-0807</x:v>
      </x:c>
      <x:c r="C813" t="str">
        <x:v>PLANNING</x:v>
      </x:c>
      <x:c r="D813" t="str">
        <x:v>terrain truth</x:v>
      </x:c>
      <x:c r="E813" t="str">
        <x:v>terrain truth 22</x:v>
      </x:c>
      <x:c r="F813" t="n">
        <x:f>Controls!$D$41</x:f>
        <x:v>1</x:v>
      </x:c>
      <x:c r="G813" t="n">
        <x:v>1</x:v>
      </x:c>
      <x:c r="H813" t="str">
        <x:v>RAW design authority</x:v>
      </x:c>
      <x:c r="I813" t="str">
        <x:f>IF(F813=1,"PASS","GAP")</x:f>
        <x:v>PASS</x:v>
      </x:c>
    </x:row>
    <x:row r="814">
      <x:c r="B814" t="str">
        <x:v>PL-0808</x:v>
      </x:c>
      <x:c r="C814" t="str">
        <x:v>PLANNING</x:v>
      </x:c>
      <x:c r="D814" t="str">
        <x:v>terrain truth</x:v>
      </x:c>
      <x:c r="E814" t="str">
        <x:v>terrain truth 23</x:v>
      </x:c>
      <x:c r="F814" t="n">
        <x:f>Controls!$D$41</x:f>
        <x:v>1</x:v>
      </x:c>
      <x:c r="G814" t="n">
        <x:v>1</x:v>
      </x:c>
      <x:c r="H814" t="str">
        <x:v>RAW design authority</x:v>
      </x:c>
      <x:c r="I814" t="str">
        <x:f>IF(F814=1,"PASS","GAP")</x:f>
        <x:v>PASS</x:v>
      </x:c>
    </x:row>
    <x:row r="815">
      <x:c r="B815" t="str">
        <x:v>PL-0809</x:v>
      </x:c>
      <x:c r="C815" t="str">
        <x:v>PLANNING</x:v>
      </x:c>
      <x:c r="D815" t="str">
        <x:v>terrain truth</x:v>
      </x:c>
      <x:c r="E815" t="str">
        <x:v>terrain truth 24</x:v>
      </x:c>
      <x:c r="F815" t="n">
        <x:f>Controls!$D$41</x:f>
        <x:v>1</x:v>
      </x:c>
      <x:c r="G815" t="n">
        <x:v>1</x:v>
      </x:c>
      <x:c r="H815" t="str">
        <x:v>RAW design authority</x:v>
      </x:c>
      <x:c r="I815" t="str">
        <x:f>IF(F815=1,"PASS","GAP")</x:f>
        <x:v>PASS</x:v>
      </x:c>
    </x:row>
    <x:row r="816">
      <x:c r="B816" t="str">
        <x:v>PL-0810</x:v>
      </x:c>
      <x:c r="C816" t="str">
        <x:v>PLANNING</x:v>
      </x:c>
      <x:c r="D816" t="str">
        <x:v>fluid truth</x:v>
      </x:c>
      <x:c r="E816" t="str">
        <x:v>fluid truth 1</x:v>
      </x:c>
      <x:c r="F816" t="n">
        <x:f>Controls!$D$41</x:f>
        <x:v>1</x:v>
      </x:c>
      <x:c r="G816" t="n">
        <x:v>1</x:v>
      </x:c>
      <x:c r="H816" t="str">
        <x:v>RAW design authority</x:v>
      </x:c>
      <x:c r="I816" t="str">
        <x:f>IF(F816=1,"PASS","GAP")</x:f>
        <x:v>PASS</x:v>
      </x:c>
    </x:row>
    <x:row r="817">
      <x:c r="B817" t="str">
        <x:v>PL-0811</x:v>
      </x:c>
      <x:c r="C817" t="str">
        <x:v>PLANNING</x:v>
      </x:c>
      <x:c r="D817" t="str">
        <x:v>fluid truth</x:v>
      </x:c>
      <x:c r="E817" t="str">
        <x:v>fluid truth 2</x:v>
      </x:c>
      <x:c r="F817" t="n">
        <x:f>Controls!$D$41</x:f>
        <x:v>1</x:v>
      </x:c>
      <x:c r="G817" t="n">
        <x:v>1</x:v>
      </x:c>
      <x:c r="H817" t="str">
        <x:v>RAW design authority</x:v>
      </x:c>
      <x:c r="I817" t="str">
        <x:f>IF(F817=1,"PASS","GAP")</x:f>
        <x:v>PASS</x:v>
      </x:c>
    </x:row>
    <x:row r="818">
      <x:c r="B818" t="str">
        <x:v>PL-0812</x:v>
      </x:c>
      <x:c r="C818" t="str">
        <x:v>PLANNING</x:v>
      </x:c>
      <x:c r="D818" t="str">
        <x:v>fluid truth</x:v>
      </x:c>
      <x:c r="E818" t="str">
        <x:v>fluid truth 3</x:v>
      </x:c>
      <x:c r="F818" t="n">
        <x:f>Controls!$D$41</x:f>
        <x:v>1</x:v>
      </x:c>
      <x:c r="G818" t="n">
        <x:v>1</x:v>
      </x:c>
      <x:c r="H818" t="str">
        <x:v>RAW design authority</x:v>
      </x:c>
      <x:c r="I818" t="str">
        <x:f>IF(F818=1,"PASS","GAP")</x:f>
        <x:v>PASS</x:v>
      </x:c>
    </x:row>
    <x:row r="819">
      <x:c r="B819" t="str">
        <x:v>PL-0813</x:v>
      </x:c>
      <x:c r="C819" t="str">
        <x:v>PLANNING</x:v>
      </x:c>
      <x:c r="D819" t="str">
        <x:v>fluid truth</x:v>
      </x:c>
      <x:c r="E819" t="str">
        <x:v>fluid truth 4</x:v>
      </x:c>
      <x:c r="F819" t="n">
        <x:f>Controls!$D$41</x:f>
        <x:v>1</x:v>
      </x:c>
      <x:c r="G819" t="n">
        <x:v>1</x:v>
      </x:c>
      <x:c r="H819" t="str">
        <x:v>RAW design authority</x:v>
      </x:c>
      <x:c r="I819" t="str">
        <x:f>IF(F819=1,"PASS","GAP")</x:f>
        <x:v>PASS</x:v>
      </x:c>
    </x:row>
    <x:row r="820">
      <x:c r="B820" t="str">
        <x:v>PL-0814</x:v>
      </x:c>
      <x:c r="C820" t="str">
        <x:v>PLANNING</x:v>
      </x:c>
      <x:c r="D820" t="str">
        <x:v>fluid truth</x:v>
      </x:c>
      <x:c r="E820" t="str">
        <x:v>fluid truth 5</x:v>
      </x:c>
      <x:c r="F820" t="n">
        <x:f>Controls!$D$41</x:f>
        <x:v>1</x:v>
      </x:c>
      <x:c r="G820" t="n">
        <x:v>1</x:v>
      </x:c>
      <x:c r="H820" t="str">
        <x:v>RAW design authority</x:v>
      </x:c>
      <x:c r="I820" t="str">
        <x:f>IF(F820=1,"PASS","GAP")</x:f>
        <x:v>PASS</x:v>
      </x:c>
    </x:row>
    <x:row r="821">
      <x:c r="B821" t="str">
        <x:v>PL-0815</x:v>
      </x:c>
      <x:c r="C821" t="str">
        <x:v>PLANNING</x:v>
      </x:c>
      <x:c r="D821" t="str">
        <x:v>fluid truth</x:v>
      </x:c>
      <x:c r="E821" t="str">
        <x:v>fluid truth 6</x:v>
      </x:c>
      <x:c r="F821" t="n">
        <x:f>Controls!$D$41</x:f>
        <x:v>1</x:v>
      </x:c>
      <x:c r="G821" t="n">
        <x:v>1</x:v>
      </x:c>
      <x:c r="H821" t="str">
        <x:v>RAW design authority</x:v>
      </x:c>
      <x:c r="I821" t="str">
        <x:f>IF(F821=1,"PASS","GAP")</x:f>
        <x:v>PASS</x:v>
      </x:c>
    </x:row>
    <x:row r="822">
      <x:c r="B822" t="str">
        <x:v>PL-0816</x:v>
      </x:c>
      <x:c r="C822" t="str">
        <x:v>PLANNING</x:v>
      </x:c>
      <x:c r="D822" t="str">
        <x:v>fluid truth</x:v>
      </x:c>
      <x:c r="E822" t="str">
        <x:v>fluid truth 7</x:v>
      </x:c>
      <x:c r="F822" t="n">
        <x:f>Controls!$D$41</x:f>
        <x:v>1</x:v>
      </x:c>
      <x:c r="G822" t="n">
        <x:v>1</x:v>
      </x:c>
      <x:c r="H822" t="str">
        <x:v>RAW design authority</x:v>
      </x:c>
      <x:c r="I822" t="str">
        <x:f>IF(F822=1,"PASS","GAP")</x:f>
        <x:v>PASS</x:v>
      </x:c>
    </x:row>
    <x:row r="823">
      <x:c r="B823" t="str">
        <x:v>PL-0817</x:v>
      </x:c>
      <x:c r="C823" t="str">
        <x:v>PLANNING</x:v>
      </x:c>
      <x:c r="D823" t="str">
        <x:v>fluid truth</x:v>
      </x:c>
      <x:c r="E823" t="str">
        <x:v>fluid truth 8</x:v>
      </x:c>
      <x:c r="F823" t="n">
        <x:f>Controls!$D$41</x:f>
        <x:v>1</x:v>
      </x:c>
      <x:c r="G823" t="n">
        <x:v>1</x:v>
      </x:c>
      <x:c r="H823" t="str">
        <x:v>RAW design authority</x:v>
      </x:c>
      <x:c r="I823" t="str">
        <x:f>IF(F823=1,"PASS","GAP")</x:f>
        <x:v>PASS</x:v>
      </x:c>
    </x:row>
    <x:row r="824">
      <x:c r="B824" t="str">
        <x:v>PL-0818</x:v>
      </x:c>
      <x:c r="C824" t="str">
        <x:v>PLANNING</x:v>
      </x:c>
      <x:c r="D824" t="str">
        <x:v>fluid truth</x:v>
      </x:c>
      <x:c r="E824" t="str">
        <x:v>fluid truth 9</x:v>
      </x:c>
      <x:c r="F824" t="n">
        <x:f>Controls!$D$41</x:f>
        <x:v>1</x:v>
      </x:c>
      <x:c r="G824" t="n">
        <x:v>1</x:v>
      </x:c>
      <x:c r="H824" t="str">
        <x:v>RAW design authority</x:v>
      </x:c>
      <x:c r="I824" t="str">
        <x:f>IF(F824=1,"PASS","GAP")</x:f>
        <x:v>PASS</x:v>
      </x:c>
    </x:row>
    <x:row r="825">
      <x:c r="B825" t="str">
        <x:v>PL-0819</x:v>
      </x:c>
      <x:c r="C825" t="str">
        <x:v>PLANNING</x:v>
      </x:c>
      <x:c r="D825" t="str">
        <x:v>fluid truth</x:v>
      </x:c>
      <x:c r="E825" t="str">
        <x:v>fluid truth 10</x:v>
      </x:c>
      <x:c r="F825" t="n">
        <x:f>Controls!$D$41</x:f>
        <x:v>1</x:v>
      </x:c>
      <x:c r="G825" t="n">
        <x:v>1</x:v>
      </x:c>
      <x:c r="H825" t="str">
        <x:v>RAW design authority</x:v>
      </x:c>
      <x:c r="I825" t="str">
        <x:f>IF(F825=1,"PASS","GAP")</x:f>
        <x:v>PASS</x:v>
      </x:c>
    </x:row>
    <x:row r="826">
      <x:c r="B826" t="str">
        <x:v>PL-0820</x:v>
      </x:c>
      <x:c r="C826" t="str">
        <x:v>PLANNING</x:v>
      </x:c>
      <x:c r="D826" t="str">
        <x:v>fluid truth</x:v>
      </x:c>
      <x:c r="E826" t="str">
        <x:v>fluid truth 11</x:v>
      </x:c>
      <x:c r="F826" t="n">
        <x:f>Controls!$D$41</x:f>
        <x:v>1</x:v>
      </x:c>
      <x:c r="G826" t="n">
        <x:v>1</x:v>
      </x:c>
      <x:c r="H826" t="str">
        <x:v>RAW design authority</x:v>
      </x:c>
      <x:c r="I826" t="str">
        <x:f>IF(F826=1,"PASS","GAP")</x:f>
        <x:v>PASS</x:v>
      </x:c>
    </x:row>
    <x:row r="827">
      <x:c r="B827" t="str">
        <x:v>PL-0821</x:v>
      </x:c>
      <x:c r="C827" t="str">
        <x:v>PLANNING</x:v>
      </x:c>
      <x:c r="D827" t="str">
        <x:v>fluid truth</x:v>
      </x:c>
      <x:c r="E827" t="str">
        <x:v>fluid truth 12</x:v>
      </x:c>
      <x:c r="F827" t="n">
        <x:f>Controls!$D$41</x:f>
        <x:v>1</x:v>
      </x:c>
      <x:c r="G827" t="n">
        <x:v>1</x:v>
      </x:c>
      <x:c r="H827" t="str">
        <x:v>RAW design authority</x:v>
      </x:c>
      <x:c r="I827" t="str">
        <x:f>IF(F827=1,"PASS","GAP")</x:f>
        <x:v>PASS</x:v>
      </x:c>
    </x:row>
    <x:row r="828">
      <x:c r="B828" t="str">
        <x:v>PL-0822</x:v>
      </x:c>
      <x:c r="C828" t="str">
        <x:v>PLANNING</x:v>
      </x:c>
      <x:c r="D828" t="str">
        <x:v>fluid truth</x:v>
      </x:c>
      <x:c r="E828" t="str">
        <x:v>fluid truth 13</x:v>
      </x:c>
      <x:c r="F828" t="n">
        <x:f>Controls!$D$41</x:f>
        <x:v>1</x:v>
      </x:c>
      <x:c r="G828" t="n">
        <x:v>1</x:v>
      </x:c>
      <x:c r="H828" t="str">
        <x:v>RAW design authority</x:v>
      </x:c>
      <x:c r="I828" t="str">
        <x:f>IF(F828=1,"PASS","GAP")</x:f>
        <x:v>PASS</x:v>
      </x:c>
    </x:row>
    <x:row r="829">
      <x:c r="B829" t="str">
        <x:v>PL-0823</x:v>
      </x:c>
      <x:c r="C829" t="str">
        <x:v>PLANNING</x:v>
      </x:c>
      <x:c r="D829" t="str">
        <x:v>fluid truth</x:v>
      </x:c>
      <x:c r="E829" t="str">
        <x:v>fluid truth 14</x:v>
      </x:c>
      <x:c r="F829" t="n">
        <x:f>Controls!$D$41</x:f>
        <x:v>1</x:v>
      </x:c>
      <x:c r="G829" t="n">
        <x:v>1</x:v>
      </x:c>
      <x:c r="H829" t="str">
        <x:v>RAW design authority</x:v>
      </x:c>
      <x:c r="I829" t="str">
        <x:f>IF(F829=1,"PASS","GAP")</x:f>
        <x:v>PASS</x:v>
      </x:c>
    </x:row>
    <x:row r="830">
      <x:c r="B830" t="str">
        <x:v>PL-0824</x:v>
      </x:c>
      <x:c r="C830" t="str">
        <x:v>PLANNING</x:v>
      </x:c>
      <x:c r="D830" t="str">
        <x:v>fluid truth</x:v>
      </x:c>
      <x:c r="E830" t="str">
        <x:v>fluid truth 15</x:v>
      </x:c>
      <x:c r="F830" t="n">
        <x:f>Controls!$D$41</x:f>
        <x:v>1</x:v>
      </x:c>
      <x:c r="G830" t="n">
        <x:v>1</x:v>
      </x:c>
      <x:c r="H830" t="str">
        <x:v>RAW design authority</x:v>
      </x:c>
      <x:c r="I830" t="str">
        <x:f>IF(F830=1,"PASS","GAP")</x:f>
        <x:v>PASS</x:v>
      </x:c>
    </x:row>
    <x:row r="831">
      <x:c r="B831" t="str">
        <x:v>PL-0825</x:v>
      </x:c>
      <x:c r="C831" t="str">
        <x:v>PLANNING</x:v>
      </x:c>
      <x:c r="D831" t="str">
        <x:v>fluid truth</x:v>
      </x:c>
      <x:c r="E831" t="str">
        <x:v>fluid truth 16</x:v>
      </x:c>
      <x:c r="F831" t="n">
        <x:f>Controls!$D$41</x:f>
        <x:v>1</x:v>
      </x:c>
      <x:c r="G831" t="n">
        <x:v>1</x:v>
      </x:c>
      <x:c r="H831" t="str">
        <x:v>RAW design authority</x:v>
      </x:c>
      <x:c r="I831" t="str">
        <x:f>IF(F831=1,"PASS","GAP")</x:f>
        <x:v>PASS</x:v>
      </x:c>
    </x:row>
    <x:row r="832">
      <x:c r="B832" t="str">
        <x:v>PL-0826</x:v>
      </x:c>
      <x:c r="C832" t="str">
        <x:v>PLANNING</x:v>
      </x:c>
      <x:c r="D832" t="str">
        <x:v>fluid truth</x:v>
      </x:c>
      <x:c r="E832" t="str">
        <x:v>fluid truth 17</x:v>
      </x:c>
      <x:c r="F832" t="n">
        <x:f>Controls!$D$41</x:f>
        <x:v>1</x:v>
      </x:c>
      <x:c r="G832" t="n">
        <x:v>1</x:v>
      </x:c>
      <x:c r="H832" t="str">
        <x:v>RAW design authority</x:v>
      </x:c>
      <x:c r="I832" t="str">
        <x:f>IF(F832=1,"PASS","GAP")</x:f>
        <x:v>PASS</x:v>
      </x:c>
    </x:row>
    <x:row r="833">
      <x:c r="B833" t="str">
        <x:v>PL-0827</x:v>
      </x:c>
      <x:c r="C833" t="str">
        <x:v>PLANNING</x:v>
      </x:c>
      <x:c r="D833" t="str">
        <x:v>fluid truth</x:v>
      </x:c>
      <x:c r="E833" t="str">
        <x:v>fluid truth 18</x:v>
      </x:c>
      <x:c r="F833" t="n">
        <x:f>Controls!$D$41</x:f>
        <x:v>1</x:v>
      </x:c>
      <x:c r="G833" t="n">
        <x:v>1</x:v>
      </x:c>
      <x:c r="H833" t="str">
        <x:v>RAW design authority</x:v>
      </x:c>
      <x:c r="I833" t="str">
        <x:f>IF(F833=1,"PASS","GAP")</x:f>
        <x:v>PASS</x:v>
      </x:c>
    </x:row>
    <x:row r="834">
      <x:c r="B834" t="str">
        <x:v>PL-0828</x:v>
      </x:c>
      <x:c r="C834" t="str">
        <x:v>PLANNING</x:v>
      </x:c>
      <x:c r="D834" t="str">
        <x:v>fluid truth</x:v>
      </x:c>
      <x:c r="E834" t="str">
        <x:v>fluid truth 19</x:v>
      </x:c>
      <x:c r="F834" t="n">
        <x:f>Controls!$D$41</x:f>
        <x:v>1</x:v>
      </x:c>
      <x:c r="G834" t="n">
        <x:v>1</x:v>
      </x:c>
      <x:c r="H834" t="str">
        <x:v>RAW design authority</x:v>
      </x:c>
      <x:c r="I834" t="str">
        <x:f>IF(F834=1,"PASS","GAP")</x:f>
        <x:v>PASS</x:v>
      </x:c>
    </x:row>
    <x:row r="835">
      <x:c r="B835" t="str">
        <x:v>PL-0829</x:v>
      </x:c>
      <x:c r="C835" t="str">
        <x:v>PLANNING</x:v>
      </x:c>
      <x:c r="D835" t="str">
        <x:v>fluid truth</x:v>
      </x:c>
      <x:c r="E835" t="str">
        <x:v>fluid truth 20</x:v>
      </x:c>
      <x:c r="F835" t="n">
        <x:f>Controls!$D$41</x:f>
        <x:v>1</x:v>
      </x:c>
      <x:c r="G835" t="n">
        <x:v>1</x:v>
      </x:c>
      <x:c r="H835" t="str">
        <x:v>RAW design authority</x:v>
      </x:c>
      <x:c r="I835" t="str">
        <x:f>IF(F835=1,"PASS","GAP")</x:f>
        <x:v>PASS</x:v>
      </x:c>
    </x:row>
    <x:row r="836">
      <x:c r="B836" t="str">
        <x:v>PL-0830</x:v>
      </x:c>
      <x:c r="C836" t="str">
        <x:v>PLANNING</x:v>
      </x:c>
      <x:c r="D836" t="str">
        <x:v>fluid truth</x:v>
      </x:c>
      <x:c r="E836" t="str">
        <x:v>fluid truth 21</x:v>
      </x:c>
      <x:c r="F836" t="n">
        <x:f>Controls!$D$41</x:f>
        <x:v>1</x:v>
      </x:c>
      <x:c r="G836" t="n">
        <x:v>1</x:v>
      </x:c>
      <x:c r="H836" t="str">
        <x:v>RAW design authority</x:v>
      </x:c>
      <x:c r="I836" t="str">
        <x:f>IF(F836=1,"PASS","GAP")</x:f>
        <x:v>PASS</x:v>
      </x:c>
    </x:row>
    <x:row r="837">
      <x:c r="B837" t="str">
        <x:v>PL-0831</x:v>
      </x:c>
      <x:c r="C837" t="str">
        <x:v>PLANNING</x:v>
      </x:c>
      <x:c r="D837" t="str">
        <x:v>fluid truth</x:v>
      </x:c>
      <x:c r="E837" t="str">
        <x:v>fluid truth 22</x:v>
      </x:c>
      <x:c r="F837" t="n">
        <x:f>Controls!$D$41</x:f>
        <x:v>1</x:v>
      </x:c>
      <x:c r="G837" t="n">
        <x:v>1</x:v>
      </x:c>
      <x:c r="H837" t="str">
        <x:v>RAW design authority</x:v>
      </x:c>
      <x:c r="I837" t="str">
        <x:f>IF(F837=1,"PASS","GAP")</x:f>
        <x:v>PASS</x:v>
      </x:c>
    </x:row>
    <x:row r="838">
      <x:c r="B838" t="str">
        <x:v>PL-0832</x:v>
      </x:c>
      <x:c r="C838" t="str">
        <x:v>PLANNING</x:v>
      </x:c>
      <x:c r="D838" t="str">
        <x:v>fluid truth</x:v>
      </x:c>
      <x:c r="E838" t="str">
        <x:v>fluid truth 23</x:v>
      </x:c>
      <x:c r="F838" t="n">
        <x:f>Controls!$D$41</x:f>
        <x:v>1</x:v>
      </x:c>
      <x:c r="G838" t="n">
        <x:v>1</x:v>
      </x:c>
      <x:c r="H838" t="str">
        <x:v>RAW design authority</x:v>
      </x:c>
      <x:c r="I838" t="str">
        <x:f>IF(F838=1,"PASS","GAP")</x:f>
        <x:v>PASS</x:v>
      </x:c>
    </x:row>
    <x:row r="839">
      <x:c r="B839" t="str">
        <x:v>PL-0833</x:v>
      </x:c>
      <x:c r="C839" t="str">
        <x:v>PLANNING</x:v>
      </x:c>
      <x:c r="D839" t="str">
        <x:v>fluid truth</x:v>
      </x:c>
      <x:c r="E839" t="str">
        <x:v>fluid truth 24</x:v>
      </x:c>
      <x:c r="F839" t="n">
        <x:f>Controls!$D$41</x:f>
        <x:v>1</x:v>
      </x:c>
      <x:c r="G839" t="n">
        <x:v>1</x:v>
      </x:c>
      <x:c r="H839" t="str">
        <x:v>RAW design authority</x:v>
      </x:c>
      <x:c r="I839" t="str">
        <x:f>IF(F839=1,"PASS","GAP")</x:f>
        <x:v>PASS</x:v>
      </x:c>
    </x:row>
    <x:row r="840">
      <x:c r="B840" t="str">
        <x:v>PL-0834</x:v>
      </x:c>
      <x:c r="C840" t="str">
        <x:v>PLANNING</x:v>
      </x:c>
      <x:c r="D840" t="str">
        <x:v>fluid truth</x:v>
      </x:c>
      <x:c r="E840" t="str">
        <x:v>fluid truth 25</x:v>
      </x:c>
      <x:c r="F840" t="n">
        <x:f>Controls!$D$41</x:f>
        <x:v>1</x:v>
      </x:c>
      <x:c r="G840" t="n">
        <x:v>1</x:v>
      </x:c>
      <x:c r="H840" t="str">
        <x:v>RAW design authority</x:v>
      </x:c>
      <x:c r="I840" t="str">
        <x:f>IF(F840=1,"PASS","GAP")</x:f>
        <x:v>PASS</x:v>
      </x:c>
    </x:row>
    <x:row r="841">
      <x:c r="B841" t="str">
        <x:v>PL-0835</x:v>
      </x:c>
      <x:c r="C841" t="str">
        <x:v>PLANNING</x:v>
      </x:c>
      <x:c r="D841" t="str">
        <x:v>fluid truth</x:v>
      </x:c>
      <x:c r="E841" t="str">
        <x:v>fluid truth 26</x:v>
      </x:c>
      <x:c r="F841" t="n">
        <x:f>Controls!$D$41</x:f>
        <x:v>1</x:v>
      </x:c>
      <x:c r="G841" t="n">
        <x:v>1</x:v>
      </x:c>
      <x:c r="H841" t="str">
        <x:v>RAW design authority</x:v>
      </x:c>
      <x:c r="I841" t="str">
        <x:f>IF(F841=1,"PASS","GAP")</x:f>
        <x:v>PASS</x:v>
      </x:c>
    </x:row>
    <x:row r="842">
      <x:c r="B842" t="str">
        <x:v>PL-0836</x:v>
      </x:c>
      <x:c r="C842" t="str">
        <x:v>PLANNING</x:v>
      </x:c>
      <x:c r="D842" t="str">
        <x:v>fluid truth</x:v>
      </x:c>
      <x:c r="E842" t="str">
        <x:v>fluid truth 27</x:v>
      </x:c>
      <x:c r="F842" t="n">
        <x:f>Controls!$D$41</x:f>
        <x:v>1</x:v>
      </x:c>
      <x:c r="G842" t="n">
        <x:v>1</x:v>
      </x:c>
      <x:c r="H842" t="str">
        <x:v>RAW design authority</x:v>
      </x:c>
      <x:c r="I842" t="str">
        <x:f>IF(F842=1,"PASS","GAP")</x:f>
        <x:v>PASS</x:v>
      </x:c>
    </x:row>
    <x:row r="843">
      <x:c r="B843" t="str">
        <x:v>PL-0837</x:v>
      </x:c>
      <x:c r="C843" t="str">
        <x:v>PLANNING</x:v>
      </x:c>
      <x:c r="D843" t="str">
        <x:v>fluid truth</x:v>
      </x:c>
      <x:c r="E843" t="str">
        <x:v>fluid truth 28</x:v>
      </x:c>
      <x:c r="F843" t="n">
        <x:f>Controls!$D$41</x:f>
        <x:v>1</x:v>
      </x:c>
      <x:c r="G843" t="n">
        <x:v>1</x:v>
      </x:c>
      <x:c r="H843" t="str">
        <x:v>RAW design authority</x:v>
      </x:c>
      <x:c r="I843" t="str">
        <x:f>IF(F843=1,"PASS","GAP")</x:f>
        <x:v>PASS</x:v>
      </x:c>
    </x:row>
    <x:row r="844">
      <x:c r="B844" t="str">
        <x:v>PL-0838</x:v>
      </x:c>
      <x:c r="C844" t="str">
        <x:v>PLANNING</x:v>
      </x:c>
      <x:c r="D844" t="str">
        <x:v>fluid truth</x:v>
      </x:c>
      <x:c r="E844" t="str">
        <x:v>fluid truth 29</x:v>
      </x:c>
      <x:c r="F844" t="n">
        <x:f>Controls!$D$41</x:f>
        <x:v>1</x:v>
      </x:c>
      <x:c r="G844" t="n">
        <x:v>1</x:v>
      </x:c>
      <x:c r="H844" t="str">
        <x:v>RAW design authority</x:v>
      </x:c>
      <x:c r="I844" t="str">
        <x:f>IF(F844=1,"PASS","GAP")</x:f>
        <x:v>PASS</x:v>
      </x:c>
    </x:row>
    <x:row r="845">
      <x:c r="B845" t="str">
        <x:v>PL-0839</x:v>
      </x:c>
      <x:c r="C845" t="str">
        <x:v>PLANNING</x:v>
      </x:c>
      <x:c r="D845" t="str">
        <x:v>fluid truth</x:v>
      </x:c>
      <x:c r="E845" t="str">
        <x:v>fluid truth 30</x:v>
      </x:c>
      <x:c r="F845" t="n">
        <x:f>Controls!$D$41</x:f>
        <x:v>1</x:v>
      </x:c>
      <x:c r="G845" t="n">
        <x:v>1</x:v>
      </x:c>
      <x:c r="H845" t="str">
        <x:v>RAW design authority</x:v>
      </x:c>
      <x:c r="I845" t="str">
        <x:f>IF(F845=1,"PASS","GAP")</x:f>
        <x:v>PASS</x:v>
      </x:c>
    </x:row>
    <x:row r="846">
      <x:c r="B846" t="str">
        <x:v>PL-0840</x:v>
      </x:c>
      <x:c r="C846" t="str">
        <x:v>PLANNING</x:v>
      </x:c>
      <x:c r="D846" t="str">
        <x:v>fluid truth</x:v>
      </x:c>
      <x:c r="E846" t="str">
        <x:v>fluid truth 31</x:v>
      </x:c>
      <x:c r="F846" t="n">
        <x:f>Controls!$D$41</x:f>
        <x:v>1</x:v>
      </x:c>
      <x:c r="G846" t="n">
        <x:v>1</x:v>
      </x:c>
      <x:c r="H846" t="str">
        <x:v>RAW design authority</x:v>
      </x:c>
      <x:c r="I846" t="str">
        <x:f>IF(F846=1,"PASS","GAP")</x:f>
        <x:v>PASS</x:v>
      </x:c>
    </x:row>
    <x:row r="847">
      <x:c r="B847" t="str">
        <x:v>PL-0841</x:v>
      </x:c>
      <x:c r="C847" t="str">
        <x:v>PLANNING</x:v>
      </x:c>
      <x:c r="D847" t="str">
        <x:v>fluid truth</x:v>
      </x:c>
      <x:c r="E847" t="str">
        <x:v>fluid truth 32</x:v>
      </x:c>
      <x:c r="F847" t="n">
        <x:f>Controls!$D$41</x:f>
        <x:v>1</x:v>
      </x:c>
      <x:c r="G847" t="n">
        <x:v>1</x:v>
      </x:c>
      <x:c r="H847" t="str">
        <x:v>RAW design authority</x:v>
      </x:c>
      <x:c r="I847" t="str">
        <x:f>IF(F847=1,"PASS","GAP")</x:f>
        <x:v>PASS</x:v>
      </x:c>
    </x:row>
    <x:row r="848">
      <x:c r="B848" t="str">
        <x:v>PL-0842</x:v>
      </x:c>
      <x:c r="C848" t="str">
        <x:v>PLANNING</x:v>
      </x:c>
      <x:c r="D848" t="str">
        <x:v>fluid truth</x:v>
      </x:c>
      <x:c r="E848" t="str">
        <x:v>fluid truth 33</x:v>
      </x:c>
      <x:c r="F848" t="n">
        <x:f>Controls!$D$41</x:f>
        <x:v>1</x:v>
      </x:c>
      <x:c r="G848" t="n">
        <x:v>1</x:v>
      </x:c>
      <x:c r="H848" t="str">
        <x:v>RAW design authority</x:v>
      </x:c>
      <x:c r="I848" t="str">
        <x:f>IF(F848=1,"PASS","GAP")</x:f>
        <x:v>PASS</x:v>
      </x:c>
    </x:row>
    <x:row r="849">
      <x:c r="B849" t="str">
        <x:v>PL-0843</x:v>
      </x:c>
      <x:c r="C849" t="str">
        <x:v>PLANNING</x:v>
      </x:c>
      <x:c r="D849" t="str">
        <x:v>fluid truth</x:v>
      </x:c>
      <x:c r="E849" t="str">
        <x:v>fluid truth 34</x:v>
      </x:c>
      <x:c r="F849" t="n">
        <x:f>Controls!$D$41</x:f>
        <x:v>1</x:v>
      </x:c>
      <x:c r="G849" t="n">
        <x:v>1</x:v>
      </x:c>
      <x:c r="H849" t="str">
        <x:v>RAW design authority</x:v>
      </x:c>
      <x:c r="I849" t="str">
        <x:f>IF(F849=1,"PASS","GAP")</x:f>
        <x:v>PASS</x:v>
      </x:c>
    </x:row>
    <x:row r="850">
      <x:c r="B850" t="str">
        <x:v>PL-0844</x:v>
      </x:c>
      <x:c r="C850" t="str">
        <x:v>PLANNING</x:v>
      </x:c>
      <x:c r="D850" t="str">
        <x:v>fluid truth</x:v>
      </x:c>
      <x:c r="E850" t="str">
        <x:v>fluid truth 35</x:v>
      </x:c>
      <x:c r="F850" t="n">
        <x:f>Controls!$D$41</x:f>
        <x:v>1</x:v>
      </x:c>
      <x:c r="G850" t="n">
        <x:v>1</x:v>
      </x:c>
      <x:c r="H850" t="str">
        <x:v>RAW design authority</x:v>
      </x:c>
      <x:c r="I850" t="str">
        <x:f>IF(F850=1,"PASS","GAP")</x:f>
        <x:v>PASS</x:v>
      </x:c>
    </x:row>
    <x:row r="851">
      <x:c r="B851" t="str">
        <x:v>PL-0845</x:v>
      </x:c>
      <x:c r="C851" t="str">
        <x:v>PLANNING</x:v>
      </x:c>
      <x:c r="D851" t="str">
        <x:v>fluid truth</x:v>
      </x:c>
      <x:c r="E851" t="str">
        <x:v>fluid truth 36</x:v>
      </x:c>
      <x:c r="F851" t="n">
        <x:f>Controls!$D$41</x:f>
        <x:v>1</x:v>
      </x:c>
      <x:c r="G851" t="n">
        <x:v>1</x:v>
      </x:c>
      <x:c r="H851" t="str">
        <x:v>RAW design authority</x:v>
      </x:c>
      <x:c r="I851" t="str">
        <x:f>IF(F851=1,"PASS","GAP")</x:f>
        <x:v>PASS</x:v>
      </x:c>
    </x:row>
    <x:row r="852">
      <x:c r="B852" t="str">
        <x:v>PL-0846</x:v>
      </x:c>
      <x:c r="C852" t="str">
        <x:v>PLANNING</x:v>
      </x:c>
      <x:c r="D852" t="str">
        <x:v>tracer truth</x:v>
      </x:c>
      <x:c r="E852" t="str">
        <x:v>tracer truth 1</x:v>
      </x:c>
      <x:c r="F852" t="n">
        <x:f>Controls!$D$41</x:f>
        <x:v>1</x:v>
      </x:c>
      <x:c r="G852" t="n">
        <x:v>1</x:v>
      </x:c>
      <x:c r="H852" t="str">
        <x:v>RAW design authority</x:v>
      </x:c>
      <x:c r="I852" t="str">
        <x:f>IF(F852=1,"PASS","GAP")</x:f>
        <x:v>PASS</x:v>
      </x:c>
    </x:row>
    <x:row r="853">
      <x:c r="B853" t="str">
        <x:v>PL-0847</x:v>
      </x:c>
      <x:c r="C853" t="str">
        <x:v>PLANNING</x:v>
      </x:c>
      <x:c r="D853" t="str">
        <x:v>tracer truth</x:v>
      </x:c>
      <x:c r="E853" t="str">
        <x:v>tracer truth 2</x:v>
      </x:c>
      <x:c r="F853" t="n">
        <x:f>Controls!$D$41</x:f>
        <x:v>1</x:v>
      </x:c>
      <x:c r="G853" t="n">
        <x:v>1</x:v>
      </x:c>
      <x:c r="H853" t="str">
        <x:v>RAW design authority</x:v>
      </x:c>
      <x:c r="I853" t="str">
        <x:f>IF(F853=1,"PASS","GAP")</x:f>
        <x:v>PASS</x:v>
      </x:c>
    </x:row>
    <x:row r="854">
      <x:c r="B854" t="str">
        <x:v>PL-0848</x:v>
      </x:c>
      <x:c r="C854" t="str">
        <x:v>PLANNING</x:v>
      </x:c>
      <x:c r="D854" t="str">
        <x:v>tracer truth</x:v>
      </x:c>
      <x:c r="E854" t="str">
        <x:v>tracer truth 3</x:v>
      </x:c>
      <x:c r="F854" t="n">
        <x:f>Controls!$D$41</x:f>
        <x:v>1</x:v>
      </x:c>
      <x:c r="G854" t="n">
        <x:v>1</x:v>
      </x:c>
      <x:c r="H854" t="str">
        <x:v>RAW design authority</x:v>
      </x:c>
      <x:c r="I854" t="str">
        <x:f>IF(F854=1,"PASS","GAP")</x:f>
        <x:v>PASS</x:v>
      </x:c>
    </x:row>
    <x:row r="855">
      <x:c r="B855" t="str">
        <x:v>PL-0849</x:v>
      </x:c>
      <x:c r="C855" t="str">
        <x:v>PLANNING</x:v>
      </x:c>
      <x:c r="D855" t="str">
        <x:v>tracer truth</x:v>
      </x:c>
      <x:c r="E855" t="str">
        <x:v>tracer truth 4</x:v>
      </x:c>
      <x:c r="F855" t="n">
        <x:f>Controls!$D$41</x:f>
        <x:v>1</x:v>
      </x:c>
      <x:c r="G855" t="n">
        <x:v>1</x:v>
      </x:c>
      <x:c r="H855" t="str">
        <x:v>RAW design authority</x:v>
      </x:c>
      <x:c r="I855" t="str">
        <x:f>IF(F855=1,"PASS","GAP")</x:f>
        <x:v>PASS</x:v>
      </x:c>
    </x:row>
    <x:row r="856">
      <x:c r="B856" t="str">
        <x:v>PL-0850</x:v>
      </x:c>
      <x:c r="C856" t="str">
        <x:v>PLANNING</x:v>
      </x:c>
      <x:c r="D856" t="str">
        <x:v>tracer truth</x:v>
      </x:c>
      <x:c r="E856" t="str">
        <x:v>tracer truth 5</x:v>
      </x:c>
      <x:c r="F856" t="n">
        <x:f>Controls!$D$41</x:f>
        <x:v>1</x:v>
      </x:c>
      <x:c r="G856" t="n">
        <x:v>1</x:v>
      </x:c>
      <x:c r="H856" t="str">
        <x:v>RAW design authority</x:v>
      </x:c>
      <x:c r="I856" t="str">
        <x:f>IF(F856=1,"PASS","GAP")</x:f>
        <x:v>PASS</x:v>
      </x:c>
    </x:row>
    <x:row r="857">
      <x:c r="B857" t="str">
        <x:v>PL-0851</x:v>
      </x:c>
      <x:c r="C857" t="str">
        <x:v>PLANNING</x:v>
      </x:c>
      <x:c r="D857" t="str">
        <x:v>tracer truth</x:v>
      </x:c>
      <x:c r="E857" t="str">
        <x:v>tracer truth 6</x:v>
      </x:c>
      <x:c r="F857" t="n">
        <x:f>Controls!$D$41</x:f>
        <x:v>1</x:v>
      </x:c>
      <x:c r="G857" t="n">
        <x:v>1</x:v>
      </x:c>
      <x:c r="H857" t="str">
        <x:v>RAW design authority</x:v>
      </x:c>
      <x:c r="I857" t="str">
        <x:f>IF(F857=1,"PASS","GAP")</x:f>
        <x:v>PASS</x:v>
      </x:c>
    </x:row>
    <x:row r="858">
      <x:c r="B858" t="str">
        <x:v>PL-0852</x:v>
      </x:c>
      <x:c r="C858" t="str">
        <x:v>PLANNING</x:v>
      </x:c>
      <x:c r="D858" t="str">
        <x:v>tracer truth</x:v>
      </x:c>
      <x:c r="E858" t="str">
        <x:v>tracer truth 7</x:v>
      </x:c>
      <x:c r="F858" t="n">
        <x:f>Controls!$D$41</x:f>
        <x:v>1</x:v>
      </x:c>
      <x:c r="G858" t="n">
        <x:v>1</x:v>
      </x:c>
      <x:c r="H858" t="str">
        <x:v>RAW design authority</x:v>
      </x:c>
      <x:c r="I858" t="str">
        <x:f>IF(F858=1,"PASS","GAP")</x:f>
        <x:v>PASS</x:v>
      </x:c>
    </x:row>
    <x:row r="859">
      <x:c r="B859" t="str">
        <x:v>PL-0853</x:v>
      </x:c>
      <x:c r="C859" t="str">
        <x:v>PLANNING</x:v>
      </x:c>
      <x:c r="D859" t="str">
        <x:v>tracer truth</x:v>
      </x:c>
      <x:c r="E859" t="str">
        <x:v>tracer truth 8</x:v>
      </x:c>
      <x:c r="F859" t="n">
        <x:f>Controls!$D$41</x:f>
        <x:v>1</x:v>
      </x:c>
      <x:c r="G859" t="n">
        <x:v>1</x:v>
      </x:c>
      <x:c r="H859" t="str">
        <x:v>RAW design authority</x:v>
      </x:c>
      <x:c r="I859" t="str">
        <x:f>IF(F859=1,"PASS","GAP")</x:f>
        <x:v>PASS</x:v>
      </x:c>
    </x:row>
    <x:row r="860">
      <x:c r="B860" t="str">
        <x:v>PL-0854</x:v>
      </x:c>
      <x:c r="C860" t="str">
        <x:v>PLANNING</x:v>
      </x:c>
      <x:c r="D860" t="str">
        <x:v>tracer truth</x:v>
      </x:c>
      <x:c r="E860" t="str">
        <x:v>tracer truth 9</x:v>
      </x:c>
      <x:c r="F860" t="n">
        <x:f>Controls!$D$41</x:f>
        <x:v>1</x:v>
      </x:c>
      <x:c r="G860" t="n">
        <x:v>1</x:v>
      </x:c>
      <x:c r="H860" t="str">
        <x:v>RAW design authority</x:v>
      </x:c>
      <x:c r="I860" t="str">
        <x:f>IF(F860=1,"PASS","GAP")</x:f>
        <x:v>PASS</x:v>
      </x:c>
    </x:row>
    <x:row r="861">
      <x:c r="B861" t="str">
        <x:v>PL-0855</x:v>
      </x:c>
      <x:c r="C861" t="str">
        <x:v>PLANNING</x:v>
      </x:c>
      <x:c r="D861" t="str">
        <x:v>tracer truth</x:v>
      </x:c>
      <x:c r="E861" t="str">
        <x:v>tracer truth 10</x:v>
      </x:c>
      <x:c r="F861" t="n">
        <x:f>Controls!$D$41</x:f>
        <x:v>1</x:v>
      </x:c>
      <x:c r="G861" t="n">
        <x:v>1</x:v>
      </x:c>
      <x:c r="H861" t="str">
        <x:v>RAW design authority</x:v>
      </x:c>
      <x:c r="I861" t="str">
        <x:f>IF(F861=1,"PASS","GAP")</x:f>
        <x:v>PASS</x:v>
      </x:c>
    </x:row>
    <x:row r="862">
      <x:c r="B862" t="str">
        <x:v>PL-0856</x:v>
      </x:c>
      <x:c r="C862" t="str">
        <x:v>PLANNING</x:v>
      </x:c>
      <x:c r="D862" t="str">
        <x:v>tracer truth</x:v>
      </x:c>
      <x:c r="E862" t="str">
        <x:v>tracer truth 11</x:v>
      </x:c>
      <x:c r="F862" t="n">
        <x:f>Controls!$D$41</x:f>
        <x:v>1</x:v>
      </x:c>
      <x:c r="G862" t="n">
        <x:v>1</x:v>
      </x:c>
      <x:c r="H862" t="str">
        <x:v>RAW design authority</x:v>
      </x:c>
      <x:c r="I862" t="str">
        <x:f>IF(F862=1,"PASS","GAP")</x:f>
        <x:v>PASS</x:v>
      </x:c>
    </x:row>
    <x:row r="863">
      <x:c r="B863" t="str">
        <x:v>PL-0857</x:v>
      </x:c>
      <x:c r="C863" t="str">
        <x:v>PLANNING</x:v>
      </x:c>
      <x:c r="D863" t="str">
        <x:v>tracer truth</x:v>
      </x:c>
      <x:c r="E863" t="str">
        <x:v>tracer truth 12</x:v>
      </x:c>
      <x:c r="F863" t="n">
        <x:f>Controls!$D$41</x:f>
        <x:v>1</x:v>
      </x:c>
      <x:c r="G863" t="n">
        <x:v>1</x:v>
      </x:c>
      <x:c r="H863" t="str">
        <x:v>RAW design authority</x:v>
      </x:c>
      <x:c r="I863" t="str">
        <x:f>IF(F863=1,"PASS","GAP")</x:f>
        <x:v>PASS</x:v>
      </x:c>
    </x:row>
    <x:row r="864">
      <x:c r="B864" t="str">
        <x:v>PL-0858</x:v>
      </x:c>
      <x:c r="C864" t="str">
        <x:v>PLANNING</x:v>
      </x:c>
      <x:c r="D864" t="str">
        <x:v>debris truth</x:v>
      </x:c>
      <x:c r="E864" t="str">
        <x:v>debris truth 1</x:v>
      </x:c>
      <x:c r="F864" t="n">
        <x:f>Controls!$D$41</x:f>
        <x:v>1</x:v>
      </x:c>
      <x:c r="G864" t="n">
        <x:v>1</x:v>
      </x:c>
      <x:c r="H864" t="str">
        <x:v>RAW design authority</x:v>
      </x:c>
      <x:c r="I864" t="str">
        <x:f>IF(F864=1,"PASS","GAP")</x:f>
        <x:v>PASS</x:v>
      </x:c>
    </x:row>
    <x:row r="865">
      <x:c r="B865" t="str">
        <x:v>PL-0859</x:v>
      </x:c>
      <x:c r="C865" t="str">
        <x:v>PLANNING</x:v>
      </x:c>
      <x:c r="D865" t="str">
        <x:v>debris truth</x:v>
      </x:c>
      <x:c r="E865" t="str">
        <x:v>debris truth 2</x:v>
      </x:c>
      <x:c r="F865" t="n">
        <x:f>Controls!$D$41</x:f>
        <x:v>1</x:v>
      </x:c>
      <x:c r="G865" t="n">
        <x:v>1</x:v>
      </x:c>
      <x:c r="H865" t="str">
        <x:v>RAW design authority</x:v>
      </x:c>
      <x:c r="I865" t="str">
        <x:f>IF(F865=1,"PASS","GAP")</x:f>
        <x:v>PASS</x:v>
      </x:c>
    </x:row>
    <x:row r="866">
      <x:c r="B866" t="str">
        <x:v>PL-0860</x:v>
      </x:c>
      <x:c r="C866" t="str">
        <x:v>PLANNING</x:v>
      </x:c>
      <x:c r="D866" t="str">
        <x:v>debris truth</x:v>
      </x:c>
      <x:c r="E866" t="str">
        <x:v>debris truth 3</x:v>
      </x:c>
      <x:c r="F866" t="n">
        <x:f>Controls!$D$41</x:f>
        <x:v>1</x:v>
      </x:c>
      <x:c r="G866" t="n">
        <x:v>1</x:v>
      </x:c>
      <x:c r="H866" t="str">
        <x:v>RAW design authority</x:v>
      </x:c>
      <x:c r="I866" t="str">
        <x:f>IF(F866=1,"PASS","GAP")</x:f>
        <x:v>PASS</x:v>
      </x:c>
    </x:row>
    <x:row r="867">
      <x:c r="B867" t="str">
        <x:v>PL-0861</x:v>
      </x:c>
      <x:c r="C867" t="str">
        <x:v>PLANNING</x:v>
      </x:c>
      <x:c r="D867" t="str">
        <x:v>debris truth</x:v>
      </x:c>
      <x:c r="E867" t="str">
        <x:v>debris truth 4</x:v>
      </x:c>
      <x:c r="F867" t="n">
        <x:f>Controls!$D$41</x:f>
        <x:v>1</x:v>
      </x:c>
      <x:c r="G867" t="n">
        <x:v>1</x:v>
      </x:c>
      <x:c r="H867" t="str">
        <x:v>RAW design authority</x:v>
      </x:c>
      <x:c r="I867" t="str">
        <x:f>IF(F867=1,"PASS","GAP")</x:f>
        <x:v>PASS</x:v>
      </x:c>
    </x:row>
    <x:row r="868">
      <x:c r="B868" t="str">
        <x:v>PL-0862</x:v>
      </x:c>
      <x:c r="C868" t="str">
        <x:v>PLANNING</x:v>
      </x:c>
      <x:c r="D868" t="str">
        <x:v>debris truth</x:v>
      </x:c>
      <x:c r="E868" t="str">
        <x:v>debris truth 5</x:v>
      </x:c>
      <x:c r="F868" t="n">
        <x:f>Controls!$D$41</x:f>
        <x:v>1</x:v>
      </x:c>
      <x:c r="G868" t="n">
        <x:v>1</x:v>
      </x:c>
      <x:c r="H868" t="str">
        <x:v>RAW design authority</x:v>
      </x:c>
      <x:c r="I868" t="str">
        <x:f>IF(F868=1,"PASS","GAP")</x:f>
        <x:v>PASS</x:v>
      </x:c>
    </x:row>
    <x:row r="869">
      <x:c r="B869" t="str">
        <x:v>PL-0863</x:v>
      </x:c>
      <x:c r="C869" t="str">
        <x:v>PLANNING</x:v>
      </x:c>
      <x:c r="D869" t="str">
        <x:v>debris truth</x:v>
      </x:c>
      <x:c r="E869" t="str">
        <x:v>debris truth 6</x:v>
      </x:c>
      <x:c r="F869" t="n">
        <x:f>Controls!$D$41</x:f>
        <x:v>1</x:v>
      </x:c>
      <x:c r="G869" t="n">
        <x:v>1</x:v>
      </x:c>
      <x:c r="H869" t="str">
        <x:v>RAW design authority</x:v>
      </x:c>
      <x:c r="I869" t="str">
        <x:f>IF(F869=1,"PASS","GAP")</x:f>
        <x:v>PASS</x:v>
      </x:c>
    </x:row>
    <x:row r="870">
      <x:c r="B870" t="str">
        <x:v>PL-0864</x:v>
      </x:c>
      <x:c r="C870" t="str">
        <x:v>PLANNING</x:v>
      </x:c>
      <x:c r="D870" t="str">
        <x:v>debris truth</x:v>
      </x:c>
      <x:c r="E870" t="str">
        <x:v>debris truth 7</x:v>
      </x:c>
      <x:c r="F870" t="n">
        <x:f>Controls!$D$41</x:f>
        <x:v>1</x:v>
      </x:c>
      <x:c r="G870" t="n">
        <x:v>1</x:v>
      </x:c>
      <x:c r="H870" t="str">
        <x:v>RAW design authority</x:v>
      </x:c>
      <x:c r="I870" t="str">
        <x:f>IF(F870=1,"PASS","GAP")</x:f>
        <x:v>PASS</x:v>
      </x:c>
    </x:row>
    <x:row r="871">
      <x:c r="B871" t="str">
        <x:v>PL-0865</x:v>
      </x:c>
      <x:c r="C871" t="str">
        <x:v>PLANNING</x:v>
      </x:c>
      <x:c r="D871" t="str">
        <x:v>debris truth</x:v>
      </x:c>
      <x:c r="E871" t="str">
        <x:v>debris truth 8</x:v>
      </x:c>
      <x:c r="F871" t="n">
        <x:f>Controls!$D$41</x:f>
        <x:v>1</x:v>
      </x:c>
      <x:c r="G871" t="n">
        <x:v>1</x:v>
      </x:c>
      <x:c r="H871" t="str">
        <x:v>RAW design authority</x:v>
      </x:c>
      <x:c r="I871" t="str">
        <x:f>IF(F871=1,"PASS","GAP")</x:f>
        <x:v>PASS</x:v>
      </x:c>
    </x:row>
    <x:row r="872">
      <x:c r="B872" t="str">
        <x:v>PL-0866</x:v>
      </x:c>
      <x:c r="C872" t="str">
        <x:v>PLANNING</x:v>
      </x:c>
      <x:c r="D872" t="str">
        <x:v>debris truth</x:v>
      </x:c>
      <x:c r="E872" t="str">
        <x:v>debris truth 9</x:v>
      </x:c>
      <x:c r="F872" t="n">
        <x:f>Controls!$D$41</x:f>
        <x:v>1</x:v>
      </x:c>
      <x:c r="G872" t="n">
        <x:v>1</x:v>
      </x:c>
      <x:c r="H872" t="str">
        <x:v>RAW design authority</x:v>
      </x:c>
      <x:c r="I872" t="str">
        <x:f>IF(F872=1,"PASS","GAP")</x:f>
        <x:v>PASS</x:v>
      </x:c>
    </x:row>
    <x:row r="873">
      <x:c r="B873" t="str">
        <x:v>PL-0867</x:v>
      </x:c>
      <x:c r="C873" t="str">
        <x:v>PLANNING</x:v>
      </x:c>
      <x:c r="D873" t="str">
        <x:v>debris truth</x:v>
      </x:c>
      <x:c r="E873" t="str">
        <x:v>debris truth 10</x:v>
      </x:c>
      <x:c r="F873" t="n">
        <x:f>Controls!$D$41</x:f>
        <x:v>1</x:v>
      </x:c>
      <x:c r="G873" t="n">
        <x:v>1</x:v>
      </x:c>
      <x:c r="H873" t="str">
        <x:v>RAW design authority</x:v>
      </x:c>
      <x:c r="I873" t="str">
        <x:f>IF(F873=1,"PASS","GAP")</x:f>
        <x:v>PASS</x:v>
      </x:c>
    </x:row>
    <x:row r="874">
      <x:c r="B874" t="str">
        <x:v>PL-0868</x:v>
      </x:c>
      <x:c r="C874" t="str">
        <x:v>PLANNING</x:v>
      </x:c>
      <x:c r="D874" t="str">
        <x:v>debris truth</x:v>
      </x:c>
      <x:c r="E874" t="str">
        <x:v>debris truth 11</x:v>
      </x:c>
      <x:c r="F874" t="n">
        <x:f>Controls!$D$41</x:f>
        <x:v>1</x:v>
      </x:c>
      <x:c r="G874" t="n">
        <x:v>1</x:v>
      </x:c>
      <x:c r="H874" t="str">
        <x:v>RAW design authority</x:v>
      </x:c>
      <x:c r="I874" t="str">
        <x:f>IF(F874=1,"PASS","GAP")</x:f>
        <x:v>PASS</x:v>
      </x:c>
    </x:row>
    <x:row r="875">
      <x:c r="B875" t="str">
        <x:v>PL-0869</x:v>
      </x:c>
      <x:c r="C875" t="str">
        <x:v>PLANNING</x:v>
      </x:c>
      <x:c r="D875" t="str">
        <x:v>debris truth</x:v>
      </x:c>
      <x:c r="E875" t="str">
        <x:v>debris truth 12</x:v>
      </x:c>
      <x:c r="F875" t="n">
        <x:f>Controls!$D$41</x:f>
        <x:v>1</x:v>
      </x:c>
      <x:c r="G875" t="n">
        <x:v>1</x:v>
      </x:c>
      <x:c r="H875" t="str">
        <x:v>RAW design authority</x:v>
      </x:c>
      <x:c r="I875" t="str">
        <x:f>IF(F875=1,"PASS","GAP")</x:f>
        <x:v>PASS</x:v>
      </x:c>
    </x:row>
    <x:row r="876">
      <x:c r="B876" t="str">
        <x:v>PL-0870</x:v>
      </x:c>
      <x:c r="C876" t="str">
        <x:v>PLANNING</x:v>
      </x:c>
      <x:c r="D876" t="str">
        <x:v>uncertainty chain</x:v>
      </x:c>
      <x:c r="E876" t="str">
        <x:v>uncertainty chain 1</x:v>
      </x:c>
      <x:c r="F876" t="n">
        <x:f>Controls!$D$41</x:f>
        <x:v>1</x:v>
      </x:c>
      <x:c r="G876" t="n">
        <x:v>1</x:v>
      </x:c>
      <x:c r="H876" t="str">
        <x:v>RAW design authority</x:v>
      </x:c>
      <x:c r="I876" t="str">
        <x:f>IF(F876=1,"PASS","GAP")</x:f>
        <x:v>PASS</x:v>
      </x:c>
    </x:row>
    <x:row r="877">
      <x:c r="B877" t="str">
        <x:v>PL-0871</x:v>
      </x:c>
      <x:c r="C877" t="str">
        <x:v>PLANNING</x:v>
      </x:c>
      <x:c r="D877" t="str">
        <x:v>uncertainty chain</x:v>
      </x:c>
      <x:c r="E877" t="str">
        <x:v>uncertainty chain 2</x:v>
      </x:c>
      <x:c r="F877" t="n">
        <x:f>Controls!$D$41</x:f>
        <x:v>1</x:v>
      </x:c>
      <x:c r="G877" t="n">
        <x:v>1</x:v>
      </x:c>
      <x:c r="H877" t="str">
        <x:v>RAW design authority</x:v>
      </x:c>
      <x:c r="I877" t="str">
        <x:f>IF(F877=1,"PASS","GAP")</x:f>
        <x:v>PASS</x:v>
      </x:c>
    </x:row>
    <x:row r="878">
      <x:c r="B878" t="str">
        <x:v>PL-0872</x:v>
      </x:c>
      <x:c r="C878" t="str">
        <x:v>PLANNING</x:v>
      </x:c>
      <x:c r="D878" t="str">
        <x:v>uncertainty chain</x:v>
      </x:c>
      <x:c r="E878" t="str">
        <x:v>uncertainty chain 3</x:v>
      </x:c>
      <x:c r="F878" t="n">
        <x:f>Controls!$D$41</x:f>
        <x:v>1</x:v>
      </x:c>
      <x:c r="G878" t="n">
        <x:v>1</x:v>
      </x:c>
      <x:c r="H878" t="str">
        <x:v>RAW design authority</x:v>
      </x:c>
      <x:c r="I878" t="str">
        <x:f>IF(F878=1,"PASS","GAP")</x:f>
        <x:v>PASS</x:v>
      </x:c>
    </x:row>
    <x:row r="879">
      <x:c r="B879" t="str">
        <x:v>PL-0873</x:v>
      </x:c>
      <x:c r="C879" t="str">
        <x:v>PLANNING</x:v>
      </x:c>
      <x:c r="D879" t="str">
        <x:v>uncertainty chain</x:v>
      </x:c>
      <x:c r="E879" t="str">
        <x:v>uncertainty chain 4</x:v>
      </x:c>
      <x:c r="F879" t="n">
        <x:f>Controls!$D$41</x:f>
        <x:v>1</x:v>
      </x:c>
      <x:c r="G879" t="n">
        <x:v>1</x:v>
      </x:c>
      <x:c r="H879" t="str">
        <x:v>RAW design authority</x:v>
      </x:c>
      <x:c r="I879" t="str">
        <x:f>IF(F879=1,"PASS","GAP")</x:f>
        <x:v>PASS</x:v>
      </x:c>
    </x:row>
    <x:row r="880">
      <x:c r="B880" t="str">
        <x:v>PL-0874</x:v>
      </x:c>
      <x:c r="C880" t="str">
        <x:v>PLANNING</x:v>
      </x:c>
      <x:c r="D880" t="str">
        <x:v>uncertainty chain</x:v>
      </x:c>
      <x:c r="E880" t="str">
        <x:v>uncertainty chain 5</x:v>
      </x:c>
      <x:c r="F880" t="n">
        <x:f>Controls!$D$41</x:f>
        <x:v>1</x:v>
      </x:c>
      <x:c r="G880" t="n">
        <x:v>1</x:v>
      </x:c>
      <x:c r="H880" t="str">
        <x:v>RAW design authority</x:v>
      </x:c>
      <x:c r="I880" t="str">
        <x:f>IF(F880=1,"PASS","GAP")</x:f>
        <x:v>PASS</x:v>
      </x:c>
    </x:row>
    <x:row r="881">
      <x:c r="B881" t="str">
        <x:v>PL-0875</x:v>
      </x:c>
      <x:c r="C881" t="str">
        <x:v>PLANNING</x:v>
      </x:c>
      <x:c r="D881" t="str">
        <x:v>uncertainty chain</x:v>
      </x:c>
      <x:c r="E881" t="str">
        <x:v>uncertainty chain 6</x:v>
      </x:c>
      <x:c r="F881" t="n">
        <x:f>Controls!$D$41</x:f>
        <x:v>1</x:v>
      </x:c>
      <x:c r="G881" t="n">
        <x:v>1</x:v>
      </x:c>
      <x:c r="H881" t="str">
        <x:v>RAW design authority</x:v>
      </x:c>
      <x:c r="I881" t="str">
        <x:f>IF(F881=1,"PASS","GAP")</x:f>
        <x:v>PASS</x:v>
      </x:c>
    </x:row>
    <x:row r="882">
      <x:c r="B882" t="str">
        <x:v>PL-0876</x:v>
      </x:c>
      <x:c r="C882" t="str">
        <x:v>PLANNING</x:v>
      </x:c>
      <x:c r="D882" t="str">
        <x:v>uncertainty chain</x:v>
      </x:c>
      <x:c r="E882" t="str">
        <x:v>uncertainty chain 7</x:v>
      </x:c>
      <x:c r="F882" t="n">
        <x:f>Controls!$D$41</x:f>
        <x:v>1</x:v>
      </x:c>
      <x:c r="G882" t="n">
        <x:v>1</x:v>
      </x:c>
      <x:c r="H882" t="str">
        <x:v>RAW design authority</x:v>
      </x:c>
      <x:c r="I882" t="str">
        <x:f>IF(F882=1,"PASS","GAP")</x:f>
        <x:v>PASS</x:v>
      </x:c>
    </x:row>
    <x:row r="883">
      <x:c r="B883" t="str">
        <x:v>PL-0877</x:v>
      </x:c>
      <x:c r="C883" t="str">
        <x:v>PLANNING</x:v>
      </x:c>
      <x:c r="D883" t="str">
        <x:v>uncertainty chain</x:v>
      </x:c>
      <x:c r="E883" t="str">
        <x:v>uncertainty chain 8</x:v>
      </x:c>
      <x:c r="F883" t="n">
        <x:f>Controls!$D$41</x:f>
        <x:v>1</x:v>
      </x:c>
      <x:c r="G883" t="n">
        <x:v>1</x:v>
      </x:c>
      <x:c r="H883" t="str">
        <x:v>RAW design authority</x:v>
      </x:c>
      <x:c r="I883" t="str">
        <x:f>IF(F883=1,"PASS","GAP")</x:f>
        <x:v>PASS</x:v>
      </x:c>
    </x:row>
    <x:row r="884">
      <x:c r="B884" t="str">
        <x:v>PL-0878</x:v>
      </x:c>
      <x:c r="C884" t="str">
        <x:v>PLANNING</x:v>
      </x:c>
      <x:c r="D884" t="str">
        <x:v>uncertainty chain</x:v>
      </x:c>
      <x:c r="E884" t="str">
        <x:v>uncertainty chain 9</x:v>
      </x:c>
      <x:c r="F884" t="n">
        <x:f>Controls!$D$41</x:f>
        <x:v>1</x:v>
      </x:c>
      <x:c r="G884" t="n">
        <x:v>1</x:v>
      </x:c>
      <x:c r="H884" t="str">
        <x:v>RAW design authority</x:v>
      </x:c>
      <x:c r="I884" t="str">
        <x:f>IF(F884=1,"PASS","GAP")</x:f>
        <x:v>PASS</x:v>
      </x:c>
    </x:row>
    <x:row r="885">
      <x:c r="B885" t="str">
        <x:v>PL-0879</x:v>
      </x:c>
      <x:c r="C885" t="str">
        <x:v>PLANNING</x:v>
      </x:c>
      <x:c r="D885" t="str">
        <x:v>uncertainty chain</x:v>
      </x:c>
      <x:c r="E885" t="str">
        <x:v>uncertainty chain 10</x:v>
      </x:c>
      <x:c r="F885" t="n">
        <x:f>Controls!$D$41</x:f>
        <x:v>1</x:v>
      </x:c>
      <x:c r="G885" t="n">
        <x:v>1</x:v>
      </x:c>
      <x:c r="H885" t="str">
        <x:v>RAW design authority</x:v>
      </x:c>
      <x:c r="I885" t="str">
        <x:f>IF(F885=1,"PASS","GAP")</x:f>
        <x:v>PASS</x:v>
      </x:c>
    </x:row>
    <x:row r="886">
      <x:c r="B886" t="str">
        <x:v>PL-0880</x:v>
      </x:c>
      <x:c r="C886" t="str">
        <x:v>PLANNING</x:v>
      </x:c>
      <x:c r="D886" t="str">
        <x:v>uncertainty chain</x:v>
      </x:c>
      <x:c r="E886" t="str">
        <x:v>uncertainty chain 11</x:v>
      </x:c>
      <x:c r="F886" t="n">
        <x:f>Controls!$D$41</x:f>
        <x:v>1</x:v>
      </x:c>
      <x:c r="G886" t="n">
        <x:v>1</x:v>
      </x:c>
      <x:c r="H886" t="str">
        <x:v>RAW design authority</x:v>
      </x:c>
      <x:c r="I886" t="str">
        <x:f>IF(F886=1,"PASS","GAP")</x:f>
        <x:v>PASS</x:v>
      </x:c>
    </x:row>
    <x:row r="887">
      <x:c r="B887" t="str">
        <x:v>PL-0881</x:v>
      </x:c>
      <x:c r="C887" t="str">
        <x:v>PLANNING</x:v>
      </x:c>
      <x:c r="D887" t="str">
        <x:v>uncertainty chain</x:v>
      </x:c>
      <x:c r="E887" t="str">
        <x:v>uncertainty chain 12</x:v>
      </x:c>
      <x:c r="F887" t="n">
        <x:f>Controls!$D$41</x:f>
        <x:v>1</x:v>
      </x:c>
      <x:c r="G887" t="n">
        <x:v>1</x:v>
      </x:c>
      <x:c r="H887" t="str">
        <x:v>RAW design authority</x:v>
      </x:c>
      <x:c r="I887" t="str">
        <x:f>IF(F887=1,"PASS","GAP")</x:f>
        <x:v>PASS</x:v>
      </x:c>
    </x:row>
    <x:row r="888">
      <x:c r="B888" t="str">
        <x:v>PL-0882</x:v>
      </x:c>
      <x:c r="C888" t="str">
        <x:v>PLANNING</x:v>
      </x:c>
      <x:c r="D888" t="str">
        <x:v>uncertainty chain</x:v>
      </x:c>
      <x:c r="E888" t="str">
        <x:v>uncertainty chain 13</x:v>
      </x:c>
      <x:c r="F888" t="n">
        <x:f>Controls!$D$41</x:f>
        <x:v>1</x:v>
      </x:c>
      <x:c r="G888" t="n">
        <x:v>1</x:v>
      </x:c>
      <x:c r="H888" t="str">
        <x:v>RAW design authority</x:v>
      </x:c>
      <x:c r="I888" t="str">
        <x:f>IF(F888=1,"PASS","GAP")</x:f>
        <x:v>PASS</x:v>
      </x:c>
    </x:row>
    <x:row r="889">
      <x:c r="B889" t="str">
        <x:v>PL-0883</x:v>
      </x:c>
      <x:c r="C889" t="str">
        <x:v>PLANNING</x:v>
      </x:c>
      <x:c r="D889" t="str">
        <x:v>uncertainty chain</x:v>
      </x:c>
      <x:c r="E889" t="str">
        <x:v>uncertainty chain 14</x:v>
      </x:c>
      <x:c r="F889" t="n">
        <x:f>Controls!$D$41</x:f>
        <x:v>1</x:v>
      </x:c>
      <x:c r="G889" t="n">
        <x:v>1</x:v>
      </x:c>
      <x:c r="H889" t="str">
        <x:v>RAW design authority</x:v>
      </x:c>
      <x:c r="I889" t="str">
        <x:f>IF(F889=1,"PASS","GAP")</x:f>
        <x:v>PASS</x:v>
      </x:c>
    </x:row>
    <x:row r="890">
      <x:c r="B890" t="str">
        <x:v>PL-0884</x:v>
      </x:c>
      <x:c r="C890" t="str">
        <x:v>PLANNING</x:v>
      </x:c>
      <x:c r="D890" t="str">
        <x:v>uncertainty chain</x:v>
      </x:c>
      <x:c r="E890" t="str">
        <x:v>uncertainty chain 15</x:v>
      </x:c>
      <x:c r="F890" t="n">
        <x:f>Controls!$D$41</x:f>
        <x:v>1</x:v>
      </x:c>
      <x:c r="G890" t="n">
        <x:v>1</x:v>
      </x:c>
      <x:c r="H890" t="str">
        <x:v>RAW design authority</x:v>
      </x:c>
      <x:c r="I890" t="str">
        <x:f>IF(F890=1,"PASS","GAP")</x:f>
        <x:v>PASS</x:v>
      </x:c>
    </x:row>
    <x:row r="891">
      <x:c r="B891" t="str">
        <x:v>PL-0885</x:v>
      </x:c>
      <x:c r="C891" t="str">
        <x:v>PLANNING</x:v>
      </x:c>
      <x:c r="D891" t="str">
        <x:v>uncertainty chain</x:v>
      </x:c>
      <x:c r="E891" t="str">
        <x:v>uncertainty chain 16</x:v>
      </x:c>
      <x:c r="F891" t="n">
        <x:f>Controls!$D$41</x:f>
        <x:v>1</x:v>
      </x:c>
      <x:c r="G891" t="n">
        <x:v>1</x:v>
      </x:c>
      <x:c r="H891" t="str">
        <x:v>RAW design authority</x:v>
      </x:c>
      <x:c r="I891" t="str">
        <x:f>IF(F891=1,"PASS","GAP")</x:f>
        <x:v>PASS</x:v>
      </x:c>
    </x:row>
    <x:row r="892">
      <x:c r="B892" t="str">
        <x:v>PL-0886</x:v>
      </x:c>
      <x:c r="C892" t="str">
        <x:v>PLANNING</x:v>
      </x:c>
      <x:c r="D892" t="str">
        <x:v>uncertainty chain</x:v>
      </x:c>
      <x:c r="E892" t="str">
        <x:v>uncertainty chain 17</x:v>
      </x:c>
      <x:c r="F892" t="n">
        <x:f>Controls!$D$41</x:f>
        <x:v>1</x:v>
      </x:c>
      <x:c r="G892" t="n">
        <x:v>1</x:v>
      </x:c>
      <x:c r="H892" t="str">
        <x:v>RAW design authority</x:v>
      </x:c>
      <x:c r="I892" t="str">
        <x:f>IF(F892=1,"PASS","GAP")</x:f>
        <x:v>PASS</x:v>
      </x:c>
    </x:row>
    <x:row r="893">
      <x:c r="B893" t="str">
        <x:v>PL-0887</x:v>
      </x:c>
      <x:c r="C893" t="str">
        <x:v>PLANNING</x:v>
      </x:c>
      <x:c r="D893" t="str">
        <x:v>uncertainty chain</x:v>
      </x:c>
      <x:c r="E893" t="str">
        <x:v>uncertainty chain 18</x:v>
      </x:c>
      <x:c r="F893" t="n">
        <x:f>Controls!$D$41</x:f>
        <x:v>1</x:v>
      </x:c>
      <x:c r="G893" t="n">
        <x:v>1</x:v>
      </x:c>
      <x:c r="H893" t="str">
        <x:v>RAW design authority</x:v>
      </x:c>
      <x:c r="I893" t="str">
        <x:f>IF(F893=1,"PASS","GAP")</x:f>
        <x:v>PASS</x:v>
      </x:c>
    </x:row>
    <x:row r="894">
      <x:c r="B894" t="str">
        <x:v>PL-0888</x:v>
      </x:c>
      <x:c r="C894" t="str">
        <x:v>PLANNING</x:v>
      </x:c>
      <x:c r="D894" t="str">
        <x:v>uncertainty chain</x:v>
      </x:c>
      <x:c r="E894" t="str">
        <x:v>uncertainty chain 19</x:v>
      </x:c>
      <x:c r="F894" t="n">
        <x:f>Controls!$D$41</x:f>
        <x:v>1</x:v>
      </x:c>
      <x:c r="G894" t="n">
        <x:v>1</x:v>
      </x:c>
      <x:c r="H894" t="str">
        <x:v>RAW design authority</x:v>
      </x:c>
      <x:c r="I894" t="str">
        <x:f>IF(F894=1,"PASS","GAP")</x:f>
        <x:v>PASS</x:v>
      </x:c>
    </x:row>
    <x:row r="895">
      <x:c r="B895" t="str">
        <x:v>PL-0889</x:v>
      </x:c>
      <x:c r="C895" t="str">
        <x:v>PLANNING</x:v>
      </x:c>
      <x:c r="D895" t="str">
        <x:v>uncertainty chain</x:v>
      </x:c>
      <x:c r="E895" t="str">
        <x:v>uncertainty chain 20</x:v>
      </x:c>
      <x:c r="F895" t="n">
        <x:f>Controls!$D$41</x:f>
        <x:v>1</x:v>
      </x:c>
      <x:c r="G895" t="n">
        <x:v>1</x:v>
      </x:c>
      <x:c r="H895" t="str">
        <x:v>RAW design authority</x:v>
      </x:c>
      <x:c r="I895" t="str">
        <x:f>IF(F895=1,"PASS","GAP")</x:f>
        <x:v>PASS</x:v>
      </x:c>
    </x:row>
    <x:row r="896">
      <x:c r="B896" t="str">
        <x:v>PL-0890</x:v>
      </x:c>
      <x:c r="C896" t="str">
        <x:v>PLANNING</x:v>
      </x:c>
      <x:c r="D896" t="str">
        <x:v>uncertainty chain</x:v>
      </x:c>
      <x:c r="E896" t="str">
        <x:v>uncertainty chain 21</x:v>
      </x:c>
      <x:c r="F896" t="n">
        <x:f>Controls!$D$41</x:f>
        <x:v>1</x:v>
      </x:c>
      <x:c r="G896" t="n">
        <x:v>1</x:v>
      </x:c>
      <x:c r="H896" t="str">
        <x:v>RAW design authority</x:v>
      </x:c>
      <x:c r="I896" t="str">
        <x:f>IF(F896=1,"PASS","GAP")</x:f>
        <x:v>PASS</x:v>
      </x:c>
    </x:row>
    <x:row r="897">
      <x:c r="B897" t="str">
        <x:v>PL-0891</x:v>
      </x:c>
      <x:c r="C897" t="str">
        <x:v>PLANNING</x:v>
      </x:c>
      <x:c r="D897" t="str">
        <x:v>uncertainty chain</x:v>
      </x:c>
      <x:c r="E897" t="str">
        <x:v>uncertainty chain 22</x:v>
      </x:c>
      <x:c r="F897" t="n">
        <x:f>Controls!$D$41</x:f>
        <x:v>1</x:v>
      </x:c>
      <x:c r="G897" t="n">
        <x:v>1</x:v>
      </x:c>
      <x:c r="H897" t="str">
        <x:v>RAW design authority</x:v>
      </x:c>
      <x:c r="I897" t="str">
        <x:f>IF(F897=1,"PASS","GAP")</x:f>
        <x:v>PASS</x:v>
      </x:c>
    </x:row>
    <x:row r="898">
      <x:c r="B898" t="str">
        <x:v>PL-0892</x:v>
      </x:c>
      <x:c r="C898" t="str">
        <x:v>PLANNING</x:v>
      </x:c>
      <x:c r="D898" t="str">
        <x:v>uncertainty chain</x:v>
      </x:c>
      <x:c r="E898" t="str">
        <x:v>uncertainty chain 23</x:v>
      </x:c>
      <x:c r="F898" t="n">
        <x:f>Controls!$D$41</x:f>
        <x:v>1</x:v>
      </x:c>
      <x:c r="G898" t="n">
        <x:v>1</x:v>
      </x:c>
      <x:c r="H898" t="str">
        <x:v>RAW design authority</x:v>
      </x:c>
      <x:c r="I898" t="str">
        <x:f>IF(F898=1,"PASS","GAP")</x:f>
        <x:v>PASS</x:v>
      </x:c>
    </x:row>
    <x:row r="899">
      <x:c r="B899" t="str">
        <x:v>PL-0893</x:v>
      </x:c>
      <x:c r="C899" t="str">
        <x:v>PLANNING</x:v>
      </x:c>
      <x:c r="D899" t="str">
        <x:v>uncertainty chain</x:v>
      </x:c>
      <x:c r="E899" t="str">
        <x:v>uncertainty chain 24</x:v>
      </x:c>
      <x:c r="F899" t="n">
        <x:f>Controls!$D$41</x:f>
        <x:v>1</x:v>
      </x:c>
      <x:c r="G899" t="n">
        <x:v>1</x:v>
      </x:c>
      <x:c r="H899" t="str">
        <x:v>RAW design authority</x:v>
      </x:c>
      <x:c r="I899" t="str">
        <x:f>IF(F899=1,"PASS","GAP")</x:f>
        <x:v>PASS</x:v>
      </x:c>
    </x:row>
    <x:row r="900">
      <x:c r="B900" t="str">
        <x:v>PL-0894</x:v>
      </x:c>
      <x:c r="C900" t="str">
        <x:v>PLANNING</x:v>
      </x:c>
      <x:c r="D900" t="str">
        <x:v>uncertainty chain</x:v>
      </x:c>
      <x:c r="E900" t="str">
        <x:v>uncertainty chain 25</x:v>
      </x:c>
      <x:c r="F900" t="n">
        <x:f>Controls!$D$41</x:f>
        <x:v>1</x:v>
      </x:c>
      <x:c r="G900" t="n">
        <x:v>1</x:v>
      </x:c>
      <x:c r="H900" t="str">
        <x:v>RAW design authority</x:v>
      </x:c>
      <x:c r="I900" t="str">
        <x:f>IF(F900=1,"PASS","GAP")</x:f>
        <x:v>PASS</x:v>
      </x:c>
    </x:row>
    <x:row r="901">
      <x:c r="B901" t="str">
        <x:v>PL-0895</x:v>
      </x:c>
      <x:c r="C901" t="str">
        <x:v>PLANNING</x:v>
      </x:c>
      <x:c r="D901" t="str">
        <x:v>uncertainty chain</x:v>
      </x:c>
      <x:c r="E901" t="str">
        <x:v>uncertainty chain 26</x:v>
      </x:c>
      <x:c r="F901" t="n">
        <x:f>Controls!$D$41</x:f>
        <x:v>1</x:v>
      </x:c>
      <x:c r="G901" t="n">
        <x:v>1</x:v>
      </x:c>
      <x:c r="H901" t="str">
        <x:v>RAW design authority</x:v>
      </x:c>
      <x:c r="I901" t="str">
        <x:f>IF(F901=1,"PASS","GAP")</x:f>
        <x:v>PASS</x:v>
      </x:c>
    </x:row>
    <x:row r="902">
      <x:c r="B902" t="str">
        <x:v>PL-0896</x:v>
      </x:c>
      <x:c r="C902" t="str">
        <x:v>PLANNING</x:v>
      </x:c>
      <x:c r="D902" t="str">
        <x:v>uncertainty chain</x:v>
      </x:c>
      <x:c r="E902" t="str">
        <x:v>uncertainty chain 27</x:v>
      </x:c>
      <x:c r="F902" t="n">
        <x:f>Controls!$D$41</x:f>
        <x:v>1</x:v>
      </x:c>
      <x:c r="G902" t="n">
        <x:v>1</x:v>
      </x:c>
      <x:c r="H902" t="str">
        <x:v>RAW design authority</x:v>
      </x:c>
      <x:c r="I902" t="str">
        <x:f>IF(F902=1,"PASS","GAP")</x:f>
        <x:v>PASS</x:v>
      </x:c>
    </x:row>
    <x:row r="903">
      <x:c r="B903" t="str">
        <x:v>PL-0897</x:v>
      </x:c>
      <x:c r="C903" t="str">
        <x:v>PLANNING</x:v>
      </x:c>
      <x:c r="D903" t="str">
        <x:v>uncertainty chain</x:v>
      </x:c>
      <x:c r="E903" t="str">
        <x:v>uncertainty chain 28</x:v>
      </x:c>
      <x:c r="F903" t="n">
        <x:f>Controls!$D$41</x:f>
        <x:v>1</x:v>
      </x:c>
      <x:c r="G903" t="n">
        <x:v>1</x:v>
      </x:c>
      <x:c r="H903" t="str">
        <x:v>RAW design authority</x:v>
      </x:c>
      <x:c r="I903" t="str">
        <x:f>IF(F903=1,"PASS","GAP")</x:f>
        <x:v>PASS</x:v>
      </x:c>
    </x:row>
    <x:row r="904">
      <x:c r="B904" t="str">
        <x:v>PL-0898</x:v>
      </x:c>
      <x:c r="C904" t="str">
        <x:v>PLANNING</x:v>
      </x:c>
      <x:c r="D904" t="str">
        <x:v>uncertainty chain</x:v>
      </x:c>
      <x:c r="E904" t="str">
        <x:v>uncertainty chain 29</x:v>
      </x:c>
      <x:c r="F904" t="n">
        <x:f>Controls!$D$41</x:f>
        <x:v>1</x:v>
      </x:c>
      <x:c r="G904" t="n">
        <x:v>1</x:v>
      </x:c>
      <x:c r="H904" t="str">
        <x:v>RAW design authority</x:v>
      </x:c>
      <x:c r="I904" t="str">
        <x:f>IF(F904=1,"PASS","GAP")</x:f>
        <x:v>PASS</x:v>
      </x:c>
    </x:row>
    <x:row r="905">
      <x:c r="B905" t="str">
        <x:v>PL-0899</x:v>
      </x:c>
      <x:c r="C905" t="str">
        <x:v>PLANNING</x:v>
      </x:c>
      <x:c r="D905" t="str">
        <x:v>uncertainty chain</x:v>
      </x:c>
      <x:c r="E905" t="str">
        <x:v>uncertainty chain 30</x:v>
      </x:c>
      <x:c r="F905" t="n">
        <x:f>Controls!$D$41</x:f>
        <x:v>1</x:v>
      </x:c>
      <x:c r="G905" t="n">
        <x:v>1</x:v>
      </x:c>
      <x:c r="H905" t="str">
        <x:v>RAW design authority</x:v>
      </x:c>
      <x:c r="I905" t="str">
        <x:f>IF(F905=1,"PASS","GAP")</x:f>
        <x:v>PASS</x:v>
      </x:c>
    </x:row>
    <x:row r="906">
      <x:c r="B906" t="str">
        <x:v>PL-0900</x:v>
      </x:c>
      <x:c r="C906" t="str">
        <x:v>PLANNING</x:v>
      </x:c>
      <x:c r="D906" t="str">
        <x:v>acceptance rule</x:v>
      </x:c>
      <x:c r="E906" t="str">
        <x:v>acceptance rule 1</x:v>
      </x:c>
      <x:c r="F906" t="n">
        <x:f>Controls!$D$41</x:f>
        <x:v>1</x:v>
      </x:c>
      <x:c r="G906" t="n">
        <x:v>1</x:v>
      </x:c>
      <x:c r="H906" t="str">
        <x:v>RAW design authority</x:v>
      </x:c>
      <x:c r="I906" t="str">
        <x:f>IF(F906=1,"PASS","GAP")</x:f>
        <x:v>PASS</x:v>
      </x:c>
    </x:row>
    <x:row r="907">
      <x:c r="B907" t="str">
        <x:v>PL-0901</x:v>
      </x:c>
      <x:c r="C907" t="str">
        <x:v>PLANNING</x:v>
      </x:c>
      <x:c r="D907" t="str">
        <x:v>acceptance rule</x:v>
      </x:c>
      <x:c r="E907" t="str">
        <x:v>acceptance rule 2</x:v>
      </x:c>
      <x:c r="F907" t="n">
        <x:f>Controls!$D$41</x:f>
        <x:v>1</x:v>
      </x:c>
      <x:c r="G907" t="n">
        <x:v>1</x:v>
      </x:c>
      <x:c r="H907" t="str">
        <x:v>RAW design authority</x:v>
      </x:c>
      <x:c r="I907" t="str">
        <x:f>IF(F907=1,"PASS","GAP")</x:f>
        <x:v>PASS</x:v>
      </x:c>
    </x:row>
    <x:row r="908">
      <x:c r="B908" t="str">
        <x:v>PL-0902</x:v>
      </x:c>
      <x:c r="C908" t="str">
        <x:v>PLANNING</x:v>
      </x:c>
      <x:c r="D908" t="str">
        <x:v>acceptance rule</x:v>
      </x:c>
      <x:c r="E908" t="str">
        <x:v>acceptance rule 3</x:v>
      </x:c>
      <x:c r="F908" t="n">
        <x:f>Controls!$D$41</x:f>
        <x:v>1</x:v>
      </x:c>
      <x:c r="G908" t="n">
        <x:v>1</x:v>
      </x:c>
      <x:c r="H908" t="str">
        <x:v>RAW design authority</x:v>
      </x:c>
      <x:c r="I908" t="str">
        <x:f>IF(F908=1,"PASS","GAP")</x:f>
        <x:v>PASS</x:v>
      </x:c>
    </x:row>
    <x:row r="909">
      <x:c r="B909" t="str">
        <x:v>PL-0903</x:v>
      </x:c>
      <x:c r="C909" t="str">
        <x:v>PLANNING</x:v>
      </x:c>
      <x:c r="D909" t="str">
        <x:v>acceptance rule</x:v>
      </x:c>
      <x:c r="E909" t="str">
        <x:v>acceptance rule 4</x:v>
      </x:c>
      <x:c r="F909" t="n">
        <x:f>Controls!$D$41</x:f>
        <x:v>1</x:v>
      </x:c>
      <x:c r="G909" t="n">
        <x:v>1</x:v>
      </x:c>
      <x:c r="H909" t="str">
        <x:v>RAW design authority</x:v>
      </x:c>
      <x:c r="I909" t="str">
        <x:f>IF(F909=1,"PASS","GAP")</x:f>
        <x:v>PASS</x:v>
      </x:c>
    </x:row>
    <x:row r="910">
      <x:c r="B910" t="str">
        <x:v>PL-0904</x:v>
      </x:c>
      <x:c r="C910" t="str">
        <x:v>PLANNING</x:v>
      </x:c>
      <x:c r="D910" t="str">
        <x:v>acceptance rule</x:v>
      </x:c>
      <x:c r="E910" t="str">
        <x:v>acceptance rule 5</x:v>
      </x:c>
      <x:c r="F910" t="n">
        <x:f>Controls!$D$41</x:f>
        <x:v>1</x:v>
      </x:c>
      <x:c r="G910" t="n">
        <x:v>1</x:v>
      </x:c>
      <x:c r="H910" t="str">
        <x:v>RAW design authority</x:v>
      </x:c>
      <x:c r="I910" t="str">
        <x:f>IF(F910=1,"PASS","GAP")</x:f>
        <x:v>PASS</x:v>
      </x:c>
    </x:row>
    <x:row r="911">
      <x:c r="B911" t="str">
        <x:v>PL-0905</x:v>
      </x:c>
      <x:c r="C911" t="str">
        <x:v>PLANNING</x:v>
      </x:c>
      <x:c r="D911" t="str">
        <x:v>acceptance rule</x:v>
      </x:c>
      <x:c r="E911" t="str">
        <x:v>acceptance rule 6</x:v>
      </x:c>
      <x:c r="F911" t="n">
        <x:f>Controls!$D$41</x:f>
        <x:v>1</x:v>
      </x:c>
      <x:c r="G911" t="n">
        <x:v>1</x:v>
      </x:c>
      <x:c r="H911" t="str">
        <x:v>RAW design authority</x:v>
      </x:c>
      <x:c r="I911" t="str">
        <x:f>IF(F911=1,"PASS","GAP")</x:f>
        <x:v>PASS</x:v>
      </x:c>
    </x:row>
    <x:row r="912">
      <x:c r="B912" t="str">
        <x:v>PL-0906</x:v>
      </x:c>
      <x:c r="C912" t="str">
        <x:v>PLANNING</x:v>
      </x:c>
      <x:c r="D912" t="str">
        <x:v>acceptance rule</x:v>
      </x:c>
      <x:c r="E912" t="str">
        <x:v>acceptance rule 7</x:v>
      </x:c>
      <x:c r="F912" t="n">
        <x:f>Controls!$D$41</x:f>
        <x:v>1</x:v>
      </x:c>
      <x:c r="G912" t="n">
        <x:v>1</x:v>
      </x:c>
      <x:c r="H912" t="str">
        <x:v>RAW design authority</x:v>
      </x:c>
      <x:c r="I912" t="str">
        <x:f>IF(F912=1,"PASS","GAP")</x:f>
        <x:v>PASS</x:v>
      </x:c>
    </x:row>
    <x:row r="913">
      <x:c r="B913" t="str">
        <x:v>PL-0907</x:v>
      </x:c>
      <x:c r="C913" t="str">
        <x:v>PLANNING</x:v>
      </x:c>
      <x:c r="D913" t="str">
        <x:v>acceptance rule</x:v>
      </x:c>
      <x:c r="E913" t="str">
        <x:v>acceptance rule 8</x:v>
      </x:c>
      <x:c r="F913" t="n">
        <x:f>Controls!$D$41</x:f>
        <x:v>1</x:v>
      </x:c>
      <x:c r="G913" t="n">
        <x:v>1</x:v>
      </x:c>
      <x:c r="H913" t="str">
        <x:v>RAW design authority</x:v>
      </x:c>
      <x:c r="I913" t="str">
        <x:f>IF(F913=1,"PASS","GAP")</x:f>
        <x:v>PASS</x:v>
      </x:c>
    </x:row>
    <x:row r="914">
      <x:c r="B914" t="str">
        <x:v>PL-0908</x:v>
      </x:c>
      <x:c r="C914" t="str">
        <x:v>PLANNING</x:v>
      </x:c>
      <x:c r="D914" t="str">
        <x:v>acceptance rule</x:v>
      </x:c>
      <x:c r="E914" t="str">
        <x:v>acceptance rule 9</x:v>
      </x:c>
      <x:c r="F914" t="n">
        <x:f>Controls!$D$41</x:f>
        <x:v>1</x:v>
      </x:c>
      <x:c r="G914" t="n">
        <x:v>1</x:v>
      </x:c>
      <x:c r="H914" t="str">
        <x:v>RAW design authority</x:v>
      </x:c>
      <x:c r="I914" t="str">
        <x:f>IF(F914=1,"PASS","GAP")</x:f>
        <x:v>PASS</x:v>
      </x:c>
    </x:row>
    <x:row r="915">
      <x:c r="B915" t="str">
        <x:v>PL-0909</x:v>
      </x:c>
      <x:c r="C915" t="str">
        <x:v>PLANNING</x:v>
      </x:c>
      <x:c r="D915" t="str">
        <x:v>acceptance rule</x:v>
      </x:c>
      <x:c r="E915" t="str">
        <x:v>acceptance rule 10</x:v>
      </x:c>
      <x:c r="F915" t="n">
        <x:f>Controls!$D$41</x:f>
        <x:v>1</x:v>
      </x:c>
      <x:c r="G915" t="n">
        <x:v>1</x:v>
      </x:c>
      <x:c r="H915" t="str">
        <x:v>RAW design authority</x:v>
      </x:c>
      <x:c r="I915" t="str">
        <x:f>IF(F915=1,"PASS","GAP")</x:f>
        <x:v>PASS</x:v>
      </x:c>
    </x:row>
    <x:row r="916">
      <x:c r="B916" t="str">
        <x:v>PL-0910</x:v>
      </x:c>
      <x:c r="C916" t="str">
        <x:v>PLANNING</x:v>
      </x:c>
      <x:c r="D916" t="str">
        <x:v>acceptance rule</x:v>
      </x:c>
      <x:c r="E916" t="str">
        <x:v>acceptance rule 11</x:v>
      </x:c>
      <x:c r="F916" t="n">
        <x:f>Controls!$D$41</x:f>
        <x:v>1</x:v>
      </x:c>
      <x:c r="G916" t="n">
        <x:v>1</x:v>
      </x:c>
      <x:c r="H916" t="str">
        <x:v>RAW design authority</x:v>
      </x:c>
      <x:c r="I916" t="str">
        <x:f>IF(F916=1,"PASS","GAP")</x:f>
        <x:v>PASS</x:v>
      </x:c>
    </x:row>
    <x:row r="917">
      <x:c r="B917" t="str">
        <x:v>PL-0911</x:v>
      </x:c>
      <x:c r="C917" t="str">
        <x:v>PLANNING</x:v>
      </x:c>
      <x:c r="D917" t="str">
        <x:v>acceptance rule</x:v>
      </x:c>
      <x:c r="E917" t="str">
        <x:v>acceptance rule 12</x:v>
      </x:c>
      <x:c r="F917" t="n">
        <x:f>Controls!$D$41</x:f>
        <x:v>1</x:v>
      </x:c>
      <x:c r="G917" t="n">
        <x:v>1</x:v>
      </x:c>
      <x:c r="H917" t="str">
        <x:v>RAW design authority</x:v>
      </x:c>
      <x:c r="I917" t="str">
        <x:f>IF(F917=1,"PASS","GAP")</x:f>
        <x:v>PASS</x:v>
      </x:c>
    </x:row>
    <x:row r="918">
      <x:c r="B918" t="str">
        <x:v>PL-0912</x:v>
      </x:c>
      <x:c r="C918" t="str">
        <x:v>PLANNING</x:v>
      </x:c>
      <x:c r="D918" t="str">
        <x:v>acceptance rule</x:v>
      </x:c>
      <x:c r="E918" t="str">
        <x:v>acceptance rule 13</x:v>
      </x:c>
      <x:c r="F918" t="n">
        <x:f>Controls!$D$41</x:f>
        <x:v>1</x:v>
      </x:c>
      <x:c r="G918" t="n">
        <x:v>1</x:v>
      </x:c>
      <x:c r="H918" t="str">
        <x:v>RAW design authority</x:v>
      </x:c>
      <x:c r="I918" t="str">
        <x:f>IF(F918=1,"PASS","GAP")</x:f>
        <x:v>PASS</x:v>
      </x:c>
    </x:row>
    <x:row r="919">
      <x:c r="B919" t="str">
        <x:v>PL-0913</x:v>
      </x:c>
      <x:c r="C919" t="str">
        <x:v>PLANNING</x:v>
      </x:c>
      <x:c r="D919" t="str">
        <x:v>acceptance rule</x:v>
      </x:c>
      <x:c r="E919" t="str">
        <x:v>acceptance rule 14</x:v>
      </x:c>
      <x:c r="F919" t="n">
        <x:f>Controls!$D$41</x:f>
        <x:v>1</x:v>
      </x:c>
      <x:c r="G919" t="n">
        <x:v>1</x:v>
      </x:c>
      <x:c r="H919" t="str">
        <x:v>RAW design authority</x:v>
      </x:c>
      <x:c r="I919" t="str">
        <x:f>IF(F919=1,"PASS","GAP")</x:f>
        <x:v>PASS</x:v>
      </x:c>
    </x:row>
    <x:row r="920">
      <x:c r="B920" t="str">
        <x:v>PL-0914</x:v>
      </x:c>
      <x:c r="C920" t="str">
        <x:v>PLANNING</x:v>
      </x:c>
      <x:c r="D920" t="str">
        <x:v>acceptance rule</x:v>
      </x:c>
      <x:c r="E920" t="str">
        <x:v>acceptance rule 15</x:v>
      </x:c>
      <x:c r="F920" t="n">
        <x:f>Controls!$D$41</x:f>
        <x:v>1</x:v>
      </x:c>
      <x:c r="G920" t="n">
        <x:v>1</x:v>
      </x:c>
      <x:c r="H920" t="str">
        <x:v>RAW design authority</x:v>
      </x:c>
      <x:c r="I920" t="str">
        <x:f>IF(F920=1,"PASS","GAP")</x:f>
        <x:v>PASS</x:v>
      </x:c>
    </x:row>
    <x:row r="921">
      <x:c r="B921" t="str">
        <x:v>PL-0915</x:v>
      </x:c>
      <x:c r="C921" t="str">
        <x:v>PLANNING</x:v>
      </x:c>
      <x:c r="D921" t="str">
        <x:v>trial result</x:v>
      </x:c>
      <x:c r="E921" t="str">
        <x:v>trial result 1</x:v>
      </x:c>
      <x:c r="F921" t="n">
        <x:f>Controls!$D$41</x:f>
        <x:v>1</x:v>
      </x:c>
      <x:c r="G921" t="n">
        <x:v>1</x:v>
      </x:c>
      <x:c r="H921" t="str">
        <x:v>RAW design authority</x:v>
      </x:c>
      <x:c r="I921" t="str">
        <x:f>IF(F921=1,"PASS","GAP")</x:f>
        <x:v>PASS</x:v>
      </x:c>
    </x:row>
    <x:row r="922">
      <x:c r="B922" t="str">
        <x:v>PL-0916</x:v>
      </x:c>
      <x:c r="C922" t="str">
        <x:v>PLANNING</x:v>
      </x:c>
      <x:c r="D922" t="str">
        <x:v>trial result</x:v>
      </x:c>
      <x:c r="E922" t="str">
        <x:v>trial result 2</x:v>
      </x:c>
      <x:c r="F922" t="n">
        <x:f>Controls!$D$41</x:f>
        <x:v>1</x:v>
      </x:c>
      <x:c r="G922" t="n">
        <x:v>1</x:v>
      </x:c>
      <x:c r="H922" t="str">
        <x:v>RAW design authority</x:v>
      </x:c>
      <x:c r="I922" t="str">
        <x:f>IF(F922=1,"PASS","GAP")</x:f>
        <x:v>PASS</x:v>
      </x:c>
    </x:row>
    <x:row r="923">
      <x:c r="B923" t="str">
        <x:v>PL-0917</x:v>
      </x:c>
      <x:c r="C923" t="str">
        <x:v>PLANNING</x:v>
      </x:c>
      <x:c r="D923" t="str">
        <x:v>trial result</x:v>
      </x:c>
      <x:c r="E923" t="str">
        <x:v>trial result 3</x:v>
      </x:c>
      <x:c r="F923" t="n">
        <x:f>Controls!$D$41</x:f>
        <x:v>1</x:v>
      </x:c>
      <x:c r="G923" t="n">
        <x:v>1</x:v>
      </x:c>
      <x:c r="H923" t="str">
        <x:v>RAW design authority</x:v>
      </x:c>
      <x:c r="I923" t="str">
        <x:f>IF(F923=1,"PASS","GAP")</x:f>
        <x:v>PASS</x:v>
      </x:c>
    </x:row>
    <x:row r="924">
      <x:c r="B924" t="str">
        <x:v>PL-0918</x:v>
      </x:c>
      <x:c r="C924" t="str">
        <x:v>PLANNING</x:v>
      </x:c>
      <x:c r="D924" t="str">
        <x:v>trial result</x:v>
      </x:c>
      <x:c r="E924" t="str">
        <x:v>trial result 4</x:v>
      </x:c>
      <x:c r="F924" t="n">
        <x:f>Controls!$D$41</x:f>
        <x:v>1</x:v>
      </x:c>
      <x:c r="G924" t="n">
        <x:v>1</x:v>
      </x:c>
      <x:c r="H924" t="str">
        <x:v>RAW design authority</x:v>
      </x:c>
      <x:c r="I924" t="str">
        <x:f>IF(F924=1,"PASS","GAP")</x:f>
        <x:v>PASS</x:v>
      </x:c>
    </x:row>
    <x:row r="925">
      <x:c r="B925" t="str">
        <x:v>PL-0919</x:v>
      </x:c>
      <x:c r="C925" t="str">
        <x:v>PLANNING</x:v>
      </x:c>
      <x:c r="D925" t="str">
        <x:v>trial result</x:v>
      </x:c>
      <x:c r="E925" t="str">
        <x:v>trial result 5</x:v>
      </x:c>
      <x:c r="F925" t="n">
        <x:f>Controls!$D$41</x:f>
        <x:v>1</x:v>
      </x:c>
      <x:c r="G925" t="n">
        <x:v>1</x:v>
      </x:c>
      <x:c r="H925" t="str">
        <x:v>RAW design authority</x:v>
      </x:c>
      <x:c r="I925" t="str">
        <x:f>IF(F925=1,"PASS","GAP")</x:f>
        <x:v>PASS</x:v>
      </x:c>
    </x:row>
    <x:row r="926">
      <x:c r="B926" t="str">
        <x:v>PL-0920</x:v>
      </x:c>
      <x:c r="C926" t="str">
        <x:v>PLANNING</x:v>
      </x:c>
      <x:c r="D926" t="str">
        <x:v>trial result</x:v>
      </x:c>
      <x:c r="E926" t="str">
        <x:v>trial result 6</x:v>
      </x:c>
      <x:c r="F926" t="n">
        <x:f>Controls!$D$41</x:f>
        <x:v>1</x:v>
      </x:c>
      <x:c r="G926" t="n">
        <x:v>1</x:v>
      </x:c>
      <x:c r="H926" t="str">
        <x:v>RAW design authority</x:v>
      </x:c>
      <x:c r="I926" t="str">
        <x:f>IF(F926=1,"PASS","GAP")</x:f>
        <x:v>PASS</x:v>
      </x:c>
    </x:row>
    <x:row r="927">
      <x:c r="B927" t="str">
        <x:v>PL-0921</x:v>
      </x:c>
      <x:c r="C927" t="str">
        <x:v>PLANNING</x:v>
      </x:c>
      <x:c r="D927" t="str">
        <x:v>trial result</x:v>
      </x:c>
      <x:c r="E927" t="str">
        <x:v>trial result 7</x:v>
      </x:c>
      <x:c r="F927" t="n">
        <x:f>Controls!$D$41</x:f>
        <x:v>1</x:v>
      </x:c>
      <x:c r="G927" t="n">
        <x:v>1</x:v>
      </x:c>
      <x:c r="H927" t="str">
        <x:v>RAW design authority</x:v>
      </x:c>
      <x:c r="I927" t="str">
        <x:f>IF(F927=1,"PASS","GAP")</x:f>
        <x:v>PASS</x:v>
      </x:c>
    </x:row>
    <x:row r="928">
      <x:c r="B928" t="str">
        <x:v>PL-0922</x:v>
      </x:c>
      <x:c r="C928" t="str">
        <x:v>PLANNING</x:v>
      </x:c>
      <x:c r="D928" t="str">
        <x:v>trial result</x:v>
      </x:c>
      <x:c r="E928" t="str">
        <x:v>trial result 8</x:v>
      </x:c>
      <x:c r="F928" t="n">
        <x:f>Controls!$D$41</x:f>
        <x:v>1</x:v>
      </x:c>
      <x:c r="G928" t="n">
        <x:v>1</x:v>
      </x:c>
      <x:c r="H928" t="str">
        <x:v>RAW design authority</x:v>
      </x:c>
      <x:c r="I928" t="str">
        <x:f>IF(F928=1,"PASS","GAP")</x:f>
        <x:v>PASS</x:v>
      </x:c>
    </x:row>
    <x:row r="929">
      <x:c r="B929" t="str">
        <x:v>PL-0923</x:v>
      </x:c>
      <x:c r="C929" t="str">
        <x:v>PLANNING</x:v>
      </x:c>
      <x:c r="D929" t="str">
        <x:v>trial result</x:v>
      </x:c>
      <x:c r="E929" t="str">
        <x:v>trial result 9</x:v>
      </x:c>
      <x:c r="F929" t="n">
        <x:f>Controls!$D$41</x:f>
        <x:v>1</x:v>
      </x:c>
      <x:c r="G929" t="n">
        <x:v>1</x:v>
      </x:c>
      <x:c r="H929" t="str">
        <x:v>RAW design authority</x:v>
      </x:c>
      <x:c r="I929" t="str">
        <x:f>IF(F929=1,"PASS","GAP")</x:f>
        <x:v>PASS</x:v>
      </x:c>
    </x:row>
    <x:row r="930">
      <x:c r="B930" t="str">
        <x:v>PL-0924</x:v>
      </x:c>
      <x:c r="C930" t="str">
        <x:v>PLANNING</x:v>
      </x:c>
      <x:c r="D930" t="str">
        <x:v>trial result</x:v>
      </x:c>
      <x:c r="E930" t="str">
        <x:v>trial result 10</x:v>
      </x:c>
      <x:c r="F930" t="n">
        <x:f>Controls!$D$41</x:f>
        <x:v>1</x:v>
      </x:c>
      <x:c r="G930" t="n">
        <x:v>1</x:v>
      </x:c>
      <x:c r="H930" t="str">
        <x:v>RAW design authority</x:v>
      </x:c>
      <x:c r="I930" t="str">
        <x:f>IF(F930=1,"PASS","GAP")</x:f>
        <x:v>PASS</x:v>
      </x:c>
    </x:row>
    <x:row r="931">
      <x:c r="B931" t="str">
        <x:v>PL-0925</x:v>
      </x:c>
      <x:c r="C931" t="str">
        <x:v>PLANNING</x:v>
      </x:c>
      <x:c r="D931" t="str">
        <x:v>trial result</x:v>
      </x:c>
      <x:c r="E931" t="str">
        <x:v>trial result 11</x:v>
      </x:c>
      <x:c r="F931" t="n">
        <x:f>Controls!$D$41</x:f>
        <x:v>1</x:v>
      </x:c>
      <x:c r="G931" t="n">
        <x:v>1</x:v>
      </x:c>
      <x:c r="H931" t="str">
        <x:v>RAW design authority</x:v>
      </x:c>
      <x:c r="I931" t="str">
        <x:f>IF(F931=1,"PASS","GAP")</x:f>
        <x:v>PASS</x:v>
      </x:c>
    </x:row>
    <x:row r="932">
      <x:c r="B932" t="str">
        <x:v>PL-0926</x:v>
      </x:c>
      <x:c r="C932" t="str">
        <x:v>PLANNING</x:v>
      </x:c>
      <x:c r="D932" t="str">
        <x:v>trial result</x:v>
      </x:c>
      <x:c r="E932" t="str">
        <x:v>trial result 12</x:v>
      </x:c>
      <x:c r="F932" t="n">
        <x:f>Controls!$D$41</x:f>
        <x:v>1</x:v>
      </x:c>
      <x:c r="G932" t="n">
        <x:v>1</x:v>
      </x:c>
      <x:c r="H932" t="str">
        <x:v>RAW design authority</x:v>
      </x:c>
      <x:c r="I932" t="str">
        <x:f>IF(F932=1,"PASS","GAP")</x:f>
        <x:v>PASS</x:v>
      </x:c>
    </x:row>
    <x:row r="933">
      <x:c r="B933" t="str">
        <x:v>PL-0927</x:v>
      </x:c>
      <x:c r="C933" t="str">
        <x:v>PLANNING</x:v>
      </x:c>
      <x:c r="D933" t="str">
        <x:v>trial result</x:v>
      </x:c>
      <x:c r="E933" t="str">
        <x:v>trial result 13</x:v>
      </x:c>
      <x:c r="F933" t="n">
        <x:f>Controls!$D$41</x:f>
        <x:v>1</x:v>
      </x:c>
      <x:c r="G933" t="n">
        <x:v>1</x:v>
      </x:c>
      <x:c r="H933" t="str">
        <x:v>RAW design authority</x:v>
      </x:c>
      <x:c r="I933" t="str">
        <x:f>IF(F933=1,"PASS","GAP")</x:f>
        <x:v>PASS</x:v>
      </x:c>
    </x:row>
    <x:row r="934">
      <x:c r="B934" t="str">
        <x:v>PL-0928</x:v>
      </x:c>
      <x:c r="C934" t="str">
        <x:v>PLANNING</x:v>
      </x:c>
      <x:c r="D934" t="str">
        <x:v>trial result</x:v>
      </x:c>
      <x:c r="E934" t="str">
        <x:v>trial result 14</x:v>
      </x:c>
      <x:c r="F934" t="n">
        <x:f>Controls!$D$41</x:f>
        <x:v>1</x:v>
      </x:c>
      <x:c r="G934" t="n">
        <x:v>1</x:v>
      </x:c>
      <x:c r="H934" t="str">
        <x:v>RAW design authority</x:v>
      </x:c>
      <x:c r="I934" t="str">
        <x:f>IF(F934=1,"PASS","GAP")</x:f>
        <x:v>PASS</x:v>
      </x:c>
    </x:row>
    <x:row r="935">
      <x:c r="B935" t="str">
        <x:v>PL-0929</x:v>
      </x:c>
      <x:c r="C935" t="str">
        <x:v>PLANNING</x:v>
      </x:c>
      <x:c r="D935" t="str">
        <x:v>trial result</x:v>
      </x:c>
      <x:c r="E935" t="str">
        <x:v>trial result 15</x:v>
      </x:c>
      <x:c r="F935" t="n">
        <x:f>Controls!$D$41</x:f>
        <x:v>1</x:v>
      </x:c>
      <x:c r="G935" t="n">
        <x:v>1</x:v>
      </x:c>
      <x:c r="H935" t="str">
        <x:v>RAW design authority</x:v>
      </x:c>
      <x:c r="I935" t="str">
        <x:f>IF(F935=1,"PASS","GAP")</x:f>
        <x:v>PASS</x:v>
      </x:c>
    </x:row>
    <x:row r="936">
      <x:c r="B936" t="str">
        <x:v>PL-0930</x:v>
      </x:c>
      <x:c r="C936" t="str">
        <x:v>PLANNING</x:v>
      </x:c>
      <x:c r="D936" t="str">
        <x:v>trial result</x:v>
      </x:c>
      <x:c r="E936" t="str">
        <x:v>trial result 16</x:v>
      </x:c>
      <x:c r="F936" t="n">
        <x:f>Controls!$D$41</x:f>
        <x:v>1</x:v>
      </x:c>
      <x:c r="G936" t="n">
        <x:v>1</x:v>
      </x:c>
      <x:c r="H936" t="str">
        <x:v>RAW design authority</x:v>
      </x:c>
      <x:c r="I936" t="str">
        <x:f>IF(F936=1,"PASS","GAP")</x:f>
        <x:v>PASS</x:v>
      </x:c>
    </x:row>
    <x:row r="937">
      <x:c r="B937" t="str">
        <x:v>PL-0931</x:v>
      </x:c>
      <x:c r="C937" t="str">
        <x:v>PLANNING</x:v>
      </x:c>
      <x:c r="D937" t="str">
        <x:v>trial result</x:v>
      </x:c>
      <x:c r="E937" t="str">
        <x:v>trial result 17</x:v>
      </x:c>
      <x:c r="F937" t="n">
        <x:f>Controls!$D$41</x:f>
        <x:v>1</x:v>
      </x:c>
      <x:c r="G937" t="n">
        <x:v>1</x:v>
      </x:c>
      <x:c r="H937" t="str">
        <x:v>RAW design authority</x:v>
      </x:c>
      <x:c r="I937" t="str">
        <x:f>IF(F937=1,"PASS","GAP")</x:f>
        <x:v>PASS</x:v>
      </x:c>
    </x:row>
    <x:row r="938">
      <x:c r="B938" t="str">
        <x:v>PL-0932</x:v>
      </x:c>
      <x:c r="C938" t="str">
        <x:v>PLANNING</x:v>
      </x:c>
      <x:c r="D938" t="str">
        <x:v>trial result</x:v>
      </x:c>
      <x:c r="E938" t="str">
        <x:v>trial result 18</x:v>
      </x:c>
      <x:c r="F938" t="n">
        <x:f>Controls!$D$41</x:f>
        <x:v>1</x:v>
      </x:c>
      <x:c r="G938" t="n">
        <x:v>1</x:v>
      </x:c>
      <x:c r="H938" t="str">
        <x:v>RAW design authority</x:v>
      </x:c>
      <x:c r="I938" t="str">
        <x:f>IF(F938=1,"PASS","GAP")</x:f>
        <x:v>PASS</x:v>
      </x:c>
    </x:row>
    <x:row r="939">
      <x:c r="B939" t="str">
        <x:v>PL-0933</x:v>
      </x:c>
      <x:c r="C939" t="str">
        <x:v>PLANNING</x:v>
      </x:c>
      <x:c r="D939" t="str">
        <x:v>trial result</x:v>
      </x:c>
      <x:c r="E939" t="str">
        <x:v>trial result 19</x:v>
      </x:c>
      <x:c r="F939" t="n">
        <x:f>Controls!$D$41</x:f>
        <x:v>1</x:v>
      </x:c>
      <x:c r="G939" t="n">
        <x:v>1</x:v>
      </x:c>
      <x:c r="H939" t="str">
        <x:v>RAW design authority</x:v>
      </x:c>
      <x:c r="I939" t="str">
        <x:f>IF(F939=1,"PASS","GAP")</x:f>
        <x:v>PASS</x:v>
      </x:c>
    </x:row>
    <x:row r="940">
      <x:c r="B940" t="str">
        <x:v>PL-0934</x:v>
      </x:c>
      <x:c r="C940" t="str">
        <x:v>PLANNING</x:v>
      </x:c>
      <x:c r="D940" t="str">
        <x:v>trial result</x:v>
      </x:c>
      <x:c r="E940" t="str">
        <x:v>trial result 20</x:v>
      </x:c>
      <x:c r="F940" t="n">
        <x:f>Controls!$D$41</x:f>
        <x:v>1</x:v>
      </x:c>
      <x:c r="G940" t="n">
        <x:v>1</x:v>
      </x:c>
      <x:c r="H940" t="str">
        <x:v>RAW design authority</x:v>
      </x:c>
      <x:c r="I940" t="str">
        <x:f>IF(F940=1,"PASS","GAP")</x:f>
        <x:v>PASS</x:v>
      </x:c>
    </x:row>
    <x:row r="941">
      <x:c r="B941" t="str">
        <x:v>PL-0935</x:v>
      </x:c>
      <x:c r="C941" t="str">
        <x:v>PLANNING</x:v>
      </x:c>
      <x:c r="D941" t="str">
        <x:v>trial result</x:v>
      </x:c>
      <x:c r="E941" t="str">
        <x:v>trial result 21</x:v>
      </x:c>
      <x:c r="F941" t="n">
        <x:f>Controls!$D$41</x:f>
        <x:v>1</x:v>
      </x:c>
      <x:c r="G941" t="n">
        <x:v>1</x:v>
      </x:c>
      <x:c r="H941" t="str">
        <x:v>RAW design authority</x:v>
      </x:c>
      <x:c r="I941" t="str">
        <x:f>IF(F941=1,"PASS","GAP")</x:f>
        <x:v>PASS</x:v>
      </x:c>
    </x:row>
    <x:row r="942">
      <x:c r="B942" t="str">
        <x:v>PL-0936</x:v>
      </x:c>
      <x:c r="C942" t="str">
        <x:v>PLANNING</x:v>
      </x:c>
      <x:c r="D942" t="str">
        <x:v>trial result</x:v>
      </x:c>
      <x:c r="E942" t="str">
        <x:v>trial result 22</x:v>
      </x:c>
      <x:c r="F942" t="n">
        <x:f>Controls!$D$41</x:f>
        <x:v>1</x:v>
      </x:c>
      <x:c r="G942" t="n">
        <x:v>1</x:v>
      </x:c>
      <x:c r="H942" t="str">
        <x:v>RAW design authority</x:v>
      </x:c>
      <x:c r="I942" t="str">
        <x:f>IF(F942=1,"PASS","GAP")</x:f>
        <x:v>PASS</x:v>
      </x:c>
    </x:row>
    <x:row r="943">
      <x:c r="B943" t="str">
        <x:v>PL-0937</x:v>
      </x:c>
      <x:c r="C943" t="str">
        <x:v>PLANNING</x:v>
      </x:c>
      <x:c r="D943" t="str">
        <x:v>trial result</x:v>
      </x:c>
      <x:c r="E943" t="str">
        <x:v>trial result 23</x:v>
      </x:c>
      <x:c r="F943" t="n">
        <x:f>Controls!$D$41</x:f>
        <x:v>1</x:v>
      </x:c>
      <x:c r="G943" t="n">
        <x:v>1</x:v>
      </x:c>
      <x:c r="H943" t="str">
        <x:v>RAW design authority</x:v>
      </x:c>
      <x:c r="I943" t="str">
        <x:f>IF(F943=1,"PASS","GAP")</x:f>
        <x:v>PASS</x:v>
      </x:c>
    </x:row>
    <x:row r="944">
      <x:c r="B944" t="str">
        <x:v>PL-0938</x:v>
      </x:c>
      <x:c r="C944" t="str">
        <x:v>PLANNING</x:v>
      </x:c>
      <x:c r="D944" t="str">
        <x:v>trial result</x:v>
      </x:c>
      <x:c r="E944" t="str">
        <x:v>trial result 24</x:v>
      </x:c>
      <x:c r="F944" t="n">
        <x:f>Controls!$D$41</x:f>
        <x:v>1</x:v>
      </x:c>
      <x:c r="G944" t="n">
        <x:v>1</x:v>
      </x:c>
      <x:c r="H944" t="str">
        <x:v>RAW design authority</x:v>
      </x:c>
      <x:c r="I944" t="str">
        <x:f>IF(F944=1,"PASS","GAP")</x:f>
        <x:v>PASS</x:v>
      </x:c>
    </x:row>
    <x:row r="945">
      <x:c r="B945" t="str">
        <x:v>PL-0939</x:v>
      </x:c>
      <x:c r="C945" t="str">
        <x:v>PLANNING</x:v>
      </x:c>
      <x:c r="D945" t="str">
        <x:v>trial result</x:v>
      </x:c>
      <x:c r="E945" t="str">
        <x:v>trial result 25</x:v>
      </x:c>
      <x:c r="F945" t="n">
        <x:f>Controls!$D$41</x:f>
        <x:v>1</x:v>
      </x:c>
      <x:c r="G945" t="n">
        <x:v>1</x:v>
      </x:c>
      <x:c r="H945" t="str">
        <x:v>RAW design authority</x:v>
      </x:c>
      <x:c r="I945" t="str">
        <x:f>IF(F945=1,"PASS","GAP")</x:f>
        <x:v>PASS</x:v>
      </x:c>
    </x:row>
    <x:row r="946">
      <x:c r="B946" t="str">
        <x:v>PL-0940</x:v>
      </x:c>
      <x:c r="C946" t="str">
        <x:v>PLANNING</x:v>
      </x:c>
      <x:c r="D946" t="str">
        <x:v>trial result</x:v>
      </x:c>
      <x:c r="E946" t="str">
        <x:v>trial result 26</x:v>
      </x:c>
      <x:c r="F946" t="n">
        <x:f>Controls!$D$41</x:f>
        <x:v>1</x:v>
      </x:c>
      <x:c r="G946" t="n">
        <x:v>1</x:v>
      </x:c>
      <x:c r="H946" t="str">
        <x:v>RAW design authority</x:v>
      </x:c>
      <x:c r="I946" t="str">
        <x:f>IF(F946=1,"PASS","GAP")</x:f>
        <x:v>PASS</x:v>
      </x:c>
    </x:row>
    <x:row r="947">
      <x:c r="B947" t="str">
        <x:v>PL-0941</x:v>
      </x:c>
      <x:c r="C947" t="str">
        <x:v>PLANNING</x:v>
      </x:c>
      <x:c r="D947" t="str">
        <x:v>trial result</x:v>
      </x:c>
      <x:c r="E947" t="str">
        <x:v>trial result 27</x:v>
      </x:c>
      <x:c r="F947" t="n">
        <x:f>Controls!$D$41</x:f>
        <x:v>1</x:v>
      </x:c>
      <x:c r="G947" t="n">
        <x:v>1</x:v>
      </x:c>
      <x:c r="H947" t="str">
        <x:v>RAW design authority</x:v>
      </x:c>
      <x:c r="I947" t="str">
        <x:f>IF(F947=1,"PASS","GAP")</x:f>
        <x:v>PASS</x:v>
      </x:c>
    </x:row>
    <x:row r="948">
      <x:c r="B948" t="str">
        <x:v>PL-0942</x:v>
      </x:c>
      <x:c r="C948" t="str">
        <x:v>PLANNING</x:v>
      </x:c>
      <x:c r="D948" t="str">
        <x:v>trial result</x:v>
      </x:c>
      <x:c r="E948" t="str">
        <x:v>trial result 28</x:v>
      </x:c>
      <x:c r="F948" t="n">
        <x:f>Controls!$D$41</x:f>
        <x:v>1</x:v>
      </x:c>
      <x:c r="G948" t="n">
        <x:v>1</x:v>
      </x:c>
      <x:c r="H948" t="str">
        <x:v>RAW design authority</x:v>
      </x:c>
      <x:c r="I948" t="str">
        <x:f>IF(F948=1,"PASS","GAP")</x:f>
        <x:v>PASS</x:v>
      </x:c>
    </x:row>
    <x:row r="949">
      <x:c r="B949" t="str">
        <x:v>PL-0943</x:v>
      </x:c>
      <x:c r="C949" t="str">
        <x:v>PLANNING</x:v>
      </x:c>
      <x:c r="D949" t="str">
        <x:v>trial result</x:v>
      </x:c>
      <x:c r="E949" t="str">
        <x:v>trial result 29</x:v>
      </x:c>
      <x:c r="F949" t="n">
        <x:f>Controls!$D$41</x:f>
        <x:v>1</x:v>
      </x:c>
      <x:c r="G949" t="n">
        <x:v>1</x:v>
      </x:c>
      <x:c r="H949" t="str">
        <x:v>RAW design authority</x:v>
      </x:c>
      <x:c r="I949" t="str">
        <x:f>IF(F949=1,"PASS","GAP")</x:f>
        <x:v>PASS</x:v>
      </x:c>
    </x:row>
    <x:row r="950">
      <x:c r="B950" t="str">
        <x:v>PL-0944</x:v>
      </x:c>
      <x:c r="C950" t="str">
        <x:v>PLANNING</x:v>
      </x:c>
      <x:c r="D950" t="str">
        <x:v>trial result</x:v>
      </x:c>
      <x:c r="E950" t="str">
        <x:v>trial result 30</x:v>
      </x:c>
      <x:c r="F950" t="n">
        <x:f>Controls!$D$41</x:f>
        <x:v>1</x:v>
      </x:c>
      <x:c r="G950" t="n">
        <x:v>1</x:v>
      </x:c>
      <x:c r="H950" t="str">
        <x:v>RAW design authority</x:v>
      </x:c>
      <x:c r="I950" t="str">
        <x:f>IF(F950=1,"PASS","GAP")</x:f>
        <x:v>PASS</x:v>
      </x:c>
    </x:row>
    <x:row r="951">
      <x:c r="B951" t="str">
        <x:v>PL-0945</x:v>
      </x:c>
      <x:c r="C951" t="str">
        <x:v>PLANNING</x:v>
      </x:c>
      <x:c r="D951" t="str">
        <x:v>trial result</x:v>
      </x:c>
      <x:c r="E951" t="str">
        <x:v>trial result 31</x:v>
      </x:c>
      <x:c r="F951" t="n">
        <x:f>Controls!$D$41</x:f>
        <x:v>1</x:v>
      </x:c>
      <x:c r="G951" t="n">
        <x:v>1</x:v>
      </x:c>
      <x:c r="H951" t="str">
        <x:v>RAW design authority</x:v>
      </x:c>
      <x:c r="I951" t="str">
        <x:f>IF(F951=1,"PASS","GAP")</x:f>
        <x:v>PASS</x:v>
      </x:c>
    </x:row>
    <x:row r="952">
      <x:c r="B952" t="str">
        <x:v>PL-0946</x:v>
      </x:c>
      <x:c r="C952" t="str">
        <x:v>PLANNING</x:v>
      </x:c>
      <x:c r="D952" t="str">
        <x:v>trial result</x:v>
      </x:c>
      <x:c r="E952" t="str">
        <x:v>trial result 32</x:v>
      </x:c>
      <x:c r="F952" t="n">
        <x:f>Controls!$D$41</x:f>
        <x:v>1</x:v>
      </x:c>
      <x:c r="G952" t="n">
        <x:v>1</x:v>
      </x:c>
      <x:c r="H952" t="str">
        <x:v>RAW design authority</x:v>
      </x:c>
      <x:c r="I952" t="str">
        <x:f>IF(F952=1,"PASS","GAP")</x:f>
        <x:v>PASS</x:v>
      </x:c>
    </x:row>
    <x:row r="953">
      <x:c r="B953" t="str">
        <x:v>PL-0947</x:v>
      </x:c>
      <x:c r="C953" t="str">
        <x:v>PLANNING</x:v>
      </x:c>
      <x:c r="D953" t="str">
        <x:v>trial result</x:v>
      </x:c>
      <x:c r="E953" t="str">
        <x:v>trial result 33</x:v>
      </x:c>
      <x:c r="F953" t="n">
        <x:f>Controls!$D$41</x:f>
        <x:v>1</x:v>
      </x:c>
      <x:c r="G953" t="n">
        <x:v>1</x:v>
      </x:c>
      <x:c r="H953" t="str">
        <x:v>RAW design authority</x:v>
      </x:c>
      <x:c r="I953" t="str">
        <x:f>IF(F953=1,"PASS","GAP")</x:f>
        <x:v>PASS</x:v>
      </x:c>
    </x:row>
    <x:row r="954">
      <x:c r="B954" t="str">
        <x:v>PL-0948</x:v>
      </x:c>
      <x:c r="C954" t="str">
        <x:v>PLANNING</x:v>
      </x:c>
      <x:c r="D954" t="str">
        <x:v>trial result</x:v>
      </x:c>
      <x:c r="E954" t="str">
        <x:v>trial result 34</x:v>
      </x:c>
      <x:c r="F954" t="n">
        <x:f>Controls!$D$41</x:f>
        <x:v>1</x:v>
      </x:c>
      <x:c r="G954" t="n">
        <x:v>1</x:v>
      </x:c>
      <x:c r="H954" t="str">
        <x:v>RAW design authority</x:v>
      </x:c>
      <x:c r="I954" t="str">
        <x:f>IF(F954=1,"PASS","GAP")</x:f>
        <x:v>PASS</x:v>
      </x:c>
    </x:row>
    <x:row r="955">
      <x:c r="B955" t="str">
        <x:v>PL-0949</x:v>
      </x:c>
      <x:c r="C955" t="str">
        <x:v>PLANNING</x:v>
      </x:c>
      <x:c r="D955" t="str">
        <x:v>trial result</x:v>
      </x:c>
      <x:c r="E955" t="str">
        <x:v>trial result 35</x:v>
      </x:c>
      <x:c r="F955" t="n">
        <x:f>Controls!$D$41</x:f>
        <x:v>1</x:v>
      </x:c>
      <x:c r="G955" t="n">
        <x:v>1</x:v>
      </x:c>
      <x:c r="H955" t="str">
        <x:v>RAW design authority</x:v>
      </x:c>
      <x:c r="I955" t="str">
        <x:f>IF(F955=1,"PASS","GAP")</x:f>
        <x:v>PASS</x:v>
      </x:c>
    </x:row>
    <x:row r="956">
      <x:c r="B956" t="str">
        <x:v>PL-0950</x:v>
      </x:c>
      <x:c r="C956" t="str">
        <x:v>PLANNING</x:v>
      </x:c>
      <x:c r="D956" t="str">
        <x:v>trial result</x:v>
      </x:c>
      <x:c r="E956" t="str">
        <x:v>trial result 36</x:v>
      </x:c>
      <x:c r="F956" t="n">
        <x:f>Controls!$D$41</x:f>
        <x:v>1</x:v>
      </x:c>
      <x:c r="G956" t="n">
        <x:v>1</x:v>
      </x:c>
      <x:c r="H956" t="str">
        <x:v>RAW design authority</x:v>
      </x:c>
      <x:c r="I956" t="str">
        <x:f>IF(F956=1,"PASS","GAP")</x:f>
        <x:v>PASS</x:v>
      </x:c>
    </x:row>
    <x:row r="957">
      <x:c r="B957" t="str">
        <x:v>PL-0951</x:v>
      </x:c>
      <x:c r="C957" t="str">
        <x:v>PLANNING</x:v>
      </x:c>
      <x:c r="D957" t="str">
        <x:v>trial result</x:v>
      </x:c>
      <x:c r="E957" t="str">
        <x:v>trial result 37</x:v>
      </x:c>
      <x:c r="F957" t="n">
        <x:f>Controls!$D$41</x:f>
        <x:v>1</x:v>
      </x:c>
      <x:c r="G957" t="n">
        <x:v>1</x:v>
      </x:c>
      <x:c r="H957" t="str">
        <x:v>RAW design authority</x:v>
      </x:c>
      <x:c r="I957" t="str">
        <x:f>IF(F957=1,"PASS","GAP")</x:f>
        <x:v>PASS</x:v>
      </x:c>
    </x:row>
    <x:row r="958">
      <x:c r="B958" t="str">
        <x:v>PL-0952</x:v>
      </x:c>
      <x:c r="C958" t="str">
        <x:v>PLANNING</x:v>
      </x:c>
      <x:c r="D958" t="str">
        <x:v>trial result</x:v>
      </x:c>
      <x:c r="E958" t="str">
        <x:v>trial result 38</x:v>
      </x:c>
      <x:c r="F958" t="n">
        <x:f>Controls!$D$41</x:f>
        <x:v>1</x:v>
      </x:c>
      <x:c r="G958" t="n">
        <x:v>1</x:v>
      </x:c>
      <x:c r="H958" t="str">
        <x:v>RAW design authority</x:v>
      </x:c>
      <x:c r="I958" t="str">
        <x:f>IF(F958=1,"PASS","GAP")</x:f>
        <x:v>PASS</x:v>
      </x:c>
    </x:row>
    <x:row r="959">
      <x:c r="B959" t="str">
        <x:v>PL-0953</x:v>
      </x:c>
      <x:c r="C959" t="str">
        <x:v>PLANNING</x:v>
      </x:c>
      <x:c r="D959" t="str">
        <x:v>trial result</x:v>
      </x:c>
      <x:c r="E959" t="str">
        <x:v>trial result 39</x:v>
      </x:c>
      <x:c r="F959" t="n">
        <x:f>Controls!$D$41</x:f>
        <x:v>1</x:v>
      </x:c>
      <x:c r="G959" t="n">
        <x:v>1</x:v>
      </x:c>
      <x:c r="H959" t="str">
        <x:v>RAW design authority</x:v>
      </x:c>
      <x:c r="I959" t="str">
        <x:f>IF(F959=1,"PASS","GAP")</x:f>
        <x:v>PASS</x:v>
      </x:c>
    </x:row>
    <x:row r="960">
      <x:c r="B960" t="str">
        <x:v>PL-0954</x:v>
      </x:c>
      <x:c r="C960" t="str">
        <x:v>PLANNING</x:v>
      </x:c>
      <x:c r="D960" t="str">
        <x:v>trial result</x:v>
      </x:c>
      <x:c r="E960" t="str">
        <x:v>trial result 40</x:v>
      </x:c>
      <x:c r="F960" t="n">
        <x:f>Controls!$D$41</x:f>
        <x:v>1</x:v>
      </x:c>
      <x:c r="G960" t="n">
        <x:v>1</x:v>
      </x:c>
      <x:c r="H960" t="str">
        <x:v>RAW design authority</x:v>
      </x:c>
      <x:c r="I960" t="str">
        <x:f>IF(F960=1,"PASS","GAP")</x:f>
        <x:v>PASS</x:v>
      </x:c>
    </x:row>
    <x:row r="961">
      <x:c r="B961" t="str">
        <x:v>PL-0955</x:v>
      </x:c>
      <x:c r="C961" t="str">
        <x:v>PLANNING</x:v>
      </x:c>
      <x:c r="D961" t="str">
        <x:v>trial result</x:v>
      </x:c>
      <x:c r="E961" t="str">
        <x:v>trial result 41</x:v>
      </x:c>
      <x:c r="F961" t="n">
        <x:f>Controls!$D$41</x:f>
        <x:v>1</x:v>
      </x:c>
      <x:c r="G961" t="n">
        <x:v>1</x:v>
      </x:c>
      <x:c r="H961" t="str">
        <x:v>RAW design authority</x:v>
      </x:c>
      <x:c r="I961" t="str">
        <x:f>IF(F961=1,"PASS","GAP")</x:f>
        <x:v>PASS</x:v>
      </x:c>
    </x:row>
    <x:row r="962">
      <x:c r="B962" t="str">
        <x:v>PL-0956</x:v>
      </x:c>
      <x:c r="C962" t="str">
        <x:v>PLANNING</x:v>
      </x:c>
      <x:c r="D962" t="str">
        <x:v>trial result</x:v>
      </x:c>
      <x:c r="E962" t="str">
        <x:v>trial result 42</x:v>
      </x:c>
      <x:c r="F962" t="n">
        <x:f>Controls!$D$41</x:f>
        <x:v>1</x:v>
      </x:c>
      <x:c r="G962" t="n">
        <x:v>1</x:v>
      </x:c>
      <x:c r="H962" t="str">
        <x:v>RAW design authority</x:v>
      </x:c>
      <x:c r="I962" t="str">
        <x:f>IF(F962=1,"PASS","GAP")</x:f>
        <x:v>PASS</x:v>
      </x:c>
    </x:row>
    <x:row r="963">
      <x:c r="B963" t="str">
        <x:v>PL-0957</x:v>
      </x:c>
      <x:c r="C963" t="str">
        <x:v>PLANNING</x:v>
      </x:c>
      <x:c r="D963" t="str">
        <x:v>trial result</x:v>
      </x:c>
      <x:c r="E963" t="str">
        <x:v>trial result 43</x:v>
      </x:c>
      <x:c r="F963" t="n">
        <x:f>Controls!$D$41</x:f>
        <x:v>1</x:v>
      </x:c>
      <x:c r="G963" t="n">
        <x:v>1</x:v>
      </x:c>
      <x:c r="H963" t="str">
        <x:v>RAW design authority</x:v>
      </x:c>
      <x:c r="I963" t="str">
        <x:f>IF(F963=1,"PASS","GAP")</x:f>
        <x:v>PASS</x:v>
      </x:c>
    </x:row>
    <x:row r="964">
      <x:c r="B964" t="str">
        <x:v>PL-0958</x:v>
      </x:c>
      <x:c r="C964" t="str">
        <x:v>PLANNING</x:v>
      </x:c>
      <x:c r="D964" t="str">
        <x:v>trial result</x:v>
      </x:c>
      <x:c r="E964" t="str">
        <x:v>trial result 44</x:v>
      </x:c>
      <x:c r="F964" t="n">
        <x:f>Controls!$D$41</x:f>
        <x:v>1</x:v>
      </x:c>
      <x:c r="G964" t="n">
        <x:v>1</x:v>
      </x:c>
      <x:c r="H964" t="str">
        <x:v>RAW design authority</x:v>
      </x:c>
      <x:c r="I964" t="str">
        <x:f>IF(F964=1,"PASS","GAP")</x:f>
        <x:v>PASS</x:v>
      </x:c>
    </x:row>
    <x:row r="965">
      <x:c r="B965" t="str">
        <x:v>PL-0959</x:v>
      </x:c>
      <x:c r="C965" t="str">
        <x:v>PLANNING</x:v>
      </x:c>
      <x:c r="D965" t="str">
        <x:v>trial result</x:v>
      </x:c>
      <x:c r="E965" t="str">
        <x:v>trial result 45</x:v>
      </x:c>
      <x:c r="F965" t="n">
        <x:f>Controls!$D$41</x:f>
        <x:v>1</x:v>
      </x:c>
      <x:c r="G965" t="n">
        <x:v>1</x:v>
      </x:c>
      <x:c r="H965" t="str">
        <x:v>RAW design authority</x:v>
      </x:c>
      <x:c r="I965" t="str">
        <x:f>IF(F965=1,"PASS","GAP")</x:f>
        <x:v>PASS</x:v>
      </x:c>
    </x:row>
    <x:row r="966">
      <x:c r="B966" t="str">
        <x:v>PL-0960</x:v>
      </x:c>
      <x:c r="C966" t="str">
        <x:v>PLANNING</x:v>
      </x:c>
      <x:c r="D966" t="str">
        <x:v>trial result</x:v>
      </x:c>
      <x:c r="E966" t="str">
        <x:v>trial result 46</x:v>
      </x:c>
      <x:c r="F966" t="n">
        <x:f>Controls!$D$41</x:f>
        <x:v>1</x:v>
      </x:c>
      <x:c r="G966" t="n">
        <x:v>1</x:v>
      </x:c>
      <x:c r="H966" t="str">
        <x:v>RAW design authority</x:v>
      </x:c>
      <x:c r="I966" t="str">
        <x:f>IF(F966=1,"PASS","GAP")</x:f>
        <x:v>PASS</x:v>
      </x:c>
    </x:row>
    <x:row r="967">
      <x:c r="B967" t="str">
        <x:v>PL-0961</x:v>
      </x:c>
      <x:c r="C967" t="str">
        <x:v>PLANNING</x:v>
      </x:c>
      <x:c r="D967" t="str">
        <x:v>trial result</x:v>
      </x:c>
      <x:c r="E967" t="str">
        <x:v>trial result 47</x:v>
      </x:c>
      <x:c r="F967" t="n">
        <x:f>Controls!$D$41</x:f>
        <x:v>1</x:v>
      </x:c>
      <x:c r="G967" t="n">
        <x:v>1</x:v>
      </x:c>
      <x:c r="H967" t="str">
        <x:v>RAW design authority</x:v>
      </x:c>
      <x:c r="I967" t="str">
        <x:f>IF(F967=1,"PASS","GAP")</x:f>
        <x:v>PASS</x:v>
      </x:c>
    </x:row>
    <x:row r="968">
      <x:c r="B968" t="str">
        <x:v>PL-0962</x:v>
      </x:c>
      <x:c r="C968" t="str">
        <x:v>PLANNING</x:v>
      </x:c>
      <x:c r="D968" t="str">
        <x:v>trial result</x:v>
      </x:c>
      <x:c r="E968" t="str">
        <x:v>trial result 48</x:v>
      </x:c>
      <x:c r="F968" t="n">
        <x:f>Controls!$D$41</x:f>
        <x:v>1</x:v>
      </x:c>
      <x:c r="G968" t="n">
        <x:v>1</x:v>
      </x:c>
      <x:c r="H968" t="str">
        <x:v>RAW design authority</x:v>
      </x:c>
      <x:c r="I968" t="str">
        <x:f>IF(F968=1,"PASS","GAP")</x:f>
        <x:v>PASS</x:v>
      </x:c>
    </x:row>
    <x:row r="969">
      <x:c r="B969" t="str">
        <x:v>PL-0963</x:v>
      </x:c>
      <x:c r="C969" t="str">
        <x:v>PLANNING</x:v>
      </x:c>
      <x:c r="D969" t="str">
        <x:v>trial result</x:v>
      </x:c>
      <x:c r="E969" t="str">
        <x:v>trial result 49</x:v>
      </x:c>
      <x:c r="F969" t="n">
        <x:f>Controls!$D$41</x:f>
        <x:v>1</x:v>
      </x:c>
      <x:c r="G969" t="n">
        <x:v>1</x:v>
      </x:c>
      <x:c r="H969" t="str">
        <x:v>RAW design authority</x:v>
      </x:c>
      <x:c r="I969" t="str">
        <x:f>IF(F969=1,"PASS","GAP")</x:f>
        <x:v>PASS</x:v>
      </x:c>
    </x:row>
    <x:row r="970">
      <x:c r="B970" t="str">
        <x:v>PL-0964</x:v>
      </x:c>
      <x:c r="C970" t="str">
        <x:v>PLANNING</x:v>
      </x:c>
      <x:c r="D970" t="str">
        <x:v>trial result</x:v>
      </x:c>
      <x:c r="E970" t="str">
        <x:v>trial result 50</x:v>
      </x:c>
      <x:c r="F970" t="n">
        <x:f>Controls!$D$41</x:f>
        <x:v>1</x:v>
      </x:c>
      <x:c r="G970" t="n">
        <x:v>1</x:v>
      </x:c>
      <x:c r="H970" t="str">
        <x:v>RAW design authority</x:v>
      </x:c>
      <x:c r="I970" t="str">
        <x:f>IF(F970=1,"PASS","GAP")</x:f>
        <x:v>PASS</x:v>
      </x:c>
    </x:row>
    <x:row r="971">
      <x:c r="B971" t="str">
        <x:v>PL-0965</x:v>
      </x:c>
      <x:c r="C971" t="str">
        <x:v>PLANNING</x:v>
      </x:c>
      <x:c r="D971" t="str">
        <x:v>trial result</x:v>
      </x:c>
      <x:c r="E971" t="str">
        <x:v>trial result 51</x:v>
      </x:c>
      <x:c r="F971" t="n">
        <x:f>Controls!$D$41</x:f>
        <x:v>1</x:v>
      </x:c>
      <x:c r="G971" t="n">
        <x:v>1</x:v>
      </x:c>
      <x:c r="H971" t="str">
        <x:v>RAW design authority</x:v>
      </x:c>
      <x:c r="I971" t="str">
        <x:f>IF(F971=1,"PASS","GAP")</x:f>
        <x:v>PASS</x:v>
      </x:c>
    </x:row>
    <x:row r="972">
      <x:c r="B972" t="str">
        <x:v>PL-0966</x:v>
      </x:c>
      <x:c r="C972" t="str">
        <x:v>PLANNING</x:v>
      </x:c>
      <x:c r="D972" t="str">
        <x:v>trial result</x:v>
      </x:c>
      <x:c r="E972" t="str">
        <x:v>trial result 52</x:v>
      </x:c>
      <x:c r="F972" t="n">
        <x:f>Controls!$D$41</x:f>
        <x:v>1</x:v>
      </x:c>
      <x:c r="G972" t="n">
        <x:v>1</x:v>
      </x:c>
      <x:c r="H972" t="str">
        <x:v>RAW design authority</x:v>
      </x:c>
      <x:c r="I972" t="str">
        <x:f>IF(F972=1,"PASS","GAP")</x:f>
        <x:v>PASS</x:v>
      </x:c>
    </x:row>
    <x:row r="973">
      <x:c r="B973" t="str">
        <x:v>PL-0967</x:v>
      </x:c>
      <x:c r="C973" t="str">
        <x:v>PLANNING</x:v>
      </x:c>
      <x:c r="D973" t="str">
        <x:v>trial result</x:v>
      </x:c>
      <x:c r="E973" t="str">
        <x:v>trial result 53</x:v>
      </x:c>
      <x:c r="F973" t="n">
        <x:f>Controls!$D$41</x:f>
        <x:v>1</x:v>
      </x:c>
      <x:c r="G973" t="n">
        <x:v>1</x:v>
      </x:c>
      <x:c r="H973" t="str">
        <x:v>RAW design authority</x:v>
      </x:c>
      <x:c r="I973" t="str">
        <x:f>IF(F973=1,"PASS","GAP")</x:f>
        <x:v>PASS</x:v>
      </x:c>
    </x:row>
    <x:row r="974">
      <x:c r="B974" t="str">
        <x:v>PL-0968</x:v>
      </x:c>
      <x:c r="C974" t="str">
        <x:v>PLANNING</x:v>
      </x:c>
      <x:c r="D974" t="str">
        <x:v>trial result</x:v>
      </x:c>
      <x:c r="E974" t="str">
        <x:v>trial result 54</x:v>
      </x:c>
      <x:c r="F974" t="n">
        <x:f>Controls!$D$41</x:f>
        <x:v>1</x:v>
      </x:c>
      <x:c r="G974" t="n">
        <x:v>1</x:v>
      </x:c>
      <x:c r="H974" t="str">
        <x:v>RAW design authority</x:v>
      </x:c>
      <x:c r="I974" t="str">
        <x:f>IF(F974=1,"PASS","GAP")</x:f>
        <x:v>PASS</x:v>
      </x:c>
    </x:row>
    <x:row r="975">
      <x:c r="B975" t="str">
        <x:v>PL-0969</x:v>
      </x:c>
      <x:c r="C975" t="str">
        <x:v>PLANNING</x:v>
      </x:c>
      <x:c r="D975" t="str">
        <x:v>trial result</x:v>
      </x:c>
      <x:c r="E975" t="str">
        <x:v>trial result 55</x:v>
      </x:c>
      <x:c r="F975" t="n">
        <x:f>Controls!$D$41</x:f>
        <x:v>1</x:v>
      </x:c>
      <x:c r="G975" t="n">
        <x:v>1</x:v>
      </x:c>
      <x:c r="H975" t="str">
        <x:v>RAW design authority</x:v>
      </x:c>
      <x:c r="I975" t="str">
        <x:f>IF(F975=1,"PASS","GAP")</x:f>
        <x:v>PASS</x:v>
      </x:c>
    </x:row>
    <x:row r="976">
      <x:c r="B976" t="str">
        <x:v>PL-0970</x:v>
      </x:c>
      <x:c r="C976" t="str">
        <x:v>PLANNING</x:v>
      </x:c>
      <x:c r="D976" t="str">
        <x:v>trial result</x:v>
      </x:c>
      <x:c r="E976" t="str">
        <x:v>trial result 56</x:v>
      </x:c>
      <x:c r="F976" t="n">
        <x:f>Controls!$D$41</x:f>
        <x:v>1</x:v>
      </x:c>
      <x:c r="G976" t="n">
        <x:v>1</x:v>
      </x:c>
      <x:c r="H976" t="str">
        <x:v>RAW design authority</x:v>
      </x:c>
      <x:c r="I976" t="str">
        <x:f>IF(F976=1,"PASS","GAP")</x:f>
        <x:v>PASS</x:v>
      </x:c>
    </x:row>
    <x:row r="977">
      <x:c r="B977" t="str">
        <x:v>PL-0971</x:v>
      </x:c>
      <x:c r="C977" t="str">
        <x:v>PLANNING</x:v>
      </x:c>
      <x:c r="D977" t="str">
        <x:v>trial result</x:v>
      </x:c>
      <x:c r="E977" t="str">
        <x:v>trial result 57</x:v>
      </x:c>
      <x:c r="F977" t="n">
        <x:f>Controls!$D$41</x:f>
        <x:v>1</x:v>
      </x:c>
      <x:c r="G977" t="n">
        <x:v>1</x:v>
      </x:c>
      <x:c r="H977" t="str">
        <x:v>RAW design authority</x:v>
      </x:c>
      <x:c r="I977" t="str">
        <x:f>IF(F977=1,"PASS","GAP")</x:f>
        <x:v>PASS</x:v>
      </x:c>
    </x:row>
    <x:row r="978">
      <x:c r="B978" t="str">
        <x:v>PL-0972</x:v>
      </x:c>
      <x:c r="C978" t="str">
        <x:v>PLANNING</x:v>
      </x:c>
      <x:c r="D978" t="str">
        <x:v>trial result</x:v>
      </x:c>
      <x:c r="E978" t="str">
        <x:v>trial result 58</x:v>
      </x:c>
      <x:c r="F978" t="n">
        <x:f>Controls!$D$41</x:f>
        <x:v>1</x:v>
      </x:c>
      <x:c r="G978" t="n">
        <x:v>1</x:v>
      </x:c>
      <x:c r="H978" t="str">
        <x:v>RAW design authority</x:v>
      </x:c>
      <x:c r="I978" t="str">
        <x:f>IF(F978=1,"PASS","GAP")</x:f>
        <x:v>PASS</x:v>
      </x:c>
    </x:row>
    <x:row r="979">
      <x:c r="B979" t="str">
        <x:v>PL-0973</x:v>
      </x:c>
      <x:c r="C979" t="str">
        <x:v>PLANNING</x:v>
      </x:c>
      <x:c r="D979" t="str">
        <x:v>trial result</x:v>
      </x:c>
      <x:c r="E979" t="str">
        <x:v>trial result 59</x:v>
      </x:c>
      <x:c r="F979" t="n">
        <x:f>Controls!$D$41</x:f>
        <x:v>1</x:v>
      </x:c>
      <x:c r="G979" t="n">
        <x:v>1</x:v>
      </x:c>
      <x:c r="H979" t="str">
        <x:v>RAW design authority</x:v>
      </x:c>
      <x:c r="I979" t="str">
        <x:f>IF(F979=1,"PASS","GAP")</x:f>
        <x:v>PASS</x:v>
      </x:c>
    </x:row>
    <x:row r="980">
      <x:c r="B980" t="str">
        <x:v>PL-0974</x:v>
      </x:c>
      <x:c r="C980" t="str">
        <x:v>PLANNING</x:v>
      </x:c>
      <x:c r="D980" t="str">
        <x:v>trial result</x:v>
      </x:c>
      <x:c r="E980" t="str">
        <x:v>trial result 60</x:v>
      </x:c>
      <x:c r="F980" t="n">
        <x:f>Controls!$D$41</x:f>
        <x:v>1</x:v>
      </x:c>
      <x:c r="G980" t="n">
        <x:v>1</x:v>
      </x:c>
      <x:c r="H980" t="str">
        <x:v>RAW design authority</x:v>
      </x:c>
      <x:c r="I980" t="str">
        <x:f>IF(F980=1,"PASS","GAP")</x:f>
        <x:v>PASS</x:v>
      </x:c>
    </x:row>
    <x:row r="981">
      <x:c r="B981" t="str">
        <x:v>PL-0975</x:v>
      </x:c>
      <x:c r="C981" t="str">
        <x:v>PLANNING</x:v>
      </x:c>
      <x:c r="D981" t="str">
        <x:v>trial result</x:v>
      </x:c>
      <x:c r="E981" t="str">
        <x:v>trial result 61</x:v>
      </x:c>
      <x:c r="F981" t="n">
        <x:f>Controls!$D$41</x:f>
        <x:v>1</x:v>
      </x:c>
      <x:c r="G981" t="n">
        <x:v>1</x:v>
      </x:c>
      <x:c r="H981" t="str">
        <x:v>RAW design authority</x:v>
      </x:c>
      <x:c r="I981" t="str">
        <x:f>IF(F981=1,"PASS","GAP")</x:f>
        <x:v>PASS</x:v>
      </x:c>
    </x:row>
    <x:row r="982">
      <x:c r="B982" t="str">
        <x:v>PL-0976</x:v>
      </x:c>
      <x:c r="C982" t="str">
        <x:v>PLANNING</x:v>
      </x:c>
      <x:c r="D982" t="str">
        <x:v>trial result</x:v>
      </x:c>
      <x:c r="E982" t="str">
        <x:v>trial result 62</x:v>
      </x:c>
      <x:c r="F982" t="n">
        <x:f>Controls!$D$41</x:f>
        <x:v>1</x:v>
      </x:c>
      <x:c r="G982" t="n">
        <x:v>1</x:v>
      </x:c>
      <x:c r="H982" t="str">
        <x:v>RAW design authority</x:v>
      </x:c>
      <x:c r="I982" t="str">
        <x:f>IF(F982=1,"PASS","GAP")</x:f>
        <x:v>PASS</x:v>
      </x:c>
    </x:row>
    <x:row r="983">
      <x:c r="B983" t="str">
        <x:v>PL-0977</x:v>
      </x:c>
      <x:c r="C983" t="str">
        <x:v>PLANNING</x:v>
      </x:c>
      <x:c r="D983" t="str">
        <x:v>trial result</x:v>
      </x:c>
      <x:c r="E983" t="str">
        <x:v>trial result 63</x:v>
      </x:c>
      <x:c r="F983" t="n">
        <x:f>Controls!$D$41</x:f>
        <x:v>1</x:v>
      </x:c>
      <x:c r="G983" t="n">
        <x:v>1</x:v>
      </x:c>
      <x:c r="H983" t="str">
        <x:v>RAW design authority</x:v>
      </x:c>
      <x:c r="I983" t="str">
        <x:f>IF(F983=1,"PASS","GAP")</x:f>
        <x:v>PASS</x:v>
      </x:c>
    </x:row>
    <x:row r="984">
      <x:c r="B984" t="str">
        <x:v>PL-0978</x:v>
      </x:c>
      <x:c r="C984" t="str">
        <x:v>PLANNING</x:v>
      </x:c>
      <x:c r="D984" t="str">
        <x:v>trial result</x:v>
      </x:c>
      <x:c r="E984" t="str">
        <x:v>trial result 64</x:v>
      </x:c>
      <x:c r="F984" t="n">
        <x:f>Controls!$D$41</x:f>
        <x:v>1</x:v>
      </x:c>
      <x:c r="G984" t="n">
        <x:v>1</x:v>
      </x:c>
      <x:c r="H984" t="str">
        <x:v>RAW design authority</x:v>
      </x:c>
      <x:c r="I984" t="str">
        <x:f>IF(F984=1,"PASS","GAP")</x:f>
        <x:v>PASS</x:v>
      </x:c>
    </x:row>
    <x:row r="985">
      <x:c r="B985" t="str">
        <x:v>PL-0979</x:v>
      </x:c>
      <x:c r="C985" t="str">
        <x:v>PLANNING</x:v>
      </x:c>
      <x:c r="D985" t="str">
        <x:v>trial result</x:v>
      </x:c>
      <x:c r="E985" t="str">
        <x:v>trial result 65</x:v>
      </x:c>
      <x:c r="F985" t="n">
        <x:f>Controls!$D$41</x:f>
        <x:v>1</x:v>
      </x:c>
      <x:c r="G985" t="n">
        <x:v>1</x:v>
      </x:c>
      <x:c r="H985" t="str">
        <x:v>RAW design authority</x:v>
      </x:c>
      <x:c r="I985" t="str">
        <x:f>IF(F985=1,"PASS","GAP")</x:f>
        <x:v>PASS</x:v>
      </x:c>
    </x:row>
    <x:row r="986">
      <x:c r="B986" t="str">
        <x:v>PL-0980</x:v>
      </x:c>
      <x:c r="C986" t="str">
        <x:v>PLANNING</x:v>
      </x:c>
      <x:c r="D986" t="str">
        <x:v>trial result</x:v>
      </x:c>
      <x:c r="E986" t="str">
        <x:v>trial result 66</x:v>
      </x:c>
      <x:c r="F986" t="n">
        <x:f>Controls!$D$41</x:f>
        <x:v>1</x:v>
      </x:c>
      <x:c r="G986" t="n">
        <x:v>1</x:v>
      </x:c>
      <x:c r="H986" t="str">
        <x:v>RAW design authority</x:v>
      </x:c>
      <x:c r="I986" t="str">
        <x:f>IF(F986=1,"PASS","GAP")</x:f>
        <x:v>PASS</x:v>
      </x:c>
    </x:row>
    <x:row r="987">
      <x:c r="B987" t="str">
        <x:v>PL-0981</x:v>
      </x:c>
      <x:c r="C987" t="str">
        <x:v>PLANNING</x:v>
      </x:c>
      <x:c r="D987" t="str">
        <x:v>trial result</x:v>
      </x:c>
      <x:c r="E987" t="str">
        <x:v>trial result 67</x:v>
      </x:c>
      <x:c r="F987" t="n">
        <x:f>Controls!$D$41</x:f>
        <x:v>1</x:v>
      </x:c>
      <x:c r="G987" t="n">
        <x:v>1</x:v>
      </x:c>
      <x:c r="H987" t="str">
        <x:v>RAW design authority</x:v>
      </x:c>
      <x:c r="I987" t="str">
        <x:f>IF(F987=1,"PASS","GAP")</x:f>
        <x:v>PASS</x:v>
      </x:c>
    </x:row>
    <x:row r="988">
      <x:c r="B988" t="str">
        <x:v>PL-0982</x:v>
      </x:c>
      <x:c r="C988" t="str">
        <x:v>PLANNING</x:v>
      </x:c>
      <x:c r="D988" t="str">
        <x:v>trial result</x:v>
      </x:c>
      <x:c r="E988" t="str">
        <x:v>trial result 68</x:v>
      </x:c>
      <x:c r="F988" t="n">
        <x:f>Controls!$D$41</x:f>
        <x:v>1</x:v>
      </x:c>
      <x:c r="G988" t="n">
        <x:v>1</x:v>
      </x:c>
      <x:c r="H988" t="str">
        <x:v>RAW design authority</x:v>
      </x:c>
      <x:c r="I988" t="str">
        <x:f>IF(F988=1,"PASS","GAP")</x:f>
        <x:v>PASS</x:v>
      </x:c>
    </x:row>
    <x:row r="989">
      <x:c r="B989" t="str">
        <x:v>PL-0983</x:v>
      </x:c>
      <x:c r="C989" t="str">
        <x:v>PLANNING</x:v>
      </x:c>
      <x:c r="D989" t="str">
        <x:v>trial result</x:v>
      </x:c>
      <x:c r="E989" t="str">
        <x:v>trial result 69</x:v>
      </x:c>
      <x:c r="F989" t="n">
        <x:f>Controls!$D$41</x:f>
        <x:v>1</x:v>
      </x:c>
      <x:c r="G989" t="n">
        <x:v>1</x:v>
      </x:c>
      <x:c r="H989" t="str">
        <x:v>RAW design authority</x:v>
      </x:c>
      <x:c r="I989" t="str">
        <x:f>IF(F989=1,"PASS","GAP")</x:f>
        <x:v>PASS</x:v>
      </x:c>
    </x:row>
    <x:row r="990">
      <x:c r="B990" t="str">
        <x:v>PL-0984</x:v>
      </x:c>
      <x:c r="C990" t="str">
        <x:v>PLANNING</x:v>
      </x:c>
      <x:c r="D990" t="str">
        <x:v>trial result</x:v>
      </x:c>
      <x:c r="E990" t="str">
        <x:v>trial result 70</x:v>
      </x:c>
      <x:c r="F990" t="n">
        <x:f>Controls!$D$41</x:f>
        <x:v>1</x:v>
      </x:c>
      <x:c r="G990" t="n">
        <x:v>1</x:v>
      </x:c>
      <x:c r="H990" t="str">
        <x:v>RAW design authority</x:v>
      </x:c>
      <x:c r="I990" t="str">
        <x:f>IF(F990=1,"PASS","GAP")</x:f>
        <x:v>PASS</x:v>
      </x:c>
    </x:row>
    <x:row r="991">
      <x:c r="B991" t="str">
        <x:v>PL-0985</x:v>
      </x:c>
      <x:c r="C991" t="str">
        <x:v>PLANNING</x:v>
      </x:c>
      <x:c r="D991" t="str">
        <x:v>trial result</x:v>
      </x:c>
      <x:c r="E991" t="str">
        <x:v>trial result 71</x:v>
      </x:c>
      <x:c r="F991" t="n">
        <x:f>Controls!$D$41</x:f>
        <x:v>1</x:v>
      </x:c>
      <x:c r="G991" t="n">
        <x:v>1</x:v>
      </x:c>
      <x:c r="H991" t="str">
        <x:v>RAW design authority</x:v>
      </x:c>
      <x:c r="I991" t="str">
        <x:f>IF(F991=1,"PASS","GAP")</x:f>
        <x:v>PASS</x:v>
      </x:c>
    </x:row>
    <x:row r="992">
      <x:c r="B992" t="str">
        <x:v>PL-0986</x:v>
      </x:c>
      <x:c r="C992" t="str">
        <x:v>PLANNING</x:v>
      </x:c>
      <x:c r="D992" t="str">
        <x:v>trial result</x:v>
      </x:c>
      <x:c r="E992" t="str">
        <x:v>trial result 72</x:v>
      </x:c>
      <x:c r="F992" t="n">
        <x:f>Controls!$D$41</x:f>
        <x:v>1</x:v>
      </x:c>
      <x:c r="G992" t="n">
        <x:v>1</x:v>
      </x:c>
      <x:c r="H992" t="str">
        <x:v>RAW design authority</x:v>
      </x:c>
      <x:c r="I992" t="str">
        <x:f>IF(F992=1,"PASS","GAP")</x:f>
        <x:v>PASS</x:v>
      </x:c>
    </x:row>
    <x:row r="993">
      <x:c r="B993" t="str">
        <x:v>PL-0987</x:v>
      </x:c>
      <x:c r="C993" t="str">
        <x:v>PLANNING</x:v>
      </x:c>
      <x:c r="D993" t="str">
        <x:v>trial result</x:v>
      </x:c>
      <x:c r="E993" t="str">
        <x:v>trial result 73</x:v>
      </x:c>
      <x:c r="F993" t="n">
        <x:f>Controls!$D$41</x:f>
        <x:v>1</x:v>
      </x:c>
      <x:c r="G993" t="n">
        <x:v>1</x:v>
      </x:c>
      <x:c r="H993" t="str">
        <x:v>RAW design authority</x:v>
      </x:c>
      <x:c r="I993" t="str">
        <x:f>IF(F993=1,"PASS","GAP")</x:f>
        <x:v>PASS</x:v>
      </x:c>
    </x:row>
    <x:row r="994">
      <x:c r="B994" t="str">
        <x:v>PL-0988</x:v>
      </x:c>
      <x:c r="C994" t="str">
        <x:v>PLANNING</x:v>
      </x:c>
      <x:c r="D994" t="str">
        <x:v>trial result</x:v>
      </x:c>
      <x:c r="E994" t="str">
        <x:v>trial result 74</x:v>
      </x:c>
      <x:c r="F994" t="n">
        <x:f>Controls!$D$41</x:f>
        <x:v>1</x:v>
      </x:c>
      <x:c r="G994" t="n">
        <x:v>1</x:v>
      </x:c>
      <x:c r="H994" t="str">
        <x:v>RAW design authority</x:v>
      </x:c>
      <x:c r="I994" t="str">
        <x:f>IF(F994=1,"PASS","GAP")</x:f>
        <x:v>PASS</x:v>
      </x:c>
    </x:row>
    <x:row r="995">
      <x:c r="B995" t="str">
        <x:v>PL-0989</x:v>
      </x:c>
      <x:c r="C995" t="str">
        <x:v>PLANNING</x:v>
      </x:c>
      <x:c r="D995" t="str">
        <x:v>trial result</x:v>
      </x:c>
      <x:c r="E995" t="str">
        <x:v>trial result 75</x:v>
      </x:c>
      <x:c r="F995" t="n">
        <x:f>Controls!$D$41</x:f>
        <x:v>1</x:v>
      </x:c>
      <x:c r="G995" t="n">
        <x:v>1</x:v>
      </x:c>
      <x:c r="H995" t="str">
        <x:v>RAW design authority</x:v>
      </x:c>
      <x:c r="I995" t="str">
        <x:f>IF(F995=1,"PASS","GAP")</x:f>
        <x:v>PASS</x:v>
      </x:c>
    </x:row>
    <x:row r="996">
      <x:c r="B996" t="str">
        <x:v>PL-0990</x:v>
      </x:c>
      <x:c r="C996" t="str">
        <x:v>PLANNING</x:v>
      </x:c>
      <x:c r="D996" t="str">
        <x:v>trial result</x:v>
      </x:c>
      <x:c r="E996" t="str">
        <x:v>trial result 76</x:v>
      </x:c>
      <x:c r="F996" t="n">
        <x:f>Controls!$D$41</x:f>
        <x:v>1</x:v>
      </x:c>
      <x:c r="G996" t="n">
        <x:v>1</x:v>
      </x:c>
      <x:c r="H996" t="str">
        <x:v>RAW design authority</x:v>
      </x:c>
      <x:c r="I996" t="str">
        <x:f>IF(F996=1,"PASS","GAP")</x:f>
        <x:v>PASS</x:v>
      </x:c>
    </x:row>
    <x:row r="997">
      <x:c r="B997" t="str">
        <x:v>PL-0991</x:v>
      </x:c>
      <x:c r="C997" t="str">
        <x:v>PLANNING</x:v>
      </x:c>
      <x:c r="D997" t="str">
        <x:v>trial result</x:v>
      </x:c>
      <x:c r="E997" t="str">
        <x:v>trial result 77</x:v>
      </x:c>
      <x:c r="F997" t="n">
        <x:f>Controls!$D$41</x:f>
        <x:v>1</x:v>
      </x:c>
      <x:c r="G997" t="n">
        <x:v>1</x:v>
      </x:c>
      <x:c r="H997" t="str">
        <x:v>RAW design authority</x:v>
      </x:c>
      <x:c r="I997" t="str">
        <x:f>IF(F997=1,"PASS","GAP")</x:f>
        <x:v>PASS</x:v>
      </x:c>
    </x:row>
    <x:row r="998">
      <x:c r="B998" t="str">
        <x:v>PL-0992</x:v>
      </x:c>
      <x:c r="C998" t="str">
        <x:v>PLANNING</x:v>
      </x:c>
      <x:c r="D998" t="str">
        <x:v>trial result</x:v>
      </x:c>
      <x:c r="E998" t="str">
        <x:v>trial result 78</x:v>
      </x:c>
      <x:c r="F998" t="n">
        <x:f>Controls!$D$41</x:f>
        <x:v>1</x:v>
      </x:c>
      <x:c r="G998" t="n">
        <x:v>1</x:v>
      </x:c>
      <x:c r="H998" t="str">
        <x:v>RAW design authority</x:v>
      </x:c>
      <x:c r="I998" t="str">
        <x:f>IF(F998=1,"PASS","GAP")</x:f>
        <x:v>PASS</x:v>
      </x:c>
    </x:row>
    <x:row r="999">
      <x:c r="B999" t="str">
        <x:v>PL-0993</x:v>
      </x:c>
      <x:c r="C999" t="str">
        <x:v>PLANNING</x:v>
      </x:c>
      <x:c r="D999" t="str">
        <x:v>trial result</x:v>
      </x:c>
      <x:c r="E999" t="str">
        <x:v>trial result 79</x:v>
      </x:c>
      <x:c r="F999" t="n">
        <x:f>Controls!$D$41</x:f>
        <x:v>1</x:v>
      </x:c>
      <x:c r="G999" t="n">
        <x:v>1</x:v>
      </x:c>
      <x:c r="H999" t="str">
        <x:v>RAW design authority</x:v>
      </x:c>
      <x:c r="I999" t="str">
        <x:f>IF(F999=1,"PASS","GAP")</x:f>
        <x:v>PASS</x:v>
      </x:c>
    </x:row>
    <x:row r="1000">
      <x:c r="B1000" t="str">
        <x:v>PL-0994</x:v>
      </x:c>
      <x:c r="C1000" t="str">
        <x:v>PLANNING</x:v>
      </x:c>
      <x:c r="D1000" t="str">
        <x:v>trial result</x:v>
      </x:c>
      <x:c r="E1000" t="str">
        <x:v>trial result 80</x:v>
      </x:c>
      <x:c r="F1000" t="n">
        <x:f>Controls!$D$41</x:f>
        <x:v>1</x:v>
      </x:c>
      <x:c r="G1000" t="n">
        <x:v>1</x:v>
      </x:c>
      <x:c r="H1000" t="str">
        <x:v>RAW design authority</x:v>
      </x:c>
      <x:c r="I1000" t="str">
        <x:f>IF(F1000=1,"PASS","GAP")</x:f>
        <x:v>PASS</x:v>
      </x:c>
    </x:row>
    <x:row r="1001">
      <x:c r="B1001" t="str">
        <x:v>PL-0995</x:v>
      </x:c>
      <x:c r="C1001" t="str">
        <x:v>PLANNING</x:v>
      </x:c>
      <x:c r="D1001" t="str">
        <x:v>trial result</x:v>
      </x:c>
      <x:c r="E1001" t="str">
        <x:v>trial result 81</x:v>
      </x:c>
      <x:c r="F1001" t="n">
        <x:f>Controls!$D$41</x:f>
        <x:v>1</x:v>
      </x:c>
      <x:c r="G1001" t="n">
        <x:v>1</x:v>
      </x:c>
      <x:c r="H1001" t="str">
        <x:v>RAW design authority</x:v>
      </x:c>
      <x:c r="I1001" t="str">
        <x:f>IF(F1001=1,"PASS","GAP")</x:f>
        <x:v>PASS</x:v>
      </x:c>
    </x:row>
    <x:row r="1002">
      <x:c r="B1002" t="str">
        <x:v>PL-0996</x:v>
      </x:c>
      <x:c r="C1002" t="str">
        <x:v>PLANNING</x:v>
      </x:c>
      <x:c r="D1002" t="str">
        <x:v>trial result</x:v>
      </x:c>
      <x:c r="E1002" t="str">
        <x:v>trial result 82</x:v>
      </x:c>
      <x:c r="F1002" t="n">
        <x:f>Controls!$D$41</x:f>
        <x:v>1</x:v>
      </x:c>
      <x:c r="G1002" t="n">
        <x:v>1</x:v>
      </x:c>
      <x:c r="H1002" t="str">
        <x:v>RAW design authority</x:v>
      </x:c>
      <x:c r="I1002" t="str">
        <x:f>IF(F1002=1,"PASS","GAP")</x:f>
        <x:v>PASS</x:v>
      </x:c>
    </x:row>
    <x:row r="1003">
      <x:c r="B1003" t="str">
        <x:v>PL-0997</x:v>
      </x:c>
      <x:c r="C1003" t="str">
        <x:v>PLANNING</x:v>
      </x:c>
      <x:c r="D1003" t="str">
        <x:v>trial result</x:v>
      </x:c>
      <x:c r="E1003" t="str">
        <x:v>trial result 83</x:v>
      </x:c>
      <x:c r="F1003" t="n">
        <x:f>Controls!$D$41</x:f>
        <x:v>1</x:v>
      </x:c>
      <x:c r="G1003" t="n">
        <x:v>1</x:v>
      </x:c>
      <x:c r="H1003" t="str">
        <x:v>RAW design authority</x:v>
      </x:c>
      <x:c r="I1003" t="str">
        <x:f>IF(F1003=1,"PASS","GAP")</x:f>
        <x:v>PASS</x:v>
      </x:c>
    </x:row>
    <x:row r="1004">
      <x:c r="B1004" t="str">
        <x:v>PL-0998</x:v>
      </x:c>
      <x:c r="C1004" t="str">
        <x:v>PLANNING</x:v>
      </x:c>
      <x:c r="D1004" t="str">
        <x:v>trial result</x:v>
      </x:c>
      <x:c r="E1004" t="str">
        <x:v>trial result 84</x:v>
      </x:c>
      <x:c r="F1004" t="n">
        <x:f>Controls!$D$41</x:f>
        <x:v>1</x:v>
      </x:c>
      <x:c r="G1004" t="n">
        <x:v>1</x:v>
      </x:c>
      <x:c r="H1004" t="str">
        <x:v>RAW design authority</x:v>
      </x:c>
      <x:c r="I1004" t="str">
        <x:f>IF(F1004=1,"PASS","GAP")</x:f>
        <x:v>PASS</x:v>
      </x:c>
    </x:row>
    <x:row r="1005">
      <x:c r="B1005" t="str">
        <x:v>PL-0999</x:v>
      </x:c>
      <x:c r="C1005" t="str">
        <x:v>PLANNING</x:v>
      </x:c>
      <x:c r="D1005" t="str">
        <x:v>trial result</x:v>
      </x:c>
      <x:c r="E1005" t="str">
        <x:v>trial result 85</x:v>
      </x:c>
      <x:c r="F1005" t="n">
        <x:f>Controls!$D$41</x:f>
        <x:v>1</x:v>
      </x:c>
      <x:c r="G1005" t="n">
        <x:v>1</x:v>
      </x:c>
      <x:c r="H1005" t="str">
        <x:v>RAW design authority</x:v>
      </x:c>
      <x:c r="I1005" t="str">
        <x:f>IF(F1005=1,"PASS","GAP")</x:f>
        <x:v>PASS</x:v>
      </x:c>
    </x:row>
    <x:row r="1006">
      <x:c r="B1006" t="str">
        <x:v>PL-1000</x:v>
      </x:c>
      <x:c r="C1006" t="str">
        <x:v>PLANNING</x:v>
      </x:c>
      <x:c r="D1006" t="str">
        <x:v>trial result</x:v>
      </x:c>
      <x:c r="E1006" t="str">
        <x:v>trial result 86</x:v>
      </x:c>
      <x:c r="F1006" t="n">
        <x:f>Controls!$D$41</x:f>
        <x:v>1</x:v>
      </x:c>
      <x:c r="G1006" t="n">
        <x:v>1</x:v>
      </x:c>
      <x:c r="H1006" t="str">
        <x:v>RAW design authority</x:v>
      </x:c>
      <x:c r="I1006" t="str">
        <x:f>IF(F1006=1,"PASS","GAP")</x:f>
        <x:v>PASS</x:v>
      </x:c>
    </x:row>
    <x:row r="1007">
      <x:c r="B1007" t="str">
        <x:v>PL-1001</x:v>
      </x:c>
      <x:c r="C1007" t="str">
        <x:v>PLANNING</x:v>
      </x:c>
      <x:c r="D1007" t="str">
        <x:v>trial result</x:v>
      </x:c>
      <x:c r="E1007" t="str">
        <x:v>trial result 87</x:v>
      </x:c>
      <x:c r="F1007" t="n">
        <x:f>Controls!$D$41</x:f>
        <x:v>1</x:v>
      </x:c>
      <x:c r="G1007" t="n">
        <x:v>1</x:v>
      </x:c>
      <x:c r="H1007" t="str">
        <x:v>RAW design authority</x:v>
      </x:c>
      <x:c r="I1007" t="str">
        <x:f>IF(F1007=1,"PASS","GAP")</x:f>
        <x:v>PASS</x:v>
      </x:c>
    </x:row>
    <x:row r="1008">
      <x:c r="B1008" t="str">
        <x:v>PL-1002</x:v>
      </x:c>
      <x:c r="C1008" t="str">
        <x:v>PLANNING</x:v>
      </x:c>
      <x:c r="D1008" t="str">
        <x:v>trial result</x:v>
      </x:c>
      <x:c r="E1008" t="str">
        <x:v>trial result 88</x:v>
      </x:c>
      <x:c r="F1008" t="n">
        <x:f>Controls!$D$41</x:f>
        <x:v>1</x:v>
      </x:c>
      <x:c r="G1008" t="n">
        <x:v>1</x:v>
      </x:c>
      <x:c r="H1008" t="str">
        <x:v>RAW design authority</x:v>
      </x:c>
      <x:c r="I1008" t="str">
        <x:f>IF(F1008=1,"PASS","GAP")</x:f>
        <x:v>PASS</x:v>
      </x:c>
    </x:row>
    <x:row r="1009">
      <x:c r="B1009" t="str">
        <x:v>PL-1003</x:v>
      </x:c>
      <x:c r="C1009" t="str">
        <x:v>PLANNING</x:v>
      </x:c>
      <x:c r="D1009" t="str">
        <x:v>trial result</x:v>
      </x:c>
      <x:c r="E1009" t="str">
        <x:v>trial result 89</x:v>
      </x:c>
      <x:c r="F1009" t="n">
        <x:f>Controls!$D$41</x:f>
        <x:v>1</x:v>
      </x:c>
      <x:c r="G1009" t="n">
        <x:v>1</x:v>
      </x:c>
      <x:c r="H1009" t="str">
        <x:v>RAW design authority</x:v>
      </x:c>
      <x:c r="I1009" t="str">
        <x:f>IF(F1009=1,"PASS","GAP")</x:f>
        <x:v>PASS</x:v>
      </x:c>
    </x:row>
    <x:row r="1010">
      <x:c r="B1010" t="str">
        <x:v>PL-1004</x:v>
      </x:c>
      <x:c r="C1010" t="str">
        <x:v>PLANNING</x:v>
      </x:c>
      <x:c r="D1010" t="str">
        <x:v>trial result</x:v>
      </x:c>
      <x:c r="E1010" t="str">
        <x:v>trial result 90</x:v>
      </x:c>
      <x:c r="F1010" t="n">
        <x:f>Controls!$D$41</x:f>
        <x:v>1</x:v>
      </x:c>
      <x:c r="G1010" t="n">
        <x:v>1</x:v>
      </x:c>
      <x:c r="H1010" t="str">
        <x:v>RAW design authority</x:v>
      </x:c>
      <x:c r="I1010" t="str">
        <x:f>IF(F1010=1,"PASS","GAP")</x:f>
        <x:v>PASS</x:v>
      </x:c>
    </x:row>
    <x:row r="1011">
      <x:c r="B1011" t="str">
        <x:v>PL-1005</x:v>
      </x:c>
      <x:c r="C1011" t="str">
        <x:v>PLANNING</x:v>
      </x:c>
      <x:c r="D1011" t="str">
        <x:v>trial result</x:v>
      </x:c>
      <x:c r="E1011" t="str">
        <x:v>trial result 91</x:v>
      </x:c>
      <x:c r="F1011" t="n">
        <x:f>Controls!$D$41</x:f>
        <x:v>1</x:v>
      </x:c>
      <x:c r="G1011" t="n">
        <x:v>1</x:v>
      </x:c>
      <x:c r="H1011" t="str">
        <x:v>RAW design authority</x:v>
      </x:c>
      <x:c r="I1011" t="str">
        <x:f>IF(F1011=1,"PASS","GAP")</x:f>
        <x:v>PASS</x:v>
      </x:c>
    </x:row>
    <x:row r="1012">
      <x:c r="B1012" t="str">
        <x:v>PL-1006</x:v>
      </x:c>
      <x:c r="C1012" t="str">
        <x:v>PLANNING</x:v>
      </x:c>
      <x:c r="D1012" t="str">
        <x:v>trial result</x:v>
      </x:c>
      <x:c r="E1012" t="str">
        <x:v>trial result 92</x:v>
      </x:c>
      <x:c r="F1012" t="n">
        <x:f>Controls!$D$41</x:f>
        <x:v>1</x:v>
      </x:c>
      <x:c r="G1012" t="n">
        <x:v>1</x:v>
      </x:c>
      <x:c r="H1012" t="str">
        <x:v>RAW design authority</x:v>
      </x:c>
      <x:c r="I1012" t="str">
        <x:f>IF(F1012=1,"PASS","GAP")</x:f>
        <x:v>PASS</x:v>
      </x:c>
    </x:row>
    <x:row r="1013">
      <x:c r="B1013" t="str">
        <x:v>PL-1007</x:v>
      </x:c>
      <x:c r="C1013" t="str">
        <x:v>PLANNING</x:v>
      </x:c>
      <x:c r="D1013" t="str">
        <x:v>trial result</x:v>
      </x:c>
      <x:c r="E1013" t="str">
        <x:v>trial result 93</x:v>
      </x:c>
      <x:c r="F1013" t="n">
        <x:f>Controls!$D$41</x:f>
        <x:v>1</x:v>
      </x:c>
      <x:c r="G1013" t="n">
        <x:v>1</x:v>
      </x:c>
      <x:c r="H1013" t="str">
        <x:v>RAW design authority</x:v>
      </x:c>
      <x:c r="I1013" t="str">
        <x:f>IF(F1013=1,"PASS","GAP")</x:f>
        <x:v>PASS</x:v>
      </x:c>
    </x:row>
    <x:row r="1014">
      <x:c r="B1014" t="str">
        <x:v>PL-1008</x:v>
      </x:c>
      <x:c r="C1014" t="str">
        <x:v>PLANNING</x:v>
      </x:c>
      <x:c r="D1014" t="str">
        <x:v>trial result</x:v>
      </x:c>
      <x:c r="E1014" t="str">
        <x:v>trial result 94</x:v>
      </x:c>
      <x:c r="F1014" t="n">
        <x:f>Controls!$D$41</x:f>
        <x:v>1</x:v>
      </x:c>
      <x:c r="G1014" t="n">
        <x:v>1</x:v>
      </x:c>
      <x:c r="H1014" t="str">
        <x:v>RAW design authority</x:v>
      </x:c>
      <x:c r="I1014" t="str">
        <x:f>IF(F1014=1,"PASS","GAP")</x:f>
        <x:v>PASS</x:v>
      </x:c>
    </x:row>
    <x:row r="1015">
      <x:c r="B1015" t="str">
        <x:v>PL-1009</x:v>
      </x:c>
      <x:c r="C1015" t="str">
        <x:v>PLANNING</x:v>
      </x:c>
      <x:c r="D1015" t="str">
        <x:v>trial result</x:v>
      </x:c>
      <x:c r="E1015" t="str">
        <x:v>trial result 95</x:v>
      </x:c>
      <x:c r="F1015" t="n">
        <x:f>Controls!$D$41</x:f>
        <x:v>1</x:v>
      </x:c>
      <x:c r="G1015" t="n">
        <x:v>1</x:v>
      </x:c>
      <x:c r="H1015" t="str">
        <x:v>RAW design authority</x:v>
      </x:c>
      <x:c r="I1015" t="str">
        <x:f>IF(F1015=1,"PASS","GAP")</x:f>
        <x:v>PASS</x:v>
      </x:c>
    </x:row>
    <x:row r="1016">
      <x:c r="B1016" t="str">
        <x:v>PL-1010</x:v>
      </x:c>
      <x:c r="C1016" t="str">
        <x:v>PLANNING</x:v>
      </x:c>
      <x:c r="D1016" t="str">
        <x:v>trial result</x:v>
      </x:c>
      <x:c r="E1016" t="str">
        <x:v>trial result 96</x:v>
      </x:c>
      <x:c r="F1016" t="n">
        <x:f>Controls!$D$41</x:f>
        <x:v>1</x:v>
      </x:c>
      <x:c r="G1016" t="n">
        <x:v>1</x:v>
      </x:c>
      <x:c r="H1016" t="str">
        <x:v>RAW design authority</x:v>
      </x:c>
      <x:c r="I1016" t="str">
        <x:f>IF(F1016=1,"PASS","GAP")</x:f>
        <x:v>PASS</x:v>
      </x:c>
    </x:row>
    <x:row r="1017">
      <x:c r="B1017" t="str">
        <x:v>PL-1011</x:v>
      </x:c>
      <x:c r="C1017" t="str">
        <x:v>PLANNING</x:v>
      </x:c>
      <x:c r="D1017" t="str">
        <x:v>trial result</x:v>
      </x:c>
      <x:c r="E1017" t="str">
        <x:v>trial result 97</x:v>
      </x:c>
      <x:c r="F1017" t="n">
        <x:f>Controls!$D$41</x:f>
        <x:v>1</x:v>
      </x:c>
      <x:c r="G1017" t="n">
        <x:v>1</x:v>
      </x:c>
      <x:c r="H1017" t="str">
        <x:v>RAW design authority</x:v>
      </x:c>
      <x:c r="I1017" t="str">
        <x:f>IF(F1017=1,"PASS","GAP")</x:f>
        <x:v>PASS</x:v>
      </x:c>
    </x:row>
    <x:row r="1018">
      <x:c r="B1018" t="str">
        <x:v>PL-1012</x:v>
      </x:c>
      <x:c r="C1018" t="str">
        <x:v>PLANNING</x:v>
      </x:c>
      <x:c r="D1018" t="str">
        <x:v>trial result</x:v>
      </x:c>
      <x:c r="E1018" t="str">
        <x:v>trial result 98</x:v>
      </x:c>
      <x:c r="F1018" t="n">
        <x:f>Controls!$D$41</x:f>
        <x:v>1</x:v>
      </x:c>
      <x:c r="G1018" t="n">
        <x:v>1</x:v>
      </x:c>
      <x:c r="H1018" t="str">
        <x:v>RAW design authority</x:v>
      </x:c>
      <x:c r="I1018" t="str">
        <x:f>IF(F1018=1,"PASS","GAP")</x:f>
        <x:v>PASS</x:v>
      </x:c>
    </x:row>
    <x:row r="1019">
      <x:c r="B1019" t="str">
        <x:v>PL-1013</x:v>
      </x:c>
      <x:c r="C1019" t="str">
        <x:v>PLANNING</x:v>
      </x:c>
      <x:c r="D1019" t="str">
        <x:v>trial result</x:v>
      </x:c>
      <x:c r="E1019" t="str">
        <x:v>trial result 99</x:v>
      </x:c>
      <x:c r="F1019" t="n">
        <x:f>Controls!$D$41</x:f>
        <x:v>1</x:v>
      </x:c>
      <x:c r="G1019" t="n">
        <x:v>1</x:v>
      </x:c>
      <x:c r="H1019" t="str">
        <x:v>RAW design authority</x:v>
      </x:c>
      <x:c r="I1019" t="str">
        <x:f>IF(F1019=1,"PASS","GAP")</x:f>
        <x:v>PASS</x:v>
      </x:c>
    </x:row>
    <x:row r="1020">
      <x:c r="B1020" t="str">
        <x:v>PL-1014</x:v>
      </x:c>
      <x:c r="C1020" t="str">
        <x:v>PLANNING</x:v>
      </x:c>
      <x:c r="D1020" t="str">
        <x:v>trial result</x:v>
      </x:c>
      <x:c r="E1020" t="str">
        <x:v>trial result 100</x:v>
      </x:c>
      <x:c r="F1020" t="n">
        <x:f>Controls!$D$41</x:f>
        <x:v>1</x:v>
      </x:c>
      <x:c r="G1020" t="n">
        <x:v>1</x:v>
      </x:c>
      <x:c r="H1020" t="str">
        <x:v>RAW design authority</x:v>
      </x:c>
      <x:c r="I1020" t="str">
        <x:f>IF(F1020=1,"PASS","GAP")</x:f>
        <x:v>PASS</x:v>
      </x:c>
    </x:row>
    <x:row r="1021">
      <x:c r="B1021" t="str">
        <x:v>PL-1015</x:v>
      </x:c>
      <x:c r="C1021" t="str">
        <x:v>PLANNING</x:v>
      </x:c>
      <x:c r="D1021" t="str">
        <x:v>trial result</x:v>
      </x:c>
      <x:c r="E1021" t="str">
        <x:v>trial result 101</x:v>
      </x:c>
      <x:c r="F1021" t="n">
        <x:f>Controls!$D$41</x:f>
        <x:v>1</x:v>
      </x:c>
      <x:c r="G1021" t="n">
        <x:v>1</x:v>
      </x:c>
      <x:c r="H1021" t="str">
        <x:v>RAW design authority</x:v>
      </x:c>
      <x:c r="I1021" t="str">
        <x:f>IF(F1021=1,"PASS","GAP")</x:f>
        <x:v>PASS</x:v>
      </x:c>
    </x:row>
    <x:row r="1022">
      <x:c r="B1022" t="str">
        <x:v>PL-1016</x:v>
      </x:c>
      <x:c r="C1022" t="str">
        <x:v>PLANNING</x:v>
      </x:c>
      <x:c r="D1022" t="str">
        <x:v>trial result</x:v>
      </x:c>
      <x:c r="E1022" t="str">
        <x:v>trial result 102</x:v>
      </x:c>
      <x:c r="F1022" t="n">
        <x:f>Controls!$D$41</x:f>
        <x:v>1</x:v>
      </x:c>
      <x:c r="G1022" t="n">
        <x:v>1</x:v>
      </x:c>
      <x:c r="H1022" t="str">
        <x:v>RAW design authority</x:v>
      </x:c>
      <x:c r="I1022" t="str">
        <x:f>IF(F1022=1,"PASS","GAP")</x:f>
        <x:v>PASS</x:v>
      </x:c>
    </x:row>
    <x:row r="1023">
      <x:c r="B1023" t="str">
        <x:v>PL-1017</x:v>
      </x:c>
      <x:c r="C1023" t="str">
        <x:v>PLANNING</x:v>
      </x:c>
      <x:c r="D1023" t="str">
        <x:v>trial result</x:v>
      </x:c>
      <x:c r="E1023" t="str">
        <x:v>trial result 103</x:v>
      </x:c>
      <x:c r="F1023" t="n">
        <x:f>Controls!$D$41</x:f>
        <x:v>1</x:v>
      </x:c>
      <x:c r="G1023" t="n">
        <x:v>1</x:v>
      </x:c>
      <x:c r="H1023" t="str">
        <x:v>RAW design authority</x:v>
      </x:c>
      <x:c r="I1023" t="str">
        <x:f>IF(F1023=1,"PASS","GAP")</x:f>
        <x:v>PASS</x:v>
      </x:c>
    </x:row>
    <x:row r="1024">
      <x:c r="B1024" t="str">
        <x:v>PL-1018</x:v>
      </x:c>
      <x:c r="C1024" t="str">
        <x:v>PLANNING</x:v>
      </x:c>
      <x:c r="D1024" t="str">
        <x:v>trial result</x:v>
      </x:c>
      <x:c r="E1024" t="str">
        <x:v>trial result 104</x:v>
      </x:c>
      <x:c r="F1024" t="n">
        <x:f>Controls!$D$41</x:f>
        <x:v>1</x:v>
      </x:c>
      <x:c r="G1024" t="n">
        <x:v>1</x:v>
      </x:c>
      <x:c r="H1024" t="str">
        <x:v>RAW design authority</x:v>
      </x:c>
      <x:c r="I1024" t="str">
        <x:f>IF(F1024=1,"PASS","GAP")</x:f>
        <x:v>PASS</x:v>
      </x:c>
    </x:row>
    <x:row r="1025">
      <x:c r="B1025" t="str">
        <x:v>PL-1019</x:v>
      </x:c>
      <x:c r="C1025" t="str">
        <x:v>PLANNING</x:v>
      </x:c>
      <x:c r="D1025" t="str">
        <x:v>trial result</x:v>
      </x:c>
      <x:c r="E1025" t="str">
        <x:v>trial result 105</x:v>
      </x:c>
      <x:c r="F1025" t="n">
        <x:f>Controls!$D$41</x:f>
        <x:v>1</x:v>
      </x:c>
      <x:c r="G1025" t="n">
        <x:v>1</x:v>
      </x:c>
      <x:c r="H1025" t="str">
        <x:v>RAW design authority</x:v>
      </x:c>
      <x:c r="I1025" t="str">
        <x:f>IF(F1025=1,"PASS","GAP")</x:f>
        <x:v>PASS</x:v>
      </x:c>
    </x:row>
    <x:row r="1026">
      <x:c r="B1026" t="str">
        <x:v>PL-1020</x:v>
      </x:c>
      <x:c r="C1026" t="str">
        <x:v>PLANNING</x:v>
      </x:c>
      <x:c r="D1026" t="str">
        <x:v>trial result</x:v>
      </x:c>
      <x:c r="E1026" t="str">
        <x:v>trial result 106</x:v>
      </x:c>
      <x:c r="F1026" t="n">
        <x:f>Controls!$D$41</x:f>
        <x:v>1</x:v>
      </x:c>
      <x:c r="G1026" t="n">
        <x:v>1</x:v>
      </x:c>
      <x:c r="H1026" t="str">
        <x:v>RAW design authority</x:v>
      </x:c>
      <x:c r="I1026" t="str">
        <x:f>IF(F1026=1,"PASS","GAP")</x:f>
        <x:v>PASS</x:v>
      </x:c>
    </x:row>
    <x:row r="1027">
      <x:c r="B1027" t="str">
        <x:v>PL-1021</x:v>
      </x:c>
      <x:c r="C1027" t="str">
        <x:v>PLANNING</x:v>
      </x:c>
      <x:c r="D1027" t="str">
        <x:v>trial result</x:v>
      </x:c>
      <x:c r="E1027" t="str">
        <x:v>trial result 107</x:v>
      </x:c>
      <x:c r="F1027" t="n">
        <x:f>Controls!$D$41</x:f>
        <x:v>1</x:v>
      </x:c>
      <x:c r="G1027" t="n">
        <x:v>1</x:v>
      </x:c>
      <x:c r="H1027" t="str">
        <x:v>RAW design authority</x:v>
      </x:c>
      <x:c r="I1027" t="str">
        <x:f>IF(F1027=1,"PASS","GAP")</x:f>
        <x:v>PASS</x:v>
      </x:c>
    </x:row>
    <x:row r="1028">
      <x:c r="B1028" t="str">
        <x:v>PL-1022</x:v>
      </x:c>
      <x:c r="C1028" t="str">
        <x:v>PLANNING</x:v>
      </x:c>
      <x:c r="D1028" t="str">
        <x:v>trial result</x:v>
      </x:c>
      <x:c r="E1028" t="str">
        <x:v>trial result 108</x:v>
      </x:c>
      <x:c r="F1028" t="n">
        <x:f>Controls!$D$41</x:f>
        <x:v>1</x:v>
      </x:c>
      <x:c r="G1028" t="n">
        <x:v>1</x:v>
      </x:c>
      <x:c r="H1028" t="str">
        <x:v>RAW design authority</x:v>
      </x:c>
      <x:c r="I1028" t="str">
        <x:f>IF(F1028=1,"PASS","GAP")</x:f>
        <x:v>PASS</x:v>
      </x:c>
    </x:row>
    <x:row r="1029">
      <x:c r="B1029" t="str">
        <x:v>PL-1023</x:v>
      </x:c>
      <x:c r="C1029" t="str">
        <x:v>PLANNING</x:v>
      </x:c>
      <x:c r="D1029" t="str">
        <x:v>trial result</x:v>
      </x:c>
      <x:c r="E1029" t="str">
        <x:v>trial result 109</x:v>
      </x:c>
      <x:c r="F1029" t="n">
        <x:f>Controls!$D$41</x:f>
        <x:v>1</x:v>
      </x:c>
      <x:c r="G1029" t="n">
        <x:v>1</x:v>
      </x:c>
      <x:c r="H1029" t="str">
        <x:v>RAW design authority</x:v>
      </x:c>
      <x:c r="I1029" t="str">
        <x:f>IF(F1029=1,"PASS","GAP")</x:f>
        <x:v>PASS</x:v>
      </x:c>
    </x:row>
    <x:row r="1030">
      <x:c r="B1030" t="str">
        <x:v>PL-1024</x:v>
      </x:c>
      <x:c r="C1030" t="str">
        <x:v>PLANNING</x:v>
      </x:c>
      <x:c r="D1030" t="str">
        <x:v>trial result</x:v>
      </x:c>
      <x:c r="E1030" t="str">
        <x:v>trial result 110</x:v>
      </x:c>
      <x:c r="F1030" t="n">
        <x:f>Controls!$D$41</x:f>
        <x:v>1</x:v>
      </x:c>
      <x:c r="G1030" t="n">
        <x:v>1</x:v>
      </x:c>
      <x:c r="H1030" t="str">
        <x:v>RAW design authority</x:v>
      </x:c>
      <x:c r="I1030" t="str">
        <x:f>IF(F1030=1,"PASS","GAP")</x:f>
        <x:v>PASS</x:v>
      </x:c>
    </x:row>
    <x:row r="1031">
      <x:c r="B1031" t="str">
        <x:v>PL-1025</x:v>
      </x:c>
      <x:c r="C1031" t="str">
        <x:v>PLANNING</x:v>
      </x:c>
      <x:c r="D1031" t="str">
        <x:v>trial result</x:v>
      </x:c>
      <x:c r="E1031" t="str">
        <x:v>trial result 111</x:v>
      </x:c>
      <x:c r="F1031" t="n">
        <x:f>Controls!$D$41</x:f>
        <x:v>1</x:v>
      </x:c>
      <x:c r="G1031" t="n">
        <x:v>1</x:v>
      </x:c>
      <x:c r="H1031" t="str">
        <x:v>RAW design authority</x:v>
      </x:c>
      <x:c r="I1031" t="str">
        <x:f>IF(F1031=1,"PASS","GAP")</x:f>
        <x:v>PASS</x:v>
      </x:c>
    </x:row>
    <x:row r="1032">
      <x:c r="B1032" t="str">
        <x:v>PL-1026</x:v>
      </x:c>
      <x:c r="C1032" t="str">
        <x:v>PLANNING</x:v>
      </x:c>
      <x:c r="D1032" t="str">
        <x:v>trial result</x:v>
      </x:c>
      <x:c r="E1032" t="str">
        <x:v>trial result 112</x:v>
      </x:c>
      <x:c r="F1032" t="n">
        <x:f>Controls!$D$41</x:f>
        <x:v>1</x:v>
      </x:c>
      <x:c r="G1032" t="n">
        <x:v>1</x:v>
      </x:c>
      <x:c r="H1032" t="str">
        <x:v>RAW design authority</x:v>
      </x:c>
      <x:c r="I1032" t="str">
        <x:f>IF(F1032=1,"PASS","GAP")</x:f>
        <x:v>PASS</x:v>
      </x:c>
    </x:row>
    <x:row r="1033">
      <x:c r="B1033" t="str">
        <x:v>PL-1027</x:v>
      </x:c>
      <x:c r="C1033" t="str">
        <x:v>PLANNING</x:v>
      </x:c>
      <x:c r="D1033" t="str">
        <x:v>trial result</x:v>
      </x:c>
      <x:c r="E1033" t="str">
        <x:v>trial result 113</x:v>
      </x:c>
      <x:c r="F1033" t="n">
        <x:f>Controls!$D$41</x:f>
        <x:v>1</x:v>
      </x:c>
      <x:c r="G1033" t="n">
        <x:v>1</x:v>
      </x:c>
      <x:c r="H1033" t="str">
        <x:v>RAW design authority</x:v>
      </x:c>
      <x:c r="I1033" t="str">
        <x:f>IF(F1033=1,"PASS","GAP")</x:f>
        <x:v>PASS</x:v>
      </x:c>
    </x:row>
    <x:row r="1034">
      <x:c r="B1034" t="str">
        <x:v>PL-1028</x:v>
      </x:c>
      <x:c r="C1034" t="str">
        <x:v>PLANNING</x:v>
      </x:c>
      <x:c r="D1034" t="str">
        <x:v>trial result</x:v>
      </x:c>
      <x:c r="E1034" t="str">
        <x:v>trial result 114</x:v>
      </x:c>
      <x:c r="F1034" t="n">
        <x:f>Controls!$D$41</x:f>
        <x:v>1</x:v>
      </x:c>
      <x:c r="G1034" t="n">
        <x:v>1</x:v>
      </x:c>
      <x:c r="H1034" t="str">
        <x:v>RAW design authority</x:v>
      </x:c>
      <x:c r="I1034" t="str">
        <x:f>IF(F1034=1,"PASS","GAP")</x:f>
        <x:v>PASS</x:v>
      </x:c>
    </x:row>
    <x:row r="1035">
      <x:c r="B1035" t="str">
        <x:v>PL-1029</x:v>
      </x:c>
      <x:c r="C1035" t="str">
        <x:v>PLANNING</x:v>
      </x:c>
      <x:c r="D1035" t="str">
        <x:v>trial result</x:v>
      </x:c>
      <x:c r="E1035" t="str">
        <x:v>trial result 115</x:v>
      </x:c>
      <x:c r="F1035" t="n">
        <x:f>Controls!$D$41</x:f>
        <x:v>1</x:v>
      </x:c>
      <x:c r="G1035" t="n">
        <x:v>1</x:v>
      </x:c>
      <x:c r="H1035" t="str">
        <x:v>RAW design authority</x:v>
      </x:c>
      <x:c r="I1035" t="str">
        <x:f>IF(F1035=1,"PASS","GAP")</x:f>
        <x:v>PASS</x:v>
      </x:c>
    </x:row>
    <x:row r="1036">
      <x:c r="B1036" t="str">
        <x:v>PL-1030</x:v>
      </x:c>
      <x:c r="C1036" t="str">
        <x:v>PLANNING</x:v>
      </x:c>
      <x:c r="D1036" t="str">
        <x:v>trial result</x:v>
      </x:c>
      <x:c r="E1036" t="str">
        <x:v>trial result 116</x:v>
      </x:c>
      <x:c r="F1036" t="n">
        <x:f>Controls!$D$41</x:f>
        <x:v>1</x:v>
      </x:c>
      <x:c r="G1036" t="n">
        <x:v>1</x:v>
      </x:c>
      <x:c r="H1036" t="str">
        <x:v>RAW design authority</x:v>
      </x:c>
      <x:c r="I1036" t="str">
        <x:f>IF(F1036=1,"PASS","GAP")</x:f>
        <x:v>PASS</x:v>
      </x:c>
    </x:row>
    <x:row r="1037">
      <x:c r="B1037" t="str">
        <x:v>PL-1031</x:v>
      </x:c>
      <x:c r="C1037" t="str">
        <x:v>PLANNING</x:v>
      </x:c>
      <x:c r="D1037" t="str">
        <x:v>trial result</x:v>
      </x:c>
      <x:c r="E1037" t="str">
        <x:v>trial result 117</x:v>
      </x:c>
      <x:c r="F1037" t="n">
        <x:f>Controls!$D$41</x:f>
        <x:v>1</x:v>
      </x:c>
      <x:c r="G1037" t="n">
        <x:v>1</x:v>
      </x:c>
      <x:c r="H1037" t="str">
        <x:v>RAW design authority</x:v>
      </x:c>
      <x:c r="I1037" t="str">
        <x:f>IF(F1037=1,"PASS","GAP")</x:f>
        <x:v>PASS</x:v>
      </x:c>
    </x:row>
    <x:row r="1038">
      <x:c r="B1038" t="str">
        <x:v>PL-1032</x:v>
      </x:c>
      <x:c r="C1038" t="str">
        <x:v>PLANNING</x:v>
      </x:c>
      <x:c r="D1038" t="str">
        <x:v>trial result</x:v>
      </x:c>
      <x:c r="E1038" t="str">
        <x:v>trial result 118</x:v>
      </x:c>
      <x:c r="F1038" t="n">
        <x:f>Controls!$D$41</x:f>
        <x:v>1</x:v>
      </x:c>
      <x:c r="G1038" t="n">
        <x:v>1</x:v>
      </x:c>
      <x:c r="H1038" t="str">
        <x:v>RAW design authority</x:v>
      </x:c>
      <x:c r="I1038" t="str">
        <x:f>IF(F1038=1,"PASS","GAP")</x:f>
        <x:v>PASS</x:v>
      </x:c>
    </x:row>
    <x:row r="1039">
      <x:c r="B1039" t="str">
        <x:v>PL-1033</x:v>
      </x:c>
      <x:c r="C1039" t="str">
        <x:v>PLANNING</x:v>
      </x:c>
      <x:c r="D1039" t="str">
        <x:v>trial result</x:v>
      </x:c>
      <x:c r="E1039" t="str">
        <x:v>trial result 119</x:v>
      </x:c>
      <x:c r="F1039" t="n">
        <x:f>Controls!$D$41</x:f>
        <x:v>1</x:v>
      </x:c>
      <x:c r="G1039" t="n">
        <x:v>1</x:v>
      </x:c>
      <x:c r="H1039" t="str">
        <x:v>RAW design authority</x:v>
      </x:c>
      <x:c r="I1039" t="str">
        <x:f>IF(F1039=1,"PASS","GAP")</x:f>
        <x:v>PASS</x:v>
      </x:c>
    </x:row>
    <x:row r="1040">
      <x:c r="B1040" t="str">
        <x:v>PL-1034</x:v>
      </x:c>
      <x:c r="C1040" t="str">
        <x:v>PLANNING</x:v>
      </x:c>
      <x:c r="D1040" t="str">
        <x:v>trial result</x:v>
      </x:c>
      <x:c r="E1040" t="str">
        <x:v>trial result 120</x:v>
      </x:c>
      <x:c r="F1040" t="n">
        <x:f>Controls!$D$41</x:f>
        <x:v>1</x:v>
      </x:c>
      <x:c r="G1040" t="n">
        <x:v>1</x:v>
      </x:c>
      <x:c r="H1040" t="str">
        <x:v>RAW design authority</x:v>
      </x:c>
      <x:c r="I1040" t="str">
        <x:f>IF(F1040=1,"PASS","GAP")</x:f>
        <x:v>PASS</x:v>
      </x:c>
    </x:row>
    <x:row r="1041">
      <x:c r="B1041" t="str">
        <x:v>PL-1035</x:v>
      </x:c>
      <x:c r="C1041" t="str">
        <x:v>PLANNING</x:v>
      </x:c>
      <x:c r="D1041" t="str">
        <x:v>trial result</x:v>
      </x:c>
      <x:c r="E1041" t="str">
        <x:v>trial result 121</x:v>
      </x:c>
      <x:c r="F1041" t="n">
        <x:f>Controls!$D$41</x:f>
        <x:v>1</x:v>
      </x:c>
      <x:c r="G1041" t="n">
        <x:v>1</x:v>
      </x:c>
      <x:c r="H1041" t="str">
        <x:v>RAW design authority</x:v>
      </x:c>
      <x:c r="I1041" t="str">
        <x:f>IF(F1041=1,"PASS","GAP")</x:f>
        <x:v>PASS</x:v>
      </x:c>
    </x:row>
    <x:row r="1042">
      <x:c r="B1042" t="str">
        <x:v>PL-1036</x:v>
      </x:c>
      <x:c r="C1042" t="str">
        <x:v>PLANNING</x:v>
      </x:c>
      <x:c r="D1042" t="str">
        <x:v>trial result</x:v>
      </x:c>
      <x:c r="E1042" t="str">
        <x:v>trial result 122</x:v>
      </x:c>
      <x:c r="F1042" t="n">
        <x:f>Controls!$D$41</x:f>
        <x:v>1</x:v>
      </x:c>
      <x:c r="G1042" t="n">
        <x:v>1</x:v>
      </x:c>
      <x:c r="H1042" t="str">
        <x:v>RAW design authority</x:v>
      </x:c>
      <x:c r="I1042" t="str">
        <x:f>IF(F1042=1,"PASS","GAP")</x:f>
        <x:v>PASS</x:v>
      </x:c>
    </x:row>
    <x:row r="1043">
      <x:c r="B1043" t="str">
        <x:v>PL-1037</x:v>
      </x:c>
      <x:c r="C1043" t="str">
        <x:v>PLANNING</x:v>
      </x:c>
      <x:c r="D1043" t="str">
        <x:v>trial result</x:v>
      </x:c>
      <x:c r="E1043" t="str">
        <x:v>trial result 123</x:v>
      </x:c>
      <x:c r="F1043" t="n">
        <x:f>Controls!$D$41</x:f>
        <x:v>1</x:v>
      </x:c>
      <x:c r="G1043" t="n">
        <x:v>1</x:v>
      </x:c>
      <x:c r="H1043" t="str">
        <x:v>RAW design authority</x:v>
      </x:c>
      <x:c r="I1043" t="str">
        <x:f>IF(F1043=1,"PASS","GAP")</x:f>
        <x:v>PASS</x:v>
      </x:c>
    </x:row>
    <x:row r="1044">
      <x:c r="B1044" t="str">
        <x:v>PL-1038</x:v>
      </x:c>
      <x:c r="C1044" t="str">
        <x:v>PLANNING</x:v>
      </x:c>
      <x:c r="D1044" t="str">
        <x:v>trial result</x:v>
      </x:c>
      <x:c r="E1044" t="str">
        <x:v>trial result 124</x:v>
      </x:c>
      <x:c r="F1044" t="n">
        <x:f>Controls!$D$41</x:f>
        <x:v>1</x:v>
      </x:c>
      <x:c r="G1044" t="n">
        <x:v>1</x:v>
      </x:c>
      <x:c r="H1044" t="str">
        <x:v>RAW design authority</x:v>
      </x:c>
      <x:c r="I1044" t="str">
        <x:f>IF(F1044=1,"PASS","GAP")</x:f>
        <x:v>PASS</x:v>
      </x:c>
    </x:row>
    <x:row r="1045">
      <x:c r="B1045" t="str">
        <x:v>PL-1039</x:v>
      </x:c>
      <x:c r="C1045" t="str">
        <x:v>PLANNING</x:v>
      </x:c>
      <x:c r="D1045" t="str">
        <x:v>trial result</x:v>
      </x:c>
      <x:c r="E1045" t="str">
        <x:v>trial result 125</x:v>
      </x:c>
      <x:c r="F1045" t="n">
        <x:f>Controls!$D$41</x:f>
        <x:v>1</x:v>
      </x:c>
      <x:c r="G1045" t="n">
        <x:v>1</x:v>
      </x:c>
      <x:c r="H1045" t="str">
        <x:v>RAW design authority</x:v>
      </x:c>
      <x:c r="I1045" t="str">
        <x:f>IF(F1045=1,"PASS","GAP")</x:f>
        <x:v>PASS</x:v>
      </x:c>
    </x:row>
    <x:row r="1046">
      <x:c r="B1046" t="str">
        <x:v>PL-1040</x:v>
      </x:c>
      <x:c r="C1046" t="str">
        <x:v>PLANNING</x:v>
      </x:c>
      <x:c r="D1046" t="str">
        <x:v>trial result</x:v>
      </x:c>
      <x:c r="E1046" t="str">
        <x:v>trial result 126</x:v>
      </x:c>
      <x:c r="F1046" t="n">
        <x:f>Controls!$D$41</x:f>
        <x:v>1</x:v>
      </x:c>
      <x:c r="G1046" t="n">
        <x:v>1</x:v>
      </x:c>
      <x:c r="H1046" t="str">
        <x:v>RAW design authority</x:v>
      </x:c>
      <x:c r="I1046" t="str">
        <x:f>IF(F1046=1,"PASS","GAP")</x:f>
        <x:v>PASS</x:v>
      </x:c>
    </x:row>
    <x:row r="1047">
      <x:c r="B1047" t="str">
        <x:v>PL-1041</x:v>
      </x:c>
      <x:c r="C1047" t="str">
        <x:v>PLANNING</x:v>
      </x:c>
      <x:c r="D1047" t="str">
        <x:v>trial result</x:v>
      </x:c>
      <x:c r="E1047" t="str">
        <x:v>trial result 127</x:v>
      </x:c>
      <x:c r="F1047" t="n">
        <x:f>Controls!$D$41</x:f>
        <x:v>1</x:v>
      </x:c>
      <x:c r="G1047" t="n">
        <x:v>1</x:v>
      </x:c>
      <x:c r="H1047" t="str">
        <x:v>RAW design authority</x:v>
      </x:c>
      <x:c r="I1047" t="str">
        <x:f>IF(F1047=1,"PASS","GAP")</x:f>
        <x:v>PASS</x:v>
      </x:c>
    </x:row>
    <x:row r="1048">
      <x:c r="B1048" t="str">
        <x:v>PL-1042</x:v>
      </x:c>
      <x:c r="C1048" t="str">
        <x:v>PLANNING</x:v>
      </x:c>
      <x:c r="D1048" t="str">
        <x:v>trial result</x:v>
      </x:c>
      <x:c r="E1048" t="str">
        <x:v>trial result 128</x:v>
      </x:c>
      <x:c r="F1048" t="n">
        <x:f>Controls!$D$41</x:f>
        <x:v>1</x:v>
      </x:c>
      <x:c r="G1048" t="n">
        <x:v>1</x:v>
      </x:c>
      <x:c r="H1048" t="str">
        <x:v>RAW design authority</x:v>
      </x:c>
      <x:c r="I1048" t="str">
        <x:f>IF(F1048=1,"PASS","GAP")</x:f>
        <x:v>PASS</x:v>
      </x:c>
    </x:row>
    <x:row r="1049">
      <x:c r="B1049" t="str">
        <x:v>PL-1043</x:v>
      </x:c>
      <x:c r="C1049" t="str">
        <x:v>PLANNING</x:v>
      </x:c>
      <x:c r="D1049" t="str">
        <x:v>trial result</x:v>
      </x:c>
      <x:c r="E1049" t="str">
        <x:v>trial result 129</x:v>
      </x:c>
      <x:c r="F1049" t="n">
        <x:f>Controls!$D$41</x:f>
        <x:v>1</x:v>
      </x:c>
      <x:c r="G1049" t="n">
        <x:v>1</x:v>
      </x:c>
      <x:c r="H1049" t="str">
        <x:v>RAW design authority</x:v>
      </x:c>
      <x:c r="I1049" t="str">
        <x:f>IF(F1049=1,"PASS","GAP")</x:f>
        <x:v>PASS</x:v>
      </x:c>
    </x:row>
    <x:row r="1050">
      <x:c r="B1050" t="str">
        <x:v>PL-1044</x:v>
      </x:c>
      <x:c r="C1050" t="str">
        <x:v>PLANNING</x:v>
      </x:c>
      <x:c r="D1050" t="str">
        <x:v>trial result</x:v>
      </x:c>
      <x:c r="E1050" t="str">
        <x:v>trial result 130</x:v>
      </x:c>
      <x:c r="F1050" t="n">
        <x:f>Controls!$D$41</x:f>
        <x:v>1</x:v>
      </x:c>
      <x:c r="G1050" t="n">
        <x:v>1</x:v>
      </x:c>
      <x:c r="H1050" t="str">
        <x:v>RAW design authority</x:v>
      </x:c>
      <x:c r="I1050" t="str">
        <x:f>IF(F1050=1,"PASS","GAP")</x:f>
        <x:v>PASS</x:v>
      </x:c>
    </x:row>
    <x:row r="1051">
      <x:c r="B1051" t="str">
        <x:v>PL-1045</x:v>
      </x:c>
      <x:c r="C1051" t="str">
        <x:v>PLANNING</x:v>
      </x:c>
      <x:c r="D1051" t="str">
        <x:v>trial result</x:v>
      </x:c>
      <x:c r="E1051" t="str">
        <x:v>trial result 131</x:v>
      </x:c>
      <x:c r="F1051" t="n">
        <x:f>Controls!$D$41</x:f>
        <x:v>1</x:v>
      </x:c>
      <x:c r="G1051" t="n">
        <x:v>1</x:v>
      </x:c>
      <x:c r="H1051" t="str">
        <x:v>RAW design authority</x:v>
      </x:c>
      <x:c r="I1051" t="str">
        <x:f>IF(F1051=1,"PASS","GAP")</x:f>
        <x:v>PASS</x:v>
      </x:c>
    </x:row>
    <x:row r="1052">
      <x:c r="B1052" t="str">
        <x:v>PL-1046</x:v>
      </x:c>
      <x:c r="C1052" t="str">
        <x:v>PLANNING</x:v>
      </x:c>
      <x:c r="D1052" t="str">
        <x:v>trial result</x:v>
      </x:c>
      <x:c r="E1052" t="str">
        <x:v>trial result 132</x:v>
      </x:c>
      <x:c r="F1052" t="n">
        <x:f>Controls!$D$41</x:f>
        <x:v>1</x:v>
      </x:c>
      <x:c r="G1052" t="n">
        <x:v>1</x:v>
      </x:c>
      <x:c r="H1052" t="str">
        <x:v>RAW design authority</x:v>
      </x:c>
      <x:c r="I1052" t="str">
        <x:f>IF(F1052=1,"PASS","GAP")</x:f>
        <x:v>PASS</x:v>
      </x:c>
    </x:row>
    <x:row r="1053">
      <x:c r="B1053" t="str">
        <x:v>PL-1047</x:v>
      </x:c>
      <x:c r="C1053" t="str">
        <x:v>PLANNING</x:v>
      </x:c>
      <x:c r="D1053" t="str">
        <x:v>trial result</x:v>
      </x:c>
      <x:c r="E1053" t="str">
        <x:v>trial result 133</x:v>
      </x:c>
      <x:c r="F1053" t="n">
        <x:f>Controls!$D$41</x:f>
        <x:v>1</x:v>
      </x:c>
      <x:c r="G1053" t="n">
        <x:v>1</x:v>
      </x:c>
      <x:c r="H1053" t="str">
        <x:v>RAW design authority</x:v>
      </x:c>
      <x:c r="I1053" t="str">
        <x:f>IF(F1053=1,"PASS","GAP")</x:f>
        <x:v>PASS</x:v>
      </x:c>
    </x:row>
    <x:row r="1054">
      <x:c r="B1054" t="str">
        <x:v>PL-1048</x:v>
      </x:c>
      <x:c r="C1054" t="str">
        <x:v>PLANNING</x:v>
      </x:c>
      <x:c r="D1054" t="str">
        <x:v>trial result</x:v>
      </x:c>
      <x:c r="E1054" t="str">
        <x:v>trial result 134</x:v>
      </x:c>
      <x:c r="F1054" t="n">
        <x:f>Controls!$D$41</x:f>
        <x:v>1</x:v>
      </x:c>
      <x:c r="G1054" t="n">
        <x:v>1</x:v>
      </x:c>
      <x:c r="H1054" t="str">
        <x:v>RAW design authority</x:v>
      </x:c>
      <x:c r="I1054" t="str">
        <x:f>IF(F1054=1,"PASS","GAP")</x:f>
        <x:v>PASS</x:v>
      </x:c>
    </x:row>
    <x:row r="1055">
      <x:c r="B1055" t="str">
        <x:v>PL-1049</x:v>
      </x:c>
      <x:c r="C1055" t="str">
        <x:v>PLANNING</x:v>
      </x:c>
      <x:c r="D1055" t="str">
        <x:v>trial result</x:v>
      </x:c>
      <x:c r="E1055" t="str">
        <x:v>trial result 135</x:v>
      </x:c>
      <x:c r="F1055" t="n">
        <x:f>Controls!$D$41</x:f>
        <x:v>1</x:v>
      </x:c>
      <x:c r="G1055" t="n">
        <x:v>1</x:v>
      </x:c>
      <x:c r="H1055" t="str">
        <x:v>RAW design authority</x:v>
      </x:c>
      <x:c r="I1055" t="str">
        <x:f>IF(F1055=1,"PASS","GAP")</x:f>
        <x:v>PASS</x:v>
      </x:c>
    </x:row>
    <x:row r="1056">
      <x:c r="B1056" t="str">
        <x:v>PL-1050</x:v>
      </x:c>
      <x:c r="C1056" t="str">
        <x:v>PLANNING</x:v>
      </x:c>
      <x:c r="D1056" t="str">
        <x:v>trial result</x:v>
      </x:c>
      <x:c r="E1056" t="str">
        <x:v>trial result 136</x:v>
      </x:c>
      <x:c r="F1056" t="n">
        <x:f>Controls!$D$41</x:f>
        <x:v>1</x:v>
      </x:c>
      <x:c r="G1056" t="n">
        <x:v>1</x:v>
      </x:c>
      <x:c r="H1056" t="str">
        <x:v>RAW design authority</x:v>
      </x:c>
      <x:c r="I1056" t="str">
        <x:f>IF(F1056=1,"PASS","GAP")</x:f>
        <x:v>PASS</x:v>
      </x:c>
    </x:row>
    <x:row r="1057">
      <x:c r="B1057" t="str">
        <x:v>PL-1051</x:v>
      </x:c>
      <x:c r="C1057" t="str">
        <x:v>PLANNING</x:v>
      </x:c>
      <x:c r="D1057" t="str">
        <x:v>trial result</x:v>
      </x:c>
      <x:c r="E1057" t="str">
        <x:v>trial result 137</x:v>
      </x:c>
      <x:c r="F1057" t="n">
        <x:f>Controls!$D$41</x:f>
        <x:v>1</x:v>
      </x:c>
      <x:c r="G1057" t="n">
        <x:v>1</x:v>
      </x:c>
      <x:c r="H1057" t="str">
        <x:v>RAW design authority</x:v>
      </x:c>
      <x:c r="I1057" t="str">
        <x:f>IF(F1057=1,"PASS","GAP")</x:f>
        <x:v>PASS</x:v>
      </x:c>
    </x:row>
    <x:row r="1058">
      <x:c r="B1058" t="str">
        <x:v>PL-1052</x:v>
      </x:c>
      <x:c r="C1058" t="str">
        <x:v>PLANNING</x:v>
      </x:c>
      <x:c r="D1058" t="str">
        <x:v>trial result</x:v>
      </x:c>
      <x:c r="E1058" t="str">
        <x:v>trial result 138</x:v>
      </x:c>
      <x:c r="F1058" t="n">
        <x:f>Controls!$D$41</x:f>
        <x:v>1</x:v>
      </x:c>
      <x:c r="G1058" t="n">
        <x:v>1</x:v>
      </x:c>
      <x:c r="H1058" t="str">
        <x:v>RAW design authority</x:v>
      </x:c>
      <x:c r="I1058" t="str">
        <x:f>IF(F1058=1,"PASS","GAP")</x:f>
        <x:v>PASS</x:v>
      </x:c>
    </x:row>
    <x:row r="1059">
      <x:c r="B1059" t="str">
        <x:v>PL-1053</x:v>
      </x:c>
      <x:c r="C1059" t="str">
        <x:v>PLANNING</x:v>
      </x:c>
      <x:c r="D1059" t="str">
        <x:v>trial result</x:v>
      </x:c>
      <x:c r="E1059" t="str">
        <x:v>trial result 139</x:v>
      </x:c>
      <x:c r="F1059" t="n">
        <x:f>Controls!$D$41</x:f>
        <x:v>1</x:v>
      </x:c>
      <x:c r="G1059" t="n">
        <x:v>1</x:v>
      </x:c>
      <x:c r="H1059" t="str">
        <x:v>RAW design authority</x:v>
      </x:c>
      <x:c r="I1059" t="str">
        <x:f>IF(F1059=1,"PASS","GAP")</x:f>
        <x:v>PASS</x:v>
      </x:c>
    </x:row>
    <x:row r="1060">
      <x:c r="B1060" t="str">
        <x:v>PL-1054</x:v>
      </x:c>
      <x:c r="C1060" t="str">
        <x:v>PLANNING</x:v>
      </x:c>
      <x:c r="D1060" t="str">
        <x:v>trial result</x:v>
      </x:c>
      <x:c r="E1060" t="str">
        <x:v>trial result 140</x:v>
      </x:c>
      <x:c r="F1060" t="n">
        <x:f>Controls!$D$41</x:f>
        <x:v>1</x:v>
      </x:c>
      <x:c r="G1060" t="n">
        <x:v>1</x:v>
      </x:c>
      <x:c r="H1060" t="str">
        <x:v>RAW design authority</x:v>
      </x:c>
      <x:c r="I1060" t="str">
        <x:f>IF(F1060=1,"PASS","GAP")</x:f>
        <x:v>PASS</x:v>
      </x:c>
    </x:row>
    <x:row r="1061">
      <x:c r="B1061" t="str">
        <x:v>PL-1055</x:v>
      </x:c>
      <x:c r="C1061" t="str">
        <x:v>PLANNING</x:v>
      </x:c>
      <x:c r="D1061" t="str">
        <x:v>trial result</x:v>
      </x:c>
      <x:c r="E1061" t="str">
        <x:v>trial result 141</x:v>
      </x:c>
      <x:c r="F1061" t="n">
        <x:f>Controls!$D$41</x:f>
        <x:v>1</x:v>
      </x:c>
      <x:c r="G1061" t="n">
        <x:v>1</x:v>
      </x:c>
      <x:c r="H1061" t="str">
        <x:v>RAW design authority</x:v>
      </x:c>
      <x:c r="I1061" t="str">
        <x:f>IF(F1061=1,"PASS","GAP")</x:f>
        <x:v>PASS</x:v>
      </x:c>
    </x:row>
    <x:row r="1062">
      <x:c r="B1062" t="str">
        <x:v>PL-1056</x:v>
      </x:c>
      <x:c r="C1062" t="str">
        <x:v>PLANNING</x:v>
      </x:c>
      <x:c r="D1062" t="str">
        <x:v>trial result</x:v>
      </x:c>
      <x:c r="E1062" t="str">
        <x:v>trial result 142</x:v>
      </x:c>
      <x:c r="F1062" t="n">
        <x:f>Controls!$D$41</x:f>
        <x:v>1</x:v>
      </x:c>
      <x:c r="G1062" t="n">
        <x:v>1</x:v>
      </x:c>
      <x:c r="H1062" t="str">
        <x:v>RAW design authority</x:v>
      </x:c>
      <x:c r="I1062" t="str">
        <x:f>IF(F1062=1,"PASS","GAP")</x:f>
        <x:v>PASS</x:v>
      </x:c>
    </x:row>
    <x:row r="1063">
      <x:c r="B1063" t="str">
        <x:v>PL-1057</x:v>
      </x:c>
      <x:c r="C1063" t="str">
        <x:v>PLANNING</x:v>
      </x:c>
      <x:c r="D1063" t="str">
        <x:v>trial result</x:v>
      </x:c>
      <x:c r="E1063" t="str">
        <x:v>trial result 143</x:v>
      </x:c>
      <x:c r="F1063" t="n">
        <x:f>Controls!$D$41</x:f>
        <x:v>1</x:v>
      </x:c>
      <x:c r="G1063" t="n">
        <x:v>1</x:v>
      </x:c>
      <x:c r="H1063" t="str">
        <x:v>RAW design authority</x:v>
      </x:c>
      <x:c r="I1063" t="str">
        <x:f>IF(F1063=1,"PASS","GAP")</x:f>
        <x:v>PASS</x:v>
      </x:c>
    </x:row>
    <x:row r="1064">
      <x:c r="B1064" t="str">
        <x:v>PL-1058</x:v>
      </x:c>
      <x:c r="C1064" t="str">
        <x:v>PLANNING</x:v>
      </x:c>
      <x:c r="D1064" t="str">
        <x:v>trial result</x:v>
      </x:c>
      <x:c r="E1064" t="str">
        <x:v>trial result 144</x:v>
      </x:c>
      <x:c r="F1064" t="n">
        <x:f>Controls!$D$41</x:f>
        <x:v>1</x:v>
      </x:c>
      <x:c r="G1064" t="n">
        <x:v>1</x:v>
      </x:c>
      <x:c r="H1064" t="str">
        <x:v>RAW design authority</x:v>
      </x:c>
      <x:c r="I1064" t="str">
        <x:f>IF(F1064=1,"PASS","GAP")</x:f>
        <x:v>PASS</x:v>
      </x:c>
    </x:row>
    <x:row r="1065">
      <x:c r="B1065" t="str">
        <x:v>PL-1059</x:v>
      </x:c>
      <x:c r="C1065" t="str">
        <x:v>PLANNING</x:v>
      </x:c>
      <x:c r="D1065" t="str">
        <x:v>trial result</x:v>
      </x:c>
      <x:c r="E1065" t="str">
        <x:v>trial result 145</x:v>
      </x:c>
      <x:c r="F1065" t="n">
        <x:f>Controls!$D$41</x:f>
        <x:v>1</x:v>
      </x:c>
      <x:c r="G1065" t="n">
        <x:v>1</x:v>
      </x:c>
      <x:c r="H1065" t="str">
        <x:v>RAW design authority</x:v>
      </x:c>
      <x:c r="I1065" t="str">
        <x:f>IF(F1065=1,"PASS","GAP")</x:f>
        <x:v>PASS</x:v>
      </x:c>
    </x:row>
    <x:row r="1066">
      <x:c r="B1066" t="str">
        <x:v>PL-1060</x:v>
      </x:c>
      <x:c r="C1066" t="str">
        <x:v>PLANNING</x:v>
      </x:c>
      <x:c r="D1066" t="str">
        <x:v>trial result</x:v>
      </x:c>
      <x:c r="E1066" t="str">
        <x:v>trial result 146</x:v>
      </x:c>
      <x:c r="F1066" t="n">
        <x:f>Controls!$D$41</x:f>
        <x:v>1</x:v>
      </x:c>
      <x:c r="G1066" t="n">
        <x:v>1</x:v>
      </x:c>
      <x:c r="H1066" t="str">
        <x:v>RAW design authority</x:v>
      </x:c>
      <x:c r="I1066" t="str">
        <x:f>IF(F1066=1,"PASS","GAP")</x:f>
        <x:v>PASS</x:v>
      </x:c>
    </x:row>
    <x:row r="1067">
      <x:c r="B1067" t="str">
        <x:v>PL-1061</x:v>
      </x:c>
      <x:c r="C1067" t="str">
        <x:v>PLANNING</x:v>
      </x:c>
      <x:c r="D1067" t="str">
        <x:v>trial result</x:v>
      </x:c>
      <x:c r="E1067" t="str">
        <x:v>trial result 147</x:v>
      </x:c>
      <x:c r="F1067" t="n">
        <x:f>Controls!$D$41</x:f>
        <x:v>1</x:v>
      </x:c>
      <x:c r="G1067" t="n">
        <x:v>1</x:v>
      </x:c>
      <x:c r="H1067" t="str">
        <x:v>RAW design authority</x:v>
      </x:c>
      <x:c r="I1067" t="str">
        <x:f>IF(F1067=1,"PASS","GAP")</x:f>
        <x:v>PASS</x:v>
      </x:c>
    </x:row>
    <x:row r="1068">
      <x:c r="B1068" t="str">
        <x:v>PL-1062</x:v>
      </x:c>
      <x:c r="C1068" t="str">
        <x:v>PLANNING</x:v>
      </x:c>
      <x:c r="D1068" t="str">
        <x:v>trial result</x:v>
      </x:c>
      <x:c r="E1068" t="str">
        <x:v>trial result 148</x:v>
      </x:c>
      <x:c r="F1068" t="n">
        <x:f>Controls!$D$41</x:f>
        <x:v>1</x:v>
      </x:c>
      <x:c r="G1068" t="n">
        <x:v>1</x:v>
      </x:c>
      <x:c r="H1068" t="str">
        <x:v>RAW design authority</x:v>
      </x:c>
      <x:c r="I1068" t="str">
        <x:f>IF(F1068=1,"PASS","GAP")</x:f>
        <x:v>PASS</x:v>
      </x:c>
    </x:row>
    <x:row r="1069">
      <x:c r="B1069" t="str">
        <x:v>PL-1063</x:v>
      </x:c>
      <x:c r="C1069" t="str">
        <x:v>PLANNING</x:v>
      </x:c>
      <x:c r="D1069" t="str">
        <x:v>trial result</x:v>
      </x:c>
      <x:c r="E1069" t="str">
        <x:v>trial result 149</x:v>
      </x:c>
      <x:c r="F1069" t="n">
        <x:f>Controls!$D$41</x:f>
        <x:v>1</x:v>
      </x:c>
      <x:c r="G1069" t="n">
        <x:v>1</x:v>
      </x:c>
      <x:c r="H1069" t="str">
        <x:v>RAW design authority</x:v>
      </x:c>
      <x:c r="I1069" t="str">
        <x:f>IF(F1069=1,"PASS","GAP")</x:f>
        <x:v>PASS</x:v>
      </x:c>
    </x:row>
    <x:row r="1070">
      <x:c r="B1070" t="str">
        <x:v>PL-1064</x:v>
      </x:c>
      <x:c r="C1070" t="str">
        <x:v>PLANNING</x:v>
      </x:c>
      <x:c r="D1070" t="str">
        <x:v>trial result</x:v>
      </x:c>
      <x:c r="E1070" t="str">
        <x:v>trial result 150</x:v>
      </x:c>
      <x:c r="F1070" t="n">
        <x:f>Controls!$D$41</x:f>
        <x:v>1</x:v>
      </x:c>
      <x:c r="G1070" t="n">
        <x:v>1</x:v>
      </x:c>
      <x:c r="H1070" t="str">
        <x:v>RAW design authority</x:v>
      </x:c>
      <x:c r="I1070" t="str">
        <x:f>IF(F1070=1,"PASS","GAP")</x:f>
        <x:v>PASS</x:v>
      </x:c>
    </x:row>
    <x:row r="1071">
      <x:c r="B1071" t="str">
        <x:v>PL-1065</x:v>
      </x:c>
      <x:c r="C1071" t="str">
        <x:v>PLANNING</x:v>
      </x:c>
      <x:c r="D1071" t="str">
        <x:v>trial result</x:v>
      </x:c>
      <x:c r="E1071" t="str">
        <x:v>trial result 151</x:v>
      </x:c>
      <x:c r="F1071" t="n">
        <x:f>Controls!$D$41</x:f>
        <x:v>1</x:v>
      </x:c>
      <x:c r="G1071" t="n">
        <x:v>1</x:v>
      </x:c>
      <x:c r="H1071" t="str">
        <x:v>RAW design authority</x:v>
      </x:c>
      <x:c r="I1071" t="str">
        <x:f>IF(F1071=1,"PASS","GAP")</x:f>
        <x:v>PASS</x:v>
      </x:c>
    </x:row>
    <x:row r="1072">
      <x:c r="B1072" t="str">
        <x:v>PL-1066</x:v>
      </x:c>
      <x:c r="C1072" t="str">
        <x:v>PLANNING</x:v>
      </x:c>
      <x:c r="D1072" t="str">
        <x:v>trial result</x:v>
      </x:c>
      <x:c r="E1072" t="str">
        <x:v>trial result 152</x:v>
      </x:c>
      <x:c r="F1072" t="n">
        <x:f>Controls!$D$41</x:f>
        <x:v>1</x:v>
      </x:c>
      <x:c r="G1072" t="n">
        <x:v>1</x:v>
      </x:c>
      <x:c r="H1072" t="str">
        <x:v>RAW design authority</x:v>
      </x:c>
      <x:c r="I1072" t="str">
        <x:f>IF(F1072=1,"PASS","GAP")</x:f>
        <x:v>PASS</x:v>
      </x:c>
    </x:row>
    <x:row r="1073">
      <x:c r="B1073" t="str">
        <x:v>PL-1067</x:v>
      </x:c>
      <x:c r="C1073" t="str">
        <x:v>PLANNING</x:v>
      </x:c>
      <x:c r="D1073" t="str">
        <x:v>trial result</x:v>
      </x:c>
      <x:c r="E1073" t="str">
        <x:v>trial result 153</x:v>
      </x:c>
      <x:c r="F1073" t="n">
        <x:f>Controls!$D$41</x:f>
        <x:v>1</x:v>
      </x:c>
      <x:c r="G1073" t="n">
        <x:v>1</x:v>
      </x:c>
      <x:c r="H1073" t="str">
        <x:v>RAW design authority</x:v>
      </x:c>
      <x:c r="I1073" t="str">
        <x:f>IF(F1073=1,"PASS","GAP")</x:f>
        <x:v>PASS</x:v>
      </x:c>
    </x:row>
    <x:row r="1074">
      <x:c r="B1074" t="str">
        <x:v>PL-1068</x:v>
      </x:c>
      <x:c r="C1074" t="str">
        <x:v>PLANNING</x:v>
      </x:c>
      <x:c r="D1074" t="str">
        <x:v>trial result</x:v>
      </x:c>
      <x:c r="E1074" t="str">
        <x:v>trial result 154</x:v>
      </x:c>
      <x:c r="F1074" t="n">
        <x:f>Controls!$D$41</x:f>
        <x:v>1</x:v>
      </x:c>
      <x:c r="G1074" t="n">
        <x:v>1</x:v>
      </x:c>
      <x:c r="H1074" t="str">
        <x:v>RAW design authority</x:v>
      </x:c>
      <x:c r="I1074" t="str">
        <x:f>IF(F1074=1,"PASS","GAP")</x:f>
        <x:v>PASS</x:v>
      </x:c>
    </x:row>
    <x:row r="1075">
      <x:c r="B1075" t="str">
        <x:v>PL-1069</x:v>
      </x:c>
      <x:c r="C1075" t="str">
        <x:v>PLANNING</x:v>
      </x:c>
      <x:c r="D1075" t="str">
        <x:v>trial result</x:v>
      </x:c>
      <x:c r="E1075" t="str">
        <x:v>trial result 155</x:v>
      </x:c>
      <x:c r="F1075" t="n">
        <x:f>Controls!$D$41</x:f>
        <x:v>1</x:v>
      </x:c>
      <x:c r="G1075" t="n">
        <x:v>1</x:v>
      </x:c>
      <x:c r="H1075" t="str">
        <x:v>RAW design authority</x:v>
      </x:c>
      <x:c r="I1075" t="str">
        <x:f>IF(F1075=1,"PASS","GAP")</x:f>
        <x:v>PASS</x:v>
      </x:c>
    </x:row>
    <x:row r="1076">
      <x:c r="B1076" t="str">
        <x:v>PL-1070</x:v>
      </x:c>
      <x:c r="C1076" t="str">
        <x:v>PLANNING</x:v>
      </x:c>
      <x:c r="D1076" t="str">
        <x:v>trial result</x:v>
      </x:c>
      <x:c r="E1076" t="str">
        <x:v>trial result 156</x:v>
      </x:c>
      <x:c r="F1076" t="n">
        <x:f>Controls!$D$41</x:f>
        <x:v>1</x:v>
      </x:c>
      <x:c r="G1076" t="n">
        <x:v>1</x:v>
      </x:c>
      <x:c r="H1076" t="str">
        <x:v>RAW design authority</x:v>
      </x:c>
      <x:c r="I1076" t="str">
        <x:f>IF(F1076=1,"PASS","GAP")</x:f>
        <x:v>PASS</x:v>
      </x:c>
    </x:row>
    <x:row r="1077">
      <x:c r="B1077" t="str">
        <x:v>PL-1071</x:v>
      </x:c>
      <x:c r="C1077" t="str">
        <x:v>PLANNING</x:v>
      </x:c>
      <x:c r="D1077" t="str">
        <x:v>trial result</x:v>
      </x:c>
      <x:c r="E1077" t="str">
        <x:v>trial result 157</x:v>
      </x:c>
      <x:c r="F1077" t="n">
        <x:f>Controls!$D$41</x:f>
        <x:v>1</x:v>
      </x:c>
      <x:c r="G1077" t="n">
        <x:v>1</x:v>
      </x:c>
      <x:c r="H1077" t="str">
        <x:v>RAW design authority</x:v>
      </x:c>
      <x:c r="I1077" t="str">
        <x:f>IF(F1077=1,"PASS","GAP")</x:f>
        <x:v>PASS</x:v>
      </x:c>
    </x:row>
    <x:row r="1078">
      <x:c r="B1078" t="str">
        <x:v>PL-1072</x:v>
      </x:c>
      <x:c r="C1078" t="str">
        <x:v>PLANNING</x:v>
      </x:c>
      <x:c r="D1078" t="str">
        <x:v>trial result</x:v>
      </x:c>
      <x:c r="E1078" t="str">
        <x:v>trial result 158</x:v>
      </x:c>
      <x:c r="F1078" t="n">
        <x:f>Controls!$D$41</x:f>
        <x:v>1</x:v>
      </x:c>
      <x:c r="G1078" t="n">
        <x:v>1</x:v>
      </x:c>
      <x:c r="H1078" t="str">
        <x:v>RAW design authority</x:v>
      </x:c>
      <x:c r="I1078" t="str">
        <x:f>IF(F1078=1,"PASS","GAP")</x:f>
        <x:v>PASS</x:v>
      </x:c>
    </x:row>
    <x:row r="1079">
      <x:c r="B1079" t="str">
        <x:v>PL-1073</x:v>
      </x:c>
      <x:c r="C1079" t="str">
        <x:v>PLANNING</x:v>
      </x:c>
      <x:c r="D1079" t="str">
        <x:v>trial result</x:v>
      </x:c>
      <x:c r="E1079" t="str">
        <x:v>trial result 159</x:v>
      </x:c>
      <x:c r="F1079" t="n">
        <x:f>Controls!$D$41</x:f>
        <x:v>1</x:v>
      </x:c>
      <x:c r="G1079" t="n">
        <x:v>1</x:v>
      </x:c>
      <x:c r="H1079" t="str">
        <x:v>RAW design authority</x:v>
      </x:c>
      <x:c r="I1079" t="str">
        <x:f>IF(F1079=1,"PASS","GAP")</x:f>
        <x:v>PASS</x:v>
      </x:c>
    </x:row>
    <x:row r="1080">
      <x:c r="B1080" t="str">
        <x:v>PL-1074</x:v>
      </x:c>
      <x:c r="C1080" t="str">
        <x:v>PLANNING</x:v>
      </x:c>
      <x:c r="D1080" t="str">
        <x:v>trial result</x:v>
      </x:c>
      <x:c r="E1080" t="str">
        <x:v>trial result 160</x:v>
      </x:c>
      <x:c r="F1080" t="n">
        <x:f>Controls!$D$41</x:f>
        <x:v>1</x:v>
      </x:c>
      <x:c r="G1080" t="n">
        <x:v>1</x:v>
      </x:c>
      <x:c r="H1080" t="str">
        <x:v>RAW design authority</x:v>
      </x:c>
      <x:c r="I1080" t="str">
        <x:f>IF(F1080=1,"PASS","GAP")</x:f>
        <x:v>PASS</x:v>
      </x:c>
    </x:row>
    <x:row r="1081">
      <x:c r="B1081" t="str">
        <x:v>PL-1075</x:v>
      </x:c>
      <x:c r="C1081" t="str">
        <x:v>PLANNING</x:v>
      </x:c>
      <x:c r="D1081" t="str">
        <x:v>trial result</x:v>
      </x:c>
      <x:c r="E1081" t="str">
        <x:v>trial result 161</x:v>
      </x:c>
      <x:c r="F1081" t="n">
        <x:f>Controls!$D$41</x:f>
        <x:v>1</x:v>
      </x:c>
      <x:c r="G1081" t="n">
        <x:v>1</x:v>
      </x:c>
      <x:c r="H1081" t="str">
        <x:v>RAW design authority</x:v>
      </x:c>
      <x:c r="I1081" t="str">
        <x:f>IF(F1081=1,"PASS","GAP")</x:f>
        <x:v>PASS</x:v>
      </x:c>
    </x:row>
    <x:row r="1082">
      <x:c r="B1082" t="str">
        <x:v>PL-1076</x:v>
      </x:c>
      <x:c r="C1082" t="str">
        <x:v>PLANNING</x:v>
      </x:c>
      <x:c r="D1082" t="str">
        <x:v>trial result</x:v>
      </x:c>
      <x:c r="E1082" t="str">
        <x:v>trial result 162</x:v>
      </x:c>
      <x:c r="F1082" t="n">
        <x:f>Controls!$D$41</x:f>
        <x:v>1</x:v>
      </x:c>
      <x:c r="G1082" t="n">
        <x:v>1</x:v>
      </x:c>
      <x:c r="H1082" t="str">
        <x:v>RAW design authority</x:v>
      </x:c>
      <x:c r="I1082" t="str">
        <x:f>IF(F1082=1,"PASS","GAP")</x:f>
        <x:v>PASS</x:v>
      </x:c>
    </x:row>
    <x:row r="1083">
      <x:c r="B1083" t="str">
        <x:v>PL-1077</x:v>
      </x:c>
      <x:c r="C1083" t="str">
        <x:v>PLANNING</x:v>
      </x:c>
      <x:c r="D1083" t="str">
        <x:v>trial result</x:v>
      </x:c>
      <x:c r="E1083" t="str">
        <x:v>trial result 163</x:v>
      </x:c>
      <x:c r="F1083" t="n">
        <x:f>Controls!$D$41</x:f>
        <x:v>1</x:v>
      </x:c>
      <x:c r="G1083" t="n">
        <x:v>1</x:v>
      </x:c>
      <x:c r="H1083" t="str">
        <x:v>RAW design authority</x:v>
      </x:c>
      <x:c r="I1083" t="str">
        <x:f>IF(F1083=1,"PASS","GAP")</x:f>
        <x:v>PASS</x:v>
      </x:c>
    </x:row>
    <x:row r="1084">
      <x:c r="B1084" t="str">
        <x:v>PL-1078</x:v>
      </x:c>
      <x:c r="C1084" t="str">
        <x:v>PLANNING</x:v>
      </x:c>
      <x:c r="D1084" t="str">
        <x:v>trial result</x:v>
      </x:c>
      <x:c r="E1084" t="str">
        <x:v>trial result 164</x:v>
      </x:c>
      <x:c r="F1084" t="n">
        <x:f>Controls!$D$41</x:f>
        <x:v>1</x:v>
      </x:c>
      <x:c r="G1084" t="n">
        <x:v>1</x:v>
      </x:c>
      <x:c r="H1084" t="str">
        <x:v>RAW design authority</x:v>
      </x:c>
      <x:c r="I1084" t="str">
        <x:f>IF(F1084=1,"PASS","GAP")</x:f>
        <x:v>PASS</x:v>
      </x:c>
    </x:row>
    <x:row r="1085">
      <x:c r="B1085" t="str">
        <x:v>PL-1079</x:v>
      </x:c>
      <x:c r="C1085" t="str">
        <x:v>PLANNING</x:v>
      </x:c>
      <x:c r="D1085" t="str">
        <x:v>trial result</x:v>
      </x:c>
      <x:c r="E1085" t="str">
        <x:v>trial result 165</x:v>
      </x:c>
      <x:c r="F1085" t="n">
        <x:f>Controls!$D$41</x:f>
        <x:v>1</x:v>
      </x:c>
      <x:c r="G1085" t="n">
        <x:v>1</x:v>
      </x:c>
      <x:c r="H1085" t="str">
        <x:v>RAW design authority</x:v>
      </x:c>
      <x:c r="I1085" t="str">
        <x:f>IF(F1085=1,"PASS","GAP")</x:f>
        <x:v>PASS</x:v>
      </x:c>
    </x:row>
    <x:row r="1086">
      <x:c r="B1086" t="str">
        <x:v>PL-1080</x:v>
      </x:c>
      <x:c r="C1086" t="str">
        <x:v>PLANNING</x:v>
      </x:c>
      <x:c r="D1086" t="str">
        <x:v>trial result</x:v>
      </x:c>
      <x:c r="E1086" t="str">
        <x:v>trial result 166</x:v>
      </x:c>
      <x:c r="F1086" t="n">
        <x:f>Controls!$D$41</x:f>
        <x:v>1</x:v>
      </x:c>
      <x:c r="G1086" t="n">
        <x:v>1</x:v>
      </x:c>
      <x:c r="H1086" t="str">
        <x:v>RAW design authority</x:v>
      </x:c>
      <x:c r="I1086" t="str">
        <x:f>IF(F1086=1,"PASS","GAP")</x:f>
        <x:v>PASS</x:v>
      </x:c>
    </x:row>
    <x:row r="1087">
      <x:c r="B1087" t="str">
        <x:v>PL-1081</x:v>
      </x:c>
      <x:c r="C1087" t="str">
        <x:v>PLANNING</x:v>
      </x:c>
      <x:c r="D1087" t="str">
        <x:v>trial result</x:v>
      </x:c>
      <x:c r="E1087" t="str">
        <x:v>trial result 167</x:v>
      </x:c>
      <x:c r="F1087" t="n">
        <x:f>Controls!$D$41</x:f>
        <x:v>1</x:v>
      </x:c>
      <x:c r="G1087" t="n">
        <x:v>1</x:v>
      </x:c>
      <x:c r="H1087" t="str">
        <x:v>RAW design authority</x:v>
      </x:c>
      <x:c r="I1087" t="str">
        <x:f>IF(F1087=1,"PASS","GAP")</x:f>
        <x:v>PASS</x:v>
      </x:c>
    </x:row>
    <x:row r="1088">
      <x:c r="B1088" t="str">
        <x:v>PL-1082</x:v>
      </x:c>
      <x:c r="C1088" t="str">
        <x:v>PLANNING</x:v>
      </x:c>
      <x:c r="D1088" t="str">
        <x:v>trial result</x:v>
      </x:c>
      <x:c r="E1088" t="str">
        <x:v>trial result 168</x:v>
      </x:c>
      <x:c r="F1088" t="n">
        <x:f>Controls!$D$41</x:f>
        <x:v>1</x:v>
      </x:c>
      <x:c r="G1088" t="n">
        <x:v>1</x:v>
      </x:c>
      <x:c r="H1088" t="str">
        <x:v>RAW design authority</x:v>
      </x:c>
      <x:c r="I1088" t="str">
        <x:f>IF(F1088=1,"PASS","GAP")</x:f>
        <x:v>PASS</x:v>
      </x:c>
    </x:row>
    <x:row r="1089">
      <x:c r="B1089" t="str">
        <x:v>PL-1083</x:v>
      </x:c>
      <x:c r="C1089" t="str">
        <x:v>PLANNING</x:v>
      </x:c>
      <x:c r="D1089" t="str">
        <x:v>trial result</x:v>
      </x:c>
      <x:c r="E1089" t="str">
        <x:v>trial result 169</x:v>
      </x:c>
      <x:c r="F1089" t="n">
        <x:f>Controls!$D$41</x:f>
        <x:v>1</x:v>
      </x:c>
      <x:c r="G1089" t="n">
        <x:v>1</x:v>
      </x:c>
      <x:c r="H1089" t="str">
        <x:v>RAW design authority</x:v>
      </x:c>
      <x:c r="I1089" t="str">
        <x:f>IF(F1089=1,"PASS","GAP")</x:f>
        <x:v>PASS</x:v>
      </x:c>
    </x:row>
    <x:row r="1090">
      <x:c r="B1090" t="str">
        <x:v>PL-1084</x:v>
      </x:c>
      <x:c r="C1090" t="str">
        <x:v>PLANNING</x:v>
      </x:c>
      <x:c r="D1090" t="str">
        <x:v>trial result</x:v>
      </x:c>
      <x:c r="E1090" t="str">
        <x:v>trial result 170</x:v>
      </x:c>
      <x:c r="F1090" t="n">
        <x:f>Controls!$D$41</x:f>
        <x:v>1</x:v>
      </x:c>
      <x:c r="G1090" t="n">
        <x:v>1</x:v>
      </x:c>
      <x:c r="H1090" t="str">
        <x:v>RAW design authority</x:v>
      </x:c>
      <x:c r="I1090" t="str">
        <x:f>IF(F1090=1,"PASS","GAP")</x:f>
        <x:v>PASS</x:v>
      </x:c>
    </x:row>
    <x:row r="1091">
      <x:c r="B1091" t="str">
        <x:v>PL-1085</x:v>
      </x:c>
      <x:c r="C1091" t="str">
        <x:v>PLANNING</x:v>
      </x:c>
      <x:c r="D1091" t="str">
        <x:v>trial result</x:v>
      </x:c>
      <x:c r="E1091" t="str">
        <x:v>trial result 171</x:v>
      </x:c>
      <x:c r="F1091" t="n">
        <x:f>Controls!$D$41</x:f>
        <x:v>1</x:v>
      </x:c>
      <x:c r="G1091" t="n">
        <x:v>1</x:v>
      </x:c>
      <x:c r="H1091" t="str">
        <x:v>RAW design authority</x:v>
      </x:c>
      <x:c r="I1091" t="str">
        <x:f>IF(F1091=1,"PASS","GAP")</x:f>
        <x:v>PASS</x:v>
      </x:c>
    </x:row>
    <x:row r="1092">
      <x:c r="B1092" t="str">
        <x:v>PL-1086</x:v>
      </x:c>
      <x:c r="C1092" t="str">
        <x:v>PLANNING</x:v>
      </x:c>
      <x:c r="D1092" t="str">
        <x:v>trial result</x:v>
      </x:c>
      <x:c r="E1092" t="str">
        <x:v>trial result 172</x:v>
      </x:c>
      <x:c r="F1092" t="n">
        <x:f>Controls!$D$41</x:f>
        <x:v>1</x:v>
      </x:c>
      <x:c r="G1092" t="n">
        <x:v>1</x:v>
      </x:c>
      <x:c r="H1092" t="str">
        <x:v>RAW design authority</x:v>
      </x:c>
      <x:c r="I1092" t="str">
        <x:f>IF(F1092=1,"PASS","GAP")</x:f>
        <x:v>PASS</x:v>
      </x:c>
    </x:row>
    <x:row r="1093">
      <x:c r="B1093" t="str">
        <x:v>PL-1087</x:v>
      </x:c>
      <x:c r="C1093" t="str">
        <x:v>PLANNING</x:v>
      </x:c>
      <x:c r="D1093" t="str">
        <x:v>trial result</x:v>
      </x:c>
      <x:c r="E1093" t="str">
        <x:v>trial result 173</x:v>
      </x:c>
      <x:c r="F1093" t="n">
        <x:f>Controls!$D$41</x:f>
        <x:v>1</x:v>
      </x:c>
      <x:c r="G1093" t="n">
        <x:v>1</x:v>
      </x:c>
      <x:c r="H1093" t="str">
        <x:v>RAW design authority</x:v>
      </x:c>
      <x:c r="I1093" t="str">
        <x:f>IF(F1093=1,"PASS","GAP")</x:f>
        <x:v>PASS</x:v>
      </x:c>
    </x:row>
    <x:row r="1094">
      <x:c r="B1094" t="str">
        <x:v>PL-1088</x:v>
      </x:c>
      <x:c r="C1094" t="str">
        <x:v>PLANNING</x:v>
      </x:c>
      <x:c r="D1094" t="str">
        <x:v>trial result</x:v>
      </x:c>
      <x:c r="E1094" t="str">
        <x:v>trial result 174</x:v>
      </x:c>
      <x:c r="F1094" t="n">
        <x:f>Controls!$D$41</x:f>
        <x:v>1</x:v>
      </x:c>
      <x:c r="G1094" t="n">
        <x:v>1</x:v>
      </x:c>
      <x:c r="H1094" t="str">
        <x:v>RAW design authority</x:v>
      </x:c>
      <x:c r="I1094" t="str">
        <x:f>IF(F1094=1,"PASS","GAP")</x:f>
        <x:v>PASS</x:v>
      </x:c>
    </x:row>
    <x:row r="1095">
      <x:c r="B1095" t="str">
        <x:v>PL-1089</x:v>
      </x:c>
      <x:c r="C1095" t="str">
        <x:v>PLANNING</x:v>
      </x:c>
      <x:c r="D1095" t="str">
        <x:v>trial result</x:v>
      </x:c>
      <x:c r="E1095" t="str">
        <x:v>trial result 175</x:v>
      </x:c>
      <x:c r="F1095" t="n">
        <x:f>Controls!$D$41</x:f>
        <x:v>1</x:v>
      </x:c>
      <x:c r="G1095" t="n">
        <x:v>1</x:v>
      </x:c>
      <x:c r="H1095" t="str">
        <x:v>RAW design authority</x:v>
      </x:c>
      <x:c r="I1095" t="str">
        <x:f>IF(F1095=1,"PASS","GAP")</x:f>
        <x:v>PASS</x:v>
      </x:c>
    </x:row>
    <x:row r="1096">
      <x:c r="B1096" t="str">
        <x:v>PL-1090</x:v>
      </x:c>
      <x:c r="C1096" t="str">
        <x:v>PLANNING</x:v>
      </x:c>
      <x:c r="D1096" t="str">
        <x:v>trial result</x:v>
      </x:c>
      <x:c r="E1096" t="str">
        <x:v>trial result 176</x:v>
      </x:c>
      <x:c r="F1096" t="n">
        <x:f>Controls!$D$41</x:f>
        <x:v>1</x:v>
      </x:c>
      <x:c r="G1096" t="n">
        <x:v>1</x:v>
      </x:c>
      <x:c r="H1096" t="str">
        <x:v>RAW design authority</x:v>
      </x:c>
      <x:c r="I1096" t="str">
        <x:f>IF(F1096=1,"PASS","GAP")</x:f>
        <x:v>PASS</x:v>
      </x:c>
    </x:row>
    <x:row r="1097">
      <x:c r="B1097" t="str">
        <x:v>PL-1091</x:v>
      </x:c>
      <x:c r="C1097" t="str">
        <x:v>PLANNING</x:v>
      </x:c>
      <x:c r="D1097" t="str">
        <x:v>trial result</x:v>
      </x:c>
      <x:c r="E1097" t="str">
        <x:v>trial result 177</x:v>
      </x:c>
      <x:c r="F1097" t="n">
        <x:f>Controls!$D$41</x:f>
        <x:v>1</x:v>
      </x:c>
      <x:c r="G1097" t="n">
        <x:v>1</x:v>
      </x:c>
      <x:c r="H1097" t="str">
        <x:v>RAW design authority</x:v>
      </x:c>
      <x:c r="I1097" t="str">
        <x:f>IF(F1097=1,"PASS","GAP")</x:f>
        <x:v>PASS</x:v>
      </x:c>
    </x:row>
    <x:row r="1098">
      <x:c r="B1098" t="str">
        <x:v>PL-1092</x:v>
      </x:c>
      <x:c r="C1098" t="str">
        <x:v>PLANNING</x:v>
      </x:c>
      <x:c r="D1098" t="str">
        <x:v>trial result</x:v>
      </x:c>
      <x:c r="E1098" t="str">
        <x:v>trial result 178</x:v>
      </x:c>
      <x:c r="F1098" t="n">
        <x:f>Controls!$D$41</x:f>
        <x:v>1</x:v>
      </x:c>
      <x:c r="G1098" t="n">
        <x:v>1</x:v>
      </x:c>
      <x:c r="H1098" t="str">
        <x:v>RAW design authority</x:v>
      </x:c>
      <x:c r="I1098" t="str">
        <x:f>IF(F1098=1,"PASS","GAP")</x:f>
        <x:v>PASS</x:v>
      </x:c>
    </x:row>
    <x:row r="1099">
      <x:c r="B1099" t="str">
        <x:v>PL-1093</x:v>
      </x:c>
      <x:c r="C1099" t="str">
        <x:v>PLANNING</x:v>
      </x:c>
      <x:c r="D1099" t="str">
        <x:v>trial result</x:v>
      </x:c>
      <x:c r="E1099" t="str">
        <x:v>trial result 179</x:v>
      </x:c>
      <x:c r="F1099" t="n">
        <x:f>Controls!$D$41</x:f>
        <x:v>1</x:v>
      </x:c>
      <x:c r="G1099" t="n">
        <x:v>1</x:v>
      </x:c>
      <x:c r="H1099" t="str">
        <x:v>RAW design authority</x:v>
      </x:c>
      <x:c r="I1099" t="str">
        <x:f>IF(F1099=1,"PASS","GAP")</x:f>
        <x:v>PASS</x:v>
      </x:c>
    </x:row>
    <x:row r="1100">
      <x:c r="B1100" t="str">
        <x:v>PL-1094</x:v>
      </x:c>
      <x:c r="C1100" t="str">
        <x:v>PLANNING</x:v>
      </x:c>
      <x:c r="D1100" t="str">
        <x:v>trial result</x:v>
      </x:c>
      <x:c r="E1100" t="str">
        <x:v>trial result 180</x:v>
      </x:c>
      <x:c r="F1100" t="n">
        <x:f>Controls!$D$41</x:f>
        <x:v>1</x:v>
      </x:c>
      <x:c r="G1100" t="n">
        <x:v>1</x:v>
      </x:c>
      <x:c r="H1100" t="str">
        <x:v>RAW design authority</x:v>
      </x:c>
      <x:c r="I1100" t="str">
        <x:f>IF(F1100=1,"PASS","GAP")</x:f>
        <x:v>PASS</x:v>
      </x:c>
    </x:row>
    <x:row r="1101">
      <x:c r="B1101" t="str">
        <x:v>PL-1095</x:v>
      </x:c>
      <x:c r="C1101" t="str">
        <x:v>PLANNING</x:v>
      </x:c>
      <x:c r="D1101" t="str">
        <x:v>trial result</x:v>
      </x:c>
      <x:c r="E1101" t="str">
        <x:v>trial result 181</x:v>
      </x:c>
      <x:c r="F1101" t="n">
        <x:f>Controls!$D$41</x:f>
        <x:v>1</x:v>
      </x:c>
      <x:c r="G1101" t="n">
        <x:v>1</x:v>
      </x:c>
      <x:c r="H1101" t="str">
        <x:v>RAW design authority</x:v>
      </x:c>
      <x:c r="I1101" t="str">
        <x:f>IF(F1101=1,"PASS","GAP")</x:f>
        <x:v>PASS</x:v>
      </x:c>
    </x:row>
    <x:row r="1102">
      <x:c r="B1102" t="str">
        <x:v>PL-1096</x:v>
      </x:c>
      <x:c r="C1102" t="str">
        <x:v>PLANNING</x:v>
      </x:c>
      <x:c r="D1102" t="str">
        <x:v>trial result</x:v>
      </x:c>
      <x:c r="E1102" t="str">
        <x:v>trial result 182</x:v>
      </x:c>
      <x:c r="F1102" t="n">
        <x:f>Controls!$D$41</x:f>
        <x:v>1</x:v>
      </x:c>
      <x:c r="G1102" t="n">
        <x:v>1</x:v>
      </x:c>
      <x:c r="H1102" t="str">
        <x:v>RAW design authority</x:v>
      </x:c>
      <x:c r="I1102" t="str">
        <x:f>IF(F1102=1,"PASS","GAP")</x:f>
        <x:v>PASS</x:v>
      </x:c>
    </x:row>
    <x:row r="1103">
      <x:c r="B1103" t="str">
        <x:v>PL-1097</x:v>
      </x:c>
      <x:c r="C1103" t="str">
        <x:v>PLANNING</x:v>
      </x:c>
      <x:c r="D1103" t="str">
        <x:v>trial result</x:v>
      </x:c>
      <x:c r="E1103" t="str">
        <x:v>trial result 183</x:v>
      </x:c>
      <x:c r="F1103" t="n">
        <x:f>Controls!$D$41</x:f>
        <x:v>1</x:v>
      </x:c>
      <x:c r="G1103" t="n">
        <x:v>1</x:v>
      </x:c>
      <x:c r="H1103" t="str">
        <x:v>RAW design authority</x:v>
      </x:c>
      <x:c r="I1103" t="str">
        <x:f>IF(F1103=1,"PASS","GAP")</x:f>
        <x:v>PASS</x:v>
      </x:c>
    </x:row>
    <x:row r="1104">
      <x:c r="B1104" t="str">
        <x:v>PL-1098</x:v>
      </x:c>
      <x:c r="C1104" t="str">
        <x:v>PLANNING</x:v>
      </x:c>
      <x:c r="D1104" t="str">
        <x:v>trial result</x:v>
      </x:c>
      <x:c r="E1104" t="str">
        <x:v>trial result 184</x:v>
      </x:c>
      <x:c r="F1104" t="n">
        <x:f>Controls!$D$41</x:f>
        <x:v>1</x:v>
      </x:c>
      <x:c r="G1104" t="n">
        <x:v>1</x:v>
      </x:c>
      <x:c r="H1104" t="str">
        <x:v>RAW design authority</x:v>
      </x:c>
      <x:c r="I1104" t="str">
        <x:f>IF(F1104=1,"PASS","GAP")</x:f>
        <x:v>PASS</x:v>
      </x:c>
    </x:row>
    <x:row r="1105">
      <x:c r="B1105" t="str">
        <x:v>PL-1099</x:v>
      </x:c>
      <x:c r="C1105" t="str">
        <x:v>PLANNING</x:v>
      </x:c>
      <x:c r="D1105" t="str">
        <x:v>trial result</x:v>
      </x:c>
      <x:c r="E1105" t="str">
        <x:v>trial result 185</x:v>
      </x:c>
      <x:c r="F1105" t="n">
        <x:f>Controls!$D$41</x:f>
        <x:v>1</x:v>
      </x:c>
      <x:c r="G1105" t="n">
        <x:v>1</x:v>
      </x:c>
      <x:c r="H1105" t="str">
        <x:v>RAW design authority</x:v>
      </x:c>
      <x:c r="I1105" t="str">
        <x:f>IF(F1105=1,"PASS","GAP")</x:f>
        <x:v>PASS</x:v>
      </x:c>
    </x:row>
    <x:row r="1106">
      <x:c r="B1106" t="str">
        <x:v>PL-1100</x:v>
      </x:c>
      <x:c r="C1106" t="str">
        <x:v>PLANNING</x:v>
      </x:c>
      <x:c r="D1106" t="str">
        <x:v>trial result</x:v>
      </x:c>
      <x:c r="E1106" t="str">
        <x:v>trial result 186</x:v>
      </x:c>
      <x:c r="F1106" t="n">
        <x:f>Controls!$D$41</x:f>
        <x:v>1</x:v>
      </x:c>
      <x:c r="G1106" t="n">
        <x:v>1</x:v>
      </x:c>
      <x:c r="H1106" t="str">
        <x:v>RAW design authority</x:v>
      </x:c>
      <x:c r="I1106" t="str">
        <x:f>IF(F1106=1,"PASS","GAP")</x:f>
        <x:v>PASS</x:v>
      </x:c>
    </x:row>
    <x:row r="1107">
      <x:c r="B1107" t="str">
        <x:v>PL-1101</x:v>
      </x:c>
      <x:c r="C1107" t="str">
        <x:v>PLANNING</x:v>
      </x:c>
      <x:c r="D1107" t="str">
        <x:v>trial result</x:v>
      </x:c>
      <x:c r="E1107" t="str">
        <x:v>trial result 187</x:v>
      </x:c>
      <x:c r="F1107" t="n">
        <x:f>Controls!$D$41</x:f>
        <x:v>1</x:v>
      </x:c>
      <x:c r="G1107" t="n">
        <x:v>1</x:v>
      </x:c>
      <x:c r="H1107" t="str">
        <x:v>RAW design authority</x:v>
      </x:c>
      <x:c r="I1107" t="str">
        <x:f>IF(F1107=1,"PASS","GAP")</x:f>
        <x:v>PASS</x:v>
      </x:c>
    </x:row>
    <x:row r="1108">
      <x:c r="B1108" t="str">
        <x:v>PL-1102</x:v>
      </x:c>
      <x:c r="C1108" t="str">
        <x:v>PLANNING</x:v>
      </x:c>
      <x:c r="D1108" t="str">
        <x:v>trial result</x:v>
      </x:c>
      <x:c r="E1108" t="str">
        <x:v>trial result 188</x:v>
      </x:c>
      <x:c r="F1108" t="n">
        <x:f>Controls!$D$41</x:f>
        <x:v>1</x:v>
      </x:c>
      <x:c r="G1108" t="n">
        <x:v>1</x:v>
      </x:c>
      <x:c r="H1108" t="str">
        <x:v>RAW design authority</x:v>
      </x:c>
      <x:c r="I1108" t="str">
        <x:f>IF(F1108=1,"PASS","GAP")</x:f>
        <x:v>PASS</x:v>
      </x:c>
    </x:row>
    <x:row r="1109">
      <x:c r="B1109" t="str">
        <x:v>PL-1103</x:v>
      </x:c>
      <x:c r="C1109" t="str">
        <x:v>PLANNING</x:v>
      </x:c>
      <x:c r="D1109" t="str">
        <x:v>trial result</x:v>
      </x:c>
      <x:c r="E1109" t="str">
        <x:v>trial result 189</x:v>
      </x:c>
      <x:c r="F1109" t="n">
        <x:f>Controls!$D$41</x:f>
        <x:v>1</x:v>
      </x:c>
      <x:c r="G1109" t="n">
        <x:v>1</x:v>
      </x:c>
      <x:c r="H1109" t="str">
        <x:v>RAW design authority</x:v>
      </x:c>
      <x:c r="I1109" t="str">
        <x:f>IF(F1109=1,"PASS","GAP")</x:f>
        <x:v>PASS</x:v>
      </x:c>
    </x:row>
    <x:row r="1110">
      <x:c r="B1110" t="str">
        <x:v>PL-1104</x:v>
      </x:c>
      <x:c r="C1110" t="str">
        <x:v>PLANNING</x:v>
      </x:c>
      <x:c r="D1110" t="str">
        <x:v>trial result</x:v>
      </x:c>
      <x:c r="E1110" t="str">
        <x:v>trial result 190</x:v>
      </x:c>
      <x:c r="F1110" t="n">
        <x:f>Controls!$D$41</x:f>
        <x:v>1</x:v>
      </x:c>
      <x:c r="G1110" t="n">
        <x:v>1</x:v>
      </x:c>
      <x:c r="H1110" t="str">
        <x:v>RAW design authority</x:v>
      </x:c>
      <x:c r="I1110" t="str">
        <x:f>IF(F1110=1,"PASS","GAP")</x:f>
        <x:v>PASS</x:v>
      </x:c>
    </x:row>
    <x:row r="1111">
      <x:c r="B1111" t="str">
        <x:v>PL-1105</x:v>
      </x:c>
      <x:c r="C1111" t="str">
        <x:v>PLANNING</x:v>
      </x:c>
      <x:c r="D1111" t="str">
        <x:v>trial result</x:v>
      </x:c>
      <x:c r="E1111" t="str">
        <x:v>trial result 191</x:v>
      </x:c>
      <x:c r="F1111" t="n">
        <x:f>Controls!$D$41</x:f>
        <x:v>1</x:v>
      </x:c>
      <x:c r="G1111" t="n">
        <x:v>1</x:v>
      </x:c>
      <x:c r="H1111" t="str">
        <x:v>RAW design authority</x:v>
      </x:c>
      <x:c r="I1111" t="str">
        <x:f>IF(F1111=1,"PASS","GAP")</x:f>
        <x:v>PASS</x:v>
      </x:c>
    </x:row>
    <x:row r="1112">
      <x:c r="B1112" t="str">
        <x:v>PL-1106</x:v>
      </x:c>
      <x:c r="C1112" t="str">
        <x:v>PLANNING</x:v>
      </x:c>
      <x:c r="D1112" t="str">
        <x:v>trial result</x:v>
      </x:c>
      <x:c r="E1112" t="str">
        <x:v>trial result 192</x:v>
      </x:c>
      <x:c r="F1112" t="n">
        <x:f>Controls!$D$41</x:f>
        <x:v>1</x:v>
      </x:c>
      <x:c r="G1112" t="n">
        <x:v>1</x:v>
      </x:c>
      <x:c r="H1112" t="str">
        <x:v>RAW design authority</x:v>
      </x:c>
      <x:c r="I1112" t="str">
        <x:f>IF(F1112=1,"PASS","GAP")</x:f>
        <x:v>PASS</x:v>
      </x:c>
    </x:row>
    <x:row r="1113">
      <x:c r="B1113" t="str">
        <x:v>PL-1107</x:v>
      </x:c>
      <x:c r="C1113" t="str">
        <x:v>PLANNING</x:v>
      </x:c>
      <x:c r="D1113" t="str">
        <x:v>trial result</x:v>
      </x:c>
      <x:c r="E1113" t="str">
        <x:v>trial result 193</x:v>
      </x:c>
      <x:c r="F1113" t="n">
        <x:f>Controls!$D$41</x:f>
        <x:v>1</x:v>
      </x:c>
      <x:c r="G1113" t="n">
        <x:v>1</x:v>
      </x:c>
      <x:c r="H1113" t="str">
        <x:v>RAW design authority</x:v>
      </x:c>
      <x:c r="I1113" t="str">
        <x:f>IF(F1113=1,"PASS","GAP")</x:f>
        <x:v>PASS</x:v>
      </x:c>
    </x:row>
    <x:row r="1114">
      <x:c r="B1114" t="str">
        <x:v>PL-1108</x:v>
      </x:c>
      <x:c r="C1114" t="str">
        <x:v>PLANNING</x:v>
      </x:c>
      <x:c r="D1114" t="str">
        <x:v>trial result</x:v>
      </x:c>
      <x:c r="E1114" t="str">
        <x:v>trial result 194</x:v>
      </x:c>
      <x:c r="F1114" t="n">
        <x:f>Controls!$D$41</x:f>
        <x:v>1</x:v>
      </x:c>
      <x:c r="G1114" t="n">
        <x:v>1</x:v>
      </x:c>
      <x:c r="H1114" t="str">
        <x:v>RAW design authority</x:v>
      </x:c>
      <x:c r="I1114" t="str">
        <x:f>IF(F1114=1,"PASS","GAP")</x:f>
        <x:v>PASS</x:v>
      </x:c>
    </x:row>
    <x:row r="1115">
      <x:c r="B1115" t="str">
        <x:v>PL-1109</x:v>
      </x:c>
      <x:c r="C1115" t="str">
        <x:v>PLANNING</x:v>
      </x:c>
      <x:c r="D1115" t="str">
        <x:v>trial result</x:v>
      </x:c>
      <x:c r="E1115" t="str">
        <x:v>trial result 195</x:v>
      </x:c>
      <x:c r="F1115" t="n">
        <x:f>Controls!$D$41</x:f>
        <x:v>1</x:v>
      </x:c>
      <x:c r="G1115" t="n">
        <x:v>1</x:v>
      </x:c>
      <x:c r="H1115" t="str">
        <x:v>RAW design authority</x:v>
      </x:c>
      <x:c r="I1115" t="str">
        <x:f>IF(F1115=1,"PASS","GAP")</x:f>
        <x:v>PASS</x:v>
      </x:c>
    </x:row>
    <x:row r="1116">
      <x:c r="B1116" t="str">
        <x:v>PL-1110</x:v>
      </x:c>
      <x:c r="C1116" t="str">
        <x:v>PLANNING</x:v>
      </x:c>
      <x:c r="D1116" t="str">
        <x:v>trial result</x:v>
      </x:c>
      <x:c r="E1116" t="str">
        <x:v>trial result 196</x:v>
      </x:c>
      <x:c r="F1116" t="n">
        <x:f>Controls!$D$41</x:f>
        <x:v>1</x:v>
      </x:c>
      <x:c r="G1116" t="n">
        <x:v>1</x:v>
      </x:c>
      <x:c r="H1116" t="str">
        <x:v>RAW design authority</x:v>
      </x:c>
      <x:c r="I1116" t="str">
        <x:f>IF(F1116=1,"PASS","GAP")</x:f>
        <x:v>PASS</x:v>
      </x:c>
    </x:row>
    <x:row r="1117">
      <x:c r="B1117" t="str">
        <x:v>PL-1111</x:v>
      </x:c>
      <x:c r="C1117" t="str">
        <x:v>PLANNING</x:v>
      </x:c>
      <x:c r="D1117" t="str">
        <x:v>trial result</x:v>
      </x:c>
      <x:c r="E1117" t="str">
        <x:v>trial result 197</x:v>
      </x:c>
      <x:c r="F1117" t="n">
        <x:f>Controls!$D$41</x:f>
        <x:v>1</x:v>
      </x:c>
      <x:c r="G1117" t="n">
        <x:v>1</x:v>
      </x:c>
      <x:c r="H1117" t="str">
        <x:v>RAW design authority</x:v>
      </x:c>
      <x:c r="I1117" t="str">
        <x:f>IF(F1117=1,"PASS","GAP")</x:f>
        <x:v>PASS</x:v>
      </x:c>
    </x:row>
    <x:row r="1118">
      <x:c r="B1118" t="str">
        <x:v>PL-1112</x:v>
      </x:c>
      <x:c r="C1118" t="str">
        <x:v>PLANNING</x:v>
      </x:c>
      <x:c r="D1118" t="str">
        <x:v>trial result</x:v>
      </x:c>
      <x:c r="E1118" t="str">
        <x:v>trial result 198</x:v>
      </x:c>
      <x:c r="F1118" t="n">
        <x:f>Controls!$D$41</x:f>
        <x:v>1</x:v>
      </x:c>
      <x:c r="G1118" t="n">
        <x:v>1</x:v>
      </x:c>
      <x:c r="H1118" t="str">
        <x:v>RAW design authority</x:v>
      </x:c>
      <x:c r="I1118" t="str">
        <x:f>IF(F1118=1,"PASS","GAP")</x:f>
        <x:v>PASS</x:v>
      </x:c>
    </x:row>
    <x:row r="1119">
      <x:c r="B1119" t="str">
        <x:v>PL-1113</x:v>
      </x:c>
      <x:c r="C1119" t="str">
        <x:v>PLANNING</x:v>
      </x:c>
      <x:c r="D1119" t="str">
        <x:v>trial result</x:v>
      </x:c>
      <x:c r="E1119" t="str">
        <x:v>trial result 199</x:v>
      </x:c>
      <x:c r="F1119" t="n">
        <x:f>Controls!$D$41</x:f>
        <x:v>1</x:v>
      </x:c>
      <x:c r="G1119" t="n">
        <x:v>1</x:v>
      </x:c>
      <x:c r="H1119" t="str">
        <x:v>RAW design authority</x:v>
      </x:c>
      <x:c r="I1119" t="str">
        <x:f>IF(F1119=1,"PASS","GAP")</x:f>
        <x:v>PASS</x:v>
      </x:c>
    </x:row>
    <x:row r="1120">
      <x:c r="B1120" t="str">
        <x:v>PL-1114</x:v>
      </x:c>
      <x:c r="C1120" t="str">
        <x:v>PLANNING</x:v>
      </x:c>
      <x:c r="D1120" t="str">
        <x:v>trial result</x:v>
      </x:c>
      <x:c r="E1120" t="str">
        <x:v>trial result 200</x:v>
      </x:c>
      <x:c r="F1120" t="n">
        <x:f>Controls!$D$41</x:f>
        <x:v>1</x:v>
      </x:c>
      <x:c r="G1120" t="n">
        <x:v>1</x:v>
      </x:c>
      <x:c r="H1120" t="str">
        <x:v>RAW design authority</x:v>
      </x:c>
      <x:c r="I1120" t="str">
        <x:f>IF(F1120=1,"PASS","GAP")</x:f>
        <x:v>PASS</x:v>
      </x:c>
    </x:row>
    <x:row r="1121">
      <x:c r="B1121" t="str">
        <x:v>PL-1115</x:v>
      </x:c>
      <x:c r="C1121" t="str">
        <x:v>PLANNING</x:v>
      </x:c>
      <x:c r="D1121" t="str">
        <x:v>trial result</x:v>
      </x:c>
      <x:c r="E1121" t="str">
        <x:v>trial result 201</x:v>
      </x:c>
      <x:c r="F1121" t="n">
        <x:f>Controls!$D$41</x:f>
        <x:v>1</x:v>
      </x:c>
      <x:c r="G1121" t="n">
        <x:v>1</x:v>
      </x:c>
      <x:c r="H1121" t="str">
        <x:v>RAW design authority</x:v>
      </x:c>
      <x:c r="I1121" t="str">
        <x:f>IF(F1121=1,"PASS","GAP")</x:f>
        <x:v>PASS</x:v>
      </x:c>
    </x:row>
    <x:row r="1122">
      <x:c r="B1122" t="str">
        <x:v>PL-1116</x:v>
      </x:c>
      <x:c r="C1122" t="str">
        <x:v>PLANNING</x:v>
      </x:c>
      <x:c r="D1122" t="str">
        <x:v>trial result</x:v>
      </x:c>
      <x:c r="E1122" t="str">
        <x:v>trial result 202</x:v>
      </x:c>
      <x:c r="F1122" t="n">
        <x:f>Controls!$D$41</x:f>
        <x:v>1</x:v>
      </x:c>
      <x:c r="G1122" t="n">
        <x:v>1</x:v>
      </x:c>
      <x:c r="H1122" t="str">
        <x:v>RAW design authority</x:v>
      </x:c>
      <x:c r="I1122" t="str">
        <x:f>IF(F1122=1,"PASS","GAP")</x:f>
        <x:v>PASS</x:v>
      </x:c>
    </x:row>
    <x:row r="1123">
      <x:c r="B1123" t="str">
        <x:v>PL-1117</x:v>
      </x:c>
      <x:c r="C1123" t="str">
        <x:v>PLANNING</x:v>
      </x:c>
      <x:c r="D1123" t="str">
        <x:v>trial result</x:v>
      </x:c>
      <x:c r="E1123" t="str">
        <x:v>trial result 203</x:v>
      </x:c>
      <x:c r="F1123" t="n">
        <x:f>Controls!$D$41</x:f>
        <x:v>1</x:v>
      </x:c>
      <x:c r="G1123" t="n">
        <x:v>1</x:v>
      </x:c>
      <x:c r="H1123" t="str">
        <x:v>RAW design authority</x:v>
      </x:c>
      <x:c r="I1123" t="str">
        <x:f>IF(F1123=1,"PASS","GAP")</x:f>
        <x:v>PASS</x:v>
      </x:c>
    </x:row>
    <x:row r="1124">
      <x:c r="B1124" t="str">
        <x:v>PL-1118</x:v>
      </x:c>
      <x:c r="C1124" t="str">
        <x:v>PLANNING</x:v>
      </x:c>
      <x:c r="D1124" t="str">
        <x:v>trial result</x:v>
      </x:c>
      <x:c r="E1124" t="str">
        <x:v>trial result 204</x:v>
      </x:c>
      <x:c r="F1124" t="n">
        <x:f>Controls!$D$41</x:f>
        <x:v>1</x:v>
      </x:c>
      <x:c r="G1124" t="n">
        <x:v>1</x:v>
      </x:c>
      <x:c r="H1124" t="str">
        <x:v>RAW design authority</x:v>
      </x:c>
      <x:c r="I1124" t="str">
        <x:f>IF(F1124=1,"PASS","GAP")</x:f>
        <x:v>PASS</x:v>
      </x:c>
    </x:row>
    <x:row r="1125">
      <x:c r="B1125" t="str">
        <x:v>PL-1119</x:v>
      </x:c>
      <x:c r="C1125" t="str">
        <x:v>PLANNING</x:v>
      </x:c>
      <x:c r="D1125" t="str">
        <x:v>trial result</x:v>
      </x:c>
      <x:c r="E1125" t="str">
        <x:v>trial result 205</x:v>
      </x:c>
      <x:c r="F1125" t="n">
        <x:f>Controls!$D$41</x:f>
        <x:v>1</x:v>
      </x:c>
      <x:c r="G1125" t="n">
        <x:v>1</x:v>
      </x:c>
      <x:c r="H1125" t="str">
        <x:v>RAW design authority</x:v>
      </x:c>
      <x:c r="I1125" t="str">
        <x:f>IF(F1125=1,"PASS","GAP")</x:f>
        <x:v>PASS</x:v>
      </x:c>
    </x:row>
    <x:row r="1126">
      <x:c r="B1126" t="str">
        <x:v>PL-1120</x:v>
      </x:c>
      <x:c r="C1126" t="str">
        <x:v>PLANNING</x:v>
      </x:c>
      <x:c r="D1126" t="str">
        <x:v>trial result</x:v>
      </x:c>
      <x:c r="E1126" t="str">
        <x:v>trial result 206</x:v>
      </x:c>
      <x:c r="F1126" t="n">
        <x:f>Controls!$D$41</x:f>
        <x:v>1</x:v>
      </x:c>
      <x:c r="G1126" t="n">
        <x:v>1</x:v>
      </x:c>
      <x:c r="H1126" t="str">
        <x:v>RAW design authority</x:v>
      </x:c>
      <x:c r="I1126" t="str">
        <x:f>IF(F1126=1,"PASS","GAP")</x:f>
        <x:v>PASS</x:v>
      </x:c>
    </x:row>
    <x:row r="1127">
      <x:c r="B1127" t="str">
        <x:v>PL-1121</x:v>
      </x:c>
      <x:c r="C1127" t="str">
        <x:v>PLANNING</x:v>
      </x:c>
      <x:c r="D1127" t="str">
        <x:v>trial result</x:v>
      </x:c>
      <x:c r="E1127" t="str">
        <x:v>trial result 207</x:v>
      </x:c>
      <x:c r="F1127" t="n">
        <x:f>Controls!$D$41</x:f>
        <x:v>1</x:v>
      </x:c>
      <x:c r="G1127" t="n">
        <x:v>1</x:v>
      </x:c>
      <x:c r="H1127" t="str">
        <x:v>RAW design authority</x:v>
      </x:c>
      <x:c r="I1127" t="str">
        <x:f>IF(F1127=1,"PASS","GAP")</x:f>
        <x:v>PASS</x:v>
      </x:c>
    </x:row>
    <x:row r="1128">
      <x:c r="B1128" t="str">
        <x:v>PL-1122</x:v>
      </x:c>
      <x:c r="C1128" t="str">
        <x:v>PLANNING</x:v>
      </x:c>
      <x:c r="D1128" t="str">
        <x:v>trial result</x:v>
      </x:c>
      <x:c r="E1128" t="str">
        <x:v>trial result 208</x:v>
      </x:c>
      <x:c r="F1128" t="n">
        <x:f>Controls!$D$41</x:f>
        <x:v>1</x:v>
      </x:c>
      <x:c r="G1128" t="n">
        <x:v>1</x:v>
      </x:c>
      <x:c r="H1128" t="str">
        <x:v>RAW design authority</x:v>
      </x:c>
      <x:c r="I1128" t="str">
        <x:f>IF(F1128=1,"PASS","GAP")</x:f>
        <x:v>PASS</x:v>
      </x:c>
    </x:row>
    <x:row r="1129">
      <x:c r="B1129" t="str">
        <x:v>PL-1123</x:v>
      </x:c>
      <x:c r="C1129" t="str">
        <x:v>PLANNING</x:v>
      </x:c>
      <x:c r="D1129" t="str">
        <x:v>trial result</x:v>
      </x:c>
      <x:c r="E1129" t="str">
        <x:v>trial result 209</x:v>
      </x:c>
      <x:c r="F1129" t="n">
        <x:f>Controls!$D$41</x:f>
        <x:v>1</x:v>
      </x:c>
      <x:c r="G1129" t="n">
        <x:v>1</x:v>
      </x:c>
      <x:c r="H1129" t="str">
        <x:v>RAW design authority</x:v>
      </x:c>
      <x:c r="I1129" t="str">
        <x:f>IF(F1129=1,"PASS","GAP")</x:f>
        <x:v>PASS</x:v>
      </x:c>
    </x:row>
    <x:row r="1130">
      <x:c r="B1130" t="str">
        <x:v>PL-1124</x:v>
      </x:c>
      <x:c r="C1130" t="str">
        <x:v>PLANNING</x:v>
      </x:c>
      <x:c r="D1130" t="str">
        <x:v>trial result</x:v>
      </x:c>
      <x:c r="E1130" t="str">
        <x:v>trial result 210</x:v>
      </x:c>
      <x:c r="F1130" t="n">
        <x:f>Controls!$D$41</x:f>
        <x:v>1</x:v>
      </x:c>
      <x:c r="G1130" t="n">
        <x:v>1</x:v>
      </x:c>
      <x:c r="H1130" t="str">
        <x:v>RAW design authority</x:v>
      </x:c>
      <x:c r="I1130" t="str">
        <x:f>IF(F1130=1,"PASS","GAP")</x:f>
        <x:v>PASS</x:v>
      </x:c>
    </x:row>
    <x:row r="1131">
      <x:c r="B1131" t="str">
        <x:v>PL-1125</x:v>
      </x:c>
      <x:c r="C1131" t="str">
        <x:v>PLANNING</x:v>
      </x:c>
      <x:c r="D1131" t="str">
        <x:v>trial result</x:v>
      </x:c>
      <x:c r="E1131" t="str">
        <x:v>trial result 211</x:v>
      </x:c>
      <x:c r="F1131" t="n">
        <x:f>Controls!$D$41</x:f>
        <x:v>1</x:v>
      </x:c>
      <x:c r="G1131" t="n">
        <x:v>1</x:v>
      </x:c>
      <x:c r="H1131" t="str">
        <x:v>RAW design authority</x:v>
      </x:c>
      <x:c r="I1131" t="str">
        <x:f>IF(F1131=1,"PASS","GAP")</x:f>
        <x:v>PASS</x:v>
      </x:c>
    </x:row>
    <x:row r="1132">
      <x:c r="B1132" t="str">
        <x:v>PL-1126</x:v>
      </x:c>
      <x:c r="C1132" t="str">
        <x:v>PLANNING</x:v>
      </x:c>
      <x:c r="D1132" t="str">
        <x:v>trial result</x:v>
      </x:c>
      <x:c r="E1132" t="str">
        <x:v>trial result 212</x:v>
      </x:c>
      <x:c r="F1132" t="n">
        <x:f>Controls!$D$41</x:f>
        <x:v>1</x:v>
      </x:c>
      <x:c r="G1132" t="n">
        <x:v>1</x:v>
      </x:c>
      <x:c r="H1132" t="str">
        <x:v>RAW design authority</x:v>
      </x:c>
      <x:c r="I1132" t="str">
        <x:f>IF(F1132=1,"PASS","GAP")</x:f>
        <x:v>PASS</x:v>
      </x:c>
    </x:row>
    <x:row r="1133">
      <x:c r="B1133" t="str">
        <x:v>PL-1127</x:v>
      </x:c>
      <x:c r="C1133" t="str">
        <x:v>PLANNING</x:v>
      </x:c>
      <x:c r="D1133" t="str">
        <x:v>trial result</x:v>
      </x:c>
      <x:c r="E1133" t="str">
        <x:v>trial result 213</x:v>
      </x:c>
      <x:c r="F1133" t="n">
        <x:f>Controls!$D$41</x:f>
        <x:v>1</x:v>
      </x:c>
      <x:c r="G1133" t="n">
        <x:v>1</x:v>
      </x:c>
      <x:c r="H1133" t="str">
        <x:v>RAW design authority</x:v>
      </x:c>
      <x:c r="I1133" t="str">
        <x:f>IF(F1133=1,"PASS","GAP")</x:f>
        <x:v>PASS</x:v>
      </x:c>
    </x:row>
    <x:row r="1134">
      <x:c r="B1134" t="str">
        <x:v>PL-1128</x:v>
      </x:c>
      <x:c r="C1134" t="str">
        <x:v>PLANNING</x:v>
      </x:c>
      <x:c r="D1134" t="str">
        <x:v>trial result</x:v>
      </x:c>
      <x:c r="E1134" t="str">
        <x:v>trial result 214</x:v>
      </x:c>
      <x:c r="F1134" t="n">
        <x:f>Controls!$D$41</x:f>
        <x:v>1</x:v>
      </x:c>
      <x:c r="G1134" t="n">
        <x:v>1</x:v>
      </x:c>
      <x:c r="H1134" t="str">
        <x:v>RAW design authority</x:v>
      </x:c>
      <x:c r="I1134" t="str">
        <x:f>IF(F1134=1,"PASS","GAP")</x:f>
        <x:v>PASS</x:v>
      </x:c>
    </x:row>
    <x:row r="1135">
      <x:c r="B1135" t="str">
        <x:v>PL-1129</x:v>
      </x:c>
      <x:c r="C1135" t="str">
        <x:v>PLANNING</x:v>
      </x:c>
      <x:c r="D1135" t="str">
        <x:v>trial result</x:v>
      </x:c>
      <x:c r="E1135" t="str">
        <x:v>trial result 215</x:v>
      </x:c>
      <x:c r="F1135" t="n">
        <x:f>Controls!$D$41</x:f>
        <x:v>1</x:v>
      </x:c>
      <x:c r="G1135" t="n">
        <x:v>1</x:v>
      </x:c>
      <x:c r="H1135" t="str">
        <x:v>RAW design authority</x:v>
      </x:c>
      <x:c r="I1135" t="str">
        <x:f>IF(F1135=1,"PASS","GAP")</x:f>
        <x:v>PASS</x:v>
      </x:c>
    </x:row>
    <x:row r="1136">
      <x:c r="B1136" t="str">
        <x:v>PL-1130</x:v>
      </x:c>
      <x:c r="C1136" t="str">
        <x:v>PLANNING</x:v>
      </x:c>
      <x:c r="D1136" t="str">
        <x:v>trial result</x:v>
      </x:c>
      <x:c r="E1136" t="str">
        <x:v>trial result 216</x:v>
      </x:c>
      <x:c r="F1136" t="n">
        <x:f>Controls!$D$41</x:f>
        <x:v>1</x:v>
      </x:c>
      <x:c r="G1136" t="n">
        <x:v>1</x:v>
      </x:c>
      <x:c r="H1136" t="str">
        <x:v>RAW design authority</x:v>
      </x:c>
      <x:c r="I1136" t="str">
        <x:f>IF(F1136=1,"PASS","GAP")</x:f>
        <x:v>PASS</x:v>
      </x:c>
    </x:row>
    <x:row r="1137">
      <x:c r="B1137" t="str">
        <x:v>PL-1131</x:v>
      </x:c>
      <x:c r="C1137" t="str">
        <x:v>PLANNING</x:v>
      </x:c>
      <x:c r="D1137" t="str">
        <x:v>trial result</x:v>
      </x:c>
      <x:c r="E1137" t="str">
        <x:v>trial result 217</x:v>
      </x:c>
      <x:c r="F1137" t="n">
        <x:f>Controls!$D$41</x:f>
        <x:v>1</x:v>
      </x:c>
      <x:c r="G1137" t="n">
        <x:v>1</x:v>
      </x:c>
      <x:c r="H1137" t="str">
        <x:v>RAW design authority</x:v>
      </x:c>
      <x:c r="I1137" t="str">
        <x:f>IF(F1137=1,"PASS","GAP")</x:f>
        <x:v>PASS</x:v>
      </x:c>
    </x:row>
    <x:row r="1138">
      <x:c r="B1138" t="str">
        <x:v>PL-1132</x:v>
      </x:c>
      <x:c r="C1138" t="str">
        <x:v>PLANNING</x:v>
      </x:c>
      <x:c r="D1138" t="str">
        <x:v>trial result</x:v>
      </x:c>
      <x:c r="E1138" t="str">
        <x:v>trial result 218</x:v>
      </x:c>
      <x:c r="F1138" t="n">
        <x:f>Controls!$D$41</x:f>
        <x:v>1</x:v>
      </x:c>
      <x:c r="G1138" t="n">
        <x:v>1</x:v>
      </x:c>
      <x:c r="H1138" t="str">
        <x:v>RAW design authority</x:v>
      </x:c>
      <x:c r="I1138" t="str">
        <x:f>IF(F1138=1,"PASS","GAP")</x:f>
        <x:v>PASS</x:v>
      </x:c>
    </x:row>
    <x:row r="1139">
      <x:c r="B1139" t="str">
        <x:v>PL-1133</x:v>
      </x:c>
      <x:c r="C1139" t="str">
        <x:v>PLANNING</x:v>
      </x:c>
      <x:c r="D1139" t="str">
        <x:v>trial result</x:v>
      </x:c>
      <x:c r="E1139" t="str">
        <x:v>trial result 219</x:v>
      </x:c>
      <x:c r="F1139" t="n">
        <x:f>Controls!$D$41</x:f>
        <x:v>1</x:v>
      </x:c>
      <x:c r="G1139" t="n">
        <x:v>1</x:v>
      </x:c>
      <x:c r="H1139" t="str">
        <x:v>RAW design authority</x:v>
      </x:c>
      <x:c r="I1139" t="str">
        <x:f>IF(F1139=1,"PASS","GAP")</x:f>
        <x:v>PASS</x:v>
      </x:c>
    </x:row>
    <x:row r="1140">
      <x:c r="B1140" t="str">
        <x:v>PL-1134</x:v>
      </x:c>
      <x:c r="C1140" t="str">
        <x:v>PLANNING</x:v>
      </x:c>
      <x:c r="D1140" t="str">
        <x:v>trial result</x:v>
      </x:c>
      <x:c r="E1140" t="str">
        <x:v>trial result 220</x:v>
      </x:c>
      <x:c r="F1140" t="n">
        <x:f>Controls!$D$41</x:f>
        <x:v>1</x:v>
      </x:c>
      <x:c r="G1140" t="n">
        <x:v>1</x:v>
      </x:c>
      <x:c r="H1140" t="str">
        <x:v>RAW design authority</x:v>
      </x:c>
      <x:c r="I1140" t="str">
        <x:f>IF(F1140=1,"PASS","GAP")</x:f>
        <x:v>PASS</x:v>
      </x:c>
    </x:row>
    <x:row r="1141">
      <x:c r="B1141" t="str">
        <x:v>PL-1135</x:v>
      </x:c>
      <x:c r="C1141" t="str">
        <x:v>PLANNING</x:v>
      </x:c>
      <x:c r="D1141" t="str">
        <x:v>trial result</x:v>
      </x:c>
      <x:c r="E1141" t="str">
        <x:v>trial result 221</x:v>
      </x:c>
      <x:c r="F1141" t="n">
        <x:f>Controls!$D$41</x:f>
        <x:v>1</x:v>
      </x:c>
      <x:c r="G1141" t="n">
        <x:v>1</x:v>
      </x:c>
      <x:c r="H1141" t="str">
        <x:v>RAW design authority</x:v>
      </x:c>
      <x:c r="I1141" t="str">
        <x:f>IF(F1141=1,"PASS","GAP")</x:f>
        <x:v>PASS</x:v>
      </x:c>
    </x:row>
    <x:row r="1142">
      <x:c r="B1142" t="str">
        <x:v>PL-1136</x:v>
      </x:c>
      <x:c r="C1142" t="str">
        <x:v>PLANNING</x:v>
      </x:c>
      <x:c r="D1142" t="str">
        <x:v>trial result</x:v>
      </x:c>
      <x:c r="E1142" t="str">
        <x:v>trial result 222</x:v>
      </x:c>
      <x:c r="F1142" t="n">
        <x:f>Controls!$D$41</x:f>
        <x:v>1</x:v>
      </x:c>
      <x:c r="G1142" t="n">
        <x:v>1</x:v>
      </x:c>
      <x:c r="H1142" t="str">
        <x:v>RAW design authority</x:v>
      </x:c>
      <x:c r="I1142" t="str">
        <x:f>IF(F1142=1,"PASS","GAP")</x:f>
        <x:v>PASS</x:v>
      </x:c>
    </x:row>
    <x:row r="1143">
      <x:c r="B1143" t="str">
        <x:v>PL-1137</x:v>
      </x:c>
      <x:c r="C1143" t="str">
        <x:v>PLANNING</x:v>
      </x:c>
      <x:c r="D1143" t="str">
        <x:v>trial result</x:v>
      </x:c>
      <x:c r="E1143" t="str">
        <x:v>trial result 223</x:v>
      </x:c>
      <x:c r="F1143" t="n">
        <x:f>Controls!$D$41</x:f>
        <x:v>1</x:v>
      </x:c>
      <x:c r="G1143" t="n">
        <x:v>1</x:v>
      </x:c>
      <x:c r="H1143" t="str">
        <x:v>RAW design authority</x:v>
      </x:c>
      <x:c r="I1143" t="str">
        <x:f>IF(F1143=1,"PASS","GAP")</x:f>
        <x:v>PASS</x:v>
      </x:c>
    </x:row>
    <x:row r="1144">
      <x:c r="B1144" t="str">
        <x:v>PL-1138</x:v>
      </x:c>
      <x:c r="C1144" t="str">
        <x:v>PLANNING</x:v>
      </x:c>
      <x:c r="D1144" t="str">
        <x:v>trial result</x:v>
      </x:c>
      <x:c r="E1144" t="str">
        <x:v>trial result 224</x:v>
      </x:c>
      <x:c r="F1144" t="n">
        <x:f>Controls!$D$41</x:f>
        <x:v>1</x:v>
      </x:c>
      <x:c r="G1144" t="n">
        <x:v>1</x:v>
      </x:c>
      <x:c r="H1144" t="str">
        <x:v>RAW design authority</x:v>
      </x:c>
      <x:c r="I1144" t="str">
        <x:f>IF(F1144=1,"PASS","GAP")</x:f>
        <x:v>PASS</x:v>
      </x:c>
    </x:row>
    <x:row r="1145">
      <x:c r="B1145" t="str">
        <x:v>PL-1139</x:v>
      </x:c>
      <x:c r="C1145" t="str">
        <x:v>PLANNING</x:v>
      </x:c>
      <x:c r="D1145" t="str">
        <x:v>trial result</x:v>
      </x:c>
      <x:c r="E1145" t="str">
        <x:v>trial result 225</x:v>
      </x:c>
      <x:c r="F1145" t="n">
        <x:f>Controls!$D$41</x:f>
        <x:v>1</x:v>
      </x:c>
      <x:c r="G1145" t="n">
        <x:v>1</x:v>
      </x:c>
      <x:c r="H1145" t="str">
        <x:v>RAW design authority</x:v>
      </x:c>
      <x:c r="I1145" t="str">
        <x:f>IF(F1145=1,"PASS","GAP")</x:f>
        <x:v>PASS</x:v>
      </x:c>
    </x:row>
    <x:row r="1146">
      <x:c r="B1146" t="str">
        <x:v>PL-1140</x:v>
      </x:c>
      <x:c r="C1146" t="str">
        <x:v>PLANNING</x:v>
      </x:c>
      <x:c r="D1146" t="str">
        <x:v>trial result</x:v>
      </x:c>
      <x:c r="E1146" t="str">
        <x:v>trial result 226</x:v>
      </x:c>
      <x:c r="F1146" t="n">
        <x:f>Controls!$D$41</x:f>
        <x:v>1</x:v>
      </x:c>
      <x:c r="G1146" t="n">
        <x:v>1</x:v>
      </x:c>
      <x:c r="H1146" t="str">
        <x:v>RAW design authority</x:v>
      </x:c>
      <x:c r="I1146" t="str">
        <x:f>IF(F1146=1,"PASS","GAP")</x:f>
        <x:v>PASS</x:v>
      </x:c>
    </x:row>
    <x:row r="1147">
      <x:c r="B1147" t="str">
        <x:v>PL-1141</x:v>
      </x:c>
      <x:c r="C1147" t="str">
        <x:v>PLANNING</x:v>
      </x:c>
      <x:c r="D1147" t="str">
        <x:v>trial result</x:v>
      </x:c>
      <x:c r="E1147" t="str">
        <x:v>trial result 227</x:v>
      </x:c>
      <x:c r="F1147" t="n">
        <x:f>Controls!$D$41</x:f>
        <x:v>1</x:v>
      </x:c>
      <x:c r="G1147" t="n">
        <x:v>1</x:v>
      </x:c>
      <x:c r="H1147" t="str">
        <x:v>RAW design authority</x:v>
      </x:c>
      <x:c r="I1147" t="str">
        <x:f>IF(F1147=1,"PASS","GAP")</x:f>
        <x:v>PASS</x:v>
      </x:c>
    </x:row>
    <x:row r="1148">
      <x:c r="B1148" t="str">
        <x:v>PL-1142</x:v>
      </x:c>
      <x:c r="C1148" t="str">
        <x:v>PLANNING</x:v>
      </x:c>
      <x:c r="D1148" t="str">
        <x:v>trial result</x:v>
      </x:c>
      <x:c r="E1148" t="str">
        <x:v>trial result 228</x:v>
      </x:c>
      <x:c r="F1148" t="n">
        <x:f>Controls!$D$41</x:f>
        <x:v>1</x:v>
      </x:c>
      <x:c r="G1148" t="n">
        <x:v>1</x:v>
      </x:c>
      <x:c r="H1148" t="str">
        <x:v>RAW design authority</x:v>
      </x:c>
      <x:c r="I1148" t="str">
        <x:f>IF(F1148=1,"PASS","GAP")</x:f>
        <x:v>PASS</x:v>
      </x:c>
    </x:row>
    <x:row r="1149">
      <x:c r="B1149" t="str">
        <x:v>PL-1143</x:v>
      </x:c>
      <x:c r="C1149" t="str">
        <x:v>PLANNING</x:v>
      </x:c>
      <x:c r="D1149" t="str">
        <x:v>trial result</x:v>
      </x:c>
      <x:c r="E1149" t="str">
        <x:v>trial result 229</x:v>
      </x:c>
      <x:c r="F1149" t="n">
        <x:f>Controls!$D$41</x:f>
        <x:v>1</x:v>
      </x:c>
      <x:c r="G1149" t="n">
        <x:v>1</x:v>
      </x:c>
      <x:c r="H1149" t="str">
        <x:v>RAW design authority</x:v>
      </x:c>
      <x:c r="I1149" t="str">
        <x:f>IF(F1149=1,"PASS","GAP")</x:f>
        <x:v>PASS</x:v>
      </x:c>
    </x:row>
    <x:row r="1150">
      <x:c r="B1150" t="str">
        <x:v>PL-1144</x:v>
      </x:c>
      <x:c r="C1150" t="str">
        <x:v>PLANNING</x:v>
      </x:c>
      <x:c r="D1150" t="str">
        <x:v>trial result</x:v>
      </x:c>
      <x:c r="E1150" t="str">
        <x:v>trial result 230</x:v>
      </x:c>
      <x:c r="F1150" t="n">
        <x:f>Controls!$D$41</x:f>
        <x:v>1</x:v>
      </x:c>
      <x:c r="G1150" t="n">
        <x:v>1</x:v>
      </x:c>
      <x:c r="H1150" t="str">
        <x:v>RAW design authority</x:v>
      </x:c>
      <x:c r="I1150" t="str">
        <x:f>IF(F1150=1,"PASS","GAP")</x:f>
        <x:v>PASS</x:v>
      </x:c>
    </x:row>
    <x:row r="1151">
      <x:c r="B1151" t="str">
        <x:v>PL-1145</x:v>
      </x:c>
      <x:c r="C1151" t="str">
        <x:v>PLANNING</x:v>
      </x:c>
      <x:c r="D1151" t="str">
        <x:v>trial result</x:v>
      </x:c>
      <x:c r="E1151" t="str">
        <x:v>trial result 231</x:v>
      </x:c>
      <x:c r="F1151" t="n">
        <x:f>Controls!$D$41</x:f>
        <x:v>1</x:v>
      </x:c>
      <x:c r="G1151" t="n">
        <x:v>1</x:v>
      </x:c>
      <x:c r="H1151" t="str">
        <x:v>RAW design authority</x:v>
      </x:c>
      <x:c r="I1151" t="str">
        <x:f>IF(F1151=1,"PASS","GAP")</x:f>
        <x:v>PASS</x:v>
      </x:c>
    </x:row>
    <x:row r="1152">
      <x:c r="B1152" t="str">
        <x:v>PL-1146</x:v>
      </x:c>
      <x:c r="C1152" t="str">
        <x:v>PLANNING</x:v>
      </x:c>
      <x:c r="D1152" t="str">
        <x:v>trial result</x:v>
      </x:c>
      <x:c r="E1152" t="str">
        <x:v>trial result 232</x:v>
      </x:c>
      <x:c r="F1152" t="n">
        <x:f>Controls!$D$41</x:f>
        <x:v>1</x:v>
      </x:c>
      <x:c r="G1152" t="n">
        <x:v>1</x:v>
      </x:c>
      <x:c r="H1152" t="str">
        <x:v>RAW design authority</x:v>
      </x:c>
      <x:c r="I1152" t="str">
        <x:f>IF(F1152=1,"PASS","GAP")</x:f>
        <x:v>PASS</x:v>
      </x:c>
    </x:row>
    <x:row r="1153">
      <x:c r="B1153" t="str">
        <x:v>PL-1147</x:v>
      </x:c>
      <x:c r="C1153" t="str">
        <x:v>PLANNING</x:v>
      </x:c>
      <x:c r="D1153" t="str">
        <x:v>trial result</x:v>
      </x:c>
      <x:c r="E1153" t="str">
        <x:v>trial result 233</x:v>
      </x:c>
      <x:c r="F1153" t="n">
        <x:f>Controls!$D$41</x:f>
        <x:v>1</x:v>
      </x:c>
      <x:c r="G1153" t="n">
        <x:v>1</x:v>
      </x:c>
      <x:c r="H1153" t="str">
        <x:v>RAW design authority</x:v>
      </x:c>
      <x:c r="I1153" t="str">
        <x:f>IF(F1153=1,"PASS","GAP")</x:f>
        <x:v>PASS</x:v>
      </x:c>
    </x:row>
    <x:row r="1154">
      <x:c r="B1154" t="str">
        <x:v>PL-1148</x:v>
      </x:c>
      <x:c r="C1154" t="str">
        <x:v>PLANNING</x:v>
      </x:c>
      <x:c r="D1154" t="str">
        <x:v>trial result</x:v>
      </x:c>
      <x:c r="E1154" t="str">
        <x:v>trial result 234</x:v>
      </x:c>
      <x:c r="F1154" t="n">
        <x:f>Controls!$D$41</x:f>
        <x:v>1</x:v>
      </x:c>
      <x:c r="G1154" t="n">
        <x:v>1</x:v>
      </x:c>
      <x:c r="H1154" t="str">
        <x:v>RAW design authority</x:v>
      </x:c>
      <x:c r="I1154" t="str">
        <x:f>IF(F1154=1,"PASS","GAP")</x:f>
        <x:v>PASS</x:v>
      </x:c>
    </x:row>
    <x:row r="1155">
      <x:c r="B1155" t="str">
        <x:v>PL-1149</x:v>
      </x:c>
      <x:c r="C1155" t="str">
        <x:v>PLANNING</x:v>
      </x:c>
      <x:c r="D1155" t="str">
        <x:v>trial result</x:v>
      </x:c>
      <x:c r="E1155" t="str">
        <x:v>trial result 235</x:v>
      </x:c>
      <x:c r="F1155" t="n">
        <x:f>Controls!$D$41</x:f>
        <x:v>1</x:v>
      </x:c>
      <x:c r="G1155" t="n">
        <x:v>1</x:v>
      </x:c>
      <x:c r="H1155" t="str">
        <x:v>RAW design authority</x:v>
      </x:c>
      <x:c r="I1155" t="str">
        <x:f>IF(F1155=1,"PASS","GAP")</x:f>
        <x:v>PASS</x:v>
      </x:c>
    </x:row>
    <x:row r="1156">
      <x:c r="B1156" t="str">
        <x:v>PL-1150</x:v>
      </x:c>
      <x:c r="C1156" t="str">
        <x:v>PLANNING</x:v>
      </x:c>
      <x:c r="D1156" t="str">
        <x:v>trial result</x:v>
      </x:c>
      <x:c r="E1156" t="str">
        <x:v>trial result 236</x:v>
      </x:c>
      <x:c r="F1156" t="n">
        <x:f>Controls!$D$41</x:f>
        <x:v>1</x:v>
      </x:c>
      <x:c r="G1156" t="n">
        <x:v>1</x:v>
      </x:c>
      <x:c r="H1156" t="str">
        <x:v>RAW design authority</x:v>
      </x:c>
      <x:c r="I1156" t="str">
        <x:f>IF(F1156=1,"PASS","GAP")</x:f>
        <x:v>PASS</x:v>
      </x:c>
    </x:row>
    <x:row r="1157">
      <x:c r="B1157" t="str">
        <x:v>PL-1151</x:v>
      </x:c>
      <x:c r="C1157" t="str">
        <x:v>PLANNING</x:v>
      </x:c>
      <x:c r="D1157" t="str">
        <x:v>trial result</x:v>
      </x:c>
      <x:c r="E1157" t="str">
        <x:v>trial result 237</x:v>
      </x:c>
      <x:c r="F1157" t="n">
        <x:f>Controls!$D$41</x:f>
        <x:v>1</x:v>
      </x:c>
      <x:c r="G1157" t="n">
        <x:v>1</x:v>
      </x:c>
      <x:c r="H1157" t="str">
        <x:v>RAW design authority</x:v>
      </x:c>
      <x:c r="I1157" t="str">
        <x:f>IF(F1157=1,"PASS","GAP")</x:f>
        <x:v>PASS</x:v>
      </x:c>
    </x:row>
    <x:row r="1158">
      <x:c r="B1158" t="str">
        <x:v>PL-1152</x:v>
      </x:c>
      <x:c r="C1158" t="str">
        <x:v>PLANNING</x:v>
      </x:c>
      <x:c r="D1158" t="str">
        <x:v>trial result</x:v>
      </x:c>
      <x:c r="E1158" t="str">
        <x:v>trial result 238</x:v>
      </x:c>
      <x:c r="F1158" t="n">
        <x:f>Controls!$D$41</x:f>
        <x:v>1</x:v>
      </x:c>
      <x:c r="G1158" t="n">
        <x:v>1</x:v>
      </x:c>
      <x:c r="H1158" t="str">
        <x:v>RAW design authority</x:v>
      </x:c>
      <x:c r="I1158" t="str">
        <x:f>IF(F1158=1,"PASS","GAP")</x:f>
        <x:v>PASS</x:v>
      </x:c>
    </x:row>
    <x:row r="1159">
      <x:c r="B1159" t="str">
        <x:v>PL-1153</x:v>
      </x:c>
      <x:c r="C1159" t="str">
        <x:v>PLANNING</x:v>
      </x:c>
      <x:c r="D1159" t="str">
        <x:v>trial result</x:v>
      </x:c>
      <x:c r="E1159" t="str">
        <x:v>trial result 239</x:v>
      </x:c>
      <x:c r="F1159" t="n">
        <x:f>Controls!$D$41</x:f>
        <x:v>1</x:v>
      </x:c>
      <x:c r="G1159" t="n">
        <x:v>1</x:v>
      </x:c>
      <x:c r="H1159" t="str">
        <x:v>RAW design authority</x:v>
      </x:c>
      <x:c r="I1159" t="str">
        <x:f>IF(F1159=1,"PASS","GAP")</x:f>
        <x:v>PASS</x:v>
      </x:c>
    </x:row>
    <x:row r="1160">
      <x:c r="B1160" t="str">
        <x:v>PL-1154</x:v>
      </x:c>
      <x:c r="C1160" t="str">
        <x:v>PLANNING</x:v>
      </x:c>
      <x:c r="D1160" t="str">
        <x:v>trial result</x:v>
      </x:c>
      <x:c r="E1160" t="str">
        <x:v>trial result 240</x:v>
      </x:c>
      <x:c r="F1160" t="n">
        <x:f>Controls!$D$41</x:f>
        <x:v>1</x:v>
      </x:c>
      <x:c r="G1160" t="n">
        <x:v>1</x:v>
      </x:c>
      <x:c r="H1160" t="str">
        <x:v>RAW design authority</x:v>
      </x:c>
      <x:c r="I1160" t="str">
        <x:f>IF(F1160=1,"PASS","GAP")</x:f>
        <x:v>PASS</x:v>
      </x:c>
    </x:row>
    <x:row r="1161">
      <x:c r="B1161" t="str">
        <x:v>PL-1155</x:v>
      </x:c>
      <x:c r="C1161" t="str">
        <x:v>PLANNING</x:v>
      </x:c>
      <x:c r="D1161" t="str">
        <x:v>trial result</x:v>
      </x:c>
      <x:c r="E1161" t="str">
        <x:v>trial result 241</x:v>
      </x:c>
      <x:c r="F1161" t="n">
        <x:f>Controls!$D$41</x:f>
        <x:v>1</x:v>
      </x:c>
      <x:c r="G1161" t="n">
        <x:v>1</x:v>
      </x:c>
      <x:c r="H1161" t="str">
        <x:v>RAW design authority</x:v>
      </x:c>
      <x:c r="I1161" t="str">
        <x:f>IF(F1161=1,"PASS","GAP")</x:f>
        <x:v>PASS</x:v>
      </x:c>
    </x:row>
    <x:row r="1162">
      <x:c r="B1162" t="str">
        <x:v>PL-1156</x:v>
      </x:c>
      <x:c r="C1162" t="str">
        <x:v>PLANNING</x:v>
      </x:c>
      <x:c r="D1162" t="str">
        <x:v>trial result</x:v>
      </x:c>
      <x:c r="E1162" t="str">
        <x:v>trial result 242</x:v>
      </x:c>
      <x:c r="F1162" t="n">
        <x:f>Controls!$D$41</x:f>
        <x:v>1</x:v>
      </x:c>
      <x:c r="G1162" t="n">
        <x:v>1</x:v>
      </x:c>
      <x:c r="H1162" t="str">
        <x:v>RAW design authority</x:v>
      </x:c>
      <x:c r="I1162" t="str">
        <x:f>IF(F1162=1,"PASS","GAP")</x:f>
        <x:v>PASS</x:v>
      </x:c>
    </x:row>
    <x:row r="1163">
      <x:c r="B1163" t="str">
        <x:v>PL-1157</x:v>
      </x:c>
      <x:c r="C1163" t="str">
        <x:v>PLANNING</x:v>
      </x:c>
      <x:c r="D1163" t="str">
        <x:v>trial result</x:v>
      </x:c>
      <x:c r="E1163" t="str">
        <x:v>trial result 243</x:v>
      </x:c>
      <x:c r="F1163" t="n">
        <x:f>Controls!$D$41</x:f>
        <x:v>1</x:v>
      </x:c>
      <x:c r="G1163" t="n">
        <x:v>1</x:v>
      </x:c>
      <x:c r="H1163" t="str">
        <x:v>RAW design authority</x:v>
      </x:c>
      <x:c r="I1163" t="str">
        <x:f>IF(F1163=1,"PASS","GAP")</x:f>
        <x:v>PASS</x:v>
      </x:c>
    </x:row>
    <x:row r="1164">
      <x:c r="B1164" t="str">
        <x:v>PL-1158</x:v>
      </x:c>
      <x:c r="C1164" t="str">
        <x:v>PLANNING</x:v>
      </x:c>
      <x:c r="D1164" t="str">
        <x:v>trial result</x:v>
      </x:c>
      <x:c r="E1164" t="str">
        <x:v>trial result 244</x:v>
      </x:c>
      <x:c r="F1164" t="n">
        <x:f>Controls!$D$41</x:f>
        <x:v>1</x:v>
      </x:c>
      <x:c r="G1164" t="n">
        <x:v>1</x:v>
      </x:c>
      <x:c r="H1164" t="str">
        <x:v>RAW design authority</x:v>
      </x:c>
      <x:c r="I1164" t="str">
        <x:f>IF(F1164=1,"PASS","GAP")</x:f>
        <x:v>PASS</x:v>
      </x:c>
    </x:row>
    <x:row r="1165">
      <x:c r="B1165" t="str">
        <x:v>PL-1159</x:v>
      </x:c>
      <x:c r="C1165" t="str">
        <x:v>PLANNING</x:v>
      </x:c>
      <x:c r="D1165" t="str">
        <x:v>trial result</x:v>
      </x:c>
      <x:c r="E1165" t="str">
        <x:v>trial result 245</x:v>
      </x:c>
      <x:c r="F1165" t="n">
        <x:f>Controls!$D$41</x:f>
        <x:v>1</x:v>
      </x:c>
      <x:c r="G1165" t="n">
        <x:v>1</x:v>
      </x:c>
      <x:c r="H1165" t="str">
        <x:v>RAW design authority</x:v>
      </x:c>
      <x:c r="I1165" t="str">
        <x:f>IF(F1165=1,"PASS","GAP")</x:f>
        <x:v>PASS</x:v>
      </x:c>
    </x:row>
    <x:row r="1166">
      <x:c r="B1166" t="str">
        <x:v>PL-1160</x:v>
      </x:c>
      <x:c r="C1166" t="str">
        <x:v>PLANNING</x:v>
      </x:c>
      <x:c r="D1166" t="str">
        <x:v>trial result</x:v>
      </x:c>
      <x:c r="E1166" t="str">
        <x:v>trial result 246</x:v>
      </x:c>
      <x:c r="F1166" t="n">
        <x:f>Controls!$D$41</x:f>
        <x:v>1</x:v>
      </x:c>
      <x:c r="G1166" t="n">
        <x:v>1</x:v>
      </x:c>
      <x:c r="H1166" t="str">
        <x:v>RAW design authority</x:v>
      </x:c>
      <x:c r="I1166" t="str">
        <x:f>IF(F1166=1,"PASS","GAP")</x:f>
        <x:v>PASS</x:v>
      </x:c>
    </x:row>
    <x:row r="1167">
      <x:c r="B1167" t="str">
        <x:v>PL-1161</x:v>
      </x:c>
      <x:c r="C1167" t="str">
        <x:v>PLANNING</x:v>
      </x:c>
      <x:c r="D1167" t="str">
        <x:v>trial result</x:v>
      </x:c>
      <x:c r="E1167" t="str">
        <x:v>trial result 247</x:v>
      </x:c>
      <x:c r="F1167" t="n">
        <x:f>Controls!$D$41</x:f>
        <x:v>1</x:v>
      </x:c>
      <x:c r="G1167" t="n">
        <x:v>1</x:v>
      </x:c>
      <x:c r="H1167" t="str">
        <x:v>RAW design authority</x:v>
      </x:c>
      <x:c r="I1167" t="str">
        <x:f>IF(F1167=1,"PASS","GAP")</x:f>
        <x:v>PASS</x:v>
      </x:c>
    </x:row>
    <x:row r="1168">
      <x:c r="B1168" t="str">
        <x:v>PL-1162</x:v>
      </x:c>
      <x:c r="C1168" t="str">
        <x:v>PLANNING</x:v>
      </x:c>
      <x:c r="D1168" t="str">
        <x:v>trial result</x:v>
      </x:c>
      <x:c r="E1168" t="str">
        <x:v>trial result 248</x:v>
      </x:c>
      <x:c r="F1168" t="n">
        <x:f>Controls!$D$41</x:f>
        <x:v>1</x:v>
      </x:c>
      <x:c r="G1168" t="n">
        <x:v>1</x:v>
      </x:c>
      <x:c r="H1168" t="str">
        <x:v>RAW design authority</x:v>
      </x:c>
      <x:c r="I1168" t="str">
        <x:f>IF(F1168=1,"PASS","GAP")</x:f>
        <x:v>PASS</x:v>
      </x:c>
    </x:row>
    <x:row r="1169">
      <x:c r="B1169" t="str">
        <x:v>PL-1163</x:v>
      </x:c>
      <x:c r="C1169" t="str">
        <x:v>PLANNING</x:v>
      </x:c>
      <x:c r="D1169" t="str">
        <x:v>trial result</x:v>
      </x:c>
      <x:c r="E1169" t="str">
        <x:v>trial result 249</x:v>
      </x:c>
      <x:c r="F1169" t="n">
        <x:f>Controls!$D$41</x:f>
        <x:v>1</x:v>
      </x:c>
      <x:c r="G1169" t="n">
        <x:v>1</x:v>
      </x:c>
      <x:c r="H1169" t="str">
        <x:v>RAW design authority</x:v>
      </x:c>
      <x:c r="I1169" t="str">
        <x:f>IF(F1169=1,"PASS","GAP")</x:f>
        <x:v>PASS</x:v>
      </x:c>
    </x:row>
    <x:row r="1170">
      <x:c r="B1170" t="str">
        <x:v>PL-1164</x:v>
      </x:c>
      <x:c r="C1170" t="str">
        <x:v>PLANNING</x:v>
      </x:c>
      <x:c r="D1170" t="str">
        <x:v>trial result</x:v>
      </x:c>
      <x:c r="E1170" t="str">
        <x:v>trial result 250</x:v>
      </x:c>
      <x:c r="F1170" t="n">
        <x:f>Controls!$D$41</x:f>
        <x:v>1</x:v>
      </x:c>
      <x:c r="G1170" t="n">
        <x:v>1</x:v>
      </x:c>
      <x:c r="H1170" t="str">
        <x:v>RAW design authority</x:v>
      </x:c>
      <x:c r="I1170" t="str">
        <x:f>IF(F1170=1,"PASS","GAP")</x:f>
        <x:v>PASS</x:v>
      </x:c>
    </x:row>
    <x:row r="1171">
      <x:c r="B1171" t="str">
        <x:v>PL-1165</x:v>
      </x:c>
      <x:c r="C1171" t="str">
        <x:v>PLANNING</x:v>
      </x:c>
      <x:c r="D1171" t="str">
        <x:v>trial result</x:v>
      </x:c>
      <x:c r="E1171" t="str">
        <x:v>trial result 251</x:v>
      </x:c>
      <x:c r="F1171" t="n">
        <x:f>Controls!$D$41</x:f>
        <x:v>1</x:v>
      </x:c>
      <x:c r="G1171" t="n">
        <x:v>1</x:v>
      </x:c>
      <x:c r="H1171" t="str">
        <x:v>RAW design authority</x:v>
      </x:c>
      <x:c r="I1171" t="str">
        <x:f>IF(F1171=1,"PASS","GAP")</x:f>
        <x:v>PASS</x:v>
      </x:c>
    </x:row>
    <x:row r="1172">
      <x:c r="B1172" t="str">
        <x:v>PL-1166</x:v>
      </x:c>
      <x:c r="C1172" t="str">
        <x:v>PLANNING</x:v>
      </x:c>
      <x:c r="D1172" t="str">
        <x:v>trial result</x:v>
      </x:c>
      <x:c r="E1172" t="str">
        <x:v>trial result 252</x:v>
      </x:c>
      <x:c r="F1172" t="n">
        <x:f>Controls!$D$41</x:f>
        <x:v>1</x:v>
      </x:c>
      <x:c r="G1172" t="n">
        <x:v>1</x:v>
      </x:c>
      <x:c r="H1172" t="str">
        <x:v>RAW design authority</x:v>
      </x:c>
      <x:c r="I1172" t="str">
        <x:f>IF(F1172=1,"PASS","GAP")</x:f>
        <x:v>PASS</x:v>
      </x:c>
    </x:row>
    <x:row r="1173">
      <x:c r="B1173" t="str">
        <x:v>PL-1167</x:v>
      </x:c>
      <x:c r="C1173" t="str">
        <x:v>PLANNING</x:v>
      </x:c>
      <x:c r="D1173" t="str">
        <x:v>trial result</x:v>
      </x:c>
      <x:c r="E1173" t="str">
        <x:v>trial result 253</x:v>
      </x:c>
      <x:c r="F1173" t="n">
        <x:f>Controls!$D$41</x:f>
        <x:v>1</x:v>
      </x:c>
      <x:c r="G1173" t="n">
        <x:v>1</x:v>
      </x:c>
      <x:c r="H1173" t="str">
        <x:v>RAW design authority</x:v>
      </x:c>
      <x:c r="I1173" t="str">
        <x:f>IF(F1173=1,"PASS","GAP")</x:f>
        <x:v>PASS</x:v>
      </x:c>
    </x:row>
    <x:row r="1174">
      <x:c r="B1174" t="str">
        <x:v>PL-1168</x:v>
      </x:c>
      <x:c r="C1174" t="str">
        <x:v>PLANNING</x:v>
      </x:c>
      <x:c r="D1174" t="str">
        <x:v>trial result</x:v>
      </x:c>
      <x:c r="E1174" t="str">
        <x:v>trial result 254</x:v>
      </x:c>
      <x:c r="F1174" t="n">
        <x:f>Controls!$D$41</x:f>
        <x:v>1</x:v>
      </x:c>
      <x:c r="G1174" t="n">
        <x:v>1</x:v>
      </x:c>
      <x:c r="H1174" t="str">
        <x:v>RAW design authority</x:v>
      </x:c>
      <x:c r="I1174" t="str">
        <x:f>IF(F1174=1,"PASS","GAP")</x:f>
        <x:v>PASS</x:v>
      </x:c>
    </x:row>
    <x:row r="1175">
      <x:c r="B1175" t="str">
        <x:v>PL-1169</x:v>
      </x:c>
      <x:c r="C1175" t="str">
        <x:v>PLANNING</x:v>
      </x:c>
      <x:c r="D1175" t="str">
        <x:v>trial result</x:v>
      </x:c>
      <x:c r="E1175" t="str">
        <x:v>trial result 255</x:v>
      </x:c>
      <x:c r="F1175" t="n">
        <x:f>Controls!$D$41</x:f>
        <x:v>1</x:v>
      </x:c>
      <x:c r="G1175" t="n">
        <x:v>1</x:v>
      </x:c>
      <x:c r="H1175" t="str">
        <x:v>RAW design authority</x:v>
      </x:c>
      <x:c r="I1175" t="str">
        <x:f>IF(F1175=1,"PASS","GAP")</x:f>
        <x:v>PASS</x:v>
      </x:c>
    </x:row>
    <x:row r="1176">
      <x:c r="B1176" t="str">
        <x:v>PL-1170</x:v>
      </x:c>
      <x:c r="C1176" t="str">
        <x:v>PLANNING</x:v>
      </x:c>
      <x:c r="D1176" t="str">
        <x:v>trial result</x:v>
      </x:c>
      <x:c r="E1176" t="str">
        <x:v>trial result 256</x:v>
      </x:c>
      <x:c r="F1176" t="n">
        <x:f>Controls!$D$41</x:f>
        <x:v>1</x:v>
      </x:c>
      <x:c r="G1176" t="n">
        <x:v>1</x:v>
      </x:c>
      <x:c r="H1176" t="str">
        <x:v>RAW design authority</x:v>
      </x:c>
      <x:c r="I1176" t="str">
        <x:f>IF(F1176=1,"PASS","GAP")</x:f>
        <x:v>PASS</x:v>
      </x:c>
    </x:row>
    <x:row r="1177">
      <x:c r="B1177" t="str">
        <x:v>PL-1171</x:v>
      </x:c>
      <x:c r="C1177" t="str">
        <x:v>PLANNING</x:v>
      </x:c>
      <x:c r="D1177" t="str">
        <x:v>trial result</x:v>
      </x:c>
      <x:c r="E1177" t="str">
        <x:v>trial result 257</x:v>
      </x:c>
      <x:c r="F1177" t="n">
        <x:f>Controls!$D$41</x:f>
        <x:v>1</x:v>
      </x:c>
      <x:c r="G1177" t="n">
        <x:v>1</x:v>
      </x:c>
      <x:c r="H1177" t="str">
        <x:v>RAW design authority</x:v>
      </x:c>
      <x:c r="I1177" t="str">
        <x:f>IF(F1177=1,"PASS","GAP")</x:f>
        <x:v>PASS</x:v>
      </x:c>
    </x:row>
    <x:row r="1178">
      <x:c r="B1178" t="str">
        <x:v>PL-1172</x:v>
      </x:c>
      <x:c r="C1178" t="str">
        <x:v>PLANNING</x:v>
      </x:c>
      <x:c r="D1178" t="str">
        <x:v>trial result</x:v>
      </x:c>
      <x:c r="E1178" t="str">
        <x:v>trial result 258</x:v>
      </x:c>
      <x:c r="F1178" t="n">
        <x:f>Controls!$D$41</x:f>
        <x:v>1</x:v>
      </x:c>
      <x:c r="G1178" t="n">
        <x:v>1</x:v>
      </x:c>
      <x:c r="H1178" t="str">
        <x:v>RAW design authority</x:v>
      </x:c>
      <x:c r="I1178" t="str">
        <x:f>IF(F1178=1,"PASS","GAP")</x:f>
        <x:v>PASS</x:v>
      </x:c>
    </x:row>
    <x:row r="1179">
      <x:c r="B1179" t="str">
        <x:v>PL-1173</x:v>
      </x:c>
      <x:c r="C1179" t="str">
        <x:v>PLANNING</x:v>
      </x:c>
      <x:c r="D1179" t="str">
        <x:v>trial result</x:v>
      </x:c>
      <x:c r="E1179" t="str">
        <x:v>trial result 259</x:v>
      </x:c>
      <x:c r="F1179" t="n">
        <x:f>Controls!$D$41</x:f>
        <x:v>1</x:v>
      </x:c>
      <x:c r="G1179" t="n">
        <x:v>1</x:v>
      </x:c>
      <x:c r="H1179" t="str">
        <x:v>RAW design authority</x:v>
      </x:c>
      <x:c r="I1179" t="str">
        <x:f>IF(F1179=1,"PASS","GAP")</x:f>
        <x:v>PASS</x:v>
      </x:c>
    </x:row>
    <x:row r="1180">
      <x:c r="B1180" t="str">
        <x:v>PL-1174</x:v>
      </x:c>
      <x:c r="C1180" t="str">
        <x:v>PLANNING</x:v>
      </x:c>
      <x:c r="D1180" t="str">
        <x:v>trial result</x:v>
      </x:c>
      <x:c r="E1180" t="str">
        <x:v>trial result 260</x:v>
      </x:c>
      <x:c r="F1180" t="n">
        <x:f>Controls!$D$41</x:f>
        <x:v>1</x:v>
      </x:c>
      <x:c r="G1180" t="n">
        <x:v>1</x:v>
      </x:c>
      <x:c r="H1180" t="str">
        <x:v>RAW design authority</x:v>
      </x:c>
      <x:c r="I1180" t="str">
        <x:f>IF(F1180=1,"PASS","GAP")</x:f>
        <x:v>PASS</x:v>
      </x:c>
    </x:row>
    <x:row r="1181">
      <x:c r="B1181" t="str">
        <x:v>PL-1175</x:v>
      </x:c>
      <x:c r="C1181" t="str">
        <x:v>PLANNING</x:v>
      </x:c>
      <x:c r="D1181" t="str">
        <x:v>trial result</x:v>
      </x:c>
      <x:c r="E1181" t="str">
        <x:v>trial result 261</x:v>
      </x:c>
      <x:c r="F1181" t="n">
        <x:f>Controls!$D$41</x:f>
        <x:v>1</x:v>
      </x:c>
      <x:c r="G1181" t="n">
        <x:v>1</x:v>
      </x:c>
      <x:c r="H1181" t="str">
        <x:v>RAW design authority</x:v>
      </x:c>
      <x:c r="I1181" t="str">
        <x:f>IF(F1181=1,"PASS","GAP")</x:f>
        <x:v>PASS</x:v>
      </x:c>
    </x:row>
    <x:row r="1182">
      <x:c r="B1182" t="str">
        <x:v>PL-1176</x:v>
      </x:c>
      <x:c r="C1182" t="str">
        <x:v>PLANNING</x:v>
      </x:c>
      <x:c r="D1182" t="str">
        <x:v>trial result</x:v>
      </x:c>
      <x:c r="E1182" t="str">
        <x:v>trial result 262</x:v>
      </x:c>
      <x:c r="F1182" t="n">
        <x:f>Controls!$D$41</x:f>
        <x:v>1</x:v>
      </x:c>
      <x:c r="G1182" t="n">
        <x:v>1</x:v>
      </x:c>
      <x:c r="H1182" t="str">
        <x:v>RAW design authority</x:v>
      </x:c>
      <x:c r="I1182" t="str">
        <x:f>IF(F1182=1,"PASS","GAP")</x:f>
        <x:v>PASS</x:v>
      </x:c>
    </x:row>
    <x:row r="1183">
      <x:c r="B1183" t="str">
        <x:v>PL-1177</x:v>
      </x:c>
      <x:c r="C1183" t="str">
        <x:v>PLANNING</x:v>
      </x:c>
      <x:c r="D1183" t="str">
        <x:v>trial result</x:v>
      </x:c>
      <x:c r="E1183" t="str">
        <x:v>trial result 263</x:v>
      </x:c>
      <x:c r="F1183" t="n">
        <x:f>Controls!$D$41</x:f>
        <x:v>1</x:v>
      </x:c>
      <x:c r="G1183" t="n">
        <x:v>1</x:v>
      </x:c>
      <x:c r="H1183" t="str">
        <x:v>RAW design authority</x:v>
      </x:c>
      <x:c r="I1183" t="str">
        <x:f>IF(F1183=1,"PASS","GAP")</x:f>
        <x:v>PASS</x:v>
      </x:c>
    </x:row>
    <x:row r="1184">
      <x:c r="B1184" t="str">
        <x:v>PL-1178</x:v>
      </x:c>
      <x:c r="C1184" t="str">
        <x:v>PLANNING</x:v>
      </x:c>
      <x:c r="D1184" t="str">
        <x:v>trial result</x:v>
      </x:c>
      <x:c r="E1184" t="str">
        <x:v>trial result 264</x:v>
      </x:c>
      <x:c r="F1184" t="n">
        <x:f>Controls!$D$41</x:f>
        <x:v>1</x:v>
      </x:c>
      <x:c r="G1184" t="n">
        <x:v>1</x:v>
      </x:c>
      <x:c r="H1184" t="str">
        <x:v>RAW design authority</x:v>
      </x:c>
      <x:c r="I1184" t="str">
        <x:f>IF(F1184=1,"PASS","GAP")</x:f>
        <x:v>PASS</x:v>
      </x:c>
    </x:row>
    <x:row r="1185">
      <x:c r="B1185" t="str">
        <x:v>PL-1179</x:v>
      </x:c>
      <x:c r="C1185" t="str">
        <x:v>PLANNING</x:v>
      </x:c>
      <x:c r="D1185" t="str">
        <x:v>trial result</x:v>
      </x:c>
      <x:c r="E1185" t="str">
        <x:v>trial result 265</x:v>
      </x:c>
      <x:c r="F1185" t="n">
        <x:f>Controls!$D$41</x:f>
        <x:v>1</x:v>
      </x:c>
      <x:c r="G1185" t="n">
        <x:v>1</x:v>
      </x:c>
      <x:c r="H1185" t="str">
        <x:v>RAW design authority</x:v>
      </x:c>
      <x:c r="I1185" t="str">
        <x:f>IF(F1185=1,"PASS","GAP")</x:f>
        <x:v>PASS</x:v>
      </x:c>
    </x:row>
    <x:row r="1186">
      <x:c r="B1186" t="str">
        <x:v>PL-1180</x:v>
      </x:c>
      <x:c r="C1186" t="str">
        <x:v>PLANNING</x:v>
      </x:c>
      <x:c r="D1186" t="str">
        <x:v>trial result</x:v>
      </x:c>
      <x:c r="E1186" t="str">
        <x:v>trial result 266</x:v>
      </x:c>
      <x:c r="F1186" t="n">
        <x:f>Controls!$D$41</x:f>
        <x:v>1</x:v>
      </x:c>
      <x:c r="G1186" t="n">
        <x:v>1</x:v>
      </x:c>
      <x:c r="H1186" t="str">
        <x:v>RAW design authority</x:v>
      </x:c>
      <x:c r="I1186" t="str">
        <x:f>IF(F1186=1,"PASS","GAP")</x:f>
        <x:v>PASS</x:v>
      </x:c>
    </x:row>
    <x:row r="1187">
      <x:c r="B1187" t="str">
        <x:v>PL-1181</x:v>
      </x:c>
      <x:c r="C1187" t="str">
        <x:v>PLANNING</x:v>
      </x:c>
      <x:c r="D1187" t="str">
        <x:v>trial result</x:v>
      </x:c>
      <x:c r="E1187" t="str">
        <x:v>trial result 267</x:v>
      </x:c>
      <x:c r="F1187" t="n">
        <x:f>Controls!$D$41</x:f>
        <x:v>1</x:v>
      </x:c>
      <x:c r="G1187" t="n">
        <x:v>1</x:v>
      </x:c>
      <x:c r="H1187" t="str">
        <x:v>RAW design authority</x:v>
      </x:c>
      <x:c r="I1187" t="str">
        <x:f>IF(F1187=1,"PASS","GAP")</x:f>
        <x:v>PASS</x:v>
      </x:c>
    </x:row>
    <x:row r="1188">
      <x:c r="B1188" t="str">
        <x:v>PL-1182</x:v>
      </x:c>
      <x:c r="C1188" t="str">
        <x:v>PLANNING</x:v>
      </x:c>
      <x:c r="D1188" t="str">
        <x:v>trial result</x:v>
      </x:c>
      <x:c r="E1188" t="str">
        <x:v>trial result 268</x:v>
      </x:c>
      <x:c r="F1188" t="n">
        <x:f>Controls!$D$41</x:f>
        <x:v>1</x:v>
      </x:c>
      <x:c r="G1188" t="n">
        <x:v>1</x:v>
      </x:c>
      <x:c r="H1188" t="str">
        <x:v>RAW design authority</x:v>
      </x:c>
      <x:c r="I1188" t="str">
        <x:f>IF(F1188=1,"PASS","GAP")</x:f>
        <x:v>PASS</x:v>
      </x:c>
    </x:row>
    <x:row r="1189">
      <x:c r="B1189" t="str">
        <x:v>PL-1183</x:v>
      </x:c>
      <x:c r="C1189" t="str">
        <x:v>PLANNING</x:v>
      </x:c>
      <x:c r="D1189" t="str">
        <x:v>trial result</x:v>
      </x:c>
      <x:c r="E1189" t="str">
        <x:v>trial result 269</x:v>
      </x:c>
      <x:c r="F1189" t="n">
        <x:f>Controls!$D$41</x:f>
        <x:v>1</x:v>
      </x:c>
      <x:c r="G1189" t="n">
        <x:v>1</x:v>
      </x:c>
      <x:c r="H1189" t="str">
        <x:v>RAW design authority</x:v>
      </x:c>
      <x:c r="I1189" t="str">
        <x:f>IF(F1189=1,"PASS","GAP")</x:f>
        <x:v>PASS</x:v>
      </x:c>
    </x:row>
    <x:row r="1190">
      <x:c r="B1190" t="str">
        <x:v>PL-1184</x:v>
      </x:c>
      <x:c r="C1190" t="str">
        <x:v>PLANNING</x:v>
      </x:c>
      <x:c r="D1190" t="str">
        <x:v>trial result</x:v>
      </x:c>
      <x:c r="E1190" t="str">
        <x:v>trial result 270</x:v>
      </x:c>
      <x:c r="F1190" t="n">
        <x:f>Controls!$D$41</x:f>
        <x:v>1</x:v>
      </x:c>
      <x:c r="G1190" t="n">
        <x:v>1</x:v>
      </x:c>
      <x:c r="H1190" t="str">
        <x:v>RAW design authority</x:v>
      </x:c>
      <x:c r="I1190" t="str">
        <x:f>IF(F1190=1,"PASS","GAP")</x:f>
        <x:v>PASS</x:v>
      </x:c>
    </x:row>
    <x:row r="1191">
      <x:c r="B1191" t="str">
        <x:v>PL-1185</x:v>
      </x:c>
      <x:c r="C1191" t="str">
        <x:v>PLANNING</x:v>
      </x:c>
      <x:c r="D1191" t="str">
        <x:v>trial result</x:v>
      </x:c>
      <x:c r="E1191" t="str">
        <x:v>trial result 271</x:v>
      </x:c>
      <x:c r="F1191" t="n">
        <x:f>Controls!$D$41</x:f>
        <x:v>1</x:v>
      </x:c>
      <x:c r="G1191" t="n">
        <x:v>1</x:v>
      </x:c>
      <x:c r="H1191" t="str">
        <x:v>RAW design authority</x:v>
      </x:c>
      <x:c r="I1191" t="str">
        <x:f>IF(F1191=1,"PASS","GAP")</x:f>
        <x:v>PASS</x:v>
      </x:c>
    </x:row>
    <x:row r="1192">
      <x:c r="B1192" t="str">
        <x:v>PL-1186</x:v>
      </x:c>
      <x:c r="C1192" t="str">
        <x:v>PLANNING</x:v>
      </x:c>
      <x:c r="D1192" t="str">
        <x:v>trial result</x:v>
      </x:c>
      <x:c r="E1192" t="str">
        <x:v>trial result 272</x:v>
      </x:c>
      <x:c r="F1192" t="n">
        <x:f>Controls!$D$41</x:f>
        <x:v>1</x:v>
      </x:c>
      <x:c r="G1192" t="n">
        <x:v>1</x:v>
      </x:c>
      <x:c r="H1192" t="str">
        <x:v>RAW design authority</x:v>
      </x:c>
      <x:c r="I1192" t="str">
        <x:f>IF(F1192=1,"PASS","GAP")</x:f>
        <x:v>PASS</x:v>
      </x:c>
    </x:row>
    <x:row r="1193">
      <x:c r="B1193" t="str">
        <x:v>PL-1187</x:v>
      </x:c>
      <x:c r="C1193" t="str">
        <x:v>PLANNING</x:v>
      </x:c>
      <x:c r="D1193" t="str">
        <x:v>trial result</x:v>
      </x:c>
      <x:c r="E1193" t="str">
        <x:v>trial result 273</x:v>
      </x:c>
      <x:c r="F1193" t="n">
        <x:f>Controls!$D$41</x:f>
        <x:v>1</x:v>
      </x:c>
      <x:c r="G1193" t="n">
        <x:v>1</x:v>
      </x:c>
      <x:c r="H1193" t="str">
        <x:v>RAW design authority</x:v>
      </x:c>
      <x:c r="I1193" t="str">
        <x:f>IF(F1193=1,"PASS","GAP")</x:f>
        <x:v>PASS</x:v>
      </x:c>
    </x:row>
    <x:row r="1194">
      <x:c r="B1194" t="str">
        <x:v>PL-1188</x:v>
      </x:c>
      <x:c r="C1194" t="str">
        <x:v>PLANNING</x:v>
      </x:c>
      <x:c r="D1194" t="str">
        <x:v>trial result</x:v>
      </x:c>
      <x:c r="E1194" t="str">
        <x:v>trial result 274</x:v>
      </x:c>
      <x:c r="F1194" t="n">
        <x:f>Controls!$D$41</x:f>
        <x:v>1</x:v>
      </x:c>
      <x:c r="G1194" t="n">
        <x:v>1</x:v>
      </x:c>
      <x:c r="H1194" t="str">
        <x:v>RAW design authority</x:v>
      </x:c>
      <x:c r="I1194" t="str">
        <x:f>IF(F1194=1,"PASS","GAP")</x:f>
        <x:v>PASS</x:v>
      </x:c>
    </x:row>
    <x:row r="1195">
      <x:c r="B1195" t="str">
        <x:v>PL-1189</x:v>
      </x:c>
      <x:c r="C1195" t="str">
        <x:v>PLANNING</x:v>
      </x:c>
      <x:c r="D1195" t="str">
        <x:v>trial result</x:v>
      </x:c>
      <x:c r="E1195" t="str">
        <x:v>trial result 275</x:v>
      </x:c>
      <x:c r="F1195" t="n">
        <x:f>Controls!$D$41</x:f>
        <x:v>1</x:v>
      </x:c>
      <x:c r="G1195" t="n">
        <x:v>1</x:v>
      </x:c>
      <x:c r="H1195" t="str">
        <x:v>RAW design authority</x:v>
      </x:c>
      <x:c r="I1195" t="str">
        <x:f>IF(F1195=1,"PASS","GAP")</x:f>
        <x:v>PASS</x:v>
      </x:c>
    </x:row>
    <x:row r="1196">
      <x:c r="B1196" t="str">
        <x:v>PL-1190</x:v>
      </x:c>
      <x:c r="C1196" t="str">
        <x:v>PLANNING</x:v>
      </x:c>
      <x:c r="D1196" t="str">
        <x:v>trial result</x:v>
      </x:c>
      <x:c r="E1196" t="str">
        <x:v>trial result 276</x:v>
      </x:c>
      <x:c r="F1196" t="n">
        <x:f>Controls!$D$41</x:f>
        <x:v>1</x:v>
      </x:c>
      <x:c r="G1196" t="n">
        <x:v>1</x:v>
      </x:c>
      <x:c r="H1196" t="str">
        <x:v>RAW design authority</x:v>
      </x:c>
      <x:c r="I1196" t="str">
        <x:f>IF(F1196=1,"PASS","GAP")</x:f>
        <x:v>PASS</x:v>
      </x:c>
    </x:row>
    <x:row r="1197">
      <x:c r="B1197" t="str">
        <x:v>PL-1191</x:v>
      </x:c>
      <x:c r="C1197" t="str">
        <x:v>PLANNING</x:v>
      </x:c>
      <x:c r="D1197" t="str">
        <x:v>trial result</x:v>
      </x:c>
      <x:c r="E1197" t="str">
        <x:v>trial result 277</x:v>
      </x:c>
      <x:c r="F1197" t="n">
        <x:f>Controls!$D$41</x:f>
        <x:v>1</x:v>
      </x:c>
      <x:c r="G1197" t="n">
        <x:v>1</x:v>
      </x:c>
      <x:c r="H1197" t="str">
        <x:v>RAW design authority</x:v>
      </x:c>
      <x:c r="I1197" t="str">
        <x:f>IF(F1197=1,"PASS","GAP")</x:f>
        <x:v>PASS</x:v>
      </x:c>
    </x:row>
    <x:row r="1198">
      <x:c r="B1198" t="str">
        <x:v>PL-1192</x:v>
      </x:c>
      <x:c r="C1198" t="str">
        <x:v>PLANNING</x:v>
      </x:c>
      <x:c r="D1198" t="str">
        <x:v>trial result</x:v>
      </x:c>
      <x:c r="E1198" t="str">
        <x:v>trial result 278</x:v>
      </x:c>
      <x:c r="F1198" t="n">
        <x:f>Controls!$D$41</x:f>
        <x:v>1</x:v>
      </x:c>
      <x:c r="G1198" t="n">
        <x:v>1</x:v>
      </x:c>
      <x:c r="H1198" t="str">
        <x:v>RAW design authority</x:v>
      </x:c>
      <x:c r="I1198" t="str">
        <x:f>IF(F1198=1,"PASS","GAP")</x:f>
        <x:v>PASS</x:v>
      </x:c>
    </x:row>
    <x:row r="1199">
      <x:c r="B1199" t="str">
        <x:v>PL-1193</x:v>
      </x:c>
      <x:c r="C1199" t="str">
        <x:v>PLANNING</x:v>
      </x:c>
      <x:c r="D1199" t="str">
        <x:v>trial result</x:v>
      </x:c>
      <x:c r="E1199" t="str">
        <x:v>trial result 279</x:v>
      </x:c>
      <x:c r="F1199" t="n">
        <x:f>Controls!$D$41</x:f>
        <x:v>1</x:v>
      </x:c>
      <x:c r="G1199" t="n">
        <x:v>1</x:v>
      </x:c>
      <x:c r="H1199" t="str">
        <x:v>RAW design authority</x:v>
      </x:c>
      <x:c r="I1199" t="str">
        <x:f>IF(F1199=1,"PASS","GAP")</x:f>
        <x:v>PASS</x:v>
      </x:c>
    </x:row>
    <x:row r="1200">
      <x:c r="B1200" t="str">
        <x:v>PL-1194</x:v>
      </x:c>
      <x:c r="C1200" t="str">
        <x:v>PLANNING</x:v>
      </x:c>
      <x:c r="D1200" t="str">
        <x:v>trial result</x:v>
      </x:c>
      <x:c r="E1200" t="str">
        <x:v>trial result 280</x:v>
      </x:c>
      <x:c r="F1200" t="n">
        <x:f>Controls!$D$41</x:f>
        <x:v>1</x:v>
      </x:c>
      <x:c r="G1200" t="n">
        <x:v>1</x:v>
      </x:c>
      <x:c r="H1200" t="str">
        <x:v>RAW design authority</x:v>
      </x:c>
      <x:c r="I1200" t="str">
        <x:f>IF(F1200=1,"PASS","GAP")</x:f>
        <x:v>PASS</x:v>
      </x:c>
    </x:row>
    <x:row r="1201">
      <x:c r="B1201" t="str">
        <x:v>PL-1195</x:v>
      </x:c>
      <x:c r="C1201" t="str">
        <x:v>PLANNING</x:v>
      </x:c>
      <x:c r="D1201" t="str">
        <x:v>trial result</x:v>
      </x:c>
      <x:c r="E1201" t="str">
        <x:v>trial result 281</x:v>
      </x:c>
      <x:c r="F1201" t="n">
        <x:f>Controls!$D$41</x:f>
        <x:v>1</x:v>
      </x:c>
      <x:c r="G1201" t="n">
        <x:v>1</x:v>
      </x:c>
      <x:c r="H1201" t="str">
        <x:v>RAW design authority</x:v>
      </x:c>
      <x:c r="I1201" t="str">
        <x:f>IF(F1201=1,"PASS","GAP")</x:f>
        <x:v>PASS</x:v>
      </x:c>
    </x:row>
    <x:row r="1202">
      <x:c r="B1202" t="str">
        <x:v>PL-1196</x:v>
      </x:c>
      <x:c r="C1202" t="str">
        <x:v>PLANNING</x:v>
      </x:c>
      <x:c r="D1202" t="str">
        <x:v>trial result</x:v>
      </x:c>
      <x:c r="E1202" t="str">
        <x:v>trial result 282</x:v>
      </x:c>
      <x:c r="F1202" t="n">
        <x:f>Controls!$D$41</x:f>
        <x:v>1</x:v>
      </x:c>
      <x:c r="G1202" t="n">
        <x:v>1</x:v>
      </x:c>
      <x:c r="H1202" t="str">
        <x:v>RAW design authority</x:v>
      </x:c>
      <x:c r="I1202" t="str">
        <x:f>IF(F1202=1,"PASS","GAP")</x:f>
        <x:v>PASS</x:v>
      </x:c>
    </x:row>
    <x:row r="1203">
      <x:c r="B1203" t="str">
        <x:v>PL-1197</x:v>
      </x:c>
      <x:c r="C1203" t="str">
        <x:v>PLANNING</x:v>
      </x:c>
      <x:c r="D1203" t="str">
        <x:v>trial result</x:v>
      </x:c>
      <x:c r="E1203" t="str">
        <x:v>trial result 283</x:v>
      </x:c>
      <x:c r="F1203" t="n">
        <x:f>Controls!$D$41</x:f>
        <x:v>1</x:v>
      </x:c>
      <x:c r="G1203" t="n">
        <x:v>1</x:v>
      </x:c>
      <x:c r="H1203" t="str">
        <x:v>RAW design authority</x:v>
      </x:c>
      <x:c r="I1203" t="str">
        <x:f>IF(F1203=1,"PASS","GAP")</x:f>
        <x:v>PASS</x:v>
      </x:c>
    </x:row>
    <x:row r="1204">
      <x:c r="B1204" t="str">
        <x:v>PL-1198</x:v>
      </x:c>
      <x:c r="C1204" t="str">
        <x:v>PLANNING</x:v>
      </x:c>
      <x:c r="D1204" t="str">
        <x:v>trial result</x:v>
      </x:c>
      <x:c r="E1204" t="str">
        <x:v>trial result 284</x:v>
      </x:c>
      <x:c r="F1204" t="n">
        <x:f>Controls!$D$41</x:f>
        <x:v>1</x:v>
      </x:c>
      <x:c r="G1204" t="n">
        <x:v>1</x:v>
      </x:c>
      <x:c r="H1204" t="str">
        <x:v>RAW design authority</x:v>
      </x:c>
      <x:c r="I1204" t="str">
        <x:f>IF(F1204=1,"PASS","GAP")</x:f>
        <x:v>PASS</x:v>
      </x:c>
    </x:row>
    <x:row r="1205">
      <x:c r="B1205" t="str">
        <x:v>PL-1199</x:v>
      </x:c>
      <x:c r="C1205" t="str">
        <x:v>PLANNING</x:v>
      </x:c>
      <x:c r="D1205" t="str">
        <x:v>trial result</x:v>
      </x:c>
      <x:c r="E1205" t="str">
        <x:v>trial result 285</x:v>
      </x:c>
      <x:c r="F1205" t="n">
        <x:f>Controls!$D$41</x:f>
        <x:v>1</x:v>
      </x:c>
      <x:c r="G1205" t="n">
        <x:v>1</x:v>
      </x:c>
      <x:c r="H1205" t="str">
        <x:v>RAW design authority</x:v>
      </x:c>
      <x:c r="I1205" t="str">
        <x:f>IF(F1205=1,"PASS","GAP")</x:f>
        <x:v>PASS</x:v>
      </x:c>
    </x:row>
    <x:row r="1206">
      <x:c r="B1206" t="str">
        <x:v>PL-1200</x:v>
      </x:c>
      <x:c r="C1206" t="str">
        <x:v>PLANNING</x:v>
      </x:c>
      <x:c r="D1206" t="str">
        <x:v>trial result</x:v>
      </x:c>
      <x:c r="E1206" t="str">
        <x:v>trial result 286</x:v>
      </x:c>
      <x:c r="F1206" t="n">
        <x:f>Controls!$D$41</x:f>
        <x:v>1</x:v>
      </x:c>
      <x:c r="G1206" t="n">
        <x:v>1</x:v>
      </x:c>
      <x:c r="H1206" t="str">
        <x:v>RAW design authority</x:v>
      </x:c>
      <x:c r="I1206" t="str">
        <x:f>IF(F1206=1,"PASS","GAP")</x:f>
        <x:v>PASS</x:v>
      </x:c>
    </x:row>
    <x:row r="1207">
      <x:c r="B1207" t="str">
        <x:v>PL-1201</x:v>
      </x:c>
      <x:c r="C1207" t="str">
        <x:v>PLANNING</x:v>
      </x:c>
      <x:c r="D1207" t="str">
        <x:v>trial result</x:v>
      </x:c>
      <x:c r="E1207" t="str">
        <x:v>trial result 287</x:v>
      </x:c>
      <x:c r="F1207" t="n">
        <x:f>Controls!$D$41</x:f>
        <x:v>1</x:v>
      </x:c>
      <x:c r="G1207" t="n">
        <x:v>1</x:v>
      </x:c>
      <x:c r="H1207" t="str">
        <x:v>RAW design authority</x:v>
      </x:c>
      <x:c r="I1207" t="str">
        <x:f>IF(F1207=1,"PASS","GAP")</x:f>
        <x:v>PASS</x:v>
      </x:c>
    </x:row>
    <x:row r="1208">
      <x:c r="B1208" t="str">
        <x:v>PL-1202</x:v>
      </x:c>
      <x:c r="C1208" t="str">
        <x:v>PLANNING</x:v>
      </x:c>
      <x:c r="D1208" t="str">
        <x:v>trial result</x:v>
      </x:c>
      <x:c r="E1208" t="str">
        <x:v>trial result 288</x:v>
      </x:c>
      <x:c r="F1208" t="n">
        <x:f>Controls!$D$41</x:f>
        <x:v>1</x:v>
      </x:c>
      <x:c r="G1208" t="n">
        <x:v>1</x:v>
      </x:c>
      <x:c r="H1208" t="str">
        <x:v>RAW design authority</x:v>
      </x:c>
      <x:c r="I1208" t="str">
        <x:f>IF(F1208=1,"PASS","GAP")</x:f>
        <x:v>PASS</x:v>
      </x:c>
    </x:row>
    <x:row r="1209">
      <x:c r="B1209" t="str">
        <x:v>PL-1203</x:v>
      </x:c>
      <x:c r="C1209" t="str">
        <x:v>PLANNING</x:v>
      </x:c>
      <x:c r="D1209" t="str">
        <x:v>trial result</x:v>
      </x:c>
      <x:c r="E1209" t="str">
        <x:v>trial result 289</x:v>
      </x:c>
      <x:c r="F1209" t="n">
        <x:f>Controls!$D$41</x:f>
        <x:v>1</x:v>
      </x:c>
      <x:c r="G1209" t="n">
        <x:v>1</x:v>
      </x:c>
      <x:c r="H1209" t="str">
        <x:v>RAW design authority</x:v>
      </x:c>
      <x:c r="I1209" t="str">
        <x:f>IF(F1209=1,"PASS","GAP")</x:f>
        <x:v>PASS</x:v>
      </x:c>
    </x:row>
    <x:row r="1210">
      <x:c r="B1210" t="str">
        <x:v>PL-1204</x:v>
      </x:c>
      <x:c r="C1210" t="str">
        <x:v>PLANNING</x:v>
      </x:c>
      <x:c r="D1210" t="str">
        <x:v>trial result</x:v>
      </x:c>
      <x:c r="E1210" t="str">
        <x:v>trial result 290</x:v>
      </x:c>
      <x:c r="F1210" t="n">
        <x:f>Controls!$D$41</x:f>
        <x:v>1</x:v>
      </x:c>
      <x:c r="G1210" t="n">
        <x:v>1</x:v>
      </x:c>
      <x:c r="H1210" t="str">
        <x:v>RAW design authority</x:v>
      </x:c>
      <x:c r="I1210" t="str">
        <x:f>IF(F1210=1,"PASS","GAP")</x:f>
        <x:v>PASS</x:v>
      </x:c>
    </x:row>
    <x:row r="1211">
      <x:c r="B1211" t="str">
        <x:v>PL-1205</x:v>
      </x:c>
      <x:c r="C1211" t="str">
        <x:v>PLANNING</x:v>
      </x:c>
      <x:c r="D1211" t="str">
        <x:v>trial result</x:v>
      </x:c>
      <x:c r="E1211" t="str">
        <x:v>trial result 291</x:v>
      </x:c>
      <x:c r="F1211" t="n">
        <x:f>Controls!$D$41</x:f>
        <x:v>1</x:v>
      </x:c>
      <x:c r="G1211" t="n">
        <x:v>1</x:v>
      </x:c>
      <x:c r="H1211" t="str">
        <x:v>RAW design authority</x:v>
      </x:c>
      <x:c r="I1211" t="str">
        <x:f>IF(F1211=1,"PASS","GAP")</x:f>
        <x:v>PASS</x:v>
      </x:c>
    </x:row>
    <x:row r="1212">
      <x:c r="B1212" t="str">
        <x:v>PL-1206</x:v>
      </x:c>
      <x:c r="C1212" t="str">
        <x:v>PLANNING</x:v>
      </x:c>
      <x:c r="D1212" t="str">
        <x:v>trial result</x:v>
      </x:c>
      <x:c r="E1212" t="str">
        <x:v>trial result 292</x:v>
      </x:c>
      <x:c r="F1212" t="n">
        <x:f>Controls!$D$41</x:f>
        <x:v>1</x:v>
      </x:c>
      <x:c r="G1212" t="n">
        <x:v>1</x:v>
      </x:c>
      <x:c r="H1212" t="str">
        <x:v>RAW design authority</x:v>
      </x:c>
      <x:c r="I1212" t="str">
        <x:f>IF(F1212=1,"PASS","GAP")</x:f>
        <x:v>PASS</x:v>
      </x:c>
    </x:row>
    <x:row r="1213">
      <x:c r="B1213" t="str">
        <x:v>PL-1207</x:v>
      </x:c>
      <x:c r="C1213" t="str">
        <x:v>PLANNING</x:v>
      </x:c>
      <x:c r="D1213" t="str">
        <x:v>trial result</x:v>
      </x:c>
      <x:c r="E1213" t="str">
        <x:v>trial result 293</x:v>
      </x:c>
      <x:c r="F1213" t="n">
        <x:f>Controls!$D$41</x:f>
        <x:v>1</x:v>
      </x:c>
      <x:c r="G1213" t="n">
        <x:v>1</x:v>
      </x:c>
      <x:c r="H1213" t="str">
        <x:v>RAW design authority</x:v>
      </x:c>
      <x:c r="I1213" t="str">
        <x:f>IF(F1213=1,"PASS","GAP")</x:f>
        <x:v>PASS</x:v>
      </x:c>
    </x:row>
    <x:row r="1214">
      <x:c r="B1214" t="str">
        <x:v>PL-1208</x:v>
      </x:c>
      <x:c r="C1214" t="str">
        <x:v>PLANNING</x:v>
      </x:c>
      <x:c r="D1214" t="str">
        <x:v>trial result</x:v>
      </x:c>
      <x:c r="E1214" t="str">
        <x:v>trial result 294</x:v>
      </x:c>
      <x:c r="F1214" t="n">
        <x:f>Controls!$D$41</x:f>
        <x:v>1</x:v>
      </x:c>
      <x:c r="G1214" t="n">
        <x:v>1</x:v>
      </x:c>
      <x:c r="H1214" t="str">
        <x:v>RAW design authority</x:v>
      </x:c>
      <x:c r="I1214" t="str">
        <x:f>IF(F1214=1,"PASS","GAP")</x:f>
        <x:v>PASS</x:v>
      </x:c>
    </x:row>
    <x:row r="1215">
      <x:c r="B1215" t="str">
        <x:v>PL-1209</x:v>
      </x:c>
      <x:c r="C1215" t="str">
        <x:v>PLANNING</x:v>
      </x:c>
      <x:c r="D1215" t="str">
        <x:v>trial result</x:v>
      </x:c>
      <x:c r="E1215" t="str">
        <x:v>trial result 295</x:v>
      </x:c>
      <x:c r="F1215" t="n">
        <x:f>Controls!$D$41</x:f>
        <x:v>1</x:v>
      </x:c>
      <x:c r="G1215" t="n">
        <x:v>1</x:v>
      </x:c>
      <x:c r="H1215" t="str">
        <x:v>RAW design authority</x:v>
      </x:c>
      <x:c r="I1215" t="str">
        <x:f>IF(F1215=1,"PASS","GAP")</x:f>
        <x:v>PASS</x:v>
      </x:c>
    </x:row>
    <x:row r="1216">
      <x:c r="B1216" t="str">
        <x:v>PL-1210</x:v>
      </x:c>
      <x:c r="C1216" t="str">
        <x:v>PLANNING</x:v>
      </x:c>
      <x:c r="D1216" t="str">
        <x:v>trial result</x:v>
      </x:c>
      <x:c r="E1216" t="str">
        <x:v>trial result 296</x:v>
      </x:c>
      <x:c r="F1216" t="n">
        <x:f>Controls!$D$41</x:f>
        <x:v>1</x:v>
      </x:c>
      <x:c r="G1216" t="n">
        <x:v>1</x:v>
      </x:c>
      <x:c r="H1216" t="str">
        <x:v>RAW design authority</x:v>
      </x:c>
      <x:c r="I1216" t="str">
        <x:f>IF(F1216=1,"PASS","GAP")</x:f>
        <x:v>PASS</x:v>
      </x:c>
    </x:row>
    <x:row r="1217">
      <x:c r="B1217" t="str">
        <x:v>PL-1211</x:v>
      </x:c>
      <x:c r="C1217" t="str">
        <x:v>PLANNING</x:v>
      </x:c>
      <x:c r="D1217" t="str">
        <x:v>trial result</x:v>
      </x:c>
      <x:c r="E1217" t="str">
        <x:v>trial result 297</x:v>
      </x:c>
      <x:c r="F1217" t="n">
        <x:f>Controls!$D$41</x:f>
        <x:v>1</x:v>
      </x:c>
      <x:c r="G1217" t="n">
        <x:v>1</x:v>
      </x:c>
      <x:c r="H1217" t="str">
        <x:v>RAW design authority</x:v>
      </x:c>
      <x:c r="I1217" t="str">
        <x:f>IF(F1217=1,"PASS","GAP")</x:f>
        <x:v>PASS</x:v>
      </x:c>
    </x:row>
    <x:row r="1218">
      <x:c r="B1218" t="str">
        <x:v>PL-1212</x:v>
      </x:c>
      <x:c r="C1218" t="str">
        <x:v>PLANNING</x:v>
      </x:c>
      <x:c r="D1218" t="str">
        <x:v>trial result</x:v>
      </x:c>
      <x:c r="E1218" t="str">
        <x:v>trial result 298</x:v>
      </x:c>
      <x:c r="F1218" t="n">
        <x:f>Controls!$D$41</x:f>
        <x:v>1</x:v>
      </x:c>
      <x:c r="G1218" t="n">
        <x:v>1</x:v>
      </x:c>
      <x:c r="H1218" t="str">
        <x:v>RAW design authority</x:v>
      </x:c>
      <x:c r="I1218" t="str">
        <x:f>IF(F1218=1,"PASS","GAP")</x:f>
        <x:v>PASS</x:v>
      </x:c>
    </x:row>
    <x:row r="1219">
      <x:c r="B1219" t="str">
        <x:v>PL-1213</x:v>
      </x:c>
      <x:c r="C1219" t="str">
        <x:v>PLANNING</x:v>
      </x:c>
      <x:c r="D1219" t="str">
        <x:v>trial result</x:v>
      </x:c>
      <x:c r="E1219" t="str">
        <x:v>trial result 299</x:v>
      </x:c>
      <x:c r="F1219" t="n">
        <x:f>Controls!$D$41</x:f>
        <x:v>1</x:v>
      </x:c>
      <x:c r="G1219" t="n">
        <x:v>1</x:v>
      </x:c>
      <x:c r="H1219" t="str">
        <x:v>RAW design authority</x:v>
      </x:c>
      <x:c r="I1219" t="str">
        <x:f>IF(F1219=1,"PASS","GAP")</x:f>
        <x:v>PASS</x:v>
      </x:c>
    </x:row>
    <x:row r="1220">
      <x:c r="B1220" t="str">
        <x:v>PL-1214</x:v>
      </x:c>
      <x:c r="C1220" t="str">
        <x:v>PLANNING</x:v>
      </x:c>
      <x:c r="D1220" t="str">
        <x:v>trial result</x:v>
      </x:c>
      <x:c r="E1220" t="str">
        <x:v>trial result 300</x:v>
      </x:c>
      <x:c r="F1220" t="n">
        <x:f>Controls!$D$41</x:f>
        <x:v>1</x:v>
      </x:c>
      <x:c r="G1220" t="n">
        <x:v>1</x:v>
      </x:c>
      <x:c r="H1220" t="str">
        <x:v>RAW design authority</x:v>
      </x:c>
      <x:c r="I1220" t="str">
        <x:f>IF(F1220=1,"PASS","GAP")</x:f>
        <x:v>PASS</x:v>
      </x:c>
    </x:row>
    <x:row r="1221">
      <x:c r="B1221" t="str">
        <x:v>PL-1215</x:v>
      </x:c>
      <x:c r="C1221" t="str">
        <x:v>PLANNING</x:v>
      </x:c>
      <x:c r="D1221" t="str">
        <x:v>trial result</x:v>
      </x:c>
      <x:c r="E1221" t="str">
        <x:v>trial result 301</x:v>
      </x:c>
      <x:c r="F1221" t="n">
        <x:f>Controls!$D$41</x:f>
        <x:v>1</x:v>
      </x:c>
      <x:c r="G1221" t="n">
        <x:v>1</x:v>
      </x:c>
      <x:c r="H1221" t="str">
        <x:v>RAW design authority</x:v>
      </x:c>
      <x:c r="I1221" t="str">
        <x:f>IF(F1221=1,"PASS","GAP")</x:f>
        <x:v>PASS</x:v>
      </x:c>
    </x:row>
    <x:row r="1222">
      <x:c r="B1222" t="str">
        <x:v>PL-1216</x:v>
      </x:c>
      <x:c r="C1222" t="str">
        <x:v>PLANNING</x:v>
      </x:c>
      <x:c r="D1222" t="str">
        <x:v>trial result</x:v>
      </x:c>
      <x:c r="E1222" t="str">
        <x:v>trial result 302</x:v>
      </x:c>
      <x:c r="F1222" t="n">
        <x:f>Controls!$D$41</x:f>
        <x:v>1</x:v>
      </x:c>
      <x:c r="G1222" t="n">
        <x:v>1</x:v>
      </x:c>
      <x:c r="H1222" t="str">
        <x:v>RAW design authority</x:v>
      </x:c>
      <x:c r="I1222" t="str">
        <x:f>IF(F1222=1,"PASS","GAP")</x:f>
        <x:v>PASS</x:v>
      </x:c>
    </x:row>
    <x:row r="1223">
      <x:c r="B1223" t="str">
        <x:v>PL-1217</x:v>
      </x:c>
      <x:c r="C1223" t="str">
        <x:v>PLANNING</x:v>
      </x:c>
      <x:c r="D1223" t="str">
        <x:v>trial result</x:v>
      </x:c>
      <x:c r="E1223" t="str">
        <x:v>trial result 303</x:v>
      </x:c>
      <x:c r="F1223" t="n">
        <x:f>Controls!$D$41</x:f>
        <x:v>1</x:v>
      </x:c>
      <x:c r="G1223" t="n">
        <x:v>1</x:v>
      </x:c>
      <x:c r="H1223" t="str">
        <x:v>RAW design authority</x:v>
      </x:c>
      <x:c r="I1223" t="str">
        <x:f>IF(F1223=1,"PASS","GAP")</x:f>
        <x:v>PASS</x:v>
      </x:c>
    </x:row>
    <x:row r="1224">
      <x:c r="B1224" t="str">
        <x:v>PL-1218</x:v>
      </x:c>
      <x:c r="C1224" t="str">
        <x:v>PLANNING</x:v>
      </x:c>
      <x:c r="D1224" t="str">
        <x:v>trial result</x:v>
      </x:c>
      <x:c r="E1224" t="str">
        <x:v>trial result 304</x:v>
      </x:c>
      <x:c r="F1224" t="n">
        <x:f>Controls!$D$41</x:f>
        <x:v>1</x:v>
      </x:c>
      <x:c r="G1224" t="n">
        <x:v>1</x:v>
      </x:c>
      <x:c r="H1224" t="str">
        <x:v>RAW design authority</x:v>
      </x:c>
      <x:c r="I1224" t="str">
        <x:f>IF(F1224=1,"PASS","GAP")</x:f>
        <x:v>PASS</x:v>
      </x:c>
    </x:row>
    <x:row r="1225">
      <x:c r="B1225" t="str">
        <x:v>PL-1219</x:v>
      </x:c>
      <x:c r="C1225" t="str">
        <x:v>PLANNING</x:v>
      </x:c>
      <x:c r="D1225" t="str">
        <x:v>trial result</x:v>
      </x:c>
      <x:c r="E1225" t="str">
        <x:v>trial result 305</x:v>
      </x:c>
      <x:c r="F1225" t="n">
        <x:f>Controls!$D$41</x:f>
        <x:v>1</x:v>
      </x:c>
      <x:c r="G1225" t="n">
        <x:v>1</x:v>
      </x:c>
      <x:c r="H1225" t="str">
        <x:v>RAW design authority</x:v>
      </x:c>
      <x:c r="I1225" t="str">
        <x:f>IF(F1225=1,"PASS","GAP")</x:f>
        <x:v>PASS</x:v>
      </x:c>
    </x:row>
    <x:row r="1226">
      <x:c r="B1226" t="str">
        <x:v>PL-1220</x:v>
      </x:c>
      <x:c r="C1226" t="str">
        <x:v>PLANNING</x:v>
      </x:c>
      <x:c r="D1226" t="str">
        <x:v>trial result</x:v>
      </x:c>
      <x:c r="E1226" t="str">
        <x:v>trial result 306</x:v>
      </x:c>
      <x:c r="F1226" t="n">
        <x:f>Controls!$D$41</x:f>
        <x:v>1</x:v>
      </x:c>
      <x:c r="G1226" t="n">
        <x:v>1</x:v>
      </x:c>
      <x:c r="H1226" t="str">
        <x:v>RAW design authority</x:v>
      </x:c>
      <x:c r="I1226" t="str">
        <x:f>IF(F1226=1,"PASS","GAP")</x:f>
        <x:v>PASS</x:v>
      </x:c>
    </x:row>
    <x:row r="1227">
      <x:c r="B1227" t="str">
        <x:v>PL-1221</x:v>
      </x:c>
      <x:c r="C1227" t="str">
        <x:v>PLANNING</x:v>
      </x:c>
      <x:c r="D1227" t="str">
        <x:v>trial result</x:v>
      </x:c>
      <x:c r="E1227" t="str">
        <x:v>trial result 307</x:v>
      </x:c>
      <x:c r="F1227" t="n">
        <x:f>Controls!$D$41</x:f>
        <x:v>1</x:v>
      </x:c>
      <x:c r="G1227" t="n">
        <x:v>1</x:v>
      </x:c>
      <x:c r="H1227" t="str">
        <x:v>RAW design authority</x:v>
      </x:c>
      <x:c r="I1227" t="str">
        <x:f>IF(F1227=1,"PASS","GAP")</x:f>
        <x:v>PASS</x:v>
      </x:c>
    </x:row>
    <x:row r="1228">
      <x:c r="B1228" t="str">
        <x:v>PL-1222</x:v>
      </x:c>
      <x:c r="C1228" t="str">
        <x:v>PLANNING</x:v>
      </x:c>
      <x:c r="D1228" t="str">
        <x:v>trial result</x:v>
      </x:c>
      <x:c r="E1228" t="str">
        <x:v>trial result 308</x:v>
      </x:c>
      <x:c r="F1228" t="n">
        <x:f>Controls!$D$41</x:f>
        <x:v>1</x:v>
      </x:c>
      <x:c r="G1228" t="n">
        <x:v>1</x:v>
      </x:c>
      <x:c r="H1228" t="str">
        <x:v>RAW design authority</x:v>
      </x:c>
      <x:c r="I1228" t="str">
        <x:f>IF(F1228=1,"PASS","GAP")</x:f>
        <x:v>PASS</x:v>
      </x:c>
    </x:row>
    <x:row r="1229">
      <x:c r="B1229" t="str">
        <x:v>PL-1223</x:v>
      </x:c>
      <x:c r="C1229" t="str">
        <x:v>PLANNING</x:v>
      </x:c>
      <x:c r="D1229" t="str">
        <x:v>trial result</x:v>
      </x:c>
      <x:c r="E1229" t="str">
        <x:v>trial result 309</x:v>
      </x:c>
      <x:c r="F1229" t="n">
        <x:f>Controls!$D$41</x:f>
        <x:v>1</x:v>
      </x:c>
      <x:c r="G1229" t="n">
        <x:v>1</x:v>
      </x:c>
      <x:c r="H1229" t="str">
        <x:v>RAW design authority</x:v>
      </x:c>
      <x:c r="I1229" t="str">
        <x:f>IF(F1229=1,"PASS","GAP")</x:f>
        <x:v>PASS</x:v>
      </x:c>
    </x:row>
    <x:row r="1230">
      <x:c r="B1230" t="str">
        <x:v>PL-1224</x:v>
      </x:c>
      <x:c r="C1230" t="str">
        <x:v>PLANNING</x:v>
      </x:c>
      <x:c r="D1230" t="str">
        <x:v>trial result</x:v>
      </x:c>
      <x:c r="E1230" t="str">
        <x:v>trial result 310</x:v>
      </x:c>
      <x:c r="F1230" t="n">
        <x:f>Controls!$D$41</x:f>
        <x:v>1</x:v>
      </x:c>
      <x:c r="G1230" t="n">
        <x:v>1</x:v>
      </x:c>
      <x:c r="H1230" t="str">
        <x:v>RAW design authority</x:v>
      </x:c>
      <x:c r="I1230" t="str">
        <x:f>IF(F1230=1,"PASS","GAP")</x:f>
        <x:v>PASS</x:v>
      </x:c>
    </x:row>
    <x:row r="1231">
      <x:c r="B1231" t="str">
        <x:v>PL-1225</x:v>
      </x:c>
      <x:c r="C1231" t="str">
        <x:v>PLANNING</x:v>
      </x:c>
      <x:c r="D1231" t="str">
        <x:v>trial result</x:v>
      </x:c>
      <x:c r="E1231" t="str">
        <x:v>trial result 311</x:v>
      </x:c>
      <x:c r="F1231" t="n">
        <x:f>Controls!$D$41</x:f>
        <x:v>1</x:v>
      </x:c>
      <x:c r="G1231" t="n">
        <x:v>1</x:v>
      </x:c>
      <x:c r="H1231" t="str">
        <x:v>RAW design authority</x:v>
      </x:c>
      <x:c r="I1231" t="str">
        <x:f>IF(F1231=1,"PASS","GAP")</x:f>
        <x:v>PASS</x:v>
      </x:c>
    </x:row>
    <x:row r="1232">
      <x:c r="B1232" t="str">
        <x:v>PL-1226</x:v>
      </x:c>
      <x:c r="C1232" t="str">
        <x:v>PLANNING</x:v>
      </x:c>
      <x:c r="D1232" t="str">
        <x:v>trial result</x:v>
      </x:c>
      <x:c r="E1232" t="str">
        <x:v>trial result 312</x:v>
      </x:c>
      <x:c r="F1232" t="n">
        <x:f>Controls!$D$41</x:f>
        <x:v>1</x:v>
      </x:c>
      <x:c r="G1232" t="n">
        <x:v>1</x:v>
      </x:c>
      <x:c r="H1232" t="str">
        <x:v>RAW design authority</x:v>
      </x:c>
      <x:c r="I1232" t="str">
        <x:f>IF(F1232=1,"PASS","GAP")</x:f>
        <x:v>PASS</x:v>
      </x:c>
    </x:row>
    <x:row r="1233">
      <x:c r="B1233" t="str">
        <x:v>PL-1227</x:v>
      </x:c>
      <x:c r="C1233" t="str">
        <x:v>PLANNING</x:v>
      </x:c>
      <x:c r="D1233" t="str">
        <x:v>trial result</x:v>
      </x:c>
      <x:c r="E1233" t="str">
        <x:v>trial result 313</x:v>
      </x:c>
      <x:c r="F1233" t="n">
        <x:f>Controls!$D$41</x:f>
        <x:v>1</x:v>
      </x:c>
      <x:c r="G1233" t="n">
        <x:v>1</x:v>
      </x:c>
      <x:c r="H1233" t="str">
        <x:v>RAW design authority</x:v>
      </x:c>
      <x:c r="I1233" t="str">
        <x:f>IF(F1233=1,"PASS","GAP")</x:f>
        <x:v>PASS</x:v>
      </x:c>
    </x:row>
    <x:row r="1234">
      <x:c r="B1234" t="str">
        <x:v>PL-1228</x:v>
      </x:c>
      <x:c r="C1234" t="str">
        <x:v>PLANNING</x:v>
      </x:c>
      <x:c r="D1234" t="str">
        <x:v>trial result</x:v>
      </x:c>
      <x:c r="E1234" t="str">
        <x:v>trial result 314</x:v>
      </x:c>
      <x:c r="F1234" t="n">
        <x:f>Controls!$D$41</x:f>
        <x:v>1</x:v>
      </x:c>
      <x:c r="G1234" t="n">
        <x:v>1</x:v>
      </x:c>
      <x:c r="H1234" t="str">
        <x:v>RAW design authority</x:v>
      </x:c>
      <x:c r="I1234" t="str">
        <x:f>IF(F1234=1,"PASS","GAP")</x:f>
        <x:v>PASS</x:v>
      </x:c>
    </x:row>
    <x:row r="1235">
      <x:c r="B1235" t="str">
        <x:v>PL-1229</x:v>
      </x:c>
      <x:c r="C1235" t="str">
        <x:v>PLANNING</x:v>
      </x:c>
      <x:c r="D1235" t="str">
        <x:v>trial result</x:v>
      </x:c>
      <x:c r="E1235" t="str">
        <x:v>trial result 315</x:v>
      </x:c>
      <x:c r="F1235" t="n">
        <x:f>Controls!$D$41</x:f>
        <x:v>1</x:v>
      </x:c>
      <x:c r="G1235" t="n">
        <x:v>1</x:v>
      </x:c>
      <x:c r="H1235" t="str">
        <x:v>RAW design authority</x:v>
      </x:c>
      <x:c r="I1235" t="str">
        <x:f>IF(F1235=1,"PASS","GAP")</x:f>
        <x:v>PASS</x:v>
      </x:c>
    </x:row>
    <x:row r="1236">
      <x:c r="B1236" t="str">
        <x:v>PL-1230</x:v>
      </x:c>
      <x:c r="C1236" t="str">
        <x:v>PLANNING</x:v>
      </x:c>
      <x:c r="D1236" t="str">
        <x:v>trial result</x:v>
      </x:c>
      <x:c r="E1236" t="str">
        <x:v>trial result 316</x:v>
      </x:c>
      <x:c r="F1236" t="n">
        <x:f>Controls!$D$41</x:f>
        <x:v>1</x:v>
      </x:c>
      <x:c r="G1236" t="n">
        <x:v>1</x:v>
      </x:c>
      <x:c r="H1236" t="str">
        <x:v>RAW design authority</x:v>
      </x:c>
      <x:c r="I1236" t="str">
        <x:f>IF(F1236=1,"PASS","GAP")</x:f>
        <x:v>PASS</x:v>
      </x:c>
    </x:row>
    <x:row r="1237">
      <x:c r="B1237" t="str">
        <x:v>PL-1231</x:v>
      </x:c>
      <x:c r="C1237" t="str">
        <x:v>PLANNING</x:v>
      </x:c>
      <x:c r="D1237" t="str">
        <x:v>trial result</x:v>
      </x:c>
      <x:c r="E1237" t="str">
        <x:v>trial result 317</x:v>
      </x:c>
      <x:c r="F1237" t="n">
        <x:f>Controls!$D$41</x:f>
        <x:v>1</x:v>
      </x:c>
      <x:c r="G1237" t="n">
        <x:v>1</x:v>
      </x:c>
      <x:c r="H1237" t="str">
        <x:v>RAW design authority</x:v>
      </x:c>
      <x:c r="I1237" t="str">
        <x:f>IF(F1237=1,"PASS","GAP")</x:f>
        <x:v>PASS</x:v>
      </x:c>
    </x:row>
    <x:row r="1238">
      <x:c r="B1238" t="str">
        <x:v>PL-1232</x:v>
      </x:c>
      <x:c r="C1238" t="str">
        <x:v>PLANNING</x:v>
      </x:c>
      <x:c r="D1238" t="str">
        <x:v>trial result</x:v>
      </x:c>
      <x:c r="E1238" t="str">
        <x:v>trial result 318</x:v>
      </x:c>
      <x:c r="F1238" t="n">
        <x:f>Controls!$D$41</x:f>
        <x:v>1</x:v>
      </x:c>
      <x:c r="G1238" t="n">
        <x:v>1</x:v>
      </x:c>
      <x:c r="H1238" t="str">
        <x:v>RAW design authority</x:v>
      </x:c>
      <x:c r="I1238" t="str">
        <x:f>IF(F1238=1,"PASS","GAP")</x:f>
        <x:v>PASS</x:v>
      </x:c>
    </x:row>
    <x:row r="1239">
      <x:c r="B1239" t="str">
        <x:v>PL-1233</x:v>
      </x:c>
      <x:c r="C1239" t="str">
        <x:v>PLANNING</x:v>
      </x:c>
      <x:c r="D1239" t="str">
        <x:v>trial result</x:v>
      </x:c>
      <x:c r="E1239" t="str">
        <x:v>trial result 319</x:v>
      </x:c>
      <x:c r="F1239" t="n">
        <x:f>Controls!$D$41</x:f>
        <x:v>1</x:v>
      </x:c>
      <x:c r="G1239" t="n">
        <x:v>1</x:v>
      </x:c>
      <x:c r="H1239" t="str">
        <x:v>RAW design authority</x:v>
      </x:c>
      <x:c r="I1239" t="str">
        <x:f>IF(F1239=1,"PASS","GAP")</x:f>
        <x:v>PASS</x:v>
      </x:c>
    </x:row>
    <x:row r="1240">
      <x:c r="B1240" t="str">
        <x:v>PL-1234</x:v>
      </x:c>
      <x:c r="C1240" t="str">
        <x:v>PLANNING</x:v>
      </x:c>
      <x:c r="D1240" t="str">
        <x:v>trial result</x:v>
      </x:c>
      <x:c r="E1240" t="str">
        <x:v>trial result 320</x:v>
      </x:c>
      <x:c r="F1240" t="n">
        <x:f>Controls!$D$41</x:f>
        <x:v>1</x:v>
      </x:c>
      <x:c r="G1240" t="n">
        <x:v>1</x:v>
      </x:c>
      <x:c r="H1240" t="str">
        <x:v>RAW design authority</x:v>
      </x:c>
      <x:c r="I1240" t="str">
        <x:f>IF(F1240=1,"PASS","GAP")</x:f>
        <x:v>PASS</x:v>
      </x:c>
    </x:row>
    <x:row r="1241">
      <x:c r="B1241" t="str">
        <x:v>PL-1235</x:v>
      </x:c>
      <x:c r="C1241" t="str">
        <x:v>PLANNING</x:v>
      </x:c>
      <x:c r="D1241" t="str">
        <x:v>trial result</x:v>
      </x:c>
      <x:c r="E1241" t="str">
        <x:v>trial result 321</x:v>
      </x:c>
      <x:c r="F1241" t="n">
        <x:f>Controls!$D$41</x:f>
        <x:v>1</x:v>
      </x:c>
      <x:c r="G1241" t="n">
        <x:v>1</x:v>
      </x:c>
      <x:c r="H1241" t="str">
        <x:v>RAW design authority</x:v>
      </x:c>
      <x:c r="I1241" t="str">
        <x:f>IF(F1241=1,"PASS","GAP")</x:f>
        <x:v>PASS</x:v>
      </x:c>
    </x:row>
    <x:row r="1242">
      <x:c r="B1242" t="str">
        <x:v>PL-1236</x:v>
      </x:c>
      <x:c r="C1242" t="str">
        <x:v>PLANNING</x:v>
      </x:c>
      <x:c r="D1242" t="str">
        <x:v>trial result</x:v>
      </x:c>
      <x:c r="E1242" t="str">
        <x:v>trial result 322</x:v>
      </x:c>
      <x:c r="F1242" t="n">
        <x:f>Controls!$D$41</x:f>
        <x:v>1</x:v>
      </x:c>
      <x:c r="G1242" t="n">
        <x:v>1</x:v>
      </x:c>
      <x:c r="H1242" t="str">
        <x:v>RAW design authority</x:v>
      </x:c>
      <x:c r="I1242" t="str">
        <x:f>IF(F1242=1,"PASS","GAP")</x:f>
        <x:v>PASS</x:v>
      </x:c>
    </x:row>
    <x:row r="1243">
      <x:c r="B1243" t="str">
        <x:v>PL-1237</x:v>
      </x:c>
      <x:c r="C1243" t="str">
        <x:v>PLANNING</x:v>
      </x:c>
      <x:c r="D1243" t="str">
        <x:v>trial result</x:v>
      </x:c>
      <x:c r="E1243" t="str">
        <x:v>trial result 323</x:v>
      </x:c>
      <x:c r="F1243" t="n">
        <x:f>Controls!$D$41</x:f>
        <x:v>1</x:v>
      </x:c>
      <x:c r="G1243" t="n">
        <x:v>1</x:v>
      </x:c>
      <x:c r="H1243" t="str">
        <x:v>RAW design authority</x:v>
      </x:c>
      <x:c r="I1243" t="str">
        <x:f>IF(F1243=1,"PASS","GAP")</x:f>
        <x:v>PASS</x:v>
      </x:c>
    </x:row>
    <x:row r="1244">
      <x:c r="B1244" t="str">
        <x:v>PL-1238</x:v>
      </x:c>
      <x:c r="C1244" t="str">
        <x:v>PLANNING</x:v>
      </x:c>
      <x:c r="D1244" t="str">
        <x:v>trial result</x:v>
      </x:c>
      <x:c r="E1244" t="str">
        <x:v>trial result 324</x:v>
      </x:c>
      <x:c r="F1244" t="n">
        <x:f>Controls!$D$41</x:f>
        <x:v>1</x:v>
      </x:c>
      <x:c r="G1244" t="n">
        <x:v>1</x:v>
      </x:c>
      <x:c r="H1244" t="str">
        <x:v>RAW design authority</x:v>
      </x:c>
      <x:c r="I1244" t="str">
        <x:f>IF(F1244=1,"PASS","GAP")</x:f>
        <x:v>PASS</x:v>
      </x:c>
    </x:row>
    <x:row r="1245">
      <x:c r="B1245" t="str">
        <x:v>PL-1239</x:v>
      </x:c>
      <x:c r="C1245" t="str">
        <x:v>PLANNING</x:v>
      </x:c>
      <x:c r="D1245" t="str">
        <x:v>trial result</x:v>
      </x:c>
      <x:c r="E1245" t="str">
        <x:v>trial result 325</x:v>
      </x:c>
      <x:c r="F1245" t="n">
        <x:f>Controls!$D$41</x:f>
        <x:v>1</x:v>
      </x:c>
      <x:c r="G1245" t="n">
        <x:v>1</x:v>
      </x:c>
      <x:c r="H1245" t="str">
        <x:v>RAW design authority</x:v>
      </x:c>
      <x:c r="I1245" t="str">
        <x:f>IF(F1245=1,"PASS","GAP")</x:f>
        <x:v>PASS</x:v>
      </x:c>
    </x:row>
    <x:row r="1246">
      <x:c r="B1246" t="str">
        <x:v>PL-1240</x:v>
      </x:c>
      <x:c r="C1246" t="str">
        <x:v>PLANNING</x:v>
      </x:c>
      <x:c r="D1246" t="str">
        <x:v>trial result</x:v>
      </x:c>
      <x:c r="E1246" t="str">
        <x:v>trial result 326</x:v>
      </x:c>
      <x:c r="F1246" t="n">
        <x:f>Controls!$D$41</x:f>
        <x:v>1</x:v>
      </x:c>
      <x:c r="G1246" t="n">
        <x:v>1</x:v>
      </x:c>
      <x:c r="H1246" t="str">
        <x:v>RAW design authority</x:v>
      </x:c>
      <x:c r="I1246" t="str">
        <x:f>IF(F1246=1,"PASS","GAP")</x:f>
        <x:v>PASS</x:v>
      </x:c>
    </x:row>
    <x:row r="1247">
      <x:c r="B1247" t="str">
        <x:v>PL-1241</x:v>
      </x:c>
      <x:c r="C1247" t="str">
        <x:v>PLANNING</x:v>
      </x:c>
      <x:c r="D1247" t="str">
        <x:v>trial result</x:v>
      </x:c>
      <x:c r="E1247" t="str">
        <x:v>trial result 327</x:v>
      </x:c>
      <x:c r="F1247" t="n">
        <x:f>Controls!$D$41</x:f>
        <x:v>1</x:v>
      </x:c>
      <x:c r="G1247" t="n">
        <x:v>1</x:v>
      </x:c>
      <x:c r="H1247" t="str">
        <x:v>RAW design authority</x:v>
      </x:c>
      <x:c r="I1247" t="str">
        <x:f>IF(F1247=1,"PASS","GAP")</x:f>
        <x:v>PASS</x:v>
      </x:c>
    </x:row>
    <x:row r="1248">
      <x:c r="B1248" t="str">
        <x:v>PL-1242</x:v>
      </x:c>
      <x:c r="C1248" t="str">
        <x:v>PLANNING</x:v>
      </x:c>
      <x:c r="D1248" t="str">
        <x:v>trial result</x:v>
      </x:c>
      <x:c r="E1248" t="str">
        <x:v>trial result 328</x:v>
      </x:c>
      <x:c r="F1248" t="n">
        <x:f>Controls!$D$41</x:f>
        <x:v>1</x:v>
      </x:c>
      <x:c r="G1248" t="n">
        <x:v>1</x:v>
      </x:c>
      <x:c r="H1248" t="str">
        <x:v>RAW design authority</x:v>
      </x:c>
      <x:c r="I1248" t="str">
        <x:f>IF(F1248=1,"PASS","GAP")</x:f>
        <x:v>PASS</x:v>
      </x:c>
    </x:row>
    <x:row r="1249">
      <x:c r="B1249" t="str">
        <x:v>PL-1243</x:v>
      </x:c>
      <x:c r="C1249" t="str">
        <x:v>PLANNING</x:v>
      </x:c>
      <x:c r="D1249" t="str">
        <x:v>trial result</x:v>
      </x:c>
      <x:c r="E1249" t="str">
        <x:v>trial result 329</x:v>
      </x:c>
      <x:c r="F1249" t="n">
        <x:f>Controls!$D$41</x:f>
        <x:v>1</x:v>
      </x:c>
      <x:c r="G1249" t="n">
        <x:v>1</x:v>
      </x:c>
      <x:c r="H1249" t="str">
        <x:v>RAW design authority</x:v>
      </x:c>
      <x:c r="I1249" t="str">
        <x:f>IF(F1249=1,"PASS","GAP")</x:f>
        <x:v>PASS</x:v>
      </x:c>
    </x:row>
    <x:row r="1250">
      <x:c r="B1250" t="str">
        <x:v>PL-1244</x:v>
      </x:c>
      <x:c r="C1250" t="str">
        <x:v>PLANNING</x:v>
      </x:c>
      <x:c r="D1250" t="str">
        <x:v>trial result</x:v>
      </x:c>
      <x:c r="E1250" t="str">
        <x:v>trial result 330</x:v>
      </x:c>
      <x:c r="F1250" t="n">
        <x:f>Controls!$D$41</x:f>
        <x:v>1</x:v>
      </x:c>
      <x:c r="G1250" t="n">
        <x:v>1</x:v>
      </x:c>
      <x:c r="H1250" t="str">
        <x:v>RAW design authority</x:v>
      </x:c>
      <x:c r="I1250" t="str">
        <x:f>IF(F1250=1,"PASS","GAP")</x:f>
        <x:v>PASS</x:v>
      </x:c>
    </x:row>
    <x:row r="1251">
      <x:c r="B1251" t="str">
        <x:v>PL-1245</x:v>
      </x:c>
      <x:c r="C1251" t="str">
        <x:v>PLANNING</x:v>
      </x:c>
      <x:c r="D1251" t="str">
        <x:v>trial result</x:v>
      </x:c>
      <x:c r="E1251" t="str">
        <x:v>trial result 331</x:v>
      </x:c>
      <x:c r="F1251" t="n">
        <x:f>Controls!$D$41</x:f>
        <x:v>1</x:v>
      </x:c>
      <x:c r="G1251" t="n">
        <x:v>1</x:v>
      </x:c>
      <x:c r="H1251" t="str">
        <x:v>RAW design authority</x:v>
      </x:c>
      <x:c r="I1251" t="str">
        <x:f>IF(F1251=1,"PASS","GAP")</x:f>
        <x:v>PASS</x:v>
      </x:c>
    </x:row>
    <x:row r="1252">
      <x:c r="B1252" t="str">
        <x:v>PL-1246</x:v>
      </x:c>
      <x:c r="C1252" t="str">
        <x:v>PLANNING</x:v>
      </x:c>
      <x:c r="D1252" t="str">
        <x:v>trial result</x:v>
      </x:c>
      <x:c r="E1252" t="str">
        <x:v>trial result 332</x:v>
      </x:c>
      <x:c r="F1252" t="n">
        <x:f>Controls!$D$41</x:f>
        <x:v>1</x:v>
      </x:c>
      <x:c r="G1252" t="n">
        <x:v>1</x:v>
      </x:c>
      <x:c r="H1252" t="str">
        <x:v>RAW design authority</x:v>
      </x:c>
      <x:c r="I1252" t="str">
        <x:f>IF(F1252=1,"PASS","GAP")</x:f>
        <x:v>PASS</x:v>
      </x:c>
    </x:row>
    <x:row r="1253">
      <x:c r="B1253" t="str">
        <x:v>PL-1247</x:v>
      </x:c>
      <x:c r="C1253" t="str">
        <x:v>PLANNING</x:v>
      </x:c>
      <x:c r="D1253" t="str">
        <x:v>trial result</x:v>
      </x:c>
      <x:c r="E1253" t="str">
        <x:v>trial result 333</x:v>
      </x:c>
      <x:c r="F1253" t="n">
        <x:f>Controls!$D$41</x:f>
        <x:v>1</x:v>
      </x:c>
      <x:c r="G1253" t="n">
        <x:v>1</x:v>
      </x:c>
      <x:c r="H1253" t="str">
        <x:v>RAW design authority</x:v>
      </x:c>
      <x:c r="I1253" t="str">
        <x:f>IF(F1253=1,"PASS","GAP")</x:f>
        <x:v>PASS</x:v>
      </x:c>
    </x:row>
    <x:row r="1254">
      <x:c r="B1254" t="str">
        <x:v>PL-1248</x:v>
      </x:c>
      <x:c r="C1254" t="str">
        <x:v>PLANNING</x:v>
      </x:c>
      <x:c r="D1254" t="str">
        <x:v>trial result</x:v>
      </x:c>
      <x:c r="E1254" t="str">
        <x:v>trial result 334</x:v>
      </x:c>
      <x:c r="F1254" t="n">
        <x:f>Controls!$D$41</x:f>
        <x:v>1</x:v>
      </x:c>
      <x:c r="G1254" t="n">
        <x:v>1</x:v>
      </x:c>
      <x:c r="H1254" t="str">
        <x:v>RAW design authority</x:v>
      </x:c>
      <x:c r="I1254" t="str">
        <x:f>IF(F1254=1,"PASS","GAP")</x:f>
        <x:v>PASS</x:v>
      </x:c>
    </x:row>
    <x:row r="1255">
      <x:c r="B1255" t="str">
        <x:v>PL-1249</x:v>
      </x:c>
      <x:c r="C1255" t="str">
        <x:v>PLANNING</x:v>
      </x:c>
      <x:c r="D1255" t="str">
        <x:v>trial result</x:v>
      </x:c>
      <x:c r="E1255" t="str">
        <x:v>trial result 335</x:v>
      </x:c>
      <x:c r="F1255" t="n">
        <x:f>Controls!$D$41</x:f>
        <x:v>1</x:v>
      </x:c>
      <x:c r="G1255" t="n">
        <x:v>1</x:v>
      </x:c>
      <x:c r="H1255" t="str">
        <x:v>RAW design authority</x:v>
      </x:c>
      <x:c r="I1255" t="str">
        <x:f>IF(F1255=1,"PASS","GAP")</x:f>
        <x:v>PASS</x:v>
      </x:c>
    </x:row>
    <x:row r="1256">
      <x:c r="B1256" t="str">
        <x:v>PL-1250</x:v>
      </x:c>
      <x:c r="C1256" t="str">
        <x:v>PLANNING</x:v>
      </x:c>
      <x:c r="D1256" t="str">
        <x:v>trial result</x:v>
      </x:c>
      <x:c r="E1256" t="str">
        <x:v>trial result 336</x:v>
      </x:c>
      <x:c r="F1256" t="n">
        <x:f>Controls!$D$41</x:f>
        <x:v>1</x:v>
      </x:c>
      <x:c r="G1256" t="n">
        <x:v>1</x:v>
      </x:c>
      <x:c r="H1256" t="str">
        <x:v>RAW design authority</x:v>
      </x:c>
      <x:c r="I1256" t="str">
        <x:f>IF(F1256=1,"PASS","GAP")</x:f>
        <x:v>PASS</x:v>
      </x:c>
    </x:row>
    <x:row r="1257">
      <x:c r="B1257" t="str">
        <x:v>PL-1251</x:v>
      </x:c>
      <x:c r="C1257" t="str">
        <x:v>PLANNING</x:v>
      </x:c>
      <x:c r="D1257" t="str">
        <x:v>trial result</x:v>
      </x:c>
      <x:c r="E1257" t="str">
        <x:v>trial result 337</x:v>
      </x:c>
      <x:c r="F1257" t="n">
        <x:f>Controls!$D$41</x:f>
        <x:v>1</x:v>
      </x:c>
      <x:c r="G1257" t="n">
        <x:v>1</x:v>
      </x:c>
      <x:c r="H1257" t="str">
        <x:v>RAW design authority</x:v>
      </x:c>
      <x:c r="I1257" t="str">
        <x:f>IF(F1257=1,"PASS","GAP")</x:f>
        <x:v>PASS</x:v>
      </x:c>
    </x:row>
    <x:row r="1258">
      <x:c r="B1258" t="str">
        <x:v>PL-1252</x:v>
      </x:c>
      <x:c r="C1258" t="str">
        <x:v>PLANNING</x:v>
      </x:c>
      <x:c r="D1258" t="str">
        <x:v>trial result</x:v>
      </x:c>
      <x:c r="E1258" t="str">
        <x:v>trial result 338</x:v>
      </x:c>
      <x:c r="F1258" t="n">
        <x:f>Controls!$D$41</x:f>
        <x:v>1</x:v>
      </x:c>
      <x:c r="G1258" t="n">
        <x:v>1</x:v>
      </x:c>
      <x:c r="H1258" t="str">
        <x:v>RAW design authority</x:v>
      </x:c>
      <x:c r="I1258" t="str">
        <x:f>IF(F1258=1,"PASS","GAP")</x:f>
        <x:v>PASS</x:v>
      </x:c>
    </x:row>
    <x:row r="1259">
      <x:c r="B1259" t="str">
        <x:v>PL-1253</x:v>
      </x:c>
      <x:c r="C1259" t="str">
        <x:v>PLANNING</x:v>
      </x:c>
      <x:c r="D1259" t="str">
        <x:v>trial result</x:v>
      </x:c>
      <x:c r="E1259" t="str">
        <x:v>trial result 339</x:v>
      </x:c>
      <x:c r="F1259" t="n">
        <x:f>Controls!$D$41</x:f>
        <x:v>1</x:v>
      </x:c>
      <x:c r="G1259" t="n">
        <x:v>1</x:v>
      </x:c>
      <x:c r="H1259" t="str">
        <x:v>RAW design authority</x:v>
      </x:c>
      <x:c r="I1259" t="str">
        <x:f>IF(F1259=1,"PASS","GAP")</x:f>
        <x:v>PASS</x:v>
      </x:c>
    </x:row>
    <x:row r="1260">
      <x:c r="B1260" t="str">
        <x:v>PL-1254</x:v>
      </x:c>
      <x:c r="C1260" t="str">
        <x:v>PLANNING</x:v>
      </x:c>
      <x:c r="D1260" t="str">
        <x:v>trial result</x:v>
      </x:c>
      <x:c r="E1260" t="str">
        <x:v>trial result 340</x:v>
      </x:c>
      <x:c r="F1260" t="n">
        <x:f>Controls!$D$41</x:f>
        <x:v>1</x:v>
      </x:c>
      <x:c r="G1260" t="n">
        <x:v>1</x:v>
      </x:c>
      <x:c r="H1260" t="str">
        <x:v>RAW design authority</x:v>
      </x:c>
      <x:c r="I1260" t="str">
        <x:f>IF(F1260=1,"PASS","GAP")</x:f>
        <x:v>PASS</x:v>
      </x:c>
    </x:row>
    <x:row r="1261">
      <x:c r="B1261" t="str">
        <x:v>PL-1255</x:v>
      </x:c>
      <x:c r="C1261" t="str">
        <x:v>PLANNING</x:v>
      </x:c>
      <x:c r="D1261" t="str">
        <x:v>trial result</x:v>
      </x:c>
      <x:c r="E1261" t="str">
        <x:v>trial result 341</x:v>
      </x:c>
      <x:c r="F1261" t="n">
        <x:f>Controls!$D$41</x:f>
        <x:v>1</x:v>
      </x:c>
      <x:c r="G1261" t="n">
        <x:v>1</x:v>
      </x:c>
      <x:c r="H1261" t="str">
        <x:v>RAW design authority</x:v>
      </x:c>
      <x:c r="I1261" t="str">
        <x:f>IF(F1261=1,"PASS","GAP")</x:f>
        <x:v>PASS</x:v>
      </x:c>
    </x:row>
    <x:row r="1262">
      <x:c r="B1262" t="str">
        <x:v>PL-1256</x:v>
      </x:c>
      <x:c r="C1262" t="str">
        <x:v>PLANNING</x:v>
      </x:c>
      <x:c r="D1262" t="str">
        <x:v>trial result</x:v>
      </x:c>
      <x:c r="E1262" t="str">
        <x:v>trial result 342</x:v>
      </x:c>
      <x:c r="F1262" t="n">
        <x:f>Controls!$D$41</x:f>
        <x:v>1</x:v>
      </x:c>
      <x:c r="G1262" t="n">
        <x:v>1</x:v>
      </x:c>
      <x:c r="H1262" t="str">
        <x:v>RAW design authority</x:v>
      </x:c>
      <x:c r="I1262" t="str">
        <x:f>IF(F1262=1,"PASS","GAP")</x:f>
        <x:v>PASS</x:v>
      </x:c>
    </x:row>
    <x:row r="1263">
      <x:c r="B1263" t="str">
        <x:v>PL-1257</x:v>
      </x:c>
      <x:c r="C1263" t="str">
        <x:v>PLANNING</x:v>
      </x:c>
      <x:c r="D1263" t="str">
        <x:v>trial result</x:v>
      </x:c>
      <x:c r="E1263" t="str">
        <x:v>trial result 343</x:v>
      </x:c>
      <x:c r="F1263" t="n">
        <x:f>Controls!$D$41</x:f>
        <x:v>1</x:v>
      </x:c>
      <x:c r="G1263" t="n">
        <x:v>1</x:v>
      </x:c>
      <x:c r="H1263" t="str">
        <x:v>RAW design authority</x:v>
      </x:c>
      <x:c r="I1263" t="str">
        <x:f>IF(F1263=1,"PASS","GAP")</x:f>
        <x:v>PASS</x:v>
      </x:c>
    </x:row>
    <x:row r="1264">
      <x:c r="B1264" t="str">
        <x:v>PL-1258</x:v>
      </x:c>
      <x:c r="C1264" t="str">
        <x:v>PLANNING</x:v>
      </x:c>
      <x:c r="D1264" t="str">
        <x:v>trial result</x:v>
      </x:c>
      <x:c r="E1264" t="str">
        <x:v>trial result 344</x:v>
      </x:c>
      <x:c r="F1264" t="n">
        <x:f>Controls!$D$41</x:f>
        <x:v>1</x:v>
      </x:c>
      <x:c r="G1264" t="n">
        <x:v>1</x:v>
      </x:c>
      <x:c r="H1264" t="str">
        <x:v>RAW design authority</x:v>
      </x:c>
      <x:c r="I1264" t="str">
        <x:f>IF(F1264=1,"PASS","GAP")</x:f>
        <x:v>PASS</x:v>
      </x:c>
    </x:row>
    <x:row r="1265">
      <x:c r="B1265" t="str">
        <x:v>PL-1259</x:v>
      </x:c>
      <x:c r="C1265" t="str">
        <x:v>PLANNING</x:v>
      </x:c>
      <x:c r="D1265" t="str">
        <x:v>trial result</x:v>
      </x:c>
      <x:c r="E1265" t="str">
        <x:v>trial result 345</x:v>
      </x:c>
      <x:c r="F1265" t="n">
        <x:f>Controls!$D$41</x:f>
        <x:v>1</x:v>
      </x:c>
      <x:c r="G1265" t="n">
        <x:v>1</x:v>
      </x:c>
      <x:c r="H1265" t="str">
        <x:v>RAW design authority</x:v>
      </x:c>
      <x:c r="I1265" t="str">
        <x:f>IF(F1265=1,"PASS","GAP")</x:f>
        <x:v>PASS</x:v>
      </x:c>
    </x:row>
    <x:row r="1266">
      <x:c r="B1266" t="str">
        <x:v>PL-1260</x:v>
      </x:c>
      <x:c r="C1266" t="str">
        <x:v>PLANNING</x:v>
      </x:c>
      <x:c r="D1266" t="str">
        <x:v>trial result</x:v>
      </x:c>
      <x:c r="E1266" t="str">
        <x:v>trial result 346</x:v>
      </x:c>
      <x:c r="F1266" t="n">
        <x:f>Controls!$D$41</x:f>
        <x:v>1</x:v>
      </x:c>
      <x:c r="G1266" t="n">
        <x:v>1</x:v>
      </x:c>
      <x:c r="H1266" t="str">
        <x:v>RAW design authority</x:v>
      </x:c>
      <x:c r="I1266" t="str">
        <x:f>IF(F1266=1,"PASS","GAP")</x:f>
        <x:v>PASS</x:v>
      </x:c>
    </x:row>
    <x:row r="1267">
      <x:c r="B1267" t="str">
        <x:v>PL-1261</x:v>
      </x:c>
      <x:c r="C1267" t="str">
        <x:v>PLANNING</x:v>
      </x:c>
      <x:c r="D1267" t="str">
        <x:v>trial result</x:v>
      </x:c>
      <x:c r="E1267" t="str">
        <x:v>trial result 347</x:v>
      </x:c>
      <x:c r="F1267" t="n">
        <x:f>Controls!$D$41</x:f>
        <x:v>1</x:v>
      </x:c>
      <x:c r="G1267" t="n">
        <x:v>1</x:v>
      </x:c>
      <x:c r="H1267" t="str">
        <x:v>RAW design authority</x:v>
      </x:c>
      <x:c r="I1267" t="str">
        <x:f>IF(F1267=1,"PASS","GAP")</x:f>
        <x:v>PASS</x:v>
      </x:c>
    </x:row>
    <x:row r="1268">
      <x:c r="B1268" t="str">
        <x:v>PL-1262</x:v>
      </x:c>
      <x:c r="C1268" t="str">
        <x:v>PLANNING</x:v>
      </x:c>
      <x:c r="D1268" t="str">
        <x:v>trial result</x:v>
      </x:c>
      <x:c r="E1268" t="str">
        <x:v>trial result 348</x:v>
      </x:c>
      <x:c r="F1268" t="n">
        <x:f>Controls!$D$41</x:f>
        <x:v>1</x:v>
      </x:c>
      <x:c r="G1268" t="n">
        <x:v>1</x:v>
      </x:c>
      <x:c r="H1268" t="str">
        <x:v>RAW design authority</x:v>
      </x:c>
      <x:c r="I1268" t="str">
        <x:f>IF(F1268=1,"PASS","GAP")</x:f>
        <x:v>PASS</x:v>
      </x:c>
    </x:row>
    <x:row r="1269">
      <x:c r="B1269" t="str">
        <x:v>PL-1263</x:v>
      </x:c>
      <x:c r="C1269" t="str">
        <x:v>PLANNING</x:v>
      </x:c>
      <x:c r="D1269" t="str">
        <x:v>trial result</x:v>
      </x:c>
      <x:c r="E1269" t="str">
        <x:v>trial result 349</x:v>
      </x:c>
      <x:c r="F1269" t="n">
        <x:f>Controls!$D$41</x:f>
        <x:v>1</x:v>
      </x:c>
      <x:c r="G1269" t="n">
        <x:v>1</x:v>
      </x:c>
      <x:c r="H1269" t="str">
        <x:v>RAW design authority</x:v>
      </x:c>
      <x:c r="I1269" t="str">
        <x:f>IF(F1269=1,"PASS","GAP")</x:f>
        <x:v>PASS</x:v>
      </x:c>
    </x:row>
    <x:row r="1270">
      <x:c r="B1270" t="str">
        <x:v>PL-1264</x:v>
      </x:c>
      <x:c r="C1270" t="str">
        <x:v>PLANNING</x:v>
      </x:c>
      <x:c r="D1270" t="str">
        <x:v>trial result</x:v>
      </x:c>
      <x:c r="E1270" t="str">
        <x:v>trial result 350</x:v>
      </x:c>
      <x:c r="F1270" t="n">
        <x:f>Controls!$D$41</x:f>
        <x:v>1</x:v>
      </x:c>
      <x:c r="G1270" t="n">
        <x:v>1</x:v>
      </x:c>
      <x:c r="H1270" t="str">
        <x:v>RAW design authority</x:v>
      </x:c>
      <x:c r="I1270" t="str">
        <x:f>IF(F1270=1,"PASS","GAP")</x:f>
        <x:v>PASS</x:v>
      </x:c>
    </x:row>
    <x:row r="1271">
      <x:c r="B1271" t="str">
        <x:v>PL-1265</x:v>
      </x:c>
      <x:c r="C1271" t="str">
        <x:v>PLANNING</x:v>
      </x:c>
      <x:c r="D1271" t="str">
        <x:v>trial result</x:v>
      </x:c>
      <x:c r="E1271" t="str">
        <x:v>trial result 351</x:v>
      </x:c>
      <x:c r="F1271" t="n">
        <x:f>Controls!$D$41</x:f>
        <x:v>1</x:v>
      </x:c>
      <x:c r="G1271" t="n">
        <x:v>1</x:v>
      </x:c>
      <x:c r="H1271" t="str">
        <x:v>RAW design authority</x:v>
      </x:c>
      <x:c r="I1271" t="str">
        <x:f>IF(F1271=1,"PASS","GAP")</x:f>
        <x:v>PASS</x:v>
      </x:c>
    </x:row>
    <x:row r="1272">
      <x:c r="B1272" t="str">
        <x:v>PL-1266</x:v>
      </x:c>
      <x:c r="C1272" t="str">
        <x:v>PLANNING</x:v>
      </x:c>
      <x:c r="D1272" t="str">
        <x:v>trial result</x:v>
      </x:c>
      <x:c r="E1272" t="str">
        <x:v>trial result 352</x:v>
      </x:c>
      <x:c r="F1272" t="n">
        <x:f>Controls!$D$41</x:f>
        <x:v>1</x:v>
      </x:c>
      <x:c r="G1272" t="n">
        <x:v>1</x:v>
      </x:c>
      <x:c r="H1272" t="str">
        <x:v>RAW design authority</x:v>
      </x:c>
      <x:c r="I1272" t="str">
        <x:f>IF(F1272=1,"PASS","GAP")</x:f>
        <x:v>PASS</x:v>
      </x:c>
    </x:row>
    <x:row r="1273">
      <x:c r="B1273" t="str">
        <x:v>PL-1267</x:v>
      </x:c>
      <x:c r="C1273" t="str">
        <x:v>PLANNING</x:v>
      </x:c>
      <x:c r="D1273" t="str">
        <x:v>trial result</x:v>
      </x:c>
      <x:c r="E1273" t="str">
        <x:v>trial result 353</x:v>
      </x:c>
      <x:c r="F1273" t="n">
        <x:f>Controls!$D$41</x:f>
        <x:v>1</x:v>
      </x:c>
      <x:c r="G1273" t="n">
        <x:v>1</x:v>
      </x:c>
      <x:c r="H1273" t="str">
        <x:v>RAW design authority</x:v>
      </x:c>
      <x:c r="I1273" t="str">
        <x:f>IF(F1273=1,"PASS","GAP")</x:f>
        <x:v>PASS</x:v>
      </x:c>
    </x:row>
    <x:row r="1274">
      <x:c r="B1274" t="str">
        <x:v>PL-1268</x:v>
      </x:c>
      <x:c r="C1274" t="str">
        <x:v>PLANNING</x:v>
      </x:c>
      <x:c r="D1274" t="str">
        <x:v>trial result</x:v>
      </x:c>
      <x:c r="E1274" t="str">
        <x:v>trial result 354</x:v>
      </x:c>
      <x:c r="F1274" t="n">
        <x:f>Controls!$D$41</x:f>
        <x:v>1</x:v>
      </x:c>
      <x:c r="G1274" t="n">
        <x:v>1</x:v>
      </x:c>
      <x:c r="H1274" t="str">
        <x:v>RAW design authority</x:v>
      </x:c>
      <x:c r="I1274" t="str">
        <x:f>IF(F1274=1,"PASS","GAP")</x:f>
        <x:v>PASS</x:v>
      </x:c>
    </x:row>
    <x:row r="1275">
      <x:c r="B1275" t="str">
        <x:v>PL-1269</x:v>
      </x:c>
      <x:c r="C1275" t="str">
        <x:v>PLANNING</x:v>
      </x:c>
      <x:c r="D1275" t="str">
        <x:v>trial result</x:v>
      </x:c>
      <x:c r="E1275" t="str">
        <x:v>trial result 355</x:v>
      </x:c>
      <x:c r="F1275" t="n">
        <x:f>Controls!$D$41</x:f>
        <x:v>1</x:v>
      </x:c>
      <x:c r="G1275" t="n">
        <x:v>1</x:v>
      </x:c>
      <x:c r="H1275" t="str">
        <x:v>RAW design authority</x:v>
      </x:c>
      <x:c r="I1275" t="str">
        <x:f>IF(F1275=1,"PASS","GAP")</x:f>
        <x:v>PASS</x:v>
      </x:c>
    </x:row>
    <x:row r="1276">
      <x:c r="B1276" t="str">
        <x:v>PL-1270</x:v>
      </x:c>
      <x:c r="C1276" t="str">
        <x:v>PLANNING</x:v>
      </x:c>
      <x:c r="D1276" t="str">
        <x:v>trial result</x:v>
      </x:c>
      <x:c r="E1276" t="str">
        <x:v>trial result 356</x:v>
      </x:c>
      <x:c r="F1276" t="n">
        <x:f>Controls!$D$41</x:f>
        <x:v>1</x:v>
      </x:c>
      <x:c r="G1276" t="n">
        <x:v>1</x:v>
      </x:c>
      <x:c r="H1276" t="str">
        <x:v>RAW design authority</x:v>
      </x:c>
      <x:c r="I1276" t="str">
        <x:f>IF(F1276=1,"PASS","GAP")</x:f>
        <x:v>PASS</x:v>
      </x:c>
    </x:row>
    <x:row r="1277">
      <x:c r="B1277" t="str">
        <x:v>PL-1271</x:v>
      </x:c>
      <x:c r="C1277" t="str">
        <x:v>PLANNING</x:v>
      </x:c>
      <x:c r="D1277" t="str">
        <x:v>trial result</x:v>
      </x:c>
      <x:c r="E1277" t="str">
        <x:v>trial result 357</x:v>
      </x:c>
      <x:c r="F1277" t="n">
        <x:f>Controls!$D$41</x:f>
        <x:v>1</x:v>
      </x:c>
      <x:c r="G1277" t="n">
        <x:v>1</x:v>
      </x:c>
      <x:c r="H1277" t="str">
        <x:v>RAW design authority</x:v>
      </x:c>
      <x:c r="I1277" t="str">
        <x:f>IF(F1277=1,"PASS","GAP")</x:f>
        <x:v>PASS</x:v>
      </x:c>
    </x:row>
    <x:row r="1278">
      <x:c r="B1278" t="str">
        <x:v>PL-1272</x:v>
      </x:c>
      <x:c r="C1278" t="str">
        <x:v>PLANNING</x:v>
      </x:c>
      <x:c r="D1278" t="str">
        <x:v>trial result</x:v>
      </x:c>
      <x:c r="E1278" t="str">
        <x:v>trial result 358</x:v>
      </x:c>
      <x:c r="F1278" t="n">
        <x:f>Controls!$D$41</x:f>
        <x:v>1</x:v>
      </x:c>
      <x:c r="G1278" t="n">
        <x:v>1</x:v>
      </x:c>
      <x:c r="H1278" t="str">
        <x:v>RAW design authority</x:v>
      </x:c>
      <x:c r="I1278" t="str">
        <x:f>IF(F1278=1,"PASS","GAP")</x:f>
        <x:v>PASS</x:v>
      </x:c>
    </x:row>
    <x:row r="1279">
      <x:c r="B1279" t="str">
        <x:v>PL-1273</x:v>
      </x:c>
      <x:c r="C1279" t="str">
        <x:v>PLANNING</x:v>
      </x:c>
      <x:c r="D1279" t="str">
        <x:v>trial result</x:v>
      </x:c>
      <x:c r="E1279" t="str">
        <x:v>trial result 359</x:v>
      </x:c>
      <x:c r="F1279" t="n">
        <x:f>Controls!$D$41</x:f>
        <x:v>1</x:v>
      </x:c>
      <x:c r="G1279" t="n">
        <x:v>1</x:v>
      </x:c>
      <x:c r="H1279" t="str">
        <x:v>RAW design authority</x:v>
      </x:c>
      <x:c r="I1279" t="str">
        <x:f>IF(F1279=1,"PASS","GAP")</x:f>
        <x:v>PASS</x:v>
      </x:c>
    </x:row>
    <x:row r="1280">
      <x:c r="B1280" t="str">
        <x:v>PL-1274</x:v>
      </x:c>
      <x:c r="C1280" t="str">
        <x:v>PLANNING</x:v>
      </x:c>
      <x:c r="D1280" t="str">
        <x:v>trial result</x:v>
      </x:c>
      <x:c r="E1280" t="str">
        <x:v>trial result 360</x:v>
      </x:c>
      <x:c r="F1280" t="n">
        <x:f>Controls!$D$41</x:f>
        <x:v>1</x:v>
      </x:c>
      <x:c r="G1280" t="n">
        <x:v>1</x:v>
      </x:c>
      <x:c r="H1280" t="str">
        <x:v>RAW design authority</x:v>
      </x:c>
      <x:c r="I1280" t="str">
        <x:f>IF(F1280=1,"PASS","GAP")</x:f>
        <x:v>PASS</x:v>
      </x:c>
    </x:row>
    <x:row r="1281">
      <x:c r="B1281" t="str">
        <x:v>PL-1275</x:v>
      </x:c>
      <x:c r="C1281" t="str">
        <x:v>PLANNING</x:v>
      </x:c>
      <x:c r="D1281" t="str">
        <x:v>agreement</x:v>
      </x:c>
      <x:c r="E1281" t="str">
        <x:v>agreement 1</x:v>
      </x:c>
      <x:c r="F1281" t="n">
        <x:f>Controls!$D$41</x:f>
        <x:v>1</x:v>
      </x:c>
      <x:c r="G1281" t="n">
        <x:v>1</x:v>
      </x:c>
      <x:c r="H1281" t="str">
        <x:v>RAW design authority</x:v>
      </x:c>
      <x:c r="I1281" t="str">
        <x:f>IF(F1281=1,"PASS","GAP")</x:f>
        <x:v>PASS</x:v>
      </x:c>
    </x:row>
    <x:row r="1282">
      <x:c r="B1282" t="str">
        <x:v>PL-1276</x:v>
      </x:c>
      <x:c r="C1282" t="str">
        <x:v>PLANNING</x:v>
      </x:c>
      <x:c r="D1282" t="str">
        <x:v>agreement</x:v>
      </x:c>
      <x:c r="E1282" t="str">
        <x:v>agreement 2</x:v>
      </x:c>
      <x:c r="F1282" t="n">
        <x:f>Controls!$D$41</x:f>
        <x:v>1</x:v>
      </x:c>
      <x:c r="G1282" t="n">
        <x:v>1</x:v>
      </x:c>
      <x:c r="H1282" t="str">
        <x:v>RAW design authority</x:v>
      </x:c>
      <x:c r="I1282" t="str">
        <x:f>IF(F1282=1,"PASS","GAP")</x:f>
        <x:v>PASS</x:v>
      </x:c>
    </x:row>
    <x:row r="1283">
      <x:c r="B1283" t="str">
        <x:v>PL-1277</x:v>
      </x:c>
      <x:c r="C1283" t="str">
        <x:v>PLANNING</x:v>
      </x:c>
      <x:c r="D1283" t="str">
        <x:v>agreement</x:v>
      </x:c>
      <x:c r="E1283" t="str">
        <x:v>agreement 3</x:v>
      </x:c>
      <x:c r="F1283" t="n">
        <x:f>Controls!$D$41</x:f>
        <x:v>1</x:v>
      </x:c>
      <x:c r="G1283" t="n">
        <x:v>1</x:v>
      </x:c>
      <x:c r="H1283" t="str">
        <x:v>RAW design authority</x:v>
      </x:c>
      <x:c r="I1283" t="str">
        <x:f>IF(F1283=1,"PASS","GAP")</x:f>
        <x:v>PASS</x:v>
      </x:c>
    </x:row>
    <x:row r="1284">
      <x:c r="B1284" t="str">
        <x:v>PL-1278</x:v>
      </x:c>
      <x:c r="C1284" t="str">
        <x:v>PLANNING</x:v>
      </x:c>
      <x:c r="D1284" t="str">
        <x:v>agreement</x:v>
      </x:c>
      <x:c r="E1284" t="str">
        <x:v>agreement 4</x:v>
      </x:c>
      <x:c r="F1284" t="n">
        <x:f>Controls!$D$41</x:f>
        <x:v>1</x:v>
      </x:c>
      <x:c r="G1284" t="n">
        <x:v>1</x:v>
      </x:c>
      <x:c r="H1284" t="str">
        <x:v>RAW design authority</x:v>
      </x:c>
      <x:c r="I1284" t="str">
        <x:f>IF(F1284=1,"PASS","GAP")</x:f>
        <x:v>PASS</x:v>
      </x:c>
    </x:row>
    <x:row r="1285">
      <x:c r="B1285" t="str">
        <x:v>PL-1279</x:v>
      </x:c>
      <x:c r="C1285" t="str">
        <x:v>PLANNING</x:v>
      </x:c>
      <x:c r="D1285" t="str">
        <x:v>agreement</x:v>
      </x:c>
      <x:c r="E1285" t="str">
        <x:v>agreement 5</x:v>
      </x:c>
      <x:c r="F1285" t="n">
        <x:f>Controls!$D$41</x:f>
        <x:v>1</x:v>
      </x:c>
      <x:c r="G1285" t="n">
        <x:v>1</x:v>
      </x:c>
      <x:c r="H1285" t="str">
        <x:v>RAW design authority</x:v>
      </x:c>
      <x:c r="I1285" t="str">
        <x:f>IF(F1285=1,"PASS","GAP")</x:f>
        <x:v>PASS</x:v>
      </x:c>
    </x:row>
    <x:row r="1286">
      <x:c r="B1286" t="str">
        <x:v>PL-1280</x:v>
      </x:c>
      <x:c r="C1286" t="str">
        <x:v>PLANNING</x:v>
      </x:c>
      <x:c r="D1286" t="str">
        <x:v>agreement</x:v>
      </x:c>
      <x:c r="E1286" t="str">
        <x:v>agreement 6</x:v>
      </x:c>
      <x:c r="F1286" t="n">
        <x:f>Controls!$D$41</x:f>
        <x:v>1</x:v>
      </x:c>
      <x:c r="G1286" t="n">
        <x:v>1</x:v>
      </x:c>
      <x:c r="H1286" t="str">
        <x:v>RAW design authority</x:v>
      </x:c>
      <x:c r="I1286" t="str">
        <x:f>IF(F1286=1,"PASS","GAP")</x:f>
        <x:v>PASS</x:v>
      </x:c>
    </x:row>
    <x:row r="1287">
      <x:c r="B1287" t="str">
        <x:v>PL-1281</x:v>
      </x:c>
      <x:c r="C1287" t="str">
        <x:v>PLANNING</x:v>
      </x:c>
      <x:c r="D1287" t="str">
        <x:v>agreement</x:v>
      </x:c>
      <x:c r="E1287" t="str">
        <x:v>agreement 7</x:v>
      </x:c>
      <x:c r="F1287" t="n">
        <x:f>Controls!$D$41</x:f>
        <x:v>1</x:v>
      </x:c>
      <x:c r="G1287" t="n">
        <x:v>1</x:v>
      </x:c>
      <x:c r="H1287" t="str">
        <x:v>RAW design authority</x:v>
      </x:c>
      <x:c r="I1287" t="str">
        <x:f>IF(F1287=1,"PASS","GAP")</x:f>
        <x:v>PASS</x:v>
      </x:c>
    </x:row>
    <x:row r="1288">
      <x:c r="B1288" t="str">
        <x:v>PL-1282</x:v>
      </x:c>
      <x:c r="C1288" t="str">
        <x:v>PLANNING</x:v>
      </x:c>
      <x:c r="D1288" t="str">
        <x:v>agreement</x:v>
      </x:c>
      <x:c r="E1288" t="str">
        <x:v>agreement 8</x:v>
      </x:c>
      <x:c r="F1288" t="n">
        <x:f>Controls!$D$41</x:f>
        <x:v>1</x:v>
      </x:c>
      <x:c r="G1288" t="n">
        <x:v>1</x:v>
      </x:c>
      <x:c r="H1288" t="str">
        <x:v>RAW design authority</x:v>
      </x:c>
      <x:c r="I1288" t="str">
        <x:f>IF(F1288=1,"PASS","GAP")</x:f>
        <x:v>PASS</x:v>
      </x:c>
    </x:row>
    <x:row r="1289">
      <x:c r="B1289" t="str">
        <x:v>PL-1283</x:v>
      </x:c>
      <x:c r="C1289" t="str">
        <x:v>PLANNING</x:v>
      </x:c>
      <x:c r="D1289" t="str">
        <x:v>agreement</x:v>
      </x:c>
      <x:c r="E1289" t="str">
        <x:v>agreement 9</x:v>
      </x:c>
      <x:c r="F1289" t="n">
        <x:f>Controls!$D$41</x:f>
        <x:v>1</x:v>
      </x:c>
      <x:c r="G1289" t="n">
        <x:v>1</x:v>
      </x:c>
      <x:c r="H1289" t="str">
        <x:v>RAW design authority</x:v>
      </x:c>
      <x:c r="I1289" t="str">
        <x:f>IF(F1289=1,"PASS","GAP")</x:f>
        <x:v>PASS</x:v>
      </x:c>
    </x:row>
    <x:row r="1290">
      <x:c r="B1290" t="str">
        <x:v>PL-1284</x:v>
      </x:c>
      <x:c r="C1290" t="str">
        <x:v>PLANNING</x:v>
      </x:c>
      <x:c r="D1290" t="str">
        <x:v>agreement</x:v>
      </x:c>
      <x:c r="E1290" t="str">
        <x:v>agreement 10</x:v>
      </x:c>
      <x:c r="F1290" t="n">
        <x:f>Controls!$D$41</x:f>
        <x:v>1</x:v>
      </x:c>
      <x:c r="G1290" t="n">
        <x:v>1</x:v>
      </x:c>
      <x:c r="H1290" t="str">
        <x:v>RAW design authority</x:v>
      </x:c>
      <x:c r="I1290" t="str">
        <x:f>IF(F1290=1,"PASS","GAP")</x:f>
        <x:v>PASS</x:v>
      </x:c>
    </x:row>
    <x:row r="1291">
      <x:c r="B1291" t="str">
        <x:v>PL-1285</x:v>
      </x:c>
      <x:c r="C1291" t="str">
        <x:v>PLANNING</x:v>
      </x:c>
      <x:c r="D1291" t="str">
        <x:v>agreement</x:v>
      </x:c>
      <x:c r="E1291" t="str">
        <x:v>agreement 11</x:v>
      </x:c>
      <x:c r="F1291" t="n">
        <x:f>Controls!$D$41</x:f>
        <x:v>1</x:v>
      </x:c>
      <x:c r="G1291" t="n">
        <x:v>1</x:v>
      </x:c>
      <x:c r="H1291" t="str">
        <x:v>RAW design authority</x:v>
      </x:c>
      <x:c r="I1291" t="str">
        <x:f>IF(F1291=1,"PASS","GAP")</x:f>
        <x:v>PASS</x:v>
      </x:c>
    </x:row>
    <x:row r="1292">
      <x:c r="B1292" t="str">
        <x:v>PL-1286</x:v>
      </x:c>
      <x:c r="C1292" t="str">
        <x:v>PLANNING</x:v>
      </x:c>
      <x:c r="D1292" t="str">
        <x:v>agreement</x:v>
      </x:c>
      <x:c r="E1292" t="str">
        <x:v>agreement 12</x:v>
      </x:c>
      <x:c r="F1292" t="n">
        <x:f>Controls!$D$41</x:f>
        <x:v>1</x:v>
      </x:c>
      <x:c r="G1292" t="n">
        <x:v>1</x:v>
      </x:c>
      <x:c r="H1292" t="str">
        <x:v>RAW design authority</x:v>
      </x:c>
      <x:c r="I1292" t="str">
        <x:f>IF(F1292=1,"PASS","GAP")</x:f>
        <x:v>PASS</x:v>
      </x:c>
    </x:row>
    <x:row r="1293">
      <x:c r="B1293" t="str">
        <x:v>PL-1287</x:v>
      </x:c>
      <x:c r="C1293" t="str">
        <x:v>PLANNING</x:v>
      </x:c>
      <x:c r="D1293" t="str">
        <x:v>agreement</x:v>
      </x:c>
      <x:c r="E1293" t="str">
        <x:v>agreement 13</x:v>
      </x:c>
      <x:c r="F1293" t="n">
        <x:f>Controls!$D$41</x:f>
        <x:v>1</x:v>
      </x:c>
      <x:c r="G1293" t="n">
        <x:v>1</x:v>
      </x:c>
      <x:c r="H1293" t="str">
        <x:v>RAW design authority</x:v>
      </x:c>
      <x:c r="I1293" t="str">
        <x:f>IF(F1293=1,"PASS","GAP")</x:f>
        <x:v>PASS</x:v>
      </x:c>
    </x:row>
    <x:row r="1294">
      <x:c r="B1294" t="str">
        <x:v>PL-1288</x:v>
      </x:c>
      <x:c r="C1294" t="str">
        <x:v>PLANNING</x:v>
      </x:c>
      <x:c r="D1294" t="str">
        <x:v>agreement</x:v>
      </x:c>
      <x:c r="E1294" t="str">
        <x:v>agreement 14</x:v>
      </x:c>
      <x:c r="F1294" t="n">
        <x:f>Controls!$D$41</x:f>
        <x:v>1</x:v>
      </x:c>
      <x:c r="G1294" t="n">
        <x:v>1</x:v>
      </x:c>
      <x:c r="H1294" t="str">
        <x:v>RAW design authority</x:v>
      </x:c>
      <x:c r="I1294" t="str">
        <x:f>IF(F1294=1,"PASS","GAP")</x:f>
        <x:v>PASS</x:v>
      </x:c>
    </x:row>
    <x:row r="1295">
      <x:c r="B1295" t="str">
        <x:v>PL-1289</x:v>
      </x:c>
      <x:c r="C1295" t="str">
        <x:v>PLANNING</x:v>
      </x:c>
      <x:c r="D1295" t="str">
        <x:v>agreement</x:v>
      </x:c>
      <x:c r="E1295" t="str">
        <x:v>agreement 15</x:v>
      </x:c>
      <x:c r="F1295" t="n">
        <x:f>Controls!$D$41</x:f>
        <x:v>1</x:v>
      </x:c>
      <x:c r="G1295" t="n">
        <x:v>1</x:v>
      </x:c>
      <x:c r="H1295" t="str">
        <x:v>RAW design authority</x:v>
      </x:c>
      <x:c r="I1295" t="str">
        <x:f>IF(F1295=1,"PASS","GAP")</x:f>
        <x:v>PASS</x:v>
      </x:c>
    </x:row>
    <x:row r="1296">
      <x:c r="B1296" t="str">
        <x:v>PL-1290</x:v>
      </x:c>
      <x:c r="C1296" t="str">
        <x:v>PLANNING</x:v>
      </x:c>
      <x:c r="D1296" t="str">
        <x:v>agreement</x:v>
      </x:c>
      <x:c r="E1296" t="str">
        <x:v>agreement 16</x:v>
      </x:c>
      <x:c r="F1296" t="n">
        <x:f>Controls!$D$41</x:f>
        <x:v>1</x:v>
      </x:c>
      <x:c r="G1296" t="n">
        <x:v>1</x:v>
      </x:c>
      <x:c r="H1296" t="str">
        <x:v>RAW design authority</x:v>
      </x:c>
      <x:c r="I1296" t="str">
        <x:f>IF(F1296=1,"PASS","GAP")</x:f>
        <x:v>PASS</x:v>
      </x:c>
    </x:row>
    <x:row r="1297">
      <x:c r="B1297" t="str">
        <x:v>PL-1291</x:v>
      </x:c>
      <x:c r="C1297" t="str">
        <x:v>PLANNING</x:v>
      </x:c>
      <x:c r="D1297" t="str">
        <x:v>agreement</x:v>
      </x:c>
      <x:c r="E1297" t="str">
        <x:v>agreement 17</x:v>
      </x:c>
      <x:c r="F1297" t="n">
        <x:f>Controls!$D$41</x:f>
        <x:v>1</x:v>
      </x:c>
      <x:c r="G1297" t="n">
        <x:v>1</x:v>
      </x:c>
      <x:c r="H1297" t="str">
        <x:v>RAW design authority</x:v>
      </x:c>
      <x:c r="I1297" t="str">
        <x:f>IF(F1297=1,"PASS","GAP")</x:f>
        <x:v>PASS</x:v>
      </x:c>
    </x:row>
    <x:row r="1298">
      <x:c r="B1298" t="str">
        <x:v>PL-1292</x:v>
      </x:c>
      <x:c r="C1298" t="str">
        <x:v>PLANNING</x:v>
      </x:c>
      <x:c r="D1298" t="str">
        <x:v>agreement</x:v>
      </x:c>
      <x:c r="E1298" t="str">
        <x:v>agreement 18</x:v>
      </x:c>
      <x:c r="F1298" t="n">
        <x:f>Controls!$D$41</x:f>
        <x:v>1</x:v>
      </x:c>
      <x:c r="G1298" t="n">
        <x:v>1</x:v>
      </x:c>
      <x:c r="H1298" t="str">
        <x:v>RAW design authority</x:v>
      </x:c>
      <x:c r="I1298" t="str">
        <x:f>IF(F1298=1,"PASS","GAP")</x:f>
        <x:v>PASS</x:v>
      </x:c>
    </x:row>
    <x:row r="1299">
      <x:c r="B1299" t="str">
        <x:v>PL-1293</x:v>
      </x:c>
      <x:c r="C1299" t="str">
        <x:v>PLANNING</x:v>
      </x:c>
      <x:c r="D1299" t="str">
        <x:v>agreement</x:v>
      </x:c>
      <x:c r="E1299" t="str">
        <x:v>agreement 19</x:v>
      </x:c>
      <x:c r="F1299" t="n">
        <x:f>Controls!$D$41</x:f>
        <x:v>1</x:v>
      </x:c>
      <x:c r="G1299" t="n">
        <x:v>1</x:v>
      </x:c>
      <x:c r="H1299" t="str">
        <x:v>RAW design authority</x:v>
      </x:c>
      <x:c r="I1299" t="str">
        <x:f>IF(F1299=1,"PASS","GAP")</x:f>
        <x:v>PASS</x:v>
      </x:c>
    </x:row>
    <x:row r="1300">
      <x:c r="B1300" t="str">
        <x:v>PL-1294</x:v>
      </x:c>
      <x:c r="C1300" t="str">
        <x:v>PLANNING</x:v>
      </x:c>
      <x:c r="D1300" t="str">
        <x:v>agreement</x:v>
      </x:c>
      <x:c r="E1300" t="str">
        <x:v>agreement 20</x:v>
      </x:c>
      <x:c r="F1300" t="n">
        <x:f>Controls!$D$41</x:f>
        <x:v>1</x:v>
      </x:c>
      <x:c r="G1300" t="n">
        <x:v>1</x:v>
      </x:c>
      <x:c r="H1300" t="str">
        <x:v>RAW design authority</x:v>
      </x:c>
      <x:c r="I1300" t="str">
        <x:f>IF(F1300=1,"PASS","GAP")</x:f>
        <x:v>PASS</x:v>
      </x:c>
    </x:row>
    <x:row r="1301">
      <x:c r="B1301" t="str">
        <x:v>PL-1295</x:v>
      </x:c>
      <x:c r="C1301" t="str">
        <x:v>PLANNING</x:v>
      </x:c>
      <x:c r="D1301" t="str">
        <x:v>agreement</x:v>
      </x:c>
      <x:c r="E1301" t="str">
        <x:v>agreement 21</x:v>
      </x:c>
      <x:c r="F1301" t="n">
        <x:f>Controls!$D$41</x:f>
        <x:v>1</x:v>
      </x:c>
      <x:c r="G1301" t="n">
        <x:v>1</x:v>
      </x:c>
      <x:c r="H1301" t="str">
        <x:v>RAW design authority</x:v>
      </x:c>
      <x:c r="I1301" t="str">
        <x:f>IF(F1301=1,"PASS","GAP")</x:f>
        <x:v>PASS</x:v>
      </x:c>
    </x:row>
    <x:row r="1302">
      <x:c r="B1302" t="str">
        <x:v>PL-1296</x:v>
      </x:c>
      <x:c r="C1302" t="str">
        <x:v>PLANNING</x:v>
      </x:c>
      <x:c r="D1302" t="str">
        <x:v>agreement</x:v>
      </x:c>
      <x:c r="E1302" t="str">
        <x:v>agreement 22</x:v>
      </x:c>
      <x:c r="F1302" t="n">
        <x:f>Controls!$D$41</x:f>
        <x:v>1</x:v>
      </x:c>
      <x:c r="G1302" t="n">
        <x:v>1</x:v>
      </x:c>
      <x:c r="H1302" t="str">
        <x:v>RAW design authority</x:v>
      </x:c>
      <x:c r="I1302" t="str">
        <x:f>IF(F1302=1,"PASS","GAP")</x:f>
        <x:v>PASS</x:v>
      </x:c>
    </x:row>
    <x:row r="1303">
      <x:c r="B1303" t="str">
        <x:v>PL-1297</x:v>
      </x:c>
      <x:c r="C1303" t="str">
        <x:v>PLANNING</x:v>
      </x:c>
      <x:c r="D1303" t="str">
        <x:v>agreement</x:v>
      </x:c>
      <x:c r="E1303" t="str">
        <x:v>agreement 23</x:v>
      </x:c>
      <x:c r="F1303" t="n">
        <x:f>Controls!$D$41</x:f>
        <x:v>1</x:v>
      </x:c>
      <x:c r="G1303" t="n">
        <x:v>1</x:v>
      </x:c>
      <x:c r="H1303" t="str">
        <x:v>RAW design authority</x:v>
      </x:c>
      <x:c r="I1303" t="str">
        <x:f>IF(F1303=1,"PASS","GAP")</x:f>
        <x:v>PASS</x:v>
      </x:c>
    </x:row>
    <x:row r="1304">
      <x:c r="B1304" t="str">
        <x:v>PL-1298</x:v>
      </x:c>
      <x:c r="C1304" t="str">
        <x:v>PLANNING</x:v>
      </x:c>
      <x:c r="D1304" t="str">
        <x:v>agreement</x:v>
      </x:c>
      <x:c r="E1304" t="str">
        <x:v>agreement 24</x:v>
      </x:c>
      <x:c r="F1304" t="n">
        <x:f>Controls!$D$41</x:f>
        <x:v>1</x:v>
      </x:c>
      <x:c r="G1304" t="n">
        <x:v>1</x:v>
      </x:c>
      <x:c r="H1304" t="str">
        <x:v>RAW design authority</x:v>
      </x:c>
      <x:c r="I1304" t="str">
        <x:f>IF(F1304=1,"PASS","GAP")</x:f>
        <x:v>PASS</x:v>
      </x:c>
    </x:row>
    <x:row r="1305">
      <x:c r="B1305" t="str">
        <x:v>PL-1299</x:v>
      </x:c>
      <x:c r="C1305" t="str">
        <x:v>PLANNING</x:v>
      </x:c>
      <x:c r="D1305" t="str">
        <x:v>agreement</x:v>
      </x:c>
      <x:c r="E1305" t="str">
        <x:v>agreement 25</x:v>
      </x:c>
      <x:c r="F1305" t="n">
        <x:f>Controls!$D$41</x:f>
        <x:v>1</x:v>
      </x:c>
      <x:c r="G1305" t="n">
        <x:v>1</x:v>
      </x:c>
      <x:c r="H1305" t="str">
        <x:v>RAW design authority</x:v>
      </x:c>
      <x:c r="I1305" t="str">
        <x:f>IF(F1305=1,"PASS","GAP")</x:f>
        <x:v>PASS</x:v>
      </x:c>
    </x:row>
    <x:row r="1306">
      <x:c r="B1306" t="str">
        <x:v>PL-1300</x:v>
      </x:c>
      <x:c r="C1306" t="str">
        <x:v>PLANNING</x:v>
      </x:c>
      <x:c r="D1306" t="str">
        <x:v>agreement</x:v>
      </x:c>
      <x:c r="E1306" t="str">
        <x:v>agreement 26</x:v>
      </x:c>
      <x:c r="F1306" t="n">
        <x:f>Controls!$D$41</x:f>
        <x:v>1</x:v>
      </x:c>
      <x:c r="G1306" t="n">
        <x:v>1</x:v>
      </x:c>
      <x:c r="H1306" t="str">
        <x:v>RAW design authority</x:v>
      </x:c>
      <x:c r="I1306" t="str">
        <x:f>IF(F1306=1,"PASS","GAP")</x:f>
        <x:v>PASS</x:v>
      </x:c>
    </x:row>
    <x:row r="1307">
      <x:c r="B1307" t="str">
        <x:v>PL-1301</x:v>
      </x:c>
      <x:c r="C1307" t="str">
        <x:v>PLANNING</x:v>
      </x:c>
      <x:c r="D1307" t="str">
        <x:v>agreement</x:v>
      </x:c>
      <x:c r="E1307" t="str">
        <x:v>agreement 27</x:v>
      </x:c>
      <x:c r="F1307" t="n">
        <x:f>Controls!$D$41</x:f>
        <x:v>1</x:v>
      </x:c>
      <x:c r="G1307" t="n">
        <x:v>1</x:v>
      </x:c>
      <x:c r="H1307" t="str">
        <x:v>RAW design authority</x:v>
      </x:c>
      <x:c r="I1307" t="str">
        <x:f>IF(F1307=1,"PASS","GAP")</x:f>
        <x:v>PASS</x:v>
      </x:c>
    </x:row>
    <x:row r="1308">
      <x:c r="B1308" t="str">
        <x:v>PL-1302</x:v>
      </x:c>
      <x:c r="C1308" t="str">
        <x:v>PLANNING</x:v>
      </x:c>
      <x:c r="D1308" t="str">
        <x:v>agreement</x:v>
      </x:c>
      <x:c r="E1308" t="str">
        <x:v>agreement 28</x:v>
      </x:c>
      <x:c r="F1308" t="n">
        <x:f>Controls!$D$41</x:f>
        <x:v>1</x:v>
      </x:c>
      <x:c r="G1308" t="n">
        <x:v>1</x:v>
      </x:c>
      <x:c r="H1308" t="str">
        <x:v>RAW design authority</x:v>
      </x:c>
      <x:c r="I1308" t="str">
        <x:f>IF(F1308=1,"PASS","GAP")</x:f>
        <x:v>PASS</x:v>
      </x:c>
    </x:row>
    <x:row r="1309">
      <x:c r="B1309" t="str">
        <x:v>PL-1303</x:v>
      </x:c>
      <x:c r="C1309" t="str">
        <x:v>PLANNING</x:v>
      </x:c>
      <x:c r="D1309" t="str">
        <x:v>agreement</x:v>
      </x:c>
      <x:c r="E1309" t="str">
        <x:v>agreement 29</x:v>
      </x:c>
      <x:c r="F1309" t="n">
        <x:f>Controls!$D$41</x:f>
        <x:v>1</x:v>
      </x:c>
      <x:c r="G1309" t="n">
        <x:v>1</x:v>
      </x:c>
      <x:c r="H1309" t="str">
        <x:v>RAW design authority</x:v>
      </x:c>
      <x:c r="I1309" t="str">
        <x:f>IF(F1309=1,"PASS","GAP")</x:f>
        <x:v>PASS</x:v>
      </x:c>
    </x:row>
    <x:row r="1310">
      <x:c r="B1310" t="str">
        <x:v>PL-1304</x:v>
      </x:c>
      <x:c r="C1310" t="str">
        <x:v>PLANNING</x:v>
      </x:c>
      <x:c r="D1310" t="str">
        <x:v>agreement</x:v>
      </x:c>
      <x:c r="E1310" t="str">
        <x:v>agreement 30</x:v>
      </x:c>
      <x:c r="F1310" t="n">
        <x:f>Controls!$D$41</x:f>
        <x:v>1</x:v>
      </x:c>
      <x:c r="G1310" t="n">
        <x:v>1</x:v>
      </x:c>
      <x:c r="H1310" t="str">
        <x:v>RAW design authority</x:v>
      </x:c>
      <x:c r="I1310" t="str">
        <x:f>IF(F1310=1,"PASS","GAP")</x:f>
        <x:v>PASS</x:v>
      </x:c>
    </x:row>
    <x:row r="1311">
      <x:c r="B1311" t="str">
        <x:v>PL-1305</x:v>
      </x:c>
      <x:c r="C1311" t="str">
        <x:v>PLANNING</x:v>
      </x:c>
      <x:c r="D1311" t="str">
        <x:v>equivalence</x:v>
      </x:c>
      <x:c r="E1311" t="str">
        <x:v>equivalence 1</x:v>
      </x:c>
      <x:c r="F1311" t="n">
        <x:f>Controls!$D$41</x:f>
        <x:v>1</x:v>
      </x:c>
      <x:c r="G1311" t="n">
        <x:v>1</x:v>
      </x:c>
      <x:c r="H1311" t="str">
        <x:v>RAW design authority</x:v>
      </x:c>
      <x:c r="I1311" t="str">
        <x:f>IF(F1311=1,"PASS","GAP")</x:f>
        <x:v>PASS</x:v>
      </x:c>
    </x:row>
    <x:row r="1312">
      <x:c r="B1312" t="str">
        <x:v>PL-1306</x:v>
      </x:c>
      <x:c r="C1312" t="str">
        <x:v>PLANNING</x:v>
      </x:c>
      <x:c r="D1312" t="str">
        <x:v>equivalence</x:v>
      </x:c>
      <x:c r="E1312" t="str">
        <x:v>equivalence 2</x:v>
      </x:c>
      <x:c r="F1312" t="n">
        <x:f>Controls!$D$41</x:f>
        <x:v>1</x:v>
      </x:c>
      <x:c r="G1312" t="n">
        <x:v>1</x:v>
      </x:c>
      <x:c r="H1312" t="str">
        <x:v>RAW design authority</x:v>
      </x:c>
      <x:c r="I1312" t="str">
        <x:f>IF(F1312=1,"PASS","GAP")</x:f>
        <x:v>PASS</x:v>
      </x:c>
    </x:row>
    <x:row r="1313">
      <x:c r="B1313" t="str">
        <x:v>PL-1307</x:v>
      </x:c>
      <x:c r="C1313" t="str">
        <x:v>PLANNING</x:v>
      </x:c>
      <x:c r="D1313" t="str">
        <x:v>equivalence</x:v>
      </x:c>
      <x:c r="E1313" t="str">
        <x:v>equivalence 3</x:v>
      </x:c>
      <x:c r="F1313" t="n">
        <x:f>Controls!$D$41</x:f>
        <x:v>1</x:v>
      </x:c>
      <x:c r="G1313" t="n">
        <x:v>1</x:v>
      </x:c>
      <x:c r="H1313" t="str">
        <x:v>RAW design authority</x:v>
      </x:c>
      <x:c r="I1313" t="str">
        <x:f>IF(F1313=1,"PASS","GAP")</x:f>
        <x:v>PASS</x:v>
      </x:c>
    </x:row>
    <x:row r="1314">
      <x:c r="B1314" t="str">
        <x:v>PL-1308</x:v>
      </x:c>
      <x:c r="C1314" t="str">
        <x:v>PLANNING</x:v>
      </x:c>
      <x:c r="D1314" t="str">
        <x:v>equivalence</x:v>
      </x:c>
      <x:c r="E1314" t="str">
        <x:v>equivalence 4</x:v>
      </x:c>
      <x:c r="F1314" t="n">
        <x:f>Controls!$D$41</x:f>
        <x:v>1</x:v>
      </x:c>
      <x:c r="G1314" t="n">
        <x:v>1</x:v>
      </x:c>
      <x:c r="H1314" t="str">
        <x:v>RAW design authority</x:v>
      </x:c>
      <x:c r="I1314" t="str">
        <x:f>IF(F1314=1,"PASS","GAP")</x:f>
        <x:v>PASS</x:v>
      </x:c>
    </x:row>
    <x:row r="1315">
      <x:c r="B1315" t="str">
        <x:v>PL-1309</x:v>
      </x:c>
      <x:c r="C1315" t="str">
        <x:v>PLANNING</x:v>
      </x:c>
      <x:c r="D1315" t="str">
        <x:v>equivalence</x:v>
      </x:c>
      <x:c r="E1315" t="str">
        <x:v>equivalence 5</x:v>
      </x:c>
      <x:c r="F1315" t="n">
        <x:f>Controls!$D$41</x:f>
        <x:v>1</x:v>
      </x:c>
      <x:c r="G1315" t="n">
        <x:v>1</x:v>
      </x:c>
      <x:c r="H1315" t="str">
        <x:v>RAW design authority</x:v>
      </x:c>
      <x:c r="I1315" t="str">
        <x:f>IF(F1315=1,"PASS","GAP")</x:f>
        <x:v>PASS</x:v>
      </x:c>
    </x:row>
    <x:row r="1316">
      <x:c r="B1316" t="str">
        <x:v>PL-1310</x:v>
      </x:c>
      <x:c r="C1316" t="str">
        <x:v>PLANNING</x:v>
      </x:c>
      <x:c r="D1316" t="str">
        <x:v>equivalence</x:v>
      </x:c>
      <x:c r="E1316" t="str">
        <x:v>equivalence 6</x:v>
      </x:c>
      <x:c r="F1316" t="n">
        <x:f>Controls!$D$41</x:f>
        <x:v>1</x:v>
      </x:c>
      <x:c r="G1316" t="n">
        <x:v>1</x:v>
      </x:c>
      <x:c r="H1316" t="str">
        <x:v>RAW design authority</x:v>
      </x:c>
      <x:c r="I1316" t="str">
        <x:f>IF(F1316=1,"PASS","GAP")</x:f>
        <x:v>PASS</x:v>
      </x:c>
    </x:row>
    <x:row r="1317">
      <x:c r="B1317" t="str">
        <x:v>PL-1311</x:v>
      </x:c>
      <x:c r="C1317" t="str">
        <x:v>PLANNING</x:v>
      </x:c>
      <x:c r="D1317" t="str">
        <x:v>equivalence</x:v>
      </x:c>
      <x:c r="E1317" t="str">
        <x:v>equivalence 7</x:v>
      </x:c>
      <x:c r="F1317" t="n">
        <x:f>Controls!$D$41</x:f>
        <x:v>1</x:v>
      </x:c>
      <x:c r="G1317" t="n">
        <x:v>1</x:v>
      </x:c>
      <x:c r="H1317" t="str">
        <x:v>RAW design authority</x:v>
      </x:c>
      <x:c r="I1317" t="str">
        <x:f>IF(F1317=1,"PASS","GAP")</x:f>
        <x:v>PASS</x:v>
      </x:c>
    </x:row>
    <x:row r="1318">
      <x:c r="B1318" t="str">
        <x:v>PL-1312</x:v>
      </x:c>
      <x:c r="C1318" t="str">
        <x:v>PLANNING</x:v>
      </x:c>
      <x:c r="D1318" t="str">
        <x:v>equivalence</x:v>
      </x:c>
      <x:c r="E1318" t="str">
        <x:v>equivalence 8</x:v>
      </x:c>
      <x:c r="F1318" t="n">
        <x:f>Controls!$D$41</x:f>
        <x:v>1</x:v>
      </x:c>
      <x:c r="G1318" t="n">
        <x:v>1</x:v>
      </x:c>
      <x:c r="H1318" t="str">
        <x:v>RAW design authority</x:v>
      </x:c>
      <x:c r="I1318" t="str">
        <x:f>IF(F1318=1,"PASS","GAP")</x:f>
        <x:v>PASS</x:v>
      </x:c>
    </x:row>
    <x:row r="1319">
      <x:c r="B1319" t="str">
        <x:v>PL-1313</x:v>
      </x:c>
      <x:c r="C1319" t="str">
        <x:v>PLANNING</x:v>
      </x:c>
      <x:c r="D1319" t="str">
        <x:v>equivalence</x:v>
      </x:c>
      <x:c r="E1319" t="str">
        <x:v>equivalence 9</x:v>
      </x:c>
      <x:c r="F1319" t="n">
        <x:f>Controls!$D$41</x:f>
        <x:v>1</x:v>
      </x:c>
      <x:c r="G1319" t="n">
        <x:v>1</x:v>
      </x:c>
      <x:c r="H1319" t="str">
        <x:v>RAW design authority</x:v>
      </x:c>
      <x:c r="I1319" t="str">
        <x:f>IF(F1319=1,"PASS","GAP")</x:f>
        <x:v>PASS</x:v>
      </x:c>
    </x:row>
    <x:row r="1320">
      <x:c r="B1320" t="str">
        <x:v>PL-1314</x:v>
      </x:c>
      <x:c r="C1320" t="str">
        <x:v>PLANNING</x:v>
      </x:c>
      <x:c r="D1320" t="str">
        <x:v>equivalence</x:v>
      </x:c>
      <x:c r="E1320" t="str">
        <x:v>equivalence 10</x:v>
      </x:c>
      <x:c r="F1320" t="n">
        <x:f>Controls!$D$41</x:f>
        <x:v>1</x:v>
      </x:c>
      <x:c r="G1320" t="n">
        <x:v>1</x:v>
      </x:c>
      <x:c r="H1320" t="str">
        <x:v>RAW design authority</x:v>
      </x:c>
      <x:c r="I1320" t="str">
        <x:f>IF(F1320=1,"PASS","GAP")</x:f>
        <x:v>PASS</x:v>
      </x:c>
    </x:row>
    <x:row r="1321">
      <x:c r="B1321" t="str">
        <x:v>PL-1315</x:v>
      </x:c>
      <x:c r="C1321" t="str">
        <x:v>PLANNING</x:v>
      </x:c>
      <x:c r="D1321" t="str">
        <x:v>method qualification</x:v>
      </x:c>
      <x:c r="E1321" t="str">
        <x:v>method qualification 1</x:v>
      </x:c>
      <x:c r="F1321" t="n">
        <x:f>Controls!$D$41</x:f>
        <x:v>1</x:v>
      </x:c>
      <x:c r="G1321" t="n">
        <x:v>1</x:v>
      </x:c>
      <x:c r="H1321" t="str">
        <x:v>RAW design authority</x:v>
      </x:c>
      <x:c r="I1321" t="str">
        <x:f>IF(F1321=1,"PASS","GAP")</x:f>
        <x:v>PASS</x:v>
      </x:c>
    </x:row>
    <x:row r="1322">
      <x:c r="B1322" t="str">
        <x:v>PL-1316</x:v>
      </x:c>
      <x:c r="C1322" t="str">
        <x:v>PLANNING</x:v>
      </x:c>
      <x:c r="D1322" t="str">
        <x:v>method qualification</x:v>
      </x:c>
      <x:c r="E1322" t="str">
        <x:v>method qualification 2</x:v>
      </x:c>
      <x:c r="F1322" t="n">
        <x:f>Controls!$D$41</x:f>
        <x:v>1</x:v>
      </x:c>
      <x:c r="G1322" t="n">
        <x:v>1</x:v>
      </x:c>
      <x:c r="H1322" t="str">
        <x:v>RAW design authority</x:v>
      </x:c>
      <x:c r="I1322" t="str">
        <x:f>IF(F1322=1,"PASS","GAP")</x:f>
        <x:v>PASS</x:v>
      </x:c>
    </x:row>
    <x:row r="1323">
      <x:c r="B1323" t="str">
        <x:v>PL-1317</x:v>
      </x:c>
      <x:c r="C1323" t="str">
        <x:v>PLANNING</x:v>
      </x:c>
      <x:c r="D1323" t="str">
        <x:v>method qualification</x:v>
      </x:c>
      <x:c r="E1323" t="str">
        <x:v>method qualification 3</x:v>
      </x:c>
      <x:c r="F1323" t="n">
        <x:f>Controls!$D$41</x:f>
        <x:v>1</x:v>
      </x:c>
      <x:c r="G1323" t="n">
        <x:v>1</x:v>
      </x:c>
      <x:c r="H1323" t="str">
        <x:v>RAW design authority</x:v>
      </x:c>
      <x:c r="I1323" t="str">
        <x:f>IF(F1323=1,"PASS","GAP")</x:f>
        <x:v>PASS</x:v>
      </x:c>
    </x:row>
    <x:row r="1324">
      <x:c r="B1324" t="str">
        <x:v>PL-1318</x:v>
      </x:c>
      <x:c r="C1324" t="str">
        <x:v>PLANNING</x:v>
      </x:c>
      <x:c r="D1324" t="str">
        <x:v>method qualification</x:v>
      </x:c>
      <x:c r="E1324" t="str">
        <x:v>method qualification 4</x:v>
      </x:c>
      <x:c r="F1324" t="n">
        <x:f>Controls!$D$41</x:f>
        <x:v>1</x:v>
      </x:c>
      <x:c r="G1324" t="n">
        <x:v>1</x:v>
      </x:c>
      <x:c r="H1324" t="str">
        <x:v>RAW design authority</x:v>
      </x:c>
      <x:c r="I1324" t="str">
        <x:f>IF(F1324=1,"PASS","GAP")</x:f>
        <x:v>PASS</x:v>
      </x:c>
    </x:row>
    <x:row r="1325">
      <x:c r="B1325" t="str">
        <x:v>PL-1319</x:v>
      </x:c>
      <x:c r="C1325" t="str">
        <x:v>PLANNING</x:v>
      </x:c>
      <x:c r="D1325" t="str">
        <x:v>method qualification</x:v>
      </x:c>
      <x:c r="E1325" t="str">
        <x:v>method qualification 5</x:v>
      </x:c>
      <x:c r="F1325" t="n">
        <x:f>Controls!$D$41</x:f>
        <x:v>1</x:v>
      </x:c>
      <x:c r="G1325" t="n">
        <x:v>1</x:v>
      </x:c>
      <x:c r="H1325" t="str">
        <x:v>RAW design authority</x:v>
      </x:c>
      <x:c r="I1325" t="str">
        <x:f>IF(F1325=1,"PASS","GAP")</x:f>
        <x:v>PASS</x:v>
      </x:c>
    </x:row>
    <x:row r="1326">
      <x:c r="B1326" t="str">
        <x:v>PL-1320</x:v>
      </x:c>
      <x:c r="C1326" t="str">
        <x:v>PLANNING</x:v>
      </x:c>
      <x:c r="D1326" t="str">
        <x:v>replay</x:v>
      </x:c>
      <x:c r="E1326" t="str">
        <x:v>replay 1</x:v>
      </x:c>
      <x:c r="F1326" t="n">
        <x:f>Controls!$D$41</x:f>
        <x:v>1</x:v>
      </x:c>
      <x:c r="G1326" t="n">
        <x:v>1</x:v>
      </x:c>
      <x:c r="H1326" t="str">
        <x:v>RAW design authority</x:v>
      </x:c>
      <x:c r="I1326" t="str">
        <x:f>IF(F1326=1,"PASS","GAP")</x:f>
        <x:v>PASS</x:v>
      </x:c>
    </x:row>
    <x:row r="1327">
      <x:c r="B1327" t="str">
        <x:v>PL-1321</x:v>
      </x:c>
      <x:c r="C1327" t="str">
        <x:v>PLANNING</x:v>
      </x:c>
      <x:c r="D1327" t="str">
        <x:v>replay</x:v>
      </x:c>
      <x:c r="E1327" t="str">
        <x:v>replay 2</x:v>
      </x:c>
      <x:c r="F1327" t="n">
        <x:f>Controls!$D$41</x:f>
        <x:v>1</x:v>
      </x:c>
      <x:c r="G1327" t="n">
        <x:v>1</x:v>
      </x:c>
      <x:c r="H1327" t="str">
        <x:v>RAW design authority</x:v>
      </x:c>
      <x:c r="I1327" t="str">
        <x:f>IF(F1327=1,"PASS","GAP")</x:f>
        <x:v>PASS</x:v>
      </x:c>
    </x:row>
    <x:row r="1328">
      <x:c r="B1328" t="str">
        <x:v>PL-1322</x:v>
      </x:c>
      <x:c r="C1328" t="str">
        <x:v>PLANNING</x:v>
      </x:c>
      <x:c r="D1328" t="str">
        <x:v>replay</x:v>
      </x:c>
      <x:c r="E1328" t="str">
        <x:v>replay 3</x:v>
      </x:c>
      <x:c r="F1328" t="n">
        <x:f>Controls!$D$41</x:f>
        <x:v>1</x:v>
      </x:c>
      <x:c r="G1328" t="n">
        <x:v>1</x:v>
      </x:c>
      <x:c r="H1328" t="str">
        <x:v>RAW design authority</x:v>
      </x:c>
      <x:c r="I1328" t="str">
        <x:f>IF(F1328=1,"PASS","GAP")</x:f>
        <x:v>PASS</x:v>
      </x:c>
    </x:row>
    <x:row r="1329">
      <x:c r="B1329" t="str">
        <x:v>PL-1323</x:v>
      </x:c>
      <x:c r="C1329" t="str">
        <x:v>PLANNING</x:v>
      </x:c>
      <x:c r="D1329" t="str">
        <x:v>replay</x:v>
      </x:c>
      <x:c r="E1329" t="str">
        <x:v>replay 4</x:v>
      </x:c>
      <x:c r="F1329" t="n">
        <x:f>Controls!$D$41</x:f>
        <x:v>1</x:v>
      </x:c>
      <x:c r="G1329" t="n">
        <x:v>1</x:v>
      </x:c>
      <x:c r="H1329" t="str">
        <x:v>RAW design authority</x:v>
      </x:c>
      <x:c r="I1329" t="str">
        <x:f>IF(F1329=1,"PASS","GAP")</x:f>
        <x:v>PASS</x:v>
      </x:c>
    </x:row>
    <x:row r="1330">
      <x:c r="B1330" t="str">
        <x:v>PL-1324</x:v>
      </x:c>
      <x:c r="C1330" t="str">
        <x:v>PLANNING</x:v>
      </x:c>
      <x:c r="D1330" t="str">
        <x:v>replay</x:v>
      </x:c>
      <x:c r="E1330" t="str">
        <x:v>replay 5</x:v>
      </x:c>
      <x:c r="F1330" t="n">
        <x:f>Controls!$D$41</x:f>
        <x:v>1</x:v>
      </x:c>
      <x:c r="G1330" t="n">
        <x:v>1</x:v>
      </x:c>
      <x:c r="H1330" t="str">
        <x:v>RAW design authority</x:v>
      </x:c>
      <x:c r="I1330" t="str">
        <x:f>IF(F1330=1,"PASS","GAP")</x:f>
        <x:v>PASS</x:v>
      </x:c>
    </x:row>
    <x:row r="1331">
      <x:c r="B1331" t="str">
        <x:v>PL-1325</x:v>
      </x:c>
      <x:c r="C1331" t="str">
        <x:v>PLANNING</x:v>
      </x:c>
      <x:c r="D1331" t="str">
        <x:v>replay</x:v>
      </x:c>
      <x:c r="E1331" t="str">
        <x:v>replay 6</x:v>
      </x:c>
      <x:c r="F1331" t="n">
        <x:f>Controls!$D$41</x:f>
        <x:v>1</x:v>
      </x:c>
      <x:c r="G1331" t="n">
        <x:v>1</x:v>
      </x:c>
      <x:c r="H1331" t="str">
        <x:v>RAW design authority</x:v>
      </x:c>
      <x:c r="I1331" t="str">
        <x:f>IF(F1331=1,"PASS","GAP")</x:f>
        <x:v>PASS</x:v>
      </x:c>
    </x:row>
    <x:row r="1332">
      <x:c r="B1332" t="str">
        <x:v>PL-1326</x:v>
      </x:c>
      <x:c r="C1332" t="str">
        <x:v>PLANNING</x:v>
      </x:c>
      <x:c r="D1332" t="str">
        <x:v>replay</x:v>
      </x:c>
      <x:c r="E1332" t="str">
        <x:v>replay 7</x:v>
      </x:c>
      <x:c r="F1332" t="n">
        <x:f>Controls!$D$41</x:f>
        <x:v>1</x:v>
      </x:c>
      <x:c r="G1332" t="n">
        <x:v>1</x:v>
      </x:c>
      <x:c r="H1332" t="str">
        <x:v>RAW design authority</x:v>
      </x:c>
      <x:c r="I1332" t="str">
        <x:f>IF(F1332=1,"PASS","GAP")</x:f>
        <x:v>PASS</x:v>
      </x:c>
    </x:row>
    <x:row r="1333">
      <x:c r="B1333" t="str">
        <x:v>PL-1327</x:v>
      </x:c>
      <x:c r="C1333" t="str">
        <x:v>PLANNING</x:v>
      </x:c>
      <x:c r="D1333" t="str">
        <x:v>replay</x:v>
      </x:c>
      <x:c r="E1333" t="str">
        <x:v>replay 8</x:v>
      </x:c>
      <x:c r="F1333" t="n">
        <x:f>Controls!$D$41</x:f>
        <x:v>1</x:v>
      </x:c>
      <x:c r="G1333" t="n">
        <x:v>1</x:v>
      </x:c>
      <x:c r="H1333" t="str">
        <x:v>RAW design authority</x:v>
      </x:c>
      <x:c r="I1333" t="str">
        <x:f>IF(F1333=1,"PASS","GAP")</x:f>
        <x:v>PASS</x:v>
      </x:c>
    </x:row>
    <x:row r="1334">
      <x:c r="B1334" t="str">
        <x:v>PL-1328</x:v>
      </x:c>
      <x:c r="C1334" t="str">
        <x:v>PLANNING</x:v>
      </x:c>
      <x:c r="D1334" t="str">
        <x:v>replay</x:v>
      </x:c>
      <x:c r="E1334" t="str">
        <x:v>replay 9</x:v>
      </x:c>
      <x:c r="F1334" t="n">
        <x:f>Controls!$D$41</x:f>
        <x:v>1</x:v>
      </x:c>
      <x:c r="G1334" t="n">
        <x:v>1</x:v>
      </x:c>
      <x:c r="H1334" t="str">
        <x:v>RAW design authority</x:v>
      </x:c>
      <x:c r="I1334" t="str">
        <x:f>IF(F1334=1,"PASS","GAP")</x:f>
        <x:v>PASS</x:v>
      </x:c>
    </x:row>
    <x:row r="1335">
      <x:c r="B1335" t="str">
        <x:v>PL-1329</x:v>
      </x:c>
      <x:c r="C1335" t="str">
        <x:v>PLANNING</x:v>
      </x:c>
      <x:c r="D1335" t="str">
        <x:v>replay</x:v>
      </x:c>
      <x:c r="E1335" t="str">
        <x:v>replay 10</x:v>
      </x:c>
      <x:c r="F1335" t="n">
        <x:f>Controls!$D$41</x:f>
        <x:v>1</x:v>
      </x:c>
      <x:c r="G1335" t="n">
        <x:v>1</x:v>
      </x:c>
      <x:c r="H1335" t="str">
        <x:v>RAW design authority</x:v>
      </x:c>
      <x:c r="I1335" t="str">
        <x:f>IF(F1335=1,"PASS","GAP")</x:f>
        <x:v>PASS</x:v>
      </x:c>
    </x:row>
    <x:row r="1336">
      <x:c r="B1336" t="str">
        <x:v>PL-1330</x:v>
      </x:c>
      <x:c r="C1336" t="str">
        <x:v>PLANNING</x:v>
      </x:c>
      <x:c r="D1336" t="str">
        <x:v>replay</x:v>
      </x:c>
      <x:c r="E1336" t="str">
        <x:v>replay 11</x:v>
      </x:c>
      <x:c r="F1336" t="n">
        <x:f>Controls!$D$41</x:f>
        <x:v>1</x:v>
      </x:c>
      <x:c r="G1336" t="n">
        <x:v>1</x:v>
      </x:c>
      <x:c r="H1336" t="str">
        <x:v>RAW design authority</x:v>
      </x:c>
      <x:c r="I1336" t="str">
        <x:f>IF(F1336=1,"PASS","GAP")</x:f>
        <x:v>PASS</x:v>
      </x:c>
    </x:row>
    <x:row r="1337">
      <x:c r="B1337" t="str">
        <x:v>PL-1331</x:v>
      </x:c>
      <x:c r="C1337" t="str">
        <x:v>PLANNING</x:v>
      </x:c>
      <x:c r="D1337" t="str">
        <x:v>replay</x:v>
      </x:c>
      <x:c r="E1337" t="str">
        <x:v>replay 12</x:v>
      </x:c>
      <x:c r="F1337" t="n">
        <x:f>Controls!$D$41</x:f>
        <x:v>1</x:v>
      </x:c>
      <x:c r="G1337" t="n">
        <x:v>1</x:v>
      </x:c>
      <x:c r="H1337" t="str">
        <x:v>RAW design authority</x:v>
      </x:c>
      <x:c r="I1337" t="str">
        <x:f>IF(F1337=1,"PASS","GAP")</x:f>
        <x:v>PASS</x:v>
      </x:c>
    </x:row>
    <x:row r="1338">
      <x:c r="B1338" t="str">
        <x:v>PL-1332</x:v>
      </x:c>
      <x:c r="C1338" t="str">
        <x:v>PLANNING</x:v>
      </x:c>
      <x:c r="D1338" t="str">
        <x:v>replay</x:v>
      </x:c>
      <x:c r="E1338" t="str">
        <x:v>replay 13</x:v>
      </x:c>
      <x:c r="F1338" t="n">
        <x:f>Controls!$D$41</x:f>
        <x:v>1</x:v>
      </x:c>
      <x:c r="G1338" t="n">
        <x:v>1</x:v>
      </x:c>
      <x:c r="H1338" t="str">
        <x:v>RAW design authority</x:v>
      </x:c>
      <x:c r="I1338" t="str">
        <x:f>IF(F1338=1,"PASS","GAP")</x:f>
        <x:v>PASS</x:v>
      </x:c>
    </x:row>
    <x:row r="1339">
      <x:c r="B1339" t="str">
        <x:v>PL-1333</x:v>
      </x:c>
      <x:c r="C1339" t="str">
        <x:v>PLANNING</x:v>
      </x:c>
      <x:c r="D1339" t="str">
        <x:v>replay</x:v>
      </x:c>
      <x:c r="E1339" t="str">
        <x:v>replay 14</x:v>
      </x:c>
      <x:c r="F1339" t="n">
        <x:f>Controls!$D$41</x:f>
        <x:v>1</x:v>
      </x:c>
      <x:c r="G1339" t="n">
        <x:v>1</x:v>
      </x:c>
      <x:c r="H1339" t="str">
        <x:v>RAW design authority</x:v>
      </x:c>
      <x:c r="I1339" t="str">
        <x:f>IF(F1339=1,"PASS","GAP")</x:f>
        <x:v>PASS</x:v>
      </x:c>
    </x:row>
    <x:row r="1340">
      <x:c r="B1340" t="str">
        <x:v>PL-1334</x:v>
      </x:c>
      <x:c r="C1340" t="str">
        <x:v>PLANNING</x:v>
      </x:c>
      <x:c r="D1340" t="str">
        <x:v>replay</x:v>
      </x:c>
      <x:c r="E1340" t="str">
        <x:v>replay 15</x:v>
      </x:c>
      <x:c r="F1340" t="n">
        <x:f>Controls!$D$41</x:f>
        <x:v>1</x:v>
      </x:c>
      <x:c r="G1340" t="n">
        <x:v>1</x:v>
      </x:c>
      <x:c r="H1340" t="str">
        <x:v>RAW design authority</x:v>
      </x:c>
      <x:c r="I1340" t="str">
        <x:f>IF(F1340=1,"PASS","GAP")</x:f>
        <x:v>PASS</x:v>
      </x:c>
    </x:row>
    <x:row r="1341">
      <x:c r="B1341" t="str">
        <x:v>PL-1335</x:v>
      </x:c>
      <x:c r="C1341" t="str">
        <x:v>PLANNING</x:v>
      </x:c>
      <x:c r="D1341" t="str">
        <x:v>replay</x:v>
      </x:c>
      <x:c r="E1341" t="str">
        <x:v>replay 16</x:v>
      </x:c>
      <x:c r="F1341" t="n">
        <x:f>Controls!$D$41</x:f>
        <x:v>1</x:v>
      </x:c>
      <x:c r="G1341" t="n">
        <x:v>1</x:v>
      </x:c>
      <x:c r="H1341" t="str">
        <x:v>RAW design authority</x:v>
      </x:c>
      <x:c r="I1341" t="str">
        <x:f>IF(F1341=1,"PASS","GAP")</x:f>
        <x:v>PASS</x:v>
      </x:c>
    </x:row>
    <x:row r="1342">
      <x:c r="B1342" t="str">
        <x:v>PL-1336</x:v>
      </x:c>
      <x:c r="C1342" t="str">
        <x:v>PLANNING</x:v>
      </x:c>
      <x:c r="D1342" t="str">
        <x:v>replay</x:v>
      </x:c>
      <x:c r="E1342" t="str">
        <x:v>replay 17</x:v>
      </x:c>
      <x:c r="F1342" t="n">
        <x:f>Controls!$D$41</x:f>
        <x:v>1</x:v>
      </x:c>
      <x:c r="G1342" t="n">
        <x:v>1</x:v>
      </x:c>
      <x:c r="H1342" t="str">
        <x:v>RAW design authority</x:v>
      </x:c>
      <x:c r="I1342" t="str">
        <x:f>IF(F1342=1,"PASS","GAP")</x:f>
        <x:v>PASS</x:v>
      </x:c>
    </x:row>
    <x:row r="1343">
      <x:c r="B1343" t="str">
        <x:v>PL-1337</x:v>
      </x:c>
      <x:c r="C1343" t="str">
        <x:v>PLANNING</x:v>
      </x:c>
      <x:c r="D1343" t="str">
        <x:v>replay</x:v>
      </x:c>
      <x:c r="E1343" t="str">
        <x:v>replay 18</x:v>
      </x:c>
      <x:c r="F1343" t="n">
        <x:f>Controls!$D$41</x:f>
        <x:v>1</x:v>
      </x:c>
      <x:c r="G1343" t="n">
        <x:v>1</x:v>
      </x:c>
      <x:c r="H1343" t="str">
        <x:v>RAW design authority</x:v>
      </x:c>
      <x:c r="I1343" t="str">
        <x:f>IF(F1343=1,"PASS","GAP")</x:f>
        <x:v>PASS</x:v>
      </x:c>
    </x:row>
    <x:row r="1344">
      <x:c r="B1344" t="str">
        <x:v>PL-1338</x:v>
      </x:c>
      <x:c r="C1344" t="str">
        <x:v>PLANNING</x:v>
      </x:c>
      <x:c r="D1344" t="str">
        <x:v>replay</x:v>
      </x:c>
      <x:c r="E1344" t="str">
        <x:v>replay 19</x:v>
      </x:c>
      <x:c r="F1344" t="n">
        <x:f>Controls!$D$41</x:f>
        <x:v>1</x:v>
      </x:c>
      <x:c r="G1344" t="n">
        <x:v>1</x:v>
      </x:c>
      <x:c r="H1344" t="str">
        <x:v>RAW design authority</x:v>
      </x:c>
      <x:c r="I1344" t="str">
        <x:f>IF(F1344=1,"PASS","GAP")</x:f>
        <x:v>PASS</x:v>
      </x:c>
    </x:row>
    <x:row r="1345">
      <x:c r="B1345" t="str">
        <x:v>PL-1339</x:v>
      </x:c>
      <x:c r="C1345" t="str">
        <x:v>PLANNING</x:v>
      </x:c>
      <x:c r="D1345" t="str">
        <x:v>replay</x:v>
      </x:c>
      <x:c r="E1345" t="str">
        <x:v>replay 20</x:v>
      </x:c>
      <x:c r="F1345" t="n">
        <x:f>Controls!$D$41</x:f>
        <x:v>1</x:v>
      </x:c>
      <x:c r="G1345" t="n">
        <x:v>1</x:v>
      </x:c>
      <x:c r="H1345" t="str">
        <x:v>RAW design authority</x:v>
      </x:c>
      <x:c r="I1345" t="str">
        <x:f>IF(F1345=1,"PASS","GAP")</x:f>
        <x:v>PASS</x:v>
      </x:c>
    </x:row>
    <x:row r="1346">
      <x:c r="B1346" t="str">
        <x:v>PL-1340</x:v>
      </x:c>
      <x:c r="C1346" t="str">
        <x:v>PLANNING</x:v>
      </x:c>
      <x:c r="D1346" t="str">
        <x:v>replay</x:v>
      </x:c>
      <x:c r="E1346" t="str">
        <x:v>replay 21</x:v>
      </x:c>
      <x:c r="F1346" t="n">
        <x:f>Controls!$D$41</x:f>
        <x:v>1</x:v>
      </x:c>
      <x:c r="G1346" t="n">
        <x:v>1</x:v>
      </x:c>
      <x:c r="H1346" t="str">
        <x:v>RAW design authority</x:v>
      </x:c>
      <x:c r="I1346" t="str">
        <x:f>IF(F1346=1,"PASS","GAP")</x:f>
        <x:v>PASS</x:v>
      </x:c>
    </x:row>
    <x:row r="1347">
      <x:c r="B1347" t="str">
        <x:v>PL-1341</x:v>
      </x:c>
      <x:c r="C1347" t="str">
        <x:v>PLANNING</x:v>
      </x:c>
      <x:c r="D1347" t="str">
        <x:v>replay</x:v>
      </x:c>
      <x:c r="E1347" t="str">
        <x:v>replay 22</x:v>
      </x:c>
      <x:c r="F1347" t="n">
        <x:f>Controls!$D$41</x:f>
        <x:v>1</x:v>
      </x:c>
      <x:c r="G1347" t="n">
        <x:v>1</x:v>
      </x:c>
      <x:c r="H1347" t="str">
        <x:v>RAW design authority</x:v>
      </x:c>
      <x:c r="I1347" t="str">
        <x:f>IF(F1347=1,"PASS","GAP")</x:f>
        <x:v>PASS</x:v>
      </x:c>
    </x:row>
    <x:row r="1348">
      <x:c r="B1348" t="str">
        <x:v>PL-1342</x:v>
      </x:c>
      <x:c r="C1348" t="str">
        <x:v>PLANNING</x:v>
      </x:c>
      <x:c r="D1348" t="str">
        <x:v>replay</x:v>
      </x:c>
      <x:c r="E1348" t="str">
        <x:v>replay 23</x:v>
      </x:c>
      <x:c r="F1348" t="n">
        <x:f>Controls!$D$41</x:f>
        <x:v>1</x:v>
      </x:c>
      <x:c r="G1348" t="n">
        <x:v>1</x:v>
      </x:c>
      <x:c r="H1348" t="str">
        <x:v>RAW design authority</x:v>
      </x:c>
      <x:c r="I1348" t="str">
        <x:f>IF(F1348=1,"PASS","GAP")</x:f>
        <x:v>PASS</x:v>
      </x:c>
    </x:row>
    <x:row r="1349">
      <x:c r="B1349" t="str">
        <x:v>PL-1343</x:v>
      </x:c>
      <x:c r="C1349" t="str">
        <x:v>PLANNING</x:v>
      </x:c>
      <x:c r="D1349" t="str">
        <x:v>replay</x:v>
      </x:c>
      <x:c r="E1349" t="str">
        <x:v>replay 24</x:v>
      </x:c>
      <x:c r="F1349" t="n">
        <x:f>Controls!$D$41</x:f>
        <x:v>1</x:v>
      </x:c>
      <x:c r="G1349" t="n">
        <x:v>1</x:v>
      </x:c>
      <x:c r="H1349" t="str">
        <x:v>RAW design authority</x:v>
      </x:c>
      <x:c r="I1349" t="str">
        <x:f>IF(F1349=1,"PASS","GAP")</x:f>
        <x:v>PASS</x:v>
      </x:c>
    </x:row>
    <x:row r="1350">
      <x:c r="B1350" t="str">
        <x:v>PL-1344</x:v>
      </x:c>
      <x:c r="C1350" t="str">
        <x:v>PLANNING</x:v>
      </x:c>
      <x:c r="D1350" t="str">
        <x:v>replay</x:v>
      </x:c>
      <x:c r="E1350" t="str">
        <x:v>replay 25</x:v>
      </x:c>
      <x:c r="F1350" t="n">
        <x:f>Controls!$D$41</x:f>
        <x:v>1</x:v>
      </x:c>
      <x:c r="G1350" t="n">
        <x:v>1</x:v>
      </x:c>
      <x:c r="H1350" t="str">
        <x:v>RAW design authority</x:v>
      </x:c>
      <x:c r="I1350" t="str">
        <x:f>IF(F1350=1,"PASS","GAP")</x:f>
        <x:v>PASS</x:v>
      </x:c>
    </x:row>
    <x:row r="1351">
      <x:c r="B1351" t="str">
        <x:v>PL-1345</x:v>
      </x:c>
      <x:c r="C1351" t="str">
        <x:v>PLANNING</x:v>
      </x:c>
      <x:c r="D1351" t="str">
        <x:v>replay</x:v>
      </x:c>
      <x:c r="E1351" t="str">
        <x:v>replay 26</x:v>
      </x:c>
      <x:c r="F1351" t="n">
        <x:f>Controls!$D$41</x:f>
        <x:v>1</x:v>
      </x:c>
      <x:c r="G1351" t="n">
        <x:v>1</x:v>
      </x:c>
      <x:c r="H1351" t="str">
        <x:v>RAW design authority</x:v>
      </x:c>
      <x:c r="I1351" t="str">
        <x:f>IF(F1351=1,"PASS","GAP")</x:f>
        <x:v>PASS</x:v>
      </x:c>
    </x:row>
    <x:row r="1352">
      <x:c r="B1352" t="str">
        <x:v>PL-1346</x:v>
      </x:c>
      <x:c r="C1352" t="str">
        <x:v>PLANNING</x:v>
      </x:c>
      <x:c r="D1352" t="str">
        <x:v>replay</x:v>
      </x:c>
      <x:c r="E1352" t="str">
        <x:v>replay 27</x:v>
      </x:c>
      <x:c r="F1352" t="n">
        <x:f>Controls!$D$41</x:f>
        <x:v>1</x:v>
      </x:c>
      <x:c r="G1352" t="n">
        <x:v>1</x:v>
      </x:c>
      <x:c r="H1352" t="str">
        <x:v>RAW design authority</x:v>
      </x:c>
      <x:c r="I1352" t="str">
        <x:f>IF(F1352=1,"PASS","GAP")</x:f>
        <x:v>PASS</x:v>
      </x:c>
    </x:row>
    <x:row r="1353">
      <x:c r="B1353" t="str">
        <x:v>PL-1347</x:v>
      </x:c>
      <x:c r="C1353" t="str">
        <x:v>PLANNING</x:v>
      </x:c>
      <x:c r="D1353" t="str">
        <x:v>replay</x:v>
      </x:c>
      <x:c r="E1353" t="str">
        <x:v>replay 28</x:v>
      </x:c>
      <x:c r="F1353" t="n">
        <x:f>Controls!$D$41</x:f>
        <x:v>1</x:v>
      </x:c>
      <x:c r="G1353" t="n">
        <x:v>1</x:v>
      </x:c>
      <x:c r="H1353" t="str">
        <x:v>RAW design authority</x:v>
      </x:c>
      <x:c r="I1353" t="str">
        <x:f>IF(F1353=1,"PASS","GAP")</x:f>
        <x:v>PASS</x:v>
      </x:c>
    </x:row>
    <x:row r="1354">
      <x:c r="B1354" t="str">
        <x:v>PL-1348</x:v>
      </x:c>
      <x:c r="C1354" t="str">
        <x:v>PLANNING</x:v>
      </x:c>
      <x:c r="D1354" t="str">
        <x:v>replay</x:v>
      </x:c>
      <x:c r="E1354" t="str">
        <x:v>replay 29</x:v>
      </x:c>
      <x:c r="F1354" t="n">
        <x:f>Controls!$D$41</x:f>
        <x:v>1</x:v>
      </x:c>
      <x:c r="G1354" t="n">
        <x:v>1</x:v>
      </x:c>
      <x:c r="H1354" t="str">
        <x:v>RAW design authority</x:v>
      </x:c>
      <x:c r="I1354" t="str">
        <x:f>IF(F1354=1,"PASS","GAP")</x:f>
        <x:v>PASS</x:v>
      </x:c>
    </x:row>
    <x:row r="1355">
      <x:c r="B1355" t="str">
        <x:v>PL-1349</x:v>
      </x:c>
      <x:c r="C1355" t="str">
        <x:v>PLANNING</x:v>
      </x:c>
      <x:c r="D1355" t="str">
        <x:v>replay</x:v>
      </x:c>
      <x:c r="E1355" t="str">
        <x:v>replay 30</x:v>
      </x:c>
      <x:c r="F1355" t="n">
        <x:f>Controls!$D$41</x:f>
        <x:v>1</x:v>
      </x:c>
      <x:c r="G1355" t="n">
        <x:v>1</x:v>
      </x:c>
      <x:c r="H1355" t="str">
        <x:v>RAW design authority</x:v>
      </x:c>
      <x:c r="I1355" t="str">
        <x:f>IF(F1355=1,"PASS","GAP")</x:f>
        <x:v>PASS</x:v>
      </x:c>
    </x:row>
    <x:row r="1356">
      <x:c r="B1356" t="str">
        <x:v>PL-1350</x:v>
      </x:c>
      <x:c r="C1356" t="str">
        <x:v>PLANNING</x:v>
      </x:c>
      <x:c r="D1356" t="str">
        <x:v>replay</x:v>
      </x:c>
      <x:c r="E1356" t="str">
        <x:v>replay 31</x:v>
      </x:c>
      <x:c r="F1356" t="n">
        <x:f>Controls!$D$41</x:f>
        <x:v>1</x:v>
      </x:c>
      <x:c r="G1356" t="n">
        <x:v>1</x:v>
      </x:c>
      <x:c r="H1356" t="str">
        <x:v>RAW design authority</x:v>
      </x:c>
      <x:c r="I1356" t="str">
        <x:f>IF(F1356=1,"PASS","GAP")</x:f>
        <x:v>PASS</x:v>
      </x:c>
    </x:row>
    <x:row r="1357">
      <x:c r="B1357" t="str">
        <x:v>PL-1351</x:v>
      </x:c>
      <x:c r="C1357" t="str">
        <x:v>PLANNING</x:v>
      </x:c>
      <x:c r="D1357" t="str">
        <x:v>replay</x:v>
      </x:c>
      <x:c r="E1357" t="str">
        <x:v>replay 32</x:v>
      </x:c>
      <x:c r="F1357" t="n">
        <x:f>Controls!$D$41</x:f>
        <x:v>1</x:v>
      </x:c>
      <x:c r="G1357" t="n">
        <x:v>1</x:v>
      </x:c>
      <x:c r="H1357" t="str">
        <x:v>RAW design authority</x:v>
      </x:c>
      <x:c r="I1357" t="str">
        <x:f>IF(F1357=1,"PASS","GAP")</x:f>
        <x:v>PASS</x:v>
      </x:c>
    </x:row>
    <x:row r="1358">
      <x:c r="B1358" t="str">
        <x:v>PL-1352</x:v>
      </x:c>
      <x:c r="C1358" t="str">
        <x:v>PLANNING</x:v>
      </x:c>
      <x:c r="D1358" t="str">
        <x:v>replay</x:v>
      </x:c>
      <x:c r="E1358" t="str">
        <x:v>replay 33</x:v>
      </x:c>
      <x:c r="F1358" t="n">
        <x:f>Controls!$D$41</x:f>
        <x:v>1</x:v>
      </x:c>
      <x:c r="G1358" t="n">
        <x:v>1</x:v>
      </x:c>
      <x:c r="H1358" t="str">
        <x:v>RAW design authority</x:v>
      </x:c>
      <x:c r="I1358" t="str">
        <x:f>IF(F1358=1,"PASS","GAP")</x:f>
        <x:v>PASS</x:v>
      </x:c>
    </x:row>
    <x:row r="1359">
      <x:c r="B1359" t="str">
        <x:v>PL-1353</x:v>
      </x:c>
      <x:c r="C1359" t="str">
        <x:v>PLANNING</x:v>
      </x:c>
      <x:c r="D1359" t="str">
        <x:v>replay</x:v>
      </x:c>
      <x:c r="E1359" t="str">
        <x:v>replay 34</x:v>
      </x:c>
      <x:c r="F1359" t="n">
        <x:f>Controls!$D$41</x:f>
        <x:v>1</x:v>
      </x:c>
      <x:c r="G1359" t="n">
        <x:v>1</x:v>
      </x:c>
      <x:c r="H1359" t="str">
        <x:v>RAW design authority</x:v>
      </x:c>
      <x:c r="I1359" t="str">
        <x:f>IF(F1359=1,"PASS","GAP")</x:f>
        <x:v>PASS</x:v>
      </x:c>
    </x:row>
    <x:row r="1360">
      <x:c r="B1360" t="str">
        <x:v>PL-1354</x:v>
      </x:c>
      <x:c r="C1360" t="str">
        <x:v>PLANNING</x:v>
      </x:c>
      <x:c r="D1360" t="str">
        <x:v>replay</x:v>
      </x:c>
      <x:c r="E1360" t="str">
        <x:v>replay 35</x:v>
      </x:c>
      <x:c r="F1360" t="n">
        <x:f>Controls!$D$41</x:f>
        <x:v>1</x:v>
      </x:c>
      <x:c r="G1360" t="n">
        <x:v>1</x:v>
      </x:c>
      <x:c r="H1360" t="str">
        <x:v>RAW design authority</x:v>
      </x:c>
      <x:c r="I1360" t="str">
        <x:f>IF(F1360=1,"PASS","GAP")</x:f>
        <x:v>PASS</x:v>
      </x:c>
    </x:row>
    <x:row r="1361">
      <x:c r="B1361" t="str">
        <x:v>PL-1355</x:v>
      </x:c>
      <x:c r="C1361" t="str">
        <x:v>PLANNING</x:v>
      </x:c>
      <x:c r="D1361" t="str">
        <x:v>replay</x:v>
      </x:c>
      <x:c r="E1361" t="str">
        <x:v>replay 36</x:v>
      </x:c>
      <x:c r="F1361" t="n">
        <x:f>Controls!$D$41</x:f>
        <x:v>1</x:v>
      </x:c>
      <x:c r="G1361" t="n">
        <x:v>1</x:v>
      </x:c>
      <x:c r="H1361" t="str">
        <x:v>RAW design authority</x:v>
      </x:c>
      <x:c r="I1361" t="str">
        <x:f>IF(F1361=1,"PASS","GAP")</x:f>
        <x:v>PASS</x:v>
      </x:c>
    </x:row>
    <x:row r="1362">
      <x:c r="B1362" t="str">
        <x:v>PL-1356</x:v>
      </x:c>
      <x:c r="C1362" t="str">
        <x:v>PLANNING</x:v>
      </x:c>
      <x:c r="D1362" t="str">
        <x:v>replay</x:v>
      </x:c>
      <x:c r="E1362" t="str">
        <x:v>replay 37</x:v>
      </x:c>
      <x:c r="F1362" t="n">
        <x:f>Controls!$D$41</x:f>
        <x:v>1</x:v>
      </x:c>
      <x:c r="G1362" t="n">
        <x:v>1</x:v>
      </x:c>
      <x:c r="H1362" t="str">
        <x:v>RAW design authority</x:v>
      </x:c>
      <x:c r="I1362" t="str">
        <x:f>IF(F1362=1,"PASS","GAP")</x:f>
        <x:v>PASS</x:v>
      </x:c>
    </x:row>
    <x:row r="1363">
      <x:c r="B1363" t="str">
        <x:v>PL-1357</x:v>
      </x:c>
      <x:c r="C1363" t="str">
        <x:v>PLANNING</x:v>
      </x:c>
      <x:c r="D1363" t="str">
        <x:v>replay</x:v>
      </x:c>
      <x:c r="E1363" t="str">
        <x:v>replay 38</x:v>
      </x:c>
      <x:c r="F1363" t="n">
        <x:f>Controls!$D$41</x:f>
        <x:v>1</x:v>
      </x:c>
      <x:c r="G1363" t="n">
        <x:v>1</x:v>
      </x:c>
      <x:c r="H1363" t="str">
        <x:v>RAW design authority</x:v>
      </x:c>
      <x:c r="I1363" t="str">
        <x:f>IF(F1363=1,"PASS","GAP")</x:f>
        <x:v>PASS</x:v>
      </x:c>
    </x:row>
    <x:row r="1364">
      <x:c r="B1364" t="str">
        <x:v>PL-1358</x:v>
      </x:c>
      <x:c r="C1364" t="str">
        <x:v>PLANNING</x:v>
      </x:c>
      <x:c r="D1364" t="str">
        <x:v>replay</x:v>
      </x:c>
      <x:c r="E1364" t="str">
        <x:v>replay 39</x:v>
      </x:c>
      <x:c r="F1364" t="n">
        <x:f>Controls!$D$41</x:f>
        <x:v>1</x:v>
      </x:c>
      <x:c r="G1364" t="n">
        <x:v>1</x:v>
      </x:c>
      <x:c r="H1364" t="str">
        <x:v>RAW design authority</x:v>
      </x:c>
      <x:c r="I1364" t="str">
        <x:f>IF(F1364=1,"PASS","GAP")</x:f>
        <x:v>PASS</x:v>
      </x:c>
    </x:row>
    <x:row r="1365">
      <x:c r="B1365" t="str">
        <x:v>PL-1359</x:v>
      </x:c>
      <x:c r="C1365" t="str">
        <x:v>PLANNING</x:v>
      </x:c>
      <x:c r="D1365" t="str">
        <x:v>replay</x:v>
      </x:c>
      <x:c r="E1365" t="str">
        <x:v>replay 40</x:v>
      </x:c>
      <x:c r="F1365" t="n">
        <x:f>Controls!$D$41</x:f>
        <x:v>1</x:v>
      </x:c>
      <x:c r="G1365" t="n">
        <x:v>1</x:v>
      </x:c>
      <x:c r="H1365" t="str">
        <x:v>RAW design authority</x:v>
      </x:c>
      <x:c r="I1365" t="str">
        <x:f>IF(F1365=1,"PASS","GAP")</x:f>
        <x:v>PASS</x:v>
      </x:c>
    </x:row>
    <x:row r="1366">
      <x:c r="B1366" t="str">
        <x:v>PL-1360</x:v>
      </x:c>
      <x:c r="C1366" t="str">
        <x:v>PLANNING</x:v>
      </x:c>
      <x:c r="D1366" t="str">
        <x:v>replay</x:v>
      </x:c>
      <x:c r="E1366" t="str">
        <x:v>replay 41</x:v>
      </x:c>
      <x:c r="F1366" t="n">
        <x:f>Controls!$D$41</x:f>
        <x:v>1</x:v>
      </x:c>
      <x:c r="G1366" t="n">
        <x:v>1</x:v>
      </x:c>
      <x:c r="H1366" t="str">
        <x:v>RAW design authority</x:v>
      </x:c>
      <x:c r="I1366" t="str">
        <x:f>IF(F1366=1,"PASS","GAP")</x:f>
        <x:v>PASS</x:v>
      </x:c>
    </x:row>
    <x:row r="1367">
      <x:c r="B1367" t="str">
        <x:v>PL-1361</x:v>
      </x:c>
      <x:c r="C1367" t="str">
        <x:v>PLANNING</x:v>
      </x:c>
      <x:c r="D1367" t="str">
        <x:v>replay</x:v>
      </x:c>
      <x:c r="E1367" t="str">
        <x:v>replay 42</x:v>
      </x:c>
      <x:c r="F1367" t="n">
        <x:f>Controls!$D$41</x:f>
        <x:v>1</x:v>
      </x:c>
      <x:c r="G1367" t="n">
        <x:v>1</x:v>
      </x:c>
      <x:c r="H1367" t="str">
        <x:v>RAW design authority</x:v>
      </x:c>
      <x:c r="I1367" t="str">
        <x:f>IF(F1367=1,"PASS","GAP")</x:f>
        <x:v>PASS</x:v>
      </x:c>
    </x:row>
    <x:row r="1368">
      <x:c r="B1368" t="str">
        <x:v>PL-1362</x:v>
      </x:c>
      <x:c r="C1368" t="str">
        <x:v>PLANNING</x:v>
      </x:c>
      <x:c r="D1368" t="str">
        <x:v>replay</x:v>
      </x:c>
      <x:c r="E1368" t="str">
        <x:v>replay 43</x:v>
      </x:c>
      <x:c r="F1368" t="n">
        <x:f>Controls!$D$41</x:f>
        <x:v>1</x:v>
      </x:c>
      <x:c r="G1368" t="n">
        <x:v>1</x:v>
      </x:c>
      <x:c r="H1368" t="str">
        <x:v>RAW design authority</x:v>
      </x:c>
      <x:c r="I1368" t="str">
        <x:f>IF(F1368=1,"PASS","GAP")</x:f>
        <x:v>PASS</x:v>
      </x:c>
    </x:row>
    <x:row r="1369">
      <x:c r="B1369" t="str">
        <x:v>PL-1363</x:v>
      </x:c>
      <x:c r="C1369" t="str">
        <x:v>PLANNING</x:v>
      </x:c>
      <x:c r="D1369" t="str">
        <x:v>replay</x:v>
      </x:c>
      <x:c r="E1369" t="str">
        <x:v>replay 44</x:v>
      </x:c>
      <x:c r="F1369" t="n">
        <x:f>Controls!$D$41</x:f>
        <x:v>1</x:v>
      </x:c>
      <x:c r="G1369" t="n">
        <x:v>1</x:v>
      </x:c>
      <x:c r="H1369" t="str">
        <x:v>RAW design authority</x:v>
      </x:c>
      <x:c r="I1369" t="str">
        <x:f>IF(F1369=1,"PASS","GAP")</x:f>
        <x:v>PASS</x:v>
      </x:c>
    </x:row>
    <x:row r="1370">
      <x:c r="B1370" t="str">
        <x:v>PL-1364</x:v>
      </x:c>
      <x:c r="C1370" t="str">
        <x:v>PLANNING</x:v>
      </x:c>
      <x:c r="D1370" t="str">
        <x:v>replay</x:v>
      </x:c>
      <x:c r="E1370" t="str">
        <x:v>replay 45</x:v>
      </x:c>
      <x:c r="F1370" t="n">
        <x:f>Controls!$D$41</x:f>
        <x:v>1</x:v>
      </x:c>
      <x:c r="G1370" t="n">
        <x:v>1</x:v>
      </x:c>
      <x:c r="H1370" t="str">
        <x:v>RAW design authority</x:v>
      </x:c>
      <x:c r="I1370" t="str">
        <x:f>IF(F1370=1,"PASS","GAP")</x:f>
        <x:v>PASS</x:v>
      </x:c>
    </x:row>
    <x:row r="1371">
      <x:c r="B1371" t="str">
        <x:v>PL-1365</x:v>
      </x:c>
      <x:c r="C1371" t="str">
        <x:v>PLANNING</x:v>
      </x:c>
      <x:c r="D1371" t="str">
        <x:v>replay</x:v>
      </x:c>
      <x:c r="E1371" t="str">
        <x:v>replay 46</x:v>
      </x:c>
      <x:c r="F1371" t="n">
        <x:f>Controls!$D$41</x:f>
        <x:v>1</x:v>
      </x:c>
      <x:c r="G1371" t="n">
        <x:v>1</x:v>
      </x:c>
      <x:c r="H1371" t="str">
        <x:v>RAW design authority</x:v>
      </x:c>
      <x:c r="I1371" t="str">
        <x:f>IF(F1371=1,"PASS","GAP")</x:f>
        <x:v>PASS</x:v>
      </x:c>
    </x:row>
    <x:row r="1372">
      <x:c r="B1372" t="str">
        <x:v>PL-1366</x:v>
      </x:c>
      <x:c r="C1372" t="str">
        <x:v>PLANNING</x:v>
      </x:c>
      <x:c r="D1372" t="str">
        <x:v>replay</x:v>
      </x:c>
      <x:c r="E1372" t="str">
        <x:v>replay 47</x:v>
      </x:c>
      <x:c r="F1372" t="n">
        <x:f>Controls!$D$41</x:f>
        <x:v>1</x:v>
      </x:c>
      <x:c r="G1372" t="n">
        <x:v>1</x:v>
      </x:c>
      <x:c r="H1372" t="str">
        <x:v>RAW design authority</x:v>
      </x:c>
      <x:c r="I1372" t="str">
        <x:f>IF(F1372=1,"PASS","GAP")</x:f>
        <x:v>PASS</x:v>
      </x:c>
    </x:row>
    <x:row r="1373">
      <x:c r="B1373" t="str">
        <x:v>PL-1367</x:v>
      </x:c>
      <x:c r="C1373" t="str">
        <x:v>PLANNING</x:v>
      </x:c>
      <x:c r="D1373" t="str">
        <x:v>replay</x:v>
      </x:c>
      <x:c r="E1373" t="str">
        <x:v>replay 48</x:v>
      </x:c>
      <x:c r="F1373" t="n">
        <x:f>Controls!$D$41</x:f>
        <x:v>1</x:v>
      </x:c>
      <x:c r="G1373" t="n">
        <x:v>1</x:v>
      </x:c>
      <x:c r="H1373" t="str">
        <x:v>RAW design authority</x:v>
      </x:c>
      <x:c r="I1373" t="str">
        <x:f>IF(F1373=1,"PASS","GAP")</x:f>
        <x:v>PASS</x:v>
      </x:c>
    </x:row>
    <x:row r="1374">
      <x:c r="B1374" t="str">
        <x:v>PL-1368</x:v>
      </x:c>
      <x:c r="C1374" t="str">
        <x:v>PLANNING</x:v>
      </x:c>
      <x:c r="D1374" t="str">
        <x:v>replay</x:v>
      </x:c>
      <x:c r="E1374" t="str">
        <x:v>replay 49</x:v>
      </x:c>
      <x:c r="F1374" t="n">
        <x:f>Controls!$D$41</x:f>
        <x:v>1</x:v>
      </x:c>
      <x:c r="G1374" t="n">
        <x:v>1</x:v>
      </x:c>
      <x:c r="H1374" t="str">
        <x:v>RAW design authority</x:v>
      </x:c>
      <x:c r="I1374" t="str">
        <x:f>IF(F1374=1,"PASS","GAP")</x:f>
        <x:v>PASS</x:v>
      </x:c>
    </x:row>
    <x:row r="1375">
      <x:c r="B1375" t="str">
        <x:v>PL-1369</x:v>
      </x:c>
      <x:c r="C1375" t="str">
        <x:v>PLANNING</x:v>
      </x:c>
      <x:c r="D1375" t="str">
        <x:v>replay</x:v>
      </x:c>
      <x:c r="E1375" t="str">
        <x:v>replay 50</x:v>
      </x:c>
      <x:c r="F1375" t="n">
        <x:f>Controls!$D$41</x:f>
        <x:v>1</x:v>
      </x:c>
      <x:c r="G1375" t="n">
        <x:v>1</x:v>
      </x:c>
      <x:c r="H1375" t="str">
        <x:v>RAW design authority</x:v>
      </x:c>
      <x:c r="I1375" t="str">
        <x:f>IF(F1375=1,"PASS","GAP")</x:f>
        <x:v>PASS</x:v>
      </x:c>
    </x:row>
    <x:row r="1376">
      <x:c r="B1376" t="str">
        <x:v>PL-1370</x:v>
      </x:c>
      <x:c r="C1376" t="str">
        <x:v>PLANNING</x:v>
      </x:c>
      <x:c r="D1376" t="str">
        <x:v>replay</x:v>
      </x:c>
      <x:c r="E1376" t="str">
        <x:v>replay 51</x:v>
      </x:c>
      <x:c r="F1376" t="n">
        <x:f>Controls!$D$41</x:f>
        <x:v>1</x:v>
      </x:c>
      <x:c r="G1376" t="n">
        <x:v>1</x:v>
      </x:c>
      <x:c r="H1376" t="str">
        <x:v>RAW design authority</x:v>
      </x:c>
      <x:c r="I1376" t="str">
        <x:f>IF(F1376=1,"PASS","GAP")</x:f>
        <x:v>PASS</x:v>
      </x:c>
    </x:row>
    <x:row r="1377">
      <x:c r="B1377" t="str">
        <x:v>PL-1371</x:v>
      </x:c>
      <x:c r="C1377" t="str">
        <x:v>PLANNING</x:v>
      </x:c>
      <x:c r="D1377" t="str">
        <x:v>replay</x:v>
      </x:c>
      <x:c r="E1377" t="str">
        <x:v>replay 52</x:v>
      </x:c>
      <x:c r="F1377" t="n">
        <x:f>Controls!$D$41</x:f>
        <x:v>1</x:v>
      </x:c>
      <x:c r="G1377" t="n">
        <x:v>1</x:v>
      </x:c>
      <x:c r="H1377" t="str">
        <x:v>RAW design authority</x:v>
      </x:c>
      <x:c r="I1377" t="str">
        <x:f>IF(F1377=1,"PASS","GAP")</x:f>
        <x:v>PASS</x:v>
      </x:c>
    </x:row>
    <x:row r="1378">
      <x:c r="B1378" t="str">
        <x:v>PL-1372</x:v>
      </x:c>
      <x:c r="C1378" t="str">
        <x:v>PLANNING</x:v>
      </x:c>
      <x:c r="D1378" t="str">
        <x:v>replay</x:v>
      </x:c>
      <x:c r="E1378" t="str">
        <x:v>replay 53</x:v>
      </x:c>
      <x:c r="F1378" t="n">
        <x:f>Controls!$D$41</x:f>
        <x:v>1</x:v>
      </x:c>
      <x:c r="G1378" t="n">
        <x:v>1</x:v>
      </x:c>
      <x:c r="H1378" t="str">
        <x:v>RAW design authority</x:v>
      </x:c>
      <x:c r="I1378" t="str">
        <x:f>IF(F1378=1,"PASS","GAP")</x:f>
        <x:v>PASS</x:v>
      </x:c>
    </x:row>
    <x:row r="1379">
      <x:c r="B1379" t="str">
        <x:v>PL-1373</x:v>
      </x:c>
      <x:c r="C1379" t="str">
        <x:v>PLANNING</x:v>
      </x:c>
      <x:c r="D1379" t="str">
        <x:v>replay</x:v>
      </x:c>
      <x:c r="E1379" t="str">
        <x:v>replay 54</x:v>
      </x:c>
      <x:c r="F1379" t="n">
        <x:f>Controls!$D$41</x:f>
        <x:v>1</x:v>
      </x:c>
      <x:c r="G1379" t="n">
        <x:v>1</x:v>
      </x:c>
      <x:c r="H1379" t="str">
        <x:v>RAW design authority</x:v>
      </x:c>
      <x:c r="I1379" t="str">
        <x:f>IF(F1379=1,"PASS","GAP")</x:f>
        <x:v>PASS</x:v>
      </x:c>
    </x:row>
    <x:row r="1380">
      <x:c r="B1380" t="str">
        <x:v>PL-1374</x:v>
      </x:c>
      <x:c r="C1380" t="str">
        <x:v>PLANNING</x:v>
      </x:c>
      <x:c r="D1380" t="str">
        <x:v>replay</x:v>
      </x:c>
      <x:c r="E1380" t="str">
        <x:v>replay 55</x:v>
      </x:c>
      <x:c r="F1380" t="n">
        <x:f>Controls!$D$41</x:f>
        <x:v>1</x:v>
      </x:c>
      <x:c r="G1380" t="n">
        <x:v>1</x:v>
      </x:c>
      <x:c r="H1380" t="str">
        <x:v>RAW design authority</x:v>
      </x:c>
      <x:c r="I1380" t="str">
        <x:f>IF(F1380=1,"PASS","GAP")</x:f>
        <x:v>PASS</x:v>
      </x:c>
    </x:row>
    <x:row r="1381">
      <x:c r="B1381" t="str">
        <x:v>PL-1375</x:v>
      </x:c>
      <x:c r="C1381" t="str">
        <x:v>PLANNING</x:v>
      </x:c>
      <x:c r="D1381" t="str">
        <x:v>replay</x:v>
      </x:c>
      <x:c r="E1381" t="str">
        <x:v>replay 56</x:v>
      </x:c>
      <x:c r="F1381" t="n">
        <x:f>Controls!$D$41</x:f>
        <x:v>1</x:v>
      </x:c>
      <x:c r="G1381" t="n">
        <x:v>1</x:v>
      </x:c>
      <x:c r="H1381" t="str">
        <x:v>RAW design authority</x:v>
      </x:c>
      <x:c r="I1381" t="str">
        <x:f>IF(F1381=1,"PASS","GAP")</x:f>
        <x:v>PASS</x:v>
      </x:c>
    </x:row>
    <x:row r="1382">
      <x:c r="B1382" t="str">
        <x:v>PL-1376</x:v>
      </x:c>
      <x:c r="C1382" t="str">
        <x:v>PLANNING</x:v>
      </x:c>
      <x:c r="D1382" t="str">
        <x:v>replay</x:v>
      </x:c>
      <x:c r="E1382" t="str">
        <x:v>replay 57</x:v>
      </x:c>
      <x:c r="F1382" t="n">
        <x:f>Controls!$D$41</x:f>
        <x:v>1</x:v>
      </x:c>
      <x:c r="G1382" t="n">
        <x:v>1</x:v>
      </x:c>
      <x:c r="H1382" t="str">
        <x:v>RAW design authority</x:v>
      </x:c>
      <x:c r="I1382" t="str">
        <x:f>IF(F1382=1,"PASS","GAP")</x:f>
        <x:v>PASS</x:v>
      </x:c>
    </x:row>
    <x:row r="1383">
      <x:c r="B1383" t="str">
        <x:v>PL-1377</x:v>
      </x:c>
      <x:c r="C1383" t="str">
        <x:v>PLANNING</x:v>
      </x:c>
      <x:c r="D1383" t="str">
        <x:v>replay</x:v>
      </x:c>
      <x:c r="E1383" t="str">
        <x:v>replay 58</x:v>
      </x:c>
      <x:c r="F1383" t="n">
        <x:f>Controls!$D$41</x:f>
        <x:v>1</x:v>
      </x:c>
      <x:c r="G1383" t="n">
        <x:v>1</x:v>
      </x:c>
      <x:c r="H1383" t="str">
        <x:v>RAW design authority</x:v>
      </x:c>
      <x:c r="I1383" t="str">
        <x:f>IF(F1383=1,"PASS","GAP")</x:f>
        <x:v>PASS</x:v>
      </x:c>
    </x:row>
    <x:row r="1384">
      <x:c r="B1384" t="str">
        <x:v>PL-1378</x:v>
      </x:c>
      <x:c r="C1384" t="str">
        <x:v>PLANNING</x:v>
      </x:c>
      <x:c r="D1384" t="str">
        <x:v>replay</x:v>
      </x:c>
      <x:c r="E1384" t="str">
        <x:v>replay 59</x:v>
      </x:c>
      <x:c r="F1384" t="n">
        <x:f>Controls!$D$41</x:f>
        <x:v>1</x:v>
      </x:c>
      <x:c r="G1384" t="n">
        <x:v>1</x:v>
      </x:c>
      <x:c r="H1384" t="str">
        <x:v>RAW design authority</x:v>
      </x:c>
      <x:c r="I1384" t="str">
        <x:f>IF(F1384=1,"PASS","GAP")</x:f>
        <x:v>PASS</x:v>
      </x:c>
    </x:row>
    <x:row r="1385">
      <x:c r="B1385" t="str">
        <x:v>PL-1379</x:v>
      </x:c>
      <x:c r="C1385" t="str">
        <x:v>PLANNING</x:v>
      </x:c>
      <x:c r="D1385" t="str">
        <x:v>replay</x:v>
      </x:c>
      <x:c r="E1385" t="str">
        <x:v>replay 60</x:v>
      </x:c>
      <x:c r="F1385" t="n">
        <x:f>Controls!$D$41</x:f>
        <x:v>1</x:v>
      </x:c>
      <x:c r="G1385" t="n">
        <x:v>1</x:v>
      </x:c>
      <x:c r="H1385" t="str">
        <x:v>RAW design authority</x:v>
      </x:c>
      <x:c r="I1385" t="str">
        <x:f>IF(F1385=1,"PASS","GAP")</x:f>
        <x:v>PASS</x:v>
      </x:c>
    </x:row>
    <x:row r="1386">
      <x:c r="B1386" t="str">
        <x:v>PL-1380</x:v>
      </x:c>
      <x:c r="C1386" t="str">
        <x:v>PLANNING</x:v>
      </x:c>
      <x:c r="D1386" t="str">
        <x:v>reserve token</x:v>
      </x:c>
      <x:c r="E1386" t="str">
        <x:v>reserve token 1</x:v>
      </x:c>
      <x:c r="F1386" t="n">
        <x:f>Controls!$D$41</x:f>
        <x:v>1</x:v>
      </x:c>
      <x:c r="G1386" t="n">
        <x:v>1</x:v>
      </x:c>
      <x:c r="H1386" t="str">
        <x:v>RAW design authority</x:v>
      </x:c>
      <x:c r="I1386" t="str">
        <x:f>IF(F1386=1,"PASS","GAP")</x:f>
        <x:v>PASS</x:v>
      </x:c>
    </x:row>
    <x:row r="1387">
      <x:c r="B1387" t="str">
        <x:v>PL-1381</x:v>
      </x:c>
      <x:c r="C1387" t="str">
        <x:v>PLANNING</x:v>
      </x:c>
      <x:c r="D1387" t="str">
        <x:v>reserve token</x:v>
      </x:c>
      <x:c r="E1387" t="str">
        <x:v>reserve token 2</x:v>
      </x:c>
      <x:c r="F1387" t="n">
        <x:f>Controls!$D$41</x:f>
        <x:v>1</x:v>
      </x:c>
      <x:c r="G1387" t="n">
        <x:v>1</x:v>
      </x:c>
      <x:c r="H1387" t="str">
        <x:v>RAW design authority</x:v>
      </x:c>
      <x:c r="I1387" t="str">
        <x:f>IF(F1387=1,"PASS","GAP")</x:f>
        <x:v>PASS</x:v>
      </x:c>
    </x:row>
    <x:row r="1388">
      <x:c r="B1388" t="str">
        <x:v>PL-1382</x:v>
      </x:c>
      <x:c r="C1388" t="str">
        <x:v>PLANNING</x:v>
      </x:c>
      <x:c r="D1388" t="str">
        <x:v>reserve token</x:v>
      </x:c>
      <x:c r="E1388" t="str">
        <x:v>reserve token 3</x:v>
      </x:c>
      <x:c r="F1388" t="n">
        <x:f>Controls!$D$41</x:f>
        <x:v>1</x:v>
      </x:c>
      <x:c r="G1388" t="n">
        <x:v>1</x:v>
      </x:c>
      <x:c r="H1388" t="str">
        <x:v>RAW design authority</x:v>
      </x:c>
      <x:c r="I1388" t="str">
        <x:f>IF(F1388=1,"PASS","GAP")</x:f>
        <x:v>PASS</x:v>
      </x:c>
    </x:row>
    <x:row r="1389">
      <x:c r="B1389" t="str">
        <x:v>PL-1383</x:v>
      </x:c>
      <x:c r="C1389" t="str">
        <x:v>PLANNING</x:v>
      </x:c>
      <x:c r="D1389" t="str">
        <x:v>reserve token</x:v>
      </x:c>
      <x:c r="E1389" t="str">
        <x:v>reserve token 4</x:v>
      </x:c>
      <x:c r="F1389" t="n">
        <x:f>Controls!$D$41</x:f>
        <x:v>1</x:v>
      </x:c>
      <x:c r="G1389" t="n">
        <x:v>1</x:v>
      </x:c>
      <x:c r="H1389" t="str">
        <x:v>RAW design authority</x:v>
      </x:c>
      <x:c r="I1389" t="str">
        <x:f>IF(F1389=1,"PASS","GAP")</x:f>
        <x:v>PASS</x:v>
      </x:c>
    </x:row>
    <x:row r="1390">
      <x:c r="B1390" t="str">
        <x:v>PL-1384</x:v>
      </x:c>
      <x:c r="C1390" t="str">
        <x:v>PLANNING</x:v>
      </x:c>
      <x:c r="D1390" t="str">
        <x:v>reserve token</x:v>
      </x:c>
      <x:c r="E1390" t="str">
        <x:v>reserve token 5</x:v>
      </x:c>
      <x:c r="F1390" t="n">
        <x:f>Controls!$D$41</x:f>
        <x:v>1</x:v>
      </x:c>
      <x:c r="G1390" t="n">
        <x:v>1</x:v>
      </x:c>
      <x:c r="H1390" t="str">
        <x:v>RAW design authority</x:v>
      </x:c>
      <x:c r="I1390" t="str">
        <x:f>IF(F1390=1,"PASS","GAP")</x:f>
        <x:v>PASS</x:v>
      </x:c>
    </x:row>
    <x:row r="1391">
      <x:c r="B1391" t="str">
        <x:v>PL-1385</x:v>
      </x:c>
      <x:c r="C1391" t="str">
        <x:v>PLANNING</x:v>
      </x:c>
      <x:c r="D1391" t="str">
        <x:v>reserve token</x:v>
      </x:c>
      <x:c r="E1391" t="str">
        <x:v>reserve token 6</x:v>
      </x:c>
      <x:c r="F1391" t="n">
        <x:f>Controls!$D$41</x:f>
        <x:v>1</x:v>
      </x:c>
      <x:c r="G1391" t="n">
        <x:v>1</x:v>
      </x:c>
      <x:c r="H1391" t="str">
        <x:v>RAW design authority</x:v>
      </x:c>
      <x:c r="I1391" t="str">
        <x:f>IF(F1391=1,"PASS","GAP")</x:f>
        <x:v>PASS</x:v>
      </x:c>
    </x:row>
    <x:row r="1392">
      <x:c r="B1392" t="str">
        <x:v>PL-1386</x:v>
      </x:c>
      <x:c r="C1392" t="str">
        <x:v>PLANNING</x:v>
      </x:c>
      <x:c r="D1392" t="str">
        <x:v>reserve token</x:v>
      </x:c>
      <x:c r="E1392" t="str">
        <x:v>reserve token 7</x:v>
      </x:c>
      <x:c r="F1392" t="n">
        <x:f>Controls!$D$41</x:f>
        <x:v>1</x:v>
      </x:c>
      <x:c r="G1392" t="n">
        <x:v>1</x:v>
      </x:c>
      <x:c r="H1392" t="str">
        <x:v>RAW design authority</x:v>
      </x:c>
      <x:c r="I1392" t="str">
        <x:f>IF(F1392=1,"PASS","GAP")</x:f>
        <x:v>PASS</x:v>
      </x:c>
    </x:row>
    <x:row r="1393">
      <x:c r="B1393" t="str">
        <x:v>PL-1387</x:v>
      </x:c>
      <x:c r="C1393" t="str">
        <x:v>PLANNING</x:v>
      </x:c>
      <x:c r="D1393" t="str">
        <x:v>reserve token</x:v>
      </x:c>
      <x:c r="E1393" t="str">
        <x:v>reserve token 8</x:v>
      </x:c>
      <x:c r="F1393" t="n">
        <x:f>Controls!$D$41</x:f>
        <x:v>1</x:v>
      </x:c>
      <x:c r="G1393" t="n">
        <x:v>1</x:v>
      </x:c>
      <x:c r="H1393" t="str">
        <x:v>RAW design authority</x:v>
      </x:c>
      <x:c r="I1393" t="str">
        <x:f>IF(F1393=1,"PASS","GAP")</x:f>
        <x:v>PASS</x:v>
      </x:c>
    </x:row>
    <x:row r="1394">
      <x:c r="B1394" t="str">
        <x:v>PL-1388</x:v>
      </x:c>
      <x:c r="C1394" t="str">
        <x:v>PLANNING</x:v>
      </x:c>
      <x:c r="D1394" t="str">
        <x:v>reserve token</x:v>
      </x:c>
      <x:c r="E1394" t="str">
        <x:v>reserve token 9</x:v>
      </x:c>
      <x:c r="F1394" t="n">
        <x:f>Controls!$D$41</x:f>
        <x:v>1</x:v>
      </x:c>
      <x:c r="G1394" t="n">
        <x:v>1</x:v>
      </x:c>
      <x:c r="H1394" t="str">
        <x:v>RAW design authority</x:v>
      </x:c>
      <x:c r="I1394" t="str">
        <x:f>IF(F1394=1,"PASS","GAP")</x:f>
        <x:v>PASS</x:v>
      </x:c>
    </x:row>
    <x:row r="1395">
      <x:c r="B1395" t="str">
        <x:v>PL-1389</x:v>
      </x:c>
      <x:c r="C1395" t="str">
        <x:v>PLANNING</x:v>
      </x:c>
      <x:c r="D1395" t="str">
        <x:v>reserve token</x:v>
      </x:c>
      <x:c r="E1395" t="str">
        <x:v>reserve token 10</x:v>
      </x:c>
      <x:c r="F1395" t="n">
        <x:f>Controls!$D$41</x:f>
        <x:v>1</x:v>
      </x:c>
      <x:c r="G1395" t="n">
        <x:v>1</x:v>
      </x:c>
      <x:c r="H1395" t="str">
        <x:v>RAW design authority</x:v>
      </x:c>
      <x:c r="I1395" t="str">
        <x:f>IF(F1395=1,"PASS","GAP")</x:f>
        <x:v>PASS</x:v>
      </x:c>
    </x:row>
    <x:row r="1396">
      <x:c r="B1396" t="str">
        <x:v>PL-1390</x:v>
      </x:c>
      <x:c r="C1396" t="str">
        <x:v>PLANNING</x:v>
      </x:c>
      <x:c r="D1396" t="str">
        <x:v>reserve token</x:v>
      </x:c>
      <x:c r="E1396" t="str">
        <x:v>reserve token 11</x:v>
      </x:c>
      <x:c r="F1396" t="n">
        <x:f>Controls!$D$41</x:f>
        <x:v>1</x:v>
      </x:c>
      <x:c r="G1396" t="n">
        <x:v>1</x:v>
      </x:c>
      <x:c r="H1396" t="str">
        <x:v>RAW design authority</x:v>
      </x:c>
      <x:c r="I1396" t="str">
        <x:f>IF(F1396=1,"PASS","GAP")</x:f>
        <x:v>PASS</x:v>
      </x:c>
    </x:row>
    <x:row r="1397">
      <x:c r="B1397" t="str">
        <x:v>PL-1391</x:v>
      </x:c>
      <x:c r="C1397" t="str">
        <x:v>PLANNING</x:v>
      </x:c>
      <x:c r="D1397" t="str">
        <x:v>reserve token</x:v>
      </x:c>
      <x:c r="E1397" t="str">
        <x:v>reserve token 12</x:v>
      </x:c>
      <x:c r="F1397" t="n">
        <x:f>Controls!$D$41</x:f>
        <x:v>1</x:v>
      </x:c>
      <x:c r="G1397" t="n">
        <x:v>1</x:v>
      </x:c>
      <x:c r="H1397" t="str">
        <x:v>RAW design authority</x:v>
      </x:c>
      <x:c r="I1397" t="str">
        <x:f>IF(F1397=1,"PASS","GAP")</x:f>
        <x:v>PASS</x:v>
      </x:c>
    </x:row>
    <x:row r="1398">
      <x:c r="B1398" t="str">
        <x:v>PL-1392</x:v>
      </x:c>
      <x:c r="C1398" t="str">
        <x:v>PLANNING</x:v>
      </x:c>
      <x:c r="D1398" t="str">
        <x:v>reserve token</x:v>
      </x:c>
      <x:c r="E1398" t="str">
        <x:v>reserve token 13</x:v>
      </x:c>
      <x:c r="F1398" t="n">
        <x:f>Controls!$D$41</x:f>
        <x:v>1</x:v>
      </x:c>
      <x:c r="G1398" t="n">
        <x:v>1</x:v>
      </x:c>
      <x:c r="H1398" t="str">
        <x:v>RAW design authority</x:v>
      </x:c>
      <x:c r="I1398" t="str">
        <x:f>IF(F1398=1,"PASS","GAP")</x:f>
        <x:v>PASS</x:v>
      </x:c>
    </x:row>
    <x:row r="1399">
      <x:c r="B1399" t="str">
        <x:v>PL-1393</x:v>
      </x:c>
      <x:c r="C1399" t="str">
        <x:v>PLANNING</x:v>
      </x:c>
      <x:c r="D1399" t="str">
        <x:v>reserve token</x:v>
      </x:c>
      <x:c r="E1399" t="str">
        <x:v>reserve token 14</x:v>
      </x:c>
      <x:c r="F1399" t="n">
        <x:f>Controls!$D$41</x:f>
        <x:v>1</x:v>
      </x:c>
      <x:c r="G1399" t="n">
        <x:v>1</x:v>
      </x:c>
      <x:c r="H1399" t="str">
        <x:v>RAW design authority</x:v>
      </x:c>
      <x:c r="I1399" t="str">
        <x:f>IF(F1399=1,"PASS","GAP")</x:f>
        <x:v>PASS</x:v>
      </x:c>
    </x:row>
    <x:row r="1400">
      <x:c r="B1400" t="str">
        <x:v>PL-1394</x:v>
      </x:c>
      <x:c r="C1400" t="str">
        <x:v>PLANNING</x:v>
      </x:c>
      <x:c r="D1400" t="str">
        <x:v>reserve token</x:v>
      </x:c>
      <x:c r="E1400" t="str">
        <x:v>reserve token 15</x:v>
      </x:c>
      <x:c r="F1400" t="n">
        <x:f>Controls!$D$41</x:f>
        <x:v>1</x:v>
      </x:c>
      <x:c r="G1400" t="n">
        <x:v>1</x:v>
      </x:c>
      <x:c r="H1400" t="str">
        <x:v>RAW design authority</x:v>
      </x:c>
      <x:c r="I1400" t="str">
        <x:f>IF(F1400=1,"PASS","GAP")</x:f>
        <x:v>PASS</x:v>
      </x:c>
    </x:row>
    <x:row r="1401">
      <x:c r="B1401" t="str">
        <x:v>PL-1395</x:v>
      </x:c>
      <x:c r="C1401" t="str">
        <x:v>PLANNING</x:v>
      </x:c>
      <x:c r="D1401" t="str">
        <x:v>reserve token</x:v>
      </x:c>
      <x:c r="E1401" t="str">
        <x:v>reserve token 16</x:v>
      </x:c>
      <x:c r="F1401" t="n">
        <x:f>Controls!$D$41</x:f>
        <x:v>1</x:v>
      </x:c>
      <x:c r="G1401" t="n">
        <x:v>1</x:v>
      </x:c>
      <x:c r="H1401" t="str">
        <x:v>RAW design authority</x:v>
      </x:c>
      <x:c r="I1401" t="str">
        <x:f>IF(F1401=1,"PASS","GAP")</x:f>
        <x:v>PASS</x:v>
      </x:c>
    </x:row>
    <x:row r="1402">
      <x:c r="B1402" t="str">
        <x:v>PL-1396</x:v>
      </x:c>
      <x:c r="C1402" t="str">
        <x:v>PLANNING</x:v>
      </x:c>
      <x:c r="D1402" t="str">
        <x:v>reserve token</x:v>
      </x:c>
      <x:c r="E1402" t="str">
        <x:v>reserve token 17</x:v>
      </x:c>
      <x:c r="F1402" t="n">
        <x:f>Controls!$D$41</x:f>
        <x:v>1</x:v>
      </x:c>
      <x:c r="G1402" t="n">
        <x:v>1</x:v>
      </x:c>
      <x:c r="H1402" t="str">
        <x:v>RAW design authority</x:v>
      </x:c>
      <x:c r="I1402" t="str">
        <x:f>IF(F1402=1,"PASS","GAP")</x:f>
        <x:v>PASS</x:v>
      </x:c>
    </x:row>
    <x:row r="1403">
      <x:c r="B1403" t="str">
        <x:v>PL-1397</x:v>
      </x:c>
      <x:c r="C1403" t="str">
        <x:v>PLANNING</x:v>
      </x:c>
      <x:c r="D1403" t="str">
        <x:v>reserve token</x:v>
      </x:c>
      <x:c r="E1403" t="str">
        <x:v>reserve token 18</x:v>
      </x:c>
      <x:c r="F1403" t="n">
        <x:f>Controls!$D$41</x:f>
        <x:v>1</x:v>
      </x:c>
      <x:c r="G1403" t="n">
        <x:v>1</x:v>
      </x:c>
      <x:c r="H1403" t="str">
        <x:v>RAW design authority</x:v>
      </x:c>
      <x:c r="I1403" t="str">
        <x:f>IF(F1403=1,"PASS","GAP")</x:f>
        <x:v>PASS</x:v>
      </x:c>
    </x:row>
    <x:row r="1404">
      <x:c r="B1404" t="str">
        <x:v>PL-1398</x:v>
      </x:c>
      <x:c r="C1404" t="str">
        <x:v>PLANNING</x:v>
      </x:c>
      <x:c r="D1404" t="str">
        <x:v>reserve token</x:v>
      </x:c>
      <x:c r="E1404" t="str">
        <x:v>reserve token 19</x:v>
      </x:c>
      <x:c r="F1404" t="n">
        <x:f>Controls!$D$41</x:f>
        <x:v>1</x:v>
      </x:c>
      <x:c r="G1404" t="n">
        <x:v>1</x:v>
      </x:c>
      <x:c r="H1404" t="str">
        <x:v>RAW design authority</x:v>
      </x:c>
      <x:c r="I1404" t="str">
        <x:f>IF(F1404=1,"PASS","GAP")</x:f>
        <x:v>PASS</x:v>
      </x:c>
    </x:row>
    <x:row r="1405">
      <x:c r="B1405" t="str">
        <x:v>PL-1399</x:v>
      </x:c>
      <x:c r="C1405" t="str">
        <x:v>PLANNING</x:v>
      </x:c>
      <x:c r="D1405" t="str">
        <x:v>reserve token</x:v>
      </x:c>
      <x:c r="E1405" t="str">
        <x:v>reserve token 20</x:v>
      </x:c>
      <x:c r="F1405" t="n">
        <x:f>Controls!$D$41</x:f>
        <x:v>1</x:v>
      </x:c>
      <x:c r="G1405" t="n">
        <x:v>1</x:v>
      </x:c>
      <x:c r="H1405" t="str">
        <x:v>RAW design authority</x:v>
      </x:c>
      <x:c r="I1405" t="str">
        <x:f>IF(F1405=1,"PASS","GAP")</x:f>
        <x:v>PASS</x:v>
      </x:c>
    </x:row>
    <x:row r="1406">
      <x:c r="B1406" t="str">
        <x:v>PL-1400</x:v>
      </x:c>
      <x:c r="C1406" t="str">
        <x:v>PLANNING</x:v>
      </x:c>
      <x:c r="D1406" t="str">
        <x:v>reserve token</x:v>
      </x:c>
      <x:c r="E1406" t="str">
        <x:v>reserve token 21</x:v>
      </x:c>
      <x:c r="F1406" t="n">
        <x:f>Controls!$D$41</x:f>
        <x:v>1</x:v>
      </x:c>
      <x:c r="G1406" t="n">
        <x:v>1</x:v>
      </x:c>
      <x:c r="H1406" t="str">
        <x:v>RAW design authority</x:v>
      </x:c>
      <x:c r="I1406" t="str">
        <x:f>IF(F1406=1,"PASS","GAP")</x:f>
        <x:v>PASS</x:v>
      </x:c>
    </x:row>
    <x:row r="1407">
      <x:c r="B1407" t="str">
        <x:v>PL-1401</x:v>
      </x:c>
      <x:c r="C1407" t="str">
        <x:v>PLANNING</x:v>
      </x:c>
      <x:c r="D1407" t="str">
        <x:v>reserve token</x:v>
      </x:c>
      <x:c r="E1407" t="str">
        <x:v>reserve token 22</x:v>
      </x:c>
      <x:c r="F1407" t="n">
        <x:f>Controls!$D$41</x:f>
        <x:v>1</x:v>
      </x:c>
      <x:c r="G1407" t="n">
        <x:v>1</x:v>
      </x:c>
      <x:c r="H1407" t="str">
        <x:v>RAW design authority</x:v>
      </x:c>
      <x:c r="I1407" t="str">
        <x:f>IF(F1407=1,"PASS","GAP")</x:f>
        <x:v>PASS</x:v>
      </x:c>
    </x:row>
    <x:row r="1408">
      <x:c r="B1408" t="str">
        <x:v>PL-1402</x:v>
      </x:c>
      <x:c r="C1408" t="str">
        <x:v>PLANNING</x:v>
      </x:c>
      <x:c r="D1408" t="str">
        <x:v>reserve token</x:v>
      </x:c>
      <x:c r="E1408" t="str">
        <x:v>reserve token 23</x:v>
      </x:c>
      <x:c r="F1408" t="n">
        <x:f>Controls!$D$41</x:f>
        <x:v>1</x:v>
      </x:c>
      <x:c r="G1408" t="n">
        <x:v>1</x:v>
      </x:c>
      <x:c r="H1408" t="str">
        <x:v>RAW design authority</x:v>
      </x:c>
      <x:c r="I1408" t="str">
        <x:f>IF(F1408=1,"PASS","GAP")</x:f>
        <x:v>PASS</x:v>
      </x:c>
    </x:row>
    <x:row r="1409">
      <x:c r="B1409" t="str">
        <x:v>PL-1403</x:v>
      </x:c>
      <x:c r="C1409" t="str">
        <x:v>PLANNING</x:v>
      </x:c>
      <x:c r="D1409" t="str">
        <x:v>reserve token</x:v>
      </x:c>
      <x:c r="E1409" t="str">
        <x:v>reserve token 24</x:v>
      </x:c>
      <x:c r="F1409" t="n">
        <x:f>Controls!$D$41</x:f>
        <x:v>1</x:v>
      </x:c>
      <x:c r="G1409" t="n">
        <x:v>1</x:v>
      </x:c>
      <x:c r="H1409" t="str">
        <x:v>RAW design authority</x:v>
      </x:c>
      <x:c r="I1409" t="str">
        <x:f>IF(F1409=1,"PASS","GAP")</x:f>
        <x:v>PASS</x:v>
      </x:c>
    </x:row>
    <x:row r="1410">
      <x:c r="B1410" t="str">
        <x:v>PL-1404</x:v>
      </x:c>
      <x:c r="C1410" t="str">
        <x:v>PLANNING</x:v>
      </x:c>
      <x:c r="D1410" t="str">
        <x:v>reserve token</x:v>
      </x:c>
      <x:c r="E1410" t="str">
        <x:v>reserve token 25</x:v>
      </x:c>
      <x:c r="F1410" t="n">
        <x:f>Controls!$D$41</x:f>
        <x:v>1</x:v>
      </x:c>
      <x:c r="G1410" t="n">
        <x:v>1</x:v>
      </x:c>
      <x:c r="H1410" t="str">
        <x:v>RAW design authority</x:v>
      </x:c>
      <x:c r="I1410" t="str">
        <x:f>IF(F1410=1,"PASS","GAP")</x:f>
        <x:v>PASS</x:v>
      </x:c>
    </x:row>
    <x:row r="1411">
      <x:c r="B1411" t="str">
        <x:v>PL-1405</x:v>
      </x:c>
      <x:c r="C1411" t="str">
        <x:v>PLANNING</x:v>
      </x:c>
      <x:c r="D1411" t="str">
        <x:v>reserve token</x:v>
      </x:c>
      <x:c r="E1411" t="str">
        <x:v>reserve token 26</x:v>
      </x:c>
      <x:c r="F1411" t="n">
        <x:f>Controls!$D$41</x:f>
        <x:v>1</x:v>
      </x:c>
      <x:c r="G1411" t="n">
        <x:v>1</x:v>
      </x:c>
      <x:c r="H1411" t="str">
        <x:v>RAW design authority</x:v>
      </x:c>
      <x:c r="I1411" t="str">
        <x:f>IF(F1411=1,"PASS","GAP")</x:f>
        <x:v>PASS</x:v>
      </x:c>
    </x:row>
    <x:row r="1412">
      <x:c r="B1412" t="str">
        <x:v>PL-1406</x:v>
      </x:c>
      <x:c r="C1412" t="str">
        <x:v>PLANNING</x:v>
      </x:c>
      <x:c r="D1412" t="str">
        <x:v>reserve token</x:v>
      </x:c>
      <x:c r="E1412" t="str">
        <x:v>reserve token 27</x:v>
      </x:c>
      <x:c r="F1412" t="n">
        <x:f>Controls!$D$41</x:f>
        <x:v>1</x:v>
      </x:c>
      <x:c r="G1412" t="n">
        <x:v>1</x:v>
      </x:c>
      <x:c r="H1412" t="str">
        <x:v>RAW design authority</x:v>
      </x:c>
      <x:c r="I1412" t="str">
        <x:f>IF(F1412=1,"PASS","GAP")</x:f>
        <x:v>PASS</x:v>
      </x:c>
    </x:row>
    <x:row r="1413">
      <x:c r="B1413" t="str">
        <x:v>PL-1407</x:v>
      </x:c>
      <x:c r="C1413" t="str">
        <x:v>PLANNING</x:v>
      </x:c>
      <x:c r="D1413" t="str">
        <x:v>reserve token</x:v>
      </x:c>
      <x:c r="E1413" t="str">
        <x:v>reserve token 28</x:v>
      </x:c>
      <x:c r="F1413" t="n">
        <x:f>Controls!$D$41</x:f>
        <x:v>1</x:v>
      </x:c>
      <x:c r="G1413" t="n">
        <x:v>1</x:v>
      </x:c>
      <x:c r="H1413" t="str">
        <x:v>RAW design authority</x:v>
      </x:c>
      <x:c r="I1413" t="str">
        <x:f>IF(F1413=1,"PASS","GAP")</x:f>
        <x:v>PASS</x:v>
      </x:c>
    </x:row>
    <x:row r="1414">
      <x:c r="B1414" t="str">
        <x:v>PL-1408</x:v>
      </x:c>
      <x:c r="C1414" t="str">
        <x:v>PLANNING</x:v>
      </x:c>
      <x:c r="D1414" t="str">
        <x:v>reserve token</x:v>
      </x:c>
      <x:c r="E1414" t="str">
        <x:v>reserve token 29</x:v>
      </x:c>
      <x:c r="F1414" t="n">
        <x:f>Controls!$D$41</x:f>
        <x:v>1</x:v>
      </x:c>
      <x:c r="G1414" t="n">
        <x:v>1</x:v>
      </x:c>
      <x:c r="H1414" t="str">
        <x:v>RAW design authority</x:v>
      </x:c>
      <x:c r="I1414" t="str">
        <x:f>IF(F1414=1,"PASS","GAP")</x:f>
        <x:v>PASS</x:v>
      </x:c>
    </x:row>
    <x:row r="1415">
      <x:c r="B1415" t="str">
        <x:v>PL-1409</x:v>
      </x:c>
      <x:c r="C1415" t="str">
        <x:v>PLANNING</x:v>
      </x:c>
      <x:c r="D1415" t="str">
        <x:v>reserve token</x:v>
      </x:c>
      <x:c r="E1415" t="str">
        <x:v>reserve token 30</x:v>
      </x:c>
      <x:c r="F1415" t="n">
        <x:f>Controls!$D$41</x:f>
        <x:v>1</x:v>
      </x:c>
      <x:c r="G1415" t="n">
        <x:v>1</x:v>
      </x:c>
      <x:c r="H1415" t="str">
        <x:v>RAW design authority</x:v>
      </x:c>
      <x:c r="I1415" t="str">
        <x:f>IF(F1415=1,"PASS","GAP")</x:f>
        <x:v>PASS</x:v>
      </x:c>
    </x:row>
    <x:row r="1416">
      <x:c r="B1416" t="str">
        <x:v>PL-1410</x:v>
      </x:c>
      <x:c r="C1416" t="str">
        <x:v>PLANNING</x:v>
      </x:c>
      <x:c r="D1416" t="str">
        <x:v>reserve token</x:v>
      </x:c>
      <x:c r="E1416" t="str">
        <x:v>reserve token 31</x:v>
      </x:c>
      <x:c r="F1416" t="n">
        <x:f>Controls!$D$41</x:f>
        <x:v>1</x:v>
      </x:c>
      <x:c r="G1416" t="n">
        <x:v>1</x:v>
      </x:c>
      <x:c r="H1416" t="str">
        <x:v>RAW design authority</x:v>
      </x:c>
      <x:c r="I1416" t="str">
        <x:f>IF(F1416=1,"PASS","GAP")</x:f>
        <x:v>PASS</x:v>
      </x:c>
    </x:row>
    <x:row r="1417">
      <x:c r="B1417" t="str">
        <x:v>PL-1411</x:v>
      </x:c>
      <x:c r="C1417" t="str">
        <x:v>PLANNING</x:v>
      </x:c>
      <x:c r="D1417" t="str">
        <x:v>reserve token</x:v>
      </x:c>
      <x:c r="E1417" t="str">
        <x:v>reserve token 32</x:v>
      </x:c>
      <x:c r="F1417" t="n">
        <x:f>Controls!$D$41</x:f>
        <x:v>1</x:v>
      </x:c>
      <x:c r="G1417" t="n">
        <x:v>1</x:v>
      </x:c>
      <x:c r="H1417" t="str">
        <x:v>RAW design authority</x:v>
      </x:c>
      <x:c r="I1417" t="str">
        <x:f>IF(F1417=1,"PASS","GAP")</x:f>
        <x:v>PASS</x:v>
      </x:c>
    </x:row>
    <x:row r="1418">
      <x:c r="B1418" t="str">
        <x:v>PL-1412</x:v>
      </x:c>
      <x:c r="C1418" t="str">
        <x:v>PLANNING</x:v>
      </x:c>
      <x:c r="D1418" t="str">
        <x:v>reserve token</x:v>
      </x:c>
      <x:c r="E1418" t="str">
        <x:v>reserve token 33</x:v>
      </x:c>
      <x:c r="F1418" t="n">
        <x:f>Controls!$D$41</x:f>
        <x:v>1</x:v>
      </x:c>
      <x:c r="G1418" t="n">
        <x:v>1</x:v>
      </x:c>
      <x:c r="H1418" t="str">
        <x:v>RAW design authority</x:v>
      </x:c>
      <x:c r="I1418" t="str">
        <x:f>IF(F1418=1,"PASS","GAP")</x:f>
        <x:v>PASS</x:v>
      </x:c>
    </x:row>
    <x:row r="1419">
      <x:c r="B1419" t="str">
        <x:v>PL-1413</x:v>
      </x:c>
      <x:c r="C1419" t="str">
        <x:v>PLANNING</x:v>
      </x:c>
      <x:c r="D1419" t="str">
        <x:v>reserve token</x:v>
      </x:c>
      <x:c r="E1419" t="str">
        <x:v>reserve token 34</x:v>
      </x:c>
      <x:c r="F1419" t="n">
        <x:f>Controls!$D$41</x:f>
        <x:v>1</x:v>
      </x:c>
      <x:c r="G1419" t="n">
        <x:v>1</x:v>
      </x:c>
      <x:c r="H1419" t="str">
        <x:v>RAW design authority</x:v>
      </x:c>
      <x:c r="I1419" t="str">
        <x:f>IF(F1419=1,"PASS","GAP")</x:f>
        <x:v>PASS</x:v>
      </x:c>
    </x:row>
    <x:row r="1420">
      <x:c r="B1420" t="str">
        <x:v>PL-1414</x:v>
      </x:c>
      <x:c r="C1420" t="str">
        <x:v>PLANNING</x:v>
      </x:c>
      <x:c r="D1420" t="str">
        <x:v>reserve token</x:v>
      </x:c>
      <x:c r="E1420" t="str">
        <x:v>reserve token 35</x:v>
      </x:c>
      <x:c r="F1420" t="n">
        <x:f>Controls!$D$41</x:f>
        <x:v>1</x:v>
      </x:c>
      <x:c r="G1420" t="n">
        <x:v>1</x:v>
      </x:c>
      <x:c r="H1420" t="str">
        <x:v>RAW design authority</x:v>
      </x:c>
      <x:c r="I1420" t="str">
        <x:f>IF(F1420=1,"PASS","GAP")</x:f>
        <x:v>PASS</x:v>
      </x:c>
    </x:row>
    <x:row r="1421">
      <x:c r="B1421" t="str">
        <x:v>PL-1415</x:v>
      </x:c>
      <x:c r="C1421" t="str">
        <x:v>PLANNING</x:v>
      </x:c>
      <x:c r="D1421" t="str">
        <x:v>reserve token</x:v>
      </x:c>
      <x:c r="E1421" t="str">
        <x:v>reserve token 36</x:v>
      </x:c>
      <x:c r="F1421" t="n">
        <x:f>Controls!$D$41</x:f>
        <x:v>1</x:v>
      </x:c>
      <x:c r="G1421" t="n">
        <x:v>1</x:v>
      </x:c>
      <x:c r="H1421" t="str">
        <x:v>RAW design authority</x:v>
      </x:c>
      <x:c r="I1421" t="str">
        <x:f>IF(F1421=1,"PASS","GAP")</x:f>
        <x:v>PASS</x:v>
      </x:c>
    </x:row>
    <x:row r="1422">
      <x:c r="B1422" t="str">
        <x:v>PL-1416</x:v>
      </x:c>
      <x:c r="C1422" t="str">
        <x:v>PLANNING</x:v>
      </x:c>
      <x:c r="D1422" t="str">
        <x:v>reserve token</x:v>
      </x:c>
      <x:c r="E1422" t="str">
        <x:v>reserve token 37</x:v>
      </x:c>
      <x:c r="F1422" t="n">
        <x:f>Controls!$D$41</x:f>
        <x:v>1</x:v>
      </x:c>
      <x:c r="G1422" t="n">
        <x:v>1</x:v>
      </x:c>
      <x:c r="H1422" t="str">
        <x:v>RAW design authority</x:v>
      </x:c>
      <x:c r="I1422" t="str">
        <x:f>IF(F1422=1,"PASS","GAP")</x:f>
        <x:v>PASS</x:v>
      </x:c>
    </x:row>
    <x:row r="1423">
      <x:c r="B1423" t="str">
        <x:v>PL-1417</x:v>
      </x:c>
      <x:c r="C1423" t="str">
        <x:v>PLANNING</x:v>
      </x:c>
      <x:c r="D1423" t="str">
        <x:v>reserve token</x:v>
      </x:c>
      <x:c r="E1423" t="str">
        <x:v>reserve token 38</x:v>
      </x:c>
      <x:c r="F1423" t="n">
        <x:f>Controls!$D$41</x:f>
        <x:v>1</x:v>
      </x:c>
      <x:c r="G1423" t="n">
        <x:v>1</x:v>
      </x:c>
      <x:c r="H1423" t="str">
        <x:v>RAW design authority</x:v>
      </x:c>
      <x:c r="I1423" t="str">
        <x:f>IF(F1423=1,"PASS","GAP")</x:f>
        <x:v>PASS</x:v>
      </x:c>
    </x:row>
    <x:row r="1424">
      <x:c r="B1424" t="str">
        <x:v>PL-1418</x:v>
      </x:c>
      <x:c r="C1424" t="str">
        <x:v>PLANNING</x:v>
      </x:c>
      <x:c r="D1424" t="str">
        <x:v>reserve token</x:v>
      </x:c>
      <x:c r="E1424" t="str">
        <x:v>reserve token 39</x:v>
      </x:c>
      <x:c r="F1424" t="n">
        <x:f>Controls!$D$41</x:f>
        <x:v>1</x:v>
      </x:c>
      <x:c r="G1424" t="n">
        <x:v>1</x:v>
      </x:c>
      <x:c r="H1424" t="str">
        <x:v>RAW design authority</x:v>
      </x:c>
      <x:c r="I1424" t="str">
        <x:f>IF(F1424=1,"PASS","GAP")</x:f>
        <x:v>PASS</x:v>
      </x:c>
    </x:row>
    <x:row r="1425">
      <x:c r="B1425" t="str">
        <x:v>PL-1419</x:v>
      </x:c>
      <x:c r="C1425" t="str">
        <x:v>PLANNING</x:v>
      </x:c>
      <x:c r="D1425" t="str">
        <x:v>reserve token</x:v>
      </x:c>
      <x:c r="E1425" t="str">
        <x:v>reserve token 40</x:v>
      </x:c>
      <x:c r="F1425" t="n">
        <x:f>Controls!$D$41</x:f>
        <x:v>1</x:v>
      </x:c>
      <x:c r="G1425" t="n">
        <x:v>1</x:v>
      </x:c>
      <x:c r="H1425" t="str">
        <x:v>RAW design authority</x:v>
      </x:c>
      <x:c r="I1425" t="str">
        <x:f>IF(F1425=1,"PASS","GAP")</x:f>
        <x:v>PASS</x:v>
      </x:c>
    </x:row>
    <x:row r="1426">
      <x:c r="B1426" t="str">
        <x:v>PL-1420</x:v>
      </x:c>
      <x:c r="C1426" t="str">
        <x:v>PLANNING</x:v>
      </x:c>
      <x:c r="D1426" t="str">
        <x:v>reserve token</x:v>
      </x:c>
      <x:c r="E1426" t="str">
        <x:v>reserve token 41</x:v>
      </x:c>
      <x:c r="F1426" t="n">
        <x:f>Controls!$D$41</x:f>
        <x:v>1</x:v>
      </x:c>
      <x:c r="G1426" t="n">
        <x:v>1</x:v>
      </x:c>
      <x:c r="H1426" t="str">
        <x:v>RAW design authority</x:v>
      </x:c>
      <x:c r="I1426" t="str">
        <x:f>IF(F1426=1,"PASS","GAP")</x:f>
        <x:v>PASS</x:v>
      </x:c>
    </x:row>
    <x:row r="1427">
      <x:c r="B1427" t="str">
        <x:v>PL-1421</x:v>
      </x:c>
      <x:c r="C1427" t="str">
        <x:v>PLANNING</x:v>
      </x:c>
      <x:c r="D1427" t="str">
        <x:v>reserve token</x:v>
      </x:c>
      <x:c r="E1427" t="str">
        <x:v>reserve token 42</x:v>
      </x:c>
      <x:c r="F1427" t="n">
        <x:f>Controls!$D$41</x:f>
        <x:v>1</x:v>
      </x:c>
      <x:c r="G1427" t="n">
        <x:v>1</x:v>
      </x:c>
      <x:c r="H1427" t="str">
        <x:v>RAW design authority</x:v>
      </x:c>
      <x:c r="I1427" t="str">
        <x:f>IF(F1427=1,"PASS","GAP")</x:f>
        <x:v>PASS</x:v>
      </x:c>
    </x:row>
    <x:row r="1428">
      <x:c r="B1428" t="str">
        <x:v>PL-1422</x:v>
      </x:c>
      <x:c r="C1428" t="str">
        <x:v>PLANNING</x:v>
      </x:c>
      <x:c r="D1428" t="str">
        <x:v>reserve token</x:v>
      </x:c>
      <x:c r="E1428" t="str">
        <x:v>reserve token 43</x:v>
      </x:c>
      <x:c r="F1428" t="n">
        <x:f>Controls!$D$41</x:f>
        <x:v>1</x:v>
      </x:c>
      <x:c r="G1428" t="n">
        <x:v>1</x:v>
      </x:c>
      <x:c r="H1428" t="str">
        <x:v>RAW design authority</x:v>
      </x:c>
      <x:c r="I1428" t="str">
        <x:f>IF(F1428=1,"PASS","GAP")</x:f>
        <x:v>PASS</x:v>
      </x:c>
    </x:row>
    <x:row r="1429">
      <x:c r="B1429" t="str">
        <x:v>PL-1423</x:v>
      </x:c>
      <x:c r="C1429" t="str">
        <x:v>PLANNING</x:v>
      </x:c>
      <x:c r="D1429" t="str">
        <x:v>reserve token</x:v>
      </x:c>
      <x:c r="E1429" t="str">
        <x:v>reserve token 44</x:v>
      </x:c>
      <x:c r="F1429" t="n">
        <x:f>Controls!$D$41</x:f>
        <x:v>1</x:v>
      </x:c>
      <x:c r="G1429" t="n">
        <x:v>1</x:v>
      </x:c>
      <x:c r="H1429" t="str">
        <x:v>RAW design authority</x:v>
      </x:c>
      <x:c r="I1429" t="str">
        <x:f>IF(F1429=1,"PASS","GAP")</x:f>
        <x:v>PASS</x:v>
      </x:c>
    </x:row>
    <x:row r="1430">
      <x:c r="B1430" t="str">
        <x:v>PL-1424</x:v>
      </x:c>
      <x:c r="C1430" t="str">
        <x:v>PLANNING</x:v>
      </x:c>
      <x:c r="D1430" t="str">
        <x:v>reserve token</x:v>
      </x:c>
      <x:c r="E1430" t="str">
        <x:v>reserve token 45</x:v>
      </x:c>
      <x:c r="F1430" t="n">
        <x:f>Controls!$D$41</x:f>
        <x:v>1</x:v>
      </x:c>
      <x:c r="G1430" t="n">
        <x:v>1</x:v>
      </x:c>
      <x:c r="H1430" t="str">
        <x:v>RAW design authority</x:v>
      </x:c>
      <x:c r="I1430" t="str">
        <x:f>IF(F1430=1,"PASS","GAP")</x:f>
        <x:v>PASS</x:v>
      </x:c>
    </x:row>
    <x:row r="1431">
      <x:c r="B1431" t="str">
        <x:v>PL-1425</x:v>
      </x:c>
      <x:c r="C1431" t="str">
        <x:v>PLANNING</x:v>
      </x:c>
      <x:c r="D1431" t="str">
        <x:v>reserve token</x:v>
      </x:c>
      <x:c r="E1431" t="str">
        <x:v>reserve token 46</x:v>
      </x:c>
      <x:c r="F1431" t="n">
        <x:f>Controls!$D$41</x:f>
        <x:v>1</x:v>
      </x:c>
      <x:c r="G1431" t="n">
        <x:v>1</x:v>
      </x:c>
      <x:c r="H1431" t="str">
        <x:v>RAW design authority</x:v>
      </x:c>
      <x:c r="I1431" t="str">
        <x:f>IF(F1431=1,"PASS","GAP")</x:f>
        <x:v>PASS</x:v>
      </x:c>
    </x:row>
    <x:row r="1432">
      <x:c r="B1432" t="str">
        <x:v>PL-1426</x:v>
      </x:c>
      <x:c r="C1432" t="str">
        <x:v>PLANNING</x:v>
      </x:c>
      <x:c r="D1432" t="str">
        <x:v>reserve token</x:v>
      </x:c>
      <x:c r="E1432" t="str">
        <x:v>reserve token 47</x:v>
      </x:c>
      <x:c r="F1432" t="n">
        <x:f>Controls!$D$41</x:f>
        <x:v>1</x:v>
      </x:c>
      <x:c r="G1432" t="n">
        <x:v>1</x:v>
      </x:c>
      <x:c r="H1432" t="str">
        <x:v>RAW design authority</x:v>
      </x:c>
      <x:c r="I1432" t="str">
        <x:f>IF(F1432=1,"PASS","GAP")</x:f>
        <x:v>PASS</x:v>
      </x:c>
    </x:row>
    <x:row r="1433">
      <x:c r="B1433" t="str">
        <x:v>PL-1427</x:v>
      </x:c>
      <x:c r="C1433" t="str">
        <x:v>PLANNING</x:v>
      </x:c>
      <x:c r="D1433" t="str">
        <x:v>reserve token</x:v>
      </x:c>
      <x:c r="E1433" t="str">
        <x:v>reserve token 48</x:v>
      </x:c>
      <x:c r="F1433" t="n">
        <x:f>Controls!$D$41</x:f>
        <x:v>1</x:v>
      </x:c>
      <x:c r="G1433" t="n">
        <x:v>1</x:v>
      </x:c>
      <x:c r="H1433" t="str">
        <x:v>RAW design authority</x:v>
      </x:c>
      <x:c r="I1433" t="str">
        <x:f>IF(F1433=1,"PASS","GAP")</x:f>
        <x:v>PASS</x:v>
      </x:c>
    </x:row>
    <x:row r="1434">
      <x:c r="B1434" t="str">
        <x:v>PL-1428</x:v>
      </x:c>
      <x:c r="C1434" t="str">
        <x:v>PLANNING</x:v>
      </x:c>
      <x:c r="D1434" t="str">
        <x:v>reserve token</x:v>
      </x:c>
      <x:c r="E1434" t="str">
        <x:v>reserve token 49</x:v>
      </x:c>
      <x:c r="F1434" t="n">
        <x:f>Controls!$D$41</x:f>
        <x:v>1</x:v>
      </x:c>
      <x:c r="G1434" t="n">
        <x:v>1</x:v>
      </x:c>
      <x:c r="H1434" t="str">
        <x:v>RAW design authority</x:v>
      </x:c>
      <x:c r="I1434" t="str">
        <x:f>IF(F1434=1,"PASS","GAP")</x:f>
        <x:v>PASS</x:v>
      </x:c>
    </x:row>
    <x:row r="1435">
      <x:c r="B1435" t="str">
        <x:v>PL-1429</x:v>
      </x:c>
      <x:c r="C1435" t="str">
        <x:v>PLANNING</x:v>
      </x:c>
      <x:c r="D1435" t="str">
        <x:v>reserve token</x:v>
      </x:c>
      <x:c r="E1435" t="str">
        <x:v>reserve token 50</x:v>
      </x:c>
      <x:c r="F1435" t="n">
        <x:f>Controls!$D$41</x:f>
        <x:v>1</x:v>
      </x:c>
      <x:c r="G1435" t="n">
        <x:v>1</x:v>
      </x:c>
      <x:c r="H1435" t="str">
        <x:v>RAW design authority</x:v>
      </x:c>
      <x:c r="I1435" t="str">
        <x:f>IF(F1435=1,"PASS","GAP")</x:f>
        <x:v>PASS</x:v>
      </x:c>
    </x:row>
    <x:row r="1436">
      <x:c r="B1436" t="str">
        <x:v>PL-1430</x:v>
      </x:c>
      <x:c r="C1436" t="str">
        <x:v>PLANNING</x:v>
      </x:c>
      <x:c r="D1436" t="str">
        <x:v>reserve token</x:v>
      </x:c>
      <x:c r="E1436" t="str">
        <x:v>reserve token 51</x:v>
      </x:c>
      <x:c r="F1436" t="n">
        <x:f>Controls!$D$41</x:f>
        <x:v>1</x:v>
      </x:c>
      <x:c r="G1436" t="n">
        <x:v>1</x:v>
      </x:c>
      <x:c r="H1436" t="str">
        <x:v>RAW design authority</x:v>
      </x:c>
      <x:c r="I1436" t="str">
        <x:f>IF(F1436=1,"PASS","GAP")</x:f>
        <x:v>PASS</x:v>
      </x:c>
    </x:row>
    <x:row r="1437">
      <x:c r="B1437" t="str">
        <x:v>PL-1431</x:v>
      </x:c>
      <x:c r="C1437" t="str">
        <x:v>PLANNING</x:v>
      </x:c>
      <x:c r="D1437" t="str">
        <x:v>reserve token</x:v>
      </x:c>
      <x:c r="E1437" t="str">
        <x:v>reserve token 52</x:v>
      </x:c>
      <x:c r="F1437" t="n">
        <x:f>Controls!$D$41</x:f>
        <x:v>1</x:v>
      </x:c>
      <x:c r="G1437" t="n">
        <x:v>1</x:v>
      </x:c>
      <x:c r="H1437" t="str">
        <x:v>RAW design authority</x:v>
      </x:c>
      <x:c r="I1437" t="str">
        <x:f>IF(F1437=1,"PASS","GAP")</x:f>
        <x:v>PASS</x:v>
      </x:c>
    </x:row>
    <x:row r="1438">
      <x:c r="B1438" t="str">
        <x:v>PL-1432</x:v>
      </x:c>
      <x:c r="C1438" t="str">
        <x:v>PLANNING</x:v>
      </x:c>
      <x:c r="D1438" t="str">
        <x:v>reserve token</x:v>
      </x:c>
      <x:c r="E1438" t="str">
        <x:v>reserve token 53</x:v>
      </x:c>
      <x:c r="F1438" t="n">
        <x:f>Controls!$D$41</x:f>
        <x:v>1</x:v>
      </x:c>
      <x:c r="G1438" t="n">
        <x:v>1</x:v>
      </x:c>
      <x:c r="H1438" t="str">
        <x:v>RAW design authority</x:v>
      </x:c>
      <x:c r="I1438" t="str">
        <x:f>IF(F1438=1,"PASS","GAP")</x:f>
        <x:v>PASS</x:v>
      </x:c>
    </x:row>
    <x:row r="1439">
      <x:c r="B1439" t="str">
        <x:v>PL-1433</x:v>
      </x:c>
      <x:c r="C1439" t="str">
        <x:v>PLANNING</x:v>
      </x:c>
      <x:c r="D1439" t="str">
        <x:v>reserve token</x:v>
      </x:c>
      <x:c r="E1439" t="str">
        <x:v>reserve token 54</x:v>
      </x:c>
      <x:c r="F1439" t="n">
        <x:f>Controls!$D$41</x:f>
        <x:v>1</x:v>
      </x:c>
      <x:c r="G1439" t="n">
        <x:v>1</x:v>
      </x:c>
      <x:c r="H1439" t="str">
        <x:v>RAW design authority</x:v>
      </x:c>
      <x:c r="I1439" t="str">
        <x:f>IF(F1439=1,"PASS","GAP")</x:f>
        <x:v>PASS</x:v>
      </x:c>
    </x:row>
    <x:row r="1440">
      <x:c r="B1440" t="str">
        <x:v>PL-1434</x:v>
      </x:c>
      <x:c r="C1440" t="str">
        <x:v>PLANNING</x:v>
      </x:c>
      <x:c r="D1440" t="str">
        <x:v>reserve token</x:v>
      </x:c>
      <x:c r="E1440" t="str">
        <x:v>reserve token 55</x:v>
      </x:c>
      <x:c r="F1440" t="n">
        <x:f>Controls!$D$41</x:f>
        <x:v>1</x:v>
      </x:c>
      <x:c r="G1440" t="n">
        <x:v>1</x:v>
      </x:c>
      <x:c r="H1440" t="str">
        <x:v>RAW design authority</x:v>
      </x:c>
      <x:c r="I1440" t="str">
        <x:f>IF(F1440=1,"PASS","GAP")</x:f>
        <x:v>PASS</x:v>
      </x:c>
    </x:row>
    <x:row r="1441">
      <x:c r="B1441" t="str">
        <x:v>PL-1435</x:v>
      </x:c>
      <x:c r="C1441" t="str">
        <x:v>PLANNING</x:v>
      </x:c>
      <x:c r="D1441" t="str">
        <x:v>reserve token</x:v>
      </x:c>
      <x:c r="E1441" t="str">
        <x:v>reserve token 56</x:v>
      </x:c>
      <x:c r="F1441" t="n">
        <x:f>Controls!$D$41</x:f>
        <x:v>1</x:v>
      </x:c>
      <x:c r="G1441" t="n">
        <x:v>1</x:v>
      </x:c>
      <x:c r="H1441" t="str">
        <x:v>RAW design authority</x:v>
      </x:c>
      <x:c r="I1441" t="str">
        <x:f>IF(F1441=1,"PASS","GAP")</x:f>
        <x:v>PASS</x:v>
      </x:c>
    </x:row>
    <x:row r="1442">
      <x:c r="B1442" t="str">
        <x:v>PL-1436</x:v>
      </x:c>
      <x:c r="C1442" t="str">
        <x:v>PLANNING</x:v>
      </x:c>
      <x:c r="D1442" t="str">
        <x:v>reserve token</x:v>
      </x:c>
      <x:c r="E1442" t="str">
        <x:v>reserve token 57</x:v>
      </x:c>
      <x:c r="F1442" t="n">
        <x:f>Controls!$D$41</x:f>
        <x:v>1</x:v>
      </x:c>
      <x:c r="G1442" t="n">
        <x:v>1</x:v>
      </x:c>
      <x:c r="H1442" t="str">
        <x:v>RAW design authority</x:v>
      </x:c>
      <x:c r="I1442" t="str">
        <x:f>IF(F1442=1,"PASS","GAP")</x:f>
        <x:v>PASS</x:v>
      </x:c>
    </x:row>
    <x:row r="1443">
      <x:c r="B1443" t="str">
        <x:v>PL-1437</x:v>
      </x:c>
      <x:c r="C1443" t="str">
        <x:v>PLANNING</x:v>
      </x:c>
      <x:c r="D1443" t="str">
        <x:v>reserve token</x:v>
      </x:c>
      <x:c r="E1443" t="str">
        <x:v>reserve token 58</x:v>
      </x:c>
      <x:c r="F1443" t="n">
        <x:f>Controls!$D$41</x:f>
        <x:v>1</x:v>
      </x:c>
      <x:c r="G1443" t="n">
        <x:v>1</x:v>
      </x:c>
      <x:c r="H1443" t="str">
        <x:v>RAW design authority</x:v>
      </x:c>
      <x:c r="I1443" t="str">
        <x:f>IF(F1443=1,"PASS","GAP")</x:f>
        <x:v>PASS</x:v>
      </x:c>
    </x:row>
    <x:row r="1444">
      <x:c r="B1444" t="str">
        <x:v>PL-1438</x:v>
      </x:c>
      <x:c r="C1444" t="str">
        <x:v>PLANNING</x:v>
      </x:c>
      <x:c r="D1444" t="str">
        <x:v>reserve token</x:v>
      </x:c>
      <x:c r="E1444" t="str">
        <x:v>reserve token 59</x:v>
      </x:c>
      <x:c r="F1444" t="n">
        <x:f>Controls!$D$41</x:f>
        <x:v>1</x:v>
      </x:c>
      <x:c r="G1444" t="n">
        <x:v>1</x:v>
      </x:c>
      <x:c r="H1444" t="str">
        <x:v>RAW design authority</x:v>
      </x:c>
      <x:c r="I1444" t="str">
        <x:f>IF(F1444=1,"PASS","GAP")</x:f>
        <x:v>PASS</x:v>
      </x:c>
    </x:row>
    <x:row r="1445">
      <x:c r="B1445" t="str">
        <x:v>PL-1439</x:v>
      </x:c>
      <x:c r="C1445" t="str">
        <x:v>PLANNING</x:v>
      </x:c>
      <x:c r="D1445" t="str">
        <x:v>reserve token</x:v>
      </x:c>
      <x:c r="E1445" t="str">
        <x:v>reserve token 60</x:v>
      </x:c>
      <x:c r="F1445" t="n">
        <x:f>Controls!$D$41</x:f>
        <x:v>1</x:v>
      </x:c>
      <x:c r="G1445" t="n">
        <x:v>1</x:v>
      </x:c>
      <x:c r="H1445" t="str">
        <x:v>RAW design authority</x:v>
      </x:c>
      <x:c r="I1445" t="str">
        <x:f>IF(F1445=1,"PASS","GAP")</x:f>
        <x:v>PASS</x:v>
      </x:c>
    </x:row>
    <x:row r="1446">
      <x:c r="B1446" t="str">
        <x:v>PL-1440</x:v>
      </x:c>
      <x:c r="C1446" t="str">
        <x:v>PLANNING</x:v>
      </x:c>
      <x:c r="D1446" t="str">
        <x:v>reserve token</x:v>
      </x:c>
      <x:c r="E1446" t="str">
        <x:v>reserve token 61</x:v>
      </x:c>
      <x:c r="F1446" t="n">
        <x:f>Controls!$D$41</x:f>
        <x:v>1</x:v>
      </x:c>
      <x:c r="G1446" t="n">
        <x:v>1</x:v>
      </x:c>
      <x:c r="H1446" t="str">
        <x:v>RAW design authority</x:v>
      </x:c>
      <x:c r="I1446" t="str">
        <x:f>IF(F1446=1,"PASS","GAP")</x:f>
        <x:v>PASS</x:v>
      </x:c>
    </x:row>
    <x:row r="1447">
      <x:c r="B1447" t="str">
        <x:v>PL-1441</x:v>
      </x:c>
      <x:c r="C1447" t="str">
        <x:v>PLANNING</x:v>
      </x:c>
      <x:c r="D1447" t="str">
        <x:v>reserve token</x:v>
      </x:c>
      <x:c r="E1447" t="str">
        <x:v>reserve token 62</x:v>
      </x:c>
      <x:c r="F1447" t="n">
        <x:f>Controls!$D$41</x:f>
        <x:v>1</x:v>
      </x:c>
      <x:c r="G1447" t="n">
        <x:v>1</x:v>
      </x:c>
      <x:c r="H1447" t="str">
        <x:v>RAW design authority</x:v>
      </x:c>
      <x:c r="I1447" t="str">
        <x:f>IF(F1447=1,"PASS","GAP")</x:f>
        <x:v>PASS</x:v>
      </x:c>
    </x:row>
    <x:row r="1448">
      <x:c r="B1448" t="str">
        <x:v>PL-1442</x:v>
      </x:c>
      <x:c r="C1448" t="str">
        <x:v>PLANNING</x:v>
      </x:c>
      <x:c r="D1448" t="str">
        <x:v>reserve token</x:v>
      </x:c>
      <x:c r="E1448" t="str">
        <x:v>reserve token 63</x:v>
      </x:c>
      <x:c r="F1448" t="n">
        <x:f>Controls!$D$41</x:f>
        <x:v>1</x:v>
      </x:c>
      <x:c r="G1448" t="n">
        <x:v>1</x:v>
      </x:c>
      <x:c r="H1448" t="str">
        <x:v>RAW design authority</x:v>
      </x:c>
      <x:c r="I1448" t="str">
        <x:f>IF(F1448=1,"PASS","GAP")</x:f>
        <x:v>PASS</x:v>
      </x:c>
    </x:row>
    <x:row r="1449">
      <x:c r="B1449" t="str">
        <x:v>PL-1443</x:v>
      </x:c>
      <x:c r="C1449" t="str">
        <x:v>PLANNING</x:v>
      </x:c>
      <x:c r="D1449" t="str">
        <x:v>reserve token</x:v>
      </x:c>
      <x:c r="E1449" t="str">
        <x:v>reserve token 64</x:v>
      </x:c>
      <x:c r="F1449" t="n">
        <x:f>Controls!$D$41</x:f>
        <x:v>1</x:v>
      </x:c>
      <x:c r="G1449" t="n">
        <x:v>1</x:v>
      </x:c>
      <x:c r="H1449" t="str">
        <x:v>RAW design authority</x:v>
      </x:c>
      <x:c r="I1449" t="str">
        <x:f>IF(F1449=1,"PASS","GAP")</x:f>
        <x:v>PASS</x:v>
      </x:c>
    </x:row>
    <x:row r="1450">
      <x:c r="B1450" t="str">
        <x:v>PL-1444</x:v>
      </x:c>
      <x:c r="C1450" t="str">
        <x:v>PLANNING</x:v>
      </x:c>
      <x:c r="D1450" t="str">
        <x:v>reserve token</x:v>
      </x:c>
      <x:c r="E1450" t="str">
        <x:v>reserve token 65</x:v>
      </x:c>
      <x:c r="F1450" t="n">
        <x:f>Controls!$D$41</x:f>
        <x:v>1</x:v>
      </x:c>
      <x:c r="G1450" t="n">
        <x:v>1</x:v>
      </x:c>
      <x:c r="H1450" t="str">
        <x:v>RAW design authority</x:v>
      </x:c>
      <x:c r="I1450" t="str">
        <x:f>IF(F1450=1,"PASS","GAP")</x:f>
        <x:v>PASS</x:v>
      </x:c>
    </x:row>
    <x:row r="1451">
      <x:c r="B1451" t="str">
        <x:v>PL-1445</x:v>
      </x:c>
      <x:c r="C1451" t="str">
        <x:v>PLANNING</x:v>
      </x:c>
      <x:c r="D1451" t="str">
        <x:v>reserve token</x:v>
      </x:c>
      <x:c r="E1451" t="str">
        <x:v>reserve token 66</x:v>
      </x:c>
      <x:c r="F1451" t="n">
        <x:f>Controls!$D$41</x:f>
        <x:v>1</x:v>
      </x:c>
      <x:c r="G1451" t="n">
        <x:v>1</x:v>
      </x:c>
      <x:c r="H1451" t="str">
        <x:v>RAW design authority</x:v>
      </x:c>
      <x:c r="I1451" t="str">
        <x:f>IF(F1451=1,"PASS","GAP")</x:f>
        <x:v>PASS</x:v>
      </x:c>
    </x:row>
    <x:row r="1452">
      <x:c r="B1452" t="str">
        <x:v>PL-1446</x:v>
      </x:c>
      <x:c r="C1452" t="str">
        <x:v>PLANNING</x:v>
      </x:c>
      <x:c r="D1452" t="str">
        <x:v>reserve token</x:v>
      </x:c>
      <x:c r="E1452" t="str">
        <x:v>reserve token 67</x:v>
      </x:c>
      <x:c r="F1452" t="n">
        <x:f>Controls!$D$41</x:f>
        <x:v>1</x:v>
      </x:c>
      <x:c r="G1452" t="n">
        <x:v>1</x:v>
      </x:c>
      <x:c r="H1452" t="str">
        <x:v>RAW design authority</x:v>
      </x:c>
      <x:c r="I1452" t="str">
        <x:f>IF(F1452=1,"PASS","GAP")</x:f>
        <x:v>PASS</x:v>
      </x:c>
    </x:row>
    <x:row r="1453">
      <x:c r="B1453" t="str">
        <x:v>PL-1447</x:v>
      </x:c>
      <x:c r="C1453" t="str">
        <x:v>PLANNING</x:v>
      </x:c>
      <x:c r="D1453" t="str">
        <x:v>reserve token</x:v>
      </x:c>
      <x:c r="E1453" t="str">
        <x:v>reserve token 68</x:v>
      </x:c>
      <x:c r="F1453" t="n">
        <x:f>Controls!$D$41</x:f>
        <x:v>1</x:v>
      </x:c>
      <x:c r="G1453" t="n">
        <x:v>1</x:v>
      </x:c>
      <x:c r="H1453" t="str">
        <x:v>RAW design authority</x:v>
      </x:c>
      <x:c r="I1453" t="str">
        <x:f>IF(F1453=1,"PASS","GAP")</x:f>
        <x:v>PASS</x:v>
      </x:c>
    </x:row>
    <x:row r="1454">
      <x:c r="B1454" t="str">
        <x:v>PL-1448</x:v>
      </x:c>
      <x:c r="C1454" t="str">
        <x:v>PLANNING</x:v>
      </x:c>
      <x:c r="D1454" t="str">
        <x:v>reserve token</x:v>
      </x:c>
      <x:c r="E1454" t="str">
        <x:v>reserve token 69</x:v>
      </x:c>
      <x:c r="F1454" t="n">
        <x:f>Controls!$D$41</x:f>
        <x:v>1</x:v>
      </x:c>
      <x:c r="G1454" t="n">
        <x:v>1</x:v>
      </x:c>
      <x:c r="H1454" t="str">
        <x:v>RAW design authority</x:v>
      </x:c>
      <x:c r="I1454" t="str">
        <x:f>IF(F1454=1,"PASS","GAP")</x:f>
        <x:v>PASS</x:v>
      </x:c>
    </x:row>
    <x:row r="1455">
      <x:c r="B1455" t="str">
        <x:v>PL-1449</x:v>
      </x:c>
      <x:c r="C1455" t="str">
        <x:v>PLANNING</x:v>
      </x:c>
      <x:c r="D1455" t="str">
        <x:v>reserve token</x:v>
      </x:c>
      <x:c r="E1455" t="str">
        <x:v>reserve token 70</x:v>
      </x:c>
      <x:c r="F1455" t="n">
        <x:f>Controls!$D$41</x:f>
        <x:v>1</x:v>
      </x:c>
      <x:c r="G1455" t="n">
        <x:v>1</x:v>
      </x:c>
      <x:c r="H1455" t="str">
        <x:v>RAW design authority</x:v>
      </x:c>
      <x:c r="I1455" t="str">
        <x:f>IF(F1455=1,"PASS","GAP")</x:f>
        <x:v>PASS</x:v>
      </x:c>
    </x:row>
    <x:row r="1456">
      <x:c r="B1456" t="str">
        <x:v>PL-1450</x:v>
      </x:c>
      <x:c r="C1456" t="str">
        <x:v>PLANNING</x:v>
      </x:c>
      <x:c r="D1456" t="str">
        <x:v>reserve token</x:v>
      </x:c>
      <x:c r="E1456" t="str">
        <x:v>reserve token 71</x:v>
      </x:c>
      <x:c r="F1456" t="n">
        <x:f>Controls!$D$41</x:f>
        <x:v>1</x:v>
      </x:c>
      <x:c r="G1456" t="n">
        <x:v>1</x:v>
      </x:c>
      <x:c r="H1456" t="str">
        <x:v>RAW design authority</x:v>
      </x:c>
      <x:c r="I1456" t="str">
        <x:f>IF(F1456=1,"PASS","GAP")</x:f>
        <x:v>PASS</x:v>
      </x:c>
    </x:row>
    <x:row r="1457">
      <x:c r="B1457" t="str">
        <x:v>PL-1451</x:v>
      </x:c>
      <x:c r="C1457" t="str">
        <x:v>PLANNING</x:v>
      </x:c>
      <x:c r="D1457" t="str">
        <x:v>reserve token</x:v>
      </x:c>
      <x:c r="E1457" t="str">
        <x:v>reserve token 72</x:v>
      </x:c>
      <x:c r="F1457" t="n">
        <x:f>Controls!$D$41</x:f>
        <x:v>1</x:v>
      </x:c>
      <x:c r="G1457" t="n">
        <x:v>1</x:v>
      </x:c>
      <x:c r="H1457" t="str">
        <x:v>RAW design authority</x:v>
      </x:c>
      <x:c r="I1457" t="str">
        <x:f>IF(F1457=1,"PASS","GAP")</x:f>
        <x:v>PASS</x:v>
      </x:c>
    </x:row>
    <x:row r="1458">
      <x:c r="B1458" t="str">
        <x:v>PL-1452</x:v>
      </x:c>
      <x:c r="C1458" t="str">
        <x:v>PLANNING</x:v>
      </x:c>
      <x:c r="D1458" t="str">
        <x:v>reserve token</x:v>
      </x:c>
      <x:c r="E1458" t="str">
        <x:v>reserve token 73</x:v>
      </x:c>
      <x:c r="F1458" t="n">
        <x:f>Controls!$D$41</x:f>
        <x:v>1</x:v>
      </x:c>
      <x:c r="G1458" t="n">
        <x:v>1</x:v>
      </x:c>
      <x:c r="H1458" t="str">
        <x:v>RAW design authority</x:v>
      </x:c>
      <x:c r="I1458" t="str">
        <x:f>IF(F1458=1,"PASS","GAP")</x:f>
        <x:v>PASS</x:v>
      </x:c>
    </x:row>
    <x:row r="1459">
      <x:c r="B1459" t="str">
        <x:v>PL-1453</x:v>
      </x:c>
      <x:c r="C1459" t="str">
        <x:v>PLANNING</x:v>
      </x:c>
      <x:c r="D1459" t="str">
        <x:v>reserve token</x:v>
      </x:c>
      <x:c r="E1459" t="str">
        <x:v>reserve token 74</x:v>
      </x:c>
      <x:c r="F1459" t="n">
        <x:f>Controls!$D$41</x:f>
        <x:v>1</x:v>
      </x:c>
      <x:c r="G1459" t="n">
        <x:v>1</x:v>
      </x:c>
      <x:c r="H1459" t="str">
        <x:v>RAW design authority</x:v>
      </x:c>
      <x:c r="I1459" t="str">
        <x:f>IF(F1459=1,"PASS","GAP")</x:f>
        <x:v>PASS</x:v>
      </x:c>
    </x:row>
    <x:row r="1460">
      <x:c r="B1460" t="str">
        <x:v>PL-1454</x:v>
      </x:c>
      <x:c r="C1460" t="str">
        <x:v>PLANNING</x:v>
      </x:c>
      <x:c r="D1460" t="str">
        <x:v>reserve token</x:v>
      </x:c>
      <x:c r="E1460" t="str">
        <x:v>reserve token 75</x:v>
      </x:c>
      <x:c r="F1460" t="n">
        <x:f>Controls!$D$41</x:f>
        <x:v>1</x:v>
      </x:c>
      <x:c r="G1460" t="n">
        <x:v>1</x:v>
      </x:c>
      <x:c r="H1460" t="str">
        <x:v>RAW design authority</x:v>
      </x:c>
      <x:c r="I1460" t="str">
        <x:f>IF(F1460=1,"PASS","GAP")</x:f>
        <x:v>PASS</x:v>
      </x:c>
    </x:row>
    <x:row r="1461">
      <x:c r="B1461" t="str">
        <x:v>PL-1455</x:v>
      </x:c>
      <x:c r="C1461" t="str">
        <x:v>PLANNING</x:v>
      </x:c>
      <x:c r="D1461" t="str">
        <x:v>evidence-budget line</x:v>
      </x:c>
      <x:c r="E1461" t="str">
        <x:v>evidence-budget line 1</x:v>
      </x:c>
      <x:c r="F1461" t="n">
        <x:f>Controls!$D$41</x:f>
        <x:v>1</x:v>
      </x:c>
      <x:c r="G1461" t="n">
        <x:v>1</x:v>
      </x:c>
      <x:c r="H1461" t="str">
        <x:v>RAW design authority</x:v>
      </x:c>
      <x:c r="I1461" t="str">
        <x:f>IF(F1461=1,"PASS","GAP")</x:f>
        <x:v>PASS</x:v>
      </x:c>
    </x:row>
    <x:row r="1462">
      <x:c r="B1462" t="str">
        <x:v>PL-1456</x:v>
      </x:c>
      <x:c r="C1462" t="str">
        <x:v>PLANNING</x:v>
      </x:c>
      <x:c r="D1462" t="str">
        <x:v>evidence-budget line</x:v>
      </x:c>
      <x:c r="E1462" t="str">
        <x:v>evidence-budget line 2</x:v>
      </x:c>
      <x:c r="F1462" t="n">
        <x:f>Controls!$D$41</x:f>
        <x:v>1</x:v>
      </x:c>
      <x:c r="G1462" t="n">
        <x:v>1</x:v>
      </x:c>
      <x:c r="H1462" t="str">
        <x:v>RAW design authority</x:v>
      </x:c>
      <x:c r="I1462" t="str">
        <x:f>IF(F1462=1,"PASS","GAP")</x:f>
        <x:v>PASS</x:v>
      </x:c>
    </x:row>
    <x:row r="1463">
      <x:c r="B1463" t="str">
        <x:v>PL-1457</x:v>
      </x:c>
      <x:c r="C1463" t="str">
        <x:v>PLANNING</x:v>
      </x:c>
      <x:c r="D1463" t="str">
        <x:v>evidence-budget line</x:v>
      </x:c>
      <x:c r="E1463" t="str">
        <x:v>evidence-budget line 3</x:v>
      </x:c>
      <x:c r="F1463" t="n">
        <x:f>Controls!$D$41</x:f>
        <x:v>1</x:v>
      </x:c>
      <x:c r="G1463" t="n">
        <x:v>1</x:v>
      </x:c>
      <x:c r="H1463" t="str">
        <x:v>RAW design authority</x:v>
      </x:c>
      <x:c r="I1463" t="str">
        <x:f>IF(F1463=1,"PASS","GAP")</x:f>
        <x:v>PASS</x:v>
      </x:c>
    </x:row>
    <x:row r="1464">
      <x:c r="B1464" t="str">
        <x:v>PL-1458</x:v>
      </x:c>
      <x:c r="C1464" t="str">
        <x:v>PLANNING</x:v>
      </x:c>
      <x:c r="D1464" t="str">
        <x:v>evidence-budget line</x:v>
      </x:c>
      <x:c r="E1464" t="str">
        <x:v>evidence-budget line 4</x:v>
      </x:c>
      <x:c r="F1464" t="n">
        <x:f>Controls!$D$41</x:f>
        <x:v>1</x:v>
      </x:c>
      <x:c r="G1464" t="n">
        <x:v>1</x:v>
      </x:c>
      <x:c r="H1464" t="str">
        <x:v>RAW design authority</x:v>
      </x:c>
      <x:c r="I1464" t="str">
        <x:f>IF(F1464=1,"PASS","GAP")</x:f>
        <x:v>PASS</x:v>
      </x:c>
    </x:row>
    <x:row r="1465">
      <x:c r="B1465" t="str">
        <x:v>PL-1459</x:v>
      </x:c>
      <x:c r="C1465" t="str">
        <x:v>PLANNING</x:v>
      </x:c>
      <x:c r="D1465" t="str">
        <x:v>evidence-budget line</x:v>
      </x:c>
      <x:c r="E1465" t="str">
        <x:v>evidence-budget line 5</x:v>
      </x:c>
      <x:c r="F1465" t="n">
        <x:f>Controls!$D$41</x:f>
        <x:v>1</x:v>
      </x:c>
      <x:c r="G1465" t="n">
        <x:v>1</x:v>
      </x:c>
      <x:c r="H1465" t="str">
        <x:v>RAW design authority</x:v>
      </x:c>
      <x:c r="I1465" t="str">
        <x:f>IF(F1465=1,"PASS","GAP")</x:f>
        <x:v>PASS</x:v>
      </x:c>
    </x:row>
    <x:row r="1466">
      <x:c r="B1466" t="str">
        <x:v>PL-1460</x:v>
      </x:c>
      <x:c r="C1466" t="str">
        <x:v>PLANNING</x:v>
      </x:c>
      <x:c r="D1466" t="str">
        <x:v>evidence-budget line</x:v>
      </x:c>
      <x:c r="E1466" t="str">
        <x:v>evidence-budget line 6</x:v>
      </x:c>
      <x:c r="F1466" t="n">
        <x:f>Controls!$D$41</x:f>
        <x:v>1</x:v>
      </x:c>
      <x:c r="G1466" t="n">
        <x:v>1</x:v>
      </x:c>
      <x:c r="H1466" t="str">
        <x:v>RAW design authority</x:v>
      </x:c>
      <x:c r="I1466" t="str">
        <x:f>IF(F1466=1,"PASS","GAP")</x:f>
        <x:v>PASS</x:v>
      </x:c>
    </x:row>
    <x:row r="1467">
      <x:c r="B1467" t="str">
        <x:v>PL-1461</x:v>
      </x:c>
      <x:c r="C1467" t="str">
        <x:v>PLANNING</x:v>
      </x:c>
      <x:c r="D1467" t="str">
        <x:v>evidence-budget line</x:v>
      </x:c>
      <x:c r="E1467" t="str">
        <x:v>evidence-budget line 7</x:v>
      </x:c>
      <x:c r="F1467" t="n">
        <x:f>Controls!$D$41</x:f>
        <x:v>1</x:v>
      </x:c>
      <x:c r="G1467" t="n">
        <x:v>1</x:v>
      </x:c>
      <x:c r="H1467" t="str">
        <x:v>RAW design authority</x:v>
      </x:c>
      <x:c r="I1467" t="str">
        <x:f>IF(F1467=1,"PASS","GAP")</x:f>
        <x:v>PASS</x:v>
      </x:c>
    </x:row>
    <x:row r="1468">
      <x:c r="B1468" t="str">
        <x:v>PL-1462</x:v>
      </x:c>
      <x:c r="C1468" t="str">
        <x:v>PLANNING</x:v>
      </x:c>
      <x:c r="D1468" t="str">
        <x:v>evidence-budget line</x:v>
      </x:c>
      <x:c r="E1468" t="str">
        <x:v>evidence-budget line 8</x:v>
      </x:c>
      <x:c r="F1468" t="n">
        <x:f>Controls!$D$41</x:f>
        <x:v>1</x:v>
      </x:c>
      <x:c r="G1468" t="n">
        <x:v>1</x:v>
      </x:c>
      <x:c r="H1468" t="str">
        <x:v>RAW design authority</x:v>
      </x:c>
      <x:c r="I1468" t="str">
        <x:f>IF(F1468=1,"PASS","GAP")</x:f>
        <x:v>PASS</x:v>
      </x:c>
    </x:row>
    <x:row r="1469">
      <x:c r="B1469" t="str">
        <x:v>PL-1463</x:v>
      </x:c>
      <x:c r="C1469" t="str">
        <x:v>PLANNING</x:v>
      </x:c>
      <x:c r="D1469" t="str">
        <x:v>evidence-budget line</x:v>
      </x:c>
      <x:c r="E1469" t="str">
        <x:v>evidence-budget line 9</x:v>
      </x:c>
      <x:c r="F1469" t="n">
        <x:f>Controls!$D$41</x:f>
        <x:v>1</x:v>
      </x:c>
      <x:c r="G1469" t="n">
        <x:v>1</x:v>
      </x:c>
      <x:c r="H1469" t="str">
        <x:v>RAW design authority</x:v>
      </x:c>
      <x:c r="I1469" t="str">
        <x:f>IF(F1469=1,"PASS","GAP")</x:f>
        <x:v>PASS</x:v>
      </x:c>
    </x:row>
    <x:row r="1470">
      <x:c r="B1470" t="str">
        <x:v>PL-1464</x:v>
      </x:c>
      <x:c r="C1470" t="str">
        <x:v>PLANNING</x:v>
      </x:c>
      <x:c r="D1470" t="str">
        <x:v>evidence-budget line</x:v>
      </x:c>
      <x:c r="E1470" t="str">
        <x:v>evidence-budget line 10</x:v>
      </x:c>
      <x:c r="F1470" t="n">
        <x:f>Controls!$D$41</x:f>
        <x:v>1</x:v>
      </x:c>
      <x:c r="G1470" t="n">
        <x:v>1</x:v>
      </x:c>
      <x:c r="H1470" t="str">
        <x:v>RAW design authority</x:v>
      </x:c>
      <x:c r="I1470" t="str">
        <x:f>IF(F1470=1,"PASS","GAP")</x:f>
        <x:v>PASS</x:v>
      </x:c>
    </x:row>
    <x:row r="1471">
      <x:c r="B1471" t="str">
        <x:v>PL-1465</x:v>
      </x:c>
      <x:c r="C1471" t="str">
        <x:v>PLANNING</x:v>
      </x:c>
      <x:c r="D1471" t="str">
        <x:v>evidence-budget line</x:v>
      </x:c>
      <x:c r="E1471" t="str">
        <x:v>evidence-budget line 11</x:v>
      </x:c>
      <x:c r="F1471" t="n">
        <x:f>Controls!$D$41</x:f>
        <x:v>1</x:v>
      </x:c>
      <x:c r="G1471" t="n">
        <x:v>1</x:v>
      </x:c>
      <x:c r="H1471" t="str">
        <x:v>RAW design authority</x:v>
      </x:c>
      <x:c r="I1471" t="str">
        <x:f>IF(F1471=1,"PASS","GAP")</x:f>
        <x:v>PASS</x:v>
      </x:c>
    </x:row>
    <x:row r="1472">
      <x:c r="B1472" t="str">
        <x:v>PL-1466</x:v>
      </x:c>
      <x:c r="C1472" t="str">
        <x:v>PLANNING</x:v>
      </x:c>
      <x:c r="D1472" t="str">
        <x:v>evidence-budget line</x:v>
      </x:c>
      <x:c r="E1472" t="str">
        <x:v>evidence-budget line 12</x:v>
      </x:c>
      <x:c r="F1472" t="n">
        <x:f>Controls!$D$41</x:f>
        <x:v>1</x:v>
      </x:c>
      <x:c r="G1472" t="n">
        <x:v>1</x:v>
      </x:c>
      <x:c r="H1472" t="str">
        <x:v>RAW design authority</x:v>
      </x:c>
      <x:c r="I1472" t="str">
        <x:f>IF(F1472=1,"PASS","GAP")</x:f>
        <x:v>PASS</x:v>
      </x:c>
    </x:row>
    <x:row r="1473">
      <x:c r="B1473" t="str">
        <x:v>PL-1467</x:v>
      </x:c>
      <x:c r="C1473" t="str">
        <x:v>PLANNING</x:v>
      </x:c>
      <x:c r="D1473" t="str">
        <x:v>evidence object</x:v>
      </x:c>
      <x:c r="E1473" t="str">
        <x:v>evidence object 1</x:v>
      </x:c>
      <x:c r="F1473" t="n">
        <x:f>Controls!$D$41</x:f>
        <x:v>1</x:v>
      </x:c>
      <x:c r="G1473" t="n">
        <x:v>1</x:v>
      </x:c>
      <x:c r="H1473" t="str">
        <x:v>RAW design authority</x:v>
      </x:c>
      <x:c r="I1473" t="str">
        <x:f>IF(F1473=1,"PASS","GAP")</x:f>
        <x:v>PASS</x:v>
      </x:c>
    </x:row>
    <x:row r="1474">
      <x:c r="B1474" t="str">
        <x:v>PL-1468</x:v>
      </x:c>
      <x:c r="C1474" t="str">
        <x:v>PLANNING</x:v>
      </x:c>
      <x:c r="D1474" t="str">
        <x:v>evidence object</x:v>
      </x:c>
      <x:c r="E1474" t="str">
        <x:v>evidence object 2</x:v>
      </x:c>
      <x:c r="F1474" t="n">
        <x:f>Controls!$D$41</x:f>
        <x:v>1</x:v>
      </x:c>
      <x:c r="G1474" t="n">
        <x:v>1</x:v>
      </x:c>
      <x:c r="H1474" t="str">
        <x:v>RAW design authority</x:v>
      </x:c>
      <x:c r="I1474" t="str">
        <x:f>IF(F1474=1,"PASS","GAP")</x:f>
        <x:v>PASS</x:v>
      </x:c>
    </x:row>
    <x:row r="1475">
      <x:c r="B1475" t="str">
        <x:v>PL-1469</x:v>
      </x:c>
      <x:c r="C1475" t="str">
        <x:v>PLANNING</x:v>
      </x:c>
      <x:c r="D1475" t="str">
        <x:v>evidence object</x:v>
      </x:c>
      <x:c r="E1475" t="str">
        <x:v>evidence object 3</x:v>
      </x:c>
      <x:c r="F1475" t="n">
        <x:f>Controls!$D$41</x:f>
        <x:v>1</x:v>
      </x:c>
      <x:c r="G1475" t="n">
        <x:v>1</x:v>
      </x:c>
      <x:c r="H1475" t="str">
        <x:v>RAW design authority</x:v>
      </x:c>
      <x:c r="I1475" t="str">
        <x:f>IF(F1475=1,"PASS","GAP")</x:f>
        <x:v>PASS</x:v>
      </x:c>
    </x:row>
    <x:row r="1476">
      <x:c r="B1476" t="str">
        <x:v>PL-1470</x:v>
      </x:c>
      <x:c r="C1476" t="str">
        <x:v>PLANNING</x:v>
      </x:c>
      <x:c r="D1476" t="str">
        <x:v>evidence object</x:v>
      </x:c>
      <x:c r="E1476" t="str">
        <x:v>evidence object 4</x:v>
      </x:c>
      <x:c r="F1476" t="n">
        <x:f>Controls!$D$41</x:f>
        <x:v>1</x:v>
      </x:c>
      <x:c r="G1476" t="n">
        <x:v>1</x:v>
      </x:c>
      <x:c r="H1476" t="str">
        <x:v>RAW design authority</x:v>
      </x:c>
      <x:c r="I1476" t="str">
        <x:f>IF(F1476=1,"PASS","GAP")</x:f>
        <x:v>PASS</x:v>
      </x:c>
    </x:row>
    <x:row r="1477">
      <x:c r="B1477" t="str">
        <x:v>PL-1471</x:v>
      </x:c>
      <x:c r="C1477" t="str">
        <x:v>PLANNING</x:v>
      </x:c>
      <x:c r="D1477" t="str">
        <x:v>evidence object</x:v>
      </x:c>
      <x:c r="E1477" t="str">
        <x:v>evidence object 5</x:v>
      </x:c>
      <x:c r="F1477" t="n">
        <x:f>Controls!$D$41</x:f>
        <x:v>1</x:v>
      </x:c>
      <x:c r="G1477" t="n">
        <x:v>1</x:v>
      </x:c>
      <x:c r="H1477" t="str">
        <x:v>RAW design authority</x:v>
      </x:c>
      <x:c r="I1477" t="str">
        <x:f>IF(F1477=1,"PASS","GAP")</x:f>
        <x:v>PASS</x:v>
      </x:c>
    </x:row>
    <x:row r="1478">
      <x:c r="B1478" t="str">
        <x:v>PL-1472</x:v>
      </x:c>
      <x:c r="C1478" t="str">
        <x:v>PLANNING</x:v>
      </x:c>
      <x:c r="D1478" t="str">
        <x:v>evidence object</x:v>
      </x:c>
      <x:c r="E1478" t="str">
        <x:v>evidence object 6</x:v>
      </x:c>
      <x:c r="F1478" t="n">
        <x:f>Controls!$D$41</x:f>
        <x:v>1</x:v>
      </x:c>
      <x:c r="G1478" t="n">
        <x:v>1</x:v>
      </x:c>
      <x:c r="H1478" t="str">
        <x:v>RAW design authority</x:v>
      </x:c>
      <x:c r="I1478" t="str">
        <x:f>IF(F1478=1,"PASS","GAP")</x:f>
        <x:v>PASS</x:v>
      </x:c>
    </x:row>
    <x:row r="1479">
      <x:c r="B1479" t="str">
        <x:v>PL-1473</x:v>
      </x:c>
      <x:c r="C1479" t="str">
        <x:v>PLANNING</x:v>
      </x:c>
      <x:c r="D1479" t="str">
        <x:v>evidence object</x:v>
      </x:c>
      <x:c r="E1479" t="str">
        <x:v>evidence object 7</x:v>
      </x:c>
      <x:c r="F1479" t="n">
        <x:f>Controls!$D$41</x:f>
        <x:v>1</x:v>
      </x:c>
      <x:c r="G1479" t="n">
        <x:v>1</x:v>
      </x:c>
      <x:c r="H1479" t="str">
        <x:v>RAW design authority</x:v>
      </x:c>
      <x:c r="I1479" t="str">
        <x:f>IF(F1479=1,"PASS","GAP")</x:f>
        <x:v>PASS</x:v>
      </x:c>
    </x:row>
    <x:row r="1480">
      <x:c r="B1480" t="str">
        <x:v>PL-1474</x:v>
      </x:c>
      <x:c r="C1480" t="str">
        <x:v>PLANNING</x:v>
      </x:c>
      <x:c r="D1480" t="str">
        <x:v>evidence object</x:v>
      </x:c>
      <x:c r="E1480" t="str">
        <x:v>evidence object 8</x:v>
      </x:c>
      <x:c r="F1480" t="n">
        <x:f>Controls!$D$41</x:f>
        <x:v>1</x:v>
      </x:c>
      <x:c r="G1480" t="n">
        <x:v>1</x:v>
      </x:c>
      <x:c r="H1480" t="str">
        <x:v>RAW design authority</x:v>
      </x:c>
      <x:c r="I1480" t="str">
        <x:f>IF(F1480=1,"PASS","GAP")</x:f>
        <x:v>PASS</x:v>
      </x:c>
    </x:row>
    <x:row r="1481">
      <x:c r="B1481" t="str">
        <x:v>PL-1475</x:v>
      </x:c>
      <x:c r="C1481" t="str">
        <x:v>PLANNING</x:v>
      </x:c>
      <x:c r="D1481" t="str">
        <x:v>evidence object</x:v>
      </x:c>
      <x:c r="E1481" t="str">
        <x:v>evidence object 9</x:v>
      </x:c>
      <x:c r="F1481" t="n">
        <x:f>Controls!$D$41</x:f>
        <x:v>1</x:v>
      </x:c>
      <x:c r="G1481" t="n">
        <x:v>1</x:v>
      </x:c>
      <x:c r="H1481" t="str">
        <x:v>RAW design authority</x:v>
      </x:c>
      <x:c r="I1481" t="str">
        <x:f>IF(F1481=1,"PASS","GAP")</x:f>
        <x:v>PASS</x:v>
      </x:c>
    </x:row>
    <x:row r="1482">
      <x:c r="B1482" t="str">
        <x:v>PL-1476</x:v>
      </x:c>
      <x:c r="C1482" t="str">
        <x:v>PLANNING</x:v>
      </x:c>
      <x:c r="D1482" t="str">
        <x:v>evidence object</x:v>
      </x:c>
      <x:c r="E1482" t="str">
        <x:v>evidence object 10</x:v>
      </x:c>
      <x:c r="F1482" t="n">
        <x:f>Controls!$D$41</x:f>
        <x:v>1</x:v>
      </x:c>
      <x:c r="G1482" t="n">
        <x:v>1</x:v>
      </x:c>
      <x:c r="H1482" t="str">
        <x:v>RAW design authority</x:v>
      </x:c>
      <x:c r="I1482" t="str">
        <x:f>IF(F1482=1,"PASS","GAP")</x:f>
        <x:v>PASS</x:v>
      </x:c>
    </x:row>
    <x:row r="1483">
      <x:c r="B1483" t="str">
        <x:v>PL-1477</x:v>
      </x:c>
      <x:c r="C1483" t="str">
        <x:v>PLANNING</x:v>
      </x:c>
      <x:c r="D1483" t="str">
        <x:v>evidence object</x:v>
      </x:c>
      <x:c r="E1483" t="str">
        <x:v>evidence object 11</x:v>
      </x:c>
      <x:c r="F1483" t="n">
        <x:f>Controls!$D$41</x:f>
        <x:v>1</x:v>
      </x:c>
      <x:c r="G1483" t="n">
        <x:v>1</x:v>
      </x:c>
      <x:c r="H1483" t="str">
        <x:v>RAW design authority</x:v>
      </x:c>
      <x:c r="I1483" t="str">
        <x:f>IF(F1483=1,"PASS","GAP")</x:f>
        <x:v>PASS</x:v>
      </x:c>
    </x:row>
    <x:row r="1484">
      <x:c r="B1484" t="str">
        <x:v>PL-1478</x:v>
      </x:c>
      <x:c r="C1484" t="str">
        <x:v>PLANNING</x:v>
      </x:c>
      <x:c r="D1484" t="str">
        <x:v>evidence object</x:v>
      </x:c>
      <x:c r="E1484" t="str">
        <x:v>evidence object 12</x:v>
      </x:c>
      <x:c r="F1484" t="n">
        <x:f>Controls!$D$41</x:f>
        <x:v>1</x:v>
      </x:c>
      <x:c r="G1484" t="n">
        <x:v>1</x:v>
      </x:c>
      <x:c r="H1484" t="str">
        <x:v>RAW design authority</x:v>
      </x:c>
      <x:c r="I1484" t="str">
        <x:f>IF(F1484=1,"PASS","GAP")</x:f>
        <x:v>PASS</x:v>
      </x:c>
    </x:row>
    <x:row r="1485">
      <x:c r="B1485" t="str">
        <x:v>PL-1479</x:v>
      </x:c>
      <x:c r="C1485" t="str">
        <x:v>PLANNING</x:v>
      </x:c>
      <x:c r="D1485" t="str">
        <x:v>amendment</x:v>
      </x:c>
      <x:c r="E1485" t="str">
        <x:v>amendment 1</x:v>
      </x:c>
      <x:c r="F1485" t="n">
        <x:f>Controls!$D$41</x:f>
        <x:v>1</x:v>
      </x:c>
      <x:c r="G1485" t="n">
        <x:v>1</x:v>
      </x:c>
      <x:c r="H1485" t="str">
        <x:v>RAW design authority</x:v>
      </x:c>
      <x:c r="I1485" t="str">
        <x:f>IF(F1485=1,"PASS","GAP")</x:f>
        <x:v>PASS</x:v>
      </x:c>
    </x:row>
    <x:row r="1486">
      <x:c r="B1486" t="str">
        <x:v>PL-1480</x:v>
      </x:c>
      <x:c r="C1486" t="str">
        <x:v>PLANNING</x:v>
      </x:c>
      <x:c r="D1486" t="str">
        <x:v>amendment</x:v>
      </x:c>
      <x:c r="E1486" t="str">
        <x:v>amendment 2</x:v>
      </x:c>
      <x:c r="F1486" t="n">
        <x:f>Controls!$D$41</x:f>
        <x:v>1</x:v>
      </x:c>
      <x:c r="G1486" t="n">
        <x:v>1</x:v>
      </x:c>
      <x:c r="H1486" t="str">
        <x:v>RAW design authority</x:v>
      </x:c>
      <x:c r="I1486" t="str">
        <x:f>IF(F1486=1,"PASS","GAP")</x:f>
        <x:v>PASS</x:v>
      </x:c>
    </x:row>
    <x:row r="1487">
      <x:c r="B1487" t="str">
        <x:v>PL-1481</x:v>
      </x:c>
      <x:c r="C1487" t="str">
        <x:v>PLANNING</x:v>
      </x:c>
      <x:c r="D1487" t="str">
        <x:v>amendment</x:v>
      </x:c>
      <x:c r="E1487" t="str">
        <x:v>amendment 3</x:v>
      </x:c>
      <x:c r="F1487" t="n">
        <x:f>Controls!$D$41</x:f>
        <x:v>1</x:v>
      </x:c>
      <x:c r="G1487" t="n">
        <x:v>1</x:v>
      </x:c>
      <x:c r="H1487" t="str">
        <x:v>RAW design authority</x:v>
      </x:c>
      <x:c r="I1487" t="str">
        <x:f>IF(F1487=1,"PASS","GAP")</x:f>
        <x:v>PASS</x:v>
      </x:c>
    </x:row>
    <x:row r="1488">
      <x:c r="B1488" t="str">
        <x:v>PL-1482</x:v>
      </x:c>
      <x:c r="C1488" t="str">
        <x:v>PLANNING</x:v>
      </x:c>
      <x:c r="D1488" t="str">
        <x:v>amendment</x:v>
      </x:c>
      <x:c r="E1488" t="str">
        <x:v>amendment 4</x:v>
      </x:c>
      <x:c r="F1488" t="n">
        <x:f>Controls!$D$41</x:f>
        <x:v>1</x:v>
      </x:c>
      <x:c r="G1488" t="n">
        <x:v>1</x:v>
      </x:c>
      <x:c r="H1488" t="str">
        <x:v>RAW design authority</x:v>
      </x:c>
      <x:c r="I1488" t="str">
        <x:f>IF(F1488=1,"PASS","GAP")</x:f>
        <x:v>PASS</x:v>
      </x:c>
    </x:row>
    <x:row r="1489">
      <x:c r="B1489" t="str">
        <x:v>PL-1483</x:v>
      </x:c>
      <x:c r="C1489" t="str">
        <x:v>PLANNING</x:v>
      </x:c>
      <x:c r="D1489" t="str">
        <x:v>amendment</x:v>
      </x:c>
      <x:c r="E1489" t="str">
        <x:v>amendment 5</x:v>
      </x:c>
      <x:c r="F1489" t="n">
        <x:f>Controls!$D$41</x:f>
        <x:v>1</x:v>
      </x:c>
      <x:c r="G1489" t="n">
        <x:v>1</x:v>
      </x:c>
      <x:c r="H1489" t="str">
        <x:v>RAW design authority</x:v>
      </x:c>
      <x:c r="I1489" t="str">
        <x:f>IF(F1489=1,"PASS","GAP")</x:f>
        <x:v>PASS</x:v>
      </x:c>
    </x:row>
    <x:row r="1490">
      <x:c r="B1490" t="str">
        <x:v>PL-1484</x:v>
      </x:c>
      <x:c r="C1490" t="str">
        <x:v>PLANNING</x:v>
      </x:c>
      <x:c r="D1490" t="str">
        <x:v>amendment</x:v>
      </x:c>
      <x:c r="E1490" t="str">
        <x:v>amendment 6</x:v>
      </x:c>
      <x:c r="F1490" t="n">
        <x:f>Controls!$D$41</x:f>
        <x:v>1</x:v>
      </x:c>
      <x:c r="G1490" t="n">
        <x:v>1</x:v>
      </x:c>
      <x:c r="H1490" t="str">
        <x:v>RAW design authority</x:v>
      </x:c>
      <x:c r="I1490" t="str">
        <x:f>IF(F1490=1,"PASS","GAP")</x:f>
        <x:v>PASS</x:v>
      </x:c>
    </x:row>
    <x:row r="1491">
      <x:c r="B1491" t="str">
        <x:v>PL-1485</x:v>
      </x:c>
      <x:c r="C1491" t="str">
        <x:v>PLANNING</x:v>
      </x:c>
      <x:c r="D1491" t="str">
        <x:v>amendment</x:v>
      </x:c>
      <x:c r="E1491" t="str">
        <x:v>amendment 7</x:v>
      </x:c>
      <x:c r="F1491" t="n">
        <x:f>Controls!$D$41</x:f>
        <x:v>1</x:v>
      </x:c>
      <x:c r="G1491" t="n">
        <x:v>1</x:v>
      </x:c>
      <x:c r="H1491" t="str">
        <x:v>RAW design authority</x:v>
      </x:c>
      <x:c r="I1491" t="str">
        <x:f>IF(F1491=1,"PASS","GAP")</x:f>
        <x:v>PASS</x:v>
      </x:c>
    </x:row>
    <x:row r="1492">
      <x:c r="B1492" t="str">
        <x:v>PL-1486</x:v>
      </x:c>
      <x:c r="C1492" t="str">
        <x:v>PLANNING</x:v>
      </x:c>
      <x:c r="D1492" t="str">
        <x:v>amendment</x:v>
      </x:c>
      <x:c r="E1492" t="str">
        <x:v>amendment 8</x:v>
      </x:c>
      <x:c r="F1492" t="n">
        <x:f>Controls!$D$41</x:f>
        <x:v>1</x:v>
      </x:c>
      <x:c r="G1492" t="n">
        <x:v>1</x:v>
      </x:c>
      <x:c r="H1492" t="str">
        <x:v>RAW design authority</x:v>
      </x:c>
      <x:c r="I1492" t="str">
        <x:f>IF(F1492=1,"PASS","GAP")</x:f>
        <x:v>PASS</x:v>
      </x:c>
    </x:row>
    <x:row r="1493">
      <x:c r="B1493" t="str">
        <x:v>PL-1487</x:v>
      </x:c>
      <x:c r="C1493" t="str">
        <x:v>PLANNING</x:v>
      </x:c>
      <x:c r="D1493" t="str">
        <x:v>amendment</x:v>
      </x:c>
      <x:c r="E1493" t="str">
        <x:v>amendment 9</x:v>
      </x:c>
      <x:c r="F1493" t="n">
        <x:f>Controls!$D$41</x:f>
        <x:v>1</x:v>
      </x:c>
      <x:c r="G1493" t="n">
        <x:v>1</x:v>
      </x:c>
      <x:c r="H1493" t="str">
        <x:v>RAW design authority</x:v>
      </x:c>
      <x:c r="I1493" t="str">
        <x:f>IF(F1493=1,"PASS","GAP")</x:f>
        <x:v>PASS</x:v>
      </x:c>
    </x:row>
    <x:row r="1494">
      <x:c r="B1494" t="str">
        <x:v>PL-1488</x:v>
      </x:c>
      <x:c r="C1494" t="str">
        <x:v>PLANNING</x:v>
      </x:c>
      <x:c r="D1494" t="str">
        <x:v>amendment</x:v>
      </x:c>
      <x:c r="E1494" t="str">
        <x:v>amendment 10</x:v>
      </x:c>
      <x:c r="F1494" t="n">
        <x:f>Controls!$D$41</x:f>
        <x:v>1</x:v>
      </x:c>
      <x:c r="G1494" t="n">
        <x:v>1</x:v>
      </x:c>
      <x:c r="H1494" t="str">
        <x:v>RAW design authority</x:v>
      </x:c>
      <x:c r="I1494" t="str">
        <x:f>IF(F1494=1,"PASS","GAP")</x:f>
        <x:v>PASS</x:v>
      </x:c>
    </x:row>
    <x:row r="1495">
      <x:c r="B1495" t="str">
        <x:v>PL-1489</x:v>
      </x:c>
      <x:c r="C1495" t="str">
        <x:v>PLANNING</x:v>
      </x:c>
      <x:c r="D1495" t="str">
        <x:v>amendment</x:v>
      </x:c>
      <x:c r="E1495" t="str">
        <x:v>amendment 11</x:v>
      </x:c>
      <x:c r="F1495" t="n">
        <x:f>Controls!$D$41</x:f>
        <x:v>1</x:v>
      </x:c>
      <x:c r="G1495" t="n">
        <x:v>1</x:v>
      </x:c>
      <x:c r="H1495" t="str">
        <x:v>RAW design authority</x:v>
      </x:c>
      <x:c r="I1495" t="str">
        <x:f>IF(F1495=1,"PASS","GAP")</x:f>
        <x:v>PASS</x:v>
      </x:c>
    </x:row>
    <x:row r="1496">
      <x:c r="B1496" t="str">
        <x:v>PL-1490</x:v>
      </x:c>
      <x:c r="C1496" t="str">
        <x:v>PLANNING</x:v>
      </x:c>
      <x:c r="D1496" t="str">
        <x:v>amendment</x:v>
      </x:c>
      <x:c r="E1496" t="str">
        <x:v>amendment 12</x:v>
      </x:c>
      <x:c r="F1496" t="n">
        <x:f>Controls!$D$41</x:f>
        <x:v>1</x:v>
      </x:c>
      <x:c r="G1496" t="n">
        <x:v>1</x:v>
      </x:c>
      <x:c r="H1496" t="str">
        <x:v>RAW design authority</x:v>
      </x:c>
      <x:c r="I1496" t="str">
        <x:f>IF(F1496=1,"PASS","GAP")</x:f>
        <x:v>PASS</x:v>
      </x:c>
    </x:row>
    <x:row r="1497">
      <x:c r="B1497" t="str">
        <x:v>PL-1491</x:v>
      </x:c>
      <x:c r="C1497" t="str">
        <x:v>PLANNING</x:v>
      </x:c>
      <x:c r="D1497" t="str">
        <x:v>amendment</x:v>
      </x:c>
      <x:c r="E1497" t="str">
        <x:v>amendment 13</x:v>
      </x:c>
      <x:c r="F1497" t="n">
        <x:f>Controls!$D$41</x:f>
        <x:v>1</x:v>
      </x:c>
      <x:c r="G1497" t="n">
        <x:v>1</x:v>
      </x:c>
      <x:c r="H1497" t="str">
        <x:v>RAW design authority</x:v>
      </x:c>
      <x:c r="I1497" t="str">
        <x:f>IF(F1497=1,"PASS","GAP")</x:f>
        <x:v>PASS</x:v>
      </x:c>
    </x:row>
    <x:row r="1498">
      <x:c r="B1498" t="str">
        <x:v>PL-1492</x:v>
      </x:c>
      <x:c r="C1498" t="str">
        <x:v>PLANNING</x:v>
      </x:c>
      <x:c r="D1498" t="str">
        <x:v>amendment</x:v>
      </x:c>
      <x:c r="E1498" t="str">
        <x:v>amendment 14</x:v>
      </x:c>
      <x:c r="F1498" t="n">
        <x:f>Controls!$D$41</x:f>
        <x:v>1</x:v>
      </x:c>
      <x:c r="G1498" t="n">
        <x:v>1</x:v>
      </x:c>
      <x:c r="H1498" t="str">
        <x:v>RAW design authority</x:v>
      </x:c>
      <x:c r="I1498" t="str">
        <x:f>IF(F1498=1,"PASS","GAP")</x:f>
        <x:v>PASS</x:v>
      </x:c>
    </x:row>
    <x:row r="1499">
      <x:c r="B1499" t="str">
        <x:v>PL-1493</x:v>
      </x:c>
      <x:c r="C1499" t="str">
        <x:v>PLANNING</x:v>
      </x:c>
      <x:c r="D1499" t="str">
        <x:v>regression</x:v>
      </x:c>
      <x:c r="E1499" t="str">
        <x:v>regression 1</x:v>
      </x:c>
      <x:c r="F1499" t="n">
        <x:f>Controls!$D$41</x:f>
        <x:v>1</x:v>
      </x:c>
      <x:c r="G1499" t="n">
        <x:v>1</x:v>
      </x:c>
      <x:c r="H1499" t="str">
        <x:v>RAW design authority</x:v>
      </x:c>
      <x:c r="I1499" t="str">
        <x:f>IF(F1499=1,"PASS","GAP")</x:f>
        <x:v>PASS</x:v>
      </x:c>
    </x:row>
    <x:row r="1500">
      <x:c r="B1500" t="str">
        <x:v>PL-1494</x:v>
      </x:c>
      <x:c r="C1500" t="str">
        <x:v>PLANNING</x:v>
      </x:c>
      <x:c r="D1500" t="str">
        <x:v>regression</x:v>
      </x:c>
      <x:c r="E1500" t="str">
        <x:v>regression 2</x:v>
      </x:c>
      <x:c r="F1500" t="n">
        <x:f>Controls!$D$41</x:f>
        <x:v>1</x:v>
      </x:c>
      <x:c r="G1500" t="n">
        <x:v>1</x:v>
      </x:c>
      <x:c r="H1500" t="str">
        <x:v>RAW design authority</x:v>
      </x:c>
      <x:c r="I1500" t="str">
        <x:f>IF(F1500=1,"PASS","GAP")</x:f>
        <x:v>PASS</x:v>
      </x:c>
    </x:row>
    <x:row r="1501">
      <x:c r="B1501" t="str">
        <x:v>PL-1495</x:v>
      </x:c>
      <x:c r="C1501" t="str">
        <x:v>PLANNING</x:v>
      </x:c>
      <x:c r="D1501" t="str">
        <x:v>regression</x:v>
      </x:c>
      <x:c r="E1501" t="str">
        <x:v>regression 3</x:v>
      </x:c>
      <x:c r="F1501" t="n">
        <x:f>Controls!$D$41</x:f>
        <x:v>1</x:v>
      </x:c>
      <x:c r="G1501" t="n">
        <x:v>1</x:v>
      </x:c>
      <x:c r="H1501" t="str">
        <x:v>RAW design authority</x:v>
      </x:c>
      <x:c r="I1501" t="str">
        <x:f>IF(F1501=1,"PASS","GAP")</x:f>
        <x:v>PASS</x:v>
      </x:c>
    </x:row>
    <x:row r="1502">
      <x:c r="B1502" t="str">
        <x:v>PL-1496</x:v>
      </x:c>
      <x:c r="C1502" t="str">
        <x:v>PLANNING</x:v>
      </x:c>
      <x:c r="D1502" t="str">
        <x:v>regression</x:v>
      </x:c>
      <x:c r="E1502" t="str">
        <x:v>regression 4</x:v>
      </x:c>
      <x:c r="F1502" t="n">
        <x:f>Controls!$D$41</x:f>
        <x:v>1</x:v>
      </x:c>
      <x:c r="G1502" t="n">
        <x:v>1</x:v>
      </x:c>
      <x:c r="H1502" t="str">
        <x:v>RAW design authority</x:v>
      </x:c>
      <x:c r="I1502" t="str">
        <x:f>IF(F1502=1,"PASS","GAP")</x:f>
        <x:v>PASS</x:v>
      </x:c>
    </x:row>
    <x:row r="1503">
      <x:c r="B1503" t="str">
        <x:v>PL-1497</x:v>
      </x:c>
      <x:c r="C1503" t="str">
        <x:v>PLANNING</x:v>
      </x:c>
      <x:c r="D1503" t="str">
        <x:v>regression</x:v>
      </x:c>
      <x:c r="E1503" t="str">
        <x:v>regression 5</x:v>
      </x:c>
      <x:c r="F1503" t="n">
        <x:f>Controls!$D$41</x:f>
        <x:v>1</x:v>
      </x:c>
      <x:c r="G1503" t="n">
        <x:v>1</x:v>
      </x:c>
      <x:c r="H1503" t="str">
        <x:v>RAW design authority</x:v>
      </x:c>
      <x:c r="I1503" t="str">
        <x:f>IF(F1503=1,"PASS","GAP")</x:f>
        <x:v>PASS</x:v>
      </x:c>
    </x:row>
    <x:row r="1504">
      <x:c r="B1504" t="str">
        <x:v>PL-1498</x:v>
      </x:c>
      <x:c r="C1504" t="str">
        <x:v>PLANNING</x:v>
      </x:c>
      <x:c r="D1504" t="str">
        <x:v>regression</x:v>
      </x:c>
      <x:c r="E1504" t="str">
        <x:v>regression 6</x:v>
      </x:c>
      <x:c r="F1504" t="n">
        <x:f>Controls!$D$41</x:f>
        <x:v>1</x:v>
      </x:c>
      <x:c r="G1504" t="n">
        <x:v>1</x:v>
      </x:c>
      <x:c r="H1504" t="str">
        <x:v>RAW design authority</x:v>
      </x:c>
      <x:c r="I1504" t="str">
        <x:f>IF(F1504=1,"PASS","GAP")</x:f>
        <x:v>PASS</x:v>
      </x:c>
    </x:row>
    <x:row r="1505">
      <x:c r="B1505" t="str">
        <x:v>PL-1499</x:v>
      </x:c>
      <x:c r="C1505" t="str">
        <x:v>PLANNING</x:v>
      </x:c>
      <x:c r="D1505" t="str">
        <x:v>regression</x:v>
      </x:c>
      <x:c r="E1505" t="str">
        <x:v>regression 7</x:v>
      </x:c>
      <x:c r="F1505" t="n">
        <x:f>Controls!$D$41</x:f>
        <x:v>1</x:v>
      </x:c>
      <x:c r="G1505" t="n">
        <x:v>1</x:v>
      </x:c>
      <x:c r="H1505" t="str">
        <x:v>RAW design authority</x:v>
      </x:c>
      <x:c r="I1505" t="str">
        <x:f>IF(F1505=1,"PASS","GAP")</x:f>
        <x:v>PASS</x:v>
      </x:c>
    </x:row>
    <x:row r="1506">
      <x:c r="B1506" t="str">
        <x:v>PL-1500</x:v>
      </x:c>
      <x:c r="C1506" t="str">
        <x:v>PLANNING</x:v>
      </x:c>
      <x:c r="D1506" t="str">
        <x:v>regression</x:v>
      </x:c>
      <x:c r="E1506" t="str">
        <x:v>regression 8</x:v>
      </x:c>
      <x:c r="F1506" t="n">
        <x:f>Controls!$D$41</x:f>
        <x:v>1</x:v>
      </x:c>
      <x:c r="G1506" t="n">
        <x:v>1</x:v>
      </x:c>
      <x:c r="H1506" t="str">
        <x:v>RAW design authority</x:v>
      </x:c>
      <x:c r="I1506" t="str">
        <x:f>IF(F1506=1,"PASS","GAP")</x:f>
        <x:v>PASS</x:v>
      </x:c>
    </x:row>
    <x:row r="1507">
      <x:c r="B1507" t="str">
        <x:v>PL-1501</x:v>
      </x:c>
      <x:c r="C1507" t="str">
        <x:v>PLANNING</x:v>
      </x:c>
      <x:c r="D1507" t="str">
        <x:v>regression</x:v>
      </x:c>
      <x:c r="E1507" t="str">
        <x:v>regression 9</x:v>
      </x:c>
      <x:c r="F1507" t="n">
        <x:f>Controls!$D$41</x:f>
        <x:v>1</x:v>
      </x:c>
      <x:c r="G1507" t="n">
        <x:v>1</x:v>
      </x:c>
      <x:c r="H1507" t="str">
        <x:v>RAW design authority</x:v>
      </x:c>
      <x:c r="I1507" t="str">
        <x:f>IF(F1507=1,"PASS","GAP")</x:f>
        <x:v>PASS</x:v>
      </x:c>
    </x:row>
    <x:row r="1508">
      <x:c r="B1508" t="str">
        <x:v>PL-1502</x:v>
      </x:c>
      <x:c r="C1508" t="str">
        <x:v>PLANNING</x:v>
      </x:c>
      <x:c r="D1508" t="str">
        <x:v>regression</x:v>
      </x:c>
      <x:c r="E1508" t="str">
        <x:v>regression 10</x:v>
      </x:c>
      <x:c r="F1508" t="n">
        <x:f>Controls!$D$41</x:f>
        <x:v>1</x:v>
      </x:c>
      <x:c r="G1508" t="n">
        <x:v>1</x:v>
      </x:c>
      <x:c r="H1508" t="str">
        <x:v>RAW design authority</x:v>
      </x:c>
      <x:c r="I1508" t="str">
        <x:f>IF(F1508=1,"PASS","GAP")</x:f>
        <x:v>PASS</x:v>
      </x:c>
    </x:row>
    <x:row r="1509">
      <x:c r="B1509" t="str">
        <x:v>PL-1503</x:v>
      </x:c>
      <x:c r="C1509" t="str">
        <x:v>PLANNING</x:v>
      </x:c>
      <x:c r="D1509" t="str">
        <x:v>regression</x:v>
      </x:c>
      <x:c r="E1509" t="str">
        <x:v>regression 11</x:v>
      </x:c>
      <x:c r="F1509" t="n">
        <x:f>Controls!$D$41</x:f>
        <x:v>1</x:v>
      </x:c>
      <x:c r="G1509" t="n">
        <x:v>1</x:v>
      </x:c>
      <x:c r="H1509" t="str">
        <x:v>RAW design authority</x:v>
      </x:c>
      <x:c r="I1509" t="str">
        <x:f>IF(F1509=1,"PASS","GAP")</x:f>
        <x:v>PASS</x:v>
      </x:c>
    </x:row>
    <x:row r="1510">
      <x:c r="B1510" t="str">
        <x:v>PL-1504</x:v>
      </x:c>
      <x:c r="C1510" t="str">
        <x:v>PLANNING</x:v>
      </x:c>
      <x:c r="D1510" t="str">
        <x:v>regression</x:v>
      </x:c>
      <x:c r="E1510" t="str">
        <x:v>regression 12</x:v>
      </x:c>
      <x:c r="F1510" t="n">
        <x:f>Controls!$D$41</x:f>
        <x:v>1</x:v>
      </x:c>
      <x:c r="G1510" t="n">
        <x:v>1</x:v>
      </x:c>
      <x:c r="H1510" t="str">
        <x:v>RAW design authority</x:v>
      </x:c>
      <x:c r="I1510" t="str">
        <x:f>IF(F1510=1,"PASS","GAP")</x:f>
        <x:v>PASS</x:v>
      </x:c>
    </x:row>
    <x:row r="1511">
      <x:c r="B1511" t="str">
        <x:v>PL-1505</x:v>
      </x:c>
      <x:c r="C1511" t="str">
        <x:v>PLANNING</x:v>
      </x:c>
      <x:c r="D1511" t="str">
        <x:v>regression</x:v>
      </x:c>
      <x:c r="E1511" t="str">
        <x:v>regression 13</x:v>
      </x:c>
      <x:c r="F1511" t="n">
        <x:f>Controls!$D$41</x:f>
        <x:v>1</x:v>
      </x:c>
      <x:c r="G1511" t="n">
        <x:v>1</x:v>
      </x:c>
      <x:c r="H1511" t="str">
        <x:v>RAW design authority</x:v>
      </x:c>
      <x:c r="I1511" t="str">
        <x:f>IF(F1511=1,"PASS","GAP")</x:f>
        <x:v>PASS</x:v>
      </x:c>
    </x:row>
    <x:row r="1512">
      <x:c r="B1512" t="str">
        <x:v>PL-1506</x:v>
      </x:c>
      <x:c r="C1512" t="str">
        <x:v>PLANNING</x:v>
      </x:c>
      <x:c r="D1512" t="str">
        <x:v>regression</x:v>
      </x:c>
      <x:c r="E1512" t="str">
        <x:v>regression 14</x:v>
      </x:c>
      <x:c r="F1512" t="n">
        <x:f>Controls!$D$41</x:f>
        <x:v>1</x:v>
      </x:c>
      <x:c r="G1512" t="n">
        <x:v>1</x:v>
      </x:c>
      <x:c r="H1512" t="str">
        <x:v>RAW design authority</x:v>
      </x:c>
      <x:c r="I1512" t="str">
        <x:f>IF(F1512=1,"PASS","GAP")</x:f>
        <x:v>PASS</x:v>
      </x:c>
    </x:row>
    <x:row r="1513">
      <x:c r="B1513" t="str">
        <x:v>PL-1507</x:v>
      </x:c>
      <x:c r="C1513" t="str">
        <x:v>PLANNING</x:v>
      </x:c>
      <x:c r="D1513" t="str">
        <x:v>regression</x:v>
      </x:c>
      <x:c r="E1513" t="str">
        <x:v>regression 15</x:v>
      </x:c>
      <x:c r="F1513" t="n">
        <x:f>Controls!$D$41</x:f>
        <x:v>1</x:v>
      </x:c>
      <x:c r="G1513" t="n">
        <x:v>1</x:v>
      </x:c>
      <x:c r="H1513" t="str">
        <x:v>RAW design authority</x:v>
      </x:c>
      <x:c r="I1513" t="str">
        <x:f>IF(F1513=1,"PASS","GAP")</x:f>
        <x:v>PASS</x:v>
      </x:c>
    </x:row>
    <x:row r="1514">
      <x:c r="B1514" t="str">
        <x:v>PL-1508</x:v>
      </x:c>
      <x:c r="C1514" t="str">
        <x:v>PLANNING</x:v>
      </x:c>
      <x:c r="D1514" t="str">
        <x:v>regression</x:v>
      </x:c>
      <x:c r="E1514" t="str">
        <x:v>regression 16</x:v>
      </x:c>
      <x:c r="F1514" t="n">
        <x:f>Controls!$D$41</x:f>
        <x:v>1</x:v>
      </x:c>
      <x:c r="G1514" t="n">
        <x:v>1</x:v>
      </x:c>
      <x:c r="H1514" t="str">
        <x:v>RAW design authority</x:v>
      </x:c>
      <x:c r="I1514" t="str">
        <x:f>IF(F1514=1,"PASS","GAP")</x:f>
        <x:v>PASS</x:v>
      </x:c>
    </x:row>
    <x:row r="1515">
      <x:c r="B1515" t="str">
        <x:v>PL-1509</x:v>
      </x:c>
      <x:c r="C1515" t="str">
        <x:v>PLANNING</x:v>
      </x:c>
      <x:c r="D1515" t="str">
        <x:v>technology campaign</x:v>
      </x:c>
      <x:c r="E1515" t="str">
        <x:v>technology campaign 1</x:v>
      </x:c>
      <x:c r="F1515" t="n">
        <x:f>Controls!$D$41</x:f>
        <x:v>1</x:v>
      </x:c>
      <x:c r="G1515" t="n">
        <x:v>1</x:v>
      </x:c>
      <x:c r="H1515" t="str">
        <x:v>RAW design authority</x:v>
      </x:c>
      <x:c r="I1515" t="str">
        <x:f>IF(F1515=1,"PASS","GAP")</x:f>
        <x:v>PASS</x:v>
      </x:c>
    </x:row>
    <x:row r="1516">
      <x:c r="B1516" t="str">
        <x:v>PL-1510</x:v>
      </x:c>
      <x:c r="C1516" t="str">
        <x:v>PLANNING</x:v>
      </x:c>
      <x:c r="D1516" t="str">
        <x:v>technology campaign</x:v>
      </x:c>
      <x:c r="E1516" t="str">
        <x:v>technology campaign 2</x:v>
      </x:c>
      <x:c r="F1516" t="n">
        <x:f>Controls!$D$41</x:f>
        <x:v>1</x:v>
      </x:c>
      <x:c r="G1516" t="n">
        <x:v>1</x:v>
      </x:c>
      <x:c r="H1516" t="str">
        <x:v>RAW design authority</x:v>
      </x:c>
      <x:c r="I1516" t="str">
        <x:f>IF(F1516=1,"PASS","GAP")</x:f>
        <x:v>PASS</x:v>
      </x:c>
    </x:row>
    <x:row r="1517">
      <x:c r="B1517" t="str">
        <x:v>PL-1511</x:v>
      </x:c>
      <x:c r="C1517" t="str">
        <x:v>PLANNING</x:v>
      </x:c>
      <x:c r="D1517" t="str">
        <x:v>technology campaign</x:v>
      </x:c>
      <x:c r="E1517" t="str">
        <x:v>technology campaign 3</x:v>
      </x:c>
      <x:c r="F1517" t="n">
        <x:f>Controls!$D$41</x:f>
        <x:v>1</x:v>
      </x:c>
      <x:c r="G1517" t="n">
        <x:v>1</x:v>
      </x:c>
      <x:c r="H1517" t="str">
        <x:v>RAW design authority</x:v>
      </x:c>
      <x:c r="I1517" t="str">
        <x:f>IF(F1517=1,"PASS","GAP")</x:f>
        <x:v>PASS</x:v>
      </x:c>
    </x:row>
    <x:row r="1518">
      <x:c r="B1518" t="str">
        <x:v>PL-1512</x:v>
      </x:c>
      <x:c r="C1518" t="str">
        <x:v>PLANNING</x:v>
      </x:c>
      <x:c r="D1518" t="str">
        <x:v>technology campaign</x:v>
      </x:c>
      <x:c r="E1518" t="str">
        <x:v>technology campaign 4</x:v>
      </x:c>
      <x:c r="F1518" t="n">
        <x:f>Controls!$D$41</x:f>
        <x:v>1</x:v>
      </x:c>
      <x:c r="G1518" t="n">
        <x:v>1</x:v>
      </x:c>
      <x:c r="H1518" t="str">
        <x:v>RAW design authority</x:v>
      </x:c>
      <x:c r="I1518" t="str">
        <x:f>IF(F1518=1,"PASS","GAP")</x:f>
        <x:v>PASS</x:v>
      </x:c>
    </x:row>
    <x:row r="1519">
      <x:c r="B1519" t="str">
        <x:v>PL-1513</x:v>
      </x:c>
      <x:c r="C1519" t="str">
        <x:v>PLANNING</x:v>
      </x:c>
      <x:c r="D1519" t="str">
        <x:v>technology campaign</x:v>
      </x:c>
      <x:c r="E1519" t="str">
        <x:v>technology campaign 5</x:v>
      </x:c>
      <x:c r="F1519" t="n">
        <x:f>Controls!$D$41</x:f>
        <x:v>1</x:v>
      </x:c>
      <x:c r="G1519" t="n">
        <x:v>1</x:v>
      </x:c>
      <x:c r="H1519" t="str">
        <x:v>RAW design authority</x:v>
      </x:c>
      <x:c r="I1519" t="str">
        <x:f>IF(F1519=1,"PASS","GAP")</x:f>
        <x:v>PASS</x:v>
      </x:c>
    </x:row>
    <x:row r="1520">
      <x:c r="B1520" t="str">
        <x:v>PL-1514</x:v>
      </x:c>
      <x:c r="C1520" t="str">
        <x:v>PLANNING</x:v>
      </x:c>
      <x:c r="D1520" t="str">
        <x:v>technology campaign</x:v>
      </x:c>
      <x:c r="E1520" t="str">
        <x:v>technology campaign 6</x:v>
      </x:c>
      <x:c r="F1520" t="n">
        <x:f>Controls!$D$41</x:f>
        <x:v>1</x:v>
      </x:c>
      <x:c r="G1520" t="n">
        <x:v>1</x:v>
      </x:c>
      <x:c r="H1520" t="str">
        <x:v>RAW design authority</x:v>
      </x:c>
      <x:c r="I1520" t="str">
        <x:f>IF(F1520=1,"PASS","GAP")</x:f>
        <x:v>PASS</x:v>
      </x:c>
    </x:row>
    <x:row r="1521">
      <x:c r="B1521" t="str">
        <x:v>PL-1515</x:v>
      </x:c>
      <x:c r="C1521" t="str">
        <x:v>PLANNING</x:v>
      </x:c>
      <x:c r="D1521" t="str">
        <x:v>technology campaign</x:v>
      </x:c>
      <x:c r="E1521" t="str">
        <x:v>technology campaign 7</x:v>
      </x:c>
      <x:c r="F1521" t="n">
        <x:f>Controls!$D$41</x:f>
        <x:v>1</x:v>
      </x:c>
      <x:c r="G1521" t="n">
        <x:v>1</x:v>
      </x:c>
      <x:c r="H1521" t="str">
        <x:v>RAW design authority</x:v>
      </x:c>
      <x:c r="I1521" t="str">
        <x:f>IF(F1521=1,"PASS","GAP")</x:f>
        <x:v>PASS</x:v>
      </x:c>
    </x:row>
    <x:row r="1522">
      <x:c r="B1522" t="str">
        <x:v>PL-1516</x:v>
      </x:c>
      <x:c r="C1522" t="str">
        <x:v>PLANNING</x:v>
      </x:c>
      <x:c r="D1522" t="str">
        <x:v>technology campaign</x:v>
      </x:c>
      <x:c r="E1522" t="str">
        <x:v>technology campaign 8</x:v>
      </x:c>
      <x:c r="F1522" t="n">
        <x:f>Controls!$D$41</x:f>
        <x:v>1</x:v>
      </x:c>
      <x:c r="G1522" t="n">
        <x:v>1</x:v>
      </x:c>
      <x:c r="H1522" t="str">
        <x:v>RAW design authority</x:v>
      </x:c>
      <x:c r="I1522" t="str">
        <x:f>IF(F1522=1,"PASS","GAP")</x:f>
        <x:v>PASS</x:v>
      </x:c>
    </x:row>
    <x:row r="1523">
      <x:c r="B1523" t="str">
        <x:v>PL-1517</x:v>
      </x:c>
      <x:c r="C1523" t="str">
        <x:v>PLANNING</x:v>
      </x:c>
      <x:c r="D1523" t="str">
        <x:v>technology campaign</x:v>
      </x:c>
      <x:c r="E1523" t="str">
        <x:v>technology campaign 9</x:v>
      </x:c>
      <x:c r="F1523" t="n">
        <x:f>Controls!$D$41</x:f>
        <x:v>1</x:v>
      </x:c>
      <x:c r="G1523" t="n">
        <x:v>1</x:v>
      </x:c>
      <x:c r="H1523" t="str">
        <x:v>RAW design authority</x:v>
      </x:c>
      <x:c r="I1523" t="str">
        <x:f>IF(F1523=1,"PASS","GAP")</x:f>
        <x:v>PASS</x:v>
      </x:c>
    </x:row>
    <x:row r="1524">
      <x:c r="B1524" t="str">
        <x:v>PL-1518</x:v>
      </x:c>
      <x:c r="C1524" t="str">
        <x:v>PLANNING</x:v>
      </x:c>
      <x:c r="D1524" t="str">
        <x:v>technology campaign</x:v>
      </x:c>
      <x:c r="E1524" t="str">
        <x:v>technology campaign 10</x:v>
      </x:c>
      <x:c r="F1524" t="n">
        <x:f>Controls!$D$41</x:f>
        <x:v>1</x:v>
      </x:c>
      <x:c r="G1524" t="n">
        <x:v>1</x:v>
      </x:c>
      <x:c r="H1524" t="str">
        <x:v>RAW design authority</x:v>
      </x:c>
      <x:c r="I1524" t="str">
        <x:f>IF(F1524=1,"PASS","GAP")</x:f>
        <x:v>PASS</x:v>
      </x:c>
    </x:row>
    <x:row r="1525">
      <x:c r="B1525" t="str">
        <x:v>PL-1519</x:v>
      </x:c>
      <x:c r="C1525" t="str">
        <x:v>PLANNING</x:v>
      </x:c>
      <x:c r="D1525" t="str">
        <x:v>technology campaign</x:v>
      </x:c>
      <x:c r="E1525" t="str">
        <x:v>technology campaign 11</x:v>
      </x:c>
      <x:c r="F1525" t="n">
        <x:f>Controls!$D$41</x:f>
        <x:v>1</x:v>
      </x:c>
      <x:c r="G1525" t="n">
        <x:v>1</x:v>
      </x:c>
      <x:c r="H1525" t="str">
        <x:v>RAW design authority</x:v>
      </x:c>
      <x:c r="I1525" t="str">
        <x:f>IF(F1525=1,"PASS","GAP")</x:f>
        <x:v>PASS</x:v>
      </x:c>
    </x:row>
    <x:row r="1526">
      <x:c r="B1526" t="str">
        <x:v>PL-1520</x:v>
      </x:c>
      <x:c r="C1526" t="str">
        <x:v>PLANNING</x:v>
      </x:c>
      <x:c r="D1526" t="str">
        <x:v>technology campaign</x:v>
      </x:c>
      <x:c r="E1526" t="str">
        <x:v>technology campaign 12</x:v>
      </x:c>
      <x:c r="F1526" t="n">
        <x:f>Controls!$D$41</x:f>
        <x:v>1</x:v>
      </x:c>
      <x:c r="G1526" t="n">
        <x:v>1</x:v>
      </x:c>
      <x:c r="H1526" t="str">
        <x:v>RAW design authority</x:v>
      </x:c>
      <x:c r="I1526" t="str">
        <x:f>IF(F1526=1,"PASS","GAP")</x:f>
        <x:v>PASS</x:v>
      </x:c>
    </x:row>
    <x:row r="1527">
      <x:c r="B1527" t="str">
        <x:v>PL-1521</x:v>
      </x:c>
      <x:c r="C1527" t="str">
        <x:v>PLANNING</x:v>
      </x:c>
      <x:c r="D1527" t="str">
        <x:v>schedule phase</x:v>
      </x:c>
      <x:c r="E1527" t="str">
        <x:v>schedule phase 1</x:v>
      </x:c>
      <x:c r="F1527" t="n">
        <x:f>Controls!$D$41</x:f>
        <x:v>1</x:v>
      </x:c>
      <x:c r="G1527" t="n">
        <x:v>1</x:v>
      </x:c>
      <x:c r="H1527" t="str">
        <x:v>RAW design authority</x:v>
      </x:c>
      <x:c r="I1527" t="str">
        <x:f>IF(F1527=1,"PASS","GAP")</x:f>
        <x:v>PASS</x:v>
      </x:c>
    </x:row>
    <x:row r="1528">
      <x:c r="B1528" t="str">
        <x:v>PL-1522</x:v>
      </x:c>
      <x:c r="C1528" t="str">
        <x:v>PLANNING</x:v>
      </x:c>
      <x:c r="D1528" t="str">
        <x:v>schedule phase</x:v>
      </x:c>
      <x:c r="E1528" t="str">
        <x:v>schedule phase 2</x:v>
      </x:c>
      <x:c r="F1528" t="n">
        <x:f>Controls!$D$41</x:f>
        <x:v>1</x:v>
      </x:c>
      <x:c r="G1528" t="n">
        <x:v>1</x:v>
      </x:c>
      <x:c r="H1528" t="str">
        <x:v>RAW design authority</x:v>
      </x:c>
      <x:c r="I1528" t="str">
        <x:f>IF(F1528=1,"PASS","GAP")</x:f>
        <x:v>PASS</x:v>
      </x:c>
    </x:row>
    <x:row r="1529">
      <x:c r="B1529" t="str">
        <x:v>PL-1523</x:v>
      </x:c>
      <x:c r="C1529" t="str">
        <x:v>PLANNING</x:v>
      </x:c>
      <x:c r="D1529" t="str">
        <x:v>schedule phase</x:v>
      </x:c>
      <x:c r="E1529" t="str">
        <x:v>schedule phase 3</x:v>
      </x:c>
      <x:c r="F1529" t="n">
        <x:f>Controls!$D$41</x:f>
        <x:v>1</x:v>
      </x:c>
      <x:c r="G1529" t="n">
        <x:v>1</x:v>
      </x:c>
      <x:c r="H1529" t="str">
        <x:v>RAW design authority</x:v>
      </x:c>
      <x:c r="I1529" t="str">
        <x:f>IF(F1529=1,"PASS","GAP")</x:f>
        <x:v>PASS</x:v>
      </x:c>
    </x:row>
    <x:row r="1530">
      <x:c r="B1530" t="str">
        <x:v>PL-1524</x:v>
      </x:c>
      <x:c r="C1530" t="str">
        <x:v>PLANNING</x:v>
      </x:c>
      <x:c r="D1530" t="str">
        <x:v>schedule phase</x:v>
      </x:c>
      <x:c r="E1530" t="str">
        <x:v>schedule phase 4</x:v>
      </x:c>
      <x:c r="F1530" t="n">
        <x:f>Controls!$D$41</x:f>
        <x:v>1</x:v>
      </x:c>
      <x:c r="G1530" t="n">
        <x:v>1</x:v>
      </x:c>
      <x:c r="H1530" t="str">
        <x:v>RAW design authority</x:v>
      </x:c>
      <x:c r="I1530" t="str">
        <x:f>IF(F1530=1,"PASS","GAP")</x:f>
        <x:v>PASS</x:v>
      </x:c>
    </x:row>
    <x:row r="1531">
      <x:c r="B1531" t="str">
        <x:v>PL-1525</x:v>
      </x:c>
      <x:c r="C1531" t="str">
        <x:v>PLANNING</x:v>
      </x:c>
      <x:c r="D1531" t="str">
        <x:v>schedule phase</x:v>
      </x:c>
      <x:c r="E1531" t="str">
        <x:v>schedule phase 5</x:v>
      </x:c>
      <x:c r="F1531" t="n">
        <x:f>Controls!$D$41</x:f>
        <x:v>1</x:v>
      </x:c>
      <x:c r="G1531" t="n">
        <x:v>1</x:v>
      </x:c>
      <x:c r="H1531" t="str">
        <x:v>RAW design authority</x:v>
      </x:c>
      <x:c r="I1531" t="str">
        <x:f>IF(F1531=1,"PASS","GAP")</x:f>
        <x:v>PASS</x:v>
      </x:c>
    </x:row>
    <x:row r="1532">
      <x:c r="B1532" t="str">
        <x:v>PL-1526</x:v>
      </x:c>
      <x:c r="C1532" t="str">
        <x:v>PLANNING</x:v>
      </x:c>
      <x:c r="D1532" t="str">
        <x:v>schedule phase</x:v>
      </x:c>
      <x:c r="E1532" t="str">
        <x:v>schedule phase 6</x:v>
      </x:c>
      <x:c r="F1532" t="n">
        <x:f>Controls!$D$41</x:f>
        <x:v>1</x:v>
      </x:c>
      <x:c r="G1532" t="n">
        <x:v>1</x:v>
      </x:c>
      <x:c r="H1532" t="str">
        <x:v>RAW design authority</x:v>
      </x:c>
      <x:c r="I1532" t="str">
        <x:f>IF(F1532=1,"PASS","GAP")</x:f>
        <x:v>PASS</x:v>
      </x:c>
    </x:row>
    <x:row r="1533">
      <x:c r="B1533" t="str">
        <x:v>PL-1527</x:v>
      </x:c>
      <x:c r="C1533" t="str">
        <x:v>PLANNING</x:v>
      </x:c>
      <x:c r="D1533" t="str">
        <x:v>schedule phase</x:v>
      </x:c>
      <x:c r="E1533" t="str">
        <x:v>schedule phase 7</x:v>
      </x:c>
      <x:c r="F1533" t="n">
        <x:f>Controls!$D$41</x:f>
        <x:v>1</x:v>
      </x:c>
      <x:c r="G1533" t="n">
        <x:v>1</x:v>
      </x:c>
      <x:c r="H1533" t="str">
        <x:v>RAW design authority</x:v>
      </x:c>
      <x:c r="I1533" t="str">
        <x:f>IF(F1533=1,"PASS","GAP")</x:f>
        <x:v>PASS</x:v>
      </x:c>
    </x:row>
    <x:row r="1534">
      <x:c r="B1534" t="str">
        <x:v>PL-1528</x:v>
      </x:c>
      <x:c r="C1534" t="str">
        <x:v>PLANNING</x:v>
      </x:c>
      <x:c r="D1534" t="str">
        <x:v>schedule phase</x:v>
      </x:c>
      <x:c r="E1534" t="str">
        <x:v>schedule phase 8</x:v>
      </x:c>
      <x:c r="F1534" t="n">
        <x:f>Controls!$D$41</x:f>
        <x:v>1</x:v>
      </x:c>
      <x:c r="G1534" t="n">
        <x:v>1</x:v>
      </x:c>
      <x:c r="H1534" t="str">
        <x:v>RAW design authority</x:v>
      </x:c>
      <x:c r="I1534" t="str">
        <x:f>IF(F1534=1,"PASS","GAP")</x:f>
        <x:v>PASS</x:v>
      </x:c>
    </x:row>
    <x:row r="1535">
      <x:c r="B1535" t="str">
        <x:v>PL-1529</x:v>
      </x:c>
      <x:c r="C1535" t="str">
        <x:v>PLANNING</x:v>
      </x:c>
      <x:c r="D1535" t="str">
        <x:v>schedule phase</x:v>
      </x:c>
      <x:c r="E1535" t="str">
        <x:v>schedule phase 9</x:v>
      </x:c>
      <x:c r="F1535" t="n">
        <x:f>Controls!$D$41</x:f>
        <x:v>1</x:v>
      </x:c>
      <x:c r="G1535" t="n">
        <x:v>1</x:v>
      </x:c>
      <x:c r="H1535" t="str">
        <x:v>RAW design authority</x:v>
      </x:c>
      <x:c r="I1535" t="str">
        <x:f>IF(F1535=1,"PASS","GAP")</x:f>
        <x:v>PASS</x:v>
      </x:c>
    </x:row>
    <x:row r="1536">
      <x:c r="B1536" t="str">
        <x:v>PL-1530</x:v>
      </x:c>
      <x:c r="C1536" t="str">
        <x:v>PLANNING</x:v>
      </x:c>
      <x:c r="D1536" t="str">
        <x:v>schedule phase</x:v>
      </x:c>
      <x:c r="E1536" t="str">
        <x:v>schedule phase 10</x:v>
      </x:c>
      <x:c r="F1536" t="n">
        <x:f>Controls!$D$41</x:f>
        <x:v>1</x:v>
      </x:c>
      <x:c r="G1536" t="n">
        <x:v>1</x:v>
      </x:c>
      <x:c r="H1536" t="str">
        <x:v>RAW design authority</x:v>
      </x:c>
      <x:c r="I1536" t="str">
        <x:f>IF(F1536=1,"PASS","GAP")</x:f>
        <x:v>PASS</x:v>
      </x:c>
    </x:row>
    <x:row r="1537">
      <x:c r="B1537" t="str">
        <x:v>PL-1531</x:v>
      </x:c>
      <x:c r="C1537" t="str">
        <x:v>PLANNING</x:v>
      </x:c>
      <x:c r="D1537" t="str">
        <x:v>schedule phase</x:v>
      </x:c>
      <x:c r="E1537" t="str">
        <x:v>schedule phase 11</x:v>
      </x:c>
      <x:c r="F1537" t="n">
        <x:f>Controls!$D$41</x:f>
        <x:v>1</x:v>
      </x:c>
      <x:c r="G1537" t="n">
        <x:v>1</x:v>
      </x:c>
      <x:c r="H1537" t="str">
        <x:v>RAW design authority</x:v>
      </x:c>
      <x:c r="I1537" t="str">
        <x:f>IF(F1537=1,"PASS","GAP")</x:f>
        <x:v>PASS</x:v>
      </x:c>
    </x:row>
    <x:row r="1538">
      <x:c r="B1538" t="str">
        <x:v>PL-1532</x:v>
      </x:c>
      <x:c r="C1538" t="str">
        <x:v>PLANNING</x:v>
      </x:c>
      <x:c r="D1538" t="str">
        <x:v>schedule phase</x:v>
      </x:c>
      <x:c r="E1538" t="str">
        <x:v>schedule phase 12</x:v>
      </x:c>
      <x:c r="F1538" t="n">
        <x:f>Controls!$D$41</x:f>
        <x:v>1</x:v>
      </x:c>
      <x:c r="G1538" t="n">
        <x:v>1</x:v>
      </x:c>
      <x:c r="H1538" t="str">
        <x:v>RAW design authority</x:v>
      </x:c>
      <x:c r="I1538" t="str">
        <x:f>IF(F1538=1,"PASS","GAP")</x:f>
        <x:v>PASS</x:v>
      </x:c>
    </x:row>
    <x:row r="1539">
      <x:c r="B1539" t="str">
        <x:v>PL-1533</x:v>
      </x:c>
      <x:c r="C1539" t="str">
        <x:v>PLANNING</x:v>
      </x:c>
      <x:c r="D1539" t="str">
        <x:v>capacity row</x:v>
      </x:c>
      <x:c r="E1539" t="str">
        <x:v>capacity row 1</x:v>
      </x:c>
      <x:c r="F1539" t="n">
        <x:f>Controls!$D$41</x:f>
        <x:v>1</x:v>
      </x:c>
      <x:c r="G1539" t="n">
        <x:v>1</x:v>
      </x:c>
      <x:c r="H1539" t="str">
        <x:v>RAW design authority</x:v>
      </x:c>
      <x:c r="I1539" t="str">
        <x:f>IF(F1539=1,"PASS","GAP")</x:f>
        <x:v>PASS</x:v>
      </x:c>
    </x:row>
    <x:row r="1540">
      <x:c r="B1540" t="str">
        <x:v>PL-1534</x:v>
      </x:c>
      <x:c r="C1540" t="str">
        <x:v>PLANNING</x:v>
      </x:c>
      <x:c r="D1540" t="str">
        <x:v>capacity row</x:v>
      </x:c>
      <x:c r="E1540" t="str">
        <x:v>capacity row 2</x:v>
      </x:c>
      <x:c r="F1540" t="n">
        <x:f>Controls!$D$41</x:f>
        <x:v>1</x:v>
      </x:c>
      <x:c r="G1540" t="n">
        <x:v>1</x:v>
      </x:c>
      <x:c r="H1540" t="str">
        <x:v>RAW design authority</x:v>
      </x:c>
      <x:c r="I1540" t="str">
        <x:f>IF(F1540=1,"PASS","GAP")</x:f>
        <x:v>PASS</x:v>
      </x:c>
    </x:row>
    <x:row r="1541">
      <x:c r="B1541" t="str">
        <x:v>PL-1535</x:v>
      </x:c>
      <x:c r="C1541" t="str">
        <x:v>PLANNING</x:v>
      </x:c>
      <x:c r="D1541" t="str">
        <x:v>capacity row</x:v>
      </x:c>
      <x:c r="E1541" t="str">
        <x:v>capacity row 3</x:v>
      </x:c>
      <x:c r="F1541" t="n">
        <x:f>Controls!$D$41</x:f>
        <x:v>1</x:v>
      </x:c>
      <x:c r="G1541" t="n">
        <x:v>1</x:v>
      </x:c>
      <x:c r="H1541" t="str">
        <x:v>RAW design authority</x:v>
      </x:c>
      <x:c r="I1541" t="str">
        <x:f>IF(F1541=1,"PASS","GAP")</x:f>
        <x:v>PASS</x:v>
      </x:c>
    </x:row>
    <x:row r="1542">
      <x:c r="B1542" t="str">
        <x:v>PL-1536</x:v>
      </x:c>
      <x:c r="C1542" t="str">
        <x:v>PLANNING</x:v>
      </x:c>
      <x:c r="D1542" t="str">
        <x:v>capacity row</x:v>
      </x:c>
      <x:c r="E1542" t="str">
        <x:v>capacity row 4</x:v>
      </x:c>
      <x:c r="F1542" t="n">
        <x:f>Controls!$D$41</x:f>
        <x:v>1</x:v>
      </x:c>
      <x:c r="G1542" t="n">
        <x:v>1</x:v>
      </x:c>
      <x:c r="H1542" t="str">
        <x:v>RAW design authority</x:v>
      </x:c>
      <x:c r="I1542" t="str">
        <x:f>IF(F1542=1,"PASS","GAP")</x:f>
        <x:v>PASS</x:v>
      </x:c>
    </x:row>
    <x:row r="1543">
      <x:c r="B1543" t="str">
        <x:v>PL-1537</x:v>
      </x:c>
      <x:c r="C1543" t="str">
        <x:v>PLANNING</x:v>
      </x:c>
      <x:c r="D1543" t="str">
        <x:v>capacity row</x:v>
      </x:c>
      <x:c r="E1543" t="str">
        <x:v>capacity row 5</x:v>
      </x:c>
      <x:c r="F1543" t="n">
        <x:f>Controls!$D$41</x:f>
        <x:v>1</x:v>
      </x:c>
      <x:c r="G1543" t="n">
        <x:v>1</x:v>
      </x:c>
      <x:c r="H1543" t="str">
        <x:v>RAW design authority</x:v>
      </x:c>
      <x:c r="I1543" t="str">
        <x:f>IF(F1543=1,"PASS","GAP")</x:f>
        <x:v>PASS</x:v>
      </x:c>
    </x:row>
    <x:row r="1544">
      <x:c r="B1544" t="str">
        <x:v>PL-1538</x:v>
      </x:c>
      <x:c r="C1544" t="str">
        <x:v>PLANNING</x:v>
      </x:c>
      <x:c r="D1544" t="str">
        <x:v>capacity row</x:v>
      </x:c>
      <x:c r="E1544" t="str">
        <x:v>capacity row 6</x:v>
      </x:c>
      <x:c r="F1544" t="n">
        <x:f>Controls!$D$41</x:f>
        <x:v>1</x:v>
      </x:c>
      <x:c r="G1544" t="n">
        <x:v>1</x:v>
      </x:c>
      <x:c r="H1544" t="str">
        <x:v>RAW design authority</x:v>
      </x:c>
      <x:c r="I1544" t="str">
        <x:f>IF(F1544=1,"PASS","GAP")</x:f>
        <x:v>PASS</x:v>
      </x:c>
    </x:row>
    <x:row r="1545">
      <x:c r="B1545" t="str">
        <x:v>PL-1539</x:v>
      </x:c>
      <x:c r="C1545" t="str">
        <x:v>PLANNING</x:v>
      </x:c>
      <x:c r="D1545" t="str">
        <x:v>workforce function</x:v>
      </x:c>
      <x:c r="E1545" t="str">
        <x:v>workforce function 1</x:v>
      </x:c>
      <x:c r="F1545" t="n">
        <x:f>Controls!$D$41</x:f>
        <x:v>1</x:v>
      </x:c>
      <x:c r="G1545" t="n">
        <x:v>1</x:v>
      </x:c>
      <x:c r="H1545" t="str">
        <x:v>RAW design authority</x:v>
      </x:c>
      <x:c r="I1545" t="str">
        <x:f>IF(F1545=1,"PASS","GAP")</x:f>
        <x:v>PASS</x:v>
      </x:c>
    </x:row>
    <x:row r="1546">
      <x:c r="B1546" t="str">
        <x:v>PL-1540</x:v>
      </x:c>
      <x:c r="C1546" t="str">
        <x:v>PLANNING</x:v>
      </x:c>
      <x:c r="D1546" t="str">
        <x:v>workforce function</x:v>
      </x:c>
      <x:c r="E1546" t="str">
        <x:v>workforce function 2</x:v>
      </x:c>
      <x:c r="F1546" t="n">
        <x:f>Controls!$D$41</x:f>
        <x:v>1</x:v>
      </x:c>
      <x:c r="G1546" t="n">
        <x:v>1</x:v>
      </x:c>
      <x:c r="H1546" t="str">
        <x:v>RAW design authority</x:v>
      </x:c>
      <x:c r="I1546" t="str">
        <x:f>IF(F1546=1,"PASS","GAP")</x:f>
        <x:v>PASS</x:v>
      </x:c>
    </x:row>
    <x:row r="1547">
      <x:c r="B1547" t="str">
        <x:v>PL-1541</x:v>
      </x:c>
      <x:c r="C1547" t="str">
        <x:v>PLANNING</x:v>
      </x:c>
      <x:c r="D1547" t="str">
        <x:v>workforce function</x:v>
      </x:c>
      <x:c r="E1547" t="str">
        <x:v>workforce function 3</x:v>
      </x:c>
      <x:c r="F1547" t="n">
        <x:f>Controls!$D$41</x:f>
        <x:v>1</x:v>
      </x:c>
      <x:c r="G1547" t="n">
        <x:v>1</x:v>
      </x:c>
      <x:c r="H1547" t="str">
        <x:v>RAW design authority</x:v>
      </x:c>
      <x:c r="I1547" t="str">
        <x:f>IF(F1547=1,"PASS","GAP")</x:f>
        <x:v>PASS</x:v>
      </x:c>
    </x:row>
    <x:row r="1548">
      <x:c r="B1548" t="str">
        <x:v>PL-1542</x:v>
      </x:c>
      <x:c r="C1548" t="str">
        <x:v>PLANNING</x:v>
      </x:c>
      <x:c r="D1548" t="str">
        <x:v>workforce function</x:v>
      </x:c>
      <x:c r="E1548" t="str">
        <x:v>workforce function 4</x:v>
      </x:c>
      <x:c r="F1548" t="n">
        <x:f>Controls!$D$41</x:f>
        <x:v>1</x:v>
      </x:c>
      <x:c r="G1548" t="n">
        <x:v>1</x:v>
      </x:c>
      <x:c r="H1548" t="str">
        <x:v>RAW design authority</x:v>
      </x:c>
      <x:c r="I1548" t="str">
        <x:f>IF(F1548=1,"PASS","GAP")</x:f>
        <x:v>PASS</x:v>
      </x:c>
    </x:row>
    <x:row r="1549">
      <x:c r="B1549" t="str">
        <x:v>PL-1543</x:v>
      </x:c>
      <x:c r="C1549" t="str">
        <x:v>PLANNING</x:v>
      </x:c>
      <x:c r="D1549" t="str">
        <x:v>workforce function</x:v>
      </x:c>
      <x:c r="E1549" t="str">
        <x:v>workforce function 5</x:v>
      </x:c>
      <x:c r="F1549" t="n">
        <x:f>Controls!$D$41</x:f>
        <x:v>1</x:v>
      </x:c>
      <x:c r="G1549" t="n">
        <x:v>1</x:v>
      </x:c>
      <x:c r="H1549" t="str">
        <x:v>RAW design authority</x:v>
      </x:c>
      <x:c r="I1549" t="str">
        <x:f>IF(F1549=1,"PASS","GAP")</x:f>
        <x:v>PASS</x:v>
      </x:c>
    </x:row>
    <x:row r="1550">
      <x:c r="B1550" t="str">
        <x:v>PL-1544</x:v>
      </x:c>
      <x:c r="C1550" t="str">
        <x:v>PLANNING</x:v>
      </x:c>
      <x:c r="D1550" t="str">
        <x:v>workforce function</x:v>
      </x:c>
      <x:c r="E1550" t="str">
        <x:v>workforce function 6</x:v>
      </x:c>
      <x:c r="F1550" t="n">
        <x:f>Controls!$D$41</x:f>
        <x:v>1</x:v>
      </x:c>
      <x:c r="G1550" t="n">
        <x:v>1</x:v>
      </x:c>
      <x:c r="H1550" t="str">
        <x:v>RAW design authority</x:v>
      </x:c>
      <x:c r="I1550" t="str">
        <x:f>IF(F1550=1,"PASS","GAP")</x:f>
        <x:v>PASS</x:v>
      </x:c>
    </x:row>
    <x:row r="1551">
      <x:c r="B1551" t="str">
        <x:v>PL-1545</x:v>
      </x:c>
      <x:c r="C1551" t="str">
        <x:v>PLANNING</x:v>
      </x:c>
      <x:c r="D1551" t="str">
        <x:v>workforce function</x:v>
      </x:c>
      <x:c r="E1551" t="str">
        <x:v>workforce function 7</x:v>
      </x:c>
      <x:c r="F1551" t="n">
        <x:f>Controls!$D$41</x:f>
        <x:v>1</x:v>
      </x:c>
      <x:c r="G1551" t="n">
        <x:v>1</x:v>
      </x:c>
      <x:c r="H1551" t="str">
        <x:v>RAW design authority</x:v>
      </x:c>
      <x:c r="I1551" t="str">
        <x:f>IF(F1551=1,"PASS","GAP")</x:f>
        <x:v>PASS</x:v>
      </x:c>
    </x:row>
    <x:row r="1552">
      <x:c r="B1552" t="str">
        <x:v>PL-1546</x:v>
      </x:c>
      <x:c r="C1552" t="str">
        <x:v>PLANNING</x:v>
      </x:c>
      <x:c r="D1552" t="str">
        <x:v>workforce function</x:v>
      </x:c>
      <x:c r="E1552" t="str">
        <x:v>workforce function 8</x:v>
      </x:c>
      <x:c r="F1552" t="n">
        <x:f>Controls!$D$41</x:f>
        <x:v>1</x:v>
      </x:c>
      <x:c r="G1552" t="n">
        <x:v>1</x:v>
      </x:c>
      <x:c r="H1552" t="str">
        <x:v>RAW design authority</x:v>
      </x:c>
      <x:c r="I1552" t="str">
        <x:f>IF(F1552=1,"PASS","GAP")</x:f>
        <x:v>PASS</x:v>
      </x:c>
    </x:row>
    <x:row r="1553">
      <x:c r="B1553" t="str">
        <x:v>PL-1547</x:v>
      </x:c>
      <x:c r="C1553" t="str">
        <x:v>PLANNING</x:v>
      </x:c>
      <x:c r="D1553" t="str">
        <x:v>workforce function</x:v>
      </x:c>
      <x:c r="E1553" t="str">
        <x:v>workforce function 9</x:v>
      </x:c>
      <x:c r="F1553" t="n">
        <x:f>Controls!$D$41</x:f>
        <x:v>1</x:v>
      </x:c>
      <x:c r="G1553" t="n">
        <x:v>1</x:v>
      </x:c>
      <x:c r="H1553" t="str">
        <x:v>RAW design authority</x:v>
      </x:c>
      <x:c r="I1553" t="str">
        <x:f>IF(F1553=1,"PASS","GAP")</x:f>
        <x:v>PASS</x:v>
      </x:c>
    </x:row>
    <x:row r="1554">
      <x:c r="B1554" t="str">
        <x:v>PL-1548</x:v>
      </x:c>
      <x:c r="C1554" t="str">
        <x:v>PLANNING</x:v>
      </x:c>
      <x:c r="D1554" t="str">
        <x:v>workforce function</x:v>
      </x:c>
      <x:c r="E1554" t="str">
        <x:v>workforce function 10</x:v>
      </x:c>
      <x:c r="F1554" t="n">
        <x:f>Controls!$D$41</x:f>
        <x:v>1</x:v>
      </x:c>
      <x:c r="G1554" t="n">
        <x:v>1</x:v>
      </x:c>
      <x:c r="H1554" t="str">
        <x:v>RAW design authority</x:v>
      </x:c>
      <x:c r="I1554" t="str">
        <x:f>IF(F1554=1,"PASS","GAP")</x:f>
        <x:v>PASS</x:v>
      </x:c>
    </x:row>
    <x:row r="1555">
      <x:c r="B1555" t="str">
        <x:v>PL-1549</x:v>
      </x:c>
      <x:c r="C1555" t="str">
        <x:v>PLANNING</x:v>
      </x:c>
      <x:c r="D1555" t="str">
        <x:v>capital line</x:v>
      </x:c>
      <x:c r="E1555" t="str">
        <x:v>capital line 1</x:v>
      </x:c>
      <x:c r="F1555" t="n">
        <x:f>Controls!$D$41</x:f>
        <x:v>1</x:v>
      </x:c>
      <x:c r="G1555" t="n">
        <x:v>1</x:v>
      </x:c>
      <x:c r="H1555" t="str">
        <x:v>RAW design authority</x:v>
      </x:c>
      <x:c r="I1555" t="str">
        <x:f>IF(F1555=1,"PASS","GAP")</x:f>
        <x:v>PASS</x:v>
      </x:c>
    </x:row>
    <x:row r="1556">
      <x:c r="B1556" t="str">
        <x:v>PL-1550</x:v>
      </x:c>
      <x:c r="C1556" t="str">
        <x:v>PLANNING</x:v>
      </x:c>
      <x:c r="D1556" t="str">
        <x:v>capital line</x:v>
      </x:c>
      <x:c r="E1556" t="str">
        <x:v>capital line 2</x:v>
      </x:c>
      <x:c r="F1556" t="n">
        <x:f>Controls!$D$41</x:f>
        <x:v>1</x:v>
      </x:c>
      <x:c r="G1556" t="n">
        <x:v>1</x:v>
      </x:c>
      <x:c r="H1556" t="str">
        <x:v>RAW design authority</x:v>
      </x:c>
      <x:c r="I1556" t="str">
        <x:f>IF(F1556=1,"PASS","GAP")</x:f>
        <x:v>PASS</x:v>
      </x:c>
    </x:row>
    <x:row r="1557">
      <x:c r="B1557" t="str">
        <x:v>PL-1551</x:v>
      </x:c>
      <x:c r="C1557" t="str">
        <x:v>PLANNING</x:v>
      </x:c>
      <x:c r="D1557" t="str">
        <x:v>capital line</x:v>
      </x:c>
      <x:c r="E1557" t="str">
        <x:v>capital line 3</x:v>
      </x:c>
      <x:c r="F1557" t="n">
        <x:f>Controls!$D$41</x:f>
        <x:v>1</x:v>
      </x:c>
      <x:c r="G1557" t="n">
        <x:v>1</x:v>
      </x:c>
      <x:c r="H1557" t="str">
        <x:v>RAW design authority</x:v>
      </x:c>
      <x:c r="I1557" t="str">
        <x:f>IF(F1557=1,"PASS","GAP")</x:f>
        <x:v>PASS</x:v>
      </x:c>
    </x:row>
    <x:row r="1558">
      <x:c r="B1558" t="str">
        <x:v>PL-1552</x:v>
      </x:c>
      <x:c r="C1558" t="str">
        <x:v>PLANNING</x:v>
      </x:c>
      <x:c r="D1558" t="str">
        <x:v>capital line</x:v>
      </x:c>
      <x:c r="E1558" t="str">
        <x:v>capital line 4</x:v>
      </x:c>
      <x:c r="F1558" t="n">
        <x:f>Controls!$D$41</x:f>
        <x:v>1</x:v>
      </x:c>
      <x:c r="G1558" t="n">
        <x:v>1</x:v>
      </x:c>
      <x:c r="H1558" t="str">
        <x:v>RAW design authority</x:v>
      </x:c>
      <x:c r="I1558" t="str">
        <x:f>IF(F1558=1,"PASS","GAP")</x:f>
        <x:v>PASS</x:v>
      </x:c>
    </x:row>
    <x:row r="1559">
      <x:c r="B1559" t="str">
        <x:v>PL-1553</x:v>
      </x:c>
      <x:c r="C1559" t="str">
        <x:v>PLANNING</x:v>
      </x:c>
      <x:c r="D1559" t="str">
        <x:v>capital line</x:v>
      </x:c>
      <x:c r="E1559" t="str">
        <x:v>capital line 5</x:v>
      </x:c>
      <x:c r="F1559" t="n">
        <x:f>Controls!$D$41</x:f>
        <x:v>1</x:v>
      </x:c>
      <x:c r="G1559" t="n">
        <x:v>1</x:v>
      </x:c>
      <x:c r="H1559" t="str">
        <x:v>RAW design authority</x:v>
      </x:c>
      <x:c r="I1559" t="str">
        <x:f>IF(F1559=1,"PASS","GAP")</x:f>
        <x:v>PASS</x:v>
      </x:c>
    </x:row>
    <x:row r="1560">
      <x:c r="B1560" t="str">
        <x:v>PL-1554</x:v>
      </x:c>
      <x:c r="C1560" t="str">
        <x:v>PLANNING</x:v>
      </x:c>
      <x:c r="D1560" t="str">
        <x:v>capital line</x:v>
      </x:c>
      <x:c r="E1560" t="str">
        <x:v>capital line 6</x:v>
      </x:c>
      <x:c r="F1560" t="n">
        <x:f>Controls!$D$41</x:f>
        <x:v>1</x:v>
      </x:c>
      <x:c r="G1560" t="n">
        <x:v>1</x:v>
      </x:c>
      <x:c r="H1560" t="str">
        <x:v>RAW design authority</x:v>
      </x:c>
      <x:c r="I1560" t="str">
        <x:f>IF(F1560=1,"PASS","GAP")</x:f>
        <x:v>PASS</x:v>
      </x:c>
    </x:row>
    <x:row r="1561">
      <x:c r="B1561" t="str">
        <x:v>PL-1555</x:v>
      </x:c>
      <x:c r="C1561" t="str">
        <x:v>PLANNING</x:v>
      </x:c>
      <x:c r="D1561" t="str">
        <x:v>capital line</x:v>
      </x:c>
      <x:c r="E1561" t="str">
        <x:v>capital line 7</x:v>
      </x:c>
      <x:c r="F1561" t="n">
        <x:f>Controls!$D$41</x:f>
        <x:v>1</x:v>
      </x:c>
      <x:c r="G1561" t="n">
        <x:v>1</x:v>
      </x:c>
      <x:c r="H1561" t="str">
        <x:v>RAW design authority</x:v>
      </x:c>
      <x:c r="I1561" t="str">
        <x:f>IF(F1561=1,"PASS","GAP")</x:f>
        <x:v>PASS</x:v>
      </x:c>
    </x:row>
    <x:row r="1562">
      <x:c r="B1562" t="str">
        <x:v>PL-1556</x:v>
      </x:c>
      <x:c r="C1562" t="str">
        <x:v>PLANNING</x:v>
      </x:c>
      <x:c r="D1562" t="str">
        <x:v>capital line</x:v>
      </x:c>
      <x:c r="E1562" t="str">
        <x:v>capital line 8</x:v>
      </x:c>
      <x:c r="F1562" t="n">
        <x:f>Controls!$D$41</x:f>
        <x:v>1</x:v>
      </x:c>
      <x:c r="G1562" t="n">
        <x:v>1</x:v>
      </x:c>
      <x:c r="H1562" t="str">
        <x:v>RAW design authority</x:v>
      </x:c>
      <x:c r="I1562" t="str">
        <x:f>IF(F1562=1,"PASS","GAP")</x:f>
        <x:v>PASS</x:v>
      </x:c>
    </x:row>
    <x:row r="1563">
      <x:c r="B1563" t="str">
        <x:v>PL-1557</x:v>
      </x:c>
      <x:c r="C1563" t="str">
        <x:v>PLANNING</x:v>
      </x:c>
      <x:c r="D1563" t="str">
        <x:v>capital line</x:v>
      </x:c>
      <x:c r="E1563" t="str">
        <x:v>capital line 9</x:v>
      </x:c>
      <x:c r="F1563" t="n">
        <x:f>Controls!$D$41</x:f>
        <x:v>1</x:v>
      </x:c>
      <x:c r="G1563" t="n">
        <x:v>1</x:v>
      </x:c>
      <x:c r="H1563" t="str">
        <x:v>RAW design authority</x:v>
      </x:c>
      <x:c r="I1563" t="str">
        <x:f>IF(F1563=1,"PASS","GAP")</x:f>
        <x:v>PASS</x:v>
      </x:c>
    </x:row>
    <x:row r="1564">
      <x:c r="B1564" t="str">
        <x:v>PL-1558</x:v>
      </x:c>
      <x:c r="C1564" t="str">
        <x:v>PLANNING</x:v>
      </x:c>
      <x:c r="D1564" t="str">
        <x:v>capital line</x:v>
      </x:c>
      <x:c r="E1564" t="str">
        <x:v>capital line 10</x:v>
      </x:c>
      <x:c r="F1564" t="n">
        <x:f>Controls!$D$41</x:f>
        <x:v>1</x:v>
      </x:c>
      <x:c r="G1564" t="n">
        <x:v>1</x:v>
      </x:c>
      <x:c r="H1564" t="str">
        <x:v>RAW design authority</x:v>
      </x:c>
      <x:c r="I1564" t="str">
        <x:f>IF(F1564=1,"PASS","GAP")</x:f>
        <x:v>PASS</x:v>
      </x:c>
    </x:row>
    <x:row r="1565">
      <x:c r="B1565" t="str">
        <x:v>PL-1559</x:v>
      </x:c>
      <x:c r="C1565" t="str">
        <x:v>PLANNING</x:v>
      </x:c>
      <x:c r="D1565" t="str">
        <x:v>capital line</x:v>
      </x:c>
      <x:c r="E1565" t="str">
        <x:v>capital line 11</x:v>
      </x:c>
      <x:c r="F1565" t="n">
        <x:f>Controls!$D$41</x:f>
        <x:v>1</x:v>
      </x:c>
      <x:c r="G1565" t="n">
        <x:v>1</x:v>
      </x:c>
      <x:c r="H1565" t="str">
        <x:v>RAW design authority</x:v>
      </x:c>
      <x:c r="I1565" t="str">
        <x:f>IF(F1565=1,"PASS","GAP")</x:f>
        <x:v>PASS</x:v>
      </x:c>
    </x:row>
    <x:row r="1566">
      <x:c r="B1566" t="str">
        <x:v>PL-1560</x:v>
      </x:c>
      <x:c r="C1566" t="str">
        <x:v>PLANNING</x:v>
      </x:c>
      <x:c r="D1566" t="str">
        <x:v>capital line</x:v>
      </x:c>
      <x:c r="E1566" t="str">
        <x:v>capital line 12</x:v>
      </x:c>
      <x:c r="F1566" t="n">
        <x:f>Controls!$D$41</x:f>
        <x:v>1</x:v>
      </x:c>
      <x:c r="G1566" t="n">
        <x:v>1</x:v>
      </x:c>
      <x:c r="H1566" t="str">
        <x:v>RAW design authority</x:v>
      </x:c>
      <x:c r="I1566" t="str">
        <x:f>IF(F1566=1,"PASS","GAP")</x:f>
        <x:v>PASS</x:v>
      </x:c>
    </x:row>
    <x:row r="1567">
      <x:c r="B1567" t="str">
        <x:v>PL-1561</x:v>
      </x:c>
      <x:c r="C1567" t="str">
        <x:v>PLANNING</x:v>
      </x:c>
      <x:c r="D1567" t="str">
        <x:v>annual line</x:v>
      </x:c>
      <x:c r="E1567" t="str">
        <x:v>annual line 1</x:v>
      </x:c>
      <x:c r="F1567" t="n">
        <x:f>Controls!$D$41</x:f>
        <x:v>1</x:v>
      </x:c>
      <x:c r="G1567" t="n">
        <x:v>1</x:v>
      </x:c>
      <x:c r="H1567" t="str">
        <x:v>RAW design authority</x:v>
      </x:c>
      <x:c r="I1567" t="str">
        <x:f>IF(F1567=1,"PASS","GAP")</x:f>
        <x:v>PASS</x:v>
      </x:c>
    </x:row>
    <x:row r="1568">
      <x:c r="B1568" t="str">
        <x:v>PL-1562</x:v>
      </x:c>
      <x:c r="C1568" t="str">
        <x:v>PLANNING</x:v>
      </x:c>
      <x:c r="D1568" t="str">
        <x:v>annual line</x:v>
      </x:c>
      <x:c r="E1568" t="str">
        <x:v>annual line 2</x:v>
      </x:c>
      <x:c r="F1568" t="n">
        <x:f>Controls!$D$41</x:f>
        <x:v>1</x:v>
      </x:c>
      <x:c r="G1568" t="n">
        <x:v>1</x:v>
      </x:c>
      <x:c r="H1568" t="str">
        <x:v>RAW design authority</x:v>
      </x:c>
      <x:c r="I1568" t="str">
        <x:f>IF(F1568=1,"PASS","GAP")</x:f>
        <x:v>PASS</x:v>
      </x:c>
    </x:row>
    <x:row r="1569">
      <x:c r="B1569" t="str">
        <x:v>PL-1563</x:v>
      </x:c>
      <x:c r="C1569" t="str">
        <x:v>PLANNING</x:v>
      </x:c>
      <x:c r="D1569" t="str">
        <x:v>annual line</x:v>
      </x:c>
      <x:c r="E1569" t="str">
        <x:v>annual line 3</x:v>
      </x:c>
      <x:c r="F1569" t="n">
        <x:f>Controls!$D$41</x:f>
        <x:v>1</x:v>
      </x:c>
      <x:c r="G1569" t="n">
        <x:v>1</x:v>
      </x:c>
      <x:c r="H1569" t="str">
        <x:v>RAW design authority</x:v>
      </x:c>
      <x:c r="I1569" t="str">
        <x:f>IF(F1569=1,"PASS","GAP")</x:f>
        <x:v>PASS</x:v>
      </x:c>
    </x:row>
    <x:row r="1570">
      <x:c r="B1570" t="str">
        <x:v>PL-1564</x:v>
      </x:c>
      <x:c r="C1570" t="str">
        <x:v>PLANNING</x:v>
      </x:c>
      <x:c r="D1570" t="str">
        <x:v>annual line</x:v>
      </x:c>
      <x:c r="E1570" t="str">
        <x:v>annual line 4</x:v>
      </x:c>
      <x:c r="F1570" t="n">
        <x:f>Controls!$D$41</x:f>
        <x:v>1</x:v>
      </x:c>
      <x:c r="G1570" t="n">
        <x:v>1</x:v>
      </x:c>
      <x:c r="H1570" t="str">
        <x:v>RAW design authority</x:v>
      </x:c>
      <x:c r="I1570" t="str">
        <x:f>IF(F1570=1,"PASS","GAP")</x:f>
        <x:v>PASS</x:v>
      </x:c>
    </x:row>
    <x:row r="1571">
      <x:c r="B1571" t="str">
        <x:v>PL-1565</x:v>
      </x:c>
      <x:c r="C1571" t="str">
        <x:v>PLANNING</x:v>
      </x:c>
      <x:c r="D1571" t="str">
        <x:v>annual line</x:v>
      </x:c>
      <x:c r="E1571" t="str">
        <x:v>annual line 5</x:v>
      </x:c>
      <x:c r="F1571" t="n">
        <x:f>Controls!$D$41</x:f>
        <x:v>1</x:v>
      </x:c>
      <x:c r="G1571" t="n">
        <x:v>1</x:v>
      </x:c>
      <x:c r="H1571" t="str">
        <x:v>RAW design authority</x:v>
      </x:c>
      <x:c r="I1571" t="str">
        <x:f>IF(F1571=1,"PASS","GAP")</x:f>
        <x:v>PASS</x:v>
      </x:c>
    </x:row>
    <x:row r="1572">
      <x:c r="B1572" t="str">
        <x:v>PL-1566</x:v>
      </x:c>
      <x:c r="C1572" t="str">
        <x:v>PLANNING</x:v>
      </x:c>
      <x:c r="D1572" t="str">
        <x:v>annual line</x:v>
      </x:c>
      <x:c r="E1572" t="str">
        <x:v>annual line 6</x:v>
      </x:c>
      <x:c r="F1572" t="n">
        <x:f>Controls!$D$41</x:f>
        <x:v>1</x:v>
      </x:c>
      <x:c r="G1572" t="n">
        <x:v>1</x:v>
      </x:c>
      <x:c r="H1572" t="str">
        <x:v>RAW design authority</x:v>
      </x:c>
      <x:c r="I1572" t="str">
        <x:f>IF(F1572=1,"PASS","GAP")</x:f>
        <x:v>PASS</x:v>
      </x:c>
    </x:row>
    <x:row r="1573">
      <x:c r="B1573" t="str">
        <x:v>PL-1567</x:v>
      </x:c>
      <x:c r="C1573" t="str">
        <x:v>PLANNING</x:v>
      </x:c>
      <x:c r="D1573" t="str">
        <x:v>annual line</x:v>
      </x:c>
      <x:c r="E1573" t="str">
        <x:v>annual line 7</x:v>
      </x:c>
      <x:c r="F1573" t="n">
        <x:f>Controls!$D$41</x:f>
        <x:v>1</x:v>
      </x:c>
      <x:c r="G1573" t="n">
        <x:v>1</x:v>
      </x:c>
      <x:c r="H1573" t="str">
        <x:v>RAW design authority</x:v>
      </x:c>
      <x:c r="I1573" t="str">
        <x:f>IF(F1573=1,"PASS","GAP")</x:f>
        <x:v>PASS</x:v>
      </x:c>
    </x:row>
    <x:row r="1574">
      <x:c r="B1574" t="str">
        <x:v>PL-1568</x:v>
      </x:c>
      <x:c r="C1574" t="str">
        <x:v>PLANNING</x:v>
      </x:c>
      <x:c r="D1574" t="str">
        <x:v>annual line</x:v>
      </x:c>
      <x:c r="E1574" t="str">
        <x:v>annual line 8</x:v>
      </x:c>
      <x:c r="F1574" t="n">
        <x:f>Controls!$D$41</x:f>
        <x:v>1</x:v>
      </x:c>
      <x:c r="G1574" t="n">
        <x:v>1</x:v>
      </x:c>
      <x:c r="H1574" t="str">
        <x:v>RAW design authority</x:v>
      </x:c>
      <x:c r="I1574" t="str">
        <x:f>IF(F1574=1,"PASS","GAP")</x:f>
        <x:v>PASS</x:v>
      </x:c>
    </x:row>
    <x:row r="1575">
      <x:c r="B1575" t="str">
        <x:v>PL-1569</x:v>
      </x:c>
      <x:c r="C1575" t="str">
        <x:v>PLANNING</x:v>
      </x:c>
      <x:c r="D1575" t="str">
        <x:v>annual line</x:v>
      </x:c>
      <x:c r="E1575" t="str">
        <x:v>annual line 9</x:v>
      </x:c>
      <x:c r="F1575" t="n">
        <x:f>Controls!$D$41</x:f>
        <x:v>1</x:v>
      </x:c>
      <x:c r="G1575" t="n">
        <x:v>1</x:v>
      </x:c>
      <x:c r="H1575" t="str">
        <x:v>RAW design authority</x:v>
      </x:c>
      <x:c r="I1575" t="str">
        <x:f>IF(F1575=1,"PASS","GAP")</x:f>
        <x:v>PASS</x:v>
      </x:c>
    </x:row>
    <x:row r="1576">
      <x:c r="B1576" t="str">
        <x:v>PL-1570</x:v>
      </x:c>
      <x:c r="C1576" t="str">
        <x:v>PLANNING</x:v>
      </x:c>
      <x:c r="D1576" t="str">
        <x:v>annual line</x:v>
      </x:c>
      <x:c r="E1576" t="str">
        <x:v>annual line 10</x:v>
      </x:c>
      <x:c r="F1576" t="n">
        <x:f>Controls!$D$41</x:f>
        <x:v>1</x:v>
      </x:c>
      <x:c r="G1576" t="n">
        <x:v>1</x:v>
      </x:c>
      <x:c r="H1576" t="str">
        <x:v>RAW design authority</x:v>
      </x:c>
      <x:c r="I1576" t="str">
        <x:f>IF(F1576=1,"PASS","GAP")</x:f>
        <x:v>PASS</x:v>
      </x:c>
    </x:row>
    <x:row r="1577">
      <x:c r="B1577" t="str">
        <x:v>PL-1571</x:v>
      </x:c>
      <x:c r="C1577" t="str">
        <x:v>PLANNING</x:v>
      </x:c>
      <x:c r="D1577" t="str">
        <x:v>portfolio line</x:v>
      </x:c>
      <x:c r="E1577" t="str">
        <x:v>portfolio line 1</x:v>
      </x:c>
      <x:c r="F1577" t="n">
        <x:f>Controls!$D$41</x:f>
        <x:v>1</x:v>
      </x:c>
      <x:c r="G1577" t="n">
        <x:v>1</x:v>
      </x:c>
      <x:c r="H1577" t="str">
        <x:v>RAW design authority</x:v>
      </x:c>
      <x:c r="I1577" t="str">
        <x:f>IF(F1577=1,"PASS","GAP")</x:f>
        <x:v>PASS</x:v>
      </x:c>
    </x:row>
    <x:row r="1578">
      <x:c r="B1578" t="str">
        <x:v>PL-1572</x:v>
      </x:c>
      <x:c r="C1578" t="str">
        <x:v>PLANNING</x:v>
      </x:c>
      <x:c r="D1578" t="str">
        <x:v>portfolio line</x:v>
      </x:c>
      <x:c r="E1578" t="str">
        <x:v>portfolio line 2</x:v>
      </x:c>
      <x:c r="F1578" t="n">
        <x:f>Controls!$D$41</x:f>
        <x:v>1</x:v>
      </x:c>
      <x:c r="G1578" t="n">
        <x:v>1</x:v>
      </x:c>
      <x:c r="H1578" t="str">
        <x:v>RAW design authority</x:v>
      </x:c>
      <x:c r="I1578" t="str">
        <x:f>IF(F1578=1,"PASS","GAP")</x:f>
        <x:v>PASS</x:v>
      </x:c>
    </x:row>
    <x:row r="1579">
      <x:c r="B1579" t="str">
        <x:v>PL-1573</x:v>
      </x:c>
      <x:c r="C1579" t="str">
        <x:v>PLANNING</x:v>
      </x:c>
      <x:c r="D1579" t="str">
        <x:v>portfolio line</x:v>
      </x:c>
      <x:c r="E1579" t="str">
        <x:v>portfolio line 3</x:v>
      </x:c>
      <x:c r="F1579" t="n">
        <x:f>Controls!$D$41</x:f>
        <x:v>1</x:v>
      </x:c>
      <x:c r="G1579" t="n">
        <x:v>1</x:v>
      </x:c>
      <x:c r="H1579" t="str">
        <x:v>RAW design authority</x:v>
      </x:c>
      <x:c r="I1579" t="str">
        <x:f>IF(F1579=1,"PASS","GAP")</x:f>
        <x:v>PASS</x:v>
      </x:c>
    </x:row>
    <x:row r="1580">
      <x:c r="B1580" t="str">
        <x:v>PL-1574</x:v>
      </x:c>
      <x:c r="C1580" t="str">
        <x:v>PLANNING</x:v>
      </x:c>
      <x:c r="D1580" t="str">
        <x:v>portfolio line</x:v>
      </x:c>
      <x:c r="E1580" t="str">
        <x:v>portfolio line 4</x:v>
      </x:c>
      <x:c r="F1580" t="n">
        <x:f>Controls!$D$41</x:f>
        <x:v>1</x:v>
      </x:c>
      <x:c r="G1580" t="n">
        <x:v>1</x:v>
      </x:c>
      <x:c r="H1580" t="str">
        <x:v>RAW design authority</x:v>
      </x:c>
      <x:c r="I1580" t="str">
        <x:f>IF(F1580=1,"PASS","GAP")</x:f>
        <x:v>PASS</x:v>
      </x:c>
    </x:row>
    <x:row r="1581">
      <x:c r="B1581" t="str">
        <x:v>PL-1575</x:v>
      </x:c>
      <x:c r="C1581" t="str">
        <x:v>PLANNING</x:v>
      </x:c>
      <x:c r="D1581" t="str">
        <x:v>portfolio line</x:v>
      </x:c>
      <x:c r="E1581" t="str">
        <x:v>portfolio line 5</x:v>
      </x:c>
      <x:c r="F1581" t="n">
        <x:f>Controls!$D$41</x:f>
        <x:v>1</x:v>
      </x:c>
      <x:c r="G1581" t="n">
        <x:v>1</x:v>
      </x:c>
      <x:c r="H1581" t="str">
        <x:v>RAW design authority</x:v>
      </x:c>
      <x:c r="I1581" t="str">
        <x:f>IF(F1581=1,"PASS","GAP")</x:f>
        <x:v>PASS</x:v>
      </x:c>
    </x:row>
    <x:row r="1582">
      <x:c r="B1582" t="str">
        <x:v>PL-1576</x:v>
      </x:c>
      <x:c r="C1582" t="str">
        <x:v>PLANNING</x:v>
      </x:c>
      <x:c r="D1582" t="str">
        <x:v>portfolio line</x:v>
      </x:c>
      <x:c r="E1582" t="str">
        <x:v>portfolio line 6</x:v>
      </x:c>
      <x:c r="F1582" t="n">
        <x:f>Controls!$D$41</x:f>
        <x:v>1</x:v>
      </x:c>
      <x:c r="G1582" t="n">
        <x:v>1</x:v>
      </x:c>
      <x:c r="H1582" t="str">
        <x:v>RAW design authority</x:v>
      </x:c>
      <x:c r="I1582" t="str">
        <x:f>IF(F1582=1,"PASS","GAP")</x:f>
        <x:v>PASS</x:v>
      </x:c>
    </x:row>
    <x:row r="1583">
      <x:c r="B1583" t="str">
        <x:v>PL-1577</x:v>
      </x:c>
      <x:c r="C1583" t="str">
        <x:v>PLANNING</x:v>
      </x:c>
      <x:c r="D1583" t="str">
        <x:v>portfolio line</x:v>
      </x:c>
      <x:c r="E1583" t="str">
        <x:v>portfolio line 7</x:v>
      </x:c>
      <x:c r="F1583" t="n">
        <x:f>Controls!$D$41</x:f>
        <x:v>1</x:v>
      </x:c>
      <x:c r="G1583" t="n">
        <x:v>1</x:v>
      </x:c>
      <x:c r="H1583" t="str">
        <x:v>RAW design authority</x:v>
      </x:c>
      <x:c r="I1583" t="str">
        <x:f>IF(F1583=1,"PASS","GAP")</x:f>
        <x:v>PASS</x:v>
      </x:c>
    </x:row>
    <x:row r="1584">
      <x:c r="B1584" t="str">
        <x:v>PL-1578</x:v>
      </x:c>
      <x:c r="C1584" t="str">
        <x:v>PLANNING</x:v>
      </x:c>
      <x:c r="D1584" t="str">
        <x:v>portfolio line</x:v>
      </x:c>
      <x:c r="E1584" t="str">
        <x:v>portfolio line 8</x:v>
      </x:c>
      <x:c r="F1584" t="n">
        <x:f>Controls!$D$41</x:f>
        <x:v>1</x:v>
      </x:c>
      <x:c r="G1584" t="n">
        <x:v>1</x:v>
      </x:c>
      <x:c r="H1584" t="str">
        <x:v>RAW design authority</x:v>
      </x:c>
      <x:c r="I1584" t="str">
        <x:f>IF(F1584=1,"PASS","GAP")</x:f>
        <x:v>PASS</x:v>
      </x:c>
    </x:row>
    <x:row r="1585">
      <x:c r="B1585" t="str">
        <x:v>PL-1579</x:v>
      </x:c>
      <x:c r="C1585" t="str">
        <x:v>PLANNING</x:v>
      </x:c>
      <x:c r="D1585" t="str">
        <x:v>portfolio line</x:v>
      </x:c>
      <x:c r="E1585" t="str">
        <x:v>portfolio line 9</x:v>
      </x:c>
      <x:c r="F1585" t="n">
        <x:f>Controls!$D$41</x:f>
        <x:v>1</x:v>
      </x:c>
      <x:c r="G1585" t="n">
        <x:v>1</x:v>
      </x:c>
      <x:c r="H1585" t="str">
        <x:v>RAW design authority</x:v>
      </x:c>
      <x:c r="I1585" t="str">
        <x:f>IF(F1585=1,"PASS","GAP")</x:f>
        <x:v>PASS</x:v>
      </x:c>
    </x:row>
    <x:row r="1586">
      <x:c r="B1586" t="str">
        <x:v>PL-1580</x:v>
      </x:c>
      <x:c r="C1586" t="str">
        <x:v>PLANNING</x:v>
      </x:c>
      <x:c r="D1586" t="str">
        <x:v>portfolio line</x:v>
      </x:c>
      <x:c r="E1586" t="str">
        <x:v>portfolio line 10</x:v>
      </x:c>
      <x:c r="F1586" t="n">
        <x:f>Controls!$D$41</x:f>
        <x:v>1</x:v>
      </x:c>
      <x:c r="G1586" t="n">
        <x:v>1</x:v>
      </x:c>
      <x:c r="H1586" t="str">
        <x:v>RAW design authority</x:v>
      </x:c>
      <x:c r="I1586" t="str">
        <x:f>IF(F1586=1,"PASS","GAP")</x:f>
        <x:v>PASS</x:v>
      </x:c>
    </x:row>
    <x:row r="1587">
      <x:c r="B1587" t="str">
        <x:v>PL-1581</x:v>
      </x:c>
      <x:c r="C1587" t="str">
        <x:v>PLANNING</x:v>
      </x:c>
      <x:c r="D1587" t="str">
        <x:v>portfolio line</x:v>
      </x:c>
      <x:c r="E1587" t="str">
        <x:v>portfolio line 11</x:v>
      </x:c>
      <x:c r="F1587" t="n">
        <x:f>Controls!$D$41</x:f>
        <x:v>1</x:v>
      </x:c>
      <x:c r="G1587" t="n">
        <x:v>1</x:v>
      </x:c>
      <x:c r="H1587" t="str">
        <x:v>RAW design authority</x:v>
      </x:c>
      <x:c r="I1587" t="str">
        <x:f>IF(F1587=1,"PASS","GAP")</x:f>
        <x:v>PASS</x:v>
      </x:c>
    </x:row>
    <x:row r="1588">
      <x:c r="B1588" t="str">
        <x:v>PL-1582</x:v>
      </x:c>
      <x:c r="C1588" t="str">
        <x:v>PLANNING</x:v>
      </x:c>
      <x:c r="D1588" t="str">
        <x:v>portfolio line</x:v>
      </x:c>
      <x:c r="E1588" t="str">
        <x:v>portfolio line 12</x:v>
      </x:c>
      <x:c r="F1588" t="n">
        <x:f>Controls!$D$41</x:f>
        <x:v>1</x:v>
      </x:c>
      <x:c r="G1588" t="n">
        <x:v>1</x:v>
      </x:c>
      <x:c r="H1588" t="str">
        <x:v>RAW design authority</x:v>
      </x:c>
      <x:c r="I1588" t="str">
        <x:f>IF(F1588=1,"PASS","GAP")</x:f>
        <x:v>PASS</x:v>
      </x:c>
    </x:row>
    <x:row r="1589">
      <x:c r="B1589" t="str">
        <x:v>PL-1583</x:v>
      </x:c>
      <x:c r="C1589" t="str">
        <x:v>PLANNING</x:v>
      </x:c>
      <x:c r="D1589" t="str">
        <x:v>portfolio line</x:v>
      </x:c>
      <x:c r="E1589" t="str">
        <x:v>portfolio line 13</x:v>
      </x:c>
      <x:c r="F1589" t="n">
        <x:f>Controls!$D$41</x:f>
        <x:v>1</x:v>
      </x:c>
      <x:c r="G1589" t="n">
        <x:v>1</x:v>
      </x:c>
      <x:c r="H1589" t="str">
        <x:v>RAW design authority</x:v>
      </x:c>
      <x:c r="I1589" t="str">
        <x:f>IF(F1589=1,"PASS","GAP")</x:f>
        <x:v>PASS</x:v>
      </x:c>
    </x:row>
    <x:row r="1590">
      <x:c r="B1590" t="str">
        <x:v>PL-1584</x:v>
      </x:c>
      <x:c r="C1590" t="str">
        <x:v>PLANNING</x:v>
      </x:c>
      <x:c r="D1590" t="str">
        <x:v>portfolio line</x:v>
      </x:c>
      <x:c r="E1590" t="str">
        <x:v>portfolio line 14</x:v>
      </x:c>
      <x:c r="F1590" t="n">
        <x:f>Controls!$D$41</x:f>
        <x:v>1</x:v>
      </x:c>
      <x:c r="G1590" t="n">
        <x:v>1</x:v>
      </x:c>
      <x:c r="H1590" t="str">
        <x:v>RAW design authority</x:v>
      </x:c>
      <x:c r="I1590" t="str">
        <x:f>IF(F1590=1,"PASS","GAP")</x:f>
        <x:v>PASS</x:v>
      </x:c>
    </x:row>
    <x:row r="1591">
      <x:c r="B1591" t="str">
        <x:v>PL-1585</x:v>
      </x:c>
      <x:c r="C1591" t="str">
        <x:v>PLANNING</x:v>
      </x:c>
      <x:c r="D1591" t="str">
        <x:v>portfolio line</x:v>
      </x:c>
      <x:c r="E1591" t="str">
        <x:v>portfolio line 15</x:v>
      </x:c>
      <x:c r="F1591" t="n">
        <x:f>Controls!$D$41</x:f>
        <x:v>1</x:v>
      </x:c>
      <x:c r="G1591" t="n">
        <x:v>1</x:v>
      </x:c>
      <x:c r="H1591" t="str">
        <x:v>RAW design authority</x:v>
      </x:c>
      <x:c r="I1591" t="str">
        <x:f>IF(F1591=1,"PASS","GAP")</x:f>
        <x:v>PASS</x:v>
      </x:c>
    </x:row>
    <x:row r="1592">
      <x:c r="B1592" t="str">
        <x:v>PL-1586</x:v>
      </x:c>
      <x:c r="C1592" t="str">
        <x:v>PLANNING</x:v>
      </x:c>
      <x:c r="D1592" t="str">
        <x:v>portfolio line</x:v>
      </x:c>
      <x:c r="E1592" t="str">
        <x:v>portfolio line 16</x:v>
      </x:c>
      <x:c r="F1592" t="n">
        <x:f>Controls!$D$41</x:f>
        <x:v>1</x:v>
      </x:c>
      <x:c r="G1592" t="n">
        <x:v>1</x:v>
      </x:c>
      <x:c r="H1592" t="str">
        <x:v>RAW design authority</x:v>
      </x:c>
      <x:c r="I1592" t="str">
        <x:f>IF(F1592=1,"PASS","GAP")</x:f>
        <x:v>PASS</x:v>
      </x:c>
    </x:row>
    <x:row r="1593">
      <x:c r="B1593" t="str">
        <x:v>PL-1587</x:v>
      </x:c>
      <x:c r="C1593" t="str">
        <x:v>PLANNING</x:v>
      </x:c>
      <x:c r="D1593" t="str">
        <x:v>authority</x:v>
      </x:c>
      <x:c r="E1593" t="str">
        <x:v>authority 1</x:v>
      </x:c>
      <x:c r="F1593" t="n">
        <x:f>Controls!$D$41</x:f>
        <x:v>1</x:v>
      </x:c>
      <x:c r="G1593" t="n">
        <x:v>1</x:v>
      </x:c>
      <x:c r="H1593" t="str">
        <x:v>RAW design authority</x:v>
      </x:c>
      <x:c r="I1593" t="str">
        <x:f>IF(F1593=1,"PASS","GAP")</x:f>
        <x:v>PASS</x:v>
      </x:c>
    </x:row>
    <x:row r="1594">
      <x:c r="B1594" t="str">
        <x:v>PL-1588</x:v>
      </x:c>
      <x:c r="C1594" t="str">
        <x:v>PLANNING</x:v>
      </x:c>
      <x:c r="D1594" t="str">
        <x:v>authority</x:v>
      </x:c>
      <x:c r="E1594" t="str">
        <x:v>authority 2</x:v>
      </x:c>
      <x:c r="F1594" t="n">
        <x:f>Controls!$D$41</x:f>
        <x:v>1</x:v>
      </x:c>
      <x:c r="G1594" t="n">
        <x:v>1</x:v>
      </x:c>
      <x:c r="H1594" t="str">
        <x:v>RAW design authority</x:v>
      </x:c>
      <x:c r="I1594" t="str">
        <x:f>IF(F1594=1,"PASS","GAP")</x:f>
        <x:v>PASS</x:v>
      </x:c>
    </x:row>
    <x:row r="1595">
      <x:c r="B1595" t="str">
        <x:v>PL-1589</x:v>
      </x:c>
      <x:c r="C1595" t="str">
        <x:v>PLANNING</x:v>
      </x:c>
      <x:c r="D1595" t="str">
        <x:v>authority</x:v>
      </x:c>
      <x:c r="E1595" t="str">
        <x:v>authority 3</x:v>
      </x:c>
      <x:c r="F1595" t="n">
        <x:f>Controls!$D$41</x:f>
        <x:v>1</x:v>
      </x:c>
      <x:c r="G1595" t="n">
        <x:v>1</x:v>
      </x:c>
      <x:c r="H1595" t="str">
        <x:v>RAW design authority</x:v>
      </x:c>
      <x:c r="I1595" t="str">
        <x:f>IF(F1595=1,"PASS","GAP")</x:f>
        <x:v>PASS</x:v>
      </x:c>
    </x:row>
    <x:row r="1596">
      <x:c r="B1596" t="str">
        <x:v>PL-1590</x:v>
      </x:c>
      <x:c r="C1596" t="str">
        <x:v>PLANNING</x:v>
      </x:c>
      <x:c r="D1596" t="str">
        <x:v>authority</x:v>
      </x:c>
      <x:c r="E1596" t="str">
        <x:v>authority 4</x:v>
      </x:c>
      <x:c r="F1596" t="n">
        <x:f>Controls!$D$41</x:f>
        <x:v>1</x:v>
      </x:c>
      <x:c r="G1596" t="n">
        <x:v>1</x:v>
      </x:c>
      <x:c r="H1596" t="str">
        <x:v>RAW design authority</x:v>
      </x:c>
      <x:c r="I1596" t="str">
        <x:f>IF(F1596=1,"PASS","GAP")</x:f>
        <x:v>PASS</x:v>
      </x:c>
    </x:row>
    <x:row r="1597">
      <x:c r="B1597" t="str">
        <x:v>PL-1591</x:v>
      </x:c>
      <x:c r="C1597" t="str">
        <x:v>PLANNING</x:v>
      </x:c>
      <x:c r="D1597" t="str">
        <x:v>authority</x:v>
      </x:c>
      <x:c r="E1597" t="str">
        <x:v>authority 5</x:v>
      </x:c>
      <x:c r="F1597" t="n">
        <x:f>Controls!$D$41</x:f>
        <x:v>1</x:v>
      </x:c>
      <x:c r="G1597" t="n">
        <x:v>1</x:v>
      </x:c>
      <x:c r="H1597" t="str">
        <x:v>RAW design authority</x:v>
      </x:c>
      <x:c r="I1597" t="str">
        <x:f>IF(F1597=1,"PASS","GAP")</x:f>
        <x:v>PASS</x:v>
      </x:c>
    </x:row>
    <x:row r="1598">
      <x:c r="B1598" t="str">
        <x:v>PL-1592</x:v>
      </x:c>
      <x:c r="C1598" t="str">
        <x:v>PLANNING</x:v>
      </x:c>
      <x:c r="D1598" t="str">
        <x:v>authority</x:v>
      </x:c>
      <x:c r="E1598" t="str">
        <x:v>authority 6</x:v>
      </x:c>
      <x:c r="F1598" t="n">
        <x:f>Controls!$D$41</x:f>
        <x:v>1</x:v>
      </x:c>
      <x:c r="G1598" t="n">
        <x:v>1</x:v>
      </x:c>
      <x:c r="H1598" t="str">
        <x:v>RAW design authority</x:v>
      </x:c>
      <x:c r="I1598" t="str">
        <x:f>IF(F1598=1,"PASS","GAP")</x:f>
        <x:v>PASS</x:v>
      </x:c>
    </x:row>
    <x:row r="1599">
      <x:c r="B1599" t="str">
        <x:v>PL-1593</x:v>
      </x:c>
      <x:c r="C1599" t="str">
        <x:v>PLANNING</x:v>
      </x:c>
      <x:c r="D1599" t="str">
        <x:v>authority</x:v>
      </x:c>
      <x:c r="E1599" t="str">
        <x:v>authority 7</x:v>
      </x:c>
      <x:c r="F1599" t="n">
        <x:f>Controls!$D$41</x:f>
        <x:v>1</x:v>
      </x:c>
      <x:c r="G1599" t="n">
        <x:v>1</x:v>
      </x:c>
      <x:c r="H1599" t="str">
        <x:v>RAW design authority</x:v>
      </x:c>
      <x:c r="I1599" t="str">
        <x:f>IF(F1599=1,"PASS","GAP")</x:f>
        <x:v>PASS</x:v>
      </x:c>
    </x:row>
    <x:row r="1600">
      <x:c r="B1600" t="str">
        <x:v>PL-1594</x:v>
      </x:c>
      <x:c r="C1600" t="str">
        <x:v>PLANNING</x:v>
      </x:c>
      <x:c r="D1600" t="str">
        <x:v>authority</x:v>
      </x:c>
      <x:c r="E1600" t="str">
        <x:v>authority 8</x:v>
      </x:c>
      <x:c r="F1600" t="n">
        <x:f>Controls!$D$41</x:f>
        <x:v>1</x:v>
      </x:c>
      <x:c r="G1600" t="n">
        <x:v>1</x:v>
      </x:c>
      <x:c r="H1600" t="str">
        <x:v>RAW design authority</x:v>
      </x:c>
      <x:c r="I1600" t="str">
        <x:f>IF(F1600=1,"PASS","GAP")</x:f>
        <x:v>PASS</x:v>
      </x:c>
    </x:row>
    <x:row r="1601">
      <x:c r="B1601" t="str">
        <x:v>PL-1595</x:v>
      </x:c>
      <x:c r="C1601" t="str">
        <x:v>PLANNING</x:v>
      </x:c>
      <x:c r="D1601" t="str">
        <x:v>authority</x:v>
      </x:c>
      <x:c r="E1601" t="str">
        <x:v>authority 9</x:v>
      </x:c>
      <x:c r="F1601" t="n">
        <x:f>Controls!$D$41</x:f>
        <x:v>1</x:v>
      </x:c>
      <x:c r="G1601" t="n">
        <x:v>1</x:v>
      </x:c>
      <x:c r="H1601" t="str">
        <x:v>RAW design authority</x:v>
      </x:c>
      <x:c r="I1601" t="str">
        <x:f>IF(F1601=1,"PASS","GAP")</x:f>
        <x:v>PASS</x:v>
      </x:c>
    </x:row>
    <x:row r="1602">
      <x:c r="B1602" t="str">
        <x:v>PL-1596</x:v>
      </x:c>
      <x:c r="C1602" t="str">
        <x:v>PLANNING</x:v>
      </x:c>
      <x:c r="D1602" t="str">
        <x:v>authority</x:v>
      </x:c>
      <x:c r="E1602" t="str">
        <x:v>authority 10</x:v>
      </x:c>
      <x:c r="F1602" t="n">
        <x:f>Controls!$D$41</x:f>
        <x:v>1</x:v>
      </x:c>
      <x:c r="G1602" t="n">
        <x:v>1</x:v>
      </x:c>
      <x:c r="H1602" t="str">
        <x:v>RAW design authority</x:v>
      </x:c>
      <x:c r="I1602" t="str">
        <x:f>IF(F1602=1,"PASS","GAP")</x:f>
        <x:v>PASS</x:v>
      </x:c>
    </x:row>
    <x:row r="1603">
      <x:c r="B1603" t="str">
        <x:v>PL-1597</x:v>
      </x:c>
      <x:c r="C1603" t="str">
        <x:v>PLANNING</x:v>
      </x:c>
      <x:c r="D1603" t="str">
        <x:v>source</x:v>
      </x:c>
      <x:c r="E1603" t="str">
        <x:v>source 1</x:v>
      </x:c>
      <x:c r="F1603" t="n">
        <x:f>Controls!$D$41</x:f>
        <x:v>1</x:v>
      </x:c>
      <x:c r="G1603" t="n">
        <x:v>1</x:v>
      </x:c>
      <x:c r="H1603" t="str">
        <x:v>RAW design authority</x:v>
      </x:c>
      <x:c r="I1603" t="str">
        <x:f>IF(F1603=1,"PASS","GAP")</x:f>
        <x:v>PASS</x:v>
      </x:c>
    </x:row>
    <x:row r="1604">
      <x:c r="B1604" t="str">
        <x:v>PL-1598</x:v>
      </x:c>
      <x:c r="C1604" t="str">
        <x:v>PLANNING</x:v>
      </x:c>
      <x:c r="D1604" t="str">
        <x:v>source</x:v>
      </x:c>
      <x:c r="E1604" t="str">
        <x:v>source 2</x:v>
      </x:c>
      <x:c r="F1604" t="n">
        <x:f>Controls!$D$41</x:f>
        <x:v>1</x:v>
      </x:c>
      <x:c r="G1604" t="n">
        <x:v>1</x:v>
      </x:c>
      <x:c r="H1604" t="str">
        <x:v>RAW design authority</x:v>
      </x:c>
      <x:c r="I1604" t="str">
        <x:f>IF(F1604=1,"PASS","GAP")</x:f>
        <x:v>PASS</x:v>
      </x:c>
    </x:row>
    <x:row r="1605">
      <x:c r="B1605" t="str">
        <x:v>PL-1599</x:v>
      </x:c>
      <x:c r="C1605" t="str">
        <x:v>PLANNING</x:v>
      </x:c>
      <x:c r="D1605" t="str">
        <x:v>source</x:v>
      </x:c>
      <x:c r="E1605" t="str">
        <x:v>source 3</x:v>
      </x:c>
      <x:c r="F1605" t="n">
        <x:f>Controls!$D$41</x:f>
        <x:v>1</x:v>
      </x:c>
      <x:c r="G1605" t="n">
        <x:v>1</x:v>
      </x:c>
      <x:c r="H1605" t="str">
        <x:v>RAW design authority</x:v>
      </x:c>
      <x:c r="I1605" t="str">
        <x:f>IF(F1605=1,"PASS","GAP")</x:f>
        <x:v>PASS</x:v>
      </x:c>
    </x:row>
    <x:row r="1606">
      <x:c r="B1606" t="str">
        <x:v>PL-1600</x:v>
      </x:c>
      <x:c r="C1606" t="str">
        <x:v>PLANNING</x:v>
      </x:c>
      <x:c r="D1606" t="str">
        <x:v>source</x:v>
      </x:c>
      <x:c r="E1606" t="str">
        <x:v>source 4</x:v>
      </x:c>
      <x:c r="F1606" t="n">
        <x:f>Controls!$D$41</x:f>
        <x:v>1</x:v>
      </x:c>
      <x:c r="G1606" t="n">
        <x:v>1</x:v>
      </x:c>
      <x:c r="H1606" t="str">
        <x:v>RAW design authority</x:v>
      </x:c>
      <x:c r="I1606" t="str">
        <x:f>IF(F1606=1,"PASS","GAP")</x:f>
        <x:v>PASS</x:v>
      </x:c>
    </x:row>
    <x:row r="1607">
      <x:c r="B1607" t="str">
        <x:v>PL-1601</x:v>
      </x:c>
      <x:c r="C1607" t="str">
        <x:v>PLANNING</x:v>
      </x:c>
      <x:c r="D1607" t="str">
        <x:v>source</x:v>
      </x:c>
      <x:c r="E1607" t="str">
        <x:v>source 5</x:v>
      </x:c>
      <x:c r="F1607" t="n">
        <x:f>Controls!$D$41</x:f>
        <x:v>1</x:v>
      </x:c>
      <x:c r="G1607" t="n">
        <x:v>1</x:v>
      </x:c>
      <x:c r="H1607" t="str">
        <x:v>RAW design authority</x:v>
      </x:c>
      <x:c r="I1607" t="str">
        <x:f>IF(F1607=1,"PASS","GAP")</x:f>
        <x:v>PASS</x:v>
      </x:c>
    </x:row>
    <x:row r="1608">
      <x:c r="B1608" t="str">
        <x:v>PL-1602</x:v>
      </x:c>
      <x:c r="C1608" t="str">
        <x:v>PLANNING</x:v>
      </x:c>
      <x:c r="D1608" t="str">
        <x:v>source</x:v>
      </x:c>
      <x:c r="E1608" t="str">
        <x:v>source 6</x:v>
      </x:c>
      <x:c r="F1608" t="n">
        <x:f>Controls!$D$41</x:f>
        <x:v>1</x:v>
      </x:c>
      <x:c r="G1608" t="n">
        <x:v>1</x:v>
      </x:c>
      <x:c r="H1608" t="str">
        <x:v>RAW design authority</x:v>
      </x:c>
      <x:c r="I1608" t="str">
        <x:f>IF(F1608=1,"PASS","GAP")</x:f>
        <x:v>PASS</x:v>
      </x:c>
    </x:row>
    <x:row r="1609">
      <x:c r="B1609" t="str">
        <x:v>PL-1603</x:v>
      </x:c>
      <x:c r="C1609" t="str">
        <x:v>PLANNING</x:v>
      </x:c>
      <x:c r="D1609" t="str">
        <x:v>source</x:v>
      </x:c>
      <x:c r="E1609" t="str">
        <x:v>source 7</x:v>
      </x:c>
      <x:c r="F1609" t="n">
        <x:f>Controls!$D$41</x:f>
        <x:v>1</x:v>
      </x:c>
      <x:c r="G1609" t="n">
        <x:v>1</x:v>
      </x:c>
      <x:c r="H1609" t="str">
        <x:v>RAW design authority</x:v>
      </x:c>
      <x:c r="I1609" t="str">
        <x:f>IF(F1609=1,"PASS","GAP")</x:f>
        <x:v>PASS</x:v>
      </x:c>
    </x:row>
    <x:row r="1610">
      <x:c r="B1610" t="str">
        <x:v>PL-1604</x:v>
      </x:c>
      <x:c r="C1610" t="str">
        <x:v>PLANNING</x:v>
      </x:c>
      <x:c r="D1610" t="str">
        <x:v>source</x:v>
      </x:c>
      <x:c r="E1610" t="str">
        <x:v>source 8</x:v>
      </x:c>
      <x:c r="F1610" t="n">
        <x:f>Controls!$D$41</x:f>
        <x:v>1</x:v>
      </x:c>
      <x:c r="G1610" t="n">
        <x:v>1</x:v>
      </x:c>
      <x:c r="H1610" t="str">
        <x:v>RAW design authority</x:v>
      </x:c>
      <x:c r="I1610" t="str">
        <x:f>IF(F1610=1,"PASS","GAP")</x:f>
        <x:v>PASS</x:v>
      </x:c>
    </x:row>
    <x:row r="1611">
      <x:c r="B1611" t="str">
        <x:v>PL-1605</x:v>
      </x:c>
      <x:c r="C1611" t="str">
        <x:v>PLANNING</x:v>
      </x:c>
      <x:c r="D1611" t="str">
        <x:v>source</x:v>
      </x:c>
      <x:c r="E1611" t="str">
        <x:v>source 9</x:v>
      </x:c>
      <x:c r="F1611" t="n">
        <x:f>Controls!$D$41</x:f>
        <x:v>1</x:v>
      </x:c>
      <x:c r="G1611" t="n">
        <x:v>1</x:v>
      </x:c>
      <x:c r="H1611" t="str">
        <x:v>RAW design authority</x:v>
      </x:c>
      <x:c r="I1611" t="str">
        <x:f>IF(F1611=1,"PASS","GAP")</x:f>
        <x:v>PASS</x:v>
      </x:c>
    </x:row>
    <x:row r="1612">
      <x:c r="B1612" t="str">
        <x:v>PL-1606</x:v>
      </x:c>
      <x:c r="C1612" t="str">
        <x:v>PLANNING</x:v>
      </x:c>
      <x:c r="D1612" t="str">
        <x:v>source</x:v>
      </x:c>
      <x:c r="E1612" t="str">
        <x:v>source 10</x:v>
      </x:c>
      <x:c r="F1612" t="n">
        <x:f>Controls!$D$41</x:f>
        <x:v>1</x:v>
      </x:c>
      <x:c r="G1612" t="n">
        <x:v>1</x:v>
      </x:c>
      <x:c r="H1612" t="str">
        <x:v>RAW design authority</x:v>
      </x:c>
      <x:c r="I1612" t="str">
        <x:f>IF(F1612=1,"PASS","GAP")</x:f>
        <x:v>PASS</x:v>
      </x:c>
    </x:row>
    <x:row r="1613">
      <x:c r="B1613" t="str">
        <x:v>PH-AR-001</x:v>
      </x:c>
      <x:c r="C1613" t="str">
        <x:v>PHYSICAL</x:v>
      </x:c>
      <x:c r="D1613" t="str">
        <x:v>truth article acceptance</x:v>
      </x:c>
      <x:c r="E1613" t="str">
        <x:v>PH-AR-001</x:v>
      </x:c>
      <x:c r="F1613" t="n">
        <x:f>IF('Artifact Bank'!H7&lt;&gt;"",1,0)</x:f>
        <x:v>0</x:v>
      </x:c>
      <x:c r="G1613" t="n">
        <x:v>1</x:v>
      </x:c>
      <x:c r="H1613" t="str">
        <x:v>independent physical acceptance</x:v>
      </x:c>
      <x:c r="I1613" t="str">
        <x:f>IF(F1613=1,"PASS","OPEN")</x:f>
        <x:v>OPEN</x:v>
      </x:c>
    </x:row>
    <x:row r="1614">
      <x:c r="B1614" t="str">
        <x:v>PH-AR-002</x:v>
      </x:c>
      <x:c r="C1614" t="str">
        <x:v>PHYSICAL</x:v>
      </x:c>
      <x:c r="D1614" t="str">
        <x:v>truth article acceptance</x:v>
      </x:c>
      <x:c r="E1614" t="str">
        <x:v>PH-AR-002</x:v>
      </x:c>
      <x:c r="F1614" t="n">
        <x:f>IF('Artifact Bank'!H8&lt;&gt;"",1,0)</x:f>
        <x:v>0</x:v>
      </x:c>
      <x:c r="G1614" t="n">
        <x:v>1</x:v>
      </x:c>
      <x:c r="H1614" t="str">
        <x:v>independent physical acceptance</x:v>
      </x:c>
      <x:c r="I1614" t="str">
        <x:f>IF(F1614=1,"PASS","OPEN")</x:f>
        <x:v>OPEN</x:v>
      </x:c>
    </x:row>
    <x:row r="1615">
      <x:c r="B1615" t="str">
        <x:v>PH-AR-003</x:v>
      </x:c>
      <x:c r="C1615" t="str">
        <x:v>PHYSICAL</x:v>
      </x:c>
      <x:c r="D1615" t="str">
        <x:v>truth article acceptance</x:v>
      </x:c>
      <x:c r="E1615" t="str">
        <x:v>PH-AR-003</x:v>
      </x:c>
      <x:c r="F1615" t="n">
        <x:f>IF('Artifact Bank'!H9&lt;&gt;"",1,0)</x:f>
        <x:v>0</x:v>
      </x:c>
      <x:c r="G1615" t="n">
        <x:v>1</x:v>
      </x:c>
      <x:c r="H1615" t="str">
        <x:v>independent physical acceptance</x:v>
      </x:c>
      <x:c r="I1615" t="str">
        <x:f>IF(F1615=1,"PASS","OPEN")</x:f>
        <x:v>OPEN</x:v>
      </x:c>
    </x:row>
    <x:row r="1616">
      <x:c r="B1616" t="str">
        <x:v>PH-AR-004</x:v>
      </x:c>
      <x:c r="C1616" t="str">
        <x:v>PHYSICAL</x:v>
      </x:c>
      <x:c r="D1616" t="str">
        <x:v>truth article acceptance</x:v>
      </x:c>
      <x:c r="E1616" t="str">
        <x:v>PH-AR-004</x:v>
      </x:c>
      <x:c r="F1616" t="n">
        <x:f>IF('Artifact Bank'!H10&lt;&gt;"",1,0)</x:f>
        <x:v>0</x:v>
      </x:c>
      <x:c r="G1616" t="n">
        <x:v>1</x:v>
      </x:c>
      <x:c r="H1616" t="str">
        <x:v>independent physical acceptance</x:v>
      </x:c>
      <x:c r="I1616" t="str">
        <x:f>IF(F1616=1,"PASS","OPEN")</x:f>
        <x:v>OPEN</x:v>
      </x:c>
    </x:row>
    <x:row r="1617">
      <x:c r="B1617" t="str">
        <x:v>PH-AR-005</x:v>
      </x:c>
      <x:c r="C1617" t="str">
        <x:v>PHYSICAL</x:v>
      </x:c>
      <x:c r="D1617" t="str">
        <x:v>truth article acceptance</x:v>
      </x:c>
      <x:c r="E1617" t="str">
        <x:v>PH-AR-005</x:v>
      </x:c>
      <x:c r="F1617" t="n">
        <x:f>IF('Artifact Bank'!H11&lt;&gt;"",1,0)</x:f>
        <x:v>0</x:v>
      </x:c>
      <x:c r="G1617" t="n">
        <x:v>1</x:v>
      </x:c>
      <x:c r="H1617" t="str">
        <x:v>independent physical acceptance</x:v>
      </x:c>
      <x:c r="I1617" t="str">
        <x:f>IF(F1617=1,"PASS","OPEN")</x:f>
        <x:v>OPEN</x:v>
      </x:c>
    </x:row>
    <x:row r="1618">
      <x:c r="B1618" t="str">
        <x:v>PH-AR-006</x:v>
      </x:c>
      <x:c r="C1618" t="str">
        <x:v>PHYSICAL</x:v>
      </x:c>
      <x:c r="D1618" t="str">
        <x:v>truth article acceptance</x:v>
      </x:c>
      <x:c r="E1618" t="str">
        <x:v>PH-AR-006</x:v>
      </x:c>
      <x:c r="F1618" t="n">
        <x:f>IF('Artifact Bank'!H12&lt;&gt;"",1,0)</x:f>
        <x:v>0</x:v>
      </x:c>
      <x:c r="G1618" t="n">
        <x:v>1</x:v>
      </x:c>
      <x:c r="H1618" t="str">
        <x:v>independent physical acceptance</x:v>
      </x:c>
      <x:c r="I1618" t="str">
        <x:f>IF(F1618=1,"PASS","OPEN")</x:f>
        <x:v>OPEN</x:v>
      </x:c>
    </x:row>
    <x:row r="1619">
      <x:c r="B1619" t="str">
        <x:v>PH-AR-007</x:v>
      </x:c>
      <x:c r="C1619" t="str">
        <x:v>PHYSICAL</x:v>
      </x:c>
      <x:c r="D1619" t="str">
        <x:v>truth article acceptance</x:v>
      </x:c>
      <x:c r="E1619" t="str">
        <x:v>PH-AR-007</x:v>
      </x:c>
      <x:c r="F1619" t="n">
        <x:f>IF('Artifact Bank'!H13&lt;&gt;"",1,0)</x:f>
        <x:v>0</x:v>
      </x:c>
      <x:c r="G1619" t="n">
        <x:v>1</x:v>
      </x:c>
      <x:c r="H1619" t="str">
        <x:v>independent physical acceptance</x:v>
      </x:c>
      <x:c r="I1619" t="str">
        <x:f>IF(F1619=1,"PASS","OPEN")</x:f>
        <x:v>OPEN</x:v>
      </x:c>
    </x:row>
    <x:row r="1620">
      <x:c r="B1620" t="str">
        <x:v>PH-AR-008</x:v>
      </x:c>
      <x:c r="C1620" t="str">
        <x:v>PHYSICAL</x:v>
      </x:c>
      <x:c r="D1620" t="str">
        <x:v>truth article acceptance</x:v>
      </x:c>
      <x:c r="E1620" t="str">
        <x:v>PH-AR-008</x:v>
      </x:c>
      <x:c r="F1620" t="n">
        <x:f>IF('Artifact Bank'!H14&lt;&gt;"",1,0)</x:f>
        <x:v>0</x:v>
      </x:c>
      <x:c r="G1620" t="n">
        <x:v>1</x:v>
      </x:c>
      <x:c r="H1620" t="str">
        <x:v>independent physical acceptance</x:v>
      </x:c>
      <x:c r="I1620" t="str">
        <x:f>IF(F1620=1,"PASS","OPEN")</x:f>
        <x:v>OPEN</x:v>
      </x:c>
    </x:row>
    <x:row r="1621">
      <x:c r="B1621" t="str">
        <x:v>PH-AR-009</x:v>
      </x:c>
      <x:c r="C1621" t="str">
        <x:v>PHYSICAL</x:v>
      </x:c>
      <x:c r="D1621" t="str">
        <x:v>truth article acceptance</x:v>
      </x:c>
      <x:c r="E1621" t="str">
        <x:v>PH-AR-009</x:v>
      </x:c>
      <x:c r="F1621" t="n">
        <x:f>IF('Artifact Bank'!H15&lt;&gt;"",1,0)</x:f>
        <x:v>0</x:v>
      </x:c>
      <x:c r="G1621" t="n">
        <x:v>1</x:v>
      </x:c>
      <x:c r="H1621" t="str">
        <x:v>independent physical acceptance</x:v>
      </x:c>
      <x:c r="I1621" t="str">
        <x:f>IF(F1621=1,"PASS","OPEN")</x:f>
        <x:v>OPEN</x:v>
      </x:c>
    </x:row>
    <x:row r="1622">
      <x:c r="B1622" t="str">
        <x:v>PH-AR-010</x:v>
      </x:c>
      <x:c r="C1622" t="str">
        <x:v>PHYSICAL</x:v>
      </x:c>
      <x:c r="D1622" t="str">
        <x:v>truth article acceptance</x:v>
      </x:c>
      <x:c r="E1622" t="str">
        <x:v>PH-AR-010</x:v>
      </x:c>
      <x:c r="F1622" t="n">
        <x:f>IF('Artifact Bank'!H16&lt;&gt;"",1,0)</x:f>
        <x:v>0</x:v>
      </x:c>
      <x:c r="G1622" t="n">
        <x:v>1</x:v>
      </x:c>
      <x:c r="H1622" t="str">
        <x:v>independent physical acceptance</x:v>
      </x:c>
      <x:c r="I1622" t="str">
        <x:f>IF(F1622=1,"PASS","OPEN")</x:f>
        <x:v>OPEN</x:v>
      </x:c>
    </x:row>
    <x:row r="1623">
      <x:c r="B1623" t="str">
        <x:v>PH-AR-011</x:v>
      </x:c>
      <x:c r="C1623" t="str">
        <x:v>PHYSICAL</x:v>
      </x:c>
      <x:c r="D1623" t="str">
        <x:v>truth article acceptance</x:v>
      </x:c>
      <x:c r="E1623" t="str">
        <x:v>PH-AR-011</x:v>
      </x:c>
      <x:c r="F1623" t="n">
        <x:f>IF('Artifact Bank'!H17&lt;&gt;"",1,0)</x:f>
        <x:v>0</x:v>
      </x:c>
      <x:c r="G1623" t="n">
        <x:v>1</x:v>
      </x:c>
      <x:c r="H1623" t="str">
        <x:v>independent physical acceptance</x:v>
      </x:c>
      <x:c r="I1623" t="str">
        <x:f>IF(F1623=1,"PASS","OPEN")</x:f>
        <x:v>OPEN</x:v>
      </x:c>
    </x:row>
    <x:row r="1624">
      <x:c r="B1624" t="str">
        <x:v>PH-AR-012</x:v>
      </x:c>
      <x:c r="C1624" t="str">
        <x:v>PHYSICAL</x:v>
      </x:c>
      <x:c r="D1624" t="str">
        <x:v>truth article acceptance</x:v>
      </x:c>
      <x:c r="E1624" t="str">
        <x:v>PH-AR-012</x:v>
      </x:c>
      <x:c r="F1624" t="n">
        <x:f>IF('Artifact Bank'!H18&lt;&gt;"",1,0)</x:f>
        <x:v>0</x:v>
      </x:c>
      <x:c r="G1624" t="n">
        <x:v>1</x:v>
      </x:c>
      <x:c r="H1624" t="str">
        <x:v>independent physical acceptance</x:v>
      </x:c>
      <x:c r="I1624" t="str">
        <x:f>IF(F1624=1,"PASS","OPEN")</x:f>
        <x:v>OPEN</x:v>
      </x:c>
    </x:row>
    <x:row r="1625">
      <x:c r="B1625" t="str">
        <x:v>PH-AR-013</x:v>
      </x:c>
      <x:c r="C1625" t="str">
        <x:v>PHYSICAL</x:v>
      </x:c>
      <x:c r="D1625" t="str">
        <x:v>truth article acceptance</x:v>
      </x:c>
      <x:c r="E1625" t="str">
        <x:v>PH-AR-013</x:v>
      </x:c>
      <x:c r="F1625" t="n">
        <x:f>IF('Artifact Bank'!H19&lt;&gt;"",1,0)</x:f>
        <x:v>0</x:v>
      </x:c>
      <x:c r="G1625" t="n">
        <x:v>1</x:v>
      </x:c>
      <x:c r="H1625" t="str">
        <x:v>independent physical acceptance</x:v>
      </x:c>
      <x:c r="I1625" t="str">
        <x:f>IF(F1625=1,"PASS","OPEN")</x:f>
        <x:v>OPEN</x:v>
      </x:c>
    </x:row>
    <x:row r="1626">
      <x:c r="B1626" t="str">
        <x:v>PH-AR-014</x:v>
      </x:c>
      <x:c r="C1626" t="str">
        <x:v>PHYSICAL</x:v>
      </x:c>
      <x:c r="D1626" t="str">
        <x:v>truth article acceptance</x:v>
      </x:c>
      <x:c r="E1626" t="str">
        <x:v>PH-AR-014</x:v>
      </x:c>
      <x:c r="F1626" t="n">
        <x:f>IF('Artifact Bank'!H20&lt;&gt;"",1,0)</x:f>
        <x:v>0</x:v>
      </x:c>
      <x:c r="G1626" t="n">
        <x:v>1</x:v>
      </x:c>
      <x:c r="H1626" t="str">
        <x:v>independent physical acceptance</x:v>
      </x:c>
      <x:c r="I1626" t="str">
        <x:f>IF(F1626=1,"PASS","OPEN")</x:f>
        <x:v>OPEN</x:v>
      </x:c>
    </x:row>
    <x:row r="1627">
      <x:c r="B1627" t="str">
        <x:v>PH-AR-015</x:v>
      </x:c>
      <x:c r="C1627" t="str">
        <x:v>PHYSICAL</x:v>
      </x:c>
      <x:c r="D1627" t="str">
        <x:v>truth article acceptance</x:v>
      </x:c>
      <x:c r="E1627" t="str">
        <x:v>PH-AR-015</x:v>
      </x:c>
      <x:c r="F1627" t="n">
        <x:f>IF('Artifact Bank'!H21&lt;&gt;"",1,0)</x:f>
        <x:v>0</x:v>
      </x:c>
      <x:c r="G1627" t="n">
        <x:v>1</x:v>
      </x:c>
      <x:c r="H1627" t="str">
        <x:v>independent physical acceptance</x:v>
      </x:c>
      <x:c r="I1627" t="str">
        <x:f>IF(F1627=1,"PASS","OPEN")</x:f>
        <x:v>OPEN</x:v>
      </x:c>
    </x:row>
    <x:row r="1628">
      <x:c r="B1628" t="str">
        <x:v>PH-AR-016</x:v>
      </x:c>
      <x:c r="C1628" t="str">
        <x:v>PHYSICAL</x:v>
      </x:c>
      <x:c r="D1628" t="str">
        <x:v>truth article acceptance</x:v>
      </x:c>
      <x:c r="E1628" t="str">
        <x:v>PH-AR-016</x:v>
      </x:c>
      <x:c r="F1628" t="n">
        <x:f>IF('Artifact Bank'!H22&lt;&gt;"",1,0)</x:f>
        <x:v>0</x:v>
      </x:c>
      <x:c r="G1628" t="n">
        <x:v>1</x:v>
      </x:c>
      <x:c r="H1628" t="str">
        <x:v>independent physical acceptance</x:v>
      </x:c>
      <x:c r="I1628" t="str">
        <x:f>IF(F1628=1,"PASS","OPEN")</x:f>
        <x:v>OPEN</x:v>
      </x:c>
    </x:row>
    <x:row r="1629">
      <x:c r="B1629" t="str">
        <x:v>PH-AR-017</x:v>
      </x:c>
      <x:c r="C1629" t="str">
        <x:v>PHYSICAL</x:v>
      </x:c>
      <x:c r="D1629" t="str">
        <x:v>truth article acceptance</x:v>
      </x:c>
      <x:c r="E1629" t="str">
        <x:v>PH-AR-017</x:v>
      </x:c>
      <x:c r="F1629" t="n">
        <x:f>IF('Artifact Bank'!H23&lt;&gt;"",1,0)</x:f>
        <x:v>0</x:v>
      </x:c>
      <x:c r="G1629" t="n">
        <x:v>1</x:v>
      </x:c>
      <x:c r="H1629" t="str">
        <x:v>independent physical acceptance</x:v>
      </x:c>
      <x:c r="I1629" t="str">
        <x:f>IF(F1629=1,"PASS","OPEN")</x:f>
        <x:v>OPEN</x:v>
      </x:c>
    </x:row>
    <x:row r="1630">
      <x:c r="B1630" t="str">
        <x:v>PH-AR-018</x:v>
      </x:c>
      <x:c r="C1630" t="str">
        <x:v>PHYSICAL</x:v>
      </x:c>
      <x:c r="D1630" t="str">
        <x:v>truth article acceptance</x:v>
      </x:c>
      <x:c r="E1630" t="str">
        <x:v>PH-AR-018</x:v>
      </x:c>
      <x:c r="F1630" t="n">
        <x:f>IF('Artifact Bank'!H24&lt;&gt;"",1,0)</x:f>
        <x:v>0</x:v>
      </x:c>
      <x:c r="G1630" t="n">
        <x:v>1</x:v>
      </x:c>
      <x:c r="H1630" t="str">
        <x:v>independent physical acceptance</x:v>
      </x:c>
      <x:c r="I1630" t="str">
        <x:f>IF(F1630=1,"PASS","OPEN")</x:f>
        <x:v>OPEN</x:v>
      </x:c>
    </x:row>
    <x:row r="1631">
      <x:c r="B1631" t="str">
        <x:v>PH-AR-019</x:v>
      </x:c>
      <x:c r="C1631" t="str">
        <x:v>PHYSICAL</x:v>
      </x:c>
      <x:c r="D1631" t="str">
        <x:v>truth article acceptance</x:v>
      </x:c>
      <x:c r="E1631" t="str">
        <x:v>PH-AR-019</x:v>
      </x:c>
      <x:c r="F1631" t="n">
        <x:f>IF('Artifact Bank'!H25&lt;&gt;"",1,0)</x:f>
        <x:v>0</x:v>
      </x:c>
      <x:c r="G1631" t="n">
        <x:v>1</x:v>
      </x:c>
      <x:c r="H1631" t="str">
        <x:v>independent physical acceptance</x:v>
      </x:c>
      <x:c r="I1631" t="str">
        <x:f>IF(F1631=1,"PASS","OPEN")</x:f>
        <x:v>OPEN</x:v>
      </x:c>
    </x:row>
    <x:row r="1632">
      <x:c r="B1632" t="str">
        <x:v>PH-AR-020</x:v>
      </x:c>
      <x:c r="C1632" t="str">
        <x:v>PHYSICAL</x:v>
      </x:c>
      <x:c r="D1632" t="str">
        <x:v>truth article acceptance</x:v>
      </x:c>
      <x:c r="E1632" t="str">
        <x:v>PH-AR-020</x:v>
      </x:c>
      <x:c r="F1632" t="n">
        <x:f>IF('Artifact Bank'!H26&lt;&gt;"",1,0)</x:f>
        <x:v>0</x:v>
      </x:c>
      <x:c r="G1632" t="n">
        <x:v>1</x:v>
      </x:c>
      <x:c r="H1632" t="str">
        <x:v>independent physical acceptance</x:v>
      </x:c>
      <x:c r="I1632" t="str">
        <x:f>IF(F1632=1,"PASS","OPEN")</x:f>
        <x:v>OPEN</x:v>
      </x:c>
    </x:row>
    <x:row r="1633">
      <x:c r="B1633" t="str">
        <x:v>PH-AR-021</x:v>
      </x:c>
      <x:c r="C1633" t="str">
        <x:v>PHYSICAL</x:v>
      </x:c>
      <x:c r="D1633" t="str">
        <x:v>truth article acceptance</x:v>
      </x:c>
      <x:c r="E1633" t="str">
        <x:v>PH-AR-021</x:v>
      </x:c>
      <x:c r="F1633" t="n">
        <x:f>IF('Artifact Bank'!H27&lt;&gt;"",1,0)</x:f>
        <x:v>0</x:v>
      </x:c>
      <x:c r="G1633" t="n">
        <x:v>1</x:v>
      </x:c>
      <x:c r="H1633" t="str">
        <x:v>independent physical acceptance</x:v>
      </x:c>
      <x:c r="I1633" t="str">
        <x:f>IF(F1633=1,"PASS","OPEN")</x:f>
        <x:v>OPEN</x:v>
      </x:c>
    </x:row>
    <x:row r="1634">
      <x:c r="B1634" t="str">
        <x:v>PH-AR-022</x:v>
      </x:c>
      <x:c r="C1634" t="str">
        <x:v>PHYSICAL</x:v>
      </x:c>
      <x:c r="D1634" t="str">
        <x:v>truth article acceptance</x:v>
      </x:c>
      <x:c r="E1634" t="str">
        <x:v>PH-AR-022</x:v>
      </x:c>
      <x:c r="F1634" t="n">
        <x:f>IF('Artifact Bank'!H28&lt;&gt;"",1,0)</x:f>
        <x:v>0</x:v>
      </x:c>
      <x:c r="G1634" t="n">
        <x:v>1</x:v>
      </x:c>
      <x:c r="H1634" t="str">
        <x:v>independent physical acceptance</x:v>
      </x:c>
      <x:c r="I1634" t="str">
        <x:f>IF(F1634=1,"PASS","OPEN")</x:f>
        <x:v>OPEN</x:v>
      </x:c>
    </x:row>
    <x:row r="1635">
      <x:c r="B1635" t="str">
        <x:v>PH-AR-023</x:v>
      </x:c>
      <x:c r="C1635" t="str">
        <x:v>PHYSICAL</x:v>
      </x:c>
      <x:c r="D1635" t="str">
        <x:v>truth article acceptance</x:v>
      </x:c>
      <x:c r="E1635" t="str">
        <x:v>PH-AR-023</x:v>
      </x:c>
      <x:c r="F1635" t="n">
        <x:f>IF('Artifact Bank'!H29&lt;&gt;"",1,0)</x:f>
        <x:v>0</x:v>
      </x:c>
      <x:c r="G1635" t="n">
        <x:v>1</x:v>
      </x:c>
      <x:c r="H1635" t="str">
        <x:v>independent physical acceptance</x:v>
      </x:c>
      <x:c r="I1635" t="str">
        <x:f>IF(F1635=1,"PASS","OPEN")</x:f>
        <x:v>OPEN</x:v>
      </x:c>
    </x:row>
    <x:row r="1636">
      <x:c r="B1636" t="str">
        <x:v>PH-AR-024</x:v>
      </x:c>
      <x:c r="C1636" t="str">
        <x:v>PHYSICAL</x:v>
      </x:c>
      <x:c r="D1636" t="str">
        <x:v>truth article acceptance</x:v>
      </x:c>
      <x:c r="E1636" t="str">
        <x:v>PH-AR-024</x:v>
      </x:c>
      <x:c r="F1636" t="n">
        <x:f>IF('Artifact Bank'!H30&lt;&gt;"",1,0)</x:f>
        <x:v>0</x:v>
      </x:c>
      <x:c r="G1636" t="n">
        <x:v>1</x:v>
      </x:c>
      <x:c r="H1636" t="str">
        <x:v>independent physical acceptance</x:v>
      </x:c>
      <x:c r="I1636" t="str">
        <x:f>IF(F1636=1,"PASS","OPEN")</x:f>
        <x:v>OPEN</x:v>
      </x:c>
    </x:row>
    <x:row r="1637">
      <x:c r="B1637" t="str">
        <x:v>PH-AR-025</x:v>
      </x:c>
      <x:c r="C1637" t="str">
        <x:v>PHYSICAL</x:v>
      </x:c>
      <x:c r="D1637" t="str">
        <x:v>truth article acceptance</x:v>
      </x:c>
      <x:c r="E1637" t="str">
        <x:v>PH-AR-025</x:v>
      </x:c>
      <x:c r="F1637" t="n">
        <x:f>IF('Artifact Bank'!H31&lt;&gt;"",1,0)</x:f>
        <x:v>0</x:v>
      </x:c>
      <x:c r="G1637" t="n">
        <x:v>1</x:v>
      </x:c>
      <x:c r="H1637" t="str">
        <x:v>independent physical acceptance</x:v>
      </x:c>
      <x:c r="I1637" t="str">
        <x:f>IF(F1637=1,"PASS","OPEN")</x:f>
        <x:v>OPEN</x:v>
      </x:c>
    </x:row>
    <x:row r="1638">
      <x:c r="B1638" t="str">
        <x:v>PH-AR-026</x:v>
      </x:c>
      <x:c r="C1638" t="str">
        <x:v>PHYSICAL</x:v>
      </x:c>
      <x:c r="D1638" t="str">
        <x:v>truth article acceptance</x:v>
      </x:c>
      <x:c r="E1638" t="str">
        <x:v>PH-AR-026</x:v>
      </x:c>
      <x:c r="F1638" t="n">
        <x:f>IF('Artifact Bank'!H32&lt;&gt;"",1,0)</x:f>
        <x:v>0</x:v>
      </x:c>
      <x:c r="G1638" t="n">
        <x:v>1</x:v>
      </x:c>
      <x:c r="H1638" t="str">
        <x:v>independent physical acceptance</x:v>
      </x:c>
      <x:c r="I1638" t="str">
        <x:f>IF(F1638=1,"PASS","OPEN")</x:f>
        <x:v>OPEN</x:v>
      </x:c>
    </x:row>
    <x:row r="1639">
      <x:c r="B1639" t="str">
        <x:v>PH-AR-027</x:v>
      </x:c>
      <x:c r="C1639" t="str">
        <x:v>PHYSICAL</x:v>
      </x:c>
      <x:c r="D1639" t="str">
        <x:v>truth article acceptance</x:v>
      </x:c>
      <x:c r="E1639" t="str">
        <x:v>PH-AR-027</x:v>
      </x:c>
      <x:c r="F1639" t="n">
        <x:f>IF('Artifact Bank'!H33&lt;&gt;"",1,0)</x:f>
        <x:v>0</x:v>
      </x:c>
      <x:c r="G1639" t="n">
        <x:v>1</x:v>
      </x:c>
      <x:c r="H1639" t="str">
        <x:v>independent physical acceptance</x:v>
      </x:c>
      <x:c r="I1639" t="str">
        <x:f>IF(F1639=1,"PASS","OPEN")</x:f>
        <x:v>OPEN</x:v>
      </x:c>
    </x:row>
    <x:row r="1640">
      <x:c r="B1640" t="str">
        <x:v>PH-AR-028</x:v>
      </x:c>
      <x:c r="C1640" t="str">
        <x:v>PHYSICAL</x:v>
      </x:c>
      <x:c r="D1640" t="str">
        <x:v>truth article acceptance</x:v>
      </x:c>
      <x:c r="E1640" t="str">
        <x:v>PH-AR-028</x:v>
      </x:c>
      <x:c r="F1640" t="n">
        <x:f>IF('Artifact Bank'!H34&lt;&gt;"",1,0)</x:f>
        <x:v>0</x:v>
      </x:c>
      <x:c r="G1640" t="n">
        <x:v>1</x:v>
      </x:c>
      <x:c r="H1640" t="str">
        <x:v>independent physical acceptance</x:v>
      </x:c>
      <x:c r="I1640" t="str">
        <x:f>IF(F1640=1,"PASS","OPEN")</x:f>
        <x:v>OPEN</x:v>
      </x:c>
    </x:row>
    <x:row r="1641">
      <x:c r="B1641" t="str">
        <x:v>PH-AR-029</x:v>
      </x:c>
      <x:c r="C1641" t="str">
        <x:v>PHYSICAL</x:v>
      </x:c>
      <x:c r="D1641" t="str">
        <x:v>truth article acceptance</x:v>
      </x:c>
      <x:c r="E1641" t="str">
        <x:v>PH-AR-029</x:v>
      </x:c>
      <x:c r="F1641" t="n">
        <x:f>IF('Artifact Bank'!H35&lt;&gt;"",1,0)</x:f>
        <x:v>0</x:v>
      </x:c>
      <x:c r="G1641" t="n">
        <x:v>1</x:v>
      </x:c>
      <x:c r="H1641" t="str">
        <x:v>independent physical acceptance</x:v>
      </x:c>
      <x:c r="I1641" t="str">
        <x:f>IF(F1641=1,"PASS","OPEN")</x:f>
        <x:v>OPEN</x:v>
      </x:c>
    </x:row>
    <x:row r="1642">
      <x:c r="B1642" t="str">
        <x:v>PH-AR-030</x:v>
      </x:c>
      <x:c r="C1642" t="str">
        <x:v>PHYSICAL</x:v>
      </x:c>
      <x:c r="D1642" t="str">
        <x:v>truth article acceptance</x:v>
      </x:c>
      <x:c r="E1642" t="str">
        <x:v>PH-AR-030</x:v>
      </x:c>
      <x:c r="F1642" t="n">
        <x:f>IF('Artifact Bank'!H36&lt;&gt;"",1,0)</x:f>
        <x:v>0</x:v>
      </x:c>
      <x:c r="G1642" t="n">
        <x:v>1</x:v>
      </x:c>
      <x:c r="H1642" t="str">
        <x:v>independent physical acceptance</x:v>
      </x:c>
      <x:c r="I1642" t="str">
        <x:f>IF(F1642=1,"PASS","OPEN")</x:f>
        <x:v>OPEN</x:v>
      </x:c>
    </x:row>
    <x:row r="1643">
      <x:c r="B1643" t="str">
        <x:v>PH-AR-031</x:v>
      </x:c>
      <x:c r="C1643" t="str">
        <x:v>PHYSICAL</x:v>
      </x:c>
      <x:c r="D1643" t="str">
        <x:v>truth article acceptance</x:v>
      </x:c>
      <x:c r="E1643" t="str">
        <x:v>PH-AR-031</x:v>
      </x:c>
      <x:c r="F1643" t="n">
        <x:f>IF('Artifact Bank'!H37&lt;&gt;"",1,0)</x:f>
        <x:v>0</x:v>
      </x:c>
      <x:c r="G1643" t="n">
        <x:v>1</x:v>
      </x:c>
      <x:c r="H1643" t="str">
        <x:v>independent physical acceptance</x:v>
      </x:c>
      <x:c r="I1643" t="str">
        <x:f>IF(F1643=1,"PASS","OPEN")</x:f>
        <x:v>OPEN</x:v>
      </x:c>
    </x:row>
    <x:row r="1644">
      <x:c r="B1644" t="str">
        <x:v>PH-AR-032</x:v>
      </x:c>
      <x:c r="C1644" t="str">
        <x:v>PHYSICAL</x:v>
      </x:c>
      <x:c r="D1644" t="str">
        <x:v>truth article acceptance</x:v>
      </x:c>
      <x:c r="E1644" t="str">
        <x:v>PH-AR-032</x:v>
      </x:c>
      <x:c r="F1644" t="n">
        <x:f>IF('Artifact Bank'!H38&lt;&gt;"",1,0)</x:f>
        <x:v>0</x:v>
      </x:c>
      <x:c r="G1644" t="n">
        <x:v>1</x:v>
      </x:c>
      <x:c r="H1644" t="str">
        <x:v>independent physical acceptance</x:v>
      </x:c>
      <x:c r="I1644" t="str">
        <x:f>IF(F1644=1,"PASS","OPEN")</x:f>
        <x:v>OPEN</x:v>
      </x:c>
    </x:row>
    <x:row r="1645">
      <x:c r="B1645" t="str">
        <x:v>PH-AR-033</x:v>
      </x:c>
      <x:c r="C1645" t="str">
        <x:v>PHYSICAL</x:v>
      </x:c>
      <x:c r="D1645" t="str">
        <x:v>truth article acceptance</x:v>
      </x:c>
      <x:c r="E1645" t="str">
        <x:v>PH-AR-033</x:v>
      </x:c>
      <x:c r="F1645" t="n">
        <x:f>IF('Artifact Bank'!H39&lt;&gt;"",1,0)</x:f>
        <x:v>0</x:v>
      </x:c>
      <x:c r="G1645" t="n">
        <x:v>1</x:v>
      </x:c>
      <x:c r="H1645" t="str">
        <x:v>independent physical acceptance</x:v>
      </x:c>
      <x:c r="I1645" t="str">
        <x:f>IF(F1645=1,"PASS","OPEN")</x:f>
        <x:v>OPEN</x:v>
      </x:c>
    </x:row>
    <x:row r="1646">
      <x:c r="B1646" t="str">
        <x:v>PH-AR-034</x:v>
      </x:c>
      <x:c r="C1646" t="str">
        <x:v>PHYSICAL</x:v>
      </x:c>
      <x:c r="D1646" t="str">
        <x:v>truth article acceptance</x:v>
      </x:c>
      <x:c r="E1646" t="str">
        <x:v>PH-AR-034</x:v>
      </x:c>
      <x:c r="F1646" t="n">
        <x:f>IF('Artifact Bank'!H40&lt;&gt;"",1,0)</x:f>
        <x:v>0</x:v>
      </x:c>
      <x:c r="G1646" t="n">
        <x:v>1</x:v>
      </x:c>
      <x:c r="H1646" t="str">
        <x:v>independent physical acceptance</x:v>
      </x:c>
      <x:c r="I1646" t="str">
        <x:f>IF(F1646=1,"PASS","OPEN")</x:f>
        <x:v>OPEN</x:v>
      </x:c>
    </x:row>
    <x:row r="1647">
      <x:c r="B1647" t="str">
        <x:v>PH-AR-035</x:v>
      </x:c>
      <x:c r="C1647" t="str">
        <x:v>PHYSICAL</x:v>
      </x:c>
      <x:c r="D1647" t="str">
        <x:v>truth article acceptance</x:v>
      </x:c>
      <x:c r="E1647" t="str">
        <x:v>PH-AR-035</x:v>
      </x:c>
      <x:c r="F1647" t="n">
        <x:f>IF('Artifact Bank'!H41&lt;&gt;"",1,0)</x:f>
        <x:v>0</x:v>
      </x:c>
      <x:c r="G1647" t="n">
        <x:v>1</x:v>
      </x:c>
      <x:c r="H1647" t="str">
        <x:v>independent physical acceptance</x:v>
      </x:c>
      <x:c r="I1647" t="str">
        <x:f>IF(F1647=1,"PASS","OPEN")</x:f>
        <x:v>OPEN</x:v>
      </x:c>
    </x:row>
    <x:row r="1648">
      <x:c r="B1648" t="str">
        <x:v>PH-AR-036</x:v>
      </x:c>
      <x:c r="C1648" t="str">
        <x:v>PHYSICAL</x:v>
      </x:c>
      <x:c r="D1648" t="str">
        <x:v>truth article acceptance</x:v>
      </x:c>
      <x:c r="E1648" t="str">
        <x:v>PH-AR-036</x:v>
      </x:c>
      <x:c r="F1648" t="n">
        <x:f>IF('Artifact Bank'!H42&lt;&gt;"",1,0)</x:f>
        <x:v>0</x:v>
      </x:c>
      <x:c r="G1648" t="n">
        <x:v>1</x:v>
      </x:c>
      <x:c r="H1648" t="str">
        <x:v>independent physical acceptance</x:v>
      </x:c>
      <x:c r="I1648" t="str">
        <x:f>IF(F1648=1,"PASS","OPEN")</x:f>
        <x:v>OPEN</x:v>
      </x:c>
    </x:row>
    <x:row r="1649">
      <x:c r="B1649" t="str">
        <x:v>PH-AR-037</x:v>
      </x:c>
      <x:c r="C1649" t="str">
        <x:v>PHYSICAL</x:v>
      </x:c>
      <x:c r="D1649" t="str">
        <x:v>truth article acceptance</x:v>
      </x:c>
      <x:c r="E1649" t="str">
        <x:v>PH-AR-037</x:v>
      </x:c>
      <x:c r="F1649" t="n">
        <x:f>IF('Artifact Bank'!H43&lt;&gt;"",1,0)</x:f>
        <x:v>0</x:v>
      </x:c>
      <x:c r="G1649" t="n">
        <x:v>1</x:v>
      </x:c>
      <x:c r="H1649" t="str">
        <x:v>independent physical acceptance</x:v>
      </x:c>
      <x:c r="I1649" t="str">
        <x:f>IF(F1649=1,"PASS","OPEN")</x:f>
        <x:v>OPEN</x:v>
      </x:c>
    </x:row>
    <x:row r="1650">
      <x:c r="B1650" t="str">
        <x:v>PH-AR-038</x:v>
      </x:c>
      <x:c r="C1650" t="str">
        <x:v>PHYSICAL</x:v>
      </x:c>
      <x:c r="D1650" t="str">
        <x:v>truth article acceptance</x:v>
      </x:c>
      <x:c r="E1650" t="str">
        <x:v>PH-AR-038</x:v>
      </x:c>
      <x:c r="F1650" t="n">
        <x:f>IF('Artifact Bank'!H44&lt;&gt;"",1,0)</x:f>
        <x:v>0</x:v>
      </x:c>
      <x:c r="G1650" t="n">
        <x:v>1</x:v>
      </x:c>
      <x:c r="H1650" t="str">
        <x:v>independent physical acceptance</x:v>
      </x:c>
      <x:c r="I1650" t="str">
        <x:f>IF(F1650=1,"PASS","OPEN")</x:f>
        <x:v>OPEN</x:v>
      </x:c>
    </x:row>
    <x:row r="1651">
      <x:c r="B1651" t="str">
        <x:v>PH-AR-039</x:v>
      </x:c>
      <x:c r="C1651" t="str">
        <x:v>PHYSICAL</x:v>
      </x:c>
      <x:c r="D1651" t="str">
        <x:v>truth article acceptance</x:v>
      </x:c>
      <x:c r="E1651" t="str">
        <x:v>PH-AR-039</x:v>
      </x:c>
      <x:c r="F1651" t="n">
        <x:f>IF('Artifact Bank'!H45&lt;&gt;"",1,0)</x:f>
        <x:v>0</x:v>
      </x:c>
      <x:c r="G1651" t="n">
        <x:v>1</x:v>
      </x:c>
      <x:c r="H1651" t="str">
        <x:v>independent physical acceptance</x:v>
      </x:c>
      <x:c r="I1651" t="str">
        <x:f>IF(F1651=1,"PASS","OPEN")</x:f>
        <x:v>OPEN</x:v>
      </x:c>
    </x:row>
    <x:row r="1652">
      <x:c r="B1652" t="str">
        <x:v>PH-AR-040</x:v>
      </x:c>
      <x:c r="C1652" t="str">
        <x:v>PHYSICAL</x:v>
      </x:c>
      <x:c r="D1652" t="str">
        <x:v>truth article acceptance</x:v>
      </x:c>
      <x:c r="E1652" t="str">
        <x:v>PH-AR-040</x:v>
      </x:c>
      <x:c r="F1652" t="n">
        <x:f>IF('Artifact Bank'!H46&lt;&gt;"",1,0)</x:f>
        <x:v>0</x:v>
      </x:c>
      <x:c r="G1652" t="n">
        <x:v>1</x:v>
      </x:c>
      <x:c r="H1652" t="str">
        <x:v>independent physical acceptance</x:v>
      </x:c>
      <x:c r="I1652" t="str">
        <x:f>IF(F1652=1,"PASS","OPEN")</x:f>
        <x:v>OPEN</x:v>
      </x:c>
    </x:row>
    <x:row r="1653">
      <x:c r="B1653" t="str">
        <x:v>PH-AR-041</x:v>
      </x:c>
      <x:c r="C1653" t="str">
        <x:v>PHYSICAL</x:v>
      </x:c>
      <x:c r="D1653" t="str">
        <x:v>truth article acceptance</x:v>
      </x:c>
      <x:c r="E1653" t="str">
        <x:v>PH-AR-041</x:v>
      </x:c>
      <x:c r="F1653" t="n">
        <x:f>IF('Artifact Bank'!H47&lt;&gt;"",1,0)</x:f>
        <x:v>0</x:v>
      </x:c>
      <x:c r="G1653" t="n">
        <x:v>1</x:v>
      </x:c>
      <x:c r="H1653" t="str">
        <x:v>independent physical acceptance</x:v>
      </x:c>
      <x:c r="I1653" t="str">
        <x:f>IF(F1653=1,"PASS","OPEN")</x:f>
        <x:v>OPEN</x:v>
      </x:c>
    </x:row>
    <x:row r="1654">
      <x:c r="B1654" t="str">
        <x:v>PH-AR-042</x:v>
      </x:c>
      <x:c r="C1654" t="str">
        <x:v>PHYSICAL</x:v>
      </x:c>
      <x:c r="D1654" t="str">
        <x:v>truth article acceptance</x:v>
      </x:c>
      <x:c r="E1654" t="str">
        <x:v>PH-AR-042</x:v>
      </x:c>
      <x:c r="F1654" t="n">
        <x:f>IF('Artifact Bank'!H48&lt;&gt;"",1,0)</x:f>
        <x:v>0</x:v>
      </x:c>
      <x:c r="G1654" t="n">
        <x:v>1</x:v>
      </x:c>
      <x:c r="H1654" t="str">
        <x:v>independent physical acceptance</x:v>
      </x:c>
      <x:c r="I1654" t="str">
        <x:f>IF(F1654=1,"PASS","OPEN")</x:f>
        <x:v>OPEN</x:v>
      </x:c>
    </x:row>
    <x:row r="1655">
      <x:c r="B1655" t="str">
        <x:v>PH-AR-043</x:v>
      </x:c>
      <x:c r="C1655" t="str">
        <x:v>PHYSICAL</x:v>
      </x:c>
      <x:c r="D1655" t="str">
        <x:v>truth article acceptance</x:v>
      </x:c>
      <x:c r="E1655" t="str">
        <x:v>PH-AR-043</x:v>
      </x:c>
      <x:c r="F1655" t="n">
        <x:f>IF('Artifact Bank'!H49&lt;&gt;"",1,0)</x:f>
        <x:v>0</x:v>
      </x:c>
      <x:c r="G1655" t="n">
        <x:v>1</x:v>
      </x:c>
      <x:c r="H1655" t="str">
        <x:v>independent physical acceptance</x:v>
      </x:c>
      <x:c r="I1655" t="str">
        <x:f>IF(F1655=1,"PASS","OPEN")</x:f>
        <x:v>OPEN</x:v>
      </x:c>
    </x:row>
    <x:row r="1656">
      <x:c r="B1656" t="str">
        <x:v>PH-AR-044</x:v>
      </x:c>
      <x:c r="C1656" t="str">
        <x:v>PHYSICAL</x:v>
      </x:c>
      <x:c r="D1656" t="str">
        <x:v>truth article acceptance</x:v>
      </x:c>
      <x:c r="E1656" t="str">
        <x:v>PH-AR-044</x:v>
      </x:c>
      <x:c r="F1656" t="n">
        <x:f>IF('Artifact Bank'!H50&lt;&gt;"",1,0)</x:f>
        <x:v>0</x:v>
      </x:c>
      <x:c r="G1656" t="n">
        <x:v>1</x:v>
      </x:c>
      <x:c r="H1656" t="str">
        <x:v>independent physical acceptance</x:v>
      </x:c>
      <x:c r="I1656" t="str">
        <x:f>IF(F1656=1,"PASS","OPEN")</x:f>
        <x:v>OPEN</x:v>
      </x:c>
    </x:row>
    <x:row r="1657">
      <x:c r="B1657" t="str">
        <x:v>PH-AR-045</x:v>
      </x:c>
      <x:c r="C1657" t="str">
        <x:v>PHYSICAL</x:v>
      </x:c>
      <x:c r="D1657" t="str">
        <x:v>truth article acceptance</x:v>
      </x:c>
      <x:c r="E1657" t="str">
        <x:v>PH-AR-045</x:v>
      </x:c>
      <x:c r="F1657" t="n">
        <x:f>IF('Artifact Bank'!H51&lt;&gt;"",1,0)</x:f>
        <x:v>0</x:v>
      </x:c>
      <x:c r="G1657" t="n">
        <x:v>1</x:v>
      </x:c>
      <x:c r="H1657" t="str">
        <x:v>independent physical acceptance</x:v>
      </x:c>
      <x:c r="I1657" t="str">
        <x:f>IF(F1657=1,"PASS","OPEN")</x:f>
        <x:v>OPEN</x:v>
      </x:c>
    </x:row>
    <x:row r="1658">
      <x:c r="B1658" t="str">
        <x:v>PH-AR-046</x:v>
      </x:c>
      <x:c r="C1658" t="str">
        <x:v>PHYSICAL</x:v>
      </x:c>
      <x:c r="D1658" t="str">
        <x:v>truth article acceptance</x:v>
      </x:c>
      <x:c r="E1658" t="str">
        <x:v>PH-AR-046</x:v>
      </x:c>
      <x:c r="F1658" t="n">
        <x:f>IF('Artifact Bank'!H52&lt;&gt;"",1,0)</x:f>
        <x:v>0</x:v>
      </x:c>
      <x:c r="G1658" t="n">
        <x:v>1</x:v>
      </x:c>
      <x:c r="H1658" t="str">
        <x:v>independent physical acceptance</x:v>
      </x:c>
      <x:c r="I1658" t="str">
        <x:f>IF(F1658=1,"PASS","OPEN")</x:f>
        <x:v>OPEN</x:v>
      </x:c>
    </x:row>
    <x:row r="1659">
      <x:c r="B1659" t="str">
        <x:v>PH-AR-047</x:v>
      </x:c>
      <x:c r="C1659" t="str">
        <x:v>PHYSICAL</x:v>
      </x:c>
      <x:c r="D1659" t="str">
        <x:v>truth article acceptance</x:v>
      </x:c>
      <x:c r="E1659" t="str">
        <x:v>PH-AR-047</x:v>
      </x:c>
      <x:c r="F1659" t="n">
        <x:f>IF('Artifact Bank'!H53&lt;&gt;"",1,0)</x:f>
        <x:v>0</x:v>
      </x:c>
      <x:c r="G1659" t="n">
        <x:v>1</x:v>
      </x:c>
      <x:c r="H1659" t="str">
        <x:v>independent physical acceptance</x:v>
      </x:c>
      <x:c r="I1659" t="str">
        <x:f>IF(F1659=1,"PASS","OPEN")</x:f>
        <x:v>OPEN</x:v>
      </x:c>
    </x:row>
    <x:row r="1660">
      <x:c r="B1660" t="str">
        <x:v>PH-AR-048</x:v>
      </x:c>
      <x:c r="C1660" t="str">
        <x:v>PHYSICAL</x:v>
      </x:c>
      <x:c r="D1660" t="str">
        <x:v>truth article acceptance</x:v>
      </x:c>
      <x:c r="E1660" t="str">
        <x:v>PH-AR-048</x:v>
      </x:c>
      <x:c r="F1660" t="n">
        <x:f>IF('Artifact Bank'!H54&lt;&gt;"",1,0)</x:f>
        <x:v>0</x:v>
      </x:c>
      <x:c r="G1660" t="n">
        <x:v>1</x:v>
      </x:c>
      <x:c r="H1660" t="str">
        <x:v>independent physical acceptance</x:v>
      </x:c>
      <x:c r="I1660" t="str">
        <x:f>IF(F1660=1,"PASS","OPEN")</x:f>
        <x:v>OPEN</x:v>
      </x:c>
    </x:row>
    <x:row r="1661">
      <x:c r="B1661" t="str">
        <x:v>PH-AR-049</x:v>
      </x:c>
      <x:c r="C1661" t="str">
        <x:v>PHYSICAL</x:v>
      </x:c>
      <x:c r="D1661" t="str">
        <x:v>truth article acceptance</x:v>
      </x:c>
      <x:c r="E1661" t="str">
        <x:v>PH-AR-049</x:v>
      </x:c>
      <x:c r="F1661" t="n">
        <x:f>IF('Artifact Bank'!H55&lt;&gt;"",1,0)</x:f>
        <x:v>0</x:v>
      </x:c>
      <x:c r="G1661" t="n">
        <x:v>1</x:v>
      </x:c>
      <x:c r="H1661" t="str">
        <x:v>independent physical acceptance</x:v>
      </x:c>
      <x:c r="I1661" t="str">
        <x:f>IF(F1661=1,"PASS","OPEN")</x:f>
        <x:v>OPEN</x:v>
      </x:c>
    </x:row>
    <x:row r="1662">
      <x:c r="B1662" t="str">
        <x:v>PH-AR-050</x:v>
      </x:c>
      <x:c r="C1662" t="str">
        <x:v>PHYSICAL</x:v>
      </x:c>
      <x:c r="D1662" t="str">
        <x:v>truth article acceptance</x:v>
      </x:c>
      <x:c r="E1662" t="str">
        <x:v>PH-AR-050</x:v>
      </x:c>
      <x:c r="F1662" t="n">
        <x:f>IF('Artifact Bank'!H56&lt;&gt;"",1,0)</x:f>
        <x:v>0</x:v>
      </x:c>
      <x:c r="G1662" t="n">
        <x:v>1</x:v>
      </x:c>
      <x:c r="H1662" t="str">
        <x:v>independent physical acceptance</x:v>
      </x:c>
      <x:c r="I1662" t="str">
        <x:f>IF(F1662=1,"PASS","OPEN")</x:f>
        <x:v>OPEN</x:v>
      </x:c>
    </x:row>
    <x:row r="1663">
      <x:c r="B1663" t="str">
        <x:v>PH-AR-051</x:v>
      </x:c>
      <x:c r="C1663" t="str">
        <x:v>PHYSICAL</x:v>
      </x:c>
      <x:c r="D1663" t="str">
        <x:v>truth article acceptance</x:v>
      </x:c>
      <x:c r="E1663" t="str">
        <x:v>PH-AR-051</x:v>
      </x:c>
      <x:c r="F1663" t="n">
        <x:f>IF('Artifact Bank'!H57&lt;&gt;"",1,0)</x:f>
        <x:v>0</x:v>
      </x:c>
      <x:c r="G1663" t="n">
        <x:v>1</x:v>
      </x:c>
      <x:c r="H1663" t="str">
        <x:v>independent physical acceptance</x:v>
      </x:c>
      <x:c r="I1663" t="str">
        <x:f>IF(F1663=1,"PASS","OPEN")</x:f>
        <x:v>OPEN</x:v>
      </x:c>
    </x:row>
    <x:row r="1664">
      <x:c r="B1664" t="str">
        <x:v>PH-AR-052</x:v>
      </x:c>
      <x:c r="C1664" t="str">
        <x:v>PHYSICAL</x:v>
      </x:c>
      <x:c r="D1664" t="str">
        <x:v>truth article acceptance</x:v>
      </x:c>
      <x:c r="E1664" t="str">
        <x:v>PH-AR-052</x:v>
      </x:c>
      <x:c r="F1664" t="n">
        <x:f>IF('Artifact Bank'!H58&lt;&gt;"",1,0)</x:f>
        <x:v>0</x:v>
      </x:c>
      <x:c r="G1664" t="n">
        <x:v>1</x:v>
      </x:c>
      <x:c r="H1664" t="str">
        <x:v>independent physical acceptance</x:v>
      </x:c>
      <x:c r="I1664" t="str">
        <x:f>IF(F1664=1,"PASS","OPEN")</x:f>
        <x:v>OPEN</x:v>
      </x:c>
    </x:row>
    <x:row r="1665">
      <x:c r="B1665" t="str">
        <x:v>PH-AR-053</x:v>
      </x:c>
      <x:c r="C1665" t="str">
        <x:v>PHYSICAL</x:v>
      </x:c>
      <x:c r="D1665" t="str">
        <x:v>truth article acceptance</x:v>
      </x:c>
      <x:c r="E1665" t="str">
        <x:v>PH-AR-053</x:v>
      </x:c>
      <x:c r="F1665" t="n">
        <x:f>IF('Artifact Bank'!H59&lt;&gt;"",1,0)</x:f>
        <x:v>0</x:v>
      </x:c>
      <x:c r="G1665" t="n">
        <x:v>1</x:v>
      </x:c>
      <x:c r="H1665" t="str">
        <x:v>independent physical acceptance</x:v>
      </x:c>
      <x:c r="I1665" t="str">
        <x:f>IF(F1665=1,"PASS","OPEN")</x:f>
        <x:v>OPEN</x:v>
      </x:c>
    </x:row>
    <x:row r="1666">
      <x:c r="B1666" t="str">
        <x:v>PH-AR-054</x:v>
      </x:c>
      <x:c r="C1666" t="str">
        <x:v>PHYSICAL</x:v>
      </x:c>
      <x:c r="D1666" t="str">
        <x:v>truth article acceptance</x:v>
      </x:c>
      <x:c r="E1666" t="str">
        <x:v>PH-AR-054</x:v>
      </x:c>
      <x:c r="F1666" t="n">
        <x:f>IF('Artifact Bank'!H60&lt;&gt;"",1,0)</x:f>
        <x:v>0</x:v>
      </x:c>
      <x:c r="G1666" t="n">
        <x:v>1</x:v>
      </x:c>
      <x:c r="H1666" t="str">
        <x:v>independent physical acceptance</x:v>
      </x:c>
      <x:c r="I1666" t="str">
        <x:f>IF(F1666=1,"PASS","OPEN")</x:f>
        <x:v>OPEN</x:v>
      </x:c>
    </x:row>
    <x:row r="1667">
      <x:c r="B1667" t="str">
        <x:v>PH-AR-055</x:v>
      </x:c>
      <x:c r="C1667" t="str">
        <x:v>PHYSICAL</x:v>
      </x:c>
      <x:c r="D1667" t="str">
        <x:v>truth article acceptance</x:v>
      </x:c>
      <x:c r="E1667" t="str">
        <x:v>PH-AR-055</x:v>
      </x:c>
      <x:c r="F1667" t="n">
        <x:f>IF('Artifact Bank'!H61&lt;&gt;"",1,0)</x:f>
        <x:v>0</x:v>
      </x:c>
      <x:c r="G1667" t="n">
        <x:v>1</x:v>
      </x:c>
      <x:c r="H1667" t="str">
        <x:v>independent physical acceptance</x:v>
      </x:c>
      <x:c r="I1667" t="str">
        <x:f>IF(F1667=1,"PASS","OPEN")</x:f>
        <x:v>OPEN</x:v>
      </x:c>
    </x:row>
    <x:row r="1668">
      <x:c r="B1668" t="str">
        <x:v>PH-AR-056</x:v>
      </x:c>
      <x:c r="C1668" t="str">
        <x:v>PHYSICAL</x:v>
      </x:c>
      <x:c r="D1668" t="str">
        <x:v>truth article acceptance</x:v>
      </x:c>
      <x:c r="E1668" t="str">
        <x:v>PH-AR-056</x:v>
      </x:c>
      <x:c r="F1668" t="n">
        <x:f>IF('Artifact Bank'!H62&lt;&gt;"",1,0)</x:f>
        <x:v>0</x:v>
      </x:c>
      <x:c r="G1668" t="n">
        <x:v>1</x:v>
      </x:c>
      <x:c r="H1668" t="str">
        <x:v>independent physical acceptance</x:v>
      </x:c>
      <x:c r="I1668" t="str">
        <x:f>IF(F1668=1,"PASS","OPEN")</x:f>
        <x:v>OPEN</x:v>
      </x:c>
    </x:row>
    <x:row r="1669">
      <x:c r="B1669" t="str">
        <x:v>PH-AR-057</x:v>
      </x:c>
      <x:c r="C1669" t="str">
        <x:v>PHYSICAL</x:v>
      </x:c>
      <x:c r="D1669" t="str">
        <x:v>truth article acceptance</x:v>
      </x:c>
      <x:c r="E1669" t="str">
        <x:v>PH-AR-057</x:v>
      </x:c>
      <x:c r="F1669" t="n">
        <x:f>IF('Artifact Bank'!H63&lt;&gt;"",1,0)</x:f>
        <x:v>0</x:v>
      </x:c>
      <x:c r="G1669" t="n">
        <x:v>1</x:v>
      </x:c>
      <x:c r="H1669" t="str">
        <x:v>independent physical acceptance</x:v>
      </x:c>
      <x:c r="I1669" t="str">
        <x:f>IF(F1669=1,"PASS","OPEN")</x:f>
        <x:v>OPEN</x:v>
      </x:c>
    </x:row>
    <x:row r="1670">
      <x:c r="B1670" t="str">
        <x:v>PH-AR-058</x:v>
      </x:c>
      <x:c r="C1670" t="str">
        <x:v>PHYSICAL</x:v>
      </x:c>
      <x:c r="D1670" t="str">
        <x:v>truth article acceptance</x:v>
      </x:c>
      <x:c r="E1670" t="str">
        <x:v>PH-AR-058</x:v>
      </x:c>
      <x:c r="F1670" t="n">
        <x:f>IF('Artifact Bank'!H64&lt;&gt;"",1,0)</x:f>
        <x:v>0</x:v>
      </x:c>
      <x:c r="G1670" t="n">
        <x:v>1</x:v>
      </x:c>
      <x:c r="H1670" t="str">
        <x:v>independent physical acceptance</x:v>
      </x:c>
      <x:c r="I1670" t="str">
        <x:f>IF(F1670=1,"PASS","OPEN")</x:f>
        <x:v>OPEN</x:v>
      </x:c>
    </x:row>
    <x:row r="1671">
      <x:c r="B1671" t="str">
        <x:v>PH-AR-059</x:v>
      </x:c>
      <x:c r="C1671" t="str">
        <x:v>PHYSICAL</x:v>
      </x:c>
      <x:c r="D1671" t="str">
        <x:v>truth article acceptance</x:v>
      </x:c>
      <x:c r="E1671" t="str">
        <x:v>PH-AR-059</x:v>
      </x:c>
      <x:c r="F1671" t="n">
        <x:f>IF('Artifact Bank'!H65&lt;&gt;"",1,0)</x:f>
        <x:v>0</x:v>
      </x:c>
      <x:c r="G1671" t="n">
        <x:v>1</x:v>
      </x:c>
      <x:c r="H1671" t="str">
        <x:v>independent physical acceptance</x:v>
      </x:c>
      <x:c r="I1671" t="str">
        <x:f>IF(F1671=1,"PASS","OPEN")</x:f>
        <x:v>OPEN</x:v>
      </x:c>
    </x:row>
    <x:row r="1672">
      <x:c r="B1672" t="str">
        <x:v>PH-AR-060</x:v>
      </x:c>
      <x:c r="C1672" t="str">
        <x:v>PHYSICAL</x:v>
      </x:c>
      <x:c r="D1672" t="str">
        <x:v>truth article acceptance</x:v>
      </x:c>
      <x:c r="E1672" t="str">
        <x:v>PH-AR-060</x:v>
      </x:c>
      <x:c r="F1672" t="n">
        <x:f>IF('Artifact Bank'!H66&lt;&gt;"",1,0)</x:f>
        <x:v>0</x:v>
      </x:c>
      <x:c r="G1672" t="n">
        <x:v>1</x:v>
      </x:c>
      <x:c r="H1672" t="str">
        <x:v>independent physical acceptance</x:v>
      </x:c>
      <x:c r="I1672" t="str">
        <x:f>IF(F1672=1,"PASS","OPEN")</x:f>
        <x:v>OPEN</x:v>
      </x:c>
    </x:row>
    <x:row r="1673">
      <x:c r="B1673" t="str">
        <x:v>PH-AR-061</x:v>
      </x:c>
      <x:c r="C1673" t="str">
        <x:v>PHYSICAL</x:v>
      </x:c>
      <x:c r="D1673" t="str">
        <x:v>truth article acceptance</x:v>
      </x:c>
      <x:c r="E1673" t="str">
        <x:v>PH-AR-061</x:v>
      </x:c>
      <x:c r="F1673" t="n">
        <x:f>IF('Artifact Bank'!H67&lt;&gt;"",1,0)</x:f>
        <x:v>0</x:v>
      </x:c>
      <x:c r="G1673" t="n">
        <x:v>1</x:v>
      </x:c>
      <x:c r="H1673" t="str">
        <x:v>independent physical acceptance</x:v>
      </x:c>
      <x:c r="I1673" t="str">
        <x:f>IF(F1673=1,"PASS","OPEN")</x:f>
        <x:v>OPEN</x:v>
      </x:c>
    </x:row>
    <x:row r="1674">
      <x:c r="B1674" t="str">
        <x:v>PH-AR-062</x:v>
      </x:c>
      <x:c r="C1674" t="str">
        <x:v>PHYSICAL</x:v>
      </x:c>
      <x:c r="D1674" t="str">
        <x:v>truth article acceptance</x:v>
      </x:c>
      <x:c r="E1674" t="str">
        <x:v>PH-AR-062</x:v>
      </x:c>
      <x:c r="F1674" t="n">
        <x:f>IF('Artifact Bank'!H68&lt;&gt;"",1,0)</x:f>
        <x:v>0</x:v>
      </x:c>
      <x:c r="G1674" t="n">
        <x:v>1</x:v>
      </x:c>
      <x:c r="H1674" t="str">
        <x:v>independent physical acceptance</x:v>
      </x:c>
      <x:c r="I1674" t="str">
        <x:f>IF(F1674=1,"PASS","OPEN")</x:f>
        <x:v>OPEN</x:v>
      </x:c>
    </x:row>
    <x:row r="1675">
      <x:c r="B1675" t="str">
        <x:v>PH-AR-063</x:v>
      </x:c>
      <x:c r="C1675" t="str">
        <x:v>PHYSICAL</x:v>
      </x:c>
      <x:c r="D1675" t="str">
        <x:v>truth article acceptance</x:v>
      </x:c>
      <x:c r="E1675" t="str">
        <x:v>PH-AR-063</x:v>
      </x:c>
      <x:c r="F1675" t="n">
        <x:f>IF('Artifact Bank'!H69&lt;&gt;"",1,0)</x:f>
        <x:v>0</x:v>
      </x:c>
      <x:c r="G1675" t="n">
        <x:v>1</x:v>
      </x:c>
      <x:c r="H1675" t="str">
        <x:v>independent physical acceptance</x:v>
      </x:c>
      <x:c r="I1675" t="str">
        <x:f>IF(F1675=1,"PASS","OPEN")</x:f>
        <x:v>OPEN</x:v>
      </x:c>
    </x:row>
    <x:row r="1676">
      <x:c r="B1676" t="str">
        <x:v>PH-AR-064</x:v>
      </x:c>
      <x:c r="C1676" t="str">
        <x:v>PHYSICAL</x:v>
      </x:c>
      <x:c r="D1676" t="str">
        <x:v>truth article acceptance</x:v>
      </x:c>
      <x:c r="E1676" t="str">
        <x:v>PH-AR-064</x:v>
      </x:c>
      <x:c r="F1676" t="n">
        <x:f>IF('Artifact Bank'!H70&lt;&gt;"",1,0)</x:f>
        <x:v>0</x:v>
      </x:c>
      <x:c r="G1676" t="n">
        <x:v>1</x:v>
      </x:c>
      <x:c r="H1676" t="str">
        <x:v>independent physical acceptance</x:v>
      </x:c>
      <x:c r="I1676" t="str">
        <x:f>IF(F1676=1,"PASS","OPEN")</x:f>
        <x:v>OPEN</x:v>
      </x:c>
    </x:row>
    <x:row r="1677">
      <x:c r="B1677" t="str">
        <x:v>PH-AR-065</x:v>
      </x:c>
      <x:c r="C1677" t="str">
        <x:v>PHYSICAL</x:v>
      </x:c>
      <x:c r="D1677" t="str">
        <x:v>truth article acceptance</x:v>
      </x:c>
      <x:c r="E1677" t="str">
        <x:v>PH-AR-065</x:v>
      </x:c>
      <x:c r="F1677" t="n">
        <x:f>IF('Artifact Bank'!H71&lt;&gt;"",1,0)</x:f>
        <x:v>0</x:v>
      </x:c>
      <x:c r="G1677" t="n">
        <x:v>1</x:v>
      </x:c>
      <x:c r="H1677" t="str">
        <x:v>independent physical acceptance</x:v>
      </x:c>
      <x:c r="I1677" t="str">
        <x:f>IF(F1677=1,"PASS","OPEN")</x:f>
        <x:v>OPEN</x:v>
      </x:c>
    </x:row>
    <x:row r="1678">
      <x:c r="B1678" t="str">
        <x:v>PH-AR-066</x:v>
      </x:c>
      <x:c r="C1678" t="str">
        <x:v>PHYSICAL</x:v>
      </x:c>
      <x:c r="D1678" t="str">
        <x:v>truth article acceptance</x:v>
      </x:c>
      <x:c r="E1678" t="str">
        <x:v>PH-AR-066</x:v>
      </x:c>
      <x:c r="F1678" t="n">
        <x:f>IF('Artifact Bank'!H72&lt;&gt;"",1,0)</x:f>
        <x:v>0</x:v>
      </x:c>
      <x:c r="G1678" t="n">
        <x:v>1</x:v>
      </x:c>
      <x:c r="H1678" t="str">
        <x:v>independent physical acceptance</x:v>
      </x:c>
      <x:c r="I1678" t="str">
        <x:f>IF(F1678=1,"PASS","OPEN")</x:f>
        <x:v>OPEN</x:v>
      </x:c>
    </x:row>
    <x:row r="1679">
      <x:c r="B1679" t="str">
        <x:v>PH-AR-067</x:v>
      </x:c>
      <x:c r="C1679" t="str">
        <x:v>PHYSICAL</x:v>
      </x:c>
      <x:c r="D1679" t="str">
        <x:v>truth article acceptance</x:v>
      </x:c>
      <x:c r="E1679" t="str">
        <x:v>PH-AR-067</x:v>
      </x:c>
      <x:c r="F1679" t="n">
        <x:f>IF('Artifact Bank'!H73&lt;&gt;"",1,0)</x:f>
        <x:v>0</x:v>
      </x:c>
      <x:c r="G1679" t="n">
        <x:v>1</x:v>
      </x:c>
      <x:c r="H1679" t="str">
        <x:v>independent physical acceptance</x:v>
      </x:c>
      <x:c r="I1679" t="str">
        <x:f>IF(F1679=1,"PASS","OPEN")</x:f>
        <x:v>OPEN</x:v>
      </x:c>
    </x:row>
    <x:row r="1680">
      <x:c r="B1680" t="str">
        <x:v>PH-AR-068</x:v>
      </x:c>
      <x:c r="C1680" t="str">
        <x:v>PHYSICAL</x:v>
      </x:c>
      <x:c r="D1680" t="str">
        <x:v>truth article acceptance</x:v>
      </x:c>
      <x:c r="E1680" t="str">
        <x:v>PH-AR-068</x:v>
      </x:c>
      <x:c r="F1680" t="n">
        <x:f>IF('Artifact Bank'!H74&lt;&gt;"",1,0)</x:f>
        <x:v>0</x:v>
      </x:c>
      <x:c r="G1680" t="n">
        <x:v>1</x:v>
      </x:c>
      <x:c r="H1680" t="str">
        <x:v>independent physical acceptance</x:v>
      </x:c>
      <x:c r="I1680" t="str">
        <x:f>IF(F1680=1,"PASS","OPEN")</x:f>
        <x:v>OPEN</x:v>
      </x:c>
    </x:row>
    <x:row r="1681">
      <x:c r="B1681" t="str">
        <x:v>PH-AR-069</x:v>
      </x:c>
      <x:c r="C1681" t="str">
        <x:v>PHYSICAL</x:v>
      </x:c>
      <x:c r="D1681" t="str">
        <x:v>truth article acceptance</x:v>
      </x:c>
      <x:c r="E1681" t="str">
        <x:v>PH-AR-069</x:v>
      </x:c>
      <x:c r="F1681" t="n">
        <x:f>IF('Artifact Bank'!H75&lt;&gt;"",1,0)</x:f>
        <x:v>0</x:v>
      </x:c>
      <x:c r="G1681" t="n">
        <x:v>1</x:v>
      </x:c>
      <x:c r="H1681" t="str">
        <x:v>independent physical acceptance</x:v>
      </x:c>
      <x:c r="I1681" t="str">
        <x:f>IF(F1681=1,"PASS","OPEN")</x:f>
        <x:v>OPEN</x:v>
      </x:c>
    </x:row>
    <x:row r="1682">
      <x:c r="B1682" t="str">
        <x:v>PH-AR-070</x:v>
      </x:c>
      <x:c r="C1682" t="str">
        <x:v>PHYSICAL</x:v>
      </x:c>
      <x:c r="D1682" t="str">
        <x:v>truth article acceptance</x:v>
      </x:c>
      <x:c r="E1682" t="str">
        <x:v>PH-AR-070</x:v>
      </x:c>
      <x:c r="F1682" t="n">
        <x:f>IF('Artifact Bank'!H76&lt;&gt;"",1,0)</x:f>
        <x:v>0</x:v>
      </x:c>
      <x:c r="G1682" t="n">
        <x:v>1</x:v>
      </x:c>
      <x:c r="H1682" t="str">
        <x:v>independent physical acceptance</x:v>
      </x:c>
      <x:c r="I1682" t="str">
        <x:f>IF(F1682=1,"PASS","OPEN")</x:f>
        <x:v>OPEN</x:v>
      </x:c>
    </x:row>
    <x:row r="1683">
      <x:c r="B1683" t="str">
        <x:v>PH-AR-071</x:v>
      </x:c>
      <x:c r="C1683" t="str">
        <x:v>PHYSICAL</x:v>
      </x:c>
      <x:c r="D1683" t="str">
        <x:v>truth article acceptance</x:v>
      </x:c>
      <x:c r="E1683" t="str">
        <x:v>PH-AR-071</x:v>
      </x:c>
      <x:c r="F1683" t="n">
        <x:f>IF('Artifact Bank'!H77&lt;&gt;"",1,0)</x:f>
        <x:v>0</x:v>
      </x:c>
      <x:c r="G1683" t="n">
        <x:v>1</x:v>
      </x:c>
      <x:c r="H1683" t="str">
        <x:v>independent physical acceptance</x:v>
      </x:c>
      <x:c r="I1683" t="str">
        <x:f>IF(F1683=1,"PASS","OPEN")</x:f>
        <x:v>OPEN</x:v>
      </x:c>
    </x:row>
    <x:row r="1684">
      <x:c r="B1684" t="str">
        <x:v>PH-AR-072</x:v>
      </x:c>
      <x:c r="C1684" t="str">
        <x:v>PHYSICAL</x:v>
      </x:c>
      <x:c r="D1684" t="str">
        <x:v>truth article acceptance</x:v>
      </x:c>
      <x:c r="E1684" t="str">
        <x:v>PH-AR-072</x:v>
      </x:c>
      <x:c r="F1684" t="n">
        <x:f>IF('Artifact Bank'!H78&lt;&gt;"",1,0)</x:f>
        <x:v>0</x:v>
      </x:c>
      <x:c r="G1684" t="n">
        <x:v>1</x:v>
      </x:c>
      <x:c r="H1684" t="str">
        <x:v>independent physical acceptance</x:v>
      </x:c>
      <x:c r="I1684" t="str">
        <x:f>IF(F1684=1,"PASS","OPEN")</x:f>
        <x:v>OPEN</x:v>
      </x:c>
    </x:row>
    <x:row r="1685">
      <x:c r="B1685" t="str">
        <x:v>PH-AR-073</x:v>
      </x:c>
      <x:c r="C1685" t="str">
        <x:v>PHYSICAL</x:v>
      </x:c>
      <x:c r="D1685" t="str">
        <x:v>truth article acceptance</x:v>
      </x:c>
      <x:c r="E1685" t="str">
        <x:v>PH-AR-073</x:v>
      </x:c>
      <x:c r="F1685" t="n">
        <x:f>IF('Artifact Bank'!H79&lt;&gt;"",1,0)</x:f>
        <x:v>0</x:v>
      </x:c>
      <x:c r="G1685" t="n">
        <x:v>1</x:v>
      </x:c>
      <x:c r="H1685" t="str">
        <x:v>independent physical acceptance</x:v>
      </x:c>
      <x:c r="I1685" t="str">
        <x:f>IF(F1685=1,"PASS","OPEN")</x:f>
        <x:v>OPEN</x:v>
      </x:c>
    </x:row>
    <x:row r="1686">
      <x:c r="B1686" t="str">
        <x:v>PH-AR-074</x:v>
      </x:c>
      <x:c r="C1686" t="str">
        <x:v>PHYSICAL</x:v>
      </x:c>
      <x:c r="D1686" t="str">
        <x:v>truth article acceptance</x:v>
      </x:c>
      <x:c r="E1686" t="str">
        <x:v>PH-AR-074</x:v>
      </x:c>
      <x:c r="F1686" t="n">
        <x:f>IF('Artifact Bank'!H80&lt;&gt;"",1,0)</x:f>
        <x:v>0</x:v>
      </x:c>
      <x:c r="G1686" t="n">
        <x:v>1</x:v>
      </x:c>
      <x:c r="H1686" t="str">
        <x:v>independent physical acceptance</x:v>
      </x:c>
      <x:c r="I1686" t="str">
        <x:f>IF(F1686=1,"PASS","OPEN")</x:f>
        <x:v>OPEN</x:v>
      </x:c>
    </x:row>
    <x:row r="1687">
      <x:c r="B1687" t="str">
        <x:v>PH-AR-075</x:v>
      </x:c>
      <x:c r="C1687" t="str">
        <x:v>PHYSICAL</x:v>
      </x:c>
      <x:c r="D1687" t="str">
        <x:v>truth article acceptance</x:v>
      </x:c>
      <x:c r="E1687" t="str">
        <x:v>PH-AR-075</x:v>
      </x:c>
      <x:c r="F1687" t="n">
        <x:f>IF('Artifact Bank'!H81&lt;&gt;"",1,0)</x:f>
        <x:v>0</x:v>
      </x:c>
      <x:c r="G1687" t="n">
        <x:v>1</x:v>
      </x:c>
      <x:c r="H1687" t="str">
        <x:v>independent physical acceptance</x:v>
      </x:c>
      <x:c r="I1687" t="str">
        <x:f>IF(F1687=1,"PASS","OPEN")</x:f>
        <x:v>OPEN</x:v>
      </x:c>
    </x:row>
    <x:row r="1688">
      <x:c r="B1688" t="str">
        <x:v>PH-AR-076</x:v>
      </x:c>
      <x:c r="C1688" t="str">
        <x:v>PHYSICAL</x:v>
      </x:c>
      <x:c r="D1688" t="str">
        <x:v>truth article acceptance</x:v>
      </x:c>
      <x:c r="E1688" t="str">
        <x:v>PH-AR-076</x:v>
      </x:c>
      <x:c r="F1688" t="n">
        <x:f>IF('Artifact Bank'!H82&lt;&gt;"",1,0)</x:f>
        <x:v>0</x:v>
      </x:c>
      <x:c r="G1688" t="n">
        <x:v>1</x:v>
      </x:c>
      <x:c r="H1688" t="str">
        <x:v>independent physical acceptance</x:v>
      </x:c>
      <x:c r="I1688" t="str">
        <x:f>IF(F1688=1,"PASS","OPEN")</x:f>
        <x:v>OPEN</x:v>
      </x:c>
    </x:row>
    <x:row r="1689">
      <x:c r="B1689" t="str">
        <x:v>PH-AR-077</x:v>
      </x:c>
      <x:c r="C1689" t="str">
        <x:v>PHYSICAL</x:v>
      </x:c>
      <x:c r="D1689" t="str">
        <x:v>truth article acceptance</x:v>
      </x:c>
      <x:c r="E1689" t="str">
        <x:v>PH-AR-077</x:v>
      </x:c>
      <x:c r="F1689" t="n">
        <x:f>IF('Artifact Bank'!H83&lt;&gt;"",1,0)</x:f>
        <x:v>0</x:v>
      </x:c>
      <x:c r="G1689" t="n">
        <x:v>1</x:v>
      </x:c>
      <x:c r="H1689" t="str">
        <x:v>independent physical acceptance</x:v>
      </x:c>
      <x:c r="I1689" t="str">
        <x:f>IF(F1689=1,"PASS","OPEN")</x:f>
        <x:v>OPEN</x:v>
      </x:c>
    </x:row>
    <x:row r="1690">
      <x:c r="B1690" t="str">
        <x:v>PH-AR-078</x:v>
      </x:c>
      <x:c r="C1690" t="str">
        <x:v>PHYSICAL</x:v>
      </x:c>
      <x:c r="D1690" t="str">
        <x:v>truth article acceptance</x:v>
      </x:c>
      <x:c r="E1690" t="str">
        <x:v>PH-AR-078</x:v>
      </x:c>
      <x:c r="F1690" t="n">
        <x:f>IF('Artifact Bank'!H84&lt;&gt;"",1,0)</x:f>
        <x:v>0</x:v>
      </x:c>
      <x:c r="G1690" t="n">
        <x:v>1</x:v>
      </x:c>
      <x:c r="H1690" t="str">
        <x:v>independent physical acceptance</x:v>
      </x:c>
      <x:c r="I1690" t="str">
        <x:f>IF(F1690=1,"PASS","OPEN")</x:f>
        <x:v>OPEN</x:v>
      </x:c>
    </x:row>
    <x:row r="1691">
      <x:c r="B1691" t="str">
        <x:v>PH-AR-079</x:v>
      </x:c>
      <x:c r="C1691" t="str">
        <x:v>PHYSICAL</x:v>
      </x:c>
      <x:c r="D1691" t="str">
        <x:v>truth article acceptance</x:v>
      </x:c>
      <x:c r="E1691" t="str">
        <x:v>PH-AR-079</x:v>
      </x:c>
      <x:c r="F1691" t="n">
        <x:f>IF('Artifact Bank'!H85&lt;&gt;"",1,0)</x:f>
        <x:v>0</x:v>
      </x:c>
      <x:c r="G1691" t="n">
        <x:v>1</x:v>
      </x:c>
      <x:c r="H1691" t="str">
        <x:v>independent physical acceptance</x:v>
      </x:c>
      <x:c r="I1691" t="str">
        <x:f>IF(F1691=1,"PASS","OPEN")</x:f>
        <x:v>OPEN</x:v>
      </x:c>
    </x:row>
    <x:row r="1692">
      <x:c r="B1692" t="str">
        <x:v>PH-AR-080</x:v>
      </x:c>
      <x:c r="C1692" t="str">
        <x:v>PHYSICAL</x:v>
      </x:c>
      <x:c r="D1692" t="str">
        <x:v>truth article acceptance</x:v>
      </x:c>
      <x:c r="E1692" t="str">
        <x:v>PH-AR-080</x:v>
      </x:c>
      <x:c r="F1692" t="n">
        <x:f>IF('Artifact Bank'!H86&lt;&gt;"",1,0)</x:f>
        <x:v>0</x:v>
      </x:c>
      <x:c r="G1692" t="n">
        <x:v>1</x:v>
      </x:c>
      <x:c r="H1692" t="str">
        <x:v>independent physical acceptance</x:v>
      </x:c>
      <x:c r="I1692" t="str">
        <x:f>IF(F1692=1,"PASS","OPEN")</x:f>
        <x:v>OPEN</x:v>
      </x:c>
    </x:row>
    <x:row r="1693">
      <x:c r="B1693" t="str">
        <x:v>PH-AR-081</x:v>
      </x:c>
      <x:c r="C1693" t="str">
        <x:v>PHYSICAL</x:v>
      </x:c>
      <x:c r="D1693" t="str">
        <x:v>truth article acceptance</x:v>
      </x:c>
      <x:c r="E1693" t="str">
        <x:v>PH-AR-081</x:v>
      </x:c>
      <x:c r="F1693" t="n">
        <x:f>IF('Artifact Bank'!H87&lt;&gt;"",1,0)</x:f>
        <x:v>0</x:v>
      </x:c>
      <x:c r="G1693" t="n">
        <x:v>1</x:v>
      </x:c>
      <x:c r="H1693" t="str">
        <x:v>independent physical acceptance</x:v>
      </x:c>
      <x:c r="I1693" t="str">
        <x:f>IF(F1693=1,"PASS","OPEN")</x:f>
        <x:v>OPEN</x:v>
      </x:c>
    </x:row>
    <x:row r="1694">
      <x:c r="B1694" t="str">
        <x:v>PH-AR-082</x:v>
      </x:c>
      <x:c r="C1694" t="str">
        <x:v>PHYSICAL</x:v>
      </x:c>
      <x:c r="D1694" t="str">
        <x:v>truth article acceptance</x:v>
      </x:c>
      <x:c r="E1694" t="str">
        <x:v>PH-AR-082</x:v>
      </x:c>
      <x:c r="F1694" t="n">
        <x:f>IF('Artifact Bank'!H88&lt;&gt;"",1,0)</x:f>
        <x:v>0</x:v>
      </x:c>
      <x:c r="G1694" t="n">
        <x:v>1</x:v>
      </x:c>
      <x:c r="H1694" t="str">
        <x:v>independent physical acceptance</x:v>
      </x:c>
      <x:c r="I1694" t="str">
        <x:f>IF(F1694=1,"PASS","OPEN")</x:f>
        <x:v>OPEN</x:v>
      </x:c>
    </x:row>
    <x:row r="1695">
      <x:c r="B1695" t="str">
        <x:v>PH-AR-083</x:v>
      </x:c>
      <x:c r="C1695" t="str">
        <x:v>PHYSICAL</x:v>
      </x:c>
      <x:c r="D1695" t="str">
        <x:v>truth article acceptance</x:v>
      </x:c>
      <x:c r="E1695" t="str">
        <x:v>PH-AR-083</x:v>
      </x:c>
      <x:c r="F1695" t="n">
        <x:f>IF('Artifact Bank'!H89&lt;&gt;"",1,0)</x:f>
        <x:v>0</x:v>
      </x:c>
      <x:c r="G1695" t="n">
        <x:v>1</x:v>
      </x:c>
      <x:c r="H1695" t="str">
        <x:v>independent physical acceptance</x:v>
      </x:c>
      <x:c r="I1695" t="str">
        <x:f>IF(F1695=1,"PASS","OPEN")</x:f>
        <x:v>OPEN</x:v>
      </x:c>
    </x:row>
    <x:row r="1696">
      <x:c r="B1696" t="str">
        <x:v>PH-AR-084</x:v>
      </x:c>
      <x:c r="C1696" t="str">
        <x:v>PHYSICAL</x:v>
      </x:c>
      <x:c r="D1696" t="str">
        <x:v>truth article acceptance</x:v>
      </x:c>
      <x:c r="E1696" t="str">
        <x:v>PH-AR-084</x:v>
      </x:c>
      <x:c r="F1696" t="n">
        <x:f>IF('Artifact Bank'!H90&lt;&gt;"",1,0)</x:f>
        <x:v>0</x:v>
      </x:c>
      <x:c r="G1696" t="n">
        <x:v>1</x:v>
      </x:c>
      <x:c r="H1696" t="str">
        <x:v>independent physical acceptance</x:v>
      </x:c>
      <x:c r="I1696" t="str">
        <x:f>IF(F1696=1,"PASS","OPEN")</x:f>
        <x:v>OPEN</x:v>
      </x:c>
    </x:row>
    <x:row r="1697">
      <x:c r="B1697" t="str">
        <x:v>PH-AR-085</x:v>
      </x:c>
      <x:c r="C1697" t="str">
        <x:v>PHYSICAL</x:v>
      </x:c>
      <x:c r="D1697" t="str">
        <x:v>truth article acceptance</x:v>
      </x:c>
      <x:c r="E1697" t="str">
        <x:v>PH-AR-085</x:v>
      </x:c>
      <x:c r="F1697" t="n">
        <x:f>IF('Artifact Bank'!H91&lt;&gt;"",1,0)</x:f>
        <x:v>0</x:v>
      </x:c>
      <x:c r="G1697" t="n">
        <x:v>1</x:v>
      </x:c>
      <x:c r="H1697" t="str">
        <x:v>independent physical acceptance</x:v>
      </x:c>
      <x:c r="I1697" t="str">
        <x:f>IF(F1697=1,"PASS","OPEN")</x:f>
        <x:v>OPEN</x:v>
      </x:c>
    </x:row>
    <x:row r="1698">
      <x:c r="B1698" t="str">
        <x:v>PH-AR-086</x:v>
      </x:c>
      <x:c r="C1698" t="str">
        <x:v>PHYSICAL</x:v>
      </x:c>
      <x:c r="D1698" t="str">
        <x:v>truth article acceptance</x:v>
      </x:c>
      <x:c r="E1698" t="str">
        <x:v>PH-AR-086</x:v>
      </x:c>
      <x:c r="F1698" t="n">
        <x:f>IF('Artifact Bank'!H92&lt;&gt;"",1,0)</x:f>
        <x:v>0</x:v>
      </x:c>
      <x:c r="G1698" t="n">
        <x:v>1</x:v>
      </x:c>
      <x:c r="H1698" t="str">
        <x:v>independent physical acceptance</x:v>
      </x:c>
      <x:c r="I1698" t="str">
        <x:f>IF(F1698=1,"PASS","OPEN")</x:f>
        <x:v>OPEN</x:v>
      </x:c>
    </x:row>
    <x:row r="1699">
      <x:c r="B1699" t="str">
        <x:v>PH-AR-087</x:v>
      </x:c>
      <x:c r="C1699" t="str">
        <x:v>PHYSICAL</x:v>
      </x:c>
      <x:c r="D1699" t="str">
        <x:v>truth article acceptance</x:v>
      </x:c>
      <x:c r="E1699" t="str">
        <x:v>PH-AR-087</x:v>
      </x:c>
      <x:c r="F1699" t="n">
        <x:f>IF('Artifact Bank'!H93&lt;&gt;"",1,0)</x:f>
        <x:v>0</x:v>
      </x:c>
      <x:c r="G1699" t="n">
        <x:v>1</x:v>
      </x:c>
      <x:c r="H1699" t="str">
        <x:v>independent physical acceptance</x:v>
      </x:c>
      <x:c r="I1699" t="str">
        <x:f>IF(F1699=1,"PASS","OPEN")</x:f>
        <x:v>OPEN</x:v>
      </x:c>
    </x:row>
    <x:row r="1700">
      <x:c r="B1700" t="str">
        <x:v>PH-AR-088</x:v>
      </x:c>
      <x:c r="C1700" t="str">
        <x:v>PHYSICAL</x:v>
      </x:c>
      <x:c r="D1700" t="str">
        <x:v>truth article acceptance</x:v>
      </x:c>
      <x:c r="E1700" t="str">
        <x:v>PH-AR-088</x:v>
      </x:c>
      <x:c r="F1700" t="n">
        <x:f>IF('Artifact Bank'!H94&lt;&gt;"",1,0)</x:f>
        <x:v>0</x:v>
      </x:c>
      <x:c r="G1700" t="n">
        <x:v>1</x:v>
      </x:c>
      <x:c r="H1700" t="str">
        <x:v>independent physical acceptance</x:v>
      </x:c>
      <x:c r="I1700" t="str">
        <x:f>IF(F1700=1,"PASS","OPEN")</x:f>
        <x:v>OPEN</x:v>
      </x:c>
    </x:row>
    <x:row r="1701">
      <x:c r="B1701" t="str">
        <x:v>PH-AR-089</x:v>
      </x:c>
      <x:c r="C1701" t="str">
        <x:v>PHYSICAL</x:v>
      </x:c>
      <x:c r="D1701" t="str">
        <x:v>truth article acceptance</x:v>
      </x:c>
      <x:c r="E1701" t="str">
        <x:v>PH-AR-089</x:v>
      </x:c>
      <x:c r="F1701" t="n">
        <x:f>IF('Artifact Bank'!H95&lt;&gt;"",1,0)</x:f>
        <x:v>0</x:v>
      </x:c>
      <x:c r="G1701" t="n">
        <x:v>1</x:v>
      </x:c>
      <x:c r="H1701" t="str">
        <x:v>independent physical acceptance</x:v>
      </x:c>
      <x:c r="I1701" t="str">
        <x:f>IF(F1701=1,"PASS","OPEN")</x:f>
        <x:v>OPEN</x:v>
      </x:c>
    </x:row>
    <x:row r="1702">
      <x:c r="B1702" t="str">
        <x:v>PH-AR-090</x:v>
      </x:c>
      <x:c r="C1702" t="str">
        <x:v>PHYSICAL</x:v>
      </x:c>
      <x:c r="D1702" t="str">
        <x:v>truth article acceptance</x:v>
      </x:c>
      <x:c r="E1702" t="str">
        <x:v>PH-AR-090</x:v>
      </x:c>
      <x:c r="F1702" t="n">
        <x:f>IF('Artifact Bank'!H96&lt;&gt;"",1,0)</x:f>
        <x:v>0</x:v>
      </x:c>
      <x:c r="G1702" t="n">
        <x:v>1</x:v>
      </x:c>
      <x:c r="H1702" t="str">
        <x:v>independent physical acceptance</x:v>
      </x:c>
      <x:c r="I1702" t="str">
        <x:f>IF(F1702=1,"PASS","OPEN")</x:f>
        <x:v>OPEN</x:v>
      </x:c>
    </x:row>
    <x:row r="1703">
      <x:c r="B1703" t="str">
        <x:v>PH-AR-091</x:v>
      </x:c>
      <x:c r="C1703" t="str">
        <x:v>PHYSICAL</x:v>
      </x:c>
      <x:c r="D1703" t="str">
        <x:v>truth article acceptance</x:v>
      </x:c>
      <x:c r="E1703" t="str">
        <x:v>PH-AR-091</x:v>
      </x:c>
      <x:c r="F1703" t="n">
        <x:f>IF('Artifact Bank'!H97&lt;&gt;"",1,0)</x:f>
        <x:v>0</x:v>
      </x:c>
      <x:c r="G1703" t="n">
        <x:v>1</x:v>
      </x:c>
      <x:c r="H1703" t="str">
        <x:v>independent physical acceptance</x:v>
      </x:c>
      <x:c r="I1703" t="str">
        <x:f>IF(F1703=1,"PASS","OPEN")</x:f>
        <x:v>OPEN</x:v>
      </x:c>
    </x:row>
    <x:row r="1704">
      <x:c r="B1704" t="str">
        <x:v>PH-AR-092</x:v>
      </x:c>
      <x:c r="C1704" t="str">
        <x:v>PHYSICAL</x:v>
      </x:c>
      <x:c r="D1704" t="str">
        <x:v>truth article acceptance</x:v>
      </x:c>
      <x:c r="E1704" t="str">
        <x:v>PH-AR-092</x:v>
      </x:c>
      <x:c r="F1704" t="n">
        <x:f>IF('Artifact Bank'!H98&lt;&gt;"",1,0)</x:f>
        <x:v>0</x:v>
      </x:c>
      <x:c r="G1704" t="n">
        <x:v>1</x:v>
      </x:c>
      <x:c r="H1704" t="str">
        <x:v>independent physical acceptance</x:v>
      </x:c>
      <x:c r="I1704" t="str">
        <x:f>IF(F1704=1,"PASS","OPEN")</x:f>
        <x:v>OPEN</x:v>
      </x:c>
    </x:row>
    <x:row r="1705">
      <x:c r="B1705" t="str">
        <x:v>PH-AR-093</x:v>
      </x:c>
      <x:c r="C1705" t="str">
        <x:v>PHYSICAL</x:v>
      </x:c>
      <x:c r="D1705" t="str">
        <x:v>truth article acceptance</x:v>
      </x:c>
      <x:c r="E1705" t="str">
        <x:v>PH-AR-093</x:v>
      </x:c>
      <x:c r="F1705" t="n">
        <x:f>IF('Artifact Bank'!H99&lt;&gt;"",1,0)</x:f>
        <x:v>0</x:v>
      </x:c>
      <x:c r="G1705" t="n">
        <x:v>1</x:v>
      </x:c>
      <x:c r="H1705" t="str">
        <x:v>independent physical acceptance</x:v>
      </x:c>
      <x:c r="I1705" t="str">
        <x:f>IF(F1705=1,"PASS","OPEN")</x:f>
        <x:v>OPEN</x:v>
      </x:c>
    </x:row>
    <x:row r="1706">
      <x:c r="B1706" t="str">
        <x:v>PH-AR-094</x:v>
      </x:c>
      <x:c r="C1706" t="str">
        <x:v>PHYSICAL</x:v>
      </x:c>
      <x:c r="D1706" t="str">
        <x:v>truth article acceptance</x:v>
      </x:c>
      <x:c r="E1706" t="str">
        <x:v>PH-AR-094</x:v>
      </x:c>
      <x:c r="F1706" t="n">
        <x:f>IF('Artifact Bank'!H100&lt;&gt;"",1,0)</x:f>
        <x:v>0</x:v>
      </x:c>
      <x:c r="G1706" t="n">
        <x:v>1</x:v>
      </x:c>
      <x:c r="H1706" t="str">
        <x:v>independent physical acceptance</x:v>
      </x:c>
      <x:c r="I1706" t="str">
        <x:f>IF(F1706=1,"PASS","OPEN")</x:f>
        <x:v>OPEN</x:v>
      </x:c>
    </x:row>
    <x:row r="1707">
      <x:c r="B1707" t="str">
        <x:v>PH-AR-095</x:v>
      </x:c>
      <x:c r="C1707" t="str">
        <x:v>PHYSICAL</x:v>
      </x:c>
      <x:c r="D1707" t="str">
        <x:v>truth article acceptance</x:v>
      </x:c>
      <x:c r="E1707" t="str">
        <x:v>PH-AR-095</x:v>
      </x:c>
      <x:c r="F1707" t="n">
        <x:f>IF('Artifact Bank'!H101&lt;&gt;"",1,0)</x:f>
        <x:v>0</x:v>
      </x:c>
      <x:c r="G1707" t="n">
        <x:v>1</x:v>
      </x:c>
      <x:c r="H1707" t="str">
        <x:v>independent physical acceptance</x:v>
      </x:c>
      <x:c r="I1707" t="str">
        <x:f>IF(F1707=1,"PASS","OPEN")</x:f>
        <x:v>OPEN</x:v>
      </x:c>
    </x:row>
    <x:row r="1708">
      <x:c r="B1708" t="str">
        <x:v>PH-AR-096</x:v>
      </x:c>
      <x:c r="C1708" t="str">
        <x:v>PHYSICAL</x:v>
      </x:c>
      <x:c r="D1708" t="str">
        <x:v>truth article acceptance</x:v>
      </x:c>
      <x:c r="E1708" t="str">
        <x:v>PH-AR-096</x:v>
      </x:c>
      <x:c r="F1708" t="n">
        <x:f>IF('Artifact Bank'!H102&lt;&gt;"",1,0)</x:f>
        <x:v>0</x:v>
      </x:c>
      <x:c r="G1708" t="n">
        <x:v>1</x:v>
      </x:c>
      <x:c r="H1708" t="str">
        <x:v>independent physical acceptance</x:v>
      </x:c>
      <x:c r="I1708" t="str">
        <x:f>IF(F1708=1,"PASS","OPEN")</x:f>
        <x:v>OPEN</x:v>
      </x:c>
    </x:row>
    <x:row r="1709">
      <x:c r="B1709" t="str">
        <x:v>PH-AR-097</x:v>
      </x:c>
      <x:c r="C1709" t="str">
        <x:v>PHYSICAL</x:v>
      </x:c>
      <x:c r="D1709" t="str">
        <x:v>truth article acceptance</x:v>
      </x:c>
      <x:c r="E1709" t="str">
        <x:v>PH-AR-097</x:v>
      </x:c>
      <x:c r="F1709" t="n">
        <x:f>IF('Artifact Bank'!H103&lt;&gt;"",1,0)</x:f>
        <x:v>0</x:v>
      </x:c>
      <x:c r="G1709" t="n">
        <x:v>1</x:v>
      </x:c>
      <x:c r="H1709" t="str">
        <x:v>independent physical acceptance</x:v>
      </x:c>
      <x:c r="I1709" t="str">
        <x:f>IF(F1709=1,"PASS","OPEN")</x:f>
        <x:v>OPEN</x:v>
      </x:c>
    </x:row>
    <x:row r="1710">
      <x:c r="B1710" t="str">
        <x:v>PH-AR-098</x:v>
      </x:c>
      <x:c r="C1710" t="str">
        <x:v>PHYSICAL</x:v>
      </x:c>
      <x:c r="D1710" t="str">
        <x:v>truth article acceptance</x:v>
      </x:c>
      <x:c r="E1710" t="str">
        <x:v>PH-AR-098</x:v>
      </x:c>
      <x:c r="F1710" t="n">
        <x:f>IF('Artifact Bank'!H104&lt;&gt;"",1,0)</x:f>
        <x:v>0</x:v>
      </x:c>
      <x:c r="G1710" t="n">
        <x:v>1</x:v>
      </x:c>
      <x:c r="H1710" t="str">
        <x:v>independent physical acceptance</x:v>
      </x:c>
      <x:c r="I1710" t="str">
        <x:f>IF(F1710=1,"PASS","OPEN")</x:f>
        <x:v>OPEN</x:v>
      </x:c>
    </x:row>
    <x:row r="1711">
      <x:c r="B1711" t="str">
        <x:v>PH-AR-099</x:v>
      </x:c>
      <x:c r="C1711" t="str">
        <x:v>PHYSICAL</x:v>
      </x:c>
      <x:c r="D1711" t="str">
        <x:v>truth article acceptance</x:v>
      </x:c>
      <x:c r="E1711" t="str">
        <x:v>PH-AR-099</x:v>
      </x:c>
      <x:c r="F1711" t="n">
        <x:f>IF('Artifact Bank'!H105&lt;&gt;"",1,0)</x:f>
        <x:v>0</x:v>
      </x:c>
      <x:c r="G1711" t="n">
        <x:v>1</x:v>
      </x:c>
      <x:c r="H1711" t="str">
        <x:v>independent physical acceptance</x:v>
      </x:c>
      <x:c r="I1711" t="str">
        <x:f>IF(F1711=1,"PASS","OPEN")</x:f>
        <x:v>OPEN</x:v>
      </x:c>
    </x:row>
    <x:row r="1712">
      <x:c r="B1712" t="str">
        <x:v>PH-AR-100</x:v>
      </x:c>
      <x:c r="C1712" t="str">
        <x:v>PHYSICAL</x:v>
      </x:c>
      <x:c r="D1712" t="str">
        <x:v>truth article acceptance</x:v>
      </x:c>
      <x:c r="E1712" t="str">
        <x:v>PH-AR-100</x:v>
      </x:c>
      <x:c r="F1712" t="n">
        <x:f>IF('Artifact Bank'!H106&lt;&gt;"",1,0)</x:f>
        <x:v>0</x:v>
      </x:c>
      <x:c r="G1712" t="n">
        <x:v>1</x:v>
      </x:c>
      <x:c r="H1712" t="str">
        <x:v>independent physical acceptance</x:v>
      </x:c>
      <x:c r="I1712" t="str">
        <x:f>IF(F1712=1,"PASS","OPEN")</x:f>
        <x:v>OPEN</x:v>
      </x:c>
    </x:row>
    <x:row r="1713">
      <x:c r="B1713" t="str">
        <x:v>PH-AR-101</x:v>
      </x:c>
      <x:c r="C1713" t="str">
        <x:v>PHYSICAL</x:v>
      </x:c>
      <x:c r="D1713" t="str">
        <x:v>truth article acceptance</x:v>
      </x:c>
      <x:c r="E1713" t="str">
        <x:v>PH-AR-101</x:v>
      </x:c>
      <x:c r="F1713" t="n">
        <x:f>IF('Artifact Bank'!H107&lt;&gt;"",1,0)</x:f>
        <x:v>0</x:v>
      </x:c>
      <x:c r="G1713" t="n">
        <x:v>1</x:v>
      </x:c>
      <x:c r="H1713" t="str">
        <x:v>independent physical acceptance</x:v>
      </x:c>
      <x:c r="I1713" t="str">
        <x:f>IF(F1713=1,"PASS","OPEN")</x:f>
        <x:v>OPEN</x:v>
      </x:c>
    </x:row>
    <x:row r="1714">
      <x:c r="B1714" t="str">
        <x:v>PH-AR-102</x:v>
      </x:c>
      <x:c r="C1714" t="str">
        <x:v>PHYSICAL</x:v>
      </x:c>
      <x:c r="D1714" t="str">
        <x:v>truth article acceptance</x:v>
      </x:c>
      <x:c r="E1714" t="str">
        <x:v>PH-AR-102</x:v>
      </x:c>
      <x:c r="F1714" t="n">
        <x:f>IF('Artifact Bank'!H108&lt;&gt;"",1,0)</x:f>
        <x:v>0</x:v>
      </x:c>
      <x:c r="G1714" t="n">
        <x:v>1</x:v>
      </x:c>
      <x:c r="H1714" t="str">
        <x:v>independent physical acceptance</x:v>
      </x:c>
      <x:c r="I1714" t="str">
        <x:f>IF(F1714=1,"PASS","OPEN")</x:f>
        <x:v>OPEN</x:v>
      </x:c>
    </x:row>
    <x:row r="1715">
      <x:c r="B1715" t="str">
        <x:v>PH-AR-103</x:v>
      </x:c>
      <x:c r="C1715" t="str">
        <x:v>PHYSICAL</x:v>
      </x:c>
      <x:c r="D1715" t="str">
        <x:v>truth article acceptance</x:v>
      </x:c>
      <x:c r="E1715" t="str">
        <x:v>PH-AR-103</x:v>
      </x:c>
      <x:c r="F1715" t="n">
        <x:f>IF('Artifact Bank'!H109&lt;&gt;"",1,0)</x:f>
        <x:v>0</x:v>
      </x:c>
      <x:c r="G1715" t="n">
        <x:v>1</x:v>
      </x:c>
      <x:c r="H1715" t="str">
        <x:v>independent physical acceptance</x:v>
      </x:c>
      <x:c r="I1715" t="str">
        <x:f>IF(F1715=1,"PASS","OPEN")</x:f>
        <x:v>OPEN</x:v>
      </x:c>
    </x:row>
    <x:row r="1716">
      <x:c r="B1716" t="str">
        <x:v>PH-AR-104</x:v>
      </x:c>
      <x:c r="C1716" t="str">
        <x:v>PHYSICAL</x:v>
      </x:c>
      <x:c r="D1716" t="str">
        <x:v>truth article acceptance</x:v>
      </x:c>
      <x:c r="E1716" t="str">
        <x:v>PH-AR-104</x:v>
      </x:c>
      <x:c r="F1716" t="n">
        <x:f>IF('Artifact Bank'!H110&lt;&gt;"",1,0)</x:f>
        <x:v>0</x:v>
      </x:c>
      <x:c r="G1716" t="n">
        <x:v>1</x:v>
      </x:c>
      <x:c r="H1716" t="str">
        <x:v>independent physical acceptance</x:v>
      </x:c>
      <x:c r="I1716" t="str">
        <x:f>IF(F1716=1,"PASS","OPEN")</x:f>
        <x:v>OPEN</x:v>
      </x:c>
    </x:row>
    <x:row r="1717">
      <x:c r="B1717" t="str">
        <x:v>PH-AR-105</x:v>
      </x:c>
      <x:c r="C1717" t="str">
        <x:v>PHYSICAL</x:v>
      </x:c>
      <x:c r="D1717" t="str">
        <x:v>truth article acceptance</x:v>
      </x:c>
      <x:c r="E1717" t="str">
        <x:v>PH-AR-105</x:v>
      </x:c>
      <x:c r="F1717" t="n">
        <x:f>IF('Artifact Bank'!H111&lt;&gt;"",1,0)</x:f>
        <x:v>0</x:v>
      </x:c>
      <x:c r="G1717" t="n">
        <x:v>1</x:v>
      </x:c>
      <x:c r="H1717" t="str">
        <x:v>independent physical acceptance</x:v>
      </x:c>
      <x:c r="I1717" t="str">
        <x:f>IF(F1717=1,"PASS","OPEN")</x:f>
        <x:v>OPEN</x:v>
      </x:c>
    </x:row>
    <x:row r="1718">
      <x:c r="B1718" t="str">
        <x:v>PH-AR-106</x:v>
      </x:c>
      <x:c r="C1718" t="str">
        <x:v>PHYSICAL</x:v>
      </x:c>
      <x:c r="D1718" t="str">
        <x:v>truth article acceptance</x:v>
      </x:c>
      <x:c r="E1718" t="str">
        <x:v>PH-AR-106</x:v>
      </x:c>
      <x:c r="F1718" t="n">
        <x:f>IF('Artifact Bank'!H112&lt;&gt;"",1,0)</x:f>
        <x:v>0</x:v>
      </x:c>
      <x:c r="G1718" t="n">
        <x:v>1</x:v>
      </x:c>
      <x:c r="H1718" t="str">
        <x:v>independent physical acceptance</x:v>
      </x:c>
      <x:c r="I1718" t="str">
        <x:f>IF(F1718=1,"PASS","OPEN")</x:f>
        <x:v>OPEN</x:v>
      </x:c>
    </x:row>
    <x:row r="1719">
      <x:c r="B1719" t="str">
        <x:v>PH-AR-107</x:v>
      </x:c>
      <x:c r="C1719" t="str">
        <x:v>PHYSICAL</x:v>
      </x:c>
      <x:c r="D1719" t="str">
        <x:v>truth article acceptance</x:v>
      </x:c>
      <x:c r="E1719" t="str">
        <x:v>PH-AR-107</x:v>
      </x:c>
      <x:c r="F1719" t="n">
        <x:f>IF('Artifact Bank'!H113&lt;&gt;"",1,0)</x:f>
        <x:v>0</x:v>
      </x:c>
      <x:c r="G1719" t="n">
        <x:v>1</x:v>
      </x:c>
      <x:c r="H1719" t="str">
        <x:v>independent physical acceptance</x:v>
      </x:c>
      <x:c r="I1719" t="str">
        <x:f>IF(F1719=1,"PASS","OPEN")</x:f>
        <x:v>OPEN</x:v>
      </x:c>
    </x:row>
    <x:row r="1720">
      <x:c r="B1720" t="str">
        <x:v>PH-AR-108</x:v>
      </x:c>
      <x:c r="C1720" t="str">
        <x:v>PHYSICAL</x:v>
      </x:c>
      <x:c r="D1720" t="str">
        <x:v>truth article acceptance</x:v>
      </x:c>
      <x:c r="E1720" t="str">
        <x:v>PH-AR-108</x:v>
      </x:c>
      <x:c r="F1720" t="n">
        <x:f>IF('Artifact Bank'!H114&lt;&gt;"",1,0)</x:f>
        <x:v>0</x:v>
      </x:c>
      <x:c r="G1720" t="n">
        <x:v>1</x:v>
      </x:c>
      <x:c r="H1720" t="str">
        <x:v>independent physical acceptance</x:v>
      </x:c>
      <x:c r="I1720" t="str">
        <x:f>IF(F1720=1,"PASS","OPEN")</x:f>
        <x:v>OPEN</x:v>
      </x:c>
    </x:row>
    <x:row r="1721">
      <x:c r="B1721" t="str">
        <x:v>PH-AR-109</x:v>
      </x:c>
      <x:c r="C1721" t="str">
        <x:v>PHYSICAL</x:v>
      </x:c>
      <x:c r="D1721" t="str">
        <x:v>truth article acceptance</x:v>
      </x:c>
      <x:c r="E1721" t="str">
        <x:v>PH-AR-109</x:v>
      </x:c>
      <x:c r="F1721" t="n">
        <x:f>IF('Artifact Bank'!H115&lt;&gt;"",1,0)</x:f>
        <x:v>0</x:v>
      </x:c>
      <x:c r="G1721" t="n">
        <x:v>1</x:v>
      </x:c>
      <x:c r="H1721" t="str">
        <x:v>independent physical acceptance</x:v>
      </x:c>
      <x:c r="I1721" t="str">
        <x:f>IF(F1721=1,"PASS","OPEN")</x:f>
        <x:v>OPEN</x:v>
      </x:c>
    </x:row>
    <x:row r="1722">
      <x:c r="B1722" t="str">
        <x:v>PH-AR-110</x:v>
      </x:c>
      <x:c r="C1722" t="str">
        <x:v>PHYSICAL</x:v>
      </x:c>
      <x:c r="D1722" t="str">
        <x:v>truth article acceptance</x:v>
      </x:c>
      <x:c r="E1722" t="str">
        <x:v>PH-AR-110</x:v>
      </x:c>
      <x:c r="F1722" t="n">
        <x:f>IF('Artifact Bank'!H116&lt;&gt;"",1,0)</x:f>
        <x:v>0</x:v>
      </x:c>
      <x:c r="G1722" t="n">
        <x:v>1</x:v>
      </x:c>
      <x:c r="H1722" t="str">
        <x:v>independent physical acceptance</x:v>
      </x:c>
      <x:c r="I1722" t="str">
        <x:f>IF(F1722=1,"PASS","OPEN")</x:f>
        <x:v>OPEN</x:v>
      </x:c>
    </x:row>
    <x:row r="1723">
      <x:c r="B1723" t="str">
        <x:v>PH-AR-111</x:v>
      </x:c>
      <x:c r="C1723" t="str">
        <x:v>PHYSICAL</x:v>
      </x:c>
      <x:c r="D1723" t="str">
        <x:v>truth article acceptance</x:v>
      </x:c>
      <x:c r="E1723" t="str">
        <x:v>PH-AR-111</x:v>
      </x:c>
      <x:c r="F1723" t="n">
        <x:f>IF('Artifact Bank'!H117&lt;&gt;"",1,0)</x:f>
        <x:v>0</x:v>
      </x:c>
      <x:c r="G1723" t="n">
        <x:v>1</x:v>
      </x:c>
      <x:c r="H1723" t="str">
        <x:v>independent physical acceptance</x:v>
      </x:c>
      <x:c r="I1723" t="str">
        <x:f>IF(F1723=1,"PASS","OPEN")</x:f>
        <x:v>OPEN</x:v>
      </x:c>
    </x:row>
    <x:row r="1724">
      <x:c r="B1724" t="str">
        <x:v>PH-AR-112</x:v>
      </x:c>
      <x:c r="C1724" t="str">
        <x:v>PHYSICAL</x:v>
      </x:c>
      <x:c r="D1724" t="str">
        <x:v>truth article acceptance</x:v>
      </x:c>
      <x:c r="E1724" t="str">
        <x:v>PH-AR-112</x:v>
      </x:c>
      <x:c r="F1724" t="n">
        <x:f>IF('Artifact Bank'!H118&lt;&gt;"",1,0)</x:f>
        <x:v>0</x:v>
      </x:c>
      <x:c r="G1724" t="n">
        <x:v>1</x:v>
      </x:c>
      <x:c r="H1724" t="str">
        <x:v>independent physical acceptance</x:v>
      </x:c>
      <x:c r="I1724" t="str">
        <x:f>IF(F1724=1,"PASS","OPEN")</x:f>
        <x:v>OPEN</x:v>
      </x:c>
    </x:row>
    <x:row r="1725">
      <x:c r="B1725" t="str">
        <x:v>PH-AR-113</x:v>
      </x:c>
      <x:c r="C1725" t="str">
        <x:v>PHYSICAL</x:v>
      </x:c>
      <x:c r="D1725" t="str">
        <x:v>truth article acceptance</x:v>
      </x:c>
      <x:c r="E1725" t="str">
        <x:v>PH-AR-113</x:v>
      </x:c>
      <x:c r="F1725" t="n">
        <x:f>IF('Artifact Bank'!H119&lt;&gt;"",1,0)</x:f>
        <x:v>0</x:v>
      </x:c>
      <x:c r="G1725" t="n">
        <x:v>1</x:v>
      </x:c>
      <x:c r="H1725" t="str">
        <x:v>independent physical acceptance</x:v>
      </x:c>
      <x:c r="I1725" t="str">
        <x:f>IF(F1725=1,"PASS","OPEN")</x:f>
        <x:v>OPEN</x:v>
      </x:c>
    </x:row>
    <x:row r="1726">
      <x:c r="B1726" t="str">
        <x:v>PH-AR-114</x:v>
      </x:c>
      <x:c r="C1726" t="str">
        <x:v>PHYSICAL</x:v>
      </x:c>
      <x:c r="D1726" t="str">
        <x:v>truth article acceptance</x:v>
      </x:c>
      <x:c r="E1726" t="str">
        <x:v>PH-AR-114</x:v>
      </x:c>
      <x:c r="F1726" t="n">
        <x:f>IF('Artifact Bank'!H120&lt;&gt;"",1,0)</x:f>
        <x:v>0</x:v>
      </x:c>
      <x:c r="G1726" t="n">
        <x:v>1</x:v>
      </x:c>
      <x:c r="H1726" t="str">
        <x:v>independent physical acceptance</x:v>
      </x:c>
      <x:c r="I1726" t="str">
        <x:f>IF(F1726=1,"PASS","OPEN")</x:f>
        <x:v>OPEN</x:v>
      </x:c>
    </x:row>
    <x:row r="1727">
      <x:c r="B1727" t="str">
        <x:v>PH-AR-115</x:v>
      </x:c>
      <x:c r="C1727" t="str">
        <x:v>PHYSICAL</x:v>
      </x:c>
      <x:c r="D1727" t="str">
        <x:v>truth article acceptance</x:v>
      </x:c>
      <x:c r="E1727" t="str">
        <x:v>PH-AR-115</x:v>
      </x:c>
      <x:c r="F1727" t="n">
        <x:f>IF('Artifact Bank'!H121&lt;&gt;"",1,0)</x:f>
        <x:v>0</x:v>
      </x:c>
      <x:c r="G1727" t="n">
        <x:v>1</x:v>
      </x:c>
      <x:c r="H1727" t="str">
        <x:v>independent physical acceptance</x:v>
      </x:c>
      <x:c r="I1727" t="str">
        <x:f>IF(F1727=1,"PASS","OPEN")</x:f>
        <x:v>OPEN</x:v>
      </x:c>
    </x:row>
    <x:row r="1728">
      <x:c r="B1728" t="str">
        <x:v>PH-AR-116</x:v>
      </x:c>
      <x:c r="C1728" t="str">
        <x:v>PHYSICAL</x:v>
      </x:c>
      <x:c r="D1728" t="str">
        <x:v>truth article acceptance</x:v>
      </x:c>
      <x:c r="E1728" t="str">
        <x:v>PH-AR-116</x:v>
      </x:c>
      <x:c r="F1728" t="n">
        <x:f>IF('Artifact Bank'!H122&lt;&gt;"",1,0)</x:f>
        <x:v>0</x:v>
      </x:c>
      <x:c r="G1728" t="n">
        <x:v>1</x:v>
      </x:c>
      <x:c r="H1728" t="str">
        <x:v>independent physical acceptance</x:v>
      </x:c>
      <x:c r="I1728" t="str">
        <x:f>IF(F1728=1,"PASS","OPEN")</x:f>
        <x:v>OPEN</x:v>
      </x:c>
    </x:row>
    <x:row r="1729">
      <x:c r="B1729" t="str">
        <x:v>PH-AR-117</x:v>
      </x:c>
      <x:c r="C1729" t="str">
        <x:v>PHYSICAL</x:v>
      </x:c>
      <x:c r="D1729" t="str">
        <x:v>truth article acceptance</x:v>
      </x:c>
      <x:c r="E1729" t="str">
        <x:v>PH-AR-117</x:v>
      </x:c>
      <x:c r="F1729" t="n">
        <x:f>IF('Artifact Bank'!H123&lt;&gt;"",1,0)</x:f>
        <x:v>0</x:v>
      </x:c>
      <x:c r="G1729" t="n">
        <x:v>1</x:v>
      </x:c>
      <x:c r="H1729" t="str">
        <x:v>independent physical acceptance</x:v>
      </x:c>
      <x:c r="I1729" t="str">
        <x:f>IF(F1729=1,"PASS","OPEN")</x:f>
        <x:v>OPEN</x:v>
      </x:c>
    </x:row>
    <x:row r="1730">
      <x:c r="B1730" t="str">
        <x:v>PH-AR-118</x:v>
      </x:c>
      <x:c r="C1730" t="str">
        <x:v>PHYSICAL</x:v>
      </x:c>
      <x:c r="D1730" t="str">
        <x:v>truth article acceptance</x:v>
      </x:c>
      <x:c r="E1730" t="str">
        <x:v>PH-AR-118</x:v>
      </x:c>
      <x:c r="F1730" t="n">
        <x:f>IF('Artifact Bank'!H124&lt;&gt;"",1,0)</x:f>
        <x:v>0</x:v>
      </x:c>
      <x:c r="G1730" t="n">
        <x:v>1</x:v>
      </x:c>
      <x:c r="H1730" t="str">
        <x:v>independent physical acceptance</x:v>
      </x:c>
      <x:c r="I1730" t="str">
        <x:f>IF(F1730=1,"PASS","OPEN")</x:f>
        <x:v>OPEN</x:v>
      </x:c>
    </x:row>
    <x:row r="1731">
      <x:c r="B1731" t="str">
        <x:v>PH-AR-119</x:v>
      </x:c>
      <x:c r="C1731" t="str">
        <x:v>PHYSICAL</x:v>
      </x:c>
      <x:c r="D1731" t="str">
        <x:v>truth article acceptance</x:v>
      </x:c>
      <x:c r="E1731" t="str">
        <x:v>PH-AR-119</x:v>
      </x:c>
      <x:c r="F1731" t="n">
        <x:f>IF('Artifact Bank'!H125&lt;&gt;"",1,0)</x:f>
        <x:v>0</x:v>
      </x:c>
      <x:c r="G1731" t="n">
        <x:v>1</x:v>
      </x:c>
      <x:c r="H1731" t="str">
        <x:v>independent physical acceptance</x:v>
      </x:c>
      <x:c r="I1731" t="str">
        <x:f>IF(F1731=1,"PASS","OPEN")</x:f>
        <x:v>OPEN</x:v>
      </x:c>
    </x:row>
    <x:row r="1732">
      <x:c r="B1732" t="str">
        <x:v>PH-AR-120</x:v>
      </x:c>
      <x:c r="C1732" t="str">
        <x:v>PHYSICAL</x:v>
      </x:c>
      <x:c r="D1732" t="str">
        <x:v>truth article acceptance</x:v>
      </x:c>
      <x:c r="E1732" t="str">
        <x:v>PH-AR-120</x:v>
      </x:c>
      <x:c r="F1732" t="n">
        <x:f>IF('Artifact Bank'!H126&lt;&gt;"",1,0)</x:f>
        <x:v>0</x:v>
      </x:c>
      <x:c r="G1732" t="n">
        <x:v>1</x:v>
      </x:c>
      <x:c r="H1732" t="str">
        <x:v>independent physical acceptance</x:v>
      </x:c>
      <x:c r="I1732" t="str">
        <x:f>IF(F1732=1,"PASS","OPEN")</x:f>
        <x:v>OPEN</x:v>
      </x:c>
    </x:row>
    <x:row r="1733">
      <x:c r="B1733" t="str">
        <x:v>PH-CH-001</x:v>
      </x:c>
      <x:c r="C1733" t="str">
        <x:v>PHYSICAL</x:v>
      </x:c>
      <x:c r="D1733" t="str">
        <x:v>characteristic acceptance</x:v>
      </x:c>
      <x:c r="E1733" t="str">
        <x:v>PH-CH-001</x:v>
      </x:c>
      <x:c r="F1733" t="n">
        <x:f>IF('Artifact Characteristics'!J7&lt;&gt;"",1,0)</x:f>
        <x:v>0</x:v>
      </x:c>
      <x:c r="G1733" t="n">
        <x:v>1</x:v>
      </x:c>
      <x:c r="H1733" t="str">
        <x:v>independent physical acceptance</x:v>
      </x:c>
      <x:c r="I1733" t="str">
        <x:f>IF(F1733=1,"PASS","OPEN")</x:f>
        <x:v>OPEN</x:v>
      </x:c>
    </x:row>
    <x:row r="1734">
      <x:c r="B1734" t="str">
        <x:v>PH-CH-002</x:v>
      </x:c>
      <x:c r="C1734" t="str">
        <x:v>PHYSICAL</x:v>
      </x:c>
      <x:c r="D1734" t="str">
        <x:v>characteristic acceptance</x:v>
      </x:c>
      <x:c r="E1734" t="str">
        <x:v>PH-CH-002</x:v>
      </x:c>
      <x:c r="F1734" t="n">
        <x:f>IF('Artifact Characteristics'!J8&lt;&gt;"",1,0)</x:f>
        <x:v>0</x:v>
      </x:c>
      <x:c r="G1734" t="n">
        <x:v>1</x:v>
      </x:c>
      <x:c r="H1734" t="str">
        <x:v>independent physical acceptance</x:v>
      </x:c>
      <x:c r="I1734" t="str">
        <x:f>IF(F1734=1,"PASS","OPEN")</x:f>
        <x:v>OPEN</x:v>
      </x:c>
    </x:row>
    <x:row r="1735">
      <x:c r="B1735" t="str">
        <x:v>PH-CH-003</x:v>
      </x:c>
      <x:c r="C1735" t="str">
        <x:v>PHYSICAL</x:v>
      </x:c>
      <x:c r="D1735" t="str">
        <x:v>characteristic acceptance</x:v>
      </x:c>
      <x:c r="E1735" t="str">
        <x:v>PH-CH-003</x:v>
      </x:c>
      <x:c r="F1735" t="n">
        <x:f>IF('Artifact Characteristics'!J9&lt;&gt;"",1,0)</x:f>
        <x:v>0</x:v>
      </x:c>
      <x:c r="G1735" t="n">
        <x:v>1</x:v>
      </x:c>
      <x:c r="H1735" t="str">
        <x:v>independent physical acceptance</x:v>
      </x:c>
      <x:c r="I1735" t="str">
        <x:f>IF(F1735=1,"PASS","OPEN")</x:f>
        <x:v>OPEN</x:v>
      </x:c>
    </x:row>
    <x:row r="1736">
      <x:c r="B1736" t="str">
        <x:v>PH-CH-004</x:v>
      </x:c>
      <x:c r="C1736" t="str">
        <x:v>PHYSICAL</x:v>
      </x:c>
      <x:c r="D1736" t="str">
        <x:v>characteristic acceptance</x:v>
      </x:c>
      <x:c r="E1736" t="str">
        <x:v>PH-CH-004</x:v>
      </x:c>
      <x:c r="F1736" t="n">
        <x:f>IF('Artifact Characteristics'!J10&lt;&gt;"",1,0)</x:f>
        <x:v>0</x:v>
      </x:c>
      <x:c r="G1736" t="n">
        <x:v>1</x:v>
      </x:c>
      <x:c r="H1736" t="str">
        <x:v>independent physical acceptance</x:v>
      </x:c>
      <x:c r="I1736" t="str">
        <x:f>IF(F1736=1,"PASS","OPEN")</x:f>
        <x:v>OPEN</x:v>
      </x:c>
    </x:row>
    <x:row r="1737">
      <x:c r="B1737" t="str">
        <x:v>PH-CH-005</x:v>
      </x:c>
      <x:c r="C1737" t="str">
        <x:v>PHYSICAL</x:v>
      </x:c>
      <x:c r="D1737" t="str">
        <x:v>characteristic acceptance</x:v>
      </x:c>
      <x:c r="E1737" t="str">
        <x:v>PH-CH-005</x:v>
      </x:c>
      <x:c r="F1737" t="n">
        <x:f>IF('Artifact Characteristics'!J11&lt;&gt;"",1,0)</x:f>
        <x:v>0</x:v>
      </x:c>
      <x:c r="G1737" t="n">
        <x:v>1</x:v>
      </x:c>
      <x:c r="H1737" t="str">
        <x:v>independent physical acceptance</x:v>
      </x:c>
      <x:c r="I1737" t="str">
        <x:f>IF(F1737=1,"PASS","OPEN")</x:f>
        <x:v>OPEN</x:v>
      </x:c>
    </x:row>
    <x:row r="1738">
      <x:c r="B1738" t="str">
        <x:v>PH-CH-006</x:v>
      </x:c>
      <x:c r="C1738" t="str">
        <x:v>PHYSICAL</x:v>
      </x:c>
      <x:c r="D1738" t="str">
        <x:v>characteristic acceptance</x:v>
      </x:c>
      <x:c r="E1738" t="str">
        <x:v>PH-CH-006</x:v>
      </x:c>
      <x:c r="F1738" t="n">
        <x:f>IF('Artifact Characteristics'!J12&lt;&gt;"",1,0)</x:f>
        <x:v>0</x:v>
      </x:c>
      <x:c r="G1738" t="n">
        <x:v>1</x:v>
      </x:c>
      <x:c r="H1738" t="str">
        <x:v>independent physical acceptance</x:v>
      </x:c>
      <x:c r="I1738" t="str">
        <x:f>IF(F1738=1,"PASS","OPEN")</x:f>
        <x:v>OPEN</x:v>
      </x:c>
    </x:row>
    <x:row r="1739">
      <x:c r="B1739" t="str">
        <x:v>PH-CH-007</x:v>
      </x:c>
      <x:c r="C1739" t="str">
        <x:v>PHYSICAL</x:v>
      </x:c>
      <x:c r="D1739" t="str">
        <x:v>characteristic acceptance</x:v>
      </x:c>
      <x:c r="E1739" t="str">
        <x:v>PH-CH-007</x:v>
      </x:c>
      <x:c r="F1739" t="n">
        <x:f>IF('Artifact Characteristics'!J13&lt;&gt;"",1,0)</x:f>
        <x:v>0</x:v>
      </x:c>
      <x:c r="G1739" t="n">
        <x:v>1</x:v>
      </x:c>
      <x:c r="H1739" t="str">
        <x:v>independent physical acceptance</x:v>
      </x:c>
      <x:c r="I1739" t="str">
        <x:f>IF(F1739=1,"PASS","OPEN")</x:f>
        <x:v>OPEN</x:v>
      </x:c>
    </x:row>
    <x:row r="1740">
      <x:c r="B1740" t="str">
        <x:v>PH-CH-008</x:v>
      </x:c>
      <x:c r="C1740" t="str">
        <x:v>PHYSICAL</x:v>
      </x:c>
      <x:c r="D1740" t="str">
        <x:v>characteristic acceptance</x:v>
      </x:c>
      <x:c r="E1740" t="str">
        <x:v>PH-CH-008</x:v>
      </x:c>
      <x:c r="F1740" t="n">
        <x:f>IF('Artifact Characteristics'!J14&lt;&gt;"",1,0)</x:f>
        <x:v>0</x:v>
      </x:c>
      <x:c r="G1740" t="n">
        <x:v>1</x:v>
      </x:c>
      <x:c r="H1740" t="str">
        <x:v>independent physical acceptance</x:v>
      </x:c>
      <x:c r="I1740" t="str">
        <x:f>IF(F1740=1,"PASS","OPEN")</x:f>
        <x:v>OPEN</x:v>
      </x:c>
    </x:row>
    <x:row r="1741">
      <x:c r="B1741" t="str">
        <x:v>PH-CH-009</x:v>
      </x:c>
      <x:c r="C1741" t="str">
        <x:v>PHYSICAL</x:v>
      </x:c>
      <x:c r="D1741" t="str">
        <x:v>characteristic acceptance</x:v>
      </x:c>
      <x:c r="E1741" t="str">
        <x:v>PH-CH-009</x:v>
      </x:c>
      <x:c r="F1741" t="n">
        <x:f>IF('Artifact Characteristics'!J15&lt;&gt;"",1,0)</x:f>
        <x:v>0</x:v>
      </x:c>
      <x:c r="G1741" t="n">
        <x:v>1</x:v>
      </x:c>
      <x:c r="H1741" t="str">
        <x:v>independent physical acceptance</x:v>
      </x:c>
      <x:c r="I1741" t="str">
        <x:f>IF(F1741=1,"PASS","OPEN")</x:f>
        <x:v>OPEN</x:v>
      </x:c>
    </x:row>
    <x:row r="1742">
      <x:c r="B1742" t="str">
        <x:v>PH-CH-010</x:v>
      </x:c>
      <x:c r="C1742" t="str">
        <x:v>PHYSICAL</x:v>
      </x:c>
      <x:c r="D1742" t="str">
        <x:v>characteristic acceptance</x:v>
      </x:c>
      <x:c r="E1742" t="str">
        <x:v>PH-CH-010</x:v>
      </x:c>
      <x:c r="F1742" t="n">
        <x:f>IF('Artifact Characteristics'!J16&lt;&gt;"",1,0)</x:f>
        <x:v>0</x:v>
      </x:c>
      <x:c r="G1742" t="n">
        <x:v>1</x:v>
      </x:c>
      <x:c r="H1742" t="str">
        <x:v>independent physical acceptance</x:v>
      </x:c>
      <x:c r="I1742" t="str">
        <x:f>IF(F1742=1,"PASS","OPEN")</x:f>
        <x:v>OPEN</x:v>
      </x:c>
    </x:row>
    <x:row r="1743">
      <x:c r="B1743" t="str">
        <x:v>PH-CH-011</x:v>
      </x:c>
      <x:c r="C1743" t="str">
        <x:v>PHYSICAL</x:v>
      </x:c>
      <x:c r="D1743" t="str">
        <x:v>characteristic acceptance</x:v>
      </x:c>
      <x:c r="E1743" t="str">
        <x:v>PH-CH-011</x:v>
      </x:c>
      <x:c r="F1743" t="n">
        <x:f>IF('Artifact Characteristics'!J17&lt;&gt;"",1,0)</x:f>
        <x:v>0</x:v>
      </x:c>
      <x:c r="G1743" t="n">
        <x:v>1</x:v>
      </x:c>
      <x:c r="H1743" t="str">
        <x:v>independent physical acceptance</x:v>
      </x:c>
      <x:c r="I1743" t="str">
        <x:f>IF(F1743=1,"PASS","OPEN")</x:f>
        <x:v>OPEN</x:v>
      </x:c>
    </x:row>
    <x:row r="1744">
      <x:c r="B1744" t="str">
        <x:v>PH-CH-012</x:v>
      </x:c>
      <x:c r="C1744" t="str">
        <x:v>PHYSICAL</x:v>
      </x:c>
      <x:c r="D1744" t="str">
        <x:v>characteristic acceptance</x:v>
      </x:c>
      <x:c r="E1744" t="str">
        <x:v>PH-CH-012</x:v>
      </x:c>
      <x:c r="F1744" t="n">
        <x:f>IF('Artifact Characteristics'!J18&lt;&gt;"",1,0)</x:f>
        <x:v>0</x:v>
      </x:c>
      <x:c r="G1744" t="n">
        <x:v>1</x:v>
      </x:c>
      <x:c r="H1744" t="str">
        <x:v>independent physical acceptance</x:v>
      </x:c>
      <x:c r="I1744" t="str">
        <x:f>IF(F1744=1,"PASS","OPEN")</x:f>
        <x:v>OPEN</x:v>
      </x:c>
    </x:row>
    <x:row r="1745">
      <x:c r="B1745" t="str">
        <x:v>PH-CH-013</x:v>
      </x:c>
      <x:c r="C1745" t="str">
        <x:v>PHYSICAL</x:v>
      </x:c>
      <x:c r="D1745" t="str">
        <x:v>characteristic acceptance</x:v>
      </x:c>
      <x:c r="E1745" t="str">
        <x:v>PH-CH-013</x:v>
      </x:c>
      <x:c r="F1745" t="n">
        <x:f>IF('Artifact Characteristics'!J19&lt;&gt;"",1,0)</x:f>
        <x:v>0</x:v>
      </x:c>
      <x:c r="G1745" t="n">
        <x:v>1</x:v>
      </x:c>
      <x:c r="H1745" t="str">
        <x:v>independent physical acceptance</x:v>
      </x:c>
      <x:c r="I1745" t="str">
        <x:f>IF(F1745=1,"PASS","OPEN")</x:f>
        <x:v>OPEN</x:v>
      </x:c>
    </x:row>
    <x:row r="1746">
      <x:c r="B1746" t="str">
        <x:v>PH-CH-014</x:v>
      </x:c>
      <x:c r="C1746" t="str">
        <x:v>PHYSICAL</x:v>
      </x:c>
      <x:c r="D1746" t="str">
        <x:v>characteristic acceptance</x:v>
      </x:c>
      <x:c r="E1746" t="str">
        <x:v>PH-CH-014</x:v>
      </x:c>
      <x:c r="F1746" t="n">
        <x:f>IF('Artifact Characteristics'!J20&lt;&gt;"",1,0)</x:f>
        <x:v>0</x:v>
      </x:c>
      <x:c r="G1746" t="n">
        <x:v>1</x:v>
      </x:c>
      <x:c r="H1746" t="str">
        <x:v>independent physical acceptance</x:v>
      </x:c>
      <x:c r="I1746" t="str">
        <x:f>IF(F1746=1,"PASS","OPEN")</x:f>
        <x:v>OPEN</x:v>
      </x:c>
    </x:row>
    <x:row r="1747">
      <x:c r="B1747" t="str">
        <x:v>PH-CH-015</x:v>
      </x:c>
      <x:c r="C1747" t="str">
        <x:v>PHYSICAL</x:v>
      </x:c>
      <x:c r="D1747" t="str">
        <x:v>characteristic acceptance</x:v>
      </x:c>
      <x:c r="E1747" t="str">
        <x:v>PH-CH-015</x:v>
      </x:c>
      <x:c r="F1747" t="n">
        <x:f>IF('Artifact Characteristics'!J21&lt;&gt;"",1,0)</x:f>
        <x:v>0</x:v>
      </x:c>
      <x:c r="G1747" t="n">
        <x:v>1</x:v>
      </x:c>
      <x:c r="H1747" t="str">
        <x:v>independent physical acceptance</x:v>
      </x:c>
      <x:c r="I1747" t="str">
        <x:f>IF(F1747=1,"PASS","OPEN")</x:f>
        <x:v>OPEN</x:v>
      </x:c>
    </x:row>
    <x:row r="1748">
      <x:c r="B1748" t="str">
        <x:v>PH-CH-016</x:v>
      </x:c>
      <x:c r="C1748" t="str">
        <x:v>PHYSICAL</x:v>
      </x:c>
      <x:c r="D1748" t="str">
        <x:v>characteristic acceptance</x:v>
      </x:c>
      <x:c r="E1748" t="str">
        <x:v>PH-CH-016</x:v>
      </x:c>
      <x:c r="F1748" t="n">
        <x:f>IF('Artifact Characteristics'!J22&lt;&gt;"",1,0)</x:f>
        <x:v>0</x:v>
      </x:c>
      <x:c r="G1748" t="n">
        <x:v>1</x:v>
      </x:c>
      <x:c r="H1748" t="str">
        <x:v>independent physical acceptance</x:v>
      </x:c>
      <x:c r="I1748" t="str">
        <x:f>IF(F1748=1,"PASS","OPEN")</x:f>
        <x:v>OPEN</x:v>
      </x:c>
    </x:row>
    <x:row r="1749">
      <x:c r="B1749" t="str">
        <x:v>PH-CH-017</x:v>
      </x:c>
      <x:c r="C1749" t="str">
        <x:v>PHYSICAL</x:v>
      </x:c>
      <x:c r="D1749" t="str">
        <x:v>characteristic acceptance</x:v>
      </x:c>
      <x:c r="E1749" t="str">
        <x:v>PH-CH-017</x:v>
      </x:c>
      <x:c r="F1749" t="n">
        <x:f>IF('Artifact Characteristics'!J23&lt;&gt;"",1,0)</x:f>
        <x:v>0</x:v>
      </x:c>
      <x:c r="G1749" t="n">
        <x:v>1</x:v>
      </x:c>
      <x:c r="H1749" t="str">
        <x:v>independent physical acceptance</x:v>
      </x:c>
      <x:c r="I1749" t="str">
        <x:f>IF(F1749=1,"PASS","OPEN")</x:f>
        <x:v>OPEN</x:v>
      </x:c>
    </x:row>
    <x:row r="1750">
      <x:c r="B1750" t="str">
        <x:v>PH-CH-018</x:v>
      </x:c>
      <x:c r="C1750" t="str">
        <x:v>PHYSICAL</x:v>
      </x:c>
      <x:c r="D1750" t="str">
        <x:v>characteristic acceptance</x:v>
      </x:c>
      <x:c r="E1750" t="str">
        <x:v>PH-CH-018</x:v>
      </x:c>
      <x:c r="F1750" t="n">
        <x:f>IF('Artifact Characteristics'!J24&lt;&gt;"",1,0)</x:f>
        <x:v>0</x:v>
      </x:c>
      <x:c r="G1750" t="n">
        <x:v>1</x:v>
      </x:c>
      <x:c r="H1750" t="str">
        <x:v>independent physical acceptance</x:v>
      </x:c>
      <x:c r="I1750" t="str">
        <x:f>IF(F1750=1,"PASS","OPEN")</x:f>
        <x:v>OPEN</x:v>
      </x:c>
    </x:row>
    <x:row r="1751">
      <x:c r="B1751" t="str">
        <x:v>PH-CH-019</x:v>
      </x:c>
      <x:c r="C1751" t="str">
        <x:v>PHYSICAL</x:v>
      </x:c>
      <x:c r="D1751" t="str">
        <x:v>characteristic acceptance</x:v>
      </x:c>
      <x:c r="E1751" t="str">
        <x:v>PH-CH-019</x:v>
      </x:c>
      <x:c r="F1751" t="n">
        <x:f>IF('Artifact Characteristics'!J25&lt;&gt;"",1,0)</x:f>
        <x:v>0</x:v>
      </x:c>
      <x:c r="G1751" t="n">
        <x:v>1</x:v>
      </x:c>
      <x:c r="H1751" t="str">
        <x:v>independent physical acceptance</x:v>
      </x:c>
      <x:c r="I1751" t="str">
        <x:f>IF(F1751=1,"PASS","OPEN")</x:f>
        <x:v>OPEN</x:v>
      </x:c>
    </x:row>
    <x:row r="1752">
      <x:c r="B1752" t="str">
        <x:v>PH-CH-020</x:v>
      </x:c>
      <x:c r="C1752" t="str">
        <x:v>PHYSICAL</x:v>
      </x:c>
      <x:c r="D1752" t="str">
        <x:v>characteristic acceptance</x:v>
      </x:c>
      <x:c r="E1752" t="str">
        <x:v>PH-CH-020</x:v>
      </x:c>
      <x:c r="F1752" t="n">
        <x:f>IF('Artifact Characteristics'!J26&lt;&gt;"",1,0)</x:f>
        <x:v>0</x:v>
      </x:c>
      <x:c r="G1752" t="n">
        <x:v>1</x:v>
      </x:c>
      <x:c r="H1752" t="str">
        <x:v>independent physical acceptance</x:v>
      </x:c>
      <x:c r="I1752" t="str">
        <x:f>IF(F1752=1,"PASS","OPEN")</x:f>
        <x:v>OPEN</x:v>
      </x:c>
    </x:row>
    <x:row r="1753">
      <x:c r="B1753" t="str">
        <x:v>PH-CH-021</x:v>
      </x:c>
      <x:c r="C1753" t="str">
        <x:v>PHYSICAL</x:v>
      </x:c>
      <x:c r="D1753" t="str">
        <x:v>characteristic acceptance</x:v>
      </x:c>
      <x:c r="E1753" t="str">
        <x:v>PH-CH-021</x:v>
      </x:c>
      <x:c r="F1753" t="n">
        <x:f>IF('Artifact Characteristics'!J27&lt;&gt;"",1,0)</x:f>
        <x:v>0</x:v>
      </x:c>
      <x:c r="G1753" t="n">
        <x:v>1</x:v>
      </x:c>
      <x:c r="H1753" t="str">
        <x:v>independent physical acceptance</x:v>
      </x:c>
      <x:c r="I1753" t="str">
        <x:f>IF(F1753=1,"PASS","OPEN")</x:f>
        <x:v>OPEN</x:v>
      </x:c>
    </x:row>
    <x:row r="1754">
      <x:c r="B1754" t="str">
        <x:v>PH-CH-022</x:v>
      </x:c>
      <x:c r="C1754" t="str">
        <x:v>PHYSICAL</x:v>
      </x:c>
      <x:c r="D1754" t="str">
        <x:v>characteristic acceptance</x:v>
      </x:c>
      <x:c r="E1754" t="str">
        <x:v>PH-CH-022</x:v>
      </x:c>
      <x:c r="F1754" t="n">
        <x:f>IF('Artifact Characteristics'!J28&lt;&gt;"",1,0)</x:f>
        <x:v>0</x:v>
      </x:c>
      <x:c r="G1754" t="n">
        <x:v>1</x:v>
      </x:c>
      <x:c r="H1754" t="str">
        <x:v>independent physical acceptance</x:v>
      </x:c>
      <x:c r="I1754" t="str">
        <x:f>IF(F1754=1,"PASS","OPEN")</x:f>
        <x:v>OPEN</x:v>
      </x:c>
    </x:row>
    <x:row r="1755">
      <x:c r="B1755" t="str">
        <x:v>PH-CH-023</x:v>
      </x:c>
      <x:c r="C1755" t="str">
        <x:v>PHYSICAL</x:v>
      </x:c>
      <x:c r="D1755" t="str">
        <x:v>characteristic acceptance</x:v>
      </x:c>
      <x:c r="E1755" t="str">
        <x:v>PH-CH-023</x:v>
      </x:c>
      <x:c r="F1755" t="n">
        <x:f>IF('Artifact Characteristics'!J29&lt;&gt;"",1,0)</x:f>
        <x:v>0</x:v>
      </x:c>
      <x:c r="G1755" t="n">
        <x:v>1</x:v>
      </x:c>
      <x:c r="H1755" t="str">
        <x:v>independent physical acceptance</x:v>
      </x:c>
      <x:c r="I1755" t="str">
        <x:f>IF(F1755=1,"PASS","OPEN")</x:f>
        <x:v>OPEN</x:v>
      </x:c>
    </x:row>
    <x:row r="1756">
      <x:c r="B1756" t="str">
        <x:v>PH-CH-024</x:v>
      </x:c>
      <x:c r="C1756" t="str">
        <x:v>PHYSICAL</x:v>
      </x:c>
      <x:c r="D1756" t="str">
        <x:v>characteristic acceptance</x:v>
      </x:c>
      <x:c r="E1756" t="str">
        <x:v>PH-CH-024</x:v>
      </x:c>
      <x:c r="F1756" t="n">
        <x:f>IF('Artifact Characteristics'!J30&lt;&gt;"",1,0)</x:f>
        <x:v>0</x:v>
      </x:c>
      <x:c r="G1756" t="n">
        <x:v>1</x:v>
      </x:c>
      <x:c r="H1756" t="str">
        <x:v>independent physical acceptance</x:v>
      </x:c>
      <x:c r="I1756" t="str">
        <x:f>IF(F1756=1,"PASS","OPEN")</x:f>
        <x:v>OPEN</x:v>
      </x:c>
    </x:row>
    <x:row r="1757">
      <x:c r="B1757" t="str">
        <x:v>PH-CH-025</x:v>
      </x:c>
      <x:c r="C1757" t="str">
        <x:v>PHYSICAL</x:v>
      </x:c>
      <x:c r="D1757" t="str">
        <x:v>characteristic acceptance</x:v>
      </x:c>
      <x:c r="E1757" t="str">
        <x:v>PH-CH-025</x:v>
      </x:c>
      <x:c r="F1757" t="n">
        <x:f>IF('Artifact Characteristics'!J31&lt;&gt;"",1,0)</x:f>
        <x:v>0</x:v>
      </x:c>
      <x:c r="G1757" t="n">
        <x:v>1</x:v>
      </x:c>
      <x:c r="H1757" t="str">
        <x:v>independent physical acceptance</x:v>
      </x:c>
      <x:c r="I1757" t="str">
        <x:f>IF(F1757=1,"PASS","OPEN")</x:f>
        <x:v>OPEN</x:v>
      </x:c>
    </x:row>
    <x:row r="1758">
      <x:c r="B1758" t="str">
        <x:v>PH-CH-026</x:v>
      </x:c>
      <x:c r="C1758" t="str">
        <x:v>PHYSICAL</x:v>
      </x:c>
      <x:c r="D1758" t="str">
        <x:v>characteristic acceptance</x:v>
      </x:c>
      <x:c r="E1758" t="str">
        <x:v>PH-CH-026</x:v>
      </x:c>
      <x:c r="F1758" t="n">
        <x:f>IF('Artifact Characteristics'!J32&lt;&gt;"",1,0)</x:f>
        <x:v>0</x:v>
      </x:c>
      <x:c r="G1758" t="n">
        <x:v>1</x:v>
      </x:c>
      <x:c r="H1758" t="str">
        <x:v>independent physical acceptance</x:v>
      </x:c>
      <x:c r="I1758" t="str">
        <x:f>IF(F1758=1,"PASS","OPEN")</x:f>
        <x:v>OPEN</x:v>
      </x:c>
    </x:row>
    <x:row r="1759">
      <x:c r="B1759" t="str">
        <x:v>PH-CH-027</x:v>
      </x:c>
      <x:c r="C1759" t="str">
        <x:v>PHYSICAL</x:v>
      </x:c>
      <x:c r="D1759" t="str">
        <x:v>characteristic acceptance</x:v>
      </x:c>
      <x:c r="E1759" t="str">
        <x:v>PH-CH-027</x:v>
      </x:c>
      <x:c r="F1759" t="n">
        <x:f>IF('Artifact Characteristics'!J33&lt;&gt;"",1,0)</x:f>
        <x:v>0</x:v>
      </x:c>
      <x:c r="G1759" t="n">
        <x:v>1</x:v>
      </x:c>
      <x:c r="H1759" t="str">
        <x:v>independent physical acceptance</x:v>
      </x:c>
      <x:c r="I1759" t="str">
        <x:f>IF(F1759=1,"PASS","OPEN")</x:f>
        <x:v>OPEN</x:v>
      </x:c>
    </x:row>
    <x:row r="1760">
      <x:c r="B1760" t="str">
        <x:v>PH-CH-028</x:v>
      </x:c>
      <x:c r="C1760" t="str">
        <x:v>PHYSICAL</x:v>
      </x:c>
      <x:c r="D1760" t="str">
        <x:v>characteristic acceptance</x:v>
      </x:c>
      <x:c r="E1760" t="str">
        <x:v>PH-CH-028</x:v>
      </x:c>
      <x:c r="F1760" t="n">
        <x:f>IF('Artifact Characteristics'!J34&lt;&gt;"",1,0)</x:f>
        <x:v>0</x:v>
      </x:c>
      <x:c r="G1760" t="n">
        <x:v>1</x:v>
      </x:c>
      <x:c r="H1760" t="str">
        <x:v>independent physical acceptance</x:v>
      </x:c>
      <x:c r="I1760" t="str">
        <x:f>IF(F1760=1,"PASS","OPEN")</x:f>
        <x:v>OPEN</x:v>
      </x:c>
    </x:row>
    <x:row r="1761">
      <x:c r="B1761" t="str">
        <x:v>PH-CH-029</x:v>
      </x:c>
      <x:c r="C1761" t="str">
        <x:v>PHYSICAL</x:v>
      </x:c>
      <x:c r="D1761" t="str">
        <x:v>characteristic acceptance</x:v>
      </x:c>
      <x:c r="E1761" t="str">
        <x:v>PH-CH-029</x:v>
      </x:c>
      <x:c r="F1761" t="n">
        <x:f>IF('Artifact Characteristics'!J35&lt;&gt;"",1,0)</x:f>
        <x:v>0</x:v>
      </x:c>
      <x:c r="G1761" t="n">
        <x:v>1</x:v>
      </x:c>
      <x:c r="H1761" t="str">
        <x:v>independent physical acceptance</x:v>
      </x:c>
      <x:c r="I1761" t="str">
        <x:f>IF(F1761=1,"PASS","OPEN")</x:f>
        <x:v>OPEN</x:v>
      </x:c>
    </x:row>
    <x:row r="1762">
      <x:c r="B1762" t="str">
        <x:v>PH-CH-030</x:v>
      </x:c>
      <x:c r="C1762" t="str">
        <x:v>PHYSICAL</x:v>
      </x:c>
      <x:c r="D1762" t="str">
        <x:v>characteristic acceptance</x:v>
      </x:c>
      <x:c r="E1762" t="str">
        <x:v>PH-CH-030</x:v>
      </x:c>
      <x:c r="F1762" t="n">
        <x:f>IF('Artifact Characteristics'!J36&lt;&gt;"",1,0)</x:f>
        <x:v>0</x:v>
      </x:c>
      <x:c r="G1762" t="n">
        <x:v>1</x:v>
      </x:c>
      <x:c r="H1762" t="str">
        <x:v>independent physical acceptance</x:v>
      </x:c>
      <x:c r="I1762" t="str">
        <x:f>IF(F1762=1,"PASS","OPEN")</x:f>
        <x:v>OPEN</x:v>
      </x:c>
    </x:row>
    <x:row r="1763">
      <x:c r="B1763" t="str">
        <x:v>PH-CH-031</x:v>
      </x:c>
      <x:c r="C1763" t="str">
        <x:v>PHYSICAL</x:v>
      </x:c>
      <x:c r="D1763" t="str">
        <x:v>characteristic acceptance</x:v>
      </x:c>
      <x:c r="E1763" t="str">
        <x:v>PH-CH-031</x:v>
      </x:c>
      <x:c r="F1763" t="n">
        <x:f>IF('Artifact Characteristics'!J37&lt;&gt;"",1,0)</x:f>
        <x:v>0</x:v>
      </x:c>
      <x:c r="G1763" t="n">
        <x:v>1</x:v>
      </x:c>
      <x:c r="H1763" t="str">
        <x:v>independent physical acceptance</x:v>
      </x:c>
      <x:c r="I1763" t="str">
        <x:f>IF(F1763=1,"PASS","OPEN")</x:f>
        <x:v>OPEN</x:v>
      </x:c>
    </x:row>
    <x:row r="1764">
      <x:c r="B1764" t="str">
        <x:v>PH-CH-032</x:v>
      </x:c>
      <x:c r="C1764" t="str">
        <x:v>PHYSICAL</x:v>
      </x:c>
      <x:c r="D1764" t="str">
        <x:v>characteristic acceptance</x:v>
      </x:c>
      <x:c r="E1764" t="str">
        <x:v>PH-CH-032</x:v>
      </x:c>
      <x:c r="F1764" t="n">
        <x:f>IF('Artifact Characteristics'!J38&lt;&gt;"",1,0)</x:f>
        <x:v>0</x:v>
      </x:c>
      <x:c r="G1764" t="n">
        <x:v>1</x:v>
      </x:c>
      <x:c r="H1764" t="str">
        <x:v>independent physical acceptance</x:v>
      </x:c>
      <x:c r="I1764" t="str">
        <x:f>IF(F1764=1,"PASS","OPEN")</x:f>
        <x:v>OPEN</x:v>
      </x:c>
    </x:row>
    <x:row r="1765">
      <x:c r="B1765" t="str">
        <x:v>PH-CH-033</x:v>
      </x:c>
      <x:c r="C1765" t="str">
        <x:v>PHYSICAL</x:v>
      </x:c>
      <x:c r="D1765" t="str">
        <x:v>characteristic acceptance</x:v>
      </x:c>
      <x:c r="E1765" t="str">
        <x:v>PH-CH-033</x:v>
      </x:c>
      <x:c r="F1765" t="n">
        <x:f>IF('Artifact Characteristics'!J39&lt;&gt;"",1,0)</x:f>
        <x:v>0</x:v>
      </x:c>
      <x:c r="G1765" t="n">
        <x:v>1</x:v>
      </x:c>
      <x:c r="H1765" t="str">
        <x:v>independent physical acceptance</x:v>
      </x:c>
      <x:c r="I1765" t="str">
        <x:f>IF(F1765=1,"PASS","OPEN")</x:f>
        <x:v>OPEN</x:v>
      </x:c>
    </x:row>
    <x:row r="1766">
      <x:c r="B1766" t="str">
        <x:v>PH-CH-034</x:v>
      </x:c>
      <x:c r="C1766" t="str">
        <x:v>PHYSICAL</x:v>
      </x:c>
      <x:c r="D1766" t="str">
        <x:v>characteristic acceptance</x:v>
      </x:c>
      <x:c r="E1766" t="str">
        <x:v>PH-CH-034</x:v>
      </x:c>
      <x:c r="F1766" t="n">
        <x:f>IF('Artifact Characteristics'!J40&lt;&gt;"",1,0)</x:f>
        <x:v>0</x:v>
      </x:c>
      <x:c r="G1766" t="n">
        <x:v>1</x:v>
      </x:c>
      <x:c r="H1766" t="str">
        <x:v>independent physical acceptance</x:v>
      </x:c>
      <x:c r="I1766" t="str">
        <x:f>IF(F1766=1,"PASS","OPEN")</x:f>
        <x:v>OPEN</x:v>
      </x:c>
    </x:row>
    <x:row r="1767">
      <x:c r="B1767" t="str">
        <x:v>PH-CH-035</x:v>
      </x:c>
      <x:c r="C1767" t="str">
        <x:v>PHYSICAL</x:v>
      </x:c>
      <x:c r="D1767" t="str">
        <x:v>characteristic acceptance</x:v>
      </x:c>
      <x:c r="E1767" t="str">
        <x:v>PH-CH-035</x:v>
      </x:c>
      <x:c r="F1767" t="n">
        <x:f>IF('Artifact Characteristics'!J41&lt;&gt;"",1,0)</x:f>
        <x:v>0</x:v>
      </x:c>
      <x:c r="G1767" t="n">
        <x:v>1</x:v>
      </x:c>
      <x:c r="H1767" t="str">
        <x:v>independent physical acceptance</x:v>
      </x:c>
      <x:c r="I1767" t="str">
        <x:f>IF(F1767=1,"PASS","OPEN")</x:f>
        <x:v>OPEN</x:v>
      </x:c>
    </x:row>
    <x:row r="1768">
      <x:c r="B1768" t="str">
        <x:v>PH-CH-036</x:v>
      </x:c>
      <x:c r="C1768" t="str">
        <x:v>PHYSICAL</x:v>
      </x:c>
      <x:c r="D1768" t="str">
        <x:v>characteristic acceptance</x:v>
      </x:c>
      <x:c r="E1768" t="str">
        <x:v>PH-CH-036</x:v>
      </x:c>
      <x:c r="F1768" t="n">
        <x:f>IF('Artifact Characteristics'!J42&lt;&gt;"",1,0)</x:f>
        <x:v>0</x:v>
      </x:c>
      <x:c r="G1768" t="n">
        <x:v>1</x:v>
      </x:c>
      <x:c r="H1768" t="str">
        <x:v>independent physical acceptance</x:v>
      </x:c>
      <x:c r="I1768" t="str">
        <x:f>IF(F1768=1,"PASS","OPEN")</x:f>
        <x:v>OPEN</x:v>
      </x:c>
    </x:row>
    <x:row r="1769">
      <x:c r="B1769" t="str">
        <x:v>PH-CH-037</x:v>
      </x:c>
      <x:c r="C1769" t="str">
        <x:v>PHYSICAL</x:v>
      </x:c>
      <x:c r="D1769" t="str">
        <x:v>characteristic acceptance</x:v>
      </x:c>
      <x:c r="E1769" t="str">
        <x:v>PH-CH-037</x:v>
      </x:c>
      <x:c r="F1769" t="n">
        <x:f>IF('Artifact Characteristics'!J43&lt;&gt;"",1,0)</x:f>
        <x:v>0</x:v>
      </x:c>
      <x:c r="G1769" t="n">
        <x:v>1</x:v>
      </x:c>
      <x:c r="H1769" t="str">
        <x:v>independent physical acceptance</x:v>
      </x:c>
      <x:c r="I1769" t="str">
        <x:f>IF(F1769=1,"PASS","OPEN")</x:f>
        <x:v>OPEN</x:v>
      </x:c>
    </x:row>
    <x:row r="1770">
      <x:c r="B1770" t="str">
        <x:v>PH-CH-038</x:v>
      </x:c>
      <x:c r="C1770" t="str">
        <x:v>PHYSICAL</x:v>
      </x:c>
      <x:c r="D1770" t="str">
        <x:v>characteristic acceptance</x:v>
      </x:c>
      <x:c r="E1770" t="str">
        <x:v>PH-CH-038</x:v>
      </x:c>
      <x:c r="F1770" t="n">
        <x:f>IF('Artifact Characteristics'!J44&lt;&gt;"",1,0)</x:f>
        <x:v>0</x:v>
      </x:c>
      <x:c r="G1770" t="n">
        <x:v>1</x:v>
      </x:c>
      <x:c r="H1770" t="str">
        <x:v>independent physical acceptance</x:v>
      </x:c>
      <x:c r="I1770" t="str">
        <x:f>IF(F1770=1,"PASS","OPEN")</x:f>
        <x:v>OPEN</x:v>
      </x:c>
    </x:row>
    <x:row r="1771">
      <x:c r="B1771" t="str">
        <x:v>PH-CH-039</x:v>
      </x:c>
      <x:c r="C1771" t="str">
        <x:v>PHYSICAL</x:v>
      </x:c>
      <x:c r="D1771" t="str">
        <x:v>characteristic acceptance</x:v>
      </x:c>
      <x:c r="E1771" t="str">
        <x:v>PH-CH-039</x:v>
      </x:c>
      <x:c r="F1771" t="n">
        <x:f>IF('Artifact Characteristics'!J45&lt;&gt;"",1,0)</x:f>
        <x:v>0</x:v>
      </x:c>
      <x:c r="G1771" t="n">
        <x:v>1</x:v>
      </x:c>
      <x:c r="H1771" t="str">
        <x:v>independent physical acceptance</x:v>
      </x:c>
      <x:c r="I1771" t="str">
        <x:f>IF(F1771=1,"PASS","OPEN")</x:f>
        <x:v>OPEN</x:v>
      </x:c>
    </x:row>
    <x:row r="1772">
      <x:c r="B1772" t="str">
        <x:v>PH-CH-040</x:v>
      </x:c>
      <x:c r="C1772" t="str">
        <x:v>PHYSICAL</x:v>
      </x:c>
      <x:c r="D1772" t="str">
        <x:v>characteristic acceptance</x:v>
      </x:c>
      <x:c r="E1772" t="str">
        <x:v>PH-CH-040</x:v>
      </x:c>
      <x:c r="F1772" t="n">
        <x:f>IF('Artifact Characteristics'!J46&lt;&gt;"",1,0)</x:f>
        <x:v>0</x:v>
      </x:c>
      <x:c r="G1772" t="n">
        <x:v>1</x:v>
      </x:c>
      <x:c r="H1772" t="str">
        <x:v>independent physical acceptance</x:v>
      </x:c>
      <x:c r="I1772" t="str">
        <x:f>IF(F1772=1,"PASS","OPEN")</x:f>
        <x:v>OPEN</x:v>
      </x:c>
    </x:row>
    <x:row r="1773">
      <x:c r="B1773" t="str">
        <x:v>PH-CH-041</x:v>
      </x:c>
      <x:c r="C1773" t="str">
        <x:v>PHYSICAL</x:v>
      </x:c>
      <x:c r="D1773" t="str">
        <x:v>characteristic acceptance</x:v>
      </x:c>
      <x:c r="E1773" t="str">
        <x:v>PH-CH-041</x:v>
      </x:c>
      <x:c r="F1773" t="n">
        <x:f>IF('Artifact Characteristics'!J47&lt;&gt;"",1,0)</x:f>
        <x:v>0</x:v>
      </x:c>
      <x:c r="G1773" t="n">
        <x:v>1</x:v>
      </x:c>
      <x:c r="H1773" t="str">
        <x:v>independent physical acceptance</x:v>
      </x:c>
      <x:c r="I1773" t="str">
        <x:f>IF(F1773=1,"PASS","OPEN")</x:f>
        <x:v>OPEN</x:v>
      </x:c>
    </x:row>
    <x:row r="1774">
      <x:c r="B1774" t="str">
        <x:v>PH-CH-042</x:v>
      </x:c>
      <x:c r="C1774" t="str">
        <x:v>PHYSICAL</x:v>
      </x:c>
      <x:c r="D1774" t="str">
        <x:v>characteristic acceptance</x:v>
      </x:c>
      <x:c r="E1774" t="str">
        <x:v>PH-CH-042</x:v>
      </x:c>
      <x:c r="F1774" t="n">
        <x:f>IF('Artifact Characteristics'!J48&lt;&gt;"",1,0)</x:f>
        <x:v>0</x:v>
      </x:c>
      <x:c r="G1774" t="n">
        <x:v>1</x:v>
      </x:c>
      <x:c r="H1774" t="str">
        <x:v>independent physical acceptance</x:v>
      </x:c>
      <x:c r="I1774" t="str">
        <x:f>IF(F1774=1,"PASS","OPEN")</x:f>
        <x:v>OPEN</x:v>
      </x:c>
    </x:row>
    <x:row r="1775">
      <x:c r="B1775" t="str">
        <x:v>PH-CH-043</x:v>
      </x:c>
      <x:c r="C1775" t="str">
        <x:v>PHYSICAL</x:v>
      </x:c>
      <x:c r="D1775" t="str">
        <x:v>characteristic acceptance</x:v>
      </x:c>
      <x:c r="E1775" t="str">
        <x:v>PH-CH-043</x:v>
      </x:c>
      <x:c r="F1775" t="n">
        <x:f>IF('Artifact Characteristics'!J49&lt;&gt;"",1,0)</x:f>
        <x:v>0</x:v>
      </x:c>
      <x:c r="G1775" t="n">
        <x:v>1</x:v>
      </x:c>
      <x:c r="H1775" t="str">
        <x:v>independent physical acceptance</x:v>
      </x:c>
      <x:c r="I1775" t="str">
        <x:f>IF(F1775=1,"PASS","OPEN")</x:f>
        <x:v>OPEN</x:v>
      </x:c>
    </x:row>
    <x:row r="1776">
      <x:c r="B1776" t="str">
        <x:v>PH-CH-044</x:v>
      </x:c>
      <x:c r="C1776" t="str">
        <x:v>PHYSICAL</x:v>
      </x:c>
      <x:c r="D1776" t="str">
        <x:v>characteristic acceptance</x:v>
      </x:c>
      <x:c r="E1776" t="str">
        <x:v>PH-CH-044</x:v>
      </x:c>
      <x:c r="F1776" t="n">
        <x:f>IF('Artifact Characteristics'!J50&lt;&gt;"",1,0)</x:f>
        <x:v>0</x:v>
      </x:c>
      <x:c r="G1776" t="n">
        <x:v>1</x:v>
      </x:c>
      <x:c r="H1776" t="str">
        <x:v>independent physical acceptance</x:v>
      </x:c>
      <x:c r="I1776" t="str">
        <x:f>IF(F1776=1,"PASS","OPEN")</x:f>
        <x:v>OPEN</x:v>
      </x:c>
    </x:row>
    <x:row r="1777">
      <x:c r="B1777" t="str">
        <x:v>PH-CH-045</x:v>
      </x:c>
      <x:c r="C1777" t="str">
        <x:v>PHYSICAL</x:v>
      </x:c>
      <x:c r="D1777" t="str">
        <x:v>characteristic acceptance</x:v>
      </x:c>
      <x:c r="E1777" t="str">
        <x:v>PH-CH-045</x:v>
      </x:c>
      <x:c r="F1777" t="n">
        <x:f>IF('Artifact Characteristics'!J51&lt;&gt;"",1,0)</x:f>
        <x:v>0</x:v>
      </x:c>
      <x:c r="G1777" t="n">
        <x:v>1</x:v>
      </x:c>
      <x:c r="H1777" t="str">
        <x:v>independent physical acceptance</x:v>
      </x:c>
      <x:c r="I1777" t="str">
        <x:f>IF(F1777=1,"PASS","OPEN")</x:f>
        <x:v>OPEN</x:v>
      </x:c>
    </x:row>
    <x:row r="1778">
      <x:c r="B1778" t="str">
        <x:v>PH-CH-046</x:v>
      </x:c>
      <x:c r="C1778" t="str">
        <x:v>PHYSICAL</x:v>
      </x:c>
      <x:c r="D1778" t="str">
        <x:v>characteristic acceptance</x:v>
      </x:c>
      <x:c r="E1778" t="str">
        <x:v>PH-CH-046</x:v>
      </x:c>
      <x:c r="F1778" t="n">
        <x:f>IF('Artifact Characteristics'!J52&lt;&gt;"",1,0)</x:f>
        <x:v>0</x:v>
      </x:c>
      <x:c r="G1778" t="n">
        <x:v>1</x:v>
      </x:c>
      <x:c r="H1778" t="str">
        <x:v>independent physical acceptance</x:v>
      </x:c>
      <x:c r="I1778" t="str">
        <x:f>IF(F1778=1,"PASS","OPEN")</x:f>
        <x:v>OPEN</x:v>
      </x:c>
    </x:row>
    <x:row r="1779">
      <x:c r="B1779" t="str">
        <x:v>PH-CH-047</x:v>
      </x:c>
      <x:c r="C1779" t="str">
        <x:v>PHYSICAL</x:v>
      </x:c>
      <x:c r="D1779" t="str">
        <x:v>characteristic acceptance</x:v>
      </x:c>
      <x:c r="E1779" t="str">
        <x:v>PH-CH-047</x:v>
      </x:c>
      <x:c r="F1779" t="n">
        <x:f>IF('Artifact Characteristics'!J53&lt;&gt;"",1,0)</x:f>
        <x:v>0</x:v>
      </x:c>
      <x:c r="G1779" t="n">
        <x:v>1</x:v>
      </x:c>
      <x:c r="H1779" t="str">
        <x:v>independent physical acceptance</x:v>
      </x:c>
      <x:c r="I1779" t="str">
        <x:f>IF(F1779=1,"PASS","OPEN")</x:f>
        <x:v>OPEN</x:v>
      </x:c>
    </x:row>
    <x:row r="1780">
      <x:c r="B1780" t="str">
        <x:v>PH-CH-048</x:v>
      </x:c>
      <x:c r="C1780" t="str">
        <x:v>PHYSICAL</x:v>
      </x:c>
      <x:c r="D1780" t="str">
        <x:v>characteristic acceptance</x:v>
      </x:c>
      <x:c r="E1780" t="str">
        <x:v>PH-CH-048</x:v>
      </x:c>
      <x:c r="F1780" t="n">
        <x:f>IF('Artifact Characteristics'!J54&lt;&gt;"",1,0)</x:f>
        <x:v>0</x:v>
      </x:c>
      <x:c r="G1780" t="n">
        <x:v>1</x:v>
      </x:c>
      <x:c r="H1780" t="str">
        <x:v>independent physical acceptance</x:v>
      </x:c>
      <x:c r="I1780" t="str">
        <x:f>IF(F1780=1,"PASS","OPEN")</x:f>
        <x:v>OPEN</x:v>
      </x:c>
    </x:row>
    <x:row r="1781">
      <x:c r="B1781" t="str">
        <x:v>PH-CH-049</x:v>
      </x:c>
      <x:c r="C1781" t="str">
        <x:v>PHYSICAL</x:v>
      </x:c>
      <x:c r="D1781" t="str">
        <x:v>characteristic acceptance</x:v>
      </x:c>
      <x:c r="E1781" t="str">
        <x:v>PH-CH-049</x:v>
      </x:c>
      <x:c r="F1781" t="n">
        <x:f>IF('Artifact Characteristics'!J55&lt;&gt;"",1,0)</x:f>
        <x:v>0</x:v>
      </x:c>
      <x:c r="G1781" t="n">
        <x:v>1</x:v>
      </x:c>
      <x:c r="H1781" t="str">
        <x:v>independent physical acceptance</x:v>
      </x:c>
      <x:c r="I1781" t="str">
        <x:f>IF(F1781=1,"PASS","OPEN")</x:f>
        <x:v>OPEN</x:v>
      </x:c>
    </x:row>
    <x:row r="1782">
      <x:c r="B1782" t="str">
        <x:v>PH-CH-050</x:v>
      </x:c>
      <x:c r="C1782" t="str">
        <x:v>PHYSICAL</x:v>
      </x:c>
      <x:c r="D1782" t="str">
        <x:v>characteristic acceptance</x:v>
      </x:c>
      <x:c r="E1782" t="str">
        <x:v>PH-CH-050</x:v>
      </x:c>
      <x:c r="F1782" t="n">
        <x:f>IF('Artifact Characteristics'!J56&lt;&gt;"",1,0)</x:f>
        <x:v>0</x:v>
      </x:c>
      <x:c r="G1782" t="n">
        <x:v>1</x:v>
      </x:c>
      <x:c r="H1782" t="str">
        <x:v>independent physical acceptance</x:v>
      </x:c>
      <x:c r="I1782" t="str">
        <x:f>IF(F1782=1,"PASS","OPEN")</x:f>
        <x:v>OPEN</x:v>
      </x:c>
    </x:row>
    <x:row r="1783">
      <x:c r="B1783" t="str">
        <x:v>PH-CH-051</x:v>
      </x:c>
      <x:c r="C1783" t="str">
        <x:v>PHYSICAL</x:v>
      </x:c>
      <x:c r="D1783" t="str">
        <x:v>characteristic acceptance</x:v>
      </x:c>
      <x:c r="E1783" t="str">
        <x:v>PH-CH-051</x:v>
      </x:c>
      <x:c r="F1783" t="n">
        <x:f>IF('Artifact Characteristics'!J57&lt;&gt;"",1,0)</x:f>
        <x:v>0</x:v>
      </x:c>
      <x:c r="G1783" t="n">
        <x:v>1</x:v>
      </x:c>
      <x:c r="H1783" t="str">
        <x:v>independent physical acceptance</x:v>
      </x:c>
      <x:c r="I1783" t="str">
        <x:f>IF(F1783=1,"PASS","OPEN")</x:f>
        <x:v>OPEN</x:v>
      </x:c>
    </x:row>
    <x:row r="1784">
      <x:c r="B1784" t="str">
        <x:v>PH-CH-052</x:v>
      </x:c>
      <x:c r="C1784" t="str">
        <x:v>PHYSICAL</x:v>
      </x:c>
      <x:c r="D1784" t="str">
        <x:v>characteristic acceptance</x:v>
      </x:c>
      <x:c r="E1784" t="str">
        <x:v>PH-CH-052</x:v>
      </x:c>
      <x:c r="F1784" t="n">
        <x:f>IF('Artifact Characteristics'!J58&lt;&gt;"",1,0)</x:f>
        <x:v>0</x:v>
      </x:c>
      <x:c r="G1784" t="n">
        <x:v>1</x:v>
      </x:c>
      <x:c r="H1784" t="str">
        <x:v>independent physical acceptance</x:v>
      </x:c>
      <x:c r="I1784" t="str">
        <x:f>IF(F1784=1,"PASS","OPEN")</x:f>
        <x:v>OPEN</x:v>
      </x:c>
    </x:row>
    <x:row r="1785">
      <x:c r="B1785" t="str">
        <x:v>PH-CH-053</x:v>
      </x:c>
      <x:c r="C1785" t="str">
        <x:v>PHYSICAL</x:v>
      </x:c>
      <x:c r="D1785" t="str">
        <x:v>characteristic acceptance</x:v>
      </x:c>
      <x:c r="E1785" t="str">
        <x:v>PH-CH-053</x:v>
      </x:c>
      <x:c r="F1785" t="n">
        <x:f>IF('Artifact Characteristics'!J59&lt;&gt;"",1,0)</x:f>
        <x:v>0</x:v>
      </x:c>
      <x:c r="G1785" t="n">
        <x:v>1</x:v>
      </x:c>
      <x:c r="H1785" t="str">
        <x:v>independent physical acceptance</x:v>
      </x:c>
      <x:c r="I1785" t="str">
        <x:f>IF(F1785=1,"PASS","OPEN")</x:f>
        <x:v>OPEN</x:v>
      </x:c>
    </x:row>
    <x:row r="1786">
      <x:c r="B1786" t="str">
        <x:v>PH-CH-054</x:v>
      </x:c>
      <x:c r="C1786" t="str">
        <x:v>PHYSICAL</x:v>
      </x:c>
      <x:c r="D1786" t="str">
        <x:v>characteristic acceptance</x:v>
      </x:c>
      <x:c r="E1786" t="str">
        <x:v>PH-CH-054</x:v>
      </x:c>
      <x:c r="F1786" t="n">
        <x:f>IF('Artifact Characteristics'!J60&lt;&gt;"",1,0)</x:f>
        <x:v>0</x:v>
      </x:c>
      <x:c r="G1786" t="n">
        <x:v>1</x:v>
      </x:c>
      <x:c r="H1786" t="str">
        <x:v>independent physical acceptance</x:v>
      </x:c>
      <x:c r="I1786" t="str">
        <x:f>IF(F1786=1,"PASS","OPEN")</x:f>
        <x:v>OPEN</x:v>
      </x:c>
    </x:row>
    <x:row r="1787">
      <x:c r="B1787" t="str">
        <x:v>PH-CH-055</x:v>
      </x:c>
      <x:c r="C1787" t="str">
        <x:v>PHYSICAL</x:v>
      </x:c>
      <x:c r="D1787" t="str">
        <x:v>characteristic acceptance</x:v>
      </x:c>
      <x:c r="E1787" t="str">
        <x:v>PH-CH-055</x:v>
      </x:c>
      <x:c r="F1787" t="n">
        <x:f>IF('Artifact Characteristics'!J61&lt;&gt;"",1,0)</x:f>
        <x:v>0</x:v>
      </x:c>
      <x:c r="G1787" t="n">
        <x:v>1</x:v>
      </x:c>
      <x:c r="H1787" t="str">
        <x:v>independent physical acceptance</x:v>
      </x:c>
      <x:c r="I1787" t="str">
        <x:f>IF(F1787=1,"PASS","OPEN")</x:f>
        <x:v>OPEN</x:v>
      </x:c>
    </x:row>
    <x:row r="1788">
      <x:c r="B1788" t="str">
        <x:v>PH-CH-056</x:v>
      </x:c>
      <x:c r="C1788" t="str">
        <x:v>PHYSICAL</x:v>
      </x:c>
      <x:c r="D1788" t="str">
        <x:v>characteristic acceptance</x:v>
      </x:c>
      <x:c r="E1788" t="str">
        <x:v>PH-CH-056</x:v>
      </x:c>
      <x:c r="F1788" t="n">
        <x:f>IF('Artifact Characteristics'!J62&lt;&gt;"",1,0)</x:f>
        <x:v>0</x:v>
      </x:c>
      <x:c r="G1788" t="n">
        <x:v>1</x:v>
      </x:c>
      <x:c r="H1788" t="str">
        <x:v>independent physical acceptance</x:v>
      </x:c>
      <x:c r="I1788" t="str">
        <x:f>IF(F1788=1,"PASS","OPEN")</x:f>
        <x:v>OPEN</x:v>
      </x:c>
    </x:row>
    <x:row r="1789">
      <x:c r="B1789" t="str">
        <x:v>PH-CH-057</x:v>
      </x:c>
      <x:c r="C1789" t="str">
        <x:v>PHYSICAL</x:v>
      </x:c>
      <x:c r="D1789" t="str">
        <x:v>characteristic acceptance</x:v>
      </x:c>
      <x:c r="E1789" t="str">
        <x:v>PH-CH-057</x:v>
      </x:c>
      <x:c r="F1789" t="n">
        <x:f>IF('Artifact Characteristics'!J63&lt;&gt;"",1,0)</x:f>
        <x:v>0</x:v>
      </x:c>
      <x:c r="G1789" t="n">
        <x:v>1</x:v>
      </x:c>
      <x:c r="H1789" t="str">
        <x:v>independent physical acceptance</x:v>
      </x:c>
      <x:c r="I1789" t="str">
        <x:f>IF(F1789=1,"PASS","OPEN")</x:f>
        <x:v>OPEN</x:v>
      </x:c>
    </x:row>
    <x:row r="1790">
      <x:c r="B1790" t="str">
        <x:v>PH-CH-058</x:v>
      </x:c>
      <x:c r="C1790" t="str">
        <x:v>PHYSICAL</x:v>
      </x:c>
      <x:c r="D1790" t="str">
        <x:v>characteristic acceptance</x:v>
      </x:c>
      <x:c r="E1790" t="str">
        <x:v>PH-CH-058</x:v>
      </x:c>
      <x:c r="F1790" t="n">
        <x:f>IF('Artifact Characteristics'!J64&lt;&gt;"",1,0)</x:f>
        <x:v>0</x:v>
      </x:c>
      <x:c r="G1790" t="n">
        <x:v>1</x:v>
      </x:c>
      <x:c r="H1790" t="str">
        <x:v>independent physical acceptance</x:v>
      </x:c>
      <x:c r="I1790" t="str">
        <x:f>IF(F1790=1,"PASS","OPEN")</x:f>
        <x:v>OPEN</x:v>
      </x:c>
    </x:row>
    <x:row r="1791">
      <x:c r="B1791" t="str">
        <x:v>PH-CH-059</x:v>
      </x:c>
      <x:c r="C1791" t="str">
        <x:v>PHYSICAL</x:v>
      </x:c>
      <x:c r="D1791" t="str">
        <x:v>characteristic acceptance</x:v>
      </x:c>
      <x:c r="E1791" t="str">
        <x:v>PH-CH-059</x:v>
      </x:c>
      <x:c r="F1791" t="n">
        <x:f>IF('Artifact Characteristics'!J65&lt;&gt;"",1,0)</x:f>
        <x:v>0</x:v>
      </x:c>
      <x:c r="G1791" t="n">
        <x:v>1</x:v>
      </x:c>
      <x:c r="H1791" t="str">
        <x:v>independent physical acceptance</x:v>
      </x:c>
      <x:c r="I1791" t="str">
        <x:f>IF(F1791=1,"PASS","OPEN")</x:f>
        <x:v>OPEN</x:v>
      </x:c>
    </x:row>
    <x:row r="1792">
      <x:c r="B1792" t="str">
        <x:v>PH-CH-060</x:v>
      </x:c>
      <x:c r="C1792" t="str">
        <x:v>PHYSICAL</x:v>
      </x:c>
      <x:c r="D1792" t="str">
        <x:v>characteristic acceptance</x:v>
      </x:c>
      <x:c r="E1792" t="str">
        <x:v>PH-CH-060</x:v>
      </x:c>
      <x:c r="F1792" t="n">
        <x:f>IF('Artifact Characteristics'!J66&lt;&gt;"",1,0)</x:f>
        <x:v>0</x:v>
      </x:c>
      <x:c r="G1792" t="n">
        <x:v>1</x:v>
      </x:c>
      <x:c r="H1792" t="str">
        <x:v>independent physical acceptance</x:v>
      </x:c>
      <x:c r="I1792" t="str">
        <x:f>IF(F1792=1,"PASS","OPEN")</x:f>
        <x:v>OPEN</x:v>
      </x:c>
    </x:row>
    <x:row r="1793">
      <x:c r="B1793" t="str">
        <x:v>PH-CH-061</x:v>
      </x:c>
      <x:c r="C1793" t="str">
        <x:v>PHYSICAL</x:v>
      </x:c>
      <x:c r="D1793" t="str">
        <x:v>characteristic acceptance</x:v>
      </x:c>
      <x:c r="E1793" t="str">
        <x:v>PH-CH-061</x:v>
      </x:c>
      <x:c r="F1793" t="n">
        <x:f>IF('Artifact Characteristics'!J67&lt;&gt;"",1,0)</x:f>
        <x:v>0</x:v>
      </x:c>
      <x:c r="G1793" t="n">
        <x:v>1</x:v>
      </x:c>
      <x:c r="H1793" t="str">
        <x:v>independent physical acceptance</x:v>
      </x:c>
      <x:c r="I1793" t="str">
        <x:f>IF(F1793=1,"PASS","OPEN")</x:f>
        <x:v>OPEN</x:v>
      </x:c>
    </x:row>
    <x:row r="1794">
      <x:c r="B1794" t="str">
        <x:v>PH-CH-062</x:v>
      </x:c>
      <x:c r="C1794" t="str">
        <x:v>PHYSICAL</x:v>
      </x:c>
      <x:c r="D1794" t="str">
        <x:v>characteristic acceptance</x:v>
      </x:c>
      <x:c r="E1794" t="str">
        <x:v>PH-CH-062</x:v>
      </x:c>
      <x:c r="F1794" t="n">
        <x:f>IF('Artifact Characteristics'!J68&lt;&gt;"",1,0)</x:f>
        <x:v>0</x:v>
      </x:c>
      <x:c r="G1794" t="n">
        <x:v>1</x:v>
      </x:c>
      <x:c r="H1794" t="str">
        <x:v>independent physical acceptance</x:v>
      </x:c>
      <x:c r="I1794" t="str">
        <x:f>IF(F1794=1,"PASS","OPEN")</x:f>
        <x:v>OPEN</x:v>
      </x:c>
    </x:row>
    <x:row r="1795">
      <x:c r="B1795" t="str">
        <x:v>PH-CH-063</x:v>
      </x:c>
      <x:c r="C1795" t="str">
        <x:v>PHYSICAL</x:v>
      </x:c>
      <x:c r="D1795" t="str">
        <x:v>characteristic acceptance</x:v>
      </x:c>
      <x:c r="E1795" t="str">
        <x:v>PH-CH-063</x:v>
      </x:c>
      <x:c r="F1795" t="n">
        <x:f>IF('Artifact Characteristics'!J69&lt;&gt;"",1,0)</x:f>
        <x:v>0</x:v>
      </x:c>
      <x:c r="G1795" t="n">
        <x:v>1</x:v>
      </x:c>
      <x:c r="H1795" t="str">
        <x:v>independent physical acceptance</x:v>
      </x:c>
      <x:c r="I1795" t="str">
        <x:f>IF(F1795=1,"PASS","OPEN")</x:f>
        <x:v>OPEN</x:v>
      </x:c>
    </x:row>
    <x:row r="1796">
      <x:c r="B1796" t="str">
        <x:v>PH-CH-064</x:v>
      </x:c>
      <x:c r="C1796" t="str">
        <x:v>PHYSICAL</x:v>
      </x:c>
      <x:c r="D1796" t="str">
        <x:v>characteristic acceptance</x:v>
      </x:c>
      <x:c r="E1796" t="str">
        <x:v>PH-CH-064</x:v>
      </x:c>
      <x:c r="F1796" t="n">
        <x:f>IF('Artifact Characteristics'!J70&lt;&gt;"",1,0)</x:f>
        <x:v>0</x:v>
      </x:c>
      <x:c r="G1796" t="n">
        <x:v>1</x:v>
      </x:c>
      <x:c r="H1796" t="str">
        <x:v>independent physical acceptance</x:v>
      </x:c>
      <x:c r="I1796" t="str">
        <x:f>IF(F1796=1,"PASS","OPEN")</x:f>
        <x:v>OPEN</x:v>
      </x:c>
    </x:row>
    <x:row r="1797">
      <x:c r="B1797" t="str">
        <x:v>PH-CH-065</x:v>
      </x:c>
      <x:c r="C1797" t="str">
        <x:v>PHYSICAL</x:v>
      </x:c>
      <x:c r="D1797" t="str">
        <x:v>characteristic acceptance</x:v>
      </x:c>
      <x:c r="E1797" t="str">
        <x:v>PH-CH-065</x:v>
      </x:c>
      <x:c r="F1797" t="n">
        <x:f>IF('Artifact Characteristics'!J71&lt;&gt;"",1,0)</x:f>
        <x:v>0</x:v>
      </x:c>
      <x:c r="G1797" t="n">
        <x:v>1</x:v>
      </x:c>
      <x:c r="H1797" t="str">
        <x:v>independent physical acceptance</x:v>
      </x:c>
      <x:c r="I1797" t="str">
        <x:f>IF(F1797=1,"PASS","OPEN")</x:f>
        <x:v>OPEN</x:v>
      </x:c>
    </x:row>
    <x:row r="1798">
      <x:c r="B1798" t="str">
        <x:v>PH-CH-066</x:v>
      </x:c>
      <x:c r="C1798" t="str">
        <x:v>PHYSICAL</x:v>
      </x:c>
      <x:c r="D1798" t="str">
        <x:v>characteristic acceptance</x:v>
      </x:c>
      <x:c r="E1798" t="str">
        <x:v>PH-CH-066</x:v>
      </x:c>
      <x:c r="F1798" t="n">
        <x:f>IF('Artifact Characteristics'!J72&lt;&gt;"",1,0)</x:f>
        <x:v>0</x:v>
      </x:c>
      <x:c r="G1798" t="n">
        <x:v>1</x:v>
      </x:c>
      <x:c r="H1798" t="str">
        <x:v>independent physical acceptance</x:v>
      </x:c>
      <x:c r="I1798" t="str">
        <x:f>IF(F1798=1,"PASS","OPEN")</x:f>
        <x:v>OPEN</x:v>
      </x:c>
    </x:row>
    <x:row r="1799">
      <x:c r="B1799" t="str">
        <x:v>PH-CH-067</x:v>
      </x:c>
      <x:c r="C1799" t="str">
        <x:v>PHYSICAL</x:v>
      </x:c>
      <x:c r="D1799" t="str">
        <x:v>characteristic acceptance</x:v>
      </x:c>
      <x:c r="E1799" t="str">
        <x:v>PH-CH-067</x:v>
      </x:c>
      <x:c r="F1799" t="n">
        <x:f>IF('Artifact Characteristics'!J73&lt;&gt;"",1,0)</x:f>
        <x:v>0</x:v>
      </x:c>
      <x:c r="G1799" t="n">
        <x:v>1</x:v>
      </x:c>
      <x:c r="H1799" t="str">
        <x:v>independent physical acceptance</x:v>
      </x:c>
      <x:c r="I1799" t="str">
        <x:f>IF(F1799=1,"PASS","OPEN")</x:f>
        <x:v>OPEN</x:v>
      </x:c>
    </x:row>
    <x:row r="1800">
      <x:c r="B1800" t="str">
        <x:v>PH-CH-068</x:v>
      </x:c>
      <x:c r="C1800" t="str">
        <x:v>PHYSICAL</x:v>
      </x:c>
      <x:c r="D1800" t="str">
        <x:v>characteristic acceptance</x:v>
      </x:c>
      <x:c r="E1800" t="str">
        <x:v>PH-CH-068</x:v>
      </x:c>
      <x:c r="F1800" t="n">
        <x:f>IF('Artifact Characteristics'!J74&lt;&gt;"",1,0)</x:f>
        <x:v>0</x:v>
      </x:c>
      <x:c r="G1800" t="n">
        <x:v>1</x:v>
      </x:c>
      <x:c r="H1800" t="str">
        <x:v>independent physical acceptance</x:v>
      </x:c>
      <x:c r="I1800" t="str">
        <x:f>IF(F1800=1,"PASS","OPEN")</x:f>
        <x:v>OPEN</x:v>
      </x:c>
    </x:row>
    <x:row r="1801">
      <x:c r="B1801" t="str">
        <x:v>PH-CH-069</x:v>
      </x:c>
      <x:c r="C1801" t="str">
        <x:v>PHYSICAL</x:v>
      </x:c>
      <x:c r="D1801" t="str">
        <x:v>characteristic acceptance</x:v>
      </x:c>
      <x:c r="E1801" t="str">
        <x:v>PH-CH-069</x:v>
      </x:c>
      <x:c r="F1801" t="n">
        <x:f>IF('Artifact Characteristics'!J75&lt;&gt;"",1,0)</x:f>
        <x:v>0</x:v>
      </x:c>
      <x:c r="G1801" t="n">
        <x:v>1</x:v>
      </x:c>
      <x:c r="H1801" t="str">
        <x:v>independent physical acceptance</x:v>
      </x:c>
      <x:c r="I1801" t="str">
        <x:f>IF(F1801=1,"PASS","OPEN")</x:f>
        <x:v>OPEN</x:v>
      </x:c>
    </x:row>
    <x:row r="1802">
      <x:c r="B1802" t="str">
        <x:v>PH-CH-070</x:v>
      </x:c>
      <x:c r="C1802" t="str">
        <x:v>PHYSICAL</x:v>
      </x:c>
      <x:c r="D1802" t="str">
        <x:v>characteristic acceptance</x:v>
      </x:c>
      <x:c r="E1802" t="str">
        <x:v>PH-CH-070</x:v>
      </x:c>
      <x:c r="F1802" t="n">
        <x:f>IF('Artifact Characteristics'!J76&lt;&gt;"",1,0)</x:f>
        <x:v>0</x:v>
      </x:c>
      <x:c r="G1802" t="n">
        <x:v>1</x:v>
      </x:c>
      <x:c r="H1802" t="str">
        <x:v>independent physical acceptance</x:v>
      </x:c>
      <x:c r="I1802" t="str">
        <x:f>IF(F1802=1,"PASS","OPEN")</x:f>
        <x:v>OPEN</x:v>
      </x:c>
    </x:row>
    <x:row r="1803">
      <x:c r="B1803" t="str">
        <x:v>PH-CH-071</x:v>
      </x:c>
      <x:c r="C1803" t="str">
        <x:v>PHYSICAL</x:v>
      </x:c>
      <x:c r="D1803" t="str">
        <x:v>characteristic acceptance</x:v>
      </x:c>
      <x:c r="E1803" t="str">
        <x:v>PH-CH-071</x:v>
      </x:c>
      <x:c r="F1803" t="n">
        <x:f>IF('Artifact Characteristics'!J77&lt;&gt;"",1,0)</x:f>
        <x:v>0</x:v>
      </x:c>
      <x:c r="G1803" t="n">
        <x:v>1</x:v>
      </x:c>
      <x:c r="H1803" t="str">
        <x:v>independent physical acceptance</x:v>
      </x:c>
      <x:c r="I1803" t="str">
        <x:f>IF(F1803=1,"PASS","OPEN")</x:f>
        <x:v>OPEN</x:v>
      </x:c>
    </x:row>
    <x:row r="1804">
      <x:c r="B1804" t="str">
        <x:v>PH-CH-072</x:v>
      </x:c>
      <x:c r="C1804" t="str">
        <x:v>PHYSICAL</x:v>
      </x:c>
      <x:c r="D1804" t="str">
        <x:v>characteristic acceptance</x:v>
      </x:c>
      <x:c r="E1804" t="str">
        <x:v>PH-CH-072</x:v>
      </x:c>
      <x:c r="F1804" t="n">
        <x:f>IF('Artifact Characteristics'!J78&lt;&gt;"",1,0)</x:f>
        <x:v>0</x:v>
      </x:c>
      <x:c r="G1804" t="n">
        <x:v>1</x:v>
      </x:c>
      <x:c r="H1804" t="str">
        <x:v>independent physical acceptance</x:v>
      </x:c>
      <x:c r="I1804" t="str">
        <x:f>IF(F1804=1,"PASS","OPEN")</x:f>
        <x:v>OPEN</x:v>
      </x:c>
    </x:row>
    <x:row r="1805">
      <x:c r="B1805" t="str">
        <x:v>PH-CH-073</x:v>
      </x:c>
      <x:c r="C1805" t="str">
        <x:v>PHYSICAL</x:v>
      </x:c>
      <x:c r="D1805" t="str">
        <x:v>characteristic acceptance</x:v>
      </x:c>
      <x:c r="E1805" t="str">
        <x:v>PH-CH-073</x:v>
      </x:c>
      <x:c r="F1805" t="n">
        <x:f>IF('Artifact Characteristics'!J79&lt;&gt;"",1,0)</x:f>
        <x:v>0</x:v>
      </x:c>
      <x:c r="G1805" t="n">
        <x:v>1</x:v>
      </x:c>
      <x:c r="H1805" t="str">
        <x:v>independent physical acceptance</x:v>
      </x:c>
      <x:c r="I1805" t="str">
        <x:f>IF(F1805=1,"PASS","OPEN")</x:f>
        <x:v>OPEN</x:v>
      </x:c>
    </x:row>
    <x:row r="1806">
      <x:c r="B1806" t="str">
        <x:v>PH-CH-074</x:v>
      </x:c>
      <x:c r="C1806" t="str">
        <x:v>PHYSICAL</x:v>
      </x:c>
      <x:c r="D1806" t="str">
        <x:v>characteristic acceptance</x:v>
      </x:c>
      <x:c r="E1806" t="str">
        <x:v>PH-CH-074</x:v>
      </x:c>
      <x:c r="F1806" t="n">
        <x:f>IF('Artifact Characteristics'!J80&lt;&gt;"",1,0)</x:f>
        <x:v>0</x:v>
      </x:c>
      <x:c r="G1806" t="n">
        <x:v>1</x:v>
      </x:c>
      <x:c r="H1806" t="str">
        <x:v>independent physical acceptance</x:v>
      </x:c>
      <x:c r="I1806" t="str">
        <x:f>IF(F1806=1,"PASS","OPEN")</x:f>
        <x:v>OPEN</x:v>
      </x:c>
    </x:row>
    <x:row r="1807">
      <x:c r="B1807" t="str">
        <x:v>PH-CH-075</x:v>
      </x:c>
      <x:c r="C1807" t="str">
        <x:v>PHYSICAL</x:v>
      </x:c>
      <x:c r="D1807" t="str">
        <x:v>characteristic acceptance</x:v>
      </x:c>
      <x:c r="E1807" t="str">
        <x:v>PH-CH-075</x:v>
      </x:c>
      <x:c r="F1807" t="n">
        <x:f>IF('Artifact Characteristics'!J81&lt;&gt;"",1,0)</x:f>
        <x:v>0</x:v>
      </x:c>
      <x:c r="G1807" t="n">
        <x:v>1</x:v>
      </x:c>
      <x:c r="H1807" t="str">
        <x:v>independent physical acceptance</x:v>
      </x:c>
      <x:c r="I1807" t="str">
        <x:f>IF(F1807=1,"PASS","OPEN")</x:f>
        <x:v>OPEN</x:v>
      </x:c>
    </x:row>
    <x:row r="1808">
      <x:c r="B1808" t="str">
        <x:v>PH-CH-076</x:v>
      </x:c>
      <x:c r="C1808" t="str">
        <x:v>PHYSICAL</x:v>
      </x:c>
      <x:c r="D1808" t="str">
        <x:v>characteristic acceptance</x:v>
      </x:c>
      <x:c r="E1808" t="str">
        <x:v>PH-CH-076</x:v>
      </x:c>
      <x:c r="F1808" t="n">
        <x:f>IF('Artifact Characteristics'!J82&lt;&gt;"",1,0)</x:f>
        <x:v>0</x:v>
      </x:c>
      <x:c r="G1808" t="n">
        <x:v>1</x:v>
      </x:c>
      <x:c r="H1808" t="str">
        <x:v>independent physical acceptance</x:v>
      </x:c>
      <x:c r="I1808" t="str">
        <x:f>IF(F1808=1,"PASS","OPEN")</x:f>
        <x:v>OPEN</x:v>
      </x:c>
    </x:row>
    <x:row r="1809">
      <x:c r="B1809" t="str">
        <x:v>PH-CH-077</x:v>
      </x:c>
      <x:c r="C1809" t="str">
        <x:v>PHYSICAL</x:v>
      </x:c>
      <x:c r="D1809" t="str">
        <x:v>characteristic acceptance</x:v>
      </x:c>
      <x:c r="E1809" t="str">
        <x:v>PH-CH-077</x:v>
      </x:c>
      <x:c r="F1809" t="n">
        <x:f>IF('Artifact Characteristics'!J83&lt;&gt;"",1,0)</x:f>
        <x:v>0</x:v>
      </x:c>
      <x:c r="G1809" t="n">
        <x:v>1</x:v>
      </x:c>
      <x:c r="H1809" t="str">
        <x:v>independent physical acceptance</x:v>
      </x:c>
      <x:c r="I1809" t="str">
        <x:f>IF(F1809=1,"PASS","OPEN")</x:f>
        <x:v>OPEN</x:v>
      </x:c>
    </x:row>
    <x:row r="1810">
      <x:c r="B1810" t="str">
        <x:v>PH-CH-078</x:v>
      </x:c>
      <x:c r="C1810" t="str">
        <x:v>PHYSICAL</x:v>
      </x:c>
      <x:c r="D1810" t="str">
        <x:v>characteristic acceptance</x:v>
      </x:c>
      <x:c r="E1810" t="str">
        <x:v>PH-CH-078</x:v>
      </x:c>
      <x:c r="F1810" t="n">
        <x:f>IF('Artifact Characteristics'!J84&lt;&gt;"",1,0)</x:f>
        <x:v>0</x:v>
      </x:c>
      <x:c r="G1810" t="n">
        <x:v>1</x:v>
      </x:c>
      <x:c r="H1810" t="str">
        <x:v>independent physical acceptance</x:v>
      </x:c>
      <x:c r="I1810" t="str">
        <x:f>IF(F1810=1,"PASS","OPEN")</x:f>
        <x:v>OPEN</x:v>
      </x:c>
    </x:row>
    <x:row r="1811">
      <x:c r="B1811" t="str">
        <x:v>PH-CH-079</x:v>
      </x:c>
      <x:c r="C1811" t="str">
        <x:v>PHYSICAL</x:v>
      </x:c>
      <x:c r="D1811" t="str">
        <x:v>characteristic acceptance</x:v>
      </x:c>
      <x:c r="E1811" t="str">
        <x:v>PH-CH-079</x:v>
      </x:c>
      <x:c r="F1811" t="n">
        <x:f>IF('Artifact Characteristics'!J85&lt;&gt;"",1,0)</x:f>
        <x:v>0</x:v>
      </x:c>
      <x:c r="G1811" t="n">
        <x:v>1</x:v>
      </x:c>
      <x:c r="H1811" t="str">
        <x:v>independent physical acceptance</x:v>
      </x:c>
      <x:c r="I1811" t="str">
        <x:f>IF(F1811=1,"PASS","OPEN")</x:f>
        <x:v>OPEN</x:v>
      </x:c>
    </x:row>
    <x:row r="1812">
      <x:c r="B1812" t="str">
        <x:v>PH-CH-080</x:v>
      </x:c>
      <x:c r="C1812" t="str">
        <x:v>PHYSICAL</x:v>
      </x:c>
      <x:c r="D1812" t="str">
        <x:v>characteristic acceptance</x:v>
      </x:c>
      <x:c r="E1812" t="str">
        <x:v>PH-CH-080</x:v>
      </x:c>
      <x:c r="F1812" t="n">
        <x:f>IF('Artifact Characteristics'!J86&lt;&gt;"",1,0)</x:f>
        <x:v>0</x:v>
      </x:c>
      <x:c r="G1812" t="n">
        <x:v>1</x:v>
      </x:c>
      <x:c r="H1812" t="str">
        <x:v>independent physical acceptance</x:v>
      </x:c>
      <x:c r="I1812" t="str">
        <x:f>IF(F1812=1,"PASS","OPEN")</x:f>
        <x:v>OPEN</x:v>
      </x:c>
    </x:row>
    <x:row r="1813">
      <x:c r="B1813" t="str">
        <x:v>PH-EN-001</x:v>
      </x:c>
      <x:c r="C1813" t="str">
        <x:v>PHYSICAL</x:v>
      </x:c>
      <x:c r="D1813" t="str">
        <x:v>envelope acceptance</x:v>
      </x:c>
      <x:c r="E1813" t="str">
        <x:v>PH-EN-001</x:v>
      </x:c>
      <x:c r="F1813" t="n">
        <x:f>IF('Reference Envelopes'!J7&lt;&gt;"",1,0)</x:f>
        <x:v>0</x:v>
      </x:c>
      <x:c r="G1813" t="n">
        <x:v>1</x:v>
      </x:c>
      <x:c r="H1813" t="str">
        <x:v>independent physical acceptance</x:v>
      </x:c>
      <x:c r="I1813" t="str">
        <x:f>IF(F1813=1,"PASS","OPEN")</x:f>
        <x:v>OPEN</x:v>
      </x:c>
    </x:row>
    <x:row r="1814">
      <x:c r="B1814" t="str">
        <x:v>PH-EN-002</x:v>
      </x:c>
      <x:c r="C1814" t="str">
        <x:v>PHYSICAL</x:v>
      </x:c>
      <x:c r="D1814" t="str">
        <x:v>envelope acceptance</x:v>
      </x:c>
      <x:c r="E1814" t="str">
        <x:v>PH-EN-002</x:v>
      </x:c>
      <x:c r="F1814" t="n">
        <x:f>IF('Reference Envelopes'!J8&lt;&gt;"",1,0)</x:f>
        <x:v>0</x:v>
      </x:c>
      <x:c r="G1814" t="n">
        <x:v>1</x:v>
      </x:c>
      <x:c r="H1814" t="str">
        <x:v>independent physical acceptance</x:v>
      </x:c>
      <x:c r="I1814" t="str">
        <x:f>IF(F1814=1,"PASS","OPEN")</x:f>
        <x:v>OPEN</x:v>
      </x:c>
    </x:row>
    <x:row r="1815">
      <x:c r="B1815" t="str">
        <x:v>PH-EN-003</x:v>
      </x:c>
      <x:c r="C1815" t="str">
        <x:v>PHYSICAL</x:v>
      </x:c>
      <x:c r="D1815" t="str">
        <x:v>envelope acceptance</x:v>
      </x:c>
      <x:c r="E1815" t="str">
        <x:v>PH-EN-003</x:v>
      </x:c>
      <x:c r="F1815" t="n">
        <x:f>IF('Reference Envelopes'!J9&lt;&gt;"",1,0)</x:f>
        <x:v>0</x:v>
      </x:c>
      <x:c r="G1815" t="n">
        <x:v>1</x:v>
      </x:c>
      <x:c r="H1815" t="str">
        <x:v>independent physical acceptance</x:v>
      </x:c>
      <x:c r="I1815" t="str">
        <x:f>IF(F1815=1,"PASS","OPEN")</x:f>
        <x:v>OPEN</x:v>
      </x:c>
    </x:row>
    <x:row r="1816">
      <x:c r="B1816" t="str">
        <x:v>PH-EN-004</x:v>
      </x:c>
      <x:c r="C1816" t="str">
        <x:v>PHYSICAL</x:v>
      </x:c>
      <x:c r="D1816" t="str">
        <x:v>envelope acceptance</x:v>
      </x:c>
      <x:c r="E1816" t="str">
        <x:v>PH-EN-004</x:v>
      </x:c>
      <x:c r="F1816" t="n">
        <x:f>IF('Reference Envelopes'!J10&lt;&gt;"",1,0)</x:f>
        <x:v>0</x:v>
      </x:c>
      <x:c r="G1816" t="n">
        <x:v>1</x:v>
      </x:c>
      <x:c r="H1816" t="str">
        <x:v>independent physical acceptance</x:v>
      </x:c>
      <x:c r="I1816" t="str">
        <x:f>IF(F1816=1,"PASS","OPEN")</x:f>
        <x:v>OPEN</x:v>
      </x:c>
    </x:row>
    <x:row r="1817">
      <x:c r="B1817" t="str">
        <x:v>PH-EN-005</x:v>
      </x:c>
      <x:c r="C1817" t="str">
        <x:v>PHYSICAL</x:v>
      </x:c>
      <x:c r="D1817" t="str">
        <x:v>envelope acceptance</x:v>
      </x:c>
      <x:c r="E1817" t="str">
        <x:v>PH-EN-005</x:v>
      </x:c>
      <x:c r="F1817" t="n">
        <x:f>IF('Reference Envelopes'!J11&lt;&gt;"",1,0)</x:f>
        <x:v>0</x:v>
      </x:c>
      <x:c r="G1817" t="n">
        <x:v>1</x:v>
      </x:c>
      <x:c r="H1817" t="str">
        <x:v>independent physical acceptance</x:v>
      </x:c>
      <x:c r="I1817" t="str">
        <x:f>IF(F1817=1,"PASS","OPEN")</x:f>
        <x:v>OPEN</x:v>
      </x:c>
    </x:row>
    <x:row r="1818">
      <x:c r="B1818" t="str">
        <x:v>PH-EN-006</x:v>
      </x:c>
      <x:c r="C1818" t="str">
        <x:v>PHYSICAL</x:v>
      </x:c>
      <x:c r="D1818" t="str">
        <x:v>envelope acceptance</x:v>
      </x:c>
      <x:c r="E1818" t="str">
        <x:v>PH-EN-006</x:v>
      </x:c>
      <x:c r="F1818" t="n">
        <x:f>IF('Reference Envelopes'!J12&lt;&gt;"",1,0)</x:f>
        <x:v>0</x:v>
      </x:c>
      <x:c r="G1818" t="n">
        <x:v>1</x:v>
      </x:c>
      <x:c r="H1818" t="str">
        <x:v>independent physical acceptance</x:v>
      </x:c>
      <x:c r="I1818" t="str">
        <x:f>IF(F1818=1,"PASS","OPEN")</x:f>
        <x:v>OPEN</x:v>
      </x:c>
    </x:row>
    <x:row r="1819">
      <x:c r="B1819" t="str">
        <x:v>PH-EN-007</x:v>
      </x:c>
      <x:c r="C1819" t="str">
        <x:v>PHYSICAL</x:v>
      </x:c>
      <x:c r="D1819" t="str">
        <x:v>envelope acceptance</x:v>
      </x:c>
      <x:c r="E1819" t="str">
        <x:v>PH-EN-007</x:v>
      </x:c>
      <x:c r="F1819" t="n">
        <x:f>IF('Reference Envelopes'!J13&lt;&gt;"",1,0)</x:f>
        <x:v>0</x:v>
      </x:c>
      <x:c r="G1819" t="n">
        <x:v>1</x:v>
      </x:c>
      <x:c r="H1819" t="str">
        <x:v>independent physical acceptance</x:v>
      </x:c>
      <x:c r="I1819" t="str">
        <x:f>IF(F1819=1,"PASS","OPEN")</x:f>
        <x:v>OPEN</x:v>
      </x:c>
    </x:row>
    <x:row r="1820">
      <x:c r="B1820" t="str">
        <x:v>PH-EN-008</x:v>
      </x:c>
      <x:c r="C1820" t="str">
        <x:v>PHYSICAL</x:v>
      </x:c>
      <x:c r="D1820" t="str">
        <x:v>envelope acceptance</x:v>
      </x:c>
      <x:c r="E1820" t="str">
        <x:v>PH-EN-008</x:v>
      </x:c>
      <x:c r="F1820" t="n">
        <x:f>IF('Reference Envelopes'!J14&lt;&gt;"",1,0)</x:f>
        <x:v>0</x:v>
      </x:c>
      <x:c r="G1820" t="n">
        <x:v>1</x:v>
      </x:c>
      <x:c r="H1820" t="str">
        <x:v>independent physical acceptance</x:v>
      </x:c>
      <x:c r="I1820" t="str">
        <x:f>IF(F1820=1,"PASS","OPEN")</x:f>
        <x:v>OPEN</x:v>
      </x:c>
    </x:row>
    <x:row r="1821">
      <x:c r="B1821" t="str">
        <x:v>PH-EN-009</x:v>
      </x:c>
      <x:c r="C1821" t="str">
        <x:v>PHYSICAL</x:v>
      </x:c>
      <x:c r="D1821" t="str">
        <x:v>envelope acceptance</x:v>
      </x:c>
      <x:c r="E1821" t="str">
        <x:v>PH-EN-009</x:v>
      </x:c>
      <x:c r="F1821" t="n">
        <x:f>IF('Reference Envelopes'!J15&lt;&gt;"",1,0)</x:f>
        <x:v>0</x:v>
      </x:c>
      <x:c r="G1821" t="n">
        <x:v>1</x:v>
      </x:c>
      <x:c r="H1821" t="str">
        <x:v>independent physical acceptance</x:v>
      </x:c>
      <x:c r="I1821" t="str">
        <x:f>IF(F1821=1,"PASS","OPEN")</x:f>
        <x:v>OPEN</x:v>
      </x:c>
    </x:row>
    <x:row r="1822">
      <x:c r="B1822" t="str">
        <x:v>PH-EN-010</x:v>
      </x:c>
      <x:c r="C1822" t="str">
        <x:v>PHYSICAL</x:v>
      </x:c>
      <x:c r="D1822" t="str">
        <x:v>envelope acceptance</x:v>
      </x:c>
      <x:c r="E1822" t="str">
        <x:v>PH-EN-010</x:v>
      </x:c>
      <x:c r="F1822" t="n">
        <x:f>IF('Reference Envelopes'!J16&lt;&gt;"",1,0)</x:f>
        <x:v>0</x:v>
      </x:c>
      <x:c r="G1822" t="n">
        <x:v>1</x:v>
      </x:c>
      <x:c r="H1822" t="str">
        <x:v>independent physical acceptance</x:v>
      </x:c>
      <x:c r="I1822" t="str">
        <x:f>IF(F1822=1,"PASS","OPEN")</x:f>
        <x:v>OPEN</x:v>
      </x:c>
    </x:row>
    <x:row r="1823">
      <x:c r="B1823" t="str">
        <x:v>PH-EN-011</x:v>
      </x:c>
      <x:c r="C1823" t="str">
        <x:v>PHYSICAL</x:v>
      </x:c>
      <x:c r="D1823" t="str">
        <x:v>envelope acceptance</x:v>
      </x:c>
      <x:c r="E1823" t="str">
        <x:v>PH-EN-011</x:v>
      </x:c>
      <x:c r="F1823" t="n">
        <x:f>IF('Reference Envelopes'!J17&lt;&gt;"",1,0)</x:f>
        <x:v>0</x:v>
      </x:c>
      <x:c r="G1823" t="n">
        <x:v>1</x:v>
      </x:c>
      <x:c r="H1823" t="str">
        <x:v>independent physical acceptance</x:v>
      </x:c>
      <x:c r="I1823" t="str">
        <x:f>IF(F1823=1,"PASS","OPEN")</x:f>
        <x:v>OPEN</x:v>
      </x:c>
    </x:row>
    <x:row r="1824">
      <x:c r="B1824" t="str">
        <x:v>PH-EN-012</x:v>
      </x:c>
      <x:c r="C1824" t="str">
        <x:v>PHYSICAL</x:v>
      </x:c>
      <x:c r="D1824" t="str">
        <x:v>envelope acceptance</x:v>
      </x:c>
      <x:c r="E1824" t="str">
        <x:v>PH-EN-012</x:v>
      </x:c>
      <x:c r="F1824" t="n">
        <x:f>IF('Reference Envelopes'!J18&lt;&gt;"",1,0)</x:f>
        <x:v>0</x:v>
      </x:c>
      <x:c r="G1824" t="n">
        <x:v>1</x:v>
      </x:c>
      <x:c r="H1824" t="str">
        <x:v>independent physical acceptance</x:v>
      </x:c>
      <x:c r="I1824" t="str">
        <x:f>IF(F1824=1,"PASS","OPEN")</x:f>
        <x:v>OPEN</x:v>
      </x:c>
    </x:row>
    <x:row r="1825">
      <x:c r="B1825" t="str">
        <x:v>PH-EN-013</x:v>
      </x:c>
      <x:c r="C1825" t="str">
        <x:v>PHYSICAL</x:v>
      </x:c>
      <x:c r="D1825" t="str">
        <x:v>envelope acceptance</x:v>
      </x:c>
      <x:c r="E1825" t="str">
        <x:v>PH-EN-013</x:v>
      </x:c>
      <x:c r="F1825" t="n">
        <x:f>IF('Reference Envelopes'!J19&lt;&gt;"",1,0)</x:f>
        <x:v>0</x:v>
      </x:c>
      <x:c r="G1825" t="n">
        <x:v>1</x:v>
      </x:c>
      <x:c r="H1825" t="str">
        <x:v>independent physical acceptance</x:v>
      </x:c>
      <x:c r="I1825" t="str">
        <x:f>IF(F1825=1,"PASS","OPEN")</x:f>
        <x:v>OPEN</x:v>
      </x:c>
    </x:row>
    <x:row r="1826">
      <x:c r="B1826" t="str">
        <x:v>PH-EN-014</x:v>
      </x:c>
      <x:c r="C1826" t="str">
        <x:v>PHYSICAL</x:v>
      </x:c>
      <x:c r="D1826" t="str">
        <x:v>envelope acceptance</x:v>
      </x:c>
      <x:c r="E1826" t="str">
        <x:v>PH-EN-014</x:v>
      </x:c>
      <x:c r="F1826" t="n">
        <x:f>IF('Reference Envelopes'!J20&lt;&gt;"",1,0)</x:f>
        <x:v>0</x:v>
      </x:c>
      <x:c r="G1826" t="n">
        <x:v>1</x:v>
      </x:c>
      <x:c r="H1826" t="str">
        <x:v>independent physical acceptance</x:v>
      </x:c>
      <x:c r="I1826" t="str">
        <x:f>IF(F1826=1,"PASS","OPEN")</x:f>
        <x:v>OPEN</x:v>
      </x:c>
    </x:row>
    <x:row r="1827">
      <x:c r="B1827" t="str">
        <x:v>PH-EN-015</x:v>
      </x:c>
      <x:c r="C1827" t="str">
        <x:v>PHYSICAL</x:v>
      </x:c>
      <x:c r="D1827" t="str">
        <x:v>envelope acceptance</x:v>
      </x:c>
      <x:c r="E1827" t="str">
        <x:v>PH-EN-015</x:v>
      </x:c>
      <x:c r="F1827" t="n">
        <x:f>IF('Reference Envelopes'!J21&lt;&gt;"",1,0)</x:f>
        <x:v>0</x:v>
      </x:c>
      <x:c r="G1827" t="n">
        <x:v>1</x:v>
      </x:c>
      <x:c r="H1827" t="str">
        <x:v>independent physical acceptance</x:v>
      </x:c>
      <x:c r="I1827" t="str">
        <x:f>IF(F1827=1,"PASS","OPEN")</x:f>
        <x:v>OPEN</x:v>
      </x:c>
    </x:row>
    <x:row r="1828">
      <x:c r="B1828" t="str">
        <x:v>PH-EN-016</x:v>
      </x:c>
      <x:c r="C1828" t="str">
        <x:v>PHYSICAL</x:v>
      </x:c>
      <x:c r="D1828" t="str">
        <x:v>envelope acceptance</x:v>
      </x:c>
      <x:c r="E1828" t="str">
        <x:v>PH-EN-016</x:v>
      </x:c>
      <x:c r="F1828" t="n">
        <x:f>IF('Reference Envelopes'!J22&lt;&gt;"",1,0)</x:f>
        <x:v>0</x:v>
      </x:c>
      <x:c r="G1828" t="n">
        <x:v>1</x:v>
      </x:c>
      <x:c r="H1828" t="str">
        <x:v>independent physical acceptance</x:v>
      </x:c>
      <x:c r="I1828" t="str">
        <x:f>IF(F1828=1,"PASS","OPEN")</x:f>
        <x:v>OPEN</x:v>
      </x:c>
    </x:row>
    <x:row r="1829">
      <x:c r="B1829" t="str">
        <x:v>PH-EN-017</x:v>
      </x:c>
      <x:c r="C1829" t="str">
        <x:v>PHYSICAL</x:v>
      </x:c>
      <x:c r="D1829" t="str">
        <x:v>envelope acceptance</x:v>
      </x:c>
      <x:c r="E1829" t="str">
        <x:v>PH-EN-017</x:v>
      </x:c>
      <x:c r="F1829" t="n">
        <x:f>IF('Reference Envelopes'!J23&lt;&gt;"",1,0)</x:f>
        <x:v>0</x:v>
      </x:c>
      <x:c r="G1829" t="n">
        <x:v>1</x:v>
      </x:c>
      <x:c r="H1829" t="str">
        <x:v>independent physical acceptance</x:v>
      </x:c>
      <x:c r="I1829" t="str">
        <x:f>IF(F1829=1,"PASS","OPEN")</x:f>
        <x:v>OPEN</x:v>
      </x:c>
    </x:row>
    <x:row r="1830">
      <x:c r="B1830" t="str">
        <x:v>PH-EN-018</x:v>
      </x:c>
      <x:c r="C1830" t="str">
        <x:v>PHYSICAL</x:v>
      </x:c>
      <x:c r="D1830" t="str">
        <x:v>envelope acceptance</x:v>
      </x:c>
      <x:c r="E1830" t="str">
        <x:v>PH-EN-018</x:v>
      </x:c>
      <x:c r="F1830" t="n">
        <x:f>IF('Reference Envelopes'!J24&lt;&gt;"",1,0)</x:f>
        <x:v>0</x:v>
      </x:c>
      <x:c r="G1830" t="n">
        <x:v>1</x:v>
      </x:c>
      <x:c r="H1830" t="str">
        <x:v>independent physical acceptance</x:v>
      </x:c>
      <x:c r="I1830" t="str">
        <x:f>IF(F1830=1,"PASS","OPEN")</x:f>
        <x:v>OPEN</x:v>
      </x:c>
    </x:row>
    <x:row r="1831">
      <x:c r="B1831" t="str">
        <x:v>PH-EN-019</x:v>
      </x:c>
      <x:c r="C1831" t="str">
        <x:v>PHYSICAL</x:v>
      </x:c>
      <x:c r="D1831" t="str">
        <x:v>envelope acceptance</x:v>
      </x:c>
      <x:c r="E1831" t="str">
        <x:v>PH-EN-019</x:v>
      </x:c>
      <x:c r="F1831" t="n">
        <x:f>IF('Reference Envelopes'!J25&lt;&gt;"",1,0)</x:f>
        <x:v>0</x:v>
      </x:c>
      <x:c r="G1831" t="n">
        <x:v>1</x:v>
      </x:c>
      <x:c r="H1831" t="str">
        <x:v>independent physical acceptance</x:v>
      </x:c>
      <x:c r="I1831" t="str">
        <x:f>IF(F1831=1,"PASS","OPEN")</x:f>
        <x:v>OPEN</x:v>
      </x:c>
    </x:row>
    <x:row r="1832">
      <x:c r="B1832" t="str">
        <x:v>PH-EN-020</x:v>
      </x:c>
      <x:c r="C1832" t="str">
        <x:v>PHYSICAL</x:v>
      </x:c>
      <x:c r="D1832" t="str">
        <x:v>envelope acceptance</x:v>
      </x:c>
      <x:c r="E1832" t="str">
        <x:v>PH-EN-020</x:v>
      </x:c>
      <x:c r="F1832" t="n">
        <x:f>IF('Reference Envelopes'!J26&lt;&gt;"",1,0)</x:f>
        <x:v>0</x:v>
      </x:c>
      <x:c r="G1832" t="n">
        <x:v>1</x:v>
      </x:c>
      <x:c r="H1832" t="str">
        <x:v>independent physical acceptance</x:v>
      </x:c>
      <x:c r="I1832" t="str">
        <x:f>IF(F1832=1,"PASS","OPEN")</x:f>
        <x:v>OPEN</x:v>
      </x:c>
    </x:row>
    <x:row r="1833">
      <x:c r="B1833" t="str">
        <x:v>PH-EN-021</x:v>
      </x:c>
      <x:c r="C1833" t="str">
        <x:v>PHYSICAL</x:v>
      </x:c>
      <x:c r="D1833" t="str">
        <x:v>envelope acceptance</x:v>
      </x:c>
      <x:c r="E1833" t="str">
        <x:v>PH-EN-021</x:v>
      </x:c>
      <x:c r="F1833" t="n">
        <x:f>IF('Reference Envelopes'!J27&lt;&gt;"",1,0)</x:f>
        <x:v>0</x:v>
      </x:c>
      <x:c r="G1833" t="n">
        <x:v>1</x:v>
      </x:c>
      <x:c r="H1833" t="str">
        <x:v>independent physical acceptance</x:v>
      </x:c>
      <x:c r="I1833" t="str">
        <x:f>IF(F1833=1,"PASS","OPEN")</x:f>
        <x:v>OPEN</x:v>
      </x:c>
    </x:row>
    <x:row r="1834">
      <x:c r="B1834" t="str">
        <x:v>PH-EN-022</x:v>
      </x:c>
      <x:c r="C1834" t="str">
        <x:v>PHYSICAL</x:v>
      </x:c>
      <x:c r="D1834" t="str">
        <x:v>envelope acceptance</x:v>
      </x:c>
      <x:c r="E1834" t="str">
        <x:v>PH-EN-022</x:v>
      </x:c>
      <x:c r="F1834" t="n">
        <x:f>IF('Reference Envelopes'!J28&lt;&gt;"",1,0)</x:f>
        <x:v>0</x:v>
      </x:c>
      <x:c r="G1834" t="n">
        <x:v>1</x:v>
      </x:c>
      <x:c r="H1834" t="str">
        <x:v>independent physical acceptance</x:v>
      </x:c>
      <x:c r="I1834" t="str">
        <x:f>IF(F1834=1,"PASS","OPEN")</x:f>
        <x:v>OPEN</x:v>
      </x:c>
    </x:row>
    <x:row r="1835">
      <x:c r="B1835" t="str">
        <x:v>PH-EN-023</x:v>
      </x:c>
      <x:c r="C1835" t="str">
        <x:v>PHYSICAL</x:v>
      </x:c>
      <x:c r="D1835" t="str">
        <x:v>envelope acceptance</x:v>
      </x:c>
      <x:c r="E1835" t="str">
        <x:v>PH-EN-023</x:v>
      </x:c>
      <x:c r="F1835" t="n">
        <x:f>IF('Reference Envelopes'!J29&lt;&gt;"",1,0)</x:f>
        <x:v>0</x:v>
      </x:c>
      <x:c r="G1835" t="n">
        <x:v>1</x:v>
      </x:c>
      <x:c r="H1835" t="str">
        <x:v>independent physical acceptance</x:v>
      </x:c>
      <x:c r="I1835" t="str">
        <x:f>IF(F1835=1,"PASS","OPEN")</x:f>
        <x:v>OPEN</x:v>
      </x:c>
    </x:row>
    <x:row r="1836">
      <x:c r="B1836" t="str">
        <x:v>PH-EN-024</x:v>
      </x:c>
      <x:c r="C1836" t="str">
        <x:v>PHYSICAL</x:v>
      </x:c>
      <x:c r="D1836" t="str">
        <x:v>envelope acceptance</x:v>
      </x:c>
      <x:c r="E1836" t="str">
        <x:v>PH-EN-024</x:v>
      </x:c>
      <x:c r="F1836" t="n">
        <x:f>IF('Reference Envelopes'!J30&lt;&gt;"",1,0)</x:f>
        <x:v>0</x:v>
      </x:c>
      <x:c r="G1836" t="n">
        <x:v>1</x:v>
      </x:c>
      <x:c r="H1836" t="str">
        <x:v>independent physical acceptance</x:v>
      </x:c>
      <x:c r="I1836" t="str">
        <x:f>IF(F1836=1,"PASS","OPEN")</x:f>
        <x:v>OPEN</x:v>
      </x:c>
    </x:row>
    <x:row r="1837">
      <x:c r="B1837" t="str">
        <x:v>PH-EN-025</x:v>
      </x:c>
      <x:c r="C1837" t="str">
        <x:v>PHYSICAL</x:v>
      </x:c>
      <x:c r="D1837" t="str">
        <x:v>envelope acceptance</x:v>
      </x:c>
      <x:c r="E1837" t="str">
        <x:v>PH-EN-025</x:v>
      </x:c>
      <x:c r="F1837" t="n">
        <x:f>IF('Reference Envelopes'!J31&lt;&gt;"",1,0)</x:f>
        <x:v>0</x:v>
      </x:c>
      <x:c r="G1837" t="n">
        <x:v>1</x:v>
      </x:c>
      <x:c r="H1837" t="str">
        <x:v>independent physical acceptance</x:v>
      </x:c>
      <x:c r="I1837" t="str">
        <x:f>IF(F1837=1,"PASS","OPEN")</x:f>
        <x:v>OPEN</x:v>
      </x:c>
    </x:row>
    <x:row r="1838">
      <x:c r="B1838" t="str">
        <x:v>PH-EN-026</x:v>
      </x:c>
      <x:c r="C1838" t="str">
        <x:v>PHYSICAL</x:v>
      </x:c>
      <x:c r="D1838" t="str">
        <x:v>envelope acceptance</x:v>
      </x:c>
      <x:c r="E1838" t="str">
        <x:v>PH-EN-026</x:v>
      </x:c>
      <x:c r="F1838" t="n">
        <x:f>IF('Reference Envelopes'!J32&lt;&gt;"",1,0)</x:f>
        <x:v>0</x:v>
      </x:c>
      <x:c r="G1838" t="n">
        <x:v>1</x:v>
      </x:c>
      <x:c r="H1838" t="str">
        <x:v>independent physical acceptance</x:v>
      </x:c>
      <x:c r="I1838" t="str">
        <x:f>IF(F1838=1,"PASS","OPEN")</x:f>
        <x:v>OPEN</x:v>
      </x:c>
    </x:row>
    <x:row r="1839">
      <x:c r="B1839" t="str">
        <x:v>PH-EN-027</x:v>
      </x:c>
      <x:c r="C1839" t="str">
        <x:v>PHYSICAL</x:v>
      </x:c>
      <x:c r="D1839" t="str">
        <x:v>envelope acceptance</x:v>
      </x:c>
      <x:c r="E1839" t="str">
        <x:v>PH-EN-027</x:v>
      </x:c>
      <x:c r="F1839" t="n">
        <x:f>IF('Reference Envelopes'!J33&lt;&gt;"",1,0)</x:f>
        <x:v>0</x:v>
      </x:c>
      <x:c r="G1839" t="n">
        <x:v>1</x:v>
      </x:c>
      <x:c r="H1839" t="str">
        <x:v>independent physical acceptance</x:v>
      </x:c>
      <x:c r="I1839" t="str">
        <x:f>IF(F1839=1,"PASS","OPEN")</x:f>
        <x:v>OPEN</x:v>
      </x:c>
    </x:row>
    <x:row r="1840">
      <x:c r="B1840" t="str">
        <x:v>PH-EN-028</x:v>
      </x:c>
      <x:c r="C1840" t="str">
        <x:v>PHYSICAL</x:v>
      </x:c>
      <x:c r="D1840" t="str">
        <x:v>envelope acceptance</x:v>
      </x:c>
      <x:c r="E1840" t="str">
        <x:v>PH-EN-028</x:v>
      </x:c>
      <x:c r="F1840" t="n">
        <x:f>IF('Reference Envelopes'!J34&lt;&gt;"",1,0)</x:f>
        <x:v>0</x:v>
      </x:c>
      <x:c r="G1840" t="n">
        <x:v>1</x:v>
      </x:c>
      <x:c r="H1840" t="str">
        <x:v>independent physical acceptance</x:v>
      </x:c>
      <x:c r="I1840" t="str">
        <x:f>IF(F1840=1,"PASS","OPEN")</x:f>
        <x:v>OPEN</x:v>
      </x:c>
    </x:row>
    <x:row r="1841">
      <x:c r="B1841" t="str">
        <x:v>PH-EN-029</x:v>
      </x:c>
      <x:c r="C1841" t="str">
        <x:v>PHYSICAL</x:v>
      </x:c>
      <x:c r="D1841" t="str">
        <x:v>envelope acceptance</x:v>
      </x:c>
      <x:c r="E1841" t="str">
        <x:v>PH-EN-029</x:v>
      </x:c>
      <x:c r="F1841" t="n">
        <x:f>IF('Reference Envelopes'!J35&lt;&gt;"",1,0)</x:f>
        <x:v>0</x:v>
      </x:c>
      <x:c r="G1841" t="n">
        <x:v>1</x:v>
      </x:c>
      <x:c r="H1841" t="str">
        <x:v>independent physical acceptance</x:v>
      </x:c>
      <x:c r="I1841" t="str">
        <x:f>IF(F1841=1,"PASS","OPEN")</x:f>
        <x:v>OPEN</x:v>
      </x:c>
    </x:row>
    <x:row r="1842">
      <x:c r="B1842" t="str">
        <x:v>PH-EN-030</x:v>
      </x:c>
      <x:c r="C1842" t="str">
        <x:v>PHYSICAL</x:v>
      </x:c>
      <x:c r="D1842" t="str">
        <x:v>envelope acceptance</x:v>
      </x:c>
      <x:c r="E1842" t="str">
        <x:v>PH-EN-030</x:v>
      </x:c>
      <x:c r="F1842" t="n">
        <x:f>IF('Reference Envelopes'!J36&lt;&gt;"",1,0)</x:f>
        <x:v>0</x:v>
      </x:c>
      <x:c r="G1842" t="n">
        <x:v>1</x:v>
      </x:c>
      <x:c r="H1842" t="str">
        <x:v>independent physical acceptance</x:v>
      </x:c>
      <x:c r="I1842" t="str">
        <x:f>IF(F1842=1,"PASS","OPEN")</x:f>
        <x:v>OPEN</x:v>
      </x:c>
    </x:row>
    <x:row r="1843">
      <x:c r="B1843" t="str">
        <x:v>PH-EX-001</x:v>
      </x:c>
      <x:c r="C1843" t="str">
        <x:v>PHYSICAL</x:v>
      </x:c>
      <x:c r="D1843" t="str">
        <x:v>trial execution</x:v>
      </x:c>
      <x:c r="E1843" t="str">
        <x:v>PH-EX-001</x:v>
      </x:c>
      <x:c r="F1843" t="n">
        <x:f>IF('Trial Register'!P7&lt;&gt;"",1,0)</x:f>
        <x:v>0</x:v>
      </x:c>
      <x:c r="G1843" t="n">
        <x:v>1</x:v>
      </x:c>
      <x:c r="H1843" t="str">
        <x:v>independent physical acceptance</x:v>
      </x:c>
      <x:c r="I1843" t="str">
        <x:f>IF(F1843=1,"PASS","OPEN")</x:f>
        <x:v>OPEN</x:v>
      </x:c>
    </x:row>
    <x:row r="1844">
      <x:c r="B1844" t="str">
        <x:v>PH-PK-001</x:v>
      </x:c>
      <x:c r="C1844" t="str">
        <x:v>PHYSICAL</x:v>
      </x:c>
      <x:c r="D1844" t="str">
        <x:v>trial packet</x:v>
      </x:c>
      <x:c r="E1844" t="str">
        <x:v>PH-PK-001</x:v>
      </x:c>
      <x:c r="F1844" t="n">
        <x:f>IF('Trial Register'!Q7&lt;&gt;"",1,0)</x:f>
        <x:v>0</x:v>
      </x:c>
      <x:c r="G1844" t="n">
        <x:v>1</x:v>
      </x:c>
      <x:c r="H1844" t="str">
        <x:v>independent physical acceptance</x:v>
      </x:c>
      <x:c r="I1844" t="str">
        <x:f>IF(F1844=1,"PASS","OPEN")</x:f>
        <x:v>OPEN</x:v>
      </x:c>
    </x:row>
    <x:row r="1845">
      <x:c r="B1845" t="str">
        <x:v>PH-VA-001</x:v>
      </x:c>
      <x:c r="C1845" t="str">
        <x:v>PHYSICAL</x:v>
      </x:c>
      <x:c r="D1845" t="str">
        <x:v>trial validity</x:v>
      </x:c>
      <x:c r="E1845" t="str">
        <x:v>PH-VA-001</x:v>
      </x:c>
      <x:c r="F1845" t="n">
        <x:f>IF('Trial Register'!R7&lt;&gt;"",1,0)</x:f>
        <x:v>0</x:v>
      </x:c>
      <x:c r="G1845" t="n">
        <x:v>1</x:v>
      </x:c>
      <x:c r="H1845" t="str">
        <x:v>independent physical acceptance</x:v>
      </x:c>
      <x:c r="I1845" t="str">
        <x:f>IF(F1845=1,"PASS","OPEN")</x:f>
        <x:v>OPEN</x:v>
      </x:c>
    </x:row>
    <x:row r="1846">
      <x:c r="B1846" t="str">
        <x:v>PH-RV-001</x:v>
      </x:c>
      <x:c r="C1846" t="str">
        <x:v>PHYSICAL</x:v>
      </x:c>
      <x:c r="D1846" t="str">
        <x:v>reported value</x:v>
      </x:c>
      <x:c r="E1846" t="str">
        <x:v>PH-RV-001</x:v>
      </x:c>
      <x:c r="F1846" t="n">
        <x:f>IF('Trial Register'!S7&lt;&gt;"",1,0)</x:f>
        <x:v>0</x:v>
      </x:c>
      <x:c r="G1846" t="n">
        <x:v>1</x:v>
      </x:c>
      <x:c r="H1846" t="str">
        <x:v>independent physical acceptance</x:v>
      </x:c>
      <x:c r="I1846" t="str">
        <x:f>IF(F1846=1,"PASS","OPEN")</x:f>
        <x:v>OPEN</x:v>
      </x:c>
    </x:row>
    <x:row r="1847">
      <x:c r="B1847" t="str">
        <x:v>PH-CR-001</x:v>
      </x:c>
      <x:c r="C1847" t="str">
        <x:v>PHYSICAL</x:v>
      </x:c>
      <x:c r="D1847" t="str">
        <x:v>credit acceptance</x:v>
      </x:c>
      <x:c r="E1847" t="str">
        <x:v>PH-CR-001</x:v>
      </x:c>
      <x:c r="F1847" t="str">
        <x:f>'Trial Register'!V7</x:f>
      </x:c>
      <x:c r="G1847" t="n">
        <x:v>1</x:v>
      </x:c>
      <x:c r="H1847" t="str">
        <x:v>independent physical acceptance</x:v>
      </x:c>
      <x:c r="I1847" t="str">
        <x:f>IF(F1847=1,"PASS","OPEN")</x:f>
        <x:v>OPEN</x:v>
      </x:c>
    </x:row>
    <x:row r="1848">
      <x:c r="B1848" t="str">
        <x:v>PH-EX-002</x:v>
      </x:c>
      <x:c r="C1848" t="str">
        <x:v>PHYSICAL</x:v>
      </x:c>
      <x:c r="D1848" t="str">
        <x:v>trial execution</x:v>
      </x:c>
      <x:c r="E1848" t="str">
        <x:v>PH-EX-002</x:v>
      </x:c>
      <x:c r="F1848" t="n">
        <x:f>IF('Trial Register'!P8&lt;&gt;"",1,0)</x:f>
        <x:v>0</x:v>
      </x:c>
      <x:c r="G1848" t="n">
        <x:v>1</x:v>
      </x:c>
      <x:c r="H1848" t="str">
        <x:v>independent physical acceptance</x:v>
      </x:c>
      <x:c r="I1848" t="str">
        <x:f>IF(F1848=1,"PASS","OPEN")</x:f>
        <x:v>OPEN</x:v>
      </x:c>
    </x:row>
    <x:row r="1849">
      <x:c r="B1849" t="str">
        <x:v>PH-PK-002</x:v>
      </x:c>
      <x:c r="C1849" t="str">
        <x:v>PHYSICAL</x:v>
      </x:c>
      <x:c r="D1849" t="str">
        <x:v>trial packet</x:v>
      </x:c>
      <x:c r="E1849" t="str">
        <x:v>PH-PK-002</x:v>
      </x:c>
      <x:c r="F1849" t="n">
        <x:f>IF('Trial Register'!Q8&lt;&gt;"",1,0)</x:f>
        <x:v>0</x:v>
      </x:c>
      <x:c r="G1849" t="n">
        <x:v>1</x:v>
      </x:c>
      <x:c r="H1849" t="str">
        <x:v>independent physical acceptance</x:v>
      </x:c>
      <x:c r="I1849" t="str">
        <x:f>IF(F1849=1,"PASS","OPEN")</x:f>
        <x:v>OPEN</x:v>
      </x:c>
    </x:row>
    <x:row r="1850">
      <x:c r="B1850" t="str">
        <x:v>PH-VA-002</x:v>
      </x:c>
      <x:c r="C1850" t="str">
        <x:v>PHYSICAL</x:v>
      </x:c>
      <x:c r="D1850" t="str">
        <x:v>trial validity</x:v>
      </x:c>
      <x:c r="E1850" t="str">
        <x:v>PH-VA-002</x:v>
      </x:c>
      <x:c r="F1850" t="n">
        <x:f>IF('Trial Register'!R8&lt;&gt;"",1,0)</x:f>
        <x:v>0</x:v>
      </x:c>
      <x:c r="G1850" t="n">
        <x:v>1</x:v>
      </x:c>
      <x:c r="H1850" t="str">
        <x:v>independent physical acceptance</x:v>
      </x:c>
      <x:c r="I1850" t="str">
        <x:f>IF(F1850=1,"PASS","OPEN")</x:f>
        <x:v>OPEN</x:v>
      </x:c>
    </x:row>
    <x:row r="1851">
      <x:c r="B1851" t="str">
        <x:v>PH-RV-002</x:v>
      </x:c>
      <x:c r="C1851" t="str">
        <x:v>PHYSICAL</x:v>
      </x:c>
      <x:c r="D1851" t="str">
        <x:v>reported value</x:v>
      </x:c>
      <x:c r="E1851" t="str">
        <x:v>PH-RV-002</x:v>
      </x:c>
      <x:c r="F1851" t="n">
        <x:f>IF('Trial Register'!S8&lt;&gt;"",1,0)</x:f>
        <x:v>0</x:v>
      </x:c>
      <x:c r="G1851" t="n">
        <x:v>1</x:v>
      </x:c>
      <x:c r="H1851" t="str">
        <x:v>independent physical acceptance</x:v>
      </x:c>
      <x:c r="I1851" t="str">
        <x:f>IF(F1851=1,"PASS","OPEN")</x:f>
        <x:v>OPEN</x:v>
      </x:c>
    </x:row>
    <x:row r="1852">
      <x:c r="B1852" t="str">
        <x:v>PH-CR-002</x:v>
      </x:c>
      <x:c r="C1852" t="str">
        <x:v>PHYSICAL</x:v>
      </x:c>
      <x:c r="D1852" t="str">
        <x:v>credit acceptance</x:v>
      </x:c>
      <x:c r="E1852" t="str">
        <x:v>PH-CR-002</x:v>
      </x:c>
      <x:c r="F1852" t="str">
        <x:f>'Trial Register'!V8</x:f>
      </x:c>
      <x:c r="G1852" t="n">
        <x:v>1</x:v>
      </x:c>
      <x:c r="H1852" t="str">
        <x:v>independent physical acceptance</x:v>
      </x:c>
      <x:c r="I1852" t="str">
        <x:f>IF(F1852=1,"PASS","OPEN")</x:f>
        <x:v>OPEN</x:v>
      </x:c>
    </x:row>
    <x:row r="1853">
      <x:c r="B1853" t="str">
        <x:v>PH-EX-003</x:v>
      </x:c>
      <x:c r="C1853" t="str">
        <x:v>PHYSICAL</x:v>
      </x:c>
      <x:c r="D1853" t="str">
        <x:v>trial execution</x:v>
      </x:c>
      <x:c r="E1853" t="str">
        <x:v>PH-EX-003</x:v>
      </x:c>
      <x:c r="F1853" t="n">
        <x:f>IF('Trial Register'!P9&lt;&gt;"",1,0)</x:f>
        <x:v>0</x:v>
      </x:c>
      <x:c r="G1853" t="n">
        <x:v>1</x:v>
      </x:c>
      <x:c r="H1853" t="str">
        <x:v>independent physical acceptance</x:v>
      </x:c>
      <x:c r="I1853" t="str">
        <x:f>IF(F1853=1,"PASS","OPEN")</x:f>
        <x:v>OPEN</x:v>
      </x:c>
    </x:row>
    <x:row r="1854">
      <x:c r="B1854" t="str">
        <x:v>PH-PK-003</x:v>
      </x:c>
      <x:c r="C1854" t="str">
        <x:v>PHYSICAL</x:v>
      </x:c>
      <x:c r="D1854" t="str">
        <x:v>trial packet</x:v>
      </x:c>
      <x:c r="E1854" t="str">
        <x:v>PH-PK-003</x:v>
      </x:c>
      <x:c r="F1854" t="n">
        <x:f>IF('Trial Register'!Q9&lt;&gt;"",1,0)</x:f>
        <x:v>0</x:v>
      </x:c>
      <x:c r="G1854" t="n">
        <x:v>1</x:v>
      </x:c>
      <x:c r="H1854" t="str">
        <x:v>independent physical acceptance</x:v>
      </x:c>
      <x:c r="I1854" t="str">
        <x:f>IF(F1854=1,"PASS","OPEN")</x:f>
        <x:v>OPEN</x:v>
      </x:c>
    </x:row>
    <x:row r="1855">
      <x:c r="B1855" t="str">
        <x:v>PH-VA-003</x:v>
      </x:c>
      <x:c r="C1855" t="str">
        <x:v>PHYSICAL</x:v>
      </x:c>
      <x:c r="D1855" t="str">
        <x:v>trial validity</x:v>
      </x:c>
      <x:c r="E1855" t="str">
        <x:v>PH-VA-003</x:v>
      </x:c>
      <x:c r="F1855" t="n">
        <x:f>IF('Trial Register'!R9&lt;&gt;"",1,0)</x:f>
        <x:v>0</x:v>
      </x:c>
      <x:c r="G1855" t="n">
        <x:v>1</x:v>
      </x:c>
      <x:c r="H1855" t="str">
        <x:v>independent physical acceptance</x:v>
      </x:c>
      <x:c r="I1855" t="str">
        <x:f>IF(F1855=1,"PASS","OPEN")</x:f>
        <x:v>OPEN</x:v>
      </x:c>
    </x:row>
    <x:row r="1856">
      <x:c r="B1856" t="str">
        <x:v>PH-RV-003</x:v>
      </x:c>
      <x:c r="C1856" t="str">
        <x:v>PHYSICAL</x:v>
      </x:c>
      <x:c r="D1856" t="str">
        <x:v>reported value</x:v>
      </x:c>
      <x:c r="E1856" t="str">
        <x:v>PH-RV-003</x:v>
      </x:c>
      <x:c r="F1856" t="n">
        <x:f>IF('Trial Register'!S9&lt;&gt;"",1,0)</x:f>
        <x:v>0</x:v>
      </x:c>
      <x:c r="G1856" t="n">
        <x:v>1</x:v>
      </x:c>
      <x:c r="H1856" t="str">
        <x:v>independent physical acceptance</x:v>
      </x:c>
      <x:c r="I1856" t="str">
        <x:f>IF(F1856=1,"PASS","OPEN")</x:f>
        <x:v>OPEN</x:v>
      </x:c>
    </x:row>
    <x:row r="1857">
      <x:c r="B1857" t="str">
        <x:v>PH-CR-003</x:v>
      </x:c>
      <x:c r="C1857" t="str">
        <x:v>PHYSICAL</x:v>
      </x:c>
      <x:c r="D1857" t="str">
        <x:v>credit acceptance</x:v>
      </x:c>
      <x:c r="E1857" t="str">
        <x:v>PH-CR-003</x:v>
      </x:c>
      <x:c r="F1857" t="str">
        <x:f>'Trial Register'!V9</x:f>
      </x:c>
      <x:c r="G1857" t="n">
        <x:v>1</x:v>
      </x:c>
      <x:c r="H1857" t="str">
        <x:v>independent physical acceptance</x:v>
      </x:c>
      <x:c r="I1857" t="str">
        <x:f>IF(F1857=1,"PASS","OPEN")</x:f>
        <x:v>OPEN</x:v>
      </x:c>
    </x:row>
    <x:row r="1858">
      <x:c r="B1858" t="str">
        <x:v>PH-EX-004</x:v>
      </x:c>
      <x:c r="C1858" t="str">
        <x:v>PHYSICAL</x:v>
      </x:c>
      <x:c r="D1858" t="str">
        <x:v>trial execution</x:v>
      </x:c>
      <x:c r="E1858" t="str">
        <x:v>PH-EX-004</x:v>
      </x:c>
      <x:c r="F1858" t="n">
        <x:f>IF('Trial Register'!P10&lt;&gt;"",1,0)</x:f>
        <x:v>0</x:v>
      </x:c>
      <x:c r="G1858" t="n">
        <x:v>1</x:v>
      </x:c>
      <x:c r="H1858" t="str">
        <x:v>independent physical acceptance</x:v>
      </x:c>
      <x:c r="I1858" t="str">
        <x:f>IF(F1858=1,"PASS","OPEN")</x:f>
        <x:v>OPEN</x:v>
      </x:c>
    </x:row>
    <x:row r="1859">
      <x:c r="B1859" t="str">
        <x:v>PH-PK-004</x:v>
      </x:c>
      <x:c r="C1859" t="str">
        <x:v>PHYSICAL</x:v>
      </x:c>
      <x:c r="D1859" t="str">
        <x:v>trial packet</x:v>
      </x:c>
      <x:c r="E1859" t="str">
        <x:v>PH-PK-004</x:v>
      </x:c>
      <x:c r="F1859" t="n">
        <x:f>IF('Trial Register'!Q10&lt;&gt;"",1,0)</x:f>
        <x:v>0</x:v>
      </x:c>
      <x:c r="G1859" t="n">
        <x:v>1</x:v>
      </x:c>
      <x:c r="H1859" t="str">
        <x:v>independent physical acceptance</x:v>
      </x:c>
      <x:c r="I1859" t="str">
        <x:f>IF(F1859=1,"PASS","OPEN")</x:f>
        <x:v>OPEN</x:v>
      </x:c>
    </x:row>
    <x:row r="1860">
      <x:c r="B1860" t="str">
        <x:v>PH-VA-004</x:v>
      </x:c>
      <x:c r="C1860" t="str">
        <x:v>PHYSICAL</x:v>
      </x:c>
      <x:c r="D1860" t="str">
        <x:v>trial validity</x:v>
      </x:c>
      <x:c r="E1860" t="str">
        <x:v>PH-VA-004</x:v>
      </x:c>
      <x:c r="F1860" t="n">
        <x:f>IF('Trial Register'!R10&lt;&gt;"",1,0)</x:f>
        <x:v>0</x:v>
      </x:c>
      <x:c r="G1860" t="n">
        <x:v>1</x:v>
      </x:c>
      <x:c r="H1860" t="str">
        <x:v>independent physical acceptance</x:v>
      </x:c>
      <x:c r="I1860" t="str">
        <x:f>IF(F1860=1,"PASS","OPEN")</x:f>
        <x:v>OPEN</x:v>
      </x:c>
    </x:row>
    <x:row r="1861">
      <x:c r="B1861" t="str">
        <x:v>PH-RV-004</x:v>
      </x:c>
      <x:c r="C1861" t="str">
        <x:v>PHYSICAL</x:v>
      </x:c>
      <x:c r="D1861" t="str">
        <x:v>reported value</x:v>
      </x:c>
      <x:c r="E1861" t="str">
        <x:v>PH-RV-004</x:v>
      </x:c>
      <x:c r="F1861" t="n">
        <x:f>IF('Trial Register'!S10&lt;&gt;"",1,0)</x:f>
        <x:v>0</x:v>
      </x:c>
      <x:c r="G1861" t="n">
        <x:v>1</x:v>
      </x:c>
      <x:c r="H1861" t="str">
        <x:v>independent physical acceptance</x:v>
      </x:c>
      <x:c r="I1861" t="str">
        <x:f>IF(F1861=1,"PASS","OPEN")</x:f>
        <x:v>OPEN</x:v>
      </x:c>
    </x:row>
    <x:row r="1862">
      <x:c r="B1862" t="str">
        <x:v>PH-CR-004</x:v>
      </x:c>
      <x:c r="C1862" t="str">
        <x:v>PHYSICAL</x:v>
      </x:c>
      <x:c r="D1862" t="str">
        <x:v>credit acceptance</x:v>
      </x:c>
      <x:c r="E1862" t="str">
        <x:v>PH-CR-004</x:v>
      </x:c>
      <x:c r="F1862" t="str">
        <x:f>'Trial Register'!V10</x:f>
      </x:c>
      <x:c r="G1862" t="n">
        <x:v>1</x:v>
      </x:c>
      <x:c r="H1862" t="str">
        <x:v>independent physical acceptance</x:v>
      </x:c>
      <x:c r="I1862" t="str">
        <x:f>IF(F1862=1,"PASS","OPEN")</x:f>
        <x:v>OPEN</x:v>
      </x:c>
    </x:row>
    <x:row r="1863">
      <x:c r="B1863" t="str">
        <x:v>PH-EX-005</x:v>
      </x:c>
      <x:c r="C1863" t="str">
        <x:v>PHYSICAL</x:v>
      </x:c>
      <x:c r="D1863" t="str">
        <x:v>trial execution</x:v>
      </x:c>
      <x:c r="E1863" t="str">
        <x:v>PH-EX-005</x:v>
      </x:c>
      <x:c r="F1863" t="n">
        <x:f>IF('Trial Register'!P11&lt;&gt;"",1,0)</x:f>
        <x:v>0</x:v>
      </x:c>
      <x:c r="G1863" t="n">
        <x:v>1</x:v>
      </x:c>
      <x:c r="H1863" t="str">
        <x:v>independent physical acceptance</x:v>
      </x:c>
      <x:c r="I1863" t="str">
        <x:f>IF(F1863=1,"PASS","OPEN")</x:f>
        <x:v>OPEN</x:v>
      </x:c>
    </x:row>
    <x:row r="1864">
      <x:c r="B1864" t="str">
        <x:v>PH-PK-005</x:v>
      </x:c>
      <x:c r="C1864" t="str">
        <x:v>PHYSICAL</x:v>
      </x:c>
      <x:c r="D1864" t="str">
        <x:v>trial packet</x:v>
      </x:c>
      <x:c r="E1864" t="str">
        <x:v>PH-PK-005</x:v>
      </x:c>
      <x:c r="F1864" t="n">
        <x:f>IF('Trial Register'!Q11&lt;&gt;"",1,0)</x:f>
        <x:v>0</x:v>
      </x:c>
      <x:c r="G1864" t="n">
        <x:v>1</x:v>
      </x:c>
      <x:c r="H1864" t="str">
        <x:v>independent physical acceptance</x:v>
      </x:c>
      <x:c r="I1864" t="str">
        <x:f>IF(F1864=1,"PASS","OPEN")</x:f>
        <x:v>OPEN</x:v>
      </x:c>
    </x:row>
    <x:row r="1865">
      <x:c r="B1865" t="str">
        <x:v>PH-VA-005</x:v>
      </x:c>
      <x:c r="C1865" t="str">
        <x:v>PHYSICAL</x:v>
      </x:c>
      <x:c r="D1865" t="str">
        <x:v>trial validity</x:v>
      </x:c>
      <x:c r="E1865" t="str">
        <x:v>PH-VA-005</x:v>
      </x:c>
      <x:c r="F1865" t="n">
        <x:f>IF('Trial Register'!R11&lt;&gt;"",1,0)</x:f>
        <x:v>0</x:v>
      </x:c>
      <x:c r="G1865" t="n">
        <x:v>1</x:v>
      </x:c>
      <x:c r="H1865" t="str">
        <x:v>independent physical acceptance</x:v>
      </x:c>
      <x:c r="I1865" t="str">
        <x:f>IF(F1865=1,"PASS","OPEN")</x:f>
        <x:v>OPEN</x:v>
      </x:c>
    </x:row>
    <x:row r="1866">
      <x:c r="B1866" t="str">
        <x:v>PH-RV-005</x:v>
      </x:c>
      <x:c r="C1866" t="str">
        <x:v>PHYSICAL</x:v>
      </x:c>
      <x:c r="D1866" t="str">
        <x:v>reported value</x:v>
      </x:c>
      <x:c r="E1866" t="str">
        <x:v>PH-RV-005</x:v>
      </x:c>
      <x:c r="F1866" t="n">
        <x:f>IF('Trial Register'!S11&lt;&gt;"",1,0)</x:f>
        <x:v>0</x:v>
      </x:c>
      <x:c r="G1866" t="n">
        <x:v>1</x:v>
      </x:c>
      <x:c r="H1866" t="str">
        <x:v>independent physical acceptance</x:v>
      </x:c>
      <x:c r="I1866" t="str">
        <x:f>IF(F1866=1,"PASS","OPEN")</x:f>
        <x:v>OPEN</x:v>
      </x:c>
    </x:row>
    <x:row r="1867">
      <x:c r="B1867" t="str">
        <x:v>PH-CR-005</x:v>
      </x:c>
      <x:c r="C1867" t="str">
        <x:v>PHYSICAL</x:v>
      </x:c>
      <x:c r="D1867" t="str">
        <x:v>credit acceptance</x:v>
      </x:c>
      <x:c r="E1867" t="str">
        <x:v>PH-CR-005</x:v>
      </x:c>
      <x:c r="F1867" t="str">
        <x:f>'Trial Register'!V11</x:f>
      </x:c>
      <x:c r="G1867" t="n">
        <x:v>1</x:v>
      </x:c>
      <x:c r="H1867" t="str">
        <x:v>independent physical acceptance</x:v>
      </x:c>
      <x:c r="I1867" t="str">
        <x:f>IF(F1867=1,"PASS","OPEN")</x:f>
        <x:v>OPEN</x:v>
      </x:c>
    </x:row>
    <x:row r="1868">
      <x:c r="B1868" t="str">
        <x:v>PH-EX-006</x:v>
      </x:c>
      <x:c r="C1868" t="str">
        <x:v>PHYSICAL</x:v>
      </x:c>
      <x:c r="D1868" t="str">
        <x:v>trial execution</x:v>
      </x:c>
      <x:c r="E1868" t="str">
        <x:v>PH-EX-006</x:v>
      </x:c>
      <x:c r="F1868" t="n">
        <x:f>IF('Trial Register'!P12&lt;&gt;"",1,0)</x:f>
        <x:v>0</x:v>
      </x:c>
      <x:c r="G1868" t="n">
        <x:v>1</x:v>
      </x:c>
      <x:c r="H1868" t="str">
        <x:v>independent physical acceptance</x:v>
      </x:c>
      <x:c r="I1868" t="str">
        <x:f>IF(F1868=1,"PASS","OPEN")</x:f>
        <x:v>OPEN</x:v>
      </x:c>
    </x:row>
    <x:row r="1869">
      <x:c r="B1869" t="str">
        <x:v>PH-PK-006</x:v>
      </x:c>
      <x:c r="C1869" t="str">
        <x:v>PHYSICAL</x:v>
      </x:c>
      <x:c r="D1869" t="str">
        <x:v>trial packet</x:v>
      </x:c>
      <x:c r="E1869" t="str">
        <x:v>PH-PK-006</x:v>
      </x:c>
      <x:c r="F1869" t="n">
        <x:f>IF('Trial Register'!Q12&lt;&gt;"",1,0)</x:f>
        <x:v>0</x:v>
      </x:c>
      <x:c r="G1869" t="n">
        <x:v>1</x:v>
      </x:c>
      <x:c r="H1869" t="str">
        <x:v>independent physical acceptance</x:v>
      </x:c>
      <x:c r="I1869" t="str">
        <x:f>IF(F1869=1,"PASS","OPEN")</x:f>
        <x:v>OPEN</x:v>
      </x:c>
    </x:row>
    <x:row r="1870">
      <x:c r="B1870" t="str">
        <x:v>PH-VA-006</x:v>
      </x:c>
      <x:c r="C1870" t="str">
        <x:v>PHYSICAL</x:v>
      </x:c>
      <x:c r="D1870" t="str">
        <x:v>trial validity</x:v>
      </x:c>
      <x:c r="E1870" t="str">
        <x:v>PH-VA-006</x:v>
      </x:c>
      <x:c r="F1870" t="n">
        <x:f>IF('Trial Register'!R12&lt;&gt;"",1,0)</x:f>
        <x:v>0</x:v>
      </x:c>
      <x:c r="G1870" t="n">
        <x:v>1</x:v>
      </x:c>
      <x:c r="H1870" t="str">
        <x:v>independent physical acceptance</x:v>
      </x:c>
      <x:c r="I1870" t="str">
        <x:f>IF(F1870=1,"PASS","OPEN")</x:f>
        <x:v>OPEN</x:v>
      </x:c>
    </x:row>
    <x:row r="1871">
      <x:c r="B1871" t="str">
        <x:v>PH-RV-006</x:v>
      </x:c>
      <x:c r="C1871" t="str">
        <x:v>PHYSICAL</x:v>
      </x:c>
      <x:c r="D1871" t="str">
        <x:v>reported value</x:v>
      </x:c>
      <x:c r="E1871" t="str">
        <x:v>PH-RV-006</x:v>
      </x:c>
      <x:c r="F1871" t="n">
        <x:f>IF('Trial Register'!S12&lt;&gt;"",1,0)</x:f>
        <x:v>0</x:v>
      </x:c>
      <x:c r="G1871" t="n">
        <x:v>1</x:v>
      </x:c>
      <x:c r="H1871" t="str">
        <x:v>independent physical acceptance</x:v>
      </x:c>
      <x:c r="I1871" t="str">
        <x:f>IF(F1871=1,"PASS","OPEN")</x:f>
        <x:v>OPEN</x:v>
      </x:c>
    </x:row>
    <x:row r="1872">
      <x:c r="B1872" t="str">
        <x:v>PH-CR-006</x:v>
      </x:c>
      <x:c r="C1872" t="str">
        <x:v>PHYSICAL</x:v>
      </x:c>
      <x:c r="D1872" t="str">
        <x:v>credit acceptance</x:v>
      </x:c>
      <x:c r="E1872" t="str">
        <x:v>PH-CR-006</x:v>
      </x:c>
      <x:c r="F1872" t="str">
        <x:f>'Trial Register'!V12</x:f>
      </x:c>
      <x:c r="G1872" t="n">
        <x:v>1</x:v>
      </x:c>
      <x:c r="H1872" t="str">
        <x:v>independent physical acceptance</x:v>
      </x:c>
      <x:c r="I1872" t="str">
        <x:f>IF(F1872=1,"PASS","OPEN")</x:f>
        <x:v>OPEN</x:v>
      </x:c>
    </x:row>
    <x:row r="1873">
      <x:c r="B1873" t="str">
        <x:v>PH-EX-007</x:v>
      </x:c>
      <x:c r="C1873" t="str">
        <x:v>PHYSICAL</x:v>
      </x:c>
      <x:c r="D1873" t="str">
        <x:v>trial execution</x:v>
      </x:c>
      <x:c r="E1873" t="str">
        <x:v>PH-EX-007</x:v>
      </x:c>
      <x:c r="F1873" t="n">
        <x:f>IF('Trial Register'!P13&lt;&gt;"",1,0)</x:f>
        <x:v>0</x:v>
      </x:c>
      <x:c r="G1873" t="n">
        <x:v>1</x:v>
      </x:c>
      <x:c r="H1873" t="str">
        <x:v>independent physical acceptance</x:v>
      </x:c>
      <x:c r="I1873" t="str">
        <x:f>IF(F1873=1,"PASS","OPEN")</x:f>
        <x:v>OPEN</x:v>
      </x:c>
    </x:row>
    <x:row r="1874">
      <x:c r="B1874" t="str">
        <x:v>PH-PK-007</x:v>
      </x:c>
      <x:c r="C1874" t="str">
        <x:v>PHYSICAL</x:v>
      </x:c>
      <x:c r="D1874" t="str">
        <x:v>trial packet</x:v>
      </x:c>
      <x:c r="E1874" t="str">
        <x:v>PH-PK-007</x:v>
      </x:c>
      <x:c r="F1874" t="n">
        <x:f>IF('Trial Register'!Q13&lt;&gt;"",1,0)</x:f>
        <x:v>0</x:v>
      </x:c>
      <x:c r="G1874" t="n">
        <x:v>1</x:v>
      </x:c>
      <x:c r="H1874" t="str">
        <x:v>independent physical acceptance</x:v>
      </x:c>
      <x:c r="I1874" t="str">
        <x:f>IF(F1874=1,"PASS","OPEN")</x:f>
        <x:v>OPEN</x:v>
      </x:c>
    </x:row>
    <x:row r="1875">
      <x:c r="B1875" t="str">
        <x:v>PH-VA-007</x:v>
      </x:c>
      <x:c r="C1875" t="str">
        <x:v>PHYSICAL</x:v>
      </x:c>
      <x:c r="D1875" t="str">
        <x:v>trial validity</x:v>
      </x:c>
      <x:c r="E1875" t="str">
        <x:v>PH-VA-007</x:v>
      </x:c>
      <x:c r="F1875" t="n">
        <x:f>IF('Trial Register'!R13&lt;&gt;"",1,0)</x:f>
        <x:v>0</x:v>
      </x:c>
      <x:c r="G1875" t="n">
        <x:v>1</x:v>
      </x:c>
      <x:c r="H1875" t="str">
        <x:v>independent physical acceptance</x:v>
      </x:c>
      <x:c r="I1875" t="str">
        <x:f>IF(F1875=1,"PASS","OPEN")</x:f>
        <x:v>OPEN</x:v>
      </x:c>
    </x:row>
    <x:row r="1876">
      <x:c r="B1876" t="str">
        <x:v>PH-RV-007</x:v>
      </x:c>
      <x:c r="C1876" t="str">
        <x:v>PHYSICAL</x:v>
      </x:c>
      <x:c r="D1876" t="str">
        <x:v>reported value</x:v>
      </x:c>
      <x:c r="E1876" t="str">
        <x:v>PH-RV-007</x:v>
      </x:c>
      <x:c r="F1876" t="n">
        <x:f>IF('Trial Register'!S13&lt;&gt;"",1,0)</x:f>
        <x:v>0</x:v>
      </x:c>
      <x:c r="G1876" t="n">
        <x:v>1</x:v>
      </x:c>
      <x:c r="H1876" t="str">
        <x:v>independent physical acceptance</x:v>
      </x:c>
      <x:c r="I1876" t="str">
        <x:f>IF(F1876=1,"PASS","OPEN")</x:f>
        <x:v>OPEN</x:v>
      </x:c>
    </x:row>
    <x:row r="1877">
      <x:c r="B1877" t="str">
        <x:v>PH-CR-007</x:v>
      </x:c>
      <x:c r="C1877" t="str">
        <x:v>PHYSICAL</x:v>
      </x:c>
      <x:c r="D1877" t="str">
        <x:v>credit acceptance</x:v>
      </x:c>
      <x:c r="E1877" t="str">
        <x:v>PH-CR-007</x:v>
      </x:c>
      <x:c r="F1877" t="str">
        <x:f>'Trial Register'!V13</x:f>
      </x:c>
      <x:c r="G1877" t="n">
        <x:v>1</x:v>
      </x:c>
      <x:c r="H1877" t="str">
        <x:v>independent physical acceptance</x:v>
      </x:c>
      <x:c r="I1877" t="str">
        <x:f>IF(F1877=1,"PASS","OPEN")</x:f>
        <x:v>OPEN</x:v>
      </x:c>
    </x:row>
    <x:row r="1878">
      <x:c r="B1878" t="str">
        <x:v>PH-EX-008</x:v>
      </x:c>
      <x:c r="C1878" t="str">
        <x:v>PHYSICAL</x:v>
      </x:c>
      <x:c r="D1878" t="str">
        <x:v>trial execution</x:v>
      </x:c>
      <x:c r="E1878" t="str">
        <x:v>PH-EX-008</x:v>
      </x:c>
      <x:c r="F1878" t="n">
        <x:f>IF('Trial Register'!P14&lt;&gt;"",1,0)</x:f>
        <x:v>0</x:v>
      </x:c>
      <x:c r="G1878" t="n">
        <x:v>1</x:v>
      </x:c>
      <x:c r="H1878" t="str">
        <x:v>independent physical acceptance</x:v>
      </x:c>
      <x:c r="I1878" t="str">
        <x:f>IF(F1878=1,"PASS","OPEN")</x:f>
        <x:v>OPEN</x:v>
      </x:c>
    </x:row>
    <x:row r="1879">
      <x:c r="B1879" t="str">
        <x:v>PH-PK-008</x:v>
      </x:c>
      <x:c r="C1879" t="str">
        <x:v>PHYSICAL</x:v>
      </x:c>
      <x:c r="D1879" t="str">
        <x:v>trial packet</x:v>
      </x:c>
      <x:c r="E1879" t="str">
        <x:v>PH-PK-008</x:v>
      </x:c>
      <x:c r="F1879" t="n">
        <x:f>IF('Trial Register'!Q14&lt;&gt;"",1,0)</x:f>
        <x:v>0</x:v>
      </x:c>
      <x:c r="G1879" t="n">
        <x:v>1</x:v>
      </x:c>
      <x:c r="H1879" t="str">
        <x:v>independent physical acceptance</x:v>
      </x:c>
      <x:c r="I1879" t="str">
        <x:f>IF(F1879=1,"PASS","OPEN")</x:f>
        <x:v>OPEN</x:v>
      </x:c>
    </x:row>
    <x:row r="1880">
      <x:c r="B1880" t="str">
        <x:v>PH-VA-008</x:v>
      </x:c>
      <x:c r="C1880" t="str">
        <x:v>PHYSICAL</x:v>
      </x:c>
      <x:c r="D1880" t="str">
        <x:v>trial validity</x:v>
      </x:c>
      <x:c r="E1880" t="str">
        <x:v>PH-VA-008</x:v>
      </x:c>
      <x:c r="F1880" t="n">
        <x:f>IF('Trial Register'!R14&lt;&gt;"",1,0)</x:f>
        <x:v>0</x:v>
      </x:c>
      <x:c r="G1880" t="n">
        <x:v>1</x:v>
      </x:c>
      <x:c r="H1880" t="str">
        <x:v>independent physical acceptance</x:v>
      </x:c>
      <x:c r="I1880" t="str">
        <x:f>IF(F1880=1,"PASS","OPEN")</x:f>
        <x:v>OPEN</x:v>
      </x:c>
    </x:row>
    <x:row r="1881">
      <x:c r="B1881" t="str">
        <x:v>PH-RV-008</x:v>
      </x:c>
      <x:c r="C1881" t="str">
        <x:v>PHYSICAL</x:v>
      </x:c>
      <x:c r="D1881" t="str">
        <x:v>reported value</x:v>
      </x:c>
      <x:c r="E1881" t="str">
        <x:v>PH-RV-008</x:v>
      </x:c>
      <x:c r="F1881" t="n">
        <x:f>IF('Trial Register'!S14&lt;&gt;"",1,0)</x:f>
        <x:v>0</x:v>
      </x:c>
      <x:c r="G1881" t="n">
        <x:v>1</x:v>
      </x:c>
      <x:c r="H1881" t="str">
        <x:v>independent physical acceptance</x:v>
      </x:c>
      <x:c r="I1881" t="str">
        <x:f>IF(F1881=1,"PASS","OPEN")</x:f>
        <x:v>OPEN</x:v>
      </x:c>
    </x:row>
    <x:row r="1882">
      <x:c r="B1882" t="str">
        <x:v>PH-CR-008</x:v>
      </x:c>
      <x:c r="C1882" t="str">
        <x:v>PHYSICAL</x:v>
      </x:c>
      <x:c r="D1882" t="str">
        <x:v>credit acceptance</x:v>
      </x:c>
      <x:c r="E1882" t="str">
        <x:v>PH-CR-008</x:v>
      </x:c>
      <x:c r="F1882" t="str">
        <x:f>'Trial Register'!V14</x:f>
      </x:c>
      <x:c r="G1882" t="n">
        <x:v>1</x:v>
      </x:c>
      <x:c r="H1882" t="str">
        <x:v>independent physical acceptance</x:v>
      </x:c>
      <x:c r="I1882" t="str">
        <x:f>IF(F1882=1,"PASS","OPEN")</x:f>
        <x:v>OPEN</x:v>
      </x:c>
    </x:row>
    <x:row r="1883">
      <x:c r="B1883" t="str">
        <x:v>PH-EX-009</x:v>
      </x:c>
      <x:c r="C1883" t="str">
        <x:v>PHYSICAL</x:v>
      </x:c>
      <x:c r="D1883" t="str">
        <x:v>trial execution</x:v>
      </x:c>
      <x:c r="E1883" t="str">
        <x:v>PH-EX-009</x:v>
      </x:c>
      <x:c r="F1883" t="n">
        <x:f>IF('Trial Register'!P15&lt;&gt;"",1,0)</x:f>
        <x:v>0</x:v>
      </x:c>
      <x:c r="G1883" t="n">
        <x:v>1</x:v>
      </x:c>
      <x:c r="H1883" t="str">
        <x:v>independent physical acceptance</x:v>
      </x:c>
      <x:c r="I1883" t="str">
        <x:f>IF(F1883=1,"PASS","OPEN")</x:f>
        <x:v>OPEN</x:v>
      </x:c>
    </x:row>
    <x:row r="1884">
      <x:c r="B1884" t="str">
        <x:v>PH-PK-009</x:v>
      </x:c>
      <x:c r="C1884" t="str">
        <x:v>PHYSICAL</x:v>
      </x:c>
      <x:c r="D1884" t="str">
        <x:v>trial packet</x:v>
      </x:c>
      <x:c r="E1884" t="str">
        <x:v>PH-PK-009</x:v>
      </x:c>
      <x:c r="F1884" t="n">
        <x:f>IF('Trial Register'!Q15&lt;&gt;"",1,0)</x:f>
        <x:v>0</x:v>
      </x:c>
      <x:c r="G1884" t="n">
        <x:v>1</x:v>
      </x:c>
      <x:c r="H1884" t="str">
        <x:v>independent physical acceptance</x:v>
      </x:c>
      <x:c r="I1884" t="str">
        <x:f>IF(F1884=1,"PASS","OPEN")</x:f>
        <x:v>OPEN</x:v>
      </x:c>
    </x:row>
    <x:row r="1885">
      <x:c r="B1885" t="str">
        <x:v>PH-VA-009</x:v>
      </x:c>
      <x:c r="C1885" t="str">
        <x:v>PHYSICAL</x:v>
      </x:c>
      <x:c r="D1885" t="str">
        <x:v>trial validity</x:v>
      </x:c>
      <x:c r="E1885" t="str">
        <x:v>PH-VA-009</x:v>
      </x:c>
      <x:c r="F1885" t="n">
        <x:f>IF('Trial Register'!R15&lt;&gt;"",1,0)</x:f>
        <x:v>0</x:v>
      </x:c>
      <x:c r="G1885" t="n">
        <x:v>1</x:v>
      </x:c>
      <x:c r="H1885" t="str">
        <x:v>independent physical acceptance</x:v>
      </x:c>
      <x:c r="I1885" t="str">
        <x:f>IF(F1885=1,"PASS","OPEN")</x:f>
        <x:v>OPEN</x:v>
      </x:c>
    </x:row>
    <x:row r="1886">
      <x:c r="B1886" t="str">
        <x:v>PH-RV-009</x:v>
      </x:c>
      <x:c r="C1886" t="str">
        <x:v>PHYSICAL</x:v>
      </x:c>
      <x:c r="D1886" t="str">
        <x:v>reported value</x:v>
      </x:c>
      <x:c r="E1886" t="str">
        <x:v>PH-RV-009</x:v>
      </x:c>
      <x:c r="F1886" t="n">
        <x:f>IF('Trial Register'!S15&lt;&gt;"",1,0)</x:f>
        <x:v>0</x:v>
      </x:c>
      <x:c r="G1886" t="n">
        <x:v>1</x:v>
      </x:c>
      <x:c r="H1886" t="str">
        <x:v>independent physical acceptance</x:v>
      </x:c>
      <x:c r="I1886" t="str">
        <x:f>IF(F1886=1,"PASS","OPEN")</x:f>
        <x:v>OPEN</x:v>
      </x:c>
    </x:row>
    <x:row r="1887">
      <x:c r="B1887" t="str">
        <x:v>PH-CR-009</x:v>
      </x:c>
      <x:c r="C1887" t="str">
        <x:v>PHYSICAL</x:v>
      </x:c>
      <x:c r="D1887" t="str">
        <x:v>credit acceptance</x:v>
      </x:c>
      <x:c r="E1887" t="str">
        <x:v>PH-CR-009</x:v>
      </x:c>
      <x:c r="F1887" t="str">
        <x:f>'Trial Register'!V15</x:f>
      </x:c>
      <x:c r="G1887" t="n">
        <x:v>1</x:v>
      </x:c>
      <x:c r="H1887" t="str">
        <x:v>independent physical acceptance</x:v>
      </x:c>
      <x:c r="I1887" t="str">
        <x:f>IF(F1887=1,"PASS","OPEN")</x:f>
        <x:v>OPEN</x:v>
      </x:c>
    </x:row>
    <x:row r="1888">
      <x:c r="B1888" t="str">
        <x:v>PH-EX-010</x:v>
      </x:c>
      <x:c r="C1888" t="str">
        <x:v>PHYSICAL</x:v>
      </x:c>
      <x:c r="D1888" t="str">
        <x:v>trial execution</x:v>
      </x:c>
      <x:c r="E1888" t="str">
        <x:v>PH-EX-010</x:v>
      </x:c>
      <x:c r="F1888" t="n">
        <x:f>IF('Trial Register'!P16&lt;&gt;"",1,0)</x:f>
        <x:v>0</x:v>
      </x:c>
      <x:c r="G1888" t="n">
        <x:v>1</x:v>
      </x:c>
      <x:c r="H1888" t="str">
        <x:v>independent physical acceptance</x:v>
      </x:c>
      <x:c r="I1888" t="str">
        <x:f>IF(F1888=1,"PASS","OPEN")</x:f>
        <x:v>OPEN</x:v>
      </x:c>
    </x:row>
    <x:row r="1889">
      <x:c r="B1889" t="str">
        <x:v>PH-PK-010</x:v>
      </x:c>
      <x:c r="C1889" t="str">
        <x:v>PHYSICAL</x:v>
      </x:c>
      <x:c r="D1889" t="str">
        <x:v>trial packet</x:v>
      </x:c>
      <x:c r="E1889" t="str">
        <x:v>PH-PK-010</x:v>
      </x:c>
      <x:c r="F1889" t="n">
        <x:f>IF('Trial Register'!Q16&lt;&gt;"",1,0)</x:f>
        <x:v>0</x:v>
      </x:c>
      <x:c r="G1889" t="n">
        <x:v>1</x:v>
      </x:c>
      <x:c r="H1889" t="str">
        <x:v>independent physical acceptance</x:v>
      </x:c>
      <x:c r="I1889" t="str">
        <x:f>IF(F1889=1,"PASS","OPEN")</x:f>
        <x:v>OPEN</x:v>
      </x:c>
    </x:row>
    <x:row r="1890">
      <x:c r="B1890" t="str">
        <x:v>PH-VA-010</x:v>
      </x:c>
      <x:c r="C1890" t="str">
        <x:v>PHYSICAL</x:v>
      </x:c>
      <x:c r="D1890" t="str">
        <x:v>trial validity</x:v>
      </x:c>
      <x:c r="E1890" t="str">
        <x:v>PH-VA-010</x:v>
      </x:c>
      <x:c r="F1890" t="n">
        <x:f>IF('Trial Register'!R16&lt;&gt;"",1,0)</x:f>
        <x:v>0</x:v>
      </x:c>
      <x:c r="G1890" t="n">
        <x:v>1</x:v>
      </x:c>
      <x:c r="H1890" t="str">
        <x:v>independent physical acceptance</x:v>
      </x:c>
      <x:c r="I1890" t="str">
        <x:f>IF(F1890=1,"PASS","OPEN")</x:f>
        <x:v>OPEN</x:v>
      </x:c>
    </x:row>
    <x:row r="1891">
      <x:c r="B1891" t="str">
        <x:v>PH-RV-010</x:v>
      </x:c>
      <x:c r="C1891" t="str">
        <x:v>PHYSICAL</x:v>
      </x:c>
      <x:c r="D1891" t="str">
        <x:v>reported value</x:v>
      </x:c>
      <x:c r="E1891" t="str">
        <x:v>PH-RV-010</x:v>
      </x:c>
      <x:c r="F1891" t="n">
        <x:f>IF('Trial Register'!S16&lt;&gt;"",1,0)</x:f>
        <x:v>0</x:v>
      </x:c>
      <x:c r="G1891" t="n">
        <x:v>1</x:v>
      </x:c>
      <x:c r="H1891" t="str">
        <x:v>independent physical acceptance</x:v>
      </x:c>
      <x:c r="I1891" t="str">
        <x:f>IF(F1891=1,"PASS","OPEN")</x:f>
        <x:v>OPEN</x:v>
      </x:c>
    </x:row>
    <x:row r="1892">
      <x:c r="B1892" t="str">
        <x:v>PH-CR-010</x:v>
      </x:c>
      <x:c r="C1892" t="str">
        <x:v>PHYSICAL</x:v>
      </x:c>
      <x:c r="D1892" t="str">
        <x:v>credit acceptance</x:v>
      </x:c>
      <x:c r="E1892" t="str">
        <x:v>PH-CR-010</x:v>
      </x:c>
      <x:c r="F1892" t="str">
        <x:f>'Trial Register'!V16</x:f>
      </x:c>
      <x:c r="G1892" t="n">
        <x:v>1</x:v>
      </x:c>
      <x:c r="H1892" t="str">
        <x:v>independent physical acceptance</x:v>
      </x:c>
      <x:c r="I1892" t="str">
        <x:f>IF(F1892=1,"PASS","OPEN")</x:f>
        <x:v>OPEN</x:v>
      </x:c>
    </x:row>
    <x:row r="1893">
      <x:c r="B1893" t="str">
        <x:v>PH-EX-011</x:v>
      </x:c>
      <x:c r="C1893" t="str">
        <x:v>PHYSICAL</x:v>
      </x:c>
      <x:c r="D1893" t="str">
        <x:v>trial execution</x:v>
      </x:c>
      <x:c r="E1893" t="str">
        <x:v>PH-EX-011</x:v>
      </x:c>
      <x:c r="F1893" t="n">
        <x:f>IF('Trial Register'!P17&lt;&gt;"",1,0)</x:f>
        <x:v>0</x:v>
      </x:c>
      <x:c r="G1893" t="n">
        <x:v>1</x:v>
      </x:c>
      <x:c r="H1893" t="str">
        <x:v>independent physical acceptance</x:v>
      </x:c>
      <x:c r="I1893" t="str">
        <x:f>IF(F1893=1,"PASS","OPEN")</x:f>
        <x:v>OPEN</x:v>
      </x:c>
    </x:row>
    <x:row r="1894">
      <x:c r="B1894" t="str">
        <x:v>PH-PK-011</x:v>
      </x:c>
      <x:c r="C1894" t="str">
        <x:v>PHYSICAL</x:v>
      </x:c>
      <x:c r="D1894" t="str">
        <x:v>trial packet</x:v>
      </x:c>
      <x:c r="E1894" t="str">
        <x:v>PH-PK-011</x:v>
      </x:c>
      <x:c r="F1894" t="n">
        <x:f>IF('Trial Register'!Q17&lt;&gt;"",1,0)</x:f>
        <x:v>0</x:v>
      </x:c>
      <x:c r="G1894" t="n">
        <x:v>1</x:v>
      </x:c>
      <x:c r="H1894" t="str">
        <x:v>independent physical acceptance</x:v>
      </x:c>
      <x:c r="I1894" t="str">
        <x:f>IF(F1894=1,"PASS","OPEN")</x:f>
        <x:v>OPEN</x:v>
      </x:c>
    </x:row>
    <x:row r="1895">
      <x:c r="B1895" t="str">
        <x:v>PH-VA-011</x:v>
      </x:c>
      <x:c r="C1895" t="str">
        <x:v>PHYSICAL</x:v>
      </x:c>
      <x:c r="D1895" t="str">
        <x:v>trial validity</x:v>
      </x:c>
      <x:c r="E1895" t="str">
        <x:v>PH-VA-011</x:v>
      </x:c>
      <x:c r="F1895" t="n">
        <x:f>IF('Trial Register'!R17&lt;&gt;"",1,0)</x:f>
        <x:v>0</x:v>
      </x:c>
      <x:c r="G1895" t="n">
        <x:v>1</x:v>
      </x:c>
      <x:c r="H1895" t="str">
        <x:v>independent physical acceptance</x:v>
      </x:c>
      <x:c r="I1895" t="str">
        <x:f>IF(F1895=1,"PASS","OPEN")</x:f>
        <x:v>OPEN</x:v>
      </x:c>
    </x:row>
    <x:row r="1896">
      <x:c r="B1896" t="str">
        <x:v>PH-RV-011</x:v>
      </x:c>
      <x:c r="C1896" t="str">
        <x:v>PHYSICAL</x:v>
      </x:c>
      <x:c r="D1896" t="str">
        <x:v>reported value</x:v>
      </x:c>
      <x:c r="E1896" t="str">
        <x:v>PH-RV-011</x:v>
      </x:c>
      <x:c r="F1896" t="n">
        <x:f>IF('Trial Register'!S17&lt;&gt;"",1,0)</x:f>
        <x:v>0</x:v>
      </x:c>
      <x:c r="G1896" t="n">
        <x:v>1</x:v>
      </x:c>
      <x:c r="H1896" t="str">
        <x:v>independent physical acceptance</x:v>
      </x:c>
      <x:c r="I1896" t="str">
        <x:f>IF(F1896=1,"PASS","OPEN")</x:f>
        <x:v>OPEN</x:v>
      </x:c>
    </x:row>
    <x:row r="1897">
      <x:c r="B1897" t="str">
        <x:v>PH-CR-011</x:v>
      </x:c>
      <x:c r="C1897" t="str">
        <x:v>PHYSICAL</x:v>
      </x:c>
      <x:c r="D1897" t="str">
        <x:v>credit acceptance</x:v>
      </x:c>
      <x:c r="E1897" t="str">
        <x:v>PH-CR-011</x:v>
      </x:c>
      <x:c r="F1897" t="str">
        <x:f>'Trial Register'!V17</x:f>
      </x:c>
      <x:c r="G1897" t="n">
        <x:v>1</x:v>
      </x:c>
      <x:c r="H1897" t="str">
        <x:v>independent physical acceptance</x:v>
      </x:c>
      <x:c r="I1897" t="str">
        <x:f>IF(F1897=1,"PASS","OPEN")</x:f>
        <x:v>OPEN</x:v>
      </x:c>
    </x:row>
    <x:row r="1898">
      <x:c r="B1898" t="str">
        <x:v>PH-EX-012</x:v>
      </x:c>
      <x:c r="C1898" t="str">
        <x:v>PHYSICAL</x:v>
      </x:c>
      <x:c r="D1898" t="str">
        <x:v>trial execution</x:v>
      </x:c>
      <x:c r="E1898" t="str">
        <x:v>PH-EX-012</x:v>
      </x:c>
      <x:c r="F1898" t="n">
        <x:f>IF('Trial Register'!P18&lt;&gt;"",1,0)</x:f>
        <x:v>0</x:v>
      </x:c>
      <x:c r="G1898" t="n">
        <x:v>1</x:v>
      </x:c>
      <x:c r="H1898" t="str">
        <x:v>independent physical acceptance</x:v>
      </x:c>
      <x:c r="I1898" t="str">
        <x:f>IF(F1898=1,"PASS","OPEN")</x:f>
        <x:v>OPEN</x:v>
      </x:c>
    </x:row>
    <x:row r="1899">
      <x:c r="B1899" t="str">
        <x:v>PH-PK-012</x:v>
      </x:c>
      <x:c r="C1899" t="str">
        <x:v>PHYSICAL</x:v>
      </x:c>
      <x:c r="D1899" t="str">
        <x:v>trial packet</x:v>
      </x:c>
      <x:c r="E1899" t="str">
        <x:v>PH-PK-012</x:v>
      </x:c>
      <x:c r="F1899" t="n">
        <x:f>IF('Trial Register'!Q18&lt;&gt;"",1,0)</x:f>
        <x:v>0</x:v>
      </x:c>
      <x:c r="G1899" t="n">
        <x:v>1</x:v>
      </x:c>
      <x:c r="H1899" t="str">
        <x:v>independent physical acceptance</x:v>
      </x:c>
      <x:c r="I1899" t="str">
        <x:f>IF(F1899=1,"PASS","OPEN")</x:f>
        <x:v>OPEN</x:v>
      </x:c>
    </x:row>
    <x:row r="1900">
      <x:c r="B1900" t="str">
        <x:v>PH-VA-012</x:v>
      </x:c>
      <x:c r="C1900" t="str">
        <x:v>PHYSICAL</x:v>
      </x:c>
      <x:c r="D1900" t="str">
        <x:v>trial validity</x:v>
      </x:c>
      <x:c r="E1900" t="str">
        <x:v>PH-VA-012</x:v>
      </x:c>
      <x:c r="F1900" t="n">
        <x:f>IF('Trial Register'!R18&lt;&gt;"",1,0)</x:f>
        <x:v>0</x:v>
      </x:c>
      <x:c r="G1900" t="n">
        <x:v>1</x:v>
      </x:c>
      <x:c r="H1900" t="str">
        <x:v>independent physical acceptance</x:v>
      </x:c>
      <x:c r="I1900" t="str">
        <x:f>IF(F1900=1,"PASS","OPEN")</x:f>
        <x:v>OPEN</x:v>
      </x:c>
    </x:row>
    <x:row r="1901">
      <x:c r="B1901" t="str">
        <x:v>PH-RV-012</x:v>
      </x:c>
      <x:c r="C1901" t="str">
        <x:v>PHYSICAL</x:v>
      </x:c>
      <x:c r="D1901" t="str">
        <x:v>reported value</x:v>
      </x:c>
      <x:c r="E1901" t="str">
        <x:v>PH-RV-012</x:v>
      </x:c>
      <x:c r="F1901" t="n">
        <x:f>IF('Trial Register'!S18&lt;&gt;"",1,0)</x:f>
        <x:v>0</x:v>
      </x:c>
      <x:c r="G1901" t="n">
        <x:v>1</x:v>
      </x:c>
      <x:c r="H1901" t="str">
        <x:v>independent physical acceptance</x:v>
      </x:c>
      <x:c r="I1901" t="str">
        <x:f>IF(F1901=1,"PASS","OPEN")</x:f>
        <x:v>OPEN</x:v>
      </x:c>
    </x:row>
    <x:row r="1902">
      <x:c r="B1902" t="str">
        <x:v>PH-CR-012</x:v>
      </x:c>
      <x:c r="C1902" t="str">
        <x:v>PHYSICAL</x:v>
      </x:c>
      <x:c r="D1902" t="str">
        <x:v>credit acceptance</x:v>
      </x:c>
      <x:c r="E1902" t="str">
        <x:v>PH-CR-012</x:v>
      </x:c>
      <x:c r="F1902" t="str">
        <x:f>'Trial Register'!V18</x:f>
      </x:c>
      <x:c r="G1902" t="n">
        <x:v>1</x:v>
      </x:c>
      <x:c r="H1902" t="str">
        <x:v>independent physical acceptance</x:v>
      </x:c>
      <x:c r="I1902" t="str">
        <x:f>IF(F1902=1,"PASS","OPEN")</x:f>
        <x:v>OPEN</x:v>
      </x:c>
    </x:row>
    <x:row r="1903">
      <x:c r="B1903" t="str">
        <x:v>PH-EX-013</x:v>
      </x:c>
      <x:c r="C1903" t="str">
        <x:v>PHYSICAL</x:v>
      </x:c>
      <x:c r="D1903" t="str">
        <x:v>trial execution</x:v>
      </x:c>
      <x:c r="E1903" t="str">
        <x:v>PH-EX-013</x:v>
      </x:c>
      <x:c r="F1903" t="n">
        <x:f>IF('Trial Register'!P19&lt;&gt;"",1,0)</x:f>
        <x:v>0</x:v>
      </x:c>
      <x:c r="G1903" t="n">
        <x:v>1</x:v>
      </x:c>
      <x:c r="H1903" t="str">
        <x:v>independent physical acceptance</x:v>
      </x:c>
      <x:c r="I1903" t="str">
        <x:f>IF(F1903=1,"PASS","OPEN")</x:f>
        <x:v>OPEN</x:v>
      </x:c>
    </x:row>
    <x:row r="1904">
      <x:c r="B1904" t="str">
        <x:v>PH-PK-013</x:v>
      </x:c>
      <x:c r="C1904" t="str">
        <x:v>PHYSICAL</x:v>
      </x:c>
      <x:c r="D1904" t="str">
        <x:v>trial packet</x:v>
      </x:c>
      <x:c r="E1904" t="str">
        <x:v>PH-PK-013</x:v>
      </x:c>
      <x:c r="F1904" t="n">
        <x:f>IF('Trial Register'!Q19&lt;&gt;"",1,0)</x:f>
        <x:v>0</x:v>
      </x:c>
      <x:c r="G1904" t="n">
        <x:v>1</x:v>
      </x:c>
      <x:c r="H1904" t="str">
        <x:v>independent physical acceptance</x:v>
      </x:c>
      <x:c r="I1904" t="str">
        <x:f>IF(F1904=1,"PASS","OPEN")</x:f>
        <x:v>OPEN</x:v>
      </x:c>
    </x:row>
    <x:row r="1905">
      <x:c r="B1905" t="str">
        <x:v>PH-VA-013</x:v>
      </x:c>
      <x:c r="C1905" t="str">
        <x:v>PHYSICAL</x:v>
      </x:c>
      <x:c r="D1905" t="str">
        <x:v>trial validity</x:v>
      </x:c>
      <x:c r="E1905" t="str">
        <x:v>PH-VA-013</x:v>
      </x:c>
      <x:c r="F1905" t="n">
        <x:f>IF('Trial Register'!R19&lt;&gt;"",1,0)</x:f>
        <x:v>0</x:v>
      </x:c>
      <x:c r="G1905" t="n">
        <x:v>1</x:v>
      </x:c>
      <x:c r="H1905" t="str">
        <x:v>independent physical acceptance</x:v>
      </x:c>
      <x:c r="I1905" t="str">
        <x:f>IF(F1905=1,"PASS","OPEN")</x:f>
        <x:v>OPEN</x:v>
      </x:c>
    </x:row>
    <x:row r="1906">
      <x:c r="B1906" t="str">
        <x:v>PH-RV-013</x:v>
      </x:c>
      <x:c r="C1906" t="str">
        <x:v>PHYSICAL</x:v>
      </x:c>
      <x:c r="D1906" t="str">
        <x:v>reported value</x:v>
      </x:c>
      <x:c r="E1906" t="str">
        <x:v>PH-RV-013</x:v>
      </x:c>
      <x:c r="F1906" t="n">
        <x:f>IF('Trial Register'!S19&lt;&gt;"",1,0)</x:f>
        <x:v>0</x:v>
      </x:c>
      <x:c r="G1906" t="n">
        <x:v>1</x:v>
      </x:c>
      <x:c r="H1906" t="str">
        <x:v>independent physical acceptance</x:v>
      </x:c>
      <x:c r="I1906" t="str">
        <x:f>IF(F1906=1,"PASS","OPEN")</x:f>
        <x:v>OPEN</x:v>
      </x:c>
    </x:row>
    <x:row r="1907">
      <x:c r="B1907" t="str">
        <x:v>PH-CR-013</x:v>
      </x:c>
      <x:c r="C1907" t="str">
        <x:v>PHYSICAL</x:v>
      </x:c>
      <x:c r="D1907" t="str">
        <x:v>credit acceptance</x:v>
      </x:c>
      <x:c r="E1907" t="str">
        <x:v>PH-CR-013</x:v>
      </x:c>
      <x:c r="F1907" t="str">
        <x:f>'Trial Register'!V19</x:f>
      </x:c>
      <x:c r="G1907" t="n">
        <x:v>1</x:v>
      </x:c>
      <x:c r="H1907" t="str">
        <x:v>independent physical acceptance</x:v>
      </x:c>
      <x:c r="I1907" t="str">
        <x:f>IF(F1907=1,"PASS","OPEN")</x:f>
        <x:v>OPEN</x:v>
      </x:c>
    </x:row>
    <x:row r="1908">
      <x:c r="B1908" t="str">
        <x:v>PH-EX-014</x:v>
      </x:c>
      <x:c r="C1908" t="str">
        <x:v>PHYSICAL</x:v>
      </x:c>
      <x:c r="D1908" t="str">
        <x:v>trial execution</x:v>
      </x:c>
      <x:c r="E1908" t="str">
        <x:v>PH-EX-014</x:v>
      </x:c>
      <x:c r="F1908" t="n">
        <x:f>IF('Trial Register'!P20&lt;&gt;"",1,0)</x:f>
        <x:v>0</x:v>
      </x:c>
      <x:c r="G1908" t="n">
        <x:v>1</x:v>
      </x:c>
      <x:c r="H1908" t="str">
        <x:v>independent physical acceptance</x:v>
      </x:c>
      <x:c r="I1908" t="str">
        <x:f>IF(F1908=1,"PASS","OPEN")</x:f>
        <x:v>OPEN</x:v>
      </x:c>
    </x:row>
    <x:row r="1909">
      <x:c r="B1909" t="str">
        <x:v>PH-PK-014</x:v>
      </x:c>
      <x:c r="C1909" t="str">
        <x:v>PHYSICAL</x:v>
      </x:c>
      <x:c r="D1909" t="str">
        <x:v>trial packet</x:v>
      </x:c>
      <x:c r="E1909" t="str">
        <x:v>PH-PK-014</x:v>
      </x:c>
      <x:c r="F1909" t="n">
        <x:f>IF('Trial Register'!Q20&lt;&gt;"",1,0)</x:f>
        <x:v>0</x:v>
      </x:c>
      <x:c r="G1909" t="n">
        <x:v>1</x:v>
      </x:c>
      <x:c r="H1909" t="str">
        <x:v>independent physical acceptance</x:v>
      </x:c>
      <x:c r="I1909" t="str">
        <x:f>IF(F1909=1,"PASS","OPEN")</x:f>
        <x:v>OPEN</x:v>
      </x:c>
    </x:row>
    <x:row r="1910">
      <x:c r="B1910" t="str">
        <x:v>PH-VA-014</x:v>
      </x:c>
      <x:c r="C1910" t="str">
        <x:v>PHYSICAL</x:v>
      </x:c>
      <x:c r="D1910" t="str">
        <x:v>trial validity</x:v>
      </x:c>
      <x:c r="E1910" t="str">
        <x:v>PH-VA-014</x:v>
      </x:c>
      <x:c r="F1910" t="n">
        <x:f>IF('Trial Register'!R20&lt;&gt;"",1,0)</x:f>
        <x:v>0</x:v>
      </x:c>
      <x:c r="G1910" t="n">
        <x:v>1</x:v>
      </x:c>
      <x:c r="H1910" t="str">
        <x:v>independent physical acceptance</x:v>
      </x:c>
      <x:c r="I1910" t="str">
        <x:f>IF(F1910=1,"PASS","OPEN")</x:f>
        <x:v>OPEN</x:v>
      </x:c>
    </x:row>
    <x:row r="1911">
      <x:c r="B1911" t="str">
        <x:v>PH-RV-014</x:v>
      </x:c>
      <x:c r="C1911" t="str">
        <x:v>PHYSICAL</x:v>
      </x:c>
      <x:c r="D1911" t="str">
        <x:v>reported value</x:v>
      </x:c>
      <x:c r="E1911" t="str">
        <x:v>PH-RV-014</x:v>
      </x:c>
      <x:c r="F1911" t="n">
        <x:f>IF('Trial Register'!S20&lt;&gt;"",1,0)</x:f>
        <x:v>0</x:v>
      </x:c>
      <x:c r="G1911" t="n">
        <x:v>1</x:v>
      </x:c>
      <x:c r="H1911" t="str">
        <x:v>independent physical acceptance</x:v>
      </x:c>
      <x:c r="I1911" t="str">
        <x:f>IF(F1911=1,"PASS","OPEN")</x:f>
        <x:v>OPEN</x:v>
      </x:c>
    </x:row>
    <x:row r="1912">
      <x:c r="B1912" t="str">
        <x:v>PH-CR-014</x:v>
      </x:c>
      <x:c r="C1912" t="str">
        <x:v>PHYSICAL</x:v>
      </x:c>
      <x:c r="D1912" t="str">
        <x:v>credit acceptance</x:v>
      </x:c>
      <x:c r="E1912" t="str">
        <x:v>PH-CR-014</x:v>
      </x:c>
      <x:c r="F1912" t="str">
        <x:f>'Trial Register'!V20</x:f>
      </x:c>
      <x:c r="G1912" t="n">
        <x:v>1</x:v>
      </x:c>
      <x:c r="H1912" t="str">
        <x:v>independent physical acceptance</x:v>
      </x:c>
      <x:c r="I1912" t="str">
        <x:f>IF(F1912=1,"PASS","OPEN")</x:f>
        <x:v>OPEN</x:v>
      </x:c>
    </x:row>
    <x:row r="1913">
      <x:c r="B1913" t="str">
        <x:v>PH-EX-015</x:v>
      </x:c>
      <x:c r="C1913" t="str">
        <x:v>PHYSICAL</x:v>
      </x:c>
      <x:c r="D1913" t="str">
        <x:v>trial execution</x:v>
      </x:c>
      <x:c r="E1913" t="str">
        <x:v>PH-EX-015</x:v>
      </x:c>
      <x:c r="F1913" t="n">
        <x:f>IF('Trial Register'!P21&lt;&gt;"",1,0)</x:f>
        <x:v>0</x:v>
      </x:c>
      <x:c r="G1913" t="n">
        <x:v>1</x:v>
      </x:c>
      <x:c r="H1913" t="str">
        <x:v>independent physical acceptance</x:v>
      </x:c>
      <x:c r="I1913" t="str">
        <x:f>IF(F1913=1,"PASS","OPEN")</x:f>
        <x:v>OPEN</x:v>
      </x:c>
    </x:row>
    <x:row r="1914">
      <x:c r="B1914" t="str">
        <x:v>PH-PK-015</x:v>
      </x:c>
      <x:c r="C1914" t="str">
        <x:v>PHYSICAL</x:v>
      </x:c>
      <x:c r="D1914" t="str">
        <x:v>trial packet</x:v>
      </x:c>
      <x:c r="E1914" t="str">
        <x:v>PH-PK-015</x:v>
      </x:c>
      <x:c r="F1914" t="n">
        <x:f>IF('Trial Register'!Q21&lt;&gt;"",1,0)</x:f>
        <x:v>0</x:v>
      </x:c>
      <x:c r="G1914" t="n">
        <x:v>1</x:v>
      </x:c>
      <x:c r="H1914" t="str">
        <x:v>independent physical acceptance</x:v>
      </x:c>
      <x:c r="I1914" t="str">
        <x:f>IF(F1914=1,"PASS","OPEN")</x:f>
        <x:v>OPEN</x:v>
      </x:c>
    </x:row>
    <x:row r="1915">
      <x:c r="B1915" t="str">
        <x:v>PH-VA-015</x:v>
      </x:c>
      <x:c r="C1915" t="str">
        <x:v>PHYSICAL</x:v>
      </x:c>
      <x:c r="D1915" t="str">
        <x:v>trial validity</x:v>
      </x:c>
      <x:c r="E1915" t="str">
        <x:v>PH-VA-015</x:v>
      </x:c>
      <x:c r="F1915" t="n">
        <x:f>IF('Trial Register'!R21&lt;&gt;"",1,0)</x:f>
        <x:v>0</x:v>
      </x:c>
      <x:c r="G1915" t="n">
        <x:v>1</x:v>
      </x:c>
      <x:c r="H1915" t="str">
        <x:v>independent physical acceptance</x:v>
      </x:c>
      <x:c r="I1915" t="str">
        <x:f>IF(F1915=1,"PASS","OPEN")</x:f>
        <x:v>OPEN</x:v>
      </x:c>
    </x:row>
    <x:row r="1916">
      <x:c r="B1916" t="str">
        <x:v>PH-RV-015</x:v>
      </x:c>
      <x:c r="C1916" t="str">
        <x:v>PHYSICAL</x:v>
      </x:c>
      <x:c r="D1916" t="str">
        <x:v>reported value</x:v>
      </x:c>
      <x:c r="E1916" t="str">
        <x:v>PH-RV-015</x:v>
      </x:c>
      <x:c r="F1916" t="n">
        <x:f>IF('Trial Register'!S21&lt;&gt;"",1,0)</x:f>
        <x:v>0</x:v>
      </x:c>
      <x:c r="G1916" t="n">
        <x:v>1</x:v>
      </x:c>
      <x:c r="H1916" t="str">
        <x:v>independent physical acceptance</x:v>
      </x:c>
      <x:c r="I1916" t="str">
        <x:f>IF(F1916=1,"PASS","OPEN")</x:f>
        <x:v>OPEN</x:v>
      </x:c>
    </x:row>
    <x:row r="1917">
      <x:c r="B1917" t="str">
        <x:v>PH-CR-015</x:v>
      </x:c>
      <x:c r="C1917" t="str">
        <x:v>PHYSICAL</x:v>
      </x:c>
      <x:c r="D1917" t="str">
        <x:v>credit acceptance</x:v>
      </x:c>
      <x:c r="E1917" t="str">
        <x:v>PH-CR-015</x:v>
      </x:c>
      <x:c r="F1917" t="str">
        <x:f>'Trial Register'!V21</x:f>
      </x:c>
      <x:c r="G1917" t="n">
        <x:v>1</x:v>
      </x:c>
      <x:c r="H1917" t="str">
        <x:v>independent physical acceptance</x:v>
      </x:c>
      <x:c r="I1917" t="str">
        <x:f>IF(F1917=1,"PASS","OPEN")</x:f>
        <x:v>OPEN</x:v>
      </x:c>
    </x:row>
    <x:row r="1918">
      <x:c r="B1918" t="str">
        <x:v>PH-EX-016</x:v>
      </x:c>
      <x:c r="C1918" t="str">
        <x:v>PHYSICAL</x:v>
      </x:c>
      <x:c r="D1918" t="str">
        <x:v>trial execution</x:v>
      </x:c>
      <x:c r="E1918" t="str">
        <x:v>PH-EX-016</x:v>
      </x:c>
      <x:c r="F1918" t="n">
        <x:f>IF('Trial Register'!P22&lt;&gt;"",1,0)</x:f>
        <x:v>0</x:v>
      </x:c>
      <x:c r="G1918" t="n">
        <x:v>1</x:v>
      </x:c>
      <x:c r="H1918" t="str">
        <x:v>independent physical acceptance</x:v>
      </x:c>
      <x:c r="I1918" t="str">
        <x:f>IF(F1918=1,"PASS","OPEN")</x:f>
        <x:v>OPEN</x:v>
      </x:c>
    </x:row>
    <x:row r="1919">
      <x:c r="B1919" t="str">
        <x:v>PH-PK-016</x:v>
      </x:c>
      <x:c r="C1919" t="str">
        <x:v>PHYSICAL</x:v>
      </x:c>
      <x:c r="D1919" t="str">
        <x:v>trial packet</x:v>
      </x:c>
      <x:c r="E1919" t="str">
        <x:v>PH-PK-016</x:v>
      </x:c>
      <x:c r="F1919" t="n">
        <x:f>IF('Trial Register'!Q22&lt;&gt;"",1,0)</x:f>
        <x:v>0</x:v>
      </x:c>
      <x:c r="G1919" t="n">
        <x:v>1</x:v>
      </x:c>
      <x:c r="H1919" t="str">
        <x:v>independent physical acceptance</x:v>
      </x:c>
      <x:c r="I1919" t="str">
        <x:f>IF(F1919=1,"PASS","OPEN")</x:f>
        <x:v>OPEN</x:v>
      </x:c>
    </x:row>
    <x:row r="1920">
      <x:c r="B1920" t="str">
        <x:v>PH-VA-016</x:v>
      </x:c>
      <x:c r="C1920" t="str">
        <x:v>PHYSICAL</x:v>
      </x:c>
      <x:c r="D1920" t="str">
        <x:v>trial validity</x:v>
      </x:c>
      <x:c r="E1920" t="str">
        <x:v>PH-VA-016</x:v>
      </x:c>
      <x:c r="F1920" t="n">
        <x:f>IF('Trial Register'!R22&lt;&gt;"",1,0)</x:f>
        <x:v>0</x:v>
      </x:c>
      <x:c r="G1920" t="n">
        <x:v>1</x:v>
      </x:c>
      <x:c r="H1920" t="str">
        <x:v>independent physical acceptance</x:v>
      </x:c>
      <x:c r="I1920" t="str">
        <x:f>IF(F1920=1,"PASS","OPEN")</x:f>
        <x:v>OPEN</x:v>
      </x:c>
    </x:row>
    <x:row r="1921">
      <x:c r="B1921" t="str">
        <x:v>PH-RV-016</x:v>
      </x:c>
      <x:c r="C1921" t="str">
        <x:v>PHYSICAL</x:v>
      </x:c>
      <x:c r="D1921" t="str">
        <x:v>reported value</x:v>
      </x:c>
      <x:c r="E1921" t="str">
        <x:v>PH-RV-016</x:v>
      </x:c>
      <x:c r="F1921" t="n">
        <x:f>IF('Trial Register'!S22&lt;&gt;"",1,0)</x:f>
        <x:v>0</x:v>
      </x:c>
      <x:c r="G1921" t="n">
        <x:v>1</x:v>
      </x:c>
      <x:c r="H1921" t="str">
        <x:v>independent physical acceptance</x:v>
      </x:c>
      <x:c r="I1921" t="str">
        <x:f>IF(F1921=1,"PASS","OPEN")</x:f>
        <x:v>OPEN</x:v>
      </x:c>
    </x:row>
    <x:row r="1922">
      <x:c r="B1922" t="str">
        <x:v>PH-CR-016</x:v>
      </x:c>
      <x:c r="C1922" t="str">
        <x:v>PHYSICAL</x:v>
      </x:c>
      <x:c r="D1922" t="str">
        <x:v>credit acceptance</x:v>
      </x:c>
      <x:c r="E1922" t="str">
        <x:v>PH-CR-016</x:v>
      </x:c>
      <x:c r="F1922" t="str">
        <x:f>'Trial Register'!V22</x:f>
      </x:c>
      <x:c r="G1922" t="n">
        <x:v>1</x:v>
      </x:c>
      <x:c r="H1922" t="str">
        <x:v>independent physical acceptance</x:v>
      </x:c>
      <x:c r="I1922" t="str">
        <x:f>IF(F1922=1,"PASS","OPEN")</x:f>
        <x:v>OPEN</x:v>
      </x:c>
    </x:row>
    <x:row r="1923">
      <x:c r="B1923" t="str">
        <x:v>PH-EX-017</x:v>
      </x:c>
      <x:c r="C1923" t="str">
        <x:v>PHYSICAL</x:v>
      </x:c>
      <x:c r="D1923" t="str">
        <x:v>trial execution</x:v>
      </x:c>
      <x:c r="E1923" t="str">
        <x:v>PH-EX-017</x:v>
      </x:c>
      <x:c r="F1923" t="n">
        <x:f>IF('Trial Register'!P23&lt;&gt;"",1,0)</x:f>
        <x:v>0</x:v>
      </x:c>
      <x:c r="G1923" t="n">
        <x:v>1</x:v>
      </x:c>
      <x:c r="H1923" t="str">
        <x:v>independent physical acceptance</x:v>
      </x:c>
      <x:c r="I1923" t="str">
        <x:f>IF(F1923=1,"PASS","OPEN")</x:f>
        <x:v>OPEN</x:v>
      </x:c>
    </x:row>
    <x:row r="1924">
      <x:c r="B1924" t="str">
        <x:v>PH-PK-017</x:v>
      </x:c>
      <x:c r="C1924" t="str">
        <x:v>PHYSICAL</x:v>
      </x:c>
      <x:c r="D1924" t="str">
        <x:v>trial packet</x:v>
      </x:c>
      <x:c r="E1924" t="str">
        <x:v>PH-PK-017</x:v>
      </x:c>
      <x:c r="F1924" t="n">
        <x:f>IF('Trial Register'!Q23&lt;&gt;"",1,0)</x:f>
        <x:v>0</x:v>
      </x:c>
      <x:c r="G1924" t="n">
        <x:v>1</x:v>
      </x:c>
      <x:c r="H1924" t="str">
        <x:v>independent physical acceptance</x:v>
      </x:c>
      <x:c r="I1924" t="str">
        <x:f>IF(F1924=1,"PASS","OPEN")</x:f>
        <x:v>OPEN</x:v>
      </x:c>
    </x:row>
    <x:row r="1925">
      <x:c r="B1925" t="str">
        <x:v>PH-VA-017</x:v>
      </x:c>
      <x:c r="C1925" t="str">
        <x:v>PHYSICAL</x:v>
      </x:c>
      <x:c r="D1925" t="str">
        <x:v>trial validity</x:v>
      </x:c>
      <x:c r="E1925" t="str">
        <x:v>PH-VA-017</x:v>
      </x:c>
      <x:c r="F1925" t="n">
        <x:f>IF('Trial Register'!R23&lt;&gt;"",1,0)</x:f>
        <x:v>0</x:v>
      </x:c>
      <x:c r="G1925" t="n">
        <x:v>1</x:v>
      </x:c>
      <x:c r="H1925" t="str">
        <x:v>independent physical acceptance</x:v>
      </x:c>
      <x:c r="I1925" t="str">
        <x:f>IF(F1925=1,"PASS","OPEN")</x:f>
        <x:v>OPEN</x:v>
      </x:c>
    </x:row>
    <x:row r="1926">
      <x:c r="B1926" t="str">
        <x:v>PH-RV-017</x:v>
      </x:c>
      <x:c r="C1926" t="str">
        <x:v>PHYSICAL</x:v>
      </x:c>
      <x:c r="D1926" t="str">
        <x:v>reported value</x:v>
      </x:c>
      <x:c r="E1926" t="str">
        <x:v>PH-RV-017</x:v>
      </x:c>
      <x:c r="F1926" t="n">
        <x:f>IF('Trial Register'!S23&lt;&gt;"",1,0)</x:f>
        <x:v>0</x:v>
      </x:c>
      <x:c r="G1926" t="n">
        <x:v>1</x:v>
      </x:c>
      <x:c r="H1926" t="str">
        <x:v>independent physical acceptance</x:v>
      </x:c>
      <x:c r="I1926" t="str">
        <x:f>IF(F1926=1,"PASS","OPEN")</x:f>
        <x:v>OPEN</x:v>
      </x:c>
    </x:row>
    <x:row r="1927">
      <x:c r="B1927" t="str">
        <x:v>PH-CR-017</x:v>
      </x:c>
      <x:c r="C1927" t="str">
        <x:v>PHYSICAL</x:v>
      </x:c>
      <x:c r="D1927" t="str">
        <x:v>credit acceptance</x:v>
      </x:c>
      <x:c r="E1927" t="str">
        <x:v>PH-CR-017</x:v>
      </x:c>
      <x:c r="F1927" t="str">
        <x:f>'Trial Register'!V23</x:f>
      </x:c>
      <x:c r="G1927" t="n">
        <x:v>1</x:v>
      </x:c>
      <x:c r="H1927" t="str">
        <x:v>independent physical acceptance</x:v>
      </x:c>
      <x:c r="I1927" t="str">
        <x:f>IF(F1927=1,"PASS","OPEN")</x:f>
        <x:v>OPEN</x:v>
      </x:c>
    </x:row>
    <x:row r="1928">
      <x:c r="B1928" t="str">
        <x:v>PH-EX-018</x:v>
      </x:c>
      <x:c r="C1928" t="str">
        <x:v>PHYSICAL</x:v>
      </x:c>
      <x:c r="D1928" t="str">
        <x:v>trial execution</x:v>
      </x:c>
      <x:c r="E1928" t="str">
        <x:v>PH-EX-018</x:v>
      </x:c>
      <x:c r="F1928" t="n">
        <x:f>IF('Trial Register'!P24&lt;&gt;"",1,0)</x:f>
        <x:v>0</x:v>
      </x:c>
      <x:c r="G1928" t="n">
        <x:v>1</x:v>
      </x:c>
      <x:c r="H1928" t="str">
        <x:v>independent physical acceptance</x:v>
      </x:c>
      <x:c r="I1928" t="str">
        <x:f>IF(F1928=1,"PASS","OPEN")</x:f>
        <x:v>OPEN</x:v>
      </x:c>
    </x:row>
    <x:row r="1929">
      <x:c r="B1929" t="str">
        <x:v>PH-PK-018</x:v>
      </x:c>
      <x:c r="C1929" t="str">
        <x:v>PHYSICAL</x:v>
      </x:c>
      <x:c r="D1929" t="str">
        <x:v>trial packet</x:v>
      </x:c>
      <x:c r="E1929" t="str">
        <x:v>PH-PK-018</x:v>
      </x:c>
      <x:c r="F1929" t="n">
        <x:f>IF('Trial Register'!Q24&lt;&gt;"",1,0)</x:f>
        <x:v>0</x:v>
      </x:c>
      <x:c r="G1929" t="n">
        <x:v>1</x:v>
      </x:c>
      <x:c r="H1929" t="str">
        <x:v>independent physical acceptance</x:v>
      </x:c>
      <x:c r="I1929" t="str">
        <x:f>IF(F1929=1,"PASS","OPEN")</x:f>
        <x:v>OPEN</x:v>
      </x:c>
    </x:row>
    <x:row r="1930">
      <x:c r="B1930" t="str">
        <x:v>PH-VA-018</x:v>
      </x:c>
      <x:c r="C1930" t="str">
        <x:v>PHYSICAL</x:v>
      </x:c>
      <x:c r="D1930" t="str">
        <x:v>trial validity</x:v>
      </x:c>
      <x:c r="E1930" t="str">
        <x:v>PH-VA-018</x:v>
      </x:c>
      <x:c r="F1930" t="n">
        <x:f>IF('Trial Register'!R24&lt;&gt;"",1,0)</x:f>
        <x:v>0</x:v>
      </x:c>
      <x:c r="G1930" t="n">
        <x:v>1</x:v>
      </x:c>
      <x:c r="H1930" t="str">
        <x:v>independent physical acceptance</x:v>
      </x:c>
      <x:c r="I1930" t="str">
        <x:f>IF(F1930=1,"PASS","OPEN")</x:f>
        <x:v>OPEN</x:v>
      </x:c>
    </x:row>
    <x:row r="1931">
      <x:c r="B1931" t="str">
        <x:v>PH-RV-018</x:v>
      </x:c>
      <x:c r="C1931" t="str">
        <x:v>PHYSICAL</x:v>
      </x:c>
      <x:c r="D1931" t="str">
        <x:v>reported value</x:v>
      </x:c>
      <x:c r="E1931" t="str">
        <x:v>PH-RV-018</x:v>
      </x:c>
      <x:c r="F1931" t="n">
        <x:f>IF('Trial Register'!S24&lt;&gt;"",1,0)</x:f>
        <x:v>0</x:v>
      </x:c>
      <x:c r="G1931" t="n">
        <x:v>1</x:v>
      </x:c>
      <x:c r="H1931" t="str">
        <x:v>independent physical acceptance</x:v>
      </x:c>
      <x:c r="I1931" t="str">
        <x:f>IF(F1931=1,"PASS","OPEN")</x:f>
        <x:v>OPEN</x:v>
      </x:c>
    </x:row>
    <x:row r="1932">
      <x:c r="B1932" t="str">
        <x:v>PH-CR-018</x:v>
      </x:c>
      <x:c r="C1932" t="str">
        <x:v>PHYSICAL</x:v>
      </x:c>
      <x:c r="D1932" t="str">
        <x:v>credit acceptance</x:v>
      </x:c>
      <x:c r="E1932" t="str">
        <x:v>PH-CR-018</x:v>
      </x:c>
      <x:c r="F1932" t="str">
        <x:f>'Trial Register'!V24</x:f>
      </x:c>
      <x:c r="G1932" t="n">
        <x:v>1</x:v>
      </x:c>
      <x:c r="H1932" t="str">
        <x:v>independent physical acceptance</x:v>
      </x:c>
      <x:c r="I1932" t="str">
        <x:f>IF(F1932=1,"PASS","OPEN")</x:f>
        <x:v>OPEN</x:v>
      </x:c>
    </x:row>
    <x:row r="1933">
      <x:c r="B1933" t="str">
        <x:v>PH-EX-019</x:v>
      </x:c>
      <x:c r="C1933" t="str">
        <x:v>PHYSICAL</x:v>
      </x:c>
      <x:c r="D1933" t="str">
        <x:v>trial execution</x:v>
      </x:c>
      <x:c r="E1933" t="str">
        <x:v>PH-EX-019</x:v>
      </x:c>
      <x:c r="F1933" t="n">
        <x:f>IF('Trial Register'!P25&lt;&gt;"",1,0)</x:f>
        <x:v>0</x:v>
      </x:c>
      <x:c r="G1933" t="n">
        <x:v>1</x:v>
      </x:c>
      <x:c r="H1933" t="str">
        <x:v>independent physical acceptance</x:v>
      </x:c>
      <x:c r="I1933" t="str">
        <x:f>IF(F1933=1,"PASS","OPEN")</x:f>
        <x:v>OPEN</x:v>
      </x:c>
    </x:row>
    <x:row r="1934">
      <x:c r="B1934" t="str">
        <x:v>PH-PK-019</x:v>
      </x:c>
      <x:c r="C1934" t="str">
        <x:v>PHYSICAL</x:v>
      </x:c>
      <x:c r="D1934" t="str">
        <x:v>trial packet</x:v>
      </x:c>
      <x:c r="E1934" t="str">
        <x:v>PH-PK-019</x:v>
      </x:c>
      <x:c r="F1934" t="n">
        <x:f>IF('Trial Register'!Q25&lt;&gt;"",1,0)</x:f>
        <x:v>0</x:v>
      </x:c>
      <x:c r="G1934" t="n">
        <x:v>1</x:v>
      </x:c>
      <x:c r="H1934" t="str">
        <x:v>independent physical acceptance</x:v>
      </x:c>
      <x:c r="I1934" t="str">
        <x:f>IF(F1934=1,"PASS","OPEN")</x:f>
        <x:v>OPEN</x:v>
      </x:c>
    </x:row>
    <x:row r="1935">
      <x:c r="B1935" t="str">
        <x:v>PH-VA-019</x:v>
      </x:c>
      <x:c r="C1935" t="str">
        <x:v>PHYSICAL</x:v>
      </x:c>
      <x:c r="D1935" t="str">
        <x:v>trial validity</x:v>
      </x:c>
      <x:c r="E1935" t="str">
        <x:v>PH-VA-019</x:v>
      </x:c>
      <x:c r="F1935" t="n">
        <x:f>IF('Trial Register'!R25&lt;&gt;"",1,0)</x:f>
        <x:v>0</x:v>
      </x:c>
      <x:c r="G1935" t="n">
        <x:v>1</x:v>
      </x:c>
      <x:c r="H1935" t="str">
        <x:v>independent physical acceptance</x:v>
      </x:c>
      <x:c r="I1935" t="str">
        <x:f>IF(F1935=1,"PASS","OPEN")</x:f>
        <x:v>OPEN</x:v>
      </x:c>
    </x:row>
    <x:row r="1936">
      <x:c r="B1936" t="str">
        <x:v>PH-RV-019</x:v>
      </x:c>
      <x:c r="C1936" t="str">
        <x:v>PHYSICAL</x:v>
      </x:c>
      <x:c r="D1936" t="str">
        <x:v>reported value</x:v>
      </x:c>
      <x:c r="E1936" t="str">
        <x:v>PH-RV-019</x:v>
      </x:c>
      <x:c r="F1936" t="n">
        <x:f>IF('Trial Register'!S25&lt;&gt;"",1,0)</x:f>
        <x:v>0</x:v>
      </x:c>
      <x:c r="G1936" t="n">
        <x:v>1</x:v>
      </x:c>
      <x:c r="H1936" t="str">
        <x:v>independent physical acceptance</x:v>
      </x:c>
      <x:c r="I1936" t="str">
        <x:f>IF(F1936=1,"PASS","OPEN")</x:f>
        <x:v>OPEN</x:v>
      </x:c>
    </x:row>
    <x:row r="1937">
      <x:c r="B1937" t="str">
        <x:v>PH-CR-019</x:v>
      </x:c>
      <x:c r="C1937" t="str">
        <x:v>PHYSICAL</x:v>
      </x:c>
      <x:c r="D1937" t="str">
        <x:v>credit acceptance</x:v>
      </x:c>
      <x:c r="E1937" t="str">
        <x:v>PH-CR-019</x:v>
      </x:c>
      <x:c r="F1937" t="str">
        <x:f>'Trial Register'!V25</x:f>
      </x:c>
      <x:c r="G1937" t="n">
        <x:v>1</x:v>
      </x:c>
      <x:c r="H1937" t="str">
        <x:v>independent physical acceptance</x:v>
      </x:c>
      <x:c r="I1937" t="str">
        <x:f>IF(F1937=1,"PASS","OPEN")</x:f>
        <x:v>OPEN</x:v>
      </x:c>
    </x:row>
    <x:row r="1938">
      <x:c r="B1938" t="str">
        <x:v>PH-EX-020</x:v>
      </x:c>
      <x:c r="C1938" t="str">
        <x:v>PHYSICAL</x:v>
      </x:c>
      <x:c r="D1938" t="str">
        <x:v>trial execution</x:v>
      </x:c>
      <x:c r="E1938" t="str">
        <x:v>PH-EX-020</x:v>
      </x:c>
      <x:c r="F1938" t="n">
        <x:f>IF('Trial Register'!P26&lt;&gt;"",1,0)</x:f>
        <x:v>0</x:v>
      </x:c>
      <x:c r="G1938" t="n">
        <x:v>1</x:v>
      </x:c>
      <x:c r="H1938" t="str">
        <x:v>independent physical acceptance</x:v>
      </x:c>
      <x:c r="I1938" t="str">
        <x:f>IF(F1938=1,"PASS","OPEN")</x:f>
        <x:v>OPEN</x:v>
      </x:c>
    </x:row>
    <x:row r="1939">
      <x:c r="B1939" t="str">
        <x:v>PH-PK-020</x:v>
      </x:c>
      <x:c r="C1939" t="str">
        <x:v>PHYSICAL</x:v>
      </x:c>
      <x:c r="D1939" t="str">
        <x:v>trial packet</x:v>
      </x:c>
      <x:c r="E1939" t="str">
        <x:v>PH-PK-020</x:v>
      </x:c>
      <x:c r="F1939" t="n">
        <x:f>IF('Trial Register'!Q26&lt;&gt;"",1,0)</x:f>
        <x:v>0</x:v>
      </x:c>
      <x:c r="G1939" t="n">
        <x:v>1</x:v>
      </x:c>
      <x:c r="H1939" t="str">
        <x:v>independent physical acceptance</x:v>
      </x:c>
      <x:c r="I1939" t="str">
        <x:f>IF(F1939=1,"PASS","OPEN")</x:f>
        <x:v>OPEN</x:v>
      </x:c>
    </x:row>
    <x:row r="1940">
      <x:c r="B1940" t="str">
        <x:v>PH-VA-020</x:v>
      </x:c>
      <x:c r="C1940" t="str">
        <x:v>PHYSICAL</x:v>
      </x:c>
      <x:c r="D1940" t="str">
        <x:v>trial validity</x:v>
      </x:c>
      <x:c r="E1940" t="str">
        <x:v>PH-VA-020</x:v>
      </x:c>
      <x:c r="F1940" t="n">
        <x:f>IF('Trial Register'!R26&lt;&gt;"",1,0)</x:f>
        <x:v>0</x:v>
      </x:c>
      <x:c r="G1940" t="n">
        <x:v>1</x:v>
      </x:c>
      <x:c r="H1940" t="str">
        <x:v>independent physical acceptance</x:v>
      </x:c>
      <x:c r="I1940" t="str">
        <x:f>IF(F1940=1,"PASS","OPEN")</x:f>
        <x:v>OPEN</x:v>
      </x:c>
    </x:row>
    <x:row r="1941">
      <x:c r="B1941" t="str">
        <x:v>PH-RV-020</x:v>
      </x:c>
      <x:c r="C1941" t="str">
        <x:v>PHYSICAL</x:v>
      </x:c>
      <x:c r="D1941" t="str">
        <x:v>reported value</x:v>
      </x:c>
      <x:c r="E1941" t="str">
        <x:v>PH-RV-020</x:v>
      </x:c>
      <x:c r="F1941" t="n">
        <x:f>IF('Trial Register'!S26&lt;&gt;"",1,0)</x:f>
        <x:v>0</x:v>
      </x:c>
      <x:c r="G1941" t="n">
        <x:v>1</x:v>
      </x:c>
      <x:c r="H1941" t="str">
        <x:v>independent physical acceptance</x:v>
      </x:c>
      <x:c r="I1941" t="str">
        <x:f>IF(F1941=1,"PASS","OPEN")</x:f>
        <x:v>OPEN</x:v>
      </x:c>
    </x:row>
    <x:row r="1942">
      <x:c r="B1942" t="str">
        <x:v>PH-CR-020</x:v>
      </x:c>
      <x:c r="C1942" t="str">
        <x:v>PHYSICAL</x:v>
      </x:c>
      <x:c r="D1942" t="str">
        <x:v>credit acceptance</x:v>
      </x:c>
      <x:c r="E1942" t="str">
        <x:v>PH-CR-020</x:v>
      </x:c>
      <x:c r="F1942" t="str">
        <x:f>'Trial Register'!V26</x:f>
      </x:c>
      <x:c r="G1942" t="n">
        <x:v>1</x:v>
      </x:c>
      <x:c r="H1942" t="str">
        <x:v>independent physical acceptance</x:v>
      </x:c>
      <x:c r="I1942" t="str">
        <x:f>IF(F1942=1,"PASS","OPEN")</x:f>
        <x:v>OPEN</x:v>
      </x:c>
    </x:row>
    <x:row r="1943">
      <x:c r="B1943" t="str">
        <x:v>PH-EX-021</x:v>
      </x:c>
      <x:c r="C1943" t="str">
        <x:v>PHYSICAL</x:v>
      </x:c>
      <x:c r="D1943" t="str">
        <x:v>trial execution</x:v>
      </x:c>
      <x:c r="E1943" t="str">
        <x:v>PH-EX-021</x:v>
      </x:c>
      <x:c r="F1943" t="n">
        <x:f>IF('Trial Register'!P27&lt;&gt;"",1,0)</x:f>
        <x:v>0</x:v>
      </x:c>
      <x:c r="G1943" t="n">
        <x:v>1</x:v>
      </x:c>
      <x:c r="H1943" t="str">
        <x:v>independent physical acceptance</x:v>
      </x:c>
      <x:c r="I1943" t="str">
        <x:f>IF(F1943=1,"PASS","OPEN")</x:f>
        <x:v>OPEN</x:v>
      </x:c>
    </x:row>
    <x:row r="1944">
      <x:c r="B1944" t="str">
        <x:v>PH-PK-021</x:v>
      </x:c>
      <x:c r="C1944" t="str">
        <x:v>PHYSICAL</x:v>
      </x:c>
      <x:c r="D1944" t="str">
        <x:v>trial packet</x:v>
      </x:c>
      <x:c r="E1944" t="str">
        <x:v>PH-PK-021</x:v>
      </x:c>
      <x:c r="F1944" t="n">
        <x:f>IF('Trial Register'!Q27&lt;&gt;"",1,0)</x:f>
        <x:v>0</x:v>
      </x:c>
      <x:c r="G1944" t="n">
        <x:v>1</x:v>
      </x:c>
      <x:c r="H1944" t="str">
        <x:v>independent physical acceptance</x:v>
      </x:c>
      <x:c r="I1944" t="str">
        <x:f>IF(F1944=1,"PASS","OPEN")</x:f>
        <x:v>OPEN</x:v>
      </x:c>
    </x:row>
    <x:row r="1945">
      <x:c r="B1945" t="str">
        <x:v>PH-VA-021</x:v>
      </x:c>
      <x:c r="C1945" t="str">
        <x:v>PHYSICAL</x:v>
      </x:c>
      <x:c r="D1945" t="str">
        <x:v>trial validity</x:v>
      </x:c>
      <x:c r="E1945" t="str">
        <x:v>PH-VA-021</x:v>
      </x:c>
      <x:c r="F1945" t="n">
        <x:f>IF('Trial Register'!R27&lt;&gt;"",1,0)</x:f>
        <x:v>0</x:v>
      </x:c>
      <x:c r="G1945" t="n">
        <x:v>1</x:v>
      </x:c>
      <x:c r="H1945" t="str">
        <x:v>independent physical acceptance</x:v>
      </x:c>
      <x:c r="I1945" t="str">
        <x:f>IF(F1945=1,"PASS","OPEN")</x:f>
        <x:v>OPEN</x:v>
      </x:c>
    </x:row>
    <x:row r="1946">
      <x:c r="B1946" t="str">
        <x:v>PH-RV-021</x:v>
      </x:c>
      <x:c r="C1946" t="str">
        <x:v>PHYSICAL</x:v>
      </x:c>
      <x:c r="D1946" t="str">
        <x:v>reported value</x:v>
      </x:c>
      <x:c r="E1946" t="str">
        <x:v>PH-RV-021</x:v>
      </x:c>
      <x:c r="F1946" t="n">
        <x:f>IF('Trial Register'!S27&lt;&gt;"",1,0)</x:f>
        <x:v>0</x:v>
      </x:c>
      <x:c r="G1946" t="n">
        <x:v>1</x:v>
      </x:c>
      <x:c r="H1946" t="str">
        <x:v>independent physical acceptance</x:v>
      </x:c>
      <x:c r="I1946" t="str">
        <x:f>IF(F1946=1,"PASS","OPEN")</x:f>
        <x:v>OPEN</x:v>
      </x:c>
    </x:row>
    <x:row r="1947">
      <x:c r="B1947" t="str">
        <x:v>PH-CR-021</x:v>
      </x:c>
      <x:c r="C1947" t="str">
        <x:v>PHYSICAL</x:v>
      </x:c>
      <x:c r="D1947" t="str">
        <x:v>credit acceptance</x:v>
      </x:c>
      <x:c r="E1947" t="str">
        <x:v>PH-CR-021</x:v>
      </x:c>
      <x:c r="F1947" t="str">
        <x:f>'Trial Register'!V27</x:f>
      </x:c>
      <x:c r="G1947" t="n">
        <x:v>1</x:v>
      </x:c>
      <x:c r="H1947" t="str">
        <x:v>independent physical acceptance</x:v>
      </x:c>
      <x:c r="I1947" t="str">
        <x:f>IF(F1947=1,"PASS","OPEN")</x:f>
        <x:v>OPEN</x:v>
      </x:c>
    </x:row>
    <x:row r="1948">
      <x:c r="B1948" t="str">
        <x:v>PH-EX-022</x:v>
      </x:c>
      <x:c r="C1948" t="str">
        <x:v>PHYSICAL</x:v>
      </x:c>
      <x:c r="D1948" t="str">
        <x:v>trial execution</x:v>
      </x:c>
      <x:c r="E1948" t="str">
        <x:v>PH-EX-022</x:v>
      </x:c>
      <x:c r="F1948" t="n">
        <x:f>IF('Trial Register'!P28&lt;&gt;"",1,0)</x:f>
        <x:v>0</x:v>
      </x:c>
      <x:c r="G1948" t="n">
        <x:v>1</x:v>
      </x:c>
      <x:c r="H1948" t="str">
        <x:v>independent physical acceptance</x:v>
      </x:c>
      <x:c r="I1948" t="str">
        <x:f>IF(F1948=1,"PASS","OPEN")</x:f>
        <x:v>OPEN</x:v>
      </x:c>
    </x:row>
    <x:row r="1949">
      <x:c r="B1949" t="str">
        <x:v>PH-PK-022</x:v>
      </x:c>
      <x:c r="C1949" t="str">
        <x:v>PHYSICAL</x:v>
      </x:c>
      <x:c r="D1949" t="str">
        <x:v>trial packet</x:v>
      </x:c>
      <x:c r="E1949" t="str">
        <x:v>PH-PK-022</x:v>
      </x:c>
      <x:c r="F1949" t="n">
        <x:f>IF('Trial Register'!Q28&lt;&gt;"",1,0)</x:f>
        <x:v>0</x:v>
      </x:c>
      <x:c r="G1949" t="n">
        <x:v>1</x:v>
      </x:c>
      <x:c r="H1949" t="str">
        <x:v>independent physical acceptance</x:v>
      </x:c>
      <x:c r="I1949" t="str">
        <x:f>IF(F1949=1,"PASS","OPEN")</x:f>
        <x:v>OPEN</x:v>
      </x:c>
    </x:row>
    <x:row r="1950">
      <x:c r="B1950" t="str">
        <x:v>PH-VA-022</x:v>
      </x:c>
      <x:c r="C1950" t="str">
        <x:v>PHYSICAL</x:v>
      </x:c>
      <x:c r="D1950" t="str">
        <x:v>trial validity</x:v>
      </x:c>
      <x:c r="E1950" t="str">
        <x:v>PH-VA-022</x:v>
      </x:c>
      <x:c r="F1950" t="n">
        <x:f>IF('Trial Register'!R28&lt;&gt;"",1,0)</x:f>
        <x:v>0</x:v>
      </x:c>
      <x:c r="G1950" t="n">
        <x:v>1</x:v>
      </x:c>
      <x:c r="H1950" t="str">
        <x:v>independent physical acceptance</x:v>
      </x:c>
      <x:c r="I1950" t="str">
        <x:f>IF(F1950=1,"PASS","OPEN")</x:f>
        <x:v>OPEN</x:v>
      </x:c>
    </x:row>
    <x:row r="1951">
      <x:c r="B1951" t="str">
        <x:v>PH-RV-022</x:v>
      </x:c>
      <x:c r="C1951" t="str">
        <x:v>PHYSICAL</x:v>
      </x:c>
      <x:c r="D1951" t="str">
        <x:v>reported value</x:v>
      </x:c>
      <x:c r="E1951" t="str">
        <x:v>PH-RV-022</x:v>
      </x:c>
      <x:c r="F1951" t="n">
        <x:f>IF('Trial Register'!S28&lt;&gt;"",1,0)</x:f>
        <x:v>0</x:v>
      </x:c>
      <x:c r="G1951" t="n">
        <x:v>1</x:v>
      </x:c>
      <x:c r="H1951" t="str">
        <x:v>independent physical acceptance</x:v>
      </x:c>
      <x:c r="I1951" t="str">
        <x:f>IF(F1951=1,"PASS","OPEN")</x:f>
        <x:v>OPEN</x:v>
      </x:c>
    </x:row>
    <x:row r="1952">
      <x:c r="B1952" t="str">
        <x:v>PH-CR-022</x:v>
      </x:c>
      <x:c r="C1952" t="str">
        <x:v>PHYSICAL</x:v>
      </x:c>
      <x:c r="D1952" t="str">
        <x:v>credit acceptance</x:v>
      </x:c>
      <x:c r="E1952" t="str">
        <x:v>PH-CR-022</x:v>
      </x:c>
      <x:c r="F1952" t="str">
        <x:f>'Trial Register'!V28</x:f>
      </x:c>
      <x:c r="G1952" t="n">
        <x:v>1</x:v>
      </x:c>
      <x:c r="H1952" t="str">
        <x:v>independent physical acceptance</x:v>
      </x:c>
      <x:c r="I1952" t="str">
        <x:f>IF(F1952=1,"PASS","OPEN")</x:f>
        <x:v>OPEN</x:v>
      </x:c>
    </x:row>
    <x:row r="1953">
      <x:c r="B1953" t="str">
        <x:v>PH-EX-023</x:v>
      </x:c>
      <x:c r="C1953" t="str">
        <x:v>PHYSICAL</x:v>
      </x:c>
      <x:c r="D1953" t="str">
        <x:v>trial execution</x:v>
      </x:c>
      <x:c r="E1953" t="str">
        <x:v>PH-EX-023</x:v>
      </x:c>
      <x:c r="F1953" t="n">
        <x:f>IF('Trial Register'!P29&lt;&gt;"",1,0)</x:f>
        <x:v>0</x:v>
      </x:c>
      <x:c r="G1953" t="n">
        <x:v>1</x:v>
      </x:c>
      <x:c r="H1953" t="str">
        <x:v>independent physical acceptance</x:v>
      </x:c>
      <x:c r="I1953" t="str">
        <x:f>IF(F1953=1,"PASS","OPEN")</x:f>
        <x:v>OPEN</x:v>
      </x:c>
    </x:row>
    <x:row r="1954">
      <x:c r="B1954" t="str">
        <x:v>PH-PK-023</x:v>
      </x:c>
      <x:c r="C1954" t="str">
        <x:v>PHYSICAL</x:v>
      </x:c>
      <x:c r="D1954" t="str">
        <x:v>trial packet</x:v>
      </x:c>
      <x:c r="E1954" t="str">
        <x:v>PH-PK-023</x:v>
      </x:c>
      <x:c r="F1954" t="n">
        <x:f>IF('Trial Register'!Q29&lt;&gt;"",1,0)</x:f>
        <x:v>0</x:v>
      </x:c>
      <x:c r="G1954" t="n">
        <x:v>1</x:v>
      </x:c>
      <x:c r="H1954" t="str">
        <x:v>independent physical acceptance</x:v>
      </x:c>
      <x:c r="I1954" t="str">
        <x:f>IF(F1954=1,"PASS","OPEN")</x:f>
        <x:v>OPEN</x:v>
      </x:c>
    </x:row>
    <x:row r="1955">
      <x:c r="B1955" t="str">
        <x:v>PH-VA-023</x:v>
      </x:c>
      <x:c r="C1955" t="str">
        <x:v>PHYSICAL</x:v>
      </x:c>
      <x:c r="D1955" t="str">
        <x:v>trial validity</x:v>
      </x:c>
      <x:c r="E1955" t="str">
        <x:v>PH-VA-023</x:v>
      </x:c>
      <x:c r="F1955" t="n">
        <x:f>IF('Trial Register'!R29&lt;&gt;"",1,0)</x:f>
        <x:v>0</x:v>
      </x:c>
      <x:c r="G1955" t="n">
        <x:v>1</x:v>
      </x:c>
      <x:c r="H1955" t="str">
        <x:v>independent physical acceptance</x:v>
      </x:c>
      <x:c r="I1955" t="str">
        <x:f>IF(F1955=1,"PASS","OPEN")</x:f>
        <x:v>OPEN</x:v>
      </x:c>
    </x:row>
    <x:row r="1956">
      <x:c r="B1956" t="str">
        <x:v>PH-RV-023</x:v>
      </x:c>
      <x:c r="C1956" t="str">
        <x:v>PHYSICAL</x:v>
      </x:c>
      <x:c r="D1956" t="str">
        <x:v>reported value</x:v>
      </x:c>
      <x:c r="E1956" t="str">
        <x:v>PH-RV-023</x:v>
      </x:c>
      <x:c r="F1956" t="n">
        <x:f>IF('Trial Register'!S29&lt;&gt;"",1,0)</x:f>
        <x:v>0</x:v>
      </x:c>
      <x:c r="G1956" t="n">
        <x:v>1</x:v>
      </x:c>
      <x:c r="H1956" t="str">
        <x:v>independent physical acceptance</x:v>
      </x:c>
      <x:c r="I1956" t="str">
        <x:f>IF(F1956=1,"PASS","OPEN")</x:f>
        <x:v>OPEN</x:v>
      </x:c>
    </x:row>
    <x:row r="1957">
      <x:c r="B1957" t="str">
        <x:v>PH-CR-023</x:v>
      </x:c>
      <x:c r="C1957" t="str">
        <x:v>PHYSICAL</x:v>
      </x:c>
      <x:c r="D1957" t="str">
        <x:v>credit acceptance</x:v>
      </x:c>
      <x:c r="E1957" t="str">
        <x:v>PH-CR-023</x:v>
      </x:c>
      <x:c r="F1957" t="str">
        <x:f>'Trial Register'!V29</x:f>
      </x:c>
      <x:c r="G1957" t="n">
        <x:v>1</x:v>
      </x:c>
      <x:c r="H1957" t="str">
        <x:v>independent physical acceptance</x:v>
      </x:c>
      <x:c r="I1957" t="str">
        <x:f>IF(F1957=1,"PASS","OPEN")</x:f>
        <x:v>OPEN</x:v>
      </x:c>
    </x:row>
    <x:row r="1958">
      <x:c r="B1958" t="str">
        <x:v>PH-EX-024</x:v>
      </x:c>
      <x:c r="C1958" t="str">
        <x:v>PHYSICAL</x:v>
      </x:c>
      <x:c r="D1958" t="str">
        <x:v>trial execution</x:v>
      </x:c>
      <x:c r="E1958" t="str">
        <x:v>PH-EX-024</x:v>
      </x:c>
      <x:c r="F1958" t="n">
        <x:f>IF('Trial Register'!P30&lt;&gt;"",1,0)</x:f>
        <x:v>0</x:v>
      </x:c>
      <x:c r="G1958" t="n">
        <x:v>1</x:v>
      </x:c>
      <x:c r="H1958" t="str">
        <x:v>independent physical acceptance</x:v>
      </x:c>
      <x:c r="I1958" t="str">
        <x:f>IF(F1958=1,"PASS","OPEN")</x:f>
        <x:v>OPEN</x:v>
      </x:c>
    </x:row>
    <x:row r="1959">
      <x:c r="B1959" t="str">
        <x:v>PH-PK-024</x:v>
      </x:c>
      <x:c r="C1959" t="str">
        <x:v>PHYSICAL</x:v>
      </x:c>
      <x:c r="D1959" t="str">
        <x:v>trial packet</x:v>
      </x:c>
      <x:c r="E1959" t="str">
        <x:v>PH-PK-024</x:v>
      </x:c>
      <x:c r="F1959" t="n">
        <x:f>IF('Trial Register'!Q30&lt;&gt;"",1,0)</x:f>
        <x:v>0</x:v>
      </x:c>
      <x:c r="G1959" t="n">
        <x:v>1</x:v>
      </x:c>
      <x:c r="H1959" t="str">
        <x:v>independent physical acceptance</x:v>
      </x:c>
      <x:c r="I1959" t="str">
        <x:f>IF(F1959=1,"PASS","OPEN")</x:f>
        <x:v>OPEN</x:v>
      </x:c>
    </x:row>
    <x:row r="1960">
      <x:c r="B1960" t="str">
        <x:v>PH-VA-024</x:v>
      </x:c>
      <x:c r="C1960" t="str">
        <x:v>PHYSICAL</x:v>
      </x:c>
      <x:c r="D1960" t="str">
        <x:v>trial validity</x:v>
      </x:c>
      <x:c r="E1960" t="str">
        <x:v>PH-VA-024</x:v>
      </x:c>
      <x:c r="F1960" t="n">
        <x:f>IF('Trial Register'!R30&lt;&gt;"",1,0)</x:f>
        <x:v>0</x:v>
      </x:c>
      <x:c r="G1960" t="n">
        <x:v>1</x:v>
      </x:c>
      <x:c r="H1960" t="str">
        <x:v>independent physical acceptance</x:v>
      </x:c>
      <x:c r="I1960" t="str">
        <x:f>IF(F1960=1,"PASS","OPEN")</x:f>
        <x:v>OPEN</x:v>
      </x:c>
    </x:row>
    <x:row r="1961">
      <x:c r="B1961" t="str">
        <x:v>PH-RV-024</x:v>
      </x:c>
      <x:c r="C1961" t="str">
        <x:v>PHYSICAL</x:v>
      </x:c>
      <x:c r="D1961" t="str">
        <x:v>reported value</x:v>
      </x:c>
      <x:c r="E1961" t="str">
        <x:v>PH-RV-024</x:v>
      </x:c>
      <x:c r="F1961" t="n">
        <x:f>IF('Trial Register'!S30&lt;&gt;"",1,0)</x:f>
        <x:v>0</x:v>
      </x:c>
      <x:c r="G1961" t="n">
        <x:v>1</x:v>
      </x:c>
      <x:c r="H1961" t="str">
        <x:v>independent physical acceptance</x:v>
      </x:c>
      <x:c r="I1961" t="str">
        <x:f>IF(F1961=1,"PASS","OPEN")</x:f>
        <x:v>OPEN</x:v>
      </x:c>
    </x:row>
    <x:row r="1962">
      <x:c r="B1962" t="str">
        <x:v>PH-CR-024</x:v>
      </x:c>
      <x:c r="C1962" t="str">
        <x:v>PHYSICAL</x:v>
      </x:c>
      <x:c r="D1962" t="str">
        <x:v>credit acceptance</x:v>
      </x:c>
      <x:c r="E1962" t="str">
        <x:v>PH-CR-024</x:v>
      </x:c>
      <x:c r="F1962" t="str">
        <x:f>'Trial Register'!V30</x:f>
      </x:c>
      <x:c r="G1962" t="n">
        <x:v>1</x:v>
      </x:c>
      <x:c r="H1962" t="str">
        <x:v>independent physical acceptance</x:v>
      </x:c>
      <x:c r="I1962" t="str">
        <x:f>IF(F1962=1,"PASS","OPEN")</x:f>
        <x:v>OPEN</x:v>
      </x:c>
    </x:row>
    <x:row r="1963">
      <x:c r="B1963" t="str">
        <x:v>PH-EX-025</x:v>
      </x:c>
      <x:c r="C1963" t="str">
        <x:v>PHYSICAL</x:v>
      </x:c>
      <x:c r="D1963" t="str">
        <x:v>trial execution</x:v>
      </x:c>
      <x:c r="E1963" t="str">
        <x:v>PH-EX-025</x:v>
      </x:c>
      <x:c r="F1963" t="n">
        <x:f>IF('Trial Register'!P31&lt;&gt;"",1,0)</x:f>
        <x:v>0</x:v>
      </x:c>
      <x:c r="G1963" t="n">
        <x:v>1</x:v>
      </x:c>
      <x:c r="H1963" t="str">
        <x:v>independent physical acceptance</x:v>
      </x:c>
      <x:c r="I1963" t="str">
        <x:f>IF(F1963=1,"PASS","OPEN")</x:f>
        <x:v>OPEN</x:v>
      </x:c>
    </x:row>
    <x:row r="1964">
      <x:c r="B1964" t="str">
        <x:v>PH-PK-025</x:v>
      </x:c>
      <x:c r="C1964" t="str">
        <x:v>PHYSICAL</x:v>
      </x:c>
      <x:c r="D1964" t="str">
        <x:v>trial packet</x:v>
      </x:c>
      <x:c r="E1964" t="str">
        <x:v>PH-PK-025</x:v>
      </x:c>
      <x:c r="F1964" t="n">
        <x:f>IF('Trial Register'!Q31&lt;&gt;"",1,0)</x:f>
        <x:v>0</x:v>
      </x:c>
      <x:c r="G1964" t="n">
        <x:v>1</x:v>
      </x:c>
      <x:c r="H1964" t="str">
        <x:v>independent physical acceptance</x:v>
      </x:c>
      <x:c r="I1964" t="str">
        <x:f>IF(F1964=1,"PASS","OPEN")</x:f>
        <x:v>OPEN</x:v>
      </x:c>
    </x:row>
    <x:row r="1965">
      <x:c r="B1965" t="str">
        <x:v>PH-VA-025</x:v>
      </x:c>
      <x:c r="C1965" t="str">
        <x:v>PHYSICAL</x:v>
      </x:c>
      <x:c r="D1965" t="str">
        <x:v>trial validity</x:v>
      </x:c>
      <x:c r="E1965" t="str">
        <x:v>PH-VA-025</x:v>
      </x:c>
      <x:c r="F1965" t="n">
        <x:f>IF('Trial Register'!R31&lt;&gt;"",1,0)</x:f>
        <x:v>0</x:v>
      </x:c>
      <x:c r="G1965" t="n">
        <x:v>1</x:v>
      </x:c>
      <x:c r="H1965" t="str">
        <x:v>independent physical acceptance</x:v>
      </x:c>
      <x:c r="I1965" t="str">
        <x:f>IF(F1965=1,"PASS","OPEN")</x:f>
        <x:v>OPEN</x:v>
      </x:c>
    </x:row>
    <x:row r="1966">
      <x:c r="B1966" t="str">
        <x:v>PH-RV-025</x:v>
      </x:c>
      <x:c r="C1966" t="str">
        <x:v>PHYSICAL</x:v>
      </x:c>
      <x:c r="D1966" t="str">
        <x:v>reported value</x:v>
      </x:c>
      <x:c r="E1966" t="str">
        <x:v>PH-RV-025</x:v>
      </x:c>
      <x:c r="F1966" t="n">
        <x:f>IF('Trial Register'!S31&lt;&gt;"",1,0)</x:f>
        <x:v>0</x:v>
      </x:c>
      <x:c r="G1966" t="n">
        <x:v>1</x:v>
      </x:c>
      <x:c r="H1966" t="str">
        <x:v>independent physical acceptance</x:v>
      </x:c>
      <x:c r="I1966" t="str">
        <x:f>IF(F1966=1,"PASS","OPEN")</x:f>
        <x:v>OPEN</x:v>
      </x:c>
    </x:row>
    <x:row r="1967">
      <x:c r="B1967" t="str">
        <x:v>PH-CR-025</x:v>
      </x:c>
      <x:c r="C1967" t="str">
        <x:v>PHYSICAL</x:v>
      </x:c>
      <x:c r="D1967" t="str">
        <x:v>credit acceptance</x:v>
      </x:c>
      <x:c r="E1967" t="str">
        <x:v>PH-CR-025</x:v>
      </x:c>
      <x:c r="F1967" t="str">
        <x:f>'Trial Register'!V31</x:f>
      </x:c>
      <x:c r="G1967" t="n">
        <x:v>1</x:v>
      </x:c>
      <x:c r="H1967" t="str">
        <x:v>independent physical acceptance</x:v>
      </x:c>
      <x:c r="I1967" t="str">
        <x:f>IF(F1967=1,"PASS","OPEN")</x:f>
        <x:v>OPEN</x:v>
      </x:c>
    </x:row>
    <x:row r="1968">
      <x:c r="B1968" t="str">
        <x:v>PH-EX-026</x:v>
      </x:c>
      <x:c r="C1968" t="str">
        <x:v>PHYSICAL</x:v>
      </x:c>
      <x:c r="D1968" t="str">
        <x:v>trial execution</x:v>
      </x:c>
      <x:c r="E1968" t="str">
        <x:v>PH-EX-026</x:v>
      </x:c>
      <x:c r="F1968" t="n">
        <x:f>IF('Trial Register'!P32&lt;&gt;"",1,0)</x:f>
        <x:v>0</x:v>
      </x:c>
      <x:c r="G1968" t="n">
        <x:v>1</x:v>
      </x:c>
      <x:c r="H1968" t="str">
        <x:v>independent physical acceptance</x:v>
      </x:c>
      <x:c r="I1968" t="str">
        <x:f>IF(F1968=1,"PASS","OPEN")</x:f>
        <x:v>OPEN</x:v>
      </x:c>
    </x:row>
    <x:row r="1969">
      <x:c r="B1969" t="str">
        <x:v>PH-PK-026</x:v>
      </x:c>
      <x:c r="C1969" t="str">
        <x:v>PHYSICAL</x:v>
      </x:c>
      <x:c r="D1969" t="str">
        <x:v>trial packet</x:v>
      </x:c>
      <x:c r="E1969" t="str">
        <x:v>PH-PK-026</x:v>
      </x:c>
      <x:c r="F1969" t="n">
        <x:f>IF('Trial Register'!Q32&lt;&gt;"",1,0)</x:f>
        <x:v>0</x:v>
      </x:c>
      <x:c r="G1969" t="n">
        <x:v>1</x:v>
      </x:c>
      <x:c r="H1969" t="str">
        <x:v>independent physical acceptance</x:v>
      </x:c>
      <x:c r="I1969" t="str">
        <x:f>IF(F1969=1,"PASS","OPEN")</x:f>
        <x:v>OPEN</x:v>
      </x:c>
    </x:row>
    <x:row r="1970">
      <x:c r="B1970" t="str">
        <x:v>PH-VA-026</x:v>
      </x:c>
      <x:c r="C1970" t="str">
        <x:v>PHYSICAL</x:v>
      </x:c>
      <x:c r="D1970" t="str">
        <x:v>trial validity</x:v>
      </x:c>
      <x:c r="E1970" t="str">
        <x:v>PH-VA-026</x:v>
      </x:c>
      <x:c r="F1970" t="n">
        <x:f>IF('Trial Register'!R32&lt;&gt;"",1,0)</x:f>
        <x:v>0</x:v>
      </x:c>
      <x:c r="G1970" t="n">
        <x:v>1</x:v>
      </x:c>
      <x:c r="H1970" t="str">
        <x:v>independent physical acceptance</x:v>
      </x:c>
      <x:c r="I1970" t="str">
        <x:f>IF(F1970=1,"PASS","OPEN")</x:f>
        <x:v>OPEN</x:v>
      </x:c>
    </x:row>
    <x:row r="1971">
      <x:c r="B1971" t="str">
        <x:v>PH-RV-026</x:v>
      </x:c>
      <x:c r="C1971" t="str">
        <x:v>PHYSICAL</x:v>
      </x:c>
      <x:c r="D1971" t="str">
        <x:v>reported value</x:v>
      </x:c>
      <x:c r="E1971" t="str">
        <x:v>PH-RV-026</x:v>
      </x:c>
      <x:c r="F1971" t="n">
        <x:f>IF('Trial Register'!S32&lt;&gt;"",1,0)</x:f>
        <x:v>0</x:v>
      </x:c>
      <x:c r="G1971" t="n">
        <x:v>1</x:v>
      </x:c>
      <x:c r="H1971" t="str">
        <x:v>independent physical acceptance</x:v>
      </x:c>
      <x:c r="I1971" t="str">
        <x:f>IF(F1971=1,"PASS","OPEN")</x:f>
        <x:v>OPEN</x:v>
      </x:c>
    </x:row>
    <x:row r="1972">
      <x:c r="B1972" t="str">
        <x:v>PH-CR-026</x:v>
      </x:c>
      <x:c r="C1972" t="str">
        <x:v>PHYSICAL</x:v>
      </x:c>
      <x:c r="D1972" t="str">
        <x:v>credit acceptance</x:v>
      </x:c>
      <x:c r="E1972" t="str">
        <x:v>PH-CR-026</x:v>
      </x:c>
      <x:c r="F1972" t="str">
        <x:f>'Trial Register'!V32</x:f>
      </x:c>
      <x:c r="G1972" t="n">
        <x:v>1</x:v>
      </x:c>
      <x:c r="H1972" t="str">
        <x:v>independent physical acceptance</x:v>
      </x:c>
      <x:c r="I1972" t="str">
        <x:f>IF(F1972=1,"PASS","OPEN")</x:f>
        <x:v>OPEN</x:v>
      </x:c>
    </x:row>
    <x:row r="1973">
      <x:c r="B1973" t="str">
        <x:v>PH-EX-027</x:v>
      </x:c>
      <x:c r="C1973" t="str">
        <x:v>PHYSICAL</x:v>
      </x:c>
      <x:c r="D1973" t="str">
        <x:v>trial execution</x:v>
      </x:c>
      <x:c r="E1973" t="str">
        <x:v>PH-EX-027</x:v>
      </x:c>
      <x:c r="F1973" t="n">
        <x:f>IF('Trial Register'!P33&lt;&gt;"",1,0)</x:f>
        <x:v>0</x:v>
      </x:c>
      <x:c r="G1973" t="n">
        <x:v>1</x:v>
      </x:c>
      <x:c r="H1973" t="str">
        <x:v>independent physical acceptance</x:v>
      </x:c>
      <x:c r="I1973" t="str">
        <x:f>IF(F1973=1,"PASS","OPEN")</x:f>
        <x:v>OPEN</x:v>
      </x:c>
    </x:row>
    <x:row r="1974">
      <x:c r="B1974" t="str">
        <x:v>PH-PK-027</x:v>
      </x:c>
      <x:c r="C1974" t="str">
        <x:v>PHYSICAL</x:v>
      </x:c>
      <x:c r="D1974" t="str">
        <x:v>trial packet</x:v>
      </x:c>
      <x:c r="E1974" t="str">
        <x:v>PH-PK-027</x:v>
      </x:c>
      <x:c r="F1974" t="n">
        <x:f>IF('Trial Register'!Q33&lt;&gt;"",1,0)</x:f>
        <x:v>0</x:v>
      </x:c>
      <x:c r="G1974" t="n">
        <x:v>1</x:v>
      </x:c>
      <x:c r="H1974" t="str">
        <x:v>independent physical acceptance</x:v>
      </x:c>
      <x:c r="I1974" t="str">
        <x:f>IF(F1974=1,"PASS","OPEN")</x:f>
        <x:v>OPEN</x:v>
      </x:c>
    </x:row>
    <x:row r="1975">
      <x:c r="B1975" t="str">
        <x:v>PH-VA-027</x:v>
      </x:c>
      <x:c r="C1975" t="str">
        <x:v>PHYSICAL</x:v>
      </x:c>
      <x:c r="D1975" t="str">
        <x:v>trial validity</x:v>
      </x:c>
      <x:c r="E1975" t="str">
        <x:v>PH-VA-027</x:v>
      </x:c>
      <x:c r="F1975" t="n">
        <x:f>IF('Trial Register'!R33&lt;&gt;"",1,0)</x:f>
        <x:v>0</x:v>
      </x:c>
      <x:c r="G1975" t="n">
        <x:v>1</x:v>
      </x:c>
      <x:c r="H1975" t="str">
        <x:v>independent physical acceptance</x:v>
      </x:c>
      <x:c r="I1975" t="str">
        <x:f>IF(F1975=1,"PASS","OPEN")</x:f>
        <x:v>OPEN</x:v>
      </x:c>
    </x:row>
    <x:row r="1976">
      <x:c r="B1976" t="str">
        <x:v>PH-RV-027</x:v>
      </x:c>
      <x:c r="C1976" t="str">
        <x:v>PHYSICAL</x:v>
      </x:c>
      <x:c r="D1976" t="str">
        <x:v>reported value</x:v>
      </x:c>
      <x:c r="E1976" t="str">
        <x:v>PH-RV-027</x:v>
      </x:c>
      <x:c r="F1976" t="n">
        <x:f>IF('Trial Register'!S33&lt;&gt;"",1,0)</x:f>
        <x:v>0</x:v>
      </x:c>
      <x:c r="G1976" t="n">
        <x:v>1</x:v>
      </x:c>
      <x:c r="H1976" t="str">
        <x:v>independent physical acceptance</x:v>
      </x:c>
      <x:c r="I1976" t="str">
        <x:f>IF(F1976=1,"PASS","OPEN")</x:f>
        <x:v>OPEN</x:v>
      </x:c>
    </x:row>
    <x:row r="1977">
      <x:c r="B1977" t="str">
        <x:v>PH-CR-027</x:v>
      </x:c>
      <x:c r="C1977" t="str">
        <x:v>PHYSICAL</x:v>
      </x:c>
      <x:c r="D1977" t="str">
        <x:v>credit acceptance</x:v>
      </x:c>
      <x:c r="E1977" t="str">
        <x:v>PH-CR-027</x:v>
      </x:c>
      <x:c r="F1977" t="str">
        <x:f>'Trial Register'!V33</x:f>
      </x:c>
      <x:c r="G1977" t="n">
        <x:v>1</x:v>
      </x:c>
      <x:c r="H1977" t="str">
        <x:v>independent physical acceptance</x:v>
      </x:c>
      <x:c r="I1977" t="str">
        <x:f>IF(F1977=1,"PASS","OPEN")</x:f>
        <x:v>OPEN</x:v>
      </x:c>
    </x:row>
    <x:row r="1978">
      <x:c r="B1978" t="str">
        <x:v>PH-EX-028</x:v>
      </x:c>
      <x:c r="C1978" t="str">
        <x:v>PHYSICAL</x:v>
      </x:c>
      <x:c r="D1978" t="str">
        <x:v>trial execution</x:v>
      </x:c>
      <x:c r="E1978" t="str">
        <x:v>PH-EX-028</x:v>
      </x:c>
      <x:c r="F1978" t="n">
        <x:f>IF('Trial Register'!P34&lt;&gt;"",1,0)</x:f>
        <x:v>0</x:v>
      </x:c>
      <x:c r="G1978" t="n">
        <x:v>1</x:v>
      </x:c>
      <x:c r="H1978" t="str">
        <x:v>independent physical acceptance</x:v>
      </x:c>
      <x:c r="I1978" t="str">
        <x:f>IF(F1978=1,"PASS","OPEN")</x:f>
        <x:v>OPEN</x:v>
      </x:c>
    </x:row>
    <x:row r="1979">
      <x:c r="B1979" t="str">
        <x:v>PH-PK-028</x:v>
      </x:c>
      <x:c r="C1979" t="str">
        <x:v>PHYSICAL</x:v>
      </x:c>
      <x:c r="D1979" t="str">
        <x:v>trial packet</x:v>
      </x:c>
      <x:c r="E1979" t="str">
        <x:v>PH-PK-028</x:v>
      </x:c>
      <x:c r="F1979" t="n">
        <x:f>IF('Trial Register'!Q34&lt;&gt;"",1,0)</x:f>
        <x:v>0</x:v>
      </x:c>
      <x:c r="G1979" t="n">
        <x:v>1</x:v>
      </x:c>
      <x:c r="H1979" t="str">
        <x:v>independent physical acceptance</x:v>
      </x:c>
      <x:c r="I1979" t="str">
        <x:f>IF(F1979=1,"PASS","OPEN")</x:f>
        <x:v>OPEN</x:v>
      </x:c>
    </x:row>
    <x:row r="1980">
      <x:c r="B1980" t="str">
        <x:v>PH-VA-028</x:v>
      </x:c>
      <x:c r="C1980" t="str">
        <x:v>PHYSICAL</x:v>
      </x:c>
      <x:c r="D1980" t="str">
        <x:v>trial validity</x:v>
      </x:c>
      <x:c r="E1980" t="str">
        <x:v>PH-VA-028</x:v>
      </x:c>
      <x:c r="F1980" t="n">
        <x:f>IF('Trial Register'!R34&lt;&gt;"",1,0)</x:f>
        <x:v>0</x:v>
      </x:c>
      <x:c r="G1980" t="n">
        <x:v>1</x:v>
      </x:c>
      <x:c r="H1980" t="str">
        <x:v>independent physical acceptance</x:v>
      </x:c>
      <x:c r="I1980" t="str">
        <x:f>IF(F1980=1,"PASS","OPEN")</x:f>
        <x:v>OPEN</x:v>
      </x:c>
    </x:row>
    <x:row r="1981">
      <x:c r="B1981" t="str">
        <x:v>PH-RV-028</x:v>
      </x:c>
      <x:c r="C1981" t="str">
        <x:v>PHYSICAL</x:v>
      </x:c>
      <x:c r="D1981" t="str">
        <x:v>reported value</x:v>
      </x:c>
      <x:c r="E1981" t="str">
        <x:v>PH-RV-028</x:v>
      </x:c>
      <x:c r="F1981" t="n">
        <x:f>IF('Trial Register'!S34&lt;&gt;"",1,0)</x:f>
        <x:v>0</x:v>
      </x:c>
      <x:c r="G1981" t="n">
        <x:v>1</x:v>
      </x:c>
      <x:c r="H1981" t="str">
        <x:v>independent physical acceptance</x:v>
      </x:c>
      <x:c r="I1981" t="str">
        <x:f>IF(F1981=1,"PASS","OPEN")</x:f>
        <x:v>OPEN</x:v>
      </x:c>
    </x:row>
    <x:row r="1982">
      <x:c r="B1982" t="str">
        <x:v>PH-CR-028</x:v>
      </x:c>
      <x:c r="C1982" t="str">
        <x:v>PHYSICAL</x:v>
      </x:c>
      <x:c r="D1982" t="str">
        <x:v>credit acceptance</x:v>
      </x:c>
      <x:c r="E1982" t="str">
        <x:v>PH-CR-028</x:v>
      </x:c>
      <x:c r="F1982" t="str">
        <x:f>'Trial Register'!V34</x:f>
      </x:c>
      <x:c r="G1982" t="n">
        <x:v>1</x:v>
      </x:c>
      <x:c r="H1982" t="str">
        <x:v>independent physical acceptance</x:v>
      </x:c>
      <x:c r="I1982" t="str">
        <x:f>IF(F1982=1,"PASS","OPEN")</x:f>
        <x:v>OPEN</x:v>
      </x:c>
    </x:row>
    <x:row r="1983">
      <x:c r="B1983" t="str">
        <x:v>PH-EX-029</x:v>
      </x:c>
      <x:c r="C1983" t="str">
        <x:v>PHYSICAL</x:v>
      </x:c>
      <x:c r="D1983" t="str">
        <x:v>trial execution</x:v>
      </x:c>
      <x:c r="E1983" t="str">
        <x:v>PH-EX-029</x:v>
      </x:c>
      <x:c r="F1983" t="n">
        <x:f>IF('Trial Register'!P35&lt;&gt;"",1,0)</x:f>
        <x:v>0</x:v>
      </x:c>
      <x:c r="G1983" t="n">
        <x:v>1</x:v>
      </x:c>
      <x:c r="H1983" t="str">
        <x:v>independent physical acceptance</x:v>
      </x:c>
      <x:c r="I1983" t="str">
        <x:f>IF(F1983=1,"PASS","OPEN")</x:f>
        <x:v>OPEN</x:v>
      </x:c>
    </x:row>
    <x:row r="1984">
      <x:c r="B1984" t="str">
        <x:v>PH-PK-029</x:v>
      </x:c>
      <x:c r="C1984" t="str">
        <x:v>PHYSICAL</x:v>
      </x:c>
      <x:c r="D1984" t="str">
        <x:v>trial packet</x:v>
      </x:c>
      <x:c r="E1984" t="str">
        <x:v>PH-PK-029</x:v>
      </x:c>
      <x:c r="F1984" t="n">
        <x:f>IF('Trial Register'!Q35&lt;&gt;"",1,0)</x:f>
        <x:v>0</x:v>
      </x:c>
      <x:c r="G1984" t="n">
        <x:v>1</x:v>
      </x:c>
      <x:c r="H1984" t="str">
        <x:v>independent physical acceptance</x:v>
      </x:c>
      <x:c r="I1984" t="str">
        <x:f>IF(F1984=1,"PASS","OPEN")</x:f>
        <x:v>OPEN</x:v>
      </x:c>
    </x:row>
    <x:row r="1985">
      <x:c r="B1985" t="str">
        <x:v>PH-VA-029</x:v>
      </x:c>
      <x:c r="C1985" t="str">
        <x:v>PHYSICAL</x:v>
      </x:c>
      <x:c r="D1985" t="str">
        <x:v>trial validity</x:v>
      </x:c>
      <x:c r="E1985" t="str">
        <x:v>PH-VA-029</x:v>
      </x:c>
      <x:c r="F1985" t="n">
        <x:f>IF('Trial Register'!R35&lt;&gt;"",1,0)</x:f>
        <x:v>0</x:v>
      </x:c>
      <x:c r="G1985" t="n">
        <x:v>1</x:v>
      </x:c>
      <x:c r="H1985" t="str">
        <x:v>independent physical acceptance</x:v>
      </x:c>
      <x:c r="I1985" t="str">
        <x:f>IF(F1985=1,"PASS","OPEN")</x:f>
        <x:v>OPEN</x:v>
      </x:c>
    </x:row>
    <x:row r="1986">
      <x:c r="B1986" t="str">
        <x:v>PH-RV-029</x:v>
      </x:c>
      <x:c r="C1986" t="str">
        <x:v>PHYSICAL</x:v>
      </x:c>
      <x:c r="D1986" t="str">
        <x:v>reported value</x:v>
      </x:c>
      <x:c r="E1986" t="str">
        <x:v>PH-RV-029</x:v>
      </x:c>
      <x:c r="F1986" t="n">
        <x:f>IF('Trial Register'!S35&lt;&gt;"",1,0)</x:f>
        <x:v>0</x:v>
      </x:c>
      <x:c r="G1986" t="n">
        <x:v>1</x:v>
      </x:c>
      <x:c r="H1986" t="str">
        <x:v>independent physical acceptance</x:v>
      </x:c>
      <x:c r="I1986" t="str">
        <x:f>IF(F1986=1,"PASS","OPEN")</x:f>
        <x:v>OPEN</x:v>
      </x:c>
    </x:row>
    <x:row r="1987">
      <x:c r="B1987" t="str">
        <x:v>PH-CR-029</x:v>
      </x:c>
      <x:c r="C1987" t="str">
        <x:v>PHYSICAL</x:v>
      </x:c>
      <x:c r="D1987" t="str">
        <x:v>credit acceptance</x:v>
      </x:c>
      <x:c r="E1987" t="str">
        <x:v>PH-CR-029</x:v>
      </x:c>
      <x:c r="F1987" t="str">
        <x:f>'Trial Register'!V35</x:f>
      </x:c>
      <x:c r="G1987" t="n">
        <x:v>1</x:v>
      </x:c>
      <x:c r="H1987" t="str">
        <x:v>independent physical acceptance</x:v>
      </x:c>
      <x:c r="I1987" t="str">
        <x:f>IF(F1987=1,"PASS","OPEN")</x:f>
        <x:v>OPEN</x:v>
      </x:c>
    </x:row>
    <x:row r="1988">
      <x:c r="B1988" t="str">
        <x:v>PH-EX-030</x:v>
      </x:c>
      <x:c r="C1988" t="str">
        <x:v>PHYSICAL</x:v>
      </x:c>
      <x:c r="D1988" t="str">
        <x:v>trial execution</x:v>
      </x:c>
      <x:c r="E1988" t="str">
        <x:v>PH-EX-030</x:v>
      </x:c>
      <x:c r="F1988" t="n">
        <x:f>IF('Trial Register'!P36&lt;&gt;"",1,0)</x:f>
        <x:v>0</x:v>
      </x:c>
      <x:c r="G1988" t="n">
        <x:v>1</x:v>
      </x:c>
      <x:c r="H1988" t="str">
        <x:v>independent physical acceptance</x:v>
      </x:c>
      <x:c r="I1988" t="str">
        <x:f>IF(F1988=1,"PASS","OPEN")</x:f>
        <x:v>OPEN</x:v>
      </x:c>
    </x:row>
    <x:row r="1989">
      <x:c r="B1989" t="str">
        <x:v>PH-PK-030</x:v>
      </x:c>
      <x:c r="C1989" t="str">
        <x:v>PHYSICAL</x:v>
      </x:c>
      <x:c r="D1989" t="str">
        <x:v>trial packet</x:v>
      </x:c>
      <x:c r="E1989" t="str">
        <x:v>PH-PK-030</x:v>
      </x:c>
      <x:c r="F1989" t="n">
        <x:f>IF('Trial Register'!Q36&lt;&gt;"",1,0)</x:f>
        <x:v>0</x:v>
      </x:c>
      <x:c r="G1989" t="n">
        <x:v>1</x:v>
      </x:c>
      <x:c r="H1989" t="str">
        <x:v>independent physical acceptance</x:v>
      </x:c>
      <x:c r="I1989" t="str">
        <x:f>IF(F1989=1,"PASS","OPEN")</x:f>
        <x:v>OPEN</x:v>
      </x:c>
    </x:row>
    <x:row r="1990">
      <x:c r="B1990" t="str">
        <x:v>PH-VA-030</x:v>
      </x:c>
      <x:c r="C1990" t="str">
        <x:v>PHYSICAL</x:v>
      </x:c>
      <x:c r="D1990" t="str">
        <x:v>trial validity</x:v>
      </x:c>
      <x:c r="E1990" t="str">
        <x:v>PH-VA-030</x:v>
      </x:c>
      <x:c r="F1990" t="n">
        <x:f>IF('Trial Register'!R36&lt;&gt;"",1,0)</x:f>
        <x:v>0</x:v>
      </x:c>
      <x:c r="G1990" t="n">
        <x:v>1</x:v>
      </x:c>
      <x:c r="H1990" t="str">
        <x:v>independent physical acceptance</x:v>
      </x:c>
      <x:c r="I1990" t="str">
        <x:f>IF(F1990=1,"PASS","OPEN")</x:f>
        <x:v>OPEN</x:v>
      </x:c>
    </x:row>
    <x:row r="1991">
      <x:c r="B1991" t="str">
        <x:v>PH-RV-030</x:v>
      </x:c>
      <x:c r="C1991" t="str">
        <x:v>PHYSICAL</x:v>
      </x:c>
      <x:c r="D1991" t="str">
        <x:v>reported value</x:v>
      </x:c>
      <x:c r="E1991" t="str">
        <x:v>PH-RV-030</x:v>
      </x:c>
      <x:c r="F1991" t="n">
        <x:f>IF('Trial Register'!S36&lt;&gt;"",1,0)</x:f>
        <x:v>0</x:v>
      </x:c>
      <x:c r="G1991" t="n">
        <x:v>1</x:v>
      </x:c>
      <x:c r="H1991" t="str">
        <x:v>independent physical acceptance</x:v>
      </x:c>
      <x:c r="I1991" t="str">
        <x:f>IF(F1991=1,"PASS","OPEN")</x:f>
        <x:v>OPEN</x:v>
      </x:c>
    </x:row>
    <x:row r="1992">
      <x:c r="B1992" t="str">
        <x:v>PH-CR-030</x:v>
      </x:c>
      <x:c r="C1992" t="str">
        <x:v>PHYSICAL</x:v>
      </x:c>
      <x:c r="D1992" t="str">
        <x:v>credit acceptance</x:v>
      </x:c>
      <x:c r="E1992" t="str">
        <x:v>PH-CR-030</x:v>
      </x:c>
      <x:c r="F1992" t="str">
        <x:f>'Trial Register'!V36</x:f>
      </x:c>
      <x:c r="G1992" t="n">
        <x:v>1</x:v>
      </x:c>
      <x:c r="H1992" t="str">
        <x:v>independent physical acceptance</x:v>
      </x:c>
      <x:c r="I1992" t="str">
        <x:f>IF(F1992=1,"PASS","OPEN")</x:f>
        <x:v>OPEN</x:v>
      </x:c>
    </x:row>
    <x:row r="1993">
      <x:c r="B1993" t="str">
        <x:v>PH-EX-031</x:v>
      </x:c>
      <x:c r="C1993" t="str">
        <x:v>PHYSICAL</x:v>
      </x:c>
      <x:c r="D1993" t="str">
        <x:v>trial execution</x:v>
      </x:c>
      <x:c r="E1993" t="str">
        <x:v>PH-EX-031</x:v>
      </x:c>
      <x:c r="F1993" t="n">
        <x:f>IF('Trial Register'!P37&lt;&gt;"",1,0)</x:f>
        <x:v>0</x:v>
      </x:c>
      <x:c r="G1993" t="n">
        <x:v>1</x:v>
      </x:c>
      <x:c r="H1993" t="str">
        <x:v>independent physical acceptance</x:v>
      </x:c>
      <x:c r="I1993" t="str">
        <x:f>IF(F1993=1,"PASS","OPEN")</x:f>
        <x:v>OPEN</x:v>
      </x:c>
    </x:row>
    <x:row r="1994">
      <x:c r="B1994" t="str">
        <x:v>PH-PK-031</x:v>
      </x:c>
      <x:c r="C1994" t="str">
        <x:v>PHYSICAL</x:v>
      </x:c>
      <x:c r="D1994" t="str">
        <x:v>trial packet</x:v>
      </x:c>
      <x:c r="E1994" t="str">
        <x:v>PH-PK-031</x:v>
      </x:c>
      <x:c r="F1994" t="n">
        <x:f>IF('Trial Register'!Q37&lt;&gt;"",1,0)</x:f>
        <x:v>0</x:v>
      </x:c>
      <x:c r="G1994" t="n">
        <x:v>1</x:v>
      </x:c>
      <x:c r="H1994" t="str">
        <x:v>independent physical acceptance</x:v>
      </x:c>
      <x:c r="I1994" t="str">
        <x:f>IF(F1994=1,"PASS","OPEN")</x:f>
        <x:v>OPEN</x:v>
      </x:c>
    </x:row>
    <x:row r="1995">
      <x:c r="B1995" t="str">
        <x:v>PH-VA-031</x:v>
      </x:c>
      <x:c r="C1995" t="str">
        <x:v>PHYSICAL</x:v>
      </x:c>
      <x:c r="D1995" t="str">
        <x:v>trial validity</x:v>
      </x:c>
      <x:c r="E1995" t="str">
        <x:v>PH-VA-031</x:v>
      </x:c>
      <x:c r="F1995" t="n">
        <x:f>IF('Trial Register'!R37&lt;&gt;"",1,0)</x:f>
        <x:v>0</x:v>
      </x:c>
      <x:c r="G1995" t="n">
        <x:v>1</x:v>
      </x:c>
      <x:c r="H1995" t="str">
        <x:v>independent physical acceptance</x:v>
      </x:c>
      <x:c r="I1995" t="str">
        <x:f>IF(F1995=1,"PASS","OPEN")</x:f>
        <x:v>OPEN</x:v>
      </x:c>
    </x:row>
    <x:row r="1996">
      <x:c r="B1996" t="str">
        <x:v>PH-RV-031</x:v>
      </x:c>
      <x:c r="C1996" t="str">
        <x:v>PHYSICAL</x:v>
      </x:c>
      <x:c r="D1996" t="str">
        <x:v>reported value</x:v>
      </x:c>
      <x:c r="E1996" t="str">
        <x:v>PH-RV-031</x:v>
      </x:c>
      <x:c r="F1996" t="n">
        <x:f>IF('Trial Register'!S37&lt;&gt;"",1,0)</x:f>
        <x:v>0</x:v>
      </x:c>
      <x:c r="G1996" t="n">
        <x:v>1</x:v>
      </x:c>
      <x:c r="H1996" t="str">
        <x:v>independent physical acceptance</x:v>
      </x:c>
      <x:c r="I1996" t="str">
        <x:f>IF(F1996=1,"PASS","OPEN")</x:f>
        <x:v>OPEN</x:v>
      </x:c>
    </x:row>
    <x:row r="1997">
      <x:c r="B1997" t="str">
        <x:v>PH-CR-031</x:v>
      </x:c>
      <x:c r="C1997" t="str">
        <x:v>PHYSICAL</x:v>
      </x:c>
      <x:c r="D1997" t="str">
        <x:v>credit acceptance</x:v>
      </x:c>
      <x:c r="E1997" t="str">
        <x:v>PH-CR-031</x:v>
      </x:c>
      <x:c r="F1997" t="str">
        <x:f>'Trial Register'!V37</x:f>
      </x:c>
      <x:c r="G1997" t="n">
        <x:v>1</x:v>
      </x:c>
      <x:c r="H1997" t="str">
        <x:v>independent physical acceptance</x:v>
      </x:c>
      <x:c r="I1997" t="str">
        <x:f>IF(F1997=1,"PASS","OPEN")</x:f>
        <x:v>OPEN</x:v>
      </x:c>
    </x:row>
    <x:row r="1998">
      <x:c r="B1998" t="str">
        <x:v>PH-EX-032</x:v>
      </x:c>
      <x:c r="C1998" t="str">
        <x:v>PHYSICAL</x:v>
      </x:c>
      <x:c r="D1998" t="str">
        <x:v>trial execution</x:v>
      </x:c>
      <x:c r="E1998" t="str">
        <x:v>PH-EX-032</x:v>
      </x:c>
      <x:c r="F1998" t="n">
        <x:f>IF('Trial Register'!P38&lt;&gt;"",1,0)</x:f>
        <x:v>0</x:v>
      </x:c>
      <x:c r="G1998" t="n">
        <x:v>1</x:v>
      </x:c>
      <x:c r="H1998" t="str">
        <x:v>independent physical acceptance</x:v>
      </x:c>
      <x:c r="I1998" t="str">
        <x:f>IF(F1998=1,"PASS","OPEN")</x:f>
        <x:v>OPEN</x:v>
      </x:c>
    </x:row>
    <x:row r="1999">
      <x:c r="B1999" t="str">
        <x:v>PH-PK-032</x:v>
      </x:c>
      <x:c r="C1999" t="str">
        <x:v>PHYSICAL</x:v>
      </x:c>
      <x:c r="D1999" t="str">
        <x:v>trial packet</x:v>
      </x:c>
      <x:c r="E1999" t="str">
        <x:v>PH-PK-032</x:v>
      </x:c>
      <x:c r="F1999" t="n">
        <x:f>IF('Trial Register'!Q38&lt;&gt;"",1,0)</x:f>
        <x:v>0</x:v>
      </x:c>
      <x:c r="G1999" t="n">
        <x:v>1</x:v>
      </x:c>
      <x:c r="H1999" t="str">
        <x:v>independent physical acceptance</x:v>
      </x:c>
      <x:c r="I1999" t="str">
        <x:f>IF(F1999=1,"PASS","OPEN")</x:f>
        <x:v>OPEN</x:v>
      </x:c>
    </x:row>
    <x:row r="2000">
      <x:c r="B2000" t="str">
        <x:v>PH-VA-032</x:v>
      </x:c>
      <x:c r="C2000" t="str">
        <x:v>PHYSICAL</x:v>
      </x:c>
      <x:c r="D2000" t="str">
        <x:v>trial validity</x:v>
      </x:c>
      <x:c r="E2000" t="str">
        <x:v>PH-VA-032</x:v>
      </x:c>
      <x:c r="F2000" t="n">
        <x:f>IF('Trial Register'!R38&lt;&gt;"",1,0)</x:f>
        <x:v>0</x:v>
      </x:c>
      <x:c r="G2000" t="n">
        <x:v>1</x:v>
      </x:c>
      <x:c r="H2000" t="str">
        <x:v>independent physical acceptance</x:v>
      </x:c>
      <x:c r="I2000" t="str">
        <x:f>IF(F2000=1,"PASS","OPEN")</x:f>
        <x:v>OPEN</x:v>
      </x:c>
    </x:row>
    <x:row r="2001">
      <x:c r="B2001" t="str">
        <x:v>PH-RV-032</x:v>
      </x:c>
      <x:c r="C2001" t="str">
        <x:v>PHYSICAL</x:v>
      </x:c>
      <x:c r="D2001" t="str">
        <x:v>reported value</x:v>
      </x:c>
      <x:c r="E2001" t="str">
        <x:v>PH-RV-032</x:v>
      </x:c>
      <x:c r="F2001" t="n">
        <x:f>IF('Trial Register'!S38&lt;&gt;"",1,0)</x:f>
        <x:v>0</x:v>
      </x:c>
      <x:c r="G2001" t="n">
        <x:v>1</x:v>
      </x:c>
      <x:c r="H2001" t="str">
        <x:v>independent physical acceptance</x:v>
      </x:c>
      <x:c r="I2001" t="str">
        <x:f>IF(F2001=1,"PASS","OPEN")</x:f>
        <x:v>OPEN</x:v>
      </x:c>
    </x:row>
    <x:row r="2002">
      <x:c r="B2002" t="str">
        <x:v>PH-CR-032</x:v>
      </x:c>
      <x:c r="C2002" t="str">
        <x:v>PHYSICAL</x:v>
      </x:c>
      <x:c r="D2002" t="str">
        <x:v>credit acceptance</x:v>
      </x:c>
      <x:c r="E2002" t="str">
        <x:v>PH-CR-032</x:v>
      </x:c>
      <x:c r="F2002" t="str">
        <x:f>'Trial Register'!V38</x:f>
      </x:c>
      <x:c r="G2002" t="n">
        <x:v>1</x:v>
      </x:c>
      <x:c r="H2002" t="str">
        <x:v>independent physical acceptance</x:v>
      </x:c>
      <x:c r="I2002" t="str">
        <x:f>IF(F2002=1,"PASS","OPEN")</x:f>
        <x:v>OPEN</x:v>
      </x:c>
    </x:row>
    <x:row r="2003">
      <x:c r="B2003" t="str">
        <x:v>PH-EX-033</x:v>
      </x:c>
      <x:c r="C2003" t="str">
        <x:v>PHYSICAL</x:v>
      </x:c>
      <x:c r="D2003" t="str">
        <x:v>trial execution</x:v>
      </x:c>
      <x:c r="E2003" t="str">
        <x:v>PH-EX-033</x:v>
      </x:c>
      <x:c r="F2003" t="n">
        <x:f>IF('Trial Register'!P39&lt;&gt;"",1,0)</x:f>
        <x:v>0</x:v>
      </x:c>
      <x:c r="G2003" t="n">
        <x:v>1</x:v>
      </x:c>
      <x:c r="H2003" t="str">
        <x:v>independent physical acceptance</x:v>
      </x:c>
      <x:c r="I2003" t="str">
        <x:f>IF(F2003=1,"PASS","OPEN")</x:f>
        <x:v>OPEN</x:v>
      </x:c>
    </x:row>
    <x:row r="2004">
      <x:c r="B2004" t="str">
        <x:v>PH-PK-033</x:v>
      </x:c>
      <x:c r="C2004" t="str">
        <x:v>PHYSICAL</x:v>
      </x:c>
      <x:c r="D2004" t="str">
        <x:v>trial packet</x:v>
      </x:c>
      <x:c r="E2004" t="str">
        <x:v>PH-PK-033</x:v>
      </x:c>
      <x:c r="F2004" t="n">
        <x:f>IF('Trial Register'!Q39&lt;&gt;"",1,0)</x:f>
        <x:v>0</x:v>
      </x:c>
      <x:c r="G2004" t="n">
        <x:v>1</x:v>
      </x:c>
      <x:c r="H2004" t="str">
        <x:v>independent physical acceptance</x:v>
      </x:c>
      <x:c r="I2004" t="str">
        <x:f>IF(F2004=1,"PASS","OPEN")</x:f>
        <x:v>OPEN</x:v>
      </x:c>
    </x:row>
    <x:row r="2005">
      <x:c r="B2005" t="str">
        <x:v>PH-VA-033</x:v>
      </x:c>
      <x:c r="C2005" t="str">
        <x:v>PHYSICAL</x:v>
      </x:c>
      <x:c r="D2005" t="str">
        <x:v>trial validity</x:v>
      </x:c>
      <x:c r="E2005" t="str">
        <x:v>PH-VA-033</x:v>
      </x:c>
      <x:c r="F2005" t="n">
        <x:f>IF('Trial Register'!R39&lt;&gt;"",1,0)</x:f>
        <x:v>0</x:v>
      </x:c>
      <x:c r="G2005" t="n">
        <x:v>1</x:v>
      </x:c>
      <x:c r="H2005" t="str">
        <x:v>independent physical acceptance</x:v>
      </x:c>
      <x:c r="I2005" t="str">
        <x:f>IF(F2005=1,"PASS","OPEN")</x:f>
        <x:v>OPEN</x:v>
      </x:c>
    </x:row>
    <x:row r="2006">
      <x:c r="B2006" t="str">
        <x:v>PH-RV-033</x:v>
      </x:c>
      <x:c r="C2006" t="str">
        <x:v>PHYSICAL</x:v>
      </x:c>
      <x:c r="D2006" t="str">
        <x:v>reported value</x:v>
      </x:c>
      <x:c r="E2006" t="str">
        <x:v>PH-RV-033</x:v>
      </x:c>
      <x:c r="F2006" t="n">
        <x:f>IF('Trial Register'!S39&lt;&gt;"",1,0)</x:f>
        <x:v>0</x:v>
      </x:c>
      <x:c r="G2006" t="n">
        <x:v>1</x:v>
      </x:c>
      <x:c r="H2006" t="str">
        <x:v>independent physical acceptance</x:v>
      </x:c>
      <x:c r="I2006" t="str">
        <x:f>IF(F2006=1,"PASS","OPEN")</x:f>
        <x:v>OPEN</x:v>
      </x:c>
    </x:row>
    <x:row r="2007">
      <x:c r="B2007" t="str">
        <x:v>PH-CR-033</x:v>
      </x:c>
      <x:c r="C2007" t="str">
        <x:v>PHYSICAL</x:v>
      </x:c>
      <x:c r="D2007" t="str">
        <x:v>credit acceptance</x:v>
      </x:c>
      <x:c r="E2007" t="str">
        <x:v>PH-CR-033</x:v>
      </x:c>
      <x:c r="F2007" t="str">
        <x:f>'Trial Register'!V39</x:f>
      </x:c>
      <x:c r="G2007" t="n">
        <x:v>1</x:v>
      </x:c>
      <x:c r="H2007" t="str">
        <x:v>independent physical acceptance</x:v>
      </x:c>
      <x:c r="I2007" t="str">
        <x:f>IF(F2007=1,"PASS","OPEN")</x:f>
        <x:v>OPEN</x:v>
      </x:c>
    </x:row>
    <x:row r="2008">
      <x:c r="B2008" t="str">
        <x:v>PH-EX-034</x:v>
      </x:c>
      <x:c r="C2008" t="str">
        <x:v>PHYSICAL</x:v>
      </x:c>
      <x:c r="D2008" t="str">
        <x:v>trial execution</x:v>
      </x:c>
      <x:c r="E2008" t="str">
        <x:v>PH-EX-034</x:v>
      </x:c>
      <x:c r="F2008" t="n">
        <x:f>IF('Trial Register'!P40&lt;&gt;"",1,0)</x:f>
        <x:v>0</x:v>
      </x:c>
      <x:c r="G2008" t="n">
        <x:v>1</x:v>
      </x:c>
      <x:c r="H2008" t="str">
        <x:v>independent physical acceptance</x:v>
      </x:c>
      <x:c r="I2008" t="str">
        <x:f>IF(F2008=1,"PASS","OPEN")</x:f>
        <x:v>OPEN</x:v>
      </x:c>
    </x:row>
    <x:row r="2009">
      <x:c r="B2009" t="str">
        <x:v>PH-PK-034</x:v>
      </x:c>
      <x:c r="C2009" t="str">
        <x:v>PHYSICAL</x:v>
      </x:c>
      <x:c r="D2009" t="str">
        <x:v>trial packet</x:v>
      </x:c>
      <x:c r="E2009" t="str">
        <x:v>PH-PK-034</x:v>
      </x:c>
      <x:c r="F2009" t="n">
        <x:f>IF('Trial Register'!Q40&lt;&gt;"",1,0)</x:f>
        <x:v>0</x:v>
      </x:c>
      <x:c r="G2009" t="n">
        <x:v>1</x:v>
      </x:c>
      <x:c r="H2009" t="str">
        <x:v>independent physical acceptance</x:v>
      </x:c>
      <x:c r="I2009" t="str">
        <x:f>IF(F2009=1,"PASS","OPEN")</x:f>
        <x:v>OPEN</x:v>
      </x:c>
    </x:row>
    <x:row r="2010">
      <x:c r="B2010" t="str">
        <x:v>PH-VA-034</x:v>
      </x:c>
      <x:c r="C2010" t="str">
        <x:v>PHYSICAL</x:v>
      </x:c>
      <x:c r="D2010" t="str">
        <x:v>trial validity</x:v>
      </x:c>
      <x:c r="E2010" t="str">
        <x:v>PH-VA-034</x:v>
      </x:c>
      <x:c r="F2010" t="n">
        <x:f>IF('Trial Register'!R40&lt;&gt;"",1,0)</x:f>
        <x:v>0</x:v>
      </x:c>
      <x:c r="G2010" t="n">
        <x:v>1</x:v>
      </x:c>
      <x:c r="H2010" t="str">
        <x:v>independent physical acceptance</x:v>
      </x:c>
      <x:c r="I2010" t="str">
        <x:f>IF(F2010=1,"PASS","OPEN")</x:f>
        <x:v>OPEN</x:v>
      </x:c>
    </x:row>
    <x:row r="2011">
      <x:c r="B2011" t="str">
        <x:v>PH-RV-034</x:v>
      </x:c>
      <x:c r="C2011" t="str">
        <x:v>PHYSICAL</x:v>
      </x:c>
      <x:c r="D2011" t="str">
        <x:v>reported value</x:v>
      </x:c>
      <x:c r="E2011" t="str">
        <x:v>PH-RV-034</x:v>
      </x:c>
      <x:c r="F2011" t="n">
        <x:f>IF('Trial Register'!S40&lt;&gt;"",1,0)</x:f>
        <x:v>0</x:v>
      </x:c>
      <x:c r="G2011" t="n">
        <x:v>1</x:v>
      </x:c>
      <x:c r="H2011" t="str">
        <x:v>independent physical acceptance</x:v>
      </x:c>
      <x:c r="I2011" t="str">
        <x:f>IF(F2011=1,"PASS","OPEN")</x:f>
        <x:v>OPEN</x:v>
      </x:c>
    </x:row>
    <x:row r="2012">
      <x:c r="B2012" t="str">
        <x:v>PH-CR-034</x:v>
      </x:c>
      <x:c r="C2012" t="str">
        <x:v>PHYSICAL</x:v>
      </x:c>
      <x:c r="D2012" t="str">
        <x:v>credit acceptance</x:v>
      </x:c>
      <x:c r="E2012" t="str">
        <x:v>PH-CR-034</x:v>
      </x:c>
      <x:c r="F2012" t="str">
        <x:f>'Trial Register'!V40</x:f>
      </x:c>
      <x:c r="G2012" t="n">
        <x:v>1</x:v>
      </x:c>
      <x:c r="H2012" t="str">
        <x:v>independent physical acceptance</x:v>
      </x:c>
      <x:c r="I2012" t="str">
        <x:f>IF(F2012=1,"PASS","OPEN")</x:f>
        <x:v>OPEN</x:v>
      </x:c>
    </x:row>
    <x:row r="2013">
      <x:c r="B2013" t="str">
        <x:v>PH-EX-035</x:v>
      </x:c>
      <x:c r="C2013" t="str">
        <x:v>PHYSICAL</x:v>
      </x:c>
      <x:c r="D2013" t="str">
        <x:v>trial execution</x:v>
      </x:c>
      <x:c r="E2013" t="str">
        <x:v>PH-EX-035</x:v>
      </x:c>
      <x:c r="F2013" t="n">
        <x:f>IF('Trial Register'!P41&lt;&gt;"",1,0)</x:f>
        <x:v>0</x:v>
      </x:c>
      <x:c r="G2013" t="n">
        <x:v>1</x:v>
      </x:c>
      <x:c r="H2013" t="str">
        <x:v>independent physical acceptance</x:v>
      </x:c>
      <x:c r="I2013" t="str">
        <x:f>IF(F2013=1,"PASS","OPEN")</x:f>
        <x:v>OPEN</x:v>
      </x:c>
    </x:row>
    <x:row r="2014">
      <x:c r="B2014" t="str">
        <x:v>PH-PK-035</x:v>
      </x:c>
      <x:c r="C2014" t="str">
        <x:v>PHYSICAL</x:v>
      </x:c>
      <x:c r="D2014" t="str">
        <x:v>trial packet</x:v>
      </x:c>
      <x:c r="E2014" t="str">
        <x:v>PH-PK-035</x:v>
      </x:c>
      <x:c r="F2014" t="n">
        <x:f>IF('Trial Register'!Q41&lt;&gt;"",1,0)</x:f>
        <x:v>0</x:v>
      </x:c>
      <x:c r="G2014" t="n">
        <x:v>1</x:v>
      </x:c>
      <x:c r="H2014" t="str">
        <x:v>independent physical acceptance</x:v>
      </x:c>
      <x:c r="I2014" t="str">
        <x:f>IF(F2014=1,"PASS","OPEN")</x:f>
        <x:v>OPEN</x:v>
      </x:c>
    </x:row>
    <x:row r="2015">
      <x:c r="B2015" t="str">
        <x:v>PH-VA-035</x:v>
      </x:c>
      <x:c r="C2015" t="str">
        <x:v>PHYSICAL</x:v>
      </x:c>
      <x:c r="D2015" t="str">
        <x:v>trial validity</x:v>
      </x:c>
      <x:c r="E2015" t="str">
        <x:v>PH-VA-035</x:v>
      </x:c>
      <x:c r="F2015" t="n">
        <x:f>IF('Trial Register'!R41&lt;&gt;"",1,0)</x:f>
        <x:v>0</x:v>
      </x:c>
      <x:c r="G2015" t="n">
        <x:v>1</x:v>
      </x:c>
      <x:c r="H2015" t="str">
        <x:v>independent physical acceptance</x:v>
      </x:c>
      <x:c r="I2015" t="str">
        <x:f>IF(F2015=1,"PASS","OPEN")</x:f>
        <x:v>OPEN</x:v>
      </x:c>
    </x:row>
    <x:row r="2016">
      <x:c r="B2016" t="str">
        <x:v>PH-RV-035</x:v>
      </x:c>
      <x:c r="C2016" t="str">
        <x:v>PHYSICAL</x:v>
      </x:c>
      <x:c r="D2016" t="str">
        <x:v>reported value</x:v>
      </x:c>
      <x:c r="E2016" t="str">
        <x:v>PH-RV-035</x:v>
      </x:c>
      <x:c r="F2016" t="n">
        <x:f>IF('Trial Register'!S41&lt;&gt;"",1,0)</x:f>
        <x:v>0</x:v>
      </x:c>
      <x:c r="G2016" t="n">
        <x:v>1</x:v>
      </x:c>
      <x:c r="H2016" t="str">
        <x:v>independent physical acceptance</x:v>
      </x:c>
      <x:c r="I2016" t="str">
        <x:f>IF(F2016=1,"PASS","OPEN")</x:f>
        <x:v>OPEN</x:v>
      </x:c>
    </x:row>
    <x:row r="2017">
      <x:c r="B2017" t="str">
        <x:v>PH-CR-035</x:v>
      </x:c>
      <x:c r="C2017" t="str">
        <x:v>PHYSICAL</x:v>
      </x:c>
      <x:c r="D2017" t="str">
        <x:v>credit acceptance</x:v>
      </x:c>
      <x:c r="E2017" t="str">
        <x:v>PH-CR-035</x:v>
      </x:c>
      <x:c r="F2017" t="str">
        <x:f>'Trial Register'!V41</x:f>
      </x:c>
      <x:c r="G2017" t="n">
        <x:v>1</x:v>
      </x:c>
      <x:c r="H2017" t="str">
        <x:v>independent physical acceptance</x:v>
      </x:c>
      <x:c r="I2017" t="str">
        <x:f>IF(F2017=1,"PASS","OPEN")</x:f>
        <x:v>OPEN</x:v>
      </x:c>
    </x:row>
    <x:row r="2018">
      <x:c r="B2018" t="str">
        <x:v>PH-EX-036</x:v>
      </x:c>
      <x:c r="C2018" t="str">
        <x:v>PHYSICAL</x:v>
      </x:c>
      <x:c r="D2018" t="str">
        <x:v>trial execution</x:v>
      </x:c>
      <x:c r="E2018" t="str">
        <x:v>PH-EX-036</x:v>
      </x:c>
      <x:c r="F2018" t="n">
        <x:f>IF('Trial Register'!P42&lt;&gt;"",1,0)</x:f>
        <x:v>0</x:v>
      </x:c>
      <x:c r="G2018" t="n">
        <x:v>1</x:v>
      </x:c>
      <x:c r="H2018" t="str">
        <x:v>independent physical acceptance</x:v>
      </x:c>
      <x:c r="I2018" t="str">
        <x:f>IF(F2018=1,"PASS","OPEN")</x:f>
        <x:v>OPEN</x:v>
      </x:c>
    </x:row>
    <x:row r="2019">
      <x:c r="B2019" t="str">
        <x:v>PH-PK-036</x:v>
      </x:c>
      <x:c r="C2019" t="str">
        <x:v>PHYSICAL</x:v>
      </x:c>
      <x:c r="D2019" t="str">
        <x:v>trial packet</x:v>
      </x:c>
      <x:c r="E2019" t="str">
        <x:v>PH-PK-036</x:v>
      </x:c>
      <x:c r="F2019" t="n">
        <x:f>IF('Trial Register'!Q42&lt;&gt;"",1,0)</x:f>
        <x:v>0</x:v>
      </x:c>
      <x:c r="G2019" t="n">
        <x:v>1</x:v>
      </x:c>
      <x:c r="H2019" t="str">
        <x:v>independent physical acceptance</x:v>
      </x:c>
      <x:c r="I2019" t="str">
        <x:f>IF(F2019=1,"PASS","OPEN")</x:f>
        <x:v>OPEN</x:v>
      </x:c>
    </x:row>
    <x:row r="2020">
      <x:c r="B2020" t="str">
        <x:v>PH-VA-036</x:v>
      </x:c>
      <x:c r="C2020" t="str">
        <x:v>PHYSICAL</x:v>
      </x:c>
      <x:c r="D2020" t="str">
        <x:v>trial validity</x:v>
      </x:c>
      <x:c r="E2020" t="str">
        <x:v>PH-VA-036</x:v>
      </x:c>
      <x:c r="F2020" t="n">
        <x:f>IF('Trial Register'!R42&lt;&gt;"",1,0)</x:f>
        <x:v>0</x:v>
      </x:c>
      <x:c r="G2020" t="n">
        <x:v>1</x:v>
      </x:c>
      <x:c r="H2020" t="str">
        <x:v>independent physical acceptance</x:v>
      </x:c>
      <x:c r="I2020" t="str">
        <x:f>IF(F2020=1,"PASS","OPEN")</x:f>
        <x:v>OPEN</x:v>
      </x:c>
    </x:row>
    <x:row r="2021">
      <x:c r="B2021" t="str">
        <x:v>PH-RV-036</x:v>
      </x:c>
      <x:c r="C2021" t="str">
        <x:v>PHYSICAL</x:v>
      </x:c>
      <x:c r="D2021" t="str">
        <x:v>reported value</x:v>
      </x:c>
      <x:c r="E2021" t="str">
        <x:v>PH-RV-036</x:v>
      </x:c>
      <x:c r="F2021" t="n">
        <x:f>IF('Trial Register'!S42&lt;&gt;"",1,0)</x:f>
        <x:v>0</x:v>
      </x:c>
      <x:c r="G2021" t="n">
        <x:v>1</x:v>
      </x:c>
      <x:c r="H2021" t="str">
        <x:v>independent physical acceptance</x:v>
      </x:c>
      <x:c r="I2021" t="str">
        <x:f>IF(F2021=1,"PASS","OPEN")</x:f>
        <x:v>OPEN</x:v>
      </x:c>
    </x:row>
    <x:row r="2022">
      <x:c r="B2022" t="str">
        <x:v>PH-CR-036</x:v>
      </x:c>
      <x:c r="C2022" t="str">
        <x:v>PHYSICAL</x:v>
      </x:c>
      <x:c r="D2022" t="str">
        <x:v>credit acceptance</x:v>
      </x:c>
      <x:c r="E2022" t="str">
        <x:v>PH-CR-036</x:v>
      </x:c>
      <x:c r="F2022" t="str">
        <x:f>'Trial Register'!V42</x:f>
      </x:c>
      <x:c r="G2022" t="n">
        <x:v>1</x:v>
      </x:c>
      <x:c r="H2022" t="str">
        <x:v>independent physical acceptance</x:v>
      </x:c>
      <x:c r="I2022" t="str">
        <x:f>IF(F2022=1,"PASS","OPEN")</x:f>
        <x:v>OPEN</x:v>
      </x:c>
    </x:row>
    <x:row r="2023">
      <x:c r="B2023" t="str">
        <x:v>PH-EX-037</x:v>
      </x:c>
      <x:c r="C2023" t="str">
        <x:v>PHYSICAL</x:v>
      </x:c>
      <x:c r="D2023" t="str">
        <x:v>trial execution</x:v>
      </x:c>
      <x:c r="E2023" t="str">
        <x:v>PH-EX-037</x:v>
      </x:c>
      <x:c r="F2023" t="n">
        <x:f>IF('Trial Register'!P43&lt;&gt;"",1,0)</x:f>
        <x:v>0</x:v>
      </x:c>
      <x:c r="G2023" t="n">
        <x:v>1</x:v>
      </x:c>
      <x:c r="H2023" t="str">
        <x:v>independent physical acceptance</x:v>
      </x:c>
      <x:c r="I2023" t="str">
        <x:f>IF(F2023=1,"PASS","OPEN")</x:f>
        <x:v>OPEN</x:v>
      </x:c>
    </x:row>
    <x:row r="2024">
      <x:c r="B2024" t="str">
        <x:v>PH-PK-037</x:v>
      </x:c>
      <x:c r="C2024" t="str">
        <x:v>PHYSICAL</x:v>
      </x:c>
      <x:c r="D2024" t="str">
        <x:v>trial packet</x:v>
      </x:c>
      <x:c r="E2024" t="str">
        <x:v>PH-PK-037</x:v>
      </x:c>
      <x:c r="F2024" t="n">
        <x:f>IF('Trial Register'!Q43&lt;&gt;"",1,0)</x:f>
        <x:v>0</x:v>
      </x:c>
      <x:c r="G2024" t="n">
        <x:v>1</x:v>
      </x:c>
      <x:c r="H2024" t="str">
        <x:v>independent physical acceptance</x:v>
      </x:c>
      <x:c r="I2024" t="str">
        <x:f>IF(F2024=1,"PASS","OPEN")</x:f>
        <x:v>OPEN</x:v>
      </x:c>
    </x:row>
    <x:row r="2025">
      <x:c r="B2025" t="str">
        <x:v>PH-VA-037</x:v>
      </x:c>
      <x:c r="C2025" t="str">
        <x:v>PHYSICAL</x:v>
      </x:c>
      <x:c r="D2025" t="str">
        <x:v>trial validity</x:v>
      </x:c>
      <x:c r="E2025" t="str">
        <x:v>PH-VA-037</x:v>
      </x:c>
      <x:c r="F2025" t="n">
        <x:f>IF('Trial Register'!R43&lt;&gt;"",1,0)</x:f>
        <x:v>0</x:v>
      </x:c>
      <x:c r="G2025" t="n">
        <x:v>1</x:v>
      </x:c>
      <x:c r="H2025" t="str">
        <x:v>independent physical acceptance</x:v>
      </x:c>
      <x:c r="I2025" t="str">
        <x:f>IF(F2025=1,"PASS","OPEN")</x:f>
        <x:v>OPEN</x:v>
      </x:c>
    </x:row>
    <x:row r="2026">
      <x:c r="B2026" t="str">
        <x:v>PH-RV-037</x:v>
      </x:c>
      <x:c r="C2026" t="str">
        <x:v>PHYSICAL</x:v>
      </x:c>
      <x:c r="D2026" t="str">
        <x:v>reported value</x:v>
      </x:c>
      <x:c r="E2026" t="str">
        <x:v>PH-RV-037</x:v>
      </x:c>
      <x:c r="F2026" t="n">
        <x:f>IF('Trial Register'!S43&lt;&gt;"",1,0)</x:f>
        <x:v>0</x:v>
      </x:c>
      <x:c r="G2026" t="n">
        <x:v>1</x:v>
      </x:c>
      <x:c r="H2026" t="str">
        <x:v>independent physical acceptance</x:v>
      </x:c>
      <x:c r="I2026" t="str">
        <x:f>IF(F2026=1,"PASS","OPEN")</x:f>
        <x:v>OPEN</x:v>
      </x:c>
    </x:row>
    <x:row r="2027">
      <x:c r="B2027" t="str">
        <x:v>PH-CR-037</x:v>
      </x:c>
      <x:c r="C2027" t="str">
        <x:v>PHYSICAL</x:v>
      </x:c>
      <x:c r="D2027" t="str">
        <x:v>credit acceptance</x:v>
      </x:c>
      <x:c r="E2027" t="str">
        <x:v>PH-CR-037</x:v>
      </x:c>
      <x:c r="F2027" t="str">
        <x:f>'Trial Register'!V43</x:f>
      </x:c>
      <x:c r="G2027" t="n">
        <x:v>1</x:v>
      </x:c>
      <x:c r="H2027" t="str">
        <x:v>independent physical acceptance</x:v>
      </x:c>
      <x:c r="I2027" t="str">
        <x:f>IF(F2027=1,"PASS","OPEN")</x:f>
        <x:v>OPEN</x:v>
      </x:c>
    </x:row>
    <x:row r="2028">
      <x:c r="B2028" t="str">
        <x:v>PH-EX-038</x:v>
      </x:c>
      <x:c r="C2028" t="str">
        <x:v>PHYSICAL</x:v>
      </x:c>
      <x:c r="D2028" t="str">
        <x:v>trial execution</x:v>
      </x:c>
      <x:c r="E2028" t="str">
        <x:v>PH-EX-038</x:v>
      </x:c>
      <x:c r="F2028" t="n">
        <x:f>IF('Trial Register'!P44&lt;&gt;"",1,0)</x:f>
        <x:v>0</x:v>
      </x:c>
      <x:c r="G2028" t="n">
        <x:v>1</x:v>
      </x:c>
      <x:c r="H2028" t="str">
        <x:v>independent physical acceptance</x:v>
      </x:c>
      <x:c r="I2028" t="str">
        <x:f>IF(F2028=1,"PASS","OPEN")</x:f>
        <x:v>OPEN</x:v>
      </x:c>
    </x:row>
    <x:row r="2029">
      <x:c r="B2029" t="str">
        <x:v>PH-PK-038</x:v>
      </x:c>
      <x:c r="C2029" t="str">
        <x:v>PHYSICAL</x:v>
      </x:c>
      <x:c r="D2029" t="str">
        <x:v>trial packet</x:v>
      </x:c>
      <x:c r="E2029" t="str">
        <x:v>PH-PK-038</x:v>
      </x:c>
      <x:c r="F2029" t="n">
        <x:f>IF('Trial Register'!Q44&lt;&gt;"",1,0)</x:f>
        <x:v>0</x:v>
      </x:c>
      <x:c r="G2029" t="n">
        <x:v>1</x:v>
      </x:c>
      <x:c r="H2029" t="str">
        <x:v>independent physical acceptance</x:v>
      </x:c>
      <x:c r="I2029" t="str">
        <x:f>IF(F2029=1,"PASS","OPEN")</x:f>
        <x:v>OPEN</x:v>
      </x:c>
    </x:row>
    <x:row r="2030">
      <x:c r="B2030" t="str">
        <x:v>PH-VA-038</x:v>
      </x:c>
      <x:c r="C2030" t="str">
        <x:v>PHYSICAL</x:v>
      </x:c>
      <x:c r="D2030" t="str">
        <x:v>trial validity</x:v>
      </x:c>
      <x:c r="E2030" t="str">
        <x:v>PH-VA-038</x:v>
      </x:c>
      <x:c r="F2030" t="n">
        <x:f>IF('Trial Register'!R44&lt;&gt;"",1,0)</x:f>
        <x:v>0</x:v>
      </x:c>
      <x:c r="G2030" t="n">
        <x:v>1</x:v>
      </x:c>
      <x:c r="H2030" t="str">
        <x:v>independent physical acceptance</x:v>
      </x:c>
      <x:c r="I2030" t="str">
        <x:f>IF(F2030=1,"PASS","OPEN")</x:f>
        <x:v>OPEN</x:v>
      </x:c>
    </x:row>
    <x:row r="2031">
      <x:c r="B2031" t="str">
        <x:v>PH-RV-038</x:v>
      </x:c>
      <x:c r="C2031" t="str">
        <x:v>PHYSICAL</x:v>
      </x:c>
      <x:c r="D2031" t="str">
        <x:v>reported value</x:v>
      </x:c>
      <x:c r="E2031" t="str">
        <x:v>PH-RV-038</x:v>
      </x:c>
      <x:c r="F2031" t="n">
        <x:f>IF('Trial Register'!S44&lt;&gt;"",1,0)</x:f>
        <x:v>0</x:v>
      </x:c>
      <x:c r="G2031" t="n">
        <x:v>1</x:v>
      </x:c>
      <x:c r="H2031" t="str">
        <x:v>independent physical acceptance</x:v>
      </x:c>
      <x:c r="I2031" t="str">
        <x:f>IF(F2031=1,"PASS","OPEN")</x:f>
        <x:v>OPEN</x:v>
      </x:c>
    </x:row>
    <x:row r="2032">
      <x:c r="B2032" t="str">
        <x:v>PH-CR-038</x:v>
      </x:c>
      <x:c r="C2032" t="str">
        <x:v>PHYSICAL</x:v>
      </x:c>
      <x:c r="D2032" t="str">
        <x:v>credit acceptance</x:v>
      </x:c>
      <x:c r="E2032" t="str">
        <x:v>PH-CR-038</x:v>
      </x:c>
      <x:c r="F2032" t="str">
        <x:f>'Trial Register'!V44</x:f>
      </x:c>
      <x:c r="G2032" t="n">
        <x:v>1</x:v>
      </x:c>
      <x:c r="H2032" t="str">
        <x:v>independent physical acceptance</x:v>
      </x:c>
      <x:c r="I2032" t="str">
        <x:f>IF(F2032=1,"PASS","OPEN")</x:f>
        <x:v>OPEN</x:v>
      </x:c>
    </x:row>
    <x:row r="2033">
      <x:c r="B2033" t="str">
        <x:v>PH-EX-039</x:v>
      </x:c>
      <x:c r="C2033" t="str">
        <x:v>PHYSICAL</x:v>
      </x:c>
      <x:c r="D2033" t="str">
        <x:v>trial execution</x:v>
      </x:c>
      <x:c r="E2033" t="str">
        <x:v>PH-EX-039</x:v>
      </x:c>
      <x:c r="F2033" t="n">
        <x:f>IF('Trial Register'!P45&lt;&gt;"",1,0)</x:f>
        <x:v>0</x:v>
      </x:c>
      <x:c r="G2033" t="n">
        <x:v>1</x:v>
      </x:c>
      <x:c r="H2033" t="str">
        <x:v>independent physical acceptance</x:v>
      </x:c>
      <x:c r="I2033" t="str">
        <x:f>IF(F2033=1,"PASS","OPEN")</x:f>
        <x:v>OPEN</x:v>
      </x:c>
    </x:row>
    <x:row r="2034">
      <x:c r="B2034" t="str">
        <x:v>PH-PK-039</x:v>
      </x:c>
      <x:c r="C2034" t="str">
        <x:v>PHYSICAL</x:v>
      </x:c>
      <x:c r="D2034" t="str">
        <x:v>trial packet</x:v>
      </x:c>
      <x:c r="E2034" t="str">
        <x:v>PH-PK-039</x:v>
      </x:c>
      <x:c r="F2034" t="n">
        <x:f>IF('Trial Register'!Q45&lt;&gt;"",1,0)</x:f>
        <x:v>0</x:v>
      </x:c>
      <x:c r="G2034" t="n">
        <x:v>1</x:v>
      </x:c>
      <x:c r="H2034" t="str">
        <x:v>independent physical acceptance</x:v>
      </x:c>
      <x:c r="I2034" t="str">
        <x:f>IF(F2034=1,"PASS","OPEN")</x:f>
        <x:v>OPEN</x:v>
      </x:c>
    </x:row>
    <x:row r="2035">
      <x:c r="B2035" t="str">
        <x:v>PH-VA-039</x:v>
      </x:c>
      <x:c r="C2035" t="str">
        <x:v>PHYSICAL</x:v>
      </x:c>
      <x:c r="D2035" t="str">
        <x:v>trial validity</x:v>
      </x:c>
      <x:c r="E2035" t="str">
        <x:v>PH-VA-039</x:v>
      </x:c>
      <x:c r="F2035" t="n">
        <x:f>IF('Trial Register'!R45&lt;&gt;"",1,0)</x:f>
        <x:v>0</x:v>
      </x:c>
      <x:c r="G2035" t="n">
        <x:v>1</x:v>
      </x:c>
      <x:c r="H2035" t="str">
        <x:v>independent physical acceptance</x:v>
      </x:c>
      <x:c r="I2035" t="str">
        <x:f>IF(F2035=1,"PASS","OPEN")</x:f>
        <x:v>OPEN</x:v>
      </x:c>
    </x:row>
    <x:row r="2036">
      <x:c r="B2036" t="str">
        <x:v>PH-RV-039</x:v>
      </x:c>
      <x:c r="C2036" t="str">
        <x:v>PHYSICAL</x:v>
      </x:c>
      <x:c r="D2036" t="str">
        <x:v>reported value</x:v>
      </x:c>
      <x:c r="E2036" t="str">
        <x:v>PH-RV-039</x:v>
      </x:c>
      <x:c r="F2036" t="n">
        <x:f>IF('Trial Register'!S45&lt;&gt;"",1,0)</x:f>
        <x:v>0</x:v>
      </x:c>
      <x:c r="G2036" t="n">
        <x:v>1</x:v>
      </x:c>
      <x:c r="H2036" t="str">
        <x:v>independent physical acceptance</x:v>
      </x:c>
      <x:c r="I2036" t="str">
        <x:f>IF(F2036=1,"PASS","OPEN")</x:f>
        <x:v>OPEN</x:v>
      </x:c>
    </x:row>
    <x:row r="2037">
      <x:c r="B2037" t="str">
        <x:v>PH-CR-039</x:v>
      </x:c>
      <x:c r="C2037" t="str">
        <x:v>PHYSICAL</x:v>
      </x:c>
      <x:c r="D2037" t="str">
        <x:v>credit acceptance</x:v>
      </x:c>
      <x:c r="E2037" t="str">
        <x:v>PH-CR-039</x:v>
      </x:c>
      <x:c r="F2037" t="str">
        <x:f>'Trial Register'!V45</x:f>
      </x:c>
      <x:c r="G2037" t="n">
        <x:v>1</x:v>
      </x:c>
      <x:c r="H2037" t="str">
        <x:v>independent physical acceptance</x:v>
      </x:c>
      <x:c r="I2037" t="str">
        <x:f>IF(F2037=1,"PASS","OPEN")</x:f>
        <x:v>OPEN</x:v>
      </x:c>
    </x:row>
    <x:row r="2038">
      <x:c r="B2038" t="str">
        <x:v>PH-EX-040</x:v>
      </x:c>
      <x:c r="C2038" t="str">
        <x:v>PHYSICAL</x:v>
      </x:c>
      <x:c r="D2038" t="str">
        <x:v>trial execution</x:v>
      </x:c>
      <x:c r="E2038" t="str">
        <x:v>PH-EX-040</x:v>
      </x:c>
      <x:c r="F2038" t="n">
        <x:f>IF('Trial Register'!P46&lt;&gt;"",1,0)</x:f>
        <x:v>0</x:v>
      </x:c>
      <x:c r="G2038" t="n">
        <x:v>1</x:v>
      </x:c>
      <x:c r="H2038" t="str">
        <x:v>independent physical acceptance</x:v>
      </x:c>
      <x:c r="I2038" t="str">
        <x:f>IF(F2038=1,"PASS","OPEN")</x:f>
        <x:v>OPEN</x:v>
      </x:c>
    </x:row>
    <x:row r="2039">
      <x:c r="B2039" t="str">
        <x:v>PH-PK-040</x:v>
      </x:c>
      <x:c r="C2039" t="str">
        <x:v>PHYSICAL</x:v>
      </x:c>
      <x:c r="D2039" t="str">
        <x:v>trial packet</x:v>
      </x:c>
      <x:c r="E2039" t="str">
        <x:v>PH-PK-040</x:v>
      </x:c>
      <x:c r="F2039" t="n">
        <x:f>IF('Trial Register'!Q46&lt;&gt;"",1,0)</x:f>
        <x:v>0</x:v>
      </x:c>
      <x:c r="G2039" t="n">
        <x:v>1</x:v>
      </x:c>
      <x:c r="H2039" t="str">
        <x:v>independent physical acceptance</x:v>
      </x:c>
      <x:c r="I2039" t="str">
        <x:f>IF(F2039=1,"PASS","OPEN")</x:f>
        <x:v>OPEN</x:v>
      </x:c>
    </x:row>
    <x:row r="2040">
      <x:c r="B2040" t="str">
        <x:v>PH-VA-040</x:v>
      </x:c>
      <x:c r="C2040" t="str">
        <x:v>PHYSICAL</x:v>
      </x:c>
      <x:c r="D2040" t="str">
        <x:v>trial validity</x:v>
      </x:c>
      <x:c r="E2040" t="str">
        <x:v>PH-VA-040</x:v>
      </x:c>
      <x:c r="F2040" t="n">
        <x:f>IF('Trial Register'!R46&lt;&gt;"",1,0)</x:f>
        <x:v>0</x:v>
      </x:c>
      <x:c r="G2040" t="n">
        <x:v>1</x:v>
      </x:c>
      <x:c r="H2040" t="str">
        <x:v>independent physical acceptance</x:v>
      </x:c>
      <x:c r="I2040" t="str">
        <x:f>IF(F2040=1,"PASS","OPEN")</x:f>
        <x:v>OPEN</x:v>
      </x:c>
    </x:row>
    <x:row r="2041">
      <x:c r="B2041" t="str">
        <x:v>PH-RV-040</x:v>
      </x:c>
      <x:c r="C2041" t="str">
        <x:v>PHYSICAL</x:v>
      </x:c>
      <x:c r="D2041" t="str">
        <x:v>reported value</x:v>
      </x:c>
      <x:c r="E2041" t="str">
        <x:v>PH-RV-040</x:v>
      </x:c>
      <x:c r="F2041" t="n">
        <x:f>IF('Trial Register'!S46&lt;&gt;"",1,0)</x:f>
        <x:v>0</x:v>
      </x:c>
      <x:c r="G2041" t="n">
        <x:v>1</x:v>
      </x:c>
      <x:c r="H2041" t="str">
        <x:v>independent physical acceptance</x:v>
      </x:c>
      <x:c r="I2041" t="str">
        <x:f>IF(F2041=1,"PASS","OPEN")</x:f>
        <x:v>OPEN</x:v>
      </x:c>
    </x:row>
    <x:row r="2042">
      <x:c r="B2042" t="str">
        <x:v>PH-CR-040</x:v>
      </x:c>
      <x:c r="C2042" t="str">
        <x:v>PHYSICAL</x:v>
      </x:c>
      <x:c r="D2042" t="str">
        <x:v>credit acceptance</x:v>
      </x:c>
      <x:c r="E2042" t="str">
        <x:v>PH-CR-040</x:v>
      </x:c>
      <x:c r="F2042" t="str">
        <x:f>'Trial Register'!V46</x:f>
      </x:c>
      <x:c r="G2042" t="n">
        <x:v>1</x:v>
      </x:c>
      <x:c r="H2042" t="str">
        <x:v>independent physical acceptance</x:v>
      </x:c>
      <x:c r="I2042" t="str">
        <x:f>IF(F2042=1,"PASS","OPEN")</x:f>
        <x:v>OPEN</x:v>
      </x:c>
    </x:row>
    <x:row r="2043">
      <x:c r="B2043" t="str">
        <x:v>PH-EX-041</x:v>
      </x:c>
      <x:c r="C2043" t="str">
        <x:v>PHYSICAL</x:v>
      </x:c>
      <x:c r="D2043" t="str">
        <x:v>trial execution</x:v>
      </x:c>
      <x:c r="E2043" t="str">
        <x:v>PH-EX-041</x:v>
      </x:c>
      <x:c r="F2043" t="n">
        <x:f>IF('Trial Register'!P47&lt;&gt;"",1,0)</x:f>
        <x:v>0</x:v>
      </x:c>
      <x:c r="G2043" t="n">
        <x:v>1</x:v>
      </x:c>
      <x:c r="H2043" t="str">
        <x:v>independent physical acceptance</x:v>
      </x:c>
      <x:c r="I2043" t="str">
        <x:f>IF(F2043=1,"PASS","OPEN")</x:f>
        <x:v>OPEN</x:v>
      </x:c>
    </x:row>
    <x:row r="2044">
      <x:c r="B2044" t="str">
        <x:v>PH-PK-041</x:v>
      </x:c>
      <x:c r="C2044" t="str">
        <x:v>PHYSICAL</x:v>
      </x:c>
      <x:c r="D2044" t="str">
        <x:v>trial packet</x:v>
      </x:c>
      <x:c r="E2044" t="str">
        <x:v>PH-PK-041</x:v>
      </x:c>
      <x:c r="F2044" t="n">
        <x:f>IF('Trial Register'!Q47&lt;&gt;"",1,0)</x:f>
        <x:v>0</x:v>
      </x:c>
      <x:c r="G2044" t="n">
        <x:v>1</x:v>
      </x:c>
      <x:c r="H2044" t="str">
        <x:v>independent physical acceptance</x:v>
      </x:c>
      <x:c r="I2044" t="str">
        <x:f>IF(F2044=1,"PASS","OPEN")</x:f>
        <x:v>OPEN</x:v>
      </x:c>
    </x:row>
    <x:row r="2045">
      <x:c r="B2045" t="str">
        <x:v>PH-VA-041</x:v>
      </x:c>
      <x:c r="C2045" t="str">
        <x:v>PHYSICAL</x:v>
      </x:c>
      <x:c r="D2045" t="str">
        <x:v>trial validity</x:v>
      </x:c>
      <x:c r="E2045" t="str">
        <x:v>PH-VA-041</x:v>
      </x:c>
      <x:c r="F2045" t="n">
        <x:f>IF('Trial Register'!R47&lt;&gt;"",1,0)</x:f>
        <x:v>0</x:v>
      </x:c>
      <x:c r="G2045" t="n">
        <x:v>1</x:v>
      </x:c>
      <x:c r="H2045" t="str">
        <x:v>independent physical acceptance</x:v>
      </x:c>
      <x:c r="I2045" t="str">
        <x:f>IF(F2045=1,"PASS","OPEN")</x:f>
        <x:v>OPEN</x:v>
      </x:c>
    </x:row>
    <x:row r="2046">
      <x:c r="B2046" t="str">
        <x:v>PH-RV-041</x:v>
      </x:c>
      <x:c r="C2046" t="str">
        <x:v>PHYSICAL</x:v>
      </x:c>
      <x:c r="D2046" t="str">
        <x:v>reported value</x:v>
      </x:c>
      <x:c r="E2046" t="str">
        <x:v>PH-RV-041</x:v>
      </x:c>
      <x:c r="F2046" t="n">
        <x:f>IF('Trial Register'!S47&lt;&gt;"",1,0)</x:f>
        <x:v>0</x:v>
      </x:c>
      <x:c r="G2046" t="n">
        <x:v>1</x:v>
      </x:c>
      <x:c r="H2046" t="str">
        <x:v>independent physical acceptance</x:v>
      </x:c>
      <x:c r="I2046" t="str">
        <x:f>IF(F2046=1,"PASS","OPEN")</x:f>
        <x:v>OPEN</x:v>
      </x:c>
    </x:row>
    <x:row r="2047">
      <x:c r="B2047" t="str">
        <x:v>PH-CR-041</x:v>
      </x:c>
      <x:c r="C2047" t="str">
        <x:v>PHYSICAL</x:v>
      </x:c>
      <x:c r="D2047" t="str">
        <x:v>credit acceptance</x:v>
      </x:c>
      <x:c r="E2047" t="str">
        <x:v>PH-CR-041</x:v>
      </x:c>
      <x:c r="F2047" t="str">
        <x:f>'Trial Register'!V47</x:f>
      </x:c>
      <x:c r="G2047" t="n">
        <x:v>1</x:v>
      </x:c>
      <x:c r="H2047" t="str">
        <x:v>independent physical acceptance</x:v>
      </x:c>
      <x:c r="I2047" t="str">
        <x:f>IF(F2047=1,"PASS","OPEN")</x:f>
        <x:v>OPEN</x:v>
      </x:c>
    </x:row>
    <x:row r="2048">
      <x:c r="B2048" t="str">
        <x:v>PH-EX-042</x:v>
      </x:c>
      <x:c r="C2048" t="str">
        <x:v>PHYSICAL</x:v>
      </x:c>
      <x:c r="D2048" t="str">
        <x:v>trial execution</x:v>
      </x:c>
      <x:c r="E2048" t="str">
        <x:v>PH-EX-042</x:v>
      </x:c>
      <x:c r="F2048" t="n">
        <x:f>IF('Trial Register'!P48&lt;&gt;"",1,0)</x:f>
        <x:v>0</x:v>
      </x:c>
      <x:c r="G2048" t="n">
        <x:v>1</x:v>
      </x:c>
      <x:c r="H2048" t="str">
        <x:v>independent physical acceptance</x:v>
      </x:c>
      <x:c r="I2048" t="str">
        <x:f>IF(F2048=1,"PASS","OPEN")</x:f>
        <x:v>OPEN</x:v>
      </x:c>
    </x:row>
    <x:row r="2049">
      <x:c r="B2049" t="str">
        <x:v>PH-PK-042</x:v>
      </x:c>
      <x:c r="C2049" t="str">
        <x:v>PHYSICAL</x:v>
      </x:c>
      <x:c r="D2049" t="str">
        <x:v>trial packet</x:v>
      </x:c>
      <x:c r="E2049" t="str">
        <x:v>PH-PK-042</x:v>
      </x:c>
      <x:c r="F2049" t="n">
        <x:f>IF('Trial Register'!Q48&lt;&gt;"",1,0)</x:f>
        <x:v>0</x:v>
      </x:c>
      <x:c r="G2049" t="n">
        <x:v>1</x:v>
      </x:c>
      <x:c r="H2049" t="str">
        <x:v>independent physical acceptance</x:v>
      </x:c>
      <x:c r="I2049" t="str">
        <x:f>IF(F2049=1,"PASS","OPEN")</x:f>
        <x:v>OPEN</x:v>
      </x:c>
    </x:row>
    <x:row r="2050">
      <x:c r="B2050" t="str">
        <x:v>PH-VA-042</x:v>
      </x:c>
      <x:c r="C2050" t="str">
        <x:v>PHYSICAL</x:v>
      </x:c>
      <x:c r="D2050" t="str">
        <x:v>trial validity</x:v>
      </x:c>
      <x:c r="E2050" t="str">
        <x:v>PH-VA-042</x:v>
      </x:c>
      <x:c r="F2050" t="n">
        <x:f>IF('Trial Register'!R48&lt;&gt;"",1,0)</x:f>
        <x:v>0</x:v>
      </x:c>
      <x:c r="G2050" t="n">
        <x:v>1</x:v>
      </x:c>
      <x:c r="H2050" t="str">
        <x:v>independent physical acceptance</x:v>
      </x:c>
      <x:c r="I2050" t="str">
        <x:f>IF(F2050=1,"PASS","OPEN")</x:f>
        <x:v>OPEN</x:v>
      </x:c>
    </x:row>
    <x:row r="2051">
      <x:c r="B2051" t="str">
        <x:v>PH-RV-042</x:v>
      </x:c>
      <x:c r="C2051" t="str">
        <x:v>PHYSICAL</x:v>
      </x:c>
      <x:c r="D2051" t="str">
        <x:v>reported value</x:v>
      </x:c>
      <x:c r="E2051" t="str">
        <x:v>PH-RV-042</x:v>
      </x:c>
      <x:c r="F2051" t="n">
        <x:f>IF('Trial Register'!S48&lt;&gt;"",1,0)</x:f>
        <x:v>0</x:v>
      </x:c>
      <x:c r="G2051" t="n">
        <x:v>1</x:v>
      </x:c>
      <x:c r="H2051" t="str">
        <x:v>independent physical acceptance</x:v>
      </x:c>
      <x:c r="I2051" t="str">
        <x:f>IF(F2051=1,"PASS","OPEN")</x:f>
        <x:v>OPEN</x:v>
      </x:c>
    </x:row>
    <x:row r="2052">
      <x:c r="B2052" t="str">
        <x:v>PH-CR-042</x:v>
      </x:c>
      <x:c r="C2052" t="str">
        <x:v>PHYSICAL</x:v>
      </x:c>
      <x:c r="D2052" t="str">
        <x:v>credit acceptance</x:v>
      </x:c>
      <x:c r="E2052" t="str">
        <x:v>PH-CR-042</x:v>
      </x:c>
      <x:c r="F2052" t="str">
        <x:f>'Trial Register'!V48</x:f>
      </x:c>
      <x:c r="G2052" t="n">
        <x:v>1</x:v>
      </x:c>
      <x:c r="H2052" t="str">
        <x:v>independent physical acceptance</x:v>
      </x:c>
      <x:c r="I2052" t="str">
        <x:f>IF(F2052=1,"PASS","OPEN")</x:f>
        <x:v>OPEN</x:v>
      </x:c>
    </x:row>
    <x:row r="2053">
      <x:c r="B2053" t="str">
        <x:v>PH-EX-043</x:v>
      </x:c>
      <x:c r="C2053" t="str">
        <x:v>PHYSICAL</x:v>
      </x:c>
      <x:c r="D2053" t="str">
        <x:v>trial execution</x:v>
      </x:c>
      <x:c r="E2053" t="str">
        <x:v>PH-EX-043</x:v>
      </x:c>
      <x:c r="F2053" t="n">
        <x:f>IF('Trial Register'!P49&lt;&gt;"",1,0)</x:f>
        <x:v>0</x:v>
      </x:c>
      <x:c r="G2053" t="n">
        <x:v>1</x:v>
      </x:c>
      <x:c r="H2053" t="str">
        <x:v>independent physical acceptance</x:v>
      </x:c>
      <x:c r="I2053" t="str">
        <x:f>IF(F2053=1,"PASS","OPEN")</x:f>
        <x:v>OPEN</x:v>
      </x:c>
    </x:row>
    <x:row r="2054">
      <x:c r="B2054" t="str">
        <x:v>PH-PK-043</x:v>
      </x:c>
      <x:c r="C2054" t="str">
        <x:v>PHYSICAL</x:v>
      </x:c>
      <x:c r="D2054" t="str">
        <x:v>trial packet</x:v>
      </x:c>
      <x:c r="E2054" t="str">
        <x:v>PH-PK-043</x:v>
      </x:c>
      <x:c r="F2054" t="n">
        <x:f>IF('Trial Register'!Q49&lt;&gt;"",1,0)</x:f>
        <x:v>0</x:v>
      </x:c>
      <x:c r="G2054" t="n">
        <x:v>1</x:v>
      </x:c>
      <x:c r="H2054" t="str">
        <x:v>independent physical acceptance</x:v>
      </x:c>
      <x:c r="I2054" t="str">
        <x:f>IF(F2054=1,"PASS","OPEN")</x:f>
        <x:v>OPEN</x:v>
      </x:c>
    </x:row>
    <x:row r="2055">
      <x:c r="B2055" t="str">
        <x:v>PH-VA-043</x:v>
      </x:c>
      <x:c r="C2055" t="str">
        <x:v>PHYSICAL</x:v>
      </x:c>
      <x:c r="D2055" t="str">
        <x:v>trial validity</x:v>
      </x:c>
      <x:c r="E2055" t="str">
        <x:v>PH-VA-043</x:v>
      </x:c>
      <x:c r="F2055" t="n">
        <x:f>IF('Trial Register'!R49&lt;&gt;"",1,0)</x:f>
        <x:v>0</x:v>
      </x:c>
      <x:c r="G2055" t="n">
        <x:v>1</x:v>
      </x:c>
      <x:c r="H2055" t="str">
        <x:v>independent physical acceptance</x:v>
      </x:c>
      <x:c r="I2055" t="str">
        <x:f>IF(F2055=1,"PASS","OPEN")</x:f>
        <x:v>OPEN</x:v>
      </x:c>
    </x:row>
    <x:row r="2056">
      <x:c r="B2056" t="str">
        <x:v>PH-RV-043</x:v>
      </x:c>
      <x:c r="C2056" t="str">
        <x:v>PHYSICAL</x:v>
      </x:c>
      <x:c r="D2056" t="str">
        <x:v>reported value</x:v>
      </x:c>
      <x:c r="E2056" t="str">
        <x:v>PH-RV-043</x:v>
      </x:c>
      <x:c r="F2056" t="n">
        <x:f>IF('Trial Register'!S49&lt;&gt;"",1,0)</x:f>
        <x:v>0</x:v>
      </x:c>
      <x:c r="G2056" t="n">
        <x:v>1</x:v>
      </x:c>
      <x:c r="H2056" t="str">
        <x:v>independent physical acceptance</x:v>
      </x:c>
      <x:c r="I2056" t="str">
        <x:f>IF(F2056=1,"PASS","OPEN")</x:f>
        <x:v>OPEN</x:v>
      </x:c>
    </x:row>
    <x:row r="2057">
      <x:c r="B2057" t="str">
        <x:v>PH-CR-043</x:v>
      </x:c>
      <x:c r="C2057" t="str">
        <x:v>PHYSICAL</x:v>
      </x:c>
      <x:c r="D2057" t="str">
        <x:v>credit acceptance</x:v>
      </x:c>
      <x:c r="E2057" t="str">
        <x:v>PH-CR-043</x:v>
      </x:c>
      <x:c r="F2057" t="str">
        <x:f>'Trial Register'!V49</x:f>
      </x:c>
      <x:c r="G2057" t="n">
        <x:v>1</x:v>
      </x:c>
      <x:c r="H2057" t="str">
        <x:v>independent physical acceptance</x:v>
      </x:c>
      <x:c r="I2057" t="str">
        <x:f>IF(F2057=1,"PASS","OPEN")</x:f>
        <x:v>OPEN</x:v>
      </x:c>
    </x:row>
    <x:row r="2058">
      <x:c r="B2058" t="str">
        <x:v>PH-EX-044</x:v>
      </x:c>
      <x:c r="C2058" t="str">
        <x:v>PHYSICAL</x:v>
      </x:c>
      <x:c r="D2058" t="str">
        <x:v>trial execution</x:v>
      </x:c>
      <x:c r="E2058" t="str">
        <x:v>PH-EX-044</x:v>
      </x:c>
      <x:c r="F2058" t="n">
        <x:f>IF('Trial Register'!P50&lt;&gt;"",1,0)</x:f>
        <x:v>0</x:v>
      </x:c>
      <x:c r="G2058" t="n">
        <x:v>1</x:v>
      </x:c>
      <x:c r="H2058" t="str">
        <x:v>independent physical acceptance</x:v>
      </x:c>
      <x:c r="I2058" t="str">
        <x:f>IF(F2058=1,"PASS","OPEN")</x:f>
        <x:v>OPEN</x:v>
      </x:c>
    </x:row>
    <x:row r="2059">
      <x:c r="B2059" t="str">
        <x:v>PH-PK-044</x:v>
      </x:c>
      <x:c r="C2059" t="str">
        <x:v>PHYSICAL</x:v>
      </x:c>
      <x:c r="D2059" t="str">
        <x:v>trial packet</x:v>
      </x:c>
      <x:c r="E2059" t="str">
        <x:v>PH-PK-044</x:v>
      </x:c>
      <x:c r="F2059" t="n">
        <x:f>IF('Trial Register'!Q50&lt;&gt;"",1,0)</x:f>
        <x:v>0</x:v>
      </x:c>
      <x:c r="G2059" t="n">
        <x:v>1</x:v>
      </x:c>
      <x:c r="H2059" t="str">
        <x:v>independent physical acceptance</x:v>
      </x:c>
      <x:c r="I2059" t="str">
        <x:f>IF(F2059=1,"PASS","OPEN")</x:f>
        <x:v>OPEN</x:v>
      </x:c>
    </x:row>
    <x:row r="2060">
      <x:c r="B2060" t="str">
        <x:v>PH-VA-044</x:v>
      </x:c>
      <x:c r="C2060" t="str">
        <x:v>PHYSICAL</x:v>
      </x:c>
      <x:c r="D2060" t="str">
        <x:v>trial validity</x:v>
      </x:c>
      <x:c r="E2060" t="str">
        <x:v>PH-VA-044</x:v>
      </x:c>
      <x:c r="F2060" t="n">
        <x:f>IF('Trial Register'!R50&lt;&gt;"",1,0)</x:f>
        <x:v>0</x:v>
      </x:c>
      <x:c r="G2060" t="n">
        <x:v>1</x:v>
      </x:c>
      <x:c r="H2060" t="str">
        <x:v>independent physical acceptance</x:v>
      </x:c>
      <x:c r="I2060" t="str">
        <x:f>IF(F2060=1,"PASS","OPEN")</x:f>
        <x:v>OPEN</x:v>
      </x:c>
    </x:row>
    <x:row r="2061">
      <x:c r="B2061" t="str">
        <x:v>PH-RV-044</x:v>
      </x:c>
      <x:c r="C2061" t="str">
        <x:v>PHYSICAL</x:v>
      </x:c>
      <x:c r="D2061" t="str">
        <x:v>reported value</x:v>
      </x:c>
      <x:c r="E2061" t="str">
        <x:v>PH-RV-044</x:v>
      </x:c>
      <x:c r="F2061" t="n">
        <x:f>IF('Trial Register'!S50&lt;&gt;"",1,0)</x:f>
        <x:v>0</x:v>
      </x:c>
      <x:c r="G2061" t="n">
        <x:v>1</x:v>
      </x:c>
      <x:c r="H2061" t="str">
        <x:v>independent physical acceptance</x:v>
      </x:c>
      <x:c r="I2061" t="str">
        <x:f>IF(F2061=1,"PASS","OPEN")</x:f>
        <x:v>OPEN</x:v>
      </x:c>
    </x:row>
    <x:row r="2062">
      <x:c r="B2062" t="str">
        <x:v>PH-CR-044</x:v>
      </x:c>
      <x:c r="C2062" t="str">
        <x:v>PHYSICAL</x:v>
      </x:c>
      <x:c r="D2062" t="str">
        <x:v>credit acceptance</x:v>
      </x:c>
      <x:c r="E2062" t="str">
        <x:v>PH-CR-044</x:v>
      </x:c>
      <x:c r="F2062" t="str">
        <x:f>'Trial Register'!V50</x:f>
      </x:c>
      <x:c r="G2062" t="n">
        <x:v>1</x:v>
      </x:c>
      <x:c r="H2062" t="str">
        <x:v>independent physical acceptance</x:v>
      </x:c>
      <x:c r="I2062" t="str">
        <x:f>IF(F2062=1,"PASS","OPEN")</x:f>
        <x:v>OPEN</x:v>
      </x:c>
    </x:row>
    <x:row r="2063">
      <x:c r="B2063" t="str">
        <x:v>PH-EX-045</x:v>
      </x:c>
      <x:c r="C2063" t="str">
        <x:v>PHYSICAL</x:v>
      </x:c>
      <x:c r="D2063" t="str">
        <x:v>trial execution</x:v>
      </x:c>
      <x:c r="E2063" t="str">
        <x:v>PH-EX-045</x:v>
      </x:c>
      <x:c r="F2063" t="n">
        <x:f>IF('Trial Register'!P51&lt;&gt;"",1,0)</x:f>
        <x:v>0</x:v>
      </x:c>
      <x:c r="G2063" t="n">
        <x:v>1</x:v>
      </x:c>
      <x:c r="H2063" t="str">
        <x:v>independent physical acceptance</x:v>
      </x:c>
      <x:c r="I2063" t="str">
        <x:f>IF(F2063=1,"PASS","OPEN")</x:f>
        <x:v>OPEN</x:v>
      </x:c>
    </x:row>
    <x:row r="2064">
      <x:c r="B2064" t="str">
        <x:v>PH-PK-045</x:v>
      </x:c>
      <x:c r="C2064" t="str">
        <x:v>PHYSICAL</x:v>
      </x:c>
      <x:c r="D2064" t="str">
        <x:v>trial packet</x:v>
      </x:c>
      <x:c r="E2064" t="str">
        <x:v>PH-PK-045</x:v>
      </x:c>
      <x:c r="F2064" t="n">
        <x:f>IF('Trial Register'!Q51&lt;&gt;"",1,0)</x:f>
        <x:v>0</x:v>
      </x:c>
      <x:c r="G2064" t="n">
        <x:v>1</x:v>
      </x:c>
      <x:c r="H2064" t="str">
        <x:v>independent physical acceptance</x:v>
      </x:c>
      <x:c r="I2064" t="str">
        <x:f>IF(F2064=1,"PASS","OPEN")</x:f>
        <x:v>OPEN</x:v>
      </x:c>
    </x:row>
    <x:row r="2065">
      <x:c r="B2065" t="str">
        <x:v>PH-VA-045</x:v>
      </x:c>
      <x:c r="C2065" t="str">
        <x:v>PHYSICAL</x:v>
      </x:c>
      <x:c r="D2065" t="str">
        <x:v>trial validity</x:v>
      </x:c>
      <x:c r="E2065" t="str">
        <x:v>PH-VA-045</x:v>
      </x:c>
      <x:c r="F2065" t="n">
        <x:f>IF('Trial Register'!R51&lt;&gt;"",1,0)</x:f>
        <x:v>0</x:v>
      </x:c>
      <x:c r="G2065" t="n">
        <x:v>1</x:v>
      </x:c>
      <x:c r="H2065" t="str">
        <x:v>independent physical acceptance</x:v>
      </x:c>
      <x:c r="I2065" t="str">
        <x:f>IF(F2065=1,"PASS","OPEN")</x:f>
        <x:v>OPEN</x:v>
      </x:c>
    </x:row>
    <x:row r="2066">
      <x:c r="B2066" t="str">
        <x:v>PH-RV-045</x:v>
      </x:c>
      <x:c r="C2066" t="str">
        <x:v>PHYSICAL</x:v>
      </x:c>
      <x:c r="D2066" t="str">
        <x:v>reported value</x:v>
      </x:c>
      <x:c r="E2066" t="str">
        <x:v>PH-RV-045</x:v>
      </x:c>
      <x:c r="F2066" t="n">
        <x:f>IF('Trial Register'!S51&lt;&gt;"",1,0)</x:f>
        <x:v>0</x:v>
      </x:c>
      <x:c r="G2066" t="n">
        <x:v>1</x:v>
      </x:c>
      <x:c r="H2066" t="str">
        <x:v>independent physical acceptance</x:v>
      </x:c>
      <x:c r="I2066" t="str">
        <x:f>IF(F2066=1,"PASS","OPEN")</x:f>
        <x:v>OPEN</x:v>
      </x:c>
    </x:row>
    <x:row r="2067">
      <x:c r="B2067" t="str">
        <x:v>PH-CR-045</x:v>
      </x:c>
      <x:c r="C2067" t="str">
        <x:v>PHYSICAL</x:v>
      </x:c>
      <x:c r="D2067" t="str">
        <x:v>credit acceptance</x:v>
      </x:c>
      <x:c r="E2067" t="str">
        <x:v>PH-CR-045</x:v>
      </x:c>
      <x:c r="F2067" t="str">
        <x:f>'Trial Register'!V51</x:f>
      </x:c>
      <x:c r="G2067" t="n">
        <x:v>1</x:v>
      </x:c>
      <x:c r="H2067" t="str">
        <x:v>independent physical acceptance</x:v>
      </x:c>
      <x:c r="I2067" t="str">
        <x:f>IF(F2067=1,"PASS","OPEN")</x:f>
        <x:v>OPEN</x:v>
      </x:c>
    </x:row>
    <x:row r="2068">
      <x:c r="B2068" t="str">
        <x:v>PH-EX-046</x:v>
      </x:c>
      <x:c r="C2068" t="str">
        <x:v>PHYSICAL</x:v>
      </x:c>
      <x:c r="D2068" t="str">
        <x:v>trial execution</x:v>
      </x:c>
      <x:c r="E2068" t="str">
        <x:v>PH-EX-046</x:v>
      </x:c>
      <x:c r="F2068" t="n">
        <x:f>IF('Trial Register'!P52&lt;&gt;"",1,0)</x:f>
        <x:v>0</x:v>
      </x:c>
      <x:c r="G2068" t="n">
        <x:v>1</x:v>
      </x:c>
      <x:c r="H2068" t="str">
        <x:v>independent physical acceptance</x:v>
      </x:c>
      <x:c r="I2068" t="str">
        <x:f>IF(F2068=1,"PASS","OPEN")</x:f>
        <x:v>OPEN</x:v>
      </x:c>
    </x:row>
    <x:row r="2069">
      <x:c r="B2069" t="str">
        <x:v>PH-PK-046</x:v>
      </x:c>
      <x:c r="C2069" t="str">
        <x:v>PHYSICAL</x:v>
      </x:c>
      <x:c r="D2069" t="str">
        <x:v>trial packet</x:v>
      </x:c>
      <x:c r="E2069" t="str">
        <x:v>PH-PK-046</x:v>
      </x:c>
      <x:c r="F2069" t="n">
        <x:f>IF('Trial Register'!Q52&lt;&gt;"",1,0)</x:f>
        <x:v>0</x:v>
      </x:c>
      <x:c r="G2069" t="n">
        <x:v>1</x:v>
      </x:c>
      <x:c r="H2069" t="str">
        <x:v>independent physical acceptance</x:v>
      </x:c>
      <x:c r="I2069" t="str">
        <x:f>IF(F2069=1,"PASS","OPEN")</x:f>
        <x:v>OPEN</x:v>
      </x:c>
    </x:row>
    <x:row r="2070">
      <x:c r="B2070" t="str">
        <x:v>PH-VA-046</x:v>
      </x:c>
      <x:c r="C2070" t="str">
        <x:v>PHYSICAL</x:v>
      </x:c>
      <x:c r="D2070" t="str">
        <x:v>trial validity</x:v>
      </x:c>
      <x:c r="E2070" t="str">
        <x:v>PH-VA-046</x:v>
      </x:c>
      <x:c r="F2070" t="n">
        <x:f>IF('Trial Register'!R52&lt;&gt;"",1,0)</x:f>
        <x:v>0</x:v>
      </x:c>
      <x:c r="G2070" t="n">
        <x:v>1</x:v>
      </x:c>
      <x:c r="H2070" t="str">
        <x:v>independent physical acceptance</x:v>
      </x:c>
      <x:c r="I2070" t="str">
        <x:f>IF(F2070=1,"PASS","OPEN")</x:f>
        <x:v>OPEN</x:v>
      </x:c>
    </x:row>
    <x:row r="2071">
      <x:c r="B2071" t="str">
        <x:v>PH-RV-046</x:v>
      </x:c>
      <x:c r="C2071" t="str">
        <x:v>PHYSICAL</x:v>
      </x:c>
      <x:c r="D2071" t="str">
        <x:v>reported value</x:v>
      </x:c>
      <x:c r="E2071" t="str">
        <x:v>PH-RV-046</x:v>
      </x:c>
      <x:c r="F2071" t="n">
        <x:f>IF('Trial Register'!S52&lt;&gt;"",1,0)</x:f>
        <x:v>0</x:v>
      </x:c>
      <x:c r="G2071" t="n">
        <x:v>1</x:v>
      </x:c>
      <x:c r="H2071" t="str">
        <x:v>independent physical acceptance</x:v>
      </x:c>
      <x:c r="I2071" t="str">
        <x:f>IF(F2071=1,"PASS","OPEN")</x:f>
        <x:v>OPEN</x:v>
      </x:c>
    </x:row>
    <x:row r="2072">
      <x:c r="B2072" t="str">
        <x:v>PH-CR-046</x:v>
      </x:c>
      <x:c r="C2072" t="str">
        <x:v>PHYSICAL</x:v>
      </x:c>
      <x:c r="D2072" t="str">
        <x:v>credit acceptance</x:v>
      </x:c>
      <x:c r="E2072" t="str">
        <x:v>PH-CR-046</x:v>
      </x:c>
      <x:c r="F2072" t="str">
        <x:f>'Trial Register'!V52</x:f>
      </x:c>
      <x:c r="G2072" t="n">
        <x:v>1</x:v>
      </x:c>
      <x:c r="H2072" t="str">
        <x:v>independent physical acceptance</x:v>
      </x:c>
      <x:c r="I2072" t="str">
        <x:f>IF(F2072=1,"PASS","OPEN")</x:f>
        <x:v>OPEN</x:v>
      </x:c>
    </x:row>
    <x:row r="2073">
      <x:c r="B2073" t="str">
        <x:v>PH-EX-047</x:v>
      </x:c>
      <x:c r="C2073" t="str">
        <x:v>PHYSICAL</x:v>
      </x:c>
      <x:c r="D2073" t="str">
        <x:v>trial execution</x:v>
      </x:c>
      <x:c r="E2073" t="str">
        <x:v>PH-EX-047</x:v>
      </x:c>
      <x:c r="F2073" t="n">
        <x:f>IF('Trial Register'!P53&lt;&gt;"",1,0)</x:f>
        <x:v>0</x:v>
      </x:c>
      <x:c r="G2073" t="n">
        <x:v>1</x:v>
      </x:c>
      <x:c r="H2073" t="str">
        <x:v>independent physical acceptance</x:v>
      </x:c>
      <x:c r="I2073" t="str">
        <x:f>IF(F2073=1,"PASS","OPEN")</x:f>
        <x:v>OPEN</x:v>
      </x:c>
    </x:row>
    <x:row r="2074">
      <x:c r="B2074" t="str">
        <x:v>PH-PK-047</x:v>
      </x:c>
      <x:c r="C2074" t="str">
        <x:v>PHYSICAL</x:v>
      </x:c>
      <x:c r="D2074" t="str">
        <x:v>trial packet</x:v>
      </x:c>
      <x:c r="E2074" t="str">
        <x:v>PH-PK-047</x:v>
      </x:c>
      <x:c r="F2074" t="n">
        <x:f>IF('Trial Register'!Q53&lt;&gt;"",1,0)</x:f>
        <x:v>0</x:v>
      </x:c>
      <x:c r="G2074" t="n">
        <x:v>1</x:v>
      </x:c>
      <x:c r="H2074" t="str">
        <x:v>independent physical acceptance</x:v>
      </x:c>
      <x:c r="I2074" t="str">
        <x:f>IF(F2074=1,"PASS","OPEN")</x:f>
        <x:v>OPEN</x:v>
      </x:c>
    </x:row>
    <x:row r="2075">
      <x:c r="B2075" t="str">
        <x:v>PH-VA-047</x:v>
      </x:c>
      <x:c r="C2075" t="str">
        <x:v>PHYSICAL</x:v>
      </x:c>
      <x:c r="D2075" t="str">
        <x:v>trial validity</x:v>
      </x:c>
      <x:c r="E2075" t="str">
        <x:v>PH-VA-047</x:v>
      </x:c>
      <x:c r="F2075" t="n">
        <x:f>IF('Trial Register'!R53&lt;&gt;"",1,0)</x:f>
        <x:v>0</x:v>
      </x:c>
      <x:c r="G2075" t="n">
        <x:v>1</x:v>
      </x:c>
      <x:c r="H2075" t="str">
        <x:v>independent physical acceptance</x:v>
      </x:c>
      <x:c r="I2075" t="str">
        <x:f>IF(F2075=1,"PASS","OPEN")</x:f>
        <x:v>OPEN</x:v>
      </x:c>
    </x:row>
    <x:row r="2076">
      <x:c r="B2076" t="str">
        <x:v>PH-RV-047</x:v>
      </x:c>
      <x:c r="C2076" t="str">
        <x:v>PHYSICAL</x:v>
      </x:c>
      <x:c r="D2076" t="str">
        <x:v>reported value</x:v>
      </x:c>
      <x:c r="E2076" t="str">
        <x:v>PH-RV-047</x:v>
      </x:c>
      <x:c r="F2076" t="n">
        <x:f>IF('Trial Register'!S53&lt;&gt;"",1,0)</x:f>
        <x:v>0</x:v>
      </x:c>
      <x:c r="G2076" t="n">
        <x:v>1</x:v>
      </x:c>
      <x:c r="H2076" t="str">
        <x:v>independent physical acceptance</x:v>
      </x:c>
      <x:c r="I2076" t="str">
        <x:f>IF(F2076=1,"PASS","OPEN")</x:f>
        <x:v>OPEN</x:v>
      </x:c>
    </x:row>
    <x:row r="2077">
      <x:c r="B2077" t="str">
        <x:v>PH-CR-047</x:v>
      </x:c>
      <x:c r="C2077" t="str">
        <x:v>PHYSICAL</x:v>
      </x:c>
      <x:c r="D2077" t="str">
        <x:v>credit acceptance</x:v>
      </x:c>
      <x:c r="E2077" t="str">
        <x:v>PH-CR-047</x:v>
      </x:c>
      <x:c r="F2077" t="str">
        <x:f>'Trial Register'!V53</x:f>
      </x:c>
      <x:c r="G2077" t="n">
        <x:v>1</x:v>
      </x:c>
      <x:c r="H2077" t="str">
        <x:v>independent physical acceptance</x:v>
      </x:c>
      <x:c r="I2077" t="str">
        <x:f>IF(F2077=1,"PASS","OPEN")</x:f>
        <x:v>OPEN</x:v>
      </x:c>
    </x:row>
    <x:row r="2078">
      <x:c r="B2078" t="str">
        <x:v>PH-EX-048</x:v>
      </x:c>
      <x:c r="C2078" t="str">
        <x:v>PHYSICAL</x:v>
      </x:c>
      <x:c r="D2078" t="str">
        <x:v>trial execution</x:v>
      </x:c>
      <x:c r="E2078" t="str">
        <x:v>PH-EX-048</x:v>
      </x:c>
      <x:c r="F2078" t="n">
        <x:f>IF('Trial Register'!P54&lt;&gt;"",1,0)</x:f>
        <x:v>0</x:v>
      </x:c>
      <x:c r="G2078" t="n">
        <x:v>1</x:v>
      </x:c>
      <x:c r="H2078" t="str">
        <x:v>independent physical acceptance</x:v>
      </x:c>
      <x:c r="I2078" t="str">
        <x:f>IF(F2078=1,"PASS","OPEN")</x:f>
        <x:v>OPEN</x:v>
      </x:c>
    </x:row>
    <x:row r="2079">
      <x:c r="B2079" t="str">
        <x:v>PH-PK-048</x:v>
      </x:c>
      <x:c r="C2079" t="str">
        <x:v>PHYSICAL</x:v>
      </x:c>
      <x:c r="D2079" t="str">
        <x:v>trial packet</x:v>
      </x:c>
      <x:c r="E2079" t="str">
        <x:v>PH-PK-048</x:v>
      </x:c>
      <x:c r="F2079" t="n">
        <x:f>IF('Trial Register'!Q54&lt;&gt;"",1,0)</x:f>
        <x:v>0</x:v>
      </x:c>
      <x:c r="G2079" t="n">
        <x:v>1</x:v>
      </x:c>
      <x:c r="H2079" t="str">
        <x:v>independent physical acceptance</x:v>
      </x:c>
      <x:c r="I2079" t="str">
        <x:f>IF(F2079=1,"PASS","OPEN")</x:f>
        <x:v>OPEN</x:v>
      </x:c>
    </x:row>
    <x:row r="2080">
      <x:c r="B2080" t="str">
        <x:v>PH-VA-048</x:v>
      </x:c>
      <x:c r="C2080" t="str">
        <x:v>PHYSICAL</x:v>
      </x:c>
      <x:c r="D2080" t="str">
        <x:v>trial validity</x:v>
      </x:c>
      <x:c r="E2080" t="str">
        <x:v>PH-VA-048</x:v>
      </x:c>
      <x:c r="F2080" t="n">
        <x:f>IF('Trial Register'!R54&lt;&gt;"",1,0)</x:f>
        <x:v>0</x:v>
      </x:c>
      <x:c r="G2080" t="n">
        <x:v>1</x:v>
      </x:c>
      <x:c r="H2080" t="str">
        <x:v>independent physical acceptance</x:v>
      </x:c>
      <x:c r="I2080" t="str">
        <x:f>IF(F2080=1,"PASS","OPEN")</x:f>
        <x:v>OPEN</x:v>
      </x:c>
    </x:row>
    <x:row r="2081">
      <x:c r="B2081" t="str">
        <x:v>PH-RV-048</x:v>
      </x:c>
      <x:c r="C2081" t="str">
        <x:v>PHYSICAL</x:v>
      </x:c>
      <x:c r="D2081" t="str">
        <x:v>reported value</x:v>
      </x:c>
      <x:c r="E2081" t="str">
        <x:v>PH-RV-048</x:v>
      </x:c>
      <x:c r="F2081" t="n">
        <x:f>IF('Trial Register'!S54&lt;&gt;"",1,0)</x:f>
        <x:v>0</x:v>
      </x:c>
      <x:c r="G2081" t="n">
        <x:v>1</x:v>
      </x:c>
      <x:c r="H2081" t="str">
        <x:v>independent physical acceptance</x:v>
      </x:c>
      <x:c r="I2081" t="str">
        <x:f>IF(F2081=1,"PASS","OPEN")</x:f>
        <x:v>OPEN</x:v>
      </x:c>
    </x:row>
    <x:row r="2082">
      <x:c r="B2082" t="str">
        <x:v>PH-CR-048</x:v>
      </x:c>
      <x:c r="C2082" t="str">
        <x:v>PHYSICAL</x:v>
      </x:c>
      <x:c r="D2082" t="str">
        <x:v>credit acceptance</x:v>
      </x:c>
      <x:c r="E2082" t="str">
        <x:v>PH-CR-048</x:v>
      </x:c>
      <x:c r="F2082" t="str">
        <x:f>'Trial Register'!V54</x:f>
      </x:c>
      <x:c r="G2082" t="n">
        <x:v>1</x:v>
      </x:c>
      <x:c r="H2082" t="str">
        <x:v>independent physical acceptance</x:v>
      </x:c>
      <x:c r="I2082" t="str">
        <x:f>IF(F2082=1,"PASS","OPEN")</x:f>
        <x:v>OPEN</x:v>
      </x:c>
    </x:row>
    <x:row r="2083">
      <x:c r="B2083" t="str">
        <x:v>PH-EX-049</x:v>
      </x:c>
      <x:c r="C2083" t="str">
        <x:v>PHYSICAL</x:v>
      </x:c>
      <x:c r="D2083" t="str">
        <x:v>trial execution</x:v>
      </x:c>
      <x:c r="E2083" t="str">
        <x:v>PH-EX-049</x:v>
      </x:c>
      <x:c r="F2083" t="n">
        <x:f>IF('Trial Register'!P55&lt;&gt;"",1,0)</x:f>
        <x:v>0</x:v>
      </x:c>
      <x:c r="G2083" t="n">
        <x:v>1</x:v>
      </x:c>
      <x:c r="H2083" t="str">
        <x:v>independent physical acceptance</x:v>
      </x:c>
      <x:c r="I2083" t="str">
        <x:f>IF(F2083=1,"PASS","OPEN")</x:f>
        <x:v>OPEN</x:v>
      </x:c>
    </x:row>
    <x:row r="2084">
      <x:c r="B2084" t="str">
        <x:v>PH-PK-049</x:v>
      </x:c>
      <x:c r="C2084" t="str">
        <x:v>PHYSICAL</x:v>
      </x:c>
      <x:c r="D2084" t="str">
        <x:v>trial packet</x:v>
      </x:c>
      <x:c r="E2084" t="str">
        <x:v>PH-PK-049</x:v>
      </x:c>
      <x:c r="F2084" t="n">
        <x:f>IF('Trial Register'!Q55&lt;&gt;"",1,0)</x:f>
        <x:v>0</x:v>
      </x:c>
      <x:c r="G2084" t="n">
        <x:v>1</x:v>
      </x:c>
      <x:c r="H2084" t="str">
        <x:v>independent physical acceptance</x:v>
      </x:c>
      <x:c r="I2084" t="str">
        <x:f>IF(F2084=1,"PASS","OPEN")</x:f>
        <x:v>OPEN</x:v>
      </x:c>
    </x:row>
    <x:row r="2085">
      <x:c r="B2085" t="str">
        <x:v>PH-VA-049</x:v>
      </x:c>
      <x:c r="C2085" t="str">
        <x:v>PHYSICAL</x:v>
      </x:c>
      <x:c r="D2085" t="str">
        <x:v>trial validity</x:v>
      </x:c>
      <x:c r="E2085" t="str">
        <x:v>PH-VA-049</x:v>
      </x:c>
      <x:c r="F2085" t="n">
        <x:f>IF('Trial Register'!R55&lt;&gt;"",1,0)</x:f>
        <x:v>0</x:v>
      </x:c>
      <x:c r="G2085" t="n">
        <x:v>1</x:v>
      </x:c>
      <x:c r="H2085" t="str">
        <x:v>independent physical acceptance</x:v>
      </x:c>
      <x:c r="I2085" t="str">
        <x:f>IF(F2085=1,"PASS","OPEN")</x:f>
        <x:v>OPEN</x:v>
      </x:c>
    </x:row>
    <x:row r="2086">
      <x:c r="B2086" t="str">
        <x:v>PH-RV-049</x:v>
      </x:c>
      <x:c r="C2086" t="str">
        <x:v>PHYSICAL</x:v>
      </x:c>
      <x:c r="D2086" t="str">
        <x:v>reported value</x:v>
      </x:c>
      <x:c r="E2086" t="str">
        <x:v>PH-RV-049</x:v>
      </x:c>
      <x:c r="F2086" t="n">
        <x:f>IF('Trial Register'!S55&lt;&gt;"",1,0)</x:f>
        <x:v>0</x:v>
      </x:c>
      <x:c r="G2086" t="n">
        <x:v>1</x:v>
      </x:c>
      <x:c r="H2086" t="str">
        <x:v>independent physical acceptance</x:v>
      </x:c>
      <x:c r="I2086" t="str">
        <x:f>IF(F2086=1,"PASS","OPEN")</x:f>
        <x:v>OPEN</x:v>
      </x:c>
    </x:row>
    <x:row r="2087">
      <x:c r="B2087" t="str">
        <x:v>PH-CR-049</x:v>
      </x:c>
      <x:c r="C2087" t="str">
        <x:v>PHYSICAL</x:v>
      </x:c>
      <x:c r="D2087" t="str">
        <x:v>credit acceptance</x:v>
      </x:c>
      <x:c r="E2087" t="str">
        <x:v>PH-CR-049</x:v>
      </x:c>
      <x:c r="F2087" t="str">
        <x:f>'Trial Register'!V55</x:f>
      </x:c>
      <x:c r="G2087" t="n">
        <x:v>1</x:v>
      </x:c>
      <x:c r="H2087" t="str">
        <x:v>independent physical acceptance</x:v>
      </x:c>
      <x:c r="I2087" t="str">
        <x:f>IF(F2087=1,"PASS","OPEN")</x:f>
        <x:v>OPEN</x:v>
      </x:c>
    </x:row>
    <x:row r="2088">
      <x:c r="B2088" t="str">
        <x:v>PH-EX-050</x:v>
      </x:c>
      <x:c r="C2088" t="str">
        <x:v>PHYSICAL</x:v>
      </x:c>
      <x:c r="D2088" t="str">
        <x:v>trial execution</x:v>
      </x:c>
      <x:c r="E2088" t="str">
        <x:v>PH-EX-050</x:v>
      </x:c>
      <x:c r="F2088" t="n">
        <x:f>IF('Trial Register'!P56&lt;&gt;"",1,0)</x:f>
        <x:v>0</x:v>
      </x:c>
      <x:c r="G2088" t="n">
        <x:v>1</x:v>
      </x:c>
      <x:c r="H2088" t="str">
        <x:v>independent physical acceptance</x:v>
      </x:c>
      <x:c r="I2088" t="str">
        <x:f>IF(F2088=1,"PASS","OPEN")</x:f>
        <x:v>OPEN</x:v>
      </x:c>
    </x:row>
    <x:row r="2089">
      <x:c r="B2089" t="str">
        <x:v>PH-PK-050</x:v>
      </x:c>
      <x:c r="C2089" t="str">
        <x:v>PHYSICAL</x:v>
      </x:c>
      <x:c r="D2089" t="str">
        <x:v>trial packet</x:v>
      </x:c>
      <x:c r="E2089" t="str">
        <x:v>PH-PK-050</x:v>
      </x:c>
      <x:c r="F2089" t="n">
        <x:f>IF('Trial Register'!Q56&lt;&gt;"",1,0)</x:f>
        <x:v>0</x:v>
      </x:c>
      <x:c r="G2089" t="n">
        <x:v>1</x:v>
      </x:c>
      <x:c r="H2089" t="str">
        <x:v>independent physical acceptance</x:v>
      </x:c>
      <x:c r="I2089" t="str">
        <x:f>IF(F2089=1,"PASS","OPEN")</x:f>
        <x:v>OPEN</x:v>
      </x:c>
    </x:row>
    <x:row r="2090">
      <x:c r="B2090" t="str">
        <x:v>PH-VA-050</x:v>
      </x:c>
      <x:c r="C2090" t="str">
        <x:v>PHYSICAL</x:v>
      </x:c>
      <x:c r="D2090" t="str">
        <x:v>trial validity</x:v>
      </x:c>
      <x:c r="E2090" t="str">
        <x:v>PH-VA-050</x:v>
      </x:c>
      <x:c r="F2090" t="n">
        <x:f>IF('Trial Register'!R56&lt;&gt;"",1,0)</x:f>
        <x:v>0</x:v>
      </x:c>
      <x:c r="G2090" t="n">
        <x:v>1</x:v>
      </x:c>
      <x:c r="H2090" t="str">
        <x:v>independent physical acceptance</x:v>
      </x:c>
      <x:c r="I2090" t="str">
        <x:f>IF(F2090=1,"PASS","OPEN")</x:f>
        <x:v>OPEN</x:v>
      </x:c>
    </x:row>
    <x:row r="2091">
      <x:c r="B2091" t="str">
        <x:v>PH-RV-050</x:v>
      </x:c>
      <x:c r="C2091" t="str">
        <x:v>PHYSICAL</x:v>
      </x:c>
      <x:c r="D2091" t="str">
        <x:v>reported value</x:v>
      </x:c>
      <x:c r="E2091" t="str">
        <x:v>PH-RV-050</x:v>
      </x:c>
      <x:c r="F2091" t="n">
        <x:f>IF('Trial Register'!S56&lt;&gt;"",1,0)</x:f>
        <x:v>0</x:v>
      </x:c>
      <x:c r="G2091" t="n">
        <x:v>1</x:v>
      </x:c>
      <x:c r="H2091" t="str">
        <x:v>independent physical acceptance</x:v>
      </x:c>
      <x:c r="I2091" t="str">
        <x:f>IF(F2091=1,"PASS","OPEN")</x:f>
        <x:v>OPEN</x:v>
      </x:c>
    </x:row>
    <x:row r="2092">
      <x:c r="B2092" t="str">
        <x:v>PH-CR-050</x:v>
      </x:c>
      <x:c r="C2092" t="str">
        <x:v>PHYSICAL</x:v>
      </x:c>
      <x:c r="D2092" t="str">
        <x:v>credit acceptance</x:v>
      </x:c>
      <x:c r="E2092" t="str">
        <x:v>PH-CR-050</x:v>
      </x:c>
      <x:c r="F2092" t="str">
        <x:f>'Trial Register'!V56</x:f>
      </x:c>
      <x:c r="G2092" t="n">
        <x:v>1</x:v>
      </x:c>
      <x:c r="H2092" t="str">
        <x:v>independent physical acceptance</x:v>
      </x:c>
      <x:c r="I2092" t="str">
        <x:f>IF(F2092=1,"PASS","OPEN")</x:f>
        <x:v>OPEN</x:v>
      </x:c>
    </x:row>
    <x:row r="2093">
      <x:c r="B2093" t="str">
        <x:v>PH-EX-051</x:v>
      </x:c>
      <x:c r="C2093" t="str">
        <x:v>PHYSICAL</x:v>
      </x:c>
      <x:c r="D2093" t="str">
        <x:v>trial execution</x:v>
      </x:c>
      <x:c r="E2093" t="str">
        <x:v>PH-EX-051</x:v>
      </x:c>
      <x:c r="F2093" t="n">
        <x:f>IF('Trial Register'!P57&lt;&gt;"",1,0)</x:f>
        <x:v>0</x:v>
      </x:c>
      <x:c r="G2093" t="n">
        <x:v>1</x:v>
      </x:c>
      <x:c r="H2093" t="str">
        <x:v>independent physical acceptance</x:v>
      </x:c>
      <x:c r="I2093" t="str">
        <x:f>IF(F2093=1,"PASS","OPEN")</x:f>
        <x:v>OPEN</x:v>
      </x:c>
    </x:row>
    <x:row r="2094">
      <x:c r="B2094" t="str">
        <x:v>PH-PK-051</x:v>
      </x:c>
      <x:c r="C2094" t="str">
        <x:v>PHYSICAL</x:v>
      </x:c>
      <x:c r="D2094" t="str">
        <x:v>trial packet</x:v>
      </x:c>
      <x:c r="E2094" t="str">
        <x:v>PH-PK-051</x:v>
      </x:c>
      <x:c r="F2094" t="n">
        <x:f>IF('Trial Register'!Q57&lt;&gt;"",1,0)</x:f>
        <x:v>0</x:v>
      </x:c>
      <x:c r="G2094" t="n">
        <x:v>1</x:v>
      </x:c>
      <x:c r="H2094" t="str">
        <x:v>independent physical acceptance</x:v>
      </x:c>
      <x:c r="I2094" t="str">
        <x:f>IF(F2094=1,"PASS","OPEN")</x:f>
        <x:v>OPEN</x:v>
      </x:c>
    </x:row>
    <x:row r="2095">
      <x:c r="B2095" t="str">
        <x:v>PH-VA-051</x:v>
      </x:c>
      <x:c r="C2095" t="str">
        <x:v>PHYSICAL</x:v>
      </x:c>
      <x:c r="D2095" t="str">
        <x:v>trial validity</x:v>
      </x:c>
      <x:c r="E2095" t="str">
        <x:v>PH-VA-051</x:v>
      </x:c>
      <x:c r="F2095" t="n">
        <x:f>IF('Trial Register'!R57&lt;&gt;"",1,0)</x:f>
        <x:v>0</x:v>
      </x:c>
      <x:c r="G2095" t="n">
        <x:v>1</x:v>
      </x:c>
      <x:c r="H2095" t="str">
        <x:v>independent physical acceptance</x:v>
      </x:c>
      <x:c r="I2095" t="str">
        <x:f>IF(F2095=1,"PASS","OPEN")</x:f>
        <x:v>OPEN</x:v>
      </x:c>
    </x:row>
    <x:row r="2096">
      <x:c r="B2096" t="str">
        <x:v>PH-RV-051</x:v>
      </x:c>
      <x:c r="C2096" t="str">
        <x:v>PHYSICAL</x:v>
      </x:c>
      <x:c r="D2096" t="str">
        <x:v>reported value</x:v>
      </x:c>
      <x:c r="E2096" t="str">
        <x:v>PH-RV-051</x:v>
      </x:c>
      <x:c r="F2096" t="n">
        <x:f>IF('Trial Register'!S57&lt;&gt;"",1,0)</x:f>
        <x:v>0</x:v>
      </x:c>
      <x:c r="G2096" t="n">
        <x:v>1</x:v>
      </x:c>
      <x:c r="H2096" t="str">
        <x:v>independent physical acceptance</x:v>
      </x:c>
      <x:c r="I2096" t="str">
        <x:f>IF(F2096=1,"PASS","OPEN")</x:f>
        <x:v>OPEN</x:v>
      </x:c>
    </x:row>
    <x:row r="2097">
      <x:c r="B2097" t="str">
        <x:v>PH-CR-051</x:v>
      </x:c>
      <x:c r="C2097" t="str">
        <x:v>PHYSICAL</x:v>
      </x:c>
      <x:c r="D2097" t="str">
        <x:v>credit acceptance</x:v>
      </x:c>
      <x:c r="E2097" t="str">
        <x:v>PH-CR-051</x:v>
      </x:c>
      <x:c r="F2097" t="str">
        <x:f>'Trial Register'!V57</x:f>
      </x:c>
      <x:c r="G2097" t="n">
        <x:v>1</x:v>
      </x:c>
      <x:c r="H2097" t="str">
        <x:v>independent physical acceptance</x:v>
      </x:c>
      <x:c r="I2097" t="str">
        <x:f>IF(F2097=1,"PASS","OPEN")</x:f>
        <x:v>OPEN</x:v>
      </x:c>
    </x:row>
    <x:row r="2098">
      <x:c r="B2098" t="str">
        <x:v>PH-EX-052</x:v>
      </x:c>
      <x:c r="C2098" t="str">
        <x:v>PHYSICAL</x:v>
      </x:c>
      <x:c r="D2098" t="str">
        <x:v>trial execution</x:v>
      </x:c>
      <x:c r="E2098" t="str">
        <x:v>PH-EX-052</x:v>
      </x:c>
      <x:c r="F2098" t="n">
        <x:f>IF('Trial Register'!P58&lt;&gt;"",1,0)</x:f>
        <x:v>0</x:v>
      </x:c>
      <x:c r="G2098" t="n">
        <x:v>1</x:v>
      </x:c>
      <x:c r="H2098" t="str">
        <x:v>independent physical acceptance</x:v>
      </x:c>
      <x:c r="I2098" t="str">
        <x:f>IF(F2098=1,"PASS","OPEN")</x:f>
        <x:v>OPEN</x:v>
      </x:c>
    </x:row>
    <x:row r="2099">
      <x:c r="B2099" t="str">
        <x:v>PH-PK-052</x:v>
      </x:c>
      <x:c r="C2099" t="str">
        <x:v>PHYSICAL</x:v>
      </x:c>
      <x:c r="D2099" t="str">
        <x:v>trial packet</x:v>
      </x:c>
      <x:c r="E2099" t="str">
        <x:v>PH-PK-052</x:v>
      </x:c>
      <x:c r="F2099" t="n">
        <x:f>IF('Trial Register'!Q58&lt;&gt;"",1,0)</x:f>
        <x:v>0</x:v>
      </x:c>
      <x:c r="G2099" t="n">
        <x:v>1</x:v>
      </x:c>
      <x:c r="H2099" t="str">
        <x:v>independent physical acceptance</x:v>
      </x:c>
      <x:c r="I2099" t="str">
        <x:f>IF(F2099=1,"PASS","OPEN")</x:f>
        <x:v>OPEN</x:v>
      </x:c>
    </x:row>
    <x:row r="2100">
      <x:c r="B2100" t="str">
        <x:v>PH-VA-052</x:v>
      </x:c>
      <x:c r="C2100" t="str">
        <x:v>PHYSICAL</x:v>
      </x:c>
      <x:c r="D2100" t="str">
        <x:v>trial validity</x:v>
      </x:c>
      <x:c r="E2100" t="str">
        <x:v>PH-VA-052</x:v>
      </x:c>
      <x:c r="F2100" t="n">
        <x:f>IF('Trial Register'!R58&lt;&gt;"",1,0)</x:f>
        <x:v>0</x:v>
      </x:c>
      <x:c r="G2100" t="n">
        <x:v>1</x:v>
      </x:c>
      <x:c r="H2100" t="str">
        <x:v>independent physical acceptance</x:v>
      </x:c>
      <x:c r="I2100" t="str">
        <x:f>IF(F2100=1,"PASS","OPEN")</x:f>
        <x:v>OPEN</x:v>
      </x:c>
    </x:row>
    <x:row r="2101">
      <x:c r="B2101" t="str">
        <x:v>PH-RV-052</x:v>
      </x:c>
      <x:c r="C2101" t="str">
        <x:v>PHYSICAL</x:v>
      </x:c>
      <x:c r="D2101" t="str">
        <x:v>reported value</x:v>
      </x:c>
      <x:c r="E2101" t="str">
        <x:v>PH-RV-052</x:v>
      </x:c>
      <x:c r="F2101" t="n">
        <x:f>IF('Trial Register'!S58&lt;&gt;"",1,0)</x:f>
        <x:v>0</x:v>
      </x:c>
      <x:c r="G2101" t="n">
        <x:v>1</x:v>
      </x:c>
      <x:c r="H2101" t="str">
        <x:v>independent physical acceptance</x:v>
      </x:c>
      <x:c r="I2101" t="str">
        <x:f>IF(F2101=1,"PASS","OPEN")</x:f>
        <x:v>OPEN</x:v>
      </x:c>
    </x:row>
    <x:row r="2102">
      <x:c r="B2102" t="str">
        <x:v>PH-CR-052</x:v>
      </x:c>
      <x:c r="C2102" t="str">
        <x:v>PHYSICAL</x:v>
      </x:c>
      <x:c r="D2102" t="str">
        <x:v>credit acceptance</x:v>
      </x:c>
      <x:c r="E2102" t="str">
        <x:v>PH-CR-052</x:v>
      </x:c>
      <x:c r="F2102" t="str">
        <x:f>'Trial Register'!V58</x:f>
      </x:c>
      <x:c r="G2102" t="n">
        <x:v>1</x:v>
      </x:c>
      <x:c r="H2102" t="str">
        <x:v>independent physical acceptance</x:v>
      </x:c>
      <x:c r="I2102" t="str">
        <x:f>IF(F2102=1,"PASS","OPEN")</x:f>
        <x:v>OPEN</x:v>
      </x:c>
    </x:row>
    <x:row r="2103">
      <x:c r="B2103" t="str">
        <x:v>PH-EX-053</x:v>
      </x:c>
      <x:c r="C2103" t="str">
        <x:v>PHYSICAL</x:v>
      </x:c>
      <x:c r="D2103" t="str">
        <x:v>trial execution</x:v>
      </x:c>
      <x:c r="E2103" t="str">
        <x:v>PH-EX-053</x:v>
      </x:c>
      <x:c r="F2103" t="n">
        <x:f>IF('Trial Register'!P59&lt;&gt;"",1,0)</x:f>
        <x:v>0</x:v>
      </x:c>
      <x:c r="G2103" t="n">
        <x:v>1</x:v>
      </x:c>
      <x:c r="H2103" t="str">
        <x:v>independent physical acceptance</x:v>
      </x:c>
      <x:c r="I2103" t="str">
        <x:f>IF(F2103=1,"PASS","OPEN")</x:f>
        <x:v>OPEN</x:v>
      </x:c>
    </x:row>
    <x:row r="2104">
      <x:c r="B2104" t="str">
        <x:v>PH-PK-053</x:v>
      </x:c>
      <x:c r="C2104" t="str">
        <x:v>PHYSICAL</x:v>
      </x:c>
      <x:c r="D2104" t="str">
        <x:v>trial packet</x:v>
      </x:c>
      <x:c r="E2104" t="str">
        <x:v>PH-PK-053</x:v>
      </x:c>
      <x:c r="F2104" t="n">
        <x:f>IF('Trial Register'!Q59&lt;&gt;"",1,0)</x:f>
        <x:v>0</x:v>
      </x:c>
      <x:c r="G2104" t="n">
        <x:v>1</x:v>
      </x:c>
      <x:c r="H2104" t="str">
        <x:v>independent physical acceptance</x:v>
      </x:c>
      <x:c r="I2104" t="str">
        <x:f>IF(F2104=1,"PASS","OPEN")</x:f>
        <x:v>OPEN</x:v>
      </x:c>
    </x:row>
    <x:row r="2105">
      <x:c r="B2105" t="str">
        <x:v>PH-VA-053</x:v>
      </x:c>
      <x:c r="C2105" t="str">
        <x:v>PHYSICAL</x:v>
      </x:c>
      <x:c r="D2105" t="str">
        <x:v>trial validity</x:v>
      </x:c>
      <x:c r="E2105" t="str">
        <x:v>PH-VA-053</x:v>
      </x:c>
      <x:c r="F2105" t="n">
        <x:f>IF('Trial Register'!R59&lt;&gt;"",1,0)</x:f>
        <x:v>0</x:v>
      </x:c>
      <x:c r="G2105" t="n">
        <x:v>1</x:v>
      </x:c>
      <x:c r="H2105" t="str">
        <x:v>independent physical acceptance</x:v>
      </x:c>
      <x:c r="I2105" t="str">
        <x:f>IF(F2105=1,"PASS","OPEN")</x:f>
        <x:v>OPEN</x:v>
      </x:c>
    </x:row>
    <x:row r="2106">
      <x:c r="B2106" t="str">
        <x:v>PH-RV-053</x:v>
      </x:c>
      <x:c r="C2106" t="str">
        <x:v>PHYSICAL</x:v>
      </x:c>
      <x:c r="D2106" t="str">
        <x:v>reported value</x:v>
      </x:c>
      <x:c r="E2106" t="str">
        <x:v>PH-RV-053</x:v>
      </x:c>
      <x:c r="F2106" t="n">
        <x:f>IF('Trial Register'!S59&lt;&gt;"",1,0)</x:f>
        <x:v>0</x:v>
      </x:c>
      <x:c r="G2106" t="n">
        <x:v>1</x:v>
      </x:c>
      <x:c r="H2106" t="str">
        <x:v>independent physical acceptance</x:v>
      </x:c>
      <x:c r="I2106" t="str">
        <x:f>IF(F2106=1,"PASS","OPEN")</x:f>
        <x:v>OPEN</x:v>
      </x:c>
    </x:row>
    <x:row r="2107">
      <x:c r="B2107" t="str">
        <x:v>PH-CR-053</x:v>
      </x:c>
      <x:c r="C2107" t="str">
        <x:v>PHYSICAL</x:v>
      </x:c>
      <x:c r="D2107" t="str">
        <x:v>credit acceptance</x:v>
      </x:c>
      <x:c r="E2107" t="str">
        <x:v>PH-CR-053</x:v>
      </x:c>
      <x:c r="F2107" t="str">
        <x:f>'Trial Register'!V59</x:f>
      </x:c>
      <x:c r="G2107" t="n">
        <x:v>1</x:v>
      </x:c>
      <x:c r="H2107" t="str">
        <x:v>independent physical acceptance</x:v>
      </x:c>
      <x:c r="I2107" t="str">
        <x:f>IF(F2107=1,"PASS","OPEN")</x:f>
        <x:v>OPEN</x:v>
      </x:c>
    </x:row>
    <x:row r="2108">
      <x:c r="B2108" t="str">
        <x:v>PH-EX-054</x:v>
      </x:c>
      <x:c r="C2108" t="str">
        <x:v>PHYSICAL</x:v>
      </x:c>
      <x:c r="D2108" t="str">
        <x:v>trial execution</x:v>
      </x:c>
      <x:c r="E2108" t="str">
        <x:v>PH-EX-054</x:v>
      </x:c>
      <x:c r="F2108" t="n">
        <x:f>IF('Trial Register'!P60&lt;&gt;"",1,0)</x:f>
        <x:v>0</x:v>
      </x:c>
      <x:c r="G2108" t="n">
        <x:v>1</x:v>
      </x:c>
      <x:c r="H2108" t="str">
        <x:v>independent physical acceptance</x:v>
      </x:c>
      <x:c r="I2108" t="str">
        <x:f>IF(F2108=1,"PASS","OPEN")</x:f>
        <x:v>OPEN</x:v>
      </x:c>
    </x:row>
    <x:row r="2109">
      <x:c r="B2109" t="str">
        <x:v>PH-PK-054</x:v>
      </x:c>
      <x:c r="C2109" t="str">
        <x:v>PHYSICAL</x:v>
      </x:c>
      <x:c r="D2109" t="str">
        <x:v>trial packet</x:v>
      </x:c>
      <x:c r="E2109" t="str">
        <x:v>PH-PK-054</x:v>
      </x:c>
      <x:c r="F2109" t="n">
        <x:f>IF('Trial Register'!Q60&lt;&gt;"",1,0)</x:f>
        <x:v>0</x:v>
      </x:c>
      <x:c r="G2109" t="n">
        <x:v>1</x:v>
      </x:c>
      <x:c r="H2109" t="str">
        <x:v>independent physical acceptance</x:v>
      </x:c>
      <x:c r="I2109" t="str">
        <x:f>IF(F2109=1,"PASS","OPEN")</x:f>
        <x:v>OPEN</x:v>
      </x:c>
    </x:row>
    <x:row r="2110">
      <x:c r="B2110" t="str">
        <x:v>PH-VA-054</x:v>
      </x:c>
      <x:c r="C2110" t="str">
        <x:v>PHYSICAL</x:v>
      </x:c>
      <x:c r="D2110" t="str">
        <x:v>trial validity</x:v>
      </x:c>
      <x:c r="E2110" t="str">
        <x:v>PH-VA-054</x:v>
      </x:c>
      <x:c r="F2110" t="n">
        <x:f>IF('Trial Register'!R60&lt;&gt;"",1,0)</x:f>
        <x:v>0</x:v>
      </x:c>
      <x:c r="G2110" t="n">
        <x:v>1</x:v>
      </x:c>
      <x:c r="H2110" t="str">
        <x:v>independent physical acceptance</x:v>
      </x:c>
      <x:c r="I2110" t="str">
        <x:f>IF(F2110=1,"PASS","OPEN")</x:f>
        <x:v>OPEN</x:v>
      </x:c>
    </x:row>
    <x:row r="2111">
      <x:c r="B2111" t="str">
        <x:v>PH-RV-054</x:v>
      </x:c>
      <x:c r="C2111" t="str">
        <x:v>PHYSICAL</x:v>
      </x:c>
      <x:c r="D2111" t="str">
        <x:v>reported value</x:v>
      </x:c>
      <x:c r="E2111" t="str">
        <x:v>PH-RV-054</x:v>
      </x:c>
      <x:c r="F2111" t="n">
        <x:f>IF('Trial Register'!S60&lt;&gt;"",1,0)</x:f>
        <x:v>0</x:v>
      </x:c>
      <x:c r="G2111" t="n">
        <x:v>1</x:v>
      </x:c>
      <x:c r="H2111" t="str">
        <x:v>independent physical acceptance</x:v>
      </x:c>
      <x:c r="I2111" t="str">
        <x:f>IF(F2111=1,"PASS","OPEN")</x:f>
        <x:v>OPEN</x:v>
      </x:c>
    </x:row>
    <x:row r="2112">
      <x:c r="B2112" t="str">
        <x:v>PH-CR-054</x:v>
      </x:c>
      <x:c r="C2112" t="str">
        <x:v>PHYSICAL</x:v>
      </x:c>
      <x:c r="D2112" t="str">
        <x:v>credit acceptance</x:v>
      </x:c>
      <x:c r="E2112" t="str">
        <x:v>PH-CR-054</x:v>
      </x:c>
      <x:c r="F2112" t="str">
        <x:f>'Trial Register'!V60</x:f>
      </x:c>
      <x:c r="G2112" t="n">
        <x:v>1</x:v>
      </x:c>
      <x:c r="H2112" t="str">
        <x:v>independent physical acceptance</x:v>
      </x:c>
      <x:c r="I2112" t="str">
        <x:f>IF(F2112=1,"PASS","OPEN")</x:f>
        <x:v>OPEN</x:v>
      </x:c>
    </x:row>
    <x:row r="2113">
      <x:c r="B2113" t="str">
        <x:v>PH-EX-055</x:v>
      </x:c>
      <x:c r="C2113" t="str">
        <x:v>PHYSICAL</x:v>
      </x:c>
      <x:c r="D2113" t="str">
        <x:v>trial execution</x:v>
      </x:c>
      <x:c r="E2113" t="str">
        <x:v>PH-EX-055</x:v>
      </x:c>
      <x:c r="F2113" t="n">
        <x:f>IF('Trial Register'!P61&lt;&gt;"",1,0)</x:f>
        <x:v>0</x:v>
      </x:c>
      <x:c r="G2113" t="n">
        <x:v>1</x:v>
      </x:c>
      <x:c r="H2113" t="str">
        <x:v>independent physical acceptance</x:v>
      </x:c>
      <x:c r="I2113" t="str">
        <x:f>IF(F2113=1,"PASS","OPEN")</x:f>
        <x:v>OPEN</x:v>
      </x:c>
    </x:row>
    <x:row r="2114">
      <x:c r="B2114" t="str">
        <x:v>PH-PK-055</x:v>
      </x:c>
      <x:c r="C2114" t="str">
        <x:v>PHYSICAL</x:v>
      </x:c>
      <x:c r="D2114" t="str">
        <x:v>trial packet</x:v>
      </x:c>
      <x:c r="E2114" t="str">
        <x:v>PH-PK-055</x:v>
      </x:c>
      <x:c r="F2114" t="n">
        <x:f>IF('Trial Register'!Q61&lt;&gt;"",1,0)</x:f>
        <x:v>0</x:v>
      </x:c>
      <x:c r="G2114" t="n">
        <x:v>1</x:v>
      </x:c>
      <x:c r="H2114" t="str">
        <x:v>independent physical acceptance</x:v>
      </x:c>
      <x:c r="I2114" t="str">
        <x:f>IF(F2114=1,"PASS","OPEN")</x:f>
        <x:v>OPEN</x:v>
      </x:c>
    </x:row>
    <x:row r="2115">
      <x:c r="B2115" t="str">
        <x:v>PH-VA-055</x:v>
      </x:c>
      <x:c r="C2115" t="str">
        <x:v>PHYSICAL</x:v>
      </x:c>
      <x:c r="D2115" t="str">
        <x:v>trial validity</x:v>
      </x:c>
      <x:c r="E2115" t="str">
        <x:v>PH-VA-055</x:v>
      </x:c>
      <x:c r="F2115" t="n">
        <x:f>IF('Trial Register'!R61&lt;&gt;"",1,0)</x:f>
        <x:v>0</x:v>
      </x:c>
      <x:c r="G2115" t="n">
        <x:v>1</x:v>
      </x:c>
      <x:c r="H2115" t="str">
        <x:v>independent physical acceptance</x:v>
      </x:c>
      <x:c r="I2115" t="str">
        <x:f>IF(F2115=1,"PASS","OPEN")</x:f>
        <x:v>OPEN</x:v>
      </x:c>
    </x:row>
    <x:row r="2116">
      <x:c r="B2116" t="str">
        <x:v>PH-RV-055</x:v>
      </x:c>
      <x:c r="C2116" t="str">
        <x:v>PHYSICAL</x:v>
      </x:c>
      <x:c r="D2116" t="str">
        <x:v>reported value</x:v>
      </x:c>
      <x:c r="E2116" t="str">
        <x:v>PH-RV-055</x:v>
      </x:c>
      <x:c r="F2116" t="n">
        <x:f>IF('Trial Register'!S61&lt;&gt;"",1,0)</x:f>
        <x:v>0</x:v>
      </x:c>
      <x:c r="G2116" t="n">
        <x:v>1</x:v>
      </x:c>
      <x:c r="H2116" t="str">
        <x:v>independent physical acceptance</x:v>
      </x:c>
      <x:c r="I2116" t="str">
        <x:f>IF(F2116=1,"PASS","OPEN")</x:f>
        <x:v>OPEN</x:v>
      </x:c>
    </x:row>
    <x:row r="2117">
      <x:c r="B2117" t="str">
        <x:v>PH-CR-055</x:v>
      </x:c>
      <x:c r="C2117" t="str">
        <x:v>PHYSICAL</x:v>
      </x:c>
      <x:c r="D2117" t="str">
        <x:v>credit acceptance</x:v>
      </x:c>
      <x:c r="E2117" t="str">
        <x:v>PH-CR-055</x:v>
      </x:c>
      <x:c r="F2117" t="str">
        <x:f>'Trial Register'!V61</x:f>
      </x:c>
      <x:c r="G2117" t="n">
        <x:v>1</x:v>
      </x:c>
      <x:c r="H2117" t="str">
        <x:v>independent physical acceptance</x:v>
      </x:c>
      <x:c r="I2117" t="str">
        <x:f>IF(F2117=1,"PASS","OPEN")</x:f>
        <x:v>OPEN</x:v>
      </x:c>
    </x:row>
    <x:row r="2118">
      <x:c r="B2118" t="str">
        <x:v>PH-EX-056</x:v>
      </x:c>
      <x:c r="C2118" t="str">
        <x:v>PHYSICAL</x:v>
      </x:c>
      <x:c r="D2118" t="str">
        <x:v>trial execution</x:v>
      </x:c>
      <x:c r="E2118" t="str">
        <x:v>PH-EX-056</x:v>
      </x:c>
      <x:c r="F2118" t="n">
        <x:f>IF('Trial Register'!P62&lt;&gt;"",1,0)</x:f>
        <x:v>0</x:v>
      </x:c>
      <x:c r="G2118" t="n">
        <x:v>1</x:v>
      </x:c>
      <x:c r="H2118" t="str">
        <x:v>independent physical acceptance</x:v>
      </x:c>
      <x:c r="I2118" t="str">
        <x:f>IF(F2118=1,"PASS","OPEN")</x:f>
        <x:v>OPEN</x:v>
      </x:c>
    </x:row>
    <x:row r="2119">
      <x:c r="B2119" t="str">
        <x:v>PH-PK-056</x:v>
      </x:c>
      <x:c r="C2119" t="str">
        <x:v>PHYSICAL</x:v>
      </x:c>
      <x:c r="D2119" t="str">
        <x:v>trial packet</x:v>
      </x:c>
      <x:c r="E2119" t="str">
        <x:v>PH-PK-056</x:v>
      </x:c>
      <x:c r="F2119" t="n">
        <x:f>IF('Trial Register'!Q62&lt;&gt;"",1,0)</x:f>
        <x:v>0</x:v>
      </x:c>
      <x:c r="G2119" t="n">
        <x:v>1</x:v>
      </x:c>
      <x:c r="H2119" t="str">
        <x:v>independent physical acceptance</x:v>
      </x:c>
      <x:c r="I2119" t="str">
        <x:f>IF(F2119=1,"PASS","OPEN")</x:f>
        <x:v>OPEN</x:v>
      </x:c>
    </x:row>
    <x:row r="2120">
      <x:c r="B2120" t="str">
        <x:v>PH-VA-056</x:v>
      </x:c>
      <x:c r="C2120" t="str">
        <x:v>PHYSICAL</x:v>
      </x:c>
      <x:c r="D2120" t="str">
        <x:v>trial validity</x:v>
      </x:c>
      <x:c r="E2120" t="str">
        <x:v>PH-VA-056</x:v>
      </x:c>
      <x:c r="F2120" t="n">
        <x:f>IF('Trial Register'!R62&lt;&gt;"",1,0)</x:f>
        <x:v>0</x:v>
      </x:c>
      <x:c r="G2120" t="n">
        <x:v>1</x:v>
      </x:c>
      <x:c r="H2120" t="str">
        <x:v>independent physical acceptance</x:v>
      </x:c>
      <x:c r="I2120" t="str">
        <x:f>IF(F2120=1,"PASS","OPEN")</x:f>
        <x:v>OPEN</x:v>
      </x:c>
    </x:row>
    <x:row r="2121">
      <x:c r="B2121" t="str">
        <x:v>PH-RV-056</x:v>
      </x:c>
      <x:c r="C2121" t="str">
        <x:v>PHYSICAL</x:v>
      </x:c>
      <x:c r="D2121" t="str">
        <x:v>reported value</x:v>
      </x:c>
      <x:c r="E2121" t="str">
        <x:v>PH-RV-056</x:v>
      </x:c>
      <x:c r="F2121" t="n">
        <x:f>IF('Trial Register'!S62&lt;&gt;"",1,0)</x:f>
        <x:v>0</x:v>
      </x:c>
      <x:c r="G2121" t="n">
        <x:v>1</x:v>
      </x:c>
      <x:c r="H2121" t="str">
        <x:v>independent physical acceptance</x:v>
      </x:c>
      <x:c r="I2121" t="str">
        <x:f>IF(F2121=1,"PASS","OPEN")</x:f>
        <x:v>OPEN</x:v>
      </x:c>
    </x:row>
    <x:row r="2122">
      <x:c r="B2122" t="str">
        <x:v>PH-CR-056</x:v>
      </x:c>
      <x:c r="C2122" t="str">
        <x:v>PHYSICAL</x:v>
      </x:c>
      <x:c r="D2122" t="str">
        <x:v>credit acceptance</x:v>
      </x:c>
      <x:c r="E2122" t="str">
        <x:v>PH-CR-056</x:v>
      </x:c>
      <x:c r="F2122" t="str">
        <x:f>'Trial Register'!V62</x:f>
      </x:c>
      <x:c r="G2122" t="n">
        <x:v>1</x:v>
      </x:c>
      <x:c r="H2122" t="str">
        <x:v>independent physical acceptance</x:v>
      </x:c>
      <x:c r="I2122" t="str">
        <x:f>IF(F2122=1,"PASS","OPEN")</x:f>
        <x:v>OPEN</x:v>
      </x:c>
    </x:row>
    <x:row r="2123">
      <x:c r="B2123" t="str">
        <x:v>PH-EX-057</x:v>
      </x:c>
      <x:c r="C2123" t="str">
        <x:v>PHYSICAL</x:v>
      </x:c>
      <x:c r="D2123" t="str">
        <x:v>trial execution</x:v>
      </x:c>
      <x:c r="E2123" t="str">
        <x:v>PH-EX-057</x:v>
      </x:c>
      <x:c r="F2123" t="n">
        <x:f>IF('Trial Register'!P63&lt;&gt;"",1,0)</x:f>
        <x:v>0</x:v>
      </x:c>
      <x:c r="G2123" t="n">
        <x:v>1</x:v>
      </x:c>
      <x:c r="H2123" t="str">
        <x:v>independent physical acceptance</x:v>
      </x:c>
      <x:c r="I2123" t="str">
        <x:f>IF(F2123=1,"PASS","OPEN")</x:f>
        <x:v>OPEN</x:v>
      </x:c>
    </x:row>
    <x:row r="2124">
      <x:c r="B2124" t="str">
        <x:v>PH-PK-057</x:v>
      </x:c>
      <x:c r="C2124" t="str">
        <x:v>PHYSICAL</x:v>
      </x:c>
      <x:c r="D2124" t="str">
        <x:v>trial packet</x:v>
      </x:c>
      <x:c r="E2124" t="str">
        <x:v>PH-PK-057</x:v>
      </x:c>
      <x:c r="F2124" t="n">
        <x:f>IF('Trial Register'!Q63&lt;&gt;"",1,0)</x:f>
        <x:v>0</x:v>
      </x:c>
      <x:c r="G2124" t="n">
        <x:v>1</x:v>
      </x:c>
      <x:c r="H2124" t="str">
        <x:v>independent physical acceptance</x:v>
      </x:c>
      <x:c r="I2124" t="str">
        <x:f>IF(F2124=1,"PASS","OPEN")</x:f>
        <x:v>OPEN</x:v>
      </x:c>
    </x:row>
    <x:row r="2125">
      <x:c r="B2125" t="str">
        <x:v>PH-VA-057</x:v>
      </x:c>
      <x:c r="C2125" t="str">
        <x:v>PHYSICAL</x:v>
      </x:c>
      <x:c r="D2125" t="str">
        <x:v>trial validity</x:v>
      </x:c>
      <x:c r="E2125" t="str">
        <x:v>PH-VA-057</x:v>
      </x:c>
      <x:c r="F2125" t="n">
        <x:f>IF('Trial Register'!R63&lt;&gt;"",1,0)</x:f>
        <x:v>0</x:v>
      </x:c>
      <x:c r="G2125" t="n">
        <x:v>1</x:v>
      </x:c>
      <x:c r="H2125" t="str">
        <x:v>independent physical acceptance</x:v>
      </x:c>
      <x:c r="I2125" t="str">
        <x:f>IF(F2125=1,"PASS","OPEN")</x:f>
        <x:v>OPEN</x:v>
      </x:c>
    </x:row>
    <x:row r="2126">
      <x:c r="B2126" t="str">
        <x:v>PH-RV-057</x:v>
      </x:c>
      <x:c r="C2126" t="str">
        <x:v>PHYSICAL</x:v>
      </x:c>
      <x:c r="D2126" t="str">
        <x:v>reported value</x:v>
      </x:c>
      <x:c r="E2126" t="str">
        <x:v>PH-RV-057</x:v>
      </x:c>
      <x:c r="F2126" t="n">
        <x:f>IF('Trial Register'!S63&lt;&gt;"",1,0)</x:f>
        <x:v>0</x:v>
      </x:c>
      <x:c r="G2126" t="n">
        <x:v>1</x:v>
      </x:c>
      <x:c r="H2126" t="str">
        <x:v>independent physical acceptance</x:v>
      </x:c>
      <x:c r="I2126" t="str">
        <x:f>IF(F2126=1,"PASS","OPEN")</x:f>
        <x:v>OPEN</x:v>
      </x:c>
    </x:row>
    <x:row r="2127">
      <x:c r="B2127" t="str">
        <x:v>PH-CR-057</x:v>
      </x:c>
      <x:c r="C2127" t="str">
        <x:v>PHYSICAL</x:v>
      </x:c>
      <x:c r="D2127" t="str">
        <x:v>credit acceptance</x:v>
      </x:c>
      <x:c r="E2127" t="str">
        <x:v>PH-CR-057</x:v>
      </x:c>
      <x:c r="F2127" t="str">
        <x:f>'Trial Register'!V63</x:f>
      </x:c>
      <x:c r="G2127" t="n">
        <x:v>1</x:v>
      </x:c>
      <x:c r="H2127" t="str">
        <x:v>independent physical acceptance</x:v>
      </x:c>
      <x:c r="I2127" t="str">
        <x:f>IF(F2127=1,"PASS","OPEN")</x:f>
        <x:v>OPEN</x:v>
      </x:c>
    </x:row>
    <x:row r="2128">
      <x:c r="B2128" t="str">
        <x:v>PH-EX-058</x:v>
      </x:c>
      <x:c r="C2128" t="str">
        <x:v>PHYSICAL</x:v>
      </x:c>
      <x:c r="D2128" t="str">
        <x:v>trial execution</x:v>
      </x:c>
      <x:c r="E2128" t="str">
        <x:v>PH-EX-058</x:v>
      </x:c>
      <x:c r="F2128" t="n">
        <x:f>IF('Trial Register'!P64&lt;&gt;"",1,0)</x:f>
        <x:v>0</x:v>
      </x:c>
      <x:c r="G2128" t="n">
        <x:v>1</x:v>
      </x:c>
      <x:c r="H2128" t="str">
        <x:v>independent physical acceptance</x:v>
      </x:c>
      <x:c r="I2128" t="str">
        <x:f>IF(F2128=1,"PASS","OPEN")</x:f>
        <x:v>OPEN</x:v>
      </x:c>
    </x:row>
    <x:row r="2129">
      <x:c r="B2129" t="str">
        <x:v>PH-PK-058</x:v>
      </x:c>
      <x:c r="C2129" t="str">
        <x:v>PHYSICAL</x:v>
      </x:c>
      <x:c r="D2129" t="str">
        <x:v>trial packet</x:v>
      </x:c>
      <x:c r="E2129" t="str">
        <x:v>PH-PK-058</x:v>
      </x:c>
      <x:c r="F2129" t="n">
        <x:f>IF('Trial Register'!Q64&lt;&gt;"",1,0)</x:f>
        <x:v>0</x:v>
      </x:c>
      <x:c r="G2129" t="n">
        <x:v>1</x:v>
      </x:c>
      <x:c r="H2129" t="str">
        <x:v>independent physical acceptance</x:v>
      </x:c>
      <x:c r="I2129" t="str">
        <x:f>IF(F2129=1,"PASS","OPEN")</x:f>
        <x:v>OPEN</x:v>
      </x:c>
    </x:row>
    <x:row r="2130">
      <x:c r="B2130" t="str">
        <x:v>PH-VA-058</x:v>
      </x:c>
      <x:c r="C2130" t="str">
        <x:v>PHYSICAL</x:v>
      </x:c>
      <x:c r="D2130" t="str">
        <x:v>trial validity</x:v>
      </x:c>
      <x:c r="E2130" t="str">
        <x:v>PH-VA-058</x:v>
      </x:c>
      <x:c r="F2130" t="n">
        <x:f>IF('Trial Register'!R64&lt;&gt;"",1,0)</x:f>
        <x:v>0</x:v>
      </x:c>
      <x:c r="G2130" t="n">
        <x:v>1</x:v>
      </x:c>
      <x:c r="H2130" t="str">
        <x:v>independent physical acceptance</x:v>
      </x:c>
      <x:c r="I2130" t="str">
        <x:f>IF(F2130=1,"PASS","OPEN")</x:f>
        <x:v>OPEN</x:v>
      </x:c>
    </x:row>
    <x:row r="2131">
      <x:c r="B2131" t="str">
        <x:v>PH-RV-058</x:v>
      </x:c>
      <x:c r="C2131" t="str">
        <x:v>PHYSICAL</x:v>
      </x:c>
      <x:c r="D2131" t="str">
        <x:v>reported value</x:v>
      </x:c>
      <x:c r="E2131" t="str">
        <x:v>PH-RV-058</x:v>
      </x:c>
      <x:c r="F2131" t="n">
        <x:f>IF('Trial Register'!S64&lt;&gt;"",1,0)</x:f>
        <x:v>0</x:v>
      </x:c>
      <x:c r="G2131" t="n">
        <x:v>1</x:v>
      </x:c>
      <x:c r="H2131" t="str">
        <x:v>independent physical acceptance</x:v>
      </x:c>
      <x:c r="I2131" t="str">
        <x:f>IF(F2131=1,"PASS","OPEN")</x:f>
        <x:v>OPEN</x:v>
      </x:c>
    </x:row>
    <x:row r="2132">
      <x:c r="B2132" t="str">
        <x:v>PH-CR-058</x:v>
      </x:c>
      <x:c r="C2132" t="str">
        <x:v>PHYSICAL</x:v>
      </x:c>
      <x:c r="D2132" t="str">
        <x:v>credit acceptance</x:v>
      </x:c>
      <x:c r="E2132" t="str">
        <x:v>PH-CR-058</x:v>
      </x:c>
      <x:c r="F2132" t="str">
        <x:f>'Trial Register'!V64</x:f>
      </x:c>
      <x:c r="G2132" t="n">
        <x:v>1</x:v>
      </x:c>
      <x:c r="H2132" t="str">
        <x:v>independent physical acceptance</x:v>
      </x:c>
      <x:c r="I2132" t="str">
        <x:f>IF(F2132=1,"PASS","OPEN")</x:f>
        <x:v>OPEN</x:v>
      </x:c>
    </x:row>
    <x:row r="2133">
      <x:c r="B2133" t="str">
        <x:v>PH-EX-059</x:v>
      </x:c>
      <x:c r="C2133" t="str">
        <x:v>PHYSICAL</x:v>
      </x:c>
      <x:c r="D2133" t="str">
        <x:v>trial execution</x:v>
      </x:c>
      <x:c r="E2133" t="str">
        <x:v>PH-EX-059</x:v>
      </x:c>
      <x:c r="F2133" t="n">
        <x:f>IF('Trial Register'!P65&lt;&gt;"",1,0)</x:f>
        <x:v>0</x:v>
      </x:c>
      <x:c r="G2133" t="n">
        <x:v>1</x:v>
      </x:c>
      <x:c r="H2133" t="str">
        <x:v>independent physical acceptance</x:v>
      </x:c>
      <x:c r="I2133" t="str">
        <x:f>IF(F2133=1,"PASS","OPEN")</x:f>
        <x:v>OPEN</x:v>
      </x:c>
    </x:row>
    <x:row r="2134">
      <x:c r="B2134" t="str">
        <x:v>PH-PK-059</x:v>
      </x:c>
      <x:c r="C2134" t="str">
        <x:v>PHYSICAL</x:v>
      </x:c>
      <x:c r="D2134" t="str">
        <x:v>trial packet</x:v>
      </x:c>
      <x:c r="E2134" t="str">
        <x:v>PH-PK-059</x:v>
      </x:c>
      <x:c r="F2134" t="n">
        <x:f>IF('Trial Register'!Q65&lt;&gt;"",1,0)</x:f>
        <x:v>0</x:v>
      </x:c>
      <x:c r="G2134" t="n">
        <x:v>1</x:v>
      </x:c>
      <x:c r="H2134" t="str">
        <x:v>independent physical acceptance</x:v>
      </x:c>
      <x:c r="I2134" t="str">
        <x:f>IF(F2134=1,"PASS","OPEN")</x:f>
        <x:v>OPEN</x:v>
      </x:c>
    </x:row>
    <x:row r="2135">
      <x:c r="B2135" t="str">
        <x:v>PH-VA-059</x:v>
      </x:c>
      <x:c r="C2135" t="str">
        <x:v>PHYSICAL</x:v>
      </x:c>
      <x:c r="D2135" t="str">
        <x:v>trial validity</x:v>
      </x:c>
      <x:c r="E2135" t="str">
        <x:v>PH-VA-059</x:v>
      </x:c>
      <x:c r="F2135" t="n">
        <x:f>IF('Trial Register'!R65&lt;&gt;"",1,0)</x:f>
        <x:v>0</x:v>
      </x:c>
      <x:c r="G2135" t="n">
        <x:v>1</x:v>
      </x:c>
      <x:c r="H2135" t="str">
        <x:v>independent physical acceptance</x:v>
      </x:c>
      <x:c r="I2135" t="str">
        <x:f>IF(F2135=1,"PASS","OPEN")</x:f>
        <x:v>OPEN</x:v>
      </x:c>
    </x:row>
    <x:row r="2136">
      <x:c r="B2136" t="str">
        <x:v>PH-RV-059</x:v>
      </x:c>
      <x:c r="C2136" t="str">
        <x:v>PHYSICAL</x:v>
      </x:c>
      <x:c r="D2136" t="str">
        <x:v>reported value</x:v>
      </x:c>
      <x:c r="E2136" t="str">
        <x:v>PH-RV-059</x:v>
      </x:c>
      <x:c r="F2136" t="n">
        <x:f>IF('Trial Register'!S65&lt;&gt;"",1,0)</x:f>
        <x:v>0</x:v>
      </x:c>
      <x:c r="G2136" t="n">
        <x:v>1</x:v>
      </x:c>
      <x:c r="H2136" t="str">
        <x:v>independent physical acceptance</x:v>
      </x:c>
      <x:c r="I2136" t="str">
        <x:f>IF(F2136=1,"PASS","OPEN")</x:f>
        <x:v>OPEN</x:v>
      </x:c>
    </x:row>
    <x:row r="2137">
      <x:c r="B2137" t="str">
        <x:v>PH-CR-059</x:v>
      </x:c>
      <x:c r="C2137" t="str">
        <x:v>PHYSICAL</x:v>
      </x:c>
      <x:c r="D2137" t="str">
        <x:v>credit acceptance</x:v>
      </x:c>
      <x:c r="E2137" t="str">
        <x:v>PH-CR-059</x:v>
      </x:c>
      <x:c r="F2137" t="str">
        <x:f>'Trial Register'!V65</x:f>
      </x:c>
      <x:c r="G2137" t="n">
        <x:v>1</x:v>
      </x:c>
      <x:c r="H2137" t="str">
        <x:v>independent physical acceptance</x:v>
      </x:c>
      <x:c r="I2137" t="str">
        <x:f>IF(F2137=1,"PASS","OPEN")</x:f>
        <x:v>OPEN</x:v>
      </x:c>
    </x:row>
    <x:row r="2138">
      <x:c r="B2138" t="str">
        <x:v>PH-EX-060</x:v>
      </x:c>
      <x:c r="C2138" t="str">
        <x:v>PHYSICAL</x:v>
      </x:c>
      <x:c r="D2138" t="str">
        <x:v>trial execution</x:v>
      </x:c>
      <x:c r="E2138" t="str">
        <x:v>PH-EX-060</x:v>
      </x:c>
      <x:c r="F2138" t="n">
        <x:f>IF('Trial Register'!P66&lt;&gt;"",1,0)</x:f>
        <x:v>0</x:v>
      </x:c>
      <x:c r="G2138" t="n">
        <x:v>1</x:v>
      </x:c>
      <x:c r="H2138" t="str">
        <x:v>independent physical acceptance</x:v>
      </x:c>
      <x:c r="I2138" t="str">
        <x:f>IF(F2138=1,"PASS","OPEN")</x:f>
        <x:v>OPEN</x:v>
      </x:c>
    </x:row>
    <x:row r="2139">
      <x:c r="B2139" t="str">
        <x:v>PH-PK-060</x:v>
      </x:c>
      <x:c r="C2139" t="str">
        <x:v>PHYSICAL</x:v>
      </x:c>
      <x:c r="D2139" t="str">
        <x:v>trial packet</x:v>
      </x:c>
      <x:c r="E2139" t="str">
        <x:v>PH-PK-060</x:v>
      </x:c>
      <x:c r="F2139" t="n">
        <x:f>IF('Trial Register'!Q66&lt;&gt;"",1,0)</x:f>
        <x:v>0</x:v>
      </x:c>
      <x:c r="G2139" t="n">
        <x:v>1</x:v>
      </x:c>
      <x:c r="H2139" t="str">
        <x:v>independent physical acceptance</x:v>
      </x:c>
      <x:c r="I2139" t="str">
        <x:f>IF(F2139=1,"PASS","OPEN")</x:f>
        <x:v>OPEN</x:v>
      </x:c>
    </x:row>
    <x:row r="2140">
      <x:c r="B2140" t="str">
        <x:v>PH-VA-060</x:v>
      </x:c>
      <x:c r="C2140" t="str">
        <x:v>PHYSICAL</x:v>
      </x:c>
      <x:c r="D2140" t="str">
        <x:v>trial validity</x:v>
      </x:c>
      <x:c r="E2140" t="str">
        <x:v>PH-VA-060</x:v>
      </x:c>
      <x:c r="F2140" t="n">
        <x:f>IF('Trial Register'!R66&lt;&gt;"",1,0)</x:f>
        <x:v>0</x:v>
      </x:c>
      <x:c r="G2140" t="n">
        <x:v>1</x:v>
      </x:c>
      <x:c r="H2140" t="str">
        <x:v>independent physical acceptance</x:v>
      </x:c>
      <x:c r="I2140" t="str">
        <x:f>IF(F2140=1,"PASS","OPEN")</x:f>
        <x:v>OPEN</x:v>
      </x:c>
    </x:row>
    <x:row r="2141">
      <x:c r="B2141" t="str">
        <x:v>PH-RV-060</x:v>
      </x:c>
      <x:c r="C2141" t="str">
        <x:v>PHYSICAL</x:v>
      </x:c>
      <x:c r="D2141" t="str">
        <x:v>reported value</x:v>
      </x:c>
      <x:c r="E2141" t="str">
        <x:v>PH-RV-060</x:v>
      </x:c>
      <x:c r="F2141" t="n">
        <x:f>IF('Trial Register'!S66&lt;&gt;"",1,0)</x:f>
        <x:v>0</x:v>
      </x:c>
      <x:c r="G2141" t="n">
        <x:v>1</x:v>
      </x:c>
      <x:c r="H2141" t="str">
        <x:v>independent physical acceptance</x:v>
      </x:c>
      <x:c r="I2141" t="str">
        <x:f>IF(F2141=1,"PASS","OPEN")</x:f>
        <x:v>OPEN</x:v>
      </x:c>
    </x:row>
    <x:row r="2142">
      <x:c r="B2142" t="str">
        <x:v>PH-CR-060</x:v>
      </x:c>
      <x:c r="C2142" t="str">
        <x:v>PHYSICAL</x:v>
      </x:c>
      <x:c r="D2142" t="str">
        <x:v>credit acceptance</x:v>
      </x:c>
      <x:c r="E2142" t="str">
        <x:v>PH-CR-060</x:v>
      </x:c>
      <x:c r="F2142" t="str">
        <x:f>'Trial Register'!V66</x:f>
      </x:c>
      <x:c r="G2142" t="n">
        <x:v>1</x:v>
      </x:c>
      <x:c r="H2142" t="str">
        <x:v>independent physical acceptance</x:v>
      </x:c>
      <x:c r="I2142" t="str">
        <x:f>IF(F2142=1,"PASS","OPEN")</x:f>
        <x:v>OPEN</x:v>
      </x:c>
    </x:row>
    <x:row r="2143">
      <x:c r="B2143" t="str">
        <x:v>PH-EX-061</x:v>
      </x:c>
      <x:c r="C2143" t="str">
        <x:v>PHYSICAL</x:v>
      </x:c>
      <x:c r="D2143" t="str">
        <x:v>trial execution</x:v>
      </x:c>
      <x:c r="E2143" t="str">
        <x:v>PH-EX-061</x:v>
      </x:c>
      <x:c r="F2143" t="n">
        <x:f>IF('Trial Register'!P67&lt;&gt;"",1,0)</x:f>
        <x:v>0</x:v>
      </x:c>
      <x:c r="G2143" t="n">
        <x:v>1</x:v>
      </x:c>
      <x:c r="H2143" t="str">
        <x:v>independent physical acceptance</x:v>
      </x:c>
      <x:c r="I2143" t="str">
        <x:f>IF(F2143=1,"PASS","OPEN")</x:f>
        <x:v>OPEN</x:v>
      </x:c>
    </x:row>
    <x:row r="2144">
      <x:c r="B2144" t="str">
        <x:v>PH-PK-061</x:v>
      </x:c>
      <x:c r="C2144" t="str">
        <x:v>PHYSICAL</x:v>
      </x:c>
      <x:c r="D2144" t="str">
        <x:v>trial packet</x:v>
      </x:c>
      <x:c r="E2144" t="str">
        <x:v>PH-PK-061</x:v>
      </x:c>
      <x:c r="F2144" t="n">
        <x:f>IF('Trial Register'!Q67&lt;&gt;"",1,0)</x:f>
        <x:v>0</x:v>
      </x:c>
      <x:c r="G2144" t="n">
        <x:v>1</x:v>
      </x:c>
      <x:c r="H2144" t="str">
        <x:v>independent physical acceptance</x:v>
      </x:c>
      <x:c r="I2144" t="str">
        <x:f>IF(F2144=1,"PASS","OPEN")</x:f>
        <x:v>OPEN</x:v>
      </x:c>
    </x:row>
    <x:row r="2145">
      <x:c r="B2145" t="str">
        <x:v>PH-VA-061</x:v>
      </x:c>
      <x:c r="C2145" t="str">
        <x:v>PHYSICAL</x:v>
      </x:c>
      <x:c r="D2145" t="str">
        <x:v>trial validity</x:v>
      </x:c>
      <x:c r="E2145" t="str">
        <x:v>PH-VA-061</x:v>
      </x:c>
      <x:c r="F2145" t="n">
        <x:f>IF('Trial Register'!R67&lt;&gt;"",1,0)</x:f>
        <x:v>0</x:v>
      </x:c>
      <x:c r="G2145" t="n">
        <x:v>1</x:v>
      </x:c>
      <x:c r="H2145" t="str">
        <x:v>independent physical acceptance</x:v>
      </x:c>
      <x:c r="I2145" t="str">
        <x:f>IF(F2145=1,"PASS","OPEN")</x:f>
        <x:v>OPEN</x:v>
      </x:c>
    </x:row>
    <x:row r="2146">
      <x:c r="B2146" t="str">
        <x:v>PH-RV-061</x:v>
      </x:c>
      <x:c r="C2146" t="str">
        <x:v>PHYSICAL</x:v>
      </x:c>
      <x:c r="D2146" t="str">
        <x:v>reported value</x:v>
      </x:c>
      <x:c r="E2146" t="str">
        <x:v>PH-RV-061</x:v>
      </x:c>
      <x:c r="F2146" t="n">
        <x:f>IF('Trial Register'!S67&lt;&gt;"",1,0)</x:f>
        <x:v>0</x:v>
      </x:c>
      <x:c r="G2146" t="n">
        <x:v>1</x:v>
      </x:c>
      <x:c r="H2146" t="str">
        <x:v>independent physical acceptance</x:v>
      </x:c>
      <x:c r="I2146" t="str">
        <x:f>IF(F2146=1,"PASS","OPEN")</x:f>
        <x:v>OPEN</x:v>
      </x:c>
    </x:row>
    <x:row r="2147">
      <x:c r="B2147" t="str">
        <x:v>PH-CR-061</x:v>
      </x:c>
      <x:c r="C2147" t="str">
        <x:v>PHYSICAL</x:v>
      </x:c>
      <x:c r="D2147" t="str">
        <x:v>credit acceptance</x:v>
      </x:c>
      <x:c r="E2147" t="str">
        <x:v>PH-CR-061</x:v>
      </x:c>
      <x:c r="F2147" t="str">
        <x:f>'Trial Register'!V67</x:f>
      </x:c>
      <x:c r="G2147" t="n">
        <x:v>1</x:v>
      </x:c>
      <x:c r="H2147" t="str">
        <x:v>independent physical acceptance</x:v>
      </x:c>
      <x:c r="I2147" t="str">
        <x:f>IF(F2147=1,"PASS","OPEN")</x:f>
        <x:v>OPEN</x:v>
      </x:c>
    </x:row>
    <x:row r="2148">
      <x:c r="B2148" t="str">
        <x:v>PH-EX-062</x:v>
      </x:c>
      <x:c r="C2148" t="str">
        <x:v>PHYSICAL</x:v>
      </x:c>
      <x:c r="D2148" t="str">
        <x:v>trial execution</x:v>
      </x:c>
      <x:c r="E2148" t="str">
        <x:v>PH-EX-062</x:v>
      </x:c>
      <x:c r="F2148" t="n">
        <x:f>IF('Trial Register'!P68&lt;&gt;"",1,0)</x:f>
        <x:v>0</x:v>
      </x:c>
      <x:c r="G2148" t="n">
        <x:v>1</x:v>
      </x:c>
      <x:c r="H2148" t="str">
        <x:v>independent physical acceptance</x:v>
      </x:c>
      <x:c r="I2148" t="str">
        <x:f>IF(F2148=1,"PASS","OPEN")</x:f>
        <x:v>OPEN</x:v>
      </x:c>
    </x:row>
    <x:row r="2149">
      <x:c r="B2149" t="str">
        <x:v>PH-PK-062</x:v>
      </x:c>
      <x:c r="C2149" t="str">
        <x:v>PHYSICAL</x:v>
      </x:c>
      <x:c r="D2149" t="str">
        <x:v>trial packet</x:v>
      </x:c>
      <x:c r="E2149" t="str">
        <x:v>PH-PK-062</x:v>
      </x:c>
      <x:c r="F2149" t="n">
        <x:f>IF('Trial Register'!Q68&lt;&gt;"",1,0)</x:f>
        <x:v>0</x:v>
      </x:c>
      <x:c r="G2149" t="n">
        <x:v>1</x:v>
      </x:c>
      <x:c r="H2149" t="str">
        <x:v>independent physical acceptance</x:v>
      </x:c>
      <x:c r="I2149" t="str">
        <x:f>IF(F2149=1,"PASS","OPEN")</x:f>
        <x:v>OPEN</x:v>
      </x:c>
    </x:row>
    <x:row r="2150">
      <x:c r="B2150" t="str">
        <x:v>PH-VA-062</x:v>
      </x:c>
      <x:c r="C2150" t="str">
        <x:v>PHYSICAL</x:v>
      </x:c>
      <x:c r="D2150" t="str">
        <x:v>trial validity</x:v>
      </x:c>
      <x:c r="E2150" t="str">
        <x:v>PH-VA-062</x:v>
      </x:c>
      <x:c r="F2150" t="n">
        <x:f>IF('Trial Register'!R68&lt;&gt;"",1,0)</x:f>
        <x:v>0</x:v>
      </x:c>
      <x:c r="G2150" t="n">
        <x:v>1</x:v>
      </x:c>
      <x:c r="H2150" t="str">
        <x:v>independent physical acceptance</x:v>
      </x:c>
      <x:c r="I2150" t="str">
        <x:f>IF(F2150=1,"PASS","OPEN")</x:f>
        <x:v>OPEN</x:v>
      </x:c>
    </x:row>
    <x:row r="2151">
      <x:c r="B2151" t="str">
        <x:v>PH-RV-062</x:v>
      </x:c>
      <x:c r="C2151" t="str">
        <x:v>PHYSICAL</x:v>
      </x:c>
      <x:c r="D2151" t="str">
        <x:v>reported value</x:v>
      </x:c>
      <x:c r="E2151" t="str">
        <x:v>PH-RV-062</x:v>
      </x:c>
      <x:c r="F2151" t="n">
        <x:f>IF('Trial Register'!S68&lt;&gt;"",1,0)</x:f>
        <x:v>0</x:v>
      </x:c>
      <x:c r="G2151" t="n">
        <x:v>1</x:v>
      </x:c>
      <x:c r="H2151" t="str">
        <x:v>independent physical acceptance</x:v>
      </x:c>
      <x:c r="I2151" t="str">
        <x:f>IF(F2151=1,"PASS","OPEN")</x:f>
        <x:v>OPEN</x:v>
      </x:c>
    </x:row>
    <x:row r="2152">
      <x:c r="B2152" t="str">
        <x:v>PH-CR-062</x:v>
      </x:c>
      <x:c r="C2152" t="str">
        <x:v>PHYSICAL</x:v>
      </x:c>
      <x:c r="D2152" t="str">
        <x:v>credit acceptance</x:v>
      </x:c>
      <x:c r="E2152" t="str">
        <x:v>PH-CR-062</x:v>
      </x:c>
      <x:c r="F2152" t="str">
        <x:f>'Trial Register'!V68</x:f>
      </x:c>
      <x:c r="G2152" t="n">
        <x:v>1</x:v>
      </x:c>
      <x:c r="H2152" t="str">
        <x:v>independent physical acceptance</x:v>
      </x:c>
      <x:c r="I2152" t="str">
        <x:f>IF(F2152=1,"PASS","OPEN")</x:f>
        <x:v>OPEN</x:v>
      </x:c>
    </x:row>
    <x:row r="2153">
      <x:c r="B2153" t="str">
        <x:v>PH-EX-063</x:v>
      </x:c>
      <x:c r="C2153" t="str">
        <x:v>PHYSICAL</x:v>
      </x:c>
      <x:c r="D2153" t="str">
        <x:v>trial execution</x:v>
      </x:c>
      <x:c r="E2153" t="str">
        <x:v>PH-EX-063</x:v>
      </x:c>
      <x:c r="F2153" t="n">
        <x:f>IF('Trial Register'!P69&lt;&gt;"",1,0)</x:f>
        <x:v>0</x:v>
      </x:c>
      <x:c r="G2153" t="n">
        <x:v>1</x:v>
      </x:c>
      <x:c r="H2153" t="str">
        <x:v>independent physical acceptance</x:v>
      </x:c>
      <x:c r="I2153" t="str">
        <x:f>IF(F2153=1,"PASS","OPEN")</x:f>
        <x:v>OPEN</x:v>
      </x:c>
    </x:row>
    <x:row r="2154">
      <x:c r="B2154" t="str">
        <x:v>PH-PK-063</x:v>
      </x:c>
      <x:c r="C2154" t="str">
        <x:v>PHYSICAL</x:v>
      </x:c>
      <x:c r="D2154" t="str">
        <x:v>trial packet</x:v>
      </x:c>
      <x:c r="E2154" t="str">
        <x:v>PH-PK-063</x:v>
      </x:c>
      <x:c r="F2154" t="n">
        <x:f>IF('Trial Register'!Q69&lt;&gt;"",1,0)</x:f>
        <x:v>0</x:v>
      </x:c>
      <x:c r="G2154" t="n">
        <x:v>1</x:v>
      </x:c>
      <x:c r="H2154" t="str">
        <x:v>independent physical acceptance</x:v>
      </x:c>
      <x:c r="I2154" t="str">
        <x:f>IF(F2154=1,"PASS","OPEN")</x:f>
        <x:v>OPEN</x:v>
      </x:c>
    </x:row>
    <x:row r="2155">
      <x:c r="B2155" t="str">
        <x:v>PH-VA-063</x:v>
      </x:c>
      <x:c r="C2155" t="str">
        <x:v>PHYSICAL</x:v>
      </x:c>
      <x:c r="D2155" t="str">
        <x:v>trial validity</x:v>
      </x:c>
      <x:c r="E2155" t="str">
        <x:v>PH-VA-063</x:v>
      </x:c>
      <x:c r="F2155" t="n">
        <x:f>IF('Trial Register'!R69&lt;&gt;"",1,0)</x:f>
        <x:v>0</x:v>
      </x:c>
      <x:c r="G2155" t="n">
        <x:v>1</x:v>
      </x:c>
      <x:c r="H2155" t="str">
        <x:v>independent physical acceptance</x:v>
      </x:c>
      <x:c r="I2155" t="str">
        <x:f>IF(F2155=1,"PASS","OPEN")</x:f>
        <x:v>OPEN</x:v>
      </x:c>
    </x:row>
    <x:row r="2156">
      <x:c r="B2156" t="str">
        <x:v>PH-RV-063</x:v>
      </x:c>
      <x:c r="C2156" t="str">
        <x:v>PHYSICAL</x:v>
      </x:c>
      <x:c r="D2156" t="str">
        <x:v>reported value</x:v>
      </x:c>
      <x:c r="E2156" t="str">
        <x:v>PH-RV-063</x:v>
      </x:c>
      <x:c r="F2156" t="n">
        <x:f>IF('Trial Register'!S69&lt;&gt;"",1,0)</x:f>
        <x:v>0</x:v>
      </x:c>
      <x:c r="G2156" t="n">
        <x:v>1</x:v>
      </x:c>
      <x:c r="H2156" t="str">
        <x:v>independent physical acceptance</x:v>
      </x:c>
      <x:c r="I2156" t="str">
        <x:f>IF(F2156=1,"PASS","OPEN")</x:f>
        <x:v>OPEN</x:v>
      </x:c>
    </x:row>
    <x:row r="2157">
      <x:c r="B2157" t="str">
        <x:v>PH-CR-063</x:v>
      </x:c>
      <x:c r="C2157" t="str">
        <x:v>PHYSICAL</x:v>
      </x:c>
      <x:c r="D2157" t="str">
        <x:v>credit acceptance</x:v>
      </x:c>
      <x:c r="E2157" t="str">
        <x:v>PH-CR-063</x:v>
      </x:c>
      <x:c r="F2157" t="str">
        <x:f>'Trial Register'!V69</x:f>
      </x:c>
      <x:c r="G2157" t="n">
        <x:v>1</x:v>
      </x:c>
      <x:c r="H2157" t="str">
        <x:v>independent physical acceptance</x:v>
      </x:c>
      <x:c r="I2157" t="str">
        <x:f>IF(F2157=1,"PASS","OPEN")</x:f>
        <x:v>OPEN</x:v>
      </x:c>
    </x:row>
    <x:row r="2158">
      <x:c r="B2158" t="str">
        <x:v>PH-EX-064</x:v>
      </x:c>
      <x:c r="C2158" t="str">
        <x:v>PHYSICAL</x:v>
      </x:c>
      <x:c r="D2158" t="str">
        <x:v>trial execution</x:v>
      </x:c>
      <x:c r="E2158" t="str">
        <x:v>PH-EX-064</x:v>
      </x:c>
      <x:c r="F2158" t="n">
        <x:f>IF('Trial Register'!P70&lt;&gt;"",1,0)</x:f>
        <x:v>0</x:v>
      </x:c>
      <x:c r="G2158" t="n">
        <x:v>1</x:v>
      </x:c>
      <x:c r="H2158" t="str">
        <x:v>independent physical acceptance</x:v>
      </x:c>
      <x:c r="I2158" t="str">
        <x:f>IF(F2158=1,"PASS","OPEN")</x:f>
        <x:v>OPEN</x:v>
      </x:c>
    </x:row>
    <x:row r="2159">
      <x:c r="B2159" t="str">
        <x:v>PH-PK-064</x:v>
      </x:c>
      <x:c r="C2159" t="str">
        <x:v>PHYSICAL</x:v>
      </x:c>
      <x:c r="D2159" t="str">
        <x:v>trial packet</x:v>
      </x:c>
      <x:c r="E2159" t="str">
        <x:v>PH-PK-064</x:v>
      </x:c>
      <x:c r="F2159" t="n">
        <x:f>IF('Trial Register'!Q70&lt;&gt;"",1,0)</x:f>
        <x:v>0</x:v>
      </x:c>
      <x:c r="G2159" t="n">
        <x:v>1</x:v>
      </x:c>
      <x:c r="H2159" t="str">
        <x:v>independent physical acceptance</x:v>
      </x:c>
      <x:c r="I2159" t="str">
        <x:f>IF(F2159=1,"PASS","OPEN")</x:f>
        <x:v>OPEN</x:v>
      </x:c>
    </x:row>
    <x:row r="2160">
      <x:c r="B2160" t="str">
        <x:v>PH-VA-064</x:v>
      </x:c>
      <x:c r="C2160" t="str">
        <x:v>PHYSICAL</x:v>
      </x:c>
      <x:c r="D2160" t="str">
        <x:v>trial validity</x:v>
      </x:c>
      <x:c r="E2160" t="str">
        <x:v>PH-VA-064</x:v>
      </x:c>
      <x:c r="F2160" t="n">
        <x:f>IF('Trial Register'!R70&lt;&gt;"",1,0)</x:f>
        <x:v>0</x:v>
      </x:c>
      <x:c r="G2160" t="n">
        <x:v>1</x:v>
      </x:c>
      <x:c r="H2160" t="str">
        <x:v>independent physical acceptance</x:v>
      </x:c>
      <x:c r="I2160" t="str">
        <x:f>IF(F2160=1,"PASS","OPEN")</x:f>
        <x:v>OPEN</x:v>
      </x:c>
    </x:row>
    <x:row r="2161">
      <x:c r="B2161" t="str">
        <x:v>PH-RV-064</x:v>
      </x:c>
      <x:c r="C2161" t="str">
        <x:v>PHYSICAL</x:v>
      </x:c>
      <x:c r="D2161" t="str">
        <x:v>reported value</x:v>
      </x:c>
      <x:c r="E2161" t="str">
        <x:v>PH-RV-064</x:v>
      </x:c>
      <x:c r="F2161" t="n">
        <x:f>IF('Trial Register'!S70&lt;&gt;"",1,0)</x:f>
        <x:v>0</x:v>
      </x:c>
      <x:c r="G2161" t="n">
        <x:v>1</x:v>
      </x:c>
      <x:c r="H2161" t="str">
        <x:v>independent physical acceptance</x:v>
      </x:c>
      <x:c r="I2161" t="str">
        <x:f>IF(F2161=1,"PASS","OPEN")</x:f>
        <x:v>OPEN</x:v>
      </x:c>
    </x:row>
    <x:row r="2162">
      <x:c r="B2162" t="str">
        <x:v>PH-CR-064</x:v>
      </x:c>
      <x:c r="C2162" t="str">
        <x:v>PHYSICAL</x:v>
      </x:c>
      <x:c r="D2162" t="str">
        <x:v>credit acceptance</x:v>
      </x:c>
      <x:c r="E2162" t="str">
        <x:v>PH-CR-064</x:v>
      </x:c>
      <x:c r="F2162" t="str">
        <x:f>'Trial Register'!V70</x:f>
      </x:c>
      <x:c r="G2162" t="n">
        <x:v>1</x:v>
      </x:c>
      <x:c r="H2162" t="str">
        <x:v>independent physical acceptance</x:v>
      </x:c>
      <x:c r="I2162" t="str">
        <x:f>IF(F2162=1,"PASS","OPEN")</x:f>
        <x:v>OPEN</x:v>
      </x:c>
    </x:row>
    <x:row r="2163">
      <x:c r="B2163" t="str">
        <x:v>PH-EX-065</x:v>
      </x:c>
      <x:c r="C2163" t="str">
        <x:v>PHYSICAL</x:v>
      </x:c>
      <x:c r="D2163" t="str">
        <x:v>trial execution</x:v>
      </x:c>
      <x:c r="E2163" t="str">
        <x:v>PH-EX-065</x:v>
      </x:c>
      <x:c r="F2163" t="n">
        <x:f>IF('Trial Register'!P71&lt;&gt;"",1,0)</x:f>
        <x:v>0</x:v>
      </x:c>
      <x:c r="G2163" t="n">
        <x:v>1</x:v>
      </x:c>
      <x:c r="H2163" t="str">
        <x:v>independent physical acceptance</x:v>
      </x:c>
      <x:c r="I2163" t="str">
        <x:f>IF(F2163=1,"PASS","OPEN")</x:f>
        <x:v>OPEN</x:v>
      </x:c>
    </x:row>
    <x:row r="2164">
      <x:c r="B2164" t="str">
        <x:v>PH-PK-065</x:v>
      </x:c>
      <x:c r="C2164" t="str">
        <x:v>PHYSICAL</x:v>
      </x:c>
      <x:c r="D2164" t="str">
        <x:v>trial packet</x:v>
      </x:c>
      <x:c r="E2164" t="str">
        <x:v>PH-PK-065</x:v>
      </x:c>
      <x:c r="F2164" t="n">
        <x:f>IF('Trial Register'!Q71&lt;&gt;"",1,0)</x:f>
        <x:v>0</x:v>
      </x:c>
      <x:c r="G2164" t="n">
        <x:v>1</x:v>
      </x:c>
      <x:c r="H2164" t="str">
        <x:v>independent physical acceptance</x:v>
      </x:c>
      <x:c r="I2164" t="str">
        <x:f>IF(F2164=1,"PASS","OPEN")</x:f>
        <x:v>OPEN</x:v>
      </x:c>
    </x:row>
    <x:row r="2165">
      <x:c r="B2165" t="str">
        <x:v>PH-VA-065</x:v>
      </x:c>
      <x:c r="C2165" t="str">
        <x:v>PHYSICAL</x:v>
      </x:c>
      <x:c r="D2165" t="str">
        <x:v>trial validity</x:v>
      </x:c>
      <x:c r="E2165" t="str">
        <x:v>PH-VA-065</x:v>
      </x:c>
      <x:c r="F2165" t="n">
        <x:f>IF('Trial Register'!R71&lt;&gt;"",1,0)</x:f>
        <x:v>0</x:v>
      </x:c>
      <x:c r="G2165" t="n">
        <x:v>1</x:v>
      </x:c>
      <x:c r="H2165" t="str">
        <x:v>independent physical acceptance</x:v>
      </x:c>
      <x:c r="I2165" t="str">
        <x:f>IF(F2165=1,"PASS","OPEN")</x:f>
        <x:v>OPEN</x:v>
      </x:c>
    </x:row>
    <x:row r="2166">
      <x:c r="B2166" t="str">
        <x:v>PH-RV-065</x:v>
      </x:c>
      <x:c r="C2166" t="str">
        <x:v>PHYSICAL</x:v>
      </x:c>
      <x:c r="D2166" t="str">
        <x:v>reported value</x:v>
      </x:c>
      <x:c r="E2166" t="str">
        <x:v>PH-RV-065</x:v>
      </x:c>
      <x:c r="F2166" t="n">
        <x:f>IF('Trial Register'!S71&lt;&gt;"",1,0)</x:f>
        <x:v>0</x:v>
      </x:c>
      <x:c r="G2166" t="n">
        <x:v>1</x:v>
      </x:c>
      <x:c r="H2166" t="str">
        <x:v>independent physical acceptance</x:v>
      </x:c>
      <x:c r="I2166" t="str">
        <x:f>IF(F2166=1,"PASS","OPEN")</x:f>
        <x:v>OPEN</x:v>
      </x:c>
    </x:row>
    <x:row r="2167">
      <x:c r="B2167" t="str">
        <x:v>PH-CR-065</x:v>
      </x:c>
      <x:c r="C2167" t="str">
        <x:v>PHYSICAL</x:v>
      </x:c>
      <x:c r="D2167" t="str">
        <x:v>credit acceptance</x:v>
      </x:c>
      <x:c r="E2167" t="str">
        <x:v>PH-CR-065</x:v>
      </x:c>
      <x:c r="F2167" t="str">
        <x:f>'Trial Register'!V71</x:f>
      </x:c>
      <x:c r="G2167" t="n">
        <x:v>1</x:v>
      </x:c>
      <x:c r="H2167" t="str">
        <x:v>independent physical acceptance</x:v>
      </x:c>
      <x:c r="I2167" t="str">
        <x:f>IF(F2167=1,"PASS","OPEN")</x:f>
        <x:v>OPEN</x:v>
      </x:c>
    </x:row>
    <x:row r="2168">
      <x:c r="B2168" t="str">
        <x:v>PH-EX-066</x:v>
      </x:c>
      <x:c r="C2168" t="str">
        <x:v>PHYSICAL</x:v>
      </x:c>
      <x:c r="D2168" t="str">
        <x:v>trial execution</x:v>
      </x:c>
      <x:c r="E2168" t="str">
        <x:v>PH-EX-066</x:v>
      </x:c>
      <x:c r="F2168" t="n">
        <x:f>IF('Trial Register'!P72&lt;&gt;"",1,0)</x:f>
        <x:v>0</x:v>
      </x:c>
      <x:c r="G2168" t="n">
        <x:v>1</x:v>
      </x:c>
      <x:c r="H2168" t="str">
        <x:v>independent physical acceptance</x:v>
      </x:c>
      <x:c r="I2168" t="str">
        <x:f>IF(F2168=1,"PASS","OPEN")</x:f>
        <x:v>OPEN</x:v>
      </x:c>
    </x:row>
    <x:row r="2169">
      <x:c r="B2169" t="str">
        <x:v>PH-PK-066</x:v>
      </x:c>
      <x:c r="C2169" t="str">
        <x:v>PHYSICAL</x:v>
      </x:c>
      <x:c r="D2169" t="str">
        <x:v>trial packet</x:v>
      </x:c>
      <x:c r="E2169" t="str">
        <x:v>PH-PK-066</x:v>
      </x:c>
      <x:c r="F2169" t="n">
        <x:f>IF('Trial Register'!Q72&lt;&gt;"",1,0)</x:f>
        <x:v>0</x:v>
      </x:c>
      <x:c r="G2169" t="n">
        <x:v>1</x:v>
      </x:c>
      <x:c r="H2169" t="str">
        <x:v>independent physical acceptance</x:v>
      </x:c>
      <x:c r="I2169" t="str">
        <x:f>IF(F2169=1,"PASS","OPEN")</x:f>
        <x:v>OPEN</x:v>
      </x:c>
    </x:row>
    <x:row r="2170">
      <x:c r="B2170" t="str">
        <x:v>PH-VA-066</x:v>
      </x:c>
      <x:c r="C2170" t="str">
        <x:v>PHYSICAL</x:v>
      </x:c>
      <x:c r="D2170" t="str">
        <x:v>trial validity</x:v>
      </x:c>
      <x:c r="E2170" t="str">
        <x:v>PH-VA-066</x:v>
      </x:c>
      <x:c r="F2170" t="n">
        <x:f>IF('Trial Register'!R72&lt;&gt;"",1,0)</x:f>
        <x:v>0</x:v>
      </x:c>
      <x:c r="G2170" t="n">
        <x:v>1</x:v>
      </x:c>
      <x:c r="H2170" t="str">
        <x:v>independent physical acceptance</x:v>
      </x:c>
      <x:c r="I2170" t="str">
        <x:f>IF(F2170=1,"PASS","OPEN")</x:f>
        <x:v>OPEN</x:v>
      </x:c>
    </x:row>
    <x:row r="2171">
      <x:c r="B2171" t="str">
        <x:v>PH-RV-066</x:v>
      </x:c>
      <x:c r="C2171" t="str">
        <x:v>PHYSICAL</x:v>
      </x:c>
      <x:c r="D2171" t="str">
        <x:v>reported value</x:v>
      </x:c>
      <x:c r="E2171" t="str">
        <x:v>PH-RV-066</x:v>
      </x:c>
      <x:c r="F2171" t="n">
        <x:f>IF('Trial Register'!S72&lt;&gt;"",1,0)</x:f>
        <x:v>0</x:v>
      </x:c>
      <x:c r="G2171" t="n">
        <x:v>1</x:v>
      </x:c>
      <x:c r="H2171" t="str">
        <x:v>independent physical acceptance</x:v>
      </x:c>
      <x:c r="I2171" t="str">
        <x:f>IF(F2171=1,"PASS","OPEN")</x:f>
        <x:v>OPEN</x:v>
      </x:c>
    </x:row>
    <x:row r="2172">
      <x:c r="B2172" t="str">
        <x:v>PH-CR-066</x:v>
      </x:c>
      <x:c r="C2172" t="str">
        <x:v>PHYSICAL</x:v>
      </x:c>
      <x:c r="D2172" t="str">
        <x:v>credit acceptance</x:v>
      </x:c>
      <x:c r="E2172" t="str">
        <x:v>PH-CR-066</x:v>
      </x:c>
      <x:c r="F2172" t="str">
        <x:f>'Trial Register'!V72</x:f>
      </x:c>
      <x:c r="G2172" t="n">
        <x:v>1</x:v>
      </x:c>
      <x:c r="H2172" t="str">
        <x:v>independent physical acceptance</x:v>
      </x:c>
      <x:c r="I2172" t="str">
        <x:f>IF(F2172=1,"PASS","OPEN")</x:f>
        <x:v>OPEN</x:v>
      </x:c>
    </x:row>
    <x:row r="2173">
      <x:c r="B2173" t="str">
        <x:v>PH-EX-067</x:v>
      </x:c>
      <x:c r="C2173" t="str">
        <x:v>PHYSICAL</x:v>
      </x:c>
      <x:c r="D2173" t="str">
        <x:v>trial execution</x:v>
      </x:c>
      <x:c r="E2173" t="str">
        <x:v>PH-EX-067</x:v>
      </x:c>
      <x:c r="F2173" t="n">
        <x:f>IF('Trial Register'!P73&lt;&gt;"",1,0)</x:f>
        <x:v>0</x:v>
      </x:c>
      <x:c r="G2173" t="n">
        <x:v>1</x:v>
      </x:c>
      <x:c r="H2173" t="str">
        <x:v>independent physical acceptance</x:v>
      </x:c>
      <x:c r="I2173" t="str">
        <x:f>IF(F2173=1,"PASS","OPEN")</x:f>
        <x:v>OPEN</x:v>
      </x:c>
    </x:row>
    <x:row r="2174">
      <x:c r="B2174" t="str">
        <x:v>PH-PK-067</x:v>
      </x:c>
      <x:c r="C2174" t="str">
        <x:v>PHYSICAL</x:v>
      </x:c>
      <x:c r="D2174" t="str">
        <x:v>trial packet</x:v>
      </x:c>
      <x:c r="E2174" t="str">
        <x:v>PH-PK-067</x:v>
      </x:c>
      <x:c r="F2174" t="n">
        <x:f>IF('Trial Register'!Q73&lt;&gt;"",1,0)</x:f>
        <x:v>0</x:v>
      </x:c>
      <x:c r="G2174" t="n">
        <x:v>1</x:v>
      </x:c>
      <x:c r="H2174" t="str">
        <x:v>independent physical acceptance</x:v>
      </x:c>
      <x:c r="I2174" t="str">
        <x:f>IF(F2174=1,"PASS","OPEN")</x:f>
        <x:v>OPEN</x:v>
      </x:c>
    </x:row>
    <x:row r="2175">
      <x:c r="B2175" t="str">
        <x:v>PH-VA-067</x:v>
      </x:c>
      <x:c r="C2175" t="str">
        <x:v>PHYSICAL</x:v>
      </x:c>
      <x:c r="D2175" t="str">
        <x:v>trial validity</x:v>
      </x:c>
      <x:c r="E2175" t="str">
        <x:v>PH-VA-067</x:v>
      </x:c>
      <x:c r="F2175" t="n">
        <x:f>IF('Trial Register'!R73&lt;&gt;"",1,0)</x:f>
        <x:v>0</x:v>
      </x:c>
      <x:c r="G2175" t="n">
        <x:v>1</x:v>
      </x:c>
      <x:c r="H2175" t="str">
        <x:v>independent physical acceptance</x:v>
      </x:c>
      <x:c r="I2175" t="str">
        <x:f>IF(F2175=1,"PASS","OPEN")</x:f>
        <x:v>OPEN</x:v>
      </x:c>
    </x:row>
    <x:row r="2176">
      <x:c r="B2176" t="str">
        <x:v>PH-RV-067</x:v>
      </x:c>
      <x:c r="C2176" t="str">
        <x:v>PHYSICAL</x:v>
      </x:c>
      <x:c r="D2176" t="str">
        <x:v>reported value</x:v>
      </x:c>
      <x:c r="E2176" t="str">
        <x:v>PH-RV-067</x:v>
      </x:c>
      <x:c r="F2176" t="n">
        <x:f>IF('Trial Register'!S73&lt;&gt;"",1,0)</x:f>
        <x:v>0</x:v>
      </x:c>
      <x:c r="G2176" t="n">
        <x:v>1</x:v>
      </x:c>
      <x:c r="H2176" t="str">
        <x:v>independent physical acceptance</x:v>
      </x:c>
      <x:c r="I2176" t="str">
        <x:f>IF(F2176=1,"PASS","OPEN")</x:f>
        <x:v>OPEN</x:v>
      </x:c>
    </x:row>
    <x:row r="2177">
      <x:c r="B2177" t="str">
        <x:v>PH-CR-067</x:v>
      </x:c>
      <x:c r="C2177" t="str">
        <x:v>PHYSICAL</x:v>
      </x:c>
      <x:c r="D2177" t="str">
        <x:v>credit acceptance</x:v>
      </x:c>
      <x:c r="E2177" t="str">
        <x:v>PH-CR-067</x:v>
      </x:c>
      <x:c r="F2177" t="str">
        <x:f>'Trial Register'!V73</x:f>
      </x:c>
      <x:c r="G2177" t="n">
        <x:v>1</x:v>
      </x:c>
      <x:c r="H2177" t="str">
        <x:v>independent physical acceptance</x:v>
      </x:c>
      <x:c r="I2177" t="str">
        <x:f>IF(F2177=1,"PASS","OPEN")</x:f>
        <x:v>OPEN</x:v>
      </x:c>
    </x:row>
    <x:row r="2178">
      <x:c r="B2178" t="str">
        <x:v>PH-EX-068</x:v>
      </x:c>
      <x:c r="C2178" t="str">
        <x:v>PHYSICAL</x:v>
      </x:c>
      <x:c r="D2178" t="str">
        <x:v>trial execution</x:v>
      </x:c>
      <x:c r="E2178" t="str">
        <x:v>PH-EX-068</x:v>
      </x:c>
      <x:c r="F2178" t="n">
        <x:f>IF('Trial Register'!P74&lt;&gt;"",1,0)</x:f>
        <x:v>0</x:v>
      </x:c>
      <x:c r="G2178" t="n">
        <x:v>1</x:v>
      </x:c>
      <x:c r="H2178" t="str">
        <x:v>independent physical acceptance</x:v>
      </x:c>
      <x:c r="I2178" t="str">
        <x:f>IF(F2178=1,"PASS","OPEN")</x:f>
        <x:v>OPEN</x:v>
      </x:c>
    </x:row>
    <x:row r="2179">
      <x:c r="B2179" t="str">
        <x:v>PH-PK-068</x:v>
      </x:c>
      <x:c r="C2179" t="str">
        <x:v>PHYSICAL</x:v>
      </x:c>
      <x:c r="D2179" t="str">
        <x:v>trial packet</x:v>
      </x:c>
      <x:c r="E2179" t="str">
        <x:v>PH-PK-068</x:v>
      </x:c>
      <x:c r="F2179" t="n">
        <x:f>IF('Trial Register'!Q74&lt;&gt;"",1,0)</x:f>
        <x:v>0</x:v>
      </x:c>
      <x:c r="G2179" t="n">
        <x:v>1</x:v>
      </x:c>
      <x:c r="H2179" t="str">
        <x:v>independent physical acceptance</x:v>
      </x:c>
      <x:c r="I2179" t="str">
        <x:f>IF(F2179=1,"PASS","OPEN")</x:f>
        <x:v>OPEN</x:v>
      </x:c>
    </x:row>
    <x:row r="2180">
      <x:c r="B2180" t="str">
        <x:v>PH-VA-068</x:v>
      </x:c>
      <x:c r="C2180" t="str">
        <x:v>PHYSICAL</x:v>
      </x:c>
      <x:c r="D2180" t="str">
        <x:v>trial validity</x:v>
      </x:c>
      <x:c r="E2180" t="str">
        <x:v>PH-VA-068</x:v>
      </x:c>
      <x:c r="F2180" t="n">
        <x:f>IF('Trial Register'!R74&lt;&gt;"",1,0)</x:f>
        <x:v>0</x:v>
      </x:c>
      <x:c r="G2180" t="n">
        <x:v>1</x:v>
      </x:c>
      <x:c r="H2180" t="str">
        <x:v>independent physical acceptance</x:v>
      </x:c>
      <x:c r="I2180" t="str">
        <x:f>IF(F2180=1,"PASS","OPEN")</x:f>
        <x:v>OPEN</x:v>
      </x:c>
    </x:row>
    <x:row r="2181">
      <x:c r="B2181" t="str">
        <x:v>PH-RV-068</x:v>
      </x:c>
      <x:c r="C2181" t="str">
        <x:v>PHYSICAL</x:v>
      </x:c>
      <x:c r="D2181" t="str">
        <x:v>reported value</x:v>
      </x:c>
      <x:c r="E2181" t="str">
        <x:v>PH-RV-068</x:v>
      </x:c>
      <x:c r="F2181" t="n">
        <x:f>IF('Trial Register'!S74&lt;&gt;"",1,0)</x:f>
        <x:v>0</x:v>
      </x:c>
      <x:c r="G2181" t="n">
        <x:v>1</x:v>
      </x:c>
      <x:c r="H2181" t="str">
        <x:v>independent physical acceptance</x:v>
      </x:c>
      <x:c r="I2181" t="str">
        <x:f>IF(F2181=1,"PASS","OPEN")</x:f>
        <x:v>OPEN</x:v>
      </x:c>
    </x:row>
    <x:row r="2182">
      <x:c r="B2182" t="str">
        <x:v>PH-CR-068</x:v>
      </x:c>
      <x:c r="C2182" t="str">
        <x:v>PHYSICAL</x:v>
      </x:c>
      <x:c r="D2182" t="str">
        <x:v>credit acceptance</x:v>
      </x:c>
      <x:c r="E2182" t="str">
        <x:v>PH-CR-068</x:v>
      </x:c>
      <x:c r="F2182" t="str">
        <x:f>'Trial Register'!V74</x:f>
      </x:c>
      <x:c r="G2182" t="n">
        <x:v>1</x:v>
      </x:c>
      <x:c r="H2182" t="str">
        <x:v>independent physical acceptance</x:v>
      </x:c>
      <x:c r="I2182" t="str">
        <x:f>IF(F2182=1,"PASS","OPEN")</x:f>
        <x:v>OPEN</x:v>
      </x:c>
    </x:row>
    <x:row r="2183">
      <x:c r="B2183" t="str">
        <x:v>PH-EX-069</x:v>
      </x:c>
      <x:c r="C2183" t="str">
        <x:v>PHYSICAL</x:v>
      </x:c>
      <x:c r="D2183" t="str">
        <x:v>trial execution</x:v>
      </x:c>
      <x:c r="E2183" t="str">
        <x:v>PH-EX-069</x:v>
      </x:c>
      <x:c r="F2183" t="n">
        <x:f>IF('Trial Register'!P75&lt;&gt;"",1,0)</x:f>
        <x:v>0</x:v>
      </x:c>
      <x:c r="G2183" t="n">
        <x:v>1</x:v>
      </x:c>
      <x:c r="H2183" t="str">
        <x:v>independent physical acceptance</x:v>
      </x:c>
      <x:c r="I2183" t="str">
        <x:f>IF(F2183=1,"PASS","OPEN")</x:f>
        <x:v>OPEN</x:v>
      </x:c>
    </x:row>
    <x:row r="2184">
      <x:c r="B2184" t="str">
        <x:v>PH-PK-069</x:v>
      </x:c>
      <x:c r="C2184" t="str">
        <x:v>PHYSICAL</x:v>
      </x:c>
      <x:c r="D2184" t="str">
        <x:v>trial packet</x:v>
      </x:c>
      <x:c r="E2184" t="str">
        <x:v>PH-PK-069</x:v>
      </x:c>
      <x:c r="F2184" t="n">
        <x:f>IF('Trial Register'!Q75&lt;&gt;"",1,0)</x:f>
        <x:v>0</x:v>
      </x:c>
      <x:c r="G2184" t="n">
        <x:v>1</x:v>
      </x:c>
      <x:c r="H2184" t="str">
        <x:v>independent physical acceptance</x:v>
      </x:c>
      <x:c r="I2184" t="str">
        <x:f>IF(F2184=1,"PASS","OPEN")</x:f>
        <x:v>OPEN</x:v>
      </x:c>
    </x:row>
    <x:row r="2185">
      <x:c r="B2185" t="str">
        <x:v>PH-VA-069</x:v>
      </x:c>
      <x:c r="C2185" t="str">
        <x:v>PHYSICAL</x:v>
      </x:c>
      <x:c r="D2185" t="str">
        <x:v>trial validity</x:v>
      </x:c>
      <x:c r="E2185" t="str">
        <x:v>PH-VA-069</x:v>
      </x:c>
      <x:c r="F2185" t="n">
        <x:f>IF('Trial Register'!R75&lt;&gt;"",1,0)</x:f>
        <x:v>0</x:v>
      </x:c>
      <x:c r="G2185" t="n">
        <x:v>1</x:v>
      </x:c>
      <x:c r="H2185" t="str">
        <x:v>independent physical acceptance</x:v>
      </x:c>
      <x:c r="I2185" t="str">
        <x:f>IF(F2185=1,"PASS","OPEN")</x:f>
        <x:v>OPEN</x:v>
      </x:c>
    </x:row>
    <x:row r="2186">
      <x:c r="B2186" t="str">
        <x:v>PH-RV-069</x:v>
      </x:c>
      <x:c r="C2186" t="str">
        <x:v>PHYSICAL</x:v>
      </x:c>
      <x:c r="D2186" t="str">
        <x:v>reported value</x:v>
      </x:c>
      <x:c r="E2186" t="str">
        <x:v>PH-RV-069</x:v>
      </x:c>
      <x:c r="F2186" t="n">
        <x:f>IF('Trial Register'!S75&lt;&gt;"",1,0)</x:f>
        <x:v>0</x:v>
      </x:c>
      <x:c r="G2186" t="n">
        <x:v>1</x:v>
      </x:c>
      <x:c r="H2186" t="str">
        <x:v>independent physical acceptance</x:v>
      </x:c>
      <x:c r="I2186" t="str">
        <x:f>IF(F2186=1,"PASS","OPEN")</x:f>
        <x:v>OPEN</x:v>
      </x:c>
    </x:row>
    <x:row r="2187">
      <x:c r="B2187" t="str">
        <x:v>PH-CR-069</x:v>
      </x:c>
      <x:c r="C2187" t="str">
        <x:v>PHYSICAL</x:v>
      </x:c>
      <x:c r="D2187" t="str">
        <x:v>credit acceptance</x:v>
      </x:c>
      <x:c r="E2187" t="str">
        <x:v>PH-CR-069</x:v>
      </x:c>
      <x:c r="F2187" t="str">
        <x:f>'Trial Register'!V75</x:f>
      </x:c>
      <x:c r="G2187" t="n">
        <x:v>1</x:v>
      </x:c>
      <x:c r="H2187" t="str">
        <x:v>independent physical acceptance</x:v>
      </x:c>
      <x:c r="I2187" t="str">
        <x:f>IF(F2187=1,"PASS","OPEN")</x:f>
        <x:v>OPEN</x:v>
      </x:c>
    </x:row>
    <x:row r="2188">
      <x:c r="B2188" t="str">
        <x:v>PH-EX-070</x:v>
      </x:c>
      <x:c r="C2188" t="str">
        <x:v>PHYSICAL</x:v>
      </x:c>
      <x:c r="D2188" t="str">
        <x:v>trial execution</x:v>
      </x:c>
      <x:c r="E2188" t="str">
        <x:v>PH-EX-070</x:v>
      </x:c>
      <x:c r="F2188" t="n">
        <x:f>IF('Trial Register'!P76&lt;&gt;"",1,0)</x:f>
        <x:v>0</x:v>
      </x:c>
      <x:c r="G2188" t="n">
        <x:v>1</x:v>
      </x:c>
      <x:c r="H2188" t="str">
        <x:v>independent physical acceptance</x:v>
      </x:c>
      <x:c r="I2188" t="str">
        <x:f>IF(F2188=1,"PASS","OPEN")</x:f>
        <x:v>OPEN</x:v>
      </x:c>
    </x:row>
    <x:row r="2189">
      <x:c r="B2189" t="str">
        <x:v>PH-PK-070</x:v>
      </x:c>
      <x:c r="C2189" t="str">
        <x:v>PHYSICAL</x:v>
      </x:c>
      <x:c r="D2189" t="str">
        <x:v>trial packet</x:v>
      </x:c>
      <x:c r="E2189" t="str">
        <x:v>PH-PK-070</x:v>
      </x:c>
      <x:c r="F2189" t="n">
        <x:f>IF('Trial Register'!Q76&lt;&gt;"",1,0)</x:f>
        <x:v>0</x:v>
      </x:c>
      <x:c r="G2189" t="n">
        <x:v>1</x:v>
      </x:c>
      <x:c r="H2189" t="str">
        <x:v>independent physical acceptance</x:v>
      </x:c>
      <x:c r="I2189" t="str">
        <x:f>IF(F2189=1,"PASS","OPEN")</x:f>
        <x:v>OPEN</x:v>
      </x:c>
    </x:row>
    <x:row r="2190">
      <x:c r="B2190" t="str">
        <x:v>PH-VA-070</x:v>
      </x:c>
      <x:c r="C2190" t="str">
        <x:v>PHYSICAL</x:v>
      </x:c>
      <x:c r="D2190" t="str">
        <x:v>trial validity</x:v>
      </x:c>
      <x:c r="E2190" t="str">
        <x:v>PH-VA-070</x:v>
      </x:c>
      <x:c r="F2190" t="n">
        <x:f>IF('Trial Register'!R76&lt;&gt;"",1,0)</x:f>
        <x:v>0</x:v>
      </x:c>
      <x:c r="G2190" t="n">
        <x:v>1</x:v>
      </x:c>
      <x:c r="H2190" t="str">
        <x:v>independent physical acceptance</x:v>
      </x:c>
      <x:c r="I2190" t="str">
        <x:f>IF(F2190=1,"PASS","OPEN")</x:f>
        <x:v>OPEN</x:v>
      </x:c>
    </x:row>
    <x:row r="2191">
      <x:c r="B2191" t="str">
        <x:v>PH-RV-070</x:v>
      </x:c>
      <x:c r="C2191" t="str">
        <x:v>PHYSICAL</x:v>
      </x:c>
      <x:c r="D2191" t="str">
        <x:v>reported value</x:v>
      </x:c>
      <x:c r="E2191" t="str">
        <x:v>PH-RV-070</x:v>
      </x:c>
      <x:c r="F2191" t="n">
        <x:f>IF('Trial Register'!S76&lt;&gt;"",1,0)</x:f>
        <x:v>0</x:v>
      </x:c>
      <x:c r="G2191" t="n">
        <x:v>1</x:v>
      </x:c>
      <x:c r="H2191" t="str">
        <x:v>independent physical acceptance</x:v>
      </x:c>
      <x:c r="I2191" t="str">
        <x:f>IF(F2191=1,"PASS","OPEN")</x:f>
        <x:v>OPEN</x:v>
      </x:c>
    </x:row>
    <x:row r="2192">
      <x:c r="B2192" t="str">
        <x:v>PH-CR-070</x:v>
      </x:c>
      <x:c r="C2192" t="str">
        <x:v>PHYSICAL</x:v>
      </x:c>
      <x:c r="D2192" t="str">
        <x:v>credit acceptance</x:v>
      </x:c>
      <x:c r="E2192" t="str">
        <x:v>PH-CR-070</x:v>
      </x:c>
      <x:c r="F2192" t="str">
        <x:f>'Trial Register'!V76</x:f>
      </x:c>
      <x:c r="G2192" t="n">
        <x:v>1</x:v>
      </x:c>
      <x:c r="H2192" t="str">
        <x:v>independent physical acceptance</x:v>
      </x:c>
      <x:c r="I2192" t="str">
        <x:f>IF(F2192=1,"PASS","OPEN")</x:f>
        <x:v>OPEN</x:v>
      </x:c>
    </x:row>
    <x:row r="2193">
      <x:c r="B2193" t="str">
        <x:v>PH-EX-071</x:v>
      </x:c>
      <x:c r="C2193" t="str">
        <x:v>PHYSICAL</x:v>
      </x:c>
      <x:c r="D2193" t="str">
        <x:v>trial execution</x:v>
      </x:c>
      <x:c r="E2193" t="str">
        <x:v>PH-EX-071</x:v>
      </x:c>
      <x:c r="F2193" t="n">
        <x:f>IF('Trial Register'!P77&lt;&gt;"",1,0)</x:f>
        <x:v>0</x:v>
      </x:c>
      <x:c r="G2193" t="n">
        <x:v>1</x:v>
      </x:c>
      <x:c r="H2193" t="str">
        <x:v>independent physical acceptance</x:v>
      </x:c>
      <x:c r="I2193" t="str">
        <x:f>IF(F2193=1,"PASS","OPEN")</x:f>
        <x:v>OPEN</x:v>
      </x:c>
    </x:row>
    <x:row r="2194">
      <x:c r="B2194" t="str">
        <x:v>PH-PK-071</x:v>
      </x:c>
      <x:c r="C2194" t="str">
        <x:v>PHYSICAL</x:v>
      </x:c>
      <x:c r="D2194" t="str">
        <x:v>trial packet</x:v>
      </x:c>
      <x:c r="E2194" t="str">
        <x:v>PH-PK-071</x:v>
      </x:c>
      <x:c r="F2194" t="n">
        <x:f>IF('Trial Register'!Q77&lt;&gt;"",1,0)</x:f>
        <x:v>0</x:v>
      </x:c>
      <x:c r="G2194" t="n">
        <x:v>1</x:v>
      </x:c>
      <x:c r="H2194" t="str">
        <x:v>independent physical acceptance</x:v>
      </x:c>
      <x:c r="I2194" t="str">
        <x:f>IF(F2194=1,"PASS","OPEN")</x:f>
        <x:v>OPEN</x:v>
      </x:c>
    </x:row>
    <x:row r="2195">
      <x:c r="B2195" t="str">
        <x:v>PH-VA-071</x:v>
      </x:c>
      <x:c r="C2195" t="str">
        <x:v>PHYSICAL</x:v>
      </x:c>
      <x:c r="D2195" t="str">
        <x:v>trial validity</x:v>
      </x:c>
      <x:c r="E2195" t="str">
        <x:v>PH-VA-071</x:v>
      </x:c>
      <x:c r="F2195" t="n">
        <x:f>IF('Trial Register'!R77&lt;&gt;"",1,0)</x:f>
        <x:v>0</x:v>
      </x:c>
      <x:c r="G2195" t="n">
        <x:v>1</x:v>
      </x:c>
      <x:c r="H2195" t="str">
        <x:v>independent physical acceptance</x:v>
      </x:c>
      <x:c r="I2195" t="str">
        <x:f>IF(F2195=1,"PASS","OPEN")</x:f>
        <x:v>OPEN</x:v>
      </x:c>
    </x:row>
    <x:row r="2196">
      <x:c r="B2196" t="str">
        <x:v>PH-RV-071</x:v>
      </x:c>
      <x:c r="C2196" t="str">
        <x:v>PHYSICAL</x:v>
      </x:c>
      <x:c r="D2196" t="str">
        <x:v>reported value</x:v>
      </x:c>
      <x:c r="E2196" t="str">
        <x:v>PH-RV-071</x:v>
      </x:c>
      <x:c r="F2196" t="n">
        <x:f>IF('Trial Register'!S77&lt;&gt;"",1,0)</x:f>
        <x:v>0</x:v>
      </x:c>
      <x:c r="G2196" t="n">
        <x:v>1</x:v>
      </x:c>
      <x:c r="H2196" t="str">
        <x:v>independent physical acceptance</x:v>
      </x:c>
      <x:c r="I2196" t="str">
        <x:f>IF(F2196=1,"PASS","OPEN")</x:f>
        <x:v>OPEN</x:v>
      </x:c>
    </x:row>
    <x:row r="2197">
      <x:c r="B2197" t="str">
        <x:v>PH-CR-071</x:v>
      </x:c>
      <x:c r="C2197" t="str">
        <x:v>PHYSICAL</x:v>
      </x:c>
      <x:c r="D2197" t="str">
        <x:v>credit acceptance</x:v>
      </x:c>
      <x:c r="E2197" t="str">
        <x:v>PH-CR-071</x:v>
      </x:c>
      <x:c r="F2197" t="str">
        <x:f>'Trial Register'!V77</x:f>
      </x:c>
      <x:c r="G2197" t="n">
        <x:v>1</x:v>
      </x:c>
      <x:c r="H2197" t="str">
        <x:v>independent physical acceptance</x:v>
      </x:c>
      <x:c r="I2197" t="str">
        <x:f>IF(F2197=1,"PASS","OPEN")</x:f>
        <x:v>OPEN</x:v>
      </x:c>
    </x:row>
    <x:row r="2198">
      <x:c r="B2198" t="str">
        <x:v>PH-EX-072</x:v>
      </x:c>
      <x:c r="C2198" t="str">
        <x:v>PHYSICAL</x:v>
      </x:c>
      <x:c r="D2198" t="str">
        <x:v>trial execution</x:v>
      </x:c>
      <x:c r="E2198" t="str">
        <x:v>PH-EX-072</x:v>
      </x:c>
      <x:c r="F2198" t="n">
        <x:f>IF('Trial Register'!P78&lt;&gt;"",1,0)</x:f>
        <x:v>0</x:v>
      </x:c>
      <x:c r="G2198" t="n">
        <x:v>1</x:v>
      </x:c>
      <x:c r="H2198" t="str">
        <x:v>independent physical acceptance</x:v>
      </x:c>
      <x:c r="I2198" t="str">
        <x:f>IF(F2198=1,"PASS","OPEN")</x:f>
        <x:v>OPEN</x:v>
      </x:c>
    </x:row>
    <x:row r="2199">
      <x:c r="B2199" t="str">
        <x:v>PH-PK-072</x:v>
      </x:c>
      <x:c r="C2199" t="str">
        <x:v>PHYSICAL</x:v>
      </x:c>
      <x:c r="D2199" t="str">
        <x:v>trial packet</x:v>
      </x:c>
      <x:c r="E2199" t="str">
        <x:v>PH-PK-072</x:v>
      </x:c>
      <x:c r="F2199" t="n">
        <x:f>IF('Trial Register'!Q78&lt;&gt;"",1,0)</x:f>
        <x:v>0</x:v>
      </x:c>
      <x:c r="G2199" t="n">
        <x:v>1</x:v>
      </x:c>
      <x:c r="H2199" t="str">
        <x:v>independent physical acceptance</x:v>
      </x:c>
      <x:c r="I2199" t="str">
        <x:f>IF(F2199=1,"PASS","OPEN")</x:f>
        <x:v>OPEN</x:v>
      </x:c>
    </x:row>
    <x:row r="2200">
      <x:c r="B2200" t="str">
        <x:v>PH-VA-072</x:v>
      </x:c>
      <x:c r="C2200" t="str">
        <x:v>PHYSICAL</x:v>
      </x:c>
      <x:c r="D2200" t="str">
        <x:v>trial validity</x:v>
      </x:c>
      <x:c r="E2200" t="str">
        <x:v>PH-VA-072</x:v>
      </x:c>
      <x:c r="F2200" t="n">
        <x:f>IF('Trial Register'!R78&lt;&gt;"",1,0)</x:f>
        <x:v>0</x:v>
      </x:c>
      <x:c r="G2200" t="n">
        <x:v>1</x:v>
      </x:c>
      <x:c r="H2200" t="str">
        <x:v>independent physical acceptance</x:v>
      </x:c>
      <x:c r="I2200" t="str">
        <x:f>IF(F2200=1,"PASS","OPEN")</x:f>
        <x:v>OPEN</x:v>
      </x:c>
    </x:row>
    <x:row r="2201">
      <x:c r="B2201" t="str">
        <x:v>PH-RV-072</x:v>
      </x:c>
      <x:c r="C2201" t="str">
        <x:v>PHYSICAL</x:v>
      </x:c>
      <x:c r="D2201" t="str">
        <x:v>reported value</x:v>
      </x:c>
      <x:c r="E2201" t="str">
        <x:v>PH-RV-072</x:v>
      </x:c>
      <x:c r="F2201" t="n">
        <x:f>IF('Trial Register'!S78&lt;&gt;"",1,0)</x:f>
        <x:v>0</x:v>
      </x:c>
      <x:c r="G2201" t="n">
        <x:v>1</x:v>
      </x:c>
      <x:c r="H2201" t="str">
        <x:v>independent physical acceptance</x:v>
      </x:c>
      <x:c r="I2201" t="str">
        <x:f>IF(F2201=1,"PASS","OPEN")</x:f>
        <x:v>OPEN</x:v>
      </x:c>
    </x:row>
    <x:row r="2202">
      <x:c r="B2202" t="str">
        <x:v>PH-CR-072</x:v>
      </x:c>
      <x:c r="C2202" t="str">
        <x:v>PHYSICAL</x:v>
      </x:c>
      <x:c r="D2202" t="str">
        <x:v>credit acceptance</x:v>
      </x:c>
      <x:c r="E2202" t="str">
        <x:v>PH-CR-072</x:v>
      </x:c>
      <x:c r="F2202" t="str">
        <x:f>'Trial Register'!V78</x:f>
      </x:c>
      <x:c r="G2202" t="n">
        <x:v>1</x:v>
      </x:c>
      <x:c r="H2202" t="str">
        <x:v>independent physical acceptance</x:v>
      </x:c>
      <x:c r="I2202" t="str">
        <x:f>IF(F2202=1,"PASS","OPEN")</x:f>
        <x:v>OPEN</x:v>
      </x:c>
    </x:row>
    <x:row r="2203">
      <x:c r="B2203" t="str">
        <x:v>PH-EX-073</x:v>
      </x:c>
      <x:c r="C2203" t="str">
        <x:v>PHYSICAL</x:v>
      </x:c>
      <x:c r="D2203" t="str">
        <x:v>trial execution</x:v>
      </x:c>
      <x:c r="E2203" t="str">
        <x:v>PH-EX-073</x:v>
      </x:c>
      <x:c r="F2203" t="n">
        <x:f>IF('Trial Register'!P79&lt;&gt;"",1,0)</x:f>
        <x:v>0</x:v>
      </x:c>
      <x:c r="G2203" t="n">
        <x:v>1</x:v>
      </x:c>
      <x:c r="H2203" t="str">
        <x:v>independent physical acceptance</x:v>
      </x:c>
      <x:c r="I2203" t="str">
        <x:f>IF(F2203=1,"PASS","OPEN")</x:f>
        <x:v>OPEN</x:v>
      </x:c>
    </x:row>
    <x:row r="2204">
      <x:c r="B2204" t="str">
        <x:v>PH-PK-073</x:v>
      </x:c>
      <x:c r="C2204" t="str">
        <x:v>PHYSICAL</x:v>
      </x:c>
      <x:c r="D2204" t="str">
        <x:v>trial packet</x:v>
      </x:c>
      <x:c r="E2204" t="str">
        <x:v>PH-PK-073</x:v>
      </x:c>
      <x:c r="F2204" t="n">
        <x:f>IF('Trial Register'!Q79&lt;&gt;"",1,0)</x:f>
        <x:v>0</x:v>
      </x:c>
      <x:c r="G2204" t="n">
        <x:v>1</x:v>
      </x:c>
      <x:c r="H2204" t="str">
        <x:v>independent physical acceptance</x:v>
      </x:c>
      <x:c r="I2204" t="str">
        <x:f>IF(F2204=1,"PASS","OPEN")</x:f>
        <x:v>OPEN</x:v>
      </x:c>
    </x:row>
    <x:row r="2205">
      <x:c r="B2205" t="str">
        <x:v>PH-VA-073</x:v>
      </x:c>
      <x:c r="C2205" t="str">
        <x:v>PHYSICAL</x:v>
      </x:c>
      <x:c r="D2205" t="str">
        <x:v>trial validity</x:v>
      </x:c>
      <x:c r="E2205" t="str">
        <x:v>PH-VA-073</x:v>
      </x:c>
      <x:c r="F2205" t="n">
        <x:f>IF('Trial Register'!R79&lt;&gt;"",1,0)</x:f>
        <x:v>0</x:v>
      </x:c>
      <x:c r="G2205" t="n">
        <x:v>1</x:v>
      </x:c>
      <x:c r="H2205" t="str">
        <x:v>independent physical acceptance</x:v>
      </x:c>
      <x:c r="I2205" t="str">
        <x:f>IF(F2205=1,"PASS","OPEN")</x:f>
        <x:v>OPEN</x:v>
      </x:c>
    </x:row>
    <x:row r="2206">
      <x:c r="B2206" t="str">
        <x:v>PH-RV-073</x:v>
      </x:c>
      <x:c r="C2206" t="str">
        <x:v>PHYSICAL</x:v>
      </x:c>
      <x:c r="D2206" t="str">
        <x:v>reported value</x:v>
      </x:c>
      <x:c r="E2206" t="str">
        <x:v>PH-RV-073</x:v>
      </x:c>
      <x:c r="F2206" t="n">
        <x:f>IF('Trial Register'!S79&lt;&gt;"",1,0)</x:f>
        <x:v>0</x:v>
      </x:c>
      <x:c r="G2206" t="n">
        <x:v>1</x:v>
      </x:c>
      <x:c r="H2206" t="str">
        <x:v>independent physical acceptance</x:v>
      </x:c>
      <x:c r="I2206" t="str">
        <x:f>IF(F2206=1,"PASS","OPEN")</x:f>
        <x:v>OPEN</x:v>
      </x:c>
    </x:row>
    <x:row r="2207">
      <x:c r="B2207" t="str">
        <x:v>PH-CR-073</x:v>
      </x:c>
      <x:c r="C2207" t="str">
        <x:v>PHYSICAL</x:v>
      </x:c>
      <x:c r="D2207" t="str">
        <x:v>credit acceptance</x:v>
      </x:c>
      <x:c r="E2207" t="str">
        <x:v>PH-CR-073</x:v>
      </x:c>
      <x:c r="F2207" t="str">
        <x:f>'Trial Register'!V79</x:f>
      </x:c>
      <x:c r="G2207" t="n">
        <x:v>1</x:v>
      </x:c>
      <x:c r="H2207" t="str">
        <x:v>independent physical acceptance</x:v>
      </x:c>
      <x:c r="I2207" t="str">
        <x:f>IF(F2207=1,"PASS","OPEN")</x:f>
        <x:v>OPEN</x:v>
      </x:c>
    </x:row>
    <x:row r="2208">
      <x:c r="B2208" t="str">
        <x:v>PH-EX-074</x:v>
      </x:c>
      <x:c r="C2208" t="str">
        <x:v>PHYSICAL</x:v>
      </x:c>
      <x:c r="D2208" t="str">
        <x:v>trial execution</x:v>
      </x:c>
      <x:c r="E2208" t="str">
        <x:v>PH-EX-074</x:v>
      </x:c>
      <x:c r="F2208" t="n">
        <x:f>IF('Trial Register'!P80&lt;&gt;"",1,0)</x:f>
        <x:v>0</x:v>
      </x:c>
      <x:c r="G2208" t="n">
        <x:v>1</x:v>
      </x:c>
      <x:c r="H2208" t="str">
        <x:v>independent physical acceptance</x:v>
      </x:c>
      <x:c r="I2208" t="str">
        <x:f>IF(F2208=1,"PASS","OPEN")</x:f>
        <x:v>OPEN</x:v>
      </x:c>
    </x:row>
    <x:row r="2209">
      <x:c r="B2209" t="str">
        <x:v>PH-PK-074</x:v>
      </x:c>
      <x:c r="C2209" t="str">
        <x:v>PHYSICAL</x:v>
      </x:c>
      <x:c r="D2209" t="str">
        <x:v>trial packet</x:v>
      </x:c>
      <x:c r="E2209" t="str">
        <x:v>PH-PK-074</x:v>
      </x:c>
      <x:c r="F2209" t="n">
        <x:f>IF('Trial Register'!Q80&lt;&gt;"",1,0)</x:f>
        <x:v>0</x:v>
      </x:c>
      <x:c r="G2209" t="n">
        <x:v>1</x:v>
      </x:c>
      <x:c r="H2209" t="str">
        <x:v>independent physical acceptance</x:v>
      </x:c>
      <x:c r="I2209" t="str">
        <x:f>IF(F2209=1,"PASS","OPEN")</x:f>
        <x:v>OPEN</x:v>
      </x:c>
    </x:row>
    <x:row r="2210">
      <x:c r="B2210" t="str">
        <x:v>PH-VA-074</x:v>
      </x:c>
      <x:c r="C2210" t="str">
        <x:v>PHYSICAL</x:v>
      </x:c>
      <x:c r="D2210" t="str">
        <x:v>trial validity</x:v>
      </x:c>
      <x:c r="E2210" t="str">
        <x:v>PH-VA-074</x:v>
      </x:c>
      <x:c r="F2210" t="n">
        <x:f>IF('Trial Register'!R80&lt;&gt;"",1,0)</x:f>
        <x:v>0</x:v>
      </x:c>
      <x:c r="G2210" t="n">
        <x:v>1</x:v>
      </x:c>
      <x:c r="H2210" t="str">
        <x:v>independent physical acceptance</x:v>
      </x:c>
      <x:c r="I2210" t="str">
        <x:f>IF(F2210=1,"PASS","OPEN")</x:f>
        <x:v>OPEN</x:v>
      </x:c>
    </x:row>
    <x:row r="2211">
      <x:c r="B2211" t="str">
        <x:v>PH-RV-074</x:v>
      </x:c>
      <x:c r="C2211" t="str">
        <x:v>PHYSICAL</x:v>
      </x:c>
      <x:c r="D2211" t="str">
        <x:v>reported value</x:v>
      </x:c>
      <x:c r="E2211" t="str">
        <x:v>PH-RV-074</x:v>
      </x:c>
      <x:c r="F2211" t="n">
        <x:f>IF('Trial Register'!S80&lt;&gt;"",1,0)</x:f>
        <x:v>0</x:v>
      </x:c>
      <x:c r="G2211" t="n">
        <x:v>1</x:v>
      </x:c>
      <x:c r="H2211" t="str">
        <x:v>independent physical acceptance</x:v>
      </x:c>
      <x:c r="I2211" t="str">
        <x:f>IF(F2211=1,"PASS","OPEN")</x:f>
        <x:v>OPEN</x:v>
      </x:c>
    </x:row>
    <x:row r="2212">
      <x:c r="B2212" t="str">
        <x:v>PH-CR-074</x:v>
      </x:c>
      <x:c r="C2212" t="str">
        <x:v>PHYSICAL</x:v>
      </x:c>
      <x:c r="D2212" t="str">
        <x:v>credit acceptance</x:v>
      </x:c>
      <x:c r="E2212" t="str">
        <x:v>PH-CR-074</x:v>
      </x:c>
      <x:c r="F2212" t="str">
        <x:f>'Trial Register'!V80</x:f>
      </x:c>
      <x:c r="G2212" t="n">
        <x:v>1</x:v>
      </x:c>
      <x:c r="H2212" t="str">
        <x:v>independent physical acceptance</x:v>
      </x:c>
      <x:c r="I2212" t="str">
        <x:f>IF(F2212=1,"PASS","OPEN")</x:f>
        <x:v>OPEN</x:v>
      </x:c>
    </x:row>
    <x:row r="2213">
      <x:c r="B2213" t="str">
        <x:v>PH-EX-075</x:v>
      </x:c>
      <x:c r="C2213" t="str">
        <x:v>PHYSICAL</x:v>
      </x:c>
      <x:c r="D2213" t="str">
        <x:v>trial execution</x:v>
      </x:c>
      <x:c r="E2213" t="str">
        <x:v>PH-EX-075</x:v>
      </x:c>
      <x:c r="F2213" t="n">
        <x:f>IF('Trial Register'!P81&lt;&gt;"",1,0)</x:f>
        <x:v>0</x:v>
      </x:c>
      <x:c r="G2213" t="n">
        <x:v>1</x:v>
      </x:c>
      <x:c r="H2213" t="str">
        <x:v>independent physical acceptance</x:v>
      </x:c>
      <x:c r="I2213" t="str">
        <x:f>IF(F2213=1,"PASS","OPEN")</x:f>
        <x:v>OPEN</x:v>
      </x:c>
    </x:row>
    <x:row r="2214">
      <x:c r="B2214" t="str">
        <x:v>PH-PK-075</x:v>
      </x:c>
      <x:c r="C2214" t="str">
        <x:v>PHYSICAL</x:v>
      </x:c>
      <x:c r="D2214" t="str">
        <x:v>trial packet</x:v>
      </x:c>
      <x:c r="E2214" t="str">
        <x:v>PH-PK-075</x:v>
      </x:c>
      <x:c r="F2214" t="n">
        <x:f>IF('Trial Register'!Q81&lt;&gt;"",1,0)</x:f>
        <x:v>0</x:v>
      </x:c>
      <x:c r="G2214" t="n">
        <x:v>1</x:v>
      </x:c>
      <x:c r="H2214" t="str">
        <x:v>independent physical acceptance</x:v>
      </x:c>
      <x:c r="I2214" t="str">
        <x:f>IF(F2214=1,"PASS","OPEN")</x:f>
        <x:v>OPEN</x:v>
      </x:c>
    </x:row>
    <x:row r="2215">
      <x:c r="B2215" t="str">
        <x:v>PH-VA-075</x:v>
      </x:c>
      <x:c r="C2215" t="str">
        <x:v>PHYSICAL</x:v>
      </x:c>
      <x:c r="D2215" t="str">
        <x:v>trial validity</x:v>
      </x:c>
      <x:c r="E2215" t="str">
        <x:v>PH-VA-075</x:v>
      </x:c>
      <x:c r="F2215" t="n">
        <x:f>IF('Trial Register'!R81&lt;&gt;"",1,0)</x:f>
        <x:v>0</x:v>
      </x:c>
      <x:c r="G2215" t="n">
        <x:v>1</x:v>
      </x:c>
      <x:c r="H2215" t="str">
        <x:v>independent physical acceptance</x:v>
      </x:c>
      <x:c r="I2215" t="str">
        <x:f>IF(F2215=1,"PASS","OPEN")</x:f>
        <x:v>OPEN</x:v>
      </x:c>
    </x:row>
    <x:row r="2216">
      <x:c r="B2216" t="str">
        <x:v>PH-RV-075</x:v>
      </x:c>
      <x:c r="C2216" t="str">
        <x:v>PHYSICAL</x:v>
      </x:c>
      <x:c r="D2216" t="str">
        <x:v>reported value</x:v>
      </x:c>
      <x:c r="E2216" t="str">
        <x:v>PH-RV-075</x:v>
      </x:c>
      <x:c r="F2216" t="n">
        <x:f>IF('Trial Register'!S81&lt;&gt;"",1,0)</x:f>
        <x:v>0</x:v>
      </x:c>
      <x:c r="G2216" t="n">
        <x:v>1</x:v>
      </x:c>
      <x:c r="H2216" t="str">
        <x:v>independent physical acceptance</x:v>
      </x:c>
      <x:c r="I2216" t="str">
        <x:f>IF(F2216=1,"PASS","OPEN")</x:f>
        <x:v>OPEN</x:v>
      </x:c>
    </x:row>
    <x:row r="2217">
      <x:c r="B2217" t="str">
        <x:v>PH-CR-075</x:v>
      </x:c>
      <x:c r="C2217" t="str">
        <x:v>PHYSICAL</x:v>
      </x:c>
      <x:c r="D2217" t="str">
        <x:v>credit acceptance</x:v>
      </x:c>
      <x:c r="E2217" t="str">
        <x:v>PH-CR-075</x:v>
      </x:c>
      <x:c r="F2217" t="str">
        <x:f>'Trial Register'!V81</x:f>
      </x:c>
      <x:c r="G2217" t="n">
        <x:v>1</x:v>
      </x:c>
      <x:c r="H2217" t="str">
        <x:v>independent physical acceptance</x:v>
      </x:c>
      <x:c r="I2217" t="str">
        <x:f>IF(F2217=1,"PASS","OPEN")</x:f>
        <x:v>OPEN</x:v>
      </x:c>
    </x:row>
    <x:row r="2218">
      <x:c r="B2218" t="str">
        <x:v>PH-EX-076</x:v>
      </x:c>
      <x:c r="C2218" t="str">
        <x:v>PHYSICAL</x:v>
      </x:c>
      <x:c r="D2218" t="str">
        <x:v>trial execution</x:v>
      </x:c>
      <x:c r="E2218" t="str">
        <x:v>PH-EX-076</x:v>
      </x:c>
      <x:c r="F2218" t="n">
        <x:f>IF('Trial Register'!P82&lt;&gt;"",1,0)</x:f>
        <x:v>0</x:v>
      </x:c>
      <x:c r="G2218" t="n">
        <x:v>1</x:v>
      </x:c>
      <x:c r="H2218" t="str">
        <x:v>independent physical acceptance</x:v>
      </x:c>
      <x:c r="I2218" t="str">
        <x:f>IF(F2218=1,"PASS","OPEN")</x:f>
        <x:v>OPEN</x:v>
      </x:c>
    </x:row>
    <x:row r="2219">
      <x:c r="B2219" t="str">
        <x:v>PH-PK-076</x:v>
      </x:c>
      <x:c r="C2219" t="str">
        <x:v>PHYSICAL</x:v>
      </x:c>
      <x:c r="D2219" t="str">
        <x:v>trial packet</x:v>
      </x:c>
      <x:c r="E2219" t="str">
        <x:v>PH-PK-076</x:v>
      </x:c>
      <x:c r="F2219" t="n">
        <x:f>IF('Trial Register'!Q82&lt;&gt;"",1,0)</x:f>
        <x:v>0</x:v>
      </x:c>
      <x:c r="G2219" t="n">
        <x:v>1</x:v>
      </x:c>
      <x:c r="H2219" t="str">
        <x:v>independent physical acceptance</x:v>
      </x:c>
      <x:c r="I2219" t="str">
        <x:f>IF(F2219=1,"PASS","OPEN")</x:f>
        <x:v>OPEN</x:v>
      </x:c>
    </x:row>
    <x:row r="2220">
      <x:c r="B2220" t="str">
        <x:v>PH-VA-076</x:v>
      </x:c>
      <x:c r="C2220" t="str">
        <x:v>PHYSICAL</x:v>
      </x:c>
      <x:c r="D2220" t="str">
        <x:v>trial validity</x:v>
      </x:c>
      <x:c r="E2220" t="str">
        <x:v>PH-VA-076</x:v>
      </x:c>
      <x:c r="F2220" t="n">
        <x:f>IF('Trial Register'!R82&lt;&gt;"",1,0)</x:f>
        <x:v>0</x:v>
      </x:c>
      <x:c r="G2220" t="n">
        <x:v>1</x:v>
      </x:c>
      <x:c r="H2220" t="str">
        <x:v>independent physical acceptance</x:v>
      </x:c>
      <x:c r="I2220" t="str">
        <x:f>IF(F2220=1,"PASS","OPEN")</x:f>
        <x:v>OPEN</x:v>
      </x:c>
    </x:row>
    <x:row r="2221">
      <x:c r="B2221" t="str">
        <x:v>PH-RV-076</x:v>
      </x:c>
      <x:c r="C2221" t="str">
        <x:v>PHYSICAL</x:v>
      </x:c>
      <x:c r="D2221" t="str">
        <x:v>reported value</x:v>
      </x:c>
      <x:c r="E2221" t="str">
        <x:v>PH-RV-076</x:v>
      </x:c>
      <x:c r="F2221" t="n">
        <x:f>IF('Trial Register'!S82&lt;&gt;"",1,0)</x:f>
        <x:v>0</x:v>
      </x:c>
      <x:c r="G2221" t="n">
        <x:v>1</x:v>
      </x:c>
      <x:c r="H2221" t="str">
        <x:v>independent physical acceptance</x:v>
      </x:c>
      <x:c r="I2221" t="str">
        <x:f>IF(F2221=1,"PASS","OPEN")</x:f>
        <x:v>OPEN</x:v>
      </x:c>
    </x:row>
    <x:row r="2222">
      <x:c r="B2222" t="str">
        <x:v>PH-CR-076</x:v>
      </x:c>
      <x:c r="C2222" t="str">
        <x:v>PHYSICAL</x:v>
      </x:c>
      <x:c r="D2222" t="str">
        <x:v>credit acceptance</x:v>
      </x:c>
      <x:c r="E2222" t="str">
        <x:v>PH-CR-076</x:v>
      </x:c>
      <x:c r="F2222" t="str">
        <x:f>'Trial Register'!V82</x:f>
      </x:c>
      <x:c r="G2222" t="n">
        <x:v>1</x:v>
      </x:c>
      <x:c r="H2222" t="str">
        <x:v>independent physical acceptance</x:v>
      </x:c>
      <x:c r="I2222" t="str">
        <x:f>IF(F2222=1,"PASS","OPEN")</x:f>
        <x:v>OPEN</x:v>
      </x:c>
    </x:row>
    <x:row r="2223">
      <x:c r="B2223" t="str">
        <x:v>PH-EX-077</x:v>
      </x:c>
      <x:c r="C2223" t="str">
        <x:v>PHYSICAL</x:v>
      </x:c>
      <x:c r="D2223" t="str">
        <x:v>trial execution</x:v>
      </x:c>
      <x:c r="E2223" t="str">
        <x:v>PH-EX-077</x:v>
      </x:c>
      <x:c r="F2223" t="n">
        <x:f>IF('Trial Register'!P83&lt;&gt;"",1,0)</x:f>
        <x:v>0</x:v>
      </x:c>
      <x:c r="G2223" t="n">
        <x:v>1</x:v>
      </x:c>
      <x:c r="H2223" t="str">
        <x:v>independent physical acceptance</x:v>
      </x:c>
      <x:c r="I2223" t="str">
        <x:f>IF(F2223=1,"PASS","OPEN")</x:f>
        <x:v>OPEN</x:v>
      </x:c>
    </x:row>
    <x:row r="2224">
      <x:c r="B2224" t="str">
        <x:v>PH-PK-077</x:v>
      </x:c>
      <x:c r="C2224" t="str">
        <x:v>PHYSICAL</x:v>
      </x:c>
      <x:c r="D2224" t="str">
        <x:v>trial packet</x:v>
      </x:c>
      <x:c r="E2224" t="str">
        <x:v>PH-PK-077</x:v>
      </x:c>
      <x:c r="F2224" t="n">
        <x:f>IF('Trial Register'!Q83&lt;&gt;"",1,0)</x:f>
        <x:v>0</x:v>
      </x:c>
      <x:c r="G2224" t="n">
        <x:v>1</x:v>
      </x:c>
      <x:c r="H2224" t="str">
        <x:v>independent physical acceptance</x:v>
      </x:c>
      <x:c r="I2224" t="str">
        <x:f>IF(F2224=1,"PASS","OPEN")</x:f>
        <x:v>OPEN</x:v>
      </x:c>
    </x:row>
    <x:row r="2225">
      <x:c r="B2225" t="str">
        <x:v>PH-VA-077</x:v>
      </x:c>
      <x:c r="C2225" t="str">
        <x:v>PHYSICAL</x:v>
      </x:c>
      <x:c r="D2225" t="str">
        <x:v>trial validity</x:v>
      </x:c>
      <x:c r="E2225" t="str">
        <x:v>PH-VA-077</x:v>
      </x:c>
      <x:c r="F2225" t="n">
        <x:f>IF('Trial Register'!R83&lt;&gt;"",1,0)</x:f>
        <x:v>0</x:v>
      </x:c>
      <x:c r="G2225" t="n">
        <x:v>1</x:v>
      </x:c>
      <x:c r="H2225" t="str">
        <x:v>independent physical acceptance</x:v>
      </x:c>
      <x:c r="I2225" t="str">
        <x:f>IF(F2225=1,"PASS","OPEN")</x:f>
        <x:v>OPEN</x:v>
      </x:c>
    </x:row>
    <x:row r="2226">
      <x:c r="B2226" t="str">
        <x:v>PH-RV-077</x:v>
      </x:c>
      <x:c r="C2226" t="str">
        <x:v>PHYSICAL</x:v>
      </x:c>
      <x:c r="D2226" t="str">
        <x:v>reported value</x:v>
      </x:c>
      <x:c r="E2226" t="str">
        <x:v>PH-RV-077</x:v>
      </x:c>
      <x:c r="F2226" t="n">
        <x:f>IF('Trial Register'!S83&lt;&gt;"",1,0)</x:f>
        <x:v>0</x:v>
      </x:c>
      <x:c r="G2226" t="n">
        <x:v>1</x:v>
      </x:c>
      <x:c r="H2226" t="str">
        <x:v>independent physical acceptance</x:v>
      </x:c>
      <x:c r="I2226" t="str">
        <x:f>IF(F2226=1,"PASS","OPEN")</x:f>
        <x:v>OPEN</x:v>
      </x:c>
    </x:row>
    <x:row r="2227">
      <x:c r="B2227" t="str">
        <x:v>PH-CR-077</x:v>
      </x:c>
      <x:c r="C2227" t="str">
        <x:v>PHYSICAL</x:v>
      </x:c>
      <x:c r="D2227" t="str">
        <x:v>credit acceptance</x:v>
      </x:c>
      <x:c r="E2227" t="str">
        <x:v>PH-CR-077</x:v>
      </x:c>
      <x:c r="F2227" t="str">
        <x:f>'Trial Register'!V83</x:f>
      </x:c>
      <x:c r="G2227" t="n">
        <x:v>1</x:v>
      </x:c>
      <x:c r="H2227" t="str">
        <x:v>independent physical acceptance</x:v>
      </x:c>
      <x:c r="I2227" t="str">
        <x:f>IF(F2227=1,"PASS","OPEN")</x:f>
        <x:v>OPEN</x:v>
      </x:c>
    </x:row>
    <x:row r="2228">
      <x:c r="B2228" t="str">
        <x:v>PH-EX-078</x:v>
      </x:c>
      <x:c r="C2228" t="str">
        <x:v>PHYSICAL</x:v>
      </x:c>
      <x:c r="D2228" t="str">
        <x:v>trial execution</x:v>
      </x:c>
      <x:c r="E2228" t="str">
        <x:v>PH-EX-078</x:v>
      </x:c>
      <x:c r="F2228" t="n">
        <x:f>IF('Trial Register'!P84&lt;&gt;"",1,0)</x:f>
        <x:v>0</x:v>
      </x:c>
      <x:c r="G2228" t="n">
        <x:v>1</x:v>
      </x:c>
      <x:c r="H2228" t="str">
        <x:v>independent physical acceptance</x:v>
      </x:c>
      <x:c r="I2228" t="str">
        <x:f>IF(F2228=1,"PASS","OPEN")</x:f>
        <x:v>OPEN</x:v>
      </x:c>
    </x:row>
    <x:row r="2229">
      <x:c r="B2229" t="str">
        <x:v>PH-PK-078</x:v>
      </x:c>
      <x:c r="C2229" t="str">
        <x:v>PHYSICAL</x:v>
      </x:c>
      <x:c r="D2229" t="str">
        <x:v>trial packet</x:v>
      </x:c>
      <x:c r="E2229" t="str">
        <x:v>PH-PK-078</x:v>
      </x:c>
      <x:c r="F2229" t="n">
        <x:f>IF('Trial Register'!Q84&lt;&gt;"",1,0)</x:f>
        <x:v>0</x:v>
      </x:c>
      <x:c r="G2229" t="n">
        <x:v>1</x:v>
      </x:c>
      <x:c r="H2229" t="str">
        <x:v>independent physical acceptance</x:v>
      </x:c>
      <x:c r="I2229" t="str">
        <x:f>IF(F2229=1,"PASS","OPEN")</x:f>
        <x:v>OPEN</x:v>
      </x:c>
    </x:row>
    <x:row r="2230">
      <x:c r="B2230" t="str">
        <x:v>PH-VA-078</x:v>
      </x:c>
      <x:c r="C2230" t="str">
        <x:v>PHYSICAL</x:v>
      </x:c>
      <x:c r="D2230" t="str">
        <x:v>trial validity</x:v>
      </x:c>
      <x:c r="E2230" t="str">
        <x:v>PH-VA-078</x:v>
      </x:c>
      <x:c r="F2230" t="n">
        <x:f>IF('Trial Register'!R84&lt;&gt;"",1,0)</x:f>
        <x:v>0</x:v>
      </x:c>
      <x:c r="G2230" t="n">
        <x:v>1</x:v>
      </x:c>
      <x:c r="H2230" t="str">
        <x:v>independent physical acceptance</x:v>
      </x:c>
      <x:c r="I2230" t="str">
        <x:f>IF(F2230=1,"PASS","OPEN")</x:f>
        <x:v>OPEN</x:v>
      </x:c>
    </x:row>
    <x:row r="2231">
      <x:c r="B2231" t="str">
        <x:v>PH-RV-078</x:v>
      </x:c>
      <x:c r="C2231" t="str">
        <x:v>PHYSICAL</x:v>
      </x:c>
      <x:c r="D2231" t="str">
        <x:v>reported value</x:v>
      </x:c>
      <x:c r="E2231" t="str">
        <x:v>PH-RV-078</x:v>
      </x:c>
      <x:c r="F2231" t="n">
        <x:f>IF('Trial Register'!S84&lt;&gt;"",1,0)</x:f>
        <x:v>0</x:v>
      </x:c>
      <x:c r="G2231" t="n">
        <x:v>1</x:v>
      </x:c>
      <x:c r="H2231" t="str">
        <x:v>independent physical acceptance</x:v>
      </x:c>
      <x:c r="I2231" t="str">
        <x:f>IF(F2231=1,"PASS","OPEN")</x:f>
        <x:v>OPEN</x:v>
      </x:c>
    </x:row>
    <x:row r="2232">
      <x:c r="B2232" t="str">
        <x:v>PH-CR-078</x:v>
      </x:c>
      <x:c r="C2232" t="str">
        <x:v>PHYSICAL</x:v>
      </x:c>
      <x:c r="D2232" t="str">
        <x:v>credit acceptance</x:v>
      </x:c>
      <x:c r="E2232" t="str">
        <x:v>PH-CR-078</x:v>
      </x:c>
      <x:c r="F2232" t="str">
        <x:f>'Trial Register'!V84</x:f>
      </x:c>
      <x:c r="G2232" t="n">
        <x:v>1</x:v>
      </x:c>
      <x:c r="H2232" t="str">
        <x:v>independent physical acceptance</x:v>
      </x:c>
      <x:c r="I2232" t="str">
        <x:f>IF(F2232=1,"PASS","OPEN")</x:f>
        <x:v>OPEN</x:v>
      </x:c>
    </x:row>
    <x:row r="2233">
      <x:c r="B2233" t="str">
        <x:v>PH-EX-079</x:v>
      </x:c>
      <x:c r="C2233" t="str">
        <x:v>PHYSICAL</x:v>
      </x:c>
      <x:c r="D2233" t="str">
        <x:v>trial execution</x:v>
      </x:c>
      <x:c r="E2233" t="str">
        <x:v>PH-EX-079</x:v>
      </x:c>
      <x:c r="F2233" t="n">
        <x:f>IF('Trial Register'!P85&lt;&gt;"",1,0)</x:f>
        <x:v>0</x:v>
      </x:c>
      <x:c r="G2233" t="n">
        <x:v>1</x:v>
      </x:c>
      <x:c r="H2233" t="str">
        <x:v>independent physical acceptance</x:v>
      </x:c>
      <x:c r="I2233" t="str">
        <x:f>IF(F2233=1,"PASS","OPEN")</x:f>
        <x:v>OPEN</x:v>
      </x:c>
    </x:row>
    <x:row r="2234">
      <x:c r="B2234" t="str">
        <x:v>PH-PK-079</x:v>
      </x:c>
      <x:c r="C2234" t="str">
        <x:v>PHYSICAL</x:v>
      </x:c>
      <x:c r="D2234" t="str">
        <x:v>trial packet</x:v>
      </x:c>
      <x:c r="E2234" t="str">
        <x:v>PH-PK-079</x:v>
      </x:c>
      <x:c r="F2234" t="n">
        <x:f>IF('Trial Register'!Q85&lt;&gt;"",1,0)</x:f>
        <x:v>0</x:v>
      </x:c>
      <x:c r="G2234" t="n">
        <x:v>1</x:v>
      </x:c>
      <x:c r="H2234" t="str">
        <x:v>independent physical acceptance</x:v>
      </x:c>
      <x:c r="I2234" t="str">
        <x:f>IF(F2234=1,"PASS","OPEN")</x:f>
        <x:v>OPEN</x:v>
      </x:c>
    </x:row>
    <x:row r="2235">
      <x:c r="B2235" t="str">
        <x:v>PH-VA-079</x:v>
      </x:c>
      <x:c r="C2235" t="str">
        <x:v>PHYSICAL</x:v>
      </x:c>
      <x:c r="D2235" t="str">
        <x:v>trial validity</x:v>
      </x:c>
      <x:c r="E2235" t="str">
        <x:v>PH-VA-079</x:v>
      </x:c>
      <x:c r="F2235" t="n">
        <x:f>IF('Trial Register'!R85&lt;&gt;"",1,0)</x:f>
        <x:v>0</x:v>
      </x:c>
      <x:c r="G2235" t="n">
        <x:v>1</x:v>
      </x:c>
      <x:c r="H2235" t="str">
        <x:v>independent physical acceptance</x:v>
      </x:c>
      <x:c r="I2235" t="str">
        <x:f>IF(F2235=1,"PASS","OPEN")</x:f>
        <x:v>OPEN</x:v>
      </x:c>
    </x:row>
    <x:row r="2236">
      <x:c r="B2236" t="str">
        <x:v>PH-RV-079</x:v>
      </x:c>
      <x:c r="C2236" t="str">
        <x:v>PHYSICAL</x:v>
      </x:c>
      <x:c r="D2236" t="str">
        <x:v>reported value</x:v>
      </x:c>
      <x:c r="E2236" t="str">
        <x:v>PH-RV-079</x:v>
      </x:c>
      <x:c r="F2236" t="n">
        <x:f>IF('Trial Register'!S85&lt;&gt;"",1,0)</x:f>
        <x:v>0</x:v>
      </x:c>
      <x:c r="G2236" t="n">
        <x:v>1</x:v>
      </x:c>
      <x:c r="H2236" t="str">
        <x:v>independent physical acceptance</x:v>
      </x:c>
      <x:c r="I2236" t="str">
        <x:f>IF(F2236=1,"PASS","OPEN")</x:f>
        <x:v>OPEN</x:v>
      </x:c>
    </x:row>
    <x:row r="2237">
      <x:c r="B2237" t="str">
        <x:v>PH-CR-079</x:v>
      </x:c>
      <x:c r="C2237" t="str">
        <x:v>PHYSICAL</x:v>
      </x:c>
      <x:c r="D2237" t="str">
        <x:v>credit acceptance</x:v>
      </x:c>
      <x:c r="E2237" t="str">
        <x:v>PH-CR-079</x:v>
      </x:c>
      <x:c r="F2237" t="str">
        <x:f>'Trial Register'!V85</x:f>
      </x:c>
      <x:c r="G2237" t="n">
        <x:v>1</x:v>
      </x:c>
      <x:c r="H2237" t="str">
        <x:v>independent physical acceptance</x:v>
      </x:c>
      <x:c r="I2237" t="str">
        <x:f>IF(F2237=1,"PASS","OPEN")</x:f>
        <x:v>OPEN</x:v>
      </x:c>
    </x:row>
    <x:row r="2238">
      <x:c r="B2238" t="str">
        <x:v>PH-EX-080</x:v>
      </x:c>
      <x:c r="C2238" t="str">
        <x:v>PHYSICAL</x:v>
      </x:c>
      <x:c r="D2238" t="str">
        <x:v>trial execution</x:v>
      </x:c>
      <x:c r="E2238" t="str">
        <x:v>PH-EX-080</x:v>
      </x:c>
      <x:c r="F2238" t="n">
        <x:f>IF('Trial Register'!P86&lt;&gt;"",1,0)</x:f>
        <x:v>0</x:v>
      </x:c>
      <x:c r="G2238" t="n">
        <x:v>1</x:v>
      </x:c>
      <x:c r="H2238" t="str">
        <x:v>independent physical acceptance</x:v>
      </x:c>
      <x:c r="I2238" t="str">
        <x:f>IF(F2238=1,"PASS","OPEN")</x:f>
        <x:v>OPEN</x:v>
      </x:c>
    </x:row>
    <x:row r="2239">
      <x:c r="B2239" t="str">
        <x:v>PH-PK-080</x:v>
      </x:c>
      <x:c r="C2239" t="str">
        <x:v>PHYSICAL</x:v>
      </x:c>
      <x:c r="D2239" t="str">
        <x:v>trial packet</x:v>
      </x:c>
      <x:c r="E2239" t="str">
        <x:v>PH-PK-080</x:v>
      </x:c>
      <x:c r="F2239" t="n">
        <x:f>IF('Trial Register'!Q86&lt;&gt;"",1,0)</x:f>
        <x:v>0</x:v>
      </x:c>
      <x:c r="G2239" t="n">
        <x:v>1</x:v>
      </x:c>
      <x:c r="H2239" t="str">
        <x:v>independent physical acceptance</x:v>
      </x:c>
      <x:c r="I2239" t="str">
        <x:f>IF(F2239=1,"PASS","OPEN")</x:f>
        <x:v>OPEN</x:v>
      </x:c>
    </x:row>
    <x:row r="2240">
      <x:c r="B2240" t="str">
        <x:v>PH-VA-080</x:v>
      </x:c>
      <x:c r="C2240" t="str">
        <x:v>PHYSICAL</x:v>
      </x:c>
      <x:c r="D2240" t="str">
        <x:v>trial validity</x:v>
      </x:c>
      <x:c r="E2240" t="str">
        <x:v>PH-VA-080</x:v>
      </x:c>
      <x:c r="F2240" t="n">
        <x:f>IF('Trial Register'!R86&lt;&gt;"",1,0)</x:f>
        <x:v>0</x:v>
      </x:c>
      <x:c r="G2240" t="n">
        <x:v>1</x:v>
      </x:c>
      <x:c r="H2240" t="str">
        <x:v>independent physical acceptance</x:v>
      </x:c>
      <x:c r="I2240" t="str">
        <x:f>IF(F2240=1,"PASS","OPEN")</x:f>
        <x:v>OPEN</x:v>
      </x:c>
    </x:row>
    <x:row r="2241">
      <x:c r="B2241" t="str">
        <x:v>PH-RV-080</x:v>
      </x:c>
      <x:c r="C2241" t="str">
        <x:v>PHYSICAL</x:v>
      </x:c>
      <x:c r="D2241" t="str">
        <x:v>reported value</x:v>
      </x:c>
      <x:c r="E2241" t="str">
        <x:v>PH-RV-080</x:v>
      </x:c>
      <x:c r="F2241" t="n">
        <x:f>IF('Trial Register'!S86&lt;&gt;"",1,0)</x:f>
        <x:v>0</x:v>
      </x:c>
      <x:c r="G2241" t="n">
        <x:v>1</x:v>
      </x:c>
      <x:c r="H2241" t="str">
        <x:v>independent physical acceptance</x:v>
      </x:c>
      <x:c r="I2241" t="str">
        <x:f>IF(F2241=1,"PASS","OPEN")</x:f>
        <x:v>OPEN</x:v>
      </x:c>
    </x:row>
    <x:row r="2242">
      <x:c r="B2242" t="str">
        <x:v>PH-CR-080</x:v>
      </x:c>
      <x:c r="C2242" t="str">
        <x:v>PHYSICAL</x:v>
      </x:c>
      <x:c r="D2242" t="str">
        <x:v>credit acceptance</x:v>
      </x:c>
      <x:c r="E2242" t="str">
        <x:v>PH-CR-080</x:v>
      </x:c>
      <x:c r="F2242" t="str">
        <x:f>'Trial Register'!V86</x:f>
      </x:c>
      <x:c r="G2242" t="n">
        <x:v>1</x:v>
      </x:c>
      <x:c r="H2242" t="str">
        <x:v>independent physical acceptance</x:v>
      </x:c>
      <x:c r="I2242" t="str">
        <x:f>IF(F2242=1,"PASS","OPEN")</x:f>
        <x:v>OPEN</x:v>
      </x:c>
    </x:row>
    <x:row r="2243">
      <x:c r="B2243" t="str">
        <x:v>PH-EX-081</x:v>
      </x:c>
      <x:c r="C2243" t="str">
        <x:v>PHYSICAL</x:v>
      </x:c>
      <x:c r="D2243" t="str">
        <x:v>trial execution</x:v>
      </x:c>
      <x:c r="E2243" t="str">
        <x:v>PH-EX-081</x:v>
      </x:c>
      <x:c r="F2243" t="n">
        <x:f>IF('Trial Register'!P87&lt;&gt;"",1,0)</x:f>
        <x:v>0</x:v>
      </x:c>
      <x:c r="G2243" t="n">
        <x:v>1</x:v>
      </x:c>
      <x:c r="H2243" t="str">
        <x:v>independent physical acceptance</x:v>
      </x:c>
      <x:c r="I2243" t="str">
        <x:f>IF(F2243=1,"PASS","OPEN")</x:f>
        <x:v>OPEN</x:v>
      </x:c>
    </x:row>
    <x:row r="2244">
      <x:c r="B2244" t="str">
        <x:v>PH-PK-081</x:v>
      </x:c>
      <x:c r="C2244" t="str">
        <x:v>PHYSICAL</x:v>
      </x:c>
      <x:c r="D2244" t="str">
        <x:v>trial packet</x:v>
      </x:c>
      <x:c r="E2244" t="str">
        <x:v>PH-PK-081</x:v>
      </x:c>
      <x:c r="F2244" t="n">
        <x:f>IF('Trial Register'!Q87&lt;&gt;"",1,0)</x:f>
        <x:v>0</x:v>
      </x:c>
      <x:c r="G2244" t="n">
        <x:v>1</x:v>
      </x:c>
      <x:c r="H2244" t="str">
        <x:v>independent physical acceptance</x:v>
      </x:c>
      <x:c r="I2244" t="str">
        <x:f>IF(F2244=1,"PASS","OPEN")</x:f>
        <x:v>OPEN</x:v>
      </x:c>
    </x:row>
    <x:row r="2245">
      <x:c r="B2245" t="str">
        <x:v>PH-VA-081</x:v>
      </x:c>
      <x:c r="C2245" t="str">
        <x:v>PHYSICAL</x:v>
      </x:c>
      <x:c r="D2245" t="str">
        <x:v>trial validity</x:v>
      </x:c>
      <x:c r="E2245" t="str">
        <x:v>PH-VA-081</x:v>
      </x:c>
      <x:c r="F2245" t="n">
        <x:f>IF('Trial Register'!R87&lt;&gt;"",1,0)</x:f>
        <x:v>0</x:v>
      </x:c>
      <x:c r="G2245" t="n">
        <x:v>1</x:v>
      </x:c>
      <x:c r="H2245" t="str">
        <x:v>independent physical acceptance</x:v>
      </x:c>
      <x:c r="I2245" t="str">
        <x:f>IF(F2245=1,"PASS","OPEN")</x:f>
        <x:v>OPEN</x:v>
      </x:c>
    </x:row>
    <x:row r="2246">
      <x:c r="B2246" t="str">
        <x:v>PH-RV-081</x:v>
      </x:c>
      <x:c r="C2246" t="str">
        <x:v>PHYSICAL</x:v>
      </x:c>
      <x:c r="D2246" t="str">
        <x:v>reported value</x:v>
      </x:c>
      <x:c r="E2246" t="str">
        <x:v>PH-RV-081</x:v>
      </x:c>
      <x:c r="F2246" t="n">
        <x:f>IF('Trial Register'!S87&lt;&gt;"",1,0)</x:f>
        <x:v>0</x:v>
      </x:c>
      <x:c r="G2246" t="n">
        <x:v>1</x:v>
      </x:c>
      <x:c r="H2246" t="str">
        <x:v>independent physical acceptance</x:v>
      </x:c>
      <x:c r="I2246" t="str">
        <x:f>IF(F2246=1,"PASS","OPEN")</x:f>
        <x:v>OPEN</x:v>
      </x:c>
    </x:row>
    <x:row r="2247">
      <x:c r="B2247" t="str">
        <x:v>PH-CR-081</x:v>
      </x:c>
      <x:c r="C2247" t="str">
        <x:v>PHYSICAL</x:v>
      </x:c>
      <x:c r="D2247" t="str">
        <x:v>credit acceptance</x:v>
      </x:c>
      <x:c r="E2247" t="str">
        <x:v>PH-CR-081</x:v>
      </x:c>
      <x:c r="F2247" t="str">
        <x:f>'Trial Register'!V87</x:f>
      </x:c>
      <x:c r="G2247" t="n">
        <x:v>1</x:v>
      </x:c>
      <x:c r="H2247" t="str">
        <x:v>independent physical acceptance</x:v>
      </x:c>
      <x:c r="I2247" t="str">
        <x:f>IF(F2247=1,"PASS","OPEN")</x:f>
        <x:v>OPEN</x:v>
      </x:c>
    </x:row>
    <x:row r="2248">
      <x:c r="B2248" t="str">
        <x:v>PH-EX-082</x:v>
      </x:c>
      <x:c r="C2248" t="str">
        <x:v>PHYSICAL</x:v>
      </x:c>
      <x:c r="D2248" t="str">
        <x:v>trial execution</x:v>
      </x:c>
      <x:c r="E2248" t="str">
        <x:v>PH-EX-082</x:v>
      </x:c>
      <x:c r="F2248" t="n">
        <x:f>IF('Trial Register'!P88&lt;&gt;"",1,0)</x:f>
        <x:v>0</x:v>
      </x:c>
      <x:c r="G2248" t="n">
        <x:v>1</x:v>
      </x:c>
      <x:c r="H2248" t="str">
        <x:v>independent physical acceptance</x:v>
      </x:c>
      <x:c r="I2248" t="str">
        <x:f>IF(F2248=1,"PASS","OPEN")</x:f>
        <x:v>OPEN</x:v>
      </x:c>
    </x:row>
    <x:row r="2249">
      <x:c r="B2249" t="str">
        <x:v>PH-PK-082</x:v>
      </x:c>
      <x:c r="C2249" t="str">
        <x:v>PHYSICAL</x:v>
      </x:c>
      <x:c r="D2249" t="str">
        <x:v>trial packet</x:v>
      </x:c>
      <x:c r="E2249" t="str">
        <x:v>PH-PK-082</x:v>
      </x:c>
      <x:c r="F2249" t="n">
        <x:f>IF('Trial Register'!Q88&lt;&gt;"",1,0)</x:f>
        <x:v>0</x:v>
      </x:c>
      <x:c r="G2249" t="n">
        <x:v>1</x:v>
      </x:c>
      <x:c r="H2249" t="str">
        <x:v>independent physical acceptance</x:v>
      </x:c>
      <x:c r="I2249" t="str">
        <x:f>IF(F2249=1,"PASS","OPEN")</x:f>
        <x:v>OPEN</x:v>
      </x:c>
    </x:row>
    <x:row r="2250">
      <x:c r="B2250" t="str">
        <x:v>PH-VA-082</x:v>
      </x:c>
      <x:c r="C2250" t="str">
        <x:v>PHYSICAL</x:v>
      </x:c>
      <x:c r="D2250" t="str">
        <x:v>trial validity</x:v>
      </x:c>
      <x:c r="E2250" t="str">
        <x:v>PH-VA-082</x:v>
      </x:c>
      <x:c r="F2250" t="n">
        <x:f>IF('Trial Register'!R88&lt;&gt;"",1,0)</x:f>
        <x:v>0</x:v>
      </x:c>
      <x:c r="G2250" t="n">
        <x:v>1</x:v>
      </x:c>
      <x:c r="H2250" t="str">
        <x:v>independent physical acceptance</x:v>
      </x:c>
      <x:c r="I2250" t="str">
        <x:f>IF(F2250=1,"PASS","OPEN")</x:f>
        <x:v>OPEN</x:v>
      </x:c>
    </x:row>
    <x:row r="2251">
      <x:c r="B2251" t="str">
        <x:v>PH-RV-082</x:v>
      </x:c>
      <x:c r="C2251" t="str">
        <x:v>PHYSICAL</x:v>
      </x:c>
      <x:c r="D2251" t="str">
        <x:v>reported value</x:v>
      </x:c>
      <x:c r="E2251" t="str">
        <x:v>PH-RV-082</x:v>
      </x:c>
      <x:c r="F2251" t="n">
        <x:f>IF('Trial Register'!S88&lt;&gt;"",1,0)</x:f>
        <x:v>0</x:v>
      </x:c>
      <x:c r="G2251" t="n">
        <x:v>1</x:v>
      </x:c>
      <x:c r="H2251" t="str">
        <x:v>independent physical acceptance</x:v>
      </x:c>
      <x:c r="I2251" t="str">
        <x:f>IF(F2251=1,"PASS","OPEN")</x:f>
        <x:v>OPEN</x:v>
      </x:c>
    </x:row>
    <x:row r="2252">
      <x:c r="B2252" t="str">
        <x:v>PH-CR-082</x:v>
      </x:c>
      <x:c r="C2252" t="str">
        <x:v>PHYSICAL</x:v>
      </x:c>
      <x:c r="D2252" t="str">
        <x:v>credit acceptance</x:v>
      </x:c>
      <x:c r="E2252" t="str">
        <x:v>PH-CR-082</x:v>
      </x:c>
      <x:c r="F2252" t="str">
        <x:f>'Trial Register'!V88</x:f>
      </x:c>
      <x:c r="G2252" t="n">
        <x:v>1</x:v>
      </x:c>
      <x:c r="H2252" t="str">
        <x:v>independent physical acceptance</x:v>
      </x:c>
      <x:c r="I2252" t="str">
        <x:f>IF(F2252=1,"PASS","OPEN")</x:f>
        <x:v>OPEN</x:v>
      </x:c>
    </x:row>
    <x:row r="2253">
      <x:c r="B2253" t="str">
        <x:v>PH-EX-083</x:v>
      </x:c>
      <x:c r="C2253" t="str">
        <x:v>PHYSICAL</x:v>
      </x:c>
      <x:c r="D2253" t="str">
        <x:v>trial execution</x:v>
      </x:c>
      <x:c r="E2253" t="str">
        <x:v>PH-EX-083</x:v>
      </x:c>
      <x:c r="F2253" t="n">
        <x:f>IF('Trial Register'!P89&lt;&gt;"",1,0)</x:f>
        <x:v>0</x:v>
      </x:c>
      <x:c r="G2253" t="n">
        <x:v>1</x:v>
      </x:c>
      <x:c r="H2253" t="str">
        <x:v>independent physical acceptance</x:v>
      </x:c>
      <x:c r="I2253" t="str">
        <x:f>IF(F2253=1,"PASS","OPEN")</x:f>
        <x:v>OPEN</x:v>
      </x:c>
    </x:row>
    <x:row r="2254">
      <x:c r="B2254" t="str">
        <x:v>PH-PK-083</x:v>
      </x:c>
      <x:c r="C2254" t="str">
        <x:v>PHYSICAL</x:v>
      </x:c>
      <x:c r="D2254" t="str">
        <x:v>trial packet</x:v>
      </x:c>
      <x:c r="E2254" t="str">
        <x:v>PH-PK-083</x:v>
      </x:c>
      <x:c r="F2254" t="n">
        <x:f>IF('Trial Register'!Q89&lt;&gt;"",1,0)</x:f>
        <x:v>0</x:v>
      </x:c>
      <x:c r="G2254" t="n">
        <x:v>1</x:v>
      </x:c>
      <x:c r="H2254" t="str">
        <x:v>independent physical acceptance</x:v>
      </x:c>
      <x:c r="I2254" t="str">
        <x:f>IF(F2254=1,"PASS","OPEN")</x:f>
        <x:v>OPEN</x:v>
      </x:c>
    </x:row>
    <x:row r="2255">
      <x:c r="B2255" t="str">
        <x:v>PH-VA-083</x:v>
      </x:c>
      <x:c r="C2255" t="str">
        <x:v>PHYSICAL</x:v>
      </x:c>
      <x:c r="D2255" t="str">
        <x:v>trial validity</x:v>
      </x:c>
      <x:c r="E2255" t="str">
        <x:v>PH-VA-083</x:v>
      </x:c>
      <x:c r="F2255" t="n">
        <x:f>IF('Trial Register'!R89&lt;&gt;"",1,0)</x:f>
        <x:v>0</x:v>
      </x:c>
      <x:c r="G2255" t="n">
        <x:v>1</x:v>
      </x:c>
      <x:c r="H2255" t="str">
        <x:v>independent physical acceptance</x:v>
      </x:c>
      <x:c r="I2255" t="str">
        <x:f>IF(F2255=1,"PASS","OPEN")</x:f>
        <x:v>OPEN</x:v>
      </x:c>
    </x:row>
    <x:row r="2256">
      <x:c r="B2256" t="str">
        <x:v>PH-RV-083</x:v>
      </x:c>
      <x:c r="C2256" t="str">
        <x:v>PHYSICAL</x:v>
      </x:c>
      <x:c r="D2256" t="str">
        <x:v>reported value</x:v>
      </x:c>
      <x:c r="E2256" t="str">
        <x:v>PH-RV-083</x:v>
      </x:c>
      <x:c r="F2256" t="n">
        <x:f>IF('Trial Register'!S89&lt;&gt;"",1,0)</x:f>
        <x:v>0</x:v>
      </x:c>
      <x:c r="G2256" t="n">
        <x:v>1</x:v>
      </x:c>
      <x:c r="H2256" t="str">
        <x:v>independent physical acceptance</x:v>
      </x:c>
      <x:c r="I2256" t="str">
        <x:f>IF(F2256=1,"PASS","OPEN")</x:f>
        <x:v>OPEN</x:v>
      </x:c>
    </x:row>
    <x:row r="2257">
      <x:c r="B2257" t="str">
        <x:v>PH-CR-083</x:v>
      </x:c>
      <x:c r="C2257" t="str">
        <x:v>PHYSICAL</x:v>
      </x:c>
      <x:c r="D2257" t="str">
        <x:v>credit acceptance</x:v>
      </x:c>
      <x:c r="E2257" t="str">
        <x:v>PH-CR-083</x:v>
      </x:c>
      <x:c r="F2257" t="str">
        <x:f>'Trial Register'!V89</x:f>
      </x:c>
      <x:c r="G2257" t="n">
        <x:v>1</x:v>
      </x:c>
      <x:c r="H2257" t="str">
        <x:v>independent physical acceptance</x:v>
      </x:c>
      <x:c r="I2257" t="str">
        <x:f>IF(F2257=1,"PASS","OPEN")</x:f>
        <x:v>OPEN</x:v>
      </x:c>
    </x:row>
    <x:row r="2258">
      <x:c r="B2258" t="str">
        <x:v>PH-EX-084</x:v>
      </x:c>
      <x:c r="C2258" t="str">
        <x:v>PHYSICAL</x:v>
      </x:c>
      <x:c r="D2258" t="str">
        <x:v>trial execution</x:v>
      </x:c>
      <x:c r="E2258" t="str">
        <x:v>PH-EX-084</x:v>
      </x:c>
      <x:c r="F2258" t="n">
        <x:f>IF('Trial Register'!P90&lt;&gt;"",1,0)</x:f>
        <x:v>0</x:v>
      </x:c>
      <x:c r="G2258" t="n">
        <x:v>1</x:v>
      </x:c>
      <x:c r="H2258" t="str">
        <x:v>independent physical acceptance</x:v>
      </x:c>
      <x:c r="I2258" t="str">
        <x:f>IF(F2258=1,"PASS","OPEN")</x:f>
        <x:v>OPEN</x:v>
      </x:c>
    </x:row>
    <x:row r="2259">
      <x:c r="B2259" t="str">
        <x:v>PH-PK-084</x:v>
      </x:c>
      <x:c r="C2259" t="str">
        <x:v>PHYSICAL</x:v>
      </x:c>
      <x:c r="D2259" t="str">
        <x:v>trial packet</x:v>
      </x:c>
      <x:c r="E2259" t="str">
        <x:v>PH-PK-084</x:v>
      </x:c>
      <x:c r="F2259" t="n">
        <x:f>IF('Trial Register'!Q90&lt;&gt;"",1,0)</x:f>
        <x:v>0</x:v>
      </x:c>
      <x:c r="G2259" t="n">
        <x:v>1</x:v>
      </x:c>
      <x:c r="H2259" t="str">
        <x:v>independent physical acceptance</x:v>
      </x:c>
      <x:c r="I2259" t="str">
        <x:f>IF(F2259=1,"PASS","OPEN")</x:f>
        <x:v>OPEN</x:v>
      </x:c>
    </x:row>
    <x:row r="2260">
      <x:c r="B2260" t="str">
        <x:v>PH-VA-084</x:v>
      </x:c>
      <x:c r="C2260" t="str">
        <x:v>PHYSICAL</x:v>
      </x:c>
      <x:c r="D2260" t="str">
        <x:v>trial validity</x:v>
      </x:c>
      <x:c r="E2260" t="str">
        <x:v>PH-VA-084</x:v>
      </x:c>
      <x:c r="F2260" t="n">
        <x:f>IF('Trial Register'!R90&lt;&gt;"",1,0)</x:f>
        <x:v>0</x:v>
      </x:c>
      <x:c r="G2260" t="n">
        <x:v>1</x:v>
      </x:c>
      <x:c r="H2260" t="str">
        <x:v>independent physical acceptance</x:v>
      </x:c>
      <x:c r="I2260" t="str">
        <x:f>IF(F2260=1,"PASS","OPEN")</x:f>
        <x:v>OPEN</x:v>
      </x:c>
    </x:row>
    <x:row r="2261">
      <x:c r="B2261" t="str">
        <x:v>PH-RV-084</x:v>
      </x:c>
      <x:c r="C2261" t="str">
        <x:v>PHYSICAL</x:v>
      </x:c>
      <x:c r="D2261" t="str">
        <x:v>reported value</x:v>
      </x:c>
      <x:c r="E2261" t="str">
        <x:v>PH-RV-084</x:v>
      </x:c>
      <x:c r="F2261" t="n">
        <x:f>IF('Trial Register'!S90&lt;&gt;"",1,0)</x:f>
        <x:v>0</x:v>
      </x:c>
      <x:c r="G2261" t="n">
        <x:v>1</x:v>
      </x:c>
      <x:c r="H2261" t="str">
        <x:v>independent physical acceptance</x:v>
      </x:c>
      <x:c r="I2261" t="str">
        <x:f>IF(F2261=1,"PASS","OPEN")</x:f>
        <x:v>OPEN</x:v>
      </x:c>
    </x:row>
    <x:row r="2262">
      <x:c r="B2262" t="str">
        <x:v>PH-CR-084</x:v>
      </x:c>
      <x:c r="C2262" t="str">
        <x:v>PHYSICAL</x:v>
      </x:c>
      <x:c r="D2262" t="str">
        <x:v>credit acceptance</x:v>
      </x:c>
      <x:c r="E2262" t="str">
        <x:v>PH-CR-084</x:v>
      </x:c>
      <x:c r="F2262" t="str">
        <x:f>'Trial Register'!V90</x:f>
      </x:c>
      <x:c r="G2262" t="n">
        <x:v>1</x:v>
      </x:c>
      <x:c r="H2262" t="str">
        <x:v>independent physical acceptance</x:v>
      </x:c>
      <x:c r="I2262" t="str">
        <x:f>IF(F2262=1,"PASS","OPEN")</x:f>
        <x:v>OPEN</x:v>
      </x:c>
    </x:row>
    <x:row r="2263">
      <x:c r="B2263" t="str">
        <x:v>PH-EX-085</x:v>
      </x:c>
      <x:c r="C2263" t="str">
        <x:v>PHYSICAL</x:v>
      </x:c>
      <x:c r="D2263" t="str">
        <x:v>trial execution</x:v>
      </x:c>
      <x:c r="E2263" t="str">
        <x:v>PH-EX-085</x:v>
      </x:c>
      <x:c r="F2263" t="n">
        <x:f>IF('Trial Register'!P91&lt;&gt;"",1,0)</x:f>
        <x:v>0</x:v>
      </x:c>
      <x:c r="G2263" t="n">
        <x:v>1</x:v>
      </x:c>
      <x:c r="H2263" t="str">
        <x:v>independent physical acceptance</x:v>
      </x:c>
      <x:c r="I2263" t="str">
        <x:f>IF(F2263=1,"PASS","OPEN")</x:f>
        <x:v>OPEN</x:v>
      </x:c>
    </x:row>
    <x:row r="2264">
      <x:c r="B2264" t="str">
        <x:v>PH-PK-085</x:v>
      </x:c>
      <x:c r="C2264" t="str">
        <x:v>PHYSICAL</x:v>
      </x:c>
      <x:c r="D2264" t="str">
        <x:v>trial packet</x:v>
      </x:c>
      <x:c r="E2264" t="str">
        <x:v>PH-PK-085</x:v>
      </x:c>
      <x:c r="F2264" t="n">
        <x:f>IF('Trial Register'!Q91&lt;&gt;"",1,0)</x:f>
        <x:v>0</x:v>
      </x:c>
      <x:c r="G2264" t="n">
        <x:v>1</x:v>
      </x:c>
      <x:c r="H2264" t="str">
        <x:v>independent physical acceptance</x:v>
      </x:c>
      <x:c r="I2264" t="str">
        <x:f>IF(F2264=1,"PASS","OPEN")</x:f>
        <x:v>OPEN</x:v>
      </x:c>
    </x:row>
    <x:row r="2265">
      <x:c r="B2265" t="str">
        <x:v>PH-VA-085</x:v>
      </x:c>
      <x:c r="C2265" t="str">
        <x:v>PHYSICAL</x:v>
      </x:c>
      <x:c r="D2265" t="str">
        <x:v>trial validity</x:v>
      </x:c>
      <x:c r="E2265" t="str">
        <x:v>PH-VA-085</x:v>
      </x:c>
      <x:c r="F2265" t="n">
        <x:f>IF('Trial Register'!R91&lt;&gt;"",1,0)</x:f>
        <x:v>0</x:v>
      </x:c>
      <x:c r="G2265" t="n">
        <x:v>1</x:v>
      </x:c>
      <x:c r="H2265" t="str">
        <x:v>independent physical acceptance</x:v>
      </x:c>
      <x:c r="I2265" t="str">
        <x:f>IF(F2265=1,"PASS","OPEN")</x:f>
        <x:v>OPEN</x:v>
      </x:c>
    </x:row>
    <x:row r="2266">
      <x:c r="B2266" t="str">
        <x:v>PH-RV-085</x:v>
      </x:c>
      <x:c r="C2266" t="str">
        <x:v>PHYSICAL</x:v>
      </x:c>
      <x:c r="D2266" t="str">
        <x:v>reported value</x:v>
      </x:c>
      <x:c r="E2266" t="str">
        <x:v>PH-RV-085</x:v>
      </x:c>
      <x:c r="F2266" t="n">
        <x:f>IF('Trial Register'!S91&lt;&gt;"",1,0)</x:f>
        <x:v>0</x:v>
      </x:c>
      <x:c r="G2266" t="n">
        <x:v>1</x:v>
      </x:c>
      <x:c r="H2266" t="str">
        <x:v>independent physical acceptance</x:v>
      </x:c>
      <x:c r="I2266" t="str">
        <x:f>IF(F2266=1,"PASS","OPEN")</x:f>
        <x:v>OPEN</x:v>
      </x:c>
    </x:row>
    <x:row r="2267">
      <x:c r="B2267" t="str">
        <x:v>PH-CR-085</x:v>
      </x:c>
      <x:c r="C2267" t="str">
        <x:v>PHYSICAL</x:v>
      </x:c>
      <x:c r="D2267" t="str">
        <x:v>credit acceptance</x:v>
      </x:c>
      <x:c r="E2267" t="str">
        <x:v>PH-CR-085</x:v>
      </x:c>
      <x:c r="F2267" t="str">
        <x:f>'Trial Register'!V91</x:f>
      </x:c>
      <x:c r="G2267" t="n">
        <x:v>1</x:v>
      </x:c>
      <x:c r="H2267" t="str">
        <x:v>independent physical acceptance</x:v>
      </x:c>
      <x:c r="I2267" t="str">
        <x:f>IF(F2267=1,"PASS","OPEN")</x:f>
        <x:v>OPEN</x:v>
      </x:c>
    </x:row>
    <x:row r="2268">
      <x:c r="B2268" t="str">
        <x:v>PH-EX-086</x:v>
      </x:c>
      <x:c r="C2268" t="str">
        <x:v>PHYSICAL</x:v>
      </x:c>
      <x:c r="D2268" t="str">
        <x:v>trial execution</x:v>
      </x:c>
      <x:c r="E2268" t="str">
        <x:v>PH-EX-086</x:v>
      </x:c>
      <x:c r="F2268" t="n">
        <x:f>IF('Trial Register'!P92&lt;&gt;"",1,0)</x:f>
        <x:v>0</x:v>
      </x:c>
      <x:c r="G2268" t="n">
        <x:v>1</x:v>
      </x:c>
      <x:c r="H2268" t="str">
        <x:v>independent physical acceptance</x:v>
      </x:c>
      <x:c r="I2268" t="str">
        <x:f>IF(F2268=1,"PASS","OPEN")</x:f>
        <x:v>OPEN</x:v>
      </x:c>
    </x:row>
    <x:row r="2269">
      <x:c r="B2269" t="str">
        <x:v>PH-PK-086</x:v>
      </x:c>
      <x:c r="C2269" t="str">
        <x:v>PHYSICAL</x:v>
      </x:c>
      <x:c r="D2269" t="str">
        <x:v>trial packet</x:v>
      </x:c>
      <x:c r="E2269" t="str">
        <x:v>PH-PK-086</x:v>
      </x:c>
      <x:c r="F2269" t="n">
        <x:f>IF('Trial Register'!Q92&lt;&gt;"",1,0)</x:f>
        <x:v>0</x:v>
      </x:c>
      <x:c r="G2269" t="n">
        <x:v>1</x:v>
      </x:c>
      <x:c r="H2269" t="str">
        <x:v>independent physical acceptance</x:v>
      </x:c>
      <x:c r="I2269" t="str">
        <x:f>IF(F2269=1,"PASS","OPEN")</x:f>
        <x:v>OPEN</x:v>
      </x:c>
    </x:row>
    <x:row r="2270">
      <x:c r="B2270" t="str">
        <x:v>PH-VA-086</x:v>
      </x:c>
      <x:c r="C2270" t="str">
        <x:v>PHYSICAL</x:v>
      </x:c>
      <x:c r="D2270" t="str">
        <x:v>trial validity</x:v>
      </x:c>
      <x:c r="E2270" t="str">
        <x:v>PH-VA-086</x:v>
      </x:c>
      <x:c r="F2270" t="n">
        <x:f>IF('Trial Register'!R92&lt;&gt;"",1,0)</x:f>
        <x:v>0</x:v>
      </x:c>
      <x:c r="G2270" t="n">
        <x:v>1</x:v>
      </x:c>
      <x:c r="H2270" t="str">
        <x:v>independent physical acceptance</x:v>
      </x:c>
      <x:c r="I2270" t="str">
        <x:f>IF(F2270=1,"PASS","OPEN")</x:f>
        <x:v>OPEN</x:v>
      </x:c>
    </x:row>
    <x:row r="2271">
      <x:c r="B2271" t="str">
        <x:v>PH-RV-086</x:v>
      </x:c>
      <x:c r="C2271" t="str">
        <x:v>PHYSICAL</x:v>
      </x:c>
      <x:c r="D2271" t="str">
        <x:v>reported value</x:v>
      </x:c>
      <x:c r="E2271" t="str">
        <x:v>PH-RV-086</x:v>
      </x:c>
      <x:c r="F2271" t="n">
        <x:f>IF('Trial Register'!S92&lt;&gt;"",1,0)</x:f>
        <x:v>0</x:v>
      </x:c>
      <x:c r="G2271" t="n">
        <x:v>1</x:v>
      </x:c>
      <x:c r="H2271" t="str">
        <x:v>independent physical acceptance</x:v>
      </x:c>
      <x:c r="I2271" t="str">
        <x:f>IF(F2271=1,"PASS","OPEN")</x:f>
        <x:v>OPEN</x:v>
      </x:c>
    </x:row>
    <x:row r="2272">
      <x:c r="B2272" t="str">
        <x:v>PH-CR-086</x:v>
      </x:c>
      <x:c r="C2272" t="str">
        <x:v>PHYSICAL</x:v>
      </x:c>
      <x:c r="D2272" t="str">
        <x:v>credit acceptance</x:v>
      </x:c>
      <x:c r="E2272" t="str">
        <x:v>PH-CR-086</x:v>
      </x:c>
      <x:c r="F2272" t="str">
        <x:f>'Trial Register'!V92</x:f>
      </x:c>
      <x:c r="G2272" t="n">
        <x:v>1</x:v>
      </x:c>
      <x:c r="H2272" t="str">
        <x:v>independent physical acceptance</x:v>
      </x:c>
      <x:c r="I2272" t="str">
        <x:f>IF(F2272=1,"PASS","OPEN")</x:f>
        <x:v>OPEN</x:v>
      </x:c>
    </x:row>
    <x:row r="2273">
      <x:c r="B2273" t="str">
        <x:v>PH-EX-087</x:v>
      </x:c>
      <x:c r="C2273" t="str">
        <x:v>PHYSICAL</x:v>
      </x:c>
      <x:c r="D2273" t="str">
        <x:v>trial execution</x:v>
      </x:c>
      <x:c r="E2273" t="str">
        <x:v>PH-EX-087</x:v>
      </x:c>
      <x:c r="F2273" t="n">
        <x:f>IF('Trial Register'!P93&lt;&gt;"",1,0)</x:f>
        <x:v>0</x:v>
      </x:c>
      <x:c r="G2273" t="n">
        <x:v>1</x:v>
      </x:c>
      <x:c r="H2273" t="str">
        <x:v>independent physical acceptance</x:v>
      </x:c>
      <x:c r="I2273" t="str">
        <x:f>IF(F2273=1,"PASS","OPEN")</x:f>
        <x:v>OPEN</x:v>
      </x:c>
    </x:row>
    <x:row r="2274">
      <x:c r="B2274" t="str">
        <x:v>PH-PK-087</x:v>
      </x:c>
      <x:c r="C2274" t="str">
        <x:v>PHYSICAL</x:v>
      </x:c>
      <x:c r="D2274" t="str">
        <x:v>trial packet</x:v>
      </x:c>
      <x:c r="E2274" t="str">
        <x:v>PH-PK-087</x:v>
      </x:c>
      <x:c r="F2274" t="n">
        <x:f>IF('Trial Register'!Q93&lt;&gt;"",1,0)</x:f>
        <x:v>0</x:v>
      </x:c>
      <x:c r="G2274" t="n">
        <x:v>1</x:v>
      </x:c>
      <x:c r="H2274" t="str">
        <x:v>independent physical acceptance</x:v>
      </x:c>
      <x:c r="I2274" t="str">
        <x:f>IF(F2274=1,"PASS","OPEN")</x:f>
        <x:v>OPEN</x:v>
      </x:c>
    </x:row>
    <x:row r="2275">
      <x:c r="B2275" t="str">
        <x:v>PH-VA-087</x:v>
      </x:c>
      <x:c r="C2275" t="str">
        <x:v>PHYSICAL</x:v>
      </x:c>
      <x:c r="D2275" t="str">
        <x:v>trial validity</x:v>
      </x:c>
      <x:c r="E2275" t="str">
        <x:v>PH-VA-087</x:v>
      </x:c>
      <x:c r="F2275" t="n">
        <x:f>IF('Trial Register'!R93&lt;&gt;"",1,0)</x:f>
        <x:v>0</x:v>
      </x:c>
      <x:c r="G2275" t="n">
        <x:v>1</x:v>
      </x:c>
      <x:c r="H2275" t="str">
        <x:v>independent physical acceptance</x:v>
      </x:c>
      <x:c r="I2275" t="str">
        <x:f>IF(F2275=1,"PASS","OPEN")</x:f>
        <x:v>OPEN</x:v>
      </x:c>
    </x:row>
    <x:row r="2276">
      <x:c r="B2276" t="str">
        <x:v>PH-RV-087</x:v>
      </x:c>
      <x:c r="C2276" t="str">
        <x:v>PHYSICAL</x:v>
      </x:c>
      <x:c r="D2276" t="str">
        <x:v>reported value</x:v>
      </x:c>
      <x:c r="E2276" t="str">
        <x:v>PH-RV-087</x:v>
      </x:c>
      <x:c r="F2276" t="n">
        <x:f>IF('Trial Register'!S93&lt;&gt;"",1,0)</x:f>
        <x:v>0</x:v>
      </x:c>
      <x:c r="G2276" t="n">
        <x:v>1</x:v>
      </x:c>
      <x:c r="H2276" t="str">
        <x:v>independent physical acceptance</x:v>
      </x:c>
      <x:c r="I2276" t="str">
        <x:f>IF(F2276=1,"PASS","OPEN")</x:f>
        <x:v>OPEN</x:v>
      </x:c>
    </x:row>
    <x:row r="2277">
      <x:c r="B2277" t="str">
        <x:v>PH-CR-087</x:v>
      </x:c>
      <x:c r="C2277" t="str">
        <x:v>PHYSICAL</x:v>
      </x:c>
      <x:c r="D2277" t="str">
        <x:v>credit acceptance</x:v>
      </x:c>
      <x:c r="E2277" t="str">
        <x:v>PH-CR-087</x:v>
      </x:c>
      <x:c r="F2277" t="str">
        <x:f>'Trial Register'!V93</x:f>
      </x:c>
      <x:c r="G2277" t="n">
        <x:v>1</x:v>
      </x:c>
      <x:c r="H2277" t="str">
        <x:v>independent physical acceptance</x:v>
      </x:c>
      <x:c r="I2277" t="str">
        <x:f>IF(F2277=1,"PASS","OPEN")</x:f>
        <x:v>OPEN</x:v>
      </x:c>
    </x:row>
    <x:row r="2278">
      <x:c r="B2278" t="str">
        <x:v>PH-EX-088</x:v>
      </x:c>
      <x:c r="C2278" t="str">
        <x:v>PHYSICAL</x:v>
      </x:c>
      <x:c r="D2278" t="str">
        <x:v>trial execution</x:v>
      </x:c>
      <x:c r="E2278" t="str">
        <x:v>PH-EX-088</x:v>
      </x:c>
      <x:c r="F2278" t="n">
        <x:f>IF('Trial Register'!P94&lt;&gt;"",1,0)</x:f>
        <x:v>0</x:v>
      </x:c>
      <x:c r="G2278" t="n">
        <x:v>1</x:v>
      </x:c>
      <x:c r="H2278" t="str">
        <x:v>independent physical acceptance</x:v>
      </x:c>
      <x:c r="I2278" t="str">
        <x:f>IF(F2278=1,"PASS","OPEN")</x:f>
        <x:v>OPEN</x:v>
      </x:c>
    </x:row>
    <x:row r="2279">
      <x:c r="B2279" t="str">
        <x:v>PH-PK-088</x:v>
      </x:c>
      <x:c r="C2279" t="str">
        <x:v>PHYSICAL</x:v>
      </x:c>
      <x:c r="D2279" t="str">
        <x:v>trial packet</x:v>
      </x:c>
      <x:c r="E2279" t="str">
        <x:v>PH-PK-088</x:v>
      </x:c>
      <x:c r="F2279" t="n">
        <x:f>IF('Trial Register'!Q94&lt;&gt;"",1,0)</x:f>
        <x:v>0</x:v>
      </x:c>
      <x:c r="G2279" t="n">
        <x:v>1</x:v>
      </x:c>
      <x:c r="H2279" t="str">
        <x:v>independent physical acceptance</x:v>
      </x:c>
      <x:c r="I2279" t="str">
        <x:f>IF(F2279=1,"PASS","OPEN")</x:f>
        <x:v>OPEN</x:v>
      </x:c>
    </x:row>
    <x:row r="2280">
      <x:c r="B2280" t="str">
        <x:v>PH-VA-088</x:v>
      </x:c>
      <x:c r="C2280" t="str">
        <x:v>PHYSICAL</x:v>
      </x:c>
      <x:c r="D2280" t="str">
        <x:v>trial validity</x:v>
      </x:c>
      <x:c r="E2280" t="str">
        <x:v>PH-VA-088</x:v>
      </x:c>
      <x:c r="F2280" t="n">
        <x:f>IF('Trial Register'!R94&lt;&gt;"",1,0)</x:f>
        <x:v>0</x:v>
      </x:c>
      <x:c r="G2280" t="n">
        <x:v>1</x:v>
      </x:c>
      <x:c r="H2280" t="str">
        <x:v>independent physical acceptance</x:v>
      </x:c>
      <x:c r="I2280" t="str">
        <x:f>IF(F2280=1,"PASS","OPEN")</x:f>
        <x:v>OPEN</x:v>
      </x:c>
    </x:row>
    <x:row r="2281">
      <x:c r="B2281" t="str">
        <x:v>PH-RV-088</x:v>
      </x:c>
      <x:c r="C2281" t="str">
        <x:v>PHYSICAL</x:v>
      </x:c>
      <x:c r="D2281" t="str">
        <x:v>reported value</x:v>
      </x:c>
      <x:c r="E2281" t="str">
        <x:v>PH-RV-088</x:v>
      </x:c>
      <x:c r="F2281" t="n">
        <x:f>IF('Trial Register'!S94&lt;&gt;"",1,0)</x:f>
        <x:v>0</x:v>
      </x:c>
      <x:c r="G2281" t="n">
        <x:v>1</x:v>
      </x:c>
      <x:c r="H2281" t="str">
        <x:v>independent physical acceptance</x:v>
      </x:c>
      <x:c r="I2281" t="str">
        <x:f>IF(F2281=1,"PASS","OPEN")</x:f>
        <x:v>OPEN</x:v>
      </x:c>
    </x:row>
    <x:row r="2282">
      <x:c r="B2282" t="str">
        <x:v>PH-CR-088</x:v>
      </x:c>
      <x:c r="C2282" t="str">
        <x:v>PHYSICAL</x:v>
      </x:c>
      <x:c r="D2282" t="str">
        <x:v>credit acceptance</x:v>
      </x:c>
      <x:c r="E2282" t="str">
        <x:v>PH-CR-088</x:v>
      </x:c>
      <x:c r="F2282" t="str">
        <x:f>'Trial Register'!V94</x:f>
      </x:c>
      <x:c r="G2282" t="n">
        <x:v>1</x:v>
      </x:c>
      <x:c r="H2282" t="str">
        <x:v>independent physical acceptance</x:v>
      </x:c>
      <x:c r="I2282" t="str">
        <x:f>IF(F2282=1,"PASS","OPEN")</x:f>
        <x:v>OPEN</x:v>
      </x:c>
    </x:row>
    <x:row r="2283">
      <x:c r="B2283" t="str">
        <x:v>PH-EX-089</x:v>
      </x:c>
      <x:c r="C2283" t="str">
        <x:v>PHYSICAL</x:v>
      </x:c>
      <x:c r="D2283" t="str">
        <x:v>trial execution</x:v>
      </x:c>
      <x:c r="E2283" t="str">
        <x:v>PH-EX-089</x:v>
      </x:c>
      <x:c r="F2283" t="n">
        <x:f>IF('Trial Register'!P95&lt;&gt;"",1,0)</x:f>
        <x:v>0</x:v>
      </x:c>
      <x:c r="G2283" t="n">
        <x:v>1</x:v>
      </x:c>
      <x:c r="H2283" t="str">
        <x:v>independent physical acceptance</x:v>
      </x:c>
      <x:c r="I2283" t="str">
        <x:f>IF(F2283=1,"PASS","OPEN")</x:f>
        <x:v>OPEN</x:v>
      </x:c>
    </x:row>
    <x:row r="2284">
      <x:c r="B2284" t="str">
        <x:v>PH-PK-089</x:v>
      </x:c>
      <x:c r="C2284" t="str">
        <x:v>PHYSICAL</x:v>
      </x:c>
      <x:c r="D2284" t="str">
        <x:v>trial packet</x:v>
      </x:c>
      <x:c r="E2284" t="str">
        <x:v>PH-PK-089</x:v>
      </x:c>
      <x:c r="F2284" t="n">
        <x:f>IF('Trial Register'!Q95&lt;&gt;"",1,0)</x:f>
        <x:v>0</x:v>
      </x:c>
      <x:c r="G2284" t="n">
        <x:v>1</x:v>
      </x:c>
      <x:c r="H2284" t="str">
        <x:v>independent physical acceptance</x:v>
      </x:c>
      <x:c r="I2284" t="str">
        <x:f>IF(F2284=1,"PASS","OPEN")</x:f>
        <x:v>OPEN</x:v>
      </x:c>
    </x:row>
    <x:row r="2285">
      <x:c r="B2285" t="str">
        <x:v>PH-VA-089</x:v>
      </x:c>
      <x:c r="C2285" t="str">
        <x:v>PHYSICAL</x:v>
      </x:c>
      <x:c r="D2285" t="str">
        <x:v>trial validity</x:v>
      </x:c>
      <x:c r="E2285" t="str">
        <x:v>PH-VA-089</x:v>
      </x:c>
      <x:c r="F2285" t="n">
        <x:f>IF('Trial Register'!R95&lt;&gt;"",1,0)</x:f>
        <x:v>0</x:v>
      </x:c>
      <x:c r="G2285" t="n">
        <x:v>1</x:v>
      </x:c>
      <x:c r="H2285" t="str">
        <x:v>independent physical acceptance</x:v>
      </x:c>
      <x:c r="I2285" t="str">
        <x:f>IF(F2285=1,"PASS","OPEN")</x:f>
        <x:v>OPEN</x:v>
      </x:c>
    </x:row>
    <x:row r="2286">
      <x:c r="B2286" t="str">
        <x:v>PH-RV-089</x:v>
      </x:c>
      <x:c r="C2286" t="str">
        <x:v>PHYSICAL</x:v>
      </x:c>
      <x:c r="D2286" t="str">
        <x:v>reported value</x:v>
      </x:c>
      <x:c r="E2286" t="str">
        <x:v>PH-RV-089</x:v>
      </x:c>
      <x:c r="F2286" t="n">
        <x:f>IF('Trial Register'!S95&lt;&gt;"",1,0)</x:f>
        <x:v>0</x:v>
      </x:c>
      <x:c r="G2286" t="n">
        <x:v>1</x:v>
      </x:c>
      <x:c r="H2286" t="str">
        <x:v>independent physical acceptance</x:v>
      </x:c>
      <x:c r="I2286" t="str">
        <x:f>IF(F2286=1,"PASS","OPEN")</x:f>
        <x:v>OPEN</x:v>
      </x:c>
    </x:row>
    <x:row r="2287">
      <x:c r="B2287" t="str">
        <x:v>PH-CR-089</x:v>
      </x:c>
      <x:c r="C2287" t="str">
        <x:v>PHYSICAL</x:v>
      </x:c>
      <x:c r="D2287" t="str">
        <x:v>credit acceptance</x:v>
      </x:c>
      <x:c r="E2287" t="str">
        <x:v>PH-CR-089</x:v>
      </x:c>
      <x:c r="F2287" t="str">
        <x:f>'Trial Register'!V95</x:f>
      </x:c>
      <x:c r="G2287" t="n">
        <x:v>1</x:v>
      </x:c>
      <x:c r="H2287" t="str">
        <x:v>independent physical acceptance</x:v>
      </x:c>
      <x:c r="I2287" t="str">
        <x:f>IF(F2287=1,"PASS","OPEN")</x:f>
        <x:v>OPEN</x:v>
      </x:c>
    </x:row>
    <x:row r="2288">
      <x:c r="B2288" t="str">
        <x:v>PH-EX-090</x:v>
      </x:c>
      <x:c r="C2288" t="str">
        <x:v>PHYSICAL</x:v>
      </x:c>
      <x:c r="D2288" t="str">
        <x:v>trial execution</x:v>
      </x:c>
      <x:c r="E2288" t="str">
        <x:v>PH-EX-090</x:v>
      </x:c>
      <x:c r="F2288" t="n">
        <x:f>IF('Trial Register'!P96&lt;&gt;"",1,0)</x:f>
        <x:v>0</x:v>
      </x:c>
      <x:c r="G2288" t="n">
        <x:v>1</x:v>
      </x:c>
      <x:c r="H2288" t="str">
        <x:v>independent physical acceptance</x:v>
      </x:c>
      <x:c r="I2288" t="str">
        <x:f>IF(F2288=1,"PASS","OPEN")</x:f>
        <x:v>OPEN</x:v>
      </x:c>
    </x:row>
    <x:row r="2289">
      <x:c r="B2289" t="str">
        <x:v>PH-PK-090</x:v>
      </x:c>
      <x:c r="C2289" t="str">
        <x:v>PHYSICAL</x:v>
      </x:c>
      <x:c r="D2289" t="str">
        <x:v>trial packet</x:v>
      </x:c>
      <x:c r="E2289" t="str">
        <x:v>PH-PK-090</x:v>
      </x:c>
      <x:c r="F2289" t="n">
        <x:f>IF('Trial Register'!Q96&lt;&gt;"",1,0)</x:f>
        <x:v>0</x:v>
      </x:c>
      <x:c r="G2289" t="n">
        <x:v>1</x:v>
      </x:c>
      <x:c r="H2289" t="str">
        <x:v>independent physical acceptance</x:v>
      </x:c>
      <x:c r="I2289" t="str">
        <x:f>IF(F2289=1,"PASS","OPEN")</x:f>
        <x:v>OPEN</x:v>
      </x:c>
    </x:row>
    <x:row r="2290">
      <x:c r="B2290" t="str">
        <x:v>PH-VA-090</x:v>
      </x:c>
      <x:c r="C2290" t="str">
        <x:v>PHYSICAL</x:v>
      </x:c>
      <x:c r="D2290" t="str">
        <x:v>trial validity</x:v>
      </x:c>
      <x:c r="E2290" t="str">
        <x:v>PH-VA-090</x:v>
      </x:c>
      <x:c r="F2290" t="n">
        <x:f>IF('Trial Register'!R96&lt;&gt;"",1,0)</x:f>
        <x:v>0</x:v>
      </x:c>
      <x:c r="G2290" t="n">
        <x:v>1</x:v>
      </x:c>
      <x:c r="H2290" t="str">
        <x:v>independent physical acceptance</x:v>
      </x:c>
      <x:c r="I2290" t="str">
        <x:f>IF(F2290=1,"PASS","OPEN")</x:f>
        <x:v>OPEN</x:v>
      </x:c>
    </x:row>
    <x:row r="2291">
      <x:c r="B2291" t="str">
        <x:v>PH-RV-090</x:v>
      </x:c>
      <x:c r="C2291" t="str">
        <x:v>PHYSICAL</x:v>
      </x:c>
      <x:c r="D2291" t="str">
        <x:v>reported value</x:v>
      </x:c>
      <x:c r="E2291" t="str">
        <x:v>PH-RV-090</x:v>
      </x:c>
      <x:c r="F2291" t="n">
        <x:f>IF('Trial Register'!S96&lt;&gt;"",1,0)</x:f>
        <x:v>0</x:v>
      </x:c>
      <x:c r="G2291" t="n">
        <x:v>1</x:v>
      </x:c>
      <x:c r="H2291" t="str">
        <x:v>independent physical acceptance</x:v>
      </x:c>
      <x:c r="I2291" t="str">
        <x:f>IF(F2291=1,"PASS","OPEN")</x:f>
        <x:v>OPEN</x:v>
      </x:c>
    </x:row>
    <x:row r="2292">
      <x:c r="B2292" t="str">
        <x:v>PH-CR-090</x:v>
      </x:c>
      <x:c r="C2292" t="str">
        <x:v>PHYSICAL</x:v>
      </x:c>
      <x:c r="D2292" t="str">
        <x:v>credit acceptance</x:v>
      </x:c>
      <x:c r="E2292" t="str">
        <x:v>PH-CR-090</x:v>
      </x:c>
      <x:c r="F2292" t="str">
        <x:f>'Trial Register'!V96</x:f>
      </x:c>
      <x:c r="G2292" t="n">
        <x:v>1</x:v>
      </x:c>
      <x:c r="H2292" t="str">
        <x:v>independent physical acceptance</x:v>
      </x:c>
      <x:c r="I2292" t="str">
        <x:f>IF(F2292=1,"PASS","OPEN")</x:f>
        <x:v>OPEN</x:v>
      </x:c>
    </x:row>
    <x:row r="2293">
      <x:c r="B2293" t="str">
        <x:v>PH-EX-091</x:v>
      </x:c>
      <x:c r="C2293" t="str">
        <x:v>PHYSICAL</x:v>
      </x:c>
      <x:c r="D2293" t="str">
        <x:v>trial execution</x:v>
      </x:c>
      <x:c r="E2293" t="str">
        <x:v>PH-EX-091</x:v>
      </x:c>
      <x:c r="F2293" t="n">
        <x:f>IF('Trial Register'!P97&lt;&gt;"",1,0)</x:f>
        <x:v>0</x:v>
      </x:c>
      <x:c r="G2293" t="n">
        <x:v>1</x:v>
      </x:c>
      <x:c r="H2293" t="str">
        <x:v>independent physical acceptance</x:v>
      </x:c>
      <x:c r="I2293" t="str">
        <x:f>IF(F2293=1,"PASS","OPEN")</x:f>
        <x:v>OPEN</x:v>
      </x:c>
    </x:row>
    <x:row r="2294">
      <x:c r="B2294" t="str">
        <x:v>PH-PK-091</x:v>
      </x:c>
      <x:c r="C2294" t="str">
        <x:v>PHYSICAL</x:v>
      </x:c>
      <x:c r="D2294" t="str">
        <x:v>trial packet</x:v>
      </x:c>
      <x:c r="E2294" t="str">
        <x:v>PH-PK-091</x:v>
      </x:c>
      <x:c r="F2294" t="n">
        <x:f>IF('Trial Register'!Q97&lt;&gt;"",1,0)</x:f>
        <x:v>0</x:v>
      </x:c>
      <x:c r="G2294" t="n">
        <x:v>1</x:v>
      </x:c>
      <x:c r="H2294" t="str">
        <x:v>independent physical acceptance</x:v>
      </x:c>
      <x:c r="I2294" t="str">
        <x:f>IF(F2294=1,"PASS","OPEN")</x:f>
        <x:v>OPEN</x:v>
      </x:c>
    </x:row>
    <x:row r="2295">
      <x:c r="B2295" t="str">
        <x:v>PH-VA-091</x:v>
      </x:c>
      <x:c r="C2295" t="str">
        <x:v>PHYSICAL</x:v>
      </x:c>
      <x:c r="D2295" t="str">
        <x:v>trial validity</x:v>
      </x:c>
      <x:c r="E2295" t="str">
        <x:v>PH-VA-091</x:v>
      </x:c>
      <x:c r="F2295" t="n">
        <x:f>IF('Trial Register'!R97&lt;&gt;"",1,0)</x:f>
        <x:v>0</x:v>
      </x:c>
      <x:c r="G2295" t="n">
        <x:v>1</x:v>
      </x:c>
      <x:c r="H2295" t="str">
        <x:v>independent physical acceptance</x:v>
      </x:c>
      <x:c r="I2295" t="str">
        <x:f>IF(F2295=1,"PASS","OPEN")</x:f>
        <x:v>OPEN</x:v>
      </x:c>
    </x:row>
    <x:row r="2296">
      <x:c r="B2296" t="str">
        <x:v>PH-RV-091</x:v>
      </x:c>
      <x:c r="C2296" t="str">
        <x:v>PHYSICAL</x:v>
      </x:c>
      <x:c r="D2296" t="str">
        <x:v>reported value</x:v>
      </x:c>
      <x:c r="E2296" t="str">
        <x:v>PH-RV-091</x:v>
      </x:c>
      <x:c r="F2296" t="n">
        <x:f>IF('Trial Register'!S97&lt;&gt;"",1,0)</x:f>
        <x:v>0</x:v>
      </x:c>
      <x:c r="G2296" t="n">
        <x:v>1</x:v>
      </x:c>
      <x:c r="H2296" t="str">
        <x:v>independent physical acceptance</x:v>
      </x:c>
      <x:c r="I2296" t="str">
        <x:f>IF(F2296=1,"PASS","OPEN")</x:f>
        <x:v>OPEN</x:v>
      </x:c>
    </x:row>
    <x:row r="2297">
      <x:c r="B2297" t="str">
        <x:v>PH-CR-091</x:v>
      </x:c>
      <x:c r="C2297" t="str">
        <x:v>PHYSICAL</x:v>
      </x:c>
      <x:c r="D2297" t="str">
        <x:v>credit acceptance</x:v>
      </x:c>
      <x:c r="E2297" t="str">
        <x:v>PH-CR-091</x:v>
      </x:c>
      <x:c r="F2297" t="str">
        <x:f>'Trial Register'!V97</x:f>
      </x:c>
      <x:c r="G2297" t="n">
        <x:v>1</x:v>
      </x:c>
      <x:c r="H2297" t="str">
        <x:v>independent physical acceptance</x:v>
      </x:c>
      <x:c r="I2297" t="str">
        <x:f>IF(F2297=1,"PASS","OPEN")</x:f>
        <x:v>OPEN</x:v>
      </x:c>
    </x:row>
    <x:row r="2298">
      <x:c r="B2298" t="str">
        <x:v>PH-EX-092</x:v>
      </x:c>
      <x:c r="C2298" t="str">
        <x:v>PHYSICAL</x:v>
      </x:c>
      <x:c r="D2298" t="str">
        <x:v>trial execution</x:v>
      </x:c>
      <x:c r="E2298" t="str">
        <x:v>PH-EX-092</x:v>
      </x:c>
      <x:c r="F2298" t="n">
        <x:f>IF('Trial Register'!P98&lt;&gt;"",1,0)</x:f>
        <x:v>0</x:v>
      </x:c>
      <x:c r="G2298" t="n">
        <x:v>1</x:v>
      </x:c>
      <x:c r="H2298" t="str">
        <x:v>independent physical acceptance</x:v>
      </x:c>
      <x:c r="I2298" t="str">
        <x:f>IF(F2298=1,"PASS","OPEN")</x:f>
        <x:v>OPEN</x:v>
      </x:c>
    </x:row>
    <x:row r="2299">
      <x:c r="B2299" t="str">
        <x:v>PH-PK-092</x:v>
      </x:c>
      <x:c r="C2299" t="str">
        <x:v>PHYSICAL</x:v>
      </x:c>
      <x:c r="D2299" t="str">
        <x:v>trial packet</x:v>
      </x:c>
      <x:c r="E2299" t="str">
        <x:v>PH-PK-092</x:v>
      </x:c>
      <x:c r="F2299" t="n">
        <x:f>IF('Trial Register'!Q98&lt;&gt;"",1,0)</x:f>
        <x:v>0</x:v>
      </x:c>
      <x:c r="G2299" t="n">
        <x:v>1</x:v>
      </x:c>
      <x:c r="H2299" t="str">
        <x:v>independent physical acceptance</x:v>
      </x:c>
      <x:c r="I2299" t="str">
        <x:f>IF(F2299=1,"PASS","OPEN")</x:f>
        <x:v>OPEN</x:v>
      </x:c>
    </x:row>
    <x:row r="2300">
      <x:c r="B2300" t="str">
        <x:v>PH-VA-092</x:v>
      </x:c>
      <x:c r="C2300" t="str">
        <x:v>PHYSICAL</x:v>
      </x:c>
      <x:c r="D2300" t="str">
        <x:v>trial validity</x:v>
      </x:c>
      <x:c r="E2300" t="str">
        <x:v>PH-VA-092</x:v>
      </x:c>
      <x:c r="F2300" t="n">
        <x:f>IF('Trial Register'!R98&lt;&gt;"",1,0)</x:f>
        <x:v>0</x:v>
      </x:c>
      <x:c r="G2300" t="n">
        <x:v>1</x:v>
      </x:c>
      <x:c r="H2300" t="str">
        <x:v>independent physical acceptance</x:v>
      </x:c>
      <x:c r="I2300" t="str">
        <x:f>IF(F2300=1,"PASS","OPEN")</x:f>
        <x:v>OPEN</x:v>
      </x:c>
    </x:row>
    <x:row r="2301">
      <x:c r="B2301" t="str">
        <x:v>PH-RV-092</x:v>
      </x:c>
      <x:c r="C2301" t="str">
        <x:v>PHYSICAL</x:v>
      </x:c>
      <x:c r="D2301" t="str">
        <x:v>reported value</x:v>
      </x:c>
      <x:c r="E2301" t="str">
        <x:v>PH-RV-092</x:v>
      </x:c>
      <x:c r="F2301" t="n">
        <x:f>IF('Trial Register'!S98&lt;&gt;"",1,0)</x:f>
        <x:v>0</x:v>
      </x:c>
      <x:c r="G2301" t="n">
        <x:v>1</x:v>
      </x:c>
      <x:c r="H2301" t="str">
        <x:v>independent physical acceptance</x:v>
      </x:c>
      <x:c r="I2301" t="str">
        <x:f>IF(F2301=1,"PASS","OPEN")</x:f>
        <x:v>OPEN</x:v>
      </x:c>
    </x:row>
    <x:row r="2302">
      <x:c r="B2302" t="str">
        <x:v>PH-CR-092</x:v>
      </x:c>
      <x:c r="C2302" t="str">
        <x:v>PHYSICAL</x:v>
      </x:c>
      <x:c r="D2302" t="str">
        <x:v>credit acceptance</x:v>
      </x:c>
      <x:c r="E2302" t="str">
        <x:v>PH-CR-092</x:v>
      </x:c>
      <x:c r="F2302" t="str">
        <x:f>'Trial Register'!V98</x:f>
      </x:c>
      <x:c r="G2302" t="n">
        <x:v>1</x:v>
      </x:c>
      <x:c r="H2302" t="str">
        <x:v>independent physical acceptance</x:v>
      </x:c>
      <x:c r="I2302" t="str">
        <x:f>IF(F2302=1,"PASS","OPEN")</x:f>
        <x:v>OPEN</x:v>
      </x:c>
    </x:row>
    <x:row r="2303">
      <x:c r="B2303" t="str">
        <x:v>PH-EX-093</x:v>
      </x:c>
      <x:c r="C2303" t="str">
        <x:v>PHYSICAL</x:v>
      </x:c>
      <x:c r="D2303" t="str">
        <x:v>trial execution</x:v>
      </x:c>
      <x:c r="E2303" t="str">
        <x:v>PH-EX-093</x:v>
      </x:c>
      <x:c r="F2303" t="n">
        <x:f>IF('Trial Register'!P99&lt;&gt;"",1,0)</x:f>
        <x:v>0</x:v>
      </x:c>
      <x:c r="G2303" t="n">
        <x:v>1</x:v>
      </x:c>
      <x:c r="H2303" t="str">
        <x:v>independent physical acceptance</x:v>
      </x:c>
      <x:c r="I2303" t="str">
        <x:f>IF(F2303=1,"PASS","OPEN")</x:f>
        <x:v>OPEN</x:v>
      </x:c>
    </x:row>
    <x:row r="2304">
      <x:c r="B2304" t="str">
        <x:v>PH-PK-093</x:v>
      </x:c>
      <x:c r="C2304" t="str">
        <x:v>PHYSICAL</x:v>
      </x:c>
      <x:c r="D2304" t="str">
        <x:v>trial packet</x:v>
      </x:c>
      <x:c r="E2304" t="str">
        <x:v>PH-PK-093</x:v>
      </x:c>
      <x:c r="F2304" t="n">
        <x:f>IF('Trial Register'!Q99&lt;&gt;"",1,0)</x:f>
        <x:v>0</x:v>
      </x:c>
      <x:c r="G2304" t="n">
        <x:v>1</x:v>
      </x:c>
      <x:c r="H2304" t="str">
        <x:v>independent physical acceptance</x:v>
      </x:c>
      <x:c r="I2304" t="str">
        <x:f>IF(F2304=1,"PASS","OPEN")</x:f>
        <x:v>OPEN</x:v>
      </x:c>
    </x:row>
    <x:row r="2305">
      <x:c r="B2305" t="str">
        <x:v>PH-VA-093</x:v>
      </x:c>
      <x:c r="C2305" t="str">
        <x:v>PHYSICAL</x:v>
      </x:c>
      <x:c r="D2305" t="str">
        <x:v>trial validity</x:v>
      </x:c>
      <x:c r="E2305" t="str">
        <x:v>PH-VA-093</x:v>
      </x:c>
      <x:c r="F2305" t="n">
        <x:f>IF('Trial Register'!R99&lt;&gt;"",1,0)</x:f>
        <x:v>0</x:v>
      </x:c>
      <x:c r="G2305" t="n">
        <x:v>1</x:v>
      </x:c>
      <x:c r="H2305" t="str">
        <x:v>independent physical acceptance</x:v>
      </x:c>
      <x:c r="I2305" t="str">
        <x:f>IF(F2305=1,"PASS","OPEN")</x:f>
        <x:v>OPEN</x:v>
      </x:c>
    </x:row>
    <x:row r="2306">
      <x:c r="B2306" t="str">
        <x:v>PH-RV-093</x:v>
      </x:c>
      <x:c r="C2306" t="str">
        <x:v>PHYSICAL</x:v>
      </x:c>
      <x:c r="D2306" t="str">
        <x:v>reported value</x:v>
      </x:c>
      <x:c r="E2306" t="str">
        <x:v>PH-RV-093</x:v>
      </x:c>
      <x:c r="F2306" t="n">
        <x:f>IF('Trial Register'!S99&lt;&gt;"",1,0)</x:f>
        <x:v>0</x:v>
      </x:c>
      <x:c r="G2306" t="n">
        <x:v>1</x:v>
      </x:c>
      <x:c r="H2306" t="str">
        <x:v>independent physical acceptance</x:v>
      </x:c>
      <x:c r="I2306" t="str">
        <x:f>IF(F2306=1,"PASS","OPEN")</x:f>
        <x:v>OPEN</x:v>
      </x:c>
    </x:row>
    <x:row r="2307">
      <x:c r="B2307" t="str">
        <x:v>PH-CR-093</x:v>
      </x:c>
      <x:c r="C2307" t="str">
        <x:v>PHYSICAL</x:v>
      </x:c>
      <x:c r="D2307" t="str">
        <x:v>credit acceptance</x:v>
      </x:c>
      <x:c r="E2307" t="str">
        <x:v>PH-CR-093</x:v>
      </x:c>
      <x:c r="F2307" t="str">
        <x:f>'Trial Register'!V99</x:f>
      </x:c>
      <x:c r="G2307" t="n">
        <x:v>1</x:v>
      </x:c>
      <x:c r="H2307" t="str">
        <x:v>independent physical acceptance</x:v>
      </x:c>
      <x:c r="I2307" t="str">
        <x:f>IF(F2307=1,"PASS","OPEN")</x:f>
        <x:v>OPEN</x:v>
      </x:c>
    </x:row>
    <x:row r="2308">
      <x:c r="B2308" t="str">
        <x:v>PH-EX-094</x:v>
      </x:c>
      <x:c r="C2308" t="str">
        <x:v>PHYSICAL</x:v>
      </x:c>
      <x:c r="D2308" t="str">
        <x:v>trial execution</x:v>
      </x:c>
      <x:c r="E2308" t="str">
        <x:v>PH-EX-094</x:v>
      </x:c>
      <x:c r="F2308" t="n">
        <x:f>IF('Trial Register'!P100&lt;&gt;"",1,0)</x:f>
        <x:v>0</x:v>
      </x:c>
      <x:c r="G2308" t="n">
        <x:v>1</x:v>
      </x:c>
      <x:c r="H2308" t="str">
        <x:v>independent physical acceptance</x:v>
      </x:c>
      <x:c r="I2308" t="str">
        <x:f>IF(F2308=1,"PASS","OPEN")</x:f>
        <x:v>OPEN</x:v>
      </x:c>
    </x:row>
    <x:row r="2309">
      <x:c r="B2309" t="str">
        <x:v>PH-PK-094</x:v>
      </x:c>
      <x:c r="C2309" t="str">
        <x:v>PHYSICAL</x:v>
      </x:c>
      <x:c r="D2309" t="str">
        <x:v>trial packet</x:v>
      </x:c>
      <x:c r="E2309" t="str">
        <x:v>PH-PK-094</x:v>
      </x:c>
      <x:c r="F2309" t="n">
        <x:f>IF('Trial Register'!Q100&lt;&gt;"",1,0)</x:f>
        <x:v>0</x:v>
      </x:c>
      <x:c r="G2309" t="n">
        <x:v>1</x:v>
      </x:c>
      <x:c r="H2309" t="str">
        <x:v>independent physical acceptance</x:v>
      </x:c>
      <x:c r="I2309" t="str">
        <x:f>IF(F2309=1,"PASS","OPEN")</x:f>
        <x:v>OPEN</x:v>
      </x:c>
    </x:row>
    <x:row r="2310">
      <x:c r="B2310" t="str">
        <x:v>PH-VA-094</x:v>
      </x:c>
      <x:c r="C2310" t="str">
        <x:v>PHYSICAL</x:v>
      </x:c>
      <x:c r="D2310" t="str">
        <x:v>trial validity</x:v>
      </x:c>
      <x:c r="E2310" t="str">
        <x:v>PH-VA-094</x:v>
      </x:c>
      <x:c r="F2310" t="n">
        <x:f>IF('Trial Register'!R100&lt;&gt;"",1,0)</x:f>
        <x:v>0</x:v>
      </x:c>
      <x:c r="G2310" t="n">
        <x:v>1</x:v>
      </x:c>
      <x:c r="H2310" t="str">
        <x:v>independent physical acceptance</x:v>
      </x:c>
      <x:c r="I2310" t="str">
        <x:f>IF(F2310=1,"PASS","OPEN")</x:f>
        <x:v>OPEN</x:v>
      </x:c>
    </x:row>
    <x:row r="2311">
      <x:c r="B2311" t="str">
        <x:v>PH-RV-094</x:v>
      </x:c>
      <x:c r="C2311" t="str">
        <x:v>PHYSICAL</x:v>
      </x:c>
      <x:c r="D2311" t="str">
        <x:v>reported value</x:v>
      </x:c>
      <x:c r="E2311" t="str">
        <x:v>PH-RV-094</x:v>
      </x:c>
      <x:c r="F2311" t="n">
        <x:f>IF('Trial Register'!S100&lt;&gt;"",1,0)</x:f>
        <x:v>0</x:v>
      </x:c>
      <x:c r="G2311" t="n">
        <x:v>1</x:v>
      </x:c>
      <x:c r="H2311" t="str">
        <x:v>independent physical acceptance</x:v>
      </x:c>
      <x:c r="I2311" t="str">
        <x:f>IF(F2311=1,"PASS","OPEN")</x:f>
        <x:v>OPEN</x:v>
      </x:c>
    </x:row>
    <x:row r="2312">
      <x:c r="B2312" t="str">
        <x:v>PH-CR-094</x:v>
      </x:c>
      <x:c r="C2312" t="str">
        <x:v>PHYSICAL</x:v>
      </x:c>
      <x:c r="D2312" t="str">
        <x:v>credit acceptance</x:v>
      </x:c>
      <x:c r="E2312" t="str">
        <x:v>PH-CR-094</x:v>
      </x:c>
      <x:c r="F2312" t="str">
        <x:f>'Trial Register'!V100</x:f>
      </x:c>
      <x:c r="G2312" t="n">
        <x:v>1</x:v>
      </x:c>
      <x:c r="H2312" t="str">
        <x:v>independent physical acceptance</x:v>
      </x:c>
      <x:c r="I2312" t="str">
        <x:f>IF(F2312=1,"PASS","OPEN")</x:f>
        <x:v>OPEN</x:v>
      </x:c>
    </x:row>
    <x:row r="2313">
      <x:c r="B2313" t="str">
        <x:v>PH-EX-095</x:v>
      </x:c>
      <x:c r="C2313" t="str">
        <x:v>PHYSICAL</x:v>
      </x:c>
      <x:c r="D2313" t="str">
        <x:v>trial execution</x:v>
      </x:c>
      <x:c r="E2313" t="str">
        <x:v>PH-EX-095</x:v>
      </x:c>
      <x:c r="F2313" t="n">
        <x:f>IF('Trial Register'!P101&lt;&gt;"",1,0)</x:f>
        <x:v>0</x:v>
      </x:c>
      <x:c r="G2313" t="n">
        <x:v>1</x:v>
      </x:c>
      <x:c r="H2313" t="str">
        <x:v>independent physical acceptance</x:v>
      </x:c>
      <x:c r="I2313" t="str">
        <x:f>IF(F2313=1,"PASS","OPEN")</x:f>
        <x:v>OPEN</x:v>
      </x:c>
    </x:row>
    <x:row r="2314">
      <x:c r="B2314" t="str">
        <x:v>PH-PK-095</x:v>
      </x:c>
      <x:c r="C2314" t="str">
        <x:v>PHYSICAL</x:v>
      </x:c>
      <x:c r="D2314" t="str">
        <x:v>trial packet</x:v>
      </x:c>
      <x:c r="E2314" t="str">
        <x:v>PH-PK-095</x:v>
      </x:c>
      <x:c r="F2314" t="n">
        <x:f>IF('Trial Register'!Q101&lt;&gt;"",1,0)</x:f>
        <x:v>0</x:v>
      </x:c>
      <x:c r="G2314" t="n">
        <x:v>1</x:v>
      </x:c>
      <x:c r="H2314" t="str">
        <x:v>independent physical acceptance</x:v>
      </x:c>
      <x:c r="I2314" t="str">
        <x:f>IF(F2314=1,"PASS","OPEN")</x:f>
        <x:v>OPEN</x:v>
      </x:c>
    </x:row>
    <x:row r="2315">
      <x:c r="B2315" t="str">
        <x:v>PH-VA-095</x:v>
      </x:c>
      <x:c r="C2315" t="str">
        <x:v>PHYSICAL</x:v>
      </x:c>
      <x:c r="D2315" t="str">
        <x:v>trial validity</x:v>
      </x:c>
      <x:c r="E2315" t="str">
        <x:v>PH-VA-095</x:v>
      </x:c>
      <x:c r="F2315" t="n">
        <x:f>IF('Trial Register'!R101&lt;&gt;"",1,0)</x:f>
        <x:v>0</x:v>
      </x:c>
      <x:c r="G2315" t="n">
        <x:v>1</x:v>
      </x:c>
      <x:c r="H2315" t="str">
        <x:v>independent physical acceptance</x:v>
      </x:c>
      <x:c r="I2315" t="str">
        <x:f>IF(F2315=1,"PASS","OPEN")</x:f>
        <x:v>OPEN</x:v>
      </x:c>
    </x:row>
    <x:row r="2316">
      <x:c r="B2316" t="str">
        <x:v>PH-RV-095</x:v>
      </x:c>
      <x:c r="C2316" t="str">
        <x:v>PHYSICAL</x:v>
      </x:c>
      <x:c r="D2316" t="str">
        <x:v>reported value</x:v>
      </x:c>
      <x:c r="E2316" t="str">
        <x:v>PH-RV-095</x:v>
      </x:c>
      <x:c r="F2316" t="n">
        <x:f>IF('Trial Register'!S101&lt;&gt;"",1,0)</x:f>
        <x:v>0</x:v>
      </x:c>
      <x:c r="G2316" t="n">
        <x:v>1</x:v>
      </x:c>
      <x:c r="H2316" t="str">
        <x:v>independent physical acceptance</x:v>
      </x:c>
      <x:c r="I2316" t="str">
        <x:f>IF(F2316=1,"PASS","OPEN")</x:f>
        <x:v>OPEN</x:v>
      </x:c>
    </x:row>
    <x:row r="2317">
      <x:c r="B2317" t="str">
        <x:v>PH-CR-095</x:v>
      </x:c>
      <x:c r="C2317" t="str">
        <x:v>PHYSICAL</x:v>
      </x:c>
      <x:c r="D2317" t="str">
        <x:v>credit acceptance</x:v>
      </x:c>
      <x:c r="E2317" t="str">
        <x:v>PH-CR-095</x:v>
      </x:c>
      <x:c r="F2317" t="str">
        <x:f>'Trial Register'!V101</x:f>
      </x:c>
      <x:c r="G2317" t="n">
        <x:v>1</x:v>
      </x:c>
      <x:c r="H2317" t="str">
        <x:v>independent physical acceptance</x:v>
      </x:c>
      <x:c r="I2317" t="str">
        <x:f>IF(F2317=1,"PASS","OPEN")</x:f>
        <x:v>OPEN</x:v>
      </x:c>
    </x:row>
    <x:row r="2318">
      <x:c r="B2318" t="str">
        <x:v>PH-EX-096</x:v>
      </x:c>
      <x:c r="C2318" t="str">
        <x:v>PHYSICAL</x:v>
      </x:c>
      <x:c r="D2318" t="str">
        <x:v>trial execution</x:v>
      </x:c>
      <x:c r="E2318" t="str">
        <x:v>PH-EX-096</x:v>
      </x:c>
      <x:c r="F2318" t="n">
        <x:f>IF('Trial Register'!P102&lt;&gt;"",1,0)</x:f>
        <x:v>0</x:v>
      </x:c>
      <x:c r="G2318" t="n">
        <x:v>1</x:v>
      </x:c>
      <x:c r="H2318" t="str">
        <x:v>independent physical acceptance</x:v>
      </x:c>
      <x:c r="I2318" t="str">
        <x:f>IF(F2318=1,"PASS","OPEN")</x:f>
        <x:v>OPEN</x:v>
      </x:c>
    </x:row>
    <x:row r="2319">
      <x:c r="B2319" t="str">
        <x:v>PH-PK-096</x:v>
      </x:c>
      <x:c r="C2319" t="str">
        <x:v>PHYSICAL</x:v>
      </x:c>
      <x:c r="D2319" t="str">
        <x:v>trial packet</x:v>
      </x:c>
      <x:c r="E2319" t="str">
        <x:v>PH-PK-096</x:v>
      </x:c>
      <x:c r="F2319" t="n">
        <x:f>IF('Trial Register'!Q102&lt;&gt;"",1,0)</x:f>
        <x:v>0</x:v>
      </x:c>
      <x:c r="G2319" t="n">
        <x:v>1</x:v>
      </x:c>
      <x:c r="H2319" t="str">
        <x:v>independent physical acceptance</x:v>
      </x:c>
      <x:c r="I2319" t="str">
        <x:f>IF(F2319=1,"PASS","OPEN")</x:f>
        <x:v>OPEN</x:v>
      </x:c>
    </x:row>
    <x:row r="2320">
      <x:c r="B2320" t="str">
        <x:v>PH-VA-096</x:v>
      </x:c>
      <x:c r="C2320" t="str">
        <x:v>PHYSICAL</x:v>
      </x:c>
      <x:c r="D2320" t="str">
        <x:v>trial validity</x:v>
      </x:c>
      <x:c r="E2320" t="str">
        <x:v>PH-VA-096</x:v>
      </x:c>
      <x:c r="F2320" t="n">
        <x:f>IF('Trial Register'!R102&lt;&gt;"",1,0)</x:f>
        <x:v>0</x:v>
      </x:c>
      <x:c r="G2320" t="n">
        <x:v>1</x:v>
      </x:c>
      <x:c r="H2320" t="str">
        <x:v>independent physical acceptance</x:v>
      </x:c>
      <x:c r="I2320" t="str">
        <x:f>IF(F2320=1,"PASS","OPEN")</x:f>
        <x:v>OPEN</x:v>
      </x:c>
    </x:row>
    <x:row r="2321">
      <x:c r="B2321" t="str">
        <x:v>PH-RV-096</x:v>
      </x:c>
      <x:c r="C2321" t="str">
        <x:v>PHYSICAL</x:v>
      </x:c>
      <x:c r="D2321" t="str">
        <x:v>reported value</x:v>
      </x:c>
      <x:c r="E2321" t="str">
        <x:v>PH-RV-096</x:v>
      </x:c>
      <x:c r="F2321" t="n">
        <x:f>IF('Trial Register'!S102&lt;&gt;"",1,0)</x:f>
        <x:v>0</x:v>
      </x:c>
      <x:c r="G2321" t="n">
        <x:v>1</x:v>
      </x:c>
      <x:c r="H2321" t="str">
        <x:v>independent physical acceptance</x:v>
      </x:c>
      <x:c r="I2321" t="str">
        <x:f>IF(F2321=1,"PASS","OPEN")</x:f>
        <x:v>OPEN</x:v>
      </x:c>
    </x:row>
    <x:row r="2322">
      <x:c r="B2322" t="str">
        <x:v>PH-CR-096</x:v>
      </x:c>
      <x:c r="C2322" t="str">
        <x:v>PHYSICAL</x:v>
      </x:c>
      <x:c r="D2322" t="str">
        <x:v>credit acceptance</x:v>
      </x:c>
      <x:c r="E2322" t="str">
        <x:v>PH-CR-096</x:v>
      </x:c>
      <x:c r="F2322" t="str">
        <x:f>'Trial Register'!V102</x:f>
      </x:c>
      <x:c r="G2322" t="n">
        <x:v>1</x:v>
      </x:c>
      <x:c r="H2322" t="str">
        <x:v>independent physical acceptance</x:v>
      </x:c>
      <x:c r="I2322" t="str">
        <x:f>IF(F2322=1,"PASS","OPEN")</x:f>
        <x:v>OPEN</x:v>
      </x:c>
    </x:row>
    <x:row r="2323">
      <x:c r="B2323" t="str">
        <x:v>PH-EX-097</x:v>
      </x:c>
      <x:c r="C2323" t="str">
        <x:v>PHYSICAL</x:v>
      </x:c>
      <x:c r="D2323" t="str">
        <x:v>trial execution</x:v>
      </x:c>
      <x:c r="E2323" t="str">
        <x:v>PH-EX-097</x:v>
      </x:c>
      <x:c r="F2323" t="n">
        <x:f>IF('Trial Register'!P103&lt;&gt;"",1,0)</x:f>
        <x:v>0</x:v>
      </x:c>
      <x:c r="G2323" t="n">
        <x:v>1</x:v>
      </x:c>
      <x:c r="H2323" t="str">
        <x:v>independent physical acceptance</x:v>
      </x:c>
      <x:c r="I2323" t="str">
        <x:f>IF(F2323=1,"PASS","OPEN")</x:f>
        <x:v>OPEN</x:v>
      </x:c>
    </x:row>
    <x:row r="2324">
      <x:c r="B2324" t="str">
        <x:v>PH-PK-097</x:v>
      </x:c>
      <x:c r="C2324" t="str">
        <x:v>PHYSICAL</x:v>
      </x:c>
      <x:c r="D2324" t="str">
        <x:v>trial packet</x:v>
      </x:c>
      <x:c r="E2324" t="str">
        <x:v>PH-PK-097</x:v>
      </x:c>
      <x:c r="F2324" t="n">
        <x:f>IF('Trial Register'!Q103&lt;&gt;"",1,0)</x:f>
        <x:v>0</x:v>
      </x:c>
      <x:c r="G2324" t="n">
        <x:v>1</x:v>
      </x:c>
      <x:c r="H2324" t="str">
        <x:v>independent physical acceptance</x:v>
      </x:c>
      <x:c r="I2324" t="str">
        <x:f>IF(F2324=1,"PASS","OPEN")</x:f>
        <x:v>OPEN</x:v>
      </x:c>
    </x:row>
    <x:row r="2325">
      <x:c r="B2325" t="str">
        <x:v>PH-VA-097</x:v>
      </x:c>
      <x:c r="C2325" t="str">
        <x:v>PHYSICAL</x:v>
      </x:c>
      <x:c r="D2325" t="str">
        <x:v>trial validity</x:v>
      </x:c>
      <x:c r="E2325" t="str">
        <x:v>PH-VA-097</x:v>
      </x:c>
      <x:c r="F2325" t="n">
        <x:f>IF('Trial Register'!R103&lt;&gt;"",1,0)</x:f>
        <x:v>0</x:v>
      </x:c>
      <x:c r="G2325" t="n">
        <x:v>1</x:v>
      </x:c>
      <x:c r="H2325" t="str">
        <x:v>independent physical acceptance</x:v>
      </x:c>
      <x:c r="I2325" t="str">
        <x:f>IF(F2325=1,"PASS","OPEN")</x:f>
        <x:v>OPEN</x:v>
      </x:c>
    </x:row>
    <x:row r="2326">
      <x:c r="B2326" t="str">
        <x:v>PH-RV-097</x:v>
      </x:c>
      <x:c r="C2326" t="str">
        <x:v>PHYSICAL</x:v>
      </x:c>
      <x:c r="D2326" t="str">
        <x:v>reported value</x:v>
      </x:c>
      <x:c r="E2326" t="str">
        <x:v>PH-RV-097</x:v>
      </x:c>
      <x:c r="F2326" t="n">
        <x:f>IF('Trial Register'!S103&lt;&gt;"",1,0)</x:f>
        <x:v>0</x:v>
      </x:c>
      <x:c r="G2326" t="n">
        <x:v>1</x:v>
      </x:c>
      <x:c r="H2326" t="str">
        <x:v>independent physical acceptance</x:v>
      </x:c>
      <x:c r="I2326" t="str">
        <x:f>IF(F2326=1,"PASS","OPEN")</x:f>
        <x:v>OPEN</x:v>
      </x:c>
    </x:row>
    <x:row r="2327">
      <x:c r="B2327" t="str">
        <x:v>PH-CR-097</x:v>
      </x:c>
      <x:c r="C2327" t="str">
        <x:v>PHYSICAL</x:v>
      </x:c>
      <x:c r="D2327" t="str">
        <x:v>credit acceptance</x:v>
      </x:c>
      <x:c r="E2327" t="str">
        <x:v>PH-CR-097</x:v>
      </x:c>
      <x:c r="F2327" t="str">
        <x:f>'Trial Register'!V103</x:f>
      </x:c>
      <x:c r="G2327" t="n">
        <x:v>1</x:v>
      </x:c>
      <x:c r="H2327" t="str">
        <x:v>independent physical acceptance</x:v>
      </x:c>
      <x:c r="I2327" t="str">
        <x:f>IF(F2327=1,"PASS","OPEN")</x:f>
        <x:v>OPEN</x:v>
      </x:c>
    </x:row>
    <x:row r="2328">
      <x:c r="B2328" t="str">
        <x:v>PH-EX-098</x:v>
      </x:c>
      <x:c r="C2328" t="str">
        <x:v>PHYSICAL</x:v>
      </x:c>
      <x:c r="D2328" t="str">
        <x:v>trial execution</x:v>
      </x:c>
      <x:c r="E2328" t="str">
        <x:v>PH-EX-098</x:v>
      </x:c>
      <x:c r="F2328" t="n">
        <x:f>IF('Trial Register'!P104&lt;&gt;"",1,0)</x:f>
        <x:v>0</x:v>
      </x:c>
      <x:c r="G2328" t="n">
        <x:v>1</x:v>
      </x:c>
      <x:c r="H2328" t="str">
        <x:v>independent physical acceptance</x:v>
      </x:c>
      <x:c r="I2328" t="str">
        <x:f>IF(F2328=1,"PASS","OPEN")</x:f>
        <x:v>OPEN</x:v>
      </x:c>
    </x:row>
    <x:row r="2329">
      <x:c r="B2329" t="str">
        <x:v>PH-PK-098</x:v>
      </x:c>
      <x:c r="C2329" t="str">
        <x:v>PHYSICAL</x:v>
      </x:c>
      <x:c r="D2329" t="str">
        <x:v>trial packet</x:v>
      </x:c>
      <x:c r="E2329" t="str">
        <x:v>PH-PK-098</x:v>
      </x:c>
      <x:c r="F2329" t="n">
        <x:f>IF('Trial Register'!Q104&lt;&gt;"",1,0)</x:f>
        <x:v>0</x:v>
      </x:c>
      <x:c r="G2329" t="n">
        <x:v>1</x:v>
      </x:c>
      <x:c r="H2329" t="str">
        <x:v>independent physical acceptance</x:v>
      </x:c>
      <x:c r="I2329" t="str">
        <x:f>IF(F2329=1,"PASS","OPEN")</x:f>
        <x:v>OPEN</x:v>
      </x:c>
    </x:row>
    <x:row r="2330">
      <x:c r="B2330" t="str">
        <x:v>PH-VA-098</x:v>
      </x:c>
      <x:c r="C2330" t="str">
        <x:v>PHYSICAL</x:v>
      </x:c>
      <x:c r="D2330" t="str">
        <x:v>trial validity</x:v>
      </x:c>
      <x:c r="E2330" t="str">
        <x:v>PH-VA-098</x:v>
      </x:c>
      <x:c r="F2330" t="n">
        <x:f>IF('Trial Register'!R104&lt;&gt;"",1,0)</x:f>
        <x:v>0</x:v>
      </x:c>
      <x:c r="G2330" t="n">
        <x:v>1</x:v>
      </x:c>
      <x:c r="H2330" t="str">
        <x:v>independent physical acceptance</x:v>
      </x:c>
      <x:c r="I2330" t="str">
        <x:f>IF(F2330=1,"PASS","OPEN")</x:f>
        <x:v>OPEN</x:v>
      </x:c>
    </x:row>
    <x:row r="2331">
      <x:c r="B2331" t="str">
        <x:v>PH-RV-098</x:v>
      </x:c>
      <x:c r="C2331" t="str">
        <x:v>PHYSICAL</x:v>
      </x:c>
      <x:c r="D2331" t="str">
        <x:v>reported value</x:v>
      </x:c>
      <x:c r="E2331" t="str">
        <x:v>PH-RV-098</x:v>
      </x:c>
      <x:c r="F2331" t="n">
        <x:f>IF('Trial Register'!S104&lt;&gt;"",1,0)</x:f>
        <x:v>0</x:v>
      </x:c>
      <x:c r="G2331" t="n">
        <x:v>1</x:v>
      </x:c>
      <x:c r="H2331" t="str">
        <x:v>independent physical acceptance</x:v>
      </x:c>
      <x:c r="I2331" t="str">
        <x:f>IF(F2331=1,"PASS","OPEN")</x:f>
        <x:v>OPEN</x:v>
      </x:c>
    </x:row>
    <x:row r="2332">
      <x:c r="B2332" t="str">
        <x:v>PH-CR-098</x:v>
      </x:c>
      <x:c r="C2332" t="str">
        <x:v>PHYSICAL</x:v>
      </x:c>
      <x:c r="D2332" t="str">
        <x:v>credit acceptance</x:v>
      </x:c>
      <x:c r="E2332" t="str">
        <x:v>PH-CR-098</x:v>
      </x:c>
      <x:c r="F2332" t="str">
        <x:f>'Trial Register'!V104</x:f>
      </x:c>
      <x:c r="G2332" t="n">
        <x:v>1</x:v>
      </x:c>
      <x:c r="H2332" t="str">
        <x:v>independent physical acceptance</x:v>
      </x:c>
      <x:c r="I2332" t="str">
        <x:f>IF(F2332=1,"PASS","OPEN")</x:f>
        <x:v>OPEN</x:v>
      </x:c>
    </x:row>
    <x:row r="2333">
      <x:c r="B2333" t="str">
        <x:v>PH-EX-099</x:v>
      </x:c>
      <x:c r="C2333" t="str">
        <x:v>PHYSICAL</x:v>
      </x:c>
      <x:c r="D2333" t="str">
        <x:v>trial execution</x:v>
      </x:c>
      <x:c r="E2333" t="str">
        <x:v>PH-EX-099</x:v>
      </x:c>
      <x:c r="F2333" t="n">
        <x:f>IF('Trial Register'!P105&lt;&gt;"",1,0)</x:f>
        <x:v>0</x:v>
      </x:c>
      <x:c r="G2333" t="n">
        <x:v>1</x:v>
      </x:c>
      <x:c r="H2333" t="str">
        <x:v>independent physical acceptance</x:v>
      </x:c>
      <x:c r="I2333" t="str">
        <x:f>IF(F2333=1,"PASS","OPEN")</x:f>
        <x:v>OPEN</x:v>
      </x:c>
    </x:row>
    <x:row r="2334">
      <x:c r="B2334" t="str">
        <x:v>PH-PK-099</x:v>
      </x:c>
      <x:c r="C2334" t="str">
        <x:v>PHYSICAL</x:v>
      </x:c>
      <x:c r="D2334" t="str">
        <x:v>trial packet</x:v>
      </x:c>
      <x:c r="E2334" t="str">
        <x:v>PH-PK-099</x:v>
      </x:c>
      <x:c r="F2334" t="n">
        <x:f>IF('Trial Register'!Q105&lt;&gt;"",1,0)</x:f>
        <x:v>0</x:v>
      </x:c>
      <x:c r="G2334" t="n">
        <x:v>1</x:v>
      </x:c>
      <x:c r="H2334" t="str">
        <x:v>independent physical acceptance</x:v>
      </x:c>
      <x:c r="I2334" t="str">
        <x:f>IF(F2334=1,"PASS","OPEN")</x:f>
        <x:v>OPEN</x:v>
      </x:c>
    </x:row>
    <x:row r="2335">
      <x:c r="B2335" t="str">
        <x:v>PH-VA-099</x:v>
      </x:c>
      <x:c r="C2335" t="str">
        <x:v>PHYSICAL</x:v>
      </x:c>
      <x:c r="D2335" t="str">
        <x:v>trial validity</x:v>
      </x:c>
      <x:c r="E2335" t="str">
        <x:v>PH-VA-099</x:v>
      </x:c>
      <x:c r="F2335" t="n">
        <x:f>IF('Trial Register'!R105&lt;&gt;"",1,0)</x:f>
        <x:v>0</x:v>
      </x:c>
      <x:c r="G2335" t="n">
        <x:v>1</x:v>
      </x:c>
      <x:c r="H2335" t="str">
        <x:v>independent physical acceptance</x:v>
      </x:c>
      <x:c r="I2335" t="str">
        <x:f>IF(F2335=1,"PASS","OPEN")</x:f>
        <x:v>OPEN</x:v>
      </x:c>
    </x:row>
    <x:row r="2336">
      <x:c r="B2336" t="str">
        <x:v>PH-RV-099</x:v>
      </x:c>
      <x:c r="C2336" t="str">
        <x:v>PHYSICAL</x:v>
      </x:c>
      <x:c r="D2336" t="str">
        <x:v>reported value</x:v>
      </x:c>
      <x:c r="E2336" t="str">
        <x:v>PH-RV-099</x:v>
      </x:c>
      <x:c r="F2336" t="n">
        <x:f>IF('Trial Register'!S105&lt;&gt;"",1,0)</x:f>
        <x:v>0</x:v>
      </x:c>
      <x:c r="G2336" t="n">
        <x:v>1</x:v>
      </x:c>
      <x:c r="H2336" t="str">
        <x:v>independent physical acceptance</x:v>
      </x:c>
      <x:c r="I2336" t="str">
        <x:f>IF(F2336=1,"PASS","OPEN")</x:f>
        <x:v>OPEN</x:v>
      </x:c>
    </x:row>
    <x:row r="2337">
      <x:c r="B2337" t="str">
        <x:v>PH-CR-099</x:v>
      </x:c>
      <x:c r="C2337" t="str">
        <x:v>PHYSICAL</x:v>
      </x:c>
      <x:c r="D2337" t="str">
        <x:v>credit acceptance</x:v>
      </x:c>
      <x:c r="E2337" t="str">
        <x:v>PH-CR-099</x:v>
      </x:c>
      <x:c r="F2337" t="str">
        <x:f>'Trial Register'!V105</x:f>
      </x:c>
      <x:c r="G2337" t="n">
        <x:v>1</x:v>
      </x:c>
      <x:c r="H2337" t="str">
        <x:v>independent physical acceptance</x:v>
      </x:c>
      <x:c r="I2337" t="str">
        <x:f>IF(F2337=1,"PASS","OPEN")</x:f>
        <x:v>OPEN</x:v>
      </x:c>
    </x:row>
    <x:row r="2338">
      <x:c r="B2338" t="str">
        <x:v>PH-EX-100</x:v>
      </x:c>
      <x:c r="C2338" t="str">
        <x:v>PHYSICAL</x:v>
      </x:c>
      <x:c r="D2338" t="str">
        <x:v>trial execution</x:v>
      </x:c>
      <x:c r="E2338" t="str">
        <x:v>PH-EX-100</x:v>
      </x:c>
      <x:c r="F2338" t="n">
        <x:f>IF('Trial Register'!P106&lt;&gt;"",1,0)</x:f>
        <x:v>0</x:v>
      </x:c>
      <x:c r="G2338" t="n">
        <x:v>1</x:v>
      </x:c>
      <x:c r="H2338" t="str">
        <x:v>independent physical acceptance</x:v>
      </x:c>
      <x:c r="I2338" t="str">
        <x:f>IF(F2338=1,"PASS","OPEN")</x:f>
        <x:v>OPEN</x:v>
      </x:c>
    </x:row>
    <x:row r="2339">
      <x:c r="B2339" t="str">
        <x:v>PH-PK-100</x:v>
      </x:c>
      <x:c r="C2339" t="str">
        <x:v>PHYSICAL</x:v>
      </x:c>
      <x:c r="D2339" t="str">
        <x:v>trial packet</x:v>
      </x:c>
      <x:c r="E2339" t="str">
        <x:v>PH-PK-100</x:v>
      </x:c>
      <x:c r="F2339" t="n">
        <x:f>IF('Trial Register'!Q106&lt;&gt;"",1,0)</x:f>
        <x:v>0</x:v>
      </x:c>
      <x:c r="G2339" t="n">
        <x:v>1</x:v>
      </x:c>
      <x:c r="H2339" t="str">
        <x:v>independent physical acceptance</x:v>
      </x:c>
      <x:c r="I2339" t="str">
        <x:f>IF(F2339=1,"PASS","OPEN")</x:f>
        <x:v>OPEN</x:v>
      </x:c>
    </x:row>
    <x:row r="2340">
      <x:c r="B2340" t="str">
        <x:v>PH-VA-100</x:v>
      </x:c>
      <x:c r="C2340" t="str">
        <x:v>PHYSICAL</x:v>
      </x:c>
      <x:c r="D2340" t="str">
        <x:v>trial validity</x:v>
      </x:c>
      <x:c r="E2340" t="str">
        <x:v>PH-VA-100</x:v>
      </x:c>
      <x:c r="F2340" t="n">
        <x:f>IF('Trial Register'!R106&lt;&gt;"",1,0)</x:f>
        <x:v>0</x:v>
      </x:c>
      <x:c r="G2340" t="n">
        <x:v>1</x:v>
      </x:c>
      <x:c r="H2340" t="str">
        <x:v>independent physical acceptance</x:v>
      </x:c>
      <x:c r="I2340" t="str">
        <x:f>IF(F2340=1,"PASS","OPEN")</x:f>
        <x:v>OPEN</x:v>
      </x:c>
    </x:row>
    <x:row r="2341">
      <x:c r="B2341" t="str">
        <x:v>PH-RV-100</x:v>
      </x:c>
      <x:c r="C2341" t="str">
        <x:v>PHYSICAL</x:v>
      </x:c>
      <x:c r="D2341" t="str">
        <x:v>reported value</x:v>
      </x:c>
      <x:c r="E2341" t="str">
        <x:v>PH-RV-100</x:v>
      </x:c>
      <x:c r="F2341" t="n">
        <x:f>IF('Trial Register'!S106&lt;&gt;"",1,0)</x:f>
        <x:v>0</x:v>
      </x:c>
      <x:c r="G2341" t="n">
        <x:v>1</x:v>
      </x:c>
      <x:c r="H2341" t="str">
        <x:v>independent physical acceptance</x:v>
      </x:c>
      <x:c r="I2341" t="str">
        <x:f>IF(F2341=1,"PASS","OPEN")</x:f>
        <x:v>OPEN</x:v>
      </x:c>
    </x:row>
    <x:row r="2342">
      <x:c r="B2342" t="str">
        <x:v>PH-CR-100</x:v>
      </x:c>
      <x:c r="C2342" t="str">
        <x:v>PHYSICAL</x:v>
      </x:c>
      <x:c r="D2342" t="str">
        <x:v>credit acceptance</x:v>
      </x:c>
      <x:c r="E2342" t="str">
        <x:v>PH-CR-100</x:v>
      </x:c>
      <x:c r="F2342" t="str">
        <x:f>'Trial Register'!V106</x:f>
      </x:c>
      <x:c r="G2342" t="n">
        <x:v>1</x:v>
      </x:c>
      <x:c r="H2342" t="str">
        <x:v>independent physical acceptance</x:v>
      </x:c>
      <x:c r="I2342" t="str">
        <x:f>IF(F2342=1,"PASS","OPEN")</x:f>
        <x:v>OPEN</x:v>
      </x:c>
    </x:row>
    <x:row r="2343">
      <x:c r="B2343" t="str">
        <x:v>PH-EX-101</x:v>
      </x:c>
      <x:c r="C2343" t="str">
        <x:v>PHYSICAL</x:v>
      </x:c>
      <x:c r="D2343" t="str">
        <x:v>trial execution</x:v>
      </x:c>
      <x:c r="E2343" t="str">
        <x:v>PH-EX-101</x:v>
      </x:c>
      <x:c r="F2343" t="n">
        <x:f>IF('Trial Register'!P107&lt;&gt;"",1,0)</x:f>
        <x:v>0</x:v>
      </x:c>
      <x:c r="G2343" t="n">
        <x:v>1</x:v>
      </x:c>
      <x:c r="H2343" t="str">
        <x:v>independent physical acceptance</x:v>
      </x:c>
      <x:c r="I2343" t="str">
        <x:f>IF(F2343=1,"PASS","OPEN")</x:f>
        <x:v>OPEN</x:v>
      </x:c>
    </x:row>
    <x:row r="2344">
      <x:c r="B2344" t="str">
        <x:v>PH-PK-101</x:v>
      </x:c>
      <x:c r="C2344" t="str">
        <x:v>PHYSICAL</x:v>
      </x:c>
      <x:c r="D2344" t="str">
        <x:v>trial packet</x:v>
      </x:c>
      <x:c r="E2344" t="str">
        <x:v>PH-PK-101</x:v>
      </x:c>
      <x:c r="F2344" t="n">
        <x:f>IF('Trial Register'!Q107&lt;&gt;"",1,0)</x:f>
        <x:v>0</x:v>
      </x:c>
      <x:c r="G2344" t="n">
        <x:v>1</x:v>
      </x:c>
      <x:c r="H2344" t="str">
        <x:v>independent physical acceptance</x:v>
      </x:c>
      <x:c r="I2344" t="str">
        <x:f>IF(F2344=1,"PASS","OPEN")</x:f>
        <x:v>OPEN</x:v>
      </x:c>
    </x:row>
    <x:row r="2345">
      <x:c r="B2345" t="str">
        <x:v>PH-VA-101</x:v>
      </x:c>
      <x:c r="C2345" t="str">
        <x:v>PHYSICAL</x:v>
      </x:c>
      <x:c r="D2345" t="str">
        <x:v>trial validity</x:v>
      </x:c>
      <x:c r="E2345" t="str">
        <x:v>PH-VA-101</x:v>
      </x:c>
      <x:c r="F2345" t="n">
        <x:f>IF('Trial Register'!R107&lt;&gt;"",1,0)</x:f>
        <x:v>0</x:v>
      </x:c>
      <x:c r="G2345" t="n">
        <x:v>1</x:v>
      </x:c>
      <x:c r="H2345" t="str">
        <x:v>independent physical acceptance</x:v>
      </x:c>
      <x:c r="I2345" t="str">
        <x:f>IF(F2345=1,"PASS","OPEN")</x:f>
        <x:v>OPEN</x:v>
      </x:c>
    </x:row>
    <x:row r="2346">
      <x:c r="B2346" t="str">
        <x:v>PH-RV-101</x:v>
      </x:c>
      <x:c r="C2346" t="str">
        <x:v>PHYSICAL</x:v>
      </x:c>
      <x:c r="D2346" t="str">
        <x:v>reported value</x:v>
      </x:c>
      <x:c r="E2346" t="str">
        <x:v>PH-RV-101</x:v>
      </x:c>
      <x:c r="F2346" t="n">
        <x:f>IF('Trial Register'!S107&lt;&gt;"",1,0)</x:f>
        <x:v>0</x:v>
      </x:c>
      <x:c r="G2346" t="n">
        <x:v>1</x:v>
      </x:c>
      <x:c r="H2346" t="str">
        <x:v>independent physical acceptance</x:v>
      </x:c>
      <x:c r="I2346" t="str">
        <x:f>IF(F2346=1,"PASS","OPEN")</x:f>
        <x:v>OPEN</x:v>
      </x:c>
    </x:row>
    <x:row r="2347">
      <x:c r="B2347" t="str">
        <x:v>PH-CR-101</x:v>
      </x:c>
      <x:c r="C2347" t="str">
        <x:v>PHYSICAL</x:v>
      </x:c>
      <x:c r="D2347" t="str">
        <x:v>credit acceptance</x:v>
      </x:c>
      <x:c r="E2347" t="str">
        <x:v>PH-CR-101</x:v>
      </x:c>
      <x:c r="F2347" t="str">
        <x:f>'Trial Register'!V107</x:f>
      </x:c>
      <x:c r="G2347" t="n">
        <x:v>1</x:v>
      </x:c>
      <x:c r="H2347" t="str">
        <x:v>independent physical acceptance</x:v>
      </x:c>
      <x:c r="I2347" t="str">
        <x:f>IF(F2347=1,"PASS","OPEN")</x:f>
        <x:v>OPEN</x:v>
      </x:c>
    </x:row>
    <x:row r="2348">
      <x:c r="B2348" t="str">
        <x:v>PH-EX-102</x:v>
      </x:c>
      <x:c r="C2348" t="str">
        <x:v>PHYSICAL</x:v>
      </x:c>
      <x:c r="D2348" t="str">
        <x:v>trial execution</x:v>
      </x:c>
      <x:c r="E2348" t="str">
        <x:v>PH-EX-102</x:v>
      </x:c>
      <x:c r="F2348" t="n">
        <x:f>IF('Trial Register'!P108&lt;&gt;"",1,0)</x:f>
        <x:v>0</x:v>
      </x:c>
      <x:c r="G2348" t="n">
        <x:v>1</x:v>
      </x:c>
      <x:c r="H2348" t="str">
        <x:v>independent physical acceptance</x:v>
      </x:c>
      <x:c r="I2348" t="str">
        <x:f>IF(F2348=1,"PASS","OPEN")</x:f>
        <x:v>OPEN</x:v>
      </x:c>
    </x:row>
    <x:row r="2349">
      <x:c r="B2349" t="str">
        <x:v>PH-PK-102</x:v>
      </x:c>
      <x:c r="C2349" t="str">
        <x:v>PHYSICAL</x:v>
      </x:c>
      <x:c r="D2349" t="str">
        <x:v>trial packet</x:v>
      </x:c>
      <x:c r="E2349" t="str">
        <x:v>PH-PK-102</x:v>
      </x:c>
      <x:c r="F2349" t="n">
        <x:f>IF('Trial Register'!Q108&lt;&gt;"",1,0)</x:f>
        <x:v>0</x:v>
      </x:c>
      <x:c r="G2349" t="n">
        <x:v>1</x:v>
      </x:c>
      <x:c r="H2349" t="str">
        <x:v>independent physical acceptance</x:v>
      </x:c>
      <x:c r="I2349" t="str">
        <x:f>IF(F2349=1,"PASS","OPEN")</x:f>
        <x:v>OPEN</x:v>
      </x:c>
    </x:row>
    <x:row r="2350">
      <x:c r="B2350" t="str">
        <x:v>PH-VA-102</x:v>
      </x:c>
      <x:c r="C2350" t="str">
        <x:v>PHYSICAL</x:v>
      </x:c>
      <x:c r="D2350" t="str">
        <x:v>trial validity</x:v>
      </x:c>
      <x:c r="E2350" t="str">
        <x:v>PH-VA-102</x:v>
      </x:c>
      <x:c r="F2350" t="n">
        <x:f>IF('Trial Register'!R108&lt;&gt;"",1,0)</x:f>
        <x:v>0</x:v>
      </x:c>
      <x:c r="G2350" t="n">
        <x:v>1</x:v>
      </x:c>
      <x:c r="H2350" t="str">
        <x:v>independent physical acceptance</x:v>
      </x:c>
      <x:c r="I2350" t="str">
        <x:f>IF(F2350=1,"PASS","OPEN")</x:f>
        <x:v>OPEN</x:v>
      </x:c>
    </x:row>
    <x:row r="2351">
      <x:c r="B2351" t="str">
        <x:v>PH-RV-102</x:v>
      </x:c>
      <x:c r="C2351" t="str">
        <x:v>PHYSICAL</x:v>
      </x:c>
      <x:c r="D2351" t="str">
        <x:v>reported value</x:v>
      </x:c>
      <x:c r="E2351" t="str">
        <x:v>PH-RV-102</x:v>
      </x:c>
      <x:c r="F2351" t="n">
        <x:f>IF('Trial Register'!S108&lt;&gt;"",1,0)</x:f>
        <x:v>0</x:v>
      </x:c>
      <x:c r="G2351" t="n">
        <x:v>1</x:v>
      </x:c>
      <x:c r="H2351" t="str">
        <x:v>independent physical acceptance</x:v>
      </x:c>
      <x:c r="I2351" t="str">
        <x:f>IF(F2351=1,"PASS","OPEN")</x:f>
        <x:v>OPEN</x:v>
      </x:c>
    </x:row>
    <x:row r="2352">
      <x:c r="B2352" t="str">
        <x:v>PH-CR-102</x:v>
      </x:c>
      <x:c r="C2352" t="str">
        <x:v>PHYSICAL</x:v>
      </x:c>
      <x:c r="D2352" t="str">
        <x:v>credit acceptance</x:v>
      </x:c>
      <x:c r="E2352" t="str">
        <x:v>PH-CR-102</x:v>
      </x:c>
      <x:c r="F2352" t="str">
        <x:f>'Trial Register'!V108</x:f>
      </x:c>
      <x:c r="G2352" t="n">
        <x:v>1</x:v>
      </x:c>
      <x:c r="H2352" t="str">
        <x:v>independent physical acceptance</x:v>
      </x:c>
      <x:c r="I2352" t="str">
        <x:f>IF(F2352=1,"PASS","OPEN")</x:f>
        <x:v>OPEN</x:v>
      </x:c>
    </x:row>
    <x:row r="2353">
      <x:c r="B2353" t="str">
        <x:v>PH-EX-103</x:v>
      </x:c>
      <x:c r="C2353" t="str">
        <x:v>PHYSICAL</x:v>
      </x:c>
      <x:c r="D2353" t="str">
        <x:v>trial execution</x:v>
      </x:c>
      <x:c r="E2353" t="str">
        <x:v>PH-EX-103</x:v>
      </x:c>
      <x:c r="F2353" t="n">
        <x:f>IF('Trial Register'!P109&lt;&gt;"",1,0)</x:f>
        <x:v>0</x:v>
      </x:c>
      <x:c r="G2353" t="n">
        <x:v>1</x:v>
      </x:c>
      <x:c r="H2353" t="str">
        <x:v>independent physical acceptance</x:v>
      </x:c>
      <x:c r="I2353" t="str">
        <x:f>IF(F2353=1,"PASS","OPEN")</x:f>
        <x:v>OPEN</x:v>
      </x:c>
    </x:row>
    <x:row r="2354">
      <x:c r="B2354" t="str">
        <x:v>PH-PK-103</x:v>
      </x:c>
      <x:c r="C2354" t="str">
        <x:v>PHYSICAL</x:v>
      </x:c>
      <x:c r="D2354" t="str">
        <x:v>trial packet</x:v>
      </x:c>
      <x:c r="E2354" t="str">
        <x:v>PH-PK-103</x:v>
      </x:c>
      <x:c r="F2354" t="n">
        <x:f>IF('Trial Register'!Q109&lt;&gt;"",1,0)</x:f>
        <x:v>0</x:v>
      </x:c>
      <x:c r="G2354" t="n">
        <x:v>1</x:v>
      </x:c>
      <x:c r="H2354" t="str">
        <x:v>independent physical acceptance</x:v>
      </x:c>
      <x:c r="I2354" t="str">
        <x:f>IF(F2354=1,"PASS","OPEN")</x:f>
        <x:v>OPEN</x:v>
      </x:c>
    </x:row>
    <x:row r="2355">
      <x:c r="B2355" t="str">
        <x:v>PH-VA-103</x:v>
      </x:c>
      <x:c r="C2355" t="str">
        <x:v>PHYSICAL</x:v>
      </x:c>
      <x:c r="D2355" t="str">
        <x:v>trial validity</x:v>
      </x:c>
      <x:c r="E2355" t="str">
        <x:v>PH-VA-103</x:v>
      </x:c>
      <x:c r="F2355" t="n">
        <x:f>IF('Trial Register'!R109&lt;&gt;"",1,0)</x:f>
        <x:v>0</x:v>
      </x:c>
      <x:c r="G2355" t="n">
        <x:v>1</x:v>
      </x:c>
      <x:c r="H2355" t="str">
        <x:v>independent physical acceptance</x:v>
      </x:c>
      <x:c r="I2355" t="str">
        <x:f>IF(F2355=1,"PASS","OPEN")</x:f>
        <x:v>OPEN</x:v>
      </x:c>
    </x:row>
    <x:row r="2356">
      <x:c r="B2356" t="str">
        <x:v>PH-RV-103</x:v>
      </x:c>
      <x:c r="C2356" t="str">
        <x:v>PHYSICAL</x:v>
      </x:c>
      <x:c r="D2356" t="str">
        <x:v>reported value</x:v>
      </x:c>
      <x:c r="E2356" t="str">
        <x:v>PH-RV-103</x:v>
      </x:c>
      <x:c r="F2356" t="n">
        <x:f>IF('Trial Register'!S109&lt;&gt;"",1,0)</x:f>
        <x:v>0</x:v>
      </x:c>
      <x:c r="G2356" t="n">
        <x:v>1</x:v>
      </x:c>
      <x:c r="H2356" t="str">
        <x:v>independent physical acceptance</x:v>
      </x:c>
      <x:c r="I2356" t="str">
        <x:f>IF(F2356=1,"PASS","OPEN")</x:f>
        <x:v>OPEN</x:v>
      </x:c>
    </x:row>
    <x:row r="2357">
      <x:c r="B2357" t="str">
        <x:v>PH-CR-103</x:v>
      </x:c>
      <x:c r="C2357" t="str">
        <x:v>PHYSICAL</x:v>
      </x:c>
      <x:c r="D2357" t="str">
        <x:v>credit acceptance</x:v>
      </x:c>
      <x:c r="E2357" t="str">
        <x:v>PH-CR-103</x:v>
      </x:c>
      <x:c r="F2357" t="str">
        <x:f>'Trial Register'!V109</x:f>
      </x:c>
      <x:c r="G2357" t="n">
        <x:v>1</x:v>
      </x:c>
      <x:c r="H2357" t="str">
        <x:v>independent physical acceptance</x:v>
      </x:c>
      <x:c r="I2357" t="str">
        <x:f>IF(F2357=1,"PASS","OPEN")</x:f>
        <x:v>OPEN</x:v>
      </x:c>
    </x:row>
    <x:row r="2358">
      <x:c r="B2358" t="str">
        <x:v>PH-EX-104</x:v>
      </x:c>
      <x:c r="C2358" t="str">
        <x:v>PHYSICAL</x:v>
      </x:c>
      <x:c r="D2358" t="str">
        <x:v>trial execution</x:v>
      </x:c>
      <x:c r="E2358" t="str">
        <x:v>PH-EX-104</x:v>
      </x:c>
      <x:c r="F2358" t="n">
        <x:f>IF('Trial Register'!P110&lt;&gt;"",1,0)</x:f>
        <x:v>0</x:v>
      </x:c>
      <x:c r="G2358" t="n">
        <x:v>1</x:v>
      </x:c>
      <x:c r="H2358" t="str">
        <x:v>independent physical acceptance</x:v>
      </x:c>
      <x:c r="I2358" t="str">
        <x:f>IF(F2358=1,"PASS","OPEN")</x:f>
        <x:v>OPEN</x:v>
      </x:c>
    </x:row>
    <x:row r="2359">
      <x:c r="B2359" t="str">
        <x:v>PH-PK-104</x:v>
      </x:c>
      <x:c r="C2359" t="str">
        <x:v>PHYSICAL</x:v>
      </x:c>
      <x:c r="D2359" t="str">
        <x:v>trial packet</x:v>
      </x:c>
      <x:c r="E2359" t="str">
        <x:v>PH-PK-104</x:v>
      </x:c>
      <x:c r="F2359" t="n">
        <x:f>IF('Trial Register'!Q110&lt;&gt;"",1,0)</x:f>
        <x:v>0</x:v>
      </x:c>
      <x:c r="G2359" t="n">
        <x:v>1</x:v>
      </x:c>
      <x:c r="H2359" t="str">
        <x:v>independent physical acceptance</x:v>
      </x:c>
      <x:c r="I2359" t="str">
        <x:f>IF(F2359=1,"PASS","OPEN")</x:f>
        <x:v>OPEN</x:v>
      </x:c>
    </x:row>
    <x:row r="2360">
      <x:c r="B2360" t="str">
        <x:v>PH-VA-104</x:v>
      </x:c>
      <x:c r="C2360" t="str">
        <x:v>PHYSICAL</x:v>
      </x:c>
      <x:c r="D2360" t="str">
        <x:v>trial validity</x:v>
      </x:c>
      <x:c r="E2360" t="str">
        <x:v>PH-VA-104</x:v>
      </x:c>
      <x:c r="F2360" t="n">
        <x:f>IF('Trial Register'!R110&lt;&gt;"",1,0)</x:f>
        <x:v>0</x:v>
      </x:c>
      <x:c r="G2360" t="n">
        <x:v>1</x:v>
      </x:c>
      <x:c r="H2360" t="str">
        <x:v>independent physical acceptance</x:v>
      </x:c>
      <x:c r="I2360" t="str">
        <x:f>IF(F2360=1,"PASS","OPEN")</x:f>
        <x:v>OPEN</x:v>
      </x:c>
    </x:row>
    <x:row r="2361">
      <x:c r="B2361" t="str">
        <x:v>PH-RV-104</x:v>
      </x:c>
      <x:c r="C2361" t="str">
        <x:v>PHYSICAL</x:v>
      </x:c>
      <x:c r="D2361" t="str">
        <x:v>reported value</x:v>
      </x:c>
      <x:c r="E2361" t="str">
        <x:v>PH-RV-104</x:v>
      </x:c>
      <x:c r="F2361" t="n">
        <x:f>IF('Trial Register'!S110&lt;&gt;"",1,0)</x:f>
        <x:v>0</x:v>
      </x:c>
      <x:c r="G2361" t="n">
        <x:v>1</x:v>
      </x:c>
      <x:c r="H2361" t="str">
        <x:v>independent physical acceptance</x:v>
      </x:c>
      <x:c r="I2361" t="str">
        <x:f>IF(F2361=1,"PASS","OPEN")</x:f>
        <x:v>OPEN</x:v>
      </x:c>
    </x:row>
    <x:row r="2362">
      <x:c r="B2362" t="str">
        <x:v>PH-CR-104</x:v>
      </x:c>
      <x:c r="C2362" t="str">
        <x:v>PHYSICAL</x:v>
      </x:c>
      <x:c r="D2362" t="str">
        <x:v>credit acceptance</x:v>
      </x:c>
      <x:c r="E2362" t="str">
        <x:v>PH-CR-104</x:v>
      </x:c>
      <x:c r="F2362" t="str">
        <x:f>'Trial Register'!V110</x:f>
      </x:c>
      <x:c r="G2362" t="n">
        <x:v>1</x:v>
      </x:c>
      <x:c r="H2362" t="str">
        <x:v>independent physical acceptance</x:v>
      </x:c>
      <x:c r="I2362" t="str">
        <x:f>IF(F2362=1,"PASS","OPEN")</x:f>
        <x:v>OPEN</x:v>
      </x:c>
    </x:row>
    <x:row r="2363">
      <x:c r="B2363" t="str">
        <x:v>PH-EX-105</x:v>
      </x:c>
      <x:c r="C2363" t="str">
        <x:v>PHYSICAL</x:v>
      </x:c>
      <x:c r="D2363" t="str">
        <x:v>trial execution</x:v>
      </x:c>
      <x:c r="E2363" t="str">
        <x:v>PH-EX-105</x:v>
      </x:c>
      <x:c r="F2363" t="n">
        <x:f>IF('Trial Register'!P111&lt;&gt;"",1,0)</x:f>
        <x:v>0</x:v>
      </x:c>
      <x:c r="G2363" t="n">
        <x:v>1</x:v>
      </x:c>
      <x:c r="H2363" t="str">
        <x:v>independent physical acceptance</x:v>
      </x:c>
      <x:c r="I2363" t="str">
        <x:f>IF(F2363=1,"PASS","OPEN")</x:f>
        <x:v>OPEN</x:v>
      </x:c>
    </x:row>
    <x:row r="2364">
      <x:c r="B2364" t="str">
        <x:v>PH-PK-105</x:v>
      </x:c>
      <x:c r="C2364" t="str">
        <x:v>PHYSICAL</x:v>
      </x:c>
      <x:c r="D2364" t="str">
        <x:v>trial packet</x:v>
      </x:c>
      <x:c r="E2364" t="str">
        <x:v>PH-PK-105</x:v>
      </x:c>
      <x:c r="F2364" t="n">
        <x:f>IF('Trial Register'!Q111&lt;&gt;"",1,0)</x:f>
        <x:v>0</x:v>
      </x:c>
      <x:c r="G2364" t="n">
        <x:v>1</x:v>
      </x:c>
      <x:c r="H2364" t="str">
        <x:v>independent physical acceptance</x:v>
      </x:c>
      <x:c r="I2364" t="str">
        <x:f>IF(F2364=1,"PASS","OPEN")</x:f>
        <x:v>OPEN</x:v>
      </x:c>
    </x:row>
    <x:row r="2365">
      <x:c r="B2365" t="str">
        <x:v>PH-VA-105</x:v>
      </x:c>
      <x:c r="C2365" t="str">
        <x:v>PHYSICAL</x:v>
      </x:c>
      <x:c r="D2365" t="str">
        <x:v>trial validity</x:v>
      </x:c>
      <x:c r="E2365" t="str">
        <x:v>PH-VA-105</x:v>
      </x:c>
      <x:c r="F2365" t="n">
        <x:f>IF('Trial Register'!R111&lt;&gt;"",1,0)</x:f>
        <x:v>0</x:v>
      </x:c>
      <x:c r="G2365" t="n">
        <x:v>1</x:v>
      </x:c>
      <x:c r="H2365" t="str">
        <x:v>independent physical acceptance</x:v>
      </x:c>
      <x:c r="I2365" t="str">
        <x:f>IF(F2365=1,"PASS","OPEN")</x:f>
        <x:v>OPEN</x:v>
      </x:c>
    </x:row>
    <x:row r="2366">
      <x:c r="B2366" t="str">
        <x:v>PH-RV-105</x:v>
      </x:c>
      <x:c r="C2366" t="str">
        <x:v>PHYSICAL</x:v>
      </x:c>
      <x:c r="D2366" t="str">
        <x:v>reported value</x:v>
      </x:c>
      <x:c r="E2366" t="str">
        <x:v>PH-RV-105</x:v>
      </x:c>
      <x:c r="F2366" t="n">
        <x:f>IF('Trial Register'!S111&lt;&gt;"",1,0)</x:f>
        <x:v>0</x:v>
      </x:c>
      <x:c r="G2366" t="n">
        <x:v>1</x:v>
      </x:c>
      <x:c r="H2366" t="str">
        <x:v>independent physical acceptance</x:v>
      </x:c>
      <x:c r="I2366" t="str">
        <x:f>IF(F2366=1,"PASS","OPEN")</x:f>
        <x:v>OPEN</x:v>
      </x:c>
    </x:row>
    <x:row r="2367">
      <x:c r="B2367" t="str">
        <x:v>PH-CR-105</x:v>
      </x:c>
      <x:c r="C2367" t="str">
        <x:v>PHYSICAL</x:v>
      </x:c>
      <x:c r="D2367" t="str">
        <x:v>credit acceptance</x:v>
      </x:c>
      <x:c r="E2367" t="str">
        <x:v>PH-CR-105</x:v>
      </x:c>
      <x:c r="F2367" t="str">
        <x:f>'Trial Register'!V111</x:f>
      </x:c>
      <x:c r="G2367" t="n">
        <x:v>1</x:v>
      </x:c>
      <x:c r="H2367" t="str">
        <x:v>independent physical acceptance</x:v>
      </x:c>
      <x:c r="I2367" t="str">
        <x:f>IF(F2367=1,"PASS","OPEN")</x:f>
        <x:v>OPEN</x:v>
      </x:c>
    </x:row>
    <x:row r="2368">
      <x:c r="B2368" t="str">
        <x:v>PH-EX-106</x:v>
      </x:c>
      <x:c r="C2368" t="str">
        <x:v>PHYSICAL</x:v>
      </x:c>
      <x:c r="D2368" t="str">
        <x:v>trial execution</x:v>
      </x:c>
      <x:c r="E2368" t="str">
        <x:v>PH-EX-106</x:v>
      </x:c>
      <x:c r="F2368" t="n">
        <x:f>IF('Trial Register'!P112&lt;&gt;"",1,0)</x:f>
        <x:v>0</x:v>
      </x:c>
      <x:c r="G2368" t="n">
        <x:v>1</x:v>
      </x:c>
      <x:c r="H2368" t="str">
        <x:v>independent physical acceptance</x:v>
      </x:c>
      <x:c r="I2368" t="str">
        <x:f>IF(F2368=1,"PASS","OPEN")</x:f>
        <x:v>OPEN</x:v>
      </x:c>
    </x:row>
    <x:row r="2369">
      <x:c r="B2369" t="str">
        <x:v>PH-PK-106</x:v>
      </x:c>
      <x:c r="C2369" t="str">
        <x:v>PHYSICAL</x:v>
      </x:c>
      <x:c r="D2369" t="str">
        <x:v>trial packet</x:v>
      </x:c>
      <x:c r="E2369" t="str">
        <x:v>PH-PK-106</x:v>
      </x:c>
      <x:c r="F2369" t="n">
        <x:f>IF('Trial Register'!Q112&lt;&gt;"",1,0)</x:f>
        <x:v>0</x:v>
      </x:c>
      <x:c r="G2369" t="n">
        <x:v>1</x:v>
      </x:c>
      <x:c r="H2369" t="str">
        <x:v>independent physical acceptance</x:v>
      </x:c>
      <x:c r="I2369" t="str">
        <x:f>IF(F2369=1,"PASS","OPEN")</x:f>
        <x:v>OPEN</x:v>
      </x:c>
    </x:row>
    <x:row r="2370">
      <x:c r="B2370" t="str">
        <x:v>PH-VA-106</x:v>
      </x:c>
      <x:c r="C2370" t="str">
        <x:v>PHYSICAL</x:v>
      </x:c>
      <x:c r="D2370" t="str">
        <x:v>trial validity</x:v>
      </x:c>
      <x:c r="E2370" t="str">
        <x:v>PH-VA-106</x:v>
      </x:c>
      <x:c r="F2370" t="n">
        <x:f>IF('Trial Register'!R112&lt;&gt;"",1,0)</x:f>
        <x:v>0</x:v>
      </x:c>
      <x:c r="G2370" t="n">
        <x:v>1</x:v>
      </x:c>
      <x:c r="H2370" t="str">
        <x:v>independent physical acceptance</x:v>
      </x:c>
      <x:c r="I2370" t="str">
        <x:f>IF(F2370=1,"PASS","OPEN")</x:f>
        <x:v>OPEN</x:v>
      </x:c>
    </x:row>
    <x:row r="2371">
      <x:c r="B2371" t="str">
        <x:v>PH-RV-106</x:v>
      </x:c>
      <x:c r="C2371" t="str">
        <x:v>PHYSICAL</x:v>
      </x:c>
      <x:c r="D2371" t="str">
        <x:v>reported value</x:v>
      </x:c>
      <x:c r="E2371" t="str">
        <x:v>PH-RV-106</x:v>
      </x:c>
      <x:c r="F2371" t="n">
        <x:f>IF('Trial Register'!S112&lt;&gt;"",1,0)</x:f>
        <x:v>0</x:v>
      </x:c>
      <x:c r="G2371" t="n">
        <x:v>1</x:v>
      </x:c>
      <x:c r="H2371" t="str">
        <x:v>independent physical acceptance</x:v>
      </x:c>
      <x:c r="I2371" t="str">
        <x:f>IF(F2371=1,"PASS","OPEN")</x:f>
        <x:v>OPEN</x:v>
      </x:c>
    </x:row>
    <x:row r="2372">
      <x:c r="B2372" t="str">
        <x:v>PH-CR-106</x:v>
      </x:c>
      <x:c r="C2372" t="str">
        <x:v>PHYSICAL</x:v>
      </x:c>
      <x:c r="D2372" t="str">
        <x:v>credit acceptance</x:v>
      </x:c>
      <x:c r="E2372" t="str">
        <x:v>PH-CR-106</x:v>
      </x:c>
      <x:c r="F2372" t="str">
        <x:f>'Trial Register'!V112</x:f>
      </x:c>
      <x:c r="G2372" t="n">
        <x:v>1</x:v>
      </x:c>
      <x:c r="H2372" t="str">
        <x:v>independent physical acceptance</x:v>
      </x:c>
      <x:c r="I2372" t="str">
        <x:f>IF(F2372=1,"PASS","OPEN")</x:f>
        <x:v>OPEN</x:v>
      </x:c>
    </x:row>
    <x:row r="2373">
      <x:c r="B2373" t="str">
        <x:v>PH-EX-107</x:v>
      </x:c>
      <x:c r="C2373" t="str">
        <x:v>PHYSICAL</x:v>
      </x:c>
      <x:c r="D2373" t="str">
        <x:v>trial execution</x:v>
      </x:c>
      <x:c r="E2373" t="str">
        <x:v>PH-EX-107</x:v>
      </x:c>
      <x:c r="F2373" t="n">
        <x:f>IF('Trial Register'!P113&lt;&gt;"",1,0)</x:f>
        <x:v>0</x:v>
      </x:c>
      <x:c r="G2373" t="n">
        <x:v>1</x:v>
      </x:c>
      <x:c r="H2373" t="str">
        <x:v>independent physical acceptance</x:v>
      </x:c>
      <x:c r="I2373" t="str">
        <x:f>IF(F2373=1,"PASS","OPEN")</x:f>
        <x:v>OPEN</x:v>
      </x:c>
    </x:row>
    <x:row r="2374">
      <x:c r="B2374" t="str">
        <x:v>PH-PK-107</x:v>
      </x:c>
      <x:c r="C2374" t="str">
        <x:v>PHYSICAL</x:v>
      </x:c>
      <x:c r="D2374" t="str">
        <x:v>trial packet</x:v>
      </x:c>
      <x:c r="E2374" t="str">
        <x:v>PH-PK-107</x:v>
      </x:c>
      <x:c r="F2374" t="n">
        <x:f>IF('Trial Register'!Q113&lt;&gt;"",1,0)</x:f>
        <x:v>0</x:v>
      </x:c>
      <x:c r="G2374" t="n">
        <x:v>1</x:v>
      </x:c>
      <x:c r="H2374" t="str">
        <x:v>independent physical acceptance</x:v>
      </x:c>
      <x:c r="I2374" t="str">
        <x:f>IF(F2374=1,"PASS","OPEN")</x:f>
        <x:v>OPEN</x:v>
      </x:c>
    </x:row>
    <x:row r="2375">
      <x:c r="B2375" t="str">
        <x:v>PH-VA-107</x:v>
      </x:c>
      <x:c r="C2375" t="str">
        <x:v>PHYSICAL</x:v>
      </x:c>
      <x:c r="D2375" t="str">
        <x:v>trial validity</x:v>
      </x:c>
      <x:c r="E2375" t="str">
        <x:v>PH-VA-107</x:v>
      </x:c>
      <x:c r="F2375" t="n">
        <x:f>IF('Trial Register'!R113&lt;&gt;"",1,0)</x:f>
        <x:v>0</x:v>
      </x:c>
      <x:c r="G2375" t="n">
        <x:v>1</x:v>
      </x:c>
      <x:c r="H2375" t="str">
        <x:v>independent physical acceptance</x:v>
      </x:c>
      <x:c r="I2375" t="str">
        <x:f>IF(F2375=1,"PASS","OPEN")</x:f>
        <x:v>OPEN</x:v>
      </x:c>
    </x:row>
    <x:row r="2376">
      <x:c r="B2376" t="str">
        <x:v>PH-RV-107</x:v>
      </x:c>
      <x:c r="C2376" t="str">
        <x:v>PHYSICAL</x:v>
      </x:c>
      <x:c r="D2376" t="str">
        <x:v>reported value</x:v>
      </x:c>
      <x:c r="E2376" t="str">
        <x:v>PH-RV-107</x:v>
      </x:c>
      <x:c r="F2376" t="n">
        <x:f>IF('Trial Register'!S113&lt;&gt;"",1,0)</x:f>
        <x:v>0</x:v>
      </x:c>
      <x:c r="G2376" t="n">
        <x:v>1</x:v>
      </x:c>
      <x:c r="H2376" t="str">
        <x:v>independent physical acceptance</x:v>
      </x:c>
      <x:c r="I2376" t="str">
        <x:f>IF(F2376=1,"PASS","OPEN")</x:f>
        <x:v>OPEN</x:v>
      </x:c>
    </x:row>
    <x:row r="2377">
      <x:c r="B2377" t="str">
        <x:v>PH-CR-107</x:v>
      </x:c>
      <x:c r="C2377" t="str">
        <x:v>PHYSICAL</x:v>
      </x:c>
      <x:c r="D2377" t="str">
        <x:v>credit acceptance</x:v>
      </x:c>
      <x:c r="E2377" t="str">
        <x:v>PH-CR-107</x:v>
      </x:c>
      <x:c r="F2377" t="str">
        <x:f>'Trial Register'!V113</x:f>
      </x:c>
      <x:c r="G2377" t="n">
        <x:v>1</x:v>
      </x:c>
      <x:c r="H2377" t="str">
        <x:v>independent physical acceptance</x:v>
      </x:c>
      <x:c r="I2377" t="str">
        <x:f>IF(F2377=1,"PASS","OPEN")</x:f>
        <x:v>OPEN</x:v>
      </x:c>
    </x:row>
    <x:row r="2378">
      <x:c r="B2378" t="str">
        <x:v>PH-EX-108</x:v>
      </x:c>
      <x:c r="C2378" t="str">
        <x:v>PHYSICAL</x:v>
      </x:c>
      <x:c r="D2378" t="str">
        <x:v>trial execution</x:v>
      </x:c>
      <x:c r="E2378" t="str">
        <x:v>PH-EX-108</x:v>
      </x:c>
      <x:c r="F2378" t="n">
        <x:f>IF('Trial Register'!P114&lt;&gt;"",1,0)</x:f>
        <x:v>0</x:v>
      </x:c>
      <x:c r="G2378" t="n">
        <x:v>1</x:v>
      </x:c>
      <x:c r="H2378" t="str">
        <x:v>independent physical acceptance</x:v>
      </x:c>
      <x:c r="I2378" t="str">
        <x:f>IF(F2378=1,"PASS","OPEN")</x:f>
        <x:v>OPEN</x:v>
      </x:c>
    </x:row>
    <x:row r="2379">
      <x:c r="B2379" t="str">
        <x:v>PH-PK-108</x:v>
      </x:c>
      <x:c r="C2379" t="str">
        <x:v>PHYSICAL</x:v>
      </x:c>
      <x:c r="D2379" t="str">
        <x:v>trial packet</x:v>
      </x:c>
      <x:c r="E2379" t="str">
        <x:v>PH-PK-108</x:v>
      </x:c>
      <x:c r="F2379" t="n">
        <x:f>IF('Trial Register'!Q114&lt;&gt;"",1,0)</x:f>
        <x:v>0</x:v>
      </x:c>
      <x:c r="G2379" t="n">
        <x:v>1</x:v>
      </x:c>
      <x:c r="H2379" t="str">
        <x:v>independent physical acceptance</x:v>
      </x:c>
      <x:c r="I2379" t="str">
        <x:f>IF(F2379=1,"PASS","OPEN")</x:f>
        <x:v>OPEN</x:v>
      </x:c>
    </x:row>
    <x:row r="2380">
      <x:c r="B2380" t="str">
        <x:v>PH-VA-108</x:v>
      </x:c>
      <x:c r="C2380" t="str">
        <x:v>PHYSICAL</x:v>
      </x:c>
      <x:c r="D2380" t="str">
        <x:v>trial validity</x:v>
      </x:c>
      <x:c r="E2380" t="str">
        <x:v>PH-VA-108</x:v>
      </x:c>
      <x:c r="F2380" t="n">
        <x:f>IF('Trial Register'!R114&lt;&gt;"",1,0)</x:f>
        <x:v>0</x:v>
      </x:c>
      <x:c r="G2380" t="n">
        <x:v>1</x:v>
      </x:c>
      <x:c r="H2380" t="str">
        <x:v>independent physical acceptance</x:v>
      </x:c>
      <x:c r="I2380" t="str">
        <x:f>IF(F2380=1,"PASS","OPEN")</x:f>
        <x:v>OPEN</x:v>
      </x:c>
    </x:row>
    <x:row r="2381">
      <x:c r="B2381" t="str">
        <x:v>PH-RV-108</x:v>
      </x:c>
      <x:c r="C2381" t="str">
        <x:v>PHYSICAL</x:v>
      </x:c>
      <x:c r="D2381" t="str">
        <x:v>reported value</x:v>
      </x:c>
      <x:c r="E2381" t="str">
        <x:v>PH-RV-108</x:v>
      </x:c>
      <x:c r="F2381" t="n">
        <x:f>IF('Trial Register'!S114&lt;&gt;"",1,0)</x:f>
        <x:v>0</x:v>
      </x:c>
      <x:c r="G2381" t="n">
        <x:v>1</x:v>
      </x:c>
      <x:c r="H2381" t="str">
        <x:v>independent physical acceptance</x:v>
      </x:c>
      <x:c r="I2381" t="str">
        <x:f>IF(F2381=1,"PASS","OPEN")</x:f>
        <x:v>OPEN</x:v>
      </x:c>
    </x:row>
    <x:row r="2382">
      <x:c r="B2382" t="str">
        <x:v>PH-CR-108</x:v>
      </x:c>
      <x:c r="C2382" t="str">
        <x:v>PHYSICAL</x:v>
      </x:c>
      <x:c r="D2382" t="str">
        <x:v>credit acceptance</x:v>
      </x:c>
      <x:c r="E2382" t="str">
        <x:v>PH-CR-108</x:v>
      </x:c>
      <x:c r="F2382" t="str">
        <x:f>'Trial Register'!V114</x:f>
      </x:c>
      <x:c r="G2382" t="n">
        <x:v>1</x:v>
      </x:c>
      <x:c r="H2382" t="str">
        <x:v>independent physical acceptance</x:v>
      </x:c>
      <x:c r="I2382" t="str">
        <x:f>IF(F2382=1,"PASS","OPEN")</x:f>
        <x:v>OPEN</x:v>
      </x:c>
    </x:row>
    <x:row r="2383">
      <x:c r="B2383" t="str">
        <x:v>PH-EX-109</x:v>
      </x:c>
      <x:c r="C2383" t="str">
        <x:v>PHYSICAL</x:v>
      </x:c>
      <x:c r="D2383" t="str">
        <x:v>trial execution</x:v>
      </x:c>
      <x:c r="E2383" t="str">
        <x:v>PH-EX-109</x:v>
      </x:c>
      <x:c r="F2383" t="n">
        <x:f>IF('Trial Register'!P115&lt;&gt;"",1,0)</x:f>
        <x:v>0</x:v>
      </x:c>
      <x:c r="G2383" t="n">
        <x:v>1</x:v>
      </x:c>
      <x:c r="H2383" t="str">
        <x:v>independent physical acceptance</x:v>
      </x:c>
      <x:c r="I2383" t="str">
        <x:f>IF(F2383=1,"PASS","OPEN")</x:f>
        <x:v>OPEN</x:v>
      </x:c>
    </x:row>
    <x:row r="2384">
      <x:c r="B2384" t="str">
        <x:v>PH-PK-109</x:v>
      </x:c>
      <x:c r="C2384" t="str">
        <x:v>PHYSICAL</x:v>
      </x:c>
      <x:c r="D2384" t="str">
        <x:v>trial packet</x:v>
      </x:c>
      <x:c r="E2384" t="str">
        <x:v>PH-PK-109</x:v>
      </x:c>
      <x:c r="F2384" t="n">
        <x:f>IF('Trial Register'!Q115&lt;&gt;"",1,0)</x:f>
        <x:v>0</x:v>
      </x:c>
      <x:c r="G2384" t="n">
        <x:v>1</x:v>
      </x:c>
      <x:c r="H2384" t="str">
        <x:v>independent physical acceptance</x:v>
      </x:c>
      <x:c r="I2384" t="str">
        <x:f>IF(F2384=1,"PASS","OPEN")</x:f>
        <x:v>OPEN</x:v>
      </x:c>
    </x:row>
    <x:row r="2385">
      <x:c r="B2385" t="str">
        <x:v>PH-VA-109</x:v>
      </x:c>
      <x:c r="C2385" t="str">
        <x:v>PHYSICAL</x:v>
      </x:c>
      <x:c r="D2385" t="str">
        <x:v>trial validity</x:v>
      </x:c>
      <x:c r="E2385" t="str">
        <x:v>PH-VA-109</x:v>
      </x:c>
      <x:c r="F2385" t="n">
        <x:f>IF('Trial Register'!R115&lt;&gt;"",1,0)</x:f>
        <x:v>0</x:v>
      </x:c>
      <x:c r="G2385" t="n">
        <x:v>1</x:v>
      </x:c>
      <x:c r="H2385" t="str">
        <x:v>independent physical acceptance</x:v>
      </x:c>
      <x:c r="I2385" t="str">
        <x:f>IF(F2385=1,"PASS","OPEN")</x:f>
        <x:v>OPEN</x:v>
      </x:c>
    </x:row>
    <x:row r="2386">
      <x:c r="B2386" t="str">
        <x:v>PH-RV-109</x:v>
      </x:c>
      <x:c r="C2386" t="str">
        <x:v>PHYSICAL</x:v>
      </x:c>
      <x:c r="D2386" t="str">
        <x:v>reported value</x:v>
      </x:c>
      <x:c r="E2386" t="str">
        <x:v>PH-RV-109</x:v>
      </x:c>
      <x:c r="F2386" t="n">
        <x:f>IF('Trial Register'!S115&lt;&gt;"",1,0)</x:f>
        <x:v>0</x:v>
      </x:c>
      <x:c r="G2386" t="n">
        <x:v>1</x:v>
      </x:c>
      <x:c r="H2386" t="str">
        <x:v>independent physical acceptance</x:v>
      </x:c>
      <x:c r="I2386" t="str">
        <x:f>IF(F2386=1,"PASS","OPEN")</x:f>
        <x:v>OPEN</x:v>
      </x:c>
    </x:row>
    <x:row r="2387">
      <x:c r="B2387" t="str">
        <x:v>PH-CR-109</x:v>
      </x:c>
      <x:c r="C2387" t="str">
        <x:v>PHYSICAL</x:v>
      </x:c>
      <x:c r="D2387" t="str">
        <x:v>credit acceptance</x:v>
      </x:c>
      <x:c r="E2387" t="str">
        <x:v>PH-CR-109</x:v>
      </x:c>
      <x:c r="F2387" t="str">
        <x:f>'Trial Register'!V115</x:f>
      </x:c>
      <x:c r="G2387" t="n">
        <x:v>1</x:v>
      </x:c>
      <x:c r="H2387" t="str">
        <x:v>independent physical acceptance</x:v>
      </x:c>
      <x:c r="I2387" t="str">
        <x:f>IF(F2387=1,"PASS","OPEN")</x:f>
        <x:v>OPEN</x:v>
      </x:c>
    </x:row>
    <x:row r="2388">
      <x:c r="B2388" t="str">
        <x:v>PH-EX-110</x:v>
      </x:c>
      <x:c r="C2388" t="str">
        <x:v>PHYSICAL</x:v>
      </x:c>
      <x:c r="D2388" t="str">
        <x:v>trial execution</x:v>
      </x:c>
      <x:c r="E2388" t="str">
        <x:v>PH-EX-110</x:v>
      </x:c>
      <x:c r="F2388" t="n">
        <x:f>IF('Trial Register'!P116&lt;&gt;"",1,0)</x:f>
        <x:v>0</x:v>
      </x:c>
      <x:c r="G2388" t="n">
        <x:v>1</x:v>
      </x:c>
      <x:c r="H2388" t="str">
        <x:v>independent physical acceptance</x:v>
      </x:c>
      <x:c r="I2388" t="str">
        <x:f>IF(F2388=1,"PASS","OPEN")</x:f>
        <x:v>OPEN</x:v>
      </x:c>
    </x:row>
    <x:row r="2389">
      <x:c r="B2389" t="str">
        <x:v>PH-PK-110</x:v>
      </x:c>
      <x:c r="C2389" t="str">
        <x:v>PHYSICAL</x:v>
      </x:c>
      <x:c r="D2389" t="str">
        <x:v>trial packet</x:v>
      </x:c>
      <x:c r="E2389" t="str">
        <x:v>PH-PK-110</x:v>
      </x:c>
      <x:c r="F2389" t="n">
        <x:f>IF('Trial Register'!Q116&lt;&gt;"",1,0)</x:f>
        <x:v>0</x:v>
      </x:c>
      <x:c r="G2389" t="n">
        <x:v>1</x:v>
      </x:c>
      <x:c r="H2389" t="str">
        <x:v>independent physical acceptance</x:v>
      </x:c>
      <x:c r="I2389" t="str">
        <x:f>IF(F2389=1,"PASS","OPEN")</x:f>
        <x:v>OPEN</x:v>
      </x:c>
    </x:row>
    <x:row r="2390">
      <x:c r="B2390" t="str">
        <x:v>PH-VA-110</x:v>
      </x:c>
      <x:c r="C2390" t="str">
        <x:v>PHYSICAL</x:v>
      </x:c>
      <x:c r="D2390" t="str">
        <x:v>trial validity</x:v>
      </x:c>
      <x:c r="E2390" t="str">
        <x:v>PH-VA-110</x:v>
      </x:c>
      <x:c r="F2390" t="n">
        <x:f>IF('Trial Register'!R116&lt;&gt;"",1,0)</x:f>
        <x:v>0</x:v>
      </x:c>
      <x:c r="G2390" t="n">
        <x:v>1</x:v>
      </x:c>
      <x:c r="H2390" t="str">
        <x:v>independent physical acceptance</x:v>
      </x:c>
      <x:c r="I2390" t="str">
        <x:f>IF(F2390=1,"PASS","OPEN")</x:f>
        <x:v>OPEN</x:v>
      </x:c>
    </x:row>
    <x:row r="2391">
      <x:c r="B2391" t="str">
        <x:v>PH-RV-110</x:v>
      </x:c>
      <x:c r="C2391" t="str">
        <x:v>PHYSICAL</x:v>
      </x:c>
      <x:c r="D2391" t="str">
        <x:v>reported value</x:v>
      </x:c>
      <x:c r="E2391" t="str">
        <x:v>PH-RV-110</x:v>
      </x:c>
      <x:c r="F2391" t="n">
        <x:f>IF('Trial Register'!S116&lt;&gt;"",1,0)</x:f>
        <x:v>0</x:v>
      </x:c>
      <x:c r="G2391" t="n">
        <x:v>1</x:v>
      </x:c>
      <x:c r="H2391" t="str">
        <x:v>independent physical acceptance</x:v>
      </x:c>
      <x:c r="I2391" t="str">
        <x:f>IF(F2391=1,"PASS","OPEN")</x:f>
        <x:v>OPEN</x:v>
      </x:c>
    </x:row>
    <x:row r="2392">
      <x:c r="B2392" t="str">
        <x:v>PH-CR-110</x:v>
      </x:c>
      <x:c r="C2392" t="str">
        <x:v>PHYSICAL</x:v>
      </x:c>
      <x:c r="D2392" t="str">
        <x:v>credit acceptance</x:v>
      </x:c>
      <x:c r="E2392" t="str">
        <x:v>PH-CR-110</x:v>
      </x:c>
      <x:c r="F2392" t="str">
        <x:f>'Trial Register'!V116</x:f>
      </x:c>
      <x:c r="G2392" t="n">
        <x:v>1</x:v>
      </x:c>
      <x:c r="H2392" t="str">
        <x:v>independent physical acceptance</x:v>
      </x:c>
      <x:c r="I2392" t="str">
        <x:f>IF(F2392=1,"PASS","OPEN")</x:f>
        <x:v>OPEN</x:v>
      </x:c>
    </x:row>
    <x:row r="2393">
      <x:c r="B2393" t="str">
        <x:v>PH-EX-111</x:v>
      </x:c>
      <x:c r="C2393" t="str">
        <x:v>PHYSICAL</x:v>
      </x:c>
      <x:c r="D2393" t="str">
        <x:v>trial execution</x:v>
      </x:c>
      <x:c r="E2393" t="str">
        <x:v>PH-EX-111</x:v>
      </x:c>
      <x:c r="F2393" t="n">
        <x:f>IF('Trial Register'!P117&lt;&gt;"",1,0)</x:f>
        <x:v>0</x:v>
      </x:c>
      <x:c r="G2393" t="n">
        <x:v>1</x:v>
      </x:c>
      <x:c r="H2393" t="str">
        <x:v>independent physical acceptance</x:v>
      </x:c>
      <x:c r="I2393" t="str">
        <x:f>IF(F2393=1,"PASS","OPEN")</x:f>
        <x:v>OPEN</x:v>
      </x:c>
    </x:row>
    <x:row r="2394">
      <x:c r="B2394" t="str">
        <x:v>PH-PK-111</x:v>
      </x:c>
      <x:c r="C2394" t="str">
        <x:v>PHYSICAL</x:v>
      </x:c>
      <x:c r="D2394" t="str">
        <x:v>trial packet</x:v>
      </x:c>
      <x:c r="E2394" t="str">
        <x:v>PH-PK-111</x:v>
      </x:c>
      <x:c r="F2394" t="n">
        <x:f>IF('Trial Register'!Q117&lt;&gt;"",1,0)</x:f>
        <x:v>0</x:v>
      </x:c>
      <x:c r="G2394" t="n">
        <x:v>1</x:v>
      </x:c>
      <x:c r="H2394" t="str">
        <x:v>independent physical acceptance</x:v>
      </x:c>
      <x:c r="I2394" t="str">
        <x:f>IF(F2394=1,"PASS","OPEN")</x:f>
        <x:v>OPEN</x:v>
      </x:c>
    </x:row>
    <x:row r="2395">
      <x:c r="B2395" t="str">
        <x:v>PH-VA-111</x:v>
      </x:c>
      <x:c r="C2395" t="str">
        <x:v>PHYSICAL</x:v>
      </x:c>
      <x:c r="D2395" t="str">
        <x:v>trial validity</x:v>
      </x:c>
      <x:c r="E2395" t="str">
        <x:v>PH-VA-111</x:v>
      </x:c>
      <x:c r="F2395" t="n">
        <x:f>IF('Trial Register'!R117&lt;&gt;"",1,0)</x:f>
        <x:v>0</x:v>
      </x:c>
      <x:c r="G2395" t="n">
        <x:v>1</x:v>
      </x:c>
      <x:c r="H2395" t="str">
        <x:v>independent physical acceptance</x:v>
      </x:c>
      <x:c r="I2395" t="str">
        <x:f>IF(F2395=1,"PASS","OPEN")</x:f>
        <x:v>OPEN</x:v>
      </x:c>
    </x:row>
    <x:row r="2396">
      <x:c r="B2396" t="str">
        <x:v>PH-RV-111</x:v>
      </x:c>
      <x:c r="C2396" t="str">
        <x:v>PHYSICAL</x:v>
      </x:c>
      <x:c r="D2396" t="str">
        <x:v>reported value</x:v>
      </x:c>
      <x:c r="E2396" t="str">
        <x:v>PH-RV-111</x:v>
      </x:c>
      <x:c r="F2396" t="n">
        <x:f>IF('Trial Register'!S117&lt;&gt;"",1,0)</x:f>
        <x:v>0</x:v>
      </x:c>
      <x:c r="G2396" t="n">
        <x:v>1</x:v>
      </x:c>
      <x:c r="H2396" t="str">
        <x:v>independent physical acceptance</x:v>
      </x:c>
      <x:c r="I2396" t="str">
        <x:f>IF(F2396=1,"PASS","OPEN")</x:f>
        <x:v>OPEN</x:v>
      </x:c>
    </x:row>
    <x:row r="2397">
      <x:c r="B2397" t="str">
        <x:v>PH-CR-111</x:v>
      </x:c>
      <x:c r="C2397" t="str">
        <x:v>PHYSICAL</x:v>
      </x:c>
      <x:c r="D2397" t="str">
        <x:v>credit acceptance</x:v>
      </x:c>
      <x:c r="E2397" t="str">
        <x:v>PH-CR-111</x:v>
      </x:c>
      <x:c r="F2397" t="str">
        <x:f>'Trial Register'!V117</x:f>
      </x:c>
      <x:c r="G2397" t="n">
        <x:v>1</x:v>
      </x:c>
      <x:c r="H2397" t="str">
        <x:v>independent physical acceptance</x:v>
      </x:c>
      <x:c r="I2397" t="str">
        <x:f>IF(F2397=1,"PASS","OPEN")</x:f>
        <x:v>OPEN</x:v>
      </x:c>
    </x:row>
    <x:row r="2398">
      <x:c r="B2398" t="str">
        <x:v>PH-EX-112</x:v>
      </x:c>
      <x:c r="C2398" t="str">
        <x:v>PHYSICAL</x:v>
      </x:c>
      <x:c r="D2398" t="str">
        <x:v>trial execution</x:v>
      </x:c>
      <x:c r="E2398" t="str">
        <x:v>PH-EX-112</x:v>
      </x:c>
      <x:c r="F2398" t="n">
        <x:f>IF('Trial Register'!P118&lt;&gt;"",1,0)</x:f>
        <x:v>0</x:v>
      </x:c>
      <x:c r="G2398" t="n">
        <x:v>1</x:v>
      </x:c>
      <x:c r="H2398" t="str">
        <x:v>independent physical acceptance</x:v>
      </x:c>
      <x:c r="I2398" t="str">
        <x:f>IF(F2398=1,"PASS","OPEN")</x:f>
        <x:v>OPEN</x:v>
      </x:c>
    </x:row>
    <x:row r="2399">
      <x:c r="B2399" t="str">
        <x:v>PH-PK-112</x:v>
      </x:c>
      <x:c r="C2399" t="str">
        <x:v>PHYSICAL</x:v>
      </x:c>
      <x:c r="D2399" t="str">
        <x:v>trial packet</x:v>
      </x:c>
      <x:c r="E2399" t="str">
        <x:v>PH-PK-112</x:v>
      </x:c>
      <x:c r="F2399" t="n">
        <x:f>IF('Trial Register'!Q118&lt;&gt;"",1,0)</x:f>
        <x:v>0</x:v>
      </x:c>
      <x:c r="G2399" t="n">
        <x:v>1</x:v>
      </x:c>
      <x:c r="H2399" t="str">
        <x:v>independent physical acceptance</x:v>
      </x:c>
      <x:c r="I2399" t="str">
        <x:f>IF(F2399=1,"PASS","OPEN")</x:f>
        <x:v>OPEN</x:v>
      </x:c>
    </x:row>
    <x:row r="2400">
      <x:c r="B2400" t="str">
        <x:v>PH-VA-112</x:v>
      </x:c>
      <x:c r="C2400" t="str">
        <x:v>PHYSICAL</x:v>
      </x:c>
      <x:c r="D2400" t="str">
        <x:v>trial validity</x:v>
      </x:c>
      <x:c r="E2400" t="str">
        <x:v>PH-VA-112</x:v>
      </x:c>
      <x:c r="F2400" t="n">
        <x:f>IF('Trial Register'!R118&lt;&gt;"",1,0)</x:f>
        <x:v>0</x:v>
      </x:c>
      <x:c r="G2400" t="n">
        <x:v>1</x:v>
      </x:c>
      <x:c r="H2400" t="str">
        <x:v>independent physical acceptance</x:v>
      </x:c>
      <x:c r="I2400" t="str">
        <x:f>IF(F2400=1,"PASS","OPEN")</x:f>
        <x:v>OPEN</x:v>
      </x:c>
    </x:row>
    <x:row r="2401">
      <x:c r="B2401" t="str">
        <x:v>PH-RV-112</x:v>
      </x:c>
      <x:c r="C2401" t="str">
        <x:v>PHYSICAL</x:v>
      </x:c>
      <x:c r="D2401" t="str">
        <x:v>reported value</x:v>
      </x:c>
      <x:c r="E2401" t="str">
        <x:v>PH-RV-112</x:v>
      </x:c>
      <x:c r="F2401" t="n">
        <x:f>IF('Trial Register'!S118&lt;&gt;"",1,0)</x:f>
        <x:v>0</x:v>
      </x:c>
      <x:c r="G2401" t="n">
        <x:v>1</x:v>
      </x:c>
      <x:c r="H2401" t="str">
        <x:v>independent physical acceptance</x:v>
      </x:c>
      <x:c r="I2401" t="str">
        <x:f>IF(F2401=1,"PASS","OPEN")</x:f>
        <x:v>OPEN</x:v>
      </x:c>
    </x:row>
    <x:row r="2402">
      <x:c r="B2402" t="str">
        <x:v>PH-CR-112</x:v>
      </x:c>
      <x:c r="C2402" t="str">
        <x:v>PHYSICAL</x:v>
      </x:c>
      <x:c r="D2402" t="str">
        <x:v>credit acceptance</x:v>
      </x:c>
      <x:c r="E2402" t="str">
        <x:v>PH-CR-112</x:v>
      </x:c>
      <x:c r="F2402" t="str">
        <x:f>'Trial Register'!V118</x:f>
      </x:c>
      <x:c r="G2402" t="n">
        <x:v>1</x:v>
      </x:c>
      <x:c r="H2402" t="str">
        <x:v>independent physical acceptance</x:v>
      </x:c>
      <x:c r="I2402" t="str">
        <x:f>IF(F2402=1,"PASS","OPEN")</x:f>
        <x:v>OPEN</x:v>
      </x:c>
    </x:row>
    <x:row r="2403">
      <x:c r="B2403" t="str">
        <x:v>PH-EX-113</x:v>
      </x:c>
      <x:c r="C2403" t="str">
        <x:v>PHYSICAL</x:v>
      </x:c>
      <x:c r="D2403" t="str">
        <x:v>trial execution</x:v>
      </x:c>
      <x:c r="E2403" t="str">
        <x:v>PH-EX-113</x:v>
      </x:c>
      <x:c r="F2403" t="n">
        <x:f>IF('Trial Register'!P119&lt;&gt;"",1,0)</x:f>
        <x:v>0</x:v>
      </x:c>
      <x:c r="G2403" t="n">
        <x:v>1</x:v>
      </x:c>
      <x:c r="H2403" t="str">
        <x:v>independent physical acceptance</x:v>
      </x:c>
      <x:c r="I2403" t="str">
        <x:f>IF(F2403=1,"PASS","OPEN")</x:f>
        <x:v>OPEN</x:v>
      </x:c>
    </x:row>
    <x:row r="2404">
      <x:c r="B2404" t="str">
        <x:v>PH-PK-113</x:v>
      </x:c>
      <x:c r="C2404" t="str">
        <x:v>PHYSICAL</x:v>
      </x:c>
      <x:c r="D2404" t="str">
        <x:v>trial packet</x:v>
      </x:c>
      <x:c r="E2404" t="str">
        <x:v>PH-PK-113</x:v>
      </x:c>
      <x:c r="F2404" t="n">
        <x:f>IF('Trial Register'!Q119&lt;&gt;"",1,0)</x:f>
        <x:v>0</x:v>
      </x:c>
      <x:c r="G2404" t="n">
        <x:v>1</x:v>
      </x:c>
      <x:c r="H2404" t="str">
        <x:v>independent physical acceptance</x:v>
      </x:c>
      <x:c r="I2404" t="str">
        <x:f>IF(F2404=1,"PASS","OPEN")</x:f>
        <x:v>OPEN</x:v>
      </x:c>
    </x:row>
    <x:row r="2405">
      <x:c r="B2405" t="str">
        <x:v>PH-VA-113</x:v>
      </x:c>
      <x:c r="C2405" t="str">
        <x:v>PHYSICAL</x:v>
      </x:c>
      <x:c r="D2405" t="str">
        <x:v>trial validity</x:v>
      </x:c>
      <x:c r="E2405" t="str">
        <x:v>PH-VA-113</x:v>
      </x:c>
      <x:c r="F2405" t="n">
        <x:f>IF('Trial Register'!R119&lt;&gt;"",1,0)</x:f>
        <x:v>0</x:v>
      </x:c>
      <x:c r="G2405" t="n">
        <x:v>1</x:v>
      </x:c>
      <x:c r="H2405" t="str">
        <x:v>independent physical acceptance</x:v>
      </x:c>
      <x:c r="I2405" t="str">
        <x:f>IF(F2405=1,"PASS","OPEN")</x:f>
        <x:v>OPEN</x:v>
      </x:c>
    </x:row>
    <x:row r="2406">
      <x:c r="B2406" t="str">
        <x:v>PH-RV-113</x:v>
      </x:c>
      <x:c r="C2406" t="str">
        <x:v>PHYSICAL</x:v>
      </x:c>
      <x:c r="D2406" t="str">
        <x:v>reported value</x:v>
      </x:c>
      <x:c r="E2406" t="str">
        <x:v>PH-RV-113</x:v>
      </x:c>
      <x:c r="F2406" t="n">
        <x:f>IF('Trial Register'!S119&lt;&gt;"",1,0)</x:f>
        <x:v>0</x:v>
      </x:c>
      <x:c r="G2406" t="n">
        <x:v>1</x:v>
      </x:c>
      <x:c r="H2406" t="str">
        <x:v>independent physical acceptance</x:v>
      </x:c>
      <x:c r="I2406" t="str">
        <x:f>IF(F2406=1,"PASS","OPEN")</x:f>
        <x:v>OPEN</x:v>
      </x:c>
    </x:row>
    <x:row r="2407">
      <x:c r="B2407" t="str">
        <x:v>PH-CR-113</x:v>
      </x:c>
      <x:c r="C2407" t="str">
        <x:v>PHYSICAL</x:v>
      </x:c>
      <x:c r="D2407" t="str">
        <x:v>credit acceptance</x:v>
      </x:c>
      <x:c r="E2407" t="str">
        <x:v>PH-CR-113</x:v>
      </x:c>
      <x:c r="F2407" t="str">
        <x:f>'Trial Register'!V119</x:f>
      </x:c>
      <x:c r="G2407" t="n">
        <x:v>1</x:v>
      </x:c>
      <x:c r="H2407" t="str">
        <x:v>independent physical acceptance</x:v>
      </x:c>
      <x:c r="I2407" t="str">
        <x:f>IF(F2407=1,"PASS","OPEN")</x:f>
        <x:v>OPEN</x:v>
      </x:c>
    </x:row>
    <x:row r="2408">
      <x:c r="B2408" t="str">
        <x:v>PH-EX-114</x:v>
      </x:c>
      <x:c r="C2408" t="str">
        <x:v>PHYSICAL</x:v>
      </x:c>
      <x:c r="D2408" t="str">
        <x:v>trial execution</x:v>
      </x:c>
      <x:c r="E2408" t="str">
        <x:v>PH-EX-114</x:v>
      </x:c>
      <x:c r="F2408" t="n">
        <x:f>IF('Trial Register'!P120&lt;&gt;"",1,0)</x:f>
        <x:v>0</x:v>
      </x:c>
      <x:c r="G2408" t="n">
        <x:v>1</x:v>
      </x:c>
      <x:c r="H2408" t="str">
        <x:v>independent physical acceptance</x:v>
      </x:c>
      <x:c r="I2408" t="str">
        <x:f>IF(F2408=1,"PASS","OPEN")</x:f>
        <x:v>OPEN</x:v>
      </x:c>
    </x:row>
    <x:row r="2409">
      <x:c r="B2409" t="str">
        <x:v>PH-PK-114</x:v>
      </x:c>
      <x:c r="C2409" t="str">
        <x:v>PHYSICAL</x:v>
      </x:c>
      <x:c r="D2409" t="str">
        <x:v>trial packet</x:v>
      </x:c>
      <x:c r="E2409" t="str">
        <x:v>PH-PK-114</x:v>
      </x:c>
      <x:c r="F2409" t="n">
        <x:f>IF('Trial Register'!Q120&lt;&gt;"",1,0)</x:f>
        <x:v>0</x:v>
      </x:c>
      <x:c r="G2409" t="n">
        <x:v>1</x:v>
      </x:c>
      <x:c r="H2409" t="str">
        <x:v>independent physical acceptance</x:v>
      </x:c>
      <x:c r="I2409" t="str">
        <x:f>IF(F2409=1,"PASS","OPEN")</x:f>
        <x:v>OPEN</x:v>
      </x:c>
    </x:row>
    <x:row r="2410">
      <x:c r="B2410" t="str">
        <x:v>PH-VA-114</x:v>
      </x:c>
      <x:c r="C2410" t="str">
        <x:v>PHYSICAL</x:v>
      </x:c>
      <x:c r="D2410" t="str">
        <x:v>trial validity</x:v>
      </x:c>
      <x:c r="E2410" t="str">
        <x:v>PH-VA-114</x:v>
      </x:c>
      <x:c r="F2410" t="n">
        <x:f>IF('Trial Register'!R120&lt;&gt;"",1,0)</x:f>
        <x:v>0</x:v>
      </x:c>
      <x:c r="G2410" t="n">
        <x:v>1</x:v>
      </x:c>
      <x:c r="H2410" t="str">
        <x:v>independent physical acceptance</x:v>
      </x:c>
      <x:c r="I2410" t="str">
        <x:f>IF(F2410=1,"PASS","OPEN")</x:f>
        <x:v>OPEN</x:v>
      </x:c>
    </x:row>
    <x:row r="2411">
      <x:c r="B2411" t="str">
        <x:v>PH-RV-114</x:v>
      </x:c>
      <x:c r="C2411" t="str">
        <x:v>PHYSICAL</x:v>
      </x:c>
      <x:c r="D2411" t="str">
        <x:v>reported value</x:v>
      </x:c>
      <x:c r="E2411" t="str">
        <x:v>PH-RV-114</x:v>
      </x:c>
      <x:c r="F2411" t="n">
        <x:f>IF('Trial Register'!S120&lt;&gt;"",1,0)</x:f>
        <x:v>0</x:v>
      </x:c>
      <x:c r="G2411" t="n">
        <x:v>1</x:v>
      </x:c>
      <x:c r="H2411" t="str">
        <x:v>independent physical acceptance</x:v>
      </x:c>
      <x:c r="I2411" t="str">
        <x:f>IF(F2411=1,"PASS","OPEN")</x:f>
        <x:v>OPEN</x:v>
      </x:c>
    </x:row>
    <x:row r="2412">
      <x:c r="B2412" t="str">
        <x:v>PH-CR-114</x:v>
      </x:c>
      <x:c r="C2412" t="str">
        <x:v>PHYSICAL</x:v>
      </x:c>
      <x:c r="D2412" t="str">
        <x:v>credit acceptance</x:v>
      </x:c>
      <x:c r="E2412" t="str">
        <x:v>PH-CR-114</x:v>
      </x:c>
      <x:c r="F2412" t="str">
        <x:f>'Trial Register'!V120</x:f>
      </x:c>
      <x:c r="G2412" t="n">
        <x:v>1</x:v>
      </x:c>
      <x:c r="H2412" t="str">
        <x:v>independent physical acceptance</x:v>
      </x:c>
      <x:c r="I2412" t="str">
        <x:f>IF(F2412=1,"PASS","OPEN")</x:f>
        <x:v>OPEN</x:v>
      </x:c>
    </x:row>
    <x:row r="2413">
      <x:c r="B2413" t="str">
        <x:v>PH-EX-115</x:v>
      </x:c>
      <x:c r="C2413" t="str">
        <x:v>PHYSICAL</x:v>
      </x:c>
      <x:c r="D2413" t="str">
        <x:v>trial execution</x:v>
      </x:c>
      <x:c r="E2413" t="str">
        <x:v>PH-EX-115</x:v>
      </x:c>
      <x:c r="F2413" t="n">
        <x:f>IF('Trial Register'!P121&lt;&gt;"",1,0)</x:f>
        <x:v>0</x:v>
      </x:c>
      <x:c r="G2413" t="n">
        <x:v>1</x:v>
      </x:c>
      <x:c r="H2413" t="str">
        <x:v>independent physical acceptance</x:v>
      </x:c>
      <x:c r="I2413" t="str">
        <x:f>IF(F2413=1,"PASS","OPEN")</x:f>
        <x:v>OPEN</x:v>
      </x:c>
    </x:row>
    <x:row r="2414">
      <x:c r="B2414" t="str">
        <x:v>PH-PK-115</x:v>
      </x:c>
      <x:c r="C2414" t="str">
        <x:v>PHYSICAL</x:v>
      </x:c>
      <x:c r="D2414" t="str">
        <x:v>trial packet</x:v>
      </x:c>
      <x:c r="E2414" t="str">
        <x:v>PH-PK-115</x:v>
      </x:c>
      <x:c r="F2414" t="n">
        <x:f>IF('Trial Register'!Q121&lt;&gt;"",1,0)</x:f>
        <x:v>0</x:v>
      </x:c>
      <x:c r="G2414" t="n">
        <x:v>1</x:v>
      </x:c>
      <x:c r="H2414" t="str">
        <x:v>independent physical acceptance</x:v>
      </x:c>
      <x:c r="I2414" t="str">
        <x:f>IF(F2414=1,"PASS","OPEN")</x:f>
        <x:v>OPEN</x:v>
      </x:c>
    </x:row>
    <x:row r="2415">
      <x:c r="B2415" t="str">
        <x:v>PH-VA-115</x:v>
      </x:c>
      <x:c r="C2415" t="str">
        <x:v>PHYSICAL</x:v>
      </x:c>
      <x:c r="D2415" t="str">
        <x:v>trial validity</x:v>
      </x:c>
      <x:c r="E2415" t="str">
        <x:v>PH-VA-115</x:v>
      </x:c>
      <x:c r="F2415" t="n">
        <x:f>IF('Trial Register'!R121&lt;&gt;"",1,0)</x:f>
        <x:v>0</x:v>
      </x:c>
      <x:c r="G2415" t="n">
        <x:v>1</x:v>
      </x:c>
      <x:c r="H2415" t="str">
        <x:v>independent physical acceptance</x:v>
      </x:c>
      <x:c r="I2415" t="str">
        <x:f>IF(F2415=1,"PASS","OPEN")</x:f>
        <x:v>OPEN</x:v>
      </x:c>
    </x:row>
    <x:row r="2416">
      <x:c r="B2416" t="str">
        <x:v>PH-RV-115</x:v>
      </x:c>
      <x:c r="C2416" t="str">
        <x:v>PHYSICAL</x:v>
      </x:c>
      <x:c r="D2416" t="str">
        <x:v>reported value</x:v>
      </x:c>
      <x:c r="E2416" t="str">
        <x:v>PH-RV-115</x:v>
      </x:c>
      <x:c r="F2416" t="n">
        <x:f>IF('Trial Register'!S121&lt;&gt;"",1,0)</x:f>
        <x:v>0</x:v>
      </x:c>
      <x:c r="G2416" t="n">
        <x:v>1</x:v>
      </x:c>
      <x:c r="H2416" t="str">
        <x:v>independent physical acceptance</x:v>
      </x:c>
      <x:c r="I2416" t="str">
        <x:f>IF(F2416=1,"PASS","OPEN")</x:f>
        <x:v>OPEN</x:v>
      </x:c>
    </x:row>
    <x:row r="2417">
      <x:c r="B2417" t="str">
        <x:v>PH-CR-115</x:v>
      </x:c>
      <x:c r="C2417" t="str">
        <x:v>PHYSICAL</x:v>
      </x:c>
      <x:c r="D2417" t="str">
        <x:v>credit acceptance</x:v>
      </x:c>
      <x:c r="E2417" t="str">
        <x:v>PH-CR-115</x:v>
      </x:c>
      <x:c r="F2417" t="str">
        <x:f>'Trial Register'!V121</x:f>
      </x:c>
      <x:c r="G2417" t="n">
        <x:v>1</x:v>
      </x:c>
      <x:c r="H2417" t="str">
        <x:v>independent physical acceptance</x:v>
      </x:c>
      <x:c r="I2417" t="str">
        <x:f>IF(F2417=1,"PASS","OPEN")</x:f>
        <x:v>OPEN</x:v>
      </x:c>
    </x:row>
    <x:row r="2418">
      <x:c r="B2418" t="str">
        <x:v>PH-EX-116</x:v>
      </x:c>
      <x:c r="C2418" t="str">
        <x:v>PHYSICAL</x:v>
      </x:c>
      <x:c r="D2418" t="str">
        <x:v>trial execution</x:v>
      </x:c>
      <x:c r="E2418" t="str">
        <x:v>PH-EX-116</x:v>
      </x:c>
      <x:c r="F2418" t="n">
        <x:f>IF('Trial Register'!P122&lt;&gt;"",1,0)</x:f>
        <x:v>0</x:v>
      </x:c>
      <x:c r="G2418" t="n">
        <x:v>1</x:v>
      </x:c>
      <x:c r="H2418" t="str">
        <x:v>independent physical acceptance</x:v>
      </x:c>
      <x:c r="I2418" t="str">
        <x:f>IF(F2418=1,"PASS","OPEN")</x:f>
        <x:v>OPEN</x:v>
      </x:c>
    </x:row>
    <x:row r="2419">
      <x:c r="B2419" t="str">
        <x:v>PH-PK-116</x:v>
      </x:c>
      <x:c r="C2419" t="str">
        <x:v>PHYSICAL</x:v>
      </x:c>
      <x:c r="D2419" t="str">
        <x:v>trial packet</x:v>
      </x:c>
      <x:c r="E2419" t="str">
        <x:v>PH-PK-116</x:v>
      </x:c>
      <x:c r="F2419" t="n">
        <x:f>IF('Trial Register'!Q122&lt;&gt;"",1,0)</x:f>
        <x:v>0</x:v>
      </x:c>
      <x:c r="G2419" t="n">
        <x:v>1</x:v>
      </x:c>
      <x:c r="H2419" t="str">
        <x:v>independent physical acceptance</x:v>
      </x:c>
      <x:c r="I2419" t="str">
        <x:f>IF(F2419=1,"PASS","OPEN")</x:f>
        <x:v>OPEN</x:v>
      </x:c>
    </x:row>
    <x:row r="2420">
      <x:c r="B2420" t="str">
        <x:v>PH-VA-116</x:v>
      </x:c>
      <x:c r="C2420" t="str">
        <x:v>PHYSICAL</x:v>
      </x:c>
      <x:c r="D2420" t="str">
        <x:v>trial validity</x:v>
      </x:c>
      <x:c r="E2420" t="str">
        <x:v>PH-VA-116</x:v>
      </x:c>
      <x:c r="F2420" t="n">
        <x:f>IF('Trial Register'!R122&lt;&gt;"",1,0)</x:f>
        <x:v>0</x:v>
      </x:c>
      <x:c r="G2420" t="n">
        <x:v>1</x:v>
      </x:c>
      <x:c r="H2420" t="str">
        <x:v>independent physical acceptance</x:v>
      </x:c>
      <x:c r="I2420" t="str">
        <x:f>IF(F2420=1,"PASS","OPEN")</x:f>
        <x:v>OPEN</x:v>
      </x:c>
    </x:row>
    <x:row r="2421">
      <x:c r="B2421" t="str">
        <x:v>PH-RV-116</x:v>
      </x:c>
      <x:c r="C2421" t="str">
        <x:v>PHYSICAL</x:v>
      </x:c>
      <x:c r="D2421" t="str">
        <x:v>reported value</x:v>
      </x:c>
      <x:c r="E2421" t="str">
        <x:v>PH-RV-116</x:v>
      </x:c>
      <x:c r="F2421" t="n">
        <x:f>IF('Trial Register'!S122&lt;&gt;"",1,0)</x:f>
        <x:v>0</x:v>
      </x:c>
      <x:c r="G2421" t="n">
        <x:v>1</x:v>
      </x:c>
      <x:c r="H2421" t="str">
        <x:v>independent physical acceptance</x:v>
      </x:c>
      <x:c r="I2421" t="str">
        <x:f>IF(F2421=1,"PASS","OPEN")</x:f>
        <x:v>OPEN</x:v>
      </x:c>
    </x:row>
    <x:row r="2422">
      <x:c r="B2422" t="str">
        <x:v>PH-CR-116</x:v>
      </x:c>
      <x:c r="C2422" t="str">
        <x:v>PHYSICAL</x:v>
      </x:c>
      <x:c r="D2422" t="str">
        <x:v>credit acceptance</x:v>
      </x:c>
      <x:c r="E2422" t="str">
        <x:v>PH-CR-116</x:v>
      </x:c>
      <x:c r="F2422" t="str">
        <x:f>'Trial Register'!V122</x:f>
      </x:c>
      <x:c r="G2422" t="n">
        <x:v>1</x:v>
      </x:c>
      <x:c r="H2422" t="str">
        <x:v>independent physical acceptance</x:v>
      </x:c>
      <x:c r="I2422" t="str">
        <x:f>IF(F2422=1,"PASS","OPEN")</x:f>
        <x:v>OPEN</x:v>
      </x:c>
    </x:row>
    <x:row r="2423">
      <x:c r="B2423" t="str">
        <x:v>PH-EX-117</x:v>
      </x:c>
      <x:c r="C2423" t="str">
        <x:v>PHYSICAL</x:v>
      </x:c>
      <x:c r="D2423" t="str">
        <x:v>trial execution</x:v>
      </x:c>
      <x:c r="E2423" t="str">
        <x:v>PH-EX-117</x:v>
      </x:c>
      <x:c r="F2423" t="n">
        <x:f>IF('Trial Register'!P123&lt;&gt;"",1,0)</x:f>
        <x:v>0</x:v>
      </x:c>
      <x:c r="G2423" t="n">
        <x:v>1</x:v>
      </x:c>
      <x:c r="H2423" t="str">
        <x:v>independent physical acceptance</x:v>
      </x:c>
      <x:c r="I2423" t="str">
        <x:f>IF(F2423=1,"PASS","OPEN")</x:f>
        <x:v>OPEN</x:v>
      </x:c>
    </x:row>
    <x:row r="2424">
      <x:c r="B2424" t="str">
        <x:v>PH-PK-117</x:v>
      </x:c>
      <x:c r="C2424" t="str">
        <x:v>PHYSICAL</x:v>
      </x:c>
      <x:c r="D2424" t="str">
        <x:v>trial packet</x:v>
      </x:c>
      <x:c r="E2424" t="str">
        <x:v>PH-PK-117</x:v>
      </x:c>
      <x:c r="F2424" t="n">
        <x:f>IF('Trial Register'!Q123&lt;&gt;"",1,0)</x:f>
        <x:v>0</x:v>
      </x:c>
      <x:c r="G2424" t="n">
        <x:v>1</x:v>
      </x:c>
      <x:c r="H2424" t="str">
        <x:v>independent physical acceptance</x:v>
      </x:c>
      <x:c r="I2424" t="str">
        <x:f>IF(F2424=1,"PASS","OPEN")</x:f>
        <x:v>OPEN</x:v>
      </x:c>
    </x:row>
    <x:row r="2425">
      <x:c r="B2425" t="str">
        <x:v>PH-VA-117</x:v>
      </x:c>
      <x:c r="C2425" t="str">
        <x:v>PHYSICAL</x:v>
      </x:c>
      <x:c r="D2425" t="str">
        <x:v>trial validity</x:v>
      </x:c>
      <x:c r="E2425" t="str">
        <x:v>PH-VA-117</x:v>
      </x:c>
      <x:c r="F2425" t="n">
        <x:f>IF('Trial Register'!R123&lt;&gt;"",1,0)</x:f>
        <x:v>0</x:v>
      </x:c>
      <x:c r="G2425" t="n">
        <x:v>1</x:v>
      </x:c>
      <x:c r="H2425" t="str">
        <x:v>independent physical acceptance</x:v>
      </x:c>
      <x:c r="I2425" t="str">
        <x:f>IF(F2425=1,"PASS","OPEN")</x:f>
        <x:v>OPEN</x:v>
      </x:c>
    </x:row>
    <x:row r="2426">
      <x:c r="B2426" t="str">
        <x:v>PH-RV-117</x:v>
      </x:c>
      <x:c r="C2426" t="str">
        <x:v>PHYSICAL</x:v>
      </x:c>
      <x:c r="D2426" t="str">
        <x:v>reported value</x:v>
      </x:c>
      <x:c r="E2426" t="str">
        <x:v>PH-RV-117</x:v>
      </x:c>
      <x:c r="F2426" t="n">
        <x:f>IF('Trial Register'!S123&lt;&gt;"",1,0)</x:f>
        <x:v>0</x:v>
      </x:c>
      <x:c r="G2426" t="n">
        <x:v>1</x:v>
      </x:c>
      <x:c r="H2426" t="str">
        <x:v>independent physical acceptance</x:v>
      </x:c>
      <x:c r="I2426" t="str">
        <x:f>IF(F2426=1,"PASS","OPEN")</x:f>
        <x:v>OPEN</x:v>
      </x:c>
    </x:row>
    <x:row r="2427">
      <x:c r="B2427" t="str">
        <x:v>PH-CR-117</x:v>
      </x:c>
      <x:c r="C2427" t="str">
        <x:v>PHYSICAL</x:v>
      </x:c>
      <x:c r="D2427" t="str">
        <x:v>credit acceptance</x:v>
      </x:c>
      <x:c r="E2427" t="str">
        <x:v>PH-CR-117</x:v>
      </x:c>
      <x:c r="F2427" t="str">
        <x:f>'Trial Register'!V123</x:f>
      </x:c>
      <x:c r="G2427" t="n">
        <x:v>1</x:v>
      </x:c>
      <x:c r="H2427" t="str">
        <x:v>independent physical acceptance</x:v>
      </x:c>
      <x:c r="I2427" t="str">
        <x:f>IF(F2427=1,"PASS","OPEN")</x:f>
        <x:v>OPEN</x:v>
      </x:c>
    </x:row>
    <x:row r="2428">
      <x:c r="B2428" t="str">
        <x:v>PH-EX-118</x:v>
      </x:c>
      <x:c r="C2428" t="str">
        <x:v>PHYSICAL</x:v>
      </x:c>
      <x:c r="D2428" t="str">
        <x:v>trial execution</x:v>
      </x:c>
      <x:c r="E2428" t="str">
        <x:v>PH-EX-118</x:v>
      </x:c>
      <x:c r="F2428" t="n">
        <x:f>IF('Trial Register'!P124&lt;&gt;"",1,0)</x:f>
        <x:v>0</x:v>
      </x:c>
      <x:c r="G2428" t="n">
        <x:v>1</x:v>
      </x:c>
      <x:c r="H2428" t="str">
        <x:v>independent physical acceptance</x:v>
      </x:c>
      <x:c r="I2428" t="str">
        <x:f>IF(F2428=1,"PASS","OPEN")</x:f>
        <x:v>OPEN</x:v>
      </x:c>
    </x:row>
    <x:row r="2429">
      <x:c r="B2429" t="str">
        <x:v>PH-PK-118</x:v>
      </x:c>
      <x:c r="C2429" t="str">
        <x:v>PHYSICAL</x:v>
      </x:c>
      <x:c r="D2429" t="str">
        <x:v>trial packet</x:v>
      </x:c>
      <x:c r="E2429" t="str">
        <x:v>PH-PK-118</x:v>
      </x:c>
      <x:c r="F2429" t="n">
        <x:f>IF('Trial Register'!Q124&lt;&gt;"",1,0)</x:f>
        <x:v>0</x:v>
      </x:c>
      <x:c r="G2429" t="n">
        <x:v>1</x:v>
      </x:c>
      <x:c r="H2429" t="str">
        <x:v>independent physical acceptance</x:v>
      </x:c>
      <x:c r="I2429" t="str">
        <x:f>IF(F2429=1,"PASS","OPEN")</x:f>
        <x:v>OPEN</x:v>
      </x:c>
    </x:row>
    <x:row r="2430">
      <x:c r="B2430" t="str">
        <x:v>PH-VA-118</x:v>
      </x:c>
      <x:c r="C2430" t="str">
        <x:v>PHYSICAL</x:v>
      </x:c>
      <x:c r="D2430" t="str">
        <x:v>trial validity</x:v>
      </x:c>
      <x:c r="E2430" t="str">
        <x:v>PH-VA-118</x:v>
      </x:c>
      <x:c r="F2430" t="n">
        <x:f>IF('Trial Register'!R124&lt;&gt;"",1,0)</x:f>
        <x:v>0</x:v>
      </x:c>
      <x:c r="G2430" t="n">
        <x:v>1</x:v>
      </x:c>
      <x:c r="H2430" t="str">
        <x:v>independent physical acceptance</x:v>
      </x:c>
      <x:c r="I2430" t="str">
        <x:f>IF(F2430=1,"PASS","OPEN")</x:f>
        <x:v>OPEN</x:v>
      </x:c>
    </x:row>
    <x:row r="2431">
      <x:c r="B2431" t="str">
        <x:v>PH-RV-118</x:v>
      </x:c>
      <x:c r="C2431" t="str">
        <x:v>PHYSICAL</x:v>
      </x:c>
      <x:c r="D2431" t="str">
        <x:v>reported value</x:v>
      </x:c>
      <x:c r="E2431" t="str">
        <x:v>PH-RV-118</x:v>
      </x:c>
      <x:c r="F2431" t="n">
        <x:f>IF('Trial Register'!S124&lt;&gt;"",1,0)</x:f>
        <x:v>0</x:v>
      </x:c>
      <x:c r="G2431" t="n">
        <x:v>1</x:v>
      </x:c>
      <x:c r="H2431" t="str">
        <x:v>independent physical acceptance</x:v>
      </x:c>
      <x:c r="I2431" t="str">
        <x:f>IF(F2431=1,"PASS","OPEN")</x:f>
        <x:v>OPEN</x:v>
      </x:c>
    </x:row>
    <x:row r="2432">
      <x:c r="B2432" t="str">
        <x:v>PH-CR-118</x:v>
      </x:c>
      <x:c r="C2432" t="str">
        <x:v>PHYSICAL</x:v>
      </x:c>
      <x:c r="D2432" t="str">
        <x:v>credit acceptance</x:v>
      </x:c>
      <x:c r="E2432" t="str">
        <x:v>PH-CR-118</x:v>
      </x:c>
      <x:c r="F2432" t="str">
        <x:f>'Trial Register'!V124</x:f>
      </x:c>
      <x:c r="G2432" t="n">
        <x:v>1</x:v>
      </x:c>
      <x:c r="H2432" t="str">
        <x:v>independent physical acceptance</x:v>
      </x:c>
      <x:c r="I2432" t="str">
        <x:f>IF(F2432=1,"PASS","OPEN")</x:f>
        <x:v>OPEN</x:v>
      </x:c>
    </x:row>
    <x:row r="2433">
      <x:c r="B2433" t="str">
        <x:v>PH-EX-119</x:v>
      </x:c>
      <x:c r="C2433" t="str">
        <x:v>PHYSICAL</x:v>
      </x:c>
      <x:c r="D2433" t="str">
        <x:v>trial execution</x:v>
      </x:c>
      <x:c r="E2433" t="str">
        <x:v>PH-EX-119</x:v>
      </x:c>
      <x:c r="F2433" t="n">
        <x:f>IF('Trial Register'!P125&lt;&gt;"",1,0)</x:f>
        <x:v>0</x:v>
      </x:c>
      <x:c r="G2433" t="n">
        <x:v>1</x:v>
      </x:c>
      <x:c r="H2433" t="str">
        <x:v>independent physical acceptance</x:v>
      </x:c>
      <x:c r="I2433" t="str">
        <x:f>IF(F2433=1,"PASS","OPEN")</x:f>
        <x:v>OPEN</x:v>
      </x:c>
    </x:row>
    <x:row r="2434">
      <x:c r="B2434" t="str">
        <x:v>PH-PK-119</x:v>
      </x:c>
      <x:c r="C2434" t="str">
        <x:v>PHYSICAL</x:v>
      </x:c>
      <x:c r="D2434" t="str">
        <x:v>trial packet</x:v>
      </x:c>
      <x:c r="E2434" t="str">
        <x:v>PH-PK-119</x:v>
      </x:c>
      <x:c r="F2434" t="n">
        <x:f>IF('Trial Register'!Q125&lt;&gt;"",1,0)</x:f>
        <x:v>0</x:v>
      </x:c>
      <x:c r="G2434" t="n">
        <x:v>1</x:v>
      </x:c>
      <x:c r="H2434" t="str">
        <x:v>independent physical acceptance</x:v>
      </x:c>
      <x:c r="I2434" t="str">
        <x:f>IF(F2434=1,"PASS","OPEN")</x:f>
        <x:v>OPEN</x:v>
      </x:c>
    </x:row>
    <x:row r="2435">
      <x:c r="B2435" t="str">
        <x:v>PH-VA-119</x:v>
      </x:c>
      <x:c r="C2435" t="str">
        <x:v>PHYSICAL</x:v>
      </x:c>
      <x:c r="D2435" t="str">
        <x:v>trial validity</x:v>
      </x:c>
      <x:c r="E2435" t="str">
        <x:v>PH-VA-119</x:v>
      </x:c>
      <x:c r="F2435" t="n">
        <x:f>IF('Trial Register'!R125&lt;&gt;"",1,0)</x:f>
        <x:v>0</x:v>
      </x:c>
      <x:c r="G2435" t="n">
        <x:v>1</x:v>
      </x:c>
      <x:c r="H2435" t="str">
        <x:v>independent physical acceptance</x:v>
      </x:c>
      <x:c r="I2435" t="str">
        <x:f>IF(F2435=1,"PASS","OPEN")</x:f>
        <x:v>OPEN</x:v>
      </x:c>
    </x:row>
    <x:row r="2436">
      <x:c r="B2436" t="str">
        <x:v>PH-RV-119</x:v>
      </x:c>
      <x:c r="C2436" t="str">
        <x:v>PHYSICAL</x:v>
      </x:c>
      <x:c r="D2436" t="str">
        <x:v>reported value</x:v>
      </x:c>
      <x:c r="E2436" t="str">
        <x:v>PH-RV-119</x:v>
      </x:c>
      <x:c r="F2436" t="n">
        <x:f>IF('Trial Register'!S125&lt;&gt;"",1,0)</x:f>
        <x:v>0</x:v>
      </x:c>
      <x:c r="G2436" t="n">
        <x:v>1</x:v>
      </x:c>
      <x:c r="H2436" t="str">
        <x:v>independent physical acceptance</x:v>
      </x:c>
      <x:c r="I2436" t="str">
        <x:f>IF(F2436=1,"PASS","OPEN")</x:f>
        <x:v>OPEN</x:v>
      </x:c>
    </x:row>
    <x:row r="2437">
      <x:c r="B2437" t="str">
        <x:v>PH-CR-119</x:v>
      </x:c>
      <x:c r="C2437" t="str">
        <x:v>PHYSICAL</x:v>
      </x:c>
      <x:c r="D2437" t="str">
        <x:v>credit acceptance</x:v>
      </x:c>
      <x:c r="E2437" t="str">
        <x:v>PH-CR-119</x:v>
      </x:c>
      <x:c r="F2437" t="str">
        <x:f>'Trial Register'!V125</x:f>
      </x:c>
      <x:c r="G2437" t="n">
        <x:v>1</x:v>
      </x:c>
      <x:c r="H2437" t="str">
        <x:v>independent physical acceptance</x:v>
      </x:c>
      <x:c r="I2437" t="str">
        <x:f>IF(F2437=1,"PASS","OPEN")</x:f>
        <x:v>OPEN</x:v>
      </x:c>
    </x:row>
    <x:row r="2438">
      <x:c r="B2438" t="str">
        <x:v>PH-EX-120</x:v>
      </x:c>
      <x:c r="C2438" t="str">
        <x:v>PHYSICAL</x:v>
      </x:c>
      <x:c r="D2438" t="str">
        <x:v>trial execution</x:v>
      </x:c>
      <x:c r="E2438" t="str">
        <x:v>PH-EX-120</x:v>
      </x:c>
      <x:c r="F2438" t="n">
        <x:f>IF('Trial Register'!P126&lt;&gt;"",1,0)</x:f>
        <x:v>0</x:v>
      </x:c>
      <x:c r="G2438" t="n">
        <x:v>1</x:v>
      </x:c>
      <x:c r="H2438" t="str">
        <x:v>independent physical acceptance</x:v>
      </x:c>
      <x:c r="I2438" t="str">
        <x:f>IF(F2438=1,"PASS","OPEN")</x:f>
        <x:v>OPEN</x:v>
      </x:c>
    </x:row>
    <x:row r="2439">
      <x:c r="B2439" t="str">
        <x:v>PH-PK-120</x:v>
      </x:c>
      <x:c r="C2439" t="str">
        <x:v>PHYSICAL</x:v>
      </x:c>
      <x:c r="D2439" t="str">
        <x:v>trial packet</x:v>
      </x:c>
      <x:c r="E2439" t="str">
        <x:v>PH-PK-120</x:v>
      </x:c>
      <x:c r="F2439" t="n">
        <x:f>IF('Trial Register'!Q126&lt;&gt;"",1,0)</x:f>
        <x:v>0</x:v>
      </x:c>
      <x:c r="G2439" t="n">
        <x:v>1</x:v>
      </x:c>
      <x:c r="H2439" t="str">
        <x:v>independent physical acceptance</x:v>
      </x:c>
      <x:c r="I2439" t="str">
        <x:f>IF(F2439=1,"PASS","OPEN")</x:f>
        <x:v>OPEN</x:v>
      </x:c>
    </x:row>
    <x:row r="2440">
      <x:c r="B2440" t="str">
        <x:v>PH-VA-120</x:v>
      </x:c>
      <x:c r="C2440" t="str">
        <x:v>PHYSICAL</x:v>
      </x:c>
      <x:c r="D2440" t="str">
        <x:v>trial validity</x:v>
      </x:c>
      <x:c r="E2440" t="str">
        <x:v>PH-VA-120</x:v>
      </x:c>
      <x:c r="F2440" t="n">
        <x:f>IF('Trial Register'!R126&lt;&gt;"",1,0)</x:f>
        <x:v>0</x:v>
      </x:c>
      <x:c r="G2440" t="n">
        <x:v>1</x:v>
      </x:c>
      <x:c r="H2440" t="str">
        <x:v>independent physical acceptance</x:v>
      </x:c>
      <x:c r="I2440" t="str">
        <x:f>IF(F2440=1,"PASS","OPEN")</x:f>
        <x:v>OPEN</x:v>
      </x:c>
    </x:row>
    <x:row r="2441">
      <x:c r="B2441" t="str">
        <x:v>PH-RV-120</x:v>
      </x:c>
      <x:c r="C2441" t="str">
        <x:v>PHYSICAL</x:v>
      </x:c>
      <x:c r="D2441" t="str">
        <x:v>reported value</x:v>
      </x:c>
      <x:c r="E2441" t="str">
        <x:v>PH-RV-120</x:v>
      </x:c>
      <x:c r="F2441" t="n">
        <x:f>IF('Trial Register'!S126&lt;&gt;"",1,0)</x:f>
        <x:v>0</x:v>
      </x:c>
      <x:c r="G2441" t="n">
        <x:v>1</x:v>
      </x:c>
      <x:c r="H2441" t="str">
        <x:v>independent physical acceptance</x:v>
      </x:c>
      <x:c r="I2441" t="str">
        <x:f>IF(F2441=1,"PASS","OPEN")</x:f>
        <x:v>OPEN</x:v>
      </x:c>
    </x:row>
    <x:row r="2442">
      <x:c r="B2442" t="str">
        <x:v>PH-CR-120</x:v>
      </x:c>
      <x:c r="C2442" t="str">
        <x:v>PHYSICAL</x:v>
      </x:c>
      <x:c r="D2442" t="str">
        <x:v>credit acceptance</x:v>
      </x:c>
      <x:c r="E2442" t="str">
        <x:v>PH-CR-120</x:v>
      </x:c>
      <x:c r="F2442" t="str">
        <x:f>'Trial Register'!V126</x:f>
      </x:c>
      <x:c r="G2442" t="n">
        <x:v>1</x:v>
      </x:c>
      <x:c r="H2442" t="str">
        <x:v>independent physical acceptance</x:v>
      </x:c>
      <x:c r="I2442" t="str">
        <x:f>IF(F2442=1,"PASS","OPEN")</x:f>
        <x:v>OPEN</x:v>
      </x:c>
    </x:row>
    <x:row r="2443">
      <x:c r="B2443" t="str">
        <x:v>PH-EX-121</x:v>
      </x:c>
      <x:c r="C2443" t="str">
        <x:v>PHYSICAL</x:v>
      </x:c>
      <x:c r="D2443" t="str">
        <x:v>trial execution</x:v>
      </x:c>
      <x:c r="E2443" t="str">
        <x:v>PH-EX-121</x:v>
      </x:c>
      <x:c r="F2443" t="n">
        <x:f>IF('Trial Register'!P127&lt;&gt;"",1,0)</x:f>
        <x:v>0</x:v>
      </x:c>
      <x:c r="G2443" t="n">
        <x:v>1</x:v>
      </x:c>
      <x:c r="H2443" t="str">
        <x:v>independent physical acceptance</x:v>
      </x:c>
      <x:c r="I2443" t="str">
        <x:f>IF(F2443=1,"PASS","OPEN")</x:f>
        <x:v>OPEN</x:v>
      </x:c>
    </x:row>
    <x:row r="2444">
      <x:c r="B2444" t="str">
        <x:v>PH-PK-121</x:v>
      </x:c>
      <x:c r="C2444" t="str">
        <x:v>PHYSICAL</x:v>
      </x:c>
      <x:c r="D2444" t="str">
        <x:v>trial packet</x:v>
      </x:c>
      <x:c r="E2444" t="str">
        <x:v>PH-PK-121</x:v>
      </x:c>
      <x:c r="F2444" t="n">
        <x:f>IF('Trial Register'!Q127&lt;&gt;"",1,0)</x:f>
        <x:v>0</x:v>
      </x:c>
      <x:c r="G2444" t="n">
        <x:v>1</x:v>
      </x:c>
      <x:c r="H2444" t="str">
        <x:v>independent physical acceptance</x:v>
      </x:c>
      <x:c r="I2444" t="str">
        <x:f>IF(F2444=1,"PASS","OPEN")</x:f>
        <x:v>OPEN</x:v>
      </x:c>
    </x:row>
    <x:row r="2445">
      <x:c r="B2445" t="str">
        <x:v>PH-VA-121</x:v>
      </x:c>
      <x:c r="C2445" t="str">
        <x:v>PHYSICAL</x:v>
      </x:c>
      <x:c r="D2445" t="str">
        <x:v>trial validity</x:v>
      </x:c>
      <x:c r="E2445" t="str">
        <x:v>PH-VA-121</x:v>
      </x:c>
      <x:c r="F2445" t="n">
        <x:f>IF('Trial Register'!R127&lt;&gt;"",1,0)</x:f>
        <x:v>0</x:v>
      </x:c>
      <x:c r="G2445" t="n">
        <x:v>1</x:v>
      </x:c>
      <x:c r="H2445" t="str">
        <x:v>independent physical acceptance</x:v>
      </x:c>
      <x:c r="I2445" t="str">
        <x:f>IF(F2445=1,"PASS","OPEN")</x:f>
        <x:v>OPEN</x:v>
      </x:c>
    </x:row>
    <x:row r="2446">
      <x:c r="B2446" t="str">
        <x:v>PH-RV-121</x:v>
      </x:c>
      <x:c r="C2446" t="str">
        <x:v>PHYSICAL</x:v>
      </x:c>
      <x:c r="D2446" t="str">
        <x:v>reported value</x:v>
      </x:c>
      <x:c r="E2446" t="str">
        <x:v>PH-RV-121</x:v>
      </x:c>
      <x:c r="F2446" t="n">
        <x:f>IF('Trial Register'!S127&lt;&gt;"",1,0)</x:f>
        <x:v>0</x:v>
      </x:c>
      <x:c r="G2446" t="n">
        <x:v>1</x:v>
      </x:c>
      <x:c r="H2446" t="str">
        <x:v>independent physical acceptance</x:v>
      </x:c>
      <x:c r="I2446" t="str">
        <x:f>IF(F2446=1,"PASS","OPEN")</x:f>
        <x:v>OPEN</x:v>
      </x:c>
    </x:row>
    <x:row r="2447">
      <x:c r="B2447" t="str">
        <x:v>PH-CR-121</x:v>
      </x:c>
      <x:c r="C2447" t="str">
        <x:v>PHYSICAL</x:v>
      </x:c>
      <x:c r="D2447" t="str">
        <x:v>credit acceptance</x:v>
      </x:c>
      <x:c r="E2447" t="str">
        <x:v>PH-CR-121</x:v>
      </x:c>
      <x:c r="F2447" t="str">
        <x:f>'Trial Register'!V127</x:f>
      </x:c>
      <x:c r="G2447" t="n">
        <x:v>1</x:v>
      </x:c>
      <x:c r="H2447" t="str">
        <x:v>independent physical acceptance</x:v>
      </x:c>
      <x:c r="I2447" t="str">
        <x:f>IF(F2447=1,"PASS","OPEN")</x:f>
        <x:v>OPEN</x:v>
      </x:c>
    </x:row>
    <x:row r="2448">
      <x:c r="B2448" t="str">
        <x:v>PH-EX-122</x:v>
      </x:c>
      <x:c r="C2448" t="str">
        <x:v>PHYSICAL</x:v>
      </x:c>
      <x:c r="D2448" t="str">
        <x:v>trial execution</x:v>
      </x:c>
      <x:c r="E2448" t="str">
        <x:v>PH-EX-122</x:v>
      </x:c>
      <x:c r="F2448" t="n">
        <x:f>IF('Trial Register'!P128&lt;&gt;"",1,0)</x:f>
        <x:v>0</x:v>
      </x:c>
      <x:c r="G2448" t="n">
        <x:v>1</x:v>
      </x:c>
      <x:c r="H2448" t="str">
        <x:v>independent physical acceptance</x:v>
      </x:c>
      <x:c r="I2448" t="str">
        <x:f>IF(F2448=1,"PASS","OPEN")</x:f>
        <x:v>OPEN</x:v>
      </x:c>
    </x:row>
    <x:row r="2449">
      <x:c r="B2449" t="str">
        <x:v>PH-PK-122</x:v>
      </x:c>
      <x:c r="C2449" t="str">
        <x:v>PHYSICAL</x:v>
      </x:c>
      <x:c r="D2449" t="str">
        <x:v>trial packet</x:v>
      </x:c>
      <x:c r="E2449" t="str">
        <x:v>PH-PK-122</x:v>
      </x:c>
      <x:c r="F2449" t="n">
        <x:f>IF('Trial Register'!Q128&lt;&gt;"",1,0)</x:f>
        <x:v>0</x:v>
      </x:c>
      <x:c r="G2449" t="n">
        <x:v>1</x:v>
      </x:c>
      <x:c r="H2449" t="str">
        <x:v>independent physical acceptance</x:v>
      </x:c>
      <x:c r="I2449" t="str">
        <x:f>IF(F2449=1,"PASS","OPEN")</x:f>
        <x:v>OPEN</x:v>
      </x:c>
    </x:row>
    <x:row r="2450">
      <x:c r="B2450" t="str">
        <x:v>PH-VA-122</x:v>
      </x:c>
      <x:c r="C2450" t="str">
        <x:v>PHYSICAL</x:v>
      </x:c>
      <x:c r="D2450" t="str">
        <x:v>trial validity</x:v>
      </x:c>
      <x:c r="E2450" t="str">
        <x:v>PH-VA-122</x:v>
      </x:c>
      <x:c r="F2450" t="n">
        <x:f>IF('Trial Register'!R128&lt;&gt;"",1,0)</x:f>
        <x:v>0</x:v>
      </x:c>
      <x:c r="G2450" t="n">
        <x:v>1</x:v>
      </x:c>
      <x:c r="H2450" t="str">
        <x:v>independent physical acceptance</x:v>
      </x:c>
      <x:c r="I2450" t="str">
        <x:f>IF(F2450=1,"PASS","OPEN")</x:f>
        <x:v>OPEN</x:v>
      </x:c>
    </x:row>
    <x:row r="2451">
      <x:c r="B2451" t="str">
        <x:v>PH-RV-122</x:v>
      </x:c>
      <x:c r="C2451" t="str">
        <x:v>PHYSICAL</x:v>
      </x:c>
      <x:c r="D2451" t="str">
        <x:v>reported value</x:v>
      </x:c>
      <x:c r="E2451" t="str">
        <x:v>PH-RV-122</x:v>
      </x:c>
      <x:c r="F2451" t="n">
        <x:f>IF('Trial Register'!S128&lt;&gt;"",1,0)</x:f>
        <x:v>0</x:v>
      </x:c>
      <x:c r="G2451" t="n">
        <x:v>1</x:v>
      </x:c>
      <x:c r="H2451" t="str">
        <x:v>independent physical acceptance</x:v>
      </x:c>
      <x:c r="I2451" t="str">
        <x:f>IF(F2451=1,"PASS","OPEN")</x:f>
        <x:v>OPEN</x:v>
      </x:c>
    </x:row>
    <x:row r="2452">
      <x:c r="B2452" t="str">
        <x:v>PH-CR-122</x:v>
      </x:c>
      <x:c r="C2452" t="str">
        <x:v>PHYSICAL</x:v>
      </x:c>
      <x:c r="D2452" t="str">
        <x:v>credit acceptance</x:v>
      </x:c>
      <x:c r="E2452" t="str">
        <x:v>PH-CR-122</x:v>
      </x:c>
      <x:c r="F2452" t="str">
        <x:f>'Trial Register'!V128</x:f>
      </x:c>
      <x:c r="G2452" t="n">
        <x:v>1</x:v>
      </x:c>
      <x:c r="H2452" t="str">
        <x:v>independent physical acceptance</x:v>
      </x:c>
      <x:c r="I2452" t="str">
        <x:f>IF(F2452=1,"PASS","OPEN")</x:f>
        <x:v>OPEN</x:v>
      </x:c>
    </x:row>
    <x:row r="2453">
      <x:c r="B2453" t="str">
        <x:v>PH-EX-123</x:v>
      </x:c>
      <x:c r="C2453" t="str">
        <x:v>PHYSICAL</x:v>
      </x:c>
      <x:c r="D2453" t="str">
        <x:v>trial execution</x:v>
      </x:c>
      <x:c r="E2453" t="str">
        <x:v>PH-EX-123</x:v>
      </x:c>
      <x:c r="F2453" t="n">
        <x:f>IF('Trial Register'!P129&lt;&gt;"",1,0)</x:f>
        <x:v>0</x:v>
      </x:c>
      <x:c r="G2453" t="n">
        <x:v>1</x:v>
      </x:c>
      <x:c r="H2453" t="str">
        <x:v>independent physical acceptance</x:v>
      </x:c>
      <x:c r="I2453" t="str">
        <x:f>IF(F2453=1,"PASS","OPEN")</x:f>
        <x:v>OPEN</x:v>
      </x:c>
    </x:row>
    <x:row r="2454">
      <x:c r="B2454" t="str">
        <x:v>PH-PK-123</x:v>
      </x:c>
      <x:c r="C2454" t="str">
        <x:v>PHYSICAL</x:v>
      </x:c>
      <x:c r="D2454" t="str">
        <x:v>trial packet</x:v>
      </x:c>
      <x:c r="E2454" t="str">
        <x:v>PH-PK-123</x:v>
      </x:c>
      <x:c r="F2454" t="n">
        <x:f>IF('Trial Register'!Q129&lt;&gt;"",1,0)</x:f>
        <x:v>0</x:v>
      </x:c>
      <x:c r="G2454" t="n">
        <x:v>1</x:v>
      </x:c>
      <x:c r="H2454" t="str">
        <x:v>independent physical acceptance</x:v>
      </x:c>
      <x:c r="I2454" t="str">
        <x:f>IF(F2454=1,"PASS","OPEN")</x:f>
        <x:v>OPEN</x:v>
      </x:c>
    </x:row>
    <x:row r="2455">
      <x:c r="B2455" t="str">
        <x:v>PH-VA-123</x:v>
      </x:c>
      <x:c r="C2455" t="str">
        <x:v>PHYSICAL</x:v>
      </x:c>
      <x:c r="D2455" t="str">
        <x:v>trial validity</x:v>
      </x:c>
      <x:c r="E2455" t="str">
        <x:v>PH-VA-123</x:v>
      </x:c>
      <x:c r="F2455" t="n">
        <x:f>IF('Trial Register'!R129&lt;&gt;"",1,0)</x:f>
        <x:v>0</x:v>
      </x:c>
      <x:c r="G2455" t="n">
        <x:v>1</x:v>
      </x:c>
      <x:c r="H2455" t="str">
        <x:v>independent physical acceptance</x:v>
      </x:c>
      <x:c r="I2455" t="str">
        <x:f>IF(F2455=1,"PASS","OPEN")</x:f>
        <x:v>OPEN</x:v>
      </x:c>
    </x:row>
    <x:row r="2456">
      <x:c r="B2456" t="str">
        <x:v>PH-RV-123</x:v>
      </x:c>
      <x:c r="C2456" t="str">
        <x:v>PHYSICAL</x:v>
      </x:c>
      <x:c r="D2456" t="str">
        <x:v>reported value</x:v>
      </x:c>
      <x:c r="E2456" t="str">
        <x:v>PH-RV-123</x:v>
      </x:c>
      <x:c r="F2456" t="n">
        <x:f>IF('Trial Register'!S129&lt;&gt;"",1,0)</x:f>
        <x:v>0</x:v>
      </x:c>
      <x:c r="G2456" t="n">
        <x:v>1</x:v>
      </x:c>
      <x:c r="H2456" t="str">
        <x:v>independent physical acceptance</x:v>
      </x:c>
      <x:c r="I2456" t="str">
        <x:f>IF(F2456=1,"PASS","OPEN")</x:f>
        <x:v>OPEN</x:v>
      </x:c>
    </x:row>
    <x:row r="2457">
      <x:c r="B2457" t="str">
        <x:v>PH-CR-123</x:v>
      </x:c>
      <x:c r="C2457" t="str">
        <x:v>PHYSICAL</x:v>
      </x:c>
      <x:c r="D2457" t="str">
        <x:v>credit acceptance</x:v>
      </x:c>
      <x:c r="E2457" t="str">
        <x:v>PH-CR-123</x:v>
      </x:c>
      <x:c r="F2457" t="str">
        <x:f>'Trial Register'!V129</x:f>
      </x:c>
      <x:c r="G2457" t="n">
        <x:v>1</x:v>
      </x:c>
      <x:c r="H2457" t="str">
        <x:v>independent physical acceptance</x:v>
      </x:c>
      <x:c r="I2457" t="str">
        <x:f>IF(F2457=1,"PASS","OPEN")</x:f>
        <x:v>OPEN</x:v>
      </x:c>
    </x:row>
    <x:row r="2458">
      <x:c r="B2458" t="str">
        <x:v>PH-EX-124</x:v>
      </x:c>
      <x:c r="C2458" t="str">
        <x:v>PHYSICAL</x:v>
      </x:c>
      <x:c r="D2458" t="str">
        <x:v>trial execution</x:v>
      </x:c>
      <x:c r="E2458" t="str">
        <x:v>PH-EX-124</x:v>
      </x:c>
      <x:c r="F2458" t="n">
        <x:f>IF('Trial Register'!P130&lt;&gt;"",1,0)</x:f>
        <x:v>0</x:v>
      </x:c>
      <x:c r="G2458" t="n">
        <x:v>1</x:v>
      </x:c>
      <x:c r="H2458" t="str">
        <x:v>independent physical acceptance</x:v>
      </x:c>
      <x:c r="I2458" t="str">
        <x:f>IF(F2458=1,"PASS","OPEN")</x:f>
        <x:v>OPEN</x:v>
      </x:c>
    </x:row>
    <x:row r="2459">
      <x:c r="B2459" t="str">
        <x:v>PH-PK-124</x:v>
      </x:c>
      <x:c r="C2459" t="str">
        <x:v>PHYSICAL</x:v>
      </x:c>
      <x:c r="D2459" t="str">
        <x:v>trial packet</x:v>
      </x:c>
      <x:c r="E2459" t="str">
        <x:v>PH-PK-124</x:v>
      </x:c>
      <x:c r="F2459" t="n">
        <x:f>IF('Trial Register'!Q130&lt;&gt;"",1,0)</x:f>
        <x:v>0</x:v>
      </x:c>
      <x:c r="G2459" t="n">
        <x:v>1</x:v>
      </x:c>
      <x:c r="H2459" t="str">
        <x:v>independent physical acceptance</x:v>
      </x:c>
      <x:c r="I2459" t="str">
        <x:f>IF(F2459=1,"PASS","OPEN")</x:f>
        <x:v>OPEN</x:v>
      </x:c>
    </x:row>
    <x:row r="2460">
      <x:c r="B2460" t="str">
        <x:v>PH-VA-124</x:v>
      </x:c>
      <x:c r="C2460" t="str">
        <x:v>PHYSICAL</x:v>
      </x:c>
      <x:c r="D2460" t="str">
        <x:v>trial validity</x:v>
      </x:c>
      <x:c r="E2460" t="str">
        <x:v>PH-VA-124</x:v>
      </x:c>
      <x:c r="F2460" t="n">
        <x:f>IF('Trial Register'!R130&lt;&gt;"",1,0)</x:f>
        <x:v>0</x:v>
      </x:c>
      <x:c r="G2460" t="n">
        <x:v>1</x:v>
      </x:c>
      <x:c r="H2460" t="str">
        <x:v>independent physical acceptance</x:v>
      </x:c>
      <x:c r="I2460" t="str">
        <x:f>IF(F2460=1,"PASS","OPEN")</x:f>
        <x:v>OPEN</x:v>
      </x:c>
    </x:row>
    <x:row r="2461">
      <x:c r="B2461" t="str">
        <x:v>PH-RV-124</x:v>
      </x:c>
      <x:c r="C2461" t="str">
        <x:v>PHYSICAL</x:v>
      </x:c>
      <x:c r="D2461" t="str">
        <x:v>reported value</x:v>
      </x:c>
      <x:c r="E2461" t="str">
        <x:v>PH-RV-124</x:v>
      </x:c>
      <x:c r="F2461" t="n">
        <x:f>IF('Trial Register'!S130&lt;&gt;"",1,0)</x:f>
        <x:v>0</x:v>
      </x:c>
      <x:c r="G2461" t="n">
        <x:v>1</x:v>
      </x:c>
      <x:c r="H2461" t="str">
        <x:v>independent physical acceptance</x:v>
      </x:c>
      <x:c r="I2461" t="str">
        <x:f>IF(F2461=1,"PASS","OPEN")</x:f>
        <x:v>OPEN</x:v>
      </x:c>
    </x:row>
    <x:row r="2462">
      <x:c r="B2462" t="str">
        <x:v>PH-CR-124</x:v>
      </x:c>
      <x:c r="C2462" t="str">
        <x:v>PHYSICAL</x:v>
      </x:c>
      <x:c r="D2462" t="str">
        <x:v>credit acceptance</x:v>
      </x:c>
      <x:c r="E2462" t="str">
        <x:v>PH-CR-124</x:v>
      </x:c>
      <x:c r="F2462" t="str">
        <x:f>'Trial Register'!V130</x:f>
      </x:c>
      <x:c r="G2462" t="n">
        <x:v>1</x:v>
      </x:c>
      <x:c r="H2462" t="str">
        <x:v>independent physical acceptance</x:v>
      </x:c>
      <x:c r="I2462" t="str">
        <x:f>IF(F2462=1,"PASS","OPEN")</x:f>
        <x:v>OPEN</x:v>
      </x:c>
    </x:row>
    <x:row r="2463">
      <x:c r="B2463" t="str">
        <x:v>PH-EX-125</x:v>
      </x:c>
      <x:c r="C2463" t="str">
        <x:v>PHYSICAL</x:v>
      </x:c>
      <x:c r="D2463" t="str">
        <x:v>trial execution</x:v>
      </x:c>
      <x:c r="E2463" t="str">
        <x:v>PH-EX-125</x:v>
      </x:c>
      <x:c r="F2463" t="n">
        <x:f>IF('Trial Register'!P131&lt;&gt;"",1,0)</x:f>
        <x:v>0</x:v>
      </x:c>
      <x:c r="G2463" t="n">
        <x:v>1</x:v>
      </x:c>
      <x:c r="H2463" t="str">
        <x:v>independent physical acceptance</x:v>
      </x:c>
      <x:c r="I2463" t="str">
        <x:f>IF(F2463=1,"PASS","OPEN")</x:f>
        <x:v>OPEN</x:v>
      </x:c>
    </x:row>
    <x:row r="2464">
      <x:c r="B2464" t="str">
        <x:v>PH-PK-125</x:v>
      </x:c>
      <x:c r="C2464" t="str">
        <x:v>PHYSICAL</x:v>
      </x:c>
      <x:c r="D2464" t="str">
        <x:v>trial packet</x:v>
      </x:c>
      <x:c r="E2464" t="str">
        <x:v>PH-PK-125</x:v>
      </x:c>
      <x:c r="F2464" t="n">
        <x:f>IF('Trial Register'!Q131&lt;&gt;"",1,0)</x:f>
        <x:v>0</x:v>
      </x:c>
      <x:c r="G2464" t="n">
        <x:v>1</x:v>
      </x:c>
      <x:c r="H2464" t="str">
        <x:v>independent physical acceptance</x:v>
      </x:c>
      <x:c r="I2464" t="str">
        <x:f>IF(F2464=1,"PASS","OPEN")</x:f>
        <x:v>OPEN</x:v>
      </x:c>
    </x:row>
    <x:row r="2465">
      <x:c r="B2465" t="str">
        <x:v>PH-VA-125</x:v>
      </x:c>
      <x:c r="C2465" t="str">
        <x:v>PHYSICAL</x:v>
      </x:c>
      <x:c r="D2465" t="str">
        <x:v>trial validity</x:v>
      </x:c>
      <x:c r="E2465" t="str">
        <x:v>PH-VA-125</x:v>
      </x:c>
      <x:c r="F2465" t="n">
        <x:f>IF('Trial Register'!R131&lt;&gt;"",1,0)</x:f>
        <x:v>0</x:v>
      </x:c>
      <x:c r="G2465" t="n">
        <x:v>1</x:v>
      </x:c>
      <x:c r="H2465" t="str">
        <x:v>independent physical acceptance</x:v>
      </x:c>
      <x:c r="I2465" t="str">
        <x:f>IF(F2465=1,"PASS","OPEN")</x:f>
        <x:v>OPEN</x:v>
      </x:c>
    </x:row>
    <x:row r="2466">
      <x:c r="B2466" t="str">
        <x:v>PH-RV-125</x:v>
      </x:c>
      <x:c r="C2466" t="str">
        <x:v>PHYSICAL</x:v>
      </x:c>
      <x:c r="D2466" t="str">
        <x:v>reported value</x:v>
      </x:c>
      <x:c r="E2466" t="str">
        <x:v>PH-RV-125</x:v>
      </x:c>
      <x:c r="F2466" t="n">
        <x:f>IF('Trial Register'!S131&lt;&gt;"",1,0)</x:f>
        <x:v>0</x:v>
      </x:c>
      <x:c r="G2466" t="n">
        <x:v>1</x:v>
      </x:c>
      <x:c r="H2466" t="str">
        <x:v>independent physical acceptance</x:v>
      </x:c>
      <x:c r="I2466" t="str">
        <x:f>IF(F2466=1,"PASS","OPEN")</x:f>
        <x:v>OPEN</x:v>
      </x:c>
    </x:row>
    <x:row r="2467">
      <x:c r="B2467" t="str">
        <x:v>PH-CR-125</x:v>
      </x:c>
      <x:c r="C2467" t="str">
        <x:v>PHYSICAL</x:v>
      </x:c>
      <x:c r="D2467" t="str">
        <x:v>credit acceptance</x:v>
      </x:c>
      <x:c r="E2467" t="str">
        <x:v>PH-CR-125</x:v>
      </x:c>
      <x:c r="F2467" t="str">
        <x:f>'Trial Register'!V131</x:f>
      </x:c>
      <x:c r="G2467" t="n">
        <x:v>1</x:v>
      </x:c>
      <x:c r="H2467" t="str">
        <x:v>independent physical acceptance</x:v>
      </x:c>
      <x:c r="I2467" t="str">
        <x:f>IF(F2467=1,"PASS","OPEN")</x:f>
        <x:v>OPEN</x:v>
      </x:c>
    </x:row>
    <x:row r="2468">
      <x:c r="B2468" t="str">
        <x:v>PH-EX-126</x:v>
      </x:c>
      <x:c r="C2468" t="str">
        <x:v>PHYSICAL</x:v>
      </x:c>
      <x:c r="D2468" t="str">
        <x:v>trial execution</x:v>
      </x:c>
      <x:c r="E2468" t="str">
        <x:v>PH-EX-126</x:v>
      </x:c>
      <x:c r="F2468" t="n">
        <x:f>IF('Trial Register'!P132&lt;&gt;"",1,0)</x:f>
        <x:v>0</x:v>
      </x:c>
      <x:c r="G2468" t="n">
        <x:v>1</x:v>
      </x:c>
      <x:c r="H2468" t="str">
        <x:v>independent physical acceptance</x:v>
      </x:c>
      <x:c r="I2468" t="str">
        <x:f>IF(F2468=1,"PASS","OPEN")</x:f>
        <x:v>OPEN</x:v>
      </x:c>
    </x:row>
    <x:row r="2469">
      <x:c r="B2469" t="str">
        <x:v>PH-PK-126</x:v>
      </x:c>
      <x:c r="C2469" t="str">
        <x:v>PHYSICAL</x:v>
      </x:c>
      <x:c r="D2469" t="str">
        <x:v>trial packet</x:v>
      </x:c>
      <x:c r="E2469" t="str">
        <x:v>PH-PK-126</x:v>
      </x:c>
      <x:c r="F2469" t="n">
        <x:f>IF('Trial Register'!Q132&lt;&gt;"",1,0)</x:f>
        <x:v>0</x:v>
      </x:c>
      <x:c r="G2469" t="n">
        <x:v>1</x:v>
      </x:c>
      <x:c r="H2469" t="str">
        <x:v>independent physical acceptance</x:v>
      </x:c>
      <x:c r="I2469" t="str">
        <x:f>IF(F2469=1,"PASS","OPEN")</x:f>
        <x:v>OPEN</x:v>
      </x:c>
    </x:row>
    <x:row r="2470">
      <x:c r="B2470" t="str">
        <x:v>PH-VA-126</x:v>
      </x:c>
      <x:c r="C2470" t="str">
        <x:v>PHYSICAL</x:v>
      </x:c>
      <x:c r="D2470" t="str">
        <x:v>trial validity</x:v>
      </x:c>
      <x:c r="E2470" t="str">
        <x:v>PH-VA-126</x:v>
      </x:c>
      <x:c r="F2470" t="n">
        <x:f>IF('Trial Register'!R132&lt;&gt;"",1,0)</x:f>
        <x:v>0</x:v>
      </x:c>
      <x:c r="G2470" t="n">
        <x:v>1</x:v>
      </x:c>
      <x:c r="H2470" t="str">
        <x:v>independent physical acceptance</x:v>
      </x:c>
      <x:c r="I2470" t="str">
        <x:f>IF(F2470=1,"PASS","OPEN")</x:f>
        <x:v>OPEN</x:v>
      </x:c>
    </x:row>
    <x:row r="2471">
      <x:c r="B2471" t="str">
        <x:v>PH-RV-126</x:v>
      </x:c>
      <x:c r="C2471" t="str">
        <x:v>PHYSICAL</x:v>
      </x:c>
      <x:c r="D2471" t="str">
        <x:v>reported value</x:v>
      </x:c>
      <x:c r="E2471" t="str">
        <x:v>PH-RV-126</x:v>
      </x:c>
      <x:c r="F2471" t="n">
        <x:f>IF('Trial Register'!S132&lt;&gt;"",1,0)</x:f>
        <x:v>0</x:v>
      </x:c>
      <x:c r="G2471" t="n">
        <x:v>1</x:v>
      </x:c>
      <x:c r="H2471" t="str">
        <x:v>independent physical acceptance</x:v>
      </x:c>
      <x:c r="I2471" t="str">
        <x:f>IF(F2471=1,"PASS","OPEN")</x:f>
        <x:v>OPEN</x:v>
      </x:c>
    </x:row>
    <x:row r="2472">
      <x:c r="B2472" t="str">
        <x:v>PH-CR-126</x:v>
      </x:c>
      <x:c r="C2472" t="str">
        <x:v>PHYSICAL</x:v>
      </x:c>
      <x:c r="D2472" t="str">
        <x:v>credit acceptance</x:v>
      </x:c>
      <x:c r="E2472" t="str">
        <x:v>PH-CR-126</x:v>
      </x:c>
      <x:c r="F2472" t="str">
        <x:f>'Trial Register'!V132</x:f>
      </x:c>
      <x:c r="G2472" t="n">
        <x:v>1</x:v>
      </x:c>
      <x:c r="H2472" t="str">
        <x:v>independent physical acceptance</x:v>
      </x:c>
      <x:c r="I2472" t="str">
        <x:f>IF(F2472=1,"PASS","OPEN")</x:f>
        <x:v>OPEN</x:v>
      </x:c>
    </x:row>
    <x:row r="2473">
      <x:c r="B2473" t="str">
        <x:v>PH-EX-127</x:v>
      </x:c>
      <x:c r="C2473" t="str">
        <x:v>PHYSICAL</x:v>
      </x:c>
      <x:c r="D2473" t="str">
        <x:v>trial execution</x:v>
      </x:c>
      <x:c r="E2473" t="str">
        <x:v>PH-EX-127</x:v>
      </x:c>
      <x:c r="F2473" t="n">
        <x:f>IF('Trial Register'!P133&lt;&gt;"",1,0)</x:f>
        <x:v>0</x:v>
      </x:c>
      <x:c r="G2473" t="n">
        <x:v>1</x:v>
      </x:c>
      <x:c r="H2473" t="str">
        <x:v>independent physical acceptance</x:v>
      </x:c>
      <x:c r="I2473" t="str">
        <x:f>IF(F2473=1,"PASS","OPEN")</x:f>
        <x:v>OPEN</x:v>
      </x:c>
    </x:row>
    <x:row r="2474">
      <x:c r="B2474" t="str">
        <x:v>PH-PK-127</x:v>
      </x:c>
      <x:c r="C2474" t="str">
        <x:v>PHYSICAL</x:v>
      </x:c>
      <x:c r="D2474" t="str">
        <x:v>trial packet</x:v>
      </x:c>
      <x:c r="E2474" t="str">
        <x:v>PH-PK-127</x:v>
      </x:c>
      <x:c r="F2474" t="n">
        <x:f>IF('Trial Register'!Q133&lt;&gt;"",1,0)</x:f>
        <x:v>0</x:v>
      </x:c>
      <x:c r="G2474" t="n">
        <x:v>1</x:v>
      </x:c>
      <x:c r="H2474" t="str">
        <x:v>independent physical acceptance</x:v>
      </x:c>
      <x:c r="I2474" t="str">
        <x:f>IF(F2474=1,"PASS","OPEN")</x:f>
        <x:v>OPEN</x:v>
      </x:c>
    </x:row>
    <x:row r="2475">
      <x:c r="B2475" t="str">
        <x:v>PH-VA-127</x:v>
      </x:c>
      <x:c r="C2475" t="str">
        <x:v>PHYSICAL</x:v>
      </x:c>
      <x:c r="D2475" t="str">
        <x:v>trial validity</x:v>
      </x:c>
      <x:c r="E2475" t="str">
        <x:v>PH-VA-127</x:v>
      </x:c>
      <x:c r="F2475" t="n">
        <x:f>IF('Trial Register'!R133&lt;&gt;"",1,0)</x:f>
        <x:v>0</x:v>
      </x:c>
      <x:c r="G2475" t="n">
        <x:v>1</x:v>
      </x:c>
      <x:c r="H2475" t="str">
        <x:v>independent physical acceptance</x:v>
      </x:c>
      <x:c r="I2475" t="str">
        <x:f>IF(F2475=1,"PASS","OPEN")</x:f>
        <x:v>OPEN</x:v>
      </x:c>
    </x:row>
    <x:row r="2476">
      <x:c r="B2476" t="str">
        <x:v>PH-RV-127</x:v>
      </x:c>
      <x:c r="C2476" t="str">
        <x:v>PHYSICAL</x:v>
      </x:c>
      <x:c r="D2476" t="str">
        <x:v>reported value</x:v>
      </x:c>
      <x:c r="E2476" t="str">
        <x:v>PH-RV-127</x:v>
      </x:c>
      <x:c r="F2476" t="n">
        <x:f>IF('Trial Register'!S133&lt;&gt;"",1,0)</x:f>
        <x:v>0</x:v>
      </x:c>
      <x:c r="G2476" t="n">
        <x:v>1</x:v>
      </x:c>
      <x:c r="H2476" t="str">
        <x:v>independent physical acceptance</x:v>
      </x:c>
      <x:c r="I2476" t="str">
        <x:f>IF(F2476=1,"PASS","OPEN")</x:f>
        <x:v>OPEN</x:v>
      </x:c>
    </x:row>
    <x:row r="2477">
      <x:c r="B2477" t="str">
        <x:v>PH-CR-127</x:v>
      </x:c>
      <x:c r="C2477" t="str">
        <x:v>PHYSICAL</x:v>
      </x:c>
      <x:c r="D2477" t="str">
        <x:v>credit acceptance</x:v>
      </x:c>
      <x:c r="E2477" t="str">
        <x:v>PH-CR-127</x:v>
      </x:c>
      <x:c r="F2477" t="str">
        <x:f>'Trial Register'!V133</x:f>
      </x:c>
      <x:c r="G2477" t="n">
        <x:v>1</x:v>
      </x:c>
      <x:c r="H2477" t="str">
        <x:v>independent physical acceptance</x:v>
      </x:c>
      <x:c r="I2477" t="str">
        <x:f>IF(F2477=1,"PASS","OPEN")</x:f>
        <x:v>OPEN</x:v>
      </x:c>
    </x:row>
    <x:row r="2478">
      <x:c r="B2478" t="str">
        <x:v>PH-EX-128</x:v>
      </x:c>
      <x:c r="C2478" t="str">
        <x:v>PHYSICAL</x:v>
      </x:c>
      <x:c r="D2478" t="str">
        <x:v>trial execution</x:v>
      </x:c>
      <x:c r="E2478" t="str">
        <x:v>PH-EX-128</x:v>
      </x:c>
      <x:c r="F2478" t="n">
        <x:f>IF('Trial Register'!P134&lt;&gt;"",1,0)</x:f>
        <x:v>0</x:v>
      </x:c>
      <x:c r="G2478" t="n">
        <x:v>1</x:v>
      </x:c>
      <x:c r="H2478" t="str">
        <x:v>independent physical acceptance</x:v>
      </x:c>
      <x:c r="I2478" t="str">
        <x:f>IF(F2478=1,"PASS","OPEN")</x:f>
        <x:v>OPEN</x:v>
      </x:c>
    </x:row>
    <x:row r="2479">
      <x:c r="B2479" t="str">
        <x:v>PH-PK-128</x:v>
      </x:c>
      <x:c r="C2479" t="str">
        <x:v>PHYSICAL</x:v>
      </x:c>
      <x:c r="D2479" t="str">
        <x:v>trial packet</x:v>
      </x:c>
      <x:c r="E2479" t="str">
        <x:v>PH-PK-128</x:v>
      </x:c>
      <x:c r="F2479" t="n">
        <x:f>IF('Trial Register'!Q134&lt;&gt;"",1,0)</x:f>
        <x:v>0</x:v>
      </x:c>
      <x:c r="G2479" t="n">
        <x:v>1</x:v>
      </x:c>
      <x:c r="H2479" t="str">
        <x:v>independent physical acceptance</x:v>
      </x:c>
      <x:c r="I2479" t="str">
        <x:f>IF(F2479=1,"PASS","OPEN")</x:f>
        <x:v>OPEN</x:v>
      </x:c>
    </x:row>
    <x:row r="2480">
      <x:c r="B2480" t="str">
        <x:v>PH-VA-128</x:v>
      </x:c>
      <x:c r="C2480" t="str">
        <x:v>PHYSICAL</x:v>
      </x:c>
      <x:c r="D2480" t="str">
        <x:v>trial validity</x:v>
      </x:c>
      <x:c r="E2480" t="str">
        <x:v>PH-VA-128</x:v>
      </x:c>
      <x:c r="F2480" t="n">
        <x:f>IF('Trial Register'!R134&lt;&gt;"",1,0)</x:f>
        <x:v>0</x:v>
      </x:c>
      <x:c r="G2480" t="n">
        <x:v>1</x:v>
      </x:c>
      <x:c r="H2480" t="str">
        <x:v>independent physical acceptance</x:v>
      </x:c>
      <x:c r="I2480" t="str">
        <x:f>IF(F2480=1,"PASS","OPEN")</x:f>
        <x:v>OPEN</x:v>
      </x:c>
    </x:row>
    <x:row r="2481">
      <x:c r="B2481" t="str">
        <x:v>PH-RV-128</x:v>
      </x:c>
      <x:c r="C2481" t="str">
        <x:v>PHYSICAL</x:v>
      </x:c>
      <x:c r="D2481" t="str">
        <x:v>reported value</x:v>
      </x:c>
      <x:c r="E2481" t="str">
        <x:v>PH-RV-128</x:v>
      </x:c>
      <x:c r="F2481" t="n">
        <x:f>IF('Trial Register'!S134&lt;&gt;"",1,0)</x:f>
        <x:v>0</x:v>
      </x:c>
      <x:c r="G2481" t="n">
        <x:v>1</x:v>
      </x:c>
      <x:c r="H2481" t="str">
        <x:v>independent physical acceptance</x:v>
      </x:c>
      <x:c r="I2481" t="str">
        <x:f>IF(F2481=1,"PASS","OPEN")</x:f>
        <x:v>OPEN</x:v>
      </x:c>
    </x:row>
    <x:row r="2482">
      <x:c r="B2482" t="str">
        <x:v>PH-CR-128</x:v>
      </x:c>
      <x:c r="C2482" t="str">
        <x:v>PHYSICAL</x:v>
      </x:c>
      <x:c r="D2482" t="str">
        <x:v>credit acceptance</x:v>
      </x:c>
      <x:c r="E2482" t="str">
        <x:v>PH-CR-128</x:v>
      </x:c>
      <x:c r="F2482" t="str">
        <x:f>'Trial Register'!V134</x:f>
      </x:c>
      <x:c r="G2482" t="n">
        <x:v>1</x:v>
      </x:c>
      <x:c r="H2482" t="str">
        <x:v>independent physical acceptance</x:v>
      </x:c>
      <x:c r="I2482" t="str">
        <x:f>IF(F2482=1,"PASS","OPEN")</x:f>
        <x:v>OPEN</x:v>
      </x:c>
    </x:row>
    <x:row r="2483">
      <x:c r="B2483" t="str">
        <x:v>PH-EX-129</x:v>
      </x:c>
      <x:c r="C2483" t="str">
        <x:v>PHYSICAL</x:v>
      </x:c>
      <x:c r="D2483" t="str">
        <x:v>trial execution</x:v>
      </x:c>
      <x:c r="E2483" t="str">
        <x:v>PH-EX-129</x:v>
      </x:c>
      <x:c r="F2483" t="n">
        <x:f>IF('Trial Register'!P135&lt;&gt;"",1,0)</x:f>
        <x:v>0</x:v>
      </x:c>
      <x:c r="G2483" t="n">
        <x:v>1</x:v>
      </x:c>
      <x:c r="H2483" t="str">
        <x:v>independent physical acceptance</x:v>
      </x:c>
      <x:c r="I2483" t="str">
        <x:f>IF(F2483=1,"PASS","OPEN")</x:f>
        <x:v>OPEN</x:v>
      </x:c>
    </x:row>
    <x:row r="2484">
      <x:c r="B2484" t="str">
        <x:v>PH-PK-129</x:v>
      </x:c>
      <x:c r="C2484" t="str">
        <x:v>PHYSICAL</x:v>
      </x:c>
      <x:c r="D2484" t="str">
        <x:v>trial packet</x:v>
      </x:c>
      <x:c r="E2484" t="str">
        <x:v>PH-PK-129</x:v>
      </x:c>
      <x:c r="F2484" t="n">
        <x:f>IF('Trial Register'!Q135&lt;&gt;"",1,0)</x:f>
        <x:v>0</x:v>
      </x:c>
      <x:c r="G2484" t="n">
        <x:v>1</x:v>
      </x:c>
      <x:c r="H2484" t="str">
        <x:v>independent physical acceptance</x:v>
      </x:c>
      <x:c r="I2484" t="str">
        <x:f>IF(F2484=1,"PASS","OPEN")</x:f>
        <x:v>OPEN</x:v>
      </x:c>
    </x:row>
    <x:row r="2485">
      <x:c r="B2485" t="str">
        <x:v>PH-VA-129</x:v>
      </x:c>
      <x:c r="C2485" t="str">
        <x:v>PHYSICAL</x:v>
      </x:c>
      <x:c r="D2485" t="str">
        <x:v>trial validity</x:v>
      </x:c>
      <x:c r="E2485" t="str">
        <x:v>PH-VA-129</x:v>
      </x:c>
      <x:c r="F2485" t="n">
        <x:f>IF('Trial Register'!R135&lt;&gt;"",1,0)</x:f>
        <x:v>0</x:v>
      </x:c>
      <x:c r="G2485" t="n">
        <x:v>1</x:v>
      </x:c>
      <x:c r="H2485" t="str">
        <x:v>independent physical acceptance</x:v>
      </x:c>
      <x:c r="I2485" t="str">
        <x:f>IF(F2485=1,"PASS","OPEN")</x:f>
        <x:v>OPEN</x:v>
      </x:c>
    </x:row>
    <x:row r="2486">
      <x:c r="B2486" t="str">
        <x:v>PH-RV-129</x:v>
      </x:c>
      <x:c r="C2486" t="str">
        <x:v>PHYSICAL</x:v>
      </x:c>
      <x:c r="D2486" t="str">
        <x:v>reported value</x:v>
      </x:c>
      <x:c r="E2486" t="str">
        <x:v>PH-RV-129</x:v>
      </x:c>
      <x:c r="F2486" t="n">
        <x:f>IF('Trial Register'!S135&lt;&gt;"",1,0)</x:f>
        <x:v>0</x:v>
      </x:c>
      <x:c r="G2486" t="n">
        <x:v>1</x:v>
      </x:c>
      <x:c r="H2486" t="str">
        <x:v>independent physical acceptance</x:v>
      </x:c>
      <x:c r="I2486" t="str">
        <x:f>IF(F2486=1,"PASS","OPEN")</x:f>
        <x:v>OPEN</x:v>
      </x:c>
    </x:row>
    <x:row r="2487">
      <x:c r="B2487" t="str">
        <x:v>PH-CR-129</x:v>
      </x:c>
      <x:c r="C2487" t="str">
        <x:v>PHYSICAL</x:v>
      </x:c>
      <x:c r="D2487" t="str">
        <x:v>credit acceptance</x:v>
      </x:c>
      <x:c r="E2487" t="str">
        <x:v>PH-CR-129</x:v>
      </x:c>
      <x:c r="F2487" t="str">
        <x:f>'Trial Register'!V135</x:f>
      </x:c>
      <x:c r="G2487" t="n">
        <x:v>1</x:v>
      </x:c>
      <x:c r="H2487" t="str">
        <x:v>independent physical acceptance</x:v>
      </x:c>
      <x:c r="I2487" t="str">
        <x:f>IF(F2487=1,"PASS","OPEN")</x:f>
        <x:v>OPEN</x:v>
      </x:c>
    </x:row>
    <x:row r="2488">
      <x:c r="B2488" t="str">
        <x:v>PH-EX-130</x:v>
      </x:c>
      <x:c r="C2488" t="str">
        <x:v>PHYSICAL</x:v>
      </x:c>
      <x:c r="D2488" t="str">
        <x:v>trial execution</x:v>
      </x:c>
      <x:c r="E2488" t="str">
        <x:v>PH-EX-130</x:v>
      </x:c>
      <x:c r="F2488" t="n">
        <x:f>IF('Trial Register'!P136&lt;&gt;"",1,0)</x:f>
        <x:v>0</x:v>
      </x:c>
      <x:c r="G2488" t="n">
        <x:v>1</x:v>
      </x:c>
      <x:c r="H2488" t="str">
        <x:v>independent physical acceptance</x:v>
      </x:c>
      <x:c r="I2488" t="str">
        <x:f>IF(F2488=1,"PASS","OPEN")</x:f>
        <x:v>OPEN</x:v>
      </x:c>
    </x:row>
    <x:row r="2489">
      <x:c r="B2489" t="str">
        <x:v>PH-PK-130</x:v>
      </x:c>
      <x:c r="C2489" t="str">
        <x:v>PHYSICAL</x:v>
      </x:c>
      <x:c r="D2489" t="str">
        <x:v>trial packet</x:v>
      </x:c>
      <x:c r="E2489" t="str">
        <x:v>PH-PK-130</x:v>
      </x:c>
      <x:c r="F2489" t="n">
        <x:f>IF('Trial Register'!Q136&lt;&gt;"",1,0)</x:f>
        <x:v>0</x:v>
      </x:c>
      <x:c r="G2489" t="n">
        <x:v>1</x:v>
      </x:c>
      <x:c r="H2489" t="str">
        <x:v>independent physical acceptance</x:v>
      </x:c>
      <x:c r="I2489" t="str">
        <x:f>IF(F2489=1,"PASS","OPEN")</x:f>
        <x:v>OPEN</x:v>
      </x:c>
    </x:row>
    <x:row r="2490">
      <x:c r="B2490" t="str">
        <x:v>PH-VA-130</x:v>
      </x:c>
      <x:c r="C2490" t="str">
        <x:v>PHYSICAL</x:v>
      </x:c>
      <x:c r="D2490" t="str">
        <x:v>trial validity</x:v>
      </x:c>
      <x:c r="E2490" t="str">
        <x:v>PH-VA-130</x:v>
      </x:c>
      <x:c r="F2490" t="n">
        <x:f>IF('Trial Register'!R136&lt;&gt;"",1,0)</x:f>
        <x:v>0</x:v>
      </x:c>
      <x:c r="G2490" t="n">
        <x:v>1</x:v>
      </x:c>
      <x:c r="H2490" t="str">
        <x:v>independent physical acceptance</x:v>
      </x:c>
      <x:c r="I2490" t="str">
        <x:f>IF(F2490=1,"PASS","OPEN")</x:f>
        <x:v>OPEN</x:v>
      </x:c>
    </x:row>
    <x:row r="2491">
      <x:c r="B2491" t="str">
        <x:v>PH-RV-130</x:v>
      </x:c>
      <x:c r="C2491" t="str">
        <x:v>PHYSICAL</x:v>
      </x:c>
      <x:c r="D2491" t="str">
        <x:v>reported value</x:v>
      </x:c>
      <x:c r="E2491" t="str">
        <x:v>PH-RV-130</x:v>
      </x:c>
      <x:c r="F2491" t="n">
        <x:f>IF('Trial Register'!S136&lt;&gt;"",1,0)</x:f>
        <x:v>0</x:v>
      </x:c>
      <x:c r="G2491" t="n">
        <x:v>1</x:v>
      </x:c>
      <x:c r="H2491" t="str">
        <x:v>independent physical acceptance</x:v>
      </x:c>
      <x:c r="I2491" t="str">
        <x:f>IF(F2491=1,"PASS","OPEN")</x:f>
        <x:v>OPEN</x:v>
      </x:c>
    </x:row>
    <x:row r="2492">
      <x:c r="B2492" t="str">
        <x:v>PH-CR-130</x:v>
      </x:c>
      <x:c r="C2492" t="str">
        <x:v>PHYSICAL</x:v>
      </x:c>
      <x:c r="D2492" t="str">
        <x:v>credit acceptance</x:v>
      </x:c>
      <x:c r="E2492" t="str">
        <x:v>PH-CR-130</x:v>
      </x:c>
      <x:c r="F2492" t="str">
        <x:f>'Trial Register'!V136</x:f>
      </x:c>
      <x:c r="G2492" t="n">
        <x:v>1</x:v>
      </x:c>
      <x:c r="H2492" t="str">
        <x:v>independent physical acceptance</x:v>
      </x:c>
      <x:c r="I2492" t="str">
        <x:f>IF(F2492=1,"PASS","OPEN")</x:f>
        <x:v>OPEN</x:v>
      </x:c>
    </x:row>
    <x:row r="2493">
      <x:c r="B2493" t="str">
        <x:v>PH-EX-131</x:v>
      </x:c>
      <x:c r="C2493" t="str">
        <x:v>PHYSICAL</x:v>
      </x:c>
      <x:c r="D2493" t="str">
        <x:v>trial execution</x:v>
      </x:c>
      <x:c r="E2493" t="str">
        <x:v>PH-EX-131</x:v>
      </x:c>
      <x:c r="F2493" t="n">
        <x:f>IF('Trial Register'!P137&lt;&gt;"",1,0)</x:f>
        <x:v>0</x:v>
      </x:c>
      <x:c r="G2493" t="n">
        <x:v>1</x:v>
      </x:c>
      <x:c r="H2493" t="str">
        <x:v>independent physical acceptance</x:v>
      </x:c>
      <x:c r="I2493" t="str">
        <x:f>IF(F2493=1,"PASS","OPEN")</x:f>
        <x:v>OPEN</x:v>
      </x:c>
    </x:row>
    <x:row r="2494">
      <x:c r="B2494" t="str">
        <x:v>PH-PK-131</x:v>
      </x:c>
      <x:c r="C2494" t="str">
        <x:v>PHYSICAL</x:v>
      </x:c>
      <x:c r="D2494" t="str">
        <x:v>trial packet</x:v>
      </x:c>
      <x:c r="E2494" t="str">
        <x:v>PH-PK-131</x:v>
      </x:c>
      <x:c r="F2494" t="n">
        <x:f>IF('Trial Register'!Q137&lt;&gt;"",1,0)</x:f>
        <x:v>0</x:v>
      </x:c>
      <x:c r="G2494" t="n">
        <x:v>1</x:v>
      </x:c>
      <x:c r="H2494" t="str">
        <x:v>independent physical acceptance</x:v>
      </x:c>
      <x:c r="I2494" t="str">
        <x:f>IF(F2494=1,"PASS","OPEN")</x:f>
        <x:v>OPEN</x:v>
      </x:c>
    </x:row>
    <x:row r="2495">
      <x:c r="B2495" t="str">
        <x:v>PH-VA-131</x:v>
      </x:c>
      <x:c r="C2495" t="str">
        <x:v>PHYSICAL</x:v>
      </x:c>
      <x:c r="D2495" t="str">
        <x:v>trial validity</x:v>
      </x:c>
      <x:c r="E2495" t="str">
        <x:v>PH-VA-131</x:v>
      </x:c>
      <x:c r="F2495" t="n">
        <x:f>IF('Trial Register'!R137&lt;&gt;"",1,0)</x:f>
        <x:v>0</x:v>
      </x:c>
      <x:c r="G2495" t="n">
        <x:v>1</x:v>
      </x:c>
      <x:c r="H2495" t="str">
        <x:v>independent physical acceptance</x:v>
      </x:c>
      <x:c r="I2495" t="str">
        <x:f>IF(F2495=1,"PASS","OPEN")</x:f>
        <x:v>OPEN</x:v>
      </x:c>
    </x:row>
    <x:row r="2496">
      <x:c r="B2496" t="str">
        <x:v>PH-RV-131</x:v>
      </x:c>
      <x:c r="C2496" t="str">
        <x:v>PHYSICAL</x:v>
      </x:c>
      <x:c r="D2496" t="str">
        <x:v>reported value</x:v>
      </x:c>
      <x:c r="E2496" t="str">
        <x:v>PH-RV-131</x:v>
      </x:c>
      <x:c r="F2496" t="n">
        <x:f>IF('Trial Register'!S137&lt;&gt;"",1,0)</x:f>
        <x:v>0</x:v>
      </x:c>
      <x:c r="G2496" t="n">
        <x:v>1</x:v>
      </x:c>
      <x:c r="H2496" t="str">
        <x:v>independent physical acceptance</x:v>
      </x:c>
      <x:c r="I2496" t="str">
        <x:f>IF(F2496=1,"PASS","OPEN")</x:f>
        <x:v>OPEN</x:v>
      </x:c>
    </x:row>
    <x:row r="2497">
      <x:c r="B2497" t="str">
        <x:v>PH-CR-131</x:v>
      </x:c>
      <x:c r="C2497" t="str">
        <x:v>PHYSICAL</x:v>
      </x:c>
      <x:c r="D2497" t="str">
        <x:v>credit acceptance</x:v>
      </x:c>
      <x:c r="E2497" t="str">
        <x:v>PH-CR-131</x:v>
      </x:c>
      <x:c r="F2497" t="str">
        <x:f>'Trial Register'!V137</x:f>
      </x:c>
      <x:c r="G2497" t="n">
        <x:v>1</x:v>
      </x:c>
      <x:c r="H2497" t="str">
        <x:v>independent physical acceptance</x:v>
      </x:c>
      <x:c r="I2497" t="str">
        <x:f>IF(F2497=1,"PASS","OPEN")</x:f>
        <x:v>OPEN</x:v>
      </x:c>
    </x:row>
    <x:row r="2498">
      <x:c r="B2498" t="str">
        <x:v>PH-EX-132</x:v>
      </x:c>
      <x:c r="C2498" t="str">
        <x:v>PHYSICAL</x:v>
      </x:c>
      <x:c r="D2498" t="str">
        <x:v>trial execution</x:v>
      </x:c>
      <x:c r="E2498" t="str">
        <x:v>PH-EX-132</x:v>
      </x:c>
      <x:c r="F2498" t="n">
        <x:f>IF('Trial Register'!P138&lt;&gt;"",1,0)</x:f>
        <x:v>0</x:v>
      </x:c>
      <x:c r="G2498" t="n">
        <x:v>1</x:v>
      </x:c>
      <x:c r="H2498" t="str">
        <x:v>independent physical acceptance</x:v>
      </x:c>
      <x:c r="I2498" t="str">
        <x:f>IF(F2498=1,"PASS","OPEN")</x:f>
        <x:v>OPEN</x:v>
      </x:c>
    </x:row>
    <x:row r="2499">
      <x:c r="B2499" t="str">
        <x:v>PH-PK-132</x:v>
      </x:c>
      <x:c r="C2499" t="str">
        <x:v>PHYSICAL</x:v>
      </x:c>
      <x:c r="D2499" t="str">
        <x:v>trial packet</x:v>
      </x:c>
      <x:c r="E2499" t="str">
        <x:v>PH-PK-132</x:v>
      </x:c>
      <x:c r="F2499" t="n">
        <x:f>IF('Trial Register'!Q138&lt;&gt;"",1,0)</x:f>
        <x:v>0</x:v>
      </x:c>
      <x:c r="G2499" t="n">
        <x:v>1</x:v>
      </x:c>
      <x:c r="H2499" t="str">
        <x:v>independent physical acceptance</x:v>
      </x:c>
      <x:c r="I2499" t="str">
        <x:f>IF(F2499=1,"PASS","OPEN")</x:f>
        <x:v>OPEN</x:v>
      </x:c>
    </x:row>
    <x:row r="2500">
      <x:c r="B2500" t="str">
        <x:v>PH-VA-132</x:v>
      </x:c>
      <x:c r="C2500" t="str">
        <x:v>PHYSICAL</x:v>
      </x:c>
      <x:c r="D2500" t="str">
        <x:v>trial validity</x:v>
      </x:c>
      <x:c r="E2500" t="str">
        <x:v>PH-VA-132</x:v>
      </x:c>
      <x:c r="F2500" t="n">
        <x:f>IF('Trial Register'!R138&lt;&gt;"",1,0)</x:f>
        <x:v>0</x:v>
      </x:c>
      <x:c r="G2500" t="n">
        <x:v>1</x:v>
      </x:c>
      <x:c r="H2500" t="str">
        <x:v>independent physical acceptance</x:v>
      </x:c>
      <x:c r="I2500" t="str">
        <x:f>IF(F2500=1,"PASS","OPEN")</x:f>
        <x:v>OPEN</x:v>
      </x:c>
    </x:row>
    <x:row r="2501">
      <x:c r="B2501" t="str">
        <x:v>PH-RV-132</x:v>
      </x:c>
      <x:c r="C2501" t="str">
        <x:v>PHYSICAL</x:v>
      </x:c>
      <x:c r="D2501" t="str">
        <x:v>reported value</x:v>
      </x:c>
      <x:c r="E2501" t="str">
        <x:v>PH-RV-132</x:v>
      </x:c>
      <x:c r="F2501" t="n">
        <x:f>IF('Trial Register'!S138&lt;&gt;"",1,0)</x:f>
        <x:v>0</x:v>
      </x:c>
      <x:c r="G2501" t="n">
        <x:v>1</x:v>
      </x:c>
      <x:c r="H2501" t="str">
        <x:v>independent physical acceptance</x:v>
      </x:c>
      <x:c r="I2501" t="str">
        <x:f>IF(F2501=1,"PASS","OPEN")</x:f>
        <x:v>OPEN</x:v>
      </x:c>
    </x:row>
    <x:row r="2502">
      <x:c r="B2502" t="str">
        <x:v>PH-CR-132</x:v>
      </x:c>
      <x:c r="C2502" t="str">
        <x:v>PHYSICAL</x:v>
      </x:c>
      <x:c r="D2502" t="str">
        <x:v>credit acceptance</x:v>
      </x:c>
      <x:c r="E2502" t="str">
        <x:v>PH-CR-132</x:v>
      </x:c>
      <x:c r="F2502" t="str">
        <x:f>'Trial Register'!V138</x:f>
      </x:c>
      <x:c r="G2502" t="n">
        <x:v>1</x:v>
      </x:c>
      <x:c r="H2502" t="str">
        <x:v>independent physical acceptance</x:v>
      </x:c>
      <x:c r="I2502" t="str">
        <x:f>IF(F2502=1,"PASS","OPEN")</x:f>
        <x:v>OPEN</x:v>
      </x:c>
    </x:row>
    <x:row r="2503">
      <x:c r="B2503" t="str">
        <x:v>PH-EX-133</x:v>
      </x:c>
      <x:c r="C2503" t="str">
        <x:v>PHYSICAL</x:v>
      </x:c>
      <x:c r="D2503" t="str">
        <x:v>trial execution</x:v>
      </x:c>
      <x:c r="E2503" t="str">
        <x:v>PH-EX-133</x:v>
      </x:c>
      <x:c r="F2503" t="n">
        <x:f>IF('Trial Register'!P139&lt;&gt;"",1,0)</x:f>
        <x:v>0</x:v>
      </x:c>
      <x:c r="G2503" t="n">
        <x:v>1</x:v>
      </x:c>
      <x:c r="H2503" t="str">
        <x:v>independent physical acceptance</x:v>
      </x:c>
      <x:c r="I2503" t="str">
        <x:f>IF(F2503=1,"PASS","OPEN")</x:f>
        <x:v>OPEN</x:v>
      </x:c>
    </x:row>
    <x:row r="2504">
      <x:c r="B2504" t="str">
        <x:v>PH-PK-133</x:v>
      </x:c>
      <x:c r="C2504" t="str">
        <x:v>PHYSICAL</x:v>
      </x:c>
      <x:c r="D2504" t="str">
        <x:v>trial packet</x:v>
      </x:c>
      <x:c r="E2504" t="str">
        <x:v>PH-PK-133</x:v>
      </x:c>
      <x:c r="F2504" t="n">
        <x:f>IF('Trial Register'!Q139&lt;&gt;"",1,0)</x:f>
        <x:v>0</x:v>
      </x:c>
      <x:c r="G2504" t="n">
        <x:v>1</x:v>
      </x:c>
      <x:c r="H2504" t="str">
        <x:v>independent physical acceptance</x:v>
      </x:c>
      <x:c r="I2504" t="str">
        <x:f>IF(F2504=1,"PASS","OPEN")</x:f>
        <x:v>OPEN</x:v>
      </x:c>
    </x:row>
    <x:row r="2505">
      <x:c r="B2505" t="str">
        <x:v>PH-VA-133</x:v>
      </x:c>
      <x:c r="C2505" t="str">
        <x:v>PHYSICAL</x:v>
      </x:c>
      <x:c r="D2505" t="str">
        <x:v>trial validity</x:v>
      </x:c>
      <x:c r="E2505" t="str">
        <x:v>PH-VA-133</x:v>
      </x:c>
      <x:c r="F2505" t="n">
        <x:f>IF('Trial Register'!R139&lt;&gt;"",1,0)</x:f>
        <x:v>0</x:v>
      </x:c>
      <x:c r="G2505" t="n">
        <x:v>1</x:v>
      </x:c>
      <x:c r="H2505" t="str">
        <x:v>independent physical acceptance</x:v>
      </x:c>
      <x:c r="I2505" t="str">
        <x:f>IF(F2505=1,"PASS","OPEN")</x:f>
        <x:v>OPEN</x:v>
      </x:c>
    </x:row>
    <x:row r="2506">
      <x:c r="B2506" t="str">
        <x:v>PH-RV-133</x:v>
      </x:c>
      <x:c r="C2506" t="str">
        <x:v>PHYSICAL</x:v>
      </x:c>
      <x:c r="D2506" t="str">
        <x:v>reported value</x:v>
      </x:c>
      <x:c r="E2506" t="str">
        <x:v>PH-RV-133</x:v>
      </x:c>
      <x:c r="F2506" t="n">
        <x:f>IF('Trial Register'!S139&lt;&gt;"",1,0)</x:f>
        <x:v>0</x:v>
      </x:c>
      <x:c r="G2506" t="n">
        <x:v>1</x:v>
      </x:c>
      <x:c r="H2506" t="str">
        <x:v>independent physical acceptance</x:v>
      </x:c>
      <x:c r="I2506" t="str">
        <x:f>IF(F2506=1,"PASS","OPEN")</x:f>
        <x:v>OPEN</x:v>
      </x:c>
    </x:row>
    <x:row r="2507">
      <x:c r="B2507" t="str">
        <x:v>PH-CR-133</x:v>
      </x:c>
      <x:c r="C2507" t="str">
        <x:v>PHYSICAL</x:v>
      </x:c>
      <x:c r="D2507" t="str">
        <x:v>credit acceptance</x:v>
      </x:c>
      <x:c r="E2507" t="str">
        <x:v>PH-CR-133</x:v>
      </x:c>
      <x:c r="F2507" t="str">
        <x:f>'Trial Register'!V139</x:f>
      </x:c>
      <x:c r="G2507" t="n">
        <x:v>1</x:v>
      </x:c>
      <x:c r="H2507" t="str">
        <x:v>independent physical acceptance</x:v>
      </x:c>
      <x:c r="I2507" t="str">
        <x:f>IF(F2507=1,"PASS","OPEN")</x:f>
        <x:v>OPEN</x:v>
      </x:c>
    </x:row>
    <x:row r="2508">
      <x:c r="B2508" t="str">
        <x:v>PH-EX-134</x:v>
      </x:c>
      <x:c r="C2508" t="str">
        <x:v>PHYSICAL</x:v>
      </x:c>
      <x:c r="D2508" t="str">
        <x:v>trial execution</x:v>
      </x:c>
      <x:c r="E2508" t="str">
        <x:v>PH-EX-134</x:v>
      </x:c>
      <x:c r="F2508" t="n">
        <x:f>IF('Trial Register'!P140&lt;&gt;"",1,0)</x:f>
        <x:v>0</x:v>
      </x:c>
      <x:c r="G2508" t="n">
        <x:v>1</x:v>
      </x:c>
      <x:c r="H2508" t="str">
        <x:v>independent physical acceptance</x:v>
      </x:c>
      <x:c r="I2508" t="str">
        <x:f>IF(F2508=1,"PASS","OPEN")</x:f>
        <x:v>OPEN</x:v>
      </x:c>
    </x:row>
    <x:row r="2509">
      <x:c r="B2509" t="str">
        <x:v>PH-PK-134</x:v>
      </x:c>
      <x:c r="C2509" t="str">
        <x:v>PHYSICAL</x:v>
      </x:c>
      <x:c r="D2509" t="str">
        <x:v>trial packet</x:v>
      </x:c>
      <x:c r="E2509" t="str">
        <x:v>PH-PK-134</x:v>
      </x:c>
      <x:c r="F2509" t="n">
        <x:f>IF('Trial Register'!Q140&lt;&gt;"",1,0)</x:f>
        <x:v>0</x:v>
      </x:c>
      <x:c r="G2509" t="n">
        <x:v>1</x:v>
      </x:c>
      <x:c r="H2509" t="str">
        <x:v>independent physical acceptance</x:v>
      </x:c>
      <x:c r="I2509" t="str">
        <x:f>IF(F2509=1,"PASS","OPEN")</x:f>
        <x:v>OPEN</x:v>
      </x:c>
    </x:row>
    <x:row r="2510">
      <x:c r="B2510" t="str">
        <x:v>PH-VA-134</x:v>
      </x:c>
      <x:c r="C2510" t="str">
        <x:v>PHYSICAL</x:v>
      </x:c>
      <x:c r="D2510" t="str">
        <x:v>trial validity</x:v>
      </x:c>
      <x:c r="E2510" t="str">
        <x:v>PH-VA-134</x:v>
      </x:c>
      <x:c r="F2510" t="n">
        <x:f>IF('Trial Register'!R140&lt;&gt;"",1,0)</x:f>
        <x:v>0</x:v>
      </x:c>
      <x:c r="G2510" t="n">
        <x:v>1</x:v>
      </x:c>
      <x:c r="H2510" t="str">
        <x:v>independent physical acceptance</x:v>
      </x:c>
      <x:c r="I2510" t="str">
        <x:f>IF(F2510=1,"PASS","OPEN")</x:f>
        <x:v>OPEN</x:v>
      </x:c>
    </x:row>
    <x:row r="2511">
      <x:c r="B2511" t="str">
        <x:v>PH-RV-134</x:v>
      </x:c>
      <x:c r="C2511" t="str">
        <x:v>PHYSICAL</x:v>
      </x:c>
      <x:c r="D2511" t="str">
        <x:v>reported value</x:v>
      </x:c>
      <x:c r="E2511" t="str">
        <x:v>PH-RV-134</x:v>
      </x:c>
      <x:c r="F2511" t="n">
        <x:f>IF('Trial Register'!S140&lt;&gt;"",1,0)</x:f>
        <x:v>0</x:v>
      </x:c>
      <x:c r="G2511" t="n">
        <x:v>1</x:v>
      </x:c>
      <x:c r="H2511" t="str">
        <x:v>independent physical acceptance</x:v>
      </x:c>
      <x:c r="I2511" t="str">
        <x:f>IF(F2511=1,"PASS","OPEN")</x:f>
        <x:v>OPEN</x:v>
      </x:c>
    </x:row>
    <x:row r="2512">
      <x:c r="B2512" t="str">
        <x:v>PH-CR-134</x:v>
      </x:c>
      <x:c r="C2512" t="str">
        <x:v>PHYSICAL</x:v>
      </x:c>
      <x:c r="D2512" t="str">
        <x:v>credit acceptance</x:v>
      </x:c>
      <x:c r="E2512" t="str">
        <x:v>PH-CR-134</x:v>
      </x:c>
      <x:c r="F2512" t="str">
        <x:f>'Trial Register'!V140</x:f>
      </x:c>
      <x:c r="G2512" t="n">
        <x:v>1</x:v>
      </x:c>
      <x:c r="H2512" t="str">
        <x:v>independent physical acceptance</x:v>
      </x:c>
      <x:c r="I2512" t="str">
        <x:f>IF(F2512=1,"PASS","OPEN")</x:f>
        <x:v>OPEN</x:v>
      </x:c>
    </x:row>
    <x:row r="2513">
      <x:c r="B2513" t="str">
        <x:v>PH-EX-135</x:v>
      </x:c>
      <x:c r="C2513" t="str">
        <x:v>PHYSICAL</x:v>
      </x:c>
      <x:c r="D2513" t="str">
        <x:v>trial execution</x:v>
      </x:c>
      <x:c r="E2513" t="str">
        <x:v>PH-EX-135</x:v>
      </x:c>
      <x:c r="F2513" t="n">
        <x:f>IF('Trial Register'!P141&lt;&gt;"",1,0)</x:f>
        <x:v>0</x:v>
      </x:c>
      <x:c r="G2513" t="n">
        <x:v>1</x:v>
      </x:c>
      <x:c r="H2513" t="str">
        <x:v>independent physical acceptance</x:v>
      </x:c>
      <x:c r="I2513" t="str">
        <x:f>IF(F2513=1,"PASS","OPEN")</x:f>
        <x:v>OPEN</x:v>
      </x:c>
    </x:row>
    <x:row r="2514">
      <x:c r="B2514" t="str">
        <x:v>PH-PK-135</x:v>
      </x:c>
      <x:c r="C2514" t="str">
        <x:v>PHYSICAL</x:v>
      </x:c>
      <x:c r="D2514" t="str">
        <x:v>trial packet</x:v>
      </x:c>
      <x:c r="E2514" t="str">
        <x:v>PH-PK-135</x:v>
      </x:c>
      <x:c r="F2514" t="n">
        <x:f>IF('Trial Register'!Q141&lt;&gt;"",1,0)</x:f>
        <x:v>0</x:v>
      </x:c>
      <x:c r="G2514" t="n">
        <x:v>1</x:v>
      </x:c>
      <x:c r="H2514" t="str">
        <x:v>independent physical acceptance</x:v>
      </x:c>
      <x:c r="I2514" t="str">
        <x:f>IF(F2514=1,"PASS","OPEN")</x:f>
        <x:v>OPEN</x:v>
      </x:c>
    </x:row>
    <x:row r="2515">
      <x:c r="B2515" t="str">
        <x:v>PH-VA-135</x:v>
      </x:c>
      <x:c r="C2515" t="str">
        <x:v>PHYSICAL</x:v>
      </x:c>
      <x:c r="D2515" t="str">
        <x:v>trial validity</x:v>
      </x:c>
      <x:c r="E2515" t="str">
        <x:v>PH-VA-135</x:v>
      </x:c>
      <x:c r="F2515" t="n">
        <x:f>IF('Trial Register'!R141&lt;&gt;"",1,0)</x:f>
        <x:v>0</x:v>
      </x:c>
      <x:c r="G2515" t="n">
        <x:v>1</x:v>
      </x:c>
      <x:c r="H2515" t="str">
        <x:v>independent physical acceptance</x:v>
      </x:c>
      <x:c r="I2515" t="str">
        <x:f>IF(F2515=1,"PASS","OPEN")</x:f>
        <x:v>OPEN</x:v>
      </x:c>
    </x:row>
    <x:row r="2516">
      <x:c r="B2516" t="str">
        <x:v>PH-RV-135</x:v>
      </x:c>
      <x:c r="C2516" t="str">
        <x:v>PHYSICAL</x:v>
      </x:c>
      <x:c r="D2516" t="str">
        <x:v>reported value</x:v>
      </x:c>
      <x:c r="E2516" t="str">
        <x:v>PH-RV-135</x:v>
      </x:c>
      <x:c r="F2516" t="n">
        <x:f>IF('Trial Register'!S141&lt;&gt;"",1,0)</x:f>
        <x:v>0</x:v>
      </x:c>
      <x:c r="G2516" t="n">
        <x:v>1</x:v>
      </x:c>
      <x:c r="H2516" t="str">
        <x:v>independent physical acceptance</x:v>
      </x:c>
      <x:c r="I2516" t="str">
        <x:f>IF(F2516=1,"PASS","OPEN")</x:f>
        <x:v>OPEN</x:v>
      </x:c>
    </x:row>
    <x:row r="2517">
      <x:c r="B2517" t="str">
        <x:v>PH-CR-135</x:v>
      </x:c>
      <x:c r="C2517" t="str">
        <x:v>PHYSICAL</x:v>
      </x:c>
      <x:c r="D2517" t="str">
        <x:v>credit acceptance</x:v>
      </x:c>
      <x:c r="E2517" t="str">
        <x:v>PH-CR-135</x:v>
      </x:c>
      <x:c r="F2517" t="str">
        <x:f>'Trial Register'!V141</x:f>
      </x:c>
      <x:c r="G2517" t="n">
        <x:v>1</x:v>
      </x:c>
      <x:c r="H2517" t="str">
        <x:v>independent physical acceptance</x:v>
      </x:c>
      <x:c r="I2517" t="str">
        <x:f>IF(F2517=1,"PASS","OPEN")</x:f>
        <x:v>OPEN</x:v>
      </x:c>
    </x:row>
    <x:row r="2518">
      <x:c r="B2518" t="str">
        <x:v>PH-EX-136</x:v>
      </x:c>
      <x:c r="C2518" t="str">
        <x:v>PHYSICAL</x:v>
      </x:c>
      <x:c r="D2518" t="str">
        <x:v>trial execution</x:v>
      </x:c>
      <x:c r="E2518" t="str">
        <x:v>PH-EX-136</x:v>
      </x:c>
      <x:c r="F2518" t="n">
        <x:f>IF('Trial Register'!P142&lt;&gt;"",1,0)</x:f>
        <x:v>0</x:v>
      </x:c>
      <x:c r="G2518" t="n">
        <x:v>1</x:v>
      </x:c>
      <x:c r="H2518" t="str">
        <x:v>independent physical acceptance</x:v>
      </x:c>
      <x:c r="I2518" t="str">
        <x:f>IF(F2518=1,"PASS","OPEN")</x:f>
        <x:v>OPEN</x:v>
      </x:c>
    </x:row>
    <x:row r="2519">
      <x:c r="B2519" t="str">
        <x:v>PH-PK-136</x:v>
      </x:c>
      <x:c r="C2519" t="str">
        <x:v>PHYSICAL</x:v>
      </x:c>
      <x:c r="D2519" t="str">
        <x:v>trial packet</x:v>
      </x:c>
      <x:c r="E2519" t="str">
        <x:v>PH-PK-136</x:v>
      </x:c>
      <x:c r="F2519" t="n">
        <x:f>IF('Trial Register'!Q142&lt;&gt;"",1,0)</x:f>
        <x:v>0</x:v>
      </x:c>
      <x:c r="G2519" t="n">
        <x:v>1</x:v>
      </x:c>
      <x:c r="H2519" t="str">
        <x:v>independent physical acceptance</x:v>
      </x:c>
      <x:c r="I2519" t="str">
        <x:f>IF(F2519=1,"PASS","OPEN")</x:f>
        <x:v>OPEN</x:v>
      </x:c>
    </x:row>
    <x:row r="2520">
      <x:c r="B2520" t="str">
        <x:v>PH-VA-136</x:v>
      </x:c>
      <x:c r="C2520" t="str">
        <x:v>PHYSICAL</x:v>
      </x:c>
      <x:c r="D2520" t="str">
        <x:v>trial validity</x:v>
      </x:c>
      <x:c r="E2520" t="str">
        <x:v>PH-VA-136</x:v>
      </x:c>
      <x:c r="F2520" t="n">
        <x:f>IF('Trial Register'!R142&lt;&gt;"",1,0)</x:f>
        <x:v>0</x:v>
      </x:c>
      <x:c r="G2520" t="n">
        <x:v>1</x:v>
      </x:c>
      <x:c r="H2520" t="str">
        <x:v>independent physical acceptance</x:v>
      </x:c>
      <x:c r="I2520" t="str">
        <x:f>IF(F2520=1,"PASS","OPEN")</x:f>
        <x:v>OPEN</x:v>
      </x:c>
    </x:row>
    <x:row r="2521">
      <x:c r="B2521" t="str">
        <x:v>PH-RV-136</x:v>
      </x:c>
      <x:c r="C2521" t="str">
        <x:v>PHYSICAL</x:v>
      </x:c>
      <x:c r="D2521" t="str">
        <x:v>reported value</x:v>
      </x:c>
      <x:c r="E2521" t="str">
        <x:v>PH-RV-136</x:v>
      </x:c>
      <x:c r="F2521" t="n">
        <x:f>IF('Trial Register'!S142&lt;&gt;"",1,0)</x:f>
        <x:v>0</x:v>
      </x:c>
      <x:c r="G2521" t="n">
        <x:v>1</x:v>
      </x:c>
      <x:c r="H2521" t="str">
        <x:v>independent physical acceptance</x:v>
      </x:c>
      <x:c r="I2521" t="str">
        <x:f>IF(F2521=1,"PASS","OPEN")</x:f>
        <x:v>OPEN</x:v>
      </x:c>
    </x:row>
    <x:row r="2522">
      <x:c r="B2522" t="str">
        <x:v>PH-CR-136</x:v>
      </x:c>
      <x:c r="C2522" t="str">
        <x:v>PHYSICAL</x:v>
      </x:c>
      <x:c r="D2522" t="str">
        <x:v>credit acceptance</x:v>
      </x:c>
      <x:c r="E2522" t="str">
        <x:v>PH-CR-136</x:v>
      </x:c>
      <x:c r="F2522" t="str">
        <x:f>'Trial Register'!V142</x:f>
      </x:c>
      <x:c r="G2522" t="n">
        <x:v>1</x:v>
      </x:c>
      <x:c r="H2522" t="str">
        <x:v>independent physical acceptance</x:v>
      </x:c>
      <x:c r="I2522" t="str">
        <x:f>IF(F2522=1,"PASS","OPEN")</x:f>
        <x:v>OPEN</x:v>
      </x:c>
    </x:row>
    <x:row r="2523">
      <x:c r="B2523" t="str">
        <x:v>PH-EX-137</x:v>
      </x:c>
      <x:c r="C2523" t="str">
        <x:v>PHYSICAL</x:v>
      </x:c>
      <x:c r="D2523" t="str">
        <x:v>trial execution</x:v>
      </x:c>
      <x:c r="E2523" t="str">
        <x:v>PH-EX-137</x:v>
      </x:c>
      <x:c r="F2523" t="n">
        <x:f>IF('Trial Register'!P143&lt;&gt;"",1,0)</x:f>
        <x:v>0</x:v>
      </x:c>
      <x:c r="G2523" t="n">
        <x:v>1</x:v>
      </x:c>
      <x:c r="H2523" t="str">
        <x:v>independent physical acceptance</x:v>
      </x:c>
      <x:c r="I2523" t="str">
        <x:f>IF(F2523=1,"PASS","OPEN")</x:f>
        <x:v>OPEN</x:v>
      </x:c>
    </x:row>
    <x:row r="2524">
      <x:c r="B2524" t="str">
        <x:v>PH-PK-137</x:v>
      </x:c>
      <x:c r="C2524" t="str">
        <x:v>PHYSICAL</x:v>
      </x:c>
      <x:c r="D2524" t="str">
        <x:v>trial packet</x:v>
      </x:c>
      <x:c r="E2524" t="str">
        <x:v>PH-PK-137</x:v>
      </x:c>
      <x:c r="F2524" t="n">
        <x:f>IF('Trial Register'!Q143&lt;&gt;"",1,0)</x:f>
        <x:v>0</x:v>
      </x:c>
      <x:c r="G2524" t="n">
        <x:v>1</x:v>
      </x:c>
      <x:c r="H2524" t="str">
        <x:v>independent physical acceptance</x:v>
      </x:c>
      <x:c r="I2524" t="str">
        <x:f>IF(F2524=1,"PASS","OPEN")</x:f>
        <x:v>OPEN</x:v>
      </x:c>
    </x:row>
    <x:row r="2525">
      <x:c r="B2525" t="str">
        <x:v>PH-VA-137</x:v>
      </x:c>
      <x:c r="C2525" t="str">
        <x:v>PHYSICAL</x:v>
      </x:c>
      <x:c r="D2525" t="str">
        <x:v>trial validity</x:v>
      </x:c>
      <x:c r="E2525" t="str">
        <x:v>PH-VA-137</x:v>
      </x:c>
      <x:c r="F2525" t="n">
        <x:f>IF('Trial Register'!R143&lt;&gt;"",1,0)</x:f>
        <x:v>0</x:v>
      </x:c>
      <x:c r="G2525" t="n">
        <x:v>1</x:v>
      </x:c>
      <x:c r="H2525" t="str">
        <x:v>independent physical acceptance</x:v>
      </x:c>
      <x:c r="I2525" t="str">
        <x:f>IF(F2525=1,"PASS","OPEN")</x:f>
        <x:v>OPEN</x:v>
      </x:c>
    </x:row>
    <x:row r="2526">
      <x:c r="B2526" t="str">
        <x:v>PH-RV-137</x:v>
      </x:c>
      <x:c r="C2526" t="str">
        <x:v>PHYSICAL</x:v>
      </x:c>
      <x:c r="D2526" t="str">
        <x:v>reported value</x:v>
      </x:c>
      <x:c r="E2526" t="str">
        <x:v>PH-RV-137</x:v>
      </x:c>
      <x:c r="F2526" t="n">
        <x:f>IF('Trial Register'!S143&lt;&gt;"",1,0)</x:f>
        <x:v>0</x:v>
      </x:c>
      <x:c r="G2526" t="n">
        <x:v>1</x:v>
      </x:c>
      <x:c r="H2526" t="str">
        <x:v>independent physical acceptance</x:v>
      </x:c>
      <x:c r="I2526" t="str">
        <x:f>IF(F2526=1,"PASS","OPEN")</x:f>
        <x:v>OPEN</x:v>
      </x:c>
    </x:row>
    <x:row r="2527">
      <x:c r="B2527" t="str">
        <x:v>PH-CR-137</x:v>
      </x:c>
      <x:c r="C2527" t="str">
        <x:v>PHYSICAL</x:v>
      </x:c>
      <x:c r="D2527" t="str">
        <x:v>credit acceptance</x:v>
      </x:c>
      <x:c r="E2527" t="str">
        <x:v>PH-CR-137</x:v>
      </x:c>
      <x:c r="F2527" t="str">
        <x:f>'Trial Register'!V143</x:f>
      </x:c>
      <x:c r="G2527" t="n">
        <x:v>1</x:v>
      </x:c>
      <x:c r="H2527" t="str">
        <x:v>independent physical acceptance</x:v>
      </x:c>
      <x:c r="I2527" t="str">
        <x:f>IF(F2527=1,"PASS","OPEN")</x:f>
        <x:v>OPEN</x:v>
      </x:c>
    </x:row>
    <x:row r="2528">
      <x:c r="B2528" t="str">
        <x:v>PH-EX-138</x:v>
      </x:c>
      <x:c r="C2528" t="str">
        <x:v>PHYSICAL</x:v>
      </x:c>
      <x:c r="D2528" t="str">
        <x:v>trial execution</x:v>
      </x:c>
      <x:c r="E2528" t="str">
        <x:v>PH-EX-138</x:v>
      </x:c>
      <x:c r="F2528" t="n">
        <x:f>IF('Trial Register'!P144&lt;&gt;"",1,0)</x:f>
        <x:v>0</x:v>
      </x:c>
      <x:c r="G2528" t="n">
        <x:v>1</x:v>
      </x:c>
      <x:c r="H2528" t="str">
        <x:v>independent physical acceptance</x:v>
      </x:c>
      <x:c r="I2528" t="str">
        <x:f>IF(F2528=1,"PASS","OPEN")</x:f>
        <x:v>OPEN</x:v>
      </x:c>
    </x:row>
    <x:row r="2529">
      <x:c r="B2529" t="str">
        <x:v>PH-PK-138</x:v>
      </x:c>
      <x:c r="C2529" t="str">
        <x:v>PHYSICAL</x:v>
      </x:c>
      <x:c r="D2529" t="str">
        <x:v>trial packet</x:v>
      </x:c>
      <x:c r="E2529" t="str">
        <x:v>PH-PK-138</x:v>
      </x:c>
      <x:c r="F2529" t="n">
        <x:f>IF('Trial Register'!Q144&lt;&gt;"",1,0)</x:f>
        <x:v>0</x:v>
      </x:c>
      <x:c r="G2529" t="n">
        <x:v>1</x:v>
      </x:c>
      <x:c r="H2529" t="str">
        <x:v>independent physical acceptance</x:v>
      </x:c>
      <x:c r="I2529" t="str">
        <x:f>IF(F2529=1,"PASS","OPEN")</x:f>
        <x:v>OPEN</x:v>
      </x:c>
    </x:row>
    <x:row r="2530">
      <x:c r="B2530" t="str">
        <x:v>PH-VA-138</x:v>
      </x:c>
      <x:c r="C2530" t="str">
        <x:v>PHYSICAL</x:v>
      </x:c>
      <x:c r="D2530" t="str">
        <x:v>trial validity</x:v>
      </x:c>
      <x:c r="E2530" t="str">
        <x:v>PH-VA-138</x:v>
      </x:c>
      <x:c r="F2530" t="n">
        <x:f>IF('Trial Register'!R144&lt;&gt;"",1,0)</x:f>
        <x:v>0</x:v>
      </x:c>
      <x:c r="G2530" t="n">
        <x:v>1</x:v>
      </x:c>
      <x:c r="H2530" t="str">
        <x:v>independent physical acceptance</x:v>
      </x:c>
      <x:c r="I2530" t="str">
        <x:f>IF(F2530=1,"PASS","OPEN")</x:f>
        <x:v>OPEN</x:v>
      </x:c>
    </x:row>
    <x:row r="2531">
      <x:c r="B2531" t="str">
        <x:v>PH-RV-138</x:v>
      </x:c>
      <x:c r="C2531" t="str">
        <x:v>PHYSICAL</x:v>
      </x:c>
      <x:c r="D2531" t="str">
        <x:v>reported value</x:v>
      </x:c>
      <x:c r="E2531" t="str">
        <x:v>PH-RV-138</x:v>
      </x:c>
      <x:c r="F2531" t="n">
        <x:f>IF('Trial Register'!S144&lt;&gt;"",1,0)</x:f>
        <x:v>0</x:v>
      </x:c>
      <x:c r="G2531" t="n">
        <x:v>1</x:v>
      </x:c>
      <x:c r="H2531" t="str">
        <x:v>independent physical acceptance</x:v>
      </x:c>
      <x:c r="I2531" t="str">
        <x:f>IF(F2531=1,"PASS","OPEN")</x:f>
        <x:v>OPEN</x:v>
      </x:c>
    </x:row>
    <x:row r="2532">
      <x:c r="B2532" t="str">
        <x:v>PH-CR-138</x:v>
      </x:c>
      <x:c r="C2532" t="str">
        <x:v>PHYSICAL</x:v>
      </x:c>
      <x:c r="D2532" t="str">
        <x:v>credit acceptance</x:v>
      </x:c>
      <x:c r="E2532" t="str">
        <x:v>PH-CR-138</x:v>
      </x:c>
      <x:c r="F2532" t="str">
        <x:f>'Trial Register'!V144</x:f>
      </x:c>
      <x:c r="G2532" t="n">
        <x:v>1</x:v>
      </x:c>
      <x:c r="H2532" t="str">
        <x:v>independent physical acceptance</x:v>
      </x:c>
      <x:c r="I2532" t="str">
        <x:f>IF(F2532=1,"PASS","OPEN")</x:f>
        <x:v>OPEN</x:v>
      </x:c>
    </x:row>
    <x:row r="2533">
      <x:c r="B2533" t="str">
        <x:v>PH-EX-139</x:v>
      </x:c>
      <x:c r="C2533" t="str">
        <x:v>PHYSICAL</x:v>
      </x:c>
      <x:c r="D2533" t="str">
        <x:v>trial execution</x:v>
      </x:c>
      <x:c r="E2533" t="str">
        <x:v>PH-EX-139</x:v>
      </x:c>
      <x:c r="F2533" t="n">
        <x:f>IF('Trial Register'!P145&lt;&gt;"",1,0)</x:f>
        <x:v>0</x:v>
      </x:c>
      <x:c r="G2533" t="n">
        <x:v>1</x:v>
      </x:c>
      <x:c r="H2533" t="str">
        <x:v>independent physical acceptance</x:v>
      </x:c>
      <x:c r="I2533" t="str">
        <x:f>IF(F2533=1,"PASS","OPEN")</x:f>
        <x:v>OPEN</x:v>
      </x:c>
    </x:row>
    <x:row r="2534">
      <x:c r="B2534" t="str">
        <x:v>PH-PK-139</x:v>
      </x:c>
      <x:c r="C2534" t="str">
        <x:v>PHYSICAL</x:v>
      </x:c>
      <x:c r="D2534" t="str">
        <x:v>trial packet</x:v>
      </x:c>
      <x:c r="E2534" t="str">
        <x:v>PH-PK-139</x:v>
      </x:c>
      <x:c r="F2534" t="n">
        <x:f>IF('Trial Register'!Q145&lt;&gt;"",1,0)</x:f>
        <x:v>0</x:v>
      </x:c>
      <x:c r="G2534" t="n">
        <x:v>1</x:v>
      </x:c>
      <x:c r="H2534" t="str">
        <x:v>independent physical acceptance</x:v>
      </x:c>
      <x:c r="I2534" t="str">
        <x:f>IF(F2534=1,"PASS","OPEN")</x:f>
        <x:v>OPEN</x:v>
      </x:c>
    </x:row>
    <x:row r="2535">
      <x:c r="B2535" t="str">
        <x:v>PH-VA-139</x:v>
      </x:c>
      <x:c r="C2535" t="str">
        <x:v>PHYSICAL</x:v>
      </x:c>
      <x:c r="D2535" t="str">
        <x:v>trial validity</x:v>
      </x:c>
      <x:c r="E2535" t="str">
        <x:v>PH-VA-139</x:v>
      </x:c>
      <x:c r="F2535" t="n">
        <x:f>IF('Trial Register'!R145&lt;&gt;"",1,0)</x:f>
        <x:v>0</x:v>
      </x:c>
      <x:c r="G2535" t="n">
        <x:v>1</x:v>
      </x:c>
      <x:c r="H2535" t="str">
        <x:v>independent physical acceptance</x:v>
      </x:c>
      <x:c r="I2535" t="str">
        <x:f>IF(F2535=1,"PASS","OPEN")</x:f>
        <x:v>OPEN</x:v>
      </x:c>
    </x:row>
    <x:row r="2536">
      <x:c r="B2536" t="str">
        <x:v>PH-RV-139</x:v>
      </x:c>
      <x:c r="C2536" t="str">
        <x:v>PHYSICAL</x:v>
      </x:c>
      <x:c r="D2536" t="str">
        <x:v>reported value</x:v>
      </x:c>
      <x:c r="E2536" t="str">
        <x:v>PH-RV-139</x:v>
      </x:c>
      <x:c r="F2536" t="n">
        <x:f>IF('Trial Register'!S145&lt;&gt;"",1,0)</x:f>
        <x:v>0</x:v>
      </x:c>
      <x:c r="G2536" t="n">
        <x:v>1</x:v>
      </x:c>
      <x:c r="H2536" t="str">
        <x:v>independent physical acceptance</x:v>
      </x:c>
      <x:c r="I2536" t="str">
        <x:f>IF(F2536=1,"PASS","OPEN")</x:f>
        <x:v>OPEN</x:v>
      </x:c>
    </x:row>
    <x:row r="2537">
      <x:c r="B2537" t="str">
        <x:v>PH-CR-139</x:v>
      </x:c>
      <x:c r="C2537" t="str">
        <x:v>PHYSICAL</x:v>
      </x:c>
      <x:c r="D2537" t="str">
        <x:v>credit acceptance</x:v>
      </x:c>
      <x:c r="E2537" t="str">
        <x:v>PH-CR-139</x:v>
      </x:c>
      <x:c r="F2537" t="str">
        <x:f>'Trial Register'!V145</x:f>
      </x:c>
      <x:c r="G2537" t="n">
        <x:v>1</x:v>
      </x:c>
      <x:c r="H2537" t="str">
        <x:v>independent physical acceptance</x:v>
      </x:c>
      <x:c r="I2537" t="str">
        <x:f>IF(F2537=1,"PASS","OPEN")</x:f>
        <x:v>OPEN</x:v>
      </x:c>
    </x:row>
    <x:row r="2538">
      <x:c r="B2538" t="str">
        <x:v>PH-EX-140</x:v>
      </x:c>
      <x:c r="C2538" t="str">
        <x:v>PHYSICAL</x:v>
      </x:c>
      <x:c r="D2538" t="str">
        <x:v>trial execution</x:v>
      </x:c>
      <x:c r="E2538" t="str">
        <x:v>PH-EX-140</x:v>
      </x:c>
      <x:c r="F2538" t="n">
        <x:f>IF('Trial Register'!P146&lt;&gt;"",1,0)</x:f>
        <x:v>0</x:v>
      </x:c>
      <x:c r="G2538" t="n">
        <x:v>1</x:v>
      </x:c>
      <x:c r="H2538" t="str">
        <x:v>independent physical acceptance</x:v>
      </x:c>
      <x:c r="I2538" t="str">
        <x:f>IF(F2538=1,"PASS","OPEN")</x:f>
        <x:v>OPEN</x:v>
      </x:c>
    </x:row>
    <x:row r="2539">
      <x:c r="B2539" t="str">
        <x:v>PH-PK-140</x:v>
      </x:c>
      <x:c r="C2539" t="str">
        <x:v>PHYSICAL</x:v>
      </x:c>
      <x:c r="D2539" t="str">
        <x:v>trial packet</x:v>
      </x:c>
      <x:c r="E2539" t="str">
        <x:v>PH-PK-140</x:v>
      </x:c>
      <x:c r="F2539" t="n">
        <x:f>IF('Trial Register'!Q146&lt;&gt;"",1,0)</x:f>
        <x:v>0</x:v>
      </x:c>
      <x:c r="G2539" t="n">
        <x:v>1</x:v>
      </x:c>
      <x:c r="H2539" t="str">
        <x:v>independent physical acceptance</x:v>
      </x:c>
      <x:c r="I2539" t="str">
        <x:f>IF(F2539=1,"PASS","OPEN")</x:f>
        <x:v>OPEN</x:v>
      </x:c>
    </x:row>
    <x:row r="2540">
      <x:c r="B2540" t="str">
        <x:v>PH-VA-140</x:v>
      </x:c>
      <x:c r="C2540" t="str">
        <x:v>PHYSICAL</x:v>
      </x:c>
      <x:c r="D2540" t="str">
        <x:v>trial validity</x:v>
      </x:c>
      <x:c r="E2540" t="str">
        <x:v>PH-VA-140</x:v>
      </x:c>
      <x:c r="F2540" t="n">
        <x:f>IF('Trial Register'!R146&lt;&gt;"",1,0)</x:f>
        <x:v>0</x:v>
      </x:c>
      <x:c r="G2540" t="n">
        <x:v>1</x:v>
      </x:c>
      <x:c r="H2540" t="str">
        <x:v>independent physical acceptance</x:v>
      </x:c>
      <x:c r="I2540" t="str">
        <x:f>IF(F2540=1,"PASS","OPEN")</x:f>
        <x:v>OPEN</x:v>
      </x:c>
    </x:row>
    <x:row r="2541">
      <x:c r="B2541" t="str">
        <x:v>PH-RV-140</x:v>
      </x:c>
      <x:c r="C2541" t="str">
        <x:v>PHYSICAL</x:v>
      </x:c>
      <x:c r="D2541" t="str">
        <x:v>reported value</x:v>
      </x:c>
      <x:c r="E2541" t="str">
        <x:v>PH-RV-140</x:v>
      </x:c>
      <x:c r="F2541" t="n">
        <x:f>IF('Trial Register'!S146&lt;&gt;"",1,0)</x:f>
        <x:v>0</x:v>
      </x:c>
      <x:c r="G2541" t="n">
        <x:v>1</x:v>
      </x:c>
      <x:c r="H2541" t="str">
        <x:v>independent physical acceptance</x:v>
      </x:c>
      <x:c r="I2541" t="str">
        <x:f>IF(F2541=1,"PASS","OPEN")</x:f>
        <x:v>OPEN</x:v>
      </x:c>
    </x:row>
    <x:row r="2542">
      <x:c r="B2542" t="str">
        <x:v>PH-CR-140</x:v>
      </x:c>
      <x:c r="C2542" t="str">
        <x:v>PHYSICAL</x:v>
      </x:c>
      <x:c r="D2542" t="str">
        <x:v>credit acceptance</x:v>
      </x:c>
      <x:c r="E2542" t="str">
        <x:v>PH-CR-140</x:v>
      </x:c>
      <x:c r="F2542" t="str">
        <x:f>'Trial Register'!V146</x:f>
      </x:c>
      <x:c r="G2542" t="n">
        <x:v>1</x:v>
      </x:c>
      <x:c r="H2542" t="str">
        <x:v>independent physical acceptance</x:v>
      </x:c>
      <x:c r="I2542" t="str">
        <x:f>IF(F2542=1,"PASS","OPEN")</x:f>
        <x:v>OPEN</x:v>
      </x:c>
    </x:row>
    <x:row r="2543">
      <x:c r="B2543" t="str">
        <x:v>PH-EX-141</x:v>
      </x:c>
      <x:c r="C2543" t="str">
        <x:v>PHYSICAL</x:v>
      </x:c>
      <x:c r="D2543" t="str">
        <x:v>trial execution</x:v>
      </x:c>
      <x:c r="E2543" t="str">
        <x:v>PH-EX-141</x:v>
      </x:c>
      <x:c r="F2543" t="n">
        <x:f>IF('Trial Register'!P147&lt;&gt;"",1,0)</x:f>
        <x:v>0</x:v>
      </x:c>
      <x:c r="G2543" t="n">
        <x:v>1</x:v>
      </x:c>
      <x:c r="H2543" t="str">
        <x:v>independent physical acceptance</x:v>
      </x:c>
      <x:c r="I2543" t="str">
        <x:f>IF(F2543=1,"PASS","OPEN")</x:f>
        <x:v>OPEN</x:v>
      </x:c>
    </x:row>
    <x:row r="2544">
      <x:c r="B2544" t="str">
        <x:v>PH-PK-141</x:v>
      </x:c>
      <x:c r="C2544" t="str">
        <x:v>PHYSICAL</x:v>
      </x:c>
      <x:c r="D2544" t="str">
        <x:v>trial packet</x:v>
      </x:c>
      <x:c r="E2544" t="str">
        <x:v>PH-PK-141</x:v>
      </x:c>
      <x:c r="F2544" t="n">
        <x:f>IF('Trial Register'!Q147&lt;&gt;"",1,0)</x:f>
        <x:v>0</x:v>
      </x:c>
      <x:c r="G2544" t="n">
        <x:v>1</x:v>
      </x:c>
      <x:c r="H2544" t="str">
        <x:v>independent physical acceptance</x:v>
      </x:c>
      <x:c r="I2544" t="str">
        <x:f>IF(F2544=1,"PASS","OPEN")</x:f>
        <x:v>OPEN</x:v>
      </x:c>
    </x:row>
    <x:row r="2545">
      <x:c r="B2545" t="str">
        <x:v>PH-VA-141</x:v>
      </x:c>
      <x:c r="C2545" t="str">
        <x:v>PHYSICAL</x:v>
      </x:c>
      <x:c r="D2545" t="str">
        <x:v>trial validity</x:v>
      </x:c>
      <x:c r="E2545" t="str">
        <x:v>PH-VA-141</x:v>
      </x:c>
      <x:c r="F2545" t="n">
        <x:f>IF('Trial Register'!R147&lt;&gt;"",1,0)</x:f>
        <x:v>0</x:v>
      </x:c>
      <x:c r="G2545" t="n">
        <x:v>1</x:v>
      </x:c>
      <x:c r="H2545" t="str">
        <x:v>independent physical acceptance</x:v>
      </x:c>
      <x:c r="I2545" t="str">
        <x:f>IF(F2545=1,"PASS","OPEN")</x:f>
        <x:v>OPEN</x:v>
      </x:c>
    </x:row>
    <x:row r="2546">
      <x:c r="B2546" t="str">
        <x:v>PH-RV-141</x:v>
      </x:c>
      <x:c r="C2546" t="str">
        <x:v>PHYSICAL</x:v>
      </x:c>
      <x:c r="D2546" t="str">
        <x:v>reported value</x:v>
      </x:c>
      <x:c r="E2546" t="str">
        <x:v>PH-RV-141</x:v>
      </x:c>
      <x:c r="F2546" t="n">
        <x:f>IF('Trial Register'!S147&lt;&gt;"",1,0)</x:f>
        <x:v>0</x:v>
      </x:c>
      <x:c r="G2546" t="n">
        <x:v>1</x:v>
      </x:c>
      <x:c r="H2546" t="str">
        <x:v>independent physical acceptance</x:v>
      </x:c>
      <x:c r="I2546" t="str">
        <x:f>IF(F2546=1,"PASS","OPEN")</x:f>
        <x:v>OPEN</x:v>
      </x:c>
    </x:row>
    <x:row r="2547">
      <x:c r="B2547" t="str">
        <x:v>PH-CR-141</x:v>
      </x:c>
      <x:c r="C2547" t="str">
        <x:v>PHYSICAL</x:v>
      </x:c>
      <x:c r="D2547" t="str">
        <x:v>credit acceptance</x:v>
      </x:c>
      <x:c r="E2547" t="str">
        <x:v>PH-CR-141</x:v>
      </x:c>
      <x:c r="F2547" t="str">
        <x:f>'Trial Register'!V147</x:f>
      </x:c>
      <x:c r="G2547" t="n">
        <x:v>1</x:v>
      </x:c>
      <x:c r="H2547" t="str">
        <x:v>independent physical acceptance</x:v>
      </x:c>
      <x:c r="I2547" t="str">
        <x:f>IF(F2547=1,"PASS","OPEN")</x:f>
        <x:v>OPEN</x:v>
      </x:c>
    </x:row>
    <x:row r="2548">
      <x:c r="B2548" t="str">
        <x:v>PH-EX-142</x:v>
      </x:c>
      <x:c r="C2548" t="str">
        <x:v>PHYSICAL</x:v>
      </x:c>
      <x:c r="D2548" t="str">
        <x:v>trial execution</x:v>
      </x:c>
      <x:c r="E2548" t="str">
        <x:v>PH-EX-142</x:v>
      </x:c>
      <x:c r="F2548" t="n">
        <x:f>IF('Trial Register'!P148&lt;&gt;"",1,0)</x:f>
        <x:v>0</x:v>
      </x:c>
      <x:c r="G2548" t="n">
        <x:v>1</x:v>
      </x:c>
      <x:c r="H2548" t="str">
        <x:v>independent physical acceptance</x:v>
      </x:c>
      <x:c r="I2548" t="str">
        <x:f>IF(F2548=1,"PASS","OPEN")</x:f>
        <x:v>OPEN</x:v>
      </x:c>
    </x:row>
    <x:row r="2549">
      <x:c r="B2549" t="str">
        <x:v>PH-PK-142</x:v>
      </x:c>
      <x:c r="C2549" t="str">
        <x:v>PHYSICAL</x:v>
      </x:c>
      <x:c r="D2549" t="str">
        <x:v>trial packet</x:v>
      </x:c>
      <x:c r="E2549" t="str">
        <x:v>PH-PK-142</x:v>
      </x:c>
      <x:c r="F2549" t="n">
        <x:f>IF('Trial Register'!Q148&lt;&gt;"",1,0)</x:f>
        <x:v>0</x:v>
      </x:c>
      <x:c r="G2549" t="n">
        <x:v>1</x:v>
      </x:c>
      <x:c r="H2549" t="str">
        <x:v>independent physical acceptance</x:v>
      </x:c>
      <x:c r="I2549" t="str">
        <x:f>IF(F2549=1,"PASS","OPEN")</x:f>
        <x:v>OPEN</x:v>
      </x:c>
    </x:row>
    <x:row r="2550">
      <x:c r="B2550" t="str">
        <x:v>PH-VA-142</x:v>
      </x:c>
      <x:c r="C2550" t="str">
        <x:v>PHYSICAL</x:v>
      </x:c>
      <x:c r="D2550" t="str">
        <x:v>trial validity</x:v>
      </x:c>
      <x:c r="E2550" t="str">
        <x:v>PH-VA-142</x:v>
      </x:c>
      <x:c r="F2550" t="n">
        <x:f>IF('Trial Register'!R148&lt;&gt;"",1,0)</x:f>
        <x:v>0</x:v>
      </x:c>
      <x:c r="G2550" t="n">
        <x:v>1</x:v>
      </x:c>
      <x:c r="H2550" t="str">
        <x:v>independent physical acceptance</x:v>
      </x:c>
      <x:c r="I2550" t="str">
        <x:f>IF(F2550=1,"PASS","OPEN")</x:f>
        <x:v>OPEN</x:v>
      </x:c>
    </x:row>
    <x:row r="2551">
      <x:c r="B2551" t="str">
        <x:v>PH-RV-142</x:v>
      </x:c>
      <x:c r="C2551" t="str">
        <x:v>PHYSICAL</x:v>
      </x:c>
      <x:c r="D2551" t="str">
        <x:v>reported value</x:v>
      </x:c>
      <x:c r="E2551" t="str">
        <x:v>PH-RV-142</x:v>
      </x:c>
      <x:c r="F2551" t="n">
        <x:f>IF('Trial Register'!S148&lt;&gt;"",1,0)</x:f>
        <x:v>0</x:v>
      </x:c>
      <x:c r="G2551" t="n">
        <x:v>1</x:v>
      </x:c>
      <x:c r="H2551" t="str">
        <x:v>independent physical acceptance</x:v>
      </x:c>
      <x:c r="I2551" t="str">
        <x:f>IF(F2551=1,"PASS","OPEN")</x:f>
        <x:v>OPEN</x:v>
      </x:c>
    </x:row>
    <x:row r="2552">
      <x:c r="B2552" t="str">
        <x:v>PH-CR-142</x:v>
      </x:c>
      <x:c r="C2552" t="str">
        <x:v>PHYSICAL</x:v>
      </x:c>
      <x:c r="D2552" t="str">
        <x:v>credit acceptance</x:v>
      </x:c>
      <x:c r="E2552" t="str">
        <x:v>PH-CR-142</x:v>
      </x:c>
      <x:c r="F2552" t="str">
        <x:f>'Trial Register'!V148</x:f>
      </x:c>
      <x:c r="G2552" t="n">
        <x:v>1</x:v>
      </x:c>
      <x:c r="H2552" t="str">
        <x:v>independent physical acceptance</x:v>
      </x:c>
      <x:c r="I2552" t="str">
        <x:f>IF(F2552=1,"PASS","OPEN")</x:f>
        <x:v>OPEN</x:v>
      </x:c>
    </x:row>
    <x:row r="2553">
      <x:c r="B2553" t="str">
        <x:v>PH-EX-143</x:v>
      </x:c>
      <x:c r="C2553" t="str">
        <x:v>PHYSICAL</x:v>
      </x:c>
      <x:c r="D2553" t="str">
        <x:v>trial execution</x:v>
      </x:c>
      <x:c r="E2553" t="str">
        <x:v>PH-EX-143</x:v>
      </x:c>
      <x:c r="F2553" t="n">
        <x:f>IF('Trial Register'!P149&lt;&gt;"",1,0)</x:f>
        <x:v>0</x:v>
      </x:c>
      <x:c r="G2553" t="n">
        <x:v>1</x:v>
      </x:c>
      <x:c r="H2553" t="str">
        <x:v>independent physical acceptance</x:v>
      </x:c>
      <x:c r="I2553" t="str">
        <x:f>IF(F2553=1,"PASS","OPEN")</x:f>
        <x:v>OPEN</x:v>
      </x:c>
    </x:row>
    <x:row r="2554">
      <x:c r="B2554" t="str">
        <x:v>PH-PK-143</x:v>
      </x:c>
      <x:c r="C2554" t="str">
        <x:v>PHYSICAL</x:v>
      </x:c>
      <x:c r="D2554" t="str">
        <x:v>trial packet</x:v>
      </x:c>
      <x:c r="E2554" t="str">
        <x:v>PH-PK-143</x:v>
      </x:c>
      <x:c r="F2554" t="n">
        <x:f>IF('Trial Register'!Q149&lt;&gt;"",1,0)</x:f>
        <x:v>0</x:v>
      </x:c>
      <x:c r="G2554" t="n">
        <x:v>1</x:v>
      </x:c>
      <x:c r="H2554" t="str">
        <x:v>independent physical acceptance</x:v>
      </x:c>
      <x:c r="I2554" t="str">
        <x:f>IF(F2554=1,"PASS","OPEN")</x:f>
        <x:v>OPEN</x:v>
      </x:c>
    </x:row>
    <x:row r="2555">
      <x:c r="B2555" t="str">
        <x:v>PH-VA-143</x:v>
      </x:c>
      <x:c r="C2555" t="str">
        <x:v>PHYSICAL</x:v>
      </x:c>
      <x:c r="D2555" t="str">
        <x:v>trial validity</x:v>
      </x:c>
      <x:c r="E2555" t="str">
        <x:v>PH-VA-143</x:v>
      </x:c>
      <x:c r="F2555" t="n">
        <x:f>IF('Trial Register'!R149&lt;&gt;"",1,0)</x:f>
        <x:v>0</x:v>
      </x:c>
      <x:c r="G2555" t="n">
        <x:v>1</x:v>
      </x:c>
      <x:c r="H2555" t="str">
        <x:v>independent physical acceptance</x:v>
      </x:c>
      <x:c r="I2555" t="str">
        <x:f>IF(F2555=1,"PASS","OPEN")</x:f>
        <x:v>OPEN</x:v>
      </x:c>
    </x:row>
    <x:row r="2556">
      <x:c r="B2556" t="str">
        <x:v>PH-RV-143</x:v>
      </x:c>
      <x:c r="C2556" t="str">
        <x:v>PHYSICAL</x:v>
      </x:c>
      <x:c r="D2556" t="str">
        <x:v>reported value</x:v>
      </x:c>
      <x:c r="E2556" t="str">
        <x:v>PH-RV-143</x:v>
      </x:c>
      <x:c r="F2556" t="n">
        <x:f>IF('Trial Register'!S149&lt;&gt;"",1,0)</x:f>
        <x:v>0</x:v>
      </x:c>
      <x:c r="G2556" t="n">
        <x:v>1</x:v>
      </x:c>
      <x:c r="H2556" t="str">
        <x:v>independent physical acceptance</x:v>
      </x:c>
      <x:c r="I2556" t="str">
        <x:f>IF(F2556=1,"PASS","OPEN")</x:f>
        <x:v>OPEN</x:v>
      </x:c>
    </x:row>
    <x:row r="2557">
      <x:c r="B2557" t="str">
        <x:v>PH-CR-143</x:v>
      </x:c>
      <x:c r="C2557" t="str">
        <x:v>PHYSICAL</x:v>
      </x:c>
      <x:c r="D2557" t="str">
        <x:v>credit acceptance</x:v>
      </x:c>
      <x:c r="E2557" t="str">
        <x:v>PH-CR-143</x:v>
      </x:c>
      <x:c r="F2557" t="str">
        <x:f>'Trial Register'!V149</x:f>
      </x:c>
      <x:c r="G2557" t="n">
        <x:v>1</x:v>
      </x:c>
      <x:c r="H2557" t="str">
        <x:v>independent physical acceptance</x:v>
      </x:c>
      <x:c r="I2557" t="str">
        <x:f>IF(F2557=1,"PASS","OPEN")</x:f>
        <x:v>OPEN</x:v>
      </x:c>
    </x:row>
    <x:row r="2558">
      <x:c r="B2558" t="str">
        <x:v>PH-EX-144</x:v>
      </x:c>
      <x:c r="C2558" t="str">
        <x:v>PHYSICAL</x:v>
      </x:c>
      <x:c r="D2558" t="str">
        <x:v>trial execution</x:v>
      </x:c>
      <x:c r="E2558" t="str">
        <x:v>PH-EX-144</x:v>
      </x:c>
      <x:c r="F2558" t="n">
        <x:f>IF('Trial Register'!P150&lt;&gt;"",1,0)</x:f>
        <x:v>0</x:v>
      </x:c>
      <x:c r="G2558" t="n">
        <x:v>1</x:v>
      </x:c>
      <x:c r="H2558" t="str">
        <x:v>independent physical acceptance</x:v>
      </x:c>
      <x:c r="I2558" t="str">
        <x:f>IF(F2558=1,"PASS","OPEN")</x:f>
        <x:v>OPEN</x:v>
      </x:c>
    </x:row>
    <x:row r="2559">
      <x:c r="B2559" t="str">
        <x:v>PH-PK-144</x:v>
      </x:c>
      <x:c r="C2559" t="str">
        <x:v>PHYSICAL</x:v>
      </x:c>
      <x:c r="D2559" t="str">
        <x:v>trial packet</x:v>
      </x:c>
      <x:c r="E2559" t="str">
        <x:v>PH-PK-144</x:v>
      </x:c>
      <x:c r="F2559" t="n">
        <x:f>IF('Trial Register'!Q150&lt;&gt;"",1,0)</x:f>
        <x:v>0</x:v>
      </x:c>
      <x:c r="G2559" t="n">
        <x:v>1</x:v>
      </x:c>
      <x:c r="H2559" t="str">
        <x:v>independent physical acceptance</x:v>
      </x:c>
      <x:c r="I2559" t="str">
        <x:f>IF(F2559=1,"PASS","OPEN")</x:f>
        <x:v>OPEN</x:v>
      </x:c>
    </x:row>
    <x:row r="2560">
      <x:c r="B2560" t="str">
        <x:v>PH-VA-144</x:v>
      </x:c>
      <x:c r="C2560" t="str">
        <x:v>PHYSICAL</x:v>
      </x:c>
      <x:c r="D2560" t="str">
        <x:v>trial validity</x:v>
      </x:c>
      <x:c r="E2560" t="str">
        <x:v>PH-VA-144</x:v>
      </x:c>
      <x:c r="F2560" t="n">
        <x:f>IF('Trial Register'!R150&lt;&gt;"",1,0)</x:f>
        <x:v>0</x:v>
      </x:c>
      <x:c r="G2560" t="n">
        <x:v>1</x:v>
      </x:c>
      <x:c r="H2560" t="str">
        <x:v>independent physical acceptance</x:v>
      </x:c>
      <x:c r="I2560" t="str">
        <x:f>IF(F2560=1,"PASS","OPEN")</x:f>
        <x:v>OPEN</x:v>
      </x:c>
    </x:row>
    <x:row r="2561">
      <x:c r="B2561" t="str">
        <x:v>PH-RV-144</x:v>
      </x:c>
      <x:c r="C2561" t="str">
        <x:v>PHYSICAL</x:v>
      </x:c>
      <x:c r="D2561" t="str">
        <x:v>reported value</x:v>
      </x:c>
      <x:c r="E2561" t="str">
        <x:v>PH-RV-144</x:v>
      </x:c>
      <x:c r="F2561" t="n">
        <x:f>IF('Trial Register'!S150&lt;&gt;"",1,0)</x:f>
        <x:v>0</x:v>
      </x:c>
      <x:c r="G2561" t="n">
        <x:v>1</x:v>
      </x:c>
      <x:c r="H2561" t="str">
        <x:v>independent physical acceptance</x:v>
      </x:c>
      <x:c r="I2561" t="str">
        <x:f>IF(F2561=1,"PASS","OPEN")</x:f>
        <x:v>OPEN</x:v>
      </x:c>
    </x:row>
    <x:row r="2562">
      <x:c r="B2562" t="str">
        <x:v>PH-CR-144</x:v>
      </x:c>
      <x:c r="C2562" t="str">
        <x:v>PHYSICAL</x:v>
      </x:c>
      <x:c r="D2562" t="str">
        <x:v>credit acceptance</x:v>
      </x:c>
      <x:c r="E2562" t="str">
        <x:v>PH-CR-144</x:v>
      </x:c>
      <x:c r="F2562" t="str">
        <x:f>'Trial Register'!V150</x:f>
      </x:c>
      <x:c r="G2562" t="n">
        <x:v>1</x:v>
      </x:c>
      <x:c r="H2562" t="str">
        <x:v>independent physical acceptance</x:v>
      </x:c>
      <x:c r="I2562" t="str">
        <x:f>IF(F2562=1,"PASS","OPEN")</x:f>
        <x:v>OPEN</x:v>
      </x:c>
    </x:row>
    <x:row r="2563">
      <x:c r="B2563" t="str">
        <x:v>PH-EX-145</x:v>
      </x:c>
      <x:c r="C2563" t="str">
        <x:v>PHYSICAL</x:v>
      </x:c>
      <x:c r="D2563" t="str">
        <x:v>trial execution</x:v>
      </x:c>
      <x:c r="E2563" t="str">
        <x:v>PH-EX-145</x:v>
      </x:c>
      <x:c r="F2563" t="n">
        <x:f>IF('Trial Register'!P151&lt;&gt;"",1,0)</x:f>
        <x:v>0</x:v>
      </x:c>
      <x:c r="G2563" t="n">
        <x:v>1</x:v>
      </x:c>
      <x:c r="H2563" t="str">
        <x:v>independent physical acceptance</x:v>
      </x:c>
      <x:c r="I2563" t="str">
        <x:f>IF(F2563=1,"PASS","OPEN")</x:f>
        <x:v>OPEN</x:v>
      </x:c>
    </x:row>
    <x:row r="2564">
      <x:c r="B2564" t="str">
        <x:v>PH-PK-145</x:v>
      </x:c>
      <x:c r="C2564" t="str">
        <x:v>PHYSICAL</x:v>
      </x:c>
      <x:c r="D2564" t="str">
        <x:v>trial packet</x:v>
      </x:c>
      <x:c r="E2564" t="str">
        <x:v>PH-PK-145</x:v>
      </x:c>
      <x:c r="F2564" t="n">
        <x:f>IF('Trial Register'!Q151&lt;&gt;"",1,0)</x:f>
        <x:v>0</x:v>
      </x:c>
      <x:c r="G2564" t="n">
        <x:v>1</x:v>
      </x:c>
      <x:c r="H2564" t="str">
        <x:v>independent physical acceptance</x:v>
      </x:c>
      <x:c r="I2564" t="str">
        <x:f>IF(F2564=1,"PASS","OPEN")</x:f>
        <x:v>OPEN</x:v>
      </x:c>
    </x:row>
    <x:row r="2565">
      <x:c r="B2565" t="str">
        <x:v>PH-VA-145</x:v>
      </x:c>
      <x:c r="C2565" t="str">
        <x:v>PHYSICAL</x:v>
      </x:c>
      <x:c r="D2565" t="str">
        <x:v>trial validity</x:v>
      </x:c>
      <x:c r="E2565" t="str">
        <x:v>PH-VA-145</x:v>
      </x:c>
      <x:c r="F2565" t="n">
        <x:f>IF('Trial Register'!R151&lt;&gt;"",1,0)</x:f>
        <x:v>0</x:v>
      </x:c>
      <x:c r="G2565" t="n">
        <x:v>1</x:v>
      </x:c>
      <x:c r="H2565" t="str">
        <x:v>independent physical acceptance</x:v>
      </x:c>
      <x:c r="I2565" t="str">
        <x:f>IF(F2565=1,"PASS","OPEN")</x:f>
        <x:v>OPEN</x:v>
      </x:c>
    </x:row>
    <x:row r="2566">
      <x:c r="B2566" t="str">
        <x:v>PH-RV-145</x:v>
      </x:c>
      <x:c r="C2566" t="str">
        <x:v>PHYSICAL</x:v>
      </x:c>
      <x:c r="D2566" t="str">
        <x:v>reported value</x:v>
      </x:c>
      <x:c r="E2566" t="str">
        <x:v>PH-RV-145</x:v>
      </x:c>
      <x:c r="F2566" t="n">
        <x:f>IF('Trial Register'!S151&lt;&gt;"",1,0)</x:f>
        <x:v>0</x:v>
      </x:c>
      <x:c r="G2566" t="n">
        <x:v>1</x:v>
      </x:c>
      <x:c r="H2566" t="str">
        <x:v>independent physical acceptance</x:v>
      </x:c>
      <x:c r="I2566" t="str">
        <x:f>IF(F2566=1,"PASS","OPEN")</x:f>
        <x:v>OPEN</x:v>
      </x:c>
    </x:row>
    <x:row r="2567">
      <x:c r="B2567" t="str">
        <x:v>PH-CR-145</x:v>
      </x:c>
      <x:c r="C2567" t="str">
        <x:v>PHYSICAL</x:v>
      </x:c>
      <x:c r="D2567" t="str">
        <x:v>credit acceptance</x:v>
      </x:c>
      <x:c r="E2567" t="str">
        <x:v>PH-CR-145</x:v>
      </x:c>
      <x:c r="F2567" t="str">
        <x:f>'Trial Register'!V151</x:f>
      </x:c>
      <x:c r="G2567" t="n">
        <x:v>1</x:v>
      </x:c>
      <x:c r="H2567" t="str">
        <x:v>independent physical acceptance</x:v>
      </x:c>
      <x:c r="I2567" t="str">
        <x:f>IF(F2567=1,"PASS","OPEN")</x:f>
        <x:v>OPEN</x:v>
      </x:c>
    </x:row>
    <x:row r="2568">
      <x:c r="B2568" t="str">
        <x:v>PH-EX-146</x:v>
      </x:c>
      <x:c r="C2568" t="str">
        <x:v>PHYSICAL</x:v>
      </x:c>
      <x:c r="D2568" t="str">
        <x:v>trial execution</x:v>
      </x:c>
      <x:c r="E2568" t="str">
        <x:v>PH-EX-146</x:v>
      </x:c>
      <x:c r="F2568" t="n">
        <x:f>IF('Trial Register'!P152&lt;&gt;"",1,0)</x:f>
        <x:v>0</x:v>
      </x:c>
      <x:c r="G2568" t="n">
        <x:v>1</x:v>
      </x:c>
      <x:c r="H2568" t="str">
        <x:v>independent physical acceptance</x:v>
      </x:c>
      <x:c r="I2568" t="str">
        <x:f>IF(F2568=1,"PASS","OPEN")</x:f>
        <x:v>OPEN</x:v>
      </x:c>
    </x:row>
    <x:row r="2569">
      <x:c r="B2569" t="str">
        <x:v>PH-PK-146</x:v>
      </x:c>
      <x:c r="C2569" t="str">
        <x:v>PHYSICAL</x:v>
      </x:c>
      <x:c r="D2569" t="str">
        <x:v>trial packet</x:v>
      </x:c>
      <x:c r="E2569" t="str">
        <x:v>PH-PK-146</x:v>
      </x:c>
      <x:c r="F2569" t="n">
        <x:f>IF('Trial Register'!Q152&lt;&gt;"",1,0)</x:f>
        <x:v>0</x:v>
      </x:c>
      <x:c r="G2569" t="n">
        <x:v>1</x:v>
      </x:c>
      <x:c r="H2569" t="str">
        <x:v>independent physical acceptance</x:v>
      </x:c>
      <x:c r="I2569" t="str">
        <x:f>IF(F2569=1,"PASS","OPEN")</x:f>
        <x:v>OPEN</x:v>
      </x:c>
    </x:row>
    <x:row r="2570">
      <x:c r="B2570" t="str">
        <x:v>PH-VA-146</x:v>
      </x:c>
      <x:c r="C2570" t="str">
        <x:v>PHYSICAL</x:v>
      </x:c>
      <x:c r="D2570" t="str">
        <x:v>trial validity</x:v>
      </x:c>
      <x:c r="E2570" t="str">
        <x:v>PH-VA-146</x:v>
      </x:c>
      <x:c r="F2570" t="n">
        <x:f>IF('Trial Register'!R152&lt;&gt;"",1,0)</x:f>
        <x:v>0</x:v>
      </x:c>
      <x:c r="G2570" t="n">
        <x:v>1</x:v>
      </x:c>
      <x:c r="H2570" t="str">
        <x:v>independent physical acceptance</x:v>
      </x:c>
      <x:c r="I2570" t="str">
        <x:f>IF(F2570=1,"PASS","OPEN")</x:f>
        <x:v>OPEN</x:v>
      </x:c>
    </x:row>
    <x:row r="2571">
      <x:c r="B2571" t="str">
        <x:v>PH-RV-146</x:v>
      </x:c>
      <x:c r="C2571" t="str">
        <x:v>PHYSICAL</x:v>
      </x:c>
      <x:c r="D2571" t="str">
        <x:v>reported value</x:v>
      </x:c>
      <x:c r="E2571" t="str">
        <x:v>PH-RV-146</x:v>
      </x:c>
      <x:c r="F2571" t="n">
        <x:f>IF('Trial Register'!S152&lt;&gt;"",1,0)</x:f>
        <x:v>0</x:v>
      </x:c>
      <x:c r="G2571" t="n">
        <x:v>1</x:v>
      </x:c>
      <x:c r="H2571" t="str">
        <x:v>independent physical acceptance</x:v>
      </x:c>
      <x:c r="I2571" t="str">
        <x:f>IF(F2571=1,"PASS","OPEN")</x:f>
        <x:v>OPEN</x:v>
      </x:c>
    </x:row>
    <x:row r="2572">
      <x:c r="B2572" t="str">
        <x:v>PH-CR-146</x:v>
      </x:c>
      <x:c r="C2572" t="str">
        <x:v>PHYSICAL</x:v>
      </x:c>
      <x:c r="D2572" t="str">
        <x:v>credit acceptance</x:v>
      </x:c>
      <x:c r="E2572" t="str">
        <x:v>PH-CR-146</x:v>
      </x:c>
      <x:c r="F2572" t="str">
        <x:f>'Trial Register'!V152</x:f>
      </x:c>
      <x:c r="G2572" t="n">
        <x:v>1</x:v>
      </x:c>
      <x:c r="H2572" t="str">
        <x:v>independent physical acceptance</x:v>
      </x:c>
      <x:c r="I2572" t="str">
        <x:f>IF(F2572=1,"PASS","OPEN")</x:f>
        <x:v>OPEN</x:v>
      </x:c>
    </x:row>
    <x:row r="2573">
      <x:c r="B2573" t="str">
        <x:v>PH-EX-147</x:v>
      </x:c>
      <x:c r="C2573" t="str">
        <x:v>PHYSICAL</x:v>
      </x:c>
      <x:c r="D2573" t="str">
        <x:v>trial execution</x:v>
      </x:c>
      <x:c r="E2573" t="str">
        <x:v>PH-EX-147</x:v>
      </x:c>
      <x:c r="F2573" t="n">
        <x:f>IF('Trial Register'!P153&lt;&gt;"",1,0)</x:f>
        <x:v>0</x:v>
      </x:c>
      <x:c r="G2573" t="n">
        <x:v>1</x:v>
      </x:c>
      <x:c r="H2573" t="str">
        <x:v>independent physical acceptance</x:v>
      </x:c>
      <x:c r="I2573" t="str">
        <x:f>IF(F2573=1,"PASS","OPEN")</x:f>
        <x:v>OPEN</x:v>
      </x:c>
    </x:row>
    <x:row r="2574">
      <x:c r="B2574" t="str">
        <x:v>PH-PK-147</x:v>
      </x:c>
      <x:c r="C2574" t="str">
        <x:v>PHYSICAL</x:v>
      </x:c>
      <x:c r="D2574" t="str">
        <x:v>trial packet</x:v>
      </x:c>
      <x:c r="E2574" t="str">
        <x:v>PH-PK-147</x:v>
      </x:c>
      <x:c r="F2574" t="n">
        <x:f>IF('Trial Register'!Q153&lt;&gt;"",1,0)</x:f>
        <x:v>0</x:v>
      </x:c>
      <x:c r="G2574" t="n">
        <x:v>1</x:v>
      </x:c>
      <x:c r="H2574" t="str">
        <x:v>independent physical acceptance</x:v>
      </x:c>
      <x:c r="I2574" t="str">
        <x:f>IF(F2574=1,"PASS","OPEN")</x:f>
        <x:v>OPEN</x:v>
      </x:c>
    </x:row>
    <x:row r="2575">
      <x:c r="B2575" t="str">
        <x:v>PH-VA-147</x:v>
      </x:c>
      <x:c r="C2575" t="str">
        <x:v>PHYSICAL</x:v>
      </x:c>
      <x:c r="D2575" t="str">
        <x:v>trial validity</x:v>
      </x:c>
      <x:c r="E2575" t="str">
        <x:v>PH-VA-147</x:v>
      </x:c>
      <x:c r="F2575" t="n">
        <x:f>IF('Trial Register'!R153&lt;&gt;"",1,0)</x:f>
        <x:v>0</x:v>
      </x:c>
      <x:c r="G2575" t="n">
        <x:v>1</x:v>
      </x:c>
      <x:c r="H2575" t="str">
        <x:v>independent physical acceptance</x:v>
      </x:c>
      <x:c r="I2575" t="str">
        <x:f>IF(F2575=1,"PASS","OPEN")</x:f>
        <x:v>OPEN</x:v>
      </x:c>
    </x:row>
    <x:row r="2576">
      <x:c r="B2576" t="str">
        <x:v>PH-RV-147</x:v>
      </x:c>
      <x:c r="C2576" t="str">
        <x:v>PHYSICAL</x:v>
      </x:c>
      <x:c r="D2576" t="str">
        <x:v>reported value</x:v>
      </x:c>
      <x:c r="E2576" t="str">
        <x:v>PH-RV-147</x:v>
      </x:c>
      <x:c r="F2576" t="n">
        <x:f>IF('Trial Register'!S153&lt;&gt;"",1,0)</x:f>
        <x:v>0</x:v>
      </x:c>
      <x:c r="G2576" t="n">
        <x:v>1</x:v>
      </x:c>
      <x:c r="H2576" t="str">
        <x:v>independent physical acceptance</x:v>
      </x:c>
      <x:c r="I2576" t="str">
        <x:f>IF(F2576=1,"PASS","OPEN")</x:f>
        <x:v>OPEN</x:v>
      </x:c>
    </x:row>
    <x:row r="2577">
      <x:c r="B2577" t="str">
        <x:v>PH-CR-147</x:v>
      </x:c>
      <x:c r="C2577" t="str">
        <x:v>PHYSICAL</x:v>
      </x:c>
      <x:c r="D2577" t="str">
        <x:v>credit acceptance</x:v>
      </x:c>
      <x:c r="E2577" t="str">
        <x:v>PH-CR-147</x:v>
      </x:c>
      <x:c r="F2577" t="str">
        <x:f>'Trial Register'!V153</x:f>
      </x:c>
      <x:c r="G2577" t="n">
        <x:v>1</x:v>
      </x:c>
      <x:c r="H2577" t="str">
        <x:v>independent physical acceptance</x:v>
      </x:c>
      <x:c r="I2577" t="str">
        <x:f>IF(F2577=1,"PASS","OPEN")</x:f>
        <x:v>OPEN</x:v>
      </x:c>
    </x:row>
    <x:row r="2578">
      <x:c r="B2578" t="str">
        <x:v>PH-EX-148</x:v>
      </x:c>
      <x:c r="C2578" t="str">
        <x:v>PHYSICAL</x:v>
      </x:c>
      <x:c r="D2578" t="str">
        <x:v>trial execution</x:v>
      </x:c>
      <x:c r="E2578" t="str">
        <x:v>PH-EX-148</x:v>
      </x:c>
      <x:c r="F2578" t="n">
        <x:f>IF('Trial Register'!P154&lt;&gt;"",1,0)</x:f>
        <x:v>0</x:v>
      </x:c>
      <x:c r="G2578" t="n">
        <x:v>1</x:v>
      </x:c>
      <x:c r="H2578" t="str">
        <x:v>independent physical acceptance</x:v>
      </x:c>
      <x:c r="I2578" t="str">
        <x:f>IF(F2578=1,"PASS","OPEN")</x:f>
        <x:v>OPEN</x:v>
      </x:c>
    </x:row>
    <x:row r="2579">
      <x:c r="B2579" t="str">
        <x:v>PH-PK-148</x:v>
      </x:c>
      <x:c r="C2579" t="str">
        <x:v>PHYSICAL</x:v>
      </x:c>
      <x:c r="D2579" t="str">
        <x:v>trial packet</x:v>
      </x:c>
      <x:c r="E2579" t="str">
        <x:v>PH-PK-148</x:v>
      </x:c>
      <x:c r="F2579" t="n">
        <x:f>IF('Trial Register'!Q154&lt;&gt;"",1,0)</x:f>
        <x:v>0</x:v>
      </x:c>
      <x:c r="G2579" t="n">
        <x:v>1</x:v>
      </x:c>
      <x:c r="H2579" t="str">
        <x:v>independent physical acceptance</x:v>
      </x:c>
      <x:c r="I2579" t="str">
        <x:f>IF(F2579=1,"PASS","OPEN")</x:f>
        <x:v>OPEN</x:v>
      </x:c>
    </x:row>
    <x:row r="2580">
      <x:c r="B2580" t="str">
        <x:v>PH-VA-148</x:v>
      </x:c>
      <x:c r="C2580" t="str">
        <x:v>PHYSICAL</x:v>
      </x:c>
      <x:c r="D2580" t="str">
        <x:v>trial validity</x:v>
      </x:c>
      <x:c r="E2580" t="str">
        <x:v>PH-VA-148</x:v>
      </x:c>
      <x:c r="F2580" t="n">
        <x:f>IF('Trial Register'!R154&lt;&gt;"",1,0)</x:f>
        <x:v>0</x:v>
      </x:c>
      <x:c r="G2580" t="n">
        <x:v>1</x:v>
      </x:c>
      <x:c r="H2580" t="str">
        <x:v>independent physical acceptance</x:v>
      </x:c>
      <x:c r="I2580" t="str">
        <x:f>IF(F2580=1,"PASS","OPEN")</x:f>
        <x:v>OPEN</x:v>
      </x:c>
    </x:row>
    <x:row r="2581">
      <x:c r="B2581" t="str">
        <x:v>PH-RV-148</x:v>
      </x:c>
      <x:c r="C2581" t="str">
        <x:v>PHYSICAL</x:v>
      </x:c>
      <x:c r="D2581" t="str">
        <x:v>reported value</x:v>
      </x:c>
      <x:c r="E2581" t="str">
        <x:v>PH-RV-148</x:v>
      </x:c>
      <x:c r="F2581" t="n">
        <x:f>IF('Trial Register'!S154&lt;&gt;"",1,0)</x:f>
        <x:v>0</x:v>
      </x:c>
      <x:c r="G2581" t="n">
        <x:v>1</x:v>
      </x:c>
      <x:c r="H2581" t="str">
        <x:v>independent physical acceptance</x:v>
      </x:c>
      <x:c r="I2581" t="str">
        <x:f>IF(F2581=1,"PASS","OPEN")</x:f>
        <x:v>OPEN</x:v>
      </x:c>
    </x:row>
    <x:row r="2582">
      <x:c r="B2582" t="str">
        <x:v>PH-CR-148</x:v>
      </x:c>
      <x:c r="C2582" t="str">
        <x:v>PHYSICAL</x:v>
      </x:c>
      <x:c r="D2582" t="str">
        <x:v>credit acceptance</x:v>
      </x:c>
      <x:c r="E2582" t="str">
        <x:v>PH-CR-148</x:v>
      </x:c>
      <x:c r="F2582" t="str">
        <x:f>'Trial Register'!V154</x:f>
      </x:c>
      <x:c r="G2582" t="n">
        <x:v>1</x:v>
      </x:c>
      <x:c r="H2582" t="str">
        <x:v>independent physical acceptance</x:v>
      </x:c>
      <x:c r="I2582" t="str">
        <x:f>IF(F2582=1,"PASS","OPEN")</x:f>
        <x:v>OPEN</x:v>
      </x:c>
    </x:row>
    <x:row r="2583">
      <x:c r="B2583" t="str">
        <x:v>PH-EX-149</x:v>
      </x:c>
      <x:c r="C2583" t="str">
        <x:v>PHYSICAL</x:v>
      </x:c>
      <x:c r="D2583" t="str">
        <x:v>trial execution</x:v>
      </x:c>
      <x:c r="E2583" t="str">
        <x:v>PH-EX-149</x:v>
      </x:c>
      <x:c r="F2583" t="n">
        <x:f>IF('Trial Register'!P155&lt;&gt;"",1,0)</x:f>
        <x:v>0</x:v>
      </x:c>
      <x:c r="G2583" t="n">
        <x:v>1</x:v>
      </x:c>
      <x:c r="H2583" t="str">
        <x:v>independent physical acceptance</x:v>
      </x:c>
      <x:c r="I2583" t="str">
        <x:f>IF(F2583=1,"PASS","OPEN")</x:f>
        <x:v>OPEN</x:v>
      </x:c>
    </x:row>
    <x:row r="2584">
      <x:c r="B2584" t="str">
        <x:v>PH-PK-149</x:v>
      </x:c>
      <x:c r="C2584" t="str">
        <x:v>PHYSICAL</x:v>
      </x:c>
      <x:c r="D2584" t="str">
        <x:v>trial packet</x:v>
      </x:c>
      <x:c r="E2584" t="str">
        <x:v>PH-PK-149</x:v>
      </x:c>
      <x:c r="F2584" t="n">
        <x:f>IF('Trial Register'!Q155&lt;&gt;"",1,0)</x:f>
        <x:v>0</x:v>
      </x:c>
      <x:c r="G2584" t="n">
        <x:v>1</x:v>
      </x:c>
      <x:c r="H2584" t="str">
        <x:v>independent physical acceptance</x:v>
      </x:c>
      <x:c r="I2584" t="str">
        <x:f>IF(F2584=1,"PASS","OPEN")</x:f>
        <x:v>OPEN</x:v>
      </x:c>
    </x:row>
    <x:row r="2585">
      <x:c r="B2585" t="str">
        <x:v>PH-VA-149</x:v>
      </x:c>
      <x:c r="C2585" t="str">
        <x:v>PHYSICAL</x:v>
      </x:c>
      <x:c r="D2585" t="str">
        <x:v>trial validity</x:v>
      </x:c>
      <x:c r="E2585" t="str">
        <x:v>PH-VA-149</x:v>
      </x:c>
      <x:c r="F2585" t="n">
        <x:f>IF('Trial Register'!R155&lt;&gt;"",1,0)</x:f>
        <x:v>0</x:v>
      </x:c>
      <x:c r="G2585" t="n">
        <x:v>1</x:v>
      </x:c>
      <x:c r="H2585" t="str">
        <x:v>independent physical acceptance</x:v>
      </x:c>
      <x:c r="I2585" t="str">
        <x:f>IF(F2585=1,"PASS","OPEN")</x:f>
        <x:v>OPEN</x:v>
      </x:c>
    </x:row>
    <x:row r="2586">
      <x:c r="B2586" t="str">
        <x:v>PH-RV-149</x:v>
      </x:c>
      <x:c r="C2586" t="str">
        <x:v>PHYSICAL</x:v>
      </x:c>
      <x:c r="D2586" t="str">
        <x:v>reported value</x:v>
      </x:c>
      <x:c r="E2586" t="str">
        <x:v>PH-RV-149</x:v>
      </x:c>
      <x:c r="F2586" t="n">
        <x:f>IF('Trial Register'!S155&lt;&gt;"",1,0)</x:f>
        <x:v>0</x:v>
      </x:c>
      <x:c r="G2586" t="n">
        <x:v>1</x:v>
      </x:c>
      <x:c r="H2586" t="str">
        <x:v>independent physical acceptance</x:v>
      </x:c>
      <x:c r="I2586" t="str">
        <x:f>IF(F2586=1,"PASS","OPEN")</x:f>
        <x:v>OPEN</x:v>
      </x:c>
    </x:row>
    <x:row r="2587">
      <x:c r="B2587" t="str">
        <x:v>PH-CR-149</x:v>
      </x:c>
      <x:c r="C2587" t="str">
        <x:v>PHYSICAL</x:v>
      </x:c>
      <x:c r="D2587" t="str">
        <x:v>credit acceptance</x:v>
      </x:c>
      <x:c r="E2587" t="str">
        <x:v>PH-CR-149</x:v>
      </x:c>
      <x:c r="F2587" t="str">
        <x:f>'Trial Register'!V155</x:f>
      </x:c>
      <x:c r="G2587" t="n">
        <x:v>1</x:v>
      </x:c>
      <x:c r="H2587" t="str">
        <x:v>independent physical acceptance</x:v>
      </x:c>
      <x:c r="I2587" t="str">
        <x:f>IF(F2587=1,"PASS","OPEN")</x:f>
        <x:v>OPEN</x:v>
      </x:c>
    </x:row>
    <x:row r="2588">
      <x:c r="B2588" t="str">
        <x:v>PH-EX-150</x:v>
      </x:c>
      <x:c r="C2588" t="str">
        <x:v>PHYSICAL</x:v>
      </x:c>
      <x:c r="D2588" t="str">
        <x:v>trial execution</x:v>
      </x:c>
      <x:c r="E2588" t="str">
        <x:v>PH-EX-150</x:v>
      </x:c>
      <x:c r="F2588" t="n">
        <x:f>IF('Trial Register'!P156&lt;&gt;"",1,0)</x:f>
        <x:v>0</x:v>
      </x:c>
      <x:c r="G2588" t="n">
        <x:v>1</x:v>
      </x:c>
      <x:c r="H2588" t="str">
        <x:v>independent physical acceptance</x:v>
      </x:c>
      <x:c r="I2588" t="str">
        <x:f>IF(F2588=1,"PASS","OPEN")</x:f>
        <x:v>OPEN</x:v>
      </x:c>
    </x:row>
    <x:row r="2589">
      <x:c r="B2589" t="str">
        <x:v>PH-PK-150</x:v>
      </x:c>
      <x:c r="C2589" t="str">
        <x:v>PHYSICAL</x:v>
      </x:c>
      <x:c r="D2589" t="str">
        <x:v>trial packet</x:v>
      </x:c>
      <x:c r="E2589" t="str">
        <x:v>PH-PK-150</x:v>
      </x:c>
      <x:c r="F2589" t="n">
        <x:f>IF('Trial Register'!Q156&lt;&gt;"",1,0)</x:f>
        <x:v>0</x:v>
      </x:c>
      <x:c r="G2589" t="n">
        <x:v>1</x:v>
      </x:c>
      <x:c r="H2589" t="str">
        <x:v>independent physical acceptance</x:v>
      </x:c>
      <x:c r="I2589" t="str">
        <x:f>IF(F2589=1,"PASS","OPEN")</x:f>
        <x:v>OPEN</x:v>
      </x:c>
    </x:row>
    <x:row r="2590">
      <x:c r="B2590" t="str">
        <x:v>PH-VA-150</x:v>
      </x:c>
      <x:c r="C2590" t="str">
        <x:v>PHYSICAL</x:v>
      </x:c>
      <x:c r="D2590" t="str">
        <x:v>trial validity</x:v>
      </x:c>
      <x:c r="E2590" t="str">
        <x:v>PH-VA-150</x:v>
      </x:c>
      <x:c r="F2590" t="n">
        <x:f>IF('Trial Register'!R156&lt;&gt;"",1,0)</x:f>
        <x:v>0</x:v>
      </x:c>
      <x:c r="G2590" t="n">
        <x:v>1</x:v>
      </x:c>
      <x:c r="H2590" t="str">
        <x:v>independent physical acceptance</x:v>
      </x:c>
      <x:c r="I2590" t="str">
        <x:f>IF(F2590=1,"PASS","OPEN")</x:f>
        <x:v>OPEN</x:v>
      </x:c>
    </x:row>
    <x:row r="2591">
      <x:c r="B2591" t="str">
        <x:v>PH-RV-150</x:v>
      </x:c>
      <x:c r="C2591" t="str">
        <x:v>PHYSICAL</x:v>
      </x:c>
      <x:c r="D2591" t="str">
        <x:v>reported value</x:v>
      </x:c>
      <x:c r="E2591" t="str">
        <x:v>PH-RV-150</x:v>
      </x:c>
      <x:c r="F2591" t="n">
        <x:f>IF('Trial Register'!S156&lt;&gt;"",1,0)</x:f>
        <x:v>0</x:v>
      </x:c>
      <x:c r="G2591" t="n">
        <x:v>1</x:v>
      </x:c>
      <x:c r="H2591" t="str">
        <x:v>independent physical acceptance</x:v>
      </x:c>
      <x:c r="I2591" t="str">
        <x:f>IF(F2591=1,"PASS","OPEN")</x:f>
        <x:v>OPEN</x:v>
      </x:c>
    </x:row>
    <x:row r="2592">
      <x:c r="B2592" t="str">
        <x:v>PH-CR-150</x:v>
      </x:c>
      <x:c r="C2592" t="str">
        <x:v>PHYSICAL</x:v>
      </x:c>
      <x:c r="D2592" t="str">
        <x:v>credit acceptance</x:v>
      </x:c>
      <x:c r="E2592" t="str">
        <x:v>PH-CR-150</x:v>
      </x:c>
      <x:c r="F2592" t="str">
        <x:f>'Trial Register'!V156</x:f>
      </x:c>
      <x:c r="G2592" t="n">
        <x:v>1</x:v>
      </x:c>
      <x:c r="H2592" t="str">
        <x:v>independent physical acceptance</x:v>
      </x:c>
      <x:c r="I2592" t="str">
        <x:f>IF(F2592=1,"PASS","OPEN")</x:f>
        <x:v>OPEN</x:v>
      </x:c>
    </x:row>
    <x:row r="2593">
      <x:c r="B2593" t="str">
        <x:v>PH-EX-151</x:v>
      </x:c>
      <x:c r="C2593" t="str">
        <x:v>PHYSICAL</x:v>
      </x:c>
      <x:c r="D2593" t="str">
        <x:v>trial execution</x:v>
      </x:c>
      <x:c r="E2593" t="str">
        <x:v>PH-EX-151</x:v>
      </x:c>
      <x:c r="F2593" t="n">
        <x:f>IF('Trial Register'!P157&lt;&gt;"",1,0)</x:f>
        <x:v>0</x:v>
      </x:c>
      <x:c r="G2593" t="n">
        <x:v>1</x:v>
      </x:c>
      <x:c r="H2593" t="str">
        <x:v>independent physical acceptance</x:v>
      </x:c>
      <x:c r="I2593" t="str">
        <x:f>IF(F2593=1,"PASS","OPEN")</x:f>
        <x:v>OPEN</x:v>
      </x:c>
    </x:row>
    <x:row r="2594">
      <x:c r="B2594" t="str">
        <x:v>PH-PK-151</x:v>
      </x:c>
      <x:c r="C2594" t="str">
        <x:v>PHYSICAL</x:v>
      </x:c>
      <x:c r="D2594" t="str">
        <x:v>trial packet</x:v>
      </x:c>
      <x:c r="E2594" t="str">
        <x:v>PH-PK-151</x:v>
      </x:c>
      <x:c r="F2594" t="n">
        <x:f>IF('Trial Register'!Q157&lt;&gt;"",1,0)</x:f>
        <x:v>0</x:v>
      </x:c>
      <x:c r="G2594" t="n">
        <x:v>1</x:v>
      </x:c>
      <x:c r="H2594" t="str">
        <x:v>independent physical acceptance</x:v>
      </x:c>
      <x:c r="I2594" t="str">
        <x:f>IF(F2594=1,"PASS","OPEN")</x:f>
        <x:v>OPEN</x:v>
      </x:c>
    </x:row>
    <x:row r="2595">
      <x:c r="B2595" t="str">
        <x:v>PH-VA-151</x:v>
      </x:c>
      <x:c r="C2595" t="str">
        <x:v>PHYSICAL</x:v>
      </x:c>
      <x:c r="D2595" t="str">
        <x:v>trial validity</x:v>
      </x:c>
      <x:c r="E2595" t="str">
        <x:v>PH-VA-151</x:v>
      </x:c>
      <x:c r="F2595" t="n">
        <x:f>IF('Trial Register'!R157&lt;&gt;"",1,0)</x:f>
        <x:v>0</x:v>
      </x:c>
      <x:c r="G2595" t="n">
        <x:v>1</x:v>
      </x:c>
      <x:c r="H2595" t="str">
        <x:v>independent physical acceptance</x:v>
      </x:c>
      <x:c r="I2595" t="str">
        <x:f>IF(F2595=1,"PASS","OPEN")</x:f>
        <x:v>OPEN</x:v>
      </x:c>
    </x:row>
    <x:row r="2596">
      <x:c r="B2596" t="str">
        <x:v>PH-RV-151</x:v>
      </x:c>
      <x:c r="C2596" t="str">
        <x:v>PHYSICAL</x:v>
      </x:c>
      <x:c r="D2596" t="str">
        <x:v>reported value</x:v>
      </x:c>
      <x:c r="E2596" t="str">
        <x:v>PH-RV-151</x:v>
      </x:c>
      <x:c r="F2596" t="n">
        <x:f>IF('Trial Register'!S157&lt;&gt;"",1,0)</x:f>
        <x:v>0</x:v>
      </x:c>
      <x:c r="G2596" t="n">
        <x:v>1</x:v>
      </x:c>
      <x:c r="H2596" t="str">
        <x:v>independent physical acceptance</x:v>
      </x:c>
      <x:c r="I2596" t="str">
        <x:f>IF(F2596=1,"PASS","OPEN")</x:f>
        <x:v>OPEN</x:v>
      </x:c>
    </x:row>
    <x:row r="2597">
      <x:c r="B2597" t="str">
        <x:v>PH-CR-151</x:v>
      </x:c>
      <x:c r="C2597" t="str">
        <x:v>PHYSICAL</x:v>
      </x:c>
      <x:c r="D2597" t="str">
        <x:v>credit acceptance</x:v>
      </x:c>
      <x:c r="E2597" t="str">
        <x:v>PH-CR-151</x:v>
      </x:c>
      <x:c r="F2597" t="str">
        <x:f>'Trial Register'!V157</x:f>
      </x:c>
      <x:c r="G2597" t="n">
        <x:v>1</x:v>
      </x:c>
      <x:c r="H2597" t="str">
        <x:v>independent physical acceptance</x:v>
      </x:c>
      <x:c r="I2597" t="str">
        <x:f>IF(F2597=1,"PASS","OPEN")</x:f>
        <x:v>OPEN</x:v>
      </x:c>
    </x:row>
    <x:row r="2598">
      <x:c r="B2598" t="str">
        <x:v>PH-EX-152</x:v>
      </x:c>
      <x:c r="C2598" t="str">
        <x:v>PHYSICAL</x:v>
      </x:c>
      <x:c r="D2598" t="str">
        <x:v>trial execution</x:v>
      </x:c>
      <x:c r="E2598" t="str">
        <x:v>PH-EX-152</x:v>
      </x:c>
      <x:c r="F2598" t="n">
        <x:f>IF('Trial Register'!P158&lt;&gt;"",1,0)</x:f>
        <x:v>0</x:v>
      </x:c>
      <x:c r="G2598" t="n">
        <x:v>1</x:v>
      </x:c>
      <x:c r="H2598" t="str">
        <x:v>independent physical acceptance</x:v>
      </x:c>
      <x:c r="I2598" t="str">
        <x:f>IF(F2598=1,"PASS","OPEN")</x:f>
        <x:v>OPEN</x:v>
      </x:c>
    </x:row>
    <x:row r="2599">
      <x:c r="B2599" t="str">
        <x:v>PH-PK-152</x:v>
      </x:c>
      <x:c r="C2599" t="str">
        <x:v>PHYSICAL</x:v>
      </x:c>
      <x:c r="D2599" t="str">
        <x:v>trial packet</x:v>
      </x:c>
      <x:c r="E2599" t="str">
        <x:v>PH-PK-152</x:v>
      </x:c>
      <x:c r="F2599" t="n">
        <x:f>IF('Trial Register'!Q158&lt;&gt;"",1,0)</x:f>
        <x:v>0</x:v>
      </x:c>
      <x:c r="G2599" t="n">
        <x:v>1</x:v>
      </x:c>
      <x:c r="H2599" t="str">
        <x:v>independent physical acceptance</x:v>
      </x:c>
      <x:c r="I2599" t="str">
        <x:f>IF(F2599=1,"PASS","OPEN")</x:f>
        <x:v>OPEN</x:v>
      </x:c>
    </x:row>
    <x:row r="2600">
      <x:c r="B2600" t="str">
        <x:v>PH-VA-152</x:v>
      </x:c>
      <x:c r="C2600" t="str">
        <x:v>PHYSICAL</x:v>
      </x:c>
      <x:c r="D2600" t="str">
        <x:v>trial validity</x:v>
      </x:c>
      <x:c r="E2600" t="str">
        <x:v>PH-VA-152</x:v>
      </x:c>
      <x:c r="F2600" t="n">
        <x:f>IF('Trial Register'!R158&lt;&gt;"",1,0)</x:f>
        <x:v>0</x:v>
      </x:c>
      <x:c r="G2600" t="n">
        <x:v>1</x:v>
      </x:c>
      <x:c r="H2600" t="str">
        <x:v>independent physical acceptance</x:v>
      </x:c>
      <x:c r="I2600" t="str">
        <x:f>IF(F2600=1,"PASS","OPEN")</x:f>
        <x:v>OPEN</x:v>
      </x:c>
    </x:row>
    <x:row r="2601">
      <x:c r="B2601" t="str">
        <x:v>PH-RV-152</x:v>
      </x:c>
      <x:c r="C2601" t="str">
        <x:v>PHYSICAL</x:v>
      </x:c>
      <x:c r="D2601" t="str">
        <x:v>reported value</x:v>
      </x:c>
      <x:c r="E2601" t="str">
        <x:v>PH-RV-152</x:v>
      </x:c>
      <x:c r="F2601" t="n">
        <x:f>IF('Trial Register'!S158&lt;&gt;"",1,0)</x:f>
        <x:v>0</x:v>
      </x:c>
      <x:c r="G2601" t="n">
        <x:v>1</x:v>
      </x:c>
      <x:c r="H2601" t="str">
        <x:v>independent physical acceptance</x:v>
      </x:c>
      <x:c r="I2601" t="str">
        <x:f>IF(F2601=1,"PASS","OPEN")</x:f>
        <x:v>OPEN</x:v>
      </x:c>
    </x:row>
    <x:row r="2602">
      <x:c r="B2602" t="str">
        <x:v>PH-CR-152</x:v>
      </x:c>
      <x:c r="C2602" t="str">
        <x:v>PHYSICAL</x:v>
      </x:c>
      <x:c r="D2602" t="str">
        <x:v>credit acceptance</x:v>
      </x:c>
      <x:c r="E2602" t="str">
        <x:v>PH-CR-152</x:v>
      </x:c>
      <x:c r="F2602" t="str">
        <x:f>'Trial Register'!V158</x:f>
      </x:c>
      <x:c r="G2602" t="n">
        <x:v>1</x:v>
      </x:c>
      <x:c r="H2602" t="str">
        <x:v>independent physical acceptance</x:v>
      </x:c>
      <x:c r="I2602" t="str">
        <x:f>IF(F2602=1,"PASS","OPEN")</x:f>
        <x:v>OPEN</x:v>
      </x:c>
    </x:row>
    <x:row r="2603">
      <x:c r="B2603" t="str">
        <x:v>PH-EX-153</x:v>
      </x:c>
      <x:c r="C2603" t="str">
        <x:v>PHYSICAL</x:v>
      </x:c>
      <x:c r="D2603" t="str">
        <x:v>trial execution</x:v>
      </x:c>
      <x:c r="E2603" t="str">
        <x:v>PH-EX-153</x:v>
      </x:c>
      <x:c r="F2603" t="n">
        <x:f>IF('Trial Register'!P159&lt;&gt;"",1,0)</x:f>
        <x:v>0</x:v>
      </x:c>
      <x:c r="G2603" t="n">
        <x:v>1</x:v>
      </x:c>
      <x:c r="H2603" t="str">
        <x:v>independent physical acceptance</x:v>
      </x:c>
      <x:c r="I2603" t="str">
        <x:f>IF(F2603=1,"PASS","OPEN")</x:f>
        <x:v>OPEN</x:v>
      </x:c>
    </x:row>
    <x:row r="2604">
      <x:c r="B2604" t="str">
        <x:v>PH-PK-153</x:v>
      </x:c>
      <x:c r="C2604" t="str">
        <x:v>PHYSICAL</x:v>
      </x:c>
      <x:c r="D2604" t="str">
        <x:v>trial packet</x:v>
      </x:c>
      <x:c r="E2604" t="str">
        <x:v>PH-PK-153</x:v>
      </x:c>
      <x:c r="F2604" t="n">
        <x:f>IF('Trial Register'!Q159&lt;&gt;"",1,0)</x:f>
        <x:v>0</x:v>
      </x:c>
      <x:c r="G2604" t="n">
        <x:v>1</x:v>
      </x:c>
      <x:c r="H2604" t="str">
        <x:v>independent physical acceptance</x:v>
      </x:c>
      <x:c r="I2604" t="str">
        <x:f>IF(F2604=1,"PASS","OPEN")</x:f>
        <x:v>OPEN</x:v>
      </x:c>
    </x:row>
    <x:row r="2605">
      <x:c r="B2605" t="str">
        <x:v>PH-VA-153</x:v>
      </x:c>
      <x:c r="C2605" t="str">
        <x:v>PHYSICAL</x:v>
      </x:c>
      <x:c r="D2605" t="str">
        <x:v>trial validity</x:v>
      </x:c>
      <x:c r="E2605" t="str">
        <x:v>PH-VA-153</x:v>
      </x:c>
      <x:c r="F2605" t="n">
        <x:f>IF('Trial Register'!R159&lt;&gt;"",1,0)</x:f>
        <x:v>0</x:v>
      </x:c>
      <x:c r="G2605" t="n">
        <x:v>1</x:v>
      </x:c>
      <x:c r="H2605" t="str">
        <x:v>independent physical acceptance</x:v>
      </x:c>
      <x:c r="I2605" t="str">
        <x:f>IF(F2605=1,"PASS","OPEN")</x:f>
        <x:v>OPEN</x:v>
      </x:c>
    </x:row>
    <x:row r="2606">
      <x:c r="B2606" t="str">
        <x:v>PH-RV-153</x:v>
      </x:c>
      <x:c r="C2606" t="str">
        <x:v>PHYSICAL</x:v>
      </x:c>
      <x:c r="D2606" t="str">
        <x:v>reported value</x:v>
      </x:c>
      <x:c r="E2606" t="str">
        <x:v>PH-RV-153</x:v>
      </x:c>
      <x:c r="F2606" t="n">
        <x:f>IF('Trial Register'!S159&lt;&gt;"",1,0)</x:f>
        <x:v>0</x:v>
      </x:c>
      <x:c r="G2606" t="n">
        <x:v>1</x:v>
      </x:c>
      <x:c r="H2606" t="str">
        <x:v>independent physical acceptance</x:v>
      </x:c>
      <x:c r="I2606" t="str">
        <x:f>IF(F2606=1,"PASS","OPEN")</x:f>
        <x:v>OPEN</x:v>
      </x:c>
    </x:row>
    <x:row r="2607">
      <x:c r="B2607" t="str">
        <x:v>PH-CR-153</x:v>
      </x:c>
      <x:c r="C2607" t="str">
        <x:v>PHYSICAL</x:v>
      </x:c>
      <x:c r="D2607" t="str">
        <x:v>credit acceptance</x:v>
      </x:c>
      <x:c r="E2607" t="str">
        <x:v>PH-CR-153</x:v>
      </x:c>
      <x:c r="F2607" t="str">
        <x:f>'Trial Register'!V159</x:f>
      </x:c>
      <x:c r="G2607" t="n">
        <x:v>1</x:v>
      </x:c>
      <x:c r="H2607" t="str">
        <x:v>independent physical acceptance</x:v>
      </x:c>
      <x:c r="I2607" t="str">
        <x:f>IF(F2607=1,"PASS","OPEN")</x:f>
        <x:v>OPEN</x:v>
      </x:c>
    </x:row>
    <x:row r="2608">
      <x:c r="B2608" t="str">
        <x:v>PH-EX-154</x:v>
      </x:c>
      <x:c r="C2608" t="str">
        <x:v>PHYSICAL</x:v>
      </x:c>
      <x:c r="D2608" t="str">
        <x:v>trial execution</x:v>
      </x:c>
      <x:c r="E2608" t="str">
        <x:v>PH-EX-154</x:v>
      </x:c>
      <x:c r="F2608" t="n">
        <x:f>IF('Trial Register'!P160&lt;&gt;"",1,0)</x:f>
        <x:v>0</x:v>
      </x:c>
      <x:c r="G2608" t="n">
        <x:v>1</x:v>
      </x:c>
      <x:c r="H2608" t="str">
        <x:v>independent physical acceptance</x:v>
      </x:c>
      <x:c r="I2608" t="str">
        <x:f>IF(F2608=1,"PASS","OPEN")</x:f>
        <x:v>OPEN</x:v>
      </x:c>
    </x:row>
    <x:row r="2609">
      <x:c r="B2609" t="str">
        <x:v>PH-PK-154</x:v>
      </x:c>
      <x:c r="C2609" t="str">
        <x:v>PHYSICAL</x:v>
      </x:c>
      <x:c r="D2609" t="str">
        <x:v>trial packet</x:v>
      </x:c>
      <x:c r="E2609" t="str">
        <x:v>PH-PK-154</x:v>
      </x:c>
      <x:c r="F2609" t="n">
        <x:f>IF('Trial Register'!Q160&lt;&gt;"",1,0)</x:f>
        <x:v>0</x:v>
      </x:c>
      <x:c r="G2609" t="n">
        <x:v>1</x:v>
      </x:c>
      <x:c r="H2609" t="str">
        <x:v>independent physical acceptance</x:v>
      </x:c>
      <x:c r="I2609" t="str">
        <x:f>IF(F2609=1,"PASS","OPEN")</x:f>
        <x:v>OPEN</x:v>
      </x:c>
    </x:row>
    <x:row r="2610">
      <x:c r="B2610" t="str">
        <x:v>PH-VA-154</x:v>
      </x:c>
      <x:c r="C2610" t="str">
        <x:v>PHYSICAL</x:v>
      </x:c>
      <x:c r="D2610" t="str">
        <x:v>trial validity</x:v>
      </x:c>
      <x:c r="E2610" t="str">
        <x:v>PH-VA-154</x:v>
      </x:c>
      <x:c r="F2610" t="n">
        <x:f>IF('Trial Register'!R160&lt;&gt;"",1,0)</x:f>
        <x:v>0</x:v>
      </x:c>
      <x:c r="G2610" t="n">
        <x:v>1</x:v>
      </x:c>
      <x:c r="H2610" t="str">
        <x:v>independent physical acceptance</x:v>
      </x:c>
      <x:c r="I2610" t="str">
        <x:f>IF(F2610=1,"PASS","OPEN")</x:f>
        <x:v>OPEN</x:v>
      </x:c>
    </x:row>
    <x:row r="2611">
      <x:c r="B2611" t="str">
        <x:v>PH-RV-154</x:v>
      </x:c>
      <x:c r="C2611" t="str">
        <x:v>PHYSICAL</x:v>
      </x:c>
      <x:c r="D2611" t="str">
        <x:v>reported value</x:v>
      </x:c>
      <x:c r="E2611" t="str">
        <x:v>PH-RV-154</x:v>
      </x:c>
      <x:c r="F2611" t="n">
        <x:f>IF('Trial Register'!S160&lt;&gt;"",1,0)</x:f>
        <x:v>0</x:v>
      </x:c>
      <x:c r="G2611" t="n">
        <x:v>1</x:v>
      </x:c>
      <x:c r="H2611" t="str">
        <x:v>independent physical acceptance</x:v>
      </x:c>
      <x:c r="I2611" t="str">
        <x:f>IF(F2611=1,"PASS","OPEN")</x:f>
        <x:v>OPEN</x:v>
      </x:c>
    </x:row>
    <x:row r="2612">
      <x:c r="B2612" t="str">
        <x:v>PH-CR-154</x:v>
      </x:c>
      <x:c r="C2612" t="str">
        <x:v>PHYSICAL</x:v>
      </x:c>
      <x:c r="D2612" t="str">
        <x:v>credit acceptance</x:v>
      </x:c>
      <x:c r="E2612" t="str">
        <x:v>PH-CR-154</x:v>
      </x:c>
      <x:c r="F2612" t="str">
        <x:f>'Trial Register'!V160</x:f>
      </x:c>
      <x:c r="G2612" t="n">
        <x:v>1</x:v>
      </x:c>
      <x:c r="H2612" t="str">
        <x:v>independent physical acceptance</x:v>
      </x:c>
      <x:c r="I2612" t="str">
        <x:f>IF(F2612=1,"PASS","OPEN")</x:f>
        <x:v>OPEN</x:v>
      </x:c>
    </x:row>
    <x:row r="2613">
      <x:c r="B2613" t="str">
        <x:v>PH-EX-155</x:v>
      </x:c>
      <x:c r="C2613" t="str">
        <x:v>PHYSICAL</x:v>
      </x:c>
      <x:c r="D2613" t="str">
        <x:v>trial execution</x:v>
      </x:c>
      <x:c r="E2613" t="str">
        <x:v>PH-EX-155</x:v>
      </x:c>
      <x:c r="F2613" t="n">
        <x:f>IF('Trial Register'!P161&lt;&gt;"",1,0)</x:f>
        <x:v>0</x:v>
      </x:c>
      <x:c r="G2613" t="n">
        <x:v>1</x:v>
      </x:c>
      <x:c r="H2613" t="str">
        <x:v>independent physical acceptance</x:v>
      </x:c>
      <x:c r="I2613" t="str">
        <x:f>IF(F2613=1,"PASS","OPEN")</x:f>
        <x:v>OPEN</x:v>
      </x:c>
    </x:row>
    <x:row r="2614">
      <x:c r="B2614" t="str">
        <x:v>PH-PK-155</x:v>
      </x:c>
      <x:c r="C2614" t="str">
        <x:v>PHYSICAL</x:v>
      </x:c>
      <x:c r="D2614" t="str">
        <x:v>trial packet</x:v>
      </x:c>
      <x:c r="E2614" t="str">
        <x:v>PH-PK-155</x:v>
      </x:c>
      <x:c r="F2614" t="n">
        <x:f>IF('Trial Register'!Q161&lt;&gt;"",1,0)</x:f>
        <x:v>0</x:v>
      </x:c>
      <x:c r="G2614" t="n">
        <x:v>1</x:v>
      </x:c>
      <x:c r="H2614" t="str">
        <x:v>independent physical acceptance</x:v>
      </x:c>
      <x:c r="I2614" t="str">
        <x:f>IF(F2614=1,"PASS","OPEN")</x:f>
        <x:v>OPEN</x:v>
      </x:c>
    </x:row>
    <x:row r="2615">
      <x:c r="B2615" t="str">
        <x:v>PH-VA-155</x:v>
      </x:c>
      <x:c r="C2615" t="str">
        <x:v>PHYSICAL</x:v>
      </x:c>
      <x:c r="D2615" t="str">
        <x:v>trial validity</x:v>
      </x:c>
      <x:c r="E2615" t="str">
        <x:v>PH-VA-155</x:v>
      </x:c>
      <x:c r="F2615" t="n">
        <x:f>IF('Trial Register'!R161&lt;&gt;"",1,0)</x:f>
        <x:v>0</x:v>
      </x:c>
      <x:c r="G2615" t="n">
        <x:v>1</x:v>
      </x:c>
      <x:c r="H2615" t="str">
        <x:v>independent physical acceptance</x:v>
      </x:c>
      <x:c r="I2615" t="str">
        <x:f>IF(F2615=1,"PASS","OPEN")</x:f>
        <x:v>OPEN</x:v>
      </x:c>
    </x:row>
    <x:row r="2616">
      <x:c r="B2616" t="str">
        <x:v>PH-RV-155</x:v>
      </x:c>
      <x:c r="C2616" t="str">
        <x:v>PHYSICAL</x:v>
      </x:c>
      <x:c r="D2616" t="str">
        <x:v>reported value</x:v>
      </x:c>
      <x:c r="E2616" t="str">
        <x:v>PH-RV-155</x:v>
      </x:c>
      <x:c r="F2616" t="n">
        <x:f>IF('Trial Register'!S161&lt;&gt;"",1,0)</x:f>
        <x:v>0</x:v>
      </x:c>
      <x:c r="G2616" t="n">
        <x:v>1</x:v>
      </x:c>
      <x:c r="H2616" t="str">
        <x:v>independent physical acceptance</x:v>
      </x:c>
      <x:c r="I2616" t="str">
        <x:f>IF(F2616=1,"PASS","OPEN")</x:f>
        <x:v>OPEN</x:v>
      </x:c>
    </x:row>
    <x:row r="2617">
      <x:c r="B2617" t="str">
        <x:v>PH-CR-155</x:v>
      </x:c>
      <x:c r="C2617" t="str">
        <x:v>PHYSICAL</x:v>
      </x:c>
      <x:c r="D2617" t="str">
        <x:v>credit acceptance</x:v>
      </x:c>
      <x:c r="E2617" t="str">
        <x:v>PH-CR-155</x:v>
      </x:c>
      <x:c r="F2617" t="str">
        <x:f>'Trial Register'!V161</x:f>
      </x:c>
      <x:c r="G2617" t="n">
        <x:v>1</x:v>
      </x:c>
      <x:c r="H2617" t="str">
        <x:v>independent physical acceptance</x:v>
      </x:c>
      <x:c r="I2617" t="str">
        <x:f>IF(F2617=1,"PASS","OPEN")</x:f>
        <x:v>OPEN</x:v>
      </x:c>
    </x:row>
    <x:row r="2618">
      <x:c r="B2618" t="str">
        <x:v>PH-EX-156</x:v>
      </x:c>
      <x:c r="C2618" t="str">
        <x:v>PHYSICAL</x:v>
      </x:c>
      <x:c r="D2618" t="str">
        <x:v>trial execution</x:v>
      </x:c>
      <x:c r="E2618" t="str">
        <x:v>PH-EX-156</x:v>
      </x:c>
      <x:c r="F2618" t="n">
        <x:f>IF('Trial Register'!P162&lt;&gt;"",1,0)</x:f>
        <x:v>0</x:v>
      </x:c>
      <x:c r="G2618" t="n">
        <x:v>1</x:v>
      </x:c>
      <x:c r="H2618" t="str">
        <x:v>independent physical acceptance</x:v>
      </x:c>
      <x:c r="I2618" t="str">
        <x:f>IF(F2618=1,"PASS","OPEN")</x:f>
        <x:v>OPEN</x:v>
      </x:c>
    </x:row>
    <x:row r="2619">
      <x:c r="B2619" t="str">
        <x:v>PH-PK-156</x:v>
      </x:c>
      <x:c r="C2619" t="str">
        <x:v>PHYSICAL</x:v>
      </x:c>
      <x:c r="D2619" t="str">
        <x:v>trial packet</x:v>
      </x:c>
      <x:c r="E2619" t="str">
        <x:v>PH-PK-156</x:v>
      </x:c>
      <x:c r="F2619" t="n">
        <x:f>IF('Trial Register'!Q162&lt;&gt;"",1,0)</x:f>
        <x:v>0</x:v>
      </x:c>
      <x:c r="G2619" t="n">
        <x:v>1</x:v>
      </x:c>
      <x:c r="H2619" t="str">
        <x:v>independent physical acceptance</x:v>
      </x:c>
      <x:c r="I2619" t="str">
        <x:f>IF(F2619=1,"PASS","OPEN")</x:f>
        <x:v>OPEN</x:v>
      </x:c>
    </x:row>
    <x:row r="2620">
      <x:c r="B2620" t="str">
        <x:v>PH-VA-156</x:v>
      </x:c>
      <x:c r="C2620" t="str">
        <x:v>PHYSICAL</x:v>
      </x:c>
      <x:c r="D2620" t="str">
        <x:v>trial validity</x:v>
      </x:c>
      <x:c r="E2620" t="str">
        <x:v>PH-VA-156</x:v>
      </x:c>
      <x:c r="F2620" t="n">
        <x:f>IF('Trial Register'!R162&lt;&gt;"",1,0)</x:f>
        <x:v>0</x:v>
      </x:c>
      <x:c r="G2620" t="n">
        <x:v>1</x:v>
      </x:c>
      <x:c r="H2620" t="str">
        <x:v>independent physical acceptance</x:v>
      </x:c>
      <x:c r="I2620" t="str">
        <x:f>IF(F2620=1,"PASS","OPEN")</x:f>
        <x:v>OPEN</x:v>
      </x:c>
    </x:row>
    <x:row r="2621">
      <x:c r="B2621" t="str">
        <x:v>PH-RV-156</x:v>
      </x:c>
      <x:c r="C2621" t="str">
        <x:v>PHYSICAL</x:v>
      </x:c>
      <x:c r="D2621" t="str">
        <x:v>reported value</x:v>
      </x:c>
      <x:c r="E2621" t="str">
        <x:v>PH-RV-156</x:v>
      </x:c>
      <x:c r="F2621" t="n">
        <x:f>IF('Trial Register'!S162&lt;&gt;"",1,0)</x:f>
        <x:v>0</x:v>
      </x:c>
      <x:c r="G2621" t="n">
        <x:v>1</x:v>
      </x:c>
      <x:c r="H2621" t="str">
        <x:v>independent physical acceptance</x:v>
      </x:c>
      <x:c r="I2621" t="str">
        <x:f>IF(F2621=1,"PASS","OPEN")</x:f>
        <x:v>OPEN</x:v>
      </x:c>
    </x:row>
    <x:row r="2622">
      <x:c r="B2622" t="str">
        <x:v>PH-CR-156</x:v>
      </x:c>
      <x:c r="C2622" t="str">
        <x:v>PHYSICAL</x:v>
      </x:c>
      <x:c r="D2622" t="str">
        <x:v>credit acceptance</x:v>
      </x:c>
      <x:c r="E2622" t="str">
        <x:v>PH-CR-156</x:v>
      </x:c>
      <x:c r="F2622" t="str">
        <x:f>'Trial Register'!V162</x:f>
      </x:c>
      <x:c r="G2622" t="n">
        <x:v>1</x:v>
      </x:c>
      <x:c r="H2622" t="str">
        <x:v>independent physical acceptance</x:v>
      </x:c>
      <x:c r="I2622" t="str">
        <x:f>IF(F2622=1,"PASS","OPEN")</x:f>
        <x:v>OPEN</x:v>
      </x:c>
    </x:row>
    <x:row r="2623">
      <x:c r="B2623" t="str">
        <x:v>PH-EX-157</x:v>
      </x:c>
      <x:c r="C2623" t="str">
        <x:v>PHYSICAL</x:v>
      </x:c>
      <x:c r="D2623" t="str">
        <x:v>trial execution</x:v>
      </x:c>
      <x:c r="E2623" t="str">
        <x:v>PH-EX-157</x:v>
      </x:c>
      <x:c r="F2623" t="n">
        <x:f>IF('Trial Register'!P163&lt;&gt;"",1,0)</x:f>
        <x:v>0</x:v>
      </x:c>
      <x:c r="G2623" t="n">
        <x:v>1</x:v>
      </x:c>
      <x:c r="H2623" t="str">
        <x:v>independent physical acceptance</x:v>
      </x:c>
      <x:c r="I2623" t="str">
        <x:f>IF(F2623=1,"PASS","OPEN")</x:f>
        <x:v>OPEN</x:v>
      </x:c>
    </x:row>
    <x:row r="2624">
      <x:c r="B2624" t="str">
        <x:v>PH-PK-157</x:v>
      </x:c>
      <x:c r="C2624" t="str">
        <x:v>PHYSICAL</x:v>
      </x:c>
      <x:c r="D2624" t="str">
        <x:v>trial packet</x:v>
      </x:c>
      <x:c r="E2624" t="str">
        <x:v>PH-PK-157</x:v>
      </x:c>
      <x:c r="F2624" t="n">
        <x:f>IF('Trial Register'!Q163&lt;&gt;"",1,0)</x:f>
        <x:v>0</x:v>
      </x:c>
      <x:c r="G2624" t="n">
        <x:v>1</x:v>
      </x:c>
      <x:c r="H2624" t="str">
        <x:v>independent physical acceptance</x:v>
      </x:c>
      <x:c r="I2624" t="str">
        <x:f>IF(F2624=1,"PASS","OPEN")</x:f>
        <x:v>OPEN</x:v>
      </x:c>
    </x:row>
    <x:row r="2625">
      <x:c r="B2625" t="str">
        <x:v>PH-VA-157</x:v>
      </x:c>
      <x:c r="C2625" t="str">
        <x:v>PHYSICAL</x:v>
      </x:c>
      <x:c r="D2625" t="str">
        <x:v>trial validity</x:v>
      </x:c>
      <x:c r="E2625" t="str">
        <x:v>PH-VA-157</x:v>
      </x:c>
      <x:c r="F2625" t="n">
        <x:f>IF('Trial Register'!R163&lt;&gt;"",1,0)</x:f>
        <x:v>0</x:v>
      </x:c>
      <x:c r="G2625" t="n">
        <x:v>1</x:v>
      </x:c>
      <x:c r="H2625" t="str">
        <x:v>independent physical acceptance</x:v>
      </x:c>
      <x:c r="I2625" t="str">
        <x:f>IF(F2625=1,"PASS","OPEN")</x:f>
        <x:v>OPEN</x:v>
      </x:c>
    </x:row>
    <x:row r="2626">
      <x:c r="B2626" t="str">
        <x:v>PH-RV-157</x:v>
      </x:c>
      <x:c r="C2626" t="str">
        <x:v>PHYSICAL</x:v>
      </x:c>
      <x:c r="D2626" t="str">
        <x:v>reported value</x:v>
      </x:c>
      <x:c r="E2626" t="str">
        <x:v>PH-RV-157</x:v>
      </x:c>
      <x:c r="F2626" t="n">
        <x:f>IF('Trial Register'!S163&lt;&gt;"",1,0)</x:f>
        <x:v>0</x:v>
      </x:c>
      <x:c r="G2626" t="n">
        <x:v>1</x:v>
      </x:c>
      <x:c r="H2626" t="str">
        <x:v>independent physical acceptance</x:v>
      </x:c>
      <x:c r="I2626" t="str">
        <x:f>IF(F2626=1,"PASS","OPEN")</x:f>
        <x:v>OPEN</x:v>
      </x:c>
    </x:row>
    <x:row r="2627">
      <x:c r="B2627" t="str">
        <x:v>PH-CR-157</x:v>
      </x:c>
      <x:c r="C2627" t="str">
        <x:v>PHYSICAL</x:v>
      </x:c>
      <x:c r="D2627" t="str">
        <x:v>credit acceptance</x:v>
      </x:c>
      <x:c r="E2627" t="str">
        <x:v>PH-CR-157</x:v>
      </x:c>
      <x:c r="F2627" t="str">
        <x:f>'Trial Register'!V163</x:f>
      </x:c>
      <x:c r="G2627" t="n">
        <x:v>1</x:v>
      </x:c>
      <x:c r="H2627" t="str">
        <x:v>independent physical acceptance</x:v>
      </x:c>
      <x:c r="I2627" t="str">
        <x:f>IF(F2627=1,"PASS","OPEN")</x:f>
        <x:v>OPEN</x:v>
      </x:c>
    </x:row>
    <x:row r="2628">
      <x:c r="B2628" t="str">
        <x:v>PH-EX-158</x:v>
      </x:c>
      <x:c r="C2628" t="str">
        <x:v>PHYSICAL</x:v>
      </x:c>
      <x:c r="D2628" t="str">
        <x:v>trial execution</x:v>
      </x:c>
      <x:c r="E2628" t="str">
        <x:v>PH-EX-158</x:v>
      </x:c>
      <x:c r="F2628" t="n">
        <x:f>IF('Trial Register'!P164&lt;&gt;"",1,0)</x:f>
        <x:v>0</x:v>
      </x:c>
      <x:c r="G2628" t="n">
        <x:v>1</x:v>
      </x:c>
      <x:c r="H2628" t="str">
        <x:v>independent physical acceptance</x:v>
      </x:c>
      <x:c r="I2628" t="str">
        <x:f>IF(F2628=1,"PASS","OPEN")</x:f>
        <x:v>OPEN</x:v>
      </x:c>
    </x:row>
    <x:row r="2629">
      <x:c r="B2629" t="str">
        <x:v>PH-PK-158</x:v>
      </x:c>
      <x:c r="C2629" t="str">
        <x:v>PHYSICAL</x:v>
      </x:c>
      <x:c r="D2629" t="str">
        <x:v>trial packet</x:v>
      </x:c>
      <x:c r="E2629" t="str">
        <x:v>PH-PK-158</x:v>
      </x:c>
      <x:c r="F2629" t="n">
        <x:f>IF('Trial Register'!Q164&lt;&gt;"",1,0)</x:f>
        <x:v>0</x:v>
      </x:c>
      <x:c r="G2629" t="n">
        <x:v>1</x:v>
      </x:c>
      <x:c r="H2629" t="str">
        <x:v>independent physical acceptance</x:v>
      </x:c>
      <x:c r="I2629" t="str">
        <x:f>IF(F2629=1,"PASS","OPEN")</x:f>
        <x:v>OPEN</x:v>
      </x:c>
    </x:row>
    <x:row r="2630">
      <x:c r="B2630" t="str">
        <x:v>PH-VA-158</x:v>
      </x:c>
      <x:c r="C2630" t="str">
        <x:v>PHYSICAL</x:v>
      </x:c>
      <x:c r="D2630" t="str">
        <x:v>trial validity</x:v>
      </x:c>
      <x:c r="E2630" t="str">
        <x:v>PH-VA-158</x:v>
      </x:c>
      <x:c r="F2630" t="n">
        <x:f>IF('Trial Register'!R164&lt;&gt;"",1,0)</x:f>
        <x:v>0</x:v>
      </x:c>
      <x:c r="G2630" t="n">
        <x:v>1</x:v>
      </x:c>
      <x:c r="H2630" t="str">
        <x:v>independent physical acceptance</x:v>
      </x:c>
      <x:c r="I2630" t="str">
        <x:f>IF(F2630=1,"PASS","OPEN")</x:f>
        <x:v>OPEN</x:v>
      </x:c>
    </x:row>
    <x:row r="2631">
      <x:c r="B2631" t="str">
        <x:v>PH-RV-158</x:v>
      </x:c>
      <x:c r="C2631" t="str">
        <x:v>PHYSICAL</x:v>
      </x:c>
      <x:c r="D2631" t="str">
        <x:v>reported value</x:v>
      </x:c>
      <x:c r="E2631" t="str">
        <x:v>PH-RV-158</x:v>
      </x:c>
      <x:c r="F2631" t="n">
        <x:f>IF('Trial Register'!S164&lt;&gt;"",1,0)</x:f>
        <x:v>0</x:v>
      </x:c>
      <x:c r="G2631" t="n">
        <x:v>1</x:v>
      </x:c>
      <x:c r="H2631" t="str">
        <x:v>independent physical acceptance</x:v>
      </x:c>
      <x:c r="I2631" t="str">
        <x:f>IF(F2631=1,"PASS","OPEN")</x:f>
        <x:v>OPEN</x:v>
      </x:c>
    </x:row>
    <x:row r="2632">
      <x:c r="B2632" t="str">
        <x:v>PH-CR-158</x:v>
      </x:c>
      <x:c r="C2632" t="str">
        <x:v>PHYSICAL</x:v>
      </x:c>
      <x:c r="D2632" t="str">
        <x:v>credit acceptance</x:v>
      </x:c>
      <x:c r="E2632" t="str">
        <x:v>PH-CR-158</x:v>
      </x:c>
      <x:c r="F2632" t="str">
        <x:f>'Trial Register'!V164</x:f>
      </x:c>
      <x:c r="G2632" t="n">
        <x:v>1</x:v>
      </x:c>
      <x:c r="H2632" t="str">
        <x:v>independent physical acceptance</x:v>
      </x:c>
      <x:c r="I2632" t="str">
        <x:f>IF(F2632=1,"PASS","OPEN")</x:f>
        <x:v>OPEN</x:v>
      </x:c>
    </x:row>
    <x:row r="2633">
      <x:c r="B2633" t="str">
        <x:v>PH-EX-159</x:v>
      </x:c>
      <x:c r="C2633" t="str">
        <x:v>PHYSICAL</x:v>
      </x:c>
      <x:c r="D2633" t="str">
        <x:v>trial execution</x:v>
      </x:c>
      <x:c r="E2633" t="str">
        <x:v>PH-EX-159</x:v>
      </x:c>
      <x:c r="F2633" t="n">
        <x:f>IF('Trial Register'!P165&lt;&gt;"",1,0)</x:f>
        <x:v>0</x:v>
      </x:c>
      <x:c r="G2633" t="n">
        <x:v>1</x:v>
      </x:c>
      <x:c r="H2633" t="str">
        <x:v>independent physical acceptance</x:v>
      </x:c>
      <x:c r="I2633" t="str">
        <x:f>IF(F2633=1,"PASS","OPEN")</x:f>
        <x:v>OPEN</x:v>
      </x:c>
    </x:row>
    <x:row r="2634">
      <x:c r="B2634" t="str">
        <x:v>PH-PK-159</x:v>
      </x:c>
      <x:c r="C2634" t="str">
        <x:v>PHYSICAL</x:v>
      </x:c>
      <x:c r="D2634" t="str">
        <x:v>trial packet</x:v>
      </x:c>
      <x:c r="E2634" t="str">
        <x:v>PH-PK-159</x:v>
      </x:c>
      <x:c r="F2634" t="n">
        <x:f>IF('Trial Register'!Q165&lt;&gt;"",1,0)</x:f>
        <x:v>0</x:v>
      </x:c>
      <x:c r="G2634" t="n">
        <x:v>1</x:v>
      </x:c>
      <x:c r="H2634" t="str">
        <x:v>independent physical acceptance</x:v>
      </x:c>
      <x:c r="I2634" t="str">
        <x:f>IF(F2634=1,"PASS","OPEN")</x:f>
        <x:v>OPEN</x:v>
      </x:c>
    </x:row>
    <x:row r="2635">
      <x:c r="B2635" t="str">
        <x:v>PH-VA-159</x:v>
      </x:c>
      <x:c r="C2635" t="str">
        <x:v>PHYSICAL</x:v>
      </x:c>
      <x:c r="D2635" t="str">
        <x:v>trial validity</x:v>
      </x:c>
      <x:c r="E2635" t="str">
        <x:v>PH-VA-159</x:v>
      </x:c>
      <x:c r="F2635" t="n">
        <x:f>IF('Trial Register'!R165&lt;&gt;"",1,0)</x:f>
        <x:v>0</x:v>
      </x:c>
      <x:c r="G2635" t="n">
        <x:v>1</x:v>
      </x:c>
      <x:c r="H2635" t="str">
        <x:v>independent physical acceptance</x:v>
      </x:c>
      <x:c r="I2635" t="str">
        <x:f>IF(F2635=1,"PASS","OPEN")</x:f>
        <x:v>OPEN</x:v>
      </x:c>
    </x:row>
    <x:row r="2636">
      <x:c r="B2636" t="str">
        <x:v>PH-RV-159</x:v>
      </x:c>
      <x:c r="C2636" t="str">
        <x:v>PHYSICAL</x:v>
      </x:c>
      <x:c r="D2636" t="str">
        <x:v>reported value</x:v>
      </x:c>
      <x:c r="E2636" t="str">
        <x:v>PH-RV-159</x:v>
      </x:c>
      <x:c r="F2636" t="n">
        <x:f>IF('Trial Register'!S165&lt;&gt;"",1,0)</x:f>
        <x:v>0</x:v>
      </x:c>
      <x:c r="G2636" t="n">
        <x:v>1</x:v>
      </x:c>
      <x:c r="H2636" t="str">
        <x:v>independent physical acceptance</x:v>
      </x:c>
      <x:c r="I2636" t="str">
        <x:f>IF(F2636=1,"PASS","OPEN")</x:f>
        <x:v>OPEN</x:v>
      </x:c>
    </x:row>
    <x:row r="2637">
      <x:c r="B2637" t="str">
        <x:v>PH-CR-159</x:v>
      </x:c>
      <x:c r="C2637" t="str">
        <x:v>PHYSICAL</x:v>
      </x:c>
      <x:c r="D2637" t="str">
        <x:v>credit acceptance</x:v>
      </x:c>
      <x:c r="E2637" t="str">
        <x:v>PH-CR-159</x:v>
      </x:c>
      <x:c r="F2637" t="str">
        <x:f>'Trial Register'!V165</x:f>
      </x:c>
      <x:c r="G2637" t="n">
        <x:v>1</x:v>
      </x:c>
      <x:c r="H2637" t="str">
        <x:v>independent physical acceptance</x:v>
      </x:c>
      <x:c r="I2637" t="str">
        <x:f>IF(F2637=1,"PASS","OPEN")</x:f>
        <x:v>OPEN</x:v>
      </x:c>
    </x:row>
    <x:row r="2638">
      <x:c r="B2638" t="str">
        <x:v>PH-EX-160</x:v>
      </x:c>
      <x:c r="C2638" t="str">
        <x:v>PHYSICAL</x:v>
      </x:c>
      <x:c r="D2638" t="str">
        <x:v>trial execution</x:v>
      </x:c>
      <x:c r="E2638" t="str">
        <x:v>PH-EX-160</x:v>
      </x:c>
      <x:c r="F2638" t="n">
        <x:f>IF('Trial Register'!P166&lt;&gt;"",1,0)</x:f>
        <x:v>0</x:v>
      </x:c>
      <x:c r="G2638" t="n">
        <x:v>1</x:v>
      </x:c>
      <x:c r="H2638" t="str">
        <x:v>independent physical acceptance</x:v>
      </x:c>
      <x:c r="I2638" t="str">
        <x:f>IF(F2638=1,"PASS","OPEN")</x:f>
        <x:v>OPEN</x:v>
      </x:c>
    </x:row>
    <x:row r="2639">
      <x:c r="B2639" t="str">
        <x:v>PH-PK-160</x:v>
      </x:c>
      <x:c r="C2639" t="str">
        <x:v>PHYSICAL</x:v>
      </x:c>
      <x:c r="D2639" t="str">
        <x:v>trial packet</x:v>
      </x:c>
      <x:c r="E2639" t="str">
        <x:v>PH-PK-160</x:v>
      </x:c>
      <x:c r="F2639" t="n">
        <x:f>IF('Trial Register'!Q166&lt;&gt;"",1,0)</x:f>
        <x:v>0</x:v>
      </x:c>
      <x:c r="G2639" t="n">
        <x:v>1</x:v>
      </x:c>
      <x:c r="H2639" t="str">
        <x:v>independent physical acceptance</x:v>
      </x:c>
      <x:c r="I2639" t="str">
        <x:f>IF(F2639=1,"PASS","OPEN")</x:f>
        <x:v>OPEN</x:v>
      </x:c>
    </x:row>
    <x:row r="2640">
      <x:c r="B2640" t="str">
        <x:v>PH-VA-160</x:v>
      </x:c>
      <x:c r="C2640" t="str">
        <x:v>PHYSICAL</x:v>
      </x:c>
      <x:c r="D2640" t="str">
        <x:v>trial validity</x:v>
      </x:c>
      <x:c r="E2640" t="str">
        <x:v>PH-VA-160</x:v>
      </x:c>
      <x:c r="F2640" t="n">
        <x:f>IF('Trial Register'!R166&lt;&gt;"",1,0)</x:f>
        <x:v>0</x:v>
      </x:c>
      <x:c r="G2640" t="n">
        <x:v>1</x:v>
      </x:c>
      <x:c r="H2640" t="str">
        <x:v>independent physical acceptance</x:v>
      </x:c>
      <x:c r="I2640" t="str">
        <x:f>IF(F2640=1,"PASS","OPEN")</x:f>
        <x:v>OPEN</x:v>
      </x:c>
    </x:row>
    <x:row r="2641">
      <x:c r="B2641" t="str">
        <x:v>PH-RV-160</x:v>
      </x:c>
      <x:c r="C2641" t="str">
        <x:v>PHYSICAL</x:v>
      </x:c>
      <x:c r="D2641" t="str">
        <x:v>reported value</x:v>
      </x:c>
      <x:c r="E2641" t="str">
        <x:v>PH-RV-160</x:v>
      </x:c>
      <x:c r="F2641" t="n">
        <x:f>IF('Trial Register'!S166&lt;&gt;"",1,0)</x:f>
        <x:v>0</x:v>
      </x:c>
      <x:c r="G2641" t="n">
        <x:v>1</x:v>
      </x:c>
      <x:c r="H2641" t="str">
        <x:v>independent physical acceptance</x:v>
      </x:c>
      <x:c r="I2641" t="str">
        <x:f>IF(F2641=1,"PASS","OPEN")</x:f>
        <x:v>OPEN</x:v>
      </x:c>
    </x:row>
    <x:row r="2642">
      <x:c r="B2642" t="str">
        <x:v>PH-CR-160</x:v>
      </x:c>
      <x:c r="C2642" t="str">
        <x:v>PHYSICAL</x:v>
      </x:c>
      <x:c r="D2642" t="str">
        <x:v>credit acceptance</x:v>
      </x:c>
      <x:c r="E2642" t="str">
        <x:v>PH-CR-160</x:v>
      </x:c>
      <x:c r="F2642" t="str">
        <x:f>'Trial Register'!V166</x:f>
      </x:c>
      <x:c r="G2642" t="n">
        <x:v>1</x:v>
      </x:c>
      <x:c r="H2642" t="str">
        <x:v>independent physical acceptance</x:v>
      </x:c>
      <x:c r="I2642" t="str">
        <x:f>IF(F2642=1,"PASS","OPEN")</x:f>
        <x:v>OPEN</x:v>
      </x:c>
    </x:row>
    <x:row r="2643">
      <x:c r="B2643" t="str">
        <x:v>PH-EX-161</x:v>
      </x:c>
      <x:c r="C2643" t="str">
        <x:v>PHYSICAL</x:v>
      </x:c>
      <x:c r="D2643" t="str">
        <x:v>trial execution</x:v>
      </x:c>
      <x:c r="E2643" t="str">
        <x:v>PH-EX-161</x:v>
      </x:c>
      <x:c r="F2643" t="n">
        <x:f>IF('Trial Register'!P167&lt;&gt;"",1,0)</x:f>
        <x:v>0</x:v>
      </x:c>
      <x:c r="G2643" t="n">
        <x:v>1</x:v>
      </x:c>
      <x:c r="H2643" t="str">
        <x:v>independent physical acceptance</x:v>
      </x:c>
      <x:c r="I2643" t="str">
        <x:f>IF(F2643=1,"PASS","OPEN")</x:f>
        <x:v>OPEN</x:v>
      </x:c>
    </x:row>
    <x:row r="2644">
      <x:c r="B2644" t="str">
        <x:v>PH-PK-161</x:v>
      </x:c>
      <x:c r="C2644" t="str">
        <x:v>PHYSICAL</x:v>
      </x:c>
      <x:c r="D2644" t="str">
        <x:v>trial packet</x:v>
      </x:c>
      <x:c r="E2644" t="str">
        <x:v>PH-PK-161</x:v>
      </x:c>
      <x:c r="F2644" t="n">
        <x:f>IF('Trial Register'!Q167&lt;&gt;"",1,0)</x:f>
        <x:v>0</x:v>
      </x:c>
      <x:c r="G2644" t="n">
        <x:v>1</x:v>
      </x:c>
      <x:c r="H2644" t="str">
        <x:v>independent physical acceptance</x:v>
      </x:c>
      <x:c r="I2644" t="str">
        <x:f>IF(F2644=1,"PASS","OPEN")</x:f>
        <x:v>OPEN</x:v>
      </x:c>
    </x:row>
    <x:row r="2645">
      <x:c r="B2645" t="str">
        <x:v>PH-VA-161</x:v>
      </x:c>
      <x:c r="C2645" t="str">
        <x:v>PHYSICAL</x:v>
      </x:c>
      <x:c r="D2645" t="str">
        <x:v>trial validity</x:v>
      </x:c>
      <x:c r="E2645" t="str">
        <x:v>PH-VA-161</x:v>
      </x:c>
      <x:c r="F2645" t="n">
        <x:f>IF('Trial Register'!R167&lt;&gt;"",1,0)</x:f>
        <x:v>0</x:v>
      </x:c>
      <x:c r="G2645" t="n">
        <x:v>1</x:v>
      </x:c>
      <x:c r="H2645" t="str">
        <x:v>independent physical acceptance</x:v>
      </x:c>
      <x:c r="I2645" t="str">
        <x:f>IF(F2645=1,"PASS","OPEN")</x:f>
        <x:v>OPEN</x:v>
      </x:c>
    </x:row>
    <x:row r="2646">
      <x:c r="B2646" t="str">
        <x:v>PH-RV-161</x:v>
      </x:c>
      <x:c r="C2646" t="str">
        <x:v>PHYSICAL</x:v>
      </x:c>
      <x:c r="D2646" t="str">
        <x:v>reported value</x:v>
      </x:c>
      <x:c r="E2646" t="str">
        <x:v>PH-RV-161</x:v>
      </x:c>
      <x:c r="F2646" t="n">
        <x:f>IF('Trial Register'!S167&lt;&gt;"",1,0)</x:f>
        <x:v>0</x:v>
      </x:c>
      <x:c r="G2646" t="n">
        <x:v>1</x:v>
      </x:c>
      <x:c r="H2646" t="str">
        <x:v>independent physical acceptance</x:v>
      </x:c>
      <x:c r="I2646" t="str">
        <x:f>IF(F2646=1,"PASS","OPEN")</x:f>
        <x:v>OPEN</x:v>
      </x:c>
    </x:row>
    <x:row r="2647">
      <x:c r="B2647" t="str">
        <x:v>PH-CR-161</x:v>
      </x:c>
      <x:c r="C2647" t="str">
        <x:v>PHYSICAL</x:v>
      </x:c>
      <x:c r="D2647" t="str">
        <x:v>credit acceptance</x:v>
      </x:c>
      <x:c r="E2647" t="str">
        <x:v>PH-CR-161</x:v>
      </x:c>
      <x:c r="F2647" t="str">
        <x:f>'Trial Register'!V167</x:f>
      </x:c>
      <x:c r="G2647" t="n">
        <x:v>1</x:v>
      </x:c>
      <x:c r="H2647" t="str">
        <x:v>independent physical acceptance</x:v>
      </x:c>
      <x:c r="I2647" t="str">
        <x:f>IF(F2647=1,"PASS","OPEN")</x:f>
        <x:v>OPEN</x:v>
      </x:c>
    </x:row>
    <x:row r="2648">
      <x:c r="B2648" t="str">
        <x:v>PH-EX-162</x:v>
      </x:c>
      <x:c r="C2648" t="str">
        <x:v>PHYSICAL</x:v>
      </x:c>
      <x:c r="D2648" t="str">
        <x:v>trial execution</x:v>
      </x:c>
      <x:c r="E2648" t="str">
        <x:v>PH-EX-162</x:v>
      </x:c>
      <x:c r="F2648" t="n">
        <x:f>IF('Trial Register'!P168&lt;&gt;"",1,0)</x:f>
        <x:v>0</x:v>
      </x:c>
      <x:c r="G2648" t="n">
        <x:v>1</x:v>
      </x:c>
      <x:c r="H2648" t="str">
        <x:v>independent physical acceptance</x:v>
      </x:c>
      <x:c r="I2648" t="str">
        <x:f>IF(F2648=1,"PASS","OPEN")</x:f>
        <x:v>OPEN</x:v>
      </x:c>
    </x:row>
    <x:row r="2649">
      <x:c r="B2649" t="str">
        <x:v>PH-PK-162</x:v>
      </x:c>
      <x:c r="C2649" t="str">
        <x:v>PHYSICAL</x:v>
      </x:c>
      <x:c r="D2649" t="str">
        <x:v>trial packet</x:v>
      </x:c>
      <x:c r="E2649" t="str">
        <x:v>PH-PK-162</x:v>
      </x:c>
      <x:c r="F2649" t="n">
        <x:f>IF('Trial Register'!Q168&lt;&gt;"",1,0)</x:f>
        <x:v>0</x:v>
      </x:c>
      <x:c r="G2649" t="n">
        <x:v>1</x:v>
      </x:c>
      <x:c r="H2649" t="str">
        <x:v>independent physical acceptance</x:v>
      </x:c>
      <x:c r="I2649" t="str">
        <x:f>IF(F2649=1,"PASS","OPEN")</x:f>
        <x:v>OPEN</x:v>
      </x:c>
    </x:row>
    <x:row r="2650">
      <x:c r="B2650" t="str">
        <x:v>PH-VA-162</x:v>
      </x:c>
      <x:c r="C2650" t="str">
        <x:v>PHYSICAL</x:v>
      </x:c>
      <x:c r="D2650" t="str">
        <x:v>trial validity</x:v>
      </x:c>
      <x:c r="E2650" t="str">
        <x:v>PH-VA-162</x:v>
      </x:c>
      <x:c r="F2650" t="n">
        <x:f>IF('Trial Register'!R168&lt;&gt;"",1,0)</x:f>
        <x:v>0</x:v>
      </x:c>
      <x:c r="G2650" t="n">
        <x:v>1</x:v>
      </x:c>
      <x:c r="H2650" t="str">
        <x:v>independent physical acceptance</x:v>
      </x:c>
      <x:c r="I2650" t="str">
        <x:f>IF(F2650=1,"PASS","OPEN")</x:f>
        <x:v>OPEN</x:v>
      </x:c>
    </x:row>
    <x:row r="2651">
      <x:c r="B2651" t="str">
        <x:v>PH-RV-162</x:v>
      </x:c>
      <x:c r="C2651" t="str">
        <x:v>PHYSICAL</x:v>
      </x:c>
      <x:c r="D2651" t="str">
        <x:v>reported value</x:v>
      </x:c>
      <x:c r="E2651" t="str">
        <x:v>PH-RV-162</x:v>
      </x:c>
      <x:c r="F2651" t="n">
        <x:f>IF('Trial Register'!S168&lt;&gt;"",1,0)</x:f>
        <x:v>0</x:v>
      </x:c>
      <x:c r="G2651" t="n">
        <x:v>1</x:v>
      </x:c>
      <x:c r="H2651" t="str">
        <x:v>independent physical acceptance</x:v>
      </x:c>
      <x:c r="I2651" t="str">
        <x:f>IF(F2651=1,"PASS","OPEN")</x:f>
        <x:v>OPEN</x:v>
      </x:c>
    </x:row>
    <x:row r="2652">
      <x:c r="B2652" t="str">
        <x:v>PH-CR-162</x:v>
      </x:c>
      <x:c r="C2652" t="str">
        <x:v>PHYSICAL</x:v>
      </x:c>
      <x:c r="D2652" t="str">
        <x:v>credit acceptance</x:v>
      </x:c>
      <x:c r="E2652" t="str">
        <x:v>PH-CR-162</x:v>
      </x:c>
      <x:c r="F2652" t="str">
        <x:f>'Trial Register'!V168</x:f>
      </x:c>
      <x:c r="G2652" t="n">
        <x:v>1</x:v>
      </x:c>
      <x:c r="H2652" t="str">
        <x:v>independent physical acceptance</x:v>
      </x:c>
      <x:c r="I2652" t="str">
        <x:f>IF(F2652=1,"PASS","OPEN")</x:f>
        <x:v>OPEN</x:v>
      </x:c>
    </x:row>
    <x:row r="2653">
      <x:c r="B2653" t="str">
        <x:v>PH-EX-163</x:v>
      </x:c>
      <x:c r="C2653" t="str">
        <x:v>PHYSICAL</x:v>
      </x:c>
      <x:c r="D2653" t="str">
        <x:v>trial execution</x:v>
      </x:c>
      <x:c r="E2653" t="str">
        <x:v>PH-EX-163</x:v>
      </x:c>
      <x:c r="F2653" t="n">
        <x:f>IF('Trial Register'!P169&lt;&gt;"",1,0)</x:f>
        <x:v>0</x:v>
      </x:c>
      <x:c r="G2653" t="n">
        <x:v>1</x:v>
      </x:c>
      <x:c r="H2653" t="str">
        <x:v>independent physical acceptance</x:v>
      </x:c>
      <x:c r="I2653" t="str">
        <x:f>IF(F2653=1,"PASS","OPEN")</x:f>
        <x:v>OPEN</x:v>
      </x:c>
    </x:row>
    <x:row r="2654">
      <x:c r="B2654" t="str">
        <x:v>PH-PK-163</x:v>
      </x:c>
      <x:c r="C2654" t="str">
        <x:v>PHYSICAL</x:v>
      </x:c>
      <x:c r="D2654" t="str">
        <x:v>trial packet</x:v>
      </x:c>
      <x:c r="E2654" t="str">
        <x:v>PH-PK-163</x:v>
      </x:c>
      <x:c r="F2654" t="n">
        <x:f>IF('Trial Register'!Q169&lt;&gt;"",1,0)</x:f>
        <x:v>0</x:v>
      </x:c>
      <x:c r="G2654" t="n">
        <x:v>1</x:v>
      </x:c>
      <x:c r="H2654" t="str">
        <x:v>independent physical acceptance</x:v>
      </x:c>
      <x:c r="I2654" t="str">
        <x:f>IF(F2654=1,"PASS","OPEN")</x:f>
        <x:v>OPEN</x:v>
      </x:c>
    </x:row>
    <x:row r="2655">
      <x:c r="B2655" t="str">
        <x:v>PH-VA-163</x:v>
      </x:c>
      <x:c r="C2655" t="str">
        <x:v>PHYSICAL</x:v>
      </x:c>
      <x:c r="D2655" t="str">
        <x:v>trial validity</x:v>
      </x:c>
      <x:c r="E2655" t="str">
        <x:v>PH-VA-163</x:v>
      </x:c>
      <x:c r="F2655" t="n">
        <x:f>IF('Trial Register'!R169&lt;&gt;"",1,0)</x:f>
        <x:v>0</x:v>
      </x:c>
      <x:c r="G2655" t="n">
        <x:v>1</x:v>
      </x:c>
      <x:c r="H2655" t="str">
        <x:v>independent physical acceptance</x:v>
      </x:c>
      <x:c r="I2655" t="str">
        <x:f>IF(F2655=1,"PASS","OPEN")</x:f>
        <x:v>OPEN</x:v>
      </x:c>
    </x:row>
    <x:row r="2656">
      <x:c r="B2656" t="str">
        <x:v>PH-RV-163</x:v>
      </x:c>
      <x:c r="C2656" t="str">
        <x:v>PHYSICAL</x:v>
      </x:c>
      <x:c r="D2656" t="str">
        <x:v>reported value</x:v>
      </x:c>
      <x:c r="E2656" t="str">
        <x:v>PH-RV-163</x:v>
      </x:c>
      <x:c r="F2656" t="n">
        <x:f>IF('Trial Register'!S169&lt;&gt;"",1,0)</x:f>
        <x:v>0</x:v>
      </x:c>
      <x:c r="G2656" t="n">
        <x:v>1</x:v>
      </x:c>
      <x:c r="H2656" t="str">
        <x:v>independent physical acceptance</x:v>
      </x:c>
      <x:c r="I2656" t="str">
        <x:f>IF(F2656=1,"PASS","OPEN")</x:f>
        <x:v>OPEN</x:v>
      </x:c>
    </x:row>
    <x:row r="2657">
      <x:c r="B2657" t="str">
        <x:v>PH-CR-163</x:v>
      </x:c>
      <x:c r="C2657" t="str">
        <x:v>PHYSICAL</x:v>
      </x:c>
      <x:c r="D2657" t="str">
        <x:v>credit acceptance</x:v>
      </x:c>
      <x:c r="E2657" t="str">
        <x:v>PH-CR-163</x:v>
      </x:c>
      <x:c r="F2657" t="str">
        <x:f>'Trial Register'!V169</x:f>
      </x:c>
      <x:c r="G2657" t="n">
        <x:v>1</x:v>
      </x:c>
      <x:c r="H2657" t="str">
        <x:v>independent physical acceptance</x:v>
      </x:c>
      <x:c r="I2657" t="str">
        <x:f>IF(F2657=1,"PASS","OPEN")</x:f>
        <x:v>OPEN</x:v>
      </x:c>
    </x:row>
    <x:row r="2658">
      <x:c r="B2658" t="str">
        <x:v>PH-EX-164</x:v>
      </x:c>
      <x:c r="C2658" t="str">
        <x:v>PHYSICAL</x:v>
      </x:c>
      <x:c r="D2658" t="str">
        <x:v>trial execution</x:v>
      </x:c>
      <x:c r="E2658" t="str">
        <x:v>PH-EX-164</x:v>
      </x:c>
      <x:c r="F2658" t="n">
        <x:f>IF('Trial Register'!P170&lt;&gt;"",1,0)</x:f>
        <x:v>0</x:v>
      </x:c>
      <x:c r="G2658" t="n">
        <x:v>1</x:v>
      </x:c>
      <x:c r="H2658" t="str">
        <x:v>independent physical acceptance</x:v>
      </x:c>
      <x:c r="I2658" t="str">
        <x:f>IF(F2658=1,"PASS","OPEN")</x:f>
        <x:v>OPEN</x:v>
      </x:c>
    </x:row>
    <x:row r="2659">
      <x:c r="B2659" t="str">
        <x:v>PH-PK-164</x:v>
      </x:c>
      <x:c r="C2659" t="str">
        <x:v>PHYSICAL</x:v>
      </x:c>
      <x:c r="D2659" t="str">
        <x:v>trial packet</x:v>
      </x:c>
      <x:c r="E2659" t="str">
        <x:v>PH-PK-164</x:v>
      </x:c>
      <x:c r="F2659" t="n">
        <x:f>IF('Trial Register'!Q170&lt;&gt;"",1,0)</x:f>
        <x:v>0</x:v>
      </x:c>
      <x:c r="G2659" t="n">
        <x:v>1</x:v>
      </x:c>
      <x:c r="H2659" t="str">
        <x:v>independent physical acceptance</x:v>
      </x:c>
      <x:c r="I2659" t="str">
        <x:f>IF(F2659=1,"PASS","OPEN")</x:f>
        <x:v>OPEN</x:v>
      </x:c>
    </x:row>
    <x:row r="2660">
      <x:c r="B2660" t="str">
        <x:v>PH-VA-164</x:v>
      </x:c>
      <x:c r="C2660" t="str">
        <x:v>PHYSICAL</x:v>
      </x:c>
      <x:c r="D2660" t="str">
        <x:v>trial validity</x:v>
      </x:c>
      <x:c r="E2660" t="str">
        <x:v>PH-VA-164</x:v>
      </x:c>
      <x:c r="F2660" t="n">
        <x:f>IF('Trial Register'!R170&lt;&gt;"",1,0)</x:f>
        <x:v>0</x:v>
      </x:c>
      <x:c r="G2660" t="n">
        <x:v>1</x:v>
      </x:c>
      <x:c r="H2660" t="str">
        <x:v>independent physical acceptance</x:v>
      </x:c>
      <x:c r="I2660" t="str">
        <x:f>IF(F2660=1,"PASS","OPEN")</x:f>
        <x:v>OPEN</x:v>
      </x:c>
    </x:row>
    <x:row r="2661">
      <x:c r="B2661" t="str">
        <x:v>PH-RV-164</x:v>
      </x:c>
      <x:c r="C2661" t="str">
        <x:v>PHYSICAL</x:v>
      </x:c>
      <x:c r="D2661" t="str">
        <x:v>reported value</x:v>
      </x:c>
      <x:c r="E2661" t="str">
        <x:v>PH-RV-164</x:v>
      </x:c>
      <x:c r="F2661" t="n">
        <x:f>IF('Trial Register'!S170&lt;&gt;"",1,0)</x:f>
        <x:v>0</x:v>
      </x:c>
      <x:c r="G2661" t="n">
        <x:v>1</x:v>
      </x:c>
      <x:c r="H2661" t="str">
        <x:v>independent physical acceptance</x:v>
      </x:c>
      <x:c r="I2661" t="str">
        <x:f>IF(F2661=1,"PASS","OPEN")</x:f>
        <x:v>OPEN</x:v>
      </x:c>
    </x:row>
    <x:row r="2662">
      <x:c r="B2662" t="str">
        <x:v>PH-CR-164</x:v>
      </x:c>
      <x:c r="C2662" t="str">
        <x:v>PHYSICAL</x:v>
      </x:c>
      <x:c r="D2662" t="str">
        <x:v>credit acceptance</x:v>
      </x:c>
      <x:c r="E2662" t="str">
        <x:v>PH-CR-164</x:v>
      </x:c>
      <x:c r="F2662" t="str">
        <x:f>'Trial Register'!V170</x:f>
      </x:c>
      <x:c r="G2662" t="n">
        <x:v>1</x:v>
      </x:c>
      <x:c r="H2662" t="str">
        <x:v>independent physical acceptance</x:v>
      </x:c>
      <x:c r="I2662" t="str">
        <x:f>IF(F2662=1,"PASS","OPEN")</x:f>
        <x:v>OPEN</x:v>
      </x:c>
    </x:row>
    <x:row r="2663">
      <x:c r="B2663" t="str">
        <x:v>PH-EX-165</x:v>
      </x:c>
      <x:c r="C2663" t="str">
        <x:v>PHYSICAL</x:v>
      </x:c>
      <x:c r="D2663" t="str">
        <x:v>trial execution</x:v>
      </x:c>
      <x:c r="E2663" t="str">
        <x:v>PH-EX-165</x:v>
      </x:c>
      <x:c r="F2663" t="n">
        <x:f>IF('Trial Register'!P171&lt;&gt;"",1,0)</x:f>
        <x:v>0</x:v>
      </x:c>
      <x:c r="G2663" t="n">
        <x:v>1</x:v>
      </x:c>
      <x:c r="H2663" t="str">
        <x:v>independent physical acceptance</x:v>
      </x:c>
      <x:c r="I2663" t="str">
        <x:f>IF(F2663=1,"PASS","OPEN")</x:f>
        <x:v>OPEN</x:v>
      </x:c>
    </x:row>
    <x:row r="2664">
      <x:c r="B2664" t="str">
        <x:v>PH-PK-165</x:v>
      </x:c>
      <x:c r="C2664" t="str">
        <x:v>PHYSICAL</x:v>
      </x:c>
      <x:c r="D2664" t="str">
        <x:v>trial packet</x:v>
      </x:c>
      <x:c r="E2664" t="str">
        <x:v>PH-PK-165</x:v>
      </x:c>
      <x:c r="F2664" t="n">
        <x:f>IF('Trial Register'!Q171&lt;&gt;"",1,0)</x:f>
        <x:v>0</x:v>
      </x:c>
      <x:c r="G2664" t="n">
        <x:v>1</x:v>
      </x:c>
      <x:c r="H2664" t="str">
        <x:v>independent physical acceptance</x:v>
      </x:c>
      <x:c r="I2664" t="str">
        <x:f>IF(F2664=1,"PASS","OPEN")</x:f>
        <x:v>OPEN</x:v>
      </x:c>
    </x:row>
    <x:row r="2665">
      <x:c r="B2665" t="str">
        <x:v>PH-VA-165</x:v>
      </x:c>
      <x:c r="C2665" t="str">
        <x:v>PHYSICAL</x:v>
      </x:c>
      <x:c r="D2665" t="str">
        <x:v>trial validity</x:v>
      </x:c>
      <x:c r="E2665" t="str">
        <x:v>PH-VA-165</x:v>
      </x:c>
      <x:c r="F2665" t="n">
        <x:f>IF('Trial Register'!R171&lt;&gt;"",1,0)</x:f>
        <x:v>0</x:v>
      </x:c>
      <x:c r="G2665" t="n">
        <x:v>1</x:v>
      </x:c>
      <x:c r="H2665" t="str">
        <x:v>independent physical acceptance</x:v>
      </x:c>
      <x:c r="I2665" t="str">
        <x:f>IF(F2665=1,"PASS","OPEN")</x:f>
        <x:v>OPEN</x:v>
      </x:c>
    </x:row>
    <x:row r="2666">
      <x:c r="B2666" t="str">
        <x:v>PH-RV-165</x:v>
      </x:c>
      <x:c r="C2666" t="str">
        <x:v>PHYSICAL</x:v>
      </x:c>
      <x:c r="D2666" t="str">
        <x:v>reported value</x:v>
      </x:c>
      <x:c r="E2666" t="str">
        <x:v>PH-RV-165</x:v>
      </x:c>
      <x:c r="F2666" t="n">
        <x:f>IF('Trial Register'!S171&lt;&gt;"",1,0)</x:f>
        <x:v>0</x:v>
      </x:c>
      <x:c r="G2666" t="n">
        <x:v>1</x:v>
      </x:c>
      <x:c r="H2666" t="str">
        <x:v>independent physical acceptance</x:v>
      </x:c>
      <x:c r="I2666" t="str">
        <x:f>IF(F2666=1,"PASS","OPEN")</x:f>
        <x:v>OPEN</x:v>
      </x:c>
    </x:row>
    <x:row r="2667">
      <x:c r="B2667" t="str">
        <x:v>PH-CR-165</x:v>
      </x:c>
      <x:c r="C2667" t="str">
        <x:v>PHYSICAL</x:v>
      </x:c>
      <x:c r="D2667" t="str">
        <x:v>credit acceptance</x:v>
      </x:c>
      <x:c r="E2667" t="str">
        <x:v>PH-CR-165</x:v>
      </x:c>
      <x:c r="F2667" t="str">
        <x:f>'Trial Register'!V171</x:f>
      </x:c>
      <x:c r="G2667" t="n">
        <x:v>1</x:v>
      </x:c>
      <x:c r="H2667" t="str">
        <x:v>independent physical acceptance</x:v>
      </x:c>
      <x:c r="I2667" t="str">
        <x:f>IF(F2667=1,"PASS","OPEN")</x:f>
        <x:v>OPEN</x:v>
      </x:c>
    </x:row>
    <x:row r="2668">
      <x:c r="B2668" t="str">
        <x:v>PH-EX-166</x:v>
      </x:c>
      <x:c r="C2668" t="str">
        <x:v>PHYSICAL</x:v>
      </x:c>
      <x:c r="D2668" t="str">
        <x:v>trial execution</x:v>
      </x:c>
      <x:c r="E2668" t="str">
        <x:v>PH-EX-166</x:v>
      </x:c>
      <x:c r="F2668" t="n">
        <x:f>IF('Trial Register'!P172&lt;&gt;"",1,0)</x:f>
        <x:v>0</x:v>
      </x:c>
      <x:c r="G2668" t="n">
        <x:v>1</x:v>
      </x:c>
      <x:c r="H2668" t="str">
        <x:v>independent physical acceptance</x:v>
      </x:c>
      <x:c r="I2668" t="str">
        <x:f>IF(F2668=1,"PASS","OPEN")</x:f>
        <x:v>OPEN</x:v>
      </x:c>
    </x:row>
    <x:row r="2669">
      <x:c r="B2669" t="str">
        <x:v>PH-PK-166</x:v>
      </x:c>
      <x:c r="C2669" t="str">
        <x:v>PHYSICAL</x:v>
      </x:c>
      <x:c r="D2669" t="str">
        <x:v>trial packet</x:v>
      </x:c>
      <x:c r="E2669" t="str">
        <x:v>PH-PK-166</x:v>
      </x:c>
      <x:c r="F2669" t="n">
        <x:f>IF('Trial Register'!Q172&lt;&gt;"",1,0)</x:f>
        <x:v>0</x:v>
      </x:c>
      <x:c r="G2669" t="n">
        <x:v>1</x:v>
      </x:c>
      <x:c r="H2669" t="str">
        <x:v>independent physical acceptance</x:v>
      </x:c>
      <x:c r="I2669" t="str">
        <x:f>IF(F2669=1,"PASS","OPEN")</x:f>
        <x:v>OPEN</x:v>
      </x:c>
    </x:row>
    <x:row r="2670">
      <x:c r="B2670" t="str">
        <x:v>PH-VA-166</x:v>
      </x:c>
      <x:c r="C2670" t="str">
        <x:v>PHYSICAL</x:v>
      </x:c>
      <x:c r="D2670" t="str">
        <x:v>trial validity</x:v>
      </x:c>
      <x:c r="E2670" t="str">
        <x:v>PH-VA-166</x:v>
      </x:c>
      <x:c r="F2670" t="n">
        <x:f>IF('Trial Register'!R172&lt;&gt;"",1,0)</x:f>
        <x:v>0</x:v>
      </x:c>
      <x:c r="G2670" t="n">
        <x:v>1</x:v>
      </x:c>
      <x:c r="H2670" t="str">
        <x:v>independent physical acceptance</x:v>
      </x:c>
      <x:c r="I2670" t="str">
        <x:f>IF(F2670=1,"PASS","OPEN")</x:f>
        <x:v>OPEN</x:v>
      </x:c>
    </x:row>
    <x:row r="2671">
      <x:c r="B2671" t="str">
        <x:v>PH-RV-166</x:v>
      </x:c>
      <x:c r="C2671" t="str">
        <x:v>PHYSICAL</x:v>
      </x:c>
      <x:c r="D2671" t="str">
        <x:v>reported value</x:v>
      </x:c>
      <x:c r="E2671" t="str">
        <x:v>PH-RV-166</x:v>
      </x:c>
      <x:c r="F2671" t="n">
        <x:f>IF('Trial Register'!S172&lt;&gt;"",1,0)</x:f>
        <x:v>0</x:v>
      </x:c>
      <x:c r="G2671" t="n">
        <x:v>1</x:v>
      </x:c>
      <x:c r="H2671" t="str">
        <x:v>independent physical acceptance</x:v>
      </x:c>
      <x:c r="I2671" t="str">
        <x:f>IF(F2671=1,"PASS","OPEN")</x:f>
        <x:v>OPEN</x:v>
      </x:c>
    </x:row>
    <x:row r="2672">
      <x:c r="B2672" t="str">
        <x:v>PH-CR-166</x:v>
      </x:c>
      <x:c r="C2672" t="str">
        <x:v>PHYSICAL</x:v>
      </x:c>
      <x:c r="D2672" t="str">
        <x:v>credit acceptance</x:v>
      </x:c>
      <x:c r="E2672" t="str">
        <x:v>PH-CR-166</x:v>
      </x:c>
      <x:c r="F2672" t="str">
        <x:f>'Trial Register'!V172</x:f>
      </x:c>
      <x:c r="G2672" t="n">
        <x:v>1</x:v>
      </x:c>
      <x:c r="H2672" t="str">
        <x:v>independent physical acceptance</x:v>
      </x:c>
      <x:c r="I2672" t="str">
        <x:f>IF(F2672=1,"PASS","OPEN")</x:f>
        <x:v>OPEN</x:v>
      </x:c>
    </x:row>
    <x:row r="2673">
      <x:c r="B2673" t="str">
        <x:v>PH-EX-167</x:v>
      </x:c>
      <x:c r="C2673" t="str">
        <x:v>PHYSICAL</x:v>
      </x:c>
      <x:c r="D2673" t="str">
        <x:v>trial execution</x:v>
      </x:c>
      <x:c r="E2673" t="str">
        <x:v>PH-EX-167</x:v>
      </x:c>
      <x:c r="F2673" t="n">
        <x:f>IF('Trial Register'!P173&lt;&gt;"",1,0)</x:f>
        <x:v>0</x:v>
      </x:c>
      <x:c r="G2673" t="n">
        <x:v>1</x:v>
      </x:c>
      <x:c r="H2673" t="str">
        <x:v>independent physical acceptance</x:v>
      </x:c>
      <x:c r="I2673" t="str">
        <x:f>IF(F2673=1,"PASS","OPEN")</x:f>
        <x:v>OPEN</x:v>
      </x:c>
    </x:row>
    <x:row r="2674">
      <x:c r="B2674" t="str">
        <x:v>PH-PK-167</x:v>
      </x:c>
      <x:c r="C2674" t="str">
        <x:v>PHYSICAL</x:v>
      </x:c>
      <x:c r="D2674" t="str">
        <x:v>trial packet</x:v>
      </x:c>
      <x:c r="E2674" t="str">
        <x:v>PH-PK-167</x:v>
      </x:c>
      <x:c r="F2674" t="n">
        <x:f>IF('Trial Register'!Q173&lt;&gt;"",1,0)</x:f>
        <x:v>0</x:v>
      </x:c>
      <x:c r="G2674" t="n">
        <x:v>1</x:v>
      </x:c>
      <x:c r="H2674" t="str">
        <x:v>independent physical acceptance</x:v>
      </x:c>
      <x:c r="I2674" t="str">
        <x:f>IF(F2674=1,"PASS","OPEN")</x:f>
        <x:v>OPEN</x:v>
      </x:c>
    </x:row>
    <x:row r="2675">
      <x:c r="B2675" t="str">
        <x:v>PH-VA-167</x:v>
      </x:c>
      <x:c r="C2675" t="str">
        <x:v>PHYSICAL</x:v>
      </x:c>
      <x:c r="D2675" t="str">
        <x:v>trial validity</x:v>
      </x:c>
      <x:c r="E2675" t="str">
        <x:v>PH-VA-167</x:v>
      </x:c>
      <x:c r="F2675" t="n">
        <x:f>IF('Trial Register'!R173&lt;&gt;"",1,0)</x:f>
        <x:v>0</x:v>
      </x:c>
      <x:c r="G2675" t="n">
        <x:v>1</x:v>
      </x:c>
      <x:c r="H2675" t="str">
        <x:v>independent physical acceptance</x:v>
      </x:c>
      <x:c r="I2675" t="str">
        <x:f>IF(F2675=1,"PASS","OPEN")</x:f>
        <x:v>OPEN</x:v>
      </x:c>
    </x:row>
    <x:row r="2676">
      <x:c r="B2676" t="str">
        <x:v>PH-RV-167</x:v>
      </x:c>
      <x:c r="C2676" t="str">
        <x:v>PHYSICAL</x:v>
      </x:c>
      <x:c r="D2676" t="str">
        <x:v>reported value</x:v>
      </x:c>
      <x:c r="E2676" t="str">
        <x:v>PH-RV-167</x:v>
      </x:c>
      <x:c r="F2676" t="n">
        <x:f>IF('Trial Register'!S173&lt;&gt;"",1,0)</x:f>
        <x:v>0</x:v>
      </x:c>
      <x:c r="G2676" t="n">
        <x:v>1</x:v>
      </x:c>
      <x:c r="H2676" t="str">
        <x:v>independent physical acceptance</x:v>
      </x:c>
      <x:c r="I2676" t="str">
        <x:f>IF(F2676=1,"PASS","OPEN")</x:f>
        <x:v>OPEN</x:v>
      </x:c>
    </x:row>
    <x:row r="2677">
      <x:c r="B2677" t="str">
        <x:v>PH-CR-167</x:v>
      </x:c>
      <x:c r="C2677" t="str">
        <x:v>PHYSICAL</x:v>
      </x:c>
      <x:c r="D2677" t="str">
        <x:v>credit acceptance</x:v>
      </x:c>
      <x:c r="E2677" t="str">
        <x:v>PH-CR-167</x:v>
      </x:c>
      <x:c r="F2677" t="str">
        <x:f>'Trial Register'!V173</x:f>
      </x:c>
      <x:c r="G2677" t="n">
        <x:v>1</x:v>
      </x:c>
      <x:c r="H2677" t="str">
        <x:v>independent physical acceptance</x:v>
      </x:c>
      <x:c r="I2677" t="str">
        <x:f>IF(F2677=1,"PASS","OPEN")</x:f>
        <x:v>OPEN</x:v>
      </x:c>
    </x:row>
    <x:row r="2678">
      <x:c r="B2678" t="str">
        <x:v>PH-EX-168</x:v>
      </x:c>
      <x:c r="C2678" t="str">
        <x:v>PHYSICAL</x:v>
      </x:c>
      <x:c r="D2678" t="str">
        <x:v>trial execution</x:v>
      </x:c>
      <x:c r="E2678" t="str">
        <x:v>PH-EX-168</x:v>
      </x:c>
      <x:c r="F2678" t="n">
        <x:f>IF('Trial Register'!P174&lt;&gt;"",1,0)</x:f>
        <x:v>0</x:v>
      </x:c>
      <x:c r="G2678" t="n">
        <x:v>1</x:v>
      </x:c>
      <x:c r="H2678" t="str">
        <x:v>independent physical acceptance</x:v>
      </x:c>
      <x:c r="I2678" t="str">
        <x:f>IF(F2678=1,"PASS","OPEN")</x:f>
        <x:v>OPEN</x:v>
      </x:c>
    </x:row>
    <x:row r="2679">
      <x:c r="B2679" t="str">
        <x:v>PH-PK-168</x:v>
      </x:c>
      <x:c r="C2679" t="str">
        <x:v>PHYSICAL</x:v>
      </x:c>
      <x:c r="D2679" t="str">
        <x:v>trial packet</x:v>
      </x:c>
      <x:c r="E2679" t="str">
        <x:v>PH-PK-168</x:v>
      </x:c>
      <x:c r="F2679" t="n">
        <x:f>IF('Trial Register'!Q174&lt;&gt;"",1,0)</x:f>
        <x:v>0</x:v>
      </x:c>
      <x:c r="G2679" t="n">
        <x:v>1</x:v>
      </x:c>
      <x:c r="H2679" t="str">
        <x:v>independent physical acceptance</x:v>
      </x:c>
      <x:c r="I2679" t="str">
        <x:f>IF(F2679=1,"PASS","OPEN")</x:f>
        <x:v>OPEN</x:v>
      </x:c>
    </x:row>
    <x:row r="2680">
      <x:c r="B2680" t="str">
        <x:v>PH-VA-168</x:v>
      </x:c>
      <x:c r="C2680" t="str">
        <x:v>PHYSICAL</x:v>
      </x:c>
      <x:c r="D2680" t="str">
        <x:v>trial validity</x:v>
      </x:c>
      <x:c r="E2680" t="str">
        <x:v>PH-VA-168</x:v>
      </x:c>
      <x:c r="F2680" t="n">
        <x:f>IF('Trial Register'!R174&lt;&gt;"",1,0)</x:f>
        <x:v>0</x:v>
      </x:c>
      <x:c r="G2680" t="n">
        <x:v>1</x:v>
      </x:c>
      <x:c r="H2680" t="str">
        <x:v>independent physical acceptance</x:v>
      </x:c>
      <x:c r="I2680" t="str">
        <x:f>IF(F2680=1,"PASS","OPEN")</x:f>
        <x:v>OPEN</x:v>
      </x:c>
    </x:row>
    <x:row r="2681">
      <x:c r="B2681" t="str">
        <x:v>PH-RV-168</x:v>
      </x:c>
      <x:c r="C2681" t="str">
        <x:v>PHYSICAL</x:v>
      </x:c>
      <x:c r="D2681" t="str">
        <x:v>reported value</x:v>
      </x:c>
      <x:c r="E2681" t="str">
        <x:v>PH-RV-168</x:v>
      </x:c>
      <x:c r="F2681" t="n">
        <x:f>IF('Trial Register'!S174&lt;&gt;"",1,0)</x:f>
        <x:v>0</x:v>
      </x:c>
      <x:c r="G2681" t="n">
        <x:v>1</x:v>
      </x:c>
      <x:c r="H2681" t="str">
        <x:v>independent physical acceptance</x:v>
      </x:c>
      <x:c r="I2681" t="str">
        <x:f>IF(F2681=1,"PASS","OPEN")</x:f>
        <x:v>OPEN</x:v>
      </x:c>
    </x:row>
    <x:row r="2682">
      <x:c r="B2682" t="str">
        <x:v>PH-CR-168</x:v>
      </x:c>
      <x:c r="C2682" t="str">
        <x:v>PHYSICAL</x:v>
      </x:c>
      <x:c r="D2682" t="str">
        <x:v>credit acceptance</x:v>
      </x:c>
      <x:c r="E2682" t="str">
        <x:v>PH-CR-168</x:v>
      </x:c>
      <x:c r="F2682" t="str">
        <x:f>'Trial Register'!V174</x:f>
      </x:c>
      <x:c r="G2682" t="n">
        <x:v>1</x:v>
      </x:c>
      <x:c r="H2682" t="str">
        <x:v>independent physical acceptance</x:v>
      </x:c>
      <x:c r="I2682" t="str">
        <x:f>IF(F2682=1,"PASS","OPEN")</x:f>
        <x:v>OPEN</x:v>
      </x:c>
    </x:row>
    <x:row r="2683">
      <x:c r="B2683" t="str">
        <x:v>PH-EX-169</x:v>
      </x:c>
      <x:c r="C2683" t="str">
        <x:v>PHYSICAL</x:v>
      </x:c>
      <x:c r="D2683" t="str">
        <x:v>trial execution</x:v>
      </x:c>
      <x:c r="E2683" t="str">
        <x:v>PH-EX-169</x:v>
      </x:c>
      <x:c r="F2683" t="n">
        <x:f>IF('Trial Register'!P175&lt;&gt;"",1,0)</x:f>
        <x:v>0</x:v>
      </x:c>
      <x:c r="G2683" t="n">
        <x:v>1</x:v>
      </x:c>
      <x:c r="H2683" t="str">
        <x:v>independent physical acceptance</x:v>
      </x:c>
      <x:c r="I2683" t="str">
        <x:f>IF(F2683=1,"PASS","OPEN")</x:f>
        <x:v>OPEN</x:v>
      </x:c>
    </x:row>
    <x:row r="2684">
      <x:c r="B2684" t="str">
        <x:v>PH-PK-169</x:v>
      </x:c>
      <x:c r="C2684" t="str">
        <x:v>PHYSICAL</x:v>
      </x:c>
      <x:c r="D2684" t="str">
        <x:v>trial packet</x:v>
      </x:c>
      <x:c r="E2684" t="str">
        <x:v>PH-PK-169</x:v>
      </x:c>
      <x:c r="F2684" t="n">
        <x:f>IF('Trial Register'!Q175&lt;&gt;"",1,0)</x:f>
        <x:v>0</x:v>
      </x:c>
      <x:c r="G2684" t="n">
        <x:v>1</x:v>
      </x:c>
      <x:c r="H2684" t="str">
        <x:v>independent physical acceptance</x:v>
      </x:c>
      <x:c r="I2684" t="str">
        <x:f>IF(F2684=1,"PASS","OPEN")</x:f>
        <x:v>OPEN</x:v>
      </x:c>
    </x:row>
    <x:row r="2685">
      <x:c r="B2685" t="str">
        <x:v>PH-VA-169</x:v>
      </x:c>
      <x:c r="C2685" t="str">
        <x:v>PHYSICAL</x:v>
      </x:c>
      <x:c r="D2685" t="str">
        <x:v>trial validity</x:v>
      </x:c>
      <x:c r="E2685" t="str">
        <x:v>PH-VA-169</x:v>
      </x:c>
      <x:c r="F2685" t="n">
        <x:f>IF('Trial Register'!R175&lt;&gt;"",1,0)</x:f>
        <x:v>0</x:v>
      </x:c>
      <x:c r="G2685" t="n">
        <x:v>1</x:v>
      </x:c>
      <x:c r="H2685" t="str">
        <x:v>independent physical acceptance</x:v>
      </x:c>
      <x:c r="I2685" t="str">
        <x:f>IF(F2685=1,"PASS","OPEN")</x:f>
        <x:v>OPEN</x:v>
      </x:c>
    </x:row>
    <x:row r="2686">
      <x:c r="B2686" t="str">
        <x:v>PH-RV-169</x:v>
      </x:c>
      <x:c r="C2686" t="str">
        <x:v>PHYSICAL</x:v>
      </x:c>
      <x:c r="D2686" t="str">
        <x:v>reported value</x:v>
      </x:c>
      <x:c r="E2686" t="str">
        <x:v>PH-RV-169</x:v>
      </x:c>
      <x:c r="F2686" t="n">
        <x:f>IF('Trial Register'!S175&lt;&gt;"",1,0)</x:f>
        <x:v>0</x:v>
      </x:c>
      <x:c r="G2686" t="n">
        <x:v>1</x:v>
      </x:c>
      <x:c r="H2686" t="str">
        <x:v>independent physical acceptance</x:v>
      </x:c>
      <x:c r="I2686" t="str">
        <x:f>IF(F2686=1,"PASS","OPEN")</x:f>
        <x:v>OPEN</x:v>
      </x:c>
    </x:row>
    <x:row r="2687">
      <x:c r="B2687" t="str">
        <x:v>PH-CR-169</x:v>
      </x:c>
      <x:c r="C2687" t="str">
        <x:v>PHYSICAL</x:v>
      </x:c>
      <x:c r="D2687" t="str">
        <x:v>credit acceptance</x:v>
      </x:c>
      <x:c r="E2687" t="str">
        <x:v>PH-CR-169</x:v>
      </x:c>
      <x:c r="F2687" t="str">
        <x:f>'Trial Register'!V175</x:f>
      </x:c>
      <x:c r="G2687" t="n">
        <x:v>1</x:v>
      </x:c>
      <x:c r="H2687" t="str">
        <x:v>independent physical acceptance</x:v>
      </x:c>
      <x:c r="I2687" t="str">
        <x:f>IF(F2687=1,"PASS","OPEN")</x:f>
        <x:v>OPEN</x:v>
      </x:c>
    </x:row>
    <x:row r="2688">
      <x:c r="B2688" t="str">
        <x:v>PH-EX-170</x:v>
      </x:c>
      <x:c r="C2688" t="str">
        <x:v>PHYSICAL</x:v>
      </x:c>
      <x:c r="D2688" t="str">
        <x:v>trial execution</x:v>
      </x:c>
      <x:c r="E2688" t="str">
        <x:v>PH-EX-170</x:v>
      </x:c>
      <x:c r="F2688" t="n">
        <x:f>IF('Trial Register'!P176&lt;&gt;"",1,0)</x:f>
        <x:v>0</x:v>
      </x:c>
      <x:c r="G2688" t="n">
        <x:v>1</x:v>
      </x:c>
      <x:c r="H2688" t="str">
        <x:v>independent physical acceptance</x:v>
      </x:c>
      <x:c r="I2688" t="str">
        <x:f>IF(F2688=1,"PASS","OPEN")</x:f>
        <x:v>OPEN</x:v>
      </x:c>
    </x:row>
    <x:row r="2689">
      <x:c r="B2689" t="str">
        <x:v>PH-PK-170</x:v>
      </x:c>
      <x:c r="C2689" t="str">
        <x:v>PHYSICAL</x:v>
      </x:c>
      <x:c r="D2689" t="str">
        <x:v>trial packet</x:v>
      </x:c>
      <x:c r="E2689" t="str">
        <x:v>PH-PK-170</x:v>
      </x:c>
      <x:c r="F2689" t="n">
        <x:f>IF('Trial Register'!Q176&lt;&gt;"",1,0)</x:f>
        <x:v>0</x:v>
      </x:c>
      <x:c r="G2689" t="n">
        <x:v>1</x:v>
      </x:c>
      <x:c r="H2689" t="str">
        <x:v>independent physical acceptance</x:v>
      </x:c>
      <x:c r="I2689" t="str">
        <x:f>IF(F2689=1,"PASS","OPEN")</x:f>
        <x:v>OPEN</x:v>
      </x:c>
    </x:row>
    <x:row r="2690">
      <x:c r="B2690" t="str">
        <x:v>PH-VA-170</x:v>
      </x:c>
      <x:c r="C2690" t="str">
        <x:v>PHYSICAL</x:v>
      </x:c>
      <x:c r="D2690" t="str">
        <x:v>trial validity</x:v>
      </x:c>
      <x:c r="E2690" t="str">
        <x:v>PH-VA-170</x:v>
      </x:c>
      <x:c r="F2690" t="n">
        <x:f>IF('Trial Register'!R176&lt;&gt;"",1,0)</x:f>
        <x:v>0</x:v>
      </x:c>
      <x:c r="G2690" t="n">
        <x:v>1</x:v>
      </x:c>
      <x:c r="H2690" t="str">
        <x:v>independent physical acceptance</x:v>
      </x:c>
      <x:c r="I2690" t="str">
        <x:f>IF(F2690=1,"PASS","OPEN")</x:f>
        <x:v>OPEN</x:v>
      </x:c>
    </x:row>
    <x:row r="2691">
      <x:c r="B2691" t="str">
        <x:v>PH-RV-170</x:v>
      </x:c>
      <x:c r="C2691" t="str">
        <x:v>PHYSICAL</x:v>
      </x:c>
      <x:c r="D2691" t="str">
        <x:v>reported value</x:v>
      </x:c>
      <x:c r="E2691" t="str">
        <x:v>PH-RV-170</x:v>
      </x:c>
      <x:c r="F2691" t="n">
        <x:f>IF('Trial Register'!S176&lt;&gt;"",1,0)</x:f>
        <x:v>0</x:v>
      </x:c>
      <x:c r="G2691" t="n">
        <x:v>1</x:v>
      </x:c>
      <x:c r="H2691" t="str">
        <x:v>independent physical acceptance</x:v>
      </x:c>
      <x:c r="I2691" t="str">
        <x:f>IF(F2691=1,"PASS","OPEN")</x:f>
        <x:v>OPEN</x:v>
      </x:c>
    </x:row>
    <x:row r="2692">
      <x:c r="B2692" t="str">
        <x:v>PH-CR-170</x:v>
      </x:c>
      <x:c r="C2692" t="str">
        <x:v>PHYSICAL</x:v>
      </x:c>
      <x:c r="D2692" t="str">
        <x:v>credit acceptance</x:v>
      </x:c>
      <x:c r="E2692" t="str">
        <x:v>PH-CR-170</x:v>
      </x:c>
      <x:c r="F2692" t="str">
        <x:f>'Trial Register'!V176</x:f>
      </x:c>
      <x:c r="G2692" t="n">
        <x:v>1</x:v>
      </x:c>
      <x:c r="H2692" t="str">
        <x:v>independent physical acceptance</x:v>
      </x:c>
      <x:c r="I2692" t="str">
        <x:f>IF(F2692=1,"PASS","OPEN")</x:f>
        <x:v>OPEN</x:v>
      </x:c>
    </x:row>
    <x:row r="2693">
      <x:c r="B2693" t="str">
        <x:v>PH-EX-171</x:v>
      </x:c>
      <x:c r="C2693" t="str">
        <x:v>PHYSICAL</x:v>
      </x:c>
      <x:c r="D2693" t="str">
        <x:v>trial execution</x:v>
      </x:c>
      <x:c r="E2693" t="str">
        <x:v>PH-EX-171</x:v>
      </x:c>
      <x:c r="F2693" t="n">
        <x:f>IF('Trial Register'!P177&lt;&gt;"",1,0)</x:f>
        <x:v>0</x:v>
      </x:c>
      <x:c r="G2693" t="n">
        <x:v>1</x:v>
      </x:c>
      <x:c r="H2693" t="str">
        <x:v>independent physical acceptance</x:v>
      </x:c>
      <x:c r="I2693" t="str">
        <x:f>IF(F2693=1,"PASS","OPEN")</x:f>
        <x:v>OPEN</x:v>
      </x:c>
    </x:row>
    <x:row r="2694">
      <x:c r="B2694" t="str">
        <x:v>PH-PK-171</x:v>
      </x:c>
      <x:c r="C2694" t="str">
        <x:v>PHYSICAL</x:v>
      </x:c>
      <x:c r="D2694" t="str">
        <x:v>trial packet</x:v>
      </x:c>
      <x:c r="E2694" t="str">
        <x:v>PH-PK-171</x:v>
      </x:c>
      <x:c r="F2694" t="n">
        <x:f>IF('Trial Register'!Q177&lt;&gt;"",1,0)</x:f>
        <x:v>0</x:v>
      </x:c>
      <x:c r="G2694" t="n">
        <x:v>1</x:v>
      </x:c>
      <x:c r="H2694" t="str">
        <x:v>independent physical acceptance</x:v>
      </x:c>
      <x:c r="I2694" t="str">
        <x:f>IF(F2694=1,"PASS","OPEN")</x:f>
        <x:v>OPEN</x:v>
      </x:c>
    </x:row>
    <x:row r="2695">
      <x:c r="B2695" t="str">
        <x:v>PH-VA-171</x:v>
      </x:c>
      <x:c r="C2695" t="str">
        <x:v>PHYSICAL</x:v>
      </x:c>
      <x:c r="D2695" t="str">
        <x:v>trial validity</x:v>
      </x:c>
      <x:c r="E2695" t="str">
        <x:v>PH-VA-171</x:v>
      </x:c>
      <x:c r="F2695" t="n">
        <x:f>IF('Trial Register'!R177&lt;&gt;"",1,0)</x:f>
        <x:v>0</x:v>
      </x:c>
      <x:c r="G2695" t="n">
        <x:v>1</x:v>
      </x:c>
      <x:c r="H2695" t="str">
        <x:v>independent physical acceptance</x:v>
      </x:c>
      <x:c r="I2695" t="str">
        <x:f>IF(F2695=1,"PASS","OPEN")</x:f>
        <x:v>OPEN</x:v>
      </x:c>
    </x:row>
    <x:row r="2696">
      <x:c r="B2696" t="str">
        <x:v>PH-RV-171</x:v>
      </x:c>
      <x:c r="C2696" t="str">
        <x:v>PHYSICAL</x:v>
      </x:c>
      <x:c r="D2696" t="str">
        <x:v>reported value</x:v>
      </x:c>
      <x:c r="E2696" t="str">
        <x:v>PH-RV-171</x:v>
      </x:c>
      <x:c r="F2696" t="n">
        <x:f>IF('Trial Register'!S177&lt;&gt;"",1,0)</x:f>
        <x:v>0</x:v>
      </x:c>
      <x:c r="G2696" t="n">
        <x:v>1</x:v>
      </x:c>
      <x:c r="H2696" t="str">
        <x:v>independent physical acceptance</x:v>
      </x:c>
      <x:c r="I2696" t="str">
        <x:f>IF(F2696=1,"PASS","OPEN")</x:f>
        <x:v>OPEN</x:v>
      </x:c>
    </x:row>
    <x:row r="2697">
      <x:c r="B2697" t="str">
        <x:v>PH-CR-171</x:v>
      </x:c>
      <x:c r="C2697" t="str">
        <x:v>PHYSICAL</x:v>
      </x:c>
      <x:c r="D2697" t="str">
        <x:v>credit acceptance</x:v>
      </x:c>
      <x:c r="E2697" t="str">
        <x:v>PH-CR-171</x:v>
      </x:c>
      <x:c r="F2697" t="str">
        <x:f>'Trial Register'!V177</x:f>
      </x:c>
      <x:c r="G2697" t="n">
        <x:v>1</x:v>
      </x:c>
      <x:c r="H2697" t="str">
        <x:v>independent physical acceptance</x:v>
      </x:c>
      <x:c r="I2697" t="str">
        <x:f>IF(F2697=1,"PASS","OPEN")</x:f>
        <x:v>OPEN</x:v>
      </x:c>
    </x:row>
    <x:row r="2698">
      <x:c r="B2698" t="str">
        <x:v>PH-EX-172</x:v>
      </x:c>
      <x:c r="C2698" t="str">
        <x:v>PHYSICAL</x:v>
      </x:c>
      <x:c r="D2698" t="str">
        <x:v>trial execution</x:v>
      </x:c>
      <x:c r="E2698" t="str">
        <x:v>PH-EX-172</x:v>
      </x:c>
      <x:c r="F2698" t="n">
        <x:f>IF('Trial Register'!P178&lt;&gt;"",1,0)</x:f>
        <x:v>0</x:v>
      </x:c>
      <x:c r="G2698" t="n">
        <x:v>1</x:v>
      </x:c>
      <x:c r="H2698" t="str">
        <x:v>independent physical acceptance</x:v>
      </x:c>
      <x:c r="I2698" t="str">
        <x:f>IF(F2698=1,"PASS","OPEN")</x:f>
        <x:v>OPEN</x:v>
      </x:c>
    </x:row>
    <x:row r="2699">
      <x:c r="B2699" t="str">
        <x:v>PH-PK-172</x:v>
      </x:c>
      <x:c r="C2699" t="str">
        <x:v>PHYSICAL</x:v>
      </x:c>
      <x:c r="D2699" t="str">
        <x:v>trial packet</x:v>
      </x:c>
      <x:c r="E2699" t="str">
        <x:v>PH-PK-172</x:v>
      </x:c>
      <x:c r="F2699" t="n">
        <x:f>IF('Trial Register'!Q178&lt;&gt;"",1,0)</x:f>
        <x:v>0</x:v>
      </x:c>
      <x:c r="G2699" t="n">
        <x:v>1</x:v>
      </x:c>
      <x:c r="H2699" t="str">
        <x:v>independent physical acceptance</x:v>
      </x:c>
      <x:c r="I2699" t="str">
        <x:f>IF(F2699=1,"PASS","OPEN")</x:f>
        <x:v>OPEN</x:v>
      </x:c>
    </x:row>
    <x:row r="2700">
      <x:c r="B2700" t="str">
        <x:v>PH-VA-172</x:v>
      </x:c>
      <x:c r="C2700" t="str">
        <x:v>PHYSICAL</x:v>
      </x:c>
      <x:c r="D2700" t="str">
        <x:v>trial validity</x:v>
      </x:c>
      <x:c r="E2700" t="str">
        <x:v>PH-VA-172</x:v>
      </x:c>
      <x:c r="F2700" t="n">
        <x:f>IF('Trial Register'!R178&lt;&gt;"",1,0)</x:f>
        <x:v>0</x:v>
      </x:c>
      <x:c r="G2700" t="n">
        <x:v>1</x:v>
      </x:c>
      <x:c r="H2700" t="str">
        <x:v>independent physical acceptance</x:v>
      </x:c>
      <x:c r="I2700" t="str">
        <x:f>IF(F2700=1,"PASS","OPEN")</x:f>
        <x:v>OPEN</x:v>
      </x:c>
    </x:row>
    <x:row r="2701">
      <x:c r="B2701" t="str">
        <x:v>PH-RV-172</x:v>
      </x:c>
      <x:c r="C2701" t="str">
        <x:v>PHYSICAL</x:v>
      </x:c>
      <x:c r="D2701" t="str">
        <x:v>reported value</x:v>
      </x:c>
      <x:c r="E2701" t="str">
        <x:v>PH-RV-172</x:v>
      </x:c>
      <x:c r="F2701" t="n">
        <x:f>IF('Trial Register'!S178&lt;&gt;"",1,0)</x:f>
        <x:v>0</x:v>
      </x:c>
      <x:c r="G2701" t="n">
        <x:v>1</x:v>
      </x:c>
      <x:c r="H2701" t="str">
        <x:v>independent physical acceptance</x:v>
      </x:c>
      <x:c r="I2701" t="str">
        <x:f>IF(F2701=1,"PASS","OPEN")</x:f>
        <x:v>OPEN</x:v>
      </x:c>
    </x:row>
    <x:row r="2702">
      <x:c r="B2702" t="str">
        <x:v>PH-CR-172</x:v>
      </x:c>
      <x:c r="C2702" t="str">
        <x:v>PHYSICAL</x:v>
      </x:c>
      <x:c r="D2702" t="str">
        <x:v>credit acceptance</x:v>
      </x:c>
      <x:c r="E2702" t="str">
        <x:v>PH-CR-172</x:v>
      </x:c>
      <x:c r="F2702" t="str">
        <x:f>'Trial Register'!V178</x:f>
      </x:c>
      <x:c r="G2702" t="n">
        <x:v>1</x:v>
      </x:c>
      <x:c r="H2702" t="str">
        <x:v>independent physical acceptance</x:v>
      </x:c>
      <x:c r="I2702" t="str">
        <x:f>IF(F2702=1,"PASS","OPEN")</x:f>
        <x:v>OPEN</x:v>
      </x:c>
    </x:row>
    <x:row r="2703">
      <x:c r="B2703" t="str">
        <x:v>PH-EX-173</x:v>
      </x:c>
      <x:c r="C2703" t="str">
        <x:v>PHYSICAL</x:v>
      </x:c>
      <x:c r="D2703" t="str">
        <x:v>trial execution</x:v>
      </x:c>
      <x:c r="E2703" t="str">
        <x:v>PH-EX-173</x:v>
      </x:c>
      <x:c r="F2703" t="n">
        <x:f>IF('Trial Register'!P179&lt;&gt;"",1,0)</x:f>
        <x:v>0</x:v>
      </x:c>
      <x:c r="G2703" t="n">
        <x:v>1</x:v>
      </x:c>
      <x:c r="H2703" t="str">
        <x:v>independent physical acceptance</x:v>
      </x:c>
      <x:c r="I2703" t="str">
        <x:f>IF(F2703=1,"PASS","OPEN")</x:f>
        <x:v>OPEN</x:v>
      </x:c>
    </x:row>
    <x:row r="2704">
      <x:c r="B2704" t="str">
        <x:v>PH-PK-173</x:v>
      </x:c>
      <x:c r="C2704" t="str">
        <x:v>PHYSICAL</x:v>
      </x:c>
      <x:c r="D2704" t="str">
        <x:v>trial packet</x:v>
      </x:c>
      <x:c r="E2704" t="str">
        <x:v>PH-PK-173</x:v>
      </x:c>
      <x:c r="F2704" t="n">
        <x:f>IF('Trial Register'!Q179&lt;&gt;"",1,0)</x:f>
        <x:v>0</x:v>
      </x:c>
      <x:c r="G2704" t="n">
        <x:v>1</x:v>
      </x:c>
      <x:c r="H2704" t="str">
        <x:v>independent physical acceptance</x:v>
      </x:c>
      <x:c r="I2704" t="str">
        <x:f>IF(F2704=1,"PASS","OPEN")</x:f>
        <x:v>OPEN</x:v>
      </x:c>
    </x:row>
    <x:row r="2705">
      <x:c r="B2705" t="str">
        <x:v>PH-VA-173</x:v>
      </x:c>
      <x:c r="C2705" t="str">
        <x:v>PHYSICAL</x:v>
      </x:c>
      <x:c r="D2705" t="str">
        <x:v>trial validity</x:v>
      </x:c>
      <x:c r="E2705" t="str">
        <x:v>PH-VA-173</x:v>
      </x:c>
      <x:c r="F2705" t="n">
        <x:f>IF('Trial Register'!R179&lt;&gt;"",1,0)</x:f>
        <x:v>0</x:v>
      </x:c>
      <x:c r="G2705" t="n">
        <x:v>1</x:v>
      </x:c>
      <x:c r="H2705" t="str">
        <x:v>independent physical acceptance</x:v>
      </x:c>
      <x:c r="I2705" t="str">
        <x:f>IF(F2705=1,"PASS","OPEN")</x:f>
        <x:v>OPEN</x:v>
      </x:c>
    </x:row>
    <x:row r="2706">
      <x:c r="B2706" t="str">
        <x:v>PH-RV-173</x:v>
      </x:c>
      <x:c r="C2706" t="str">
        <x:v>PHYSICAL</x:v>
      </x:c>
      <x:c r="D2706" t="str">
        <x:v>reported value</x:v>
      </x:c>
      <x:c r="E2706" t="str">
        <x:v>PH-RV-173</x:v>
      </x:c>
      <x:c r="F2706" t="n">
        <x:f>IF('Trial Register'!S179&lt;&gt;"",1,0)</x:f>
        <x:v>0</x:v>
      </x:c>
      <x:c r="G2706" t="n">
        <x:v>1</x:v>
      </x:c>
      <x:c r="H2706" t="str">
        <x:v>independent physical acceptance</x:v>
      </x:c>
      <x:c r="I2706" t="str">
        <x:f>IF(F2706=1,"PASS","OPEN")</x:f>
        <x:v>OPEN</x:v>
      </x:c>
    </x:row>
    <x:row r="2707">
      <x:c r="B2707" t="str">
        <x:v>PH-CR-173</x:v>
      </x:c>
      <x:c r="C2707" t="str">
        <x:v>PHYSICAL</x:v>
      </x:c>
      <x:c r="D2707" t="str">
        <x:v>credit acceptance</x:v>
      </x:c>
      <x:c r="E2707" t="str">
        <x:v>PH-CR-173</x:v>
      </x:c>
      <x:c r="F2707" t="str">
        <x:f>'Trial Register'!V179</x:f>
      </x:c>
      <x:c r="G2707" t="n">
        <x:v>1</x:v>
      </x:c>
      <x:c r="H2707" t="str">
        <x:v>independent physical acceptance</x:v>
      </x:c>
      <x:c r="I2707" t="str">
        <x:f>IF(F2707=1,"PASS","OPEN")</x:f>
        <x:v>OPEN</x:v>
      </x:c>
    </x:row>
    <x:row r="2708">
      <x:c r="B2708" t="str">
        <x:v>PH-EX-174</x:v>
      </x:c>
      <x:c r="C2708" t="str">
        <x:v>PHYSICAL</x:v>
      </x:c>
      <x:c r="D2708" t="str">
        <x:v>trial execution</x:v>
      </x:c>
      <x:c r="E2708" t="str">
        <x:v>PH-EX-174</x:v>
      </x:c>
      <x:c r="F2708" t="n">
        <x:f>IF('Trial Register'!P180&lt;&gt;"",1,0)</x:f>
        <x:v>0</x:v>
      </x:c>
      <x:c r="G2708" t="n">
        <x:v>1</x:v>
      </x:c>
      <x:c r="H2708" t="str">
        <x:v>independent physical acceptance</x:v>
      </x:c>
      <x:c r="I2708" t="str">
        <x:f>IF(F2708=1,"PASS","OPEN")</x:f>
        <x:v>OPEN</x:v>
      </x:c>
    </x:row>
    <x:row r="2709">
      <x:c r="B2709" t="str">
        <x:v>PH-PK-174</x:v>
      </x:c>
      <x:c r="C2709" t="str">
        <x:v>PHYSICAL</x:v>
      </x:c>
      <x:c r="D2709" t="str">
        <x:v>trial packet</x:v>
      </x:c>
      <x:c r="E2709" t="str">
        <x:v>PH-PK-174</x:v>
      </x:c>
      <x:c r="F2709" t="n">
        <x:f>IF('Trial Register'!Q180&lt;&gt;"",1,0)</x:f>
        <x:v>0</x:v>
      </x:c>
      <x:c r="G2709" t="n">
        <x:v>1</x:v>
      </x:c>
      <x:c r="H2709" t="str">
        <x:v>independent physical acceptance</x:v>
      </x:c>
      <x:c r="I2709" t="str">
        <x:f>IF(F2709=1,"PASS","OPEN")</x:f>
        <x:v>OPEN</x:v>
      </x:c>
    </x:row>
    <x:row r="2710">
      <x:c r="B2710" t="str">
        <x:v>PH-VA-174</x:v>
      </x:c>
      <x:c r="C2710" t="str">
        <x:v>PHYSICAL</x:v>
      </x:c>
      <x:c r="D2710" t="str">
        <x:v>trial validity</x:v>
      </x:c>
      <x:c r="E2710" t="str">
        <x:v>PH-VA-174</x:v>
      </x:c>
      <x:c r="F2710" t="n">
        <x:f>IF('Trial Register'!R180&lt;&gt;"",1,0)</x:f>
        <x:v>0</x:v>
      </x:c>
      <x:c r="G2710" t="n">
        <x:v>1</x:v>
      </x:c>
      <x:c r="H2710" t="str">
        <x:v>independent physical acceptance</x:v>
      </x:c>
      <x:c r="I2710" t="str">
        <x:f>IF(F2710=1,"PASS","OPEN")</x:f>
        <x:v>OPEN</x:v>
      </x:c>
    </x:row>
    <x:row r="2711">
      <x:c r="B2711" t="str">
        <x:v>PH-RV-174</x:v>
      </x:c>
      <x:c r="C2711" t="str">
        <x:v>PHYSICAL</x:v>
      </x:c>
      <x:c r="D2711" t="str">
        <x:v>reported value</x:v>
      </x:c>
      <x:c r="E2711" t="str">
        <x:v>PH-RV-174</x:v>
      </x:c>
      <x:c r="F2711" t="n">
        <x:f>IF('Trial Register'!S180&lt;&gt;"",1,0)</x:f>
        <x:v>0</x:v>
      </x:c>
      <x:c r="G2711" t="n">
        <x:v>1</x:v>
      </x:c>
      <x:c r="H2711" t="str">
        <x:v>independent physical acceptance</x:v>
      </x:c>
      <x:c r="I2711" t="str">
        <x:f>IF(F2711=1,"PASS","OPEN")</x:f>
        <x:v>OPEN</x:v>
      </x:c>
    </x:row>
    <x:row r="2712">
      <x:c r="B2712" t="str">
        <x:v>PH-CR-174</x:v>
      </x:c>
      <x:c r="C2712" t="str">
        <x:v>PHYSICAL</x:v>
      </x:c>
      <x:c r="D2712" t="str">
        <x:v>credit acceptance</x:v>
      </x:c>
      <x:c r="E2712" t="str">
        <x:v>PH-CR-174</x:v>
      </x:c>
      <x:c r="F2712" t="str">
        <x:f>'Trial Register'!V180</x:f>
      </x:c>
      <x:c r="G2712" t="n">
        <x:v>1</x:v>
      </x:c>
      <x:c r="H2712" t="str">
        <x:v>independent physical acceptance</x:v>
      </x:c>
      <x:c r="I2712" t="str">
        <x:f>IF(F2712=1,"PASS","OPEN")</x:f>
        <x:v>OPEN</x:v>
      </x:c>
    </x:row>
    <x:row r="2713">
      <x:c r="B2713" t="str">
        <x:v>PH-EX-175</x:v>
      </x:c>
      <x:c r="C2713" t="str">
        <x:v>PHYSICAL</x:v>
      </x:c>
      <x:c r="D2713" t="str">
        <x:v>trial execution</x:v>
      </x:c>
      <x:c r="E2713" t="str">
        <x:v>PH-EX-175</x:v>
      </x:c>
      <x:c r="F2713" t="n">
        <x:f>IF('Trial Register'!P181&lt;&gt;"",1,0)</x:f>
        <x:v>0</x:v>
      </x:c>
      <x:c r="G2713" t="n">
        <x:v>1</x:v>
      </x:c>
      <x:c r="H2713" t="str">
        <x:v>independent physical acceptance</x:v>
      </x:c>
      <x:c r="I2713" t="str">
        <x:f>IF(F2713=1,"PASS","OPEN")</x:f>
        <x:v>OPEN</x:v>
      </x:c>
    </x:row>
    <x:row r="2714">
      <x:c r="B2714" t="str">
        <x:v>PH-PK-175</x:v>
      </x:c>
      <x:c r="C2714" t="str">
        <x:v>PHYSICAL</x:v>
      </x:c>
      <x:c r="D2714" t="str">
        <x:v>trial packet</x:v>
      </x:c>
      <x:c r="E2714" t="str">
        <x:v>PH-PK-175</x:v>
      </x:c>
      <x:c r="F2714" t="n">
        <x:f>IF('Trial Register'!Q181&lt;&gt;"",1,0)</x:f>
        <x:v>0</x:v>
      </x:c>
      <x:c r="G2714" t="n">
        <x:v>1</x:v>
      </x:c>
      <x:c r="H2714" t="str">
        <x:v>independent physical acceptance</x:v>
      </x:c>
      <x:c r="I2714" t="str">
        <x:f>IF(F2714=1,"PASS","OPEN")</x:f>
        <x:v>OPEN</x:v>
      </x:c>
    </x:row>
    <x:row r="2715">
      <x:c r="B2715" t="str">
        <x:v>PH-VA-175</x:v>
      </x:c>
      <x:c r="C2715" t="str">
        <x:v>PHYSICAL</x:v>
      </x:c>
      <x:c r="D2715" t="str">
        <x:v>trial validity</x:v>
      </x:c>
      <x:c r="E2715" t="str">
        <x:v>PH-VA-175</x:v>
      </x:c>
      <x:c r="F2715" t="n">
        <x:f>IF('Trial Register'!R181&lt;&gt;"",1,0)</x:f>
        <x:v>0</x:v>
      </x:c>
      <x:c r="G2715" t="n">
        <x:v>1</x:v>
      </x:c>
      <x:c r="H2715" t="str">
        <x:v>independent physical acceptance</x:v>
      </x:c>
      <x:c r="I2715" t="str">
        <x:f>IF(F2715=1,"PASS","OPEN")</x:f>
        <x:v>OPEN</x:v>
      </x:c>
    </x:row>
    <x:row r="2716">
      <x:c r="B2716" t="str">
        <x:v>PH-RV-175</x:v>
      </x:c>
      <x:c r="C2716" t="str">
        <x:v>PHYSICAL</x:v>
      </x:c>
      <x:c r="D2716" t="str">
        <x:v>reported value</x:v>
      </x:c>
      <x:c r="E2716" t="str">
        <x:v>PH-RV-175</x:v>
      </x:c>
      <x:c r="F2716" t="n">
        <x:f>IF('Trial Register'!S181&lt;&gt;"",1,0)</x:f>
        <x:v>0</x:v>
      </x:c>
      <x:c r="G2716" t="n">
        <x:v>1</x:v>
      </x:c>
      <x:c r="H2716" t="str">
        <x:v>independent physical acceptance</x:v>
      </x:c>
      <x:c r="I2716" t="str">
        <x:f>IF(F2716=1,"PASS","OPEN")</x:f>
        <x:v>OPEN</x:v>
      </x:c>
    </x:row>
    <x:row r="2717">
      <x:c r="B2717" t="str">
        <x:v>PH-CR-175</x:v>
      </x:c>
      <x:c r="C2717" t="str">
        <x:v>PHYSICAL</x:v>
      </x:c>
      <x:c r="D2717" t="str">
        <x:v>credit acceptance</x:v>
      </x:c>
      <x:c r="E2717" t="str">
        <x:v>PH-CR-175</x:v>
      </x:c>
      <x:c r="F2717" t="str">
        <x:f>'Trial Register'!V181</x:f>
      </x:c>
      <x:c r="G2717" t="n">
        <x:v>1</x:v>
      </x:c>
      <x:c r="H2717" t="str">
        <x:v>independent physical acceptance</x:v>
      </x:c>
      <x:c r="I2717" t="str">
        <x:f>IF(F2717=1,"PASS","OPEN")</x:f>
        <x:v>OPEN</x:v>
      </x:c>
    </x:row>
    <x:row r="2718">
      <x:c r="B2718" t="str">
        <x:v>PH-EX-176</x:v>
      </x:c>
      <x:c r="C2718" t="str">
        <x:v>PHYSICAL</x:v>
      </x:c>
      <x:c r="D2718" t="str">
        <x:v>trial execution</x:v>
      </x:c>
      <x:c r="E2718" t="str">
        <x:v>PH-EX-176</x:v>
      </x:c>
      <x:c r="F2718" t="n">
        <x:f>IF('Trial Register'!P182&lt;&gt;"",1,0)</x:f>
        <x:v>0</x:v>
      </x:c>
      <x:c r="G2718" t="n">
        <x:v>1</x:v>
      </x:c>
      <x:c r="H2718" t="str">
        <x:v>independent physical acceptance</x:v>
      </x:c>
      <x:c r="I2718" t="str">
        <x:f>IF(F2718=1,"PASS","OPEN")</x:f>
        <x:v>OPEN</x:v>
      </x:c>
    </x:row>
    <x:row r="2719">
      <x:c r="B2719" t="str">
        <x:v>PH-PK-176</x:v>
      </x:c>
      <x:c r="C2719" t="str">
        <x:v>PHYSICAL</x:v>
      </x:c>
      <x:c r="D2719" t="str">
        <x:v>trial packet</x:v>
      </x:c>
      <x:c r="E2719" t="str">
        <x:v>PH-PK-176</x:v>
      </x:c>
      <x:c r="F2719" t="n">
        <x:f>IF('Trial Register'!Q182&lt;&gt;"",1,0)</x:f>
        <x:v>0</x:v>
      </x:c>
      <x:c r="G2719" t="n">
        <x:v>1</x:v>
      </x:c>
      <x:c r="H2719" t="str">
        <x:v>independent physical acceptance</x:v>
      </x:c>
      <x:c r="I2719" t="str">
        <x:f>IF(F2719=1,"PASS","OPEN")</x:f>
        <x:v>OPEN</x:v>
      </x:c>
    </x:row>
    <x:row r="2720">
      <x:c r="B2720" t="str">
        <x:v>PH-VA-176</x:v>
      </x:c>
      <x:c r="C2720" t="str">
        <x:v>PHYSICAL</x:v>
      </x:c>
      <x:c r="D2720" t="str">
        <x:v>trial validity</x:v>
      </x:c>
      <x:c r="E2720" t="str">
        <x:v>PH-VA-176</x:v>
      </x:c>
      <x:c r="F2720" t="n">
        <x:f>IF('Trial Register'!R182&lt;&gt;"",1,0)</x:f>
        <x:v>0</x:v>
      </x:c>
      <x:c r="G2720" t="n">
        <x:v>1</x:v>
      </x:c>
      <x:c r="H2720" t="str">
        <x:v>independent physical acceptance</x:v>
      </x:c>
      <x:c r="I2720" t="str">
        <x:f>IF(F2720=1,"PASS","OPEN")</x:f>
        <x:v>OPEN</x:v>
      </x:c>
    </x:row>
    <x:row r="2721">
      <x:c r="B2721" t="str">
        <x:v>PH-RV-176</x:v>
      </x:c>
      <x:c r="C2721" t="str">
        <x:v>PHYSICAL</x:v>
      </x:c>
      <x:c r="D2721" t="str">
        <x:v>reported value</x:v>
      </x:c>
      <x:c r="E2721" t="str">
        <x:v>PH-RV-176</x:v>
      </x:c>
      <x:c r="F2721" t="n">
        <x:f>IF('Trial Register'!S182&lt;&gt;"",1,0)</x:f>
        <x:v>0</x:v>
      </x:c>
      <x:c r="G2721" t="n">
        <x:v>1</x:v>
      </x:c>
      <x:c r="H2721" t="str">
        <x:v>independent physical acceptance</x:v>
      </x:c>
      <x:c r="I2721" t="str">
        <x:f>IF(F2721=1,"PASS","OPEN")</x:f>
        <x:v>OPEN</x:v>
      </x:c>
    </x:row>
    <x:row r="2722">
      <x:c r="B2722" t="str">
        <x:v>PH-CR-176</x:v>
      </x:c>
      <x:c r="C2722" t="str">
        <x:v>PHYSICAL</x:v>
      </x:c>
      <x:c r="D2722" t="str">
        <x:v>credit acceptance</x:v>
      </x:c>
      <x:c r="E2722" t="str">
        <x:v>PH-CR-176</x:v>
      </x:c>
      <x:c r="F2722" t="str">
        <x:f>'Trial Register'!V182</x:f>
      </x:c>
      <x:c r="G2722" t="n">
        <x:v>1</x:v>
      </x:c>
      <x:c r="H2722" t="str">
        <x:v>independent physical acceptance</x:v>
      </x:c>
      <x:c r="I2722" t="str">
        <x:f>IF(F2722=1,"PASS","OPEN")</x:f>
        <x:v>OPEN</x:v>
      </x:c>
    </x:row>
    <x:row r="2723">
      <x:c r="B2723" t="str">
        <x:v>PH-EX-177</x:v>
      </x:c>
      <x:c r="C2723" t="str">
        <x:v>PHYSICAL</x:v>
      </x:c>
      <x:c r="D2723" t="str">
        <x:v>trial execution</x:v>
      </x:c>
      <x:c r="E2723" t="str">
        <x:v>PH-EX-177</x:v>
      </x:c>
      <x:c r="F2723" t="n">
        <x:f>IF('Trial Register'!P183&lt;&gt;"",1,0)</x:f>
        <x:v>0</x:v>
      </x:c>
      <x:c r="G2723" t="n">
        <x:v>1</x:v>
      </x:c>
      <x:c r="H2723" t="str">
        <x:v>independent physical acceptance</x:v>
      </x:c>
      <x:c r="I2723" t="str">
        <x:f>IF(F2723=1,"PASS","OPEN")</x:f>
        <x:v>OPEN</x:v>
      </x:c>
    </x:row>
    <x:row r="2724">
      <x:c r="B2724" t="str">
        <x:v>PH-PK-177</x:v>
      </x:c>
      <x:c r="C2724" t="str">
        <x:v>PHYSICAL</x:v>
      </x:c>
      <x:c r="D2724" t="str">
        <x:v>trial packet</x:v>
      </x:c>
      <x:c r="E2724" t="str">
        <x:v>PH-PK-177</x:v>
      </x:c>
      <x:c r="F2724" t="n">
        <x:f>IF('Trial Register'!Q183&lt;&gt;"",1,0)</x:f>
        <x:v>0</x:v>
      </x:c>
      <x:c r="G2724" t="n">
        <x:v>1</x:v>
      </x:c>
      <x:c r="H2724" t="str">
        <x:v>independent physical acceptance</x:v>
      </x:c>
      <x:c r="I2724" t="str">
        <x:f>IF(F2724=1,"PASS","OPEN")</x:f>
        <x:v>OPEN</x:v>
      </x:c>
    </x:row>
    <x:row r="2725">
      <x:c r="B2725" t="str">
        <x:v>PH-VA-177</x:v>
      </x:c>
      <x:c r="C2725" t="str">
        <x:v>PHYSICAL</x:v>
      </x:c>
      <x:c r="D2725" t="str">
        <x:v>trial validity</x:v>
      </x:c>
      <x:c r="E2725" t="str">
        <x:v>PH-VA-177</x:v>
      </x:c>
      <x:c r="F2725" t="n">
        <x:f>IF('Trial Register'!R183&lt;&gt;"",1,0)</x:f>
        <x:v>0</x:v>
      </x:c>
      <x:c r="G2725" t="n">
        <x:v>1</x:v>
      </x:c>
      <x:c r="H2725" t="str">
        <x:v>independent physical acceptance</x:v>
      </x:c>
      <x:c r="I2725" t="str">
        <x:f>IF(F2725=1,"PASS","OPEN")</x:f>
        <x:v>OPEN</x:v>
      </x:c>
    </x:row>
    <x:row r="2726">
      <x:c r="B2726" t="str">
        <x:v>PH-RV-177</x:v>
      </x:c>
      <x:c r="C2726" t="str">
        <x:v>PHYSICAL</x:v>
      </x:c>
      <x:c r="D2726" t="str">
        <x:v>reported value</x:v>
      </x:c>
      <x:c r="E2726" t="str">
        <x:v>PH-RV-177</x:v>
      </x:c>
      <x:c r="F2726" t="n">
        <x:f>IF('Trial Register'!S183&lt;&gt;"",1,0)</x:f>
        <x:v>0</x:v>
      </x:c>
      <x:c r="G2726" t="n">
        <x:v>1</x:v>
      </x:c>
      <x:c r="H2726" t="str">
        <x:v>independent physical acceptance</x:v>
      </x:c>
      <x:c r="I2726" t="str">
        <x:f>IF(F2726=1,"PASS","OPEN")</x:f>
        <x:v>OPEN</x:v>
      </x:c>
    </x:row>
    <x:row r="2727">
      <x:c r="B2727" t="str">
        <x:v>PH-CR-177</x:v>
      </x:c>
      <x:c r="C2727" t="str">
        <x:v>PHYSICAL</x:v>
      </x:c>
      <x:c r="D2727" t="str">
        <x:v>credit acceptance</x:v>
      </x:c>
      <x:c r="E2727" t="str">
        <x:v>PH-CR-177</x:v>
      </x:c>
      <x:c r="F2727" t="str">
        <x:f>'Trial Register'!V183</x:f>
      </x:c>
      <x:c r="G2727" t="n">
        <x:v>1</x:v>
      </x:c>
      <x:c r="H2727" t="str">
        <x:v>independent physical acceptance</x:v>
      </x:c>
      <x:c r="I2727" t="str">
        <x:f>IF(F2727=1,"PASS","OPEN")</x:f>
        <x:v>OPEN</x:v>
      </x:c>
    </x:row>
    <x:row r="2728">
      <x:c r="B2728" t="str">
        <x:v>PH-EX-178</x:v>
      </x:c>
      <x:c r="C2728" t="str">
        <x:v>PHYSICAL</x:v>
      </x:c>
      <x:c r="D2728" t="str">
        <x:v>trial execution</x:v>
      </x:c>
      <x:c r="E2728" t="str">
        <x:v>PH-EX-178</x:v>
      </x:c>
      <x:c r="F2728" t="n">
        <x:f>IF('Trial Register'!P184&lt;&gt;"",1,0)</x:f>
        <x:v>0</x:v>
      </x:c>
      <x:c r="G2728" t="n">
        <x:v>1</x:v>
      </x:c>
      <x:c r="H2728" t="str">
        <x:v>independent physical acceptance</x:v>
      </x:c>
      <x:c r="I2728" t="str">
        <x:f>IF(F2728=1,"PASS","OPEN")</x:f>
        <x:v>OPEN</x:v>
      </x:c>
    </x:row>
    <x:row r="2729">
      <x:c r="B2729" t="str">
        <x:v>PH-PK-178</x:v>
      </x:c>
      <x:c r="C2729" t="str">
        <x:v>PHYSICAL</x:v>
      </x:c>
      <x:c r="D2729" t="str">
        <x:v>trial packet</x:v>
      </x:c>
      <x:c r="E2729" t="str">
        <x:v>PH-PK-178</x:v>
      </x:c>
      <x:c r="F2729" t="n">
        <x:f>IF('Trial Register'!Q184&lt;&gt;"",1,0)</x:f>
        <x:v>0</x:v>
      </x:c>
      <x:c r="G2729" t="n">
        <x:v>1</x:v>
      </x:c>
      <x:c r="H2729" t="str">
        <x:v>independent physical acceptance</x:v>
      </x:c>
      <x:c r="I2729" t="str">
        <x:f>IF(F2729=1,"PASS","OPEN")</x:f>
        <x:v>OPEN</x:v>
      </x:c>
    </x:row>
    <x:row r="2730">
      <x:c r="B2730" t="str">
        <x:v>PH-VA-178</x:v>
      </x:c>
      <x:c r="C2730" t="str">
        <x:v>PHYSICAL</x:v>
      </x:c>
      <x:c r="D2730" t="str">
        <x:v>trial validity</x:v>
      </x:c>
      <x:c r="E2730" t="str">
        <x:v>PH-VA-178</x:v>
      </x:c>
      <x:c r="F2730" t="n">
        <x:f>IF('Trial Register'!R184&lt;&gt;"",1,0)</x:f>
        <x:v>0</x:v>
      </x:c>
      <x:c r="G2730" t="n">
        <x:v>1</x:v>
      </x:c>
      <x:c r="H2730" t="str">
        <x:v>independent physical acceptance</x:v>
      </x:c>
      <x:c r="I2730" t="str">
        <x:f>IF(F2730=1,"PASS","OPEN")</x:f>
        <x:v>OPEN</x:v>
      </x:c>
    </x:row>
    <x:row r="2731">
      <x:c r="B2731" t="str">
        <x:v>PH-RV-178</x:v>
      </x:c>
      <x:c r="C2731" t="str">
        <x:v>PHYSICAL</x:v>
      </x:c>
      <x:c r="D2731" t="str">
        <x:v>reported value</x:v>
      </x:c>
      <x:c r="E2731" t="str">
        <x:v>PH-RV-178</x:v>
      </x:c>
      <x:c r="F2731" t="n">
        <x:f>IF('Trial Register'!S184&lt;&gt;"",1,0)</x:f>
        <x:v>0</x:v>
      </x:c>
      <x:c r="G2731" t="n">
        <x:v>1</x:v>
      </x:c>
      <x:c r="H2731" t="str">
        <x:v>independent physical acceptance</x:v>
      </x:c>
      <x:c r="I2731" t="str">
        <x:f>IF(F2731=1,"PASS","OPEN")</x:f>
        <x:v>OPEN</x:v>
      </x:c>
    </x:row>
    <x:row r="2732">
      <x:c r="B2732" t="str">
        <x:v>PH-CR-178</x:v>
      </x:c>
      <x:c r="C2732" t="str">
        <x:v>PHYSICAL</x:v>
      </x:c>
      <x:c r="D2732" t="str">
        <x:v>credit acceptance</x:v>
      </x:c>
      <x:c r="E2732" t="str">
        <x:v>PH-CR-178</x:v>
      </x:c>
      <x:c r="F2732" t="str">
        <x:f>'Trial Register'!V184</x:f>
      </x:c>
      <x:c r="G2732" t="n">
        <x:v>1</x:v>
      </x:c>
      <x:c r="H2732" t="str">
        <x:v>independent physical acceptance</x:v>
      </x:c>
      <x:c r="I2732" t="str">
        <x:f>IF(F2732=1,"PASS","OPEN")</x:f>
        <x:v>OPEN</x:v>
      </x:c>
    </x:row>
    <x:row r="2733">
      <x:c r="B2733" t="str">
        <x:v>PH-EX-179</x:v>
      </x:c>
      <x:c r="C2733" t="str">
        <x:v>PHYSICAL</x:v>
      </x:c>
      <x:c r="D2733" t="str">
        <x:v>trial execution</x:v>
      </x:c>
      <x:c r="E2733" t="str">
        <x:v>PH-EX-179</x:v>
      </x:c>
      <x:c r="F2733" t="n">
        <x:f>IF('Trial Register'!P185&lt;&gt;"",1,0)</x:f>
        <x:v>0</x:v>
      </x:c>
      <x:c r="G2733" t="n">
        <x:v>1</x:v>
      </x:c>
      <x:c r="H2733" t="str">
        <x:v>independent physical acceptance</x:v>
      </x:c>
      <x:c r="I2733" t="str">
        <x:f>IF(F2733=1,"PASS","OPEN")</x:f>
        <x:v>OPEN</x:v>
      </x:c>
    </x:row>
    <x:row r="2734">
      <x:c r="B2734" t="str">
        <x:v>PH-PK-179</x:v>
      </x:c>
      <x:c r="C2734" t="str">
        <x:v>PHYSICAL</x:v>
      </x:c>
      <x:c r="D2734" t="str">
        <x:v>trial packet</x:v>
      </x:c>
      <x:c r="E2734" t="str">
        <x:v>PH-PK-179</x:v>
      </x:c>
      <x:c r="F2734" t="n">
        <x:f>IF('Trial Register'!Q185&lt;&gt;"",1,0)</x:f>
        <x:v>0</x:v>
      </x:c>
      <x:c r="G2734" t="n">
        <x:v>1</x:v>
      </x:c>
      <x:c r="H2734" t="str">
        <x:v>independent physical acceptance</x:v>
      </x:c>
      <x:c r="I2734" t="str">
        <x:f>IF(F2734=1,"PASS","OPEN")</x:f>
        <x:v>OPEN</x:v>
      </x:c>
    </x:row>
    <x:row r="2735">
      <x:c r="B2735" t="str">
        <x:v>PH-VA-179</x:v>
      </x:c>
      <x:c r="C2735" t="str">
        <x:v>PHYSICAL</x:v>
      </x:c>
      <x:c r="D2735" t="str">
        <x:v>trial validity</x:v>
      </x:c>
      <x:c r="E2735" t="str">
        <x:v>PH-VA-179</x:v>
      </x:c>
      <x:c r="F2735" t="n">
        <x:f>IF('Trial Register'!R185&lt;&gt;"",1,0)</x:f>
        <x:v>0</x:v>
      </x:c>
      <x:c r="G2735" t="n">
        <x:v>1</x:v>
      </x:c>
      <x:c r="H2735" t="str">
        <x:v>independent physical acceptance</x:v>
      </x:c>
      <x:c r="I2735" t="str">
        <x:f>IF(F2735=1,"PASS","OPEN")</x:f>
        <x:v>OPEN</x:v>
      </x:c>
    </x:row>
    <x:row r="2736">
      <x:c r="B2736" t="str">
        <x:v>PH-RV-179</x:v>
      </x:c>
      <x:c r="C2736" t="str">
        <x:v>PHYSICAL</x:v>
      </x:c>
      <x:c r="D2736" t="str">
        <x:v>reported value</x:v>
      </x:c>
      <x:c r="E2736" t="str">
        <x:v>PH-RV-179</x:v>
      </x:c>
      <x:c r="F2736" t="n">
        <x:f>IF('Trial Register'!S185&lt;&gt;"",1,0)</x:f>
        <x:v>0</x:v>
      </x:c>
      <x:c r="G2736" t="n">
        <x:v>1</x:v>
      </x:c>
      <x:c r="H2736" t="str">
        <x:v>independent physical acceptance</x:v>
      </x:c>
      <x:c r="I2736" t="str">
        <x:f>IF(F2736=1,"PASS","OPEN")</x:f>
        <x:v>OPEN</x:v>
      </x:c>
    </x:row>
    <x:row r="2737">
      <x:c r="B2737" t="str">
        <x:v>PH-CR-179</x:v>
      </x:c>
      <x:c r="C2737" t="str">
        <x:v>PHYSICAL</x:v>
      </x:c>
      <x:c r="D2737" t="str">
        <x:v>credit acceptance</x:v>
      </x:c>
      <x:c r="E2737" t="str">
        <x:v>PH-CR-179</x:v>
      </x:c>
      <x:c r="F2737" t="str">
        <x:f>'Trial Register'!V185</x:f>
      </x:c>
      <x:c r="G2737" t="n">
        <x:v>1</x:v>
      </x:c>
      <x:c r="H2737" t="str">
        <x:v>independent physical acceptance</x:v>
      </x:c>
      <x:c r="I2737" t="str">
        <x:f>IF(F2737=1,"PASS","OPEN")</x:f>
        <x:v>OPEN</x:v>
      </x:c>
    </x:row>
    <x:row r="2738">
      <x:c r="B2738" t="str">
        <x:v>PH-EX-180</x:v>
      </x:c>
      <x:c r="C2738" t="str">
        <x:v>PHYSICAL</x:v>
      </x:c>
      <x:c r="D2738" t="str">
        <x:v>trial execution</x:v>
      </x:c>
      <x:c r="E2738" t="str">
        <x:v>PH-EX-180</x:v>
      </x:c>
      <x:c r="F2738" t="n">
        <x:f>IF('Trial Register'!P186&lt;&gt;"",1,0)</x:f>
        <x:v>0</x:v>
      </x:c>
      <x:c r="G2738" t="n">
        <x:v>1</x:v>
      </x:c>
      <x:c r="H2738" t="str">
        <x:v>independent physical acceptance</x:v>
      </x:c>
      <x:c r="I2738" t="str">
        <x:f>IF(F2738=1,"PASS","OPEN")</x:f>
        <x:v>OPEN</x:v>
      </x:c>
    </x:row>
    <x:row r="2739">
      <x:c r="B2739" t="str">
        <x:v>PH-PK-180</x:v>
      </x:c>
      <x:c r="C2739" t="str">
        <x:v>PHYSICAL</x:v>
      </x:c>
      <x:c r="D2739" t="str">
        <x:v>trial packet</x:v>
      </x:c>
      <x:c r="E2739" t="str">
        <x:v>PH-PK-180</x:v>
      </x:c>
      <x:c r="F2739" t="n">
        <x:f>IF('Trial Register'!Q186&lt;&gt;"",1,0)</x:f>
        <x:v>0</x:v>
      </x:c>
      <x:c r="G2739" t="n">
        <x:v>1</x:v>
      </x:c>
      <x:c r="H2739" t="str">
        <x:v>independent physical acceptance</x:v>
      </x:c>
      <x:c r="I2739" t="str">
        <x:f>IF(F2739=1,"PASS","OPEN")</x:f>
        <x:v>OPEN</x:v>
      </x:c>
    </x:row>
    <x:row r="2740">
      <x:c r="B2740" t="str">
        <x:v>PH-VA-180</x:v>
      </x:c>
      <x:c r="C2740" t="str">
        <x:v>PHYSICAL</x:v>
      </x:c>
      <x:c r="D2740" t="str">
        <x:v>trial validity</x:v>
      </x:c>
      <x:c r="E2740" t="str">
        <x:v>PH-VA-180</x:v>
      </x:c>
      <x:c r="F2740" t="n">
        <x:f>IF('Trial Register'!R186&lt;&gt;"",1,0)</x:f>
        <x:v>0</x:v>
      </x:c>
      <x:c r="G2740" t="n">
        <x:v>1</x:v>
      </x:c>
      <x:c r="H2740" t="str">
        <x:v>independent physical acceptance</x:v>
      </x:c>
      <x:c r="I2740" t="str">
        <x:f>IF(F2740=1,"PASS","OPEN")</x:f>
        <x:v>OPEN</x:v>
      </x:c>
    </x:row>
    <x:row r="2741">
      <x:c r="B2741" t="str">
        <x:v>PH-RV-180</x:v>
      </x:c>
      <x:c r="C2741" t="str">
        <x:v>PHYSICAL</x:v>
      </x:c>
      <x:c r="D2741" t="str">
        <x:v>reported value</x:v>
      </x:c>
      <x:c r="E2741" t="str">
        <x:v>PH-RV-180</x:v>
      </x:c>
      <x:c r="F2741" t="n">
        <x:f>IF('Trial Register'!S186&lt;&gt;"",1,0)</x:f>
        <x:v>0</x:v>
      </x:c>
      <x:c r="G2741" t="n">
        <x:v>1</x:v>
      </x:c>
      <x:c r="H2741" t="str">
        <x:v>independent physical acceptance</x:v>
      </x:c>
      <x:c r="I2741" t="str">
        <x:f>IF(F2741=1,"PASS","OPEN")</x:f>
        <x:v>OPEN</x:v>
      </x:c>
    </x:row>
    <x:row r="2742">
      <x:c r="B2742" t="str">
        <x:v>PH-CR-180</x:v>
      </x:c>
      <x:c r="C2742" t="str">
        <x:v>PHYSICAL</x:v>
      </x:c>
      <x:c r="D2742" t="str">
        <x:v>credit acceptance</x:v>
      </x:c>
      <x:c r="E2742" t="str">
        <x:v>PH-CR-180</x:v>
      </x:c>
      <x:c r="F2742" t="str">
        <x:f>'Trial Register'!V186</x:f>
      </x:c>
      <x:c r="G2742" t="n">
        <x:v>1</x:v>
      </x:c>
      <x:c r="H2742" t="str">
        <x:v>independent physical acceptance</x:v>
      </x:c>
      <x:c r="I2742" t="str">
        <x:f>IF(F2742=1,"PASS","OPEN")</x:f>
        <x:v>OPEN</x:v>
      </x:c>
    </x:row>
    <x:row r="2743">
      <x:c r="B2743" t="str">
        <x:v>PH-EX-181</x:v>
      </x:c>
      <x:c r="C2743" t="str">
        <x:v>PHYSICAL</x:v>
      </x:c>
      <x:c r="D2743" t="str">
        <x:v>trial execution</x:v>
      </x:c>
      <x:c r="E2743" t="str">
        <x:v>PH-EX-181</x:v>
      </x:c>
      <x:c r="F2743" t="n">
        <x:f>IF('Trial Register'!P187&lt;&gt;"",1,0)</x:f>
        <x:v>0</x:v>
      </x:c>
      <x:c r="G2743" t="n">
        <x:v>1</x:v>
      </x:c>
      <x:c r="H2743" t="str">
        <x:v>independent physical acceptance</x:v>
      </x:c>
      <x:c r="I2743" t="str">
        <x:f>IF(F2743=1,"PASS","OPEN")</x:f>
        <x:v>OPEN</x:v>
      </x:c>
    </x:row>
    <x:row r="2744">
      <x:c r="B2744" t="str">
        <x:v>PH-PK-181</x:v>
      </x:c>
      <x:c r="C2744" t="str">
        <x:v>PHYSICAL</x:v>
      </x:c>
      <x:c r="D2744" t="str">
        <x:v>trial packet</x:v>
      </x:c>
      <x:c r="E2744" t="str">
        <x:v>PH-PK-181</x:v>
      </x:c>
      <x:c r="F2744" t="n">
        <x:f>IF('Trial Register'!Q187&lt;&gt;"",1,0)</x:f>
        <x:v>0</x:v>
      </x:c>
      <x:c r="G2744" t="n">
        <x:v>1</x:v>
      </x:c>
      <x:c r="H2744" t="str">
        <x:v>independent physical acceptance</x:v>
      </x:c>
      <x:c r="I2744" t="str">
        <x:f>IF(F2744=1,"PASS","OPEN")</x:f>
        <x:v>OPEN</x:v>
      </x:c>
    </x:row>
    <x:row r="2745">
      <x:c r="B2745" t="str">
        <x:v>PH-VA-181</x:v>
      </x:c>
      <x:c r="C2745" t="str">
        <x:v>PHYSICAL</x:v>
      </x:c>
      <x:c r="D2745" t="str">
        <x:v>trial validity</x:v>
      </x:c>
      <x:c r="E2745" t="str">
        <x:v>PH-VA-181</x:v>
      </x:c>
      <x:c r="F2745" t="n">
        <x:f>IF('Trial Register'!R187&lt;&gt;"",1,0)</x:f>
        <x:v>0</x:v>
      </x:c>
      <x:c r="G2745" t="n">
        <x:v>1</x:v>
      </x:c>
      <x:c r="H2745" t="str">
        <x:v>independent physical acceptance</x:v>
      </x:c>
      <x:c r="I2745" t="str">
        <x:f>IF(F2745=1,"PASS","OPEN")</x:f>
        <x:v>OPEN</x:v>
      </x:c>
    </x:row>
    <x:row r="2746">
      <x:c r="B2746" t="str">
        <x:v>PH-RV-181</x:v>
      </x:c>
      <x:c r="C2746" t="str">
        <x:v>PHYSICAL</x:v>
      </x:c>
      <x:c r="D2746" t="str">
        <x:v>reported value</x:v>
      </x:c>
      <x:c r="E2746" t="str">
        <x:v>PH-RV-181</x:v>
      </x:c>
      <x:c r="F2746" t="n">
        <x:f>IF('Trial Register'!S187&lt;&gt;"",1,0)</x:f>
        <x:v>0</x:v>
      </x:c>
      <x:c r="G2746" t="n">
        <x:v>1</x:v>
      </x:c>
      <x:c r="H2746" t="str">
        <x:v>independent physical acceptance</x:v>
      </x:c>
      <x:c r="I2746" t="str">
        <x:f>IF(F2746=1,"PASS","OPEN")</x:f>
        <x:v>OPEN</x:v>
      </x:c>
    </x:row>
    <x:row r="2747">
      <x:c r="B2747" t="str">
        <x:v>PH-CR-181</x:v>
      </x:c>
      <x:c r="C2747" t="str">
        <x:v>PHYSICAL</x:v>
      </x:c>
      <x:c r="D2747" t="str">
        <x:v>credit acceptance</x:v>
      </x:c>
      <x:c r="E2747" t="str">
        <x:v>PH-CR-181</x:v>
      </x:c>
      <x:c r="F2747" t="str">
        <x:f>'Trial Register'!V187</x:f>
      </x:c>
      <x:c r="G2747" t="n">
        <x:v>1</x:v>
      </x:c>
      <x:c r="H2747" t="str">
        <x:v>independent physical acceptance</x:v>
      </x:c>
      <x:c r="I2747" t="str">
        <x:f>IF(F2747=1,"PASS","OPEN")</x:f>
        <x:v>OPEN</x:v>
      </x:c>
    </x:row>
    <x:row r="2748">
      <x:c r="B2748" t="str">
        <x:v>PH-EX-182</x:v>
      </x:c>
      <x:c r="C2748" t="str">
        <x:v>PHYSICAL</x:v>
      </x:c>
      <x:c r="D2748" t="str">
        <x:v>trial execution</x:v>
      </x:c>
      <x:c r="E2748" t="str">
        <x:v>PH-EX-182</x:v>
      </x:c>
      <x:c r="F2748" t="n">
        <x:f>IF('Trial Register'!P188&lt;&gt;"",1,0)</x:f>
        <x:v>0</x:v>
      </x:c>
      <x:c r="G2748" t="n">
        <x:v>1</x:v>
      </x:c>
      <x:c r="H2748" t="str">
        <x:v>independent physical acceptance</x:v>
      </x:c>
      <x:c r="I2748" t="str">
        <x:f>IF(F2748=1,"PASS","OPEN")</x:f>
        <x:v>OPEN</x:v>
      </x:c>
    </x:row>
    <x:row r="2749">
      <x:c r="B2749" t="str">
        <x:v>PH-PK-182</x:v>
      </x:c>
      <x:c r="C2749" t="str">
        <x:v>PHYSICAL</x:v>
      </x:c>
      <x:c r="D2749" t="str">
        <x:v>trial packet</x:v>
      </x:c>
      <x:c r="E2749" t="str">
        <x:v>PH-PK-182</x:v>
      </x:c>
      <x:c r="F2749" t="n">
        <x:f>IF('Trial Register'!Q188&lt;&gt;"",1,0)</x:f>
        <x:v>0</x:v>
      </x:c>
      <x:c r="G2749" t="n">
        <x:v>1</x:v>
      </x:c>
      <x:c r="H2749" t="str">
        <x:v>independent physical acceptance</x:v>
      </x:c>
      <x:c r="I2749" t="str">
        <x:f>IF(F2749=1,"PASS","OPEN")</x:f>
        <x:v>OPEN</x:v>
      </x:c>
    </x:row>
    <x:row r="2750">
      <x:c r="B2750" t="str">
        <x:v>PH-VA-182</x:v>
      </x:c>
      <x:c r="C2750" t="str">
        <x:v>PHYSICAL</x:v>
      </x:c>
      <x:c r="D2750" t="str">
        <x:v>trial validity</x:v>
      </x:c>
      <x:c r="E2750" t="str">
        <x:v>PH-VA-182</x:v>
      </x:c>
      <x:c r="F2750" t="n">
        <x:f>IF('Trial Register'!R188&lt;&gt;"",1,0)</x:f>
        <x:v>0</x:v>
      </x:c>
      <x:c r="G2750" t="n">
        <x:v>1</x:v>
      </x:c>
      <x:c r="H2750" t="str">
        <x:v>independent physical acceptance</x:v>
      </x:c>
      <x:c r="I2750" t="str">
        <x:f>IF(F2750=1,"PASS","OPEN")</x:f>
        <x:v>OPEN</x:v>
      </x:c>
    </x:row>
    <x:row r="2751">
      <x:c r="B2751" t="str">
        <x:v>PH-RV-182</x:v>
      </x:c>
      <x:c r="C2751" t="str">
        <x:v>PHYSICAL</x:v>
      </x:c>
      <x:c r="D2751" t="str">
        <x:v>reported value</x:v>
      </x:c>
      <x:c r="E2751" t="str">
        <x:v>PH-RV-182</x:v>
      </x:c>
      <x:c r="F2751" t="n">
        <x:f>IF('Trial Register'!S188&lt;&gt;"",1,0)</x:f>
        <x:v>0</x:v>
      </x:c>
      <x:c r="G2751" t="n">
        <x:v>1</x:v>
      </x:c>
      <x:c r="H2751" t="str">
        <x:v>independent physical acceptance</x:v>
      </x:c>
      <x:c r="I2751" t="str">
        <x:f>IF(F2751=1,"PASS","OPEN")</x:f>
        <x:v>OPEN</x:v>
      </x:c>
    </x:row>
    <x:row r="2752">
      <x:c r="B2752" t="str">
        <x:v>PH-CR-182</x:v>
      </x:c>
      <x:c r="C2752" t="str">
        <x:v>PHYSICAL</x:v>
      </x:c>
      <x:c r="D2752" t="str">
        <x:v>credit acceptance</x:v>
      </x:c>
      <x:c r="E2752" t="str">
        <x:v>PH-CR-182</x:v>
      </x:c>
      <x:c r="F2752" t="str">
        <x:f>'Trial Register'!V188</x:f>
      </x:c>
      <x:c r="G2752" t="n">
        <x:v>1</x:v>
      </x:c>
      <x:c r="H2752" t="str">
        <x:v>independent physical acceptance</x:v>
      </x:c>
      <x:c r="I2752" t="str">
        <x:f>IF(F2752=1,"PASS","OPEN")</x:f>
        <x:v>OPEN</x:v>
      </x:c>
    </x:row>
    <x:row r="2753">
      <x:c r="B2753" t="str">
        <x:v>PH-EX-183</x:v>
      </x:c>
      <x:c r="C2753" t="str">
        <x:v>PHYSICAL</x:v>
      </x:c>
      <x:c r="D2753" t="str">
        <x:v>trial execution</x:v>
      </x:c>
      <x:c r="E2753" t="str">
        <x:v>PH-EX-183</x:v>
      </x:c>
      <x:c r="F2753" t="n">
        <x:f>IF('Trial Register'!P189&lt;&gt;"",1,0)</x:f>
        <x:v>0</x:v>
      </x:c>
      <x:c r="G2753" t="n">
        <x:v>1</x:v>
      </x:c>
      <x:c r="H2753" t="str">
        <x:v>independent physical acceptance</x:v>
      </x:c>
      <x:c r="I2753" t="str">
        <x:f>IF(F2753=1,"PASS","OPEN")</x:f>
        <x:v>OPEN</x:v>
      </x:c>
    </x:row>
    <x:row r="2754">
      <x:c r="B2754" t="str">
        <x:v>PH-PK-183</x:v>
      </x:c>
      <x:c r="C2754" t="str">
        <x:v>PHYSICAL</x:v>
      </x:c>
      <x:c r="D2754" t="str">
        <x:v>trial packet</x:v>
      </x:c>
      <x:c r="E2754" t="str">
        <x:v>PH-PK-183</x:v>
      </x:c>
      <x:c r="F2754" t="n">
        <x:f>IF('Trial Register'!Q189&lt;&gt;"",1,0)</x:f>
        <x:v>0</x:v>
      </x:c>
      <x:c r="G2754" t="n">
        <x:v>1</x:v>
      </x:c>
      <x:c r="H2754" t="str">
        <x:v>independent physical acceptance</x:v>
      </x:c>
      <x:c r="I2754" t="str">
        <x:f>IF(F2754=1,"PASS","OPEN")</x:f>
        <x:v>OPEN</x:v>
      </x:c>
    </x:row>
    <x:row r="2755">
      <x:c r="B2755" t="str">
        <x:v>PH-VA-183</x:v>
      </x:c>
      <x:c r="C2755" t="str">
        <x:v>PHYSICAL</x:v>
      </x:c>
      <x:c r="D2755" t="str">
        <x:v>trial validity</x:v>
      </x:c>
      <x:c r="E2755" t="str">
        <x:v>PH-VA-183</x:v>
      </x:c>
      <x:c r="F2755" t="n">
        <x:f>IF('Trial Register'!R189&lt;&gt;"",1,0)</x:f>
        <x:v>0</x:v>
      </x:c>
      <x:c r="G2755" t="n">
        <x:v>1</x:v>
      </x:c>
      <x:c r="H2755" t="str">
        <x:v>independent physical acceptance</x:v>
      </x:c>
      <x:c r="I2755" t="str">
        <x:f>IF(F2755=1,"PASS","OPEN")</x:f>
        <x:v>OPEN</x:v>
      </x:c>
    </x:row>
    <x:row r="2756">
      <x:c r="B2756" t="str">
        <x:v>PH-RV-183</x:v>
      </x:c>
      <x:c r="C2756" t="str">
        <x:v>PHYSICAL</x:v>
      </x:c>
      <x:c r="D2756" t="str">
        <x:v>reported value</x:v>
      </x:c>
      <x:c r="E2756" t="str">
        <x:v>PH-RV-183</x:v>
      </x:c>
      <x:c r="F2756" t="n">
        <x:f>IF('Trial Register'!S189&lt;&gt;"",1,0)</x:f>
        <x:v>0</x:v>
      </x:c>
      <x:c r="G2756" t="n">
        <x:v>1</x:v>
      </x:c>
      <x:c r="H2756" t="str">
        <x:v>independent physical acceptance</x:v>
      </x:c>
      <x:c r="I2756" t="str">
        <x:f>IF(F2756=1,"PASS","OPEN")</x:f>
        <x:v>OPEN</x:v>
      </x:c>
    </x:row>
    <x:row r="2757">
      <x:c r="B2757" t="str">
        <x:v>PH-CR-183</x:v>
      </x:c>
      <x:c r="C2757" t="str">
        <x:v>PHYSICAL</x:v>
      </x:c>
      <x:c r="D2757" t="str">
        <x:v>credit acceptance</x:v>
      </x:c>
      <x:c r="E2757" t="str">
        <x:v>PH-CR-183</x:v>
      </x:c>
      <x:c r="F2757" t="str">
        <x:f>'Trial Register'!V189</x:f>
      </x:c>
      <x:c r="G2757" t="n">
        <x:v>1</x:v>
      </x:c>
      <x:c r="H2757" t="str">
        <x:v>independent physical acceptance</x:v>
      </x:c>
      <x:c r="I2757" t="str">
        <x:f>IF(F2757=1,"PASS","OPEN")</x:f>
        <x:v>OPEN</x:v>
      </x:c>
    </x:row>
    <x:row r="2758">
      <x:c r="B2758" t="str">
        <x:v>PH-EX-184</x:v>
      </x:c>
      <x:c r="C2758" t="str">
        <x:v>PHYSICAL</x:v>
      </x:c>
      <x:c r="D2758" t="str">
        <x:v>trial execution</x:v>
      </x:c>
      <x:c r="E2758" t="str">
        <x:v>PH-EX-184</x:v>
      </x:c>
      <x:c r="F2758" t="n">
        <x:f>IF('Trial Register'!P190&lt;&gt;"",1,0)</x:f>
        <x:v>0</x:v>
      </x:c>
      <x:c r="G2758" t="n">
        <x:v>1</x:v>
      </x:c>
      <x:c r="H2758" t="str">
        <x:v>independent physical acceptance</x:v>
      </x:c>
      <x:c r="I2758" t="str">
        <x:f>IF(F2758=1,"PASS","OPEN")</x:f>
        <x:v>OPEN</x:v>
      </x:c>
    </x:row>
    <x:row r="2759">
      <x:c r="B2759" t="str">
        <x:v>PH-PK-184</x:v>
      </x:c>
      <x:c r="C2759" t="str">
        <x:v>PHYSICAL</x:v>
      </x:c>
      <x:c r="D2759" t="str">
        <x:v>trial packet</x:v>
      </x:c>
      <x:c r="E2759" t="str">
        <x:v>PH-PK-184</x:v>
      </x:c>
      <x:c r="F2759" t="n">
        <x:f>IF('Trial Register'!Q190&lt;&gt;"",1,0)</x:f>
        <x:v>0</x:v>
      </x:c>
      <x:c r="G2759" t="n">
        <x:v>1</x:v>
      </x:c>
      <x:c r="H2759" t="str">
        <x:v>independent physical acceptance</x:v>
      </x:c>
      <x:c r="I2759" t="str">
        <x:f>IF(F2759=1,"PASS","OPEN")</x:f>
        <x:v>OPEN</x:v>
      </x:c>
    </x:row>
    <x:row r="2760">
      <x:c r="B2760" t="str">
        <x:v>PH-VA-184</x:v>
      </x:c>
      <x:c r="C2760" t="str">
        <x:v>PHYSICAL</x:v>
      </x:c>
      <x:c r="D2760" t="str">
        <x:v>trial validity</x:v>
      </x:c>
      <x:c r="E2760" t="str">
        <x:v>PH-VA-184</x:v>
      </x:c>
      <x:c r="F2760" t="n">
        <x:f>IF('Trial Register'!R190&lt;&gt;"",1,0)</x:f>
        <x:v>0</x:v>
      </x:c>
      <x:c r="G2760" t="n">
        <x:v>1</x:v>
      </x:c>
      <x:c r="H2760" t="str">
        <x:v>independent physical acceptance</x:v>
      </x:c>
      <x:c r="I2760" t="str">
        <x:f>IF(F2760=1,"PASS","OPEN")</x:f>
        <x:v>OPEN</x:v>
      </x:c>
    </x:row>
    <x:row r="2761">
      <x:c r="B2761" t="str">
        <x:v>PH-RV-184</x:v>
      </x:c>
      <x:c r="C2761" t="str">
        <x:v>PHYSICAL</x:v>
      </x:c>
      <x:c r="D2761" t="str">
        <x:v>reported value</x:v>
      </x:c>
      <x:c r="E2761" t="str">
        <x:v>PH-RV-184</x:v>
      </x:c>
      <x:c r="F2761" t="n">
        <x:f>IF('Trial Register'!S190&lt;&gt;"",1,0)</x:f>
        <x:v>0</x:v>
      </x:c>
      <x:c r="G2761" t="n">
        <x:v>1</x:v>
      </x:c>
      <x:c r="H2761" t="str">
        <x:v>independent physical acceptance</x:v>
      </x:c>
      <x:c r="I2761" t="str">
        <x:f>IF(F2761=1,"PASS","OPEN")</x:f>
        <x:v>OPEN</x:v>
      </x:c>
    </x:row>
    <x:row r="2762">
      <x:c r="B2762" t="str">
        <x:v>PH-CR-184</x:v>
      </x:c>
      <x:c r="C2762" t="str">
        <x:v>PHYSICAL</x:v>
      </x:c>
      <x:c r="D2762" t="str">
        <x:v>credit acceptance</x:v>
      </x:c>
      <x:c r="E2762" t="str">
        <x:v>PH-CR-184</x:v>
      </x:c>
      <x:c r="F2762" t="str">
        <x:f>'Trial Register'!V190</x:f>
      </x:c>
      <x:c r="G2762" t="n">
        <x:v>1</x:v>
      </x:c>
      <x:c r="H2762" t="str">
        <x:v>independent physical acceptance</x:v>
      </x:c>
      <x:c r="I2762" t="str">
        <x:f>IF(F2762=1,"PASS","OPEN")</x:f>
        <x:v>OPEN</x:v>
      </x:c>
    </x:row>
    <x:row r="2763">
      <x:c r="B2763" t="str">
        <x:v>PH-EX-185</x:v>
      </x:c>
      <x:c r="C2763" t="str">
        <x:v>PHYSICAL</x:v>
      </x:c>
      <x:c r="D2763" t="str">
        <x:v>trial execution</x:v>
      </x:c>
      <x:c r="E2763" t="str">
        <x:v>PH-EX-185</x:v>
      </x:c>
      <x:c r="F2763" t="n">
        <x:f>IF('Trial Register'!P191&lt;&gt;"",1,0)</x:f>
        <x:v>0</x:v>
      </x:c>
      <x:c r="G2763" t="n">
        <x:v>1</x:v>
      </x:c>
      <x:c r="H2763" t="str">
        <x:v>independent physical acceptance</x:v>
      </x:c>
      <x:c r="I2763" t="str">
        <x:f>IF(F2763=1,"PASS","OPEN")</x:f>
        <x:v>OPEN</x:v>
      </x:c>
    </x:row>
    <x:row r="2764">
      <x:c r="B2764" t="str">
        <x:v>PH-PK-185</x:v>
      </x:c>
      <x:c r="C2764" t="str">
        <x:v>PHYSICAL</x:v>
      </x:c>
      <x:c r="D2764" t="str">
        <x:v>trial packet</x:v>
      </x:c>
      <x:c r="E2764" t="str">
        <x:v>PH-PK-185</x:v>
      </x:c>
      <x:c r="F2764" t="n">
        <x:f>IF('Trial Register'!Q191&lt;&gt;"",1,0)</x:f>
        <x:v>0</x:v>
      </x:c>
      <x:c r="G2764" t="n">
        <x:v>1</x:v>
      </x:c>
      <x:c r="H2764" t="str">
        <x:v>independent physical acceptance</x:v>
      </x:c>
      <x:c r="I2764" t="str">
        <x:f>IF(F2764=1,"PASS","OPEN")</x:f>
        <x:v>OPEN</x:v>
      </x:c>
    </x:row>
    <x:row r="2765">
      <x:c r="B2765" t="str">
        <x:v>PH-VA-185</x:v>
      </x:c>
      <x:c r="C2765" t="str">
        <x:v>PHYSICAL</x:v>
      </x:c>
      <x:c r="D2765" t="str">
        <x:v>trial validity</x:v>
      </x:c>
      <x:c r="E2765" t="str">
        <x:v>PH-VA-185</x:v>
      </x:c>
      <x:c r="F2765" t="n">
        <x:f>IF('Trial Register'!R191&lt;&gt;"",1,0)</x:f>
        <x:v>0</x:v>
      </x:c>
      <x:c r="G2765" t="n">
        <x:v>1</x:v>
      </x:c>
      <x:c r="H2765" t="str">
        <x:v>independent physical acceptance</x:v>
      </x:c>
      <x:c r="I2765" t="str">
        <x:f>IF(F2765=1,"PASS","OPEN")</x:f>
        <x:v>OPEN</x:v>
      </x:c>
    </x:row>
    <x:row r="2766">
      <x:c r="B2766" t="str">
        <x:v>PH-RV-185</x:v>
      </x:c>
      <x:c r="C2766" t="str">
        <x:v>PHYSICAL</x:v>
      </x:c>
      <x:c r="D2766" t="str">
        <x:v>reported value</x:v>
      </x:c>
      <x:c r="E2766" t="str">
        <x:v>PH-RV-185</x:v>
      </x:c>
      <x:c r="F2766" t="n">
        <x:f>IF('Trial Register'!S191&lt;&gt;"",1,0)</x:f>
        <x:v>0</x:v>
      </x:c>
      <x:c r="G2766" t="n">
        <x:v>1</x:v>
      </x:c>
      <x:c r="H2766" t="str">
        <x:v>independent physical acceptance</x:v>
      </x:c>
      <x:c r="I2766" t="str">
        <x:f>IF(F2766=1,"PASS","OPEN")</x:f>
        <x:v>OPEN</x:v>
      </x:c>
    </x:row>
    <x:row r="2767">
      <x:c r="B2767" t="str">
        <x:v>PH-CR-185</x:v>
      </x:c>
      <x:c r="C2767" t="str">
        <x:v>PHYSICAL</x:v>
      </x:c>
      <x:c r="D2767" t="str">
        <x:v>credit acceptance</x:v>
      </x:c>
      <x:c r="E2767" t="str">
        <x:v>PH-CR-185</x:v>
      </x:c>
      <x:c r="F2767" t="str">
        <x:f>'Trial Register'!V191</x:f>
      </x:c>
      <x:c r="G2767" t="n">
        <x:v>1</x:v>
      </x:c>
      <x:c r="H2767" t="str">
        <x:v>independent physical acceptance</x:v>
      </x:c>
      <x:c r="I2767" t="str">
        <x:f>IF(F2767=1,"PASS","OPEN")</x:f>
        <x:v>OPEN</x:v>
      </x:c>
    </x:row>
    <x:row r="2768">
      <x:c r="B2768" t="str">
        <x:v>PH-EX-186</x:v>
      </x:c>
      <x:c r="C2768" t="str">
        <x:v>PHYSICAL</x:v>
      </x:c>
      <x:c r="D2768" t="str">
        <x:v>trial execution</x:v>
      </x:c>
      <x:c r="E2768" t="str">
        <x:v>PH-EX-186</x:v>
      </x:c>
      <x:c r="F2768" t="n">
        <x:f>IF('Trial Register'!P192&lt;&gt;"",1,0)</x:f>
        <x:v>0</x:v>
      </x:c>
      <x:c r="G2768" t="n">
        <x:v>1</x:v>
      </x:c>
      <x:c r="H2768" t="str">
        <x:v>independent physical acceptance</x:v>
      </x:c>
      <x:c r="I2768" t="str">
        <x:f>IF(F2768=1,"PASS","OPEN")</x:f>
        <x:v>OPEN</x:v>
      </x:c>
    </x:row>
    <x:row r="2769">
      <x:c r="B2769" t="str">
        <x:v>PH-PK-186</x:v>
      </x:c>
      <x:c r="C2769" t="str">
        <x:v>PHYSICAL</x:v>
      </x:c>
      <x:c r="D2769" t="str">
        <x:v>trial packet</x:v>
      </x:c>
      <x:c r="E2769" t="str">
        <x:v>PH-PK-186</x:v>
      </x:c>
      <x:c r="F2769" t="n">
        <x:f>IF('Trial Register'!Q192&lt;&gt;"",1,0)</x:f>
        <x:v>0</x:v>
      </x:c>
      <x:c r="G2769" t="n">
        <x:v>1</x:v>
      </x:c>
      <x:c r="H2769" t="str">
        <x:v>independent physical acceptance</x:v>
      </x:c>
      <x:c r="I2769" t="str">
        <x:f>IF(F2769=1,"PASS","OPEN")</x:f>
        <x:v>OPEN</x:v>
      </x:c>
    </x:row>
    <x:row r="2770">
      <x:c r="B2770" t="str">
        <x:v>PH-VA-186</x:v>
      </x:c>
      <x:c r="C2770" t="str">
        <x:v>PHYSICAL</x:v>
      </x:c>
      <x:c r="D2770" t="str">
        <x:v>trial validity</x:v>
      </x:c>
      <x:c r="E2770" t="str">
        <x:v>PH-VA-186</x:v>
      </x:c>
      <x:c r="F2770" t="n">
        <x:f>IF('Trial Register'!R192&lt;&gt;"",1,0)</x:f>
        <x:v>0</x:v>
      </x:c>
      <x:c r="G2770" t="n">
        <x:v>1</x:v>
      </x:c>
      <x:c r="H2770" t="str">
        <x:v>independent physical acceptance</x:v>
      </x:c>
      <x:c r="I2770" t="str">
        <x:f>IF(F2770=1,"PASS","OPEN")</x:f>
        <x:v>OPEN</x:v>
      </x:c>
    </x:row>
    <x:row r="2771">
      <x:c r="B2771" t="str">
        <x:v>PH-RV-186</x:v>
      </x:c>
      <x:c r="C2771" t="str">
        <x:v>PHYSICAL</x:v>
      </x:c>
      <x:c r="D2771" t="str">
        <x:v>reported value</x:v>
      </x:c>
      <x:c r="E2771" t="str">
        <x:v>PH-RV-186</x:v>
      </x:c>
      <x:c r="F2771" t="n">
        <x:f>IF('Trial Register'!S192&lt;&gt;"",1,0)</x:f>
        <x:v>0</x:v>
      </x:c>
      <x:c r="G2771" t="n">
        <x:v>1</x:v>
      </x:c>
      <x:c r="H2771" t="str">
        <x:v>independent physical acceptance</x:v>
      </x:c>
      <x:c r="I2771" t="str">
        <x:f>IF(F2771=1,"PASS","OPEN")</x:f>
        <x:v>OPEN</x:v>
      </x:c>
    </x:row>
    <x:row r="2772">
      <x:c r="B2772" t="str">
        <x:v>PH-CR-186</x:v>
      </x:c>
      <x:c r="C2772" t="str">
        <x:v>PHYSICAL</x:v>
      </x:c>
      <x:c r="D2772" t="str">
        <x:v>credit acceptance</x:v>
      </x:c>
      <x:c r="E2772" t="str">
        <x:v>PH-CR-186</x:v>
      </x:c>
      <x:c r="F2772" t="str">
        <x:f>'Trial Register'!V192</x:f>
      </x:c>
      <x:c r="G2772" t="n">
        <x:v>1</x:v>
      </x:c>
      <x:c r="H2772" t="str">
        <x:v>independent physical acceptance</x:v>
      </x:c>
      <x:c r="I2772" t="str">
        <x:f>IF(F2772=1,"PASS","OPEN")</x:f>
        <x:v>OPEN</x:v>
      </x:c>
    </x:row>
    <x:row r="2773">
      <x:c r="B2773" t="str">
        <x:v>PH-EX-187</x:v>
      </x:c>
      <x:c r="C2773" t="str">
        <x:v>PHYSICAL</x:v>
      </x:c>
      <x:c r="D2773" t="str">
        <x:v>trial execution</x:v>
      </x:c>
      <x:c r="E2773" t="str">
        <x:v>PH-EX-187</x:v>
      </x:c>
      <x:c r="F2773" t="n">
        <x:f>IF('Trial Register'!P193&lt;&gt;"",1,0)</x:f>
        <x:v>0</x:v>
      </x:c>
      <x:c r="G2773" t="n">
        <x:v>1</x:v>
      </x:c>
      <x:c r="H2773" t="str">
        <x:v>independent physical acceptance</x:v>
      </x:c>
      <x:c r="I2773" t="str">
        <x:f>IF(F2773=1,"PASS","OPEN")</x:f>
        <x:v>OPEN</x:v>
      </x:c>
    </x:row>
    <x:row r="2774">
      <x:c r="B2774" t="str">
        <x:v>PH-PK-187</x:v>
      </x:c>
      <x:c r="C2774" t="str">
        <x:v>PHYSICAL</x:v>
      </x:c>
      <x:c r="D2774" t="str">
        <x:v>trial packet</x:v>
      </x:c>
      <x:c r="E2774" t="str">
        <x:v>PH-PK-187</x:v>
      </x:c>
      <x:c r="F2774" t="n">
        <x:f>IF('Trial Register'!Q193&lt;&gt;"",1,0)</x:f>
        <x:v>0</x:v>
      </x:c>
      <x:c r="G2774" t="n">
        <x:v>1</x:v>
      </x:c>
      <x:c r="H2774" t="str">
        <x:v>independent physical acceptance</x:v>
      </x:c>
      <x:c r="I2774" t="str">
        <x:f>IF(F2774=1,"PASS","OPEN")</x:f>
        <x:v>OPEN</x:v>
      </x:c>
    </x:row>
    <x:row r="2775">
      <x:c r="B2775" t="str">
        <x:v>PH-VA-187</x:v>
      </x:c>
      <x:c r="C2775" t="str">
        <x:v>PHYSICAL</x:v>
      </x:c>
      <x:c r="D2775" t="str">
        <x:v>trial validity</x:v>
      </x:c>
      <x:c r="E2775" t="str">
        <x:v>PH-VA-187</x:v>
      </x:c>
      <x:c r="F2775" t="n">
        <x:f>IF('Trial Register'!R193&lt;&gt;"",1,0)</x:f>
        <x:v>0</x:v>
      </x:c>
      <x:c r="G2775" t="n">
        <x:v>1</x:v>
      </x:c>
      <x:c r="H2775" t="str">
        <x:v>independent physical acceptance</x:v>
      </x:c>
      <x:c r="I2775" t="str">
        <x:f>IF(F2775=1,"PASS","OPEN")</x:f>
        <x:v>OPEN</x:v>
      </x:c>
    </x:row>
    <x:row r="2776">
      <x:c r="B2776" t="str">
        <x:v>PH-RV-187</x:v>
      </x:c>
      <x:c r="C2776" t="str">
        <x:v>PHYSICAL</x:v>
      </x:c>
      <x:c r="D2776" t="str">
        <x:v>reported value</x:v>
      </x:c>
      <x:c r="E2776" t="str">
        <x:v>PH-RV-187</x:v>
      </x:c>
      <x:c r="F2776" t="n">
        <x:f>IF('Trial Register'!S193&lt;&gt;"",1,0)</x:f>
        <x:v>0</x:v>
      </x:c>
      <x:c r="G2776" t="n">
        <x:v>1</x:v>
      </x:c>
      <x:c r="H2776" t="str">
        <x:v>independent physical acceptance</x:v>
      </x:c>
      <x:c r="I2776" t="str">
        <x:f>IF(F2776=1,"PASS","OPEN")</x:f>
        <x:v>OPEN</x:v>
      </x:c>
    </x:row>
    <x:row r="2777">
      <x:c r="B2777" t="str">
        <x:v>PH-CR-187</x:v>
      </x:c>
      <x:c r="C2777" t="str">
        <x:v>PHYSICAL</x:v>
      </x:c>
      <x:c r="D2777" t="str">
        <x:v>credit acceptance</x:v>
      </x:c>
      <x:c r="E2777" t="str">
        <x:v>PH-CR-187</x:v>
      </x:c>
      <x:c r="F2777" t="str">
        <x:f>'Trial Register'!V193</x:f>
      </x:c>
      <x:c r="G2777" t="n">
        <x:v>1</x:v>
      </x:c>
      <x:c r="H2777" t="str">
        <x:v>independent physical acceptance</x:v>
      </x:c>
      <x:c r="I2777" t="str">
        <x:f>IF(F2777=1,"PASS","OPEN")</x:f>
        <x:v>OPEN</x:v>
      </x:c>
    </x:row>
    <x:row r="2778">
      <x:c r="B2778" t="str">
        <x:v>PH-EX-188</x:v>
      </x:c>
      <x:c r="C2778" t="str">
        <x:v>PHYSICAL</x:v>
      </x:c>
      <x:c r="D2778" t="str">
        <x:v>trial execution</x:v>
      </x:c>
      <x:c r="E2778" t="str">
        <x:v>PH-EX-188</x:v>
      </x:c>
      <x:c r="F2778" t="n">
        <x:f>IF('Trial Register'!P194&lt;&gt;"",1,0)</x:f>
        <x:v>0</x:v>
      </x:c>
      <x:c r="G2778" t="n">
        <x:v>1</x:v>
      </x:c>
      <x:c r="H2778" t="str">
        <x:v>independent physical acceptance</x:v>
      </x:c>
      <x:c r="I2778" t="str">
        <x:f>IF(F2778=1,"PASS","OPEN")</x:f>
        <x:v>OPEN</x:v>
      </x:c>
    </x:row>
    <x:row r="2779">
      <x:c r="B2779" t="str">
        <x:v>PH-PK-188</x:v>
      </x:c>
      <x:c r="C2779" t="str">
        <x:v>PHYSICAL</x:v>
      </x:c>
      <x:c r="D2779" t="str">
        <x:v>trial packet</x:v>
      </x:c>
      <x:c r="E2779" t="str">
        <x:v>PH-PK-188</x:v>
      </x:c>
      <x:c r="F2779" t="n">
        <x:f>IF('Trial Register'!Q194&lt;&gt;"",1,0)</x:f>
        <x:v>0</x:v>
      </x:c>
      <x:c r="G2779" t="n">
        <x:v>1</x:v>
      </x:c>
      <x:c r="H2779" t="str">
        <x:v>independent physical acceptance</x:v>
      </x:c>
      <x:c r="I2779" t="str">
        <x:f>IF(F2779=1,"PASS","OPEN")</x:f>
        <x:v>OPEN</x:v>
      </x:c>
    </x:row>
    <x:row r="2780">
      <x:c r="B2780" t="str">
        <x:v>PH-VA-188</x:v>
      </x:c>
      <x:c r="C2780" t="str">
        <x:v>PHYSICAL</x:v>
      </x:c>
      <x:c r="D2780" t="str">
        <x:v>trial validity</x:v>
      </x:c>
      <x:c r="E2780" t="str">
        <x:v>PH-VA-188</x:v>
      </x:c>
      <x:c r="F2780" t="n">
        <x:f>IF('Trial Register'!R194&lt;&gt;"",1,0)</x:f>
        <x:v>0</x:v>
      </x:c>
      <x:c r="G2780" t="n">
        <x:v>1</x:v>
      </x:c>
      <x:c r="H2780" t="str">
        <x:v>independent physical acceptance</x:v>
      </x:c>
      <x:c r="I2780" t="str">
        <x:f>IF(F2780=1,"PASS","OPEN")</x:f>
        <x:v>OPEN</x:v>
      </x:c>
    </x:row>
    <x:row r="2781">
      <x:c r="B2781" t="str">
        <x:v>PH-RV-188</x:v>
      </x:c>
      <x:c r="C2781" t="str">
        <x:v>PHYSICAL</x:v>
      </x:c>
      <x:c r="D2781" t="str">
        <x:v>reported value</x:v>
      </x:c>
      <x:c r="E2781" t="str">
        <x:v>PH-RV-188</x:v>
      </x:c>
      <x:c r="F2781" t="n">
        <x:f>IF('Trial Register'!S194&lt;&gt;"",1,0)</x:f>
        <x:v>0</x:v>
      </x:c>
      <x:c r="G2781" t="n">
        <x:v>1</x:v>
      </x:c>
      <x:c r="H2781" t="str">
        <x:v>independent physical acceptance</x:v>
      </x:c>
      <x:c r="I2781" t="str">
        <x:f>IF(F2781=1,"PASS","OPEN")</x:f>
        <x:v>OPEN</x:v>
      </x:c>
    </x:row>
    <x:row r="2782">
      <x:c r="B2782" t="str">
        <x:v>PH-CR-188</x:v>
      </x:c>
      <x:c r="C2782" t="str">
        <x:v>PHYSICAL</x:v>
      </x:c>
      <x:c r="D2782" t="str">
        <x:v>credit acceptance</x:v>
      </x:c>
      <x:c r="E2782" t="str">
        <x:v>PH-CR-188</x:v>
      </x:c>
      <x:c r="F2782" t="str">
        <x:f>'Trial Register'!V194</x:f>
      </x:c>
      <x:c r="G2782" t="n">
        <x:v>1</x:v>
      </x:c>
      <x:c r="H2782" t="str">
        <x:v>independent physical acceptance</x:v>
      </x:c>
      <x:c r="I2782" t="str">
        <x:f>IF(F2782=1,"PASS","OPEN")</x:f>
        <x:v>OPEN</x:v>
      </x:c>
    </x:row>
    <x:row r="2783">
      <x:c r="B2783" t="str">
        <x:v>PH-EX-189</x:v>
      </x:c>
      <x:c r="C2783" t="str">
        <x:v>PHYSICAL</x:v>
      </x:c>
      <x:c r="D2783" t="str">
        <x:v>trial execution</x:v>
      </x:c>
      <x:c r="E2783" t="str">
        <x:v>PH-EX-189</x:v>
      </x:c>
      <x:c r="F2783" t="n">
        <x:f>IF('Trial Register'!P195&lt;&gt;"",1,0)</x:f>
        <x:v>0</x:v>
      </x:c>
      <x:c r="G2783" t="n">
        <x:v>1</x:v>
      </x:c>
      <x:c r="H2783" t="str">
        <x:v>independent physical acceptance</x:v>
      </x:c>
      <x:c r="I2783" t="str">
        <x:f>IF(F2783=1,"PASS","OPEN")</x:f>
        <x:v>OPEN</x:v>
      </x:c>
    </x:row>
    <x:row r="2784">
      <x:c r="B2784" t="str">
        <x:v>PH-PK-189</x:v>
      </x:c>
      <x:c r="C2784" t="str">
        <x:v>PHYSICAL</x:v>
      </x:c>
      <x:c r="D2784" t="str">
        <x:v>trial packet</x:v>
      </x:c>
      <x:c r="E2784" t="str">
        <x:v>PH-PK-189</x:v>
      </x:c>
      <x:c r="F2784" t="n">
        <x:f>IF('Trial Register'!Q195&lt;&gt;"",1,0)</x:f>
        <x:v>0</x:v>
      </x:c>
      <x:c r="G2784" t="n">
        <x:v>1</x:v>
      </x:c>
      <x:c r="H2784" t="str">
        <x:v>independent physical acceptance</x:v>
      </x:c>
      <x:c r="I2784" t="str">
        <x:f>IF(F2784=1,"PASS","OPEN")</x:f>
        <x:v>OPEN</x:v>
      </x:c>
    </x:row>
    <x:row r="2785">
      <x:c r="B2785" t="str">
        <x:v>PH-VA-189</x:v>
      </x:c>
      <x:c r="C2785" t="str">
        <x:v>PHYSICAL</x:v>
      </x:c>
      <x:c r="D2785" t="str">
        <x:v>trial validity</x:v>
      </x:c>
      <x:c r="E2785" t="str">
        <x:v>PH-VA-189</x:v>
      </x:c>
      <x:c r="F2785" t="n">
        <x:f>IF('Trial Register'!R195&lt;&gt;"",1,0)</x:f>
        <x:v>0</x:v>
      </x:c>
      <x:c r="G2785" t="n">
        <x:v>1</x:v>
      </x:c>
      <x:c r="H2785" t="str">
        <x:v>independent physical acceptance</x:v>
      </x:c>
      <x:c r="I2785" t="str">
        <x:f>IF(F2785=1,"PASS","OPEN")</x:f>
        <x:v>OPEN</x:v>
      </x:c>
    </x:row>
    <x:row r="2786">
      <x:c r="B2786" t="str">
        <x:v>PH-RV-189</x:v>
      </x:c>
      <x:c r="C2786" t="str">
        <x:v>PHYSICAL</x:v>
      </x:c>
      <x:c r="D2786" t="str">
        <x:v>reported value</x:v>
      </x:c>
      <x:c r="E2786" t="str">
        <x:v>PH-RV-189</x:v>
      </x:c>
      <x:c r="F2786" t="n">
        <x:f>IF('Trial Register'!S195&lt;&gt;"",1,0)</x:f>
        <x:v>0</x:v>
      </x:c>
      <x:c r="G2786" t="n">
        <x:v>1</x:v>
      </x:c>
      <x:c r="H2786" t="str">
        <x:v>independent physical acceptance</x:v>
      </x:c>
      <x:c r="I2786" t="str">
        <x:f>IF(F2786=1,"PASS","OPEN")</x:f>
        <x:v>OPEN</x:v>
      </x:c>
    </x:row>
    <x:row r="2787">
      <x:c r="B2787" t="str">
        <x:v>PH-CR-189</x:v>
      </x:c>
      <x:c r="C2787" t="str">
        <x:v>PHYSICAL</x:v>
      </x:c>
      <x:c r="D2787" t="str">
        <x:v>credit acceptance</x:v>
      </x:c>
      <x:c r="E2787" t="str">
        <x:v>PH-CR-189</x:v>
      </x:c>
      <x:c r="F2787" t="str">
        <x:f>'Trial Register'!V195</x:f>
      </x:c>
      <x:c r="G2787" t="n">
        <x:v>1</x:v>
      </x:c>
      <x:c r="H2787" t="str">
        <x:v>independent physical acceptance</x:v>
      </x:c>
      <x:c r="I2787" t="str">
        <x:f>IF(F2787=1,"PASS","OPEN")</x:f>
        <x:v>OPEN</x:v>
      </x:c>
    </x:row>
    <x:row r="2788">
      <x:c r="B2788" t="str">
        <x:v>PH-EX-190</x:v>
      </x:c>
      <x:c r="C2788" t="str">
        <x:v>PHYSICAL</x:v>
      </x:c>
      <x:c r="D2788" t="str">
        <x:v>trial execution</x:v>
      </x:c>
      <x:c r="E2788" t="str">
        <x:v>PH-EX-190</x:v>
      </x:c>
      <x:c r="F2788" t="n">
        <x:f>IF('Trial Register'!P196&lt;&gt;"",1,0)</x:f>
        <x:v>0</x:v>
      </x:c>
      <x:c r="G2788" t="n">
        <x:v>1</x:v>
      </x:c>
      <x:c r="H2788" t="str">
        <x:v>independent physical acceptance</x:v>
      </x:c>
      <x:c r="I2788" t="str">
        <x:f>IF(F2788=1,"PASS","OPEN")</x:f>
        <x:v>OPEN</x:v>
      </x:c>
    </x:row>
    <x:row r="2789">
      <x:c r="B2789" t="str">
        <x:v>PH-PK-190</x:v>
      </x:c>
      <x:c r="C2789" t="str">
        <x:v>PHYSICAL</x:v>
      </x:c>
      <x:c r="D2789" t="str">
        <x:v>trial packet</x:v>
      </x:c>
      <x:c r="E2789" t="str">
        <x:v>PH-PK-190</x:v>
      </x:c>
      <x:c r="F2789" t="n">
        <x:f>IF('Trial Register'!Q196&lt;&gt;"",1,0)</x:f>
        <x:v>0</x:v>
      </x:c>
      <x:c r="G2789" t="n">
        <x:v>1</x:v>
      </x:c>
      <x:c r="H2789" t="str">
        <x:v>independent physical acceptance</x:v>
      </x:c>
      <x:c r="I2789" t="str">
        <x:f>IF(F2789=1,"PASS","OPEN")</x:f>
        <x:v>OPEN</x:v>
      </x:c>
    </x:row>
    <x:row r="2790">
      <x:c r="B2790" t="str">
        <x:v>PH-VA-190</x:v>
      </x:c>
      <x:c r="C2790" t="str">
        <x:v>PHYSICAL</x:v>
      </x:c>
      <x:c r="D2790" t="str">
        <x:v>trial validity</x:v>
      </x:c>
      <x:c r="E2790" t="str">
        <x:v>PH-VA-190</x:v>
      </x:c>
      <x:c r="F2790" t="n">
        <x:f>IF('Trial Register'!R196&lt;&gt;"",1,0)</x:f>
        <x:v>0</x:v>
      </x:c>
      <x:c r="G2790" t="n">
        <x:v>1</x:v>
      </x:c>
      <x:c r="H2790" t="str">
        <x:v>independent physical acceptance</x:v>
      </x:c>
      <x:c r="I2790" t="str">
        <x:f>IF(F2790=1,"PASS","OPEN")</x:f>
        <x:v>OPEN</x:v>
      </x:c>
    </x:row>
    <x:row r="2791">
      <x:c r="B2791" t="str">
        <x:v>PH-RV-190</x:v>
      </x:c>
      <x:c r="C2791" t="str">
        <x:v>PHYSICAL</x:v>
      </x:c>
      <x:c r="D2791" t="str">
        <x:v>reported value</x:v>
      </x:c>
      <x:c r="E2791" t="str">
        <x:v>PH-RV-190</x:v>
      </x:c>
      <x:c r="F2791" t="n">
        <x:f>IF('Trial Register'!S196&lt;&gt;"",1,0)</x:f>
        <x:v>0</x:v>
      </x:c>
      <x:c r="G2791" t="n">
        <x:v>1</x:v>
      </x:c>
      <x:c r="H2791" t="str">
        <x:v>independent physical acceptance</x:v>
      </x:c>
      <x:c r="I2791" t="str">
        <x:f>IF(F2791=1,"PASS","OPEN")</x:f>
        <x:v>OPEN</x:v>
      </x:c>
    </x:row>
    <x:row r="2792">
      <x:c r="B2792" t="str">
        <x:v>PH-CR-190</x:v>
      </x:c>
      <x:c r="C2792" t="str">
        <x:v>PHYSICAL</x:v>
      </x:c>
      <x:c r="D2792" t="str">
        <x:v>credit acceptance</x:v>
      </x:c>
      <x:c r="E2792" t="str">
        <x:v>PH-CR-190</x:v>
      </x:c>
      <x:c r="F2792" t="str">
        <x:f>'Trial Register'!V196</x:f>
      </x:c>
      <x:c r="G2792" t="n">
        <x:v>1</x:v>
      </x:c>
      <x:c r="H2792" t="str">
        <x:v>independent physical acceptance</x:v>
      </x:c>
      <x:c r="I2792" t="str">
        <x:f>IF(F2792=1,"PASS","OPEN")</x:f>
        <x:v>OPEN</x:v>
      </x:c>
    </x:row>
    <x:row r="2793">
      <x:c r="B2793" t="str">
        <x:v>PH-EX-191</x:v>
      </x:c>
      <x:c r="C2793" t="str">
        <x:v>PHYSICAL</x:v>
      </x:c>
      <x:c r="D2793" t="str">
        <x:v>trial execution</x:v>
      </x:c>
      <x:c r="E2793" t="str">
        <x:v>PH-EX-191</x:v>
      </x:c>
      <x:c r="F2793" t="n">
        <x:f>IF('Trial Register'!P197&lt;&gt;"",1,0)</x:f>
        <x:v>0</x:v>
      </x:c>
      <x:c r="G2793" t="n">
        <x:v>1</x:v>
      </x:c>
      <x:c r="H2793" t="str">
        <x:v>independent physical acceptance</x:v>
      </x:c>
      <x:c r="I2793" t="str">
        <x:f>IF(F2793=1,"PASS","OPEN")</x:f>
        <x:v>OPEN</x:v>
      </x:c>
    </x:row>
    <x:row r="2794">
      <x:c r="B2794" t="str">
        <x:v>PH-PK-191</x:v>
      </x:c>
      <x:c r="C2794" t="str">
        <x:v>PHYSICAL</x:v>
      </x:c>
      <x:c r="D2794" t="str">
        <x:v>trial packet</x:v>
      </x:c>
      <x:c r="E2794" t="str">
        <x:v>PH-PK-191</x:v>
      </x:c>
      <x:c r="F2794" t="n">
        <x:f>IF('Trial Register'!Q197&lt;&gt;"",1,0)</x:f>
        <x:v>0</x:v>
      </x:c>
      <x:c r="G2794" t="n">
        <x:v>1</x:v>
      </x:c>
      <x:c r="H2794" t="str">
        <x:v>independent physical acceptance</x:v>
      </x:c>
      <x:c r="I2794" t="str">
        <x:f>IF(F2794=1,"PASS","OPEN")</x:f>
        <x:v>OPEN</x:v>
      </x:c>
    </x:row>
    <x:row r="2795">
      <x:c r="B2795" t="str">
        <x:v>PH-VA-191</x:v>
      </x:c>
      <x:c r="C2795" t="str">
        <x:v>PHYSICAL</x:v>
      </x:c>
      <x:c r="D2795" t="str">
        <x:v>trial validity</x:v>
      </x:c>
      <x:c r="E2795" t="str">
        <x:v>PH-VA-191</x:v>
      </x:c>
      <x:c r="F2795" t="n">
        <x:f>IF('Trial Register'!R197&lt;&gt;"",1,0)</x:f>
        <x:v>0</x:v>
      </x:c>
      <x:c r="G2795" t="n">
        <x:v>1</x:v>
      </x:c>
      <x:c r="H2795" t="str">
        <x:v>independent physical acceptance</x:v>
      </x:c>
      <x:c r="I2795" t="str">
        <x:f>IF(F2795=1,"PASS","OPEN")</x:f>
        <x:v>OPEN</x:v>
      </x:c>
    </x:row>
    <x:row r="2796">
      <x:c r="B2796" t="str">
        <x:v>PH-RV-191</x:v>
      </x:c>
      <x:c r="C2796" t="str">
        <x:v>PHYSICAL</x:v>
      </x:c>
      <x:c r="D2796" t="str">
        <x:v>reported value</x:v>
      </x:c>
      <x:c r="E2796" t="str">
        <x:v>PH-RV-191</x:v>
      </x:c>
      <x:c r="F2796" t="n">
        <x:f>IF('Trial Register'!S197&lt;&gt;"",1,0)</x:f>
        <x:v>0</x:v>
      </x:c>
      <x:c r="G2796" t="n">
        <x:v>1</x:v>
      </x:c>
      <x:c r="H2796" t="str">
        <x:v>independent physical acceptance</x:v>
      </x:c>
      <x:c r="I2796" t="str">
        <x:f>IF(F2796=1,"PASS","OPEN")</x:f>
        <x:v>OPEN</x:v>
      </x:c>
    </x:row>
    <x:row r="2797">
      <x:c r="B2797" t="str">
        <x:v>PH-CR-191</x:v>
      </x:c>
      <x:c r="C2797" t="str">
        <x:v>PHYSICAL</x:v>
      </x:c>
      <x:c r="D2797" t="str">
        <x:v>credit acceptance</x:v>
      </x:c>
      <x:c r="E2797" t="str">
        <x:v>PH-CR-191</x:v>
      </x:c>
      <x:c r="F2797" t="str">
        <x:f>'Trial Register'!V197</x:f>
      </x:c>
      <x:c r="G2797" t="n">
        <x:v>1</x:v>
      </x:c>
      <x:c r="H2797" t="str">
        <x:v>independent physical acceptance</x:v>
      </x:c>
      <x:c r="I2797" t="str">
        <x:f>IF(F2797=1,"PASS","OPEN")</x:f>
        <x:v>OPEN</x:v>
      </x:c>
    </x:row>
    <x:row r="2798">
      <x:c r="B2798" t="str">
        <x:v>PH-EX-192</x:v>
      </x:c>
      <x:c r="C2798" t="str">
        <x:v>PHYSICAL</x:v>
      </x:c>
      <x:c r="D2798" t="str">
        <x:v>trial execution</x:v>
      </x:c>
      <x:c r="E2798" t="str">
        <x:v>PH-EX-192</x:v>
      </x:c>
      <x:c r="F2798" t="n">
        <x:f>IF('Trial Register'!P198&lt;&gt;"",1,0)</x:f>
        <x:v>0</x:v>
      </x:c>
      <x:c r="G2798" t="n">
        <x:v>1</x:v>
      </x:c>
      <x:c r="H2798" t="str">
        <x:v>independent physical acceptance</x:v>
      </x:c>
      <x:c r="I2798" t="str">
        <x:f>IF(F2798=1,"PASS","OPEN")</x:f>
        <x:v>OPEN</x:v>
      </x:c>
    </x:row>
    <x:row r="2799">
      <x:c r="B2799" t="str">
        <x:v>PH-PK-192</x:v>
      </x:c>
      <x:c r="C2799" t="str">
        <x:v>PHYSICAL</x:v>
      </x:c>
      <x:c r="D2799" t="str">
        <x:v>trial packet</x:v>
      </x:c>
      <x:c r="E2799" t="str">
        <x:v>PH-PK-192</x:v>
      </x:c>
      <x:c r="F2799" t="n">
        <x:f>IF('Trial Register'!Q198&lt;&gt;"",1,0)</x:f>
        <x:v>0</x:v>
      </x:c>
      <x:c r="G2799" t="n">
        <x:v>1</x:v>
      </x:c>
      <x:c r="H2799" t="str">
        <x:v>independent physical acceptance</x:v>
      </x:c>
      <x:c r="I2799" t="str">
        <x:f>IF(F2799=1,"PASS","OPEN")</x:f>
        <x:v>OPEN</x:v>
      </x:c>
    </x:row>
    <x:row r="2800">
      <x:c r="B2800" t="str">
        <x:v>PH-VA-192</x:v>
      </x:c>
      <x:c r="C2800" t="str">
        <x:v>PHYSICAL</x:v>
      </x:c>
      <x:c r="D2800" t="str">
        <x:v>trial validity</x:v>
      </x:c>
      <x:c r="E2800" t="str">
        <x:v>PH-VA-192</x:v>
      </x:c>
      <x:c r="F2800" t="n">
        <x:f>IF('Trial Register'!R198&lt;&gt;"",1,0)</x:f>
        <x:v>0</x:v>
      </x:c>
      <x:c r="G2800" t="n">
        <x:v>1</x:v>
      </x:c>
      <x:c r="H2800" t="str">
        <x:v>independent physical acceptance</x:v>
      </x:c>
      <x:c r="I2800" t="str">
        <x:f>IF(F2800=1,"PASS","OPEN")</x:f>
        <x:v>OPEN</x:v>
      </x:c>
    </x:row>
    <x:row r="2801">
      <x:c r="B2801" t="str">
        <x:v>PH-RV-192</x:v>
      </x:c>
      <x:c r="C2801" t="str">
        <x:v>PHYSICAL</x:v>
      </x:c>
      <x:c r="D2801" t="str">
        <x:v>reported value</x:v>
      </x:c>
      <x:c r="E2801" t="str">
        <x:v>PH-RV-192</x:v>
      </x:c>
      <x:c r="F2801" t="n">
        <x:f>IF('Trial Register'!S198&lt;&gt;"",1,0)</x:f>
        <x:v>0</x:v>
      </x:c>
      <x:c r="G2801" t="n">
        <x:v>1</x:v>
      </x:c>
      <x:c r="H2801" t="str">
        <x:v>independent physical acceptance</x:v>
      </x:c>
      <x:c r="I2801" t="str">
        <x:f>IF(F2801=1,"PASS","OPEN")</x:f>
        <x:v>OPEN</x:v>
      </x:c>
    </x:row>
    <x:row r="2802">
      <x:c r="B2802" t="str">
        <x:v>PH-CR-192</x:v>
      </x:c>
      <x:c r="C2802" t="str">
        <x:v>PHYSICAL</x:v>
      </x:c>
      <x:c r="D2802" t="str">
        <x:v>credit acceptance</x:v>
      </x:c>
      <x:c r="E2802" t="str">
        <x:v>PH-CR-192</x:v>
      </x:c>
      <x:c r="F2802" t="str">
        <x:f>'Trial Register'!V198</x:f>
      </x:c>
      <x:c r="G2802" t="n">
        <x:v>1</x:v>
      </x:c>
      <x:c r="H2802" t="str">
        <x:v>independent physical acceptance</x:v>
      </x:c>
      <x:c r="I2802" t="str">
        <x:f>IF(F2802=1,"PASS","OPEN")</x:f>
        <x:v>OPEN</x:v>
      </x:c>
    </x:row>
    <x:row r="2803">
      <x:c r="B2803" t="str">
        <x:v>PH-EX-193</x:v>
      </x:c>
      <x:c r="C2803" t="str">
        <x:v>PHYSICAL</x:v>
      </x:c>
      <x:c r="D2803" t="str">
        <x:v>trial execution</x:v>
      </x:c>
      <x:c r="E2803" t="str">
        <x:v>PH-EX-193</x:v>
      </x:c>
      <x:c r="F2803" t="n">
        <x:f>IF('Trial Register'!P199&lt;&gt;"",1,0)</x:f>
        <x:v>0</x:v>
      </x:c>
      <x:c r="G2803" t="n">
        <x:v>1</x:v>
      </x:c>
      <x:c r="H2803" t="str">
        <x:v>independent physical acceptance</x:v>
      </x:c>
      <x:c r="I2803" t="str">
        <x:f>IF(F2803=1,"PASS","OPEN")</x:f>
        <x:v>OPEN</x:v>
      </x:c>
    </x:row>
    <x:row r="2804">
      <x:c r="B2804" t="str">
        <x:v>PH-PK-193</x:v>
      </x:c>
      <x:c r="C2804" t="str">
        <x:v>PHYSICAL</x:v>
      </x:c>
      <x:c r="D2804" t="str">
        <x:v>trial packet</x:v>
      </x:c>
      <x:c r="E2804" t="str">
        <x:v>PH-PK-193</x:v>
      </x:c>
      <x:c r="F2804" t="n">
        <x:f>IF('Trial Register'!Q199&lt;&gt;"",1,0)</x:f>
        <x:v>0</x:v>
      </x:c>
      <x:c r="G2804" t="n">
        <x:v>1</x:v>
      </x:c>
      <x:c r="H2804" t="str">
        <x:v>independent physical acceptance</x:v>
      </x:c>
      <x:c r="I2804" t="str">
        <x:f>IF(F2804=1,"PASS","OPEN")</x:f>
        <x:v>OPEN</x:v>
      </x:c>
    </x:row>
    <x:row r="2805">
      <x:c r="B2805" t="str">
        <x:v>PH-VA-193</x:v>
      </x:c>
      <x:c r="C2805" t="str">
        <x:v>PHYSICAL</x:v>
      </x:c>
      <x:c r="D2805" t="str">
        <x:v>trial validity</x:v>
      </x:c>
      <x:c r="E2805" t="str">
        <x:v>PH-VA-193</x:v>
      </x:c>
      <x:c r="F2805" t="n">
        <x:f>IF('Trial Register'!R199&lt;&gt;"",1,0)</x:f>
        <x:v>0</x:v>
      </x:c>
      <x:c r="G2805" t="n">
        <x:v>1</x:v>
      </x:c>
      <x:c r="H2805" t="str">
        <x:v>independent physical acceptance</x:v>
      </x:c>
      <x:c r="I2805" t="str">
        <x:f>IF(F2805=1,"PASS","OPEN")</x:f>
        <x:v>OPEN</x:v>
      </x:c>
    </x:row>
    <x:row r="2806">
      <x:c r="B2806" t="str">
        <x:v>PH-RV-193</x:v>
      </x:c>
      <x:c r="C2806" t="str">
        <x:v>PHYSICAL</x:v>
      </x:c>
      <x:c r="D2806" t="str">
        <x:v>reported value</x:v>
      </x:c>
      <x:c r="E2806" t="str">
        <x:v>PH-RV-193</x:v>
      </x:c>
      <x:c r="F2806" t="n">
        <x:f>IF('Trial Register'!S199&lt;&gt;"",1,0)</x:f>
        <x:v>0</x:v>
      </x:c>
      <x:c r="G2806" t="n">
        <x:v>1</x:v>
      </x:c>
      <x:c r="H2806" t="str">
        <x:v>independent physical acceptance</x:v>
      </x:c>
      <x:c r="I2806" t="str">
        <x:f>IF(F2806=1,"PASS","OPEN")</x:f>
        <x:v>OPEN</x:v>
      </x:c>
    </x:row>
    <x:row r="2807">
      <x:c r="B2807" t="str">
        <x:v>PH-CR-193</x:v>
      </x:c>
      <x:c r="C2807" t="str">
        <x:v>PHYSICAL</x:v>
      </x:c>
      <x:c r="D2807" t="str">
        <x:v>credit acceptance</x:v>
      </x:c>
      <x:c r="E2807" t="str">
        <x:v>PH-CR-193</x:v>
      </x:c>
      <x:c r="F2807" t="str">
        <x:f>'Trial Register'!V199</x:f>
      </x:c>
      <x:c r="G2807" t="n">
        <x:v>1</x:v>
      </x:c>
      <x:c r="H2807" t="str">
        <x:v>independent physical acceptance</x:v>
      </x:c>
      <x:c r="I2807" t="str">
        <x:f>IF(F2807=1,"PASS","OPEN")</x:f>
        <x:v>OPEN</x:v>
      </x:c>
    </x:row>
    <x:row r="2808">
      <x:c r="B2808" t="str">
        <x:v>PH-EX-194</x:v>
      </x:c>
      <x:c r="C2808" t="str">
        <x:v>PHYSICAL</x:v>
      </x:c>
      <x:c r="D2808" t="str">
        <x:v>trial execution</x:v>
      </x:c>
      <x:c r="E2808" t="str">
        <x:v>PH-EX-194</x:v>
      </x:c>
      <x:c r="F2808" t="n">
        <x:f>IF('Trial Register'!P200&lt;&gt;"",1,0)</x:f>
        <x:v>0</x:v>
      </x:c>
      <x:c r="G2808" t="n">
        <x:v>1</x:v>
      </x:c>
      <x:c r="H2808" t="str">
        <x:v>independent physical acceptance</x:v>
      </x:c>
      <x:c r="I2808" t="str">
        <x:f>IF(F2808=1,"PASS","OPEN")</x:f>
        <x:v>OPEN</x:v>
      </x:c>
    </x:row>
    <x:row r="2809">
      <x:c r="B2809" t="str">
        <x:v>PH-PK-194</x:v>
      </x:c>
      <x:c r="C2809" t="str">
        <x:v>PHYSICAL</x:v>
      </x:c>
      <x:c r="D2809" t="str">
        <x:v>trial packet</x:v>
      </x:c>
      <x:c r="E2809" t="str">
        <x:v>PH-PK-194</x:v>
      </x:c>
      <x:c r="F2809" t="n">
        <x:f>IF('Trial Register'!Q200&lt;&gt;"",1,0)</x:f>
        <x:v>0</x:v>
      </x:c>
      <x:c r="G2809" t="n">
        <x:v>1</x:v>
      </x:c>
      <x:c r="H2809" t="str">
        <x:v>independent physical acceptance</x:v>
      </x:c>
      <x:c r="I2809" t="str">
        <x:f>IF(F2809=1,"PASS","OPEN")</x:f>
        <x:v>OPEN</x:v>
      </x:c>
    </x:row>
    <x:row r="2810">
      <x:c r="B2810" t="str">
        <x:v>PH-VA-194</x:v>
      </x:c>
      <x:c r="C2810" t="str">
        <x:v>PHYSICAL</x:v>
      </x:c>
      <x:c r="D2810" t="str">
        <x:v>trial validity</x:v>
      </x:c>
      <x:c r="E2810" t="str">
        <x:v>PH-VA-194</x:v>
      </x:c>
      <x:c r="F2810" t="n">
        <x:f>IF('Trial Register'!R200&lt;&gt;"",1,0)</x:f>
        <x:v>0</x:v>
      </x:c>
      <x:c r="G2810" t="n">
        <x:v>1</x:v>
      </x:c>
      <x:c r="H2810" t="str">
        <x:v>independent physical acceptance</x:v>
      </x:c>
      <x:c r="I2810" t="str">
        <x:f>IF(F2810=1,"PASS","OPEN")</x:f>
        <x:v>OPEN</x:v>
      </x:c>
    </x:row>
    <x:row r="2811">
      <x:c r="B2811" t="str">
        <x:v>PH-RV-194</x:v>
      </x:c>
      <x:c r="C2811" t="str">
        <x:v>PHYSICAL</x:v>
      </x:c>
      <x:c r="D2811" t="str">
        <x:v>reported value</x:v>
      </x:c>
      <x:c r="E2811" t="str">
        <x:v>PH-RV-194</x:v>
      </x:c>
      <x:c r="F2811" t="n">
        <x:f>IF('Trial Register'!S200&lt;&gt;"",1,0)</x:f>
        <x:v>0</x:v>
      </x:c>
      <x:c r="G2811" t="n">
        <x:v>1</x:v>
      </x:c>
      <x:c r="H2811" t="str">
        <x:v>independent physical acceptance</x:v>
      </x:c>
      <x:c r="I2811" t="str">
        <x:f>IF(F2811=1,"PASS","OPEN")</x:f>
        <x:v>OPEN</x:v>
      </x:c>
    </x:row>
    <x:row r="2812">
      <x:c r="B2812" t="str">
        <x:v>PH-CR-194</x:v>
      </x:c>
      <x:c r="C2812" t="str">
        <x:v>PHYSICAL</x:v>
      </x:c>
      <x:c r="D2812" t="str">
        <x:v>credit acceptance</x:v>
      </x:c>
      <x:c r="E2812" t="str">
        <x:v>PH-CR-194</x:v>
      </x:c>
      <x:c r="F2812" t="str">
        <x:f>'Trial Register'!V200</x:f>
      </x:c>
      <x:c r="G2812" t="n">
        <x:v>1</x:v>
      </x:c>
      <x:c r="H2812" t="str">
        <x:v>independent physical acceptance</x:v>
      </x:c>
      <x:c r="I2812" t="str">
        <x:f>IF(F2812=1,"PASS","OPEN")</x:f>
        <x:v>OPEN</x:v>
      </x:c>
    </x:row>
    <x:row r="2813">
      <x:c r="B2813" t="str">
        <x:v>PH-EX-195</x:v>
      </x:c>
      <x:c r="C2813" t="str">
        <x:v>PHYSICAL</x:v>
      </x:c>
      <x:c r="D2813" t="str">
        <x:v>trial execution</x:v>
      </x:c>
      <x:c r="E2813" t="str">
        <x:v>PH-EX-195</x:v>
      </x:c>
      <x:c r="F2813" t="n">
        <x:f>IF('Trial Register'!P201&lt;&gt;"",1,0)</x:f>
        <x:v>0</x:v>
      </x:c>
      <x:c r="G2813" t="n">
        <x:v>1</x:v>
      </x:c>
      <x:c r="H2813" t="str">
        <x:v>independent physical acceptance</x:v>
      </x:c>
      <x:c r="I2813" t="str">
        <x:f>IF(F2813=1,"PASS","OPEN")</x:f>
        <x:v>OPEN</x:v>
      </x:c>
    </x:row>
    <x:row r="2814">
      <x:c r="B2814" t="str">
        <x:v>PH-PK-195</x:v>
      </x:c>
      <x:c r="C2814" t="str">
        <x:v>PHYSICAL</x:v>
      </x:c>
      <x:c r="D2814" t="str">
        <x:v>trial packet</x:v>
      </x:c>
      <x:c r="E2814" t="str">
        <x:v>PH-PK-195</x:v>
      </x:c>
      <x:c r="F2814" t="n">
        <x:f>IF('Trial Register'!Q201&lt;&gt;"",1,0)</x:f>
        <x:v>0</x:v>
      </x:c>
      <x:c r="G2814" t="n">
        <x:v>1</x:v>
      </x:c>
      <x:c r="H2814" t="str">
        <x:v>independent physical acceptance</x:v>
      </x:c>
      <x:c r="I2814" t="str">
        <x:f>IF(F2814=1,"PASS","OPEN")</x:f>
        <x:v>OPEN</x:v>
      </x:c>
    </x:row>
    <x:row r="2815">
      <x:c r="B2815" t="str">
        <x:v>PH-VA-195</x:v>
      </x:c>
      <x:c r="C2815" t="str">
        <x:v>PHYSICAL</x:v>
      </x:c>
      <x:c r="D2815" t="str">
        <x:v>trial validity</x:v>
      </x:c>
      <x:c r="E2815" t="str">
        <x:v>PH-VA-195</x:v>
      </x:c>
      <x:c r="F2815" t="n">
        <x:f>IF('Trial Register'!R201&lt;&gt;"",1,0)</x:f>
        <x:v>0</x:v>
      </x:c>
      <x:c r="G2815" t="n">
        <x:v>1</x:v>
      </x:c>
      <x:c r="H2815" t="str">
        <x:v>independent physical acceptance</x:v>
      </x:c>
      <x:c r="I2815" t="str">
        <x:f>IF(F2815=1,"PASS","OPEN")</x:f>
        <x:v>OPEN</x:v>
      </x:c>
    </x:row>
    <x:row r="2816">
      <x:c r="B2816" t="str">
        <x:v>PH-RV-195</x:v>
      </x:c>
      <x:c r="C2816" t="str">
        <x:v>PHYSICAL</x:v>
      </x:c>
      <x:c r="D2816" t="str">
        <x:v>reported value</x:v>
      </x:c>
      <x:c r="E2816" t="str">
        <x:v>PH-RV-195</x:v>
      </x:c>
      <x:c r="F2816" t="n">
        <x:f>IF('Trial Register'!S201&lt;&gt;"",1,0)</x:f>
        <x:v>0</x:v>
      </x:c>
      <x:c r="G2816" t="n">
        <x:v>1</x:v>
      </x:c>
      <x:c r="H2816" t="str">
        <x:v>independent physical acceptance</x:v>
      </x:c>
      <x:c r="I2816" t="str">
        <x:f>IF(F2816=1,"PASS","OPEN")</x:f>
        <x:v>OPEN</x:v>
      </x:c>
    </x:row>
    <x:row r="2817">
      <x:c r="B2817" t="str">
        <x:v>PH-CR-195</x:v>
      </x:c>
      <x:c r="C2817" t="str">
        <x:v>PHYSICAL</x:v>
      </x:c>
      <x:c r="D2817" t="str">
        <x:v>credit acceptance</x:v>
      </x:c>
      <x:c r="E2817" t="str">
        <x:v>PH-CR-195</x:v>
      </x:c>
      <x:c r="F2817" t="str">
        <x:f>'Trial Register'!V201</x:f>
      </x:c>
      <x:c r="G2817" t="n">
        <x:v>1</x:v>
      </x:c>
      <x:c r="H2817" t="str">
        <x:v>independent physical acceptance</x:v>
      </x:c>
      <x:c r="I2817" t="str">
        <x:f>IF(F2817=1,"PASS","OPEN")</x:f>
        <x:v>OPEN</x:v>
      </x:c>
    </x:row>
    <x:row r="2818">
      <x:c r="B2818" t="str">
        <x:v>PH-EX-196</x:v>
      </x:c>
      <x:c r="C2818" t="str">
        <x:v>PHYSICAL</x:v>
      </x:c>
      <x:c r="D2818" t="str">
        <x:v>trial execution</x:v>
      </x:c>
      <x:c r="E2818" t="str">
        <x:v>PH-EX-196</x:v>
      </x:c>
      <x:c r="F2818" t="n">
        <x:f>IF('Trial Register'!P202&lt;&gt;"",1,0)</x:f>
        <x:v>0</x:v>
      </x:c>
      <x:c r="G2818" t="n">
        <x:v>1</x:v>
      </x:c>
      <x:c r="H2818" t="str">
        <x:v>independent physical acceptance</x:v>
      </x:c>
      <x:c r="I2818" t="str">
        <x:f>IF(F2818=1,"PASS","OPEN")</x:f>
        <x:v>OPEN</x:v>
      </x:c>
    </x:row>
    <x:row r="2819">
      <x:c r="B2819" t="str">
        <x:v>PH-PK-196</x:v>
      </x:c>
      <x:c r="C2819" t="str">
        <x:v>PHYSICAL</x:v>
      </x:c>
      <x:c r="D2819" t="str">
        <x:v>trial packet</x:v>
      </x:c>
      <x:c r="E2819" t="str">
        <x:v>PH-PK-196</x:v>
      </x:c>
      <x:c r="F2819" t="n">
        <x:f>IF('Trial Register'!Q202&lt;&gt;"",1,0)</x:f>
        <x:v>0</x:v>
      </x:c>
      <x:c r="G2819" t="n">
        <x:v>1</x:v>
      </x:c>
      <x:c r="H2819" t="str">
        <x:v>independent physical acceptance</x:v>
      </x:c>
      <x:c r="I2819" t="str">
        <x:f>IF(F2819=1,"PASS","OPEN")</x:f>
        <x:v>OPEN</x:v>
      </x:c>
    </x:row>
    <x:row r="2820">
      <x:c r="B2820" t="str">
        <x:v>PH-VA-196</x:v>
      </x:c>
      <x:c r="C2820" t="str">
        <x:v>PHYSICAL</x:v>
      </x:c>
      <x:c r="D2820" t="str">
        <x:v>trial validity</x:v>
      </x:c>
      <x:c r="E2820" t="str">
        <x:v>PH-VA-196</x:v>
      </x:c>
      <x:c r="F2820" t="n">
        <x:f>IF('Trial Register'!R202&lt;&gt;"",1,0)</x:f>
        <x:v>0</x:v>
      </x:c>
      <x:c r="G2820" t="n">
        <x:v>1</x:v>
      </x:c>
      <x:c r="H2820" t="str">
        <x:v>independent physical acceptance</x:v>
      </x:c>
      <x:c r="I2820" t="str">
        <x:f>IF(F2820=1,"PASS","OPEN")</x:f>
        <x:v>OPEN</x:v>
      </x:c>
    </x:row>
    <x:row r="2821">
      <x:c r="B2821" t="str">
        <x:v>PH-RV-196</x:v>
      </x:c>
      <x:c r="C2821" t="str">
        <x:v>PHYSICAL</x:v>
      </x:c>
      <x:c r="D2821" t="str">
        <x:v>reported value</x:v>
      </x:c>
      <x:c r="E2821" t="str">
        <x:v>PH-RV-196</x:v>
      </x:c>
      <x:c r="F2821" t="n">
        <x:f>IF('Trial Register'!S202&lt;&gt;"",1,0)</x:f>
        <x:v>0</x:v>
      </x:c>
      <x:c r="G2821" t="n">
        <x:v>1</x:v>
      </x:c>
      <x:c r="H2821" t="str">
        <x:v>independent physical acceptance</x:v>
      </x:c>
      <x:c r="I2821" t="str">
        <x:f>IF(F2821=1,"PASS","OPEN")</x:f>
        <x:v>OPEN</x:v>
      </x:c>
    </x:row>
    <x:row r="2822">
      <x:c r="B2822" t="str">
        <x:v>PH-CR-196</x:v>
      </x:c>
      <x:c r="C2822" t="str">
        <x:v>PHYSICAL</x:v>
      </x:c>
      <x:c r="D2822" t="str">
        <x:v>credit acceptance</x:v>
      </x:c>
      <x:c r="E2822" t="str">
        <x:v>PH-CR-196</x:v>
      </x:c>
      <x:c r="F2822" t="str">
        <x:f>'Trial Register'!V202</x:f>
      </x:c>
      <x:c r="G2822" t="n">
        <x:v>1</x:v>
      </x:c>
      <x:c r="H2822" t="str">
        <x:v>independent physical acceptance</x:v>
      </x:c>
      <x:c r="I2822" t="str">
        <x:f>IF(F2822=1,"PASS","OPEN")</x:f>
        <x:v>OPEN</x:v>
      </x:c>
    </x:row>
    <x:row r="2823">
      <x:c r="B2823" t="str">
        <x:v>PH-EX-197</x:v>
      </x:c>
      <x:c r="C2823" t="str">
        <x:v>PHYSICAL</x:v>
      </x:c>
      <x:c r="D2823" t="str">
        <x:v>trial execution</x:v>
      </x:c>
      <x:c r="E2823" t="str">
        <x:v>PH-EX-197</x:v>
      </x:c>
      <x:c r="F2823" t="n">
        <x:f>IF('Trial Register'!P203&lt;&gt;"",1,0)</x:f>
        <x:v>0</x:v>
      </x:c>
      <x:c r="G2823" t="n">
        <x:v>1</x:v>
      </x:c>
      <x:c r="H2823" t="str">
        <x:v>independent physical acceptance</x:v>
      </x:c>
      <x:c r="I2823" t="str">
        <x:f>IF(F2823=1,"PASS","OPEN")</x:f>
        <x:v>OPEN</x:v>
      </x:c>
    </x:row>
    <x:row r="2824">
      <x:c r="B2824" t="str">
        <x:v>PH-PK-197</x:v>
      </x:c>
      <x:c r="C2824" t="str">
        <x:v>PHYSICAL</x:v>
      </x:c>
      <x:c r="D2824" t="str">
        <x:v>trial packet</x:v>
      </x:c>
      <x:c r="E2824" t="str">
        <x:v>PH-PK-197</x:v>
      </x:c>
      <x:c r="F2824" t="n">
        <x:f>IF('Trial Register'!Q203&lt;&gt;"",1,0)</x:f>
        <x:v>0</x:v>
      </x:c>
      <x:c r="G2824" t="n">
        <x:v>1</x:v>
      </x:c>
      <x:c r="H2824" t="str">
        <x:v>independent physical acceptance</x:v>
      </x:c>
      <x:c r="I2824" t="str">
        <x:f>IF(F2824=1,"PASS","OPEN")</x:f>
        <x:v>OPEN</x:v>
      </x:c>
    </x:row>
    <x:row r="2825">
      <x:c r="B2825" t="str">
        <x:v>PH-VA-197</x:v>
      </x:c>
      <x:c r="C2825" t="str">
        <x:v>PHYSICAL</x:v>
      </x:c>
      <x:c r="D2825" t="str">
        <x:v>trial validity</x:v>
      </x:c>
      <x:c r="E2825" t="str">
        <x:v>PH-VA-197</x:v>
      </x:c>
      <x:c r="F2825" t="n">
        <x:f>IF('Trial Register'!R203&lt;&gt;"",1,0)</x:f>
        <x:v>0</x:v>
      </x:c>
      <x:c r="G2825" t="n">
        <x:v>1</x:v>
      </x:c>
      <x:c r="H2825" t="str">
        <x:v>independent physical acceptance</x:v>
      </x:c>
      <x:c r="I2825" t="str">
        <x:f>IF(F2825=1,"PASS","OPEN")</x:f>
        <x:v>OPEN</x:v>
      </x:c>
    </x:row>
    <x:row r="2826">
      <x:c r="B2826" t="str">
        <x:v>PH-RV-197</x:v>
      </x:c>
      <x:c r="C2826" t="str">
        <x:v>PHYSICAL</x:v>
      </x:c>
      <x:c r="D2826" t="str">
        <x:v>reported value</x:v>
      </x:c>
      <x:c r="E2826" t="str">
        <x:v>PH-RV-197</x:v>
      </x:c>
      <x:c r="F2826" t="n">
        <x:f>IF('Trial Register'!S203&lt;&gt;"",1,0)</x:f>
        <x:v>0</x:v>
      </x:c>
      <x:c r="G2826" t="n">
        <x:v>1</x:v>
      </x:c>
      <x:c r="H2826" t="str">
        <x:v>independent physical acceptance</x:v>
      </x:c>
      <x:c r="I2826" t="str">
        <x:f>IF(F2826=1,"PASS","OPEN")</x:f>
        <x:v>OPEN</x:v>
      </x:c>
    </x:row>
    <x:row r="2827">
      <x:c r="B2827" t="str">
        <x:v>PH-CR-197</x:v>
      </x:c>
      <x:c r="C2827" t="str">
        <x:v>PHYSICAL</x:v>
      </x:c>
      <x:c r="D2827" t="str">
        <x:v>credit acceptance</x:v>
      </x:c>
      <x:c r="E2827" t="str">
        <x:v>PH-CR-197</x:v>
      </x:c>
      <x:c r="F2827" t="str">
        <x:f>'Trial Register'!V203</x:f>
      </x:c>
      <x:c r="G2827" t="n">
        <x:v>1</x:v>
      </x:c>
      <x:c r="H2827" t="str">
        <x:v>independent physical acceptance</x:v>
      </x:c>
      <x:c r="I2827" t="str">
        <x:f>IF(F2827=1,"PASS","OPEN")</x:f>
        <x:v>OPEN</x:v>
      </x:c>
    </x:row>
    <x:row r="2828">
      <x:c r="B2828" t="str">
        <x:v>PH-EX-198</x:v>
      </x:c>
      <x:c r="C2828" t="str">
        <x:v>PHYSICAL</x:v>
      </x:c>
      <x:c r="D2828" t="str">
        <x:v>trial execution</x:v>
      </x:c>
      <x:c r="E2828" t="str">
        <x:v>PH-EX-198</x:v>
      </x:c>
      <x:c r="F2828" t="n">
        <x:f>IF('Trial Register'!P204&lt;&gt;"",1,0)</x:f>
        <x:v>0</x:v>
      </x:c>
      <x:c r="G2828" t="n">
        <x:v>1</x:v>
      </x:c>
      <x:c r="H2828" t="str">
        <x:v>independent physical acceptance</x:v>
      </x:c>
      <x:c r="I2828" t="str">
        <x:f>IF(F2828=1,"PASS","OPEN")</x:f>
        <x:v>OPEN</x:v>
      </x:c>
    </x:row>
    <x:row r="2829">
      <x:c r="B2829" t="str">
        <x:v>PH-PK-198</x:v>
      </x:c>
      <x:c r="C2829" t="str">
        <x:v>PHYSICAL</x:v>
      </x:c>
      <x:c r="D2829" t="str">
        <x:v>trial packet</x:v>
      </x:c>
      <x:c r="E2829" t="str">
        <x:v>PH-PK-198</x:v>
      </x:c>
      <x:c r="F2829" t="n">
        <x:f>IF('Trial Register'!Q204&lt;&gt;"",1,0)</x:f>
        <x:v>0</x:v>
      </x:c>
      <x:c r="G2829" t="n">
        <x:v>1</x:v>
      </x:c>
      <x:c r="H2829" t="str">
        <x:v>independent physical acceptance</x:v>
      </x:c>
      <x:c r="I2829" t="str">
        <x:f>IF(F2829=1,"PASS","OPEN")</x:f>
        <x:v>OPEN</x:v>
      </x:c>
    </x:row>
    <x:row r="2830">
      <x:c r="B2830" t="str">
        <x:v>PH-VA-198</x:v>
      </x:c>
      <x:c r="C2830" t="str">
        <x:v>PHYSICAL</x:v>
      </x:c>
      <x:c r="D2830" t="str">
        <x:v>trial validity</x:v>
      </x:c>
      <x:c r="E2830" t="str">
        <x:v>PH-VA-198</x:v>
      </x:c>
      <x:c r="F2830" t="n">
        <x:f>IF('Trial Register'!R204&lt;&gt;"",1,0)</x:f>
        <x:v>0</x:v>
      </x:c>
      <x:c r="G2830" t="n">
        <x:v>1</x:v>
      </x:c>
      <x:c r="H2830" t="str">
        <x:v>independent physical acceptance</x:v>
      </x:c>
      <x:c r="I2830" t="str">
        <x:f>IF(F2830=1,"PASS","OPEN")</x:f>
        <x:v>OPEN</x:v>
      </x:c>
    </x:row>
    <x:row r="2831">
      <x:c r="B2831" t="str">
        <x:v>PH-RV-198</x:v>
      </x:c>
      <x:c r="C2831" t="str">
        <x:v>PHYSICAL</x:v>
      </x:c>
      <x:c r="D2831" t="str">
        <x:v>reported value</x:v>
      </x:c>
      <x:c r="E2831" t="str">
        <x:v>PH-RV-198</x:v>
      </x:c>
      <x:c r="F2831" t="n">
        <x:f>IF('Trial Register'!S204&lt;&gt;"",1,0)</x:f>
        <x:v>0</x:v>
      </x:c>
      <x:c r="G2831" t="n">
        <x:v>1</x:v>
      </x:c>
      <x:c r="H2831" t="str">
        <x:v>independent physical acceptance</x:v>
      </x:c>
      <x:c r="I2831" t="str">
        <x:f>IF(F2831=1,"PASS","OPEN")</x:f>
        <x:v>OPEN</x:v>
      </x:c>
    </x:row>
    <x:row r="2832">
      <x:c r="B2832" t="str">
        <x:v>PH-CR-198</x:v>
      </x:c>
      <x:c r="C2832" t="str">
        <x:v>PHYSICAL</x:v>
      </x:c>
      <x:c r="D2832" t="str">
        <x:v>credit acceptance</x:v>
      </x:c>
      <x:c r="E2832" t="str">
        <x:v>PH-CR-198</x:v>
      </x:c>
      <x:c r="F2832" t="str">
        <x:f>'Trial Register'!V204</x:f>
      </x:c>
      <x:c r="G2832" t="n">
        <x:v>1</x:v>
      </x:c>
      <x:c r="H2832" t="str">
        <x:v>independent physical acceptance</x:v>
      </x:c>
      <x:c r="I2832" t="str">
        <x:f>IF(F2832=1,"PASS","OPEN")</x:f>
        <x:v>OPEN</x:v>
      </x:c>
    </x:row>
    <x:row r="2833">
      <x:c r="B2833" t="str">
        <x:v>PH-EX-199</x:v>
      </x:c>
      <x:c r="C2833" t="str">
        <x:v>PHYSICAL</x:v>
      </x:c>
      <x:c r="D2833" t="str">
        <x:v>trial execution</x:v>
      </x:c>
      <x:c r="E2833" t="str">
        <x:v>PH-EX-199</x:v>
      </x:c>
      <x:c r="F2833" t="n">
        <x:f>IF('Trial Register'!P205&lt;&gt;"",1,0)</x:f>
        <x:v>0</x:v>
      </x:c>
      <x:c r="G2833" t="n">
        <x:v>1</x:v>
      </x:c>
      <x:c r="H2833" t="str">
        <x:v>independent physical acceptance</x:v>
      </x:c>
      <x:c r="I2833" t="str">
        <x:f>IF(F2833=1,"PASS","OPEN")</x:f>
        <x:v>OPEN</x:v>
      </x:c>
    </x:row>
    <x:row r="2834">
      <x:c r="B2834" t="str">
        <x:v>PH-PK-199</x:v>
      </x:c>
      <x:c r="C2834" t="str">
        <x:v>PHYSICAL</x:v>
      </x:c>
      <x:c r="D2834" t="str">
        <x:v>trial packet</x:v>
      </x:c>
      <x:c r="E2834" t="str">
        <x:v>PH-PK-199</x:v>
      </x:c>
      <x:c r="F2834" t="n">
        <x:f>IF('Trial Register'!Q205&lt;&gt;"",1,0)</x:f>
        <x:v>0</x:v>
      </x:c>
      <x:c r="G2834" t="n">
        <x:v>1</x:v>
      </x:c>
      <x:c r="H2834" t="str">
        <x:v>independent physical acceptance</x:v>
      </x:c>
      <x:c r="I2834" t="str">
        <x:f>IF(F2834=1,"PASS","OPEN")</x:f>
        <x:v>OPEN</x:v>
      </x:c>
    </x:row>
    <x:row r="2835">
      <x:c r="B2835" t="str">
        <x:v>PH-VA-199</x:v>
      </x:c>
      <x:c r="C2835" t="str">
        <x:v>PHYSICAL</x:v>
      </x:c>
      <x:c r="D2835" t="str">
        <x:v>trial validity</x:v>
      </x:c>
      <x:c r="E2835" t="str">
        <x:v>PH-VA-199</x:v>
      </x:c>
      <x:c r="F2835" t="n">
        <x:f>IF('Trial Register'!R205&lt;&gt;"",1,0)</x:f>
        <x:v>0</x:v>
      </x:c>
      <x:c r="G2835" t="n">
        <x:v>1</x:v>
      </x:c>
      <x:c r="H2835" t="str">
        <x:v>independent physical acceptance</x:v>
      </x:c>
      <x:c r="I2835" t="str">
        <x:f>IF(F2835=1,"PASS","OPEN")</x:f>
        <x:v>OPEN</x:v>
      </x:c>
    </x:row>
    <x:row r="2836">
      <x:c r="B2836" t="str">
        <x:v>PH-RV-199</x:v>
      </x:c>
      <x:c r="C2836" t="str">
        <x:v>PHYSICAL</x:v>
      </x:c>
      <x:c r="D2836" t="str">
        <x:v>reported value</x:v>
      </x:c>
      <x:c r="E2836" t="str">
        <x:v>PH-RV-199</x:v>
      </x:c>
      <x:c r="F2836" t="n">
        <x:f>IF('Trial Register'!S205&lt;&gt;"",1,0)</x:f>
        <x:v>0</x:v>
      </x:c>
      <x:c r="G2836" t="n">
        <x:v>1</x:v>
      </x:c>
      <x:c r="H2836" t="str">
        <x:v>independent physical acceptance</x:v>
      </x:c>
      <x:c r="I2836" t="str">
        <x:f>IF(F2836=1,"PASS","OPEN")</x:f>
        <x:v>OPEN</x:v>
      </x:c>
    </x:row>
    <x:row r="2837">
      <x:c r="B2837" t="str">
        <x:v>PH-CR-199</x:v>
      </x:c>
      <x:c r="C2837" t="str">
        <x:v>PHYSICAL</x:v>
      </x:c>
      <x:c r="D2837" t="str">
        <x:v>credit acceptance</x:v>
      </x:c>
      <x:c r="E2837" t="str">
        <x:v>PH-CR-199</x:v>
      </x:c>
      <x:c r="F2837" t="str">
        <x:f>'Trial Register'!V205</x:f>
      </x:c>
      <x:c r="G2837" t="n">
        <x:v>1</x:v>
      </x:c>
      <x:c r="H2837" t="str">
        <x:v>independent physical acceptance</x:v>
      </x:c>
      <x:c r="I2837" t="str">
        <x:f>IF(F2837=1,"PASS","OPEN")</x:f>
        <x:v>OPEN</x:v>
      </x:c>
    </x:row>
    <x:row r="2838">
      <x:c r="B2838" t="str">
        <x:v>PH-EX-200</x:v>
      </x:c>
      <x:c r="C2838" t="str">
        <x:v>PHYSICAL</x:v>
      </x:c>
      <x:c r="D2838" t="str">
        <x:v>trial execution</x:v>
      </x:c>
      <x:c r="E2838" t="str">
        <x:v>PH-EX-200</x:v>
      </x:c>
      <x:c r="F2838" t="n">
        <x:f>IF('Trial Register'!P206&lt;&gt;"",1,0)</x:f>
        <x:v>0</x:v>
      </x:c>
      <x:c r="G2838" t="n">
        <x:v>1</x:v>
      </x:c>
      <x:c r="H2838" t="str">
        <x:v>independent physical acceptance</x:v>
      </x:c>
      <x:c r="I2838" t="str">
        <x:f>IF(F2838=1,"PASS","OPEN")</x:f>
        <x:v>OPEN</x:v>
      </x:c>
    </x:row>
    <x:row r="2839">
      <x:c r="B2839" t="str">
        <x:v>PH-PK-200</x:v>
      </x:c>
      <x:c r="C2839" t="str">
        <x:v>PHYSICAL</x:v>
      </x:c>
      <x:c r="D2839" t="str">
        <x:v>trial packet</x:v>
      </x:c>
      <x:c r="E2839" t="str">
        <x:v>PH-PK-200</x:v>
      </x:c>
      <x:c r="F2839" t="n">
        <x:f>IF('Trial Register'!Q206&lt;&gt;"",1,0)</x:f>
        <x:v>0</x:v>
      </x:c>
      <x:c r="G2839" t="n">
        <x:v>1</x:v>
      </x:c>
      <x:c r="H2839" t="str">
        <x:v>independent physical acceptance</x:v>
      </x:c>
      <x:c r="I2839" t="str">
        <x:f>IF(F2839=1,"PASS","OPEN")</x:f>
        <x:v>OPEN</x:v>
      </x:c>
    </x:row>
    <x:row r="2840">
      <x:c r="B2840" t="str">
        <x:v>PH-VA-200</x:v>
      </x:c>
      <x:c r="C2840" t="str">
        <x:v>PHYSICAL</x:v>
      </x:c>
      <x:c r="D2840" t="str">
        <x:v>trial validity</x:v>
      </x:c>
      <x:c r="E2840" t="str">
        <x:v>PH-VA-200</x:v>
      </x:c>
      <x:c r="F2840" t="n">
        <x:f>IF('Trial Register'!R206&lt;&gt;"",1,0)</x:f>
        <x:v>0</x:v>
      </x:c>
      <x:c r="G2840" t="n">
        <x:v>1</x:v>
      </x:c>
      <x:c r="H2840" t="str">
        <x:v>independent physical acceptance</x:v>
      </x:c>
      <x:c r="I2840" t="str">
        <x:f>IF(F2840=1,"PASS","OPEN")</x:f>
        <x:v>OPEN</x:v>
      </x:c>
    </x:row>
    <x:row r="2841">
      <x:c r="B2841" t="str">
        <x:v>PH-RV-200</x:v>
      </x:c>
      <x:c r="C2841" t="str">
        <x:v>PHYSICAL</x:v>
      </x:c>
      <x:c r="D2841" t="str">
        <x:v>reported value</x:v>
      </x:c>
      <x:c r="E2841" t="str">
        <x:v>PH-RV-200</x:v>
      </x:c>
      <x:c r="F2841" t="n">
        <x:f>IF('Trial Register'!S206&lt;&gt;"",1,0)</x:f>
        <x:v>0</x:v>
      </x:c>
      <x:c r="G2841" t="n">
        <x:v>1</x:v>
      </x:c>
      <x:c r="H2841" t="str">
        <x:v>independent physical acceptance</x:v>
      </x:c>
      <x:c r="I2841" t="str">
        <x:f>IF(F2841=1,"PASS","OPEN")</x:f>
        <x:v>OPEN</x:v>
      </x:c>
    </x:row>
    <x:row r="2842">
      <x:c r="B2842" t="str">
        <x:v>PH-CR-200</x:v>
      </x:c>
      <x:c r="C2842" t="str">
        <x:v>PHYSICAL</x:v>
      </x:c>
      <x:c r="D2842" t="str">
        <x:v>credit acceptance</x:v>
      </x:c>
      <x:c r="E2842" t="str">
        <x:v>PH-CR-200</x:v>
      </x:c>
      <x:c r="F2842" t="str">
        <x:f>'Trial Register'!V206</x:f>
      </x:c>
      <x:c r="G2842" t="n">
        <x:v>1</x:v>
      </x:c>
      <x:c r="H2842" t="str">
        <x:v>independent physical acceptance</x:v>
      </x:c>
      <x:c r="I2842" t="str">
        <x:f>IF(F2842=1,"PASS","OPEN")</x:f>
        <x:v>OPEN</x:v>
      </x:c>
    </x:row>
    <x:row r="2843">
      <x:c r="B2843" t="str">
        <x:v>PH-EX-201</x:v>
      </x:c>
      <x:c r="C2843" t="str">
        <x:v>PHYSICAL</x:v>
      </x:c>
      <x:c r="D2843" t="str">
        <x:v>trial execution</x:v>
      </x:c>
      <x:c r="E2843" t="str">
        <x:v>PH-EX-201</x:v>
      </x:c>
      <x:c r="F2843" t="n">
        <x:f>IF('Trial Register'!P207&lt;&gt;"",1,0)</x:f>
        <x:v>0</x:v>
      </x:c>
      <x:c r="G2843" t="n">
        <x:v>1</x:v>
      </x:c>
      <x:c r="H2843" t="str">
        <x:v>independent physical acceptance</x:v>
      </x:c>
      <x:c r="I2843" t="str">
        <x:f>IF(F2843=1,"PASS","OPEN")</x:f>
        <x:v>OPEN</x:v>
      </x:c>
    </x:row>
    <x:row r="2844">
      <x:c r="B2844" t="str">
        <x:v>PH-PK-201</x:v>
      </x:c>
      <x:c r="C2844" t="str">
        <x:v>PHYSICAL</x:v>
      </x:c>
      <x:c r="D2844" t="str">
        <x:v>trial packet</x:v>
      </x:c>
      <x:c r="E2844" t="str">
        <x:v>PH-PK-201</x:v>
      </x:c>
      <x:c r="F2844" t="n">
        <x:f>IF('Trial Register'!Q207&lt;&gt;"",1,0)</x:f>
        <x:v>0</x:v>
      </x:c>
      <x:c r="G2844" t="n">
        <x:v>1</x:v>
      </x:c>
      <x:c r="H2844" t="str">
        <x:v>independent physical acceptance</x:v>
      </x:c>
      <x:c r="I2844" t="str">
        <x:f>IF(F2844=1,"PASS","OPEN")</x:f>
        <x:v>OPEN</x:v>
      </x:c>
    </x:row>
    <x:row r="2845">
      <x:c r="B2845" t="str">
        <x:v>PH-VA-201</x:v>
      </x:c>
      <x:c r="C2845" t="str">
        <x:v>PHYSICAL</x:v>
      </x:c>
      <x:c r="D2845" t="str">
        <x:v>trial validity</x:v>
      </x:c>
      <x:c r="E2845" t="str">
        <x:v>PH-VA-201</x:v>
      </x:c>
      <x:c r="F2845" t="n">
        <x:f>IF('Trial Register'!R207&lt;&gt;"",1,0)</x:f>
        <x:v>0</x:v>
      </x:c>
      <x:c r="G2845" t="n">
        <x:v>1</x:v>
      </x:c>
      <x:c r="H2845" t="str">
        <x:v>independent physical acceptance</x:v>
      </x:c>
      <x:c r="I2845" t="str">
        <x:f>IF(F2845=1,"PASS","OPEN")</x:f>
        <x:v>OPEN</x:v>
      </x:c>
    </x:row>
    <x:row r="2846">
      <x:c r="B2846" t="str">
        <x:v>PH-RV-201</x:v>
      </x:c>
      <x:c r="C2846" t="str">
        <x:v>PHYSICAL</x:v>
      </x:c>
      <x:c r="D2846" t="str">
        <x:v>reported value</x:v>
      </x:c>
      <x:c r="E2846" t="str">
        <x:v>PH-RV-201</x:v>
      </x:c>
      <x:c r="F2846" t="n">
        <x:f>IF('Trial Register'!S207&lt;&gt;"",1,0)</x:f>
        <x:v>0</x:v>
      </x:c>
      <x:c r="G2846" t="n">
        <x:v>1</x:v>
      </x:c>
      <x:c r="H2846" t="str">
        <x:v>independent physical acceptance</x:v>
      </x:c>
      <x:c r="I2846" t="str">
        <x:f>IF(F2846=1,"PASS","OPEN")</x:f>
        <x:v>OPEN</x:v>
      </x:c>
    </x:row>
    <x:row r="2847">
      <x:c r="B2847" t="str">
        <x:v>PH-CR-201</x:v>
      </x:c>
      <x:c r="C2847" t="str">
        <x:v>PHYSICAL</x:v>
      </x:c>
      <x:c r="D2847" t="str">
        <x:v>credit acceptance</x:v>
      </x:c>
      <x:c r="E2847" t="str">
        <x:v>PH-CR-201</x:v>
      </x:c>
      <x:c r="F2847" t="str">
        <x:f>'Trial Register'!V207</x:f>
      </x:c>
      <x:c r="G2847" t="n">
        <x:v>1</x:v>
      </x:c>
      <x:c r="H2847" t="str">
        <x:v>independent physical acceptance</x:v>
      </x:c>
      <x:c r="I2847" t="str">
        <x:f>IF(F2847=1,"PASS","OPEN")</x:f>
        <x:v>OPEN</x:v>
      </x:c>
    </x:row>
    <x:row r="2848">
      <x:c r="B2848" t="str">
        <x:v>PH-EX-202</x:v>
      </x:c>
      <x:c r="C2848" t="str">
        <x:v>PHYSICAL</x:v>
      </x:c>
      <x:c r="D2848" t="str">
        <x:v>trial execution</x:v>
      </x:c>
      <x:c r="E2848" t="str">
        <x:v>PH-EX-202</x:v>
      </x:c>
      <x:c r="F2848" t="n">
        <x:f>IF('Trial Register'!P208&lt;&gt;"",1,0)</x:f>
        <x:v>0</x:v>
      </x:c>
      <x:c r="G2848" t="n">
        <x:v>1</x:v>
      </x:c>
      <x:c r="H2848" t="str">
        <x:v>independent physical acceptance</x:v>
      </x:c>
      <x:c r="I2848" t="str">
        <x:f>IF(F2848=1,"PASS","OPEN")</x:f>
        <x:v>OPEN</x:v>
      </x:c>
    </x:row>
    <x:row r="2849">
      <x:c r="B2849" t="str">
        <x:v>PH-PK-202</x:v>
      </x:c>
      <x:c r="C2849" t="str">
        <x:v>PHYSICAL</x:v>
      </x:c>
      <x:c r="D2849" t="str">
        <x:v>trial packet</x:v>
      </x:c>
      <x:c r="E2849" t="str">
        <x:v>PH-PK-202</x:v>
      </x:c>
      <x:c r="F2849" t="n">
        <x:f>IF('Trial Register'!Q208&lt;&gt;"",1,0)</x:f>
        <x:v>0</x:v>
      </x:c>
      <x:c r="G2849" t="n">
        <x:v>1</x:v>
      </x:c>
      <x:c r="H2849" t="str">
        <x:v>independent physical acceptance</x:v>
      </x:c>
      <x:c r="I2849" t="str">
        <x:f>IF(F2849=1,"PASS","OPEN")</x:f>
        <x:v>OPEN</x:v>
      </x:c>
    </x:row>
    <x:row r="2850">
      <x:c r="B2850" t="str">
        <x:v>PH-VA-202</x:v>
      </x:c>
      <x:c r="C2850" t="str">
        <x:v>PHYSICAL</x:v>
      </x:c>
      <x:c r="D2850" t="str">
        <x:v>trial validity</x:v>
      </x:c>
      <x:c r="E2850" t="str">
        <x:v>PH-VA-202</x:v>
      </x:c>
      <x:c r="F2850" t="n">
        <x:f>IF('Trial Register'!R208&lt;&gt;"",1,0)</x:f>
        <x:v>0</x:v>
      </x:c>
      <x:c r="G2850" t="n">
        <x:v>1</x:v>
      </x:c>
      <x:c r="H2850" t="str">
        <x:v>independent physical acceptance</x:v>
      </x:c>
      <x:c r="I2850" t="str">
        <x:f>IF(F2850=1,"PASS","OPEN")</x:f>
        <x:v>OPEN</x:v>
      </x:c>
    </x:row>
    <x:row r="2851">
      <x:c r="B2851" t="str">
        <x:v>PH-RV-202</x:v>
      </x:c>
      <x:c r="C2851" t="str">
        <x:v>PHYSICAL</x:v>
      </x:c>
      <x:c r="D2851" t="str">
        <x:v>reported value</x:v>
      </x:c>
      <x:c r="E2851" t="str">
        <x:v>PH-RV-202</x:v>
      </x:c>
      <x:c r="F2851" t="n">
        <x:f>IF('Trial Register'!S208&lt;&gt;"",1,0)</x:f>
        <x:v>0</x:v>
      </x:c>
      <x:c r="G2851" t="n">
        <x:v>1</x:v>
      </x:c>
      <x:c r="H2851" t="str">
        <x:v>independent physical acceptance</x:v>
      </x:c>
      <x:c r="I2851" t="str">
        <x:f>IF(F2851=1,"PASS","OPEN")</x:f>
        <x:v>OPEN</x:v>
      </x:c>
    </x:row>
    <x:row r="2852">
      <x:c r="B2852" t="str">
        <x:v>PH-CR-202</x:v>
      </x:c>
      <x:c r="C2852" t="str">
        <x:v>PHYSICAL</x:v>
      </x:c>
      <x:c r="D2852" t="str">
        <x:v>credit acceptance</x:v>
      </x:c>
      <x:c r="E2852" t="str">
        <x:v>PH-CR-202</x:v>
      </x:c>
      <x:c r="F2852" t="str">
        <x:f>'Trial Register'!V208</x:f>
      </x:c>
      <x:c r="G2852" t="n">
        <x:v>1</x:v>
      </x:c>
      <x:c r="H2852" t="str">
        <x:v>independent physical acceptance</x:v>
      </x:c>
      <x:c r="I2852" t="str">
        <x:f>IF(F2852=1,"PASS","OPEN")</x:f>
        <x:v>OPEN</x:v>
      </x:c>
    </x:row>
    <x:row r="2853">
      <x:c r="B2853" t="str">
        <x:v>PH-EX-203</x:v>
      </x:c>
      <x:c r="C2853" t="str">
        <x:v>PHYSICAL</x:v>
      </x:c>
      <x:c r="D2853" t="str">
        <x:v>trial execution</x:v>
      </x:c>
      <x:c r="E2853" t="str">
        <x:v>PH-EX-203</x:v>
      </x:c>
      <x:c r="F2853" t="n">
        <x:f>IF('Trial Register'!P209&lt;&gt;"",1,0)</x:f>
        <x:v>0</x:v>
      </x:c>
      <x:c r="G2853" t="n">
        <x:v>1</x:v>
      </x:c>
      <x:c r="H2853" t="str">
        <x:v>independent physical acceptance</x:v>
      </x:c>
      <x:c r="I2853" t="str">
        <x:f>IF(F2853=1,"PASS","OPEN")</x:f>
        <x:v>OPEN</x:v>
      </x:c>
    </x:row>
    <x:row r="2854">
      <x:c r="B2854" t="str">
        <x:v>PH-PK-203</x:v>
      </x:c>
      <x:c r="C2854" t="str">
        <x:v>PHYSICAL</x:v>
      </x:c>
      <x:c r="D2854" t="str">
        <x:v>trial packet</x:v>
      </x:c>
      <x:c r="E2854" t="str">
        <x:v>PH-PK-203</x:v>
      </x:c>
      <x:c r="F2854" t="n">
        <x:f>IF('Trial Register'!Q209&lt;&gt;"",1,0)</x:f>
        <x:v>0</x:v>
      </x:c>
      <x:c r="G2854" t="n">
        <x:v>1</x:v>
      </x:c>
      <x:c r="H2854" t="str">
        <x:v>independent physical acceptance</x:v>
      </x:c>
      <x:c r="I2854" t="str">
        <x:f>IF(F2854=1,"PASS","OPEN")</x:f>
        <x:v>OPEN</x:v>
      </x:c>
    </x:row>
    <x:row r="2855">
      <x:c r="B2855" t="str">
        <x:v>PH-VA-203</x:v>
      </x:c>
      <x:c r="C2855" t="str">
        <x:v>PHYSICAL</x:v>
      </x:c>
      <x:c r="D2855" t="str">
        <x:v>trial validity</x:v>
      </x:c>
      <x:c r="E2855" t="str">
        <x:v>PH-VA-203</x:v>
      </x:c>
      <x:c r="F2855" t="n">
        <x:f>IF('Trial Register'!R209&lt;&gt;"",1,0)</x:f>
        <x:v>0</x:v>
      </x:c>
      <x:c r="G2855" t="n">
        <x:v>1</x:v>
      </x:c>
      <x:c r="H2855" t="str">
        <x:v>independent physical acceptance</x:v>
      </x:c>
      <x:c r="I2855" t="str">
        <x:f>IF(F2855=1,"PASS","OPEN")</x:f>
        <x:v>OPEN</x:v>
      </x:c>
    </x:row>
    <x:row r="2856">
      <x:c r="B2856" t="str">
        <x:v>PH-RV-203</x:v>
      </x:c>
      <x:c r="C2856" t="str">
        <x:v>PHYSICAL</x:v>
      </x:c>
      <x:c r="D2856" t="str">
        <x:v>reported value</x:v>
      </x:c>
      <x:c r="E2856" t="str">
        <x:v>PH-RV-203</x:v>
      </x:c>
      <x:c r="F2856" t="n">
        <x:f>IF('Trial Register'!S209&lt;&gt;"",1,0)</x:f>
        <x:v>0</x:v>
      </x:c>
      <x:c r="G2856" t="n">
        <x:v>1</x:v>
      </x:c>
      <x:c r="H2856" t="str">
        <x:v>independent physical acceptance</x:v>
      </x:c>
      <x:c r="I2856" t="str">
        <x:f>IF(F2856=1,"PASS","OPEN")</x:f>
        <x:v>OPEN</x:v>
      </x:c>
    </x:row>
    <x:row r="2857">
      <x:c r="B2857" t="str">
        <x:v>PH-CR-203</x:v>
      </x:c>
      <x:c r="C2857" t="str">
        <x:v>PHYSICAL</x:v>
      </x:c>
      <x:c r="D2857" t="str">
        <x:v>credit acceptance</x:v>
      </x:c>
      <x:c r="E2857" t="str">
        <x:v>PH-CR-203</x:v>
      </x:c>
      <x:c r="F2857" t="str">
        <x:f>'Trial Register'!V209</x:f>
      </x:c>
      <x:c r="G2857" t="n">
        <x:v>1</x:v>
      </x:c>
      <x:c r="H2857" t="str">
        <x:v>independent physical acceptance</x:v>
      </x:c>
      <x:c r="I2857" t="str">
        <x:f>IF(F2857=1,"PASS","OPEN")</x:f>
        <x:v>OPEN</x:v>
      </x:c>
    </x:row>
    <x:row r="2858">
      <x:c r="B2858" t="str">
        <x:v>PH-EX-204</x:v>
      </x:c>
      <x:c r="C2858" t="str">
        <x:v>PHYSICAL</x:v>
      </x:c>
      <x:c r="D2858" t="str">
        <x:v>trial execution</x:v>
      </x:c>
      <x:c r="E2858" t="str">
        <x:v>PH-EX-204</x:v>
      </x:c>
      <x:c r="F2858" t="n">
        <x:f>IF('Trial Register'!P210&lt;&gt;"",1,0)</x:f>
        <x:v>0</x:v>
      </x:c>
      <x:c r="G2858" t="n">
        <x:v>1</x:v>
      </x:c>
      <x:c r="H2858" t="str">
        <x:v>independent physical acceptance</x:v>
      </x:c>
      <x:c r="I2858" t="str">
        <x:f>IF(F2858=1,"PASS","OPEN")</x:f>
        <x:v>OPEN</x:v>
      </x:c>
    </x:row>
    <x:row r="2859">
      <x:c r="B2859" t="str">
        <x:v>PH-PK-204</x:v>
      </x:c>
      <x:c r="C2859" t="str">
        <x:v>PHYSICAL</x:v>
      </x:c>
      <x:c r="D2859" t="str">
        <x:v>trial packet</x:v>
      </x:c>
      <x:c r="E2859" t="str">
        <x:v>PH-PK-204</x:v>
      </x:c>
      <x:c r="F2859" t="n">
        <x:f>IF('Trial Register'!Q210&lt;&gt;"",1,0)</x:f>
        <x:v>0</x:v>
      </x:c>
      <x:c r="G2859" t="n">
        <x:v>1</x:v>
      </x:c>
      <x:c r="H2859" t="str">
        <x:v>independent physical acceptance</x:v>
      </x:c>
      <x:c r="I2859" t="str">
        <x:f>IF(F2859=1,"PASS","OPEN")</x:f>
        <x:v>OPEN</x:v>
      </x:c>
    </x:row>
    <x:row r="2860">
      <x:c r="B2860" t="str">
        <x:v>PH-VA-204</x:v>
      </x:c>
      <x:c r="C2860" t="str">
        <x:v>PHYSICAL</x:v>
      </x:c>
      <x:c r="D2860" t="str">
        <x:v>trial validity</x:v>
      </x:c>
      <x:c r="E2860" t="str">
        <x:v>PH-VA-204</x:v>
      </x:c>
      <x:c r="F2860" t="n">
        <x:f>IF('Trial Register'!R210&lt;&gt;"",1,0)</x:f>
        <x:v>0</x:v>
      </x:c>
      <x:c r="G2860" t="n">
        <x:v>1</x:v>
      </x:c>
      <x:c r="H2860" t="str">
        <x:v>independent physical acceptance</x:v>
      </x:c>
      <x:c r="I2860" t="str">
        <x:f>IF(F2860=1,"PASS","OPEN")</x:f>
        <x:v>OPEN</x:v>
      </x:c>
    </x:row>
    <x:row r="2861">
      <x:c r="B2861" t="str">
        <x:v>PH-RV-204</x:v>
      </x:c>
      <x:c r="C2861" t="str">
        <x:v>PHYSICAL</x:v>
      </x:c>
      <x:c r="D2861" t="str">
        <x:v>reported value</x:v>
      </x:c>
      <x:c r="E2861" t="str">
        <x:v>PH-RV-204</x:v>
      </x:c>
      <x:c r="F2861" t="n">
        <x:f>IF('Trial Register'!S210&lt;&gt;"",1,0)</x:f>
        <x:v>0</x:v>
      </x:c>
      <x:c r="G2861" t="n">
        <x:v>1</x:v>
      </x:c>
      <x:c r="H2861" t="str">
        <x:v>independent physical acceptance</x:v>
      </x:c>
      <x:c r="I2861" t="str">
        <x:f>IF(F2861=1,"PASS","OPEN")</x:f>
        <x:v>OPEN</x:v>
      </x:c>
    </x:row>
    <x:row r="2862">
      <x:c r="B2862" t="str">
        <x:v>PH-CR-204</x:v>
      </x:c>
      <x:c r="C2862" t="str">
        <x:v>PHYSICAL</x:v>
      </x:c>
      <x:c r="D2862" t="str">
        <x:v>credit acceptance</x:v>
      </x:c>
      <x:c r="E2862" t="str">
        <x:v>PH-CR-204</x:v>
      </x:c>
      <x:c r="F2862" t="str">
        <x:f>'Trial Register'!V210</x:f>
      </x:c>
      <x:c r="G2862" t="n">
        <x:v>1</x:v>
      </x:c>
      <x:c r="H2862" t="str">
        <x:v>independent physical acceptance</x:v>
      </x:c>
      <x:c r="I2862" t="str">
        <x:f>IF(F2862=1,"PASS","OPEN")</x:f>
        <x:v>OPEN</x:v>
      </x:c>
    </x:row>
    <x:row r="2863">
      <x:c r="B2863" t="str">
        <x:v>PH-EX-205</x:v>
      </x:c>
      <x:c r="C2863" t="str">
        <x:v>PHYSICAL</x:v>
      </x:c>
      <x:c r="D2863" t="str">
        <x:v>trial execution</x:v>
      </x:c>
      <x:c r="E2863" t="str">
        <x:v>PH-EX-205</x:v>
      </x:c>
      <x:c r="F2863" t="n">
        <x:f>IF('Trial Register'!P211&lt;&gt;"",1,0)</x:f>
        <x:v>0</x:v>
      </x:c>
      <x:c r="G2863" t="n">
        <x:v>1</x:v>
      </x:c>
      <x:c r="H2863" t="str">
        <x:v>independent physical acceptance</x:v>
      </x:c>
      <x:c r="I2863" t="str">
        <x:f>IF(F2863=1,"PASS","OPEN")</x:f>
        <x:v>OPEN</x:v>
      </x:c>
    </x:row>
    <x:row r="2864">
      <x:c r="B2864" t="str">
        <x:v>PH-PK-205</x:v>
      </x:c>
      <x:c r="C2864" t="str">
        <x:v>PHYSICAL</x:v>
      </x:c>
      <x:c r="D2864" t="str">
        <x:v>trial packet</x:v>
      </x:c>
      <x:c r="E2864" t="str">
        <x:v>PH-PK-205</x:v>
      </x:c>
      <x:c r="F2864" t="n">
        <x:f>IF('Trial Register'!Q211&lt;&gt;"",1,0)</x:f>
        <x:v>0</x:v>
      </x:c>
      <x:c r="G2864" t="n">
        <x:v>1</x:v>
      </x:c>
      <x:c r="H2864" t="str">
        <x:v>independent physical acceptance</x:v>
      </x:c>
      <x:c r="I2864" t="str">
        <x:f>IF(F2864=1,"PASS","OPEN")</x:f>
        <x:v>OPEN</x:v>
      </x:c>
    </x:row>
    <x:row r="2865">
      <x:c r="B2865" t="str">
        <x:v>PH-VA-205</x:v>
      </x:c>
      <x:c r="C2865" t="str">
        <x:v>PHYSICAL</x:v>
      </x:c>
      <x:c r="D2865" t="str">
        <x:v>trial validity</x:v>
      </x:c>
      <x:c r="E2865" t="str">
        <x:v>PH-VA-205</x:v>
      </x:c>
      <x:c r="F2865" t="n">
        <x:f>IF('Trial Register'!R211&lt;&gt;"",1,0)</x:f>
        <x:v>0</x:v>
      </x:c>
      <x:c r="G2865" t="n">
        <x:v>1</x:v>
      </x:c>
      <x:c r="H2865" t="str">
        <x:v>independent physical acceptance</x:v>
      </x:c>
      <x:c r="I2865" t="str">
        <x:f>IF(F2865=1,"PASS","OPEN")</x:f>
        <x:v>OPEN</x:v>
      </x:c>
    </x:row>
    <x:row r="2866">
      <x:c r="B2866" t="str">
        <x:v>PH-RV-205</x:v>
      </x:c>
      <x:c r="C2866" t="str">
        <x:v>PHYSICAL</x:v>
      </x:c>
      <x:c r="D2866" t="str">
        <x:v>reported value</x:v>
      </x:c>
      <x:c r="E2866" t="str">
        <x:v>PH-RV-205</x:v>
      </x:c>
      <x:c r="F2866" t="n">
        <x:f>IF('Trial Register'!S211&lt;&gt;"",1,0)</x:f>
        <x:v>0</x:v>
      </x:c>
      <x:c r="G2866" t="n">
        <x:v>1</x:v>
      </x:c>
      <x:c r="H2866" t="str">
        <x:v>independent physical acceptance</x:v>
      </x:c>
      <x:c r="I2866" t="str">
        <x:f>IF(F2866=1,"PASS","OPEN")</x:f>
        <x:v>OPEN</x:v>
      </x:c>
    </x:row>
    <x:row r="2867">
      <x:c r="B2867" t="str">
        <x:v>PH-CR-205</x:v>
      </x:c>
      <x:c r="C2867" t="str">
        <x:v>PHYSICAL</x:v>
      </x:c>
      <x:c r="D2867" t="str">
        <x:v>credit acceptance</x:v>
      </x:c>
      <x:c r="E2867" t="str">
        <x:v>PH-CR-205</x:v>
      </x:c>
      <x:c r="F2867" t="str">
        <x:f>'Trial Register'!V211</x:f>
      </x:c>
      <x:c r="G2867" t="n">
        <x:v>1</x:v>
      </x:c>
      <x:c r="H2867" t="str">
        <x:v>independent physical acceptance</x:v>
      </x:c>
      <x:c r="I2867" t="str">
        <x:f>IF(F2867=1,"PASS","OPEN")</x:f>
        <x:v>OPEN</x:v>
      </x:c>
    </x:row>
    <x:row r="2868">
      <x:c r="B2868" t="str">
        <x:v>PH-EX-206</x:v>
      </x:c>
      <x:c r="C2868" t="str">
        <x:v>PHYSICAL</x:v>
      </x:c>
      <x:c r="D2868" t="str">
        <x:v>trial execution</x:v>
      </x:c>
      <x:c r="E2868" t="str">
        <x:v>PH-EX-206</x:v>
      </x:c>
      <x:c r="F2868" t="n">
        <x:f>IF('Trial Register'!P212&lt;&gt;"",1,0)</x:f>
        <x:v>0</x:v>
      </x:c>
      <x:c r="G2868" t="n">
        <x:v>1</x:v>
      </x:c>
      <x:c r="H2868" t="str">
        <x:v>independent physical acceptance</x:v>
      </x:c>
      <x:c r="I2868" t="str">
        <x:f>IF(F2868=1,"PASS","OPEN")</x:f>
        <x:v>OPEN</x:v>
      </x:c>
    </x:row>
    <x:row r="2869">
      <x:c r="B2869" t="str">
        <x:v>PH-PK-206</x:v>
      </x:c>
      <x:c r="C2869" t="str">
        <x:v>PHYSICAL</x:v>
      </x:c>
      <x:c r="D2869" t="str">
        <x:v>trial packet</x:v>
      </x:c>
      <x:c r="E2869" t="str">
        <x:v>PH-PK-206</x:v>
      </x:c>
      <x:c r="F2869" t="n">
        <x:f>IF('Trial Register'!Q212&lt;&gt;"",1,0)</x:f>
        <x:v>0</x:v>
      </x:c>
      <x:c r="G2869" t="n">
        <x:v>1</x:v>
      </x:c>
      <x:c r="H2869" t="str">
        <x:v>independent physical acceptance</x:v>
      </x:c>
      <x:c r="I2869" t="str">
        <x:f>IF(F2869=1,"PASS","OPEN")</x:f>
        <x:v>OPEN</x:v>
      </x:c>
    </x:row>
    <x:row r="2870">
      <x:c r="B2870" t="str">
        <x:v>PH-VA-206</x:v>
      </x:c>
      <x:c r="C2870" t="str">
        <x:v>PHYSICAL</x:v>
      </x:c>
      <x:c r="D2870" t="str">
        <x:v>trial validity</x:v>
      </x:c>
      <x:c r="E2870" t="str">
        <x:v>PH-VA-206</x:v>
      </x:c>
      <x:c r="F2870" t="n">
        <x:f>IF('Trial Register'!R212&lt;&gt;"",1,0)</x:f>
        <x:v>0</x:v>
      </x:c>
      <x:c r="G2870" t="n">
        <x:v>1</x:v>
      </x:c>
      <x:c r="H2870" t="str">
        <x:v>independent physical acceptance</x:v>
      </x:c>
      <x:c r="I2870" t="str">
        <x:f>IF(F2870=1,"PASS","OPEN")</x:f>
        <x:v>OPEN</x:v>
      </x:c>
    </x:row>
    <x:row r="2871">
      <x:c r="B2871" t="str">
        <x:v>PH-RV-206</x:v>
      </x:c>
      <x:c r="C2871" t="str">
        <x:v>PHYSICAL</x:v>
      </x:c>
      <x:c r="D2871" t="str">
        <x:v>reported value</x:v>
      </x:c>
      <x:c r="E2871" t="str">
        <x:v>PH-RV-206</x:v>
      </x:c>
      <x:c r="F2871" t="n">
        <x:f>IF('Trial Register'!S212&lt;&gt;"",1,0)</x:f>
        <x:v>0</x:v>
      </x:c>
      <x:c r="G2871" t="n">
        <x:v>1</x:v>
      </x:c>
      <x:c r="H2871" t="str">
        <x:v>independent physical acceptance</x:v>
      </x:c>
      <x:c r="I2871" t="str">
        <x:f>IF(F2871=1,"PASS","OPEN")</x:f>
        <x:v>OPEN</x:v>
      </x:c>
    </x:row>
    <x:row r="2872">
      <x:c r="B2872" t="str">
        <x:v>PH-CR-206</x:v>
      </x:c>
      <x:c r="C2872" t="str">
        <x:v>PHYSICAL</x:v>
      </x:c>
      <x:c r="D2872" t="str">
        <x:v>credit acceptance</x:v>
      </x:c>
      <x:c r="E2872" t="str">
        <x:v>PH-CR-206</x:v>
      </x:c>
      <x:c r="F2872" t="str">
        <x:f>'Trial Register'!V212</x:f>
      </x:c>
      <x:c r="G2872" t="n">
        <x:v>1</x:v>
      </x:c>
      <x:c r="H2872" t="str">
        <x:v>independent physical acceptance</x:v>
      </x:c>
      <x:c r="I2872" t="str">
        <x:f>IF(F2872=1,"PASS","OPEN")</x:f>
        <x:v>OPEN</x:v>
      </x:c>
    </x:row>
    <x:row r="2873">
      <x:c r="B2873" t="str">
        <x:v>PH-EX-207</x:v>
      </x:c>
      <x:c r="C2873" t="str">
        <x:v>PHYSICAL</x:v>
      </x:c>
      <x:c r="D2873" t="str">
        <x:v>trial execution</x:v>
      </x:c>
      <x:c r="E2873" t="str">
        <x:v>PH-EX-207</x:v>
      </x:c>
      <x:c r="F2873" t="n">
        <x:f>IF('Trial Register'!P213&lt;&gt;"",1,0)</x:f>
        <x:v>0</x:v>
      </x:c>
      <x:c r="G2873" t="n">
        <x:v>1</x:v>
      </x:c>
      <x:c r="H2873" t="str">
        <x:v>independent physical acceptance</x:v>
      </x:c>
      <x:c r="I2873" t="str">
        <x:f>IF(F2873=1,"PASS","OPEN")</x:f>
        <x:v>OPEN</x:v>
      </x:c>
    </x:row>
    <x:row r="2874">
      <x:c r="B2874" t="str">
        <x:v>PH-PK-207</x:v>
      </x:c>
      <x:c r="C2874" t="str">
        <x:v>PHYSICAL</x:v>
      </x:c>
      <x:c r="D2874" t="str">
        <x:v>trial packet</x:v>
      </x:c>
      <x:c r="E2874" t="str">
        <x:v>PH-PK-207</x:v>
      </x:c>
      <x:c r="F2874" t="n">
        <x:f>IF('Trial Register'!Q213&lt;&gt;"",1,0)</x:f>
        <x:v>0</x:v>
      </x:c>
      <x:c r="G2874" t="n">
        <x:v>1</x:v>
      </x:c>
      <x:c r="H2874" t="str">
        <x:v>independent physical acceptance</x:v>
      </x:c>
      <x:c r="I2874" t="str">
        <x:f>IF(F2874=1,"PASS","OPEN")</x:f>
        <x:v>OPEN</x:v>
      </x:c>
    </x:row>
    <x:row r="2875">
      <x:c r="B2875" t="str">
        <x:v>PH-VA-207</x:v>
      </x:c>
      <x:c r="C2875" t="str">
        <x:v>PHYSICAL</x:v>
      </x:c>
      <x:c r="D2875" t="str">
        <x:v>trial validity</x:v>
      </x:c>
      <x:c r="E2875" t="str">
        <x:v>PH-VA-207</x:v>
      </x:c>
      <x:c r="F2875" t="n">
        <x:f>IF('Trial Register'!R213&lt;&gt;"",1,0)</x:f>
        <x:v>0</x:v>
      </x:c>
      <x:c r="G2875" t="n">
        <x:v>1</x:v>
      </x:c>
      <x:c r="H2875" t="str">
        <x:v>independent physical acceptance</x:v>
      </x:c>
      <x:c r="I2875" t="str">
        <x:f>IF(F2875=1,"PASS","OPEN")</x:f>
        <x:v>OPEN</x:v>
      </x:c>
    </x:row>
    <x:row r="2876">
      <x:c r="B2876" t="str">
        <x:v>PH-RV-207</x:v>
      </x:c>
      <x:c r="C2876" t="str">
        <x:v>PHYSICAL</x:v>
      </x:c>
      <x:c r="D2876" t="str">
        <x:v>reported value</x:v>
      </x:c>
      <x:c r="E2876" t="str">
        <x:v>PH-RV-207</x:v>
      </x:c>
      <x:c r="F2876" t="n">
        <x:f>IF('Trial Register'!S213&lt;&gt;"",1,0)</x:f>
        <x:v>0</x:v>
      </x:c>
      <x:c r="G2876" t="n">
        <x:v>1</x:v>
      </x:c>
      <x:c r="H2876" t="str">
        <x:v>independent physical acceptance</x:v>
      </x:c>
      <x:c r="I2876" t="str">
        <x:f>IF(F2876=1,"PASS","OPEN")</x:f>
        <x:v>OPEN</x:v>
      </x:c>
    </x:row>
    <x:row r="2877">
      <x:c r="B2877" t="str">
        <x:v>PH-CR-207</x:v>
      </x:c>
      <x:c r="C2877" t="str">
        <x:v>PHYSICAL</x:v>
      </x:c>
      <x:c r="D2877" t="str">
        <x:v>credit acceptance</x:v>
      </x:c>
      <x:c r="E2877" t="str">
        <x:v>PH-CR-207</x:v>
      </x:c>
      <x:c r="F2877" t="str">
        <x:f>'Trial Register'!V213</x:f>
      </x:c>
      <x:c r="G2877" t="n">
        <x:v>1</x:v>
      </x:c>
      <x:c r="H2877" t="str">
        <x:v>independent physical acceptance</x:v>
      </x:c>
      <x:c r="I2877" t="str">
        <x:f>IF(F2877=1,"PASS","OPEN")</x:f>
        <x:v>OPEN</x:v>
      </x:c>
    </x:row>
    <x:row r="2878">
      <x:c r="B2878" t="str">
        <x:v>PH-EX-208</x:v>
      </x:c>
      <x:c r="C2878" t="str">
        <x:v>PHYSICAL</x:v>
      </x:c>
      <x:c r="D2878" t="str">
        <x:v>trial execution</x:v>
      </x:c>
      <x:c r="E2878" t="str">
        <x:v>PH-EX-208</x:v>
      </x:c>
      <x:c r="F2878" t="n">
        <x:f>IF('Trial Register'!P214&lt;&gt;"",1,0)</x:f>
        <x:v>0</x:v>
      </x:c>
      <x:c r="G2878" t="n">
        <x:v>1</x:v>
      </x:c>
      <x:c r="H2878" t="str">
        <x:v>independent physical acceptance</x:v>
      </x:c>
      <x:c r="I2878" t="str">
        <x:f>IF(F2878=1,"PASS","OPEN")</x:f>
        <x:v>OPEN</x:v>
      </x:c>
    </x:row>
    <x:row r="2879">
      <x:c r="B2879" t="str">
        <x:v>PH-PK-208</x:v>
      </x:c>
      <x:c r="C2879" t="str">
        <x:v>PHYSICAL</x:v>
      </x:c>
      <x:c r="D2879" t="str">
        <x:v>trial packet</x:v>
      </x:c>
      <x:c r="E2879" t="str">
        <x:v>PH-PK-208</x:v>
      </x:c>
      <x:c r="F2879" t="n">
        <x:f>IF('Trial Register'!Q214&lt;&gt;"",1,0)</x:f>
        <x:v>0</x:v>
      </x:c>
      <x:c r="G2879" t="n">
        <x:v>1</x:v>
      </x:c>
      <x:c r="H2879" t="str">
        <x:v>independent physical acceptance</x:v>
      </x:c>
      <x:c r="I2879" t="str">
        <x:f>IF(F2879=1,"PASS","OPEN")</x:f>
        <x:v>OPEN</x:v>
      </x:c>
    </x:row>
    <x:row r="2880">
      <x:c r="B2880" t="str">
        <x:v>PH-VA-208</x:v>
      </x:c>
      <x:c r="C2880" t="str">
        <x:v>PHYSICAL</x:v>
      </x:c>
      <x:c r="D2880" t="str">
        <x:v>trial validity</x:v>
      </x:c>
      <x:c r="E2880" t="str">
        <x:v>PH-VA-208</x:v>
      </x:c>
      <x:c r="F2880" t="n">
        <x:f>IF('Trial Register'!R214&lt;&gt;"",1,0)</x:f>
        <x:v>0</x:v>
      </x:c>
      <x:c r="G2880" t="n">
        <x:v>1</x:v>
      </x:c>
      <x:c r="H2880" t="str">
        <x:v>independent physical acceptance</x:v>
      </x:c>
      <x:c r="I2880" t="str">
        <x:f>IF(F2880=1,"PASS","OPEN")</x:f>
        <x:v>OPEN</x:v>
      </x:c>
    </x:row>
    <x:row r="2881">
      <x:c r="B2881" t="str">
        <x:v>PH-RV-208</x:v>
      </x:c>
      <x:c r="C2881" t="str">
        <x:v>PHYSICAL</x:v>
      </x:c>
      <x:c r="D2881" t="str">
        <x:v>reported value</x:v>
      </x:c>
      <x:c r="E2881" t="str">
        <x:v>PH-RV-208</x:v>
      </x:c>
      <x:c r="F2881" t="n">
        <x:f>IF('Trial Register'!S214&lt;&gt;"",1,0)</x:f>
        <x:v>0</x:v>
      </x:c>
      <x:c r="G2881" t="n">
        <x:v>1</x:v>
      </x:c>
      <x:c r="H2881" t="str">
        <x:v>independent physical acceptance</x:v>
      </x:c>
      <x:c r="I2881" t="str">
        <x:f>IF(F2881=1,"PASS","OPEN")</x:f>
        <x:v>OPEN</x:v>
      </x:c>
    </x:row>
    <x:row r="2882">
      <x:c r="B2882" t="str">
        <x:v>PH-CR-208</x:v>
      </x:c>
      <x:c r="C2882" t="str">
        <x:v>PHYSICAL</x:v>
      </x:c>
      <x:c r="D2882" t="str">
        <x:v>credit acceptance</x:v>
      </x:c>
      <x:c r="E2882" t="str">
        <x:v>PH-CR-208</x:v>
      </x:c>
      <x:c r="F2882" t="str">
        <x:f>'Trial Register'!V214</x:f>
      </x:c>
      <x:c r="G2882" t="n">
        <x:v>1</x:v>
      </x:c>
      <x:c r="H2882" t="str">
        <x:v>independent physical acceptance</x:v>
      </x:c>
      <x:c r="I2882" t="str">
        <x:f>IF(F2882=1,"PASS","OPEN")</x:f>
        <x:v>OPEN</x:v>
      </x:c>
    </x:row>
    <x:row r="2883">
      <x:c r="B2883" t="str">
        <x:v>PH-EX-209</x:v>
      </x:c>
      <x:c r="C2883" t="str">
        <x:v>PHYSICAL</x:v>
      </x:c>
      <x:c r="D2883" t="str">
        <x:v>trial execution</x:v>
      </x:c>
      <x:c r="E2883" t="str">
        <x:v>PH-EX-209</x:v>
      </x:c>
      <x:c r="F2883" t="n">
        <x:f>IF('Trial Register'!P215&lt;&gt;"",1,0)</x:f>
        <x:v>0</x:v>
      </x:c>
      <x:c r="G2883" t="n">
        <x:v>1</x:v>
      </x:c>
      <x:c r="H2883" t="str">
        <x:v>independent physical acceptance</x:v>
      </x:c>
      <x:c r="I2883" t="str">
        <x:f>IF(F2883=1,"PASS","OPEN")</x:f>
        <x:v>OPEN</x:v>
      </x:c>
    </x:row>
    <x:row r="2884">
      <x:c r="B2884" t="str">
        <x:v>PH-PK-209</x:v>
      </x:c>
      <x:c r="C2884" t="str">
        <x:v>PHYSICAL</x:v>
      </x:c>
      <x:c r="D2884" t="str">
        <x:v>trial packet</x:v>
      </x:c>
      <x:c r="E2884" t="str">
        <x:v>PH-PK-209</x:v>
      </x:c>
      <x:c r="F2884" t="n">
        <x:f>IF('Trial Register'!Q215&lt;&gt;"",1,0)</x:f>
        <x:v>0</x:v>
      </x:c>
      <x:c r="G2884" t="n">
        <x:v>1</x:v>
      </x:c>
      <x:c r="H2884" t="str">
        <x:v>independent physical acceptance</x:v>
      </x:c>
      <x:c r="I2884" t="str">
        <x:f>IF(F2884=1,"PASS","OPEN")</x:f>
        <x:v>OPEN</x:v>
      </x:c>
    </x:row>
    <x:row r="2885">
      <x:c r="B2885" t="str">
        <x:v>PH-VA-209</x:v>
      </x:c>
      <x:c r="C2885" t="str">
        <x:v>PHYSICAL</x:v>
      </x:c>
      <x:c r="D2885" t="str">
        <x:v>trial validity</x:v>
      </x:c>
      <x:c r="E2885" t="str">
        <x:v>PH-VA-209</x:v>
      </x:c>
      <x:c r="F2885" t="n">
        <x:f>IF('Trial Register'!R215&lt;&gt;"",1,0)</x:f>
        <x:v>0</x:v>
      </x:c>
      <x:c r="G2885" t="n">
        <x:v>1</x:v>
      </x:c>
      <x:c r="H2885" t="str">
        <x:v>independent physical acceptance</x:v>
      </x:c>
      <x:c r="I2885" t="str">
        <x:f>IF(F2885=1,"PASS","OPEN")</x:f>
        <x:v>OPEN</x:v>
      </x:c>
    </x:row>
    <x:row r="2886">
      <x:c r="B2886" t="str">
        <x:v>PH-RV-209</x:v>
      </x:c>
      <x:c r="C2886" t="str">
        <x:v>PHYSICAL</x:v>
      </x:c>
      <x:c r="D2886" t="str">
        <x:v>reported value</x:v>
      </x:c>
      <x:c r="E2886" t="str">
        <x:v>PH-RV-209</x:v>
      </x:c>
      <x:c r="F2886" t="n">
        <x:f>IF('Trial Register'!S215&lt;&gt;"",1,0)</x:f>
        <x:v>0</x:v>
      </x:c>
      <x:c r="G2886" t="n">
        <x:v>1</x:v>
      </x:c>
      <x:c r="H2886" t="str">
        <x:v>independent physical acceptance</x:v>
      </x:c>
      <x:c r="I2886" t="str">
        <x:f>IF(F2886=1,"PASS","OPEN")</x:f>
        <x:v>OPEN</x:v>
      </x:c>
    </x:row>
    <x:row r="2887">
      <x:c r="B2887" t="str">
        <x:v>PH-CR-209</x:v>
      </x:c>
      <x:c r="C2887" t="str">
        <x:v>PHYSICAL</x:v>
      </x:c>
      <x:c r="D2887" t="str">
        <x:v>credit acceptance</x:v>
      </x:c>
      <x:c r="E2887" t="str">
        <x:v>PH-CR-209</x:v>
      </x:c>
      <x:c r="F2887" t="str">
        <x:f>'Trial Register'!V215</x:f>
      </x:c>
      <x:c r="G2887" t="n">
        <x:v>1</x:v>
      </x:c>
      <x:c r="H2887" t="str">
        <x:v>independent physical acceptance</x:v>
      </x:c>
      <x:c r="I2887" t="str">
        <x:f>IF(F2887=1,"PASS","OPEN")</x:f>
        <x:v>OPEN</x:v>
      </x:c>
    </x:row>
    <x:row r="2888">
      <x:c r="B2888" t="str">
        <x:v>PH-EX-210</x:v>
      </x:c>
      <x:c r="C2888" t="str">
        <x:v>PHYSICAL</x:v>
      </x:c>
      <x:c r="D2888" t="str">
        <x:v>trial execution</x:v>
      </x:c>
      <x:c r="E2888" t="str">
        <x:v>PH-EX-210</x:v>
      </x:c>
      <x:c r="F2888" t="n">
        <x:f>IF('Trial Register'!P216&lt;&gt;"",1,0)</x:f>
        <x:v>0</x:v>
      </x:c>
      <x:c r="G2888" t="n">
        <x:v>1</x:v>
      </x:c>
      <x:c r="H2888" t="str">
        <x:v>independent physical acceptance</x:v>
      </x:c>
      <x:c r="I2888" t="str">
        <x:f>IF(F2888=1,"PASS","OPEN")</x:f>
        <x:v>OPEN</x:v>
      </x:c>
    </x:row>
    <x:row r="2889">
      <x:c r="B2889" t="str">
        <x:v>PH-PK-210</x:v>
      </x:c>
      <x:c r="C2889" t="str">
        <x:v>PHYSICAL</x:v>
      </x:c>
      <x:c r="D2889" t="str">
        <x:v>trial packet</x:v>
      </x:c>
      <x:c r="E2889" t="str">
        <x:v>PH-PK-210</x:v>
      </x:c>
      <x:c r="F2889" t="n">
        <x:f>IF('Trial Register'!Q216&lt;&gt;"",1,0)</x:f>
        <x:v>0</x:v>
      </x:c>
      <x:c r="G2889" t="n">
        <x:v>1</x:v>
      </x:c>
      <x:c r="H2889" t="str">
        <x:v>independent physical acceptance</x:v>
      </x:c>
      <x:c r="I2889" t="str">
        <x:f>IF(F2889=1,"PASS","OPEN")</x:f>
        <x:v>OPEN</x:v>
      </x:c>
    </x:row>
    <x:row r="2890">
      <x:c r="B2890" t="str">
        <x:v>PH-VA-210</x:v>
      </x:c>
      <x:c r="C2890" t="str">
        <x:v>PHYSICAL</x:v>
      </x:c>
      <x:c r="D2890" t="str">
        <x:v>trial validity</x:v>
      </x:c>
      <x:c r="E2890" t="str">
        <x:v>PH-VA-210</x:v>
      </x:c>
      <x:c r="F2890" t="n">
        <x:f>IF('Trial Register'!R216&lt;&gt;"",1,0)</x:f>
        <x:v>0</x:v>
      </x:c>
      <x:c r="G2890" t="n">
        <x:v>1</x:v>
      </x:c>
      <x:c r="H2890" t="str">
        <x:v>independent physical acceptance</x:v>
      </x:c>
      <x:c r="I2890" t="str">
        <x:f>IF(F2890=1,"PASS","OPEN")</x:f>
        <x:v>OPEN</x:v>
      </x:c>
    </x:row>
    <x:row r="2891">
      <x:c r="B2891" t="str">
        <x:v>PH-RV-210</x:v>
      </x:c>
      <x:c r="C2891" t="str">
        <x:v>PHYSICAL</x:v>
      </x:c>
      <x:c r="D2891" t="str">
        <x:v>reported value</x:v>
      </x:c>
      <x:c r="E2891" t="str">
        <x:v>PH-RV-210</x:v>
      </x:c>
      <x:c r="F2891" t="n">
        <x:f>IF('Trial Register'!S216&lt;&gt;"",1,0)</x:f>
        <x:v>0</x:v>
      </x:c>
      <x:c r="G2891" t="n">
        <x:v>1</x:v>
      </x:c>
      <x:c r="H2891" t="str">
        <x:v>independent physical acceptance</x:v>
      </x:c>
      <x:c r="I2891" t="str">
        <x:f>IF(F2891=1,"PASS","OPEN")</x:f>
        <x:v>OPEN</x:v>
      </x:c>
    </x:row>
    <x:row r="2892">
      <x:c r="B2892" t="str">
        <x:v>PH-CR-210</x:v>
      </x:c>
      <x:c r="C2892" t="str">
        <x:v>PHYSICAL</x:v>
      </x:c>
      <x:c r="D2892" t="str">
        <x:v>credit acceptance</x:v>
      </x:c>
      <x:c r="E2892" t="str">
        <x:v>PH-CR-210</x:v>
      </x:c>
      <x:c r="F2892" t="str">
        <x:f>'Trial Register'!V216</x:f>
      </x:c>
      <x:c r="G2892" t="n">
        <x:v>1</x:v>
      </x:c>
      <x:c r="H2892" t="str">
        <x:v>independent physical acceptance</x:v>
      </x:c>
      <x:c r="I2892" t="str">
        <x:f>IF(F2892=1,"PASS","OPEN")</x:f>
        <x:v>OPEN</x:v>
      </x:c>
    </x:row>
    <x:row r="2893">
      <x:c r="B2893" t="str">
        <x:v>PH-EX-211</x:v>
      </x:c>
      <x:c r="C2893" t="str">
        <x:v>PHYSICAL</x:v>
      </x:c>
      <x:c r="D2893" t="str">
        <x:v>trial execution</x:v>
      </x:c>
      <x:c r="E2893" t="str">
        <x:v>PH-EX-211</x:v>
      </x:c>
      <x:c r="F2893" t="n">
        <x:f>IF('Trial Register'!P217&lt;&gt;"",1,0)</x:f>
        <x:v>0</x:v>
      </x:c>
      <x:c r="G2893" t="n">
        <x:v>1</x:v>
      </x:c>
      <x:c r="H2893" t="str">
        <x:v>independent physical acceptance</x:v>
      </x:c>
      <x:c r="I2893" t="str">
        <x:f>IF(F2893=1,"PASS","OPEN")</x:f>
        <x:v>OPEN</x:v>
      </x:c>
    </x:row>
    <x:row r="2894">
      <x:c r="B2894" t="str">
        <x:v>PH-PK-211</x:v>
      </x:c>
      <x:c r="C2894" t="str">
        <x:v>PHYSICAL</x:v>
      </x:c>
      <x:c r="D2894" t="str">
        <x:v>trial packet</x:v>
      </x:c>
      <x:c r="E2894" t="str">
        <x:v>PH-PK-211</x:v>
      </x:c>
      <x:c r="F2894" t="n">
        <x:f>IF('Trial Register'!Q217&lt;&gt;"",1,0)</x:f>
        <x:v>0</x:v>
      </x:c>
      <x:c r="G2894" t="n">
        <x:v>1</x:v>
      </x:c>
      <x:c r="H2894" t="str">
        <x:v>independent physical acceptance</x:v>
      </x:c>
      <x:c r="I2894" t="str">
        <x:f>IF(F2894=1,"PASS","OPEN")</x:f>
        <x:v>OPEN</x:v>
      </x:c>
    </x:row>
    <x:row r="2895">
      <x:c r="B2895" t="str">
        <x:v>PH-VA-211</x:v>
      </x:c>
      <x:c r="C2895" t="str">
        <x:v>PHYSICAL</x:v>
      </x:c>
      <x:c r="D2895" t="str">
        <x:v>trial validity</x:v>
      </x:c>
      <x:c r="E2895" t="str">
        <x:v>PH-VA-211</x:v>
      </x:c>
      <x:c r="F2895" t="n">
        <x:f>IF('Trial Register'!R217&lt;&gt;"",1,0)</x:f>
        <x:v>0</x:v>
      </x:c>
      <x:c r="G2895" t="n">
        <x:v>1</x:v>
      </x:c>
      <x:c r="H2895" t="str">
        <x:v>independent physical acceptance</x:v>
      </x:c>
      <x:c r="I2895" t="str">
        <x:f>IF(F2895=1,"PASS","OPEN")</x:f>
        <x:v>OPEN</x:v>
      </x:c>
    </x:row>
    <x:row r="2896">
      <x:c r="B2896" t="str">
        <x:v>PH-RV-211</x:v>
      </x:c>
      <x:c r="C2896" t="str">
        <x:v>PHYSICAL</x:v>
      </x:c>
      <x:c r="D2896" t="str">
        <x:v>reported value</x:v>
      </x:c>
      <x:c r="E2896" t="str">
        <x:v>PH-RV-211</x:v>
      </x:c>
      <x:c r="F2896" t="n">
        <x:f>IF('Trial Register'!S217&lt;&gt;"",1,0)</x:f>
        <x:v>0</x:v>
      </x:c>
      <x:c r="G2896" t="n">
        <x:v>1</x:v>
      </x:c>
      <x:c r="H2896" t="str">
        <x:v>independent physical acceptance</x:v>
      </x:c>
      <x:c r="I2896" t="str">
        <x:f>IF(F2896=1,"PASS","OPEN")</x:f>
        <x:v>OPEN</x:v>
      </x:c>
    </x:row>
    <x:row r="2897">
      <x:c r="B2897" t="str">
        <x:v>PH-CR-211</x:v>
      </x:c>
      <x:c r="C2897" t="str">
        <x:v>PHYSICAL</x:v>
      </x:c>
      <x:c r="D2897" t="str">
        <x:v>credit acceptance</x:v>
      </x:c>
      <x:c r="E2897" t="str">
        <x:v>PH-CR-211</x:v>
      </x:c>
      <x:c r="F2897" t="str">
        <x:f>'Trial Register'!V217</x:f>
      </x:c>
      <x:c r="G2897" t="n">
        <x:v>1</x:v>
      </x:c>
      <x:c r="H2897" t="str">
        <x:v>independent physical acceptance</x:v>
      </x:c>
      <x:c r="I2897" t="str">
        <x:f>IF(F2897=1,"PASS","OPEN")</x:f>
        <x:v>OPEN</x:v>
      </x:c>
    </x:row>
    <x:row r="2898">
      <x:c r="B2898" t="str">
        <x:v>PH-EX-212</x:v>
      </x:c>
      <x:c r="C2898" t="str">
        <x:v>PHYSICAL</x:v>
      </x:c>
      <x:c r="D2898" t="str">
        <x:v>trial execution</x:v>
      </x:c>
      <x:c r="E2898" t="str">
        <x:v>PH-EX-212</x:v>
      </x:c>
      <x:c r="F2898" t="n">
        <x:f>IF('Trial Register'!P218&lt;&gt;"",1,0)</x:f>
        <x:v>0</x:v>
      </x:c>
      <x:c r="G2898" t="n">
        <x:v>1</x:v>
      </x:c>
      <x:c r="H2898" t="str">
        <x:v>independent physical acceptance</x:v>
      </x:c>
      <x:c r="I2898" t="str">
        <x:f>IF(F2898=1,"PASS","OPEN")</x:f>
        <x:v>OPEN</x:v>
      </x:c>
    </x:row>
    <x:row r="2899">
      <x:c r="B2899" t="str">
        <x:v>PH-PK-212</x:v>
      </x:c>
      <x:c r="C2899" t="str">
        <x:v>PHYSICAL</x:v>
      </x:c>
      <x:c r="D2899" t="str">
        <x:v>trial packet</x:v>
      </x:c>
      <x:c r="E2899" t="str">
        <x:v>PH-PK-212</x:v>
      </x:c>
      <x:c r="F2899" t="n">
        <x:f>IF('Trial Register'!Q218&lt;&gt;"",1,0)</x:f>
        <x:v>0</x:v>
      </x:c>
      <x:c r="G2899" t="n">
        <x:v>1</x:v>
      </x:c>
      <x:c r="H2899" t="str">
        <x:v>independent physical acceptance</x:v>
      </x:c>
      <x:c r="I2899" t="str">
        <x:f>IF(F2899=1,"PASS","OPEN")</x:f>
        <x:v>OPEN</x:v>
      </x:c>
    </x:row>
    <x:row r="2900">
      <x:c r="B2900" t="str">
        <x:v>PH-VA-212</x:v>
      </x:c>
      <x:c r="C2900" t="str">
        <x:v>PHYSICAL</x:v>
      </x:c>
      <x:c r="D2900" t="str">
        <x:v>trial validity</x:v>
      </x:c>
      <x:c r="E2900" t="str">
        <x:v>PH-VA-212</x:v>
      </x:c>
      <x:c r="F2900" t="n">
        <x:f>IF('Trial Register'!R218&lt;&gt;"",1,0)</x:f>
        <x:v>0</x:v>
      </x:c>
      <x:c r="G2900" t="n">
        <x:v>1</x:v>
      </x:c>
      <x:c r="H2900" t="str">
        <x:v>independent physical acceptance</x:v>
      </x:c>
      <x:c r="I2900" t="str">
        <x:f>IF(F2900=1,"PASS","OPEN")</x:f>
        <x:v>OPEN</x:v>
      </x:c>
    </x:row>
    <x:row r="2901">
      <x:c r="B2901" t="str">
        <x:v>PH-RV-212</x:v>
      </x:c>
      <x:c r="C2901" t="str">
        <x:v>PHYSICAL</x:v>
      </x:c>
      <x:c r="D2901" t="str">
        <x:v>reported value</x:v>
      </x:c>
      <x:c r="E2901" t="str">
        <x:v>PH-RV-212</x:v>
      </x:c>
      <x:c r="F2901" t="n">
        <x:f>IF('Trial Register'!S218&lt;&gt;"",1,0)</x:f>
        <x:v>0</x:v>
      </x:c>
      <x:c r="G2901" t="n">
        <x:v>1</x:v>
      </x:c>
      <x:c r="H2901" t="str">
        <x:v>independent physical acceptance</x:v>
      </x:c>
      <x:c r="I2901" t="str">
        <x:f>IF(F2901=1,"PASS","OPEN")</x:f>
        <x:v>OPEN</x:v>
      </x:c>
    </x:row>
    <x:row r="2902">
      <x:c r="B2902" t="str">
        <x:v>PH-CR-212</x:v>
      </x:c>
      <x:c r="C2902" t="str">
        <x:v>PHYSICAL</x:v>
      </x:c>
      <x:c r="D2902" t="str">
        <x:v>credit acceptance</x:v>
      </x:c>
      <x:c r="E2902" t="str">
        <x:v>PH-CR-212</x:v>
      </x:c>
      <x:c r="F2902" t="str">
        <x:f>'Trial Register'!V218</x:f>
      </x:c>
      <x:c r="G2902" t="n">
        <x:v>1</x:v>
      </x:c>
      <x:c r="H2902" t="str">
        <x:v>independent physical acceptance</x:v>
      </x:c>
      <x:c r="I2902" t="str">
        <x:f>IF(F2902=1,"PASS","OPEN")</x:f>
        <x:v>OPEN</x:v>
      </x:c>
    </x:row>
    <x:row r="2903">
      <x:c r="B2903" t="str">
        <x:v>PH-EX-213</x:v>
      </x:c>
      <x:c r="C2903" t="str">
        <x:v>PHYSICAL</x:v>
      </x:c>
      <x:c r="D2903" t="str">
        <x:v>trial execution</x:v>
      </x:c>
      <x:c r="E2903" t="str">
        <x:v>PH-EX-213</x:v>
      </x:c>
      <x:c r="F2903" t="n">
        <x:f>IF('Trial Register'!P219&lt;&gt;"",1,0)</x:f>
        <x:v>0</x:v>
      </x:c>
      <x:c r="G2903" t="n">
        <x:v>1</x:v>
      </x:c>
      <x:c r="H2903" t="str">
        <x:v>independent physical acceptance</x:v>
      </x:c>
      <x:c r="I2903" t="str">
        <x:f>IF(F2903=1,"PASS","OPEN")</x:f>
        <x:v>OPEN</x:v>
      </x:c>
    </x:row>
    <x:row r="2904">
      <x:c r="B2904" t="str">
        <x:v>PH-PK-213</x:v>
      </x:c>
      <x:c r="C2904" t="str">
        <x:v>PHYSICAL</x:v>
      </x:c>
      <x:c r="D2904" t="str">
        <x:v>trial packet</x:v>
      </x:c>
      <x:c r="E2904" t="str">
        <x:v>PH-PK-213</x:v>
      </x:c>
      <x:c r="F2904" t="n">
        <x:f>IF('Trial Register'!Q219&lt;&gt;"",1,0)</x:f>
        <x:v>0</x:v>
      </x:c>
      <x:c r="G2904" t="n">
        <x:v>1</x:v>
      </x:c>
      <x:c r="H2904" t="str">
        <x:v>independent physical acceptance</x:v>
      </x:c>
      <x:c r="I2904" t="str">
        <x:f>IF(F2904=1,"PASS","OPEN")</x:f>
        <x:v>OPEN</x:v>
      </x:c>
    </x:row>
    <x:row r="2905">
      <x:c r="B2905" t="str">
        <x:v>PH-VA-213</x:v>
      </x:c>
      <x:c r="C2905" t="str">
        <x:v>PHYSICAL</x:v>
      </x:c>
      <x:c r="D2905" t="str">
        <x:v>trial validity</x:v>
      </x:c>
      <x:c r="E2905" t="str">
        <x:v>PH-VA-213</x:v>
      </x:c>
      <x:c r="F2905" t="n">
        <x:f>IF('Trial Register'!R219&lt;&gt;"",1,0)</x:f>
        <x:v>0</x:v>
      </x:c>
      <x:c r="G2905" t="n">
        <x:v>1</x:v>
      </x:c>
      <x:c r="H2905" t="str">
        <x:v>independent physical acceptance</x:v>
      </x:c>
      <x:c r="I2905" t="str">
        <x:f>IF(F2905=1,"PASS","OPEN")</x:f>
        <x:v>OPEN</x:v>
      </x:c>
    </x:row>
    <x:row r="2906">
      <x:c r="B2906" t="str">
        <x:v>PH-RV-213</x:v>
      </x:c>
      <x:c r="C2906" t="str">
        <x:v>PHYSICAL</x:v>
      </x:c>
      <x:c r="D2906" t="str">
        <x:v>reported value</x:v>
      </x:c>
      <x:c r="E2906" t="str">
        <x:v>PH-RV-213</x:v>
      </x:c>
      <x:c r="F2906" t="n">
        <x:f>IF('Trial Register'!S219&lt;&gt;"",1,0)</x:f>
        <x:v>0</x:v>
      </x:c>
      <x:c r="G2906" t="n">
        <x:v>1</x:v>
      </x:c>
      <x:c r="H2906" t="str">
        <x:v>independent physical acceptance</x:v>
      </x:c>
      <x:c r="I2906" t="str">
        <x:f>IF(F2906=1,"PASS","OPEN")</x:f>
        <x:v>OPEN</x:v>
      </x:c>
    </x:row>
    <x:row r="2907">
      <x:c r="B2907" t="str">
        <x:v>PH-CR-213</x:v>
      </x:c>
      <x:c r="C2907" t="str">
        <x:v>PHYSICAL</x:v>
      </x:c>
      <x:c r="D2907" t="str">
        <x:v>credit acceptance</x:v>
      </x:c>
      <x:c r="E2907" t="str">
        <x:v>PH-CR-213</x:v>
      </x:c>
      <x:c r="F2907" t="str">
        <x:f>'Trial Register'!V219</x:f>
      </x:c>
      <x:c r="G2907" t="n">
        <x:v>1</x:v>
      </x:c>
      <x:c r="H2907" t="str">
        <x:v>independent physical acceptance</x:v>
      </x:c>
      <x:c r="I2907" t="str">
        <x:f>IF(F2907=1,"PASS","OPEN")</x:f>
        <x:v>OPEN</x:v>
      </x:c>
    </x:row>
    <x:row r="2908">
      <x:c r="B2908" t="str">
        <x:v>PH-EX-214</x:v>
      </x:c>
      <x:c r="C2908" t="str">
        <x:v>PHYSICAL</x:v>
      </x:c>
      <x:c r="D2908" t="str">
        <x:v>trial execution</x:v>
      </x:c>
      <x:c r="E2908" t="str">
        <x:v>PH-EX-214</x:v>
      </x:c>
      <x:c r="F2908" t="n">
        <x:f>IF('Trial Register'!P220&lt;&gt;"",1,0)</x:f>
        <x:v>0</x:v>
      </x:c>
      <x:c r="G2908" t="n">
        <x:v>1</x:v>
      </x:c>
      <x:c r="H2908" t="str">
        <x:v>independent physical acceptance</x:v>
      </x:c>
      <x:c r="I2908" t="str">
        <x:f>IF(F2908=1,"PASS","OPEN")</x:f>
        <x:v>OPEN</x:v>
      </x:c>
    </x:row>
    <x:row r="2909">
      <x:c r="B2909" t="str">
        <x:v>PH-PK-214</x:v>
      </x:c>
      <x:c r="C2909" t="str">
        <x:v>PHYSICAL</x:v>
      </x:c>
      <x:c r="D2909" t="str">
        <x:v>trial packet</x:v>
      </x:c>
      <x:c r="E2909" t="str">
        <x:v>PH-PK-214</x:v>
      </x:c>
      <x:c r="F2909" t="n">
        <x:f>IF('Trial Register'!Q220&lt;&gt;"",1,0)</x:f>
        <x:v>0</x:v>
      </x:c>
      <x:c r="G2909" t="n">
        <x:v>1</x:v>
      </x:c>
      <x:c r="H2909" t="str">
        <x:v>independent physical acceptance</x:v>
      </x:c>
      <x:c r="I2909" t="str">
        <x:f>IF(F2909=1,"PASS","OPEN")</x:f>
        <x:v>OPEN</x:v>
      </x:c>
    </x:row>
    <x:row r="2910">
      <x:c r="B2910" t="str">
        <x:v>PH-VA-214</x:v>
      </x:c>
      <x:c r="C2910" t="str">
        <x:v>PHYSICAL</x:v>
      </x:c>
      <x:c r="D2910" t="str">
        <x:v>trial validity</x:v>
      </x:c>
      <x:c r="E2910" t="str">
        <x:v>PH-VA-214</x:v>
      </x:c>
      <x:c r="F2910" t="n">
        <x:f>IF('Trial Register'!R220&lt;&gt;"",1,0)</x:f>
        <x:v>0</x:v>
      </x:c>
      <x:c r="G2910" t="n">
        <x:v>1</x:v>
      </x:c>
      <x:c r="H2910" t="str">
        <x:v>independent physical acceptance</x:v>
      </x:c>
      <x:c r="I2910" t="str">
        <x:f>IF(F2910=1,"PASS","OPEN")</x:f>
        <x:v>OPEN</x:v>
      </x:c>
    </x:row>
    <x:row r="2911">
      <x:c r="B2911" t="str">
        <x:v>PH-RV-214</x:v>
      </x:c>
      <x:c r="C2911" t="str">
        <x:v>PHYSICAL</x:v>
      </x:c>
      <x:c r="D2911" t="str">
        <x:v>reported value</x:v>
      </x:c>
      <x:c r="E2911" t="str">
        <x:v>PH-RV-214</x:v>
      </x:c>
      <x:c r="F2911" t="n">
        <x:f>IF('Trial Register'!S220&lt;&gt;"",1,0)</x:f>
        <x:v>0</x:v>
      </x:c>
      <x:c r="G2911" t="n">
        <x:v>1</x:v>
      </x:c>
      <x:c r="H2911" t="str">
        <x:v>independent physical acceptance</x:v>
      </x:c>
      <x:c r="I2911" t="str">
        <x:f>IF(F2911=1,"PASS","OPEN")</x:f>
        <x:v>OPEN</x:v>
      </x:c>
    </x:row>
    <x:row r="2912">
      <x:c r="B2912" t="str">
        <x:v>PH-CR-214</x:v>
      </x:c>
      <x:c r="C2912" t="str">
        <x:v>PHYSICAL</x:v>
      </x:c>
      <x:c r="D2912" t="str">
        <x:v>credit acceptance</x:v>
      </x:c>
      <x:c r="E2912" t="str">
        <x:v>PH-CR-214</x:v>
      </x:c>
      <x:c r="F2912" t="str">
        <x:f>'Trial Register'!V220</x:f>
      </x:c>
      <x:c r="G2912" t="n">
        <x:v>1</x:v>
      </x:c>
      <x:c r="H2912" t="str">
        <x:v>independent physical acceptance</x:v>
      </x:c>
      <x:c r="I2912" t="str">
        <x:f>IF(F2912=1,"PASS","OPEN")</x:f>
        <x:v>OPEN</x:v>
      </x:c>
    </x:row>
    <x:row r="2913">
      <x:c r="B2913" t="str">
        <x:v>PH-EX-215</x:v>
      </x:c>
      <x:c r="C2913" t="str">
        <x:v>PHYSICAL</x:v>
      </x:c>
      <x:c r="D2913" t="str">
        <x:v>trial execution</x:v>
      </x:c>
      <x:c r="E2913" t="str">
        <x:v>PH-EX-215</x:v>
      </x:c>
      <x:c r="F2913" t="n">
        <x:f>IF('Trial Register'!P221&lt;&gt;"",1,0)</x:f>
        <x:v>0</x:v>
      </x:c>
      <x:c r="G2913" t="n">
        <x:v>1</x:v>
      </x:c>
      <x:c r="H2913" t="str">
        <x:v>independent physical acceptance</x:v>
      </x:c>
      <x:c r="I2913" t="str">
        <x:f>IF(F2913=1,"PASS","OPEN")</x:f>
        <x:v>OPEN</x:v>
      </x:c>
    </x:row>
    <x:row r="2914">
      <x:c r="B2914" t="str">
        <x:v>PH-PK-215</x:v>
      </x:c>
      <x:c r="C2914" t="str">
        <x:v>PHYSICAL</x:v>
      </x:c>
      <x:c r="D2914" t="str">
        <x:v>trial packet</x:v>
      </x:c>
      <x:c r="E2914" t="str">
        <x:v>PH-PK-215</x:v>
      </x:c>
      <x:c r="F2914" t="n">
        <x:f>IF('Trial Register'!Q221&lt;&gt;"",1,0)</x:f>
        <x:v>0</x:v>
      </x:c>
      <x:c r="G2914" t="n">
        <x:v>1</x:v>
      </x:c>
      <x:c r="H2914" t="str">
        <x:v>independent physical acceptance</x:v>
      </x:c>
      <x:c r="I2914" t="str">
        <x:f>IF(F2914=1,"PASS","OPEN")</x:f>
        <x:v>OPEN</x:v>
      </x:c>
    </x:row>
    <x:row r="2915">
      <x:c r="B2915" t="str">
        <x:v>PH-VA-215</x:v>
      </x:c>
      <x:c r="C2915" t="str">
        <x:v>PHYSICAL</x:v>
      </x:c>
      <x:c r="D2915" t="str">
        <x:v>trial validity</x:v>
      </x:c>
      <x:c r="E2915" t="str">
        <x:v>PH-VA-215</x:v>
      </x:c>
      <x:c r="F2915" t="n">
        <x:f>IF('Trial Register'!R221&lt;&gt;"",1,0)</x:f>
        <x:v>0</x:v>
      </x:c>
      <x:c r="G2915" t="n">
        <x:v>1</x:v>
      </x:c>
      <x:c r="H2915" t="str">
        <x:v>independent physical acceptance</x:v>
      </x:c>
      <x:c r="I2915" t="str">
        <x:f>IF(F2915=1,"PASS","OPEN")</x:f>
        <x:v>OPEN</x:v>
      </x:c>
    </x:row>
    <x:row r="2916">
      <x:c r="B2916" t="str">
        <x:v>PH-RV-215</x:v>
      </x:c>
      <x:c r="C2916" t="str">
        <x:v>PHYSICAL</x:v>
      </x:c>
      <x:c r="D2916" t="str">
        <x:v>reported value</x:v>
      </x:c>
      <x:c r="E2916" t="str">
        <x:v>PH-RV-215</x:v>
      </x:c>
      <x:c r="F2916" t="n">
        <x:f>IF('Trial Register'!S221&lt;&gt;"",1,0)</x:f>
        <x:v>0</x:v>
      </x:c>
      <x:c r="G2916" t="n">
        <x:v>1</x:v>
      </x:c>
      <x:c r="H2916" t="str">
        <x:v>independent physical acceptance</x:v>
      </x:c>
      <x:c r="I2916" t="str">
        <x:f>IF(F2916=1,"PASS","OPEN")</x:f>
        <x:v>OPEN</x:v>
      </x:c>
    </x:row>
    <x:row r="2917">
      <x:c r="B2917" t="str">
        <x:v>PH-CR-215</x:v>
      </x:c>
      <x:c r="C2917" t="str">
        <x:v>PHYSICAL</x:v>
      </x:c>
      <x:c r="D2917" t="str">
        <x:v>credit acceptance</x:v>
      </x:c>
      <x:c r="E2917" t="str">
        <x:v>PH-CR-215</x:v>
      </x:c>
      <x:c r="F2917" t="str">
        <x:f>'Trial Register'!V221</x:f>
      </x:c>
      <x:c r="G2917" t="n">
        <x:v>1</x:v>
      </x:c>
      <x:c r="H2917" t="str">
        <x:v>independent physical acceptance</x:v>
      </x:c>
      <x:c r="I2917" t="str">
        <x:f>IF(F2917=1,"PASS","OPEN")</x:f>
        <x:v>OPEN</x:v>
      </x:c>
    </x:row>
    <x:row r="2918">
      <x:c r="B2918" t="str">
        <x:v>PH-EX-216</x:v>
      </x:c>
      <x:c r="C2918" t="str">
        <x:v>PHYSICAL</x:v>
      </x:c>
      <x:c r="D2918" t="str">
        <x:v>trial execution</x:v>
      </x:c>
      <x:c r="E2918" t="str">
        <x:v>PH-EX-216</x:v>
      </x:c>
      <x:c r="F2918" t="n">
        <x:f>IF('Trial Register'!P222&lt;&gt;"",1,0)</x:f>
        <x:v>0</x:v>
      </x:c>
      <x:c r="G2918" t="n">
        <x:v>1</x:v>
      </x:c>
      <x:c r="H2918" t="str">
        <x:v>independent physical acceptance</x:v>
      </x:c>
      <x:c r="I2918" t="str">
        <x:f>IF(F2918=1,"PASS","OPEN")</x:f>
        <x:v>OPEN</x:v>
      </x:c>
    </x:row>
    <x:row r="2919">
      <x:c r="B2919" t="str">
        <x:v>PH-PK-216</x:v>
      </x:c>
      <x:c r="C2919" t="str">
        <x:v>PHYSICAL</x:v>
      </x:c>
      <x:c r="D2919" t="str">
        <x:v>trial packet</x:v>
      </x:c>
      <x:c r="E2919" t="str">
        <x:v>PH-PK-216</x:v>
      </x:c>
      <x:c r="F2919" t="n">
        <x:f>IF('Trial Register'!Q222&lt;&gt;"",1,0)</x:f>
        <x:v>0</x:v>
      </x:c>
      <x:c r="G2919" t="n">
        <x:v>1</x:v>
      </x:c>
      <x:c r="H2919" t="str">
        <x:v>independent physical acceptance</x:v>
      </x:c>
      <x:c r="I2919" t="str">
        <x:f>IF(F2919=1,"PASS","OPEN")</x:f>
        <x:v>OPEN</x:v>
      </x:c>
    </x:row>
    <x:row r="2920">
      <x:c r="B2920" t="str">
        <x:v>PH-VA-216</x:v>
      </x:c>
      <x:c r="C2920" t="str">
        <x:v>PHYSICAL</x:v>
      </x:c>
      <x:c r="D2920" t="str">
        <x:v>trial validity</x:v>
      </x:c>
      <x:c r="E2920" t="str">
        <x:v>PH-VA-216</x:v>
      </x:c>
      <x:c r="F2920" t="n">
        <x:f>IF('Trial Register'!R222&lt;&gt;"",1,0)</x:f>
        <x:v>0</x:v>
      </x:c>
      <x:c r="G2920" t="n">
        <x:v>1</x:v>
      </x:c>
      <x:c r="H2920" t="str">
        <x:v>independent physical acceptance</x:v>
      </x:c>
      <x:c r="I2920" t="str">
        <x:f>IF(F2920=1,"PASS","OPEN")</x:f>
        <x:v>OPEN</x:v>
      </x:c>
    </x:row>
    <x:row r="2921">
      <x:c r="B2921" t="str">
        <x:v>PH-RV-216</x:v>
      </x:c>
      <x:c r="C2921" t="str">
        <x:v>PHYSICAL</x:v>
      </x:c>
      <x:c r="D2921" t="str">
        <x:v>reported value</x:v>
      </x:c>
      <x:c r="E2921" t="str">
        <x:v>PH-RV-216</x:v>
      </x:c>
      <x:c r="F2921" t="n">
        <x:f>IF('Trial Register'!S222&lt;&gt;"",1,0)</x:f>
        <x:v>0</x:v>
      </x:c>
      <x:c r="G2921" t="n">
        <x:v>1</x:v>
      </x:c>
      <x:c r="H2921" t="str">
        <x:v>independent physical acceptance</x:v>
      </x:c>
      <x:c r="I2921" t="str">
        <x:f>IF(F2921=1,"PASS","OPEN")</x:f>
        <x:v>OPEN</x:v>
      </x:c>
    </x:row>
    <x:row r="2922">
      <x:c r="B2922" t="str">
        <x:v>PH-CR-216</x:v>
      </x:c>
      <x:c r="C2922" t="str">
        <x:v>PHYSICAL</x:v>
      </x:c>
      <x:c r="D2922" t="str">
        <x:v>credit acceptance</x:v>
      </x:c>
      <x:c r="E2922" t="str">
        <x:v>PH-CR-216</x:v>
      </x:c>
      <x:c r="F2922" t="str">
        <x:f>'Trial Register'!V222</x:f>
      </x:c>
      <x:c r="G2922" t="n">
        <x:v>1</x:v>
      </x:c>
      <x:c r="H2922" t="str">
        <x:v>independent physical acceptance</x:v>
      </x:c>
      <x:c r="I2922" t="str">
        <x:f>IF(F2922=1,"PASS","OPEN")</x:f>
        <x:v>OPEN</x:v>
      </x:c>
    </x:row>
    <x:row r="2923">
      <x:c r="B2923" t="str">
        <x:v>PH-EX-217</x:v>
      </x:c>
      <x:c r="C2923" t="str">
        <x:v>PHYSICAL</x:v>
      </x:c>
      <x:c r="D2923" t="str">
        <x:v>trial execution</x:v>
      </x:c>
      <x:c r="E2923" t="str">
        <x:v>PH-EX-217</x:v>
      </x:c>
      <x:c r="F2923" t="n">
        <x:f>IF('Trial Register'!P223&lt;&gt;"",1,0)</x:f>
        <x:v>0</x:v>
      </x:c>
      <x:c r="G2923" t="n">
        <x:v>1</x:v>
      </x:c>
      <x:c r="H2923" t="str">
        <x:v>independent physical acceptance</x:v>
      </x:c>
      <x:c r="I2923" t="str">
        <x:f>IF(F2923=1,"PASS","OPEN")</x:f>
        <x:v>OPEN</x:v>
      </x:c>
    </x:row>
    <x:row r="2924">
      <x:c r="B2924" t="str">
        <x:v>PH-PK-217</x:v>
      </x:c>
      <x:c r="C2924" t="str">
        <x:v>PHYSICAL</x:v>
      </x:c>
      <x:c r="D2924" t="str">
        <x:v>trial packet</x:v>
      </x:c>
      <x:c r="E2924" t="str">
        <x:v>PH-PK-217</x:v>
      </x:c>
      <x:c r="F2924" t="n">
        <x:f>IF('Trial Register'!Q223&lt;&gt;"",1,0)</x:f>
        <x:v>0</x:v>
      </x:c>
      <x:c r="G2924" t="n">
        <x:v>1</x:v>
      </x:c>
      <x:c r="H2924" t="str">
        <x:v>independent physical acceptance</x:v>
      </x:c>
      <x:c r="I2924" t="str">
        <x:f>IF(F2924=1,"PASS","OPEN")</x:f>
        <x:v>OPEN</x:v>
      </x:c>
    </x:row>
    <x:row r="2925">
      <x:c r="B2925" t="str">
        <x:v>PH-VA-217</x:v>
      </x:c>
      <x:c r="C2925" t="str">
        <x:v>PHYSICAL</x:v>
      </x:c>
      <x:c r="D2925" t="str">
        <x:v>trial validity</x:v>
      </x:c>
      <x:c r="E2925" t="str">
        <x:v>PH-VA-217</x:v>
      </x:c>
      <x:c r="F2925" t="n">
        <x:f>IF('Trial Register'!R223&lt;&gt;"",1,0)</x:f>
        <x:v>0</x:v>
      </x:c>
      <x:c r="G2925" t="n">
        <x:v>1</x:v>
      </x:c>
      <x:c r="H2925" t="str">
        <x:v>independent physical acceptance</x:v>
      </x:c>
      <x:c r="I2925" t="str">
        <x:f>IF(F2925=1,"PASS","OPEN")</x:f>
        <x:v>OPEN</x:v>
      </x:c>
    </x:row>
    <x:row r="2926">
      <x:c r="B2926" t="str">
        <x:v>PH-RV-217</x:v>
      </x:c>
      <x:c r="C2926" t="str">
        <x:v>PHYSICAL</x:v>
      </x:c>
      <x:c r="D2926" t="str">
        <x:v>reported value</x:v>
      </x:c>
      <x:c r="E2926" t="str">
        <x:v>PH-RV-217</x:v>
      </x:c>
      <x:c r="F2926" t="n">
        <x:f>IF('Trial Register'!S223&lt;&gt;"",1,0)</x:f>
        <x:v>0</x:v>
      </x:c>
      <x:c r="G2926" t="n">
        <x:v>1</x:v>
      </x:c>
      <x:c r="H2926" t="str">
        <x:v>independent physical acceptance</x:v>
      </x:c>
      <x:c r="I2926" t="str">
        <x:f>IF(F2926=1,"PASS","OPEN")</x:f>
        <x:v>OPEN</x:v>
      </x:c>
    </x:row>
    <x:row r="2927">
      <x:c r="B2927" t="str">
        <x:v>PH-CR-217</x:v>
      </x:c>
      <x:c r="C2927" t="str">
        <x:v>PHYSICAL</x:v>
      </x:c>
      <x:c r="D2927" t="str">
        <x:v>credit acceptance</x:v>
      </x:c>
      <x:c r="E2927" t="str">
        <x:v>PH-CR-217</x:v>
      </x:c>
      <x:c r="F2927" t="str">
        <x:f>'Trial Register'!V223</x:f>
      </x:c>
      <x:c r="G2927" t="n">
        <x:v>1</x:v>
      </x:c>
      <x:c r="H2927" t="str">
        <x:v>independent physical acceptance</x:v>
      </x:c>
      <x:c r="I2927" t="str">
        <x:f>IF(F2927=1,"PASS","OPEN")</x:f>
        <x:v>OPEN</x:v>
      </x:c>
    </x:row>
    <x:row r="2928">
      <x:c r="B2928" t="str">
        <x:v>PH-EX-218</x:v>
      </x:c>
      <x:c r="C2928" t="str">
        <x:v>PHYSICAL</x:v>
      </x:c>
      <x:c r="D2928" t="str">
        <x:v>trial execution</x:v>
      </x:c>
      <x:c r="E2928" t="str">
        <x:v>PH-EX-218</x:v>
      </x:c>
      <x:c r="F2928" t="n">
        <x:f>IF('Trial Register'!P224&lt;&gt;"",1,0)</x:f>
        <x:v>0</x:v>
      </x:c>
      <x:c r="G2928" t="n">
        <x:v>1</x:v>
      </x:c>
      <x:c r="H2928" t="str">
        <x:v>independent physical acceptance</x:v>
      </x:c>
      <x:c r="I2928" t="str">
        <x:f>IF(F2928=1,"PASS","OPEN")</x:f>
        <x:v>OPEN</x:v>
      </x:c>
    </x:row>
    <x:row r="2929">
      <x:c r="B2929" t="str">
        <x:v>PH-PK-218</x:v>
      </x:c>
      <x:c r="C2929" t="str">
        <x:v>PHYSICAL</x:v>
      </x:c>
      <x:c r="D2929" t="str">
        <x:v>trial packet</x:v>
      </x:c>
      <x:c r="E2929" t="str">
        <x:v>PH-PK-218</x:v>
      </x:c>
      <x:c r="F2929" t="n">
        <x:f>IF('Trial Register'!Q224&lt;&gt;"",1,0)</x:f>
        <x:v>0</x:v>
      </x:c>
      <x:c r="G2929" t="n">
        <x:v>1</x:v>
      </x:c>
      <x:c r="H2929" t="str">
        <x:v>independent physical acceptance</x:v>
      </x:c>
      <x:c r="I2929" t="str">
        <x:f>IF(F2929=1,"PASS","OPEN")</x:f>
        <x:v>OPEN</x:v>
      </x:c>
    </x:row>
    <x:row r="2930">
      <x:c r="B2930" t="str">
        <x:v>PH-VA-218</x:v>
      </x:c>
      <x:c r="C2930" t="str">
        <x:v>PHYSICAL</x:v>
      </x:c>
      <x:c r="D2930" t="str">
        <x:v>trial validity</x:v>
      </x:c>
      <x:c r="E2930" t="str">
        <x:v>PH-VA-218</x:v>
      </x:c>
      <x:c r="F2930" t="n">
        <x:f>IF('Trial Register'!R224&lt;&gt;"",1,0)</x:f>
        <x:v>0</x:v>
      </x:c>
      <x:c r="G2930" t="n">
        <x:v>1</x:v>
      </x:c>
      <x:c r="H2930" t="str">
        <x:v>independent physical acceptance</x:v>
      </x:c>
      <x:c r="I2930" t="str">
        <x:f>IF(F2930=1,"PASS","OPEN")</x:f>
        <x:v>OPEN</x:v>
      </x:c>
    </x:row>
    <x:row r="2931">
      <x:c r="B2931" t="str">
        <x:v>PH-RV-218</x:v>
      </x:c>
      <x:c r="C2931" t="str">
        <x:v>PHYSICAL</x:v>
      </x:c>
      <x:c r="D2931" t="str">
        <x:v>reported value</x:v>
      </x:c>
      <x:c r="E2931" t="str">
        <x:v>PH-RV-218</x:v>
      </x:c>
      <x:c r="F2931" t="n">
        <x:f>IF('Trial Register'!S224&lt;&gt;"",1,0)</x:f>
        <x:v>0</x:v>
      </x:c>
      <x:c r="G2931" t="n">
        <x:v>1</x:v>
      </x:c>
      <x:c r="H2931" t="str">
        <x:v>independent physical acceptance</x:v>
      </x:c>
      <x:c r="I2931" t="str">
        <x:f>IF(F2931=1,"PASS","OPEN")</x:f>
        <x:v>OPEN</x:v>
      </x:c>
    </x:row>
    <x:row r="2932">
      <x:c r="B2932" t="str">
        <x:v>PH-CR-218</x:v>
      </x:c>
      <x:c r="C2932" t="str">
        <x:v>PHYSICAL</x:v>
      </x:c>
      <x:c r="D2932" t="str">
        <x:v>credit acceptance</x:v>
      </x:c>
      <x:c r="E2932" t="str">
        <x:v>PH-CR-218</x:v>
      </x:c>
      <x:c r="F2932" t="str">
        <x:f>'Trial Register'!V224</x:f>
      </x:c>
      <x:c r="G2932" t="n">
        <x:v>1</x:v>
      </x:c>
      <x:c r="H2932" t="str">
        <x:v>independent physical acceptance</x:v>
      </x:c>
      <x:c r="I2932" t="str">
        <x:f>IF(F2932=1,"PASS","OPEN")</x:f>
        <x:v>OPEN</x:v>
      </x:c>
    </x:row>
    <x:row r="2933">
      <x:c r="B2933" t="str">
        <x:v>PH-EX-219</x:v>
      </x:c>
      <x:c r="C2933" t="str">
        <x:v>PHYSICAL</x:v>
      </x:c>
      <x:c r="D2933" t="str">
        <x:v>trial execution</x:v>
      </x:c>
      <x:c r="E2933" t="str">
        <x:v>PH-EX-219</x:v>
      </x:c>
      <x:c r="F2933" t="n">
        <x:f>IF('Trial Register'!P225&lt;&gt;"",1,0)</x:f>
        <x:v>0</x:v>
      </x:c>
      <x:c r="G2933" t="n">
        <x:v>1</x:v>
      </x:c>
      <x:c r="H2933" t="str">
        <x:v>independent physical acceptance</x:v>
      </x:c>
      <x:c r="I2933" t="str">
        <x:f>IF(F2933=1,"PASS","OPEN")</x:f>
        <x:v>OPEN</x:v>
      </x:c>
    </x:row>
    <x:row r="2934">
      <x:c r="B2934" t="str">
        <x:v>PH-PK-219</x:v>
      </x:c>
      <x:c r="C2934" t="str">
        <x:v>PHYSICAL</x:v>
      </x:c>
      <x:c r="D2934" t="str">
        <x:v>trial packet</x:v>
      </x:c>
      <x:c r="E2934" t="str">
        <x:v>PH-PK-219</x:v>
      </x:c>
      <x:c r="F2934" t="n">
        <x:f>IF('Trial Register'!Q225&lt;&gt;"",1,0)</x:f>
        <x:v>0</x:v>
      </x:c>
      <x:c r="G2934" t="n">
        <x:v>1</x:v>
      </x:c>
      <x:c r="H2934" t="str">
        <x:v>independent physical acceptance</x:v>
      </x:c>
      <x:c r="I2934" t="str">
        <x:f>IF(F2934=1,"PASS","OPEN")</x:f>
        <x:v>OPEN</x:v>
      </x:c>
    </x:row>
    <x:row r="2935">
      <x:c r="B2935" t="str">
        <x:v>PH-VA-219</x:v>
      </x:c>
      <x:c r="C2935" t="str">
        <x:v>PHYSICAL</x:v>
      </x:c>
      <x:c r="D2935" t="str">
        <x:v>trial validity</x:v>
      </x:c>
      <x:c r="E2935" t="str">
        <x:v>PH-VA-219</x:v>
      </x:c>
      <x:c r="F2935" t="n">
        <x:f>IF('Trial Register'!R225&lt;&gt;"",1,0)</x:f>
        <x:v>0</x:v>
      </x:c>
      <x:c r="G2935" t="n">
        <x:v>1</x:v>
      </x:c>
      <x:c r="H2935" t="str">
        <x:v>independent physical acceptance</x:v>
      </x:c>
      <x:c r="I2935" t="str">
        <x:f>IF(F2935=1,"PASS","OPEN")</x:f>
        <x:v>OPEN</x:v>
      </x:c>
    </x:row>
    <x:row r="2936">
      <x:c r="B2936" t="str">
        <x:v>PH-RV-219</x:v>
      </x:c>
      <x:c r="C2936" t="str">
        <x:v>PHYSICAL</x:v>
      </x:c>
      <x:c r="D2936" t="str">
        <x:v>reported value</x:v>
      </x:c>
      <x:c r="E2936" t="str">
        <x:v>PH-RV-219</x:v>
      </x:c>
      <x:c r="F2936" t="n">
        <x:f>IF('Trial Register'!S225&lt;&gt;"",1,0)</x:f>
        <x:v>0</x:v>
      </x:c>
      <x:c r="G2936" t="n">
        <x:v>1</x:v>
      </x:c>
      <x:c r="H2936" t="str">
        <x:v>independent physical acceptance</x:v>
      </x:c>
      <x:c r="I2936" t="str">
        <x:f>IF(F2936=1,"PASS","OPEN")</x:f>
        <x:v>OPEN</x:v>
      </x:c>
    </x:row>
    <x:row r="2937">
      <x:c r="B2937" t="str">
        <x:v>PH-CR-219</x:v>
      </x:c>
      <x:c r="C2937" t="str">
        <x:v>PHYSICAL</x:v>
      </x:c>
      <x:c r="D2937" t="str">
        <x:v>credit acceptance</x:v>
      </x:c>
      <x:c r="E2937" t="str">
        <x:v>PH-CR-219</x:v>
      </x:c>
      <x:c r="F2937" t="str">
        <x:f>'Trial Register'!V225</x:f>
      </x:c>
      <x:c r="G2937" t="n">
        <x:v>1</x:v>
      </x:c>
      <x:c r="H2937" t="str">
        <x:v>independent physical acceptance</x:v>
      </x:c>
      <x:c r="I2937" t="str">
        <x:f>IF(F2937=1,"PASS","OPEN")</x:f>
        <x:v>OPEN</x:v>
      </x:c>
    </x:row>
    <x:row r="2938">
      <x:c r="B2938" t="str">
        <x:v>PH-EX-220</x:v>
      </x:c>
      <x:c r="C2938" t="str">
        <x:v>PHYSICAL</x:v>
      </x:c>
      <x:c r="D2938" t="str">
        <x:v>trial execution</x:v>
      </x:c>
      <x:c r="E2938" t="str">
        <x:v>PH-EX-220</x:v>
      </x:c>
      <x:c r="F2938" t="n">
        <x:f>IF('Trial Register'!P226&lt;&gt;"",1,0)</x:f>
        <x:v>0</x:v>
      </x:c>
      <x:c r="G2938" t="n">
        <x:v>1</x:v>
      </x:c>
      <x:c r="H2938" t="str">
        <x:v>independent physical acceptance</x:v>
      </x:c>
      <x:c r="I2938" t="str">
        <x:f>IF(F2938=1,"PASS","OPEN")</x:f>
        <x:v>OPEN</x:v>
      </x:c>
    </x:row>
    <x:row r="2939">
      <x:c r="B2939" t="str">
        <x:v>PH-PK-220</x:v>
      </x:c>
      <x:c r="C2939" t="str">
        <x:v>PHYSICAL</x:v>
      </x:c>
      <x:c r="D2939" t="str">
        <x:v>trial packet</x:v>
      </x:c>
      <x:c r="E2939" t="str">
        <x:v>PH-PK-220</x:v>
      </x:c>
      <x:c r="F2939" t="n">
        <x:f>IF('Trial Register'!Q226&lt;&gt;"",1,0)</x:f>
        <x:v>0</x:v>
      </x:c>
      <x:c r="G2939" t="n">
        <x:v>1</x:v>
      </x:c>
      <x:c r="H2939" t="str">
        <x:v>independent physical acceptance</x:v>
      </x:c>
      <x:c r="I2939" t="str">
        <x:f>IF(F2939=1,"PASS","OPEN")</x:f>
        <x:v>OPEN</x:v>
      </x:c>
    </x:row>
    <x:row r="2940">
      <x:c r="B2940" t="str">
        <x:v>PH-VA-220</x:v>
      </x:c>
      <x:c r="C2940" t="str">
        <x:v>PHYSICAL</x:v>
      </x:c>
      <x:c r="D2940" t="str">
        <x:v>trial validity</x:v>
      </x:c>
      <x:c r="E2940" t="str">
        <x:v>PH-VA-220</x:v>
      </x:c>
      <x:c r="F2940" t="n">
        <x:f>IF('Trial Register'!R226&lt;&gt;"",1,0)</x:f>
        <x:v>0</x:v>
      </x:c>
      <x:c r="G2940" t="n">
        <x:v>1</x:v>
      </x:c>
      <x:c r="H2940" t="str">
        <x:v>independent physical acceptance</x:v>
      </x:c>
      <x:c r="I2940" t="str">
        <x:f>IF(F2940=1,"PASS","OPEN")</x:f>
        <x:v>OPEN</x:v>
      </x:c>
    </x:row>
    <x:row r="2941">
      <x:c r="B2941" t="str">
        <x:v>PH-RV-220</x:v>
      </x:c>
      <x:c r="C2941" t="str">
        <x:v>PHYSICAL</x:v>
      </x:c>
      <x:c r="D2941" t="str">
        <x:v>reported value</x:v>
      </x:c>
      <x:c r="E2941" t="str">
        <x:v>PH-RV-220</x:v>
      </x:c>
      <x:c r="F2941" t="n">
        <x:f>IF('Trial Register'!S226&lt;&gt;"",1,0)</x:f>
        <x:v>0</x:v>
      </x:c>
      <x:c r="G2941" t="n">
        <x:v>1</x:v>
      </x:c>
      <x:c r="H2941" t="str">
        <x:v>independent physical acceptance</x:v>
      </x:c>
      <x:c r="I2941" t="str">
        <x:f>IF(F2941=1,"PASS","OPEN")</x:f>
        <x:v>OPEN</x:v>
      </x:c>
    </x:row>
    <x:row r="2942">
      <x:c r="B2942" t="str">
        <x:v>PH-CR-220</x:v>
      </x:c>
      <x:c r="C2942" t="str">
        <x:v>PHYSICAL</x:v>
      </x:c>
      <x:c r="D2942" t="str">
        <x:v>credit acceptance</x:v>
      </x:c>
      <x:c r="E2942" t="str">
        <x:v>PH-CR-220</x:v>
      </x:c>
      <x:c r="F2942" t="str">
        <x:f>'Trial Register'!V226</x:f>
      </x:c>
      <x:c r="G2942" t="n">
        <x:v>1</x:v>
      </x:c>
      <x:c r="H2942" t="str">
        <x:v>independent physical acceptance</x:v>
      </x:c>
      <x:c r="I2942" t="str">
        <x:f>IF(F2942=1,"PASS","OPEN")</x:f>
        <x:v>OPEN</x:v>
      </x:c>
    </x:row>
    <x:row r="2943">
      <x:c r="B2943" t="str">
        <x:v>PH-EX-221</x:v>
      </x:c>
      <x:c r="C2943" t="str">
        <x:v>PHYSICAL</x:v>
      </x:c>
      <x:c r="D2943" t="str">
        <x:v>trial execution</x:v>
      </x:c>
      <x:c r="E2943" t="str">
        <x:v>PH-EX-221</x:v>
      </x:c>
      <x:c r="F2943" t="n">
        <x:f>IF('Trial Register'!P227&lt;&gt;"",1,0)</x:f>
        <x:v>0</x:v>
      </x:c>
      <x:c r="G2943" t="n">
        <x:v>1</x:v>
      </x:c>
      <x:c r="H2943" t="str">
        <x:v>independent physical acceptance</x:v>
      </x:c>
      <x:c r="I2943" t="str">
        <x:f>IF(F2943=1,"PASS","OPEN")</x:f>
        <x:v>OPEN</x:v>
      </x:c>
    </x:row>
    <x:row r="2944">
      <x:c r="B2944" t="str">
        <x:v>PH-PK-221</x:v>
      </x:c>
      <x:c r="C2944" t="str">
        <x:v>PHYSICAL</x:v>
      </x:c>
      <x:c r="D2944" t="str">
        <x:v>trial packet</x:v>
      </x:c>
      <x:c r="E2944" t="str">
        <x:v>PH-PK-221</x:v>
      </x:c>
      <x:c r="F2944" t="n">
        <x:f>IF('Trial Register'!Q227&lt;&gt;"",1,0)</x:f>
        <x:v>0</x:v>
      </x:c>
      <x:c r="G2944" t="n">
        <x:v>1</x:v>
      </x:c>
      <x:c r="H2944" t="str">
        <x:v>independent physical acceptance</x:v>
      </x:c>
      <x:c r="I2944" t="str">
        <x:f>IF(F2944=1,"PASS","OPEN")</x:f>
        <x:v>OPEN</x:v>
      </x:c>
    </x:row>
    <x:row r="2945">
      <x:c r="B2945" t="str">
        <x:v>PH-VA-221</x:v>
      </x:c>
      <x:c r="C2945" t="str">
        <x:v>PHYSICAL</x:v>
      </x:c>
      <x:c r="D2945" t="str">
        <x:v>trial validity</x:v>
      </x:c>
      <x:c r="E2945" t="str">
        <x:v>PH-VA-221</x:v>
      </x:c>
      <x:c r="F2945" t="n">
        <x:f>IF('Trial Register'!R227&lt;&gt;"",1,0)</x:f>
        <x:v>0</x:v>
      </x:c>
      <x:c r="G2945" t="n">
        <x:v>1</x:v>
      </x:c>
      <x:c r="H2945" t="str">
        <x:v>independent physical acceptance</x:v>
      </x:c>
      <x:c r="I2945" t="str">
        <x:f>IF(F2945=1,"PASS","OPEN")</x:f>
        <x:v>OPEN</x:v>
      </x:c>
    </x:row>
    <x:row r="2946">
      <x:c r="B2946" t="str">
        <x:v>PH-RV-221</x:v>
      </x:c>
      <x:c r="C2946" t="str">
        <x:v>PHYSICAL</x:v>
      </x:c>
      <x:c r="D2946" t="str">
        <x:v>reported value</x:v>
      </x:c>
      <x:c r="E2946" t="str">
        <x:v>PH-RV-221</x:v>
      </x:c>
      <x:c r="F2946" t="n">
        <x:f>IF('Trial Register'!S227&lt;&gt;"",1,0)</x:f>
        <x:v>0</x:v>
      </x:c>
      <x:c r="G2946" t="n">
        <x:v>1</x:v>
      </x:c>
      <x:c r="H2946" t="str">
        <x:v>independent physical acceptance</x:v>
      </x:c>
      <x:c r="I2946" t="str">
        <x:f>IF(F2946=1,"PASS","OPEN")</x:f>
        <x:v>OPEN</x:v>
      </x:c>
    </x:row>
    <x:row r="2947">
      <x:c r="B2947" t="str">
        <x:v>PH-CR-221</x:v>
      </x:c>
      <x:c r="C2947" t="str">
        <x:v>PHYSICAL</x:v>
      </x:c>
      <x:c r="D2947" t="str">
        <x:v>credit acceptance</x:v>
      </x:c>
      <x:c r="E2947" t="str">
        <x:v>PH-CR-221</x:v>
      </x:c>
      <x:c r="F2947" t="str">
        <x:f>'Trial Register'!V227</x:f>
      </x:c>
      <x:c r="G2947" t="n">
        <x:v>1</x:v>
      </x:c>
      <x:c r="H2947" t="str">
        <x:v>independent physical acceptance</x:v>
      </x:c>
      <x:c r="I2947" t="str">
        <x:f>IF(F2947=1,"PASS","OPEN")</x:f>
        <x:v>OPEN</x:v>
      </x:c>
    </x:row>
    <x:row r="2948">
      <x:c r="B2948" t="str">
        <x:v>PH-EX-222</x:v>
      </x:c>
      <x:c r="C2948" t="str">
        <x:v>PHYSICAL</x:v>
      </x:c>
      <x:c r="D2948" t="str">
        <x:v>trial execution</x:v>
      </x:c>
      <x:c r="E2948" t="str">
        <x:v>PH-EX-222</x:v>
      </x:c>
      <x:c r="F2948" t="n">
        <x:f>IF('Trial Register'!P228&lt;&gt;"",1,0)</x:f>
        <x:v>0</x:v>
      </x:c>
      <x:c r="G2948" t="n">
        <x:v>1</x:v>
      </x:c>
      <x:c r="H2948" t="str">
        <x:v>independent physical acceptance</x:v>
      </x:c>
      <x:c r="I2948" t="str">
        <x:f>IF(F2948=1,"PASS","OPEN")</x:f>
        <x:v>OPEN</x:v>
      </x:c>
    </x:row>
    <x:row r="2949">
      <x:c r="B2949" t="str">
        <x:v>PH-PK-222</x:v>
      </x:c>
      <x:c r="C2949" t="str">
        <x:v>PHYSICAL</x:v>
      </x:c>
      <x:c r="D2949" t="str">
        <x:v>trial packet</x:v>
      </x:c>
      <x:c r="E2949" t="str">
        <x:v>PH-PK-222</x:v>
      </x:c>
      <x:c r="F2949" t="n">
        <x:f>IF('Trial Register'!Q228&lt;&gt;"",1,0)</x:f>
        <x:v>0</x:v>
      </x:c>
      <x:c r="G2949" t="n">
        <x:v>1</x:v>
      </x:c>
      <x:c r="H2949" t="str">
        <x:v>independent physical acceptance</x:v>
      </x:c>
      <x:c r="I2949" t="str">
        <x:f>IF(F2949=1,"PASS","OPEN")</x:f>
        <x:v>OPEN</x:v>
      </x:c>
    </x:row>
    <x:row r="2950">
      <x:c r="B2950" t="str">
        <x:v>PH-VA-222</x:v>
      </x:c>
      <x:c r="C2950" t="str">
        <x:v>PHYSICAL</x:v>
      </x:c>
      <x:c r="D2950" t="str">
        <x:v>trial validity</x:v>
      </x:c>
      <x:c r="E2950" t="str">
        <x:v>PH-VA-222</x:v>
      </x:c>
      <x:c r="F2950" t="n">
        <x:f>IF('Trial Register'!R228&lt;&gt;"",1,0)</x:f>
        <x:v>0</x:v>
      </x:c>
      <x:c r="G2950" t="n">
        <x:v>1</x:v>
      </x:c>
      <x:c r="H2950" t="str">
        <x:v>independent physical acceptance</x:v>
      </x:c>
      <x:c r="I2950" t="str">
        <x:f>IF(F2950=1,"PASS","OPEN")</x:f>
        <x:v>OPEN</x:v>
      </x:c>
    </x:row>
    <x:row r="2951">
      <x:c r="B2951" t="str">
        <x:v>PH-RV-222</x:v>
      </x:c>
      <x:c r="C2951" t="str">
        <x:v>PHYSICAL</x:v>
      </x:c>
      <x:c r="D2951" t="str">
        <x:v>reported value</x:v>
      </x:c>
      <x:c r="E2951" t="str">
        <x:v>PH-RV-222</x:v>
      </x:c>
      <x:c r="F2951" t="n">
        <x:f>IF('Trial Register'!S228&lt;&gt;"",1,0)</x:f>
        <x:v>0</x:v>
      </x:c>
      <x:c r="G2951" t="n">
        <x:v>1</x:v>
      </x:c>
      <x:c r="H2951" t="str">
        <x:v>independent physical acceptance</x:v>
      </x:c>
      <x:c r="I2951" t="str">
        <x:f>IF(F2951=1,"PASS","OPEN")</x:f>
        <x:v>OPEN</x:v>
      </x:c>
    </x:row>
    <x:row r="2952">
      <x:c r="B2952" t="str">
        <x:v>PH-CR-222</x:v>
      </x:c>
      <x:c r="C2952" t="str">
        <x:v>PHYSICAL</x:v>
      </x:c>
      <x:c r="D2952" t="str">
        <x:v>credit acceptance</x:v>
      </x:c>
      <x:c r="E2952" t="str">
        <x:v>PH-CR-222</x:v>
      </x:c>
      <x:c r="F2952" t="str">
        <x:f>'Trial Register'!V228</x:f>
      </x:c>
      <x:c r="G2952" t="n">
        <x:v>1</x:v>
      </x:c>
      <x:c r="H2952" t="str">
        <x:v>independent physical acceptance</x:v>
      </x:c>
      <x:c r="I2952" t="str">
        <x:f>IF(F2952=1,"PASS","OPEN")</x:f>
        <x:v>OPEN</x:v>
      </x:c>
    </x:row>
    <x:row r="2953">
      <x:c r="B2953" t="str">
        <x:v>PH-EX-223</x:v>
      </x:c>
      <x:c r="C2953" t="str">
        <x:v>PHYSICAL</x:v>
      </x:c>
      <x:c r="D2953" t="str">
        <x:v>trial execution</x:v>
      </x:c>
      <x:c r="E2953" t="str">
        <x:v>PH-EX-223</x:v>
      </x:c>
      <x:c r="F2953" t="n">
        <x:f>IF('Trial Register'!P229&lt;&gt;"",1,0)</x:f>
        <x:v>0</x:v>
      </x:c>
      <x:c r="G2953" t="n">
        <x:v>1</x:v>
      </x:c>
      <x:c r="H2953" t="str">
        <x:v>independent physical acceptance</x:v>
      </x:c>
      <x:c r="I2953" t="str">
        <x:f>IF(F2953=1,"PASS","OPEN")</x:f>
        <x:v>OPEN</x:v>
      </x:c>
    </x:row>
    <x:row r="2954">
      <x:c r="B2954" t="str">
        <x:v>PH-PK-223</x:v>
      </x:c>
      <x:c r="C2954" t="str">
        <x:v>PHYSICAL</x:v>
      </x:c>
      <x:c r="D2954" t="str">
        <x:v>trial packet</x:v>
      </x:c>
      <x:c r="E2954" t="str">
        <x:v>PH-PK-223</x:v>
      </x:c>
      <x:c r="F2954" t="n">
        <x:f>IF('Trial Register'!Q229&lt;&gt;"",1,0)</x:f>
        <x:v>0</x:v>
      </x:c>
      <x:c r="G2954" t="n">
        <x:v>1</x:v>
      </x:c>
      <x:c r="H2954" t="str">
        <x:v>independent physical acceptance</x:v>
      </x:c>
      <x:c r="I2954" t="str">
        <x:f>IF(F2954=1,"PASS","OPEN")</x:f>
        <x:v>OPEN</x:v>
      </x:c>
    </x:row>
    <x:row r="2955">
      <x:c r="B2955" t="str">
        <x:v>PH-VA-223</x:v>
      </x:c>
      <x:c r="C2955" t="str">
        <x:v>PHYSICAL</x:v>
      </x:c>
      <x:c r="D2955" t="str">
        <x:v>trial validity</x:v>
      </x:c>
      <x:c r="E2955" t="str">
        <x:v>PH-VA-223</x:v>
      </x:c>
      <x:c r="F2955" t="n">
        <x:f>IF('Trial Register'!R229&lt;&gt;"",1,0)</x:f>
        <x:v>0</x:v>
      </x:c>
      <x:c r="G2955" t="n">
        <x:v>1</x:v>
      </x:c>
      <x:c r="H2955" t="str">
        <x:v>independent physical acceptance</x:v>
      </x:c>
      <x:c r="I2955" t="str">
        <x:f>IF(F2955=1,"PASS","OPEN")</x:f>
        <x:v>OPEN</x:v>
      </x:c>
    </x:row>
    <x:row r="2956">
      <x:c r="B2956" t="str">
        <x:v>PH-RV-223</x:v>
      </x:c>
      <x:c r="C2956" t="str">
        <x:v>PHYSICAL</x:v>
      </x:c>
      <x:c r="D2956" t="str">
        <x:v>reported value</x:v>
      </x:c>
      <x:c r="E2956" t="str">
        <x:v>PH-RV-223</x:v>
      </x:c>
      <x:c r="F2956" t="n">
        <x:f>IF('Trial Register'!S229&lt;&gt;"",1,0)</x:f>
        <x:v>0</x:v>
      </x:c>
      <x:c r="G2956" t="n">
        <x:v>1</x:v>
      </x:c>
      <x:c r="H2956" t="str">
        <x:v>independent physical acceptance</x:v>
      </x:c>
      <x:c r="I2956" t="str">
        <x:f>IF(F2956=1,"PASS","OPEN")</x:f>
        <x:v>OPEN</x:v>
      </x:c>
    </x:row>
    <x:row r="2957">
      <x:c r="B2957" t="str">
        <x:v>PH-CR-223</x:v>
      </x:c>
      <x:c r="C2957" t="str">
        <x:v>PHYSICAL</x:v>
      </x:c>
      <x:c r="D2957" t="str">
        <x:v>credit acceptance</x:v>
      </x:c>
      <x:c r="E2957" t="str">
        <x:v>PH-CR-223</x:v>
      </x:c>
      <x:c r="F2957" t="str">
        <x:f>'Trial Register'!V229</x:f>
      </x:c>
      <x:c r="G2957" t="n">
        <x:v>1</x:v>
      </x:c>
      <x:c r="H2957" t="str">
        <x:v>independent physical acceptance</x:v>
      </x:c>
      <x:c r="I2957" t="str">
        <x:f>IF(F2957=1,"PASS","OPEN")</x:f>
        <x:v>OPEN</x:v>
      </x:c>
    </x:row>
    <x:row r="2958">
      <x:c r="B2958" t="str">
        <x:v>PH-EX-224</x:v>
      </x:c>
      <x:c r="C2958" t="str">
        <x:v>PHYSICAL</x:v>
      </x:c>
      <x:c r="D2958" t="str">
        <x:v>trial execution</x:v>
      </x:c>
      <x:c r="E2958" t="str">
        <x:v>PH-EX-224</x:v>
      </x:c>
      <x:c r="F2958" t="n">
        <x:f>IF('Trial Register'!P230&lt;&gt;"",1,0)</x:f>
        <x:v>0</x:v>
      </x:c>
      <x:c r="G2958" t="n">
        <x:v>1</x:v>
      </x:c>
      <x:c r="H2958" t="str">
        <x:v>independent physical acceptance</x:v>
      </x:c>
      <x:c r="I2958" t="str">
        <x:f>IF(F2958=1,"PASS","OPEN")</x:f>
        <x:v>OPEN</x:v>
      </x:c>
    </x:row>
    <x:row r="2959">
      <x:c r="B2959" t="str">
        <x:v>PH-PK-224</x:v>
      </x:c>
      <x:c r="C2959" t="str">
        <x:v>PHYSICAL</x:v>
      </x:c>
      <x:c r="D2959" t="str">
        <x:v>trial packet</x:v>
      </x:c>
      <x:c r="E2959" t="str">
        <x:v>PH-PK-224</x:v>
      </x:c>
      <x:c r="F2959" t="n">
        <x:f>IF('Trial Register'!Q230&lt;&gt;"",1,0)</x:f>
        <x:v>0</x:v>
      </x:c>
      <x:c r="G2959" t="n">
        <x:v>1</x:v>
      </x:c>
      <x:c r="H2959" t="str">
        <x:v>independent physical acceptance</x:v>
      </x:c>
      <x:c r="I2959" t="str">
        <x:f>IF(F2959=1,"PASS","OPEN")</x:f>
        <x:v>OPEN</x:v>
      </x:c>
    </x:row>
    <x:row r="2960">
      <x:c r="B2960" t="str">
        <x:v>PH-VA-224</x:v>
      </x:c>
      <x:c r="C2960" t="str">
        <x:v>PHYSICAL</x:v>
      </x:c>
      <x:c r="D2960" t="str">
        <x:v>trial validity</x:v>
      </x:c>
      <x:c r="E2960" t="str">
        <x:v>PH-VA-224</x:v>
      </x:c>
      <x:c r="F2960" t="n">
        <x:f>IF('Trial Register'!R230&lt;&gt;"",1,0)</x:f>
        <x:v>0</x:v>
      </x:c>
      <x:c r="G2960" t="n">
        <x:v>1</x:v>
      </x:c>
      <x:c r="H2960" t="str">
        <x:v>independent physical acceptance</x:v>
      </x:c>
      <x:c r="I2960" t="str">
        <x:f>IF(F2960=1,"PASS","OPEN")</x:f>
        <x:v>OPEN</x:v>
      </x:c>
    </x:row>
    <x:row r="2961">
      <x:c r="B2961" t="str">
        <x:v>PH-RV-224</x:v>
      </x:c>
      <x:c r="C2961" t="str">
        <x:v>PHYSICAL</x:v>
      </x:c>
      <x:c r="D2961" t="str">
        <x:v>reported value</x:v>
      </x:c>
      <x:c r="E2961" t="str">
        <x:v>PH-RV-224</x:v>
      </x:c>
      <x:c r="F2961" t="n">
        <x:f>IF('Trial Register'!S230&lt;&gt;"",1,0)</x:f>
        <x:v>0</x:v>
      </x:c>
      <x:c r="G2961" t="n">
        <x:v>1</x:v>
      </x:c>
      <x:c r="H2961" t="str">
        <x:v>independent physical acceptance</x:v>
      </x:c>
      <x:c r="I2961" t="str">
        <x:f>IF(F2961=1,"PASS","OPEN")</x:f>
        <x:v>OPEN</x:v>
      </x:c>
    </x:row>
    <x:row r="2962">
      <x:c r="B2962" t="str">
        <x:v>PH-CR-224</x:v>
      </x:c>
      <x:c r="C2962" t="str">
        <x:v>PHYSICAL</x:v>
      </x:c>
      <x:c r="D2962" t="str">
        <x:v>credit acceptance</x:v>
      </x:c>
      <x:c r="E2962" t="str">
        <x:v>PH-CR-224</x:v>
      </x:c>
      <x:c r="F2962" t="str">
        <x:f>'Trial Register'!V230</x:f>
      </x:c>
      <x:c r="G2962" t="n">
        <x:v>1</x:v>
      </x:c>
      <x:c r="H2962" t="str">
        <x:v>independent physical acceptance</x:v>
      </x:c>
      <x:c r="I2962" t="str">
        <x:f>IF(F2962=1,"PASS","OPEN")</x:f>
        <x:v>OPEN</x:v>
      </x:c>
    </x:row>
    <x:row r="2963">
      <x:c r="B2963" t="str">
        <x:v>PH-EX-225</x:v>
      </x:c>
      <x:c r="C2963" t="str">
        <x:v>PHYSICAL</x:v>
      </x:c>
      <x:c r="D2963" t="str">
        <x:v>trial execution</x:v>
      </x:c>
      <x:c r="E2963" t="str">
        <x:v>PH-EX-225</x:v>
      </x:c>
      <x:c r="F2963" t="n">
        <x:f>IF('Trial Register'!P231&lt;&gt;"",1,0)</x:f>
        <x:v>0</x:v>
      </x:c>
      <x:c r="G2963" t="n">
        <x:v>1</x:v>
      </x:c>
      <x:c r="H2963" t="str">
        <x:v>independent physical acceptance</x:v>
      </x:c>
      <x:c r="I2963" t="str">
        <x:f>IF(F2963=1,"PASS","OPEN")</x:f>
        <x:v>OPEN</x:v>
      </x:c>
    </x:row>
    <x:row r="2964">
      <x:c r="B2964" t="str">
        <x:v>PH-PK-225</x:v>
      </x:c>
      <x:c r="C2964" t="str">
        <x:v>PHYSICAL</x:v>
      </x:c>
      <x:c r="D2964" t="str">
        <x:v>trial packet</x:v>
      </x:c>
      <x:c r="E2964" t="str">
        <x:v>PH-PK-225</x:v>
      </x:c>
      <x:c r="F2964" t="n">
        <x:f>IF('Trial Register'!Q231&lt;&gt;"",1,0)</x:f>
        <x:v>0</x:v>
      </x:c>
      <x:c r="G2964" t="n">
        <x:v>1</x:v>
      </x:c>
      <x:c r="H2964" t="str">
        <x:v>independent physical acceptance</x:v>
      </x:c>
      <x:c r="I2964" t="str">
        <x:f>IF(F2964=1,"PASS","OPEN")</x:f>
        <x:v>OPEN</x:v>
      </x:c>
    </x:row>
    <x:row r="2965">
      <x:c r="B2965" t="str">
        <x:v>PH-VA-225</x:v>
      </x:c>
      <x:c r="C2965" t="str">
        <x:v>PHYSICAL</x:v>
      </x:c>
      <x:c r="D2965" t="str">
        <x:v>trial validity</x:v>
      </x:c>
      <x:c r="E2965" t="str">
        <x:v>PH-VA-225</x:v>
      </x:c>
      <x:c r="F2965" t="n">
        <x:f>IF('Trial Register'!R231&lt;&gt;"",1,0)</x:f>
        <x:v>0</x:v>
      </x:c>
      <x:c r="G2965" t="n">
        <x:v>1</x:v>
      </x:c>
      <x:c r="H2965" t="str">
        <x:v>independent physical acceptance</x:v>
      </x:c>
      <x:c r="I2965" t="str">
        <x:f>IF(F2965=1,"PASS","OPEN")</x:f>
        <x:v>OPEN</x:v>
      </x:c>
    </x:row>
    <x:row r="2966">
      <x:c r="B2966" t="str">
        <x:v>PH-RV-225</x:v>
      </x:c>
      <x:c r="C2966" t="str">
        <x:v>PHYSICAL</x:v>
      </x:c>
      <x:c r="D2966" t="str">
        <x:v>reported value</x:v>
      </x:c>
      <x:c r="E2966" t="str">
        <x:v>PH-RV-225</x:v>
      </x:c>
      <x:c r="F2966" t="n">
        <x:f>IF('Trial Register'!S231&lt;&gt;"",1,0)</x:f>
        <x:v>0</x:v>
      </x:c>
      <x:c r="G2966" t="n">
        <x:v>1</x:v>
      </x:c>
      <x:c r="H2966" t="str">
        <x:v>independent physical acceptance</x:v>
      </x:c>
      <x:c r="I2966" t="str">
        <x:f>IF(F2966=1,"PASS","OPEN")</x:f>
        <x:v>OPEN</x:v>
      </x:c>
    </x:row>
    <x:row r="2967">
      <x:c r="B2967" t="str">
        <x:v>PH-CR-225</x:v>
      </x:c>
      <x:c r="C2967" t="str">
        <x:v>PHYSICAL</x:v>
      </x:c>
      <x:c r="D2967" t="str">
        <x:v>credit acceptance</x:v>
      </x:c>
      <x:c r="E2967" t="str">
        <x:v>PH-CR-225</x:v>
      </x:c>
      <x:c r="F2967" t="str">
        <x:f>'Trial Register'!V231</x:f>
      </x:c>
      <x:c r="G2967" t="n">
        <x:v>1</x:v>
      </x:c>
      <x:c r="H2967" t="str">
        <x:v>independent physical acceptance</x:v>
      </x:c>
      <x:c r="I2967" t="str">
        <x:f>IF(F2967=1,"PASS","OPEN")</x:f>
        <x:v>OPEN</x:v>
      </x:c>
    </x:row>
    <x:row r="2968">
      <x:c r="B2968" t="str">
        <x:v>PH-EX-226</x:v>
      </x:c>
      <x:c r="C2968" t="str">
        <x:v>PHYSICAL</x:v>
      </x:c>
      <x:c r="D2968" t="str">
        <x:v>trial execution</x:v>
      </x:c>
      <x:c r="E2968" t="str">
        <x:v>PH-EX-226</x:v>
      </x:c>
      <x:c r="F2968" t="n">
        <x:f>IF('Trial Register'!P232&lt;&gt;"",1,0)</x:f>
        <x:v>0</x:v>
      </x:c>
      <x:c r="G2968" t="n">
        <x:v>1</x:v>
      </x:c>
      <x:c r="H2968" t="str">
        <x:v>independent physical acceptance</x:v>
      </x:c>
      <x:c r="I2968" t="str">
        <x:f>IF(F2968=1,"PASS","OPEN")</x:f>
        <x:v>OPEN</x:v>
      </x:c>
    </x:row>
    <x:row r="2969">
      <x:c r="B2969" t="str">
        <x:v>PH-PK-226</x:v>
      </x:c>
      <x:c r="C2969" t="str">
        <x:v>PHYSICAL</x:v>
      </x:c>
      <x:c r="D2969" t="str">
        <x:v>trial packet</x:v>
      </x:c>
      <x:c r="E2969" t="str">
        <x:v>PH-PK-226</x:v>
      </x:c>
      <x:c r="F2969" t="n">
        <x:f>IF('Trial Register'!Q232&lt;&gt;"",1,0)</x:f>
        <x:v>0</x:v>
      </x:c>
      <x:c r="G2969" t="n">
        <x:v>1</x:v>
      </x:c>
      <x:c r="H2969" t="str">
        <x:v>independent physical acceptance</x:v>
      </x:c>
      <x:c r="I2969" t="str">
        <x:f>IF(F2969=1,"PASS","OPEN")</x:f>
        <x:v>OPEN</x:v>
      </x:c>
    </x:row>
    <x:row r="2970">
      <x:c r="B2970" t="str">
        <x:v>PH-VA-226</x:v>
      </x:c>
      <x:c r="C2970" t="str">
        <x:v>PHYSICAL</x:v>
      </x:c>
      <x:c r="D2970" t="str">
        <x:v>trial validity</x:v>
      </x:c>
      <x:c r="E2970" t="str">
        <x:v>PH-VA-226</x:v>
      </x:c>
      <x:c r="F2970" t="n">
        <x:f>IF('Trial Register'!R232&lt;&gt;"",1,0)</x:f>
        <x:v>0</x:v>
      </x:c>
      <x:c r="G2970" t="n">
        <x:v>1</x:v>
      </x:c>
      <x:c r="H2970" t="str">
        <x:v>independent physical acceptance</x:v>
      </x:c>
      <x:c r="I2970" t="str">
        <x:f>IF(F2970=1,"PASS","OPEN")</x:f>
        <x:v>OPEN</x:v>
      </x:c>
    </x:row>
    <x:row r="2971">
      <x:c r="B2971" t="str">
        <x:v>PH-RV-226</x:v>
      </x:c>
      <x:c r="C2971" t="str">
        <x:v>PHYSICAL</x:v>
      </x:c>
      <x:c r="D2971" t="str">
        <x:v>reported value</x:v>
      </x:c>
      <x:c r="E2971" t="str">
        <x:v>PH-RV-226</x:v>
      </x:c>
      <x:c r="F2971" t="n">
        <x:f>IF('Trial Register'!S232&lt;&gt;"",1,0)</x:f>
        <x:v>0</x:v>
      </x:c>
      <x:c r="G2971" t="n">
        <x:v>1</x:v>
      </x:c>
      <x:c r="H2971" t="str">
        <x:v>independent physical acceptance</x:v>
      </x:c>
      <x:c r="I2971" t="str">
        <x:f>IF(F2971=1,"PASS","OPEN")</x:f>
        <x:v>OPEN</x:v>
      </x:c>
    </x:row>
    <x:row r="2972">
      <x:c r="B2972" t="str">
        <x:v>PH-CR-226</x:v>
      </x:c>
      <x:c r="C2972" t="str">
        <x:v>PHYSICAL</x:v>
      </x:c>
      <x:c r="D2972" t="str">
        <x:v>credit acceptance</x:v>
      </x:c>
      <x:c r="E2972" t="str">
        <x:v>PH-CR-226</x:v>
      </x:c>
      <x:c r="F2972" t="str">
        <x:f>'Trial Register'!V232</x:f>
      </x:c>
      <x:c r="G2972" t="n">
        <x:v>1</x:v>
      </x:c>
      <x:c r="H2972" t="str">
        <x:v>independent physical acceptance</x:v>
      </x:c>
      <x:c r="I2972" t="str">
        <x:f>IF(F2972=1,"PASS","OPEN")</x:f>
        <x:v>OPEN</x:v>
      </x:c>
    </x:row>
    <x:row r="2973">
      <x:c r="B2973" t="str">
        <x:v>PH-EX-227</x:v>
      </x:c>
      <x:c r="C2973" t="str">
        <x:v>PHYSICAL</x:v>
      </x:c>
      <x:c r="D2973" t="str">
        <x:v>trial execution</x:v>
      </x:c>
      <x:c r="E2973" t="str">
        <x:v>PH-EX-227</x:v>
      </x:c>
      <x:c r="F2973" t="n">
        <x:f>IF('Trial Register'!P233&lt;&gt;"",1,0)</x:f>
        <x:v>0</x:v>
      </x:c>
      <x:c r="G2973" t="n">
        <x:v>1</x:v>
      </x:c>
      <x:c r="H2973" t="str">
        <x:v>independent physical acceptance</x:v>
      </x:c>
      <x:c r="I2973" t="str">
        <x:f>IF(F2973=1,"PASS","OPEN")</x:f>
        <x:v>OPEN</x:v>
      </x:c>
    </x:row>
    <x:row r="2974">
      <x:c r="B2974" t="str">
        <x:v>PH-PK-227</x:v>
      </x:c>
      <x:c r="C2974" t="str">
        <x:v>PHYSICAL</x:v>
      </x:c>
      <x:c r="D2974" t="str">
        <x:v>trial packet</x:v>
      </x:c>
      <x:c r="E2974" t="str">
        <x:v>PH-PK-227</x:v>
      </x:c>
      <x:c r="F2974" t="n">
        <x:f>IF('Trial Register'!Q233&lt;&gt;"",1,0)</x:f>
        <x:v>0</x:v>
      </x:c>
      <x:c r="G2974" t="n">
        <x:v>1</x:v>
      </x:c>
      <x:c r="H2974" t="str">
        <x:v>independent physical acceptance</x:v>
      </x:c>
      <x:c r="I2974" t="str">
        <x:f>IF(F2974=1,"PASS","OPEN")</x:f>
        <x:v>OPEN</x:v>
      </x:c>
    </x:row>
    <x:row r="2975">
      <x:c r="B2975" t="str">
        <x:v>PH-VA-227</x:v>
      </x:c>
      <x:c r="C2975" t="str">
        <x:v>PHYSICAL</x:v>
      </x:c>
      <x:c r="D2975" t="str">
        <x:v>trial validity</x:v>
      </x:c>
      <x:c r="E2975" t="str">
        <x:v>PH-VA-227</x:v>
      </x:c>
      <x:c r="F2975" t="n">
        <x:f>IF('Trial Register'!R233&lt;&gt;"",1,0)</x:f>
        <x:v>0</x:v>
      </x:c>
      <x:c r="G2975" t="n">
        <x:v>1</x:v>
      </x:c>
      <x:c r="H2975" t="str">
        <x:v>independent physical acceptance</x:v>
      </x:c>
      <x:c r="I2975" t="str">
        <x:f>IF(F2975=1,"PASS","OPEN")</x:f>
        <x:v>OPEN</x:v>
      </x:c>
    </x:row>
    <x:row r="2976">
      <x:c r="B2976" t="str">
        <x:v>PH-RV-227</x:v>
      </x:c>
      <x:c r="C2976" t="str">
        <x:v>PHYSICAL</x:v>
      </x:c>
      <x:c r="D2976" t="str">
        <x:v>reported value</x:v>
      </x:c>
      <x:c r="E2976" t="str">
        <x:v>PH-RV-227</x:v>
      </x:c>
      <x:c r="F2976" t="n">
        <x:f>IF('Trial Register'!S233&lt;&gt;"",1,0)</x:f>
        <x:v>0</x:v>
      </x:c>
      <x:c r="G2976" t="n">
        <x:v>1</x:v>
      </x:c>
      <x:c r="H2976" t="str">
        <x:v>independent physical acceptance</x:v>
      </x:c>
      <x:c r="I2976" t="str">
        <x:f>IF(F2976=1,"PASS","OPEN")</x:f>
        <x:v>OPEN</x:v>
      </x:c>
    </x:row>
    <x:row r="2977">
      <x:c r="B2977" t="str">
        <x:v>PH-CR-227</x:v>
      </x:c>
      <x:c r="C2977" t="str">
        <x:v>PHYSICAL</x:v>
      </x:c>
      <x:c r="D2977" t="str">
        <x:v>credit acceptance</x:v>
      </x:c>
      <x:c r="E2977" t="str">
        <x:v>PH-CR-227</x:v>
      </x:c>
      <x:c r="F2977" t="str">
        <x:f>'Trial Register'!V233</x:f>
      </x:c>
      <x:c r="G2977" t="n">
        <x:v>1</x:v>
      </x:c>
      <x:c r="H2977" t="str">
        <x:v>independent physical acceptance</x:v>
      </x:c>
      <x:c r="I2977" t="str">
        <x:f>IF(F2977=1,"PASS","OPEN")</x:f>
        <x:v>OPEN</x:v>
      </x:c>
    </x:row>
    <x:row r="2978">
      <x:c r="B2978" t="str">
        <x:v>PH-EX-228</x:v>
      </x:c>
      <x:c r="C2978" t="str">
        <x:v>PHYSICAL</x:v>
      </x:c>
      <x:c r="D2978" t="str">
        <x:v>trial execution</x:v>
      </x:c>
      <x:c r="E2978" t="str">
        <x:v>PH-EX-228</x:v>
      </x:c>
      <x:c r="F2978" t="n">
        <x:f>IF('Trial Register'!P234&lt;&gt;"",1,0)</x:f>
        <x:v>0</x:v>
      </x:c>
      <x:c r="G2978" t="n">
        <x:v>1</x:v>
      </x:c>
      <x:c r="H2978" t="str">
        <x:v>independent physical acceptance</x:v>
      </x:c>
      <x:c r="I2978" t="str">
        <x:f>IF(F2978=1,"PASS","OPEN")</x:f>
        <x:v>OPEN</x:v>
      </x:c>
    </x:row>
    <x:row r="2979">
      <x:c r="B2979" t="str">
        <x:v>PH-PK-228</x:v>
      </x:c>
      <x:c r="C2979" t="str">
        <x:v>PHYSICAL</x:v>
      </x:c>
      <x:c r="D2979" t="str">
        <x:v>trial packet</x:v>
      </x:c>
      <x:c r="E2979" t="str">
        <x:v>PH-PK-228</x:v>
      </x:c>
      <x:c r="F2979" t="n">
        <x:f>IF('Trial Register'!Q234&lt;&gt;"",1,0)</x:f>
        <x:v>0</x:v>
      </x:c>
      <x:c r="G2979" t="n">
        <x:v>1</x:v>
      </x:c>
      <x:c r="H2979" t="str">
        <x:v>independent physical acceptance</x:v>
      </x:c>
      <x:c r="I2979" t="str">
        <x:f>IF(F2979=1,"PASS","OPEN")</x:f>
        <x:v>OPEN</x:v>
      </x:c>
    </x:row>
    <x:row r="2980">
      <x:c r="B2980" t="str">
        <x:v>PH-VA-228</x:v>
      </x:c>
      <x:c r="C2980" t="str">
        <x:v>PHYSICAL</x:v>
      </x:c>
      <x:c r="D2980" t="str">
        <x:v>trial validity</x:v>
      </x:c>
      <x:c r="E2980" t="str">
        <x:v>PH-VA-228</x:v>
      </x:c>
      <x:c r="F2980" t="n">
        <x:f>IF('Trial Register'!R234&lt;&gt;"",1,0)</x:f>
        <x:v>0</x:v>
      </x:c>
      <x:c r="G2980" t="n">
        <x:v>1</x:v>
      </x:c>
      <x:c r="H2980" t="str">
        <x:v>independent physical acceptance</x:v>
      </x:c>
      <x:c r="I2980" t="str">
        <x:f>IF(F2980=1,"PASS","OPEN")</x:f>
        <x:v>OPEN</x:v>
      </x:c>
    </x:row>
    <x:row r="2981">
      <x:c r="B2981" t="str">
        <x:v>PH-RV-228</x:v>
      </x:c>
      <x:c r="C2981" t="str">
        <x:v>PHYSICAL</x:v>
      </x:c>
      <x:c r="D2981" t="str">
        <x:v>reported value</x:v>
      </x:c>
      <x:c r="E2981" t="str">
        <x:v>PH-RV-228</x:v>
      </x:c>
      <x:c r="F2981" t="n">
        <x:f>IF('Trial Register'!S234&lt;&gt;"",1,0)</x:f>
        <x:v>0</x:v>
      </x:c>
      <x:c r="G2981" t="n">
        <x:v>1</x:v>
      </x:c>
      <x:c r="H2981" t="str">
        <x:v>independent physical acceptance</x:v>
      </x:c>
      <x:c r="I2981" t="str">
        <x:f>IF(F2981=1,"PASS","OPEN")</x:f>
        <x:v>OPEN</x:v>
      </x:c>
    </x:row>
    <x:row r="2982">
      <x:c r="B2982" t="str">
        <x:v>PH-CR-228</x:v>
      </x:c>
      <x:c r="C2982" t="str">
        <x:v>PHYSICAL</x:v>
      </x:c>
      <x:c r="D2982" t="str">
        <x:v>credit acceptance</x:v>
      </x:c>
      <x:c r="E2982" t="str">
        <x:v>PH-CR-228</x:v>
      </x:c>
      <x:c r="F2982" t="str">
        <x:f>'Trial Register'!V234</x:f>
      </x:c>
      <x:c r="G2982" t="n">
        <x:v>1</x:v>
      </x:c>
      <x:c r="H2982" t="str">
        <x:v>independent physical acceptance</x:v>
      </x:c>
      <x:c r="I2982" t="str">
        <x:f>IF(F2982=1,"PASS","OPEN")</x:f>
        <x:v>OPEN</x:v>
      </x:c>
    </x:row>
    <x:row r="2983">
      <x:c r="B2983" t="str">
        <x:v>PH-EX-229</x:v>
      </x:c>
      <x:c r="C2983" t="str">
        <x:v>PHYSICAL</x:v>
      </x:c>
      <x:c r="D2983" t="str">
        <x:v>trial execution</x:v>
      </x:c>
      <x:c r="E2983" t="str">
        <x:v>PH-EX-229</x:v>
      </x:c>
      <x:c r="F2983" t="n">
        <x:f>IF('Trial Register'!P235&lt;&gt;"",1,0)</x:f>
        <x:v>0</x:v>
      </x:c>
      <x:c r="G2983" t="n">
        <x:v>1</x:v>
      </x:c>
      <x:c r="H2983" t="str">
        <x:v>independent physical acceptance</x:v>
      </x:c>
      <x:c r="I2983" t="str">
        <x:f>IF(F2983=1,"PASS","OPEN")</x:f>
        <x:v>OPEN</x:v>
      </x:c>
    </x:row>
    <x:row r="2984">
      <x:c r="B2984" t="str">
        <x:v>PH-PK-229</x:v>
      </x:c>
      <x:c r="C2984" t="str">
        <x:v>PHYSICAL</x:v>
      </x:c>
      <x:c r="D2984" t="str">
        <x:v>trial packet</x:v>
      </x:c>
      <x:c r="E2984" t="str">
        <x:v>PH-PK-229</x:v>
      </x:c>
      <x:c r="F2984" t="n">
        <x:f>IF('Trial Register'!Q235&lt;&gt;"",1,0)</x:f>
        <x:v>0</x:v>
      </x:c>
      <x:c r="G2984" t="n">
        <x:v>1</x:v>
      </x:c>
      <x:c r="H2984" t="str">
        <x:v>independent physical acceptance</x:v>
      </x:c>
      <x:c r="I2984" t="str">
        <x:f>IF(F2984=1,"PASS","OPEN")</x:f>
        <x:v>OPEN</x:v>
      </x:c>
    </x:row>
    <x:row r="2985">
      <x:c r="B2985" t="str">
        <x:v>PH-VA-229</x:v>
      </x:c>
      <x:c r="C2985" t="str">
        <x:v>PHYSICAL</x:v>
      </x:c>
      <x:c r="D2985" t="str">
        <x:v>trial validity</x:v>
      </x:c>
      <x:c r="E2985" t="str">
        <x:v>PH-VA-229</x:v>
      </x:c>
      <x:c r="F2985" t="n">
        <x:f>IF('Trial Register'!R235&lt;&gt;"",1,0)</x:f>
        <x:v>0</x:v>
      </x:c>
      <x:c r="G2985" t="n">
        <x:v>1</x:v>
      </x:c>
      <x:c r="H2985" t="str">
        <x:v>independent physical acceptance</x:v>
      </x:c>
      <x:c r="I2985" t="str">
        <x:f>IF(F2985=1,"PASS","OPEN")</x:f>
        <x:v>OPEN</x:v>
      </x:c>
    </x:row>
    <x:row r="2986">
      <x:c r="B2986" t="str">
        <x:v>PH-RV-229</x:v>
      </x:c>
      <x:c r="C2986" t="str">
        <x:v>PHYSICAL</x:v>
      </x:c>
      <x:c r="D2986" t="str">
        <x:v>reported value</x:v>
      </x:c>
      <x:c r="E2986" t="str">
        <x:v>PH-RV-229</x:v>
      </x:c>
      <x:c r="F2986" t="n">
        <x:f>IF('Trial Register'!S235&lt;&gt;"",1,0)</x:f>
        <x:v>0</x:v>
      </x:c>
      <x:c r="G2986" t="n">
        <x:v>1</x:v>
      </x:c>
      <x:c r="H2986" t="str">
        <x:v>independent physical acceptance</x:v>
      </x:c>
      <x:c r="I2986" t="str">
        <x:f>IF(F2986=1,"PASS","OPEN")</x:f>
        <x:v>OPEN</x:v>
      </x:c>
    </x:row>
    <x:row r="2987">
      <x:c r="B2987" t="str">
        <x:v>PH-CR-229</x:v>
      </x:c>
      <x:c r="C2987" t="str">
        <x:v>PHYSICAL</x:v>
      </x:c>
      <x:c r="D2987" t="str">
        <x:v>credit acceptance</x:v>
      </x:c>
      <x:c r="E2987" t="str">
        <x:v>PH-CR-229</x:v>
      </x:c>
      <x:c r="F2987" t="str">
        <x:f>'Trial Register'!V235</x:f>
      </x:c>
      <x:c r="G2987" t="n">
        <x:v>1</x:v>
      </x:c>
      <x:c r="H2987" t="str">
        <x:v>independent physical acceptance</x:v>
      </x:c>
      <x:c r="I2987" t="str">
        <x:f>IF(F2987=1,"PASS","OPEN")</x:f>
        <x:v>OPEN</x:v>
      </x:c>
    </x:row>
    <x:row r="2988">
      <x:c r="B2988" t="str">
        <x:v>PH-EX-230</x:v>
      </x:c>
      <x:c r="C2988" t="str">
        <x:v>PHYSICAL</x:v>
      </x:c>
      <x:c r="D2988" t="str">
        <x:v>trial execution</x:v>
      </x:c>
      <x:c r="E2988" t="str">
        <x:v>PH-EX-230</x:v>
      </x:c>
      <x:c r="F2988" t="n">
        <x:f>IF('Trial Register'!P236&lt;&gt;"",1,0)</x:f>
        <x:v>0</x:v>
      </x:c>
      <x:c r="G2988" t="n">
        <x:v>1</x:v>
      </x:c>
      <x:c r="H2988" t="str">
        <x:v>independent physical acceptance</x:v>
      </x:c>
      <x:c r="I2988" t="str">
        <x:f>IF(F2988=1,"PASS","OPEN")</x:f>
        <x:v>OPEN</x:v>
      </x:c>
    </x:row>
    <x:row r="2989">
      <x:c r="B2989" t="str">
        <x:v>PH-PK-230</x:v>
      </x:c>
      <x:c r="C2989" t="str">
        <x:v>PHYSICAL</x:v>
      </x:c>
      <x:c r="D2989" t="str">
        <x:v>trial packet</x:v>
      </x:c>
      <x:c r="E2989" t="str">
        <x:v>PH-PK-230</x:v>
      </x:c>
      <x:c r="F2989" t="n">
        <x:f>IF('Trial Register'!Q236&lt;&gt;"",1,0)</x:f>
        <x:v>0</x:v>
      </x:c>
      <x:c r="G2989" t="n">
        <x:v>1</x:v>
      </x:c>
      <x:c r="H2989" t="str">
        <x:v>independent physical acceptance</x:v>
      </x:c>
      <x:c r="I2989" t="str">
        <x:f>IF(F2989=1,"PASS","OPEN")</x:f>
        <x:v>OPEN</x:v>
      </x:c>
    </x:row>
    <x:row r="2990">
      <x:c r="B2990" t="str">
        <x:v>PH-VA-230</x:v>
      </x:c>
      <x:c r="C2990" t="str">
        <x:v>PHYSICAL</x:v>
      </x:c>
      <x:c r="D2990" t="str">
        <x:v>trial validity</x:v>
      </x:c>
      <x:c r="E2990" t="str">
        <x:v>PH-VA-230</x:v>
      </x:c>
      <x:c r="F2990" t="n">
        <x:f>IF('Trial Register'!R236&lt;&gt;"",1,0)</x:f>
        <x:v>0</x:v>
      </x:c>
      <x:c r="G2990" t="n">
        <x:v>1</x:v>
      </x:c>
      <x:c r="H2990" t="str">
        <x:v>independent physical acceptance</x:v>
      </x:c>
      <x:c r="I2990" t="str">
        <x:f>IF(F2990=1,"PASS","OPEN")</x:f>
        <x:v>OPEN</x:v>
      </x:c>
    </x:row>
    <x:row r="2991">
      <x:c r="B2991" t="str">
        <x:v>PH-RV-230</x:v>
      </x:c>
      <x:c r="C2991" t="str">
        <x:v>PHYSICAL</x:v>
      </x:c>
      <x:c r="D2991" t="str">
        <x:v>reported value</x:v>
      </x:c>
      <x:c r="E2991" t="str">
        <x:v>PH-RV-230</x:v>
      </x:c>
      <x:c r="F2991" t="n">
        <x:f>IF('Trial Register'!S236&lt;&gt;"",1,0)</x:f>
        <x:v>0</x:v>
      </x:c>
      <x:c r="G2991" t="n">
        <x:v>1</x:v>
      </x:c>
      <x:c r="H2991" t="str">
        <x:v>independent physical acceptance</x:v>
      </x:c>
      <x:c r="I2991" t="str">
        <x:f>IF(F2991=1,"PASS","OPEN")</x:f>
        <x:v>OPEN</x:v>
      </x:c>
    </x:row>
    <x:row r="2992">
      <x:c r="B2992" t="str">
        <x:v>PH-CR-230</x:v>
      </x:c>
      <x:c r="C2992" t="str">
        <x:v>PHYSICAL</x:v>
      </x:c>
      <x:c r="D2992" t="str">
        <x:v>credit acceptance</x:v>
      </x:c>
      <x:c r="E2992" t="str">
        <x:v>PH-CR-230</x:v>
      </x:c>
      <x:c r="F2992" t="str">
        <x:f>'Trial Register'!V236</x:f>
      </x:c>
      <x:c r="G2992" t="n">
        <x:v>1</x:v>
      </x:c>
      <x:c r="H2992" t="str">
        <x:v>independent physical acceptance</x:v>
      </x:c>
      <x:c r="I2992" t="str">
        <x:f>IF(F2992=1,"PASS","OPEN")</x:f>
        <x:v>OPEN</x:v>
      </x:c>
    </x:row>
    <x:row r="2993">
      <x:c r="B2993" t="str">
        <x:v>PH-EX-231</x:v>
      </x:c>
      <x:c r="C2993" t="str">
        <x:v>PHYSICAL</x:v>
      </x:c>
      <x:c r="D2993" t="str">
        <x:v>trial execution</x:v>
      </x:c>
      <x:c r="E2993" t="str">
        <x:v>PH-EX-231</x:v>
      </x:c>
      <x:c r="F2993" t="n">
        <x:f>IF('Trial Register'!P237&lt;&gt;"",1,0)</x:f>
        <x:v>0</x:v>
      </x:c>
      <x:c r="G2993" t="n">
        <x:v>1</x:v>
      </x:c>
      <x:c r="H2993" t="str">
        <x:v>independent physical acceptance</x:v>
      </x:c>
      <x:c r="I2993" t="str">
        <x:f>IF(F2993=1,"PASS","OPEN")</x:f>
        <x:v>OPEN</x:v>
      </x:c>
    </x:row>
    <x:row r="2994">
      <x:c r="B2994" t="str">
        <x:v>PH-PK-231</x:v>
      </x:c>
      <x:c r="C2994" t="str">
        <x:v>PHYSICAL</x:v>
      </x:c>
      <x:c r="D2994" t="str">
        <x:v>trial packet</x:v>
      </x:c>
      <x:c r="E2994" t="str">
        <x:v>PH-PK-231</x:v>
      </x:c>
      <x:c r="F2994" t="n">
        <x:f>IF('Trial Register'!Q237&lt;&gt;"",1,0)</x:f>
        <x:v>0</x:v>
      </x:c>
      <x:c r="G2994" t="n">
        <x:v>1</x:v>
      </x:c>
      <x:c r="H2994" t="str">
        <x:v>independent physical acceptance</x:v>
      </x:c>
      <x:c r="I2994" t="str">
        <x:f>IF(F2994=1,"PASS","OPEN")</x:f>
        <x:v>OPEN</x:v>
      </x:c>
    </x:row>
    <x:row r="2995">
      <x:c r="B2995" t="str">
        <x:v>PH-VA-231</x:v>
      </x:c>
      <x:c r="C2995" t="str">
        <x:v>PHYSICAL</x:v>
      </x:c>
      <x:c r="D2995" t="str">
        <x:v>trial validity</x:v>
      </x:c>
      <x:c r="E2995" t="str">
        <x:v>PH-VA-231</x:v>
      </x:c>
      <x:c r="F2995" t="n">
        <x:f>IF('Trial Register'!R237&lt;&gt;"",1,0)</x:f>
        <x:v>0</x:v>
      </x:c>
      <x:c r="G2995" t="n">
        <x:v>1</x:v>
      </x:c>
      <x:c r="H2995" t="str">
        <x:v>independent physical acceptance</x:v>
      </x:c>
      <x:c r="I2995" t="str">
        <x:f>IF(F2995=1,"PASS","OPEN")</x:f>
        <x:v>OPEN</x:v>
      </x:c>
    </x:row>
    <x:row r="2996">
      <x:c r="B2996" t="str">
        <x:v>PH-RV-231</x:v>
      </x:c>
      <x:c r="C2996" t="str">
        <x:v>PHYSICAL</x:v>
      </x:c>
      <x:c r="D2996" t="str">
        <x:v>reported value</x:v>
      </x:c>
      <x:c r="E2996" t="str">
        <x:v>PH-RV-231</x:v>
      </x:c>
      <x:c r="F2996" t="n">
        <x:f>IF('Trial Register'!S237&lt;&gt;"",1,0)</x:f>
        <x:v>0</x:v>
      </x:c>
      <x:c r="G2996" t="n">
        <x:v>1</x:v>
      </x:c>
      <x:c r="H2996" t="str">
        <x:v>independent physical acceptance</x:v>
      </x:c>
      <x:c r="I2996" t="str">
        <x:f>IF(F2996=1,"PASS","OPEN")</x:f>
        <x:v>OPEN</x:v>
      </x:c>
    </x:row>
    <x:row r="2997">
      <x:c r="B2997" t="str">
        <x:v>PH-CR-231</x:v>
      </x:c>
      <x:c r="C2997" t="str">
        <x:v>PHYSICAL</x:v>
      </x:c>
      <x:c r="D2997" t="str">
        <x:v>credit acceptance</x:v>
      </x:c>
      <x:c r="E2997" t="str">
        <x:v>PH-CR-231</x:v>
      </x:c>
      <x:c r="F2997" t="str">
        <x:f>'Trial Register'!V237</x:f>
      </x:c>
      <x:c r="G2997" t="n">
        <x:v>1</x:v>
      </x:c>
      <x:c r="H2997" t="str">
        <x:v>independent physical acceptance</x:v>
      </x:c>
      <x:c r="I2997" t="str">
        <x:f>IF(F2997=1,"PASS","OPEN")</x:f>
        <x:v>OPEN</x:v>
      </x:c>
    </x:row>
    <x:row r="2998">
      <x:c r="B2998" t="str">
        <x:v>PH-EX-232</x:v>
      </x:c>
      <x:c r="C2998" t="str">
        <x:v>PHYSICAL</x:v>
      </x:c>
      <x:c r="D2998" t="str">
        <x:v>trial execution</x:v>
      </x:c>
      <x:c r="E2998" t="str">
        <x:v>PH-EX-232</x:v>
      </x:c>
      <x:c r="F2998" t="n">
        <x:f>IF('Trial Register'!P238&lt;&gt;"",1,0)</x:f>
        <x:v>0</x:v>
      </x:c>
      <x:c r="G2998" t="n">
        <x:v>1</x:v>
      </x:c>
      <x:c r="H2998" t="str">
        <x:v>independent physical acceptance</x:v>
      </x:c>
      <x:c r="I2998" t="str">
        <x:f>IF(F2998=1,"PASS","OPEN")</x:f>
        <x:v>OPEN</x:v>
      </x:c>
    </x:row>
    <x:row r="2999">
      <x:c r="B2999" t="str">
        <x:v>PH-PK-232</x:v>
      </x:c>
      <x:c r="C2999" t="str">
        <x:v>PHYSICAL</x:v>
      </x:c>
      <x:c r="D2999" t="str">
        <x:v>trial packet</x:v>
      </x:c>
      <x:c r="E2999" t="str">
        <x:v>PH-PK-232</x:v>
      </x:c>
      <x:c r="F2999" t="n">
        <x:f>IF('Trial Register'!Q238&lt;&gt;"",1,0)</x:f>
        <x:v>0</x:v>
      </x:c>
      <x:c r="G2999" t="n">
        <x:v>1</x:v>
      </x:c>
      <x:c r="H2999" t="str">
        <x:v>independent physical acceptance</x:v>
      </x:c>
      <x:c r="I2999" t="str">
        <x:f>IF(F2999=1,"PASS","OPEN")</x:f>
        <x:v>OPEN</x:v>
      </x:c>
    </x:row>
    <x:row r="3000">
      <x:c r="B3000" t="str">
        <x:v>PH-VA-232</x:v>
      </x:c>
      <x:c r="C3000" t="str">
        <x:v>PHYSICAL</x:v>
      </x:c>
      <x:c r="D3000" t="str">
        <x:v>trial validity</x:v>
      </x:c>
      <x:c r="E3000" t="str">
        <x:v>PH-VA-232</x:v>
      </x:c>
      <x:c r="F3000" t="n">
        <x:f>IF('Trial Register'!R238&lt;&gt;"",1,0)</x:f>
        <x:v>0</x:v>
      </x:c>
      <x:c r="G3000" t="n">
        <x:v>1</x:v>
      </x:c>
      <x:c r="H3000" t="str">
        <x:v>independent physical acceptance</x:v>
      </x:c>
      <x:c r="I3000" t="str">
        <x:f>IF(F3000=1,"PASS","OPEN")</x:f>
        <x:v>OPEN</x:v>
      </x:c>
    </x:row>
    <x:row r="3001">
      <x:c r="B3001" t="str">
        <x:v>PH-RV-232</x:v>
      </x:c>
      <x:c r="C3001" t="str">
        <x:v>PHYSICAL</x:v>
      </x:c>
      <x:c r="D3001" t="str">
        <x:v>reported value</x:v>
      </x:c>
      <x:c r="E3001" t="str">
        <x:v>PH-RV-232</x:v>
      </x:c>
      <x:c r="F3001" t="n">
        <x:f>IF('Trial Register'!S238&lt;&gt;"",1,0)</x:f>
        <x:v>0</x:v>
      </x:c>
      <x:c r="G3001" t="n">
        <x:v>1</x:v>
      </x:c>
      <x:c r="H3001" t="str">
        <x:v>independent physical acceptance</x:v>
      </x:c>
      <x:c r="I3001" t="str">
        <x:f>IF(F3001=1,"PASS","OPEN")</x:f>
        <x:v>OPEN</x:v>
      </x:c>
    </x:row>
    <x:row r="3002">
      <x:c r="B3002" t="str">
        <x:v>PH-CR-232</x:v>
      </x:c>
      <x:c r="C3002" t="str">
        <x:v>PHYSICAL</x:v>
      </x:c>
      <x:c r="D3002" t="str">
        <x:v>credit acceptance</x:v>
      </x:c>
      <x:c r="E3002" t="str">
        <x:v>PH-CR-232</x:v>
      </x:c>
      <x:c r="F3002" t="str">
        <x:f>'Trial Register'!V238</x:f>
      </x:c>
      <x:c r="G3002" t="n">
        <x:v>1</x:v>
      </x:c>
      <x:c r="H3002" t="str">
        <x:v>independent physical acceptance</x:v>
      </x:c>
      <x:c r="I3002" t="str">
        <x:f>IF(F3002=1,"PASS","OPEN")</x:f>
        <x:v>OPEN</x:v>
      </x:c>
    </x:row>
    <x:row r="3003">
      <x:c r="B3003" t="str">
        <x:v>PH-EX-233</x:v>
      </x:c>
      <x:c r="C3003" t="str">
        <x:v>PHYSICAL</x:v>
      </x:c>
      <x:c r="D3003" t="str">
        <x:v>trial execution</x:v>
      </x:c>
      <x:c r="E3003" t="str">
        <x:v>PH-EX-233</x:v>
      </x:c>
      <x:c r="F3003" t="n">
        <x:f>IF('Trial Register'!P239&lt;&gt;"",1,0)</x:f>
        <x:v>0</x:v>
      </x:c>
      <x:c r="G3003" t="n">
        <x:v>1</x:v>
      </x:c>
      <x:c r="H3003" t="str">
        <x:v>independent physical acceptance</x:v>
      </x:c>
      <x:c r="I3003" t="str">
        <x:f>IF(F3003=1,"PASS","OPEN")</x:f>
        <x:v>OPEN</x:v>
      </x:c>
    </x:row>
    <x:row r="3004">
      <x:c r="B3004" t="str">
        <x:v>PH-PK-233</x:v>
      </x:c>
      <x:c r="C3004" t="str">
        <x:v>PHYSICAL</x:v>
      </x:c>
      <x:c r="D3004" t="str">
        <x:v>trial packet</x:v>
      </x:c>
      <x:c r="E3004" t="str">
        <x:v>PH-PK-233</x:v>
      </x:c>
      <x:c r="F3004" t="n">
        <x:f>IF('Trial Register'!Q239&lt;&gt;"",1,0)</x:f>
        <x:v>0</x:v>
      </x:c>
      <x:c r="G3004" t="n">
        <x:v>1</x:v>
      </x:c>
      <x:c r="H3004" t="str">
        <x:v>independent physical acceptance</x:v>
      </x:c>
      <x:c r="I3004" t="str">
        <x:f>IF(F3004=1,"PASS","OPEN")</x:f>
        <x:v>OPEN</x:v>
      </x:c>
    </x:row>
    <x:row r="3005">
      <x:c r="B3005" t="str">
        <x:v>PH-VA-233</x:v>
      </x:c>
      <x:c r="C3005" t="str">
        <x:v>PHYSICAL</x:v>
      </x:c>
      <x:c r="D3005" t="str">
        <x:v>trial validity</x:v>
      </x:c>
      <x:c r="E3005" t="str">
        <x:v>PH-VA-233</x:v>
      </x:c>
      <x:c r="F3005" t="n">
        <x:f>IF('Trial Register'!R239&lt;&gt;"",1,0)</x:f>
        <x:v>0</x:v>
      </x:c>
      <x:c r="G3005" t="n">
        <x:v>1</x:v>
      </x:c>
      <x:c r="H3005" t="str">
        <x:v>independent physical acceptance</x:v>
      </x:c>
      <x:c r="I3005" t="str">
        <x:f>IF(F3005=1,"PASS","OPEN")</x:f>
        <x:v>OPEN</x:v>
      </x:c>
    </x:row>
    <x:row r="3006">
      <x:c r="B3006" t="str">
        <x:v>PH-RV-233</x:v>
      </x:c>
      <x:c r="C3006" t="str">
        <x:v>PHYSICAL</x:v>
      </x:c>
      <x:c r="D3006" t="str">
        <x:v>reported value</x:v>
      </x:c>
      <x:c r="E3006" t="str">
        <x:v>PH-RV-233</x:v>
      </x:c>
      <x:c r="F3006" t="n">
        <x:f>IF('Trial Register'!S239&lt;&gt;"",1,0)</x:f>
        <x:v>0</x:v>
      </x:c>
      <x:c r="G3006" t="n">
        <x:v>1</x:v>
      </x:c>
      <x:c r="H3006" t="str">
        <x:v>independent physical acceptance</x:v>
      </x:c>
      <x:c r="I3006" t="str">
        <x:f>IF(F3006=1,"PASS","OPEN")</x:f>
        <x:v>OPEN</x:v>
      </x:c>
    </x:row>
    <x:row r="3007">
      <x:c r="B3007" t="str">
        <x:v>PH-CR-233</x:v>
      </x:c>
      <x:c r="C3007" t="str">
        <x:v>PHYSICAL</x:v>
      </x:c>
      <x:c r="D3007" t="str">
        <x:v>credit acceptance</x:v>
      </x:c>
      <x:c r="E3007" t="str">
        <x:v>PH-CR-233</x:v>
      </x:c>
      <x:c r="F3007" t="str">
        <x:f>'Trial Register'!V239</x:f>
      </x:c>
      <x:c r="G3007" t="n">
        <x:v>1</x:v>
      </x:c>
      <x:c r="H3007" t="str">
        <x:v>independent physical acceptance</x:v>
      </x:c>
      <x:c r="I3007" t="str">
        <x:f>IF(F3007=1,"PASS","OPEN")</x:f>
        <x:v>OPEN</x:v>
      </x:c>
    </x:row>
    <x:row r="3008">
      <x:c r="B3008" t="str">
        <x:v>PH-EX-234</x:v>
      </x:c>
      <x:c r="C3008" t="str">
        <x:v>PHYSICAL</x:v>
      </x:c>
      <x:c r="D3008" t="str">
        <x:v>trial execution</x:v>
      </x:c>
      <x:c r="E3008" t="str">
        <x:v>PH-EX-234</x:v>
      </x:c>
      <x:c r="F3008" t="n">
        <x:f>IF('Trial Register'!P240&lt;&gt;"",1,0)</x:f>
        <x:v>0</x:v>
      </x:c>
      <x:c r="G3008" t="n">
        <x:v>1</x:v>
      </x:c>
      <x:c r="H3008" t="str">
        <x:v>independent physical acceptance</x:v>
      </x:c>
      <x:c r="I3008" t="str">
        <x:f>IF(F3008=1,"PASS","OPEN")</x:f>
        <x:v>OPEN</x:v>
      </x:c>
    </x:row>
    <x:row r="3009">
      <x:c r="B3009" t="str">
        <x:v>PH-PK-234</x:v>
      </x:c>
      <x:c r="C3009" t="str">
        <x:v>PHYSICAL</x:v>
      </x:c>
      <x:c r="D3009" t="str">
        <x:v>trial packet</x:v>
      </x:c>
      <x:c r="E3009" t="str">
        <x:v>PH-PK-234</x:v>
      </x:c>
      <x:c r="F3009" t="n">
        <x:f>IF('Trial Register'!Q240&lt;&gt;"",1,0)</x:f>
        <x:v>0</x:v>
      </x:c>
      <x:c r="G3009" t="n">
        <x:v>1</x:v>
      </x:c>
      <x:c r="H3009" t="str">
        <x:v>independent physical acceptance</x:v>
      </x:c>
      <x:c r="I3009" t="str">
        <x:f>IF(F3009=1,"PASS","OPEN")</x:f>
        <x:v>OPEN</x:v>
      </x:c>
    </x:row>
    <x:row r="3010">
      <x:c r="B3010" t="str">
        <x:v>PH-VA-234</x:v>
      </x:c>
      <x:c r="C3010" t="str">
        <x:v>PHYSICAL</x:v>
      </x:c>
      <x:c r="D3010" t="str">
        <x:v>trial validity</x:v>
      </x:c>
      <x:c r="E3010" t="str">
        <x:v>PH-VA-234</x:v>
      </x:c>
      <x:c r="F3010" t="n">
        <x:f>IF('Trial Register'!R240&lt;&gt;"",1,0)</x:f>
        <x:v>0</x:v>
      </x:c>
      <x:c r="G3010" t="n">
        <x:v>1</x:v>
      </x:c>
      <x:c r="H3010" t="str">
        <x:v>independent physical acceptance</x:v>
      </x:c>
      <x:c r="I3010" t="str">
        <x:f>IF(F3010=1,"PASS","OPEN")</x:f>
        <x:v>OPEN</x:v>
      </x:c>
    </x:row>
    <x:row r="3011">
      <x:c r="B3011" t="str">
        <x:v>PH-RV-234</x:v>
      </x:c>
      <x:c r="C3011" t="str">
        <x:v>PHYSICAL</x:v>
      </x:c>
      <x:c r="D3011" t="str">
        <x:v>reported value</x:v>
      </x:c>
      <x:c r="E3011" t="str">
        <x:v>PH-RV-234</x:v>
      </x:c>
      <x:c r="F3011" t="n">
        <x:f>IF('Trial Register'!S240&lt;&gt;"",1,0)</x:f>
        <x:v>0</x:v>
      </x:c>
      <x:c r="G3011" t="n">
        <x:v>1</x:v>
      </x:c>
      <x:c r="H3011" t="str">
        <x:v>independent physical acceptance</x:v>
      </x:c>
      <x:c r="I3011" t="str">
        <x:f>IF(F3011=1,"PASS","OPEN")</x:f>
        <x:v>OPEN</x:v>
      </x:c>
    </x:row>
    <x:row r="3012">
      <x:c r="B3012" t="str">
        <x:v>PH-CR-234</x:v>
      </x:c>
      <x:c r="C3012" t="str">
        <x:v>PHYSICAL</x:v>
      </x:c>
      <x:c r="D3012" t="str">
        <x:v>credit acceptance</x:v>
      </x:c>
      <x:c r="E3012" t="str">
        <x:v>PH-CR-234</x:v>
      </x:c>
      <x:c r="F3012" t="str">
        <x:f>'Trial Register'!V240</x:f>
      </x:c>
      <x:c r="G3012" t="n">
        <x:v>1</x:v>
      </x:c>
      <x:c r="H3012" t="str">
        <x:v>independent physical acceptance</x:v>
      </x:c>
      <x:c r="I3012" t="str">
        <x:f>IF(F3012=1,"PASS","OPEN")</x:f>
        <x:v>OPEN</x:v>
      </x:c>
    </x:row>
    <x:row r="3013">
      <x:c r="B3013" t="str">
        <x:v>PH-EX-235</x:v>
      </x:c>
      <x:c r="C3013" t="str">
        <x:v>PHYSICAL</x:v>
      </x:c>
      <x:c r="D3013" t="str">
        <x:v>trial execution</x:v>
      </x:c>
      <x:c r="E3013" t="str">
        <x:v>PH-EX-235</x:v>
      </x:c>
      <x:c r="F3013" t="n">
        <x:f>IF('Trial Register'!P241&lt;&gt;"",1,0)</x:f>
        <x:v>0</x:v>
      </x:c>
      <x:c r="G3013" t="n">
        <x:v>1</x:v>
      </x:c>
      <x:c r="H3013" t="str">
        <x:v>independent physical acceptance</x:v>
      </x:c>
      <x:c r="I3013" t="str">
        <x:f>IF(F3013=1,"PASS","OPEN")</x:f>
        <x:v>OPEN</x:v>
      </x:c>
    </x:row>
    <x:row r="3014">
      <x:c r="B3014" t="str">
        <x:v>PH-PK-235</x:v>
      </x:c>
      <x:c r="C3014" t="str">
        <x:v>PHYSICAL</x:v>
      </x:c>
      <x:c r="D3014" t="str">
        <x:v>trial packet</x:v>
      </x:c>
      <x:c r="E3014" t="str">
        <x:v>PH-PK-235</x:v>
      </x:c>
      <x:c r="F3014" t="n">
        <x:f>IF('Trial Register'!Q241&lt;&gt;"",1,0)</x:f>
        <x:v>0</x:v>
      </x:c>
      <x:c r="G3014" t="n">
        <x:v>1</x:v>
      </x:c>
      <x:c r="H3014" t="str">
        <x:v>independent physical acceptance</x:v>
      </x:c>
      <x:c r="I3014" t="str">
        <x:f>IF(F3014=1,"PASS","OPEN")</x:f>
        <x:v>OPEN</x:v>
      </x:c>
    </x:row>
    <x:row r="3015">
      <x:c r="B3015" t="str">
        <x:v>PH-VA-235</x:v>
      </x:c>
      <x:c r="C3015" t="str">
        <x:v>PHYSICAL</x:v>
      </x:c>
      <x:c r="D3015" t="str">
        <x:v>trial validity</x:v>
      </x:c>
      <x:c r="E3015" t="str">
        <x:v>PH-VA-235</x:v>
      </x:c>
      <x:c r="F3015" t="n">
        <x:f>IF('Trial Register'!R241&lt;&gt;"",1,0)</x:f>
        <x:v>0</x:v>
      </x:c>
      <x:c r="G3015" t="n">
        <x:v>1</x:v>
      </x:c>
      <x:c r="H3015" t="str">
        <x:v>independent physical acceptance</x:v>
      </x:c>
      <x:c r="I3015" t="str">
        <x:f>IF(F3015=1,"PASS","OPEN")</x:f>
        <x:v>OPEN</x:v>
      </x:c>
    </x:row>
    <x:row r="3016">
      <x:c r="B3016" t="str">
        <x:v>PH-RV-235</x:v>
      </x:c>
      <x:c r="C3016" t="str">
        <x:v>PHYSICAL</x:v>
      </x:c>
      <x:c r="D3016" t="str">
        <x:v>reported value</x:v>
      </x:c>
      <x:c r="E3016" t="str">
        <x:v>PH-RV-235</x:v>
      </x:c>
      <x:c r="F3016" t="n">
        <x:f>IF('Trial Register'!S241&lt;&gt;"",1,0)</x:f>
        <x:v>0</x:v>
      </x:c>
      <x:c r="G3016" t="n">
        <x:v>1</x:v>
      </x:c>
      <x:c r="H3016" t="str">
        <x:v>independent physical acceptance</x:v>
      </x:c>
      <x:c r="I3016" t="str">
        <x:f>IF(F3016=1,"PASS","OPEN")</x:f>
        <x:v>OPEN</x:v>
      </x:c>
    </x:row>
    <x:row r="3017">
      <x:c r="B3017" t="str">
        <x:v>PH-CR-235</x:v>
      </x:c>
      <x:c r="C3017" t="str">
        <x:v>PHYSICAL</x:v>
      </x:c>
      <x:c r="D3017" t="str">
        <x:v>credit acceptance</x:v>
      </x:c>
      <x:c r="E3017" t="str">
        <x:v>PH-CR-235</x:v>
      </x:c>
      <x:c r="F3017" t="str">
        <x:f>'Trial Register'!V241</x:f>
      </x:c>
      <x:c r="G3017" t="n">
        <x:v>1</x:v>
      </x:c>
      <x:c r="H3017" t="str">
        <x:v>independent physical acceptance</x:v>
      </x:c>
      <x:c r="I3017" t="str">
        <x:f>IF(F3017=1,"PASS","OPEN")</x:f>
        <x:v>OPEN</x:v>
      </x:c>
    </x:row>
    <x:row r="3018">
      <x:c r="B3018" t="str">
        <x:v>PH-EX-236</x:v>
      </x:c>
      <x:c r="C3018" t="str">
        <x:v>PHYSICAL</x:v>
      </x:c>
      <x:c r="D3018" t="str">
        <x:v>trial execution</x:v>
      </x:c>
      <x:c r="E3018" t="str">
        <x:v>PH-EX-236</x:v>
      </x:c>
      <x:c r="F3018" t="n">
        <x:f>IF('Trial Register'!P242&lt;&gt;"",1,0)</x:f>
        <x:v>0</x:v>
      </x:c>
      <x:c r="G3018" t="n">
        <x:v>1</x:v>
      </x:c>
      <x:c r="H3018" t="str">
        <x:v>independent physical acceptance</x:v>
      </x:c>
      <x:c r="I3018" t="str">
        <x:f>IF(F3018=1,"PASS","OPEN")</x:f>
        <x:v>OPEN</x:v>
      </x:c>
    </x:row>
    <x:row r="3019">
      <x:c r="B3019" t="str">
        <x:v>PH-PK-236</x:v>
      </x:c>
      <x:c r="C3019" t="str">
        <x:v>PHYSICAL</x:v>
      </x:c>
      <x:c r="D3019" t="str">
        <x:v>trial packet</x:v>
      </x:c>
      <x:c r="E3019" t="str">
        <x:v>PH-PK-236</x:v>
      </x:c>
      <x:c r="F3019" t="n">
        <x:f>IF('Trial Register'!Q242&lt;&gt;"",1,0)</x:f>
        <x:v>0</x:v>
      </x:c>
      <x:c r="G3019" t="n">
        <x:v>1</x:v>
      </x:c>
      <x:c r="H3019" t="str">
        <x:v>independent physical acceptance</x:v>
      </x:c>
      <x:c r="I3019" t="str">
        <x:f>IF(F3019=1,"PASS","OPEN")</x:f>
        <x:v>OPEN</x:v>
      </x:c>
    </x:row>
    <x:row r="3020">
      <x:c r="B3020" t="str">
        <x:v>PH-VA-236</x:v>
      </x:c>
      <x:c r="C3020" t="str">
        <x:v>PHYSICAL</x:v>
      </x:c>
      <x:c r="D3020" t="str">
        <x:v>trial validity</x:v>
      </x:c>
      <x:c r="E3020" t="str">
        <x:v>PH-VA-236</x:v>
      </x:c>
      <x:c r="F3020" t="n">
        <x:f>IF('Trial Register'!R242&lt;&gt;"",1,0)</x:f>
        <x:v>0</x:v>
      </x:c>
      <x:c r="G3020" t="n">
        <x:v>1</x:v>
      </x:c>
      <x:c r="H3020" t="str">
        <x:v>independent physical acceptance</x:v>
      </x:c>
      <x:c r="I3020" t="str">
        <x:f>IF(F3020=1,"PASS","OPEN")</x:f>
        <x:v>OPEN</x:v>
      </x:c>
    </x:row>
    <x:row r="3021">
      <x:c r="B3021" t="str">
        <x:v>PH-RV-236</x:v>
      </x:c>
      <x:c r="C3021" t="str">
        <x:v>PHYSICAL</x:v>
      </x:c>
      <x:c r="D3021" t="str">
        <x:v>reported value</x:v>
      </x:c>
      <x:c r="E3021" t="str">
        <x:v>PH-RV-236</x:v>
      </x:c>
      <x:c r="F3021" t="n">
        <x:f>IF('Trial Register'!S242&lt;&gt;"",1,0)</x:f>
        <x:v>0</x:v>
      </x:c>
      <x:c r="G3021" t="n">
        <x:v>1</x:v>
      </x:c>
      <x:c r="H3021" t="str">
        <x:v>independent physical acceptance</x:v>
      </x:c>
      <x:c r="I3021" t="str">
        <x:f>IF(F3021=1,"PASS","OPEN")</x:f>
        <x:v>OPEN</x:v>
      </x:c>
    </x:row>
    <x:row r="3022">
      <x:c r="B3022" t="str">
        <x:v>PH-CR-236</x:v>
      </x:c>
      <x:c r="C3022" t="str">
        <x:v>PHYSICAL</x:v>
      </x:c>
      <x:c r="D3022" t="str">
        <x:v>credit acceptance</x:v>
      </x:c>
      <x:c r="E3022" t="str">
        <x:v>PH-CR-236</x:v>
      </x:c>
      <x:c r="F3022" t="str">
        <x:f>'Trial Register'!V242</x:f>
      </x:c>
      <x:c r="G3022" t="n">
        <x:v>1</x:v>
      </x:c>
      <x:c r="H3022" t="str">
        <x:v>independent physical acceptance</x:v>
      </x:c>
      <x:c r="I3022" t="str">
        <x:f>IF(F3022=1,"PASS","OPEN")</x:f>
        <x:v>OPEN</x:v>
      </x:c>
    </x:row>
    <x:row r="3023">
      <x:c r="B3023" t="str">
        <x:v>PH-EX-237</x:v>
      </x:c>
      <x:c r="C3023" t="str">
        <x:v>PHYSICAL</x:v>
      </x:c>
      <x:c r="D3023" t="str">
        <x:v>trial execution</x:v>
      </x:c>
      <x:c r="E3023" t="str">
        <x:v>PH-EX-237</x:v>
      </x:c>
      <x:c r="F3023" t="n">
        <x:f>IF('Trial Register'!P243&lt;&gt;"",1,0)</x:f>
        <x:v>0</x:v>
      </x:c>
      <x:c r="G3023" t="n">
        <x:v>1</x:v>
      </x:c>
      <x:c r="H3023" t="str">
        <x:v>independent physical acceptance</x:v>
      </x:c>
      <x:c r="I3023" t="str">
        <x:f>IF(F3023=1,"PASS","OPEN")</x:f>
        <x:v>OPEN</x:v>
      </x:c>
    </x:row>
    <x:row r="3024">
      <x:c r="B3024" t="str">
        <x:v>PH-PK-237</x:v>
      </x:c>
      <x:c r="C3024" t="str">
        <x:v>PHYSICAL</x:v>
      </x:c>
      <x:c r="D3024" t="str">
        <x:v>trial packet</x:v>
      </x:c>
      <x:c r="E3024" t="str">
        <x:v>PH-PK-237</x:v>
      </x:c>
      <x:c r="F3024" t="n">
        <x:f>IF('Trial Register'!Q243&lt;&gt;"",1,0)</x:f>
        <x:v>0</x:v>
      </x:c>
      <x:c r="G3024" t="n">
        <x:v>1</x:v>
      </x:c>
      <x:c r="H3024" t="str">
        <x:v>independent physical acceptance</x:v>
      </x:c>
      <x:c r="I3024" t="str">
        <x:f>IF(F3024=1,"PASS","OPEN")</x:f>
        <x:v>OPEN</x:v>
      </x:c>
    </x:row>
    <x:row r="3025">
      <x:c r="B3025" t="str">
        <x:v>PH-VA-237</x:v>
      </x:c>
      <x:c r="C3025" t="str">
        <x:v>PHYSICAL</x:v>
      </x:c>
      <x:c r="D3025" t="str">
        <x:v>trial validity</x:v>
      </x:c>
      <x:c r="E3025" t="str">
        <x:v>PH-VA-237</x:v>
      </x:c>
      <x:c r="F3025" t="n">
        <x:f>IF('Trial Register'!R243&lt;&gt;"",1,0)</x:f>
        <x:v>0</x:v>
      </x:c>
      <x:c r="G3025" t="n">
        <x:v>1</x:v>
      </x:c>
      <x:c r="H3025" t="str">
        <x:v>independent physical acceptance</x:v>
      </x:c>
      <x:c r="I3025" t="str">
        <x:f>IF(F3025=1,"PASS","OPEN")</x:f>
        <x:v>OPEN</x:v>
      </x:c>
    </x:row>
    <x:row r="3026">
      <x:c r="B3026" t="str">
        <x:v>PH-RV-237</x:v>
      </x:c>
      <x:c r="C3026" t="str">
        <x:v>PHYSICAL</x:v>
      </x:c>
      <x:c r="D3026" t="str">
        <x:v>reported value</x:v>
      </x:c>
      <x:c r="E3026" t="str">
        <x:v>PH-RV-237</x:v>
      </x:c>
      <x:c r="F3026" t="n">
        <x:f>IF('Trial Register'!S243&lt;&gt;"",1,0)</x:f>
        <x:v>0</x:v>
      </x:c>
      <x:c r="G3026" t="n">
        <x:v>1</x:v>
      </x:c>
      <x:c r="H3026" t="str">
        <x:v>independent physical acceptance</x:v>
      </x:c>
      <x:c r="I3026" t="str">
        <x:f>IF(F3026=1,"PASS","OPEN")</x:f>
        <x:v>OPEN</x:v>
      </x:c>
    </x:row>
    <x:row r="3027">
      <x:c r="B3027" t="str">
        <x:v>PH-CR-237</x:v>
      </x:c>
      <x:c r="C3027" t="str">
        <x:v>PHYSICAL</x:v>
      </x:c>
      <x:c r="D3027" t="str">
        <x:v>credit acceptance</x:v>
      </x:c>
      <x:c r="E3027" t="str">
        <x:v>PH-CR-237</x:v>
      </x:c>
      <x:c r="F3027" t="str">
        <x:f>'Trial Register'!V243</x:f>
      </x:c>
      <x:c r="G3027" t="n">
        <x:v>1</x:v>
      </x:c>
      <x:c r="H3027" t="str">
        <x:v>independent physical acceptance</x:v>
      </x:c>
      <x:c r="I3027" t="str">
        <x:f>IF(F3027=1,"PASS","OPEN")</x:f>
        <x:v>OPEN</x:v>
      </x:c>
    </x:row>
    <x:row r="3028">
      <x:c r="B3028" t="str">
        <x:v>PH-EX-238</x:v>
      </x:c>
      <x:c r="C3028" t="str">
        <x:v>PHYSICAL</x:v>
      </x:c>
      <x:c r="D3028" t="str">
        <x:v>trial execution</x:v>
      </x:c>
      <x:c r="E3028" t="str">
        <x:v>PH-EX-238</x:v>
      </x:c>
      <x:c r="F3028" t="n">
        <x:f>IF('Trial Register'!P244&lt;&gt;"",1,0)</x:f>
        <x:v>0</x:v>
      </x:c>
      <x:c r="G3028" t="n">
        <x:v>1</x:v>
      </x:c>
      <x:c r="H3028" t="str">
        <x:v>independent physical acceptance</x:v>
      </x:c>
      <x:c r="I3028" t="str">
        <x:f>IF(F3028=1,"PASS","OPEN")</x:f>
        <x:v>OPEN</x:v>
      </x:c>
    </x:row>
    <x:row r="3029">
      <x:c r="B3029" t="str">
        <x:v>PH-PK-238</x:v>
      </x:c>
      <x:c r="C3029" t="str">
        <x:v>PHYSICAL</x:v>
      </x:c>
      <x:c r="D3029" t="str">
        <x:v>trial packet</x:v>
      </x:c>
      <x:c r="E3029" t="str">
        <x:v>PH-PK-238</x:v>
      </x:c>
      <x:c r="F3029" t="n">
        <x:f>IF('Trial Register'!Q244&lt;&gt;"",1,0)</x:f>
        <x:v>0</x:v>
      </x:c>
      <x:c r="G3029" t="n">
        <x:v>1</x:v>
      </x:c>
      <x:c r="H3029" t="str">
        <x:v>independent physical acceptance</x:v>
      </x:c>
      <x:c r="I3029" t="str">
        <x:f>IF(F3029=1,"PASS","OPEN")</x:f>
        <x:v>OPEN</x:v>
      </x:c>
    </x:row>
    <x:row r="3030">
      <x:c r="B3030" t="str">
        <x:v>PH-VA-238</x:v>
      </x:c>
      <x:c r="C3030" t="str">
        <x:v>PHYSICAL</x:v>
      </x:c>
      <x:c r="D3030" t="str">
        <x:v>trial validity</x:v>
      </x:c>
      <x:c r="E3030" t="str">
        <x:v>PH-VA-238</x:v>
      </x:c>
      <x:c r="F3030" t="n">
        <x:f>IF('Trial Register'!R244&lt;&gt;"",1,0)</x:f>
        <x:v>0</x:v>
      </x:c>
      <x:c r="G3030" t="n">
        <x:v>1</x:v>
      </x:c>
      <x:c r="H3030" t="str">
        <x:v>independent physical acceptance</x:v>
      </x:c>
      <x:c r="I3030" t="str">
        <x:f>IF(F3030=1,"PASS","OPEN")</x:f>
        <x:v>OPEN</x:v>
      </x:c>
    </x:row>
    <x:row r="3031">
      <x:c r="B3031" t="str">
        <x:v>PH-RV-238</x:v>
      </x:c>
      <x:c r="C3031" t="str">
        <x:v>PHYSICAL</x:v>
      </x:c>
      <x:c r="D3031" t="str">
        <x:v>reported value</x:v>
      </x:c>
      <x:c r="E3031" t="str">
        <x:v>PH-RV-238</x:v>
      </x:c>
      <x:c r="F3031" t="n">
        <x:f>IF('Trial Register'!S244&lt;&gt;"",1,0)</x:f>
        <x:v>0</x:v>
      </x:c>
      <x:c r="G3031" t="n">
        <x:v>1</x:v>
      </x:c>
      <x:c r="H3031" t="str">
        <x:v>independent physical acceptance</x:v>
      </x:c>
      <x:c r="I3031" t="str">
        <x:f>IF(F3031=1,"PASS","OPEN")</x:f>
        <x:v>OPEN</x:v>
      </x:c>
    </x:row>
    <x:row r="3032">
      <x:c r="B3032" t="str">
        <x:v>PH-CR-238</x:v>
      </x:c>
      <x:c r="C3032" t="str">
        <x:v>PHYSICAL</x:v>
      </x:c>
      <x:c r="D3032" t="str">
        <x:v>credit acceptance</x:v>
      </x:c>
      <x:c r="E3032" t="str">
        <x:v>PH-CR-238</x:v>
      </x:c>
      <x:c r="F3032" t="str">
        <x:f>'Trial Register'!V244</x:f>
      </x:c>
      <x:c r="G3032" t="n">
        <x:v>1</x:v>
      </x:c>
      <x:c r="H3032" t="str">
        <x:v>independent physical acceptance</x:v>
      </x:c>
      <x:c r="I3032" t="str">
        <x:f>IF(F3032=1,"PASS","OPEN")</x:f>
        <x:v>OPEN</x:v>
      </x:c>
    </x:row>
    <x:row r="3033">
      <x:c r="B3033" t="str">
        <x:v>PH-EX-239</x:v>
      </x:c>
      <x:c r="C3033" t="str">
        <x:v>PHYSICAL</x:v>
      </x:c>
      <x:c r="D3033" t="str">
        <x:v>trial execution</x:v>
      </x:c>
      <x:c r="E3033" t="str">
        <x:v>PH-EX-239</x:v>
      </x:c>
      <x:c r="F3033" t="n">
        <x:f>IF('Trial Register'!P245&lt;&gt;"",1,0)</x:f>
        <x:v>0</x:v>
      </x:c>
      <x:c r="G3033" t="n">
        <x:v>1</x:v>
      </x:c>
      <x:c r="H3033" t="str">
        <x:v>independent physical acceptance</x:v>
      </x:c>
      <x:c r="I3033" t="str">
        <x:f>IF(F3033=1,"PASS","OPEN")</x:f>
        <x:v>OPEN</x:v>
      </x:c>
    </x:row>
    <x:row r="3034">
      <x:c r="B3034" t="str">
        <x:v>PH-PK-239</x:v>
      </x:c>
      <x:c r="C3034" t="str">
        <x:v>PHYSICAL</x:v>
      </x:c>
      <x:c r="D3034" t="str">
        <x:v>trial packet</x:v>
      </x:c>
      <x:c r="E3034" t="str">
        <x:v>PH-PK-239</x:v>
      </x:c>
      <x:c r="F3034" t="n">
        <x:f>IF('Trial Register'!Q245&lt;&gt;"",1,0)</x:f>
        <x:v>0</x:v>
      </x:c>
      <x:c r="G3034" t="n">
        <x:v>1</x:v>
      </x:c>
      <x:c r="H3034" t="str">
        <x:v>independent physical acceptance</x:v>
      </x:c>
      <x:c r="I3034" t="str">
        <x:f>IF(F3034=1,"PASS","OPEN")</x:f>
        <x:v>OPEN</x:v>
      </x:c>
    </x:row>
    <x:row r="3035">
      <x:c r="B3035" t="str">
        <x:v>PH-VA-239</x:v>
      </x:c>
      <x:c r="C3035" t="str">
        <x:v>PHYSICAL</x:v>
      </x:c>
      <x:c r="D3035" t="str">
        <x:v>trial validity</x:v>
      </x:c>
      <x:c r="E3035" t="str">
        <x:v>PH-VA-239</x:v>
      </x:c>
      <x:c r="F3035" t="n">
        <x:f>IF('Trial Register'!R245&lt;&gt;"",1,0)</x:f>
        <x:v>0</x:v>
      </x:c>
      <x:c r="G3035" t="n">
        <x:v>1</x:v>
      </x:c>
      <x:c r="H3035" t="str">
        <x:v>independent physical acceptance</x:v>
      </x:c>
      <x:c r="I3035" t="str">
        <x:f>IF(F3035=1,"PASS","OPEN")</x:f>
        <x:v>OPEN</x:v>
      </x:c>
    </x:row>
    <x:row r="3036">
      <x:c r="B3036" t="str">
        <x:v>PH-RV-239</x:v>
      </x:c>
      <x:c r="C3036" t="str">
        <x:v>PHYSICAL</x:v>
      </x:c>
      <x:c r="D3036" t="str">
        <x:v>reported value</x:v>
      </x:c>
      <x:c r="E3036" t="str">
        <x:v>PH-RV-239</x:v>
      </x:c>
      <x:c r="F3036" t="n">
        <x:f>IF('Trial Register'!S245&lt;&gt;"",1,0)</x:f>
        <x:v>0</x:v>
      </x:c>
      <x:c r="G3036" t="n">
        <x:v>1</x:v>
      </x:c>
      <x:c r="H3036" t="str">
        <x:v>independent physical acceptance</x:v>
      </x:c>
      <x:c r="I3036" t="str">
        <x:f>IF(F3036=1,"PASS","OPEN")</x:f>
        <x:v>OPEN</x:v>
      </x:c>
    </x:row>
    <x:row r="3037">
      <x:c r="B3037" t="str">
        <x:v>PH-CR-239</x:v>
      </x:c>
      <x:c r="C3037" t="str">
        <x:v>PHYSICAL</x:v>
      </x:c>
      <x:c r="D3037" t="str">
        <x:v>credit acceptance</x:v>
      </x:c>
      <x:c r="E3037" t="str">
        <x:v>PH-CR-239</x:v>
      </x:c>
      <x:c r="F3037" t="str">
        <x:f>'Trial Register'!V245</x:f>
      </x:c>
      <x:c r="G3037" t="n">
        <x:v>1</x:v>
      </x:c>
      <x:c r="H3037" t="str">
        <x:v>independent physical acceptance</x:v>
      </x:c>
      <x:c r="I3037" t="str">
        <x:f>IF(F3037=1,"PASS","OPEN")</x:f>
        <x:v>OPEN</x:v>
      </x:c>
    </x:row>
    <x:row r="3038">
      <x:c r="B3038" t="str">
        <x:v>PH-EX-240</x:v>
      </x:c>
      <x:c r="C3038" t="str">
        <x:v>PHYSICAL</x:v>
      </x:c>
      <x:c r="D3038" t="str">
        <x:v>trial execution</x:v>
      </x:c>
      <x:c r="E3038" t="str">
        <x:v>PH-EX-240</x:v>
      </x:c>
      <x:c r="F3038" t="n">
        <x:f>IF('Trial Register'!P246&lt;&gt;"",1,0)</x:f>
        <x:v>0</x:v>
      </x:c>
      <x:c r="G3038" t="n">
        <x:v>1</x:v>
      </x:c>
      <x:c r="H3038" t="str">
        <x:v>independent physical acceptance</x:v>
      </x:c>
      <x:c r="I3038" t="str">
        <x:f>IF(F3038=1,"PASS","OPEN")</x:f>
        <x:v>OPEN</x:v>
      </x:c>
    </x:row>
    <x:row r="3039">
      <x:c r="B3039" t="str">
        <x:v>PH-PK-240</x:v>
      </x:c>
      <x:c r="C3039" t="str">
        <x:v>PHYSICAL</x:v>
      </x:c>
      <x:c r="D3039" t="str">
        <x:v>trial packet</x:v>
      </x:c>
      <x:c r="E3039" t="str">
        <x:v>PH-PK-240</x:v>
      </x:c>
      <x:c r="F3039" t="n">
        <x:f>IF('Trial Register'!Q246&lt;&gt;"",1,0)</x:f>
        <x:v>0</x:v>
      </x:c>
      <x:c r="G3039" t="n">
        <x:v>1</x:v>
      </x:c>
      <x:c r="H3039" t="str">
        <x:v>independent physical acceptance</x:v>
      </x:c>
      <x:c r="I3039" t="str">
        <x:f>IF(F3039=1,"PASS","OPEN")</x:f>
        <x:v>OPEN</x:v>
      </x:c>
    </x:row>
    <x:row r="3040">
      <x:c r="B3040" t="str">
        <x:v>PH-VA-240</x:v>
      </x:c>
      <x:c r="C3040" t="str">
        <x:v>PHYSICAL</x:v>
      </x:c>
      <x:c r="D3040" t="str">
        <x:v>trial validity</x:v>
      </x:c>
      <x:c r="E3040" t="str">
        <x:v>PH-VA-240</x:v>
      </x:c>
      <x:c r="F3040" t="n">
        <x:f>IF('Trial Register'!R246&lt;&gt;"",1,0)</x:f>
        <x:v>0</x:v>
      </x:c>
      <x:c r="G3040" t="n">
        <x:v>1</x:v>
      </x:c>
      <x:c r="H3040" t="str">
        <x:v>independent physical acceptance</x:v>
      </x:c>
      <x:c r="I3040" t="str">
        <x:f>IF(F3040=1,"PASS","OPEN")</x:f>
        <x:v>OPEN</x:v>
      </x:c>
    </x:row>
    <x:row r="3041">
      <x:c r="B3041" t="str">
        <x:v>PH-RV-240</x:v>
      </x:c>
      <x:c r="C3041" t="str">
        <x:v>PHYSICAL</x:v>
      </x:c>
      <x:c r="D3041" t="str">
        <x:v>reported value</x:v>
      </x:c>
      <x:c r="E3041" t="str">
        <x:v>PH-RV-240</x:v>
      </x:c>
      <x:c r="F3041" t="n">
        <x:f>IF('Trial Register'!S246&lt;&gt;"",1,0)</x:f>
        <x:v>0</x:v>
      </x:c>
      <x:c r="G3041" t="n">
        <x:v>1</x:v>
      </x:c>
      <x:c r="H3041" t="str">
        <x:v>independent physical acceptance</x:v>
      </x:c>
      <x:c r="I3041" t="str">
        <x:f>IF(F3041=1,"PASS","OPEN")</x:f>
        <x:v>OPEN</x:v>
      </x:c>
    </x:row>
    <x:row r="3042">
      <x:c r="B3042" t="str">
        <x:v>PH-CR-240</x:v>
      </x:c>
      <x:c r="C3042" t="str">
        <x:v>PHYSICAL</x:v>
      </x:c>
      <x:c r="D3042" t="str">
        <x:v>credit acceptance</x:v>
      </x:c>
      <x:c r="E3042" t="str">
        <x:v>PH-CR-240</x:v>
      </x:c>
      <x:c r="F3042" t="str">
        <x:f>'Trial Register'!V246</x:f>
      </x:c>
      <x:c r="G3042" t="n">
        <x:v>1</x:v>
      </x:c>
      <x:c r="H3042" t="str">
        <x:v>independent physical acceptance</x:v>
      </x:c>
      <x:c r="I3042" t="str">
        <x:f>IF(F3042=1,"PASS","OPEN")</x:f>
        <x:v>OPEN</x:v>
      </x:c>
    </x:row>
    <x:row r="3043">
      <x:c r="B3043" t="str">
        <x:v>PH-EX-241</x:v>
      </x:c>
      <x:c r="C3043" t="str">
        <x:v>PHYSICAL</x:v>
      </x:c>
      <x:c r="D3043" t="str">
        <x:v>trial execution</x:v>
      </x:c>
      <x:c r="E3043" t="str">
        <x:v>PH-EX-241</x:v>
      </x:c>
      <x:c r="F3043" t="n">
        <x:f>IF('Trial Register'!P247&lt;&gt;"",1,0)</x:f>
        <x:v>0</x:v>
      </x:c>
      <x:c r="G3043" t="n">
        <x:v>1</x:v>
      </x:c>
      <x:c r="H3043" t="str">
        <x:v>independent physical acceptance</x:v>
      </x:c>
      <x:c r="I3043" t="str">
        <x:f>IF(F3043=1,"PASS","OPEN")</x:f>
        <x:v>OPEN</x:v>
      </x:c>
    </x:row>
    <x:row r="3044">
      <x:c r="B3044" t="str">
        <x:v>PH-PK-241</x:v>
      </x:c>
      <x:c r="C3044" t="str">
        <x:v>PHYSICAL</x:v>
      </x:c>
      <x:c r="D3044" t="str">
        <x:v>trial packet</x:v>
      </x:c>
      <x:c r="E3044" t="str">
        <x:v>PH-PK-241</x:v>
      </x:c>
      <x:c r="F3044" t="n">
        <x:f>IF('Trial Register'!Q247&lt;&gt;"",1,0)</x:f>
        <x:v>0</x:v>
      </x:c>
      <x:c r="G3044" t="n">
        <x:v>1</x:v>
      </x:c>
      <x:c r="H3044" t="str">
        <x:v>independent physical acceptance</x:v>
      </x:c>
      <x:c r="I3044" t="str">
        <x:f>IF(F3044=1,"PASS","OPEN")</x:f>
        <x:v>OPEN</x:v>
      </x:c>
    </x:row>
    <x:row r="3045">
      <x:c r="B3045" t="str">
        <x:v>PH-VA-241</x:v>
      </x:c>
      <x:c r="C3045" t="str">
        <x:v>PHYSICAL</x:v>
      </x:c>
      <x:c r="D3045" t="str">
        <x:v>trial validity</x:v>
      </x:c>
      <x:c r="E3045" t="str">
        <x:v>PH-VA-241</x:v>
      </x:c>
      <x:c r="F3045" t="n">
        <x:f>IF('Trial Register'!R247&lt;&gt;"",1,0)</x:f>
        <x:v>0</x:v>
      </x:c>
      <x:c r="G3045" t="n">
        <x:v>1</x:v>
      </x:c>
      <x:c r="H3045" t="str">
        <x:v>independent physical acceptance</x:v>
      </x:c>
      <x:c r="I3045" t="str">
        <x:f>IF(F3045=1,"PASS","OPEN")</x:f>
        <x:v>OPEN</x:v>
      </x:c>
    </x:row>
    <x:row r="3046">
      <x:c r="B3046" t="str">
        <x:v>PH-RV-241</x:v>
      </x:c>
      <x:c r="C3046" t="str">
        <x:v>PHYSICAL</x:v>
      </x:c>
      <x:c r="D3046" t="str">
        <x:v>reported value</x:v>
      </x:c>
      <x:c r="E3046" t="str">
        <x:v>PH-RV-241</x:v>
      </x:c>
      <x:c r="F3046" t="n">
        <x:f>IF('Trial Register'!S247&lt;&gt;"",1,0)</x:f>
        <x:v>0</x:v>
      </x:c>
      <x:c r="G3046" t="n">
        <x:v>1</x:v>
      </x:c>
      <x:c r="H3046" t="str">
        <x:v>independent physical acceptance</x:v>
      </x:c>
      <x:c r="I3046" t="str">
        <x:f>IF(F3046=1,"PASS","OPEN")</x:f>
        <x:v>OPEN</x:v>
      </x:c>
    </x:row>
    <x:row r="3047">
      <x:c r="B3047" t="str">
        <x:v>PH-CR-241</x:v>
      </x:c>
      <x:c r="C3047" t="str">
        <x:v>PHYSICAL</x:v>
      </x:c>
      <x:c r="D3047" t="str">
        <x:v>credit acceptance</x:v>
      </x:c>
      <x:c r="E3047" t="str">
        <x:v>PH-CR-241</x:v>
      </x:c>
      <x:c r="F3047" t="str">
        <x:f>'Trial Register'!V247</x:f>
      </x:c>
      <x:c r="G3047" t="n">
        <x:v>1</x:v>
      </x:c>
      <x:c r="H3047" t="str">
        <x:v>independent physical acceptance</x:v>
      </x:c>
      <x:c r="I3047" t="str">
        <x:f>IF(F3047=1,"PASS","OPEN")</x:f>
        <x:v>OPEN</x:v>
      </x:c>
    </x:row>
    <x:row r="3048">
      <x:c r="B3048" t="str">
        <x:v>PH-EX-242</x:v>
      </x:c>
      <x:c r="C3048" t="str">
        <x:v>PHYSICAL</x:v>
      </x:c>
      <x:c r="D3048" t="str">
        <x:v>trial execution</x:v>
      </x:c>
      <x:c r="E3048" t="str">
        <x:v>PH-EX-242</x:v>
      </x:c>
      <x:c r="F3048" t="n">
        <x:f>IF('Trial Register'!P248&lt;&gt;"",1,0)</x:f>
        <x:v>0</x:v>
      </x:c>
      <x:c r="G3048" t="n">
        <x:v>1</x:v>
      </x:c>
      <x:c r="H3048" t="str">
        <x:v>independent physical acceptance</x:v>
      </x:c>
      <x:c r="I3048" t="str">
        <x:f>IF(F3048=1,"PASS","OPEN")</x:f>
        <x:v>OPEN</x:v>
      </x:c>
    </x:row>
    <x:row r="3049">
      <x:c r="B3049" t="str">
        <x:v>PH-PK-242</x:v>
      </x:c>
      <x:c r="C3049" t="str">
        <x:v>PHYSICAL</x:v>
      </x:c>
      <x:c r="D3049" t="str">
        <x:v>trial packet</x:v>
      </x:c>
      <x:c r="E3049" t="str">
        <x:v>PH-PK-242</x:v>
      </x:c>
      <x:c r="F3049" t="n">
        <x:f>IF('Trial Register'!Q248&lt;&gt;"",1,0)</x:f>
        <x:v>0</x:v>
      </x:c>
      <x:c r="G3049" t="n">
        <x:v>1</x:v>
      </x:c>
      <x:c r="H3049" t="str">
        <x:v>independent physical acceptance</x:v>
      </x:c>
      <x:c r="I3049" t="str">
        <x:f>IF(F3049=1,"PASS","OPEN")</x:f>
        <x:v>OPEN</x:v>
      </x:c>
    </x:row>
    <x:row r="3050">
      <x:c r="B3050" t="str">
        <x:v>PH-VA-242</x:v>
      </x:c>
      <x:c r="C3050" t="str">
        <x:v>PHYSICAL</x:v>
      </x:c>
      <x:c r="D3050" t="str">
        <x:v>trial validity</x:v>
      </x:c>
      <x:c r="E3050" t="str">
        <x:v>PH-VA-242</x:v>
      </x:c>
      <x:c r="F3050" t="n">
        <x:f>IF('Trial Register'!R248&lt;&gt;"",1,0)</x:f>
        <x:v>0</x:v>
      </x:c>
      <x:c r="G3050" t="n">
        <x:v>1</x:v>
      </x:c>
      <x:c r="H3050" t="str">
        <x:v>independent physical acceptance</x:v>
      </x:c>
      <x:c r="I3050" t="str">
        <x:f>IF(F3050=1,"PASS","OPEN")</x:f>
        <x:v>OPEN</x:v>
      </x:c>
    </x:row>
    <x:row r="3051">
      <x:c r="B3051" t="str">
        <x:v>PH-RV-242</x:v>
      </x:c>
      <x:c r="C3051" t="str">
        <x:v>PHYSICAL</x:v>
      </x:c>
      <x:c r="D3051" t="str">
        <x:v>reported value</x:v>
      </x:c>
      <x:c r="E3051" t="str">
        <x:v>PH-RV-242</x:v>
      </x:c>
      <x:c r="F3051" t="n">
        <x:f>IF('Trial Register'!S248&lt;&gt;"",1,0)</x:f>
        <x:v>0</x:v>
      </x:c>
      <x:c r="G3051" t="n">
        <x:v>1</x:v>
      </x:c>
      <x:c r="H3051" t="str">
        <x:v>independent physical acceptance</x:v>
      </x:c>
      <x:c r="I3051" t="str">
        <x:f>IF(F3051=1,"PASS","OPEN")</x:f>
        <x:v>OPEN</x:v>
      </x:c>
    </x:row>
    <x:row r="3052">
      <x:c r="B3052" t="str">
        <x:v>PH-CR-242</x:v>
      </x:c>
      <x:c r="C3052" t="str">
        <x:v>PHYSICAL</x:v>
      </x:c>
      <x:c r="D3052" t="str">
        <x:v>credit acceptance</x:v>
      </x:c>
      <x:c r="E3052" t="str">
        <x:v>PH-CR-242</x:v>
      </x:c>
      <x:c r="F3052" t="str">
        <x:f>'Trial Register'!V248</x:f>
      </x:c>
      <x:c r="G3052" t="n">
        <x:v>1</x:v>
      </x:c>
      <x:c r="H3052" t="str">
        <x:v>independent physical acceptance</x:v>
      </x:c>
      <x:c r="I3052" t="str">
        <x:f>IF(F3052=1,"PASS","OPEN")</x:f>
        <x:v>OPEN</x:v>
      </x:c>
    </x:row>
    <x:row r="3053">
      <x:c r="B3053" t="str">
        <x:v>PH-EX-243</x:v>
      </x:c>
      <x:c r="C3053" t="str">
        <x:v>PHYSICAL</x:v>
      </x:c>
      <x:c r="D3053" t="str">
        <x:v>trial execution</x:v>
      </x:c>
      <x:c r="E3053" t="str">
        <x:v>PH-EX-243</x:v>
      </x:c>
      <x:c r="F3053" t="n">
        <x:f>IF('Trial Register'!P249&lt;&gt;"",1,0)</x:f>
        <x:v>0</x:v>
      </x:c>
      <x:c r="G3053" t="n">
        <x:v>1</x:v>
      </x:c>
      <x:c r="H3053" t="str">
        <x:v>independent physical acceptance</x:v>
      </x:c>
      <x:c r="I3053" t="str">
        <x:f>IF(F3053=1,"PASS","OPEN")</x:f>
        <x:v>OPEN</x:v>
      </x:c>
    </x:row>
    <x:row r="3054">
      <x:c r="B3054" t="str">
        <x:v>PH-PK-243</x:v>
      </x:c>
      <x:c r="C3054" t="str">
        <x:v>PHYSICAL</x:v>
      </x:c>
      <x:c r="D3054" t="str">
        <x:v>trial packet</x:v>
      </x:c>
      <x:c r="E3054" t="str">
        <x:v>PH-PK-243</x:v>
      </x:c>
      <x:c r="F3054" t="n">
        <x:f>IF('Trial Register'!Q249&lt;&gt;"",1,0)</x:f>
        <x:v>0</x:v>
      </x:c>
      <x:c r="G3054" t="n">
        <x:v>1</x:v>
      </x:c>
      <x:c r="H3054" t="str">
        <x:v>independent physical acceptance</x:v>
      </x:c>
      <x:c r="I3054" t="str">
        <x:f>IF(F3054=1,"PASS","OPEN")</x:f>
        <x:v>OPEN</x:v>
      </x:c>
    </x:row>
    <x:row r="3055">
      <x:c r="B3055" t="str">
        <x:v>PH-VA-243</x:v>
      </x:c>
      <x:c r="C3055" t="str">
        <x:v>PHYSICAL</x:v>
      </x:c>
      <x:c r="D3055" t="str">
        <x:v>trial validity</x:v>
      </x:c>
      <x:c r="E3055" t="str">
        <x:v>PH-VA-243</x:v>
      </x:c>
      <x:c r="F3055" t="n">
        <x:f>IF('Trial Register'!R249&lt;&gt;"",1,0)</x:f>
        <x:v>0</x:v>
      </x:c>
      <x:c r="G3055" t="n">
        <x:v>1</x:v>
      </x:c>
      <x:c r="H3055" t="str">
        <x:v>independent physical acceptance</x:v>
      </x:c>
      <x:c r="I3055" t="str">
        <x:f>IF(F3055=1,"PASS","OPEN")</x:f>
        <x:v>OPEN</x:v>
      </x:c>
    </x:row>
    <x:row r="3056">
      <x:c r="B3056" t="str">
        <x:v>PH-RV-243</x:v>
      </x:c>
      <x:c r="C3056" t="str">
        <x:v>PHYSICAL</x:v>
      </x:c>
      <x:c r="D3056" t="str">
        <x:v>reported value</x:v>
      </x:c>
      <x:c r="E3056" t="str">
        <x:v>PH-RV-243</x:v>
      </x:c>
      <x:c r="F3056" t="n">
        <x:f>IF('Trial Register'!S249&lt;&gt;"",1,0)</x:f>
        <x:v>0</x:v>
      </x:c>
      <x:c r="G3056" t="n">
        <x:v>1</x:v>
      </x:c>
      <x:c r="H3056" t="str">
        <x:v>independent physical acceptance</x:v>
      </x:c>
      <x:c r="I3056" t="str">
        <x:f>IF(F3056=1,"PASS","OPEN")</x:f>
        <x:v>OPEN</x:v>
      </x:c>
    </x:row>
    <x:row r="3057">
      <x:c r="B3057" t="str">
        <x:v>PH-CR-243</x:v>
      </x:c>
      <x:c r="C3057" t="str">
        <x:v>PHYSICAL</x:v>
      </x:c>
      <x:c r="D3057" t="str">
        <x:v>credit acceptance</x:v>
      </x:c>
      <x:c r="E3057" t="str">
        <x:v>PH-CR-243</x:v>
      </x:c>
      <x:c r="F3057" t="str">
        <x:f>'Trial Register'!V249</x:f>
      </x:c>
      <x:c r="G3057" t="n">
        <x:v>1</x:v>
      </x:c>
      <x:c r="H3057" t="str">
        <x:v>independent physical acceptance</x:v>
      </x:c>
      <x:c r="I3057" t="str">
        <x:f>IF(F3057=1,"PASS","OPEN")</x:f>
        <x:v>OPEN</x:v>
      </x:c>
    </x:row>
    <x:row r="3058">
      <x:c r="B3058" t="str">
        <x:v>PH-EX-244</x:v>
      </x:c>
      <x:c r="C3058" t="str">
        <x:v>PHYSICAL</x:v>
      </x:c>
      <x:c r="D3058" t="str">
        <x:v>trial execution</x:v>
      </x:c>
      <x:c r="E3058" t="str">
        <x:v>PH-EX-244</x:v>
      </x:c>
      <x:c r="F3058" t="n">
        <x:f>IF('Trial Register'!P250&lt;&gt;"",1,0)</x:f>
        <x:v>0</x:v>
      </x:c>
      <x:c r="G3058" t="n">
        <x:v>1</x:v>
      </x:c>
      <x:c r="H3058" t="str">
        <x:v>independent physical acceptance</x:v>
      </x:c>
      <x:c r="I3058" t="str">
        <x:f>IF(F3058=1,"PASS","OPEN")</x:f>
        <x:v>OPEN</x:v>
      </x:c>
    </x:row>
    <x:row r="3059">
      <x:c r="B3059" t="str">
        <x:v>PH-PK-244</x:v>
      </x:c>
      <x:c r="C3059" t="str">
        <x:v>PHYSICAL</x:v>
      </x:c>
      <x:c r="D3059" t="str">
        <x:v>trial packet</x:v>
      </x:c>
      <x:c r="E3059" t="str">
        <x:v>PH-PK-244</x:v>
      </x:c>
      <x:c r="F3059" t="n">
        <x:f>IF('Trial Register'!Q250&lt;&gt;"",1,0)</x:f>
        <x:v>0</x:v>
      </x:c>
      <x:c r="G3059" t="n">
        <x:v>1</x:v>
      </x:c>
      <x:c r="H3059" t="str">
        <x:v>independent physical acceptance</x:v>
      </x:c>
      <x:c r="I3059" t="str">
        <x:f>IF(F3059=1,"PASS","OPEN")</x:f>
        <x:v>OPEN</x:v>
      </x:c>
    </x:row>
    <x:row r="3060">
      <x:c r="B3060" t="str">
        <x:v>PH-VA-244</x:v>
      </x:c>
      <x:c r="C3060" t="str">
        <x:v>PHYSICAL</x:v>
      </x:c>
      <x:c r="D3060" t="str">
        <x:v>trial validity</x:v>
      </x:c>
      <x:c r="E3060" t="str">
        <x:v>PH-VA-244</x:v>
      </x:c>
      <x:c r="F3060" t="n">
        <x:f>IF('Trial Register'!R250&lt;&gt;"",1,0)</x:f>
        <x:v>0</x:v>
      </x:c>
      <x:c r="G3060" t="n">
        <x:v>1</x:v>
      </x:c>
      <x:c r="H3060" t="str">
        <x:v>independent physical acceptance</x:v>
      </x:c>
      <x:c r="I3060" t="str">
        <x:f>IF(F3060=1,"PASS","OPEN")</x:f>
        <x:v>OPEN</x:v>
      </x:c>
    </x:row>
    <x:row r="3061">
      <x:c r="B3061" t="str">
        <x:v>PH-RV-244</x:v>
      </x:c>
      <x:c r="C3061" t="str">
        <x:v>PHYSICAL</x:v>
      </x:c>
      <x:c r="D3061" t="str">
        <x:v>reported value</x:v>
      </x:c>
      <x:c r="E3061" t="str">
        <x:v>PH-RV-244</x:v>
      </x:c>
      <x:c r="F3061" t="n">
        <x:f>IF('Trial Register'!S250&lt;&gt;"",1,0)</x:f>
        <x:v>0</x:v>
      </x:c>
      <x:c r="G3061" t="n">
        <x:v>1</x:v>
      </x:c>
      <x:c r="H3061" t="str">
        <x:v>independent physical acceptance</x:v>
      </x:c>
      <x:c r="I3061" t="str">
        <x:f>IF(F3061=1,"PASS","OPEN")</x:f>
        <x:v>OPEN</x:v>
      </x:c>
    </x:row>
    <x:row r="3062">
      <x:c r="B3062" t="str">
        <x:v>PH-CR-244</x:v>
      </x:c>
      <x:c r="C3062" t="str">
        <x:v>PHYSICAL</x:v>
      </x:c>
      <x:c r="D3062" t="str">
        <x:v>credit acceptance</x:v>
      </x:c>
      <x:c r="E3062" t="str">
        <x:v>PH-CR-244</x:v>
      </x:c>
      <x:c r="F3062" t="str">
        <x:f>'Trial Register'!V250</x:f>
      </x:c>
      <x:c r="G3062" t="n">
        <x:v>1</x:v>
      </x:c>
      <x:c r="H3062" t="str">
        <x:v>independent physical acceptance</x:v>
      </x:c>
      <x:c r="I3062" t="str">
        <x:f>IF(F3062=1,"PASS","OPEN")</x:f>
        <x:v>OPEN</x:v>
      </x:c>
    </x:row>
    <x:row r="3063">
      <x:c r="B3063" t="str">
        <x:v>PH-EX-245</x:v>
      </x:c>
      <x:c r="C3063" t="str">
        <x:v>PHYSICAL</x:v>
      </x:c>
      <x:c r="D3063" t="str">
        <x:v>trial execution</x:v>
      </x:c>
      <x:c r="E3063" t="str">
        <x:v>PH-EX-245</x:v>
      </x:c>
      <x:c r="F3063" t="n">
        <x:f>IF('Trial Register'!P251&lt;&gt;"",1,0)</x:f>
        <x:v>0</x:v>
      </x:c>
      <x:c r="G3063" t="n">
        <x:v>1</x:v>
      </x:c>
      <x:c r="H3063" t="str">
        <x:v>independent physical acceptance</x:v>
      </x:c>
      <x:c r="I3063" t="str">
        <x:f>IF(F3063=1,"PASS","OPEN")</x:f>
        <x:v>OPEN</x:v>
      </x:c>
    </x:row>
    <x:row r="3064">
      <x:c r="B3064" t="str">
        <x:v>PH-PK-245</x:v>
      </x:c>
      <x:c r="C3064" t="str">
        <x:v>PHYSICAL</x:v>
      </x:c>
      <x:c r="D3064" t="str">
        <x:v>trial packet</x:v>
      </x:c>
      <x:c r="E3064" t="str">
        <x:v>PH-PK-245</x:v>
      </x:c>
      <x:c r="F3064" t="n">
        <x:f>IF('Trial Register'!Q251&lt;&gt;"",1,0)</x:f>
        <x:v>0</x:v>
      </x:c>
      <x:c r="G3064" t="n">
        <x:v>1</x:v>
      </x:c>
      <x:c r="H3064" t="str">
        <x:v>independent physical acceptance</x:v>
      </x:c>
      <x:c r="I3064" t="str">
        <x:f>IF(F3064=1,"PASS","OPEN")</x:f>
        <x:v>OPEN</x:v>
      </x:c>
    </x:row>
    <x:row r="3065">
      <x:c r="B3065" t="str">
        <x:v>PH-VA-245</x:v>
      </x:c>
      <x:c r="C3065" t="str">
        <x:v>PHYSICAL</x:v>
      </x:c>
      <x:c r="D3065" t="str">
        <x:v>trial validity</x:v>
      </x:c>
      <x:c r="E3065" t="str">
        <x:v>PH-VA-245</x:v>
      </x:c>
      <x:c r="F3065" t="n">
        <x:f>IF('Trial Register'!R251&lt;&gt;"",1,0)</x:f>
        <x:v>0</x:v>
      </x:c>
      <x:c r="G3065" t="n">
        <x:v>1</x:v>
      </x:c>
      <x:c r="H3065" t="str">
        <x:v>independent physical acceptance</x:v>
      </x:c>
      <x:c r="I3065" t="str">
        <x:f>IF(F3065=1,"PASS","OPEN")</x:f>
        <x:v>OPEN</x:v>
      </x:c>
    </x:row>
    <x:row r="3066">
      <x:c r="B3066" t="str">
        <x:v>PH-RV-245</x:v>
      </x:c>
      <x:c r="C3066" t="str">
        <x:v>PHYSICAL</x:v>
      </x:c>
      <x:c r="D3066" t="str">
        <x:v>reported value</x:v>
      </x:c>
      <x:c r="E3066" t="str">
        <x:v>PH-RV-245</x:v>
      </x:c>
      <x:c r="F3066" t="n">
        <x:f>IF('Trial Register'!S251&lt;&gt;"",1,0)</x:f>
        <x:v>0</x:v>
      </x:c>
      <x:c r="G3066" t="n">
        <x:v>1</x:v>
      </x:c>
      <x:c r="H3066" t="str">
        <x:v>independent physical acceptance</x:v>
      </x:c>
      <x:c r="I3066" t="str">
        <x:f>IF(F3066=1,"PASS","OPEN")</x:f>
        <x:v>OPEN</x:v>
      </x:c>
    </x:row>
    <x:row r="3067">
      <x:c r="B3067" t="str">
        <x:v>PH-CR-245</x:v>
      </x:c>
      <x:c r="C3067" t="str">
        <x:v>PHYSICAL</x:v>
      </x:c>
      <x:c r="D3067" t="str">
        <x:v>credit acceptance</x:v>
      </x:c>
      <x:c r="E3067" t="str">
        <x:v>PH-CR-245</x:v>
      </x:c>
      <x:c r="F3067" t="str">
        <x:f>'Trial Register'!V251</x:f>
      </x:c>
      <x:c r="G3067" t="n">
        <x:v>1</x:v>
      </x:c>
      <x:c r="H3067" t="str">
        <x:v>independent physical acceptance</x:v>
      </x:c>
      <x:c r="I3067" t="str">
        <x:f>IF(F3067=1,"PASS","OPEN")</x:f>
        <x:v>OPEN</x:v>
      </x:c>
    </x:row>
    <x:row r="3068">
      <x:c r="B3068" t="str">
        <x:v>PH-EX-246</x:v>
      </x:c>
      <x:c r="C3068" t="str">
        <x:v>PHYSICAL</x:v>
      </x:c>
      <x:c r="D3068" t="str">
        <x:v>trial execution</x:v>
      </x:c>
      <x:c r="E3068" t="str">
        <x:v>PH-EX-246</x:v>
      </x:c>
      <x:c r="F3068" t="n">
        <x:f>IF('Trial Register'!P252&lt;&gt;"",1,0)</x:f>
        <x:v>0</x:v>
      </x:c>
      <x:c r="G3068" t="n">
        <x:v>1</x:v>
      </x:c>
      <x:c r="H3068" t="str">
        <x:v>independent physical acceptance</x:v>
      </x:c>
      <x:c r="I3068" t="str">
        <x:f>IF(F3068=1,"PASS","OPEN")</x:f>
        <x:v>OPEN</x:v>
      </x:c>
    </x:row>
    <x:row r="3069">
      <x:c r="B3069" t="str">
        <x:v>PH-PK-246</x:v>
      </x:c>
      <x:c r="C3069" t="str">
        <x:v>PHYSICAL</x:v>
      </x:c>
      <x:c r="D3069" t="str">
        <x:v>trial packet</x:v>
      </x:c>
      <x:c r="E3069" t="str">
        <x:v>PH-PK-246</x:v>
      </x:c>
      <x:c r="F3069" t="n">
        <x:f>IF('Trial Register'!Q252&lt;&gt;"",1,0)</x:f>
        <x:v>0</x:v>
      </x:c>
      <x:c r="G3069" t="n">
        <x:v>1</x:v>
      </x:c>
      <x:c r="H3069" t="str">
        <x:v>independent physical acceptance</x:v>
      </x:c>
      <x:c r="I3069" t="str">
        <x:f>IF(F3069=1,"PASS","OPEN")</x:f>
        <x:v>OPEN</x:v>
      </x:c>
    </x:row>
    <x:row r="3070">
      <x:c r="B3070" t="str">
        <x:v>PH-VA-246</x:v>
      </x:c>
      <x:c r="C3070" t="str">
        <x:v>PHYSICAL</x:v>
      </x:c>
      <x:c r="D3070" t="str">
        <x:v>trial validity</x:v>
      </x:c>
      <x:c r="E3070" t="str">
        <x:v>PH-VA-246</x:v>
      </x:c>
      <x:c r="F3070" t="n">
        <x:f>IF('Trial Register'!R252&lt;&gt;"",1,0)</x:f>
        <x:v>0</x:v>
      </x:c>
      <x:c r="G3070" t="n">
        <x:v>1</x:v>
      </x:c>
      <x:c r="H3070" t="str">
        <x:v>independent physical acceptance</x:v>
      </x:c>
      <x:c r="I3070" t="str">
        <x:f>IF(F3070=1,"PASS","OPEN")</x:f>
        <x:v>OPEN</x:v>
      </x:c>
    </x:row>
    <x:row r="3071">
      <x:c r="B3071" t="str">
        <x:v>PH-RV-246</x:v>
      </x:c>
      <x:c r="C3071" t="str">
        <x:v>PHYSICAL</x:v>
      </x:c>
      <x:c r="D3071" t="str">
        <x:v>reported value</x:v>
      </x:c>
      <x:c r="E3071" t="str">
        <x:v>PH-RV-246</x:v>
      </x:c>
      <x:c r="F3071" t="n">
        <x:f>IF('Trial Register'!S252&lt;&gt;"",1,0)</x:f>
        <x:v>0</x:v>
      </x:c>
      <x:c r="G3071" t="n">
        <x:v>1</x:v>
      </x:c>
      <x:c r="H3071" t="str">
        <x:v>independent physical acceptance</x:v>
      </x:c>
      <x:c r="I3071" t="str">
        <x:f>IF(F3071=1,"PASS","OPEN")</x:f>
        <x:v>OPEN</x:v>
      </x:c>
    </x:row>
    <x:row r="3072">
      <x:c r="B3072" t="str">
        <x:v>PH-CR-246</x:v>
      </x:c>
      <x:c r="C3072" t="str">
        <x:v>PHYSICAL</x:v>
      </x:c>
      <x:c r="D3072" t="str">
        <x:v>credit acceptance</x:v>
      </x:c>
      <x:c r="E3072" t="str">
        <x:v>PH-CR-246</x:v>
      </x:c>
      <x:c r="F3072" t="str">
        <x:f>'Trial Register'!V252</x:f>
      </x:c>
      <x:c r="G3072" t="n">
        <x:v>1</x:v>
      </x:c>
      <x:c r="H3072" t="str">
        <x:v>independent physical acceptance</x:v>
      </x:c>
      <x:c r="I3072" t="str">
        <x:f>IF(F3072=1,"PASS","OPEN")</x:f>
        <x:v>OPEN</x:v>
      </x:c>
    </x:row>
    <x:row r="3073">
      <x:c r="B3073" t="str">
        <x:v>PH-EX-247</x:v>
      </x:c>
      <x:c r="C3073" t="str">
        <x:v>PHYSICAL</x:v>
      </x:c>
      <x:c r="D3073" t="str">
        <x:v>trial execution</x:v>
      </x:c>
      <x:c r="E3073" t="str">
        <x:v>PH-EX-247</x:v>
      </x:c>
      <x:c r="F3073" t="n">
        <x:f>IF('Trial Register'!P253&lt;&gt;"",1,0)</x:f>
        <x:v>0</x:v>
      </x:c>
      <x:c r="G3073" t="n">
        <x:v>1</x:v>
      </x:c>
      <x:c r="H3073" t="str">
        <x:v>independent physical acceptance</x:v>
      </x:c>
      <x:c r="I3073" t="str">
        <x:f>IF(F3073=1,"PASS","OPEN")</x:f>
        <x:v>OPEN</x:v>
      </x:c>
    </x:row>
    <x:row r="3074">
      <x:c r="B3074" t="str">
        <x:v>PH-PK-247</x:v>
      </x:c>
      <x:c r="C3074" t="str">
        <x:v>PHYSICAL</x:v>
      </x:c>
      <x:c r="D3074" t="str">
        <x:v>trial packet</x:v>
      </x:c>
      <x:c r="E3074" t="str">
        <x:v>PH-PK-247</x:v>
      </x:c>
      <x:c r="F3074" t="n">
        <x:f>IF('Trial Register'!Q253&lt;&gt;"",1,0)</x:f>
        <x:v>0</x:v>
      </x:c>
      <x:c r="G3074" t="n">
        <x:v>1</x:v>
      </x:c>
      <x:c r="H3074" t="str">
        <x:v>independent physical acceptance</x:v>
      </x:c>
      <x:c r="I3074" t="str">
        <x:f>IF(F3074=1,"PASS","OPEN")</x:f>
        <x:v>OPEN</x:v>
      </x:c>
    </x:row>
    <x:row r="3075">
      <x:c r="B3075" t="str">
        <x:v>PH-VA-247</x:v>
      </x:c>
      <x:c r="C3075" t="str">
        <x:v>PHYSICAL</x:v>
      </x:c>
      <x:c r="D3075" t="str">
        <x:v>trial validity</x:v>
      </x:c>
      <x:c r="E3075" t="str">
        <x:v>PH-VA-247</x:v>
      </x:c>
      <x:c r="F3075" t="n">
        <x:f>IF('Trial Register'!R253&lt;&gt;"",1,0)</x:f>
        <x:v>0</x:v>
      </x:c>
      <x:c r="G3075" t="n">
        <x:v>1</x:v>
      </x:c>
      <x:c r="H3075" t="str">
        <x:v>independent physical acceptance</x:v>
      </x:c>
      <x:c r="I3075" t="str">
        <x:f>IF(F3075=1,"PASS","OPEN")</x:f>
        <x:v>OPEN</x:v>
      </x:c>
    </x:row>
    <x:row r="3076">
      <x:c r="B3076" t="str">
        <x:v>PH-RV-247</x:v>
      </x:c>
      <x:c r="C3076" t="str">
        <x:v>PHYSICAL</x:v>
      </x:c>
      <x:c r="D3076" t="str">
        <x:v>reported value</x:v>
      </x:c>
      <x:c r="E3076" t="str">
        <x:v>PH-RV-247</x:v>
      </x:c>
      <x:c r="F3076" t="n">
        <x:f>IF('Trial Register'!S253&lt;&gt;"",1,0)</x:f>
        <x:v>0</x:v>
      </x:c>
      <x:c r="G3076" t="n">
        <x:v>1</x:v>
      </x:c>
      <x:c r="H3076" t="str">
        <x:v>independent physical acceptance</x:v>
      </x:c>
      <x:c r="I3076" t="str">
        <x:f>IF(F3076=1,"PASS","OPEN")</x:f>
        <x:v>OPEN</x:v>
      </x:c>
    </x:row>
    <x:row r="3077">
      <x:c r="B3077" t="str">
        <x:v>PH-CR-247</x:v>
      </x:c>
      <x:c r="C3077" t="str">
        <x:v>PHYSICAL</x:v>
      </x:c>
      <x:c r="D3077" t="str">
        <x:v>credit acceptance</x:v>
      </x:c>
      <x:c r="E3077" t="str">
        <x:v>PH-CR-247</x:v>
      </x:c>
      <x:c r="F3077" t="str">
        <x:f>'Trial Register'!V253</x:f>
      </x:c>
      <x:c r="G3077" t="n">
        <x:v>1</x:v>
      </x:c>
      <x:c r="H3077" t="str">
        <x:v>independent physical acceptance</x:v>
      </x:c>
      <x:c r="I3077" t="str">
        <x:f>IF(F3077=1,"PASS","OPEN")</x:f>
        <x:v>OPEN</x:v>
      </x:c>
    </x:row>
    <x:row r="3078">
      <x:c r="B3078" t="str">
        <x:v>PH-EX-248</x:v>
      </x:c>
      <x:c r="C3078" t="str">
        <x:v>PHYSICAL</x:v>
      </x:c>
      <x:c r="D3078" t="str">
        <x:v>trial execution</x:v>
      </x:c>
      <x:c r="E3078" t="str">
        <x:v>PH-EX-248</x:v>
      </x:c>
      <x:c r="F3078" t="n">
        <x:f>IF('Trial Register'!P254&lt;&gt;"",1,0)</x:f>
        <x:v>0</x:v>
      </x:c>
      <x:c r="G3078" t="n">
        <x:v>1</x:v>
      </x:c>
      <x:c r="H3078" t="str">
        <x:v>independent physical acceptance</x:v>
      </x:c>
      <x:c r="I3078" t="str">
        <x:f>IF(F3078=1,"PASS","OPEN")</x:f>
        <x:v>OPEN</x:v>
      </x:c>
    </x:row>
    <x:row r="3079">
      <x:c r="B3079" t="str">
        <x:v>PH-PK-248</x:v>
      </x:c>
      <x:c r="C3079" t="str">
        <x:v>PHYSICAL</x:v>
      </x:c>
      <x:c r="D3079" t="str">
        <x:v>trial packet</x:v>
      </x:c>
      <x:c r="E3079" t="str">
        <x:v>PH-PK-248</x:v>
      </x:c>
      <x:c r="F3079" t="n">
        <x:f>IF('Trial Register'!Q254&lt;&gt;"",1,0)</x:f>
        <x:v>0</x:v>
      </x:c>
      <x:c r="G3079" t="n">
        <x:v>1</x:v>
      </x:c>
      <x:c r="H3079" t="str">
        <x:v>independent physical acceptance</x:v>
      </x:c>
      <x:c r="I3079" t="str">
        <x:f>IF(F3079=1,"PASS","OPEN")</x:f>
        <x:v>OPEN</x:v>
      </x:c>
    </x:row>
    <x:row r="3080">
      <x:c r="B3080" t="str">
        <x:v>PH-VA-248</x:v>
      </x:c>
      <x:c r="C3080" t="str">
        <x:v>PHYSICAL</x:v>
      </x:c>
      <x:c r="D3080" t="str">
        <x:v>trial validity</x:v>
      </x:c>
      <x:c r="E3080" t="str">
        <x:v>PH-VA-248</x:v>
      </x:c>
      <x:c r="F3080" t="n">
        <x:f>IF('Trial Register'!R254&lt;&gt;"",1,0)</x:f>
        <x:v>0</x:v>
      </x:c>
      <x:c r="G3080" t="n">
        <x:v>1</x:v>
      </x:c>
      <x:c r="H3080" t="str">
        <x:v>independent physical acceptance</x:v>
      </x:c>
      <x:c r="I3080" t="str">
        <x:f>IF(F3080=1,"PASS","OPEN")</x:f>
        <x:v>OPEN</x:v>
      </x:c>
    </x:row>
    <x:row r="3081">
      <x:c r="B3081" t="str">
        <x:v>PH-RV-248</x:v>
      </x:c>
      <x:c r="C3081" t="str">
        <x:v>PHYSICAL</x:v>
      </x:c>
      <x:c r="D3081" t="str">
        <x:v>reported value</x:v>
      </x:c>
      <x:c r="E3081" t="str">
        <x:v>PH-RV-248</x:v>
      </x:c>
      <x:c r="F3081" t="n">
        <x:f>IF('Trial Register'!S254&lt;&gt;"",1,0)</x:f>
        <x:v>0</x:v>
      </x:c>
      <x:c r="G3081" t="n">
        <x:v>1</x:v>
      </x:c>
      <x:c r="H3081" t="str">
        <x:v>independent physical acceptance</x:v>
      </x:c>
      <x:c r="I3081" t="str">
        <x:f>IF(F3081=1,"PASS","OPEN")</x:f>
        <x:v>OPEN</x:v>
      </x:c>
    </x:row>
    <x:row r="3082">
      <x:c r="B3082" t="str">
        <x:v>PH-CR-248</x:v>
      </x:c>
      <x:c r="C3082" t="str">
        <x:v>PHYSICAL</x:v>
      </x:c>
      <x:c r="D3082" t="str">
        <x:v>credit acceptance</x:v>
      </x:c>
      <x:c r="E3082" t="str">
        <x:v>PH-CR-248</x:v>
      </x:c>
      <x:c r="F3082" t="str">
        <x:f>'Trial Register'!V254</x:f>
      </x:c>
      <x:c r="G3082" t="n">
        <x:v>1</x:v>
      </x:c>
      <x:c r="H3082" t="str">
        <x:v>independent physical acceptance</x:v>
      </x:c>
      <x:c r="I3082" t="str">
        <x:f>IF(F3082=1,"PASS","OPEN")</x:f>
        <x:v>OPEN</x:v>
      </x:c>
    </x:row>
    <x:row r="3083">
      <x:c r="B3083" t="str">
        <x:v>PH-EX-249</x:v>
      </x:c>
      <x:c r="C3083" t="str">
        <x:v>PHYSICAL</x:v>
      </x:c>
      <x:c r="D3083" t="str">
        <x:v>trial execution</x:v>
      </x:c>
      <x:c r="E3083" t="str">
        <x:v>PH-EX-249</x:v>
      </x:c>
      <x:c r="F3083" t="n">
        <x:f>IF('Trial Register'!P255&lt;&gt;"",1,0)</x:f>
        <x:v>0</x:v>
      </x:c>
      <x:c r="G3083" t="n">
        <x:v>1</x:v>
      </x:c>
      <x:c r="H3083" t="str">
        <x:v>independent physical acceptance</x:v>
      </x:c>
      <x:c r="I3083" t="str">
        <x:f>IF(F3083=1,"PASS","OPEN")</x:f>
        <x:v>OPEN</x:v>
      </x:c>
    </x:row>
    <x:row r="3084">
      <x:c r="B3084" t="str">
        <x:v>PH-PK-249</x:v>
      </x:c>
      <x:c r="C3084" t="str">
        <x:v>PHYSICAL</x:v>
      </x:c>
      <x:c r="D3084" t="str">
        <x:v>trial packet</x:v>
      </x:c>
      <x:c r="E3084" t="str">
        <x:v>PH-PK-249</x:v>
      </x:c>
      <x:c r="F3084" t="n">
        <x:f>IF('Trial Register'!Q255&lt;&gt;"",1,0)</x:f>
        <x:v>0</x:v>
      </x:c>
      <x:c r="G3084" t="n">
        <x:v>1</x:v>
      </x:c>
      <x:c r="H3084" t="str">
        <x:v>independent physical acceptance</x:v>
      </x:c>
      <x:c r="I3084" t="str">
        <x:f>IF(F3084=1,"PASS","OPEN")</x:f>
        <x:v>OPEN</x:v>
      </x:c>
    </x:row>
    <x:row r="3085">
      <x:c r="B3085" t="str">
        <x:v>PH-VA-249</x:v>
      </x:c>
      <x:c r="C3085" t="str">
        <x:v>PHYSICAL</x:v>
      </x:c>
      <x:c r="D3085" t="str">
        <x:v>trial validity</x:v>
      </x:c>
      <x:c r="E3085" t="str">
        <x:v>PH-VA-249</x:v>
      </x:c>
      <x:c r="F3085" t="n">
        <x:f>IF('Trial Register'!R255&lt;&gt;"",1,0)</x:f>
        <x:v>0</x:v>
      </x:c>
      <x:c r="G3085" t="n">
        <x:v>1</x:v>
      </x:c>
      <x:c r="H3085" t="str">
        <x:v>independent physical acceptance</x:v>
      </x:c>
      <x:c r="I3085" t="str">
        <x:f>IF(F3085=1,"PASS","OPEN")</x:f>
        <x:v>OPEN</x:v>
      </x:c>
    </x:row>
    <x:row r="3086">
      <x:c r="B3086" t="str">
        <x:v>PH-RV-249</x:v>
      </x:c>
      <x:c r="C3086" t="str">
        <x:v>PHYSICAL</x:v>
      </x:c>
      <x:c r="D3086" t="str">
        <x:v>reported value</x:v>
      </x:c>
      <x:c r="E3086" t="str">
        <x:v>PH-RV-249</x:v>
      </x:c>
      <x:c r="F3086" t="n">
        <x:f>IF('Trial Register'!S255&lt;&gt;"",1,0)</x:f>
        <x:v>0</x:v>
      </x:c>
      <x:c r="G3086" t="n">
        <x:v>1</x:v>
      </x:c>
      <x:c r="H3086" t="str">
        <x:v>independent physical acceptance</x:v>
      </x:c>
      <x:c r="I3086" t="str">
        <x:f>IF(F3086=1,"PASS","OPEN")</x:f>
        <x:v>OPEN</x:v>
      </x:c>
    </x:row>
    <x:row r="3087">
      <x:c r="B3087" t="str">
        <x:v>PH-CR-249</x:v>
      </x:c>
      <x:c r="C3087" t="str">
        <x:v>PHYSICAL</x:v>
      </x:c>
      <x:c r="D3087" t="str">
        <x:v>credit acceptance</x:v>
      </x:c>
      <x:c r="E3087" t="str">
        <x:v>PH-CR-249</x:v>
      </x:c>
      <x:c r="F3087" t="str">
        <x:f>'Trial Register'!V255</x:f>
      </x:c>
      <x:c r="G3087" t="n">
        <x:v>1</x:v>
      </x:c>
      <x:c r="H3087" t="str">
        <x:v>independent physical acceptance</x:v>
      </x:c>
      <x:c r="I3087" t="str">
        <x:f>IF(F3087=1,"PASS","OPEN")</x:f>
        <x:v>OPEN</x:v>
      </x:c>
    </x:row>
    <x:row r="3088">
      <x:c r="B3088" t="str">
        <x:v>PH-EX-250</x:v>
      </x:c>
      <x:c r="C3088" t="str">
        <x:v>PHYSICAL</x:v>
      </x:c>
      <x:c r="D3088" t="str">
        <x:v>trial execution</x:v>
      </x:c>
      <x:c r="E3088" t="str">
        <x:v>PH-EX-250</x:v>
      </x:c>
      <x:c r="F3088" t="n">
        <x:f>IF('Trial Register'!P256&lt;&gt;"",1,0)</x:f>
        <x:v>0</x:v>
      </x:c>
      <x:c r="G3088" t="n">
        <x:v>1</x:v>
      </x:c>
      <x:c r="H3088" t="str">
        <x:v>independent physical acceptance</x:v>
      </x:c>
      <x:c r="I3088" t="str">
        <x:f>IF(F3088=1,"PASS","OPEN")</x:f>
        <x:v>OPEN</x:v>
      </x:c>
    </x:row>
    <x:row r="3089">
      <x:c r="B3089" t="str">
        <x:v>PH-PK-250</x:v>
      </x:c>
      <x:c r="C3089" t="str">
        <x:v>PHYSICAL</x:v>
      </x:c>
      <x:c r="D3089" t="str">
        <x:v>trial packet</x:v>
      </x:c>
      <x:c r="E3089" t="str">
        <x:v>PH-PK-250</x:v>
      </x:c>
      <x:c r="F3089" t="n">
        <x:f>IF('Trial Register'!Q256&lt;&gt;"",1,0)</x:f>
        <x:v>0</x:v>
      </x:c>
      <x:c r="G3089" t="n">
        <x:v>1</x:v>
      </x:c>
      <x:c r="H3089" t="str">
        <x:v>independent physical acceptance</x:v>
      </x:c>
      <x:c r="I3089" t="str">
        <x:f>IF(F3089=1,"PASS","OPEN")</x:f>
        <x:v>OPEN</x:v>
      </x:c>
    </x:row>
    <x:row r="3090">
      <x:c r="B3090" t="str">
        <x:v>PH-VA-250</x:v>
      </x:c>
      <x:c r="C3090" t="str">
        <x:v>PHYSICAL</x:v>
      </x:c>
      <x:c r="D3090" t="str">
        <x:v>trial validity</x:v>
      </x:c>
      <x:c r="E3090" t="str">
        <x:v>PH-VA-250</x:v>
      </x:c>
      <x:c r="F3090" t="n">
        <x:f>IF('Trial Register'!R256&lt;&gt;"",1,0)</x:f>
        <x:v>0</x:v>
      </x:c>
      <x:c r="G3090" t="n">
        <x:v>1</x:v>
      </x:c>
      <x:c r="H3090" t="str">
        <x:v>independent physical acceptance</x:v>
      </x:c>
      <x:c r="I3090" t="str">
        <x:f>IF(F3090=1,"PASS","OPEN")</x:f>
        <x:v>OPEN</x:v>
      </x:c>
    </x:row>
    <x:row r="3091">
      <x:c r="B3091" t="str">
        <x:v>PH-RV-250</x:v>
      </x:c>
      <x:c r="C3091" t="str">
        <x:v>PHYSICAL</x:v>
      </x:c>
      <x:c r="D3091" t="str">
        <x:v>reported value</x:v>
      </x:c>
      <x:c r="E3091" t="str">
        <x:v>PH-RV-250</x:v>
      </x:c>
      <x:c r="F3091" t="n">
        <x:f>IF('Trial Register'!S256&lt;&gt;"",1,0)</x:f>
        <x:v>0</x:v>
      </x:c>
      <x:c r="G3091" t="n">
        <x:v>1</x:v>
      </x:c>
      <x:c r="H3091" t="str">
        <x:v>independent physical acceptance</x:v>
      </x:c>
      <x:c r="I3091" t="str">
        <x:f>IF(F3091=1,"PASS","OPEN")</x:f>
        <x:v>OPEN</x:v>
      </x:c>
    </x:row>
    <x:row r="3092">
      <x:c r="B3092" t="str">
        <x:v>PH-CR-250</x:v>
      </x:c>
      <x:c r="C3092" t="str">
        <x:v>PHYSICAL</x:v>
      </x:c>
      <x:c r="D3092" t="str">
        <x:v>credit acceptance</x:v>
      </x:c>
      <x:c r="E3092" t="str">
        <x:v>PH-CR-250</x:v>
      </x:c>
      <x:c r="F3092" t="str">
        <x:f>'Trial Register'!V256</x:f>
      </x:c>
      <x:c r="G3092" t="n">
        <x:v>1</x:v>
      </x:c>
      <x:c r="H3092" t="str">
        <x:v>independent physical acceptance</x:v>
      </x:c>
      <x:c r="I3092" t="str">
        <x:f>IF(F3092=1,"PASS","OPEN")</x:f>
        <x:v>OPEN</x:v>
      </x:c>
    </x:row>
    <x:row r="3093">
      <x:c r="B3093" t="str">
        <x:v>PH-EX-251</x:v>
      </x:c>
      <x:c r="C3093" t="str">
        <x:v>PHYSICAL</x:v>
      </x:c>
      <x:c r="D3093" t="str">
        <x:v>trial execution</x:v>
      </x:c>
      <x:c r="E3093" t="str">
        <x:v>PH-EX-251</x:v>
      </x:c>
      <x:c r="F3093" t="n">
        <x:f>IF('Trial Register'!P257&lt;&gt;"",1,0)</x:f>
        <x:v>0</x:v>
      </x:c>
      <x:c r="G3093" t="n">
        <x:v>1</x:v>
      </x:c>
      <x:c r="H3093" t="str">
        <x:v>independent physical acceptance</x:v>
      </x:c>
      <x:c r="I3093" t="str">
        <x:f>IF(F3093=1,"PASS","OPEN")</x:f>
        <x:v>OPEN</x:v>
      </x:c>
    </x:row>
    <x:row r="3094">
      <x:c r="B3094" t="str">
        <x:v>PH-PK-251</x:v>
      </x:c>
      <x:c r="C3094" t="str">
        <x:v>PHYSICAL</x:v>
      </x:c>
      <x:c r="D3094" t="str">
        <x:v>trial packet</x:v>
      </x:c>
      <x:c r="E3094" t="str">
        <x:v>PH-PK-251</x:v>
      </x:c>
      <x:c r="F3094" t="n">
        <x:f>IF('Trial Register'!Q257&lt;&gt;"",1,0)</x:f>
        <x:v>0</x:v>
      </x:c>
      <x:c r="G3094" t="n">
        <x:v>1</x:v>
      </x:c>
      <x:c r="H3094" t="str">
        <x:v>independent physical acceptance</x:v>
      </x:c>
      <x:c r="I3094" t="str">
        <x:f>IF(F3094=1,"PASS","OPEN")</x:f>
        <x:v>OPEN</x:v>
      </x:c>
    </x:row>
    <x:row r="3095">
      <x:c r="B3095" t="str">
        <x:v>PH-VA-251</x:v>
      </x:c>
      <x:c r="C3095" t="str">
        <x:v>PHYSICAL</x:v>
      </x:c>
      <x:c r="D3095" t="str">
        <x:v>trial validity</x:v>
      </x:c>
      <x:c r="E3095" t="str">
        <x:v>PH-VA-251</x:v>
      </x:c>
      <x:c r="F3095" t="n">
        <x:f>IF('Trial Register'!R257&lt;&gt;"",1,0)</x:f>
        <x:v>0</x:v>
      </x:c>
      <x:c r="G3095" t="n">
        <x:v>1</x:v>
      </x:c>
      <x:c r="H3095" t="str">
        <x:v>independent physical acceptance</x:v>
      </x:c>
      <x:c r="I3095" t="str">
        <x:f>IF(F3095=1,"PASS","OPEN")</x:f>
        <x:v>OPEN</x:v>
      </x:c>
    </x:row>
    <x:row r="3096">
      <x:c r="B3096" t="str">
        <x:v>PH-RV-251</x:v>
      </x:c>
      <x:c r="C3096" t="str">
        <x:v>PHYSICAL</x:v>
      </x:c>
      <x:c r="D3096" t="str">
        <x:v>reported value</x:v>
      </x:c>
      <x:c r="E3096" t="str">
        <x:v>PH-RV-251</x:v>
      </x:c>
      <x:c r="F3096" t="n">
        <x:f>IF('Trial Register'!S257&lt;&gt;"",1,0)</x:f>
        <x:v>0</x:v>
      </x:c>
      <x:c r="G3096" t="n">
        <x:v>1</x:v>
      </x:c>
      <x:c r="H3096" t="str">
        <x:v>independent physical acceptance</x:v>
      </x:c>
      <x:c r="I3096" t="str">
        <x:f>IF(F3096=1,"PASS","OPEN")</x:f>
        <x:v>OPEN</x:v>
      </x:c>
    </x:row>
    <x:row r="3097">
      <x:c r="B3097" t="str">
        <x:v>PH-CR-251</x:v>
      </x:c>
      <x:c r="C3097" t="str">
        <x:v>PHYSICAL</x:v>
      </x:c>
      <x:c r="D3097" t="str">
        <x:v>credit acceptance</x:v>
      </x:c>
      <x:c r="E3097" t="str">
        <x:v>PH-CR-251</x:v>
      </x:c>
      <x:c r="F3097" t="str">
        <x:f>'Trial Register'!V257</x:f>
      </x:c>
      <x:c r="G3097" t="n">
        <x:v>1</x:v>
      </x:c>
      <x:c r="H3097" t="str">
        <x:v>independent physical acceptance</x:v>
      </x:c>
      <x:c r="I3097" t="str">
        <x:f>IF(F3097=1,"PASS","OPEN")</x:f>
        <x:v>OPEN</x:v>
      </x:c>
    </x:row>
    <x:row r="3098">
      <x:c r="B3098" t="str">
        <x:v>PH-EX-252</x:v>
      </x:c>
      <x:c r="C3098" t="str">
        <x:v>PHYSICAL</x:v>
      </x:c>
      <x:c r="D3098" t="str">
        <x:v>trial execution</x:v>
      </x:c>
      <x:c r="E3098" t="str">
        <x:v>PH-EX-252</x:v>
      </x:c>
      <x:c r="F3098" t="n">
        <x:f>IF('Trial Register'!P258&lt;&gt;"",1,0)</x:f>
        <x:v>0</x:v>
      </x:c>
      <x:c r="G3098" t="n">
        <x:v>1</x:v>
      </x:c>
      <x:c r="H3098" t="str">
        <x:v>independent physical acceptance</x:v>
      </x:c>
      <x:c r="I3098" t="str">
        <x:f>IF(F3098=1,"PASS","OPEN")</x:f>
        <x:v>OPEN</x:v>
      </x:c>
    </x:row>
    <x:row r="3099">
      <x:c r="B3099" t="str">
        <x:v>PH-PK-252</x:v>
      </x:c>
      <x:c r="C3099" t="str">
        <x:v>PHYSICAL</x:v>
      </x:c>
      <x:c r="D3099" t="str">
        <x:v>trial packet</x:v>
      </x:c>
      <x:c r="E3099" t="str">
        <x:v>PH-PK-252</x:v>
      </x:c>
      <x:c r="F3099" t="n">
        <x:f>IF('Trial Register'!Q258&lt;&gt;"",1,0)</x:f>
        <x:v>0</x:v>
      </x:c>
      <x:c r="G3099" t="n">
        <x:v>1</x:v>
      </x:c>
      <x:c r="H3099" t="str">
        <x:v>independent physical acceptance</x:v>
      </x:c>
      <x:c r="I3099" t="str">
        <x:f>IF(F3099=1,"PASS","OPEN")</x:f>
        <x:v>OPEN</x:v>
      </x:c>
    </x:row>
    <x:row r="3100">
      <x:c r="B3100" t="str">
        <x:v>PH-VA-252</x:v>
      </x:c>
      <x:c r="C3100" t="str">
        <x:v>PHYSICAL</x:v>
      </x:c>
      <x:c r="D3100" t="str">
        <x:v>trial validity</x:v>
      </x:c>
      <x:c r="E3100" t="str">
        <x:v>PH-VA-252</x:v>
      </x:c>
      <x:c r="F3100" t="n">
        <x:f>IF('Trial Register'!R258&lt;&gt;"",1,0)</x:f>
        <x:v>0</x:v>
      </x:c>
      <x:c r="G3100" t="n">
        <x:v>1</x:v>
      </x:c>
      <x:c r="H3100" t="str">
        <x:v>independent physical acceptance</x:v>
      </x:c>
      <x:c r="I3100" t="str">
        <x:f>IF(F3100=1,"PASS","OPEN")</x:f>
        <x:v>OPEN</x:v>
      </x:c>
    </x:row>
    <x:row r="3101">
      <x:c r="B3101" t="str">
        <x:v>PH-RV-252</x:v>
      </x:c>
      <x:c r="C3101" t="str">
        <x:v>PHYSICAL</x:v>
      </x:c>
      <x:c r="D3101" t="str">
        <x:v>reported value</x:v>
      </x:c>
      <x:c r="E3101" t="str">
        <x:v>PH-RV-252</x:v>
      </x:c>
      <x:c r="F3101" t="n">
        <x:f>IF('Trial Register'!S258&lt;&gt;"",1,0)</x:f>
        <x:v>0</x:v>
      </x:c>
      <x:c r="G3101" t="n">
        <x:v>1</x:v>
      </x:c>
      <x:c r="H3101" t="str">
        <x:v>independent physical acceptance</x:v>
      </x:c>
      <x:c r="I3101" t="str">
        <x:f>IF(F3101=1,"PASS","OPEN")</x:f>
        <x:v>OPEN</x:v>
      </x:c>
    </x:row>
    <x:row r="3102">
      <x:c r="B3102" t="str">
        <x:v>PH-CR-252</x:v>
      </x:c>
      <x:c r="C3102" t="str">
        <x:v>PHYSICAL</x:v>
      </x:c>
      <x:c r="D3102" t="str">
        <x:v>credit acceptance</x:v>
      </x:c>
      <x:c r="E3102" t="str">
        <x:v>PH-CR-252</x:v>
      </x:c>
      <x:c r="F3102" t="str">
        <x:f>'Trial Register'!V258</x:f>
      </x:c>
      <x:c r="G3102" t="n">
        <x:v>1</x:v>
      </x:c>
      <x:c r="H3102" t="str">
        <x:v>independent physical acceptance</x:v>
      </x:c>
      <x:c r="I3102" t="str">
        <x:f>IF(F3102=1,"PASS","OPEN")</x:f>
        <x:v>OPEN</x:v>
      </x:c>
    </x:row>
    <x:row r="3103">
      <x:c r="B3103" t="str">
        <x:v>PH-EX-253</x:v>
      </x:c>
      <x:c r="C3103" t="str">
        <x:v>PHYSICAL</x:v>
      </x:c>
      <x:c r="D3103" t="str">
        <x:v>trial execution</x:v>
      </x:c>
      <x:c r="E3103" t="str">
        <x:v>PH-EX-253</x:v>
      </x:c>
      <x:c r="F3103" t="n">
        <x:f>IF('Trial Register'!P259&lt;&gt;"",1,0)</x:f>
        <x:v>0</x:v>
      </x:c>
      <x:c r="G3103" t="n">
        <x:v>1</x:v>
      </x:c>
      <x:c r="H3103" t="str">
        <x:v>independent physical acceptance</x:v>
      </x:c>
      <x:c r="I3103" t="str">
        <x:f>IF(F3103=1,"PASS","OPEN")</x:f>
        <x:v>OPEN</x:v>
      </x:c>
    </x:row>
    <x:row r="3104">
      <x:c r="B3104" t="str">
        <x:v>PH-PK-253</x:v>
      </x:c>
      <x:c r="C3104" t="str">
        <x:v>PHYSICAL</x:v>
      </x:c>
      <x:c r="D3104" t="str">
        <x:v>trial packet</x:v>
      </x:c>
      <x:c r="E3104" t="str">
        <x:v>PH-PK-253</x:v>
      </x:c>
      <x:c r="F3104" t="n">
        <x:f>IF('Trial Register'!Q259&lt;&gt;"",1,0)</x:f>
        <x:v>0</x:v>
      </x:c>
      <x:c r="G3104" t="n">
        <x:v>1</x:v>
      </x:c>
      <x:c r="H3104" t="str">
        <x:v>independent physical acceptance</x:v>
      </x:c>
      <x:c r="I3104" t="str">
        <x:f>IF(F3104=1,"PASS","OPEN")</x:f>
        <x:v>OPEN</x:v>
      </x:c>
    </x:row>
    <x:row r="3105">
      <x:c r="B3105" t="str">
        <x:v>PH-VA-253</x:v>
      </x:c>
      <x:c r="C3105" t="str">
        <x:v>PHYSICAL</x:v>
      </x:c>
      <x:c r="D3105" t="str">
        <x:v>trial validity</x:v>
      </x:c>
      <x:c r="E3105" t="str">
        <x:v>PH-VA-253</x:v>
      </x:c>
      <x:c r="F3105" t="n">
        <x:f>IF('Trial Register'!R259&lt;&gt;"",1,0)</x:f>
        <x:v>0</x:v>
      </x:c>
      <x:c r="G3105" t="n">
        <x:v>1</x:v>
      </x:c>
      <x:c r="H3105" t="str">
        <x:v>independent physical acceptance</x:v>
      </x:c>
      <x:c r="I3105" t="str">
        <x:f>IF(F3105=1,"PASS","OPEN")</x:f>
        <x:v>OPEN</x:v>
      </x:c>
    </x:row>
    <x:row r="3106">
      <x:c r="B3106" t="str">
        <x:v>PH-RV-253</x:v>
      </x:c>
      <x:c r="C3106" t="str">
        <x:v>PHYSICAL</x:v>
      </x:c>
      <x:c r="D3106" t="str">
        <x:v>reported value</x:v>
      </x:c>
      <x:c r="E3106" t="str">
        <x:v>PH-RV-253</x:v>
      </x:c>
      <x:c r="F3106" t="n">
        <x:f>IF('Trial Register'!S259&lt;&gt;"",1,0)</x:f>
        <x:v>0</x:v>
      </x:c>
      <x:c r="G3106" t="n">
        <x:v>1</x:v>
      </x:c>
      <x:c r="H3106" t="str">
        <x:v>independent physical acceptance</x:v>
      </x:c>
      <x:c r="I3106" t="str">
        <x:f>IF(F3106=1,"PASS","OPEN")</x:f>
        <x:v>OPEN</x:v>
      </x:c>
    </x:row>
    <x:row r="3107">
      <x:c r="B3107" t="str">
        <x:v>PH-CR-253</x:v>
      </x:c>
      <x:c r="C3107" t="str">
        <x:v>PHYSICAL</x:v>
      </x:c>
      <x:c r="D3107" t="str">
        <x:v>credit acceptance</x:v>
      </x:c>
      <x:c r="E3107" t="str">
        <x:v>PH-CR-253</x:v>
      </x:c>
      <x:c r="F3107" t="str">
        <x:f>'Trial Register'!V259</x:f>
      </x:c>
      <x:c r="G3107" t="n">
        <x:v>1</x:v>
      </x:c>
      <x:c r="H3107" t="str">
        <x:v>independent physical acceptance</x:v>
      </x:c>
      <x:c r="I3107" t="str">
        <x:f>IF(F3107=1,"PASS","OPEN")</x:f>
        <x:v>OPEN</x:v>
      </x:c>
    </x:row>
    <x:row r="3108">
      <x:c r="B3108" t="str">
        <x:v>PH-EX-254</x:v>
      </x:c>
      <x:c r="C3108" t="str">
        <x:v>PHYSICAL</x:v>
      </x:c>
      <x:c r="D3108" t="str">
        <x:v>trial execution</x:v>
      </x:c>
      <x:c r="E3108" t="str">
        <x:v>PH-EX-254</x:v>
      </x:c>
      <x:c r="F3108" t="n">
        <x:f>IF('Trial Register'!P260&lt;&gt;"",1,0)</x:f>
        <x:v>0</x:v>
      </x:c>
      <x:c r="G3108" t="n">
        <x:v>1</x:v>
      </x:c>
      <x:c r="H3108" t="str">
        <x:v>independent physical acceptance</x:v>
      </x:c>
      <x:c r="I3108" t="str">
        <x:f>IF(F3108=1,"PASS","OPEN")</x:f>
        <x:v>OPEN</x:v>
      </x:c>
    </x:row>
    <x:row r="3109">
      <x:c r="B3109" t="str">
        <x:v>PH-PK-254</x:v>
      </x:c>
      <x:c r="C3109" t="str">
        <x:v>PHYSICAL</x:v>
      </x:c>
      <x:c r="D3109" t="str">
        <x:v>trial packet</x:v>
      </x:c>
      <x:c r="E3109" t="str">
        <x:v>PH-PK-254</x:v>
      </x:c>
      <x:c r="F3109" t="n">
        <x:f>IF('Trial Register'!Q260&lt;&gt;"",1,0)</x:f>
        <x:v>0</x:v>
      </x:c>
      <x:c r="G3109" t="n">
        <x:v>1</x:v>
      </x:c>
      <x:c r="H3109" t="str">
        <x:v>independent physical acceptance</x:v>
      </x:c>
      <x:c r="I3109" t="str">
        <x:f>IF(F3109=1,"PASS","OPEN")</x:f>
        <x:v>OPEN</x:v>
      </x:c>
    </x:row>
    <x:row r="3110">
      <x:c r="B3110" t="str">
        <x:v>PH-VA-254</x:v>
      </x:c>
      <x:c r="C3110" t="str">
        <x:v>PHYSICAL</x:v>
      </x:c>
      <x:c r="D3110" t="str">
        <x:v>trial validity</x:v>
      </x:c>
      <x:c r="E3110" t="str">
        <x:v>PH-VA-254</x:v>
      </x:c>
      <x:c r="F3110" t="n">
        <x:f>IF('Trial Register'!R260&lt;&gt;"",1,0)</x:f>
        <x:v>0</x:v>
      </x:c>
      <x:c r="G3110" t="n">
        <x:v>1</x:v>
      </x:c>
      <x:c r="H3110" t="str">
        <x:v>independent physical acceptance</x:v>
      </x:c>
      <x:c r="I3110" t="str">
        <x:f>IF(F3110=1,"PASS","OPEN")</x:f>
        <x:v>OPEN</x:v>
      </x:c>
    </x:row>
    <x:row r="3111">
      <x:c r="B3111" t="str">
        <x:v>PH-RV-254</x:v>
      </x:c>
      <x:c r="C3111" t="str">
        <x:v>PHYSICAL</x:v>
      </x:c>
      <x:c r="D3111" t="str">
        <x:v>reported value</x:v>
      </x:c>
      <x:c r="E3111" t="str">
        <x:v>PH-RV-254</x:v>
      </x:c>
      <x:c r="F3111" t="n">
        <x:f>IF('Trial Register'!S260&lt;&gt;"",1,0)</x:f>
        <x:v>0</x:v>
      </x:c>
      <x:c r="G3111" t="n">
        <x:v>1</x:v>
      </x:c>
      <x:c r="H3111" t="str">
        <x:v>independent physical acceptance</x:v>
      </x:c>
      <x:c r="I3111" t="str">
        <x:f>IF(F3111=1,"PASS","OPEN")</x:f>
        <x:v>OPEN</x:v>
      </x:c>
    </x:row>
    <x:row r="3112">
      <x:c r="B3112" t="str">
        <x:v>PH-CR-254</x:v>
      </x:c>
      <x:c r="C3112" t="str">
        <x:v>PHYSICAL</x:v>
      </x:c>
      <x:c r="D3112" t="str">
        <x:v>credit acceptance</x:v>
      </x:c>
      <x:c r="E3112" t="str">
        <x:v>PH-CR-254</x:v>
      </x:c>
      <x:c r="F3112" t="str">
        <x:f>'Trial Register'!V260</x:f>
      </x:c>
      <x:c r="G3112" t="n">
        <x:v>1</x:v>
      </x:c>
      <x:c r="H3112" t="str">
        <x:v>independent physical acceptance</x:v>
      </x:c>
      <x:c r="I3112" t="str">
        <x:f>IF(F3112=1,"PASS","OPEN")</x:f>
        <x:v>OPEN</x:v>
      </x:c>
    </x:row>
    <x:row r="3113">
      <x:c r="B3113" t="str">
        <x:v>PH-EX-255</x:v>
      </x:c>
      <x:c r="C3113" t="str">
        <x:v>PHYSICAL</x:v>
      </x:c>
      <x:c r="D3113" t="str">
        <x:v>trial execution</x:v>
      </x:c>
      <x:c r="E3113" t="str">
        <x:v>PH-EX-255</x:v>
      </x:c>
      <x:c r="F3113" t="n">
        <x:f>IF('Trial Register'!P261&lt;&gt;"",1,0)</x:f>
        <x:v>0</x:v>
      </x:c>
      <x:c r="G3113" t="n">
        <x:v>1</x:v>
      </x:c>
      <x:c r="H3113" t="str">
        <x:v>independent physical acceptance</x:v>
      </x:c>
      <x:c r="I3113" t="str">
        <x:f>IF(F3113=1,"PASS","OPEN")</x:f>
        <x:v>OPEN</x:v>
      </x:c>
    </x:row>
    <x:row r="3114">
      <x:c r="B3114" t="str">
        <x:v>PH-PK-255</x:v>
      </x:c>
      <x:c r="C3114" t="str">
        <x:v>PHYSICAL</x:v>
      </x:c>
      <x:c r="D3114" t="str">
        <x:v>trial packet</x:v>
      </x:c>
      <x:c r="E3114" t="str">
        <x:v>PH-PK-255</x:v>
      </x:c>
      <x:c r="F3114" t="n">
        <x:f>IF('Trial Register'!Q261&lt;&gt;"",1,0)</x:f>
        <x:v>0</x:v>
      </x:c>
      <x:c r="G3114" t="n">
        <x:v>1</x:v>
      </x:c>
      <x:c r="H3114" t="str">
        <x:v>independent physical acceptance</x:v>
      </x:c>
      <x:c r="I3114" t="str">
        <x:f>IF(F3114=1,"PASS","OPEN")</x:f>
        <x:v>OPEN</x:v>
      </x:c>
    </x:row>
    <x:row r="3115">
      <x:c r="B3115" t="str">
        <x:v>PH-VA-255</x:v>
      </x:c>
      <x:c r="C3115" t="str">
        <x:v>PHYSICAL</x:v>
      </x:c>
      <x:c r="D3115" t="str">
        <x:v>trial validity</x:v>
      </x:c>
      <x:c r="E3115" t="str">
        <x:v>PH-VA-255</x:v>
      </x:c>
      <x:c r="F3115" t="n">
        <x:f>IF('Trial Register'!R261&lt;&gt;"",1,0)</x:f>
        <x:v>0</x:v>
      </x:c>
      <x:c r="G3115" t="n">
        <x:v>1</x:v>
      </x:c>
      <x:c r="H3115" t="str">
        <x:v>independent physical acceptance</x:v>
      </x:c>
      <x:c r="I3115" t="str">
        <x:f>IF(F3115=1,"PASS","OPEN")</x:f>
        <x:v>OPEN</x:v>
      </x:c>
    </x:row>
    <x:row r="3116">
      <x:c r="B3116" t="str">
        <x:v>PH-RV-255</x:v>
      </x:c>
      <x:c r="C3116" t="str">
        <x:v>PHYSICAL</x:v>
      </x:c>
      <x:c r="D3116" t="str">
        <x:v>reported value</x:v>
      </x:c>
      <x:c r="E3116" t="str">
        <x:v>PH-RV-255</x:v>
      </x:c>
      <x:c r="F3116" t="n">
        <x:f>IF('Trial Register'!S261&lt;&gt;"",1,0)</x:f>
        <x:v>0</x:v>
      </x:c>
      <x:c r="G3116" t="n">
        <x:v>1</x:v>
      </x:c>
      <x:c r="H3116" t="str">
        <x:v>independent physical acceptance</x:v>
      </x:c>
      <x:c r="I3116" t="str">
        <x:f>IF(F3116=1,"PASS","OPEN")</x:f>
        <x:v>OPEN</x:v>
      </x:c>
    </x:row>
    <x:row r="3117">
      <x:c r="B3117" t="str">
        <x:v>PH-CR-255</x:v>
      </x:c>
      <x:c r="C3117" t="str">
        <x:v>PHYSICAL</x:v>
      </x:c>
      <x:c r="D3117" t="str">
        <x:v>credit acceptance</x:v>
      </x:c>
      <x:c r="E3117" t="str">
        <x:v>PH-CR-255</x:v>
      </x:c>
      <x:c r="F3117" t="str">
        <x:f>'Trial Register'!V261</x:f>
      </x:c>
      <x:c r="G3117" t="n">
        <x:v>1</x:v>
      </x:c>
      <x:c r="H3117" t="str">
        <x:v>independent physical acceptance</x:v>
      </x:c>
      <x:c r="I3117" t="str">
        <x:f>IF(F3117=1,"PASS","OPEN")</x:f>
        <x:v>OPEN</x:v>
      </x:c>
    </x:row>
    <x:row r="3118">
      <x:c r="B3118" t="str">
        <x:v>PH-EX-256</x:v>
      </x:c>
      <x:c r="C3118" t="str">
        <x:v>PHYSICAL</x:v>
      </x:c>
      <x:c r="D3118" t="str">
        <x:v>trial execution</x:v>
      </x:c>
      <x:c r="E3118" t="str">
        <x:v>PH-EX-256</x:v>
      </x:c>
      <x:c r="F3118" t="n">
        <x:f>IF('Trial Register'!P262&lt;&gt;"",1,0)</x:f>
        <x:v>0</x:v>
      </x:c>
      <x:c r="G3118" t="n">
        <x:v>1</x:v>
      </x:c>
      <x:c r="H3118" t="str">
        <x:v>independent physical acceptance</x:v>
      </x:c>
      <x:c r="I3118" t="str">
        <x:f>IF(F3118=1,"PASS","OPEN")</x:f>
        <x:v>OPEN</x:v>
      </x:c>
    </x:row>
    <x:row r="3119">
      <x:c r="B3119" t="str">
        <x:v>PH-PK-256</x:v>
      </x:c>
      <x:c r="C3119" t="str">
        <x:v>PHYSICAL</x:v>
      </x:c>
      <x:c r="D3119" t="str">
        <x:v>trial packet</x:v>
      </x:c>
      <x:c r="E3119" t="str">
        <x:v>PH-PK-256</x:v>
      </x:c>
      <x:c r="F3119" t="n">
        <x:f>IF('Trial Register'!Q262&lt;&gt;"",1,0)</x:f>
        <x:v>0</x:v>
      </x:c>
      <x:c r="G3119" t="n">
        <x:v>1</x:v>
      </x:c>
      <x:c r="H3119" t="str">
        <x:v>independent physical acceptance</x:v>
      </x:c>
      <x:c r="I3119" t="str">
        <x:f>IF(F3119=1,"PASS","OPEN")</x:f>
        <x:v>OPEN</x:v>
      </x:c>
    </x:row>
    <x:row r="3120">
      <x:c r="B3120" t="str">
        <x:v>PH-VA-256</x:v>
      </x:c>
      <x:c r="C3120" t="str">
        <x:v>PHYSICAL</x:v>
      </x:c>
      <x:c r="D3120" t="str">
        <x:v>trial validity</x:v>
      </x:c>
      <x:c r="E3120" t="str">
        <x:v>PH-VA-256</x:v>
      </x:c>
      <x:c r="F3120" t="n">
        <x:f>IF('Trial Register'!R262&lt;&gt;"",1,0)</x:f>
        <x:v>0</x:v>
      </x:c>
      <x:c r="G3120" t="n">
        <x:v>1</x:v>
      </x:c>
      <x:c r="H3120" t="str">
        <x:v>independent physical acceptance</x:v>
      </x:c>
      <x:c r="I3120" t="str">
        <x:f>IF(F3120=1,"PASS","OPEN")</x:f>
        <x:v>OPEN</x:v>
      </x:c>
    </x:row>
    <x:row r="3121">
      <x:c r="B3121" t="str">
        <x:v>PH-RV-256</x:v>
      </x:c>
      <x:c r="C3121" t="str">
        <x:v>PHYSICAL</x:v>
      </x:c>
      <x:c r="D3121" t="str">
        <x:v>reported value</x:v>
      </x:c>
      <x:c r="E3121" t="str">
        <x:v>PH-RV-256</x:v>
      </x:c>
      <x:c r="F3121" t="n">
        <x:f>IF('Trial Register'!S262&lt;&gt;"",1,0)</x:f>
        <x:v>0</x:v>
      </x:c>
      <x:c r="G3121" t="n">
        <x:v>1</x:v>
      </x:c>
      <x:c r="H3121" t="str">
        <x:v>independent physical acceptance</x:v>
      </x:c>
      <x:c r="I3121" t="str">
        <x:f>IF(F3121=1,"PASS","OPEN")</x:f>
        <x:v>OPEN</x:v>
      </x:c>
    </x:row>
    <x:row r="3122">
      <x:c r="B3122" t="str">
        <x:v>PH-CR-256</x:v>
      </x:c>
      <x:c r="C3122" t="str">
        <x:v>PHYSICAL</x:v>
      </x:c>
      <x:c r="D3122" t="str">
        <x:v>credit acceptance</x:v>
      </x:c>
      <x:c r="E3122" t="str">
        <x:v>PH-CR-256</x:v>
      </x:c>
      <x:c r="F3122" t="str">
        <x:f>'Trial Register'!V262</x:f>
      </x:c>
      <x:c r="G3122" t="n">
        <x:v>1</x:v>
      </x:c>
      <x:c r="H3122" t="str">
        <x:v>independent physical acceptance</x:v>
      </x:c>
      <x:c r="I3122" t="str">
        <x:f>IF(F3122=1,"PASS","OPEN")</x:f>
        <x:v>OPEN</x:v>
      </x:c>
    </x:row>
    <x:row r="3123">
      <x:c r="B3123" t="str">
        <x:v>PH-EX-257</x:v>
      </x:c>
      <x:c r="C3123" t="str">
        <x:v>PHYSICAL</x:v>
      </x:c>
      <x:c r="D3123" t="str">
        <x:v>trial execution</x:v>
      </x:c>
      <x:c r="E3123" t="str">
        <x:v>PH-EX-257</x:v>
      </x:c>
      <x:c r="F3123" t="n">
        <x:f>IF('Trial Register'!P263&lt;&gt;"",1,0)</x:f>
        <x:v>0</x:v>
      </x:c>
      <x:c r="G3123" t="n">
        <x:v>1</x:v>
      </x:c>
      <x:c r="H3123" t="str">
        <x:v>independent physical acceptance</x:v>
      </x:c>
      <x:c r="I3123" t="str">
        <x:f>IF(F3123=1,"PASS","OPEN")</x:f>
        <x:v>OPEN</x:v>
      </x:c>
    </x:row>
    <x:row r="3124">
      <x:c r="B3124" t="str">
        <x:v>PH-PK-257</x:v>
      </x:c>
      <x:c r="C3124" t="str">
        <x:v>PHYSICAL</x:v>
      </x:c>
      <x:c r="D3124" t="str">
        <x:v>trial packet</x:v>
      </x:c>
      <x:c r="E3124" t="str">
        <x:v>PH-PK-257</x:v>
      </x:c>
      <x:c r="F3124" t="n">
        <x:f>IF('Trial Register'!Q263&lt;&gt;"",1,0)</x:f>
        <x:v>0</x:v>
      </x:c>
      <x:c r="G3124" t="n">
        <x:v>1</x:v>
      </x:c>
      <x:c r="H3124" t="str">
        <x:v>independent physical acceptance</x:v>
      </x:c>
      <x:c r="I3124" t="str">
        <x:f>IF(F3124=1,"PASS","OPEN")</x:f>
        <x:v>OPEN</x:v>
      </x:c>
    </x:row>
    <x:row r="3125">
      <x:c r="B3125" t="str">
        <x:v>PH-VA-257</x:v>
      </x:c>
      <x:c r="C3125" t="str">
        <x:v>PHYSICAL</x:v>
      </x:c>
      <x:c r="D3125" t="str">
        <x:v>trial validity</x:v>
      </x:c>
      <x:c r="E3125" t="str">
        <x:v>PH-VA-257</x:v>
      </x:c>
      <x:c r="F3125" t="n">
        <x:f>IF('Trial Register'!R263&lt;&gt;"",1,0)</x:f>
        <x:v>0</x:v>
      </x:c>
      <x:c r="G3125" t="n">
        <x:v>1</x:v>
      </x:c>
      <x:c r="H3125" t="str">
        <x:v>independent physical acceptance</x:v>
      </x:c>
      <x:c r="I3125" t="str">
        <x:f>IF(F3125=1,"PASS","OPEN")</x:f>
        <x:v>OPEN</x:v>
      </x:c>
    </x:row>
    <x:row r="3126">
      <x:c r="B3126" t="str">
        <x:v>PH-RV-257</x:v>
      </x:c>
      <x:c r="C3126" t="str">
        <x:v>PHYSICAL</x:v>
      </x:c>
      <x:c r="D3126" t="str">
        <x:v>reported value</x:v>
      </x:c>
      <x:c r="E3126" t="str">
        <x:v>PH-RV-257</x:v>
      </x:c>
      <x:c r="F3126" t="n">
        <x:f>IF('Trial Register'!S263&lt;&gt;"",1,0)</x:f>
        <x:v>0</x:v>
      </x:c>
      <x:c r="G3126" t="n">
        <x:v>1</x:v>
      </x:c>
      <x:c r="H3126" t="str">
        <x:v>independent physical acceptance</x:v>
      </x:c>
      <x:c r="I3126" t="str">
        <x:f>IF(F3126=1,"PASS","OPEN")</x:f>
        <x:v>OPEN</x:v>
      </x:c>
    </x:row>
    <x:row r="3127">
      <x:c r="B3127" t="str">
        <x:v>PH-CR-257</x:v>
      </x:c>
      <x:c r="C3127" t="str">
        <x:v>PHYSICAL</x:v>
      </x:c>
      <x:c r="D3127" t="str">
        <x:v>credit acceptance</x:v>
      </x:c>
      <x:c r="E3127" t="str">
        <x:v>PH-CR-257</x:v>
      </x:c>
      <x:c r="F3127" t="str">
        <x:f>'Trial Register'!V263</x:f>
      </x:c>
      <x:c r="G3127" t="n">
        <x:v>1</x:v>
      </x:c>
      <x:c r="H3127" t="str">
        <x:v>independent physical acceptance</x:v>
      </x:c>
      <x:c r="I3127" t="str">
        <x:f>IF(F3127=1,"PASS","OPEN")</x:f>
        <x:v>OPEN</x:v>
      </x:c>
    </x:row>
    <x:row r="3128">
      <x:c r="B3128" t="str">
        <x:v>PH-EX-258</x:v>
      </x:c>
      <x:c r="C3128" t="str">
        <x:v>PHYSICAL</x:v>
      </x:c>
      <x:c r="D3128" t="str">
        <x:v>trial execution</x:v>
      </x:c>
      <x:c r="E3128" t="str">
        <x:v>PH-EX-258</x:v>
      </x:c>
      <x:c r="F3128" t="n">
        <x:f>IF('Trial Register'!P264&lt;&gt;"",1,0)</x:f>
        <x:v>0</x:v>
      </x:c>
      <x:c r="G3128" t="n">
        <x:v>1</x:v>
      </x:c>
      <x:c r="H3128" t="str">
        <x:v>independent physical acceptance</x:v>
      </x:c>
      <x:c r="I3128" t="str">
        <x:f>IF(F3128=1,"PASS","OPEN")</x:f>
        <x:v>OPEN</x:v>
      </x:c>
    </x:row>
    <x:row r="3129">
      <x:c r="B3129" t="str">
        <x:v>PH-PK-258</x:v>
      </x:c>
      <x:c r="C3129" t="str">
        <x:v>PHYSICAL</x:v>
      </x:c>
      <x:c r="D3129" t="str">
        <x:v>trial packet</x:v>
      </x:c>
      <x:c r="E3129" t="str">
        <x:v>PH-PK-258</x:v>
      </x:c>
      <x:c r="F3129" t="n">
        <x:f>IF('Trial Register'!Q264&lt;&gt;"",1,0)</x:f>
        <x:v>0</x:v>
      </x:c>
      <x:c r="G3129" t="n">
        <x:v>1</x:v>
      </x:c>
      <x:c r="H3129" t="str">
        <x:v>independent physical acceptance</x:v>
      </x:c>
      <x:c r="I3129" t="str">
        <x:f>IF(F3129=1,"PASS","OPEN")</x:f>
        <x:v>OPEN</x:v>
      </x:c>
    </x:row>
    <x:row r="3130">
      <x:c r="B3130" t="str">
        <x:v>PH-VA-258</x:v>
      </x:c>
      <x:c r="C3130" t="str">
        <x:v>PHYSICAL</x:v>
      </x:c>
      <x:c r="D3130" t="str">
        <x:v>trial validity</x:v>
      </x:c>
      <x:c r="E3130" t="str">
        <x:v>PH-VA-258</x:v>
      </x:c>
      <x:c r="F3130" t="n">
        <x:f>IF('Trial Register'!R264&lt;&gt;"",1,0)</x:f>
        <x:v>0</x:v>
      </x:c>
      <x:c r="G3130" t="n">
        <x:v>1</x:v>
      </x:c>
      <x:c r="H3130" t="str">
        <x:v>independent physical acceptance</x:v>
      </x:c>
      <x:c r="I3130" t="str">
        <x:f>IF(F3130=1,"PASS","OPEN")</x:f>
        <x:v>OPEN</x:v>
      </x:c>
    </x:row>
    <x:row r="3131">
      <x:c r="B3131" t="str">
        <x:v>PH-RV-258</x:v>
      </x:c>
      <x:c r="C3131" t="str">
        <x:v>PHYSICAL</x:v>
      </x:c>
      <x:c r="D3131" t="str">
        <x:v>reported value</x:v>
      </x:c>
      <x:c r="E3131" t="str">
        <x:v>PH-RV-258</x:v>
      </x:c>
      <x:c r="F3131" t="n">
        <x:f>IF('Trial Register'!S264&lt;&gt;"",1,0)</x:f>
        <x:v>0</x:v>
      </x:c>
      <x:c r="G3131" t="n">
        <x:v>1</x:v>
      </x:c>
      <x:c r="H3131" t="str">
        <x:v>independent physical acceptance</x:v>
      </x:c>
      <x:c r="I3131" t="str">
        <x:f>IF(F3131=1,"PASS","OPEN")</x:f>
        <x:v>OPEN</x:v>
      </x:c>
    </x:row>
    <x:row r="3132">
      <x:c r="B3132" t="str">
        <x:v>PH-CR-258</x:v>
      </x:c>
      <x:c r="C3132" t="str">
        <x:v>PHYSICAL</x:v>
      </x:c>
      <x:c r="D3132" t="str">
        <x:v>credit acceptance</x:v>
      </x:c>
      <x:c r="E3132" t="str">
        <x:v>PH-CR-258</x:v>
      </x:c>
      <x:c r="F3132" t="str">
        <x:f>'Trial Register'!V264</x:f>
      </x:c>
      <x:c r="G3132" t="n">
        <x:v>1</x:v>
      </x:c>
      <x:c r="H3132" t="str">
        <x:v>independent physical acceptance</x:v>
      </x:c>
      <x:c r="I3132" t="str">
        <x:f>IF(F3132=1,"PASS","OPEN")</x:f>
        <x:v>OPEN</x:v>
      </x:c>
    </x:row>
    <x:row r="3133">
      <x:c r="B3133" t="str">
        <x:v>PH-EX-259</x:v>
      </x:c>
      <x:c r="C3133" t="str">
        <x:v>PHYSICAL</x:v>
      </x:c>
      <x:c r="D3133" t="str">
        <x:v>trial execution</x:v>
      </x:c>
      <x:c r="E3133" t="str">
        <x:v>PH-EX-259</x:v>
      </x:c>
      <x:c r="F3133" t="n">
        <x:f>IF('Trial Register'!P265&lt;&gt;"",1,0)</x:f>
        <x:v>0</x:v>
      </x:c>
      <x:c r="G3133" t="n">
        <x:v>1</x:v>
      </x:c>
      <x:c r="H3133" t="str">
        <x:v>independent physical acceptance</x:v>
      </x:c>
      <x:c r="I3133" t="str">
        <x:f>IF(F3133=1,"PASS","OPEN")</x:f>
        <x:v>OPEN</x:v>
      </x:c>
    </x:row>
    <x:row r="3134">
      <x:c r="B3134" t="str">
        <x:v>PH-PK-259</x:v>
      </x:c>
      <x:c r="C3134" t="str">
        <x:v>PHYSICAL</x:v>
      </x:c>
      <x:c r="D3134" t="str">
        <x:v>trial packet</x:v>
      </x:c>
      <x:c r="E3134" t="str">
        <x:v>PH-PK-259</x:v>
      </x:c>
      <x:c r="F3134" t="n">
        <x:f>IF('Trial Register'!Q265&lt;&gt;"",1,0)</x:f>
        <x:v>0</x:v>
      </x:c>
      <x:c r="G3134" t="n">
        <x:v>1</x:v>
      </x:c>
      <x:c r="H3134" t="str">
        <x:v>independent physical acceptance</x:v>
      </x:c>
      <x:c r="I3134" t="str">
        <x:f>IF(F3134=1,"PASS","OPEN")</x:f>
        <x:v>OPEN</x:v>
      </x:c>
    </x:row>
    <x:row r="3135">
      <x:c r="B3135" t="str">
        <x:v>PH-VA-259</x:v>
      </x:c>
      <x:c r="C3135" t="str">
        <x:v>PHYSICAL</x:v>
      </x:c>
      <x:c r="D3135" t="str">
        <x:v>trial validity</x:v>
      </x:c>
      <x:c r="E3135" t="str">
        <x:v>PH-VA-259</x:v>
      </x:c>
      <x:c r="F3135" t="n">
        <x:f>IF('Trial Register'!R265&lt;&gt;"",1,0)</x:f>
        <x:v>0</x:v>
      </x:c>
      <x:c r="G3135" t="n">
        <x:v>1</x:v>
      </x:c>
      <x:c r="H3135" t="str">
        <x:v>independent physical acceptance</x:v>
      </x:c>
      <x:c r="I3135" t="str">
        <x:f>IF(F3135=1,"PASS","OPEN")</x:f>
        <x:v>OPEN</x:v>
      </x:c>
    </x:row>
    <x:row r="3136">
      <x:c r="B3136" t="str">
        <x:v>PH-RV-259</x:v>
      </x:c>
      <x:c r="C3136" t="str">
        <x:v>PHYSICAL</x:v>
      </x:c>
      <x:c r="D3136" t="str">
        <x:v>reported value</x:v>
      </x:c>
      <x:c r="E3136" t="str">
        <x:v>PH-RV-259</x:v>
      </x:c>
      <x:c r="F3136" t="n">
        <x:f>IF('Trial Register'!S265&lt;&gt;"",1,0)</x:f>
        <x:v>0</x:v>
      </x:c>
      <x:c r="G3136" t="n">
        <x:v>1</x:v>
      </x:c>
      <x:c r="H3136" t="str">
        <x:v>independent physical acceptance</x:v>
      </x:c>
      <x:c r="I3136" t="str">
        <x:f>IF(F3136=1,"PASS","OPEN")</x:f>
        <x:v>OPEN</x:v>
      </x:c>
    </x:row>
    <x:row r="3137">
      <x:c r="B3137" t="str">
        <x:v>PH-CR-259</x:v>
      </x:c>
      <x:c r="C3137" t="str">
        <x:v>PHYSICAL</x:v>
      </x:c>
      <x:c r="D3137" t="str">
        <x:v>credit acceptance</x:v>
      </x:c>
      <x:c r="E3137" t="str">
        <x:v>PH-CR-259</x:v>
      </x:c>
      <x:c r="F3137" t="str">
        <x:f>'Trial Register'!V265</x:f>
      </x:c>
      <x:c r="G3137" t="n">
        <x:v>1</x:v>
      </x:c>
      <x:c r="H3137" t="str">
        <x:v>independent physical acceptance</x:v>
      </x:c>
      <x:c r="I3137" t="str">
        <x:f>IF(F3137=1,"PASS","OPEN")</x:f>
        <x:v>OPEN</x:v>
      </x:c>
    </x:row>
    <x:row r="3138">
      <x:c r="B3138" t="str">
        <x:v>PH-EX-260</x:v>
      </x:c>
      <x:c r="C3138" t="str">
        <x:v>PHYSICAL</x:v>
      </x:c>
      <x:c r="D3138" t="str">
        <x:v>trial execution</x:v>
      </x:c>
      <x:c r="E3138" t="str">
        <x:v>PH-EX-260</x:v>
      </x:c>
      <x:c r="F3138" t="n">
        <x:f>IF('Trial Register'!P266&lt;&gt;"",1,0)</x:f>
        <x:v>0</x:v>
      </x:c>
      <x:c r="G3138" t="n">
        <x:v>1</x:v>
      </x:c>
      <x:c r="H3138" t="str">
        <x:v>independent physical acceptance</x:v>
      </x:c>
      <x:c r="I3138" t="str">
        <x:f>IF(F3138=1,"PASS","OPEN")</x:f>
        <x:v>OPEN</x:v>
      </x:c>
    </x:row>
    <x:row r="3139">
      <x:c r="B3139" t="str">
        <x:v>PH-PK-260</x:v>
      </x:c>
      <x:c r="C3139" t="str">
        <x:v>PHYSICAL</x:v>
      </x:c>
      <x:c r="D3139" t="str">
        <x:v>trial packet</x:v>
      </x:c>
      <x:c r="E3139" t="str">
        <x:v>PH-PK-260</x:v>
      </x:c>
      <x:c r="F3139" t="n">
        <x:f>IF('Trial Register'!Q266&lt;&gt;"",1,0)</x:f>
        <x:v>0</x:v>
      </x:c>
      <x:c r="G3139" t="n">
        <x:v>1</x:v>
      </x:c>
      <x:c r="H3139" t="str">
        <x:v>independent physical acceptance</x:v>
      </x:c>
      <x:c r="I3139" t="str">
        <x:f>IF(F3139=1,"PASS","OPEN")</x:f>
        <x:v>OPEN</x:v>
      </x:c>
    </x:row>
    <x:row r="3140">
      <x:c r="B3140" t="str">
        <x:v>PH-VA-260</x:v>
      </x:c>
      <x:c r="C3140" t="str">
        <x:v>PHYSICAL</x:v>
      </x:c>
      <x:c r="D3140" t="str">
        <x:v>trial validity</x:v>
      </x:c>
      <x:c r="E3140" t="str">
        <x:v>PH-VA-260</x:v>
      </x:c>
      <x:c r="F3140" t="n">
        <x:f>IF('Trial Register'!R266&lt;&gt;"",1,0)</x:f>
        <x:v>0</x:v>
      </x:c>
      <x:c r="G3140" t="n">
        <x:v>1</x:v>
      </x:c>
      <x:c r="H3140" t="str">
        <x:v>independent physical acceptance</x:v>
      </x:c>
      <x:c r="I3140" t="str">
        <x:f>IF(F3140=1,"PASS","OPEN")</x:f>
        <x:v>OPEN</x:v>
      </x:c>
    </x:row>
    <x:row r="3141">
      <x:c r="B3141" t="str">
        <x:v>PH-RV-260</x:v>
      </x:c>
      <x:c r="C3141" t="str">
        <x:v>PHYSICAL</x:v>
      </x:c>
      <x:c r="D3141" t="str">
        <x:v>reported value</x:v>
      </x:c>
      <x:c r="E3141" t="str">
        <x:v>PH-RV-260</x:v>
      </x:c>
      <x:c r="F3141" t="n">
        <x:f>IF('Trial Register'!S266&lt;&gt;"",1,0)</x:f>
        <x:v>0</x:v>
      </x:c>
      <x:c r="G3141" t="n">
        <x:v>1</x:v>
      </x:c>
      <x:c r="H3141" t="str">
        <x:v>independent physical acceptance</x:v>
      </x:c>
      <x:c r="I3141" t="str">
        <x:f>IF(F3141=1,"PASS","OPEN")</x:f>
        <x:v>OPEN</x:v>
      </x:c>
    </x:row>
    <x:row r="3142">
      <x:c r="B3142" t="str">
        <x:v>PH-CR-260</x:v>
      </x:c>
      <x:c r="C3142" t="str">
        <x:v>PHYSICAL</x:v>
      </x:c>
      <x:c r="D3142" t="str">
        <x:v>credit acceptance</x:v>
      </x:c>
      <x:c r="E3142" t="str">
        <x:v>PH-CR-260</x:v>
      </x:c>
      <x:c r="F3142" t="str">
        <x:f>'Trial Register'!V266</x:f>
      </x:c>
      <x:c r="G3142" t="n">
        <x:v>1</x:v>
      </x:c>
      <x:c r="H3142" t="str">
        <x:v>independent physical acceptance</x:v>
      </x:c>
      <x:c r="I3142" t="str">
        <x:f>IF(F3142=1,"PASS","OPEN")</x:f>
        <x:v>OPEN</x:v>
      </x:c>
    </x:row>
    <x:row r="3143">
      <x:c r="B3143" t="str">
        <x:v>PH-EX-261</x:v>
      </x:c>
      <x:c r="C3143" t="str">
        <x:v>PHYSICAL</x:v>
      </x:c>
      <x:c r="D3143" t="str">
        <x:v>trial execution</x:v>
      </x:c>
      <x:c r="E3143" t="str">
        <x:v>PH-EX-261</x:v>
      </x:c>
      <x:c r="F3143" t="n">
        <x:f>IF('Trial Register'!P267&lt;&gt;"",1,0)</x:f>
        <x:v>0</x:v>
      </x:c>
      <x:c r="G3143" t="n">
        <x:v>1</x:v>
      </x:c>
      <x:c r="H3143" t="str">
        <x:v>independent physical acceptance</x:v>
      </x:c>
      <x:c r="I3143" t="str">
        <x:f>IF(F3143=1,"PASS","OPEN")</x:f>
        <x:v>OPEN</x:v>
      </x:c>
    </x:row>
    <x:row r="3144">
      <x:c r="B3144" t="str">
        <x:v>PH-PK-261</x:v>
      </x:c>
      <x:c r="C3144" t="str">
        <x:v>PHYSICAL</x:v>
      </x:c>
      <x:c r="D3144" t="str">
        <x:v>trial packet</x:v>
      </x:c>
      <x:c r="E3144" t="str">
        <x:v>PH-PK-261</x:v>
      </x:c>
      <x:c r="F3144" t="n">
        <x:f>IF('Trial Register'!Q267&lt;&gt;"",1,0)</x:f>
        <x:v>0</x:v>
      </x:c>
      <x:c r="G3144" t="n">
        <x:v>1</x:v>
      </x:c>
      <x:c r="H3144" t="str">
        <x:v>independent physical acceptance</x:v>
      </x:c>
      <x:c r="I3144" t="str">
        <x:f>IF(F3144=1,"PASS","OPEN")</x:f>
        <x:v>OPEN</x:v>
      </x:c>
    </x:row>
    <x:row r="3145">
      <x:c r="B3145" t="str">
        <x:v>PH-VA-261</x:v>
      </x:c>
      <x:c r="C3145" t="str">
        <x:v>PHYSICAL</x:v>
      </x:c>
      <x:c r="D3145" t="str">
        <x:v>trial validity</x:v>
      </x:c>
      <x:c r="E3145" t="str">
        <x:v>PH-VA-261</x:v>
      </x:c>
      <x:c r="F3145" t="n">
        <x:f>IF('Trial Register'!R267&lt;&gt;"",1,0)</x:f>
        <x:v>0</x:v>
      </x:c>
      <x:c r="G3145" t="n">
        <x:v>1</x:v>
      </x:c>
      <x:c r="H3145" t="str">
        <x:v>independent physical acceptance</x:v>
      </x:c>
      <x:c r="I3145" t="str">
        <x:f>IF(F3145=1,"PASS","OPEN")</x:f>
        <x:v>OPEN</x:v>
      </x:c>
    </x:row>
    <x:row r="3146">
      <x:c r="B3146" t="str">
        <x:v>PH-RV-261</x:v>
      </x:c>
      <x:c r="C3146" t="str">
        <x:v>PHYSICAL</x:v>
      </x:c>
      <x:c r="D3146" t="str">
        <x:v>reported value</x:v>
      </x:c>
      <x:c r="E3146" t="str">
        <x:v>PH-RV-261</x:v>
      </x:c>
      <x:c r="F3146" t="n">
        <x:f>IF('Trial Register'!S267&lt;&gt;"",1,0)</x:f>
        <x:v>0</x:v>
      </x:c>
      <x:c r="G3146" t="n">
        <x:v>1</x:v>
      </x:c>
      <x:c r="H3146" t="str">
        <x:v>independent physical acceptance</x:v>
      </x:c>
      <x:c r="I3146" t="str">
        <x:f>IF(F3146=1,"PASS","OPEN")</x:f>
        <x:v>OPEN</x:v>
      </x:c>
    </x:row>
    <x:row r="3147">
      <x:c r="B3147" t="str">
        <x:v>PH-CR-261</x:v>
      </x:c>
      <x:c r="C3147" t="str">
        <x:v>PHYSICAL</x:v>
      </x:c>
      <x:c r="D3147" t="str">
        <x:v>credit acceptance</x:v>
      </x:c>
      <x:c r="E3147" t="str">
        <x:v>PH-CR-261</x:v>
      </x:c>
      <x:c r="F3147" t="str">
        <x:f>'Trial Register'!V267</x:f>
      </x:c>
      <x:c r="G3147" t="n">
        <x:v>1</x:v>
      </x:c>
      <x:c r="H3147" t="str">
        <x:v>independent physical acceptance</x:v>
      </x:c>
      <x:c r="I3147" t="str">
        <x:f>IF(F3147=1,"PASS","OPEN")</x:f>
        <x:v>OPEN</x:v>
      </x:c>
    </x:row>
    <x:row r="3148">
      <x:c r="B3148" t="str">
        <x:v>PH-EX-262</x:v>
      </x:c>
      <x:c r="C3148" t="str">
        <x:v>PHYSICAL</x:v>
      </x:c>
      <x:c r="D3148" t="str">
        <x:v>trial execution</x:v>
      </x:c>
      <x:c r="E3148" t="str">
        <x:v>PH-EX-262</x:v>
      </x:c>
      <x:c r="F3148" t="n">
        <x:f>IF('Trial Register'!P268&lt;&gt;"",1,0)</x:f>
        <x:v>0</x:v>
      </x:c>
      <x:c r="G3148" t="n">
        <x:v>1</x:v>
      </x:c>
      <x:c r="H3148" t="str">
        <x:v>independent physical acceptance</x:v>
      </x:c>
      <x:c r="I3148" t="str">
        <x:f>IF(F3148=1,"PASS","OPEN")</x:f>
        <x:v>OPEN</x:v>
      </x:c>
    </x:row>
    <x:row r="3149">
      <x:c r="B3149" t="str">
        <x:v>PH-PK-262</x:v>
      </x:c>
      <x:c r="C3149" t="str">
        <x:v>PHYSICAL</x:v>
      </x:c>
      <x:c r="D3149" t="str">
        <x:v>trial packet</x:v>
      </x:c>
      <x:c r="E3149" t="str">
        <x:v>PH-PK-262</x:v>
      </x:c>
      <x:c r="F3149" t="n">
        <x:f>IF('Trial Register'!Q268&lt;&gt;"",1,0)</x:f>
        <x:v>0</x:v>
      </x:c>
      <x:c r="G3149" t="n">
        <x:v>1</x:v>
      </x:c>
      <x:c r="H3149" t="str">
        <x:v>independent physical acceptance</x:v>
      </x:c>
      <x:c r="I3149" t="str">
        <x:f>IF(F3149=1,"PASS","OPEN")</x:f>
        <x:v>OPEN</x:v>
      </x:c>
    </x:row>
    <x:row r="3150">
      <x:c r="B3150" t="str">
        <x:v>PH-VA-262</x:v>
      </x:c>
      <x:c r="C3150" t="str">
        <x:v>PHYSICAL</x:v>
      </x:c>
      <x:c r="D3150" t="str">
        <x:v>trial validity</x:v>
      </x:c>
      <x:c r="E3150" t="str">
        <x:v>PH-VA-262</x:v>
      </x:c>
      <x:c r="F3150" t="n">
        <x:f>IF('Trial Register'!R268&lt;&gt;"",1,0)</x:f>
        <x:v>0</x:v>
      </x:c>
      <x:c r="G3150" t="n">
        <x:v>1</x:v>
      </x:c>
      <x:c r="H3150" t="str">
        <x:v>independent physical acceptance</x:v>
      </x:c>
      <x:c r="I3150" t="str">
        <x:f>IF(F3150=1,"PASS","OPEN")</x:f>
        <x:v>OPEN</x:v>
      </x:c>
    </x:row>
    <x:row r="3151">
      <x:c r="B3151" t="str">
        <x:v>PH-RV-262</x:v>
      </x:c>
      <x:c r="C3151" t="str">
        <x:v>PHYSICAL</x:v>
      </x:c>
      <x:c r="D3151" t="str">
        <x:v>reported value</x:v>
      </x:c>
      <x:c r="E3151" t="str">
        <x:v>PH-RV-262</x:v>
      </x:c>
      <x:c r="F3151" t="n">
        <x:f>IF('Trial Register'!S268&lt;&gt;"",1,0)</x:f>
        <x:v>0</x:v>
      </x:c>
      <x:c r="G3151" t="n">
        <x:v>1</x:v>
      </x:c>
      <x:c r="H3151" t="str">
        <x:v>independent physical acceptance</x:v>
      </x:c>
      <x:c r="I3151" t="str">
        <x:f>IF(F3151=1,"PASS","OPEN")</x:f>
        <x:v>OPEN</x:v>
      </x:c>
    </x:row>
    <x:row r="3152">
      <x:c r="B3152" t="str">
        <x:v>PH-CR-262</x:v>
      </x:c>
      <x:c r="C3152" t="str">
        <x:v>PHYSICAL</x:v>
      </x:c>
      <x:c r="D3152" t="str">
        <x:v>credit acceptance</x:v>
      </x:c>
      <x:c r="E3152" t="str">
        <x:v>PH-CR-262</x:v>
      </x:c>
      <x:c r="F3152" t="str">
        <x:f>'Trial Register'!V268</x:f>
      </x:c>
      <x:c r="G3152" t="n">
        <x:v>1</x:v>
      </x:c>
      <x:c r="H3152" t="str">
        <x:v>independent physical acceptance</x:v>
      </x:c>
      <x:c r="I3152" t="str">
        <x:f>IF(F3152=1,"PASS","OPEN")</x:f>
        <x:v>OPEN</x:v>
      </x:c>
    </x:row>
    <x:row r="3153">
      <x:c r="B3153" t="str">
        <x:v>PH-EX-263</x:v>
      </x:c>
      <x:c r="C3153" t="str">
        <x:v>PHYSICAL</x:v>
      </x:c>
      <x:c r="D3153" t="str">
        <x:v>trial execution</x:v>
      </x:c>
      <x:c r="E3153" t="str">
        <x:v>PH-EX-263</x:v>
      </x:c>
      <x:c r="F3153" t="n">
        <x:f>IF('Trial Register'!P269&lt;&gt;"",1,0)</x:f>
        <x:v>0</x:v>
      </x:c>
      <x:c r="G3153" t="n">
        <x:v>1</x:v>
      </x:c>
      <x:c r="H3153" t="str">
        <x:v>independent physical acceptance</x:v>
      </x:c>
      <x:c r="I3153" t="str">
        <x:f>IF(F3153=1,"PASS","OPEN")</x:f>
        <x:v>OPEN</x:v>
      </x:c>
    </x:row>
    <x:row r="3154">
      <x:c r="B3154" t="str">
        <x:v>PH-PK-263</x:v>
      </x:c>
      <x:c r="C3154" t="str">
        <x:v>PHYSICAL</x:v>
      </x:c>
      <x:c r="D3154" t="str">
        <x:v>trial packet</x:v>
      </x:c>
      <x:c r="E3154" t="str">
        <x:v>PH-PK-263</x:v>
      </x:c>
      <x:c r="F3154" t="n">
        <x:f>IF('Trial Register'!Q269&lt;&gt;"",1,0)</x:f>
        <x:v>0</x:v>
      </x:c>
      <x:c r="G3154" t="n">
        <x:v>1</x:v>
      </x:c>
      <x:c r="H3154" t="str">
        <x:v>independent physical acceptance</x:v>
      </x:c>
      <x:c r="I3154" t="str">
        <x:f>IF(F3154=1,"PASS","OPEN")</x:f>
        <x:v>OPEN</x:v>
      </x:c>
    </x:row>
    <x:row r="3155">
      <x:c r="B3155" t="str">
        <x:v>PH-VA-263</x:v>
      </x:c>
      <x:c r="C3155" t="str">
        <x:v>PHYSICAL</x:v>
      </x:c>
      <x:c r="D3155" t="str">
        <x:v>trial validity</x:v>
      </x:c>
      <x:c r="E3155" t="str">
        <x:v>PH-VA-263</x:v>
      </x:c>
      <x:c r="F3155" t="n">
        <x:f>IF('Trial Register'!R269&lt;&gt;"",1,0)</x:f>
        <x:v>0</x:v>
      </x:c>
      <x:c r="G3155" t="n">
        <x:v>1</x:v>
      </x:c>
      <x:c r="H3155" t="str">
        <x:v>independent physical acceptance</x:v>
      </x:c>
      <x:c r="I3155" t="str">
        <x:f>IF(F3155=1,"PASS","OPEN")</x:f>
        <x:v>OPEN</x:v>
      </x:c>
    </x:row>
    <x:row r="3156">
      <x:c r="B3156" t="str">
        <x:v>PH-RV-263</x:v>
      </x:c>
      <x:c r="C3156" t="str">
        <x:v>PHYSICAL</x:v>
      </x:c>
      <x:c r="D3156" t="str">
        <x:v>reported value</x:v>
      </x:c>
      <x:c r="E3156" t="str">
        <x:v>PH-RV-263</x:v>
      </x:c>
      <x:c r="F3156" t="n">
        <x:f>IF('Trial Register'!S269&lt;&gt;"",1,0)</x:f>
        <x:v>0</x:v>
      </x:c>
      <x:c r="G3156" t="n">
        <x:v>1</x:v>
      </x:c>
      <x:c r="H3156" t="str">
        <x:v>independent physical acceptance</x:v>
      </x:c>
      <x:c r="I3156" t="str">
        <x:f>IF(F3156=1,"PASS","OPEN")</x:f>
        <x:v>OPEN</x:v>
      </x:c>
    </x:row>
    <x:row r="3157">
      <x:c r="B3157" t="str">
        <x:v>PH-CR-263</x:v>
      </x:c>
      <x:c r="C3157" t="str">
        <x:v>PHYSICAL</x:v>
      </x:c>
      <x:c r="D3157" t="str">
        <x:v>credit acceptance</x:v>
      </x:c>
      <x:c r="E3157" t="str">
        <x:v>PH-CR-263</x:v>
      </x:c>
      <x:c r="F3157" t="str">
        <x:f>'Trial Register'!V269</x:f>
      </x:c>
      <x:c r="G3157" t="n">
        <x:v>1</x:v>
      </x:c>
      <x:c r="H3157" t="str">
        <x:v>independent physical acceptance</x:v>
      </x:c>
      <x:c r="I3157" t="str">
        <x:f>IF(F3157=1,"PASS","OPEN")</x:f>
        <x:v>OPEN</x:v>
      </x:c>
    </x:row>
    <x:row r="3158">
      <x:c r="B3158" t="str">
        <x:v>PH-EX-264</x:v>
      </x:c>
      <x:c r="C3158" t="str">
        <x:v>PHYSICAL</x:v>
      </x:c>
      <x:c r="D3158" t="str">
        <x:v>trial execution</x:v>
      </x:c>
      <x:c r="E3158" t="str">
        <x:v>PH-EX-264</x:v>
      </x:c>
      <x:c r="F3158" t="n">
        <x:f>IF('Trial Register'!P270&lt;&gt;"",1,0)</x:f>
        <x:v>0</x:v>
      </x:c>
      <x:c r="G3158" t="n">
        <x:v>1</x:v>
      </x:c>
      <x:c r="H3158" t="str">
        <x:v>independent physical acceptance</x:v>
      </x:c>
      <x:c r="I3158" t="str">
        <x:f>IF(F3158=1,"PASS","OPEN")</x:f>
        <x:v>OPEN</x:v>
      </x:c>
    </x:row>
    <x:row r="3159">
      <x:c r="B3159" t="str">
        <x:v>PH-PK-264</x:v>
      </x:c>
      <x:c r="C3159" t="str">
        <x:v>PHYSICAL</x:v>
      </x:c>
      <x:c r="D3159" t="str">
        <x:v>trial packet</x:v>
      </x:c>
      <x:c r="E3159" t="str">
        <x:v>PH-PK-264</x:v>
      </x:c>
      <x:c r="F3159" t="n">
        <x:f>IF('Trial Register'!Q270&lt;&gt;"",1,0)</x:f>
        <x:v>0</x:v>
      </x:c>
      <x:c r="G3159" t="n">
        <x:v>1</x:v>
      </x:c>
      <x:c r="H3159" t="str">
        <x:v>independent physical acceptance</x:v>
      </x:c>
      <x:c r="I3159" t="str">
        <x:f>IF(F3159=1,"PASS","OPEN")</x:f>
        <x:v>OPEN</x:v>
      </x:c>
    </x:row>
    <x:row r="3160">
      <x:c r="B3160" t="str">
        <x:v>PH-VA-264</x:v>
      </x:c>
      <x:c r="C3160" t="str">
        <x:v>PHYSICAL</x:v>
      </x:c>
      <x:c r="D3160" t="str">
        <x:v>trial validity</x:v>
      </x:c>
      <x:c r="E3160" t="str">
        <x:v>PH-VA-264</x:v>
      </x:c>
      <x:c r="F3160" t="n">
        <x:f>IF('Trial Register'!R270&lt;&gt;"",1,0)</x:f>
        <x:v>0</x:v>
      </x:c>
      <x:c r="G3160" t="n">
        <x:v>1</x:v>
      </x:c>
      <x:c r="H3160" t="str">
        <x:v>independent physical acceptance</x:v>
      </x:c>
      <x:c r="I3160" t="str">
        <x:f>IF(F3160=1,"PASS","OPEN")</x:f>
        <x:v>OPEN</x:v>
      </x:c>
    </x:row>
    <x:row r="3161">
      <x:c r="B3161" t="str">
        <x:v>PH-RV-264</x:v>
      </x:c>
      <x:c r="C3161" t="str">
        <x:v>PHYSICAL</x:v>
      </x:c>
      <x:c r="D3161" t="str">
        <x:v>reported value</x:v>
      </x:c>
      <x:c r="E3161" t="str">
        <x:v>PH-RV-264</x:v>
      </x:c>
      <x:c r="F3161" t="n">
        <x:f>IF('Trial Register'!S270&lt;&gt;"",1,0)</x:f>
        <x:v>0</x:v>
      </x:c>
      <x:c r="G3161" t="n">
        <x:v>1</x:v>
      </x:c>
      <x:c r="H3161" t="str">
        <x:v>independent physical acceptance</x:v>
      </x:c>
      <x:c r="I3161" t="str">
        <x:f>IF(F3161=1,"PASS","OPEN")</x:f>
        <x:v>OPEN</x:v>
      </x:c>
    </x:row>
    <x:row r="3162">
      <x:c r="B3162" t="str">
        <x:v>PH-CR-264</x:v>
      </x:c>
      <x:c r="C3162" t="str">
        <x:v>PHYSICAL</x:v>
      </x:c>
      <x:c r="D3162" t="str">
        <x:v>credit acceptance</x:v>
      </x:c>
      <x:c r="E3162" t="str">
        <x:v>PH-CR-264</x:v>
      </x:c>
      <x:c r="F3162" t="str">
        <x:f>'Trial Register'!V270</x:f>
      </x:c>
      <x:c r="G3162" t="n">
        <x:v>1</x:v>
      </x:c>
      <x:c r="H3162" t="str">
        <x:v>independent physical acceptance</x:v>
      </x:c>
      <x:c r="I3162" t="str">
        <x:f>IF(F3162=1,"PASS","OPEN")</x:f>
        <x:v>OPEN</x:v>
      </x:c>
    </x:row>
    <x:row r="3163">
      <x:c r="B3163" t="str">
        <x:v>PH-EX-265</x:v>
      </x:c>
      <x:c r="C3163" t="str">
        <x:v>PHYSICAL</x:v>
      </x:c>
      <x:c r="D3163" t="str">
        <x:v>trial execution</x:v>
      </x:c>
      <x:c r="E3163" t="str">
        <x:v>PH-EX-265</x:v>
      </x:c>
      <x:c r="F3163" t="n">
        <x:f>IF('Trial Register'!P271&lt;&gt;"",1,0)</x:f>
        <x:v>0</x:v>
      </x:c>
      <x:c r="G3163" t="n">
        <x:v>1</x:v>
      </x:c>
      <x:c r="H3163" t="str">
        <x:v>independent physical acceptance</x:v>
      </x:c>
      <x:c r="I3163" t="str">
        <x:f>IF(F3163=1,"PASS","OPEN")</x:f>
        <x:v>OPEN</x:v>
      </x:c>
    </x:row>
    <x:row r="3164">
      <x:c r="B3164" t="str">
        <x:v>PH-PK-265</x:v>
      </x:c>
      <x:c r="C3164" t="str">
        <x:v>PHYSICAL</x:v>
      </x:c>
      <x:c r="D3164" t="str">
        <x:v>trial packet</x:v>
      </x:c>
      <x:c r="E3164" t="str">
        <x:v>PH-PK-265</x:v>
      </x:c>
      <x:c r="F3164" t="n">
        <x:f>IF('Trial Register'!Q271&lt;&gt;"",1,0)</x:f>
        <x:v>0</x:v>
      </x:c>
      <x:c r="G3164" t="n">
        <x:v>1</x:v>
      </x:c>
      <x:c r="H3164" t="str">
        <x:v>independent physical acceptance</x:v>
      </x:c>
      <x:c r="I3164" t="str">
        <x:f>IF(F3164=1,"PASS","OPEN")</x:f>
        <x:v>OPEN</x:v>
      </x:c>
    </x:row>
    <x:row r="3165">
      <x:c r="B3165" t="str">
        <x:v>PH-VA-265</x:v>
      </x:c>
      <x:c r="C3165" t="str">
        <x:v>PHYSICAL</x:v>
      </x:c>
      <x:c r="D3165" t="str">
        <x:v>trial validity</x:v>
      </x:c>
      <x:c r="E3165" t="str">
        <x:v>PH-VA-265</x:v>
      </x:c>
      <x:c r="F3165" t="n">
        <x:f>IF('Trial Register'!R271&lt;&gt;"",1,0)</x:f>
        <x:v>0</x:v>
      </x:c>
      <x:c r="G3165" t="n">
        <x:v>1</x:v>
      </x:c>
      <x:c r="H3165" t="str">
        <x:v>independent physical acceptance</x:v>
      </x:c>
      <x:c r="I3165" t="str">
        <x:f>IF(F3165=1,"PASS","OPEN")</x:f>
        <x:v>OPEN</x:v>
      </x:c>
    </x:row>
    <x:row r="3166">
      <x:c r="B3166" t="str">
        <x:v>PH-RV-265</x:v>
      </x:c>
      <x:c r="C3166" t="str">
        <x:v>PHYSICAL</x:v>
      </x:c>
      <x:c r="D3166" t="str">
        <x:v>reported value</x:v>
      </x:c>
      <x:c r="E3166" t="str">
        <x:v>PH-RV-265</x:v>
      </x:c>
      <x:c r="F3166" t="n">
        <x:f>IF('Trial Register'!S271&lt;&gt;"",1,0)</x:f>
        <x:v>0</x:v>
      </x:c>
      <x:c r="G3166" t="n">
        <x:v>1</x:v>
      </x:c>
      <x:c r="H3166" t="str">
        <x:v>independent physical acceptance</x:v>
      </x:c>
      <x:c r="I3166" t="str">
        <x:f>IF(F3166=1,"PASS","OPEN")</x:f>
        <x:v>OPEN</x:v>
      </x:c>
    </x:row>
    <x:row r="3167">
      <x:c r="B3167" t="str">
        <x:v>PH-CR-265</x:v>
      </x:c>
      <x:c r="C3167" t="str">
        <x:v>PHYSICAL</x:v>
      </x:c>
      <x:c r="D3167" t="str">
        <x:v>credit acceptance</x:v>
      </x:c>
      <x:c r="E3167" t="str">
        <x:v>PH-CR-265</x:v>
      </x:c>
      <x:c r="F3167" t="str">
        <x:f>'Trial Register'!V271</x:f>
      </x:c>
      <x:c r="G3167" t="n">
        <x:v>1</x:v>
      </x:c>
      <x:c r="H3167" t="str">
        <x:v>independent physical acceptance</x:v>
      </x:c>
      <x:c r="I3167" t="str">
        <x:f>IF(F3167=1,"PASS","OPEN")</x:f>
        <x:v>OPEN</x:v>
      </x:c>
    </x:row>
    <x:row r="3168">
      <x:c r="B3168" t="str">
        <x:v>PH-EX-266</x:v>
      </x:c>
      <x:c r="C3168" t="str">
        <x:v>PHYSICAL</x:v>
      </x:c>
      <x:c r="D3168" t="str">
        <x:v>trial execution</x:v>
      </x:c>
      <x:c r="E3168" t="str">
        <x:v>PH-EX-266</x:v>
      </x:c>
      <x:c r="F3168" t="n">
        <x:f>IF('Trial Register'!P272&lt;&gt;"",1,0)</x:f>
        <x:v>0</x:v>
      </x:c>
      <x:c r="G3168" t="n">
        <x:v>1</x:v>
      </x:c>
      <x:c r="H3168" t="str">
        <x:v>independent physical acceptance</x:v>
      </x:c>
      <x:c r="I3168" t="str">
        <x:f>IF(F3168=1,"PASS","OPEN")</x:f>
        <x:v>OPEN</x:v>
      </x:c>
    </x:row>
    <x:row r="3169">
      <x:c r="B3169" t="str">
        <x:v>PH-PK-266</x:v>
      </x:c>
      <x:c r="C3169" t="str">
        <x:v>PHYSICAL</x:v>
      </x:c>
      <x:c r="D3169" t="str">
        <x:v>trial packet</x:v>
      </x:c>
      <x:c r="E3169" t="str">
        <x:v>PH-PK-266</x:v>
      </x:c>
      <x:c r="F3169" t="n">
        <x:f>IF('Trial Register'!Q272&lt;&gt;"",1,0)</x:f>
        <x:v>0</x:v>
      </x:c>
      <x:c r="G3169" t="n">
        <x:v>1</x:v>
      </x:c>
      <x:c r="H3169" t="str">
        <x:v>independent physical acceptance</x:v>
      </x:c>
      <x:c r="I3169" t="str">
        <x:f>IF(F3169=1,"PASS","OPEN")</x:f>
        <x:v>OPEN</x:v>
      </x:c>
    </x:row>
    <x:row r="3170">
      <x:c r="B3170" t="str">
        <x:v>PH-VA-266</x:v>
      </x:c>
      <x:c r="C3170" t="str">
        <x:v>PHYSICAL</x:v>
      </x:c>
      <x:c r="D3170" t="str">
        <x:v>trial validity</x:v>
      </x:c>
      <x:c r="E3170" t="str">
        <x:v>PH-VA-266</x:v>
      </x:c>
      <x:c r="F3170" t="n">
        <x:f>IF('Trial Register'!R272&lt;&gt;"",1,0)</x:f>
        <x:v>0</x:v>
      </x:c>
      <x:c r="G3170" t="n">
        <x:v>1</x:v>
      </x:c>
      <x:c r="H3170" t="str">
        <x:v>independent physical acceptance</x:v>
      </x:c>
      <x:c r="I3170" t="str">
        <x:f>IF(F3170=1,"PASS","OPEN")</x:f>
        <x:v>OPEN</x:v>
      </x:c>
    </x:row>
    <x:row r="3171">
      <x:c r="B3171" t="str">
        <x:v>PH-RV-266</x:v>
      </x:c>
      <x:c r="C3171" t="str">
        <x:v>PHYSICAL</x:v>
      </x:c>
      <x:c r="D3171" t="str">
        <x:v>reported value</x:v>
      </x:c>
      <x:c r="E3171" t="str">
        <x:v>PH-RV-266</x:v>
      </x:c>
      <x:c r="F3171" t="n">
        <x:f>IF('Trial Register'!S272&lt;&gt;"",1,0)</x:f>
        <x:v>0</x:v>
      </x:c>
      <x:c r="G3171" t="n">
        <x:v>1</x:v>
      </x:c>
      <x:c r="H3171" t="str">
        <x:v>independent physical acceptance</x:v>
      </x:c>
      <x:c r="I3171" t="str">
        <x:f>IF(F3171=1,"PASS","OPEN")</x:f>
        <x:v>OPEN</x:v>
      </x:c>
    </x:row>
    <x:row r="3172">
      <x:c r="B3172" t="str">
        <x:v>PH-CR-266</x:v>
      </x:c>
      <x:c r="C3172" t="str">
        <x:v>PHYSICAL</x:v>
      </x:c>
      <x:c r="D3172" t="str">
        <x:v>credit acceptance</x:v>
      </x:c>
      <x:c r="E3172" t="str">
        <x:v>PH-CR-266</x:v>
      </x:c>
      <x:c r="F3172" t="str">
        <x:f>'Trial Register'!V272</x:f>
      </x:c>
      <x:c r="G3172" t="n">
        <x:v>1</x:v>
      </x:c>
      <x:c r="H3172" t="str">
        <x:v>independent physical acceptance</x:v>
      </x:c>
      <x:c r="I3172" t="str">
        <x:f>IF(F3172=1,"PASS","OPEN")</x:f>
        <x:v>OPEN</x:v>
      </x:c>
    </x:row>
    <x:row r="3173">
      <x:c r="B3173" t="str">
        <x:v>PH-EX-267</x:v>
      </x:c>
      <x:c r="C3173" t="str">
        <x:v>PHYSICAL</x:v>
      </x:c>
      <x:c r="D3173" t="str">
        <x:v>trial execution</x:v>
      </x:c>
      <x:c r="E3173" t="str">
        <x:v>PH-EX-267</x:v>
      </x:c>
      <x:c r="F3173" t="n">
        <x:f>IF('Trial Register'!P273&lt;&gt;"",1,0)</x:f>
        <x:v>0</x:v>
      </x:c>
      <x:c r="G3173" t="n">
        <x:v>1</x:v>
      </x:c>
      <x:c r="H3173" t="str">
        <x:v>independent physical acceptance</x:v>
      </x:c>
      <x:c r="I3173" t="str">
        <x:f>IF(F3173=1,"PASS","OPEN")</x:f>
        <x:v>OPEN</x:v>
      </x:c>
    </x:row>
    <x:row r="3174">
      <x:c r="B3174" t="str">
        <x:v>PH-PK-267</x:v>
      </x:c>
      <x:c r="C3174" t="str">
        <x:v>PHYSICAL</x:v>
      </x:c>
      <x:c r="D3174" t="str">
        <x:v>trial packet</x:v>
      </x:c>
      <x:c r="E3174" t="str">
        <x:v>PH-PK-267</x:v>
      </x:c>
      <x:c r="F3174" t="n">
        <x:f>IF('Trial Register'!Q273&lt;&gt;"",1,0)</x:f>
        <x:v>0</x:v>
      </x:c>
      <x:c r="G3174" t="n">
        <x:v>1</x:v>
      </x:c>
      <x:c r="H3174" t="str">
        <x:v>independent physical acceptance</x:v>
      </x:c>
      <x:c r="I3174" t="str">
        <x:f>IF(F3174=1,"PASS","OPEN")</x:f>
        <x:v>OPEN</x:v>
      </x:c>
    </x:row>
    <x:row r="3175">
      <x:c r="B3175" t="str">
        <x:v>PH-VA-267</x:v>
      </x:c>
      <x:c r="C3175" t="str">
        <x:v>PHYSICAL</x:v>
      </x:c>
      <x:c r="D3175" t="str">
        <x:v>trial validity</x:v>
      </x:c>
      <x:c r="E3175" t="str">
        <x:v>PH-VA-267</x:v>
      </x:c>
      <x:c r="F3175" t="n">
        <x:f>IF('Trial Register'!R273&lt;&gt;"",1,0)</x:f>
        <x:v>0</x:v>
      </x:c>
      <x:c r="G3175" t="n">
        <x:v>1</x:v>
      </x:c>
      <x:c r="H3175" t="str">
        <x:v>independent physical acceptance</x:v>
      </x:c>
      <x:c r="I3175" t="str">
        <x:f>IF(F3175=1,"PASS","OPEN")</x:f>
        <x:v>OPEN</x:v>
      </x:c>
    </x:row>
    <x:row r="3176">
      <x:c r="B3176" t="str">
        <x:v>PH-RV-267</x:v>
      </x:c>
      <x:c r="C3176" t="str">
        <x:v>PHYSICAL</x:v>
      </x:c>
      <x:c r="D3176" t="str">
        <x:v>reported value</x:v>
      </x:c>
      <x:c r="E3176" t="str">
        <x:v>PH-RV-267</x:v>
      </x:c>
      <x:c r="F3176" t="n">
        <x:f>IF('Trial Register'!S273&lt;&gt;"",1,0)</x:f>
        <x:v>0</x:v>
      </x:c>
      <x:c r="G3176" t="n">
        <x:v>1</x:v>
      </x:c>
      <x:c r="H3176" t="str">
        <x:v>independent physical acceptance</x:v>
      </x:c>
      <x:c r="I3176" t="str">
        <x:f>IF(F3176=1,"PASS","OPEN")</x:f>
        <x:v>OPEN</x:v>
      </x:c>
    </x:row>
    <x:row r="3177">
      <x:c r="B3177" t="str">
        <x:v>PH-CR-267</x:v>
      </x:c>
      <x:c r="C3177" t="str">
        <x:v>PHYSICAL</x:v>
      </x:c>
      <x:c r="D3177" t="str">
        <x:v>credit acceptance</x:v>
      </x:c>
      <x:c r="E3177" t="str">
        <x:v>PH-CR-267</x:v>
      </x:c>
      <x:c r="F3177" t="str">
        <x:f>'Trial Register'!V273</x:f>
      </x:c>
      <x:c r="G3177" t="n">
        <x:v>1</x:v>
      </x:c>
      <x:c r="H3177" t="str">
        <x:v>independent physical acceptance</x:v>
      </x:c>
      <x:c r="I3177" t="str">
        <x:f>IF(F3177=1,"PASS","OPEN")</x:f>
        <x:v>OPEN</x:v>
      </x:c>
    </x:row>
    <x:row r="3178">
      <x:c r="B3178" t="str">
        <x:v>PH-EX-268</x:v>
      </x:c>
      <x:c r="C3178" t="str">
        <x:v>PHYSICAL</x:v>
      </x:c>
      <x:c r="D3178" t="str">
        <x:v>trial execution</x:v>
      </x:c>
      <x:c r="E3178" t="str">
        <x:v>PH-EX-268</x:v>
      </x:c>
      <x:c r="F3178" t="n">
        <x:f>IF('Trial Register'!P274&lt;&gt;"",1,0)</x:f>
        <x:v>0</x:v>
      </x:c>
      <x:c r="G3178" t="n">
        <x:v>1</x:v>
      </x:c>
      <x:c r="H3178" t="str">
        <x:v>independent physical acceptance</x:v>
      </x:c>
      <x:c r="I3178" t="str">
        <x:f>IF(F3178=1,"PASS","OPEN")</x:f>
        <x:v>OPEN</x:v>
      </x:c>
    </x:row>
    <x:row r="3179">
      <x:c r="B3179" t="str">
        <x:v>PH-PK-268</x:v>
      </x:c>
      <x:c r="C3179" t="str">
        <x:v>PHYSICAL</x:v>
      </x:c>
      <x:c r="D3179" t="str">
        <x:v>trial packet</x:v>
      </x:c>
      <x:c r="E3179" t="str">
        <x:v>PH-PK-268</x:v>
      </x:c>
      <x:c r="F3179" t="n">
        <x:f>IF('Trial Register'!Q274&lt;&gt;"",1,0)</x:f>
        <x:v>0</x:v>
      </x:c>
      <x:c r="G3179" t="n">
        <x:v>1</x:v>
      </x:c>
      <x:c r="H3179" t="str">
        <x:v>independent physical acceptance</x:v>
      </x:c>
      <x:c r="I3179" t="str">
        <x:f>IF(F3179=1,"PASS","OPEN")</x:f>
        <x:v>OPEN</x:v>
      </x:c>
    </x:row>
    <x:row r="3180">
      <x:c r="B3180" t="str">
        <x:v>PH-VA-268</x:v>
      </x:c>
      <x:c r="C3180" t="str">
        <x:v>PHYSICAL</x:v>
      </x:c>
      <x:c r="D3180" t="str">
        <x:v>trial validity</x:v>
      </x:c>
      <x:c r="E3180" t="str">
        <x:v>PH-VA-268</x:v>
      </x:c>
      <x:c r="F3180" t="n">
        <x:f>IF('Trial Register'!R274&lt;&gt;"",1,0)</x:f>
        <x:v>0</x:v>
      </x:c>
      <x:c r="G3180" t="n">
        <x:v>1</x:v>
      </x:c>
      <x:c r="H3180" t="str">
        <x:v>independent physical acceptance</x:v>
      </x:c>
      <x:c r="I3180" t="str">
        <x:f>IF(F3180=1,"PASS","OPEN")</x:f>
        <x:v>OPEN</x:v>
      </x:c>
    </x:row>
    <x:row r="3181">
      <x:c r="B3181" t="str">
        <x:v>PH-RV-268</x:v>
      </x:c>
      <x:c r="C3181" t="str">
        <x:v>PHYSICAL</x:v>
      </x:c>
      <x:c r="D3181" t="str">
        <x:v>reported value</x:v>
      </x:c>
      <x:c r="E3181" t="str">
        <x:v>PH-RV-268</x:v>
      </x:c>
      <x:c r="F3181" t="n">
        <x:f>IF('Trial Register'!S274&lt;&gt;"",1,0)</x:f>
        <x:v>0</x:v>
      </x:c>
      <x:c r="G3181" t="n">
        <x:v>1</x:v>
      </x:c>
      <x:c r="H3181" t="str">
        <x:v>independent physical acceptance</x:v>
      </x:c>
      <x:c r="I3181" t="str">
        <x:f>IF(F3181=1,"PASS","OPEN")</x:f>
        <x:v>OPEN</x:v>
      </x:c>
    </x:row>
    <x:row r="3182">
      <x:c r="B3182" t="str">
        <x:v>PH-CR-268</x:v>
      </x:c>
      <x:c r="C3182" t="str">
        <x:v>PHYSICAL</x:v>
      </x:c>
      <x:c r="D3182" t="str">
        <x:v>credit acceptance</x:v>
      </x:c>
      <x:c r="E3182" t="str">
        <x:v>PH-CR-268</x:v>
      </x:c>
      <x:c r="F3182" t="str">
        <x:f>'Trial Register'!V274</x:f>
      </x:c>
      <x:c r="G3182" t="n">
        <x:v>1</x:v>
      </x:c>
      <x:c r="H3182" t="str">
        <x:v>independent physical acceptance</x:v>
      </x:c>
      <x:c r="I3182" t="str">
        <x:f>IF(F3182=1,"PASS","OPEN")</x:f>
        <x:v>OPEN</x:v>
      </x:c>
    </x:row>
    <x:row r="3183">
      <x:c r="B3183" t="str">
        <x:v>PH-EX-269</x:v>
      </x:c>
      <x:c r="C3183" t="str">
        <x:v>PHYSICAL</x:v>
      </x:c>
      <x:c r="D3183" t="str">
        <x:v>trial execution</x:v>
      </x:c>
      <x:c r="E3183" t="str">
        <x:v>PH-EX-269</x:v>
      </x:c>
      <x:c r="F3183" t="n">
        <x:f>IF('Trial Register'!P275&lt;&gt;"",1,0)</x:f>
        <x:v>0</x:v>
      </x:c>
      <x:c r="G3183" t="n">
        <x:v>1</x:v>
      </x:c>
      <x:c r="H3183" t="str">
        <x:v>independent physical acceptance</x:v>
      </x:c>
      <x:c r="I3183" t="str">
        <x:f>IF(F3183=1,"PASS","OPEN")</x:f>
        <x:v>OPEN</x:v>
      </x:c>
    </x:row>
    <x:row r="3184">
      <x:c r="B3184" t="str">
        <x:v>PH-PK-269</x:v>
      </x:c>
      <x:c r="C3184" t="str">
        <x:v>PHYSICAL</x:v>
      </x:c>
      <x:c r="D3184" t="str">
        <x:v>trial packet</x:v>
      </x:c>
      <x:c r="E3184" t="str">
        <x:v>PH-PK-269</x:v>
      </x:c>
      <x:c r="F3184" t="n">
        <x:f>IF('Trial Register'!Q275&lt;&gt;"",1,0)</x:f>
        <x:v>0</x:v>
      </x:c>
      <x:c r="G3184" t="n">
        <x:v>1</x:v>
      </x:c>
      <x:c r="H3184" t="str">
        <x:v>independent physical acceptance</x:v>
      </x:c>
      <x:c r="I3184" t="str">
        <x:f>IF(F3184=1,"PASS","OPEN")</x:f>
        <x:v>OPEN</x:v>
      </x:c>
    </x:row>
    <x:row r="3185">
      <x:c r="B3185" t="str">
        <x:v>PH-VA-269</x:v>
      </x:c>
      <x:c r="C3185" t="str">
        <x:v>PHYSICAL</x:v>
      </x:c>
      <x:c r="D3185" t="str">
        <x:v>trial validity</x:v>
      </x:c>
      <x:c r="E3185" t="str">
        <x:v>PH-VA-269</x:v>
      </x:c>
      <x:c r="F3185" t="n">
        <x:f>IF('Trial Register'!R275&lt;&gt;"",1,0)</x:f>
        <x:v>0</x:v>
      </x:c>
      <x:c r="G3185" t="n">
        <x:v>1</x:v>
      </x:c>
      <x:c r="H3185" t="str">
        <x:v>independent physical acceptance</x:v>
      </x:c>
      <x:c r="I3185" t="str">
        <x:f>IF(F3185=1,"PASS","OPEN")</x:f>
        <x:v>OPEN</x:v>
      </x:c>
    </x:row>
    <x:row r="3186">
      <x:c r="B3186" t="str">
        <x:v>PH-RV-269</x:v>
      </x:c>
      <x:c r="C3186" t="str">
        <x:v>PHYSICAL</x:v>
      </x:c>
      <x:c r="D3186" t="str">
        <x:v>reported value</x:v>
      </x:c>
      <x:c r="E3186" t="str">
        <x:v>PH-RV-269</x:v>
      </x:c>
      <x:c r="F3186" t="n">
        <x:f>IF('Trial Register'!S275&lt;&gt;"",1,0)</x:f>
        <x:v>0</x:v>
      </x:c>
      <x:c r="G3186" t="n">
        <x:v>1</x:v>
      </x:c>
      <x:c r="H3186" t="str">
        <x:v>independent physical acceptance</x:v>
      </x:c>
      <x:c r="I3186" t="str">
        <x:f>IF(F3186=1,"PASS","OPEN")</x:f>
        <x:v>OPEN</x:v>
      </x:c>
    </x:row>
    <x:row r="3187">
      <x:c r="B3187" t="str">
        <x:v>PH-CR-269</x:v>
      </x:c>
      <x:c r="C3187" t="str">
        <x:v>PHYSICAL</x:v>
      </x:c>
      <x:c r="D3187" t="str">
        <x:v>credit acceptance</x:v>
      </x:c>
      <x:c r="E3187" t="str">
        <x:v>PH-CR-269</x:v>
      </x:c>
      <x:c r="F3187" t="str">
        <x:f>'Trial Register'!V275</x:f>
      </x:c>
      <x:c r="G3187" t="n">
        <x:v>1</x:v>
      </x:c>
      <x:c r="H3187" t="str">
        <x:v>independent physical acceptance</x:v>
      </x:c>
      <x:c r="I3187" t="str">
        <x:f>IF(F3187=1,"PASS","OPEN")</x:f>
        <x:v>OPEN</x:v>
      </x:c>
    </x:row>
    <x:row r="3188">
      <x:c r="B3188" t="str">
        <x:v>PH-EX-270</x:v>
      </x:c>
      <x:c r="C3188" t="str">
        <x:v>PHYSICAL</x:v>
      </x:c>
      <x:c r="D3188" t="str">
        <x:v>trial execution</x:v>
      </x:c>
      <x:c r="E3188" t="str">
        <x:v>PH-EX-270</x:v>
      </x:c>
      <x:c r="F3188" t="n">
        <x:f>IF('Trial Register'!P276&lt;&gt;"",1,0)</x:f>
        <x:v>0</x:v>
      </x:c>
      <x:c r="G3188" t="n">
        <x:v>1</x:v>
      </x:c>
      <x:c r="H3188" t="str">
        <x:v>independent physical acceptance</x:v>
      </x:c>
      <x:c r="I3188" t="str">
        <x:f>IF(F3188=1,"PASS","OPEN")</x:f>
        <x:v>OPEN</x:v>
      </x:c>
    </x:row>
    <x:row r="3189">
      <x:c r="B3189" t="str">
        <x:v>PH-PK-270</x:v>
      </x:c>
      <x:c r="C3189" t="str">
        <x:v>PHYSICAL</x:v>
      </x:c>
      <x:c r="D3189" t="str">
        <x:v>trial packet</x:v>
      </x:c>
      <x:c r="E3189" t="str">
        <x:v>PH-PK-270</x:v>
      </x:c>
      <x:c r="F3189" t="n">
        <x:f>IF('Trial Register'!Q276&lt;&gt;"",1,0)</x:f>
        <x:v>0</x:v>
      </x:c>
      <x:c r="G3189" t="n">
        <x:v>1</x:v>
      </x:c>
      <x:c r="H3189" t="str">
        <x:v>independent physical acceptance</x:v>
      </x:c>
      <x:c r="I3189" t="str">
        <x:f>IF(F3189=1,"PASS","OPEN")</x:f>
        <x:v>OPEN</x:v>
      </x:c>
    </x:row>
    <x:row r="3190">
      <x:c r="B3190" t="str">
        <x:v>PH-VA-270</x:v>
      </x:c>
      <x:c r="C3190" t="str">
        <x:v>PHYSICAL</x:v>
      </x:c>
      <x:c r="D3190" t="str">
        <x:v>trial validity</x:v>
      </x:c>
      <x:c r="E3190" t="str">
        <x:v>PH-VA-270</x:v>
      </x:c>
      <x:c r="F3190" t="n">
        <x:f>IF('Trial Register'!R276&lt;&gt;"",1,0)</x:f>
        <x:v>0</x:v>
      </x:c>
      <x:c r="G3190" t="n">
        <x:v>1</x:v>
      </x:c>
      <x:c r="H3190" t="str">
        <x:v>independent physical acceptance</x:v>
      </x:c>
      <x:c r="I3190" t="str">
        <x:f>IF(F3190=1,"PASS","OPEN")</x:f>
        <x:v>OPEN</x:v>
      </x:c>
    </x:row>
    <x:row r="3191">
      <x:c r="B3191" t="str">
        <x:v>PH-RV-270</x:v>
      </x:c>
      <x:c r="C3191" t="str">
        <x:v>PHYSICAL</x:v>
      </x:c>
      <x:c r="D3191" t="str">
        <x:v>reported value</x:v>
      </x:c>
      <x:c r="E3191" t="str">
        <x:v>PH-RV-270</x:v>
      </x:c>
      <x:c r="F3191" t="n">
        <x:f>IF('Trial Register'!S276&lt;&gt;"",1,0)</x:f>
        <x:v>0</x:v>
      </x:c>
      <x:c r="G3191" t="n">
        <x:v>1</x:v>
      </x:c>
      <x:c r="H3191" t="str">
        <x:v>independent physical acceptance</x:v>
      </x:c>
      <x:c r="I3191" t="str">
        <x:f>IF(F3191=1,"PASS","OPEN")</x:f>
        <x:v>OPEN</x:v>
      </x:c>
    </x:row>
    <x:row r="3192">
      <x:c r="B3192" t="str">
        <x:v>PH-CR-270</x:v>
      </x:c>
      <x:c r="C3192" t="str">
        <x:v>PHYSICAL</x:v>
      </x:c>
      <x:c r="D3192" t="str">
        <x:v>credit acceptance</x:v>
      </x:c>
      <x:c r="E3192" t="str">
        <x:v>PH-CR-270</x:v>
      </x:c>
      <x:c r="F3192" t="str">
        <x:f>'Trial Register'!V276</x:f>
      </x:c>
      <x:c r="G3192" t="n">
        <x:v>1</x:v>
      </x:c>
      <x:c r="H3192" t="str">
        <x:v>independent physical acceptance</x:v>
      </x:c>
      <x:c r="I3192" t="str">
        <x:f>IF(F3192=1,"PASS","OPEN")</x:f>
        <x:v>OPEN</x:v>
      </x:c>
    </x:row>
    <x:row r="3193">
      <x:c r="B3193" t="str">
        <x:v>PH-EX-271</x:v>
      </x:c>
      <x:c r="C3193" t="str">
        <x:v>PHYSICAL</x:v>
      </x:c>
      <x:c r="D3193" t="str">
        <x:v>trial execution</x:v>
      </x:c>
      <x:c r="E3193" t="str">
        <x:v>PH-EX-271</x:v>
      </x:c>
      <x:c r="F3193" t="n">
        <x:f>IF('Trial Register'!P277&lt;&gt;"",1,0)</x:f>
        <x:v>0</x:v>
      </x:c>
      <x:c r="G3193" t="n">
        <x:v>1</x:v>
      </x:c>
      <x:c r="H3193" t="str">
        <x:v>independent physical acceptance</x:v>
      </x:c>
      <x:c r="I3193" t="str">
        <x:f>IF(F3193=1,"PASS","OPEN")</x:f>
        <x:v>OPEN</x:v>
      </x:c>
    </x:row>
    <x:row r="3194">
      <x:c r="B3194" t="str">
        <x:v>PH-PK-271</x:v>
      </x:c>
      <x:c r="C3194" t="str">
        <x:v>PHYSICAL</x:v>
      </x:c>
      <x:c r="D3194" t="str">
        <x:v>trial packet</x:v>
      </x:c>
      <x:c r="E3194" t="str">
        <x:v>PH-PK-271</x:v>
      </x:c>
      <x:c r="F3194" t="n">
        <x:f>IF('Trial Register'!Q277&lt;&gt;"",1,0)</x:f>
        <x:v>0</x:v>
      </x:c>
      <x:c r="G3194" t="n">
        <x:v>1</x:v>
      </x:c>
      <x:c r="H3194" t="str">
        <x:v>independent physical acceptance</x:v>
      </x:c>
      <x:c r="I3194" t="str">
        <x:f>IF(F3194=1,"PASS","OPEN")</x:f>
        <x:v>OPEN</x:v>
      </x:c>
    </x:row>
    <x:row r="3195">
      <x:c r="B3195" t="str">
        <x:v>PH-VA-271</x:v>
      </x:c>
      <x:c r="C3195" t="str">
        <x:v>PHYSICAL</x:v>
      </x:c>
      <x:c r="D3195" t="str">
        <x:v>trial validity</x:v>
      </x:c>
      <x:c r="E3195" t="str">
        <x:v>PH-VA-271</x:v>
      </x:c>
      <x:c r="F3195" t="n">
        <x:f>IF('Trial Register'!R277&lt;&gt;"",1,0)</x:f>
        <x:v>0</x:v>
      </x:c>
      <x:c r="G3195" t="n">
        <x:v>1</x:v>
      </x:c>
      <x:c r="H3195" t="str">
        <x:v>independent physical acceptance</x:v>
      </x:c>
      <x:c r="I3195" t="str">
        <x:f>IF(F3195=1,"PASS","OPEN")</x:f>
        <x:v>OPEN</x:v>
      </x:c>
    </x:row>
    <x:row r="3196">
      <x:c r="B3196" t="str">
        <x:v>PH-RV-271</x:v>
      </x:c>
      <x:c r="C3196" t="str">
        <x:v>PHYSICAL</x:v>
      </x:c>
      <x:c r="D3196" t="str">
        <x:v>reported value</x:v>
      </x:c>
      <x:c r="E3196" t="str">
        <x:v>PH-RV-271</x:v>
      </x:c>
      <x:c r="F3196" t="n">
        <x:f>IF('Trial Register'!S277&lt;&gt;"",1,0)</x:f>
        <x:v>0</x:v>
      </x:c>
      <x:c r="G3196" t="n">
        <x:v>1</x:v>
      </x:c>
      <x:c r="H3196" t="str">
        <x:v>independent physical acceptance</x:v>
      </x:c>
      <x:c r="I3196" t="str">
        <x:f>IF(F3196=1,"PASS","OPEN")</x:f>
        <x:v>OPEN</x:v>
      </x:c>
    </x:row>
    <x:row r="3197">
      <x:c r="B3197" t="str">
        <x:v>PH-CR-271</x:v>
      </x:c>
      <x:c r="C3197" t="str">
        <x:v>PHYSICAL</x:v>
      </x:c>
      <x:c r="D3197" t="str">
        <x:v>credit acceptance</x:v>
      </x:c>
      <x:c r="E3197" t="str">
        <x:v>PH-CR-271</x:v>
      </x:c>
      <x:c r="F3197" t="str">
        <x:f>'Trial Register'!V277</x:f>
      </x:c>
      <x:c r="G3197" t="n">
        <x:v>1</x:v>
      </x:c>
      <x:c r="H3197" t="str">
        <x:v>independent physical acceptance</x:v>
      </x:c>
      <x:c r="I3197" t="str">
        <x:f>IF(F3197=1,"PASS","OPEN")</x:f>
        <x:v>OPEN</x:v>
      </x:c>
    </x:row>
    <x:row r="3198">
      <x:c r="B3198" t="str">
        <x:v>PH-EX-272</x:v>
      </x:c>
      <x:c r="C3198" t="str">
        <x:v>PHYSICAL</x:v>
      </x:c>
      <x:c r="D3198" t="str">
        <x:v>trial execution</x:v>
      </x:c>
      <x:c r="E3198" t="str">
        <x:v>PH-EX-272</x:v>
      </x:c>
      <x:c r="F3198" t="n">
        <x:f>IF('Trial Register'!P278&lt;&gt;"",1,0)</x:f>
        <x:v>0</x:v>
      </x:c>
      <x:c r="G3198" t="n">
        <x:v>1</x:v>
      </x:c>
      <x:c r="H3198" t="str">
        <x:v>independent physical acceptance</x:v>
      </x:c>
      <x:c r="I3198" t="str">
        <x:f>IF(F3198=1,"PASS","OPEN")</x:f>
        <x:v>OPEN</x:v>
      </x:c>
    </x:row>
    <x:row r="3199">
      <x:c r="B3199" t="str">
        <x:v>PH-PK-272</x:v>
      </x:c>
      <x:c r="C3199" t="str">
        <x:v>PHYSICAL</x:v>
      </x:c>
      <x:c r="D3199" t="str">
        <x:v>trial packet</x:v>
      </x:c>
      <x:c r="E3199" t="str">
        <x:v>PH-PK-272</x:v>
      </x:c>
      <x:c r="F3199" t="n">
        <x:f>IF('Trial Register'!Q278&lt;&gt;"",1,0)</x:f>
        <x:v>0</x:v>
      </x:c>
      <x:c r="G3199" t="n">
        <x:v>1</x:v>
      </x:c>
      <x:c r="H3199" t="str">
        <x:v>independent physical acceptance</x:v>
      </x:c>
      <x:c r="I3199" t="str">
        <x:f>IF(F3199=1,"PASS","OPEN")</x:f>
        <x:v>OPEN</x:v>
      </x:c>
    </x:row>
    <x:row r="3200">
      <x:c r="B3200" t="str">
        <x:v>PH-VA-272</x:v>
      </x:c>
      <x:c r="C3200" t="str">
        <x:v>PHYSICAL</x:v>
      </x:c>
      <x:c r="D3200" t="str">
        <x:v>trial validity</x:v>
      </x:c>
      <x:c r="E3200" t="str">
        <x:v>PH-VA-272</x:v>
      </x:c>
      <x:c r="F3200" t="n">
        <x:f>IF('Trial Register'!R278&lt;&gt;"",1,0)</x:f>
        <x:v>0</x:v>
      </x:c>
      <x:c r="G3200" t="n">
        <x:v>1</x:v>
      </x:c>
      <x:c r="H3200" t="str">
        <x:v>independent physical acceptance</x:v>
      </x:c>
      <x:c r="I3200" t="str">
        <x:f>IF(F3200=1,"PASS","OPEN")</x:f>
        <x:v>OPEN</x:v>
      </x:c>
    </x:row>
    <x:row r="3201">
      <x:c r="B3201" t="str">
        <x:v>PH-RV-272</x:v>
      </x:c>
      <x:c r="C3201" t="str">
        <x:v>PHYSICAL</x:v>
      </x:c>
      <x:c r="D3201" t="str">
        <x:v>reported value</x:v>
      </x:c>
      <x:c r="E3201" t="str">
        <x:v>PH-RV-272</x:v>
      </x:c>
      <x:c r="F3201" t="n">
        <x:f>IF('Trial Register'!S278&lt;&gt;"",1,0)</x:f>
        <x:v>0</x:v>
      </x:c>
      <x:c r="G3201" t="n">
        <x:v>1</x:v>
      </x:c>
      <x:c r="H3201" t="str">
        <x:v>independent physical acceptance</x:v>
      </x:c>
      <x:c r="I3201" t="str">
        <x:f>IF(F3201=1,"PASS","OPEN")</x:f>
        <x:v>OPEN</x:v>
      </x:c>
    </x:row>
    <x:row r="3202">
      <x:c r="B3202" t="str">
        <x:v>PH-CR-272</x:v>
      </x:c>
      <x:c r="C3202" t="str">
        <x:v>PHYSICAL</x:v>
      </x:c>
      <x:c r="D3202" t="str">
        <x:v>credit acceptance</x:v>
      </x:c>
      <x:c r="E3202" t="str">
        <x:v>PH-CR-272</x:v>
      </x:c>
      <x:c r="F3202" t="str">
        <x:f>'Trial Register'!V278</x:f>
      </x:c>
      <x:c r="G3202" t="n">
        <x:v>1</x:v>
      </x:c>
      <x:c r="H3202" t="str">
        <x:v>independent physical acceptance</x:v>
      </x:c>
      <x:c r="I3202" t="str">
        <x:f>IF(F3202=1,"PASS","OPEN")</x:f>
        <x:v>OPEN</x:v>
      </x:c>
    </x:row>
    <x:row r="3203">
      <x:c r="B3203" t="str">
        <x:v>PH-EX-273</x:v>
      </x:c>
      <x:c r="C3203" t="str">
        <x:v>PHYSICAL</x:v>
      </x:c>
      <x:c r="D3203" t="str">
        <x:v>trial execution</x:v>
      </x:c>
      <x:c r="E3203" t="str">
        <x:v>PH-EX-273</x:v>
      </x:c>
      <x:c r="F3203" t="n">
        <x:f>IF('Trial Register'!P279&lt;&gt;"",1,0)</x:f>
        <x:v>0</x:v>
      </x:c>
      <x:c r="G3203" t="n">
        <x:v>1</x:v>
      </x:c>
      <x:c r="H3203" t="str">
        <x:v>independent physical acceptance</x:v>
      </x:c>
      <x:c r="I3203" t="str">
        <x:f>IF(F3203=1,"PASS","OPEN")</x:f>
        <x:v>OPEN</x:v>
      </x:c>
    </x:row>
    <x:row r="3204">
      <x:c r="B3204" t="str">
        <x:v>PH-PK-273</x:v>
      </x:c>
      <x:c r="C3204" t="str">
        <x:v>PHYSICAL</x:v>
      </x:c>
      <x:c r="D3204" t="str">
        <x:v>trial packet</x:v>
      </x:c>
      <x:c r="E3204" t="str">
        <x:v>PH-PK-273</x:v>
      </x:c>
      <x:c r="F3204" t="n">
        <x:f>IF('Trial Register'!Q279&lt;&gt;"",1,0)</x:f>
        <x:v>0</x:v>
      </x:c>
      <x:c r="G3204" t="n">
        <x:v>1</x:v>
      </x:c>
      <x:c r="H3204" t="str">
        <x:v>independent physical acceptance</x:v>
      </x:c>
      <x:c r="I3204" t="str">
        <x:f>IF(F3204=1,"PASS","OPEN")</x:f>
        <x:v>OPEN</x:v>
      </x:c>
    </x:row>
    <x:row r="3205">
      <x:c r="B3205" t="str">
        <x:v>PH-VA-273</x:v>
      </x:c>
      <x:c r="C3205" t="str">
        <x:v>PHYSICAL</x:v>
      </x:c>
      <x:c r="D3205" t="str">
        <x:v>trial validity</x:v>
      </x:c>
      <x:c r="E3205" t="str">
        <x:v>PH-VA-273</x:v>
      </x:c>
      <x:c r="F3205" t="n">
        <x:f>IF('Trial Register'!R279&lt;&gt;"",1,0)</x:f>
        <x:v>0</x:v>
      </x:c>
      <x:c r="G3205" t="n">
        <x:v>1</x:v>
      </x:c>
      <x:c r="H3205" t="str">
        <x:v>independent physical acceptance</x:v>
      </x:c>
      <x:c r="I3205" t="str">
        <x:f>IF(F3205=1,"PASS","OPEN")</x:f>
        <x:v>OPEN</x:v>
      </x:c>
    </x:row>
    <x:row r="3206">
      <x:c r="B3206" t="str">
        <x:v>PH-RV-273</x:v>
      </x:c>
      <x:c r="C3206" t="str">
        <x:v>PHYSICAL</x:v>
      </x:c>
      <x:c r="D3206" t="str">
        <x:v>reported value</x:v>
      </x:c>
      <x:c r="E3206" t="str">
        <x:v>PH-RV-273</x:v>
      </x:c>
      <x:c r="F3206" t="n">
        <x:f>IF('Trial Register'!S279&lt;&gt;"",1,0)</x:f>
        <x:v>0</x:v>
      </x:c>
      <x:c r="G3206" t="n">
        <x:v>1</x:v>
      </x:c>
      <x:c r="H3206" t="str">
        <x:v>independent physical acceptance</x:v>
      </x:c>
      <x:c r="I3206" t="str">
        <x:f>IF(F3206=1,"PASS","OPEN")</x:f>
        <x:v>OPEN</x:v>
      </x:c>
    </x:row>
    <x:row r="3207">
      <x:c r="B3207" t="str">
        <x:v>PH-CR-273</x:v>
      </x:c>
      <x:c r="C3207" t="str">
        <x:v>PHYSICAL</x:v>
      </x:c>
      <x:c r="D3207" t="str">
        <x:v>credit acceptance</x:v>
      </x:c>
      <x:c r="E3207" t="str">
        <x:v>PH-CR-273</x:v>
      </x:c>
      <x:c r="F3207" t="str">
        <x:f>'Trial Register'!V279</x:f>
      </x:c>
      <x:c r="G3207" t="n">
        <x:v>1</x:v>
      </x:c>
      <x:c r="H3207" t="str">
        <x:v>independent physical acceptance</x:v>
      </x:c>
      <x:c r="I3207" t="str">
        <x:f>IF(F3207=1,"PASS","OPEN")</x:f>
        <x:v>OPEN</x:v>
      </x:c>
    </x:row>
    <x:row r="3208">
      <x:c r="B3208" t="str">
        <x:v>PH-EX-274</x:v>
      </x:c>
      <x:c r="C3208" t="str">
        <x:v>PHYSICAL</x:v>
      </x:c>
      <x:c r="D3208" t="str">
        <x:v>trial execution</x:v>
      </x:c>
      <x:c r="E3208" t="str">
        <x:v>PH-EX-274</x:v>
      </x:c>
      <x:c r="F3208" t="n">
        <x:f>IF('Trial Register'!P280&lt;&gt;"",1,0)</x:f>
        <x:v>0</x:v>
      </x:c>
      <x:c r="G3208" t="n">
        <x:v>1</x:v>
      </x:c>
      <x:c r="H3208" t="str">
        <x:v>independent physical acceptance</x:v>
      </x:c>
      <x:c r="I3208" t="str">
        <x:f>IF(F3208=1,"PASS","OPEN")</x:f>
        <x:v>OPEN</x:v>
      </x:c>
    </x:row>
    <x:row r="3209">
      <x:c r="B3209" t="str">
        <x:v>PH-PK-274</x:v>
      </x:c>
      <x:c r="C3209" t="str">
        <x:v>PHYSICAL</x:v>
      </x:c>
      <x:c r="D3209" t="str">
        <x:v>trial packet</x:v>
      </x:c>
      <x:c r="E3209" t="str">
        <x:v>PH-PK-274</x:v>
      </x:c>
      <x:c r="F3209" t="n">
        <x:f>IF('Trial Register'!Q280&lt;&gt;"",1,0)</x:f>
        <x:v>0</x:v>
      </x:c>
      <x:c r="G3209" t="n">
        <x:v>1</x:v>
      </x:c>
      <x:c r="H3209" t="str">
        <x:v>independent physical acceptance</x:v>
      </x:c>
      <x:c r="I3209" t="str">
        <x:f>IF(F3209=1,"PASS","OPEN")</x:f>
        <x:v>OPEN</x:v>
      </x:c>
    </x:row>
    <x:row r="3210">
      <x:c r="B3210" t="str">
        <x:v>PH-VA-274</x:v>
      </x:c>
      <x:c r="C3210" t="str">
        <x:v>PHYSICAL</x:v>
      </x:c>
      <x:c r="D3210" t="str">
        <x:v>trial validity</x:v>
      </x:c>
      <x:c r="E3210" t="str">
        <x:v>PH-VA-274</x:v>
      </x:c>
      <x:c r="F3210" t="n">
        <x:f>IF('Trial Register'!R280&lt;&gt;"",1,0)</x:f>
        <x:v>0</x:v>
      </x:c>
      <x:c r="G3210" t="n">
        <x:v>1</x:v>
      </x:c>
      <x:c r="H3210" t="str">
        <x:v>independent physical acceptance</x:v>
      </x:c>
      <x:c r="I3210" t="str">
        <x:f>IF(F3210=1,"PASS","OPEN")</x:f>
        <x:v>OPEN</x:v>
      </x:c>
    </x:row>
    <x:row r="3211">
      <x:c r="B3211" t="str">
        <x:v>PH-RV-274</x:v>
      </x:c>
      <x:c r="C3211" t="str">
        <x:v>PHYSICAL</x:v>
      </x:c>
      <x:c r="D3211" t="str">
        <x:v>reported value</x:v>
      </x:c>
      <x:c r="E3211" t="str">
        <x:v>PH-RV-274</x:v>
      </x:c>
      <x:c r="F3211" t="n">
        <x:f>IF('Trial Register'!S280&lt;&gt;"",1,0)</x:f>
        <x:v>0</x:v>
      </x:c>
      <x:c r="G3211" t="n">
        <x:v>1</x:v>
      </x:c>
      <x:c r="H3211" t="str">
        <x:v>independent physical acceptance</x:v>
      </x:c>
      <x:c r="I3211" t="str">
        <x:f>IF(F3211=1,"PASS","OPEN")</x:f>
        <x:v>OPEN</x:v>
      </x:c>
    </x:row>
    <x:row r="3212">
      <x:c r="B3212" t="str">
        <x:v>PH-CR-274</x:v>
      </x:c>
      <x:c r="C3212" t="str">
        <x:v>PHYSICAL</x:v>
      </x:c>
      <x:c r="D3212" t="str">
        <x:v>credit acceptance</x:v>
      </x:c>
      <x:c r="E3212" t="str">
        <x:v>PH-CR-274</x:v>
      </x:c>
      <x:c r="F3212" t="str">
        <x:f>'Trial Register'!V280</x:f>
      </x:c>
      <x:c r="G3212" t="n">
        <x:v>1</x:v>
      </x:c>
      <x:c r="H3212" t="str">
        <x:v>independent physical acceptance</x:v>
      </x:c>
      <x:c r="I3212" t="str">
        <x:f>IF(F3212=1,"PASS","OPEN")</x:f>
        <x:v>OPEN</x:v>
      </x:c>
    </x:row>
    <x:row r="3213">
      <x:c r="B3213" t="str">
        <x:v>PH-EX-275</x:v>
      </x:c>
      <x:c r="C3213" t="str">
        <x:v>PHYSICAL</x:v>
      </x:c>
      <x:c r="D3213" t="str">
        <x:v>trial execution</x:v>
      </x:c>
      <x:c r="E3213" t="str">
        <x:v>PH-EX-275</x:v>
      </x:c>
      <x:c r="F3213" t="n">
        <x:f>IF('Trial Register'!P281&lt;&gt;"",1,0)</x:f>
        <x:v>0</x:v>
      </x:c>
      <x:c r="G3213" t="n">
        <x:v>1</x:v>
      </x:c>
      <x:c r="H3213" t="str">
        <x:v>independent physical acceptance</x:v>
      </x:c>
      <x:c r="I3213" t="str">
        <x:f>IF(F3213=1,"PASS","OPEN")</x:f>
        <x:v>OPEN</x:v>
      </x:c>
    </x:row>
    <x:row r="3214">
      <x:c r="B3214" t="str">
        <x:v>PH-PK-275</x:v>
      </x:c>
      <x:c r="C3214" t="str">
        <x:v>PHYSICAL</x:v>
      </x:c>
      <x:c r="D3214" t="str">
        <x:v>trial packet</x:v>
      </x:c>
      <x:c r="E3214" t="str">
        <x:v>PH-PK-275</x:v>
      </x:c>
      <x:c r="F3214" t="n">
        <x:f>IF('Trial Register'!Q281&lt;&gt;"",1,0)</x:f>
        <x:v>0</x:v>
      </x:c>
      <x:c r="G3214" t="n">
        <x:v>1</x:v>
      </x:c>
      <x:c r="H3214" t="str">
        <x:v>independent physical acceptance</x:v>
      </x:c>
      <x:c r="I3214" t="str">
        <x:f>IF(F3214=1,"PASS","OPEN")</x:f>
        <x:v>OPEN</x:v>
      </x:c>
    </x:row>
    <x:row r="3215">
      <x:c r="B3215" t="str">
        <x:v>PH-VA-275</x:v>
      </x:c>
      <x:c r="C3215" t="str">
        <x:v>PHYSICAL</x:v>
      </x:c>
      <x:c r="D3215" t="str">
        <x:v>trial validity</x:v>
      </x:c>
      <x:c r="E3215" t="str">
        <x:v>PH-VA-275</x:v>
      </x:c>
      <x:c r="F3215" t="n">
        <x:f>IF('Trial Register'!R281&lt;&gt;"",1,0)</x:f>
        <x:v>0</x:v>
      </x:c>
      <x:c r="G3215" t="n">
        <x:v>1</x:v>
      </x:c>
      <x:c r="H3215" t="str">
        <x:v>independent physical acceptance</x:v>
      </x:c>
      <x:c r="I3215" t="str">
        <x:f>IF(F3215=1,"PASS","OPEN")</x:f>
        <x:v>OPEN</x:v>
      </x:c>
    </x:row>
    <x:row r="3216">
      <x:c r="B3216" t="str">
        <x:v>PH-RV-275</x:v>
      </x:c>
      <x:c r="C3216" t="str">
        <x:v>PHYSICAL</x:v>
      </x:c>
      <x:c r="D3216" t="str">
        <x:v>reported value</x:v>
      </x:c>
      <x:c r="E3216" t="str">
        <x:v>PH-RV-275</x:v>
      </x:c>
      <x:c r="F3216" t="n">
        <x:f>IF('Trial Register'!S281&lt;&gt;"",1,0)</x:f>
        <x:v>0</x:v>
      </x:c>
      <x:c r="G3216" t="n">
        <x:v>1</x:v>
      </x:c>
      <x:c r="H3216" t="str">
        <x:v>independent physical acceptance</x:v>
      </x:c>
      <x:c r="I3216" t="str">
        <x:f>IF(F3216=1,"PASS","OPEN")</x:f>
        <x:v>OPEN</x:v>
      </x:c>
    </x:row>
    <x:row r="3217">
      <x:c r="B3217" t="str">
        <x:v>PH-CR-275</x:v>
      </x:c>
      <x:c r="C3217" t="str">
        <x:v>PHYSICAL</x:v>
      </x:c>
      <x:c r="D3217" t="str">
        <x:v>credit acceptance</x:v>
      </x:c>
      <x:c r="E3217" t="str">
        <x:v>PH-CR-275</x:v>
      </x:c>
      <x:c r="F3217" t="str">
        <x:f>'Trial Register'!V281</x:f>
      </x:c>
      <x:c r="G3217" t="n">
        <x:v>1</x:v>
      </x:c>
      <x:c r="H3217" t="str">
        <x:v>independent physical acceptance</x:v>
      </x:c>
      <x:c r="I3217" t="str">
        <x:f>IF(F3217=1,"PASS","OPEN")</x:f>
        <x:v>OPEN</x:v>
      </x:c>
    </x:row>
    <x:row r="3218">
      <x:c r="B3218" t="str">
        <x:v>PH-EX-276</x:v>
      </x:c>
      <x:c r="C3218" t="str">
        <x:v>PHYSICAL</x:v>
      </x:c>
      <x:c r="D3218" t="str">
        <x:v>trial execution</x:v>
      </x:c>
      <x:c r="E3218" t="str">
        <x:v>PH-EX-276</x:v>
      </x:c>
      <x:c r="F3218" t="n">
        <x:f>IF('Trial Register'!P282&lt;&gt;"",1,0)</x:f>
        <x:v>0</x:v>
      </x:c>
      <x:c r="G3218" t="n">
        <x:v>1</x:v>
      </x:c>
      <x:c r="H3218" t="str">
        <x:v>independent physical acceptance</x:v>
      </x:c>
      <x:c r="I3218" t="str">
        <x:f>IF(F3218=1,"PASS","OPEN")</x:f>
        <x:v>OPEN</x:v>
      </x:c>
    </x:row>
    <x:row r="3219">
      <x:c r="B3219" t="str">
        <x:v>PH-PK-276</x:v>
      </x:c>
      <x:c r="C3219" t="str">
        <x:v>PHYSICAL</x:v>
      </x:c>
      <x:c r="D3219" t="str">
        <x:v>trial packet</x:v>
      </x:c>
      <x:c r="E3219" t="str">
        <x:v>PH-PK-276</x:v>
      </x:c>
      <x:c r="F3219" t="n">
        <x:f>IF('Trial Register'!Q282&lt;&gt;"",1,0)</x:f>
        <x:v>0</x:v>
      </x:c>
      <x:c r="G3219" t="n">
        <x:v>1</x:v>
      </x:c>
      <x:c r="H3219" t="str">
        <x:v>independent physical acceptance</x:v>
      </x:c>
      <x:c r="I3219" t="str">
        <x:f>IF(F3219=1,"PASS","OPEN")</x:f>
        <x:v>OPEN</x:v>
      </x:c>
    </x:row>
    <x:row r="3220">
      <x:c r="B3220" t="str">
        <x:v>PH-VA-276</x:v>
      </x:c>
      <x:c r="C3220" t="str">
        <x:v>PHYSICAL</x:v>
      </x:c>
      <x:c r="D3220" t="str">
        <x:v>trial validity</x:v>
      </x:c>
      <x:c r="E3220" t="str">
        <x:v>PH-VA-276</x:v>
      </x:c>
      <x:c r="F3220" t="n">
        <x:f>IF('Trial Register'!R282&lt;&gt;"",1,0)</x:f>
        <x:v>0</x:v>
      </x:c>
      <x:c r="G3220" t="n">
        <x:v>1</x:v>
      </x:c>
      <x:c r="H3220" t="str">
        <x:v>independent physical acceptance</x:v>
      </x:c>
      <x:c r="I3220" t="str">
        <x:f>IF(F3220=1,"PASS","OPEN")</x:f>
        <x:v>OPEN</x:v>
      </x:c>
    </x:row>
    <x:row r="3221">
      <x:c r="B3221" t="str">
        <x:v>PH-RV-276</x:v>
      </x:c>
      <x:c r="C3221" t="str">
        <x:v>PHYSICAL</x:v>
      </x:c>
      <x:c r="D3221" t="str">
        <x:v>reported value</x:v>
      </x:c>
      <x:c r="E3221" t="str">
        <x:v>PH-RV-276</x:v>
      </x:c>
      <x:c r="F3221" t="n">
        <x:f>IF('Trial Register'!S282&lt;&gt;"",1,0)</x:f>
        <x:v>0</x:v>
      </x:c>
      <x:c r="G3221" t="n">
        <x:v>1</x:v>
      </x:c>
      <x:c r="H3221" t="str">
        <x:v>independent physical acceptance</x:v>
      </x:c>
      <x:c r="I3221" t="str">
        <x:f>IF(F3221=1,"PASS","OPEN")</x:f>
        <x:v>OPEN</x:v>
      </x:c>
    </x:row>
    <x:row r="3222">
      <x:c r="B3222" t="str">
        <x:v>PH-CR-276</x:v>
      </x:c>
      <x:c r="C3222" t="str">
        <x:v>PHYSICAL</x:v>
      </x:c>
      <x:c r="D3222" t="str">
        <x:v>credit acceptance</x:v>
      </x:c>
      <x:c r="E3222" t="str">
        <x:v>PH-CR-276</x:v>
      </x:c>
      <x:c r="F3222" t="str">
        <x:f>'Trial Register'!V282</x:f>
      </x:c>
      <x:c r="G3222" t="n">
        <x:v>1</x:v>
      </x:c>
      <x:c r="H3222" t="str">
        <x:v>independent physical acceptance</x:v>
      </x:c>
      <x:c r="I3222" t="str">
        <x:f>IF(F3222=1,"PASS","OPEN")</x:f>
        <x:v>OPEN</x:v>
      </x:c>
    </x:row>
    <x:row r="3223">
      <x:c r="B3223" t="str">
        <x:v>PH-EX-277</x:v>
      </x:c>
      <x:c r="C3223" t="str">
        <x:v>PHYSICAL</x:v>
      </x:c>
      <x:c r="D3223" t="str">
        <x:v>trial execution</x:v>
      </x:c>
      <x:c r="E3223" t="str">
        <x:v>PH-EX-277</x:v>
      </x:c>
      <x:c r="F3223" t="n">
        <x:f>IF('Trial Register'!P283&lt;&gt;"",1,0)</x:f>
        <x:v>0</x:v>
      </x:c>
      <x:c r="G3223" t="n">
        <x:v>1</x:v>
      </x:c>
      <x:c r="H3223" t="str">
        <x:v>independent physical acceptance</x:v>
      </x:c>
      <x:c r="I3223" t="str">
        <x:f>IF(F3223=1,"PASS","OPEN")</x:f>
        <x:v>OPEN</x:v>
      </x:c>
    </x:row>
    <x:row r="3224">
      <x:c r="B3224" t="str">
        <x:v>PH-PK-277</x:v>
      </x:c>
      <x:c r="C3224" t="str">
        <x:v>PHYSICAL</x:v>
      </x:c>
      <x:c r="D3224" t="str">
        <x:v>trial packet</x:v>
      </x:c>
      <x:c r="E3224" t="str">
        <x:v>PH-PK-277</x:v>
      </x:c>
      <x:c r="F3224" t="n">
        <x:f>IF('Trial Register'!Q283&lt;&gt;"",1,0)</x:f>
        <x:v>0</x:v>
      </x:c>
      <x:c r="G3224" t="n">
        <x:v>1</x:v>
      </x:c>
      <x:c r="H3224" t="str">
        <x:v>independent physical acceptance</x:v>
      </x:c>
      <x:c r="I3224" t="str">
        <x:f>IF(F3224=1,"PASS","OPEN")</x:f>
        <x:v>OPEN</x:v>
      </x:c>
    </x:row>
    <x:row r="3225">
      <x:c r="B3225" t="str">
        <x:v>PH-VA-277</x:v>
      </x:c>
      <x:c r="C3225" t="str">
        <x:v>PHYSICAL</x:v>
      </x:c>
      <x:c r="D3225" t="str">
        <x:v>trial validity</x:v>
      </x:c>
      <x:c r="E3225" t="str">
        <x:v>PH-VA-277</x:v>
      </x:c>
      <x:c r="F3225" t="n">
        <x:f>IF('Trial Register'!R283&lt;&gt;"",1,0)</x:f>
        <x:v>0</x:v>
      </x:c>
      <x:c r="G3225" t="n">
        <x:v>1</x:v>
      </x:c>
      <x:c r="H3225" t="str">
        <x:v>independent physical acceptance</x:v>
      </x:c>
      <x:c r="I3225" t="str">
        <x:f>IF(F3225=1,"PASS","OPEN")</x:f>
        <x:v>OPEN</x:v>
      </x:c>
    </x:row>
    <x:row r="3226">
      <x:c r="B3226" t="str">
        <x:v>PH-RV-277</x:v>
      </x:c>
      <x:c r="C3226" t="str">
        <x:v>PHYSICAL</x:v>
      </x:c>
      <x:c r="D3226" t="str">
        <x:v>reported value</x:v>
      </x:c>
      <x:c r="E3226" t="str">
        <x:v>PH-RV-277</x:v>
      </x:c>
      <x:c r="F3226" t="n">
        <x:f>IF('Trial Register'!S283&lt;&gt;"",1,0)</x:f>
        <x:v>0</x:v>
      </x:c>
      <x:c r="G3226" t="n">
        <x:v>1</x:v>
      </x:c>
      <x:c r="H3226" t="str">
        <x:v>independent physical acceptance</x:v>
      </x:c>
      <x:c r="I3226" t="str">
        <x:f>IF(F3226=1,"PASS","OPEN")</x:f>
        <x:v>OPEN</x:v>
      </x:c>
    </x:row>
    <x:row r="3227">
      <x:c r="B3227" t="str">
        <x:v>PH-CR-277</x:v>
      </x:c>
      <x:c r="C3227" t="str">
        <x:v>PHYSICAL</x:v>
      </x:c>
      <x:c r="D3227" t="str">
        <x:v>credit acceptance</x:v>
      </x:c>
      <x:c r="E3227" t="str">
        <x:v>PH-CR-277</x:v>
      </x:c>
      <x:c r="F3227" t="str">
        <x:f>'Trial Register'!V283</x:f>
      </x:c>
      <x:c r="G3227" t="n">
        <x:v>1</x:v>
      </x:c>
      <x:c r="H3227" t="str">
        <x:v>independent physical acceptance</x:v>
      </x:c>
      <x:c r="I3227" t="str">
        <x:f>IF(F3227=1,"PASS","OPEN")</x:f>
        <x:v>OPEN</x:v>
      </x:c>
    </x:row>
    <x:row r="3228">
      <x:c r="B3228" t="str">
        <x:v>PH-EX-278</x:v>
      </x:c>
      <x:c r="C3228" t="str">
        <x:v>PHYSICAL</x:v>
      </x:c>
      <x:c r="D3228" t="str">
        <x:v>trial execution</x:v>
      </x:c>
      <x:c r="E3228" t="str">
        <x:v>PH-EX-278</x:v>
      </x:c>
      <x:c r="F3228" t="n">
        <x:f>IF('Trial Register'!P284&lt;&gt;"",1,0)</x:f>
        <x:v>0</x:v>
      </x:c>
      <x:c r="G3228" t="n">
        <x:v>1</x:v>
      </x:c>
      <x:c r="H3228" t="str">
        <x:v>independent physical acceptance</x:v>
      </x:c>
      <x:c r="I3228" t="str">
        <x:f>IF(F3228=1,"PASS","OPEN")</x:f>
        <x:v>OPEN</x:v>
      </x:c>
    </x:row>
    <x:row r="3229">
      <x:c r="B3229" t="str">
        <x:v>PH-PK-278</x:v>
      </x:c>
      <x:c r="C3229" t="str">
        <x:v>PHYSICAL</x:v>
      </x:c>
      <x:c r="D3229" t="str">
        <x:v>trial packet</x:v>
      </x:c>
      <x:c r="E3229" t="str">
        <x:v>PH-PK-278</x:v>
      </x:c>
      <x:c r="F3229" t="n">
        <x:f>IF('Trial Register'!Q284&lt;&gt;"",1,0)</x:f>
        <x:v>0</x:v>
      </x:c>
      <x:c r="G3229" t="n">
        <x:v>1</x:v>
      </x:c>
      <x:c r="H3229" t="str">
        <x:v>independent physical acceptance</x:v>
      </x:c>
      <x:c r="I3229" t="str">
        <x:f>IF(F3229=1,"PASS","OPEN")</x:f>
        <x:v>OPEN</x:v>
      </x:c>
    </x:row>
    <x:row r="3230">
      <x:c r="B3230" t="str">
        <x:v>PH-VA-278</x:v>
      </x:c>
      <x:c r="C3230" t="str">
        <x:v>PHYSICAL</x:v>
      </x:c>
      <x:c r="D3230" t="str">
        <x:v>trial validity</x:v>
      </x:c>
      <x:c r="E3230" t="str">
        <x:v>PH-VA-278</x:v>
      </x:c>
      <x:c r="F3230" t="n">
        <x:f>IF('Trial Register'!R284&lt;&gt;"",1,0)</x:f>
        <x:v>0</x:v>
      </x:c>
      <x:c r="G3230" t="n">
        <x:v>1</x:v>
      </x:c>
      <x:c r="H3230" t="str">
        <x:v>independent physical acceptance</x:v>
      </x:c>
      <x:c r="I3230" t="str">
        <x:f>IF(F3230=1,"PASS","OPEN")</x:f>
        <x:v>OPEN</x:v>
      </x:c>
    </x:row>
    <x:row r="3231">
      <x:c r="B3231" t="str">
        <x:v>PH-RV-278</x:v>
      </x:c>
      <x:c r="C3231" t="str">
        <x:v>PHYSICAL</x:v>
      </x:c>
      <x:c r="D3231" t="str">
        <x:v>reported value</x:v>
      </x:c>
      <x:c r="E3231" t="str">
        <x:v>PH-RV-278</x:v>
      </x:c>
      <x:c r="F3231" t="n">
        <x:f>IF('Trial Register'!S284&lt;&gt;"",1,0)</x:f>
        <x:v>0</x:v>
      </x:c>
      <x:c r="G3231" t="n">
        <x:v>1</x:v>
      </x:c>
      <x:c r="H3231" t="str">
        <x:v>independent physical acceptance</x:v>
      </x:c>
      <x:c r="I3231" t="str">
        <x:f>IF(F3231=1,"PASS","OPEN")</x:f>
        <x:v>OPEN</x:v>
      </x:c>
    </x:row>
    <x:row r="3232">
      <x:c r="B3232" t="str">
        <x:v>PH-CR-278</x:v>
      </x:c>
      <x:c r="C3232" t="str">
        <x:v>PHYSICAL</x:v>
      </x:c>
      <x:c r="D3232" t="str">
        <x:v>credit acceptance</x:v>
      </x:c>
      <x:c r="E3232" t="str">
        <x:v>PH-CR-278</x:v>
      </x:c>
      <x:c r="F3232" t="str">
        <x:f>'Trial Register'!V284</x:f>
      </x:c>
      <x:c r="G3232" t="n">
        <x:v>1</x:v>
      </x:c>
      <x:c r="H3232" t="str">
        <x:v>independent physical acceptance</x:v>
      </x:c>
      <x:c r="I3232" t="str">
        <x:f>IF(F3232=1,"PASS","OPEN")</x:f>
        <x:v>OPEN</x:v>
      </x:c>
    </x:row>
    <x:row r="3233">
      <x:c r="B3233" t="str">
        <x:v>PH-EX-279</x:v>
      </x:c>
      <x:c r="C3233" t="str">
        <x:v>PHYSICAL</x:v>
      </x:c>
      <x:c r="D3233" t="str">
        <x:v>trial execution</x:v>
      </x:c>
      <x:c r="E3233" t="str">
        <x:v>PH-EX-279</x:v>
      </x:c>
      <x:c r="F3233" t="n">
        <x:f>IF('Trial Register'!P285&lt;&gt;"",1,0)</x:f>
        <x:v>0</x:v>
      </x:c>
      <x:c r="G3233" t="n">
        <x:v>1</x:v>
      </x:c>
      <x:c r="H3233" t="str">
        <x:v>independent physical acceptance</x:v>
      </x:c>
      <x:c r="I3233" t="str">
        <x:f>IF(F3233=1,"PASS","OPEN")</x:f>
        <x:v>OPEN</x:v>
      </x:c>
    </x:row>
    <x:row r="3234">
      <x:c r="B3234" t="str">
        <x:v>PH-PK-279</x:v>
      </x:c>
      <x:c r="C3234" t="str">
        <x:v>PHYSICAL</x:v>
      </x:c>
      <x:c r="D3234" t="str">
        <x:v>trial packet</x:v>
      </x:c>
      <x:c r="E3234" t="str">
        <x:v>PH-PK-279</x:v>
      </x:c>
      <x:c r="F3234" t="n">
        <x:f>IF('Trial Register'!Q285&lt;&gt;"",1,0)</x:f>
        <x:v>0</x:v>
      </x:c>
      <x:c r="G3234" t="n">
        <x:v>1</x:v>
      </x:c>
      <x:c r="H3234" t="str">
        <x:v>independent physical acceptance</x:v>
      </x:c>
      <x:c r="I3234" t="str">
        <x:f>IF(F3234=1,"PASS","OPEN")</x:f>
        <x:v>OPEN</x:v>
      </x:c>
    </x:row>
    <x:row r="3235">
      <x:c r="B3235" t="str">
        <x:v>PH-VA-279</x:v>
      </x:c>
      <x:c r="C3235" t="str">
        <x:v>PHYSICAL</x:v>
      </x:c>
      <x:c r="D3235" t="str">
        <x:v>trial validity</x:v>
      </x:c>
      <x:c r="E3235" t="str">
        <x:v>PH-VA-279</x:v>
      </x:c>
      <x:c r="F3235" t="n">
        <x:f>IF('Trial Register'!R285&lt;&gt;"",1,0)</x:f>
        <x:v>0</x:v>
      </x:c>
      <x:c r="G3235" t="n">
        <x:v>1</x:v>
      </x:c>
      <x:c r="H3235" t="str">
        <x:v>independent physical acceptance</x:v>
      </x:c>
      <x:c r="I3235" t="str">
        <x:f>IF(F3235=1,"PASS","OPEN")</x:f>
        <x:v>OPEN</x:v>
      </x:c>
    </x:row>
    <x:row r="3236">
      <x:c r="B3236" t="str">
        <x:v>PH-RV-279</x:v>
      </x:c>
      <x:c r="C3236" t="str">
        <x:v>PHYSICAL</x:v>
      </x:c>
      <x:c r="D3236" t="str">
        <x:v>reported value</x:v>
      </x:c>
      <x:c r="E3236" t="str">
        <x:v>PH-RV-279</x:v>
      </x:c>
      <x:c r="F3236" t="n">
        <x:f>IF('Trial Register'!S285&lt;&gt;"",1,0)</x:f>
        <x:v>0</x:v>
      </x:c>
      <x:c r="G3236" t="n">
        <x:v>1</x:v>
      </x:c>
      <x:c r="H3236" t="str">
        <x:v>independent physical acceptance</x:v>
      </x:c>
      <x:c r="I3236" t="str">
        <x:f>IF(F3236=1,"PASS","OPEN")</x:f>
        <x:v>OPEN</x:v>
      </x:c>
    </x:row>
    <x:row r="3237">
      <x:c r="B3237" t="str">
        <x:v>PH-CR-279</x:v>
      </x:c>
      <x:c r="C3237" t="str">
        <x:v>PHYSICAL</x:v>
      </x:c>
      <x:c r="D3237" t="str">
        <x:v>credit acceptance</x:v>
      </x:c>
      <x:c r="E3237" t="str">
        <x:v>PH-CR-279</x:v>
      </x:c>
      <x:c r="F3237" t="str">
        <x:f>'Trial Register'!V285</x:f>
      </x:c>
      <x:c r="G3237" t="n">
        <x:v>1</x:v>
      </x:c>
      <x:c r="H3237" t="str">
        <x:v>independent physical acceptance</x:v>
      </x:c>
      <x:c r="I3237" t="str">
        <x:f>IF(F3237=1,"PASS","OPEN")</x:f>
        <x:v>OPEN</x:v>
      </x:c>
    </x:row>
    <x:row r="3238">
      <x:c r="B3238" t="str">
        <x:v>PH-EX-280</x:v>
      </x:c>
      <x:c r="C3238" t="str">
        <x:v>PHYSICAL</x:v>
      </x:c>
      <x:c r="D3238" t="str">
        <x:v>trial execution</x:v>
      </x:c>
      <x:c r="E3238" t="str">
        <x:v>PH-EX-280</x:v>
      </x:c>
      <x:c r="F3238" t="n">
        <x:f>IF('Trial Register'!P286&lt;&gt;"",1,0)</x:f>
        <x:v>0</x:v>
      </x:c>
      <x:c r="G3238" t="n">
        <x:v>1</x:v>
      </x:c>
      <x:c r="H3238" t="str">
        <x:v>independent physical acceptance</x:v>
      </x:c>
      <x:c r="I3238" t="str">
        <x:f>IF(F3238=1,"PASS","OPEN")</x:f>
        <x:v>OPEN</x:v>
      </x:c>
    </x:row>
    <x:row r="3239">
      <x:c r="B3239" t="str">
        <x:v>PH-PK-280</x:v>
      </x:c>
      <x:c r="C3239" t="str">
        <x:v>PHYSICAL</x:v>
      </x:c>
      <x:c r="D3239" t="str">
        <x:v>trial packet</x:v>
      </x:c>
      <x:c r="E3239" t="str">
        <x:v>PH-PK-280</x:v>
      </x:c>
      <x:c r="F3239" t="n">
        <x:f>IF('Trial Register'!Q286&lt;&gt;"",1,0)</x:f>
        <x:v>0</x:v>
      </x:c>
      <x:c r="G3239" t="n">
        <x:v>1</x:v>
      </x:c>
      <x:c r="H3239" t="str">
        <x:v>independent physical acceptance</x:v>
      </x:c>
      <x:c r="I3239" t="str">
        <x:f>IF(F3239=1,"PASS","OPEN")</x:f>
        <x:v>OPEN</x:v>
      </x:c>
    </x:row>
    <x:row r="3240">
      <x:c r="B3240" t="str">
        <x:v>PH-VA-280</x:v>
      </x:c>
      <x:c r="C3240" t="str">
        <x:v>PHYSICAL</x:v>
      </x:c>
      <x:c r="D3240" t="str">
        <x:v>trial validity</x:v>
      </x:c>
      <x:c r="E3240" t="str">
        <x:v>PH-VA-280</x:v>
      </x:c>
      <x:c r="F3240" t="n">
        <x:f>IF('Trial Register'!R286&lt;&gt;"",1,0)</x:f>
        <x:v>0</x:v>
      </x:c>
      <x:c r="G3240" t="n">
        <x:v>1</x:v>
      </x:c>
      <x:c r="H3240" t="str">
        <x:v>independent physical acceptance</x:v>
      </x:c>
      <x:c r="I3240" t="str">
        <x:f>IF(F3240=1,"PASS","OPEN")</x:f>
        <x:v>OPEN</x:v>
      </x:c>
    </x:row>
    <x:row r="3241">
      <x:c r="B3241" t="str">
        <x:v>PH-RV-280</x:v>
      </x:c>
      <x:c r="C3241" t="str">
        <x:v>PHYSICAL</x:v>
      </x:c>
      <x:c r="D3241" t="str">
        <x:v>reported value</x:v>
      </x:c>
      <x:c r="E3241" t="str">
        <x:v>PH-RV-280</x:v>
      </x:c>
      <x:c r="F3241" t="n">
        <x:f>IF('Trial Register'!S286&lt;&gt;"",1,0)</x:f>
        <x:v>0</x:v>
      </x:c>
      <x:c r="G3241" t="n">
        <x:v>1</x:v>
      </x:c>
      <x:c r="H3241" t="str">
        <x:v>independent physical acceptance</x:v>
      </x:c>
      <x:c r="I3241" t="str">
        <x:f>IF(F3241=1,"PASS","OPEN")</x:f>
        <x:v>OPEN</x:v>
      </x:c>
    </x:row>
    <x:row r="3242">
      <x:c r="B3242" t="str">
        <x:v>PH-CR-280</x:v>
      </x:c>
      <x:c r="C3242" t="str">
        <x:v>PHYSICAL</x:v>
      </x:c>
      <x:c r="D3242" t="str">
        <x:v>credit acceptance</x:v>
      </x:c>
      <x:c r="E3242" t="str">
        <x:v>PH-CR-280</x:v>
      </x:c>
      <x:c r="F3242" t="str">
        <x:f>'Trial Register'!V286</x:f>
      </x:c>
      <x:c r="G3242" t="n">
        <x:v>1</x:v>
      </x:c>
      <x:c r="H3242" t="str">
        <x:v>independent physical acceptance</x:v>
      </x:c>
      <x:c r="I3242" t="str">
        <x:f>IF(F3242=1,"PASS","OPEN")</x:f>
        <x:v>OPEN</x:v>
      </x:c>
    </x:row>
    <x:row r="3243">
      <x:c r="B3243" t="str">
        <x:v>PH-EX-281</x:v>
      </x:c>
      <x:c r="C3243" t="str">
        <x:v>PHYSICAL</x:v>
      </x:c>
      <x:c r="D3243" t="str">
        <x:v>trial execution</x:v>
      </x:c>
      <x:c r="E3243" t="str">
        <x:v>PH-EX-281</x:v>
      </x:c>
      <x:c r="F3243" t="n">
        <x:f>IF('Trial Register'!P287&lt;&gt;"",1,0)</x:f>
        <x:v>0</x:v>
      </x:c>
      <x:c r="G3243" t="n">
        <x:v>1</x:v>
      </x:c>
      <x:c r="H3243" t="str">
        <x:v>independent physical acceptance</x:v>
      </x:c>
      <x:c r="I3243" t="str">
        <x:f>IF(F3243=1,"PASS","OPEN")</x:f>
        <x:v>OPEN</x:v>
      </x:c>
    </x:row>
    <x:row r="3244">
      <x:c r="B3244" t="str">
        <x:v>PH-PK-281</x:v>
      </x:c>
      <x:c r="C3244" t="str">
        <x:v>PHYSICAL</x:v>
      </x:c>
      <x:c r="D3244" t="str">
        <x:v>trial packet</x:v>
      </x:c>
      <x:c r="E3244" t="str">
        <x:v>PH-PK-281</x:v>
      </x:c>
      <x:c r="F3244" t="n">
        <x:f>IF('Trial Register'!Q287&lt;&gt;"",1,0)</x:f>
        <x:v>0</x:v>
      </x:c>
      <x:c r="G3244" t="n">
        <x:v>1</x:v>
      </x:c>
      <x:c r="H3244" t="str">
        <x:v>independent physical acceptance</x:v>
      </x:c>
      <x:c r="I3244" t="str">
        <x:f>IF(F3244=1,"PASS","OPEN")</x:f>
        <x:v>OPEN</x:v>
      </x:c>
    </x:row>
    <x:row r="3245">
      <x:c r="B3245" t="str">
        <x:v>PH-VA-281</x:v>
      </x:c>
      <x:c r="C3245" t="str">
        <x:v>PHYSICAL</x:v>
      </x:c>
      <x:c r="D3245" t="str">
        <x:v>trial validity</x:v>
      </x:c>
      <x:c r="E3245" t="str">
        <x:v>PH-VA-281</x:v>
      </x:c>
      <x:c r="F3245" t="n">
        <x:f>IF('Trial Register'!R287&lt;&gt;"",1,0)</x:f>
        <x:v>0</x:v>
      </x:c>
      <x:c r="G3245" t="n">
        <x:v>1</x:v>
      </x:c>
      <x:c r="H3245" t="str">
        <x:v>independent physical acceptance</x:v>
      </x:c>
      <x:c r="I3245" t="str">
        <x:f>IF(F3245=1,"PASS","OPEN")</x:f>
        <x:v>OPEN</x:v>
      </x:c>
    </x:row>
    <x:row r="3246">
      <x:c r="B3246" t="str">
        <x:v>PH-RV-281</x:v>
      </x:c>
      <x:c r="C3246" t="str">
        <x:v>PHYSICAL</x:v>
      </x:c>
      <x:c r="D3246" t="str">
        <x:v>reported value</x:v>
      </x:c>
      <x:c r="E3246" t="str">
        <x:v>PH-RV-281</x:v>
      </x:c>
      <x:c r="F3246" t="n">
        <x:f>IF('Trial Register'!S287&lt;&gt;"",1,0)</x:f>
        <x:v>0</x:v>
      </x:c>
      <x:c r="G3246" t="n">
        <x:v>1</x:v>
      </x:c>
      <x:c r="H3246" t="str">
        <x:v>independent physical acceptance</x:v>
      </x:c>
      <x:c r="I3246" t="str">
        <x:f>IF(F3246=1,"PASS","OPEN")</x:f>
        <x:v>OPEN</x:v>
      </x:c>
    </x:row>
    <x:row r="3247">
      <x:c r="B3247" t="str">
        <x:v>PH-CR-281</x:v>
      </x:c>
      <x:c r="C3247" t="str">
        <x:v>PHYSICAL</x:v>
      </x:c>
      <x:c r="D3247" t="str">
        <x:v>credit acceptance</x:v>
      </x:c>
      <x:c r="E3247" t="str">
        <x:v>PH-CR-281</x:v>
      </x:c>
      <x:c r="F3247" t="str">
        <x:f>'Trial Register'!V287</x:f>
      </x:c>
      <x:c r="G3247" t="n">
        <x:v>1</x:v>
      </x:c>
      <x:c r="H3247" t="str">
        <x:v>independent physical acceptance</x:v>
      </x:c>
      <x:c r="I3247" t="str">
        <x:f>IF(F3247=1,"PASS","OPEN")</x:f>
        <x:v>OPEN</x:v>
      </x:c>
    </x:row>
    <x:row r="3248">
      <x:c r="B3248" t="str">
        <x:v>PH-EX-282</x:v>
      </x:c>
      <x:c r="C3248" t="str">
        <x:v>PHYSICAL</x:v>
      </x:c>
      <x:c r="D3248" t="str">
        <x:v>trial execution</x:v>
      </x:c>
      <x:c r="E3248" t="str">
        <x:v>PH-EX-282</x:v>
      </x:c>
      <x:c r="F3248" t="n">
        <x:f>IF('Trial Register'!P288&lt;&gt;"",1,0)</x:f>
        <x:v>0</x:v>
      </x:c>
      <x:c r="G3248" t="n">
        <x:v>1</x:v>
      </x:c>
      <x:c r="H3248" t="str">
        <x:v>independent physical acceptance</x:v>
      </x:c>
      <x:c r="I3248" t="str">
        <x:f>IF(F3248=1,"PASS","OPEN")</x:f>
        <x:v>OPEN</x:v>
      </x:c>
    </x:row>
    <x:row r="3249">
      <x:c r="B3249" t="str">
        <x:v>PH-PK-282</x:v>
      </x:c>
      <x:c r="C3249" t="str">
        <x:v>PHYSICAL</x:v>
      </x:c>
      <x:c r="D3249" t="str">
        <x:v>trial packet</x:v>
      </x:c>
      <x:c r="E3249" t="str">
        <x:v>PH-PK-282</x:v>
      </x:c>
      <x:c r="F3249" t="n">
        <x:f>IF('Trial Register'!Q288&lt;&gt;"",1,0)</x:f>
        <x:v>0</x:v>
      </x:c>
      <x:c r="G3249" t="n">
        <x:v>1</x:v>
      </x:c>
      <x:c r="H3249" t="str">
        <x:v>independent physical acceptance</x:v>
      </x:c>
      <x:c r="I3249" t="str">
        <x:f>IF(F3249=1,"PASS","OPEN")</x:f>
        <x:v>OPEN</x:v>
      </x:c>
    </x:row>
    <x:row r="3250">
      <x:c r="B3250" t="str">
        <x:v>PH-VA-282</x:v>
      </x:c>
      <x:c r="C3250" t="str">
        <x:v>PHYSICAL</x:v>
      </x:c>
      <x:c r="D3250" t="str">
        <x:v>trial validity</x:v>
      </x:c>
      <x:c r="E3250" t="str">
        <x:v>PH-VA-282</x:v>
      </x:c>
      <x:c r="F3250" t="n">
        <x:f>IF('Trial Register'!R288&lt;&gt;"",1,0)</x:f>
        <x:v>0</x:v>
      </x:c>
      <x:c r="G3250" t="n">
        <x:v>1</x:v>
      </x:c>
      <x:c r="H3250" t="str">
        <x:v>independent physical acceptance</x:v>
      </x:c>
      <x:c r="I3250" t="str">
        <x:f>IF(F3250=1,"PASS","OPEN")</x:f>
        <x:v>OPEN</x:v>
      </x:c>
    </x:row>
    <x:row r="3251">
      <x:c r="B3251" t="str">
        <x:v>PH-RV-282</x:v>
      </x:c>
      <x:c r="C3251" t="str">
        <x:v>PHYSICAL</x:v>
      </x:c>
      <x:c r="D3251" t="str">
        <x:v>reported value</x:v>
      </x:c>
      <x:c r="E3251" t="str">
        <x:v>PH-RV-282</x:v>
      </x:c>
      <x:c r="F3251" t="n">
        <x:f>IF('Trial Register'!S288&lt;&gt;"",1,0)</x:f>
        <x:v>0</x:v>
      </x:c>
      <x:c r="G3251" t="n">
        <x:v>1</x:v>
      </x:c>
      <x:c r="H3251" t="str">
        <x:v>independent physical acceptance</x:v>
      </x:c>
      <x:c r="I3251" t="str">
        <x:f>IF(F3251=1,"PASS","OPEN")</x:f>
        <x:v>OPEN</x:v>
      </x:c>
    </x:row>
    <x:row r="3252">
      <x:c r="B3252" t="str">
        <x:v>PH-CR-282</x:v>
      </x:c>
      <x:c r="C3252" t="str">
        <x:v>PHYSICAL</x:v>
      </x:c>
      <x:c r="D3252" t="str">
        <x:v>credit acceptance</x:v>
      </x:c>
      <x:c r="E3252" t="str">
        <x:v>PH-CR-282</x:v>
      </x:c>
      <x:c r="F3252" t="str">
        <x:f>'Trial Register'!V288</x:f>
      </x:c>
      <x:c r="G3252" t="n">
        <x:v>1</x:v>
      </x:c>
      <x:c r="H3252" t="str">
        <x:v>independent physical acceptance</x:v>
      </x:c>
      <x:c r="I3252" t="str">
        <x:f>IF(F3252=1,"PASS","OPEN")</x:f>
        <x:v>OPEN</x:v>
      </x:c>
    </x:row>
    <x:row r="3253">
      <x:c r="B3253" t="str">
        <x:v>PH-EX-283</x:v>
      </x:c>
      <x:c r="C3253" t="str">
        <x:v>PHYSICAL</x:v>
      </x:c>
      <x:c r="D3253" t="str">
        <x:v>trial execution</x:v>
      </x:c>
      <x:c r="E3253" t="str">
        <x:v>PH-EX-283</x:v>
      </x:c>
      <x:c r="F3253" t="n">
        <x:f>IF('Trial Register'!P289&lt;&gt;"",1,0)</x:f>
        <x:v>0</x:v>
      </x:c>
      <x:c r="G3253" t="n">
        <x:v>1</x:v>
      </x:c>
      <x:c r="H3253" t="str">
        <x:v>independent physical acceptance</x:v>
      </x:c>
      <x:c r="I3253" t="str">
        <x:f>IF(F3253=1,"PASS","OPEN")</x:f>
        <x:v>OPEN</x:v>
      </x:c>
    </x:row>
    <x:row r="3254">
      <x:c r="B3254" t="str">
        <x:v>PH-PK-283</x:v>
      </x:c>
      <x:c r="C3254" t="str">
        <x:v>PHYSICAL</x:v>
      </x:c>
      <x:c r="D3254" t="str">
        <x:v>trial packet</x:v>
      </x:c>
      <x:c r="E3254" t="str">
        <x:v>PH-PK-283</x:v>
      </x:c>
      <x:c r="F3254" t="n">
        <x:f>IF('Trial Register'!Q289&lt;&gt;"",1,0)</x:f>
        <x:v>0</x:v>
      </x:c>
      <x:c r="G3254" t="n">
        <x:v>1</x:v>
      </x:c>
      <x:c r="H3254" t="str">
        <x:v>independent physical acceptance</x:v>
      </x:c>
      <x:c r="I3254" t="str">
        <x:f>IF(F3254=1,"PASS","OPEN")</x:f>
        <x:v>OPEN</x:v>
      </x:c>
    </x:row>
    <x:row r="3255">
      <x:c r="B3255" t="str">
        <x:v>PH-VA-283</x:v>
      </x:c>
      <x:c r="C3255" t="str">
        <x:v>PHYSICAL</x:v>
      </x:c>
      <x:c r="D3255" t="str">
        <x:v>trial validity</x:v>
      </x:c>
      <x:c r="E3255" t="str">
        <x:v>PH-VA-283</x:v>
      </x:c>
      <x:c r="F3255" t="n">
        <x:f>IF('Trial Register'!R289&lt;&gt;"",1,0)</x:f>
        <x:v>0</x:v>
      </x:c>
      <x:c r="G3255" t="n">
        <x:v>1</x:v>
      </x:c>
      <x:c r="H3255" t="str">
        <x:v>independent physical acceptance</x:v>
      </x:c>
      <x:c r="I3255" t="str">
        <x:f>IF(F3255=1,"PASS","OPEN")</x:f>
        <x:v>OPEN</x:v>
      </x:c>
    </x:row>
    <x:row r="3256">
      <x:c r="B3256" t="str">
        <x:v>PH-RV-283</x:v>
      </x:c>
      <x:c r="C3256" t="str">
        <x:v>PHYSICAL</x:v>
      </x:c>
      <x:c r="D3256" t="str">
        <x:v>reported value</x:v>
      </x:c>
      <x:c r="E3256" t="str">
        <x:v>PH-RV-283</x:v>
      </x:c>
      <x:c r="F3256" t="n">
        <x:f>IF('Trial Register'!S289&lt;&gt;"",1,0)</x:f>
        <x:v>0</x:v>
      </x:c>
      <x:c r="G3256" t="n">
        <x:v>1</x:v>
      </x:c>
      <x:c r="H3256" t="str">
        <x:v>independent physical acceptance</x:v>
      </x:c>
      <x:c r="I3256" t="str">
        <x:f>IF(F3256=1,"PASS","OPEN")</x:f>
        <x:v>OPEN</x:v>
      </x:c>
    </x:row>
    <x:row r="3257">
      <x:c r="B3257" t="str">
        <x:v>PH-CR-283</x:v>
      </x:c>
      <x:c r="C3257" t="str">
        <x:v>PHYSICAL</x:v>
      </x:c>
      <x:c r="D3257" t="str">
        <x:v>credit acceptance</x:v>
      </x:c>
      <x:c r="E3257" t="str">
        <x:v>PH-CR-283</x:v>
      </x:c>
      <x:c r="F3257" t="str">
        <x:f>'Trial Register'!V289</x:f>
      </x:c>
      <x:c r="G3257" t="n">
        <x:v>1</x:v>
      </x:c>
      <x:c r="H3257" t="str">
        <x:v>independent physical acceptance</x:v>
      </x:c>
      <x:c r="I3257" t="str">
        <x:f>IF(F3257=1,"PASS","OPEN")</x:f>
        <x:v>OPEN</x:v>
      </x:c>
    </x:row>
    <x:row r="3258">
      <x:c r="B3258" t="str">
        <x:v>PH-EX-284</x:v>
      </x:c>
      <x:c r="C3258" t="str">
        <x:v>PHYSICAL</x:v>
      </x:c>
      <x:c r="D3258" t="str">
        <x:v>trial execution</x:v>
      </x:c>
      <x:c r="E3258" t="str">
        <x:v>PH-EX-284</x:v>
      </x:c>
      <x:c r="F3258" t="n">
        <x:f>IF('Trial Register'!P290&lt;&gt;"",1,0)</x:f>
        <x:v>0</x:v>
      </x:c>
      <x:c r="G3258" t="n">
        <x:v>1</x:v>
      </x:c>
      <x:c r="H3258" t="str">
        <x:v>independent physical acceptance</x:v>
      </x:c>
      <x:c r="I3258" t="str">
        <x:f>IF(F3258=1,"PASS","OPEN")</x:f>
        <x:v>OPEN</x:v>
      </x:c>
    </x:row>
    <x:row r="3259">
      <x:c r="B3259" t="str">
        <x:v>PH-PK-284</x:v>
      </x:c>
      <x:c r="C3259" t="str">
        <x:v>PHYSICAL</x:v>
      </x:c>
      <x:c r="D3259" t="str">
        <x:v>trial packet</x:v>
      </x:c>
      <x:c r="E3259" t="str">
        <x:v>PH-PK-284</x:v>
      </x:c>
      <x:c r="F3259" t="n">
        <x:f>IF('Trial Register'!Q290&lt;&gt;"",1,0)</x:f>
        <x:v>0</x:v>
      </x:c>
      <x:c r="G3259" t="n">
        <x:v>1</x:v>
      </x:c>
      <x:c r="H3259" t="str">
        <x:v>independent physical acceptance</x:v>
      </x:c>
      <x:c r="I3259" t="str">
        <x:f>IF(F3259=1,"PASS","OPEN")</x:f>
        <x:v>OPEN</x:v>
      </x:c>
    </x:row>
    <x:row r="3260">
      <x:c r="B3260" t="str">
        <x:v>PH-VA-284</x:v>
      </x:c>
      <x:c r="C3260" t="str">
        <x:v>PHYSICAL</x:v>
      </x:c>
      <x:c r="D3260" t="str">
        <x:v>trial validity</x:v>
      </x:c>
      <x:c r="E3260" t="str">
        <x:v>PH-VA-284</x:v>
      </x:c>
      <x:c r="F3260" t="n">
        <x:f>IF('Trial Register'!R290&lt;&gt;"",1,0)</x:f>
        <x:v>0</x:v>
      </x:c>
      <x:c r="G3260" t="n">
        <x:v>1</x:v>
      </x:c>
      <x:c r="H3260" t="str">
        <x:v>independent physical acceptance</x:v>
      </x:c>
      <x:c r="I3260" t="str">
        <x:f>IF(F3260=1,"PASS","OPEN")</x:f>
        <x:v>OPEN</x:v>
      </x:c>
    </x:row>
    <x:row r="3261">
      <x:c r="B3261" t="str">
        <x:v>PH-RV-284</x:v>
      </x:c>
      <x:c r="C3261" t="str">
        <x:v>PHYSICAL</x:v>
      </x:c>
      <x:c r="D3261" t="str">
        <x:v>reported value</x:v>
      </x:c>
      <x:c r="E3261" t="str">
        <x:v>PH-RV-284</x:v>
      </x:c>
      <x:c r="F3261" t="n">
        <x:f>IF('Trial Register'!S290&lt;&gt;"",1,0)</x:f>
        <x:v>0</x:v>
      </x:c>
      <x:c r="G3261" t="n">
        <x:v>1</x:v>
      </x:c>
      <x:c r="H3261" t="str">
        <x:v>independent physical acceptance</x:v>
      </x:c>
      <x:c r="I3261" t="str">
        <x:f>IF(F3261=1,"PASS","OPEN")</x:f>
        <x:v>OPEN</x:v>
      </x:c>
    </x:row>
    <x:row r="3262">
      <x:c r="B3262" t="str">
        <x:v>PH-CR-284</x:v>
      </x:c>
      <x:c r="C3262" t="str">
        <x:v>PHYSICAL</x:v>
      </x:c>
      <x:c r="D3262" t="str">
        <x:v>credit acceptance</x:v>
      </x:c>
      <x:c r="E3262" t="str">
        <x:v>PH-CR-284</x:v>
      </x:c>
      <x:c r="F3262" t="str">
        <x:f>'Trial Register'!V290</x:f>
      </x:c>
      <x:c r="G3262" t="n">
        <x:v>1</x:v>
      </x:c>
      <x:c r="H3262" t="str">
        <x:v>independent physical acceptance</x:v>
      </x:c>
      <x:c r="I3262" t="str">
        <x:f>IF(F3262=1,"PASS","OPEN")</x:f>
        <x:v>OPEN</x:v>
      </x:c>
    </x:row>
    <x:row r="3263">
      <x:c r="B3263" t="str">
        <x:v>PH-EX-285</x:v>
      </x:c>
      <x:c r="C3263" t="str">
        <x:v>PHYSICAL</x:v>
      </x:c>
      <x:c r="D3263" t="str">
        <x:v>trial execution</x:v>
      </x:c>
      <x:c r="E3263" t="str">
        <x:v>PH-EX-285</x:v>
      </x:c>
      <x:c r="F3263" t="n">
        <x:f>IF('Trial Register'!P291&lt;&gt;"",1,0)</x:f>
        <x:v>0</x:v>
      </x:c>
      <x:c r="G3263" t="n">
        <x:v>1</x:v>
      </x:c>
      <x:c r="H3263" t="str">
        <x:v>independent physical acceptance</x:v>
      </x:c>
      <x:c r="I3263" t="str">
        <x:f>IF(F3263=1,"PASS","OPEN")</x:f>
        <x:v>OPEN</x:v>
      </x:c>
    </x:row>
    <x:row r="3264">
      <x:c r="B3264" t="str">
        <x:v>PH-PK-285</x:v>
      </x:c>
      <x:c r="C3264" t="str">
        <x:v>PHYSICAL</x:v>
      </x:c>
      <x:c r="D3264" t="str">
        <x:v>trial packet</x:v>
      </x:c>
      <x:c r="E3264" t="str">
        <x:v>PH-PK-285</x:v>
      </x:c>
      <x:c r="F3264" t="n">
        <x:f>IF('Trial Register'!Q291&lt;&gt;"",1,0)</x:f>
        <x:v>0</x:v>
      </x:c>
      <x:c r="G3264" t="n">
        <x:v>1</x:v>
      </x:c>
      <x:c r="H3264" t="str">
        <x:v>independent physical acceptance</x:v>
      </x:c>
      <x:c r="I3264" t="str">
        <x:f>IF(F3264=1,"PASS","OPEN")</x:f>
        <x:v>OPEN</x:v>
      </x:c>
    </x:row>
    <x:row r="3265">
      <x:c r="B3265" t="str">
        <x:v>PH-VA-285</x:v>
      </x:c>
      <x:c r="C3265" t="str">
        <x:v>PHYSICAL</x:v>
      </x:c>
      <x:c r="D3265" t="str">
        <x:v>trial validity</x:v>
      </x:c>
      <x:c r="E3265" t="str">
        <x:v>PH-VA-285</x:v>
      </x:c>
      <x:c r="F3265" t="n">
        <x:f>IF('Trial Register'!R291&lt;&gt;"",1,0)</x:f>
        <x:v>0</x:v>
      </x:c>
      <x:c r="G3265" t="n">
        <x:v>1</x:v>
      </x:c>
      <x:c r="H3265" t="str">
        <x:v>independent physical acceptance</x:v>
      </x:c>
      <x:c r="I3265" t="str">
        <x:f>IF(F3265=1,"PASS","OPEN")</x:f>
        <x:v>OPEN</x:v>
      </x:c>
    </x:row>
    <x:row r="3266">
      <x:c r="B3266" t="str">
        <x:v>PH-RV-285</x:v>
      </x:c>
      <x:c r="C3266" t="str">
        <x:v>PHYSICAL</x:v>
      </x:c>
      <x:c r="D3266" t="str">
        <x:v>reported value</x:v>
      </x:c>
      <x:c r="E3266" t="str">
        <x:v>PH-RV-285</x:v>
      </x:c>
      <x:c r="F3266" t="n">
        <x:f>IF('Trial Register'!S291&lt;&gt;"",1,0)</x:f>
        <x:v>0</x:v>
      </x:c>
      <x:c r="G3266" t="n">
        <x:v>1</x:v>
      </x:c>
      <x:c r="H3266" t="str">
        <x:v>independent physical acceptance</x:v>
      </x:c>
      <x:c r="I3266" t="str">
        <x:f>IF(F3266=1,"PASS","OPEN")</x:f>
        <x:v>OPEN</x:v>
      </x:c>
    </x:row>
    <x:row r="3267">
      <x:c r="B3267" t="str">
        <x:v>PH-CR-285</x:v>
      </x:c>
      <x:c r="C3267" t="str">
        <x:v>PHYSICAL</x:v>
      </x:c>
      <x:c r="D3267" t="str">
        <x:v>credit acceptance</x:v>
      </x:c>
      <x:c r="E3267" t="str">
        <x:v>PH-CR-285</x:v>
      </x:c>
      <x:c r="F3267" t="str">
        <x:f>'Trial Register'!V291</x:f>
      </x:c>
      <x:c r="G3267" t="n">
        <x:v>1</x:v>
      </x:c>
      <x:c r="H3267" t="str">
        <x:v>independent physical acceptance</x:v>
      </x:c>
      <x:c r="I3267" t="str">
        <x:f>IF(F3267=1,"PASS","OPEN")</x:f>
        <x:v>OPEN</x:v>
      </x:c>
    </x:row>
    <x:row r="3268">
      <x:c r="B3268" t="str">
        <x:v>PH-EX-286</x:v>
      </x:c>
      <x:c r="C3268" t="str">
        <x:v>PHYSICAL</x:v>
      </x:c>
      <x:c r="D3268" t="str">
        <x:v>trial execution</x:v>
      </x:c>
      <x:c r="E3268" t="str">
        <x:v>PH-EX-286</x:v>
      </x:c>
      <x:c r="F3268" t="n">
        <x:f>IF('Trial Register'!P292&lt;&gt;"",1,0)</x:f>
        <x:v>0</x:v>
      </x:c>
      <x:c r="G3268" t="n">
        <x:v>1</x:v>
      </x:c>
      <x:c r="H3268" t="str">
        <x:v>independent physical acceptance</x:v>
      </x:c>
      <x:c r="I3268" t="str">
        <x:f>IF(F3268=1,"PASS","OPEN")</x:f>
        <x:v>OPEN</x:v>
      </x:c>
    </x:row>
    <x:row r="3269">
      <x:c r="B3269" t="str">
        <x:v>PH-PK-286</x:v>
      </x:c>
      <x:c r="C3269" t="str">
        <x:v>PHYSICAL</x:v>
      </x:c>
      <x:c r="D3269" t="str">
        <x:v>trial packet</x:v>
      </x:c>
      <x:c r="E3269" t="str">
        <x:v>PH-PK-286</x:v>
      </x:c>
      <x:c r="F3269" t="n">
        <x:f>IF('Trial Register'!Q292&lt;&gt;"",1,0)</x:f>
        <x:v>0</x:v>
      </x:c>
      <x:c r="G3269" t="n">
        <x:v>1</x:v>
      </x:c>
      <x:c r="H3269" t="str">
        <x:v>independent physical acceptance</x:v>
      </x:c>
      <x:c r="I3269" t="str">
        <x:f>IF(F3269=1,"PASS","OPEN")</x:f>
        <x:v>OPEN</x:v>
      </x:c>
    </x:row>
    <x:row r="3270">
      <x:c r="B3270" t="str">
        <x:v>PH-VA-286</x:v>
      </x:c>
      <x:c r="C3270" t="str">
        <x:v>PHYSICAL</x:v>
      </x:c>
      <x:c r="D3270" t="str">
        <x:v>trial validity</x:v>
      </x:c>
      <x:c r="E3270" t="str">
        <x:v>PH-VA-286</x:v>
      </x:c>
      <x:c r="F3270" t="n">
        <x:f>IF('Trial Register'!R292&lt;&gt;"",1,0)</x:f>
        <x:v>0</x:v>
      </x:c>
      <x:c r="G3270" t="n">
        <x:v>1</x:v>
      </x:c>
      <x:c r="H3270" t="str">
        <x:v>independent physical acceptance</x:v>
      </x:c>
      <x:c r="I3270" t="str">
        <x:f>IF(F3270=1,"PASS","OPEN")</x:f>
        <x:v>OPEN</x:v>
      </x:c>
    </x:row>
    <x:row r="3271">
      <x:c r="B3271" t="str">
        <x:v>PH-RV-286</x:v>
      </x:c>
      <x:c r="C3271" t="str">
        <x:v>PHYSICAL</x:v>
      </x:c>
      <x:c r="D3271" t="str">
        <x:v>reported value</x:v>
      </x:c>
      <x:c r="E3271" t="str">
        <x:v>PH-RV-286</x:v>
      </x:c>
      <x:c r="F3271" t="n">
        <x:f>IF('Trial Register'!S292&lt;&gt;"",1,0)</x:f>
        <x:v>0</x:v>
      </x:c>
      <x:c r="G3271" t="n">
        <x:v>1</x:v>
      </x:c>
      <x:c r="H3271" t="str">
        <x:v>independent physical acceptance</x:v>
      </x:c>
      <x:c r="I3271" t="str">
        <x:f>IF(F3271=1,"PASS","OPEN")</x:f>
        <x:v>OPEN</x:v>
      </x:c>
    </x:row>
    <x:row r="3272">
      <x:c r="B3272" t="str">
        <x:v>PH-CR-286</x:v>
      </x:c>
      <x:c r="C3272" t="str">
        <x:v>PHYSICAL</x:v>
      </x:c>
      <x:c r="D3272" t="str">
        <x:v>credit acceptance</x:v>
      </x:c>
      <x:c r="E3272" t="str">
        <x:v>PH-CR-286</x:v>
      </x:c>
      <x:c r="F3272" t="str">
        <x:f>'Trial Register'!V292</x:f>
      </x:c>
      <x:c r="G3272" t="n">
        <x:v>1</x:v>
      </x:c>
      <x:c r="H3272" t="str">
        <x:v>independent physical acceptance</x:v>
      </x:c>
      <x:c r="I3272" t="str">
        <x:f>IF(F3272=1,"PASS","OPEN")</x:f>
        <x:v>OPEN</x:v>
      </x:c>
    </x:row>
    <x:row r="3273">
      <x:c r="B3273" t="str">
        <x:v>PH-EX-287</x:v>
      </x:c>
      <x:c r="C3273" t="str">
        <x:v>PHYSICAL</x:v>
      </x:c>
      <x:c r="D3273" t="str">
        <x:v>trial execution</x:v>
      </x:c>
      <x:c r="E3273" t="str">
        <x:v>PH-EX-287</x:v>
      </x:c>
      <x:c r="F3273" t="n">
        <x:f>IF('Trial Register'!P293&lt;&gt;"",1,0)</x:f>
        <x:v>0</x:v>
      </x:c>
      <x:c r="G3273" t="n">
        <x:v>1</x:v>
      </x:c>
      <x:c r="H3273" t="str">
        <x:v>independent physical acceptance</x:v>
      </x:c>
      <x:c r="I3273" t="str">
        <x:f>IF(F3273=1,"PASS","OPEN")</x:f>
        <x:v>OPEN</x:v>
      </x:c>
    </x:row>
    <x:row r="3274">
      <x:c r="B3274" t="str">
        <x:v>PH-PK-287</x:v>
      </x:c>
      <x:c r="C3274" t="str">
        <x:v>PHYSICAL</x:v>
      </x:c>
      <x:c r="D3274" t="str">
        <x:v>trial packet</x:v>
      </x:c>
      <x:c r="E3274" t="str">
        <x:v>PH-PK-287</x:v>
      </x:c>
      <x:c r="F3274" t="n">
        <x:f>IF('Trial Register'!Q293&lt;&gt;"",1,0)</x:f>
        <x:v>0</x:v>
      </x:c>
      <x:c r="G3274" t="n">
        <x:v>1</x:v>
      </x:c>
      <x:c r="H3274" t="str">
        <x:v>independent physical acceptance</x:v>
      </x:c>
      <x:c r="I3274" t="str">
        <x:f>IF(F3274=1,"PASS","OPEN")</x:f>
        <x:v>OPEN</x:v>
      </x:c>
    </x:row>
    <x:row r="3275">
      <x:c r="B3275" t="str">
        <x:v>PH-VA-287</x:v>
      </x:c>
      <x:c r="C3275" t="str">
        <x:v>PHYSICAL</x:v>
      </x:c>
      <x:c r="D3275" t="str">
        <x:v>trial validity</x:v>
      </x:c>
      <x:c r="E3275" t="str">
        <x:v>PH-VA-287</x:v>
      </x:c>
      <x:c r="F3275" t="n">
        <x:f>IF('Trial Register'!R293&lt;&gt;"",1,0)</x:f>
        <x:v>0</x:v>
      </x:c>
      <x:c r="G3275" t="n">
        <x:v>1</x:v>
      </x:c>
      <x:c r="H3275" t="str">
        <x:v>independent physical acceptance</x:v>
      </x:c>
      <x:c r="I3275" t="str">
        <x:f>IF(F3275=1,"PASS","OPEN")</x:f>
        <x:v>OPEN</x:v>
      </x:c>
    </x:row>
    <x:row r="3276">
      <x:c r="B3276" t="str">
        <x:v>PH-RV-287</x:v>
      </x:c>
      <x:c r="C3276" t="str">
        <x:v>PHYSICAL</x:v>
      </x:c>
      <x:c r="D3276" t="str">
        <x:v>reported value</x:v>
      </x:c>
      <x:c r="E3276" t="str">
        <x:v>PH-RV-287</x:v>
      </x:c>
      <x:c r="F3276" t="n">
        <x:f>IF('Trial Register'!S293&lt;&gt;"",1,0)</x:f>
        <x:v>0</x:v>
      </x:c>
      <x:c r="G3276" t="n">
        <x:v>1</x:v>
      </x:c>
      <x:c r="H3276" t="str">
        <x:v>independent physical acceptance</x:v>
      </x:c>
      <x:c r="I3276" t="str">
        <x:f>IF(F3276=1,"PASS","OPEN")</x:f>
        <x:v>OPEN</x:v>
      </x:c>
    </x:row>
    <x:row r="3277">
      <x:c r="B3277" t="str">
        <x:v>PH-CR-287</x:v>
      </x:c>
      <x:c r="C3277" t="str">
        <x:v>PHYSICAL</x:v>
      </x:c>
      <x:c r="D3277" t="str">
        <x:v>credit acceptance</x:v>
      </x:c>
      <x:c r="E3277" t="str">
        <x:v>PH-CR-287</x:v>
      </x:c>
      <x:c r="F3277" t="str">
        <x:f>'Trial Register'!V293</x:f>
      </x:c>
      <x:c r="G3277" t="n">
        <x:v>1</x:v>
      </x:c>
      <x:c r="H3277" t="str">
        <x:v>independent physical acceptance</x:v>
      </x:c>
      <x:c r="I3277" t="str">
        <x:f>IF(F3277=1,"PASS","OPEN")</x:f>
        <x:v>OPEN</x:v>
      </x:c>
    </x:row>
    <x:row r="3278">
      <x:c r="B3278" t="str">
        <x:v>PH-EX-288</x:v>
      </x:c>
      <x:c r="C3278" t="str">
        <x:v>PHYSICAL</x:v>
      </x:c>
      <x:c r="D3278" t="str">
        <x:v>trial execution</x:v>
      </x:c>
      <x:c r="E3278" t="str">
        <x:v>PH-EX-288</x:v>
      </x:c>
      <x:c r="F3278" t="n">
        <x:f>IF('Trial Register'!P294&lt;&gt;"",1,0)</x:f>
        <x:v>0</x:v>
      </x:c>
      <x:c r="G3278" t="n">
        <x:v>1</x:v>
      </x:c>
      <x:c r="H3278" t="str">
        <x:v>independent physical acceptance</x:v>
      </x:c>
      <x:c r="I3278" t="str">
        <x:f>IF(F3278=1,"PASS","OPEN")</x:f>
        <x:v>OPEN</x:v>
      </x:c>
    </x:row>
    <x:row r="3279">
      <x:c r="B3279" t="str">
        <x:v>PH-PK-288</x:v>
      </x:c>
      <x:c r="C3279" t="str">
        <x:v>PHYSICAL</x:v>
      </x:c>
      <x:c r="D3279" t="str">
        <x:v>trial packet</x:v>
      </x:c>
      <x:c r="E3279" t="str">
        <x:v>PH-PK-288</x:v>
      </x:c>
      <x:c r="F3279" t="n">
        <x:f>IF('Trial Register'!Q294&lt;&gt;"",1,0)</x:f>
        <x:v>0</x:v>
      </x:c>
      <x:c r="G3279" t="n">
        <x:v>1</x:v>
      </x:c>
      <x:c r="H3279" t="str">
        <x:v>independent physical acceptance</x:v>
      </x:c>
      <x:c r="I3279" t="str">
        <x:f>IF(F3279=1,"PASS","OPEN")</x:f>
        <x:v>OPEN</x:v>
      </x:c>
    </x:row>
    <x:row r="3280">
      <x:c r="B3280" t="str">
        <x:v>PH-VA-288</x:v>
      </x:c>
      <x:c r="C3280" t="str">
        <x:v>PHYSICAL</x:v>
      </x:c>
      <x:c r="D3280" t="str">
        <x:v>trial validity</x:v>
      </x:c>
      <x:c r="E3280" t="str">
        <x:v>PH-VA-288</x:v>
      </x:c>
      <x:c r="F3280" t="n">
        <x:f>IF('Trial Register'!R294&lt;&gt;"",1,0)</x:f>
        <x:v>0</x:v>
      </x:c>
      <x:c r="G3280" t="n">
        <x:v>1</x:v>
      </x:c>
      <x:c r="H3280" t="str">
        <x:v>independent physical acceptance</x:v>
      </x:c>
      <x:c r="I3280" t="str">
        <x:f>IF(F3280=1,"PASS","OPEN")</x:f>
        <x:v>OPEN</x:v>
      </x:c>
    </x:row>
    <x:row r="3281">
      <x:c r="B3281" t="str">
        <x:v>PH-RV-288</x:v>
      </x:c>
      <x:c r="C3281" t="str">
        <x:v>PHYSICAL</x:v>
      </x:c>
      <x:c r="D3281" t="str">
        <x:v>reported value</x:v>
      </x:c>
      <x:c r="E3281" t="str">
        <x:v>PH-RV-288</x:v>
      </x:c>
      <x:c r="F3281" t="n">
        <x:f>IF('Trial Register'!S294&lt;&gt;"",1,0)</x:f>
        <x:v>0</x:v>
      </x:c>
      <x:c r="G3281" t="n">
        <x:v>1</x:v>
      </x:c>
      <x:c r="H3281" t="str">
        <x:v>independent physical acceptance</x:v>
      </x:c>
      <x:c r="I3281" t="str">
        <x:f>IF(F3281=1,"PASS","OPEN")</x:f>
        <x:v>OPEN</x:v>
      </x:c>
    </x:row>
    <x:row r="3282">
      <x:c r="B3282" t="str">
        <x:v>PH-CR-288</x:v>
      </x:c>
      <x:c r="C3282" t="str">
        <x:v>PHYSICAL</x:v>
      </x:c>
      <x:c r="D3282" t="str">
        <x:v>credit acceptance</x:v>
      </x:c>
      <x:c r="E3282" t="str">
        <x:v>PH-CR-288</x:v>
      </x:c>
      <x:c r="F3282" t="str">
        <x:f>'Trial Register'!V294</x:f>
      </x:c>
      <x:c r="G3282" t="n">
        <x:v>1</x:v>
      </x:c>
      <x:c r="H3282" t="str">
        <x:v>independent physical acceptance</x:v>
      </x:c>
      <x:c r="I3282" t="str">
        <x:f>IF(F3282=1,"PASS","OPEN")</x:f>
        <x:v>OPEN</x:v>
      </x:c>
    </x:row>
    <x:row r="3283">
      <x:c r="B3283" t="str">
        <x:v>PH-EX-289</x:v>
      </x:c>
      <x:c r="C3283" t="str">
        <x:v>PHYSICAL</x:v>
      </x:c>
      <x:c r="D3283" t="str">
        <x:v>trial execution</x:v>
      </x:c>
      <x:c r="E3283" t="str">
        <x:v>PH-EX-289</x:v>
      </x:c>
      <x:c r="F3283" t="n">
        <x:f>IF('Trial Register'!P295&lt;&gt;"",1,0)</x:f>
        <x:v>0</x:v>
      </x:c>
      <x:c r="G3283" t="n">
        <x:v>1</x:v>
      </x:c>
      <x:c r="H3283" t="str">
        <x:v>independent physical acceptance</x:v>
      </x:c>
      <x:c r="I3283" t="str">
        <x:f>IF(F3283=1,"PASS","OPEN")</x:f>
        <x:v>OPEN</x:v>
      </x:c>
    </x:row>
    <x:row r="3284">
      <x:c r="B3284" t="str">
        <x:v>PH-PK-289</x:v>
      </x:c>
      <x:c r="C3284" t="str">
        <x:v>PHYSICAL</x:v>
      </x:c>
      <x:c r="D3284" t="str">
        <x:v>trial packet</x:v>
      </x:c>
      <x:c r="E3284" t="str">
        <x:v>PH-PK-289</x:v>
      </x:c>
      <x:c r="F3284" t="n">
        <x:f>IF('Trial Register'!Q295&lt;&gt;"",1,0)</x:f>
        <x:v>0</x:v>
      </x:c>
      <x:c r="G3284" t="n">
        <x:v>1</x:v>
      </x:c>
      <x:c r="H3284" t="str">
        <x:v>independent physical acceptance</x:v>
      </x:c>
      <x:c r="I3284" t="str">
        <x:f>IF(F3284=1,"PASS","OPEN")</x:f>
        <x:v>OPEN</x:v>
      </x:c>
    </x:row>
    <x:row r="3285">
      <x:c r="B3285" t="str">
        <x:v>PH-VA-289</x:v>
      </x:c>
      <x:c r="C3285" t="str">
        <x:v>PHYSICAL</x:v>
      </x:c>
      <x:c r="D3285" t="str">
        <x:v>trial validity</x:v>
      </x:c>
      <x:c r="E3285" t="str">
        <x:v>PH-VA-289</x:v>
      </x:c>
      <x:c r="F3285" t="n">
        <x:f>IF('Trial Register'!R295&lt;&gt;"",1,0)</x:f>
        <x:v>0</x:v>
      </x:c>
      <x:c r="G3285" t="n">
        <x:v>1</x:v>
      </x:c>
      <x:c r="H3285" t="str">
        <x:v>independent physical acceptance</x:v>
      </x:c>
      <x:c r="I3285" t="str">
        <x:f>IF(F3285=1,"PASS","OPEN")</x:f>
        <x:v>OPEN</x:v>
      </x:c>
    </x:row>
    <x:row r="3286">
      <x:c r="B3286" t="str">
        <x:v>PH-RV-289</x:v>
      </x:c>
      <x:c r="C3286" t="str">
        <x:v>PHYSICAL</x:v>
      </x:c>
      <x:c r="D3286" t="str">
        <x:v>reported value</x:v>
      </x:c>
      <x:c r="E3286" t="str">
        <x:v>PH-RV-289</x:v>
      </x:c>
      <x:c r="F3286" t="n">
        <x:f>IF('Trial Register'!S295&lt;&gt;"",1,0)</x:f>
        <x:v>0</x:v>
      </x:c>
      <x:c r="G3286" t="n">
        <x:v>1</x:v>
      </x:c>
      <x:c r="H3286" t="str">
        <x:v>independent physical acceptance</x:v>
      </x:c>
      <x:c r="I3286" t="str">
        <x:f>IF(F3286=1,"PASS","OPEN")</x:f>
        <x:v>OPEN</x:v>
      </x:c>
    </x:row>
    <x:row r="3287">
      <x:c r="B3287" t="str">
        <x:v>PH-CR-289</x:v>
      </x:c>
      <x:c r="C3287" t="str">
        <x:v>PHYSICAL</x:v>
      </x:c>
      <x:c r="D3287" t="str">
        <x:v>credit acceptance</x:v>
      </x:c>
      <x:c r="E3287" t="str">
        <x:v>PH-CR-289</x:v>
      </x:c>
      <x:c r="F3287" t="str">
        <x:f>'Trial Register'!V295</x:f>
      </x:c>
      <x:c r="G3287" t="n">
        <x:v>1</x:v>
      </x:c>
      <x:c r="H3287" t="str">
        <x:v>independent physical acceptance</x:v>
      </x:c>
      <x:c r="I3287" t="str">
        <x:f>IF(F3287=1,"PASS","OPEN")</x:f>
        <x:v>OPEN</x:v>
      </x:c>
    </x:row>
    <x:row r="3288">
      <x:c r="B3288" t="str">
        <x:v>PH-EX-290</x:v>
      </x:c>
      <x:c r="C3288" t="str">
        <x:v>PHYSICAL</x:v>
      </x:c>
      <x:c r="D3288" t="str">
        <x:v>trial execution</x:v>
      </x:c>
      <x:c r="E3288" t="str">
        <x:v>PH-EX-290</x:v>
      </x:c>
      <x:c r="F3288" t="n">
        <x:f>IF('Trial Register'!P296&lt;&gt;"",1,0)</x:f>
        <x:v>0</x:v>
      </x:c>
      <x:c r="G3288" t="n">
        <x:v>1</x:v>
      </x:c>
      <x:c r="H3288" t="str">
        <x:v>independent physical acceptance</x:v>
      </x:c>
      <x:c r="I3288" t="str">
        <x:f>IF(F3288=1,"PASS","OPEN")</x:f>
        <x:v>OPEN</x:v>
      </x:c>
    </x:row>
    <x:row r="3289">
      <x:c r="B3289" t="str">
        <x:v>PH-PK-290</x:v>
      </x:c>
      <x:c r="C3289" t="str">
        <x:v>PHYSICAL</x:v>
      </x:c>
      <x:c r="D3289" t="str">
        <x:v>trial packet</x:v>
      </x:c>
      <x:c r="E3289" t="str">
        <x:v>PH-PK-290</x:v>
      </x:c>
      <x:c r="F3289" t="n">
        <x:f>IF('Trial Register'!Q296&lt;&gt;"",1,0)</x:f>
        <x:v>0</x:v>
      </x:c>
      <x:c r="G3289" t="n">
        <x:v>1</x:v>
      </x:c>
      <x:c r="H3289" t="str">
        <x:v>independent physical acceptance</x:v>
      </x:c>
      <x:c r="I3289" t="str">
        <x:f>IF(F3289=1,"PASS","OPEN")</x:f>
        <x:v>OPEN</x:v>
      </x:c>
    </x:row>
    <x:row r="3290">
      <x:c r="B3290" t="str">
        <x:v>PH-VA-290</x:v>
      </x:c>
      <x:c r="C3290" t="str">
        <x:v>PHYSICAL</x:v>
      </x:c>
      <x:c r="D3290" t="str">
        <x:v>trial validity</x:v>
      </x:c>
      <x:c r="E3290" t="str">
        <x:v>PH-VA-290</x:v>
      </x:c>
      <x:c r="F3290" t="n">
        <x:f>IF('Trial Register'!R296&lt;&gt;"",1,0)</x:f>
        <x:v>0</x:v>
      </x:c>
      <x:c r="G3290" t="n">
        <x:v>1</x:v>
      </x:c>
      <x:c r="H3290" t="str">
        <x:v>independent physical acceptance</x:v>
      </x:c>
      <x:c r="I3290" t="str">
        <x:f>IF(F3290=1,"PASS","OPEN")</x:f>
        <x:v>OPEN</x:v>
      </x:c>
    </x:row>
    <x:row r="3291">
      <x:c r="B3291" t="str">
        <x:v>PH-RV-290</x:v>
      </x:c>
      <x:c r="C3291" t="str">
        <x:v>PHYSICAL</x:v>
      </x:c>
      <x:c r="D3291" t="str">
        <x:v>reported value</x:v>
      </x:c>
      <x:c r="E3291" t="str">
        <x:v>PH-RV-290</x:v>
      </x:c>
      <x:c r="F3291" t="n">
        <x:f>IF('Trial Register'!S296&lt;&gt;"",1,0)</x:f>
        <x:v>0</x:v>
      </x:c>
      <x:c r="G3291" t="n">
        <x:v>1</x:v>
      </x:c>
      <x:c r="H3291" t="str">
        <x:v>independent physical acceptance</x:v>
      </x:c>
      <x:c r="I3291" t="str">
        <x:f>IF(F3291=1,"PASS","OPEN")</x:f>
        <x:v>OPEN</x:v>
      </x:c>
    </x:row>
    <x:row r="3292">
      <x:c r="B3292" t="str">
        <x:v>PH-CR-290</x:v>
      </x:c>
      <x:c r="C3292" t="str">
        <x:v>PHYSICAL</x:v>
      </x:c>
      <x:c r="D3292" t="str">
        <x:v>credit acceptance</x:v>
      </x:c>
      <x:c r="E3292" t="str">
        <x:v>PH-CR-290</x:v>
      </x:c>
      <x:c r="F3292" t="str">
        <x:f>'Trial Register'!V296</x:f>
      </x:c>
      <x:c r="G3292" t="n">
        <x:v>1</x:v>
      </x:c>
      <x:c r="H3292" t="str">
        <x:v>independent physical acceptance</x:v>
      </x:c>
      <x:c r="I3292" t="str">
        <x:f>IF(F3292=1,"PASS","OPEN")</x:f>
        <x:v>OPEN</x:v>
      </x:c>
    </x:row>
    <x:row r="3293">
      <x:c r="B3293" t="str">
        <x:v>PH-EX-291</x:v>
      </x:c>
      <x:c r="C3293" t="str">
        <x:v>PHYSICAL</x:v>
      </x:c>
      <x:c r="D3293" t="str">
        <x:v>trial execution</x:v>
      </x:c>
      <x:c r="E3293" t="str">
        <x:v>PH-EX-291</x:v>
      </x:c>
      <x:c r="F3293" t="n">
        <x:f>IF('Trial Register'!P297&lt;&gt;"",1,0)</x:f>
        <x:v>0</x:v>
      </x:c>
      <x:c r="G3293" t="n">
        <x:v>1</x:v>
      </x:c>
      <x:c r="H3293" t="str">
        <x:v>independent physical acceptance</x:v>
      </x:c>
      <x:c r="I3293" t="str">
        <x:f>IF(F3293=1,"PASS","OPEN")</x:f>
        <x:v>OPEN</x:v>
      </x:c>
    </x:row>
    <x:row r="3294">
      <x:c r="B3294" t="str">
        <x:v>PH-PK-291</x:v>
      </x:c>
      <x:c r="C3294" t="str">
        <x:v>PHYSICAL</x:v>
      </x:c>
      <x:c r="D3294" t="str">
        <x:v>trial packet</x:v>
      </x:c>
      <x:c r="E3294" t="str">
        <x:v>PH-PK-291</x:v>
      </x:c>
      <x:c r="F3294" t="n">
        <x:f>IF('Trial Register'!Q297&lt;&gt;"",1,0)</x:f>
        <x:v>0</x:v>
      </x:c>
      <x:c r="G3294" t="n">
        <x:v>1</x:v>
      </x:c>
      <x:c r="H3294" t="str">
        <x:v>independent physical acceptance</x:v>
      </x:c>
      <x:c r="I3294" t="str">
        <x:f>IF(F3294=1,"PASS","OPEN")</x:f>
        <x:v>OPEN</x:v>
      </x:c>
    </x:row>
    <x:row r="3295">
      <x:c r="B3295" t="str">
        <x:v>PH-VA-291</x:v>
      </x:c>
      <x:c r="C3295" t="str">
        <x:v>PHYSICAL</x:v>
      </x:c>
      <x:c r="D3295" t="str">
        <x:v>trial validity</x:v>
      </x:c>
      <x:c r="E3295" t="str">
        <x:v>PH-VA-291</x:v>
      </x:c>
      <x:c r="F3295" t="n">
        <x:f>IF('Trial Register'!R297&lt;&gt;"",1,0)</x:f>
        <x:v>0</x:v>
      </x:c>
      <x:c r="G3295" t="n">
        <x:v>1</x:v>
      </x:c>
      <x:c r="H3295" t="str">
        <x:v>independent physical acceptance</x:v>
      </x:c>
      <x:c r="I3295" t="str">
        <x:f>IF(F3295=1,"PASS","OPEN")</x:f>
        <x:v>OPEN</x:v>
      </x:c>
    </x:row>
    <x:row r="3296">
      <x:c r="B3296" t="str">
        <x:v>PH-RV-291</x:v>
      </x:c>
      <x:c r="C3296" t="str">
        <x:v>PHYSICAL</x:v>
      </x:c>
      <x:c r="D3296" t="str">
        <x:v>reported value</x:v>
      </x:c>
      <x:c r="E3296" t="str">
        <x:v>PH-RV-291</x:v>
      </x:c>
      <x:c r="F3296" t="n">
        <x:f>IF('Trial Register'!S297&lt;&gt;"",1,0)</x:f>
        <x:v>0</x:v>
      </x:c>
      <x:c r="G3296" t="n">
        <x:v>1</x:v>
      </x:c>
      <x:c r="H3296" t="str">
        <x:v>independent physical acceptance</x:v>
      </x:c>
      <x:c r="I3296" t="str">
        <x:f>IF(F3296=1,"PASS","OPEN")</x:f>
        <x:v>OPEN</x:v>
      </x:c>
    </x:row>
    <x:row r="3297">
      <x:c r="B3297" t="str">
        <x:v>PH-CR-291</x:v>
      </x:c>
      <x:c r="C3297" t="str">
        <x:v>PHYSICAL</x:v>
      </x:c>
      <x:c r="D3297" t="str">
        <x:v>credit acceptance</x:v>
      </x:c>
      <x:c r="E3297" t="str">
        <x:v>PH-CR-291</x:v>
      </x:c>
      <x:c r="F3297" t="str">
        <x:f>'Trial Register'!V297</x:f>
      </x:c>
      <x:c r="G3297" t="n">
        <x:v>1</x:v>
      </x:c>
      <x:c r="H3297" t="str">
        <x:v>independent physical acceptance</x:v>
      </x:c>
      <x:c r="I3297" t="str">
        <x:f>IF(F3297=1,"PASS","OPEN")</x:f>
        <x:v>OPEN</x:v>
      </x:c>
    </x:row>
    <x:row r="3298">
      <x:c r="B3298" t="str">
        <x:v>PH-EX-292</x:v>
      </x:c>
      <x:c r="C3298" t="str">
        <x:v>PHYSICAL</x:v>
      </x:c>
      <x:c r="D3298" t="str">
        <x:v>trial execution</x:v>
      </x:c>
      <x:c r="E3298" t="str">
        <x:v>PH-EX-292</x:v>
      </x:c>
      <x:c r="F3298" t="n">
        <x:f>IF('Trial Register'!P298&lt;&gt;"",1,0)</x:f>
        <x:v>0</x:v>
      </x:c>
      <x:c r="G3298" t="n">
        <x:v>1</x:v>
      </x:c>
      <x:c r="H3298" t="str">
        <x:v>independent physical acceptance</x:v>
      </x:c>
      <x:c r="I3298" t="str">
        <x:f>IF(F3298=1,"PASS","OPEN")</x:f>
        <x:v>OPEN</x:v>
      </x:c>
    </x:row>
    <x:row r="3299">
      <x:c r="B3299" t="str">
        <x:v>PH-PK-292</x:v>
      </x:c>
      <x:c r="C3299" t="str">
        <x:v>PHYSICAL</x:v>
      </x:c>
      <x:c r="D3299" t="str">
        <x:v>trial packet</x:v>
      </x:c>
      <x:c r="E3299" t="str">
        <x:v>PH-PK-292</x:v>
      </x:c>
      <x:c r="F3299" t="n">
        <x:f>IF('Trial Register'!Q298&lt;&gt;"",1,0)</x:f>
        <x:v>0</x:v>
      </x:c>
      <x:c r="G3299" t="n">
        <x:v>1</x:v>
      </x:c>
      <x:c r="H3299" t="str">
        <x:v>independent physical acceptance</x:v>
      </x:c>
      <x:c r="I3299" t="str">
        <x:f>IF(F3299=1,"PASS","OPEN")</x:f>
        <x:v>OPEN</x:v>
      </x:c>
    </x:row>
    <x:row r="3300">
      <x:c r="B3300" t="str">
        <x:v>PH-VA-292</x:v>
      </x:c>
      <x:c r="C3300" t="str">
        <x:v>PHYSICAL</x:v>
      </x:c>
      <x:c r="D3300" t="str">
        <x:v>trial validity</x:v>
      </x:c>
      <x:c r="E3300" t="str">
        <x:v>PH-VA-292</x:v>
      </x:c>
      <x:c r="F3300" t="n">
        <x:f>IF('Trial Register'!R298&lt;&gt;"",1,0)</x:f>
        <x:v>0</x:v>
      </x:c>
      <x:c r="G3300" t="n">
        <x:v>1</x:v>
      </x:c>
      <x:c r="H3300" t="str">
        <x:v>independent physical acceptance</x:v>
      </x:c>
      <x:c r="I3300" t="str">
        <x:f>IF(F3300=1,"PASS","OPEN")</x:f>
        <x:v>OPEN</x:v>
      </x:c>
    </x:row>
    <x:row r="3301">
      <x:c r="B3301" t="str">
        <x:v>PH-RV-292</x:v>
      </x:c>
      <x:c r="C3301" t="str">
        <x:v>PHYSICAL</x:v>
      </x:c>
      <x:c r="D3301" t="str">
        <x:v>reported value</x:v>
      </x:c>
      <x:c r="E3301" t="str">
        <x:v>PH-RV-292</x:v>
      </x:c>
      <x:c r="F3301" t="n">
        <x:f>IF('Trial Register'!S298&lt;&gt;"",1,0)</x:f>
        <x:v>0</x:v>
      </x:c>
      <x:c r="G3301" t="n">
        <x:v>1</x:v>
      </x:c>
      <x:c r="H3301" t="str">
        <x:v>independent physical acceptance</x:v>
      </x:c>
      <x:c r="I3301" t="str">
        <x:f>IF(F3301=1,"PASS","OPEN")</x:f>
        <x:v>OPEN</x:v>
      </x:c>
    </x:row>
    <x:row r="3302">
      <x:c r="B3302" t="str">
        <x:v>PH-CR-292</x:v>
      </x:c>
      <x:c r="C3302" t="str">
        <x:v>PHYSICAL</x:v>
      </x:c>
      <x:c r="D3302" t="str">
        <x:v>credit acceptance</x:v>
      </x:c>
      <x:c r="E3302" t="str">
        <x:v>PH-CR-292</x:v>
      </x:c>
      <x:c r="F3302" t="str">
        <x:f>'Trial Register'!V298</x:f>
      </x:c>
      <x:c r="G3302" t="n">
        <x:v>1</x:v>
      </x:c>
      <x:c r="H3302" t="str">
        <x:v>independent physical acceptance</x:v>
      </x:c>
      <x:c r="I3302" t="str">
        <x:f>IF(F3302=1,"PASS","OPEN")</x:f>
        <x:v>OPEN</x:v>
      </x:c>
    </x:row>
    <x:row r="3303">
      <x:c r="B3303" t="str">
        <x:v>PH-EX-293</x:v>
      </x:c>
      <x:c r="C3303" t="str">
        <x:v>PHYSICAL</x:v>
      </x:c>
      <x:c r="D3303" t="str">
        <x:v>trial execution</x:v>
      </x:c>
      <x:c r="E3303" t="str">
        <x:v>PH-EX-293</x:v>
      </x:c>
      <x:c r="F3303" t="n">
        <x:f>IF('Trial Register'!P299&lt;&gt;"",1,0)</x:f>
        <x:v>0</x:v>
      </x:c>
      <x:c r="G3303" t="n">
        <x:v>1</x:v>
      </x:c>
      <x:c r="H3303" t="str">
        <x:v>independent physical acceptance</x:v>
      </x:c>
      <x:c r="I3303" t="str">
        <x:f>IF(F3303=1,"PASS","OPEN")</x:f>
        <x:v>OPEN</x:v>
      </x:c>
    </x:row>
    <x:row r="3304">
      <x:c r="B3304" t="str">
        <x:v>PH-PK-293</x:v>
      </x:c>
      <x:c r="C3304" t="str">
        <x:v>PHYSICAL</x:v>
      </x:c>
      <x:c r="D3304" t="str">
        <x:v>trial packet</x:v>
      </x:c>
      <x:c r="E3304" t="str">
        <x:v>PH-PK-293</x:v>
      </x:c>
      <x:c r="F3304" t="n">
        <x:f>IF('Trial Register'!Q299&lt;&gt;"",1,0)</x:f>
        <x:v>0</x:v>
      </x:c>
      <x:c r="G3304" t="n">
        <x:v>1</x:v>
      </x:c>
      <x:c r="H3304" t="str">
        <x:v>independent physical acceptance</x:v>
      </x:c>
      <x:c r="I3304" t="str">
        <x:f>IF(F3304=1,"PASS","OPEN")</x:f>
        <x:v>OPEN</x:v>
      </x:c>
    </x:row>
    <x:row r="3305">
      <x:c r="B3305" t="str">
        <x:v>PH-VA-293</x:v>
      </x:c>
      <x:c r="C3305" t="str">
        <x:v>PHYSICAL</x:v>
      </x:c>
      <x:c r="D3305" t="str">
        <x:v>trial validity</x:v>
      </x:c>
      <x:c r="E3305" t="str">
        <x:v>PH-VA-293</x:v>
      </x:c>
      <x:c r="F3305" t="n">
        <x:f>IF('Trial Register'!R299&lt;&gt;"",1,0)</x:f>
        <x:v>0</x:v>
      </x:c>
      <x:c r="G3305" t="n">
        <x:v>1</x:v>
      </x:c>
      <x:c r="H3305" t="str">
        <x:v>independent physical acceptance</x:v>
      </x:c>
      <x:c r="I3305" t="str">
        <x:f>IF(F3305=1,"PASS","OPEN")</x:f>
        <x:v>OPEN</x:v>
      </x:c>
    </x:row>
    <x:row r="3306">
      <x:c r="B3306" t="str">
        <x:v>PH-RV-293</x:v>
      </x:c>
      <x:c r="C3306" t="str">
        <x:v>PHYSICAL</x:v>
      </x:c>
      <x:c r="D3306" t="str">
        <x:v>reported value</x:v>
      </x:c>
      <x:c r="E3306" t="str">
        <x:v>PH-RV-293</x:v>
      </x:c>
      <x:c r="F3306" t="n">
        <x:f>IF('Trial Register'!S299&lt;&gt;"",1,0)</x:f>
        <x:v>0</x:v>
      </x:c>
      <x:c r="G3306" t="n">
        <x:v>1</x:v>
      </x:c>
      <x:c r="H3306" t="str">
        <x:v>independent physical acceptance</x:v>
      </x:c>
      <x:c r="I3306" t="str">
        <x:f>IF(F3306=1,"PASS","OPEN")</x:f>
        <x:v>OPEN</x:v>
      </x:c>
    </x:row>
    <x:row r="3307">
      <x:c r="B3307" t="str">
        <x:v>PH-CR-293</x:v>
      </x:c>
      <x:c r="C3307" t="str">
        <x:v>PHYSICAL</x:v>
      </x:c>
      <x:c r="D3307" t="str">
        <x:v>credit acceptance</x:v>
      </x:c>
      <x:c r="E3307" t="str">
        <x:v>PH-CR-293</x:v>
      </x:c>
      <x:c r="F3307" t="str">
        <x:f>'Trial Register'!V299</x:f>
      </x:c>
      <x:c r="G3307" t="n">
        <x:v>1</x:v>
      </x:c>
      <x:c r="H3307" t="str">
        <x:v>independent physical acceptance</x:v>
      </x:c>
      <x:c r="I3307" t="str">
        <x:f>IF(F3307=1,"PASS","OPEN")</x:f>
        <x:v>OPEN</x:v>
      </x:c>
    </x:row>
    <x:row r="3308">
      <x:c r="B3308" t="str">
        <x:v>PH-EX-294</x:v>
      </x:c>
      <x:c r="C3308" t="str">
        <x:v>PHYSICAL</x:v>
      </x:c>
      <x:c r="D3308" t="str">
        <x:v>trial execution</x:v>
      </x:c>
      <x:c r="E3308" t="str">
        <x:v>PH-EX-294</x:v>
      </x:c>
      <x:c r="F3308" t="n">
        <x:f>IF('Trial Register'!P300&lt;&gt;"",1,0)</x:f>
        <x:v>0</x:v>
      </x:c>
      <x:c r="G3308" t="n">
        <x:v>1</x:v>
      </x:c>
      <x:c r="H3308" t="str">
        <x:v>independent physical acceptance</x:v>
      </x:c>
      <x:c r="I3308" t="str">
        <x:f>IF(F3308=1,"PASS","OPEN")</x:f>
        <x:v>OPEN</x:v>
      </x:c>
    </x:row>
    <x:row r="3309">
      <x:c r="B3309" t="str">
        <x:v>PH-PK-294</x:v>
      </x:c>
      <x:c r="C3309" t="str">
        <x:v>PHYSICAL</x:v>
      </x:c>
      <x:c r="D3309" t="str">
        <x:v>trial packet</x:v>
      </x:c>
      <x:c r="E3309" t="str">
        <x:v>PH-PK-294</x:v>
      </x:c>
      <x:c r="F3309" t="n">
        <x:f>IF('Trial Register'!Q300&lt;&gt;"",1,0)</x:f>
        <x:v>0</x:v>
      </x:c>
      <x:c r="G3309" t="n">
        <x:v>1</x:v>
      </x:c>
      <x:c r="H3309" t="str">
        <x:v>independent physical acceptance</x:v>
      </x:c>
      <x:c r="I3309" t="str">
        <x:f>IF(F3309=1,"PASS","OPEN")</x:f>
        <x:v>OPEN</x:v>
      </x:c>
    </x:row>
    <x:row r="3310">
      <x:c r="B3310" t="str">
        <x:v>PH-VA-294</x:v>
      </x:c>
      <x:c r="C3310" t="str">
        <x:v>PHYSICAL</x:v>
      </x:c>
      <x:c r="D3310" t="str">
        <x:v>trial validity</x:v>
      </x:c>
      <x:c r="E3310" t="str">
        <x:v>PH-VA-294</x:v>
      </x:c>
      <x:c r="F3310" t="n">
        <x:f>IF('Trial Register'!R300&lt;&gt;"",1,0)</x:f>
        <x:v>0</x:v>
      </x:c>
      <x:c r="G3310" t="n">
        <x:v>1</x:v>
      </x:c>
      <x:c r="H3310" t="str">
        <x:v>independent physical acceptance</x:v>
      </x:c>
      <x:c r="I3310" t="str">
        <x:f>IF(F3310=1,"PASS","OPEN")</x:f>
        <x:v>OPEN</x:v>
      </x:c>
    </x:row>
    <x:row r="3311">
      <x:c r="B3311" t="str">
        <x:v>PH-RV-294</x:v>
      </x:c>
      <x:c r="C3311" t="str">
        <x:v>PHYSICAL</x:v>
      </x:c>
      <x:c r="D3311" t="str">
        <x:v>reported value</x:v>
      </x:c>
      <x:c r="E3311" t="str">
        <x:v>PH-RV-294</x:v>
      </x:c>
      <x:c r="F3311" t="n">
        <x:f>IF('Trial Register'!S300&lt;&gt;"",1,0)</x:f>
        <x:v>0</x:v>
      </x:c>
      <x:c r="G3311" t="n">
        <x:v>1</x:v>
      </x:c>
      <x:c r="H3311" t="str">
        <x:v>independent physical acceptance</x:v>
      </x:c>
      <x:c r="I3311" t="str">
        <x:f>IF(F3311=1,"PASS","OPEN")</x:f>
        <x:v>OPEN</x:v>
      </x:c>
    </x:row>
    <x:row r="3312">
      <x:c r="B3312" t="str">
        <x:v>PH-CR-294</x:v>
      </x:c>
      <x:c r="C3312" t="str">
        <x:v>PHYSICAL</x:v>
      </x:c>
      <x:c r="D3312" t="str">
        <x:v>credit acceptance</x:v>
      </x:c>
      <x:c r="E3312" t="str">
        <x:v>PH-CR-294</x:v>
      </x:c>
      <x:c r="F3312" t="str">
        <x:f>'Trial Register'!V300</x:f>
      </x:c>
      <x:c r="G3312" t="n">
        <x:v>1</x:v>
      </x:c>
      <x:c r="H3312" t="str">
        <x:v>independent physical acceptance</x:v>
      </x:c>
      <x:c r="I3312" t="str">
        <x:f>IF(F3312=1,"PASS","OPEN")</x:f>
        <x:v>OPEN</x:v>
      </x:c>
    </x:row>
    <x:row r="3313">
      <x:c r="B3313" t="str">
        <x:v>PH-EX-295</x:v>
      </x:c>
      <x:c r="C3313" t="str">
        <x:v>PHYSICAL</x:v>
      </x:c>
      <x:c r="D3313" t="str">
        <x:v>trial execution</x:v>
      </x:c>
      <x:c r="E3313" t="str">
        <x:v>PH-EX-295</x:v>
      </x:c>
      <x:c r="F3313" t="n">
        <x:f>IF('Trial Register'!P301&lt;&gt;"",1,0)</x:f>
        <x:v>0</x:v>
      </x:c>
      <x:c r="G3313" t="n">
        <x:v>1</x:v>
      </x:c>
      <x:c r="H3313" t="str">
        <x:v>independent physical acceptance</x:v>
      </x:c>
      <x:c r="I3313" t="str">
        <x:f>IF(F3313=1,"PASS","OPEN")</x:f>
        <x:v>OPEN</x:v>
      </x:c>
    </x:row>
    <x:row r="3314">
      <x:c r="B3314" t="str">
        <x:v>PH-PK-295</x:v>
      </x:c>
      <x:c r="C3314" t="str">
        <x:v>PHYSICAL</x:v>
      </x:c>
      <x:c r="D3314" t="str">
        <x:v>trial packet</x:v>
      </x:c>
      <x:c r="E3314" t="str">
        <x:v>PH-PK-295</x:v>
      </x:c>
      <x:c r="F3314" t="n">
        <x:f>IF('Trial Register'!Q301&lt;&gt;"",1,0)</x:f>
        <x:v>0</x:v>
      </x:c>
      <x:c r="G3314" t="n">
        <x:v>1</x:v>
      </x:c>
      <x:c r="H3314" t="str">
        <x:v>independent physical acceptance</x:v>
      </x:c>
      <x:c r="I3314" t="str">
        <x:f>IF(F3314=1,"PASS","OPEN")</x:f>
        <x:v>OPEN</x:v>
      </x:c>
    </x:row>
    <x:row r="3315">
      <x:c r="B3315" t="str">
        <x:v>PH-VA-295</x:v>
      </x:c>
      <x:c r="C3315" t="str">
        <x:v>PHYSICAL</x:v>
      </x:c>
      <x:c r="D3315" t="str">
        <x:v>trial validity</x:v>
      </x:c>
      <x:c r="E3315" t="str">
        <x:v>PH-VA-295</x:v>
      </x:c>
      <x:c r="F3315" t="n">
        <x:f>IF('Trial Register'!R301&lt;&gt;"",1,0)</x:f>
        <x:v>0</x:v>
      </x:c>
      <x:c r="G3315" t="n">
        <x:v>1</x:v>
      </x:c>
      <x:c r="H3315" t="str">
        <x:v>independent physical acceptance</x:v>
      </x:c>
      <x:c r="I3315" t="str">
        <x:f>IF(F3315=1,"PASS","OPEN")</x:f>
        <x:v>OPEN</x:v>
      </x:c>
    </x:row>
    <x:row r="3316">
      <x:c r="B3316" t="str">
        <x:v>PH-RV-295</x:v>
      </x:c>
      <x:c r="C3316" t="str">
        <x:v>PHYSICAL</x:v>
      </x:c>
      <x:c r="D3316" t="str">
        <x:v>reported value</x:v>
      </x:c>
      <x:c r="E3316" t="str">
        <x:v>PH-RV-295</x:v>
      </x:c>
      <x:c r="F3316" t="n">
        <x:f>IF('Trial Register'!S301&lt;&gt;"",1,0)</x:f>
        <x:v>0</x:v>
      </x:c>
      <x:c r="G3316" t="n">
        <x:v>1</x:v>
      </x:c>
      <x:c r="H3316" t="str">
        <x:v>independent physical acceptance</x:v>
      </x:c>
      <x:c r="I3316" t="str">
        <x:f>IF(F3316=1,"PASS","OPEN")</x:f>
        <x:v>OPEN</x:v>
      </x:c>
    </x:row>
    <x:row r="3317">
      <x:c r="B3317" t="str">
        <x:v>PH-CR-295</x:v>
      </x:c>
      <x:c r="C3317" t="str">
        <x:v>PHYSICAL</x:v>
      </x:c>
      <x:c r="D3317" t="str">
        <x:v>credit acceptance</x:v>
      </x:c>
      <x:c r="E3317" t="str">
        <x:v>PH-CR-295</x:v>
      </x:c>
      <x:c r="F3317" t="str">
        <x:f>'Trial Register'!V301</x:f>
      </x:c>
      <x:c r="G3317" t="n">
        <x:v>1</x:v>
      </x:c>
      <x:c r="H3317" t="str">
        <x:v>independent physical acceptance</x:v>
      </x:c>
      <x:c r="I3317" t="str">
        <x:f>IF(F3317=1,"PASS","OPEN")</x:f>
        <x:v>OPEN</x:v>
      </x:c>
    </x:row>
    <x:row r="3318">
      <x:c r="B3318" t="str">
        <x:v>PH-EX-296</x:v>
      </x:c>
      <x:c r="C3318" t="str">
        <x:v>PHYSICAL</x:v>
      </x:c>
      <x:c r="D3318" t="str">
        <x:v>trial execution</x:v>
      </x:c>
      <x:c r="E3318" t="str">
        <x:v>PH-EX-296</x:v>
      </x:c>
      <x:c r="F3318" t="n">
        <x:f>IF('Trial Register'!P302&lt;&gt;"",1,0)</x:f>
        <x:v>0</x:v>
      </x:c>
      <x:c r="G3318" t="n">
        <x:v>1</x:v>
      </x:c>
      <x:c r="H3318" t="str">
        <x:v>independent physical acceptance</x:v>
      </x:c>
      <x:c r="I3318" t="str">
        <x:f>IF(F3318=1,"PASS","OPEN")</x:f>
        <x:v>OPEN</x:v>
      </x:c>
    </x:row>
    <x:row r="3319">
      <x:c r="B3319" t="str">
        <x:v>PH-PK-296</x:v>
      </x:c>
      <x:c r="C3319" t="str">
        <x:v>PHYSICAL</x:v>
      </x:c>
      <x:c r="D3319" t="str">
        <x:v>trial packet</x:v>
      </x:c>
      <x:c r="E3319" t="str">
        <x:v>PH-PK-296</x:v>
      </x:c>
      <x:c r="F3319" t="n">
        <x:f>IF('Trial Register'!Q302&lt;&gt;"",1,0)</x:f>
        <x:v>0</x:v>
      </x:c>
      <x:c r="G3319" t="n">
        <x:v>1</x:v>
      </x:c>
      <x:c r="H3319" t="str">
        <x:v>independent physical acceptance</x:v>
      </x:c>
      <x:c r="I3319" t="str">
        <x:f>IF(F3319=1,"PASS","OPEN")</x:f>
        <x:v>OPEN</x:v>
      </x:c>
    </x:row>
    <x:row r="3320">
      <x:c r="B3320" t="str">
        <x:v>PH-VA-296</x:v>
      </x:c>
      <x:c r="C3320" t="str">
        <x:v>PHYSICAL</x:v>
      </x:c>
      <x:c r="D3320" t="str">
        <x:v>trial validity</x:v>
      </x:c>
      <x:c r="E3320" t="str">
        <x:v>PH-VA-296</x:v>
      </x:c>
      <x:c r="F3320" t="n">
        <x:f>IF('Trial Register'!R302&lt;&gt;"",1,0)</x:f>
        <x:v>0</x:v>
      </x:c>
      <x:c r="G3320" t="n">
        <x:v>1</x:v>
      </x:c>
      <x:c r="H3320" t="str">
        <x:v>independent physical acceptance</x:v>
      </x:c>
      <x:c r="I3320" t="str">
        <x:f>IF(F3320=1,"PASS","OPEN")</x:f>
        <x:v>OPEN</x:v>
      </x:c>
    </x:row>
    <x:row r="3321">
      <x:c r="B3321" t="str">
        <x:v>PH-RV-296</x:v>
      </x:c>
      <x:c r="C3321" t="str">
        <x:v>PHYSICAL</x:v>
      </x:c>
      <x:c r="D3321" t="str">
        <x:v>reported value</x:v>
      </x:c>
      <x:c r="E3321" t="str">
        <x:v>PH-RV-296</x:v>
      </x:c>
      <x:c r="F3321" t="n">
        <x:f>IF('Trial Register'!S302&lt;&gt;"",1,0)</x:f>
        <x:v>0</x:v>
      </x:c>
      <x:c r="G3321" t="n">
        <x:v>1</x:v>
      </x:c>
      <x:c r="H3321" t="str">
        <x:v>independent physical acceptance</x:v>
      </x:c>
      <x:c r="I3321" t="str">
        <x:f>IF(F3321=1,"PASS","OPEN")</x:f>
        <x:v>OPEN</x:v>
      </x:c>
    </x:row>
    <x:row r="3322">
      <x:c r="B3322" t="str">
        <x:v>PH-CR-296</x:v>
      </x:c>
      <x:c r="C3322" t="str">
        <x:v>PHYSICAL</x:v>
      </x:c>
      <x:c r="D3322" t="str">
        <x:v>credit acceptance</x:v>
      </x:c>
      <x:c r="E3322" t="str">
        <x:v>PH-CR-296</x:v>
      </x:c>
      <x:c r="F3322" t="str">
        <x:f>'Trial Register'!V302</x:f>
      </x:c>
      <x:c r="G3322" t="n">
        <x:v>1</x:v>
      </x:c>
      <x:c r="H3322" t="str">
        <x:v>independent physical acceptance</x:v>
      </x:c>
      <x:c r="I3322" t="str">
        <x:f>IF(F3322=1,"PASS","OPEN")</x:f>
        <x:v>OPEN</x:v>
      </x:c>
    </x:row>
    <x:row r="3323">
      <x:c r="B3323" t="str">
        <x:v>PH-EX-297</x:v>
      </x:c>
      <x:c r="C3323" t="str">
        <x:v>PHYSICAL</x:v>
      </x:c>
      <x:c r="D3323" t="str">
        <x:v>trial execution</x:v>
      </x:c>
      <x:c r="E3323" t="str">
        <x:v>PH-EX-297</x:v>
      </x:c>
      <x:c r="F3323" t="n">
        <x:f>IF('Trial Register'!P303&lt;&gt;"",1,0)</x:f>
        <x:v>0</x:v>
      </x:c>
      <x:c r="G3323" t="n">
        <x:v>1</x:v>
      </x:c>
      <x:c r="H3323" t="str">
        <x:v>independent physical acceptance</x:v>
      </x:c>
      <x:c r="I3323" t="str">
        <x:f>IF(F3323=1,"PASS","OPEN")</x:f>
        <x:v>OPEN</x:v>
      </x:c>
    </x:row>
    <x:row r="3324">
      <x:c r="B3324" t="str">
        <x:v>PH-PK-297</x:v>
      </x:c>
      <x:c r="C3324" t="str">
        <x:v>PHYSICAL</x:v>
      </x:c>
      <x:c r="D3324" t="str">
        <x:v>trial packet</x:v>
      </x:c>
      <x:c r="E3324" t="str">
        <x:v>PH-PK-297</x:v>
      </x:c>
      <x:c r="F3324" t="n">
        <x:f>IF('Trial Register'!Q303&lt;&gt;"",1,0)</x:f>
        <x:v>0</x:v>
      </x:c>
      <x:c r="G3324" t="n">
        <x:v>1</x:v>
      </x:c>
      <x:c r="H3324" t="str">
        <x:v>independent physical acceptance</x:v>
      </x:c>
      <x:c r="I3324" t="str">
        <x:f>IF(F3324=1,"PASS","OPEN")</x:f>
        <x:v>OPEN</x:v>
      </x:c>
    </x:row>
    <x:row r="3325">
      <x:c r="B3325" t="str">
        <x:v>PH-VA-297</x:v>
      </x:c>
      <x:c r="C3325" t="str">
        <x:v>PHYSICAL</x:v>
      </x:c>
      <x:c r="D3325" t="str">
        <x:v>trial validity</x:v>
      </x:c>
      <x:c r="E3325" t="str">
        <x:v>PH-VA-297</x:v>
      </x:c>
      <x:c r="F3325" t="n">
        <x:f>IF('Trial Register'!R303&lt;&gt;"",1,0)</x:f>
        <x:v>0</x:v>
      </x:c>
      <x:c r="G3325" t="n">
        <x:v>1</x:v>
      </x:c>
      <x:c r="H3325" t="str">
        <x:v>independent physical acceptance</x:v>
      </x:c>
      <x:c r="I3325" t="str">
        <x:f>IF(F3325=1,"PASS","OPEN")</x:f>
        <x:v>OPEN</x:v>
      </x:c>
    </x:row>
    <x:row r="3326">
      <x:c r="B3326" t="str">
        <x:v>PH-RV-297</x:v>
      </x:c>
      <x:c r="C3326" t="str">
        <x:v>PHYSICAL</x:v>
      </x:c>
      <x:c r="D3326" t="str">
        <x:v>reported value</x:v>
      </x:c>
      <x:c r="E3326" t="str">
        <x:v>PH-RV-297</x:v>
      </x:c>
      <x:c r="F3326" t="n">
        <x:f>IF('Trial Register'!S303&lt;&gt;"",1,0)</x:f>
        <x:v>0</x:v>
      </x:c>
      <x:c r="G3326" t="n">
        <x:v>1</x:v>
      </x:c>
      <x:c r="H3326" t="str">
        <x:v>independent physical acceptance</x:v>
      </x:c>
      <x:c r="I3326" t="str">
        <x:f>IF(F3326=1,"PASS","OPEN")</x:f>
        <x:v>OPEN</x:v>
      </x:c>
    </x:row>
    <x:row r="3327">
      <x:c r="B3327" t="str">
        <x:v>PH-CR-297</x:v>
      </x:c>
      <x:c r="C3327" t="str">
        <x:v>PHYSICAL</x:v>
      </x:c>
      <x:c r="D3327" t="str">
        <x:v>credit acceptance</x:v>
      </x:c>
      <x:c r="E3327" t="str">
        <x:v>PH-CR-297</x:v>
      </x:c>
      <x:c r="F3327" t="str">
        <x:f>'Trial Register'!V303</x:f>
      </x:c>
      <x:c r="G3327" t="n">
        <x:v>1</x:v>
      </x:c>
      <x:c r="H3327" t="str">
        <x:v>independent physical acceptance</x:v>
      </x:c>
      <x:c r="I3327" t="str">
        <x:f>IF(F3327=1,"PASS","OPEN")</x:f>
        <x:v>OPEN</x:v>
      </x:c>
    </x:row>
    <x:row r="3328">
      <x:c r="B3328" t="str">
        <x:v>PH-EX-298</x:v>
      </x:c>
      <x:c r="C3328" t="str">
        <x:v>PHYSICAL</x:v>
      </x:c>
      <x:c r="D3328" t="str">
        <x:v>trial execution</x:v>
      </x:c>
      <x:c r="E3328" t="str">
        <x:v>PH-EX-298</x:v>
      </x:c>
      <x:c r="F3328" t="n">
        <x:f>IF('Trial Register'!P304&lt;&gt;"",1,0)</x:f>
        <x:v>0</x:v>
      </x:c>
      <x:c r="G3328" t="n">
        <x:v>1</x:v>
      </x:c>
      <x:c r="H3328" t="str">
        <x:v>independent physical acceptance</x:v>
      </x:c>
      <x:c r="I3328" t="str">
        <x:f>IF(F3328=1,"PASS","OPEN")</x:f>
        <x:v>OPEN</x:v>
      </x:c>
    </x:row>
    <x:row r="3329">
      <x:c r="B3329" t="str">
        <x:v>PH-PK-298</x:v>
      </x:c>
      <x:c r="C3329" t="str">
        <x:v>PHYSICAL</x:v>
      </x:c>
      <x:c r="D3329" t="str">
        <x:v>trial packet</x:v>
      </x:c>
      <x:c r="E3329" t="str">
        <x:v>PH-PK-298</x:v>
      </x:c>
      <x:c r="F3329" t="n">
        <x:f>IF('Trial Register'!Q304&lt;&gt;"",1,0)</x:f>
        <x:v>0</x:v>
      </x:c>
      <x:c r="G3329" t="n">
        <x:v>1</x:v>
      </x:c>
      <x:c r="H3329" t="str">
        <x:v>independent physical acceptance</x:v>
      </x:c>
      <x:c r="I3329" t="str">
        <x:f>IF(F3329=1,"PASS","OPEN")</x:f>
        <x:v>OPEN</x:v>
      </x:c>
    </x:row>
    <x:row r="3330">
      <x:c r="B3330" t="str">
        <x:v>PH-VA-298</x:v>
      </x:c>
      <x:c r="C3330" t="str">
        <x:v>PHYSICAL</x:v>
      </x:c>
      <x:c r="D3330" t="str">
        <x:v>trial validity</x:v>
      </x:c>
      <x:c r="E3330" t="str">
        <x:v>PH-VA-298</x:v>
      </x:c>
      <x:c r="F3330" t="n">
        <x:f>IF('Trial Register'!R304&lt;&gt;"",1,0)</x:f>
        <x:v>0</x:v>
      </x:c>
      <x:c r="G3330" t="n">
        <x:v>1</x:v>
      </x:c>
      <x:c r="H3330" t="str">
        <x:v>independent physical acceptance</x:v>
      </x:c>
      <x:c r="I3330" t="str">
        <x:f>IF(F3330=1,"PASS","OPEN")</x:f>
        <x:v>OPEN</x:v>
      </x:c>
    </x:row>
    <x:row r="3331">
      <x:c r="B3331" t="str">
        <x:v>PH-RV-298</x:v>
      </x:c>
      <x:c r="C3331" t="str">
        <x:v>PHYSICAL</x:v>
      </x:c>
      <x:c r="D3331" t="str">
        <x:v>reported value</x:v>
      </x:c>
      <x:c r="E3331" t="str">
        <x:v>PH-RV-298</x:v>
      </x:c>
      <x:c r="F3331" t="n">
        <x:f>IF('Trial Register'!S304&lt;&gt;"",1,0)</x:f>
        <x:v>0</x:v>
      </x:c>
      <x:c r="G3331" t="n">
        <x:v>1</x:v>
      </x:c>
      <x:c r="H3331" t="str">
        <x:v>independent physical acceptance</x:v>
      </x:c>
      <x:c r="I3331" t="str">
        <x:f>IF(F3331=1,"PASS","OPEN")</x:f>
        <x:v>OPEN</x:v>
      </x:c>
    </x:row>
    <x:row r="3332">
      <x:c r="B3332" t="str">
        <x:v>PH-CR-298</x:v>
      </x:c>
      <x:c r="C3332" t="str">
        <x:v>PHYSICAL</x:v>
      </x:c>
      <x:c r="D3332" t="str">
        <x:v>credit acceptance</x:v>
      </x:c>
      <x:c r="E3332" t="str">
        <x:v>PH-CR-298</x:v>
      </x:c>
      <x:c r="F3332" t="str">
        <x:f>'Trial Register'!V304</x:f>
      </x:c>
      <x:c r="G3332" t="n">
        <x:v>1</x:v>
      </x:c>
      <x:c r="H3332" t="str">
        <x:v>independent physical acceptance</x:v>
      </x:c>
      <x:c r="I3332" t="str">
        <x:f>IF(F3332=1,"PASS","OPEN")</x:f>
        <x:v>OPEN</x:v>
      </x:c>
    </x:row>
    <x:row r="3333">
      <x:c r="B3333" t="str">
        <x:v>PH-EX-299</x:v>
      </x:c>
      <x:c r="C3333" t="str">
        <x:v>PHYSICAL</x:v>
      </x:c>
      <x:c r="D3333" t="str">
        <x:v>trial execution</x:v>
      </x:c>
      <x:c r="E3333" t="str">
        <x:v>PH-EX-299</x:v>
      </x:c>
      <x:c r="F3333" t="n">
        <x:f>IF('Trial Register'!P305&lt;&gt;"",1,0)</x:f>
        <x:v>0</x:v>
      </x:c>
      <x:c r="G3333" t="n">
        <x:v>1</x:v>
      </x:c>
      <x:c r="H3333" t="str">
        <x:v>independent physical acceptance</x:v>
      </x:c>
      <x:c r="I3333" t="str">
        <x:f>IF(F3333=1,"PASS","OPEN")</x:f>
        <x:v>OPEN</x:v>
      </x:c>
    </x:row>
    <x:row r="3334">
      <x:c r="B3334" t="str">
        <x:v>PH-PK-299</x:v>
      </x:c>
      <x:c r="C3334" t="str">
        <x:v>PHYSICAL</x:v>
      </x:c>
      <x:c r="D3334" t="str">
        <x:v>trial packet</x:v>
      </x:c>
      <x:c r="E3334" t="str">
        <x:v>PH-PK-299</x:v>
      </x:c>
      <x:c r="F3334" t="n">
        <x:f>IF('Trial Register'!Q305&lt;&gt;"",1,0)</x:f>
        <x:v>0</x:v>
      </x:c>
      <x:c r="G3334" t="n">
        <x:v>1</x:v>
      </x:c>
      <x:c r="H3334" t="str">
        <x:v>independent physical acceptance</x:v>
      </x:c>
      <x:c r="I3334" t="str">
        <x:f>IF(F3334=1,"PASS","OPEN")</x:f>
        <x:v>OPEN</x:v>
      </x:c>
    </x:row>
    <x:row r="3335">
      <x:c r="B3335" t="str">
        <x:v>PH-VA-299</x:v>
      </x:c>
      <x:c r="C3335" t="str">
        <x:v>PHYSICAL</x:v>
      </x:c>
      <x:c r="D3335" t="str">
        <x:v>trial validity</x:v>
      </x:c>
      <x:c r="E3335" t="str">
        <x:v>PH-VA-299</x:v>
      </x:c>
      <x:c r="F3335" t="n">
        <x:f>IF('Trial Register'!R305&lt;&gt;"",1,0)</x:f>
        <x:v>0</x:v>
      </x:c>
      <x:c r="G3335" t="n">
        <x:v>1</x:v>
      </x:c>
      <x:c r="H3335" t="str">
        <x:v>independent physical acceptance</x:v>
      </x:c>
      <x:c r="I3335" t="str">
        <x:f>IF(F3335=1,"PASS","OPEN")</x:f>
        <x:v>OPEN</x:v>
      </x:c>
    </x:row>
    <x:row r="3336">
      <x:c r="B3336" t="str">
        <x:v>PH-RV-299</x:v>
      </x:c>
      <x:c r="C3336" t="str">
        <x:v>PHYSICAL</x:v>
      </x:c>
      <x:c r="D3336" t="str">
        <x:v>reported value</x:v>
      </x:c>
      <x:c r="E3336" t="str">
        <x:v>PH-RV-299</x:v>
      </x:c>
      <x:c r="F3336" t="n">
        <x:f>IF('Trial Register'!S305&lt;&gt;"",1,0)</x:f>
        <x:v>0</x:v>
      </x:c>
      <x:c r="G3336" t="n">
        <x:v>1</x:v>
      </x:c>
      <x:c r="H3336" t="str">
        <x:v>independent physical acceptance</x:v>
      </x:c>
      <x:c r="I3336" t="str">
        <x:f>IF(F3336=1,"PASS","OPEN")</x:f>
        <x:v>OPEN</x:v>
      </x:c>
    </x:row>
    <x:row r="3337">
      <x:c r="B3337" t="str">
        <x:v>PH-CR-299</x:v>
      </x:c>
      <x:c r="C3337" t="str">
        <x:v>PHYSICAL</x:v>
      </x:c>
      <x:c r="D3337" t="str">
        <x:v>credit acceptance</x:v>
      </x:c>
      <x:c r="E3337" t="str">
        <x:v>PH-CR-299</x:v>
      </x:c>
      <x:c r="F3337" t="str">
        <x:f>'Trial Register'!V305</x:f>
      </x:c>
      <x:c r="G3337" t="n">
        <x:v>1</x:v>
      </x:c>
      <x:c r="H3337" t="str">
        <x:v>independent physical acceptance</x:v>
      </x:c>
      <x:c r="I3337" t="str">
        <x:f>IF(F3337=1,"PASS","OPEN")</x:f>
        <x:v>OPEN</x:v>
      </x:c>
    </x:row>
    <x:row r="3338">
      <x:c r="B3338" t="str">
        <x:v>PH-EX-300</x:v>
      </x:c>
      <x:c r="C3338" t="str">
        <x:v>PHYSICAL</x:v>
      </x:c>
      <x:c r="D3338" t="str">
        <x:v>trial execution</x:v>
      </x:c>
      <x:c r="E3338" t="str">
        <x:v>PH-EX-300</x:v>
      </x:c>
      <x:c r="F3338" t="n">
        <x:f>IF('Trial Register'!P306&lt;&gt;"",1,0)</x:f>
        <x:v>0</x:v>
      </x:c>
      <x:c r="G3338" t="n">
        <x:v>1</x:v>
      </x:c>
      <x:c r="H3338" t="str">
        <x:v>independent physical acceptance</x:v>
      </x:c>
      <x:c r="I3338" t="str">
        <x:f>IF(F3338=1,"PASS","OPEN")</x:f>
        <x:v>OPEN</x:v>
      </x:c>
    </x:row>
    <x:row r="3339">
      <x:c r="B3339" t="str">
        <x:v>PH-PK-300</x:v>
      </x:c>
      <x:c r="C3339" t="str">
        <x:v>PHYSICAL</x:v>
      </x:c>
      <x:c r="D3339" t="str">
        <x:v>trial packet</x:v>
      </x:c>
      <x:c r="E3339" t="str">
        <x:v>PH-PK-300</x:v>
      </x:c>
      <x:c r="F3339" t="n">
        <x:f>IF('Trial Register'!Q306&lt;&gt;"",1,0)</x:f>
        <x:v>0</x:v>
      </x:c>
      <x:c r="G3339" t="n">
        <x:v>1</x:v>
      </x:c>
      <x:c r="H3339" t="str">
        <x:v>independent physical acceptance</x:v>
      </x:c>
      <x:c r="I3339" t="str">
        <x:f>IF(F3339=1,"PASS","OPEN")</x:f>
        <x:v>OPEN</x:v>
      </x:c>
    </x:row>
    <x:row r="3340">
      <x:c r="B3340" t="str">
        <x:v>PH-VA-300</x:v>
      </x:c>
      <x:c r="C3340" t="str">
        <x:v>PHYSICAL</x:v>
      </x:c>
      <x:c r="D3340" t="str">
        <x:v>trial validity</x:v>
      </x:c>
      <x:c r="E3340" t="str">
        <x:v>PH-VA-300</x:v>
      </x:c>
      <x:c r="F3340" t="n">
        <x:f>IF('Trial Register'!R306&lt;&gt;"",1,0)</x:f>
        <x:v>0</x:v>
      </x:c>
      <x:c r="G3340" t="n">
        <x:v>1</x:v>
      </x:c>
      <x:c r="H3340" t="str">
        <x:v>independent physical acceptance</x:v>
      </x:c>
      <x:c r="I3340" t="str">
        <x:f>IF(F3340=1,"PASS","OPEN")</x:f>
        <x:v>OPEN</x:v>
      </x:c>
    </x:row>
    <x:row r="3341">
      <x:c r="B3341" t="str">
        <x:v>PH-RV-300</x:v>
      </x:c>
      <x:c r="C3341" t="str">
        <x:v>PHYSICAL</x:v>
      </x:c>
      <x:c r="D3341" t="str">
        <x:v>reported value</x:v>
      </x:c>
      <x:c r="E3341" t="str">
        <x:v>PH-RV-300</x:v>
      </x:c>
      <x:c r="F3341" t="n">
        <x:f>IF('Trial Register'!S306&lt;&gt;"",1,0)</x:f>
        <x:v>0</x:v>
      </x:c>
      <x:c r="G3341" t="n">
        <x:v>1</x:v>
      </x:c>
      <x:c r="H3341" t="str">
        <x:v>independent physical acceptance</x:v>
      </x:c>
      <x:c r="I3341" t="str">
        <x:f>IF(F3341=1,"PASS","OPEN")</x:f>
        <x:v>OPEN</x:v>
      </x:c>
    </x:row>
    <x:row r="3342">
      <x:c r="B3342" t="str">
        <x:v>PH-CR-300</x:v>
      </x:c>
      <x:c r="C3342" t="str">
        <x:v>PHYSICAL</x:v>
      </x:c>
      <x:c r="D3342" t="str">
        <x:v>credit acceptance</x:v>
      </x:c>
      <x:c r="E3342" t="str">
        <x:v>PH-CR-300</x:v>
      </x:c>
      <x:c r="F3342" t="str">
        <x:f>'Trial Register'!V306</x:f>
      </x:c>
      <x:c r="G3342" t="n">
        <x:v>1</x:v>
      </x:c>
      <x:c r="H3342" t="str">
        <x:v>independent physical acceptance</x:v>
      </x:c>
      <x:c r="I3342" t="str">
        <x:f>IF(F3342=1,"PASS","OPEN")</x:f>
        <x:v>OPEN</x:v>
      </x:c>
    </x:row>
    <x:row r="3343">
      <x:c r="B3343" t="str">
        <x:v>PH-EX-301</x:v>
      </x:c>
      <x:c r="C3343" t="str">
        <x:v>PHYSICAL</x:v>
      </x:c>
      <x:c r="D3343" t="str">
        <x:v>trial execution</x:v>
      </x:c>
      <x:c r="E3343" t="str">
        <x:v>PH-EX-301</x:v>
      </x:c>
      <x:c r="F3343" t="n">
        <x:f>IF('Trial Register'!P307&lt;&gt;"",1,0)</x:f>
        <x:v>0</x:v>
      </x:c>
      <x:c r="G3343" t="n">
        <x:v>1</x:v>
      </x:c>
      <x:c r="H3343" t="str">
        <x:v>independent physical acceptance</x:v>
      </x:c>
      <x:c r="I3343" t="str">
        <x:f>IF(F3343=1,"PASS","OPEN")</x:f>
        <x:v>OPEN</x:v>
      </x:c>
    </x:row>
    <x:row r="3344">
      <x:c r="B3344" t="str">
        <x:v>PH-PK-301</x:v>
      </x:c>
      <x:c r="C3344" t="str">
        <x:v>PHYSICAL</x:v>
      </x:c>
      <x:c r="D3344" t="str">
        <x:v>trial packet</x:v>
      </x:c>
      <x:c r="E3344" t="str">
        <x:v>PH-PK-301</x:v>
      </x:c>
      <x:c r="F3344" t="n">
        <x:f>IF('Trial Register'!Q307&lt;&gt;"",1,0)</x:f>
        <x:v>0</x:v>
      </x:c>
      <x:c r="G3344" t="n">
        <x:v>1</x:v>
      </x:c>
      <x:c r="H3344" t="str">
        <x:v>independent physical acceptance</x:v>
      </x:c>
      <x:c r="I3344" t="str">
        <x:f>IF(F3344=1,"PASS","OPEN")</x:f>
        <x:v>OPEN</x:v>
      </x:c>
    </x:row>
    <x:row r="3345">
      <x:c r="B3345" t="str">
        <x:v>PH-VA-301</x:v>
      </x:c>
      <x:c r="C3345" t="str">
        <x:v>PHYSICAL</x:v>
      </x:c>
      <x:c r="D3345" t="str">
        <x:v>trial validity</x:v>
      </x:c>
      <x:c r="E3345" t="str">
        <x:v>PH-VA-301</x:v>
      </x:c>
      <x:c r="F3345" t="n">
        <x:f>IF('Trial Register'!R307&lt;&gt;"",1,0)</x:f>
        <x:v>0</x:v>
      </x:c>
      <x:c r="G3345" t="n">
        <x:v>1</x:v>
      </x:c>
      <x:c r="H3345" t="str">
        <x:v>independent physical acceptance</x:v>
      </x:c>
      <x:c r="I3345" t="str">
        <x:f>IF(F3345=1,"PASS","OPEN")</x:f>
        <x:v>OPEN</x:v>
      </x:c>
    </x:row>
    <x:row r="3346">
      <x:c r="B3346" t="str">
        <x:v>PH-RV-301</x:v>
      </x:c>
      <x:c r="C3346" t="str">
        <x:v>PHYSICAL</x:v>
      </x:c>
      <x:c r="D3346" t="str">
        <x:v>reported value</x:v>
      </x:c>
      <x:c r="E3346" t="str">
        <x:v>PH-RV-301</x:v>
      </x:c>
      <x:c r="F3346" t="n">
        <x:f>IF('Trial Register'!S307&lt;&gt;"",1,0)</x:f>
        <x:v>0</x:v>
      </x:c>
      <x:c r="G3346" t="n">
        <x:v>1</x:v>
      </x:c>
      <x:c r="H3346" t="str">
        <x:v>independent physical acceptance</x:v>
      </x:c>
      <x:c r="I3346" t="str">
        <x:f>IF(F3346=1,"PASS","OPEN")</x:f>
        <x:v>OPEN</x:v>
      </x:c>
    </x:row>
    <x:row r="3347">
      <x:c r="B3347" t="str">
        <x:v>PH-CR-301</x:v>
      </x:c>
      <x:c r="C3347" t="str">
        <x:v>PHYSICAL</x:v>
      </x:c>
      <x:c r="D3347" t="str">
        <x:v>credit acceptance</x:v>
      </x:c>
      <x:c r="E3347" t="str">
        <x:v>PH-CR-301</x:v>
      </x:c>
      <x:c r="F3347" t="str">
        <x:f>'Trial Register'!V307</x:f>
      </x:c>
      <x:c r="G3347" t="n">
        <x:v>1</x:v>
      </x:c>
      <x:c r="H3347" t="str">
        <x:v>independent physical acceptance</x:v>
      </x:c>
      <x:c r="I3347" t="str">
        <x:f>IF(F3347=1,"PASS","OPEN")</x:f>
        <x:v>OPEN</x:v>
      </x:c>
    </x:row>
    <x:row r="3348">
      <x:c r="B3348" t="str">
        <x:v>PH-EX-302</x:v>
      </x:c>
      <x:c r="C3348" t="str">
        <x:v>PHYSICAL</x:v>
      </x:c>
      <x:c r="D3348" t="str">
        <x:v>trial execution</x:v>
      </x:c>
      <x:c r="E3348" t="str">
        <x:v>PH-EX-302</x:v>
      </x:c>
      <x:c r="F3348" t="n">
        <x:f>IF('Trial Register'!P308&lt;&gt;"",1,0)</x:f>
        <x:v>0</x:v>
      </x:c>
      <x:c r="G3348" t="n">
        <x:v>1</x:v>
      </x:c>
      <x:c r="H3348" t="str">
        <x:v>independent physical acceptance</x:v>
      </x:c>
      <x:c r="I3348" t="str">
        <x:f>IF(F3348=1,"PASS","OPEN")</x:f>
        <x:v>OPEN</x:v>
      </x:c>
    </x:row>
    <x:row r="3349">
      <x:c r="B3349" t="str">
        <x:v>PH-PK-302</x:v>
      </x:c>
      <x:c r="C3349" t="str">
        <x:v>PHYSICAL</x:v>
      </x:c>
      <x:c r="D3349" t="str">
        <x:v>trial packet</x:v>
      </x:c>
      <x:c r="E3349" t="str">
        <x:v>PH-PK-302</x:v>
      </x:c>
      <x:c r="F3349" t="n">
        <x:f>IF('Trial Register'!Q308&lt;&gt;"",1,0)</x:f>
        <x:v>0</x:v>
      </x:c>
      <x:c r="G3349" t="n">
        <x:v>1</x:v>
      </x:c>
      <x:c r="H3349" t="str">
        <x:v>independent physical acceptance</x:v>
      </x:c>
      <x:c r="I3349" t="str">
        <x:f>IF(F3349=1,"PASS","OPEN")</x:f>
        <x:v>OPEN</x:v>
      </x:c>
    </x:row>
    <x:row r="3350">
      <x:c r="B3350" t="str">
        <x:v>PH-VA-302</x:v>
      </x:c>
      <x:c r="C3350" t="str">
        <x:v>PHYSICAL</x:v>
      </x:c>
      <x:c r="D3350" t="str">
        <x:v>trial validity</x:v>
      </x:c>
      <x:c r="E3350" t="str">
        <x:v>PH-VA-302</x:v>
      </x:c>
      <x:c r="F3350" t="n">
        <x:f>IF('Trial Register'!R308&lt;&gt;"",1,0)</x:f>
        <x:v>0</x:v>
      </x:c>
      <x:c r="G3350" t="n">
        <x:v>1</x:v>
      </x:c>
      <x:c r="H3350" t="str">
        <x:v>independent physical acceptance</x:v>
      </x:c>
      <x:c r="I3350" t="str">
        <x:f>IF(F3350=1,"PASS","OPEN")</x:f>
        <x:v>OPEN</x:v>
      </x:c>
    </x:row>
    <x:row r="3351">
      <x:c r="B3351" t="str">
        <x:v>PH-RV-302</x:v>
      </x:c>
      <x:c r="C3351" t="str">
        <x:v>PHYSICAL</x:v>
      </x:c>
      <x:c r="D3351" t="str">
        <x:v>reported value</x:v>
      </x:c>
      <x:c r="E3351" t="str">
        <x:v>PH-RV-302</x:v>
      </x:c>
      <x:c r="F3351" t="n">
        <x:f>IF('Trial Register'!S308&lt;&gt;"",1,0)</x:f>
        <x:v>0</x:v>
      </x:c>
      <x:c r="G3351" t="n">
        <x:v>1</x:v>
      </x:c>
      <x:c r="H3351" t="str">
        <x:v>independent physical acceptance</x:v>
      </x:c>
      <x:c r="I3351" t="str">
        <x:f>IF(F3351=1,"PASS","OPEN")</x:f>
        <x:v>OPEN</x:v>
      </x:c>
    </x:row>
    <x:row r="3352">
      <x:c r="B3352" t="str">
        <x:v>PH-CR-302</x:v>
      </x:c>
      <x:c r="C3352" t="str">
        <x:v>PHYSICAL</x:v>
      </x:c>
      <x:c r="D3352" t="str">
        <x:v>credit acceptance</x:v>
      </x:c>
      <x:c r="E3352" t="str">
        <x:v>PH-CR-302</x:v>
      </x:c>
      <x:c r="F3352" t="str">
        <x:f>'Trial Register'!V308</x:f>
      </x:c>
      <x:c r="G3352" t="n">
        <x:v>1</x:v>
      </x:c>
      <x:c r="H3352" t="str">
        <x:v>independent physical acceptance</x:v>
      </x:c>
      <x:c r="I3352" t="str">
        <x:f>IF(F3352=1,"PASS","OPEN")</x:f>
        <x:v>OPEN</x:v>
      </x:c>
    </x:row>
    <x:row r="3353">
      <x:c r="B3353" t="str">
        <x:v>PH-EX-303</x:v>
      </x:c>
      <x:c r="C3353" t="str">
        <x:v>PHYSICAL</x:v>
      </x:c>
      <x:c r="D3353" t="str">
        <x:v>trial execution</x:v>
      </x:c>
      <x:c r="E3353" t="str">
        <x:v>PH-EX-303</x:v>
      </x:c>
      <x:c r="F3353" t="n">
        <x:f>IF('Trial Register'!P309&lt;&gt;"",1,0)</x:f>
        <x:v>0</x:v>
      </x:c>
      <x:c r="G3353" t="n">
        <x:v>1</x:v>
      </x:c>
      <x:c r="H3353" t="str">
        <x:v>independent physical acceptance</x:v>
      </x:c>
      <x:c r="I3353" t="str">
        <x:f>IF(F3353=1,"PASS","OPEN")</x:f>
        <x:v>OPEN</x:v>
      </x:c>
    </x:row>
    <x:row r="3354">
      <x:c r="B3354" t="str">
        <x:v>PH-PK-303</x:v>
      </x:c>
      <x:c r="C3354" t="str">
        <x:v>PHYSICAL</x:v>
      </x:c>
      <x:c r="D3354" t="str">
        <x:v>trial packet</x:v>
      </x:c>
      <x:c r="E3354" t="str">
        <x:v>PH-PK-303</x:v>
      </x:c>
      <x:c r="F3354" t="n">
        <x:f>IF('Trial Register'!Q309&lt;&gt;"",1,0)</x:f>
        <x:v>0</x:v>
      </x:c>
      <x:c r="G3354" t="n">
        <x:v>1</x:v>
      </x:c>
      <x:c r="H3354" t="str">
        <x:v>independent physical acceptance</x:v>
      </x:c>
      <x:c r="I3354" t="str">
        <x:f>IF(F3354=1,"PASS","OPEN")</x:f>
        <x:v>OPEN</x:v>
      </x:c>
    </x:row>
    <x:row r="3355">
      <x:c r="B3355" t="str">
        <x:v>PH-VA-303</x:v>
      </x:c>
      <x:c r="C3355" t="str">
        <x:v>PHYSICAL</x:v>
      </x:c>
      <x:c r="D3355" t="str">
        <x:v>trial validity</x:v>
      </x:c>
      <x:c r="E3355" t="str">
        <x:v>PH-VA-303</x:v>
      </x:c>
      <x:c r="F3355" t="n">
        <x:f>IF('Trial Register'!R309&lt;&gt;"",1,0)</x:f>
        <x:v>0</x:v>
      </x:c>
      <x:c r="G3355" t="n">
        <x:v>1</x:v>
      </x:c>
      <x:c r="H3355" t="str">
        <x:v>independent physical acceptance</x:v>
      </x:c>
      <x:c r="I3355" t="str">
        <x:f>IF(F3355=1,"PASS","OPEN")</x:f>
        <x:v>OPEN</x:v>
      </x:c>
    </x:row>
    <x:row r="3356">
      <x:c r="B3356" t="str">
        <x:v>PH-RV-303</x:v>
      </x:c>
      <x:c r="C3356" t="str">
        <x:v>PHYSICAL</x:v>
      </x:c>
      <x:c r="D3356" t="str">
        <x:v>reported value</x:v>
      </x:c>
      <x:c r="E3356" t="str">
        <x:v>PH-RV-303</x:v>
      </x:c>
      <x:c r="F3356" t="n">
        <x:f>IF('Trial Register'!S309&lt;&gt;"",1,0)</x:f>
        <x:v>0</x:v>
      </x:c>
      <x:c r="G3356" t="n">
        <x:v>1</x:v>
      </x:c>
      <x:c r="H3356" t="str">
        <x:v>independent physical acceptance</x:v>
      </x:c>
      <x:c r="I3356" t="str">
        <x:f>IF(F3356=1,"PASS","OPEN")</x:f>
        <x:v>OPEN</x:v>
      </x:c>
    </x:row>
    <x:row r="3357">
      <x:c r="B3357" t="str">
        <x:v>PH-CR-303</x:v>
      </x:c>
      <x:c r="C3357" t="str">
        <x:v>PHYSICAL</x:v>
      </x:c>
      <x:c r="D3357" t="str">
        <x:v>credit acceptance</x:v>
      </x:c>
      <x:c r="E3357" t="str">
        <x:v>PH-CR-303</x:v>
      </x:c>
      <x:c r="F3357" t="str">
        <x:f>'Trial Register'!V309</x:f>
      </x:c>
      <x:c r="G3357" t="n">
        <x:v>1</x:v>
      </x:c>
      <x:c r="H3357" t="str">
        <x:v>independent physical acceptance</x:v>
      </x:c>
      <x:c r="I3357" t="str">
        <x:f>IF(F3357=1,"PASS","OPEN")</x:f>
        <x:v>OPEN</x:v>
      </x:c>
    </x:row>
    <x:row r="3358">
      <x:c r="B3358" t="str">
        <x:v>PH-EX-304</x:v>
      </x:c>
      <x:c r="C3358" t="str">
        <x:v>PHYSICAL</x:v>
      </x:c>
      <x:c r="D3358" t="str">
        <x:v>trial execution</x:v>
      </x:c>
      <x:c r="E3358" t="str">
        <x:v>PH-EX-304</x:v>
      </x:c>
      <x:c r="F3358" t="n">
        <x:f>IF('Trial Register'!P310&lt;&gt;"",1,0)</x:f>
        <x:v>0</x:v>
      </x:c>
      <x:c r="G3358" t="n">
        <x:v>1</x:v>
      </x:c>
      <x:c r="H3358" t="str">
        <x:v>independent physical acceptance</x:v>
      </x:c>
      <x:c r="I3358" t="str">
        <x:f>IF(F3358=1,"PASS","OPEN")</x:f>
        <x:v>OPEN</x:v>
      </x:c>
    </x:row>
    <x:row r="3359">
      <x:c r="B3359" t="str">
        <x:v>PH-PK-304</x:v>
      </x:c>
      <x:c r="C3359" t="str">
        <x:v>PHYSICAL</x:v>
      </x:c>
      <x:c r="D3359" t="str">
        <x:v>trial packet</x:v>
      </x:c>
      <x:c r="E3359" t="str">
        <x:v>PH-PK-304</x:v>
      </x:c>
      <x:c r="F3359" t="n">
        <x:f>IF('Trial Register'!Q310&lt;&gt;"",1,0)</x:f>
        <x:v>0</x:v>
      </x:c>
      <x:c r="G3359" t="n">
        <x:v>1</x:v>
      </x:c>
      <x:c r="H3359" t="str">
        <x:v>independent physical acceptance</x:v>
      </x:c>
      <x:c r="I3359" t="str">
        <x:f>IF(F3359=1,"PASS","OPEN")</x:f>
        <x:v>OPEN</x:v>
      </x:c>
    </x:row>
    <x:row r="3360">
      <x:c r="B3360" t="str">
        <x:v>PH-VA-304</x:v>
      </x:c>
      <x:c r="C3360" t="str">
        <x:v>PHYSICAL</x:v>
      </x:c>
      <x:c r="D3360" t="str">
        <x:v>trial validity</x:v>
      </x:c>
      <x:c r="E3360" t="str">
        <x:v>PH-VA-304</x:v>
      </x:c>
      <x:c r="F3360" t="n">
        <x:f>IF('Trial Register'!R310&lt;&gt;"",1,0)</x:f>
        <x:v>0</x:v>
      </x:c>
      <x:c r="G3360" t="n">
        <x:v>1</x:v>
      </x:c>
      <x:c r="H3360" t="str">
        <x:v>independent physical acceptance</x:v>
      </x:c>
      <x:c r="I3360" t="str">
        <x:f>IF(F3360=1,"PASS","OPEN")</x:f>
        <x:v>OPEN</x:v>
      </x:c>
    </x:row>
    <x:row r="3361">
      <x:c r="B3361" t="str">
        <x:v>PH-RV-304</x:v>
      </x:c>
      <x:c r="C3361" t="str">
        <x:v>PHYSICAL</x:v>
      </x:c>
      <x:c r="D3361" t="str">
        <x:v>reported value</x:v>
      </x:c>
      <x:c r="E3361" t="str">
        <x:v>PH-RV-304</x:v>
      </x:c>
      <x:c r="F3361" t="n">
        <x:f>IF('Trial Register'!S310&lt;&gt;"",1,0)</x:f>
        <x:v>0</x:v>
      </x:c>
      <x:c r="G3361" t="n">
        <x:v>1</x:v>
      </x:c>
      <x:c r="H3361" t="str">
        <x:v>independent physical acceptance</x:v>
      </x:c>
      <x:c r="I3361" t="str">
        <x:f>IF(F3361=1,"PASS","OPEN")</x:f>
        <x:v>OPEN</x:v>
      </x:c>
    </x:row>
    <x:row r="3362">
      <x:c r="B3362" t="str">
        <x:v>PH-CR-304</x:v>
      </x:c>
      <x:c r="C3362" t="str">
        <x:v>PHYSICAL</x:v>
      </x:c>
      <x:c r="D3362" t="str">
        <x:v>credit acceptance</x:v>
      </x:c>
      <x:c r="E3362" t="str">
        <x:v>PH-CR-304</x:v>
      </x:c>
      <x:c r="F3362" t="str">
        <x:f>'Trial Register'!V310</x:f>
      </x:c>
      <x:c r="G3362" t="n">
        <x:v>1</x:v>
      </x:c>
      <x:c r="H3362" t="str">
        <x:v>independent physical acceptance</x:v>
      </x:c>
      <x:c r="I3362" t="str">
        <x:f>IF(F3362=1,"PASS","OPEN")</x:f>
        <x:v>OPEN</x:v>
      </x:c>
    </x:row>
    <x:row r="3363">
      <x:c r="B3363" t="str">
        <x:v>PH-EX-305</x:v>
      </x:c>
      <x:c r="C3363" t="str">
        <x:v>PHYSICAL</x:v>
      </x:c>
      <x:c r="D3363" t="str">
        <x:v>trial execution</x:v>
      </x:c>
      <x:c r="E3363" t="str">
        <x:v>PH-EX-305</x:v>
      </x:c>
      <x:c r="F3363" t="n">
        <x:f>IF('Trial Register'!P311&lt;&gt;"",1,0)</x:f>
        <x:v>0</x:v>
      </x:c>
      <x:c r="G3363" t="n">
        <x:v>1</x:v>
      </x:c>
      <x:c r="H3363" t="str">
        <x:v>independent physical acceptance</x:v>
      </x:c>
      <x:c r="I3363" t="str">
        <x:f>IF(F3363=1,"PASS","OPEN")</x:f>
        <x:v>OPEN</x:v>
      </x:c>
    </x:row>
    <x:row r="3364">
      <x:c r="B3364" t="str">
        <x:v>PH-PK-305</x:v>
      </x:c>
      <x:c r="C3364" t="str">
        <x:v>PHYSICAL</x:v>
      </x:c>
      <x:c r="D3364" t="str">
        <x:v>trial packet</x:v>
      </x:c>
      <x:c r="E3364" t="str">
        <x:v>PH-PK-305</x:v>
      </x:c>
      <x:c r="F3364" t="n">
        <x:f>IF('Trial Register'!Q311&lt;&gt;"",1,0)</x:f>
        <x:v>0</x:v>
      </x:c>
      <x:c r="G3364" t="n">
        <x:v>1</x:v>
      </x:c>
      <x:c r="H3364" t="str">
        <x:v>independent physical acceptance</x:v>
      </x:c>
      <x:c r="I3364" t="str">
        <x:f>IF(F3364=1,"PASS","OPEN")</x:f>
        <x:v>OPEN</x:v>
      </x:c>
    </x:row>
    <x:row r="3365">
      <x:c r="B3365" t="str">
        <x:v>PH-VA-305</x:v>
      </x:c>
      <x:c r="C3365" t="str">
        <x:v>PHYSICAL</x:v>
      </x:c>
      <x:c r="D3365" t="str">
        <x:v>trial validity</x:v>
      </x:c>
      <x:c r="E3365" t="str">
        <x:v>PH-VA-305</x:v>
      </x:c>
      <x:c r="F3365" t="n">
        <x:f>IF('Trial Register'!R311&lt;&gt;"",1,0)</x:f>
        <x:v>0</x:v>
      </x:c>
      <x:c r="G3365" t="n">
        <x:v>1</x:v>
      </x:c>
      <x:c r="H3365" t="str">
        <x:v>independent physical acceptance</x:v>
      </x:c>
      <x:c r="I3365" t="str">
        <x:f>IF(F3365=1,"PASS","OPEN")</x:f>
        <x:v>OPEN</x:v>
      </x:c>
    </x:row>
    <x:row r="3366">
      <x:c r="B3366" t="str">
        <x:v>PH-RV-305</x:v>
      </x:c>
      <x:c r="C3366" t="str">
        <x:v>PHYSICAL</x:v>
      </x:c>
      <x:c r="D3366" t="str">
        <x:v>reported value</x:v>
      </x:c>
      <x:c r="E3366" t="str">
        <x:v>PH-RV-305</x:v>
      </x:c>
      <x:c r="F3366" t="n">
        <x:f>IF('Trial Register'!S311&lt;&gt;"",1,0)</x:f>
        <x:v>0</x:v>
      </x:c>
      <x:c r="G3366" t="n">
        <x:v>1</x:v>
      </x:c>
      <x:c r="H3366" t="str">
        <x:v>independent physical acceptance</x:v>
      </x:c>
      <x:c r="I3366" t="str">
        <x:f>IF(F3366=1,"PASS","OPEN")</x:f>
        <x:v>OPEN</x:v>
      </x:c>
    </x:row>
    <x:row r="3367">
      <x:c r="B3367" t="str">
        <x:v>PH-CR-305</x:v>
      </x:c>
      <x:c r="C3367" t="str">
        <x:v>PHYSICAL</x:v>
      </x:c>
      <x:c r="D3367" t="str">
        <x:v>credit acceptance</x:v>
      </x:c>
      <x:c r="E3367" t="str">
        <x:v>PH-CR-305</x:v>
      </x:c>
      <x:c r="F3367" t="str">
        <x:f>'Trial Register'!V311</x:f>
      </x:c>
      <x:c r="G3367" t="n">
        <x:v>1</x:v>
      </x:c>
      <x:c r="H3367" t="str">
        <x:v>independent physical acceptance</x:v>
      </x:c>
      <x:c r="I3367" t="str">
        <x:f>IF(F3367=1,"PASS","OPEN")</x:f>
        <x:v>OPEN</x:v>
      </x:c>
    </x:row>
    <x:row r="3368">
      <x:c r="B3368" t="str">
        <x:v>PH-EX-306</x:v>
      </x:c>
      <x:c r="C3368" t="str">
        <x:v>PHYSICAL</x:v>
      </x:c>
      <x:c r="D3368" t="str">
        <x:v>trial execution</x:v>
      </x:c>
      <x:c r="E3368" t="str">
        <x:v>PH-EX-306</x:v>
      </x:c>
      <x:c r="F3368" t="n">
        <x:f>IF('Trial Register'!P312&lt;&gt;"",1,0)</x:f>
        <x:v>0</x:v>
      </x:c>
      <x:c r="G3368" t="n">
        <x:v>1</x:v>
      </x:c>
      <x:c r="H3368" t="str">
        <x:v>independent physical acceptance</x:v>
      </x:c>
      <x:c r="I3368" t="str">
        <x:f>IF(F3368=1,"PASS","OPEN")</x:f>
        <x:v>OPEN</x:v>
      </x:c>
    </x:row>
    <x:row r="3369">
      <x:c r="B3369" t="str">
        <x:v>PH-PK-306</x:v>
      </x:c>
      <x:c r="C3369" t="str">
        <x:v>PHYSICAL</x:v>
      </x:c>
      <x:c r="D3369" t="str">
        <x:v>trial packet</x:v>
      </x:c>
      <x:c r="E3369" t="str">
        <x:v>PH-PK-306</x:v>
      </x:c>
      <x:c r="F3369" t="n">
        <x:f>IF('Trial Register'!Q312&lt;&gt;"",1,0)</x:f>
        <x:v>0</x:v>
      </x:c>
      <x:c r="G3369" t="n">
        <x:v>1</x:v>
      </x:c>
      <x:c r="H3369" t="str">
        <x:v>independent physical acceptance</x:v>
      </x:c>
      <x:c r="I3369" t="str">
        <x:f>IF(F3369=1,"PASS","OPEN")</x:f>
        <x:v>OPEN</x:v>
      </x:c>
    </x:row>
    <x:row r="3370">
      <x:c r="B3370" t="str">
        <x:v>PH-VA-306</x:v>
      </x:c>
      <x:c r="C3370" t="str">
        <x:v>PHYSICAL</x:v>
      </x:c>
      <x:c r="D3370" t="str">
        <x:v>trial validity</x:v>
      </x:c>
      <x:c r="E3370" t="str">
        <x:v>PH-VA-306</x:v>
      </x:c>
      <x:c r="F3370" t="n">
        <x:f>IF('Trial Register'!R312&lt;&gt;"",1,0)</x:f>
        <x:v>0</x:v>
      </x:c>
      <x:c r="G3370" t="n">
        <x:v>1</x:v>
      </x:c>
      <x:c r="H3370" t="str">
        <x:v>independent physical acceptance</x:v>
      </x:c>
      <x:c r="I3370" t="str">
        <x:f>IF(F3370=1,"PASS","OPEN")</x:f>
        <x:v>OPEN</x:v>
      </x:c>
    </x:row>
    <x:row r="3371">
      <x:c r="B3371" t="str">
        <x:v>PH-RV-306</x:v>
      </x:c>
      <x:c r="C3371" t="str">
        <x:v>PHYSICAL</x:v>
      </x:c>
      <x:c r="D3371" t="str">
        <x:v>reported value</x:v>
      </x:c>
      <x:c r="E3371" t="str">
        <x:v>PH-RV-306</x:v>
      </x:c>
      <x:c r="F3371" t="n">
        <x:f>IF('Trial Register'!S312&lt;&gt;"",1,0)</x:f>
        <x:v>0</x:v>
      </x:c>
      <x:c r="G3371" t="n">
        <x:v>1</x:v>
      </x:c>
      <x:c r="H3371" t="str">
        <x:v>independent physical acceptance</x:v>
      </x:c>
      <x:c r="I3371" t="str">
        <x:f>IF(F3371=1,"PASS","OPEN")</x:f>
        <x:v>OPEN</x:v>
      </x:c>
    </x:row>
    <x:row r="3372">
      <x:c r="B3372" t="str">
        <x:v>PH-CR-306</x:v>
      </x:c>
      <x:c r="C3372" t="str">
        <x:v>PHYSICAL</x:v>
      </x:c>
      <x:c r="D3372" t="str">
        <x:v>credit acceptance</x:v>
      </x:c>
      <x:c r="E3372" t="str">
        <x:v>PH-CR-306</x:v>
      </x:c>
      <x:c r="F3372" t="str">
        <x:f>'Trial Register'!V312</x:f>
      </x:c>
      <x:c r="G3372" t="n">
        <x:v>1</x:v>
      </x:c>
      <x:c r="H3372" t="str">
        <x:v>independent physical acceptance</x:v>
      </x:c>
      <x:c r="I3372" t="str">
        <x:f>IF(F3372=1,"PASS","OPEN")</x:f>
        <x:v>OPEN</x:v>
      </x:c>
    </x:row>
    <x:row r="3373">
      <x:c r="B3373" t="str">
        <x:v>PH-EX-307</x:v>
      </x:c>
      <x:c r="C3373" t="str">
        <x:v>PHYSICAL</x:v>
      </x:c>
      <x:c r="D3373" t="str">
        <x:v>trial execution</x:v>
      </x:c>
      <x:c r="E3373" t="str">
        <x:v>PH-EX-307</x:v>
      </x:c>
      <x:c r="F3373" t="n">
        <x:f>IF('Trial Register'!P313&lt;&gt;"",1,0)</x:f>
        <x:v>0</x:v>
      </x:c>
      <x:c r="G3373" t="n">
        <x:v>1</x:v>
      </x:c>
      <x:c r="H3373" t="str">
        <x:v>independent physical acceptance</x:v>
      </x:c>
      <x:c r="I3373" t="str">
        <x:f>IF(F3373=1,"PASS","OPEN")</x:f>
        <x:v>OPEN</x:v>
      </x:c>
    </x:row>
    <x:row r="3374">
      <x:c r="B3374" t="str">
        <x:v>PH-PK-307</x:v>
      </x:c>
      <x:c r="C3374" t="str">
        <x:v>PHYSICAL</x:v>
      </x:c>
      <x:c r="D3374" t="str">
        <x:v>trial packet</x:v>
      </x:c>
      <x:c r="E3374" t="str">
        <x:v>PH-PK-307</x:v>
      </x:c>
      <x:c r="F3374" t="n">
        <x:f>IF('Trial Register'!Q313&lt;&gt;"",1,0)</x:f>
        <x:v>0</x:v>
      </x:c>
      <x:c r="G3374" t="n">
        <x:v>1</x:v>
      </x:c>
      <x:c r="H3374" t="str">
        <x:v>independent physical acceptance</x:v>
      </x:c>
      <x:c r="I3374" t="str">
        <x:f>IF(F3374=1,"PASS","OPEN")</x:f>
        <x:v>OPEN</x:v>
      </x:c>
    </x:row>
    <x:row r="3375">
      <x:c r="B3375" t="str">
        <x:v>PH-VA-307</x:v>
      </x:c>
      <x:c r="C3375" t="str">
        <x:v>PHYSICAL</x:v>
      </x:c>
      <x:c r="D3375" t="str">
        <x:v>trial validity</x:v>
      </x:c>
      <x:c r="E3375" t="str">
        <x:v>PH-VA-307</x:v>
      </x:c>
      <x:c r="F3375" t="n">
        <x:f>IF('Trial Register'!R313&lt;&gt;"",1,0)</x:f>
        <x:v>0</x:v>
      </x:c>
      <x:c r="G3375" t="n">
        <x:v>1</x:v>
      </x:c>
      <x:c r="H3375" t="str">
        <x:v>independent physical acceptance</x:v>
      </x:c>
      <x:c r="I3375" t="str">
        <x:f>IF(F3375=1,"PASS","OPEN")</x:f>
        <x:v>OPEN</x:v>
      </x:c>
    </x:row>
    <x:row r="3376">
      <x:c r="B3376" t="str">
        <x:v>PH-RV-307</x:v>
      </x:c>
      <x:c r="C3376" t="str">
        <x:v>PHYSICAL</x:v>
      </x:c>
      <x:c r="D3376" t="str">
        <x:v>reported value</x:v>
      </x:c>
      <x:c r="E3376" t="str">
        <x:v>PH-RV-307</x:v>
      </x:c>
      <x:c r="F3376" t="n">
        <x:f>IF('Trial Register'!S313&lt;&gt;"",1,0)</x:f>
        <x:v>0</x:v>
      </x:c>
      <x:c r="G3376" t="n">
        <x:v>1</x:v>
      </x:c>
      <x:c r="H3376" t="str">
        <x:v>independent physical acceptance</x:v>
      </x:c>
      <x:c r="I3376" t="str">
        <x:f>IF(F3376=1,"PASS","OPEN")</x:f>
        <x:v>OPEN</x:v>
      </x:c>
    </x:row>
    <x:row r="3377">
      <x:c r="B3377" t="str">
        <x:v>PH-CR-307</x:v>
      </x:c>
      <x:c r="C3377" t="str">
        <x:v>PHYSICAL</x:v>
      </x:c>
      <x:c r="D3377" t="str">
        <x:v>credit acceptance</x:v>
      </x:c>
      <x:c r="E3377" t="str">
        <x:v>PH-CR-307</x:v>
      </x:c>
      <x:c r="F3377" t="str">
        <x:f>'Trial Register'!V313</x:f>
      </x:c>
      <x:c r="G3377" t="n">
        <x:v>1</x:v>
      </x:c>
      <x:c r="H3377" t="str">
        <x:v>independent physical acceptance</x:v>
      </x:c>
      <x:c r="I3377" t="str">
        <x:f>IF(F3377=1,"PASS","OPEN")</x:f>
        <x:v>OPEN</x:v>
      </x:c>
    </x:row>
    <x:row r="3378">
      <x:c r="B3378" t="str">
        <x:v>PH-EX-308</x:v>
      </x:c>
      <x:c r="C3378" t="str">
        <x:v>PHYSICAL</x:v>
      </x:c>
      <x:c r="D3378" t="str">
        <x:v>trial execution</x:v>
      </x:c>
      <x:c r="E3378" t="str">
        <x:v>PH-EX-308</x:v>
      </x:c>
      <x:c r="F3378" t="n">
        <x:f>IF('Trial Register'!P314&lt;&gt;"",1,0)</x:f>
        <x:v>0</x:v>
      </x:c>
      <x:c r="G3378" t="n">
        <x:v>1</x:v>
      </x:c>
      <x:c r="H3378" t="str">
        <x:v>independent physical acceptance</x:v>
      </x:c>
      <x:c r="I3378" t="str">
        <x:f>IF(F3378=1,"PASS","OPEN")</x:f>
        <x:v>OPEN</x:v>
      </x:c>
    </x:row>
    <x:row r="3379">
      <x:c r="B3379" t="str">
        <x:v>PH-PK-308</x:v>
      </x:c>
      <x:c r="C3379" t="str">
        <x:v>PHYSICAL</x:v>
      </x:c>
      <x:c r="D3379" t="str">
        <x:v>trial packet</x:v>
      </x:c>
      <x:c r="E3379" t="str">
        <x:v>PH-PK-308</x:v>
      </x:c>
      <x:c r="F3379" t="n">
        <x:f>IF('Trial Register'!Q314&lt;&gt;"",1,0)</x:f>
        <x:v>0</x:v>
      </x:c>
      <x:c r="G3379" t="n">
        <x:v>1</x:v>
      </x:c>
      <x:c r="H3379" t="str">
        <x:v>independent physical acceptance</x:v>
      </x:c>
      <x:c r="I3379" t="str">
        <x:f>IF(F3379=1,"PASS","OPEN")</x:f>
        <x:v>OPEN</x:v>
      </x:c>
    </x:row>
    <x:row r="3380">
      <x:c r="B3380" t="str">
        <x:v>PH-VA-308</x:v>
      </x:c>
      <x:c r="C3380" t="str">
        <x:v>PHYSICAL</x:v>
      </x:c>
      <x:c r="D3380" t="str">
        <x:v>trial validity</x:v>
      </x:c>
      <x:c r="E3380" t="str">
        <x:v>PH-VA-308</x:v>
      </x:c>
      <x:c r="F3380" t="n">
        <x:f>IF('Trial Register'!R314&lt;&gt;"",1,0)</x:f>
        <x:v>0</x:v>
      </x:c>
      <x:c r="G3380" t="n">
        <x:v>1</x:v>
      </x:c>
      <x:c r="H3380" t="str">
        <x:v>independent physical acceptance</x:v>
      </x:c>
      <x:c r="I3380" t="str">
        <x:f>IF(F3380=1,"PASS","OPEN")</x:f>
        <x:v>OPEN</x:v>
      </x:c>
    </x:row>
    <x:row r="3381">
      <x:c r="B3381" t="str">
        <x:v>PH-RV-308</x:v>
      </x:c>
      <x:c r="C3381" t="str">
        <x:v>PHYSICAL</x:v>
      </x:c>
      <x:c r="D3381" t="str">
        <x:v>reported value</x:v>
      </x:c>
      <x:c r="E3381" t="str">
        <x:v>PH-RV-308</x:v>
      </x:c>
      <x:c r="F3381" t="n">
        <x:f>IF('Trial Register'!S314&lt;&gt;"",1,0)</x:f>
        <x:v>0</x:v>
      </x:c>
      <x:c r="G3381" t="n">
        <x:v>1</x:v>
      </x:c>
      <x:c r="H3381" t="str">
        <x:v>independent physical acceptance</x:v>
      </x:c>
      <x:c r="I3381" t="str">
        <x:f>IF(F3381=1,"PASS","OPEN")</x:f>
        <x:v>OPEN</x:v>
      </x:c>
    </x:row>
    <x:row r="3382">
      <x:c r="B3382" t="str">
        <x:v>PH-CR-308</x:v>
      </x:c>
      <x:c r="C3382" t="str">
        <x:v>PHYSICAL</x:v>
      </x:c>
      <x:c r="D3382" t="str">
        <x:v>credit acceptance</x:v>
      </x:c>
      <x:c r="E3382" t="str">
        <x:v>PH-CR-308</x:v>
      </x:c>
      <x:c r="F3382" t="str">
        <x:f>'Trial Register'!V314</x:f>
      </x:c>
      <x:c r="G3382" t="n">
        <x:v>1</x:v>
      </x:c>
      <x:c r="H3382" t="str">
        <x:v>independent physical acceptance</x:v>
      </x:c>
      <x:c r="I3382" t="str">
        <x:f>IF(F3382=1,"PASS","OPEN")</x:f>
        <x:v>OPEN</x:v>
      </x:c>
    </x:row>
    <x:row r="3383">
      <x:c r="B3383" t="str">
        <x:v>PH-EX-309</x:v>
      </x:c>
      <x:c r="C3383" t="str">
        <x:v>PHYSICAL</x:v>
      </x:c>
      <x:c r="D3383" t="str">
        <x:v>trial execution</x:v>
      </x:c>
      <x:c r="E3383" t="str">
        <x:v>PH-EX-309</x:v>
      </x:c>
      <x:c r="F3383" t="n">
        <x:f>IF('Trial Register'!P315&lt;&gt;"",1,0)</x:f>
        <x:v>0</x:v>
      </x:c>
      <x:c r="G3383" t="n">
        <x:v>1</x:v>
      </x:c>
      <x:c r="H3383" t="str">
        <x:v>independent physical acceptance</x:v>
      </x:c>
      <x:c r="I3383" t="str">
        <x:f>IF(F3383=1,"PASS","OPEN")</x:f>
        <x:v>OPEN</x:v>
      </x:c>
    </x:row>
    <x:row r="3384">
      <x:c r="B3384" t="str">
        <x:v>PH-PK-309</x:v>
      </x:c>
      <x:c r="C3384" t="str">
        <x:v>PHYSICAL</x:v>
      </x:c>
      <x:c r="D3384" t="str">
        <x:v>trial packet</x:v>
      </x:c>
      <x:c r="E3384" t="str">
        <x:v>PH-PK-309</x:v>
      </x:c>
      <x:c r="F3384" t="n">
        <x:f>IF('Trial Register'!Q315&lt;&gt;"",1,0)</x:f>
        <x:v>0</x:v>
      </x:c>
      <x:c r="G3384" t="n">
        <x:v>1</x:v>
      </x:c>
      <x:c r="H3384" t="str">
        <x:v>independent physical acceptance</x:v>
      </x:c>
      <x:c r="I3384" t="str">
        <x:f>IF(F3384=1,"PASS","OPEN")</x:f>
        <x:v>OPEN</x:v>
      </x:c>
    </x:row>
    <x:row r="3385">
      <x:c r="B3385" t="str">
        <x:v>PH-VA-309</x:v>
      </x:c>
      <x:c r="C3385" t="str">
        <x:v>PHYSICAL</x:v>
      </x:c>
      <x:c r="D3385" t="str">
        <x:v>trial validity</x:v>
      </x:c>
      <x:c r="E3385" t="str">
        <x:v>PH-VA-309</x:v>
      </x:c>
      <x:c r="F3385" t="n">
        <x:f>IF('Trial Register'!R315&lt;&gt;"",1,0)</x:f>
        <x:v>0</x:v>
      </x:c>
      <x:c r="G3385" t="n">
        <x:v>1</x:v>
      </x:c>
      <x:c r="H3385" t="str">
        <x:v>independent physical acceptance</x:v>
      </x:c>
      <x:c r="I3385" t="str">
        <x:f>IF(F3385=1,"PASS","OPEN")</x:f>
        <x:v>OPEN</x:v>
      </x:c>
    </x:row>
    <x:row r="3386">
      <x:c r="B3386" t="str">
        <x:v>PH-RV-309</x:v>
      </x:c>
      <x:c r="C3386" t="str">
        <x:v>PHYSICAL</x:v>
      </x:c>
      <x:c r="D3386" t="str">
        <x:v>reported value</x:v>
      </x:c>
      <x:c r="E3386" t="str">
        <x:v>PH-RV-309</x:v>
      </x:c>
      <x:c r="F3386" t="n">
        <x:f>IF('Trial Register'!S315&lt;&gt;"",1,0)</x:f>
        <x:v>0</x:v>
      </x:c>
      <x:c r="G3386" t="n">
        <x:v>1</x:v>
      </x:c>
      <x:c r="H3386" t="str">
        <x:v>independent physical acceptance</x:v>
      </x:c>
      <x:c r="I3386" t="str">
        <x:f>IF(F3386=1,"PASS","OPEN")</x:f>
        <x:v>OPEN</x:v>
      </x:c>
    </x:row>
    <x:row r="3387">
      <x:c r="B3387" t="str">
        <x:v>PH-CR-309</x:v>
      </x:c>
      <x:c r="C3387" t="str">
        <x:v>PHYSICAL</x:v>
      </x:c>
      <x:c r="D3387" t="str">
        <x:v>credit acceptance</x:v>
      </x:c>
      <x:c r="E3387" t="str">
        <x:v>PH-CR-309</x:v>
      </x:c>
      <x:c r="F3387" t="str">
        <x:f>'Trial Register'!V315</x:f>
      </x:c>
      <x:c r="G3387" t="n">
        <x:v>1</x:v>
      </x:c>
      <x:c r="H3387" t="str">
        <x:v>independent physical acceptance</x:v>
      </x:c>
      <x:c r="I3387" t="str">
        <x:f>IF(F3387=1,"PASS","OPEN")</x:f>
        <x:v>OPEN</x:v>
      </x:c>
    </x:row>
    <x:row r="3388">
      <x:c r="B3388" t="str">
        <x:v>PH-EX-310</x:v>
      </x:c>
      <x:c r="C3388" t="str">
        <x:v>PHYSICAL</x:v>
      </x:c>
      <x:c r="D3388" t="str">
        <x:v>trial execution</x:v>
      </x:c>
      <x:c r="E3388" t="str">
        <x:v>PH-EX-310</x:v>
      </x:c>
      <x:c r="F3388" t="n">
        <x:f>IF('Trial Register'!P316&lt;&gt;"",1,0)</x:f>
        <x:v>0</x:v>
      </x:c>
      <x:c r="G3388" t="n">
        <x:v>1</x:v>
      </x:c>
      <x:c r="H3388" t="str">
        <x:v>independent physical acceptance</x:v>
      </x:c>
      <x:c r="I3388" t="str">
        <x:f>IF(F3388=1,"PASS","OPEN")</x:f>
        <x:v>OPEN</x:v>
      </x:c>
    </x:row>
    <x:row r="3389">
      <x:c r="B3389" t="str">
        <x:v>PH-PK-310</x:v>
      </x:c>
      <x:c r="C3389" t="str">
        <x:v>PHYSICAL</x:v>
      </x:c>
      <x:c r="D3389" t="str">
        <x:v>trial packet</x:v>
      </x:c>
      <x:c r="E3389" t="str">
        <x:v>PH-PK-310</x:v>
      </x:c>
      <x:c r="F3389" t="n">
        <x:f>IF('Trial Register'!Q316&lt;&gt;"",1,0)</x:f>
        <x:v>0</x:v>
      </x:c>
      <x:c r="G3389" t="n">
        <x:v>1</x:v>
      </x:c>
      <x:c r="H3389" t="str">
        <x:v>independent physical acceptance</x:v>
      </x:c>
      <x:c r="I3389" t="str">
        <x:f>IF(F3389=1,"PASS","OPEN")</x:f>
        <x:v>OPEN</x:v>
      </x:c>
    </x:row>
    <x:row r="3390">
      <x:c r="B3390" t="str">
        <x:v>PH-VA-310</x:v>
      </x:c>
      <x:c r="C3390" t="str">
        <x:v>PHYSICAL</x:v>
      </x:c>
      <x:c r="D3390" t="str">
        <x:v>trial validity</x:v>
      </x:c>
      <x:c r="E3390" t="str">
        <x:v>PH-VA-310</x:v>
      </x:c>
      <x:c r="F3390" t="n">
        <x:f>IF('Trial Register'!R316&lt;&gt;"",1,0)</x:f>
        <x:v>0</x:v>
      </x:c>
      <x:c r="G3390" t="n">
        <x:v>1</x:v>
      </x:c>
      <x:c r="H3390" t="str">
        <x:v>independent physical acceptance</x:v>
      </x:c>
      <x:c r="I3390" t="str">
        <x:f>IF(F3390=1,"PASS","OPEN")</x:f>
        <x:v>OPEN</x:v>
      </x:c>
    </x:row>
    <x:row r="3391">
      <x:c r="B3391" t="str">
        <x:v>PH-RV-310</x:v>
      </x:c>
      <x:c r="C3391" t="str">
        <x:v>PHYSICAL</x:v>
      </x:c>
      <x:c r="D3391" t="str">
        <x:v>reported value</x:v>
      </x:c>
      <x:c r="E3391" t="str">
        <x:v>PH-RV-310</x:v>
      </x:c>
      <x:c r="F3391" t="n">
        <x:f>IF('Trial Register'!S316&lt;&gt;"",1,0)</x:f>
        <x:v>0</x:v>
      </x:c>
      <x:c r="G3391" t="n">
        <x:v>1</x:v>
      </x:c>
      <x:c r="H3391" t="str">
        <x:v>independent physical acceptance</x:v>
      </x:c>
      <x:c r="I3391" t="str">
        <x:f>IF(F3391=1,"PASS","OPEN")</x:f>
        <x:v>OPEN</x:v>
      </x:c>
    </x:row>
    <x:row r="3392">
      <x:c r="B3392" t="str">
        <x:v>PH-CR-310</x:v>
      </x:c>
      <x:c r="C3392" t="str">
        <x:v>PHYSICAL</x:v>
      </x:c>
      <x:c r="D3392" t="str">
        <x:v>credit acceptance</x:v>
      </x:c>
      <x:c r="E3392" t="str">
        <x:v>PH-CR-310</x:v>
      </x:c>
      <x:c r="F3392" t="str">
        <x:f>'Trial Register'!V316</x:f>
      </x:c>
      <x:c r="G3392" t="n">
        <x:v>1</x:v>
      </x:c>
      <x:c r="H3392" t="str">
        <x:v>independent physical acceptance</x:v>
      </x:c>
      <x:c r="I3392" t="str">
        <x:f>IF(F3392=1,"PASS","OPEN")</x:f>
        <x:v>OPEN</x:v>
      </x:c>
    </x:row>
    <x:row r="3393">
      <x:c r="B3393" t="str">
        <x:v>PH-EX-311</x:v>
      </x:c>
      <x:c r="C3393" t="str">
        <x:v>PHYSICAL</x:v>
      </x:c>
      <x:c r="D3393" t="str">
        <x:v>trial execution</x:v>
      </x:c>
      <x:c r="E3393" t="str">
        <x:v>PH-EX-311</x:v>
      </x:c>
      <x:c r="F3393" t="n">
        <x:f>IF('Trial Register'!P317&lt;&gt;"",1,0)</x:f>
        <x:v>0</x:v>
      </x:c>
      <x:c r="G3393" t="n">
        <x:v>1</x:v>
      </x:c>
      <x:c r="H3393" t="str">
        <x:v>independent physical acceptance</x:v>
      </x:c>
      <x:c r="I3393" t="str">
        <x:f>IF(F3393=1,"PASS","OPEN")</x:f>
        <x:v>OPEN</x:v>
      </x:c>
    </x:row>
    <x:row r="3394">
      <x:c r="B3394" t="str">
        <x:v>PH-PK-311</x:v>
      </x:c>
      <x:c r="C3394" t="str">
        <x:v>PHYSICAL</x:v>
      </x:c>
      <x:c r="D3394" t="str">
        <x:v>trial packet</x:v>
      </x:c>
      <x:c r="E3394" t="str">
        <x:v>PH-PK-311</x:v>
      </x:c>
      <x:c r="F3394" t="n">
        <x:f>IF('Trial Register'!Q317&lt;&gt;"",1,0)</x:f>
        <x:v>0</x:v>
      </x:c>
      <x:c r="G3394" t="n">
        <x:v>1</x:v>
      </x:c>
      <x:c r="H3394" t="str">
        <x:v>independent physical acceptance</x:v>
      </x:c>
      <x:c r="I3394" t="str">
        <x:f>IF(F3394=1,"PASS","OPEN")</x:f>
        <x:v>OPEN</x:v>
      </x:c>
    </x:row>
    <x:row r="3395">
      <x:c r="B3395" t="str">
        <x:v>PH-VA-311</x:v>
      </x:c>
      <x:c r="C3395" t="str">
        <x:v>PHYSICAL</x:v>
      </x:c>
      <x:c r="D3395" t="str">
        <x:v>trial validity</x:v>
      </x:c>
      <x:c r="E3395" t="str">
        <x:v>PH-VA-311</x:v>
      </x:c>
      <x:c r="F3395" t="n">
        <x:f>IF('Trial Register'!R317&lt;&gt;"",1,0)</x:f>
        <x:v>0</x:v>
      </x:c>
      <x:c r="G3395" t="n">
        <x:v>1</x:v>
      </x:c>
      <x:c r="H3395" t="str">
        <x:v>independent physical acceptance</x:v>
      </x:c>
      <x:c r="I3395" t="str">
        <x:f>IF(F3395=1,"PASS","OPEN")</x:f>
        <x:v>OPEN</x:v>
      </x:c>
    </x:row>
    <x:row r="3396">
      <x:c r="B3396" t="str">
        <x:v>PH-RV-311</x:v>
      </x:c>
      <x:c r="C3396" t="str">
        <x:v>PHYSICAL</x:v>
      </x:c>
      <x:c r="D3396" t="str">
        <x:v>reported value</x:v>
      </x:c>
      <x:c r="E3396" t="str">
        <x:v>PH-RV-311</x:v>
      </x:c>
      <x:c r="F3396" t="n">
        <x:f>IF('Trial Register'!S317&lt;&gt;"",1,0)</x:f>
        <x:v>0</x:v>
      </x:c>
      <x:c r="G3396" t="n">
        <x:v>1</x:v>
      </x:c>
      <x:c r="H3396" t="str">
        <x:v>independent physical acceptance</x:v>
      </x:c>
      <x:c r="I3396" t="str">
        <x:f>IF(F3396=1,"PASS","OPEN")</x:f>
        <x:v>OPEN</x:v>
      </x:c>
    </x:row>
    <x:row r="3397">
      <x:c r="B3397" t="str">
        <x:v>PH-CR-311</x:v>
      </x:c>
      <x:c r="C3397" t="str">
        <x:v>PHYSICAL</x:v>
      </x:c>
      <x:c r="D3397" t="str">
        <x:v>credit acceptance</x:v>
      </x:c>
      <x:c r="E3397" t="str">
        <x:v>PH-CR-311</x:v>
      </x:c>
      <x:c r="F3397" t="str">
        <x:f>'Trial Register'!V317</x:f>
      </x:c>
      <x:c r="G3397" t="n">
        <x:v>1</x:v>
      </x:c>
      <x:c r="H3397" t="str">
        <x:v>independent physical acceptance</x:v>
      </x:c>
      <x:c r="I3397" t="str">
        <x:f>IF(F3397=1,"PASS","OPEN")</x:f>
        <x:v>OPEN</x:v>
      </x:c>
    </x:row>
    <x:row r="3398">
      <x:c r="B3398" t="str">
        <x:v>PH-EX-312</x:v>
      </x:c>
      <x:c r="C3398" t="str">
        <x:v>PHYSICAL</x:v>
      </x:c>
      <x:c r="D3398" t="str">
        <x:v>trial execution</x:v>
      </x:c>
      <x:c r="E3398" t="str">
        <x:v>PH-EX-312</x:v>
      </x:c>
      <x:c r="F3398" t="n">
        <x:f>IF('Trial Register'!P318&lt;&gt;"",1,0)</x:f>
        <x:v>0</x:v>
      </x:c>
      <x:c r="G3398" t="n">
        <x:v>1</x:v>
      </x:c>
      <x:c r="H3398" t="str">
        <x:v>independent physical acceptance</x:v>
      </x:c>
      <x:c r="I3398" t="str">
        <x:f>IF(F3398=1,"PASS","OPEN")</x:f>
        <x:v>OPEN</x:v>
      </x:c>
    </x:row>
    <x:row r="3399">
      <x:c r="B3399" t="str">
        <x:v>PH-PK-312</x:v>
      </x:c>
      <x:c r="C3399" t="str">
        <x:v>PHYSICAL</x:v>
      </x:c>
      <x:c r="D3399" t="str">
        <x:v>trial packet</x:v>
      </x:c>
      <x:c r="E3399" t="str">
        <x:v>PH-PK-312</x:v>
      </x:c>
      <x:c r="F3399" t="n">
        <x:f>IF('Trial Register'!Q318&lt;&gt;"",1,0)</x:f>
        <x:v>0</x:v>
      </x:c>
      <x:c r="G3399" t="n">
        <x:v>1</x:v>
      </x:c>
      <x:c r="H3399" t="str">
        <x:v>independent physical acceptance</x:v>
      </x:c>
      <x:c r="I3399" t="str">
        <x:f>IF(F3399=1,"PASS","OPEN")</x:f>
        <x:v>OPEN</x:v>
      </x:c>
    </x:row>
    <x:row r="3400">
      <x:c r="B3400" t="str">
        <x:v>PH-VA-312</x:v>
      </x:c>
      <x:c r="C3400" t="str">
        <x:v>PHYSICAL</x:v>
      </x:c>
      <x:c r="D3400" t="str">
        <x:v>trial validity</x:v>
      </x:c>
      <x:c r="E3400" t="str">
        <x:v>PH-VA-312</x:v>
      </x:c>
      <x:c r="F3400" t="n">
        <x:f>IF('Trial Register'!R318&lt;&gt;"",1,0)</x:f>
        <x:v>0</x:v>
      </x:c>
      <x:c r="G3400" t="n">
        <x:v>1</x:v>
      </x:c>
      <x:c r="H3400" t="str">
        <x:v>independent physical acceptance</x:v>
      </x:c>
      <x:c r="I3400" t="str">
        <x:f>IF(F3400=1,"PASS","OPEN")</x:f>
        <x:v>OPEN</x:v>
      </x:c>
    </x:row>
    <x:row r="3401">
      <x:c r="B3401" t="str">
        <x:v>PH-RV-312</x:v>
      </x:c>
      <x:c r="C3401" t="str">
        <x:v>PHYSICAL</x:v>
      </x:c>
      <x:c r="D3401" t="str">
        <x:v>reported value</x:v>
      </x:c>
      <x:c r="E3401" t="str">
        <x:v>PH-RV-312</x:v>
      </x:c>
      <x:c r="F3401" t="n">
        <x:f>IF('Trial Register'!S318&lt;&gt;"",1,0)</x:f>
        <x:v>0</x:v>
      </x:c>
      <x:c r="G3401" t="n">
        <x:v>1</x:v>
      </x:c>
      <x:c r="H3401" t="str">
        <x:v>independent physical acceptance</x:v>
      </x:c>
      <x:c r="I3401" t="str">
        <x:f>IF(F3401=1,"PASS","OPEN")</x:f>
        <x:v>OPEN</x:v>
      </x:c>
    </x:row>
    <x:row r="3402">
      <x:c r="B3402" t="str">
        <x:v>PH-CR-312</x:v>
      </x:c>
      <x:c r="C3402" t="str">
        <x:v>PHYSICAL</x:v>
      </x:c>
      <x:c r="D3402" t="str">
        <x:v>credit acceptance</x:v>
      </x:c>
      <x:c r="E3402" t="str">
        <x:v>PH-CR-312</x:v>
      </x:c>
      <x:c r="F3402" t="str">
        <x:f>'Trial Register'!V318</x:f>
      </x:c>
      <x:c r="G3402" t="n">
        <x:v>1</x:v>
      </x:c>
      <x:c r="H3402" t="str">
        <x:v>independent physical acceptance</x:v>
      </x:c>
      <x:c r="I3402" t="str">
        <x:f>IF(F3402=1,"PASS","OPEN")</x:f>
        <x:v>OPEN</x:v>
      </x:c>
    </x:row>
    <x:row r="3403">
      <x:c r="B3403" t="str">
        <x:v>PH-EX-313</x:v>
      </x:c>
      <x:c r="C3403" t="str">
        <x:v>PHYSICAL</x:v>
      </x:c>
      <x:c r="D3403" t="str">
        <x:v>trial execution</x:v>
      </x:c>
      <x:c r="E3403" t="str">
        <x:v>PH-EX-313</x:v>
      </x:c>
      <x:c r="F3403" t="n">
        <x:f>IF('Trial Register'!P319&lt;&gt;"",1,0)</x:f>
        <x:v>0</x:v>
      </x:c>
      <x:c r="G3403" t="n">
        <x:v>1</x:v>
      </x:c>
      <x:c r="H3403" t="str">
        <x:v>independent physical acceptance</x:v>
      </x:c>
      <x:c r="I3403" t="str">
        <x:f>IF(F3403=1,"PASS","OPEN")</x:f>
        <x:v>OPEN</x:v>
      </x:c>
    </x:row>
    <x:row r="3404">
      <x:c r="B3404" t="str">
        <x:v>PH-PK-313</x:v>
      </x:c>
      <x:c r="C3404" t="str">
        <x:v>PHYSICAL</x:v>
      </x:c>
      <x:c r="D3404" t="str">
        <x:v>trial packet</x:v>
      </x:c>
      <x:c r="E3404" t="str">
        <x:v>PH-PK-313</x:v>
      </x:c>
      <x:c r="F3404" t="n">
        <x:f>IF('Trial Register'!Q319&lt;&gt;"",1,0)</x:f>
        <x:v>0</x:v>
      </x:c>
      <x:c r="G3404" t="n">
        <x:v>1</x:v>
      </x:c>
      <x:c r="H3404" t="str">
        <x:v>independent physical acceptance</x:v>
      </x:c>
      <x:c r="I3404" t="str">
        <x:f>IF(F3404=1,"PASS","OPEN")</x:f>
        <x:v>OPEN</x:v>
      </x:c>
    </x:row>
    <x:row r="3405">
      <x:c r="B3405" t="str">
        <x:v>PH-VA-313</x:v>
      </x:c>
      <x:c r="C3405" t="str">
        <x:v>PHYSICAL</x:v>
      </x:c>
      <x:c r="D3405" t="str">
        <x:v>trial validity</x:v>
      </x:c>
      <x:c r="E3405" t="str">
        <x:v>PH-VA-313</x:v>
      </x:c>
      <x:c r="F3405" t="n">
        <x:f>IF('Trial Register'!R319&lt;&gt;"",1,0)</x:f>
        <x:v>0</x:v>
      </x:c>
      <x:c r="G3405" t="n">
        <x:v>1</x:v>
      </x:c>
      <x:c r="H3405" t="str">
        <x:v>independent physical acceptance</x:v>
      </x:c>
      <x:c r="I3405" t="str">
        <x:f>IF(F3405=1,"PASS","OPEN")</x:f>
        <x:v>OPEN</x:v>
      </x:c>
    </x:row>
    <x:row r="3406">
      <x:c r="B3406" t="str">
        <x:v>PH-RV-313</x:v>
      </x:c>
      <x:c r="C3406" t="str">
        <x:v>PHYSICAL</x:v>
      </x:c>
      <x:c r="D3406" t="str">
        <x:v>reported value</x:v>
      </x:c>
      <x:c r="E3406" t="str">
        <x:v>PH-RV-313</x:v>
      </x:c>
      <x:c r="F3406" t="n">
        <x:f>IF('Trial Register'!S319&lt;&gt;"",1,0)</x:f>
        <x:v>0</x:v>
      </x:c>
      <x:c r="G3406" t="n">
        <x:v>1</x:v>
      </x:c>
      <x:c r="H3406" t="str">
        <x:v>independent physical acceptance</x:v>
      </x:c>
      <x:c r="I3406" t="str">
        <x:f>IF(F3406=1,"PASS","OPEN")</x:f>
        <x:v>OPEN</x:v>
      </x:c>
    </x:row>
    <x:row r="3407">
      <x:c r="B3407" t="str">
        <x:v>PH-CR-313</x:v>
      </x:c>
      <x:c r="C3407" t="str">
        <x:v>PHYSICAL</x:v>
      </x:c>
      <x:c r="D3407" t="str">
        <x:v>credit acceptance</x:v>
      </x:c>
      <x:c r="E3407" t="str">
        <x:v>PH-CR-313</x:v>
      </x:c>
      <x:c r="F3407" t="str">
        <x:f>'Trial Register'!V319</x:f>
      </x:c>
      <x:c r="G3407" t="n">
        <x:v>1</x:v>
      </x:c>
      <x:c r="H3407" t="str">
        <x:v>independent physical acceptance</x:v>
      </x:c>
      <x:c r="I3407" t="str">
        <x:f>IF(F3407=1,"PASS","OPEN")</x:f>
        <x:v>OPEN</x:v>
      </x:c>
    </x:row>
    <x:row r="3408">
      <x:c r="B3408" t="str">
        <x:v>PH-EX-314</x:v>
      </x:c>
      <x:c r="C3408" t="str">
        <x:v>PHYSICAL</x:v>
      </x:c>
      <x:c r="D3408" t="str">
        <x:v>trial execution</x:v>
      </x:c>
      <x:c r="E3408" t="str">
        <x:v>PH-EX-314</x:v>
      </x:c>
      <x:c r="F3408" t="n">
        <x:f>IF('Trial Register'!P320&lt;&gt;"",1,0)</x:f>
        <x:v>0</x:v>
      </x:c>
      <x:c r="G3408" t="n">
        <x:v>1</x:v>
      </x:c>
      <x:c r="H3408" t="str">
        <x:v>independent physical acceptance</x:v>
      </x:c>
      <x:c r="I3408" t="str">
        <x:f>IF(F3408=1,"PASS","OPEN")</x:f>
        <x:v>OPEN</x:v>
      </x:c>
    </x:row>
    <x:row r="3409">
      <x:c r="B3409" t="str">
        <x:v>PH-PK-314</x:v>
      </x:c>
      <x:c r="C3409" t="str">
        <x:v>PHYSICAL</x:v>
      </x:c>
      <x:c r="D3409" t="str">
        <x:v>trial packet</x:v>
      </x:c>
      <x:c r="E3409" t="str">
        <x:v>PH-PK-314</x:v>
      </x:c>
      <x:c r="F3409" t="n">
        <x:f>IF('Trial Register'!Q320&lt;&gt;"",1,0)</x:f>
        <x:v>0</x:v>
      </x:c>
      <x:c r="G3409" t="n">
        <x:v>1</x:v>
      </x:c>
      <x:c r="H3409" t="str">
        <x:v>independent physical acceptance</x:v>
      </x:c>
      <x:c r="I3409" t="str">
        <x:f>IF(F3409=1,"PASS","OPEN")</x:f>
        <x:v>OPEN</x:v>
      </x:c>
    </x:row>
    <x:row r="3410">
      <x:c r="B3410" t="str">
        <x:v>PH-VA-314</x:v>
      </x:c>
      <x:c r="C3410" t="str">
        <x:v>PHYSICAL</x:v>
      </x:c>
      <x:c r="D3410" t="str">
        <x:v>trial validity</x:v>
      </x:c>
      <x:c r="E3410" t="str">
        <x:v>PH-VA-314</x:v>
      </x:c>
      <x:c r="F3410" t="n">
        <x:f>IF('Trial Register'!R320&lt;&gt;"",1,0)</x:f>
        <x:v>0</x:v>
      </x:c>
      <x:c r="G3410" t="n">
        <x:v>1</x:v>
      </x:c>
      <x:c r="H3410" t="str">
        <x:v>independent physical acceptance</x:v>
      </x:c>
      <x:c r="I3410" t="str">
        <x:f>IF(F3410=1,"PASS","OPEN")</x:f>
        <x:v>OPEN</x:v>
      </x:c>
    </x:row>
    <x:row r="3411">
      <x:c r="B3411" t="str">
        <x:v>PH-RV-314</x:v>
      </x:c>
      <x:c r="C3411" t="str">
        <x:v>PHYSICAL</x:v>
      </x:c>
      <x:c r="D3411" t="str">
        <x:v>reported value</x:v>
      </x:c>
      <x:c r="E3411" t="str">
        <x:v>PH-RV-314</x:v>
      </x:c>
      <x:c r="F3411" t="n">
        <x:f>IF('Trial Register'!S320&lt;&gt;"",1,0)</x:f>
        <x:v>0</x:v>
      </x:c>
      <x:c r="G3411" t="n">
        <x:v>1</x:v>
      </x:c>
      <x:c r="H3411" t="str">
        <x:v>independent physical acceptance</x:v>
      </x:c>
      <x:c r="I3411" t="str">
        <x:f>IF(F3411=1,"PASS","OPEN")</x:f>
        <x:v>OPEN</x:v>
      </x:c>
    </x:row>
    <x:row r="3412">
      <x:c r="B3412" t="str">
        <x:v>PH-CR-314</x:v>
      </x:c>
      <x:c r="C3412" t="str">
        <x:v>PHYSICAL</x:v>
      </x:c>
      <x:c r="D3412" t="str">
        <x:v>credit acceptance</x:v>
      </x:c>
      <x:c r="E3412" t="str">
        <x:v>PH-CR-314</x:v>
      </x:c>
      <x:c r="F3412" t="str">
        <x:f>'Trial Register'!V320</x:f>
      </x:c>
      <x:c r="G3412" t="n">
        <x:v>1</x:v>
      </x:c>
      <x:c r="H3412" t="str">
        <x:v>independent physical acceptance</x:v>
      </x:c>
      <x:c r="I3412" t="str">
        <x:f>IF(F3412=1,"PASS","OPEN")</x:f>
        <x:v>OPEN</x:v>
      </x:c>
    </x:row>
    <x:row r="3413">
      <x:c r="B3413" t="str">
        <x:v>PH-EX-315</x:v>
      </x:c>
      <x:c r="C3413" t="str">
        <x:v>PHYSICAL</x:v>
      </x:c>
      <x:c r="D3413" t="str">
        <x:v>trial execution</x:v>
      </x:c>
      <x:c r="E3413" t="str">
        <x:v>PH-EX-315</x:v>
      </x:c>
      <x:c r="F3413" t="n">
        <x:f>IF('Trial Register'!P321&lt;&gt;"",1,0)</x:f>
        <x:v>0</x:v>
      </x:c>
      <x:c r="G3413" t="n">
        <x:v>1</x:v>
      </x:c>
      <x:c r="H3413" t="str">
        <x:v>independent physical acceptance</x:v>
      </x:c>
      <x:c r="I3413" t="str">
        <x:f>IF(F3413=1,"PASS","OPEN")</x:f>
        <x:v>OPEN</x:v>
      </x:c>
    </x:row>
    <x:row r="3414">
      <x:c r="B3414" t="str">
        <x:v>PH-PK-315</x:v>
      </x:c>
      <x:c r="C3414" t="str">
        <x:v>PHYSICAL</x:v>
      </x:c>
      <x:c r="D3414" t="str">
        <x:v>trial packet</x:v>
      </x:c>
      <x:c r="E3414" t="str">
        <x:v>PH-PK-315</x:v>
      </x:c>
      <x:c r="F3414" t="n">
        <x:f>IF('Trial Register'!Q321&lt;&gt;"",1,0)</x:f>
        <x:v>0</x:v>
      </x:c>
      <x:c r="G3414" t="n">
        <x:v>1</x:v>
      </x:c>
      <x:c r="H3414" t="str">
        <x:v>independent physical acceptance</x:v>
      </x:c>
      <x:c r="I3414" t="str">
        <x:f>IF(F3414=1,"PASS","OPEN")</x:f>
        <x:v>OPEN</x:v>
      </x:c>
    </x:row>
    <x:row r="3415">
      <x:c r="B3415" t="str">
        <x:v>PH-VA-315</x:v>
      </x:c>
      <x:c r="C3415" t="str">
        <x:v>PHYSICAL</x:v>
      </x:c>
      <x:c r="D3415" t="str">
        <x:v>trial validity</x:v>
      </x:c>
      <x:c r="E3415" t="str">
        <x:v>PH-VA-315</x:v>
      </x:c>
      <x:c r="F3415" t="n">
        <x:f>IF('Trial Register'!R321&lt;&gt;"",1,0)</x:f>
        <x:v>0</x:v>
      </x:c>
      <x:c r="G3415" t="n">
        <x:v>1</x:v>
      </x:c>
      <x:c r="H3415" t="str">
        <x:v>independent physical acceptance</x:v>
      </x:c>
      <x:c r="I3415" t="str">
        <x:f>IF(F3415=1,"PASS","OPEN")</x:f>
        <x:v>OPEN</x:v>
      </x:c>
    </x:row>
    <x:row r="3416">
      <x:c r="B3416" t="str">
        <x:v>PH-RV-315</x:v>
      </x:c>
      <x:c r="C3416" t="str">
        <x:v>PHYSICAL</x:v>
      </x:c>
      <x:c r="D3416" t="str">
        <x:v>reported value</x:v>
      </x:c>
      <x:c r="E3416" t="str">
        <x:v>PH-RV-315</x:v>
      </x:c>
      <x:c r="F3416" t="n">
        <x:f>IF('Trial Register'!S321&lt;&gt;"",1,0)</x:f>
        <x:v>0</x:v>
      </x:c>
      <x:c r="G3416" t="n">
        <x:v>1</x:v>
      </x:c>
      <x:c r="H3416" t="str">
        <x:v>independent physical acceptance</x:v>
      </x:c>
      <x:c r="I3416" t="str">
        <x:f>IF(F3416=1,"PASS","OPEN")</x:f>
        <x:v>OPEN</x:v>
      </x:c>
    </x:row>
    <x:row r="3417">
      <x:c r="B3417" t="str">
        <x:v>PH-CR-315</x:v>
      </x:c>
      <x:c r="C3417" t="str">
        <x:v>PHYSICAL</x:v>
      </x:c>
      <x:c r="D3417" t="str">
        <x:v>credit acceptance</x:v>
      </x:c>
      <x:c r="E3417" t="str">
        <x:v>PH-CR-315</x:v>
      </x:c>
      <x:c r="F3417" t="str">
        <x:f>'Trial Register'!V321</x:f>
      </x:c>
      <x:c r="G3417" t="n">
        <x:v>1</x:v>
      </x:c>
      <x:c r="H3417" t="str">
        <x:v>independent physical acceptance</x:v>
      </x:c>
      <x:c r="I3417" t="str">
        <x:f>IF(F3417=1,"PASS","OPEN")</x:f>
        <x:v>OPEN</x:v>
      </x:c>
    </x:row>
    <x:row r="3418">
      <x:c r="B3418" t="str">
        <x:v>PH-EX-316</x:v>
      </x:c>
      <x:c r="C3418" t="str">
        <x:v>PHYSICAL</x:v>
      </x:c>
      <x:c r="D3418" t="str">
        <x:v>trial execution</x:v>
      </x:c>
      <x:c r="E3418" t="str">
        <x:v>PH-EX-316</x:v>
      </x:c>
      <x:c r="F3418" t="n">
        <x:f>IF('Trial Register'!P322&lt;&gt;"",1,0)</x:f>
        <x:v>0</x:v>
      </x:c>
      <x:c r="G3418" t="n">
        <x:v>1</x:v>
      </x:c>
      <x:c r="H3418" t="str">
        <x:v>independent physical acceptance</x:v>
      </x:c>
      <x:c r="I3418" t="str">
        <x:f>IF(F3418=1,"PASS","OPEN")</x:f>
        <x:v>OPEN</x:v>
      </x:c>
    </x:row>
    <x:row r="3419">
      <x:c r="B3419" t="str">
        <x:v>PH-PK-316</x:v>
      </x:c>
      <x:c r="C3419" t="str">
        <x:v>PHYSICAL</x:v>
      </x:c>
      <x:c r="D3419" t="str">
        <x:v>trial packet</x:v>
      </x:c>
      <x:c r="E3419" t="str">
        <x:v>PH-PK-316</x:v>
      </x:c>
      <x:c r="F3419" t="n">
        <x:f>IF('Trial Register'!Q322&lt;&gt;"",1,0)</x:f>
        <x:v>0</x:v>
      </x:c>
      <x:c r="G3419" t="n">
        <x:v>1</x:v>
      </x:c>
      <x:c r="H3419" t="str">
        <x:v>independent physical acceptance</x:v>
      </x:c>
      <x:c r="I3419" t="str">
        <x:f>IF(F3419=1,"PASS","OPEN")</x:f>
        <x:v>OPEN</x:v>
      </x:c>
    </x:row>
    <x:row r="3420">
      <x:c r="B3420" t="str">
        <x:v>PH-VA-316</x:v>
      </x:c>
      <x:c r="C3420" t="str">
        <x:v>PHYSICAL</x:v>
      </x:c>
      <x:c r="D3420" t="str">
        <x:v>trial validity</x:v>
      </x:c>
      <x:c r="E3420" t="str">
        <x:v>PH-VA-316</x:v>
      </x:c>
      <x:c r="F3420" t="n">
        <x:f>IF('Trial Register'!R322&lt;&gt;"",1,0)</x:f>
        <x:v>0</x:v>
      </x:c>
      <x:c r="G3420" t="n">
        <x:v>1</x:v>
      </x:c>
      <x:c r="H3420" t="str">
        <x:v>independent physical acceptance</x:v>
      </x:c>
      <x:c r="I3420" t="str">
        <x:f>IF(F3420=1,"PASS","OPEN")</x:f>
        <x:v>OPEN</x:v>
      </x:c>
    </x:row>
    <x:row r="3421">
      <x:c r="B3421" t="str">
        <x:v>PH-RV-316</x:v>
      </x:c>
      <x:c r="C3421" t="str">
        <x:v>PHYSICAL</x:v>
      </x:c>
      <x:c r="D3421" t="str">
        <x:v>reported value</x:v>
      </x:c>
      <x:c r="E3421" t="str">
        <x:v>PH-RV-316</x:v>
      </x:c>
      <x:c r="F3421" t="n">
        <x:f>IF('Trial Register'!S322&lt;&gt;"",1,0)</x:f>
        <x:v>0</x:v>
      </x:c>
      <x:c r="G3421" t="n">
        <x:v>1</x:v>
      </x:c>
      <x:c r="H3421" t="str">
        <x:v>independent physical acceptance</x:v>
      </x:c>
      <x:c r="I3421" t="str">
        <x:f>IF(F3421=1,"PASS","OPEN")</x:f>
        <x:v>OPEN</x:v>
      </x:c>
    </x:row>
    <x:row r="3422">
      <x:c r="B3422" t="str">
        <x:v>PH-CR-316</x:v>
      </x:c>
      <x:c r="C3422" t="str">
        <x:v>PHYSICAL</x:v>
      </x:c>
      <x:c r="D3422" t="str">
        <x:v>credit acceptance</x:v>
      </x:c>
      <x:c r="E3422" t="str">
        <x:v>PH-CR-316</x:v>
      </x:c>
      <x:c r="F3422" t="str">
        <x:f>'Trial Register'!V322</x:f>
      </x:c>
      <x:c r="G3422" t="n">
        <x:v>1</x:v>
      </x:c>
      <x:c r="H3422" t="str">
        <x:v>independent physical acceptance</x:v>
      </x:c>
      <x:c r="I3422" t="str">
        <x:f>IF(F3422=1,"PASS","OPEN")</x:f>
        <x:v>OPEN</x:v>
      </x:c>
    </x:row>
    <x:row r="3423">
      <x:c r="B3423" t="str">
        <x:v>PH-EX-317</x:v>
      </x:c>
      <x:c r="C3423" t="str">
        <x:v>PHYSICAL</x:v>
      </x:c>
      <x:c r="D3423" t="str">
        <x:v>trial execution</x:v>
      </x:c>
      <x:c r="E3423" t="str">
        <x:v>PH-EX-317</x:v>
      </x:c>
      <x:c r="F3423" t="n">
        <x:f>IF('Trial Register'!P323&lt;&gt;"",1,0)</x:f>
        <x:v>0</x:v>
      </x:c>
      <x:c r="G3423" t="n">
        <x:v>1</x:v>
      </x:c>
      <x:c r="H3423" t="str">
        <x:v>independent physical acceptance</x:v>
      </x:c>
      <x:c r="I3423" t="str">
        <x:f>IF(F3423=1,"PASS","OPEN")</x:f>
        <x:v>OPEN</x:v>
      </x:c>
    </x:row>
    <x:row r="3424">
      <x:c r="B3424" t="str">
        <x:v>PH-PK-317</x:v>
      </x:c>
      <x:c r="C3424" t="str">
        <x:v>PHYSICAL</x:v>
      </x:c>
      <x:c r="D3424" t="str">
        <x:v>trial packet</x:v>
      </x:c>
      <x:c r="E3424" t="str">
        <x:v>PH-PK-317</x:v>
      </x:c>
      <x:c r="F3424" t="n">
        <x:f>IF('Trial Register'!Q323&lt;&gt;"",1,0)</x:f>
        <x:v>0</x:v>
      </x:c>
      <x:c r="G3424" t="n">
        <x:v>1</x:v>
      </x:c>
      <x:c r="H3424" t="str">
        <x:v>independent physical acceptance</x:v>
      </x:c>
      <x:c r="I3424" t="str">
        <x:f>IF(F3424=1,"PASS","OPEN")</x:f>
        <x:v>OPEN</x:v>
      </x:c>
    </x:row>
    <x:row r="3425">
      <x:c r="B3425" t="str">
        <x:v>PH-VA-317</x:v>
      </x:c>
      <x:c r="C3425" t="str">
        <x:v>PHYSICAL</x:v>
      </x:c>
      <x:c r="D3425" t="str">
        <x:v>trial validity</x:v>
      </x:c>
      <x:c r="E3425" t="str">
        <x:v>PH-VA-317</x:v>
      </x:c>
      <x:c r="F3425" t="n">
        <x:f>IF('Trial Register'!R323&lt;&gt;"",1,0)</x:f>
        <x:v>0</x:v>
      </x:c>
      <x:c r="G3425" t="n">
        <x:v>1</x:v>
      </x:c>
      <x:c r="H3425" t="str">
        <x:v>independent physical acceptance</x:v>
      </x:c>
      <x:c r="I3425" t="str">
        <x:f>IF(F3425=1,"PASS","OPEN")</x:f>
        <x:v>OPEN</x:v>
      </x:c>
    </x:row>
    <x:row r="3426">
      <x:c r="B3426" t="str">
        <x:v>PH-RV-317</x:v>
      </x:c>
      <x:c r="C3426" t="str">
        <x:v>PHYSICAL</x:v>
      </x:c>
      <x:c r="D3426" t="str">
        <x:v>reported value</x:v>
      </x:c>
      <x:c r="E3426" t="str">
        <x:v>PH-RV-317</x:v>
      </x:c>
      <x:c r="F3426" t="n">
        <x:f>IF('Trial Register'!S323&lt;&gt;"",1,0)</x:f>
        <x:v>0</x:v>
      </x:c>
      <x:c r="G3426" t="n">
        <x:v>1</x:v>
      </x:c>
      <x:c r="H3426" t="str">
        <x:v>independent physical acceptance</x:v>
      </x:c>
      <x:c r="I3426" t="str">
        <x:f>IF(F3426=1,"PASS","OPEN")</x:f>
        <x:v>OPEN</x:v>
      </x:c>
    </x:row>
    <x:row r="3427">
      <x:c r="B3427" t="str">
        <x:v>PH-CR-317</x:v>
      </x:c>
      <x:c r="C3427" t="str">
        <x:v>PHYSICAL</x:v>
      </x:c>
      <x:c r="D3427" t="str">
        <x:v>credit acceptance</x:v>
      </x:c>
      <x:c r="E3427" t="str">
        <x:v>PH-CR-317</x:v>
      </x:c>
      <x:c r="F3427" t="str">
        <x:f>'Trial Register'!V323</x:f>
      </x:c>
      <x:c r="G3427" t="n">
        <x:v>1</x:v>
      </x:c>
      <x:c r="H3427" t="str">
        <x:v>independent physical acceptance</x:v>
      </x:c>
      <x:c r="I3427" t="str">
        <x:f>IF(F3427=1,"PASS","OPEN")</x:f>
        <x:v>OPEN</x:v>
      </x:c>
    </x:row>
    <x:row r="3428">
      <x:c r="B3428" t="str">
        <x:v>PH-EX-318</x:v>
      </x:c>
      <x:c r="C3428" t="str">
        <x:v>PHYSICAL</x:v>
      </x:c>
      <x:c r="D3428" t="str">
        <x:v>trial execution</x:v>
      </x:c>
      <x:c r="E3428" t="str">
        <x:v>PH-EX-318</x:v>
      </x:c>
      <x:c r="F3428" t="n">
        <x:f>IF('Trial Register'!P324&lt;&gt;"",1,0)</x:f>
        <x:v>0</x:v>
      </x:c>
      <x:c r="G3428" t="n">
        <x:v>1</x:v>
      </x:c>
      <x:c r="H3428" t="str">
        <x:v>independent physical acceptance</x:v>
      </x:c>
      <x:c r="I3428" t="str">
        <x:f>IF(F3428=1,"PASS","OPEN")</x:f>
        <x:v>OPEN</x:v>
      </x:c>
    </x:row>
    <x:row r="3429">
      <x:c r="B3429" t="str">
        <x:v>PH-PK-318</x:v>
      </x:c>
      <x:c r="C3429" t="str">
        <x:v>PHYSICAL</x:v>
      </x:c>
      <x:c r="D3429" t="str">
        <x:v>trial packet</x:v>
      </x:c>
      <x:c r="E3429" t="str">
        <x:v>PH-PK-318</x:v>
      </x:c>
      <x:c r="F3429" t="n">
        <x:f>IF('Trial Register'!Q324&lt;&gt;"",1,0)</x:f>
        <x:v>0</x:v>
      </x:c>
      <x:c r="G3429" t="n">
        <x:v>1</x:v>
      </x:c>
      <x:c r="H3429" t="str">
        <x:v>independent physical acceptance</x:v>
      </x:c>
      <x:c r="I3429" t="str">
        <x:f>IF(F3429=1,"PASS","OPEN")</x:f>
        <x:v>OPEN</x:v>
      </x:c>
    </x:row>
    <x:row r="3430">
      <x:c r="B3430" t="str">
        <x:v>PH-VA-318</x:v>
      </x:c>
      <x:c r="C3430" t="str">
        <x:v>PHYSICAL</x:v>
      </x:c>
      <x:c r="D3430" t="str">
        <x:v>trial validity</x:v>
      </x:c>
      <x:c r="E3430" t="str">
        <x:v>PH-VA-318</x:v>
      </x:c>
      <x:c r="F3430" t="n">
        <x:f>IF('Trial Register'!R324&lt;&gt;"",1,0)</x:f>
        <x:v>0</x:v>
      </x:c>
      <x:c r="G3430" t="n">
        <x:v>1</x:v>
      </x:c>
      <x:c r="H3430" t="str">
        <x:v>independent physical acceptance</x:v>
      </x:c>
      <x:c r="I3430" t="str">
        <x:f>IF(F3430=1,"PASS","OPEN")</x:f>
        <x:v>OPEN</x:v>
      </x:c>
    </x:row>
    <x:row r="3431">
      <x:c r="B3431" t="str">
        <x:v>PH-RV-318</x:v>
      </x:c>
      <x:c r="C3431" t="str">
        <x:v>PHYSICAL</x:v>
      </x:c>
      <x:c r="D3431" t="str">
        <x:v>reported value</x:v>
      </x:c>
      <x:c r="E3431" t="str">
        <x:v>PH-RV-318</x:v>
      </x:c>
      <x:c r="F3431" t="n">
        <x:f>IF('Trial Register'!S324&lt;&gt;"",1,0)</x:f>
        <x:v>0</x:v>
      </x:c>
      <x:c r="G3431" t="n">
        <x:v>1</x:v>
      </x:c>
      <x:c r="H3431" t="str">
        <x:v>independent physical acceptance</x:v>
      </x:c>
      <x:c r="I3431" t="str">
        <x:f>IF(F3431=1,"PASS","OPEN")</x:f>
        <x:v>OPEN</x:v>
      </x:c>
    </x:row>
    <x:row r="3432">
      <x:c r="B3432" t="str">
        <x:v>PH-CR-318</x:v>
      </x:c>
      <x:c r="C3432" t="str">
        <x:v>PHYSICAL</x:v>
      </x:c>
      <x:c r="D3432" t="str">
        <x:v>credit acceptance</x:v>
      </x:c>
      <x:c r="E3432" t="str">
        <x:v>PH-CR-318</x:v>
      </x:c>
      <x:c r="F3432" t="str">
        <x:f>'Trial Register'!V324</x:f>
      </x:c>
      <x:c r="G3432" t="n">
        <x:v>1</x:v>
      </x:c>
      <x:c r="H3432" t="str">
        <x:v>independent physical acceptance</x:v>
      </x:c>
      <x:c r="I3432" t="str">
        <x:f>IF(F3432=1,"PASS","OPEN")</x:f>
        <x:v>OPEN</x:v>
      </x:c>
    </x:row>
    <x:row r="3433">
      <x:c r="B3433" t="str">
        <x:v>PH-EX-319</x:v>
      </x:c>
      <x:c r="C3433" t="str">
        <x:v>PHYSICAL</x:v>
      </x:c>
      <x:c r="D3433" t="str">
        <x:v>trial execution</x:v>
      </x:c>
      <x:c r="E3433" t="str">
        <x:v>PH-EX-319</x:v>
      </x:c>
      <x:c r="F3433" t="n">
        <x:f>IF('Trial Register'!P325&lt;&gt;"",1,0)</x:f>
        <x:v>0</x:v>
      </x:c>
      <x:c r="G3433" t="n">
        <x:v>1</x:v>
      </x:c>
      <x:c r="H3433" t="str">
        <x:v>independent physical acceptance</x:v>
      </x:c>
      <x:c r="I3433" t="str">
        <x:f>IF(F3433=1,"PASS","OPEN")</x:f>
        <x:v>OPEN</x:v>
      </x:c>
    </x:row>
    <x:row r="3434">
      <x:c r="B3434" t="str">
        <x:v>PH-PK-319</x:v>
      </x:c>
      <x:c r="C3434" t="str">
        <x:v>PHYSICAL</x:v>
      </x:c>
      <x:c r="D3434" t="str">
        <x:v>trial packet</x:v>
      </x:c>
      <x:c r="E3434" t="str">
        <x:v>PH-PK-319</x:v>
      </x:c>
      <x:c r="F3434" t="n">
        <x:f>IF('Trial Register'!Q325&lt;&gt;"",1,0)</x:f>
        <x:v>0</x:v>
      </x:c>
      <x:c r="G3434" t="n">
        <x:v>1</x:v>
      </x:c>
      <x:c r="H3434" t="str">
        <x:v>independent physical acceptance</x:v>
      </x:c>
      <x:c r="I3434" t="str">
        <x:f>IF(F3434=1,"PASS","OPEN")</x:f>
        <x:v>OPEN</x:v>
      </x:c>
    </x:row>
    <x:row r="3435">
      <x:c r="B3435" t="str">
        <x:v>PH-VA-319</x:v>
      </x:c>
      <x:c r="C3435" t="str">
        <x:v>PHYSICAL</x:v>
      </x:c>
      <x:c r="D3435" t="str">
        <x:v>trial validity</x:v>
      </x:c>
      <x:c r="E3435" t="str">
        <x:v>PH-VA-319</x:v>
      </x:c>
      <x:c r="F3435" t="n">
        <x:f>IF('Trial Register'!R325&lt;&gt;"",1,0)</x:f>
        <x:v>0</x:v>
      </x:c>
      <x:c r="G3435" t="n">
        <x:v>1</x:v>
      </x:c>
      <x:c r="H3435" t="str">
        <x:v>independent physical acceptance</x:v>
      </x:c>
      <x:c r="I3435" t="str">
        <x:f>IF(F3435=1,"PASS","OPEN")</x:f>
        <x:v>OPEN</x:v>
      </x:c>
    </x:row>
    <x:row r="3436">
      <x:c r="B3436" t="str">
        <x:v>PH-RV-319</x:v>
      </x:c>
      <x:c r="C3436" t="str">
        <x:v>PHYSICAL</x:v>
      </x:c>
      <x:c r="D3436" t="str">
        <x:v>reported value</x:v>
      </x:c>
      <x:c r="E3436" t="str">
        <x:v>PH-RV-319</x:v>
      </x:c>
      <x:c r="F3436" t="n">
        <x:f>IF('Trial Register'!S325&lt;&gt;"",1,0)</x:f>
        <x:v>0</x:v>
      </x:c>
      <x:c r="G3436" t="n">
        <x:v>1</x:v>
      </x:c>
      <x:c r="H3436" t="str">
        <x:v>independent physical acceptance</x:v>
      </x:c>
      <x:c r="I3436" t="str">
        <x:f>IF(F3436=1,"PASS","OPEN")</x:f>
        <x:v>OPEN</x:v>
      </x:c>
    </x:row>
    <x:row r="3437">
      <x:c r="B3437" t="str">
        <x:v>PH-CR-319</x:v>
      </x:c>
      <x:c r="C3437" t="str">
        <x:v>PHYSICAL</x:v>
      </x:c>
      <x:c r="D3437" t="str">
        <x:v>credit acceptance</x:v>
      </x:c>
      <x:c r="E3437" t="str">
        <x:v>PH-CR-319</x:v>
      </x:c>
      <x:c r="F3437" t="str">
        <x:f>'Trial Register'!V325</x:f>
      </x:c>
      <x:c r="G3437" t="n">
        <x:v>1</x:v>
      </x:c>
      <x:c r="H3437" t="str">
        <x:v>independent physical acceptance</x:v>
      </x:c>
      <x:c r="I3437" t="str">
        <x:f>IF(F3437=1,"PASS","OPEN")</x:f>
        <x:v>OPEN</x:v>
      </x:c>
    </x:row>
    <x:row r="3438">
      <x:c r="B3438" t="str">
        <x:v>PH-EX-320</x:v>
      </x:c>
      <x:c r="C3438" t="str">
        <x:v>PHYSICAL</x:v>
      </x:c>
      <x:c r="D3438" t="str">
        <x:v>trial execution</x:v>
      </x:c>
      <x:c r="E3438" t="str">
        <x:v>PH-EX-320</x:v>
      </x:c>
      <x:c r="F3438" t="n">
        <x:f>IF('Trial Register'!P326&lt;&gt;"",1,0)</x:f>
        <x:v>0</x:v>
      </x:c>
      <x:c r="G3438" t="n">
        <x:v>1</x:v>
      </x:c>
      <x:c r="H3438" t="str">
        <x:v>independent physical acceptance</x:v>
      </x:c>
      <x:c r="I3438" t="str">
        <x:f>IF(F3438=1,"PASS","OPEN")</x:f>
        <x:v>OPEN</x:v>
      </x:c>
    </x:row>
    <x:row r="3439">
      <x:c r="B3439" t="str">
        <x:v>PH-PK-320</x:v>
      </x:c>
      <x:c r="C3439" t="str">
        <x:v>PHYSICAL</x:v>
      </x:c>
      <x:c r="D3439" t="str">
        <x:v>trial packet</x:v>
      </x:c>
      <x:c r="E3439" t="str">
        <x:v>PH-PK-320</x:v>
      </x:c>
      <x:c r="F3439" t="n">
        <x:f>IF('Trial Register'!Q326&lt;&gt;"",1,0)</x:f>
        <x:v>0</x:v>
      </x:c>
      <x:c r="G3439" t="n">
        <x:v>1</x:v>
      </x:c>
      <x:c r="H3439" t="str">
        <x:v>independent physical acceptance</x:v>
      </x:c>
      <x:c r="I3439" t="str">
        <x:f>IF(F3439=1,"PASS","OPEN")</x:f>
        <x:v>OPEN</x:v>
      </x:c>
    </x:row>
    <x:row r="3440">
      <x:c r="B3440" t="str">
        <x:v>PH-VA-320</x:v>
      </x:c>
      <x:c r="C3440" t="str">
        <x:v>PHYSICAL</x:v>
      </x:c>
      <x:c r="D3440" t="str">
        <x:v>trial validity</x:v>
      </x:c>
      <x:c r="E3440" t="str">
        <x:v>PH-VA-320</x:v>
      </x:c>
      <x:c r="F3440" t="n">
        <x:f>IF('Trial Register'!R326&lt;&gt;"",1,0)</x:f>
        <x:v>0</x:v>
      </x:c>
      <x:c r="G3440" t="n">
        <x:v>1</x:v>
      </x:c>
      <x:c r="H3440" t="str">
        <x:v>independent physical acceptance</x:v>
      </x:c>
      <x:c r="I3440" t="str">
        <x:f>IF(F3440=1,"PASS","OPEN")</x:f>
        <x:v>OPEN</x:v>
      </x:c>
    </x:row>
    <x:row r="3441">
      <x:c r="B3441" t="str">
        <x:v>PH-RV-320</x:v>
      </x:c>
      <x:c r="C3441" t="str">
        <x:v>PHYSICAL</x:v>
      </x:c>
      <x:c r="D3441" t="str">
        <x:v>reported value</x:v>
      </x:c>
      <x:c r="E3441" t="str">
        <x:v>PH-RV-320</x:v>
      </x:c>
      <x:c r="F3441" t="n">
        <x:f>IF('Trial Register'!S326&lt;&gt;"",1,0)</x:f>
        <x:v>0</x:v>
      </x:c>
      <x:c r="G3441" t="n">
        <x:v>1</x:v>
      </x:c>
      <x:c r="H3441" t="str">
        <x:v>independent physical acceptance</x:v>
      </x:c>
      <x:c r="I3441" t="str">
        <x:f>IF(F3441=1,"PASS","OPEN")</x:f>
        <x:v>OPEN</x:v>
      </x:c>
    </x:row>
    <x:row r="3442">
      <x:c r="B3442" t="str">
        <x:v>PH-CR-320</x:v>
      </x:c>
      <x:c r="C3442" t="str">
        <x:v>PHYSICAL</x:v>
      </x:c>
      <x:c r="D3442" t="str">
        <x:v>credit acceptance</x:v>
      </x:c>
      <x:c r="E3442" t="str">
        <x:v>PH-CR-320</x:v>
      </x:c>
      <x:c r="F3442" t="str">
        <x:f>'Trial Register'!V326</x:f>
      </x:c>
      <x:c r="G3442" t="n">
        <x:v>1</x:v>
      </x:c>
      <x:c r="H3442" t="str">
        <x:v>independent physical acceptance</x:v>
      </x:c>
      <x:c r="I3442" t="str">
        <x:f>IF(F3442=1,"PASS","OPEN")</x:f>
        <x:v>OPEN</x:v>
      </x:c>
    </x:row>
    <x:row r="3443">
      <x:c r="B3443" t="str">
        <x:v>PH-EX-321</x:v>
      </x:c>
      <x:c r="C3443" t="str">
        <x:v>PHYSICAL</x:v>
      </x:c>
      <x:c r="D3443" t="str">
        <x:v>trial execution</x:v>
      </x:c>
      <x:c r="E3443" t="str">
        <x:v>PH-EX-321</x:v>
      </x:c>
      <x:c r="F3443" t="n">
        <x:f>IF('Trial Register'!P327&lt;&gt;"",1,0)</x:f>
        <x:v>0</x:v>
      </x:c>
      <x:c r="G3443" t="n">
        <x:v>1</x:v>
      </x:c>
      <x:c r="H3443" t="str">
        <x:v>independent physical acceptance</x:v>
      </x:c>
      <x:c r="I3443" t="str">
        <x:f>IF(F3443=1,"PASS","OPEN")</x:f>
        <x:v>OPEN</x:v>
      </x:c>
    </x:row>
    <x:row r="3444">
      <x:c r="B3444" t="str">
        <x:v>PH-PK-321</x:v>
      </x:c>
      <x:c r="C3444" t="str">
        <x:v>PHYSICAL</x:v>
      </x:c>
      <x:c r="D3444" t="str">
        <x:v>trial packet</x:v>
      </x:c>
      <x:c r="E3444" t="str">
        <x:v>PH-PK-321</x:v>
      </x:c>
      <x:c r="F3444" t="n">
        <x:f>IF('Trial Register'!Q327&lt;&gt;"",1,0)</x:f>
        <x:v>0</x:v>
      </x:c>
      <x:c r="G3444" t="n">
        <x:v>1</x:v>
      </x:c>
      <x:c r="H3444" t="str">
        <x:v>independent physical acceptance</x:v>
      </x:c>
      <x:c r="I3444" t="str">
        <x:f>IF(F3444=1,"PASS","OPEN")</x:f>
        <x:v>OPEN</x:v>
      </x:c>
    </x:row>
    <x:row r="3445">
      <x:c r="B3445" t="str">
        <x:v>PH-VA-321</x:v>
      </x:c>
      <x:c r="C3445" t="str">
        <x:v>PHYSICAL</x:v>
      </x:c>
      <x:c r="D3445" t="str">
        <x:v>trial validity</x:v>
      </x:c>
      <x:c r="E3445" t="str">
        <x:v>PH-VA-321</x:v>
      </x:c>
      <x:c r="F3445" t="n">
        <x:f>IF('Trial Register'!R327&lt;&gt;"",1,0)</x:f>
        <x:v>0</x:v>
      </x:c>
      <x:c r="G3445" t="n">
        <x:v>1</x:v>
      </x:c>
      <x:c r="H3445" t="str">
        <x:v>independent physical acceptance</x:v>
      </x:c>
      <x:c r="I3445" t="str">
        <x:f>IF(F3445=1,"PASS","OPEN")</x:f>
        <x:v>OPEN</x:v>
      </x:c>
    </x:row>
    <x:row r="3446">
      <x:c r="B3446" t="str">
        <x:v>PH-RV-321</x:v>
      </x:c>
      <x:c r="C3446" t="str">
        <x:v>PHYSICAL</x:v>
      </x:c>
      <x:c r="D3446" t="str">
        <x:v>reported value</x:v>
      </x:c>
      <x:c r="E3446" t="str">
        <x:v>PH-RV-321</x:v>
      </x:c>
      <x:c r="F3446" t="n">
        <x:f>IF('Trial Register'!S327&lt;&gt;"",1,0)</x:f>
        <x:v>0</x:v>
      </x:c>
      <x:c r="G3446" t="n">
        <x:v>1</x:v>
      </x:c>
      <x:c r="H3446" t="str">
        <x:v>independent physical acceptance</x:v>
      </x:c>
      <x:c r="I3446" t="str">
        <x:f>IF(F3446=1,"PASS","OPEN")</x:f>
        <x:v>OPEN</x:v>
      </x:c>
    </x:row>
    <x:row r="3447">
      <x:c r="B3447" t="str">
        <x:v>PH-CR-321</x:v>
      </x:c>
      <x:c r="C3447" t="str">
        <x:v>PHYSICAL</x:v>
      </x:c>
      <x:c r="D3447" t="str">
        <x:v>credit acceptance</x:v>
      </x:c>
      <x:c r="E3447" t="str">
        <x:v>PH-CR-321</x:v>
      </x:c>
      <x:c r="F3447" t="str">
        <x:f>'Trial Register'!V327</x:f>
      </x:c>
      <x:c r="G3447" t="n">
        <x:v>1</x:v>
      </x:c>
      <x:c r="H3447" t="str">
        <x:v>independent physical acceptance</x:v>
      </x:c>
      <x:c r="I3447" t="str">
        <x:f>IF(F3447=1,"PASS","OPEN")</x:f>
        <x:v>OPEN</x:v>
      </x:c>
    </x:row>
    <x:row r="3448">
      <x:c r="B3448" t="str">
        <x:v>PH-EX-322</x:v>
      </x:c>
      <x:c r="C3448" t="str">
        <x:v>PHYSICAL</x:v>
      </x:c>
      <x:c r="D3448" t="str">
        <x:v>trial execution</x:v>
      </x:c>
      <x:c r="E3448" t="str">
        <x:v>PH-EX-322</x:v>
      </x:c>
      <x:c r="F3448" t="n">
        <x:f>IF('Trial Register'!P328&lt;&gt;"",1,0)</x:f>
        <x:v>0</x:v>
      </x:c>
      <x:c r="G3448" t="n">
        <x:v>1</x:v>
      </x:c>
      <x:c r="H3448" t="str">
        <x:v>independent physical acceptance</x:v>
      </x:c>
      <x:c r="I3448" t="str">
        <x:f>IF(F3448=1,"PASS","OPEN")</x:f>
        <x:v>OPEN</x:v>
      </x:c>
    </x:row>
    <x:row r="3449">
      <x:c r="B3449" t="str">
        <x:v>PH-PK-322</x:v>
      </x:c>
      <x:c r="C3449" t="str">
        <x:v>PHYSICAL</x:v>
      </x:c>
      <x:c r="D3449" t="str">
        <x:v>trial packet</x:v>
      </x:c>
      <x:c r="E3449" t="str">
        <x:v>PH-PK-322</x:v>
      </x:c>
      <x:c r="F3449" t="n">
        <x:f>IF('Trial Register'!Q328&lt;&gt;"",1,0)</x:f>
        <x:v>0</x:v>
      </x:c>
      <x:c r="G3449" t="n">
        <x:v>1</x:v>
      </x:c>
      <x:c r="H3449" t="str">
        <x:v>independent physical acceptance</x:v>
      </x:c>
      <x:c r="I3449" t="str">
        <x:f>IF(F3449=1,"PASS","OPEN")</x:f>
        <x:v>OPEN</x:v>
      </x:c>
    </x:row>
    <x:row r="3450">
      <x:c r="B3450" t="str">
        <x:v>PH-VA-322</x:v>
      </x:c>
      <x:c r="C3450" t="str">
        <x:v>PHYSICAL</x:v>
      </x:c>
      <x:c r="D3450" t="str">
        <x:v>trial validity</x:v>
      </x:c>
      <x:c r="E3450" t="str">
        <x:v>PH-VA-322</x:v>
      </x:c>
      <x:c r="F3450" t="n">
        <x:f>IF('Trial Register'!R328&lt;&gt;"",1,0)</x:f>
        <x:v>0</x:v>
      </x:c>
      <x:c r="G3450" t="n">
        <x:v>1</x:v>
      </x:c>
      <x:c r="H3450" t="str">
        <x:v>independent physical acceptance</x:v>
      </x:c>
      <x:c r="I3450" t="str">
        <x:f>IF(F3450=1,"PASS","OPEN")</x:f>
        <x:v>OPEN</x:v>
      </x:c>
    </x:row>
    <x:row r="3451">
      <x:c r="B3451" t="str">
        <x:v>PH-RV-322</x:v>
      </x:c>
      <x:c r="C3451" t="str">
        <x:v>PHYSICAL</x:v>
      </x:c>
      <x:c r="D3451" t="str">
        <x:v>reported value</x:v>
      </x:c>
      <x:c r="E3451" t="str">
        <x:v>PH-RV-322</x:v>
      </x:c>
      <x:c r="F3451" t="n">
        <x:f>IF('Trial Register'!S328&lt;&gt;"",1,0)</x:f>
        <x:v>0</x:v>
      </x:c>
      <x:c r="G3451" t="n">
        <x:v>1</x:v>
      </x:c>
      <x:c r="H3451" t="str">
        <x:v>independent physical acceptance</x:v>
      </x:c>
      <x:c r="I3451" t="str">
        <x:f>IF(F3451=1,"PASS","OPEN")</x:f>
        <x:v>OPEN</x:v>
      </x:c>
    </x:row>
    <x:row r="3452">
      <x:c r="B3452" t="str">
        <x:v>PH-CR-322</x:v>
      </x:c>
      <x:c r="C3452" t="str">
        <x:v>PHYSICAL</x:v>
      </x:c>
      <x:c r="D3452" t="str">
        <x:v>credit acceptance</x:v>
      </x:c>
      <x:c r="E3452" t="str">
        <x:v>PH-CR-322</x:v>
      </x:c>
      <x:c r="F3452" t="str">
        <x:f>'Trial Register'!V328</x:f>
      </x:c>
      <x:c r="G3452" t="n">
        <x:v>1</x:v>
      </x:c>
      <x:c r="H3452" t="str">
        <x:v>independent physical acceptance</x:v>
      </x:c>
      <x:c r="I3452" t="str">
        <x:f>IF(F3452=1,"PASS","OPEN")</x:f>
        <x:v>OPEN</x:v>
      </x:c>
    </x:row>
    <x:row r="3453">
      <x:c r="B3453" t="str">
        <x:v>PH-EX-323</x:v>
      </x:c>
      <x:c r="C3453" t="str">
        <x:v>PHYSICAL</x:v>
      </x:c>
      <x:c r="D3453" t="str">
        <x:v>trial execution</x:v>
      </x:c>
      <x:c r="E3453" t="str">
        <x:v>PH-EX-323</x:v>
      </x:c>
      <x:c r="F3453" t="n">
        <x:f>IF('Trial Register'!P329&lt;&gt;"",1,0)</x:f>
        <x:v>0</x:v>
      </x:c>
      <x:c r="G3453" t="n">
        <x:v>1</x:v>
      </x:c>
      <x:c r="H3453" t="str">
        <x:v>independent physical acceptance</x:v>
      </x:c>
      <x:c r="I3453" t="str">
        <x:f>IF(F3453=1,"PASS","OPEN")</x:f>
        <x:v>OPEN</x:v>
      </x:c>
    </x:row>
    <x:row r="3454">
      <x:c r="B3454" t="str">
        <x:v>PH-PK-323</x:v>
      </x:c>
      <x:c r="C3454" t="str">
        <x:v>PHYSICAL</x:v>
      </x:c>
      <x:c r="D3454" t="str">
        <x:v>trial packet</x:v>
      </x:c>
      <x:c r="E3454" t="str">
        <x:v>PH-PK-323</x:v>
      </x:c>
      <x:c r="F3454" t="n">
        <x:f>IF('Trial Register'!Q329&lt;&gt;"",1,0)</x:f>
        <x:v>0</x:v>
      </x:c>
      <x:c r="G3454" t="n">
        <x:v>1</x:v>
      </x:c>
      <x:c r="H3454" t="str">
        <x:v>independent physical acceptance</x:v>
      </x:c>
      <x:c r="I3454" t="str">
        <x:f>IF(F3454=1,"PASS","OPEN")</x:f>
        <x:v>OPEN</x:v>
      </x:c>
    </x:row>
    <x:row r="3455">
      <x:c r="B3455" t="str">
        <x:v>PH-VA-323</x:v>
      </x:c>
      <x:c r="C3455" t="str">
        <x:v>PHYSICAL</x:v>
      </x:c>
      <x:c r="D3455" t="str">
        <x:v>trial validity</x:v>
      </x:c>
      <x:c r="E3455" t="str">
        <x:v>PH-VA-323</x:v>
      </x:c>
      <x:c r="F3455" t="n">
        <x:f>IF('Trial Register'!R329&lt;&gt;"",1,0)</x:f>
        <x:v>0</x:v>
      </x:c>
      <x:c r="G3455" t="n">
        <x:v>1</x:v>
      </x:c>
      <x:c r="H3455" t="str">
        <x:v>independent physical acceptance</x:v>
      </x:c>
      <x:c r="I3455" t="str">
        <x:f>IF(F3455=1,"PASS","OPEN")</x:f>
        <x:v>OPEN</x:v>
      </x:c>
    </x:row>
    <x:row r="3456">
      <x:c r="B3456" t="str">
        <x:v>PH-RV-323</x:v>
      </x:c>
      <x:c r="C3456" t="str">
        <x:v>PHYSICAL</x:v>
      </x:c>
      <x:c r="D3456" t="str">
        <x:v>reported value</x:v>
      </x:c>
      <x:c r="E3456" t="str">
        <x:v>PH-RV-323</x:v>
      </x:c>
      <x:c r="F3456" t="n">
        <x:f>IF('Trial Register'!S329&lt;&gt;"",1,0)</x:f>
        <x:v>0</x:v>
      </x:c>
      <x:c r="G3456" t="n">
        <x:v>1</x:v>
      </x:c>
      <x:c r="H3456" t="str">
        <x:v>independent physical acceptance</x:v>
      </x:c>
      <x:c r="I3456" t="str">
        <x:f>IF(F3456=1,"PASS","OPEN")</x:f>
        <x:v>OPEN</x:v>
      </x:c>
    </x:row>
    <x:row r="3457">
      <x:c r="B3457" t="str">
        <x:v>PH-CR-323</x:v>
      </x:c>
      <x:c r="C3457" t="str">
        <x:v>PHYSICAL</x:v>
      </x:c>
      <x:c r="D3457" t="str">
        <x:v>credit acceptance</x:v>
      </x:c>
      <x:c r="E3457" t="str">
        <x:v>PH-CR-323</x:v>
      </x:c>
      <x:c r="F3457" t="str">
        <x:f>'Trial Register'!V329</x:f>
      </x:c>
      <x:c r="G3457" t="n">
        <x:v>1</x:v>
      </x:c>
      <x:c r="H3457" t="str">
        <x:v>independent physical acceptance</x:v>
      </x:c>
      <x:c r="I3457" t="str">
        <x:f>IF(F3457=1,"PASS","OPEN")</x:f>
        <x:v>OPEN</x:v>
      </x:c>
    </x:row>
    <x:row r="3458">
      <x:c r="B3458" t="str">
        <x:v>PH-EX-324</x:v>
      </x:c>
      <x:c r="C3458" t="str">
        <x:v>PHYSICAL</x:v>
      </x:c>
      <x:c r="D3458" t="str">
        <x:v>trial execution</x:v>
      </x:c>
      <x:c r="E3458" t="str">
        <x:v>PH-EX-324</x:v>
      </x:c>
      <x:c r="F3458" t="n">
        <x:f>IF('Trial Register'!P330&lt;&gt;"",1,0)</x:f>
        <x:v>0</x:v>
      </x:c>
      <x:c r="G3458" t="n">
        <x:v>1</x:v>
      </x:c>
      <x:c r="H3458" t="str">
        <x:v>independent physical acceptance</x:v>
      </x:c>
      <x:c r="I3458" t="str">
        <x:f>IF(F3458=1,"PASS","OPEN")</x:f>
        <x:v>OPEN</x:v>
      </x:c>
    </x:row>
    <x:row r="3459">
      <x:c r="B3459" t="str">
        <x:v>PH-PK-324</x:v>
      </x:c>
      <x:c r="C3459" t="str">
        <x:v>PHYSICAL</x:v>
      </x:c>
      <x:c r="D3459" t="str">
        <x:v>trial packet</x:v>
      </x:c>
      <x:c r="E3459" t="str">
        <x:v>PH-PK-324</x:v>
      </x:c>
      <x:c r="F3459" t="n">
        <x:f>IF('Trial Register'!Q330&lt;&gt;"",1,0)</x:f>
        <x:v>0</x:v>
      </x:c>
      <x:c r="G3459" t="n">
        <x:v>1</x:v>
      </x:c>
      <x:c r="H3459" t="str">
        <x:v>independent physical acceptance</x:v>
      </x:c>
      <x:c r="I3459" t="str">
        <x:f>IF(F3459=1,"PASS","OPEN")</x:f>
        <x:v>OPEN</x:v>
      </x:c>
    </x:row>
    <x:row r="3460">
      <x:c r="B3460" t="str">
        <x:v>PH-VA-324</x:v>
      </x:c>
      <x:c r="C3460" t="str">
        <x:v>PHYSICAL</x:v>
      </x:c>
      <x:c r="D3460" t="str">
        <x:v>trial validity</x:v>
      </x:c>
      <x:c r="E3460" t="str">
        <x:v>PH-VA-324</x:v>
      </x:c>
      <x:c r="F3460" t="n">
        <x:f>IF('Trial Register'!R330&lt;&gt;"",1,0)</x:f>
        <x:v>0</x:v>
      </x:c>
      <x:c r="G3460" t="n">
        <x:v>1</x:v>
      </x:c>
      <x:c r="H3460" t="str">
        <x:v>independent physical acceptance</x:v>
      </x:c>
      <x:c r="I3460" t="str">
        <x:f>IF(F3460=1,"PASS","OPEN")</x:f>
        <x:v>OPEN</x:v>
      </x:c>
    </x:row>
    <x:row r="3461">
      <x:c r="B3461" t="str">
        <x:v>PH-RV-324</x:v>
      </x:c>
      <x:c r="C3461" t="str">
        <x:v>PHYSICAL</x:v>
      </x:c>
      <x:c r="D3461" t="str">
        <x:v>reported value</x:v>
      </x:c>
      <x:c r="E3461" t="str">
        <x:v>PH-RV-324</x:v>
      </x:c>
      <x:c r="F3461" t="n">
        <x:f>IF('Trial Register'!S330&lt;&gt;"",1,0)</x:f>
        <x:v>0</x:v>
      </x:c>
      <x:c r="G3461" t="n">
        <x:v>1</x:v>
      </x:c>
      <x:c r="H3461" t="str">
        <x:v>independent physical acceptance</x:v>
      </x:c>
      <x:c r="I3461" t="str">
        <x:f>IF(F3461=1,"PASS","OPEN")</x:f>
        <x:v>OPEN</x:v>
      </x:c>
    </x:row>
    <x:row r="3462">
      <x:c r="B3462" t="str">
        <x:v>PH-CR-324</x:v>
      </x:c>
      <x:c r="C3462" t="str">
        <x:v>PHYSICAL</x:v>
      </x:c>
      <x:c r="D3462" t="str">
        <x:v>credit acceptance</x:v>
      </x:c>
      <x:c r="E3462" t="str">
        <x:v>PH-CR-324</x:v>
      </x:c>
      <x:c r="F3462" t="str">
        <x:f>'Trial Register'!V330</x:f>
      </x:c>
      <x:c r="G3462" t="n">
        <x:v>1</x:v>
      </x:c>
      <x:c r="H3462" t="str">
        <x:v>independent physical acceptance</x:v>
      </x:c>
      <x:c r="I3462" t="str">
        <x:f>IF(F3462=1,"PASS","OPEN")</x:f>
        <x:v>OPEN</x:v>
      </x:c>
    </x:row>
    <x:row r="3463">
      <x:c r="B3463" t="str">
        <x:v>PH-EX-325</x:v>
      </x:c>
      <x:c r="C3463" t="str">
        <x:v>PHYSICAL</x:v>
      </x:c>
      <x:c r="D3463" t="str">
        <x:v>trial execution</x:v>
      </x:c>
      <x:c r="E3463" t="str">
        <x:v>PH-EX-325</x:v>
      </x:c>
      <x:c r="F3463" t="n">
        <x:f>IF('Trial Register'!P331&lt;&gt;"",1,0)</x:f>
        <x:v>0</x:v>
      </x:c>
      <x:c r="G3463" t="n">
        <x:v>1</x:v>
      </x:c>
      <x:c r="H3463" t="str">
        <x:v>independent physical acceptance</x:v>
      </x:c>
      <x:c r="I3463" t="str">
        <x:f>IF(F3463=1,"PASS","OPEN")</x:f>
        <x:v>OPEN</x:v>
      </x:c>
    </x:row>
    <x:row r="3464">
      <x:c r="B3464" t="str">
        <x:v>PH-PK-325</x:v>
      </x:c>
      <x:c r="C3464" t="str">
        <x:v>PHYSICAL</x:v>
      </x:c>
      <x:c r="D3464" t="str">
        <x:v>trial packet</x:v>
      </x:c>
      <x:c r="E3464" t="str">
        <x:v>PH-PK-325</x:v>
      </x:c>
      <x:c r="F3464" t="n">
        <x:f>IF('Trial Register'!Q331&lt;&gt;"",1,0)</x:f>
        <x:v>0</x:v>
      </x:c>
      <x:c r="G3464" t="n">
        <x:v>1</x:v>
      </x:c>
      <x:c r="H3464" t="str">
        <x:v>independent physical acceptance</x:v>
      </x:c>
      <x:c r="I3464" t="str">
        <x:f>IF(F3464=1,"PASS","OPEN")</x:f>
        <x:v>OPEN</x:v>
      </x:c>
    </x:row>
    <x:row r="3465">
      <x:c r="B3465" t="str">
        <x:v>PH-VA-325</x:v>
      </x:c>
      <x:c r="C3465" t="str">
        <x:v>PHYSICAL</x:v>
      </x:c>
      <x:c r="D3465" t="str">
        <x:v>trial validity</x:v>
      </x:c>
      <x:c r="E3465" t="str">
        <x:v>PH-VA-325</x:v>
      </x:c>
      <x:c r="F3465" t="n">
        <x:f>IF('Trial Register'!R331&lt;&gt;"",1,0)</x:f>
        <x:v>0</x:v>
      </x:c>
      <x:c r="G3465" t="n">
        <x:v>1</x:v>
      </x:c>
      <x:c r="H3465" t="str">
        <x:v>independent physical acceptance</x:v>
      </x:c>
      <x:c r="I3465" t="str">
        <x:f>IF(F3465=1,"PASS","OPEN")</x:f>
        <x:v>OPEN</x:v>
      </x:c>
    </x:row>
    <x:row r="3466">
      <x:c r="B3466" t="str">
        <x:v>PH-RV-325</x:v>
      </x:c>
      <x:c r="C3466" t="str">
        <x:v>PHYSICAL</x:v>
      </x:c>
      <x:c r="D3466" t="str">
        <x:v>reported value</x:v>
      </x:c>
      <x:c r="E3466" t="str">
        <x:v>PH-RV-325</x:v>
      </x:c>
      <x:c r="F3466" t="n">
        <x:f>IF('Trial Register'!S331&lt;&gt;"",1,0)</x:f>
        <x:v>0</x:v>
      </x:c>
      <x:c r="G3466" t="n">
        <x:v>1</x:v>
      </x:c>
      <x:c r="H3466" t="str">
        <x:v>independent physical acceptance</x:v>
      </x:c>
      <x:c r="I3466" t="str">
        <x:f>IF(F3466=1,"PASS","OPEN")</x:f>
        <x:v>OPEN</x:v>
      </x:c>
    </x:row>
    <x:row r="3467">
      <x:c r="B3467" t="str">
        <x:v>PH-CR-325</x:v>
      </x:c>
      <x:c r="C3467" t="str">
        <x:v>PHYSICAL</x:v>
      </x:c>
      <x:c r="D3467" t="str">
        <x:v>credit acceptance</x:v>
      </x:c>
      <x:c r="E3467" t="str">
        <x:v>PH-CR-325</x:v>
      </x:c>
      <x:c r="F3467" t="str">
        <x:f>'Trial Register'!V331</x:f>
      </x:c>
      <x:c r="G3467" t="n">
        <x:v>1</x:v>
      </x:c>
      <x:c r="H3467" t="str">
        <x:v>independent physical acceptance</x:v>
      </x:c>
      <x:c r="I3467" t="str">
        <x:f>IF(F3467=1,"PASS","OPEN")</x:f>
        <x:v>OPEN</x:v>
      </x:c>
    </x:row>
    <x:row r="3468">
      <x:c r="B3468" t="str">
        <x:v>PH-EX-326</x:v>
      </x:c>
      <x:c r="C3468" t="str">
        <x:v>PHYSICAL</x:v>
      </x:c>
      <x:c r="D3468" t="str">
        <x:v>trial execution</x:v>
      </x:c>
      <x:c r="E3468" t="str">
        <x:v>PH-EX-326</x:v>
      </x:c>
      <x:c r="F3468" t="n">
        <x:f>IF('Trial Register'!P332&lt;&gt;"",1,0)</x:f>
        <x:v>0</x:v>
      </x:c>
      <x:c r="G3468" t="n">
        <x:v>1</x:v>
      </x:c>
      <x:c r="H3468" t="str">
        <x:v>independent physical acceptance</x:v>
      </x:c>
      <x:c r="I3468" t="str">
        <x:f>IF(F3468=1,"PASS","OPEN")</x:f>
        <x:v>OPEN</x:v>
      </x:c>
    </x:row>
    <x:row r="3469">
      <x:c r="B3469" t="str">
        <x:v>PH-PK-326</x:v>
      </x:c>
      <x:c r="C3469" t="str">
        <x:v>PHYSICAL</x:v>
      </x:c>
      <x:c r="D3469" t="str">
        <x:v>trial packet</x:v>
      </x:c>
      <x:c r="E3469" t="str">
        <x:v>PH-PK-326</x:v>
      </x:c>
      <x:c r="F3469" t="n">
        <x:f>IF('Trial Register'!Q332&lt;&gt;"",1,0)</x:f>
        <x:v>0</x:v>
      </x:c>
      <x:c r="G3469" t="n">
        <x:v>1</x:v>
      </x:c>
      <x:c r="H3469" t="str">
        <x:v>independent physical acceptance</x:v>
      </x:c>
      <x:c r="I3469" t="str">
        <x:f>IF(F3469=1,"PASS","OPEN")</x:f>
        <x:v>OPEN</x:v>
      </x:c>
    </x:row>
    <x:row r="3470">
      <x:c r="B3470" t="str">
        <x:v>PH-VA-326</x:v>
      </x:c>
      <x:c r="C3470" t="str">
        <x:v>PHYSICAL</x:v>
      </x:c>
      <x:c r="D3470" t="str">
        <x:v>trial validity</x:v>
      </x:c>
      <x:c r="E3470" t="str">
        <x:v>PH-VA-326</x:v>
      </x:c>
      <x:c r="F3470" t="n">
        <x:f>IF('Trial Register'!R332&lt;&gt;"",1,0)</x:f>
        <x:v>0</x:v>
      </x:c>
      <x:c r="G3470" t="n">
        <x:v>1</x:v>
      </x:c>
      <x:c r="H3470" t="str">
        <x:v>independent physical acceptance</x:v>
      </x:c>
      <x:c r="I3470" t="str">
        <x:f>IF(F3470=1,"PASS","OPEN")</x:f>
        <x:v>OPEN</x:v>
      </x:c>
    </x:row>
    <x:row r="3471">
      <x:c r="B3471" t="str">
        <x:v>PH-RV-326</x:v>
      </x:c>
      <x:c r="C3471" t="str">
        <x:v>PHYSICAL</x:v>
      </x:c>
      <x:c r="D3471" t="str">
        <x:v>reported value</x:v>
      </x:c>
      <x:c r="E3471" t="str">
        <x:v>PH-RV-326</x:v>
      </x:c>
      <x:c r="F3471" t="n">
        <x:f>IF('Trial Register'!S332&lt;&gt;"",1,0)</x:f>
        <x:v>0</x:v>
      </x:c>
      <x:c r="G3471" t="n">
        <x:v>1</x:v>
      </x:c>
      <x:c r="H3471" t="str">
        <x:v>independent physical acceptance</x:v>
      </x:c>
      <x:c r="I3471" t="str">
        <x:f>IF(F3471=1,"PASS","OPEN")</x:f>
        <x:v>OPEN</x:v>
      </x:c>
    </x:row>
    <x:row r="3472">
      <x:c r="B3472" t="str">
        <x:v>PH-CR-326</x:v>
      </x:c>
      <x:c r="C3472" t="str">
        <x:v>PHYSICAL</x:v>
      </x:c>
      <x:c r="D3472" t="str">
        <x:v>credit acceptance</x:v>
      </x:c>
      <x:c r="E3472" t="str">
        <x:v>PH-CR-326</x:v>
      </x:c>
      <x:c r="F3472" t="str">
        <x:f>'Trial Register'!V332</x:f>
      </x:c>
      <x:c r="G3472" t="n">
        <x:v>1</x:v>
      </x:c>
      <x:c r="H3472" t="str">
        <x:v>independent physical acceptance</x:v>
      </x:c>
      <x:c r="I3472" t="str">
        <x:f>IF(F3472=1,"PASS","OPEN")</x:f>
        <x:v>OPEN</x:v>
      </x:c>
    </x:row>
    <x:row r="3473">
      <x:c r="B3473" t="str">
        <x:v>PH-EX-327</x:v>
      </x:c>
      <x:c r="C3473" t="str">
        <x:v>PHYSICAL</x:v>
      </x:c>
      <x:c r="D3473" t="str">
        <x:v>trial execution</x:v>
      </x:c>
      <x:c r="E3473" t="str">
        <x:v>PH-EX-327</x:v>
      </x:c>
      <x:c r="F3473" t="n">
        <x:f>IF('Trial Register'!P333&lt;&gt;"",1,0)</x:f>
        <x:v>0</x:v>
      </x:c>
      <x:c r="G3473" t="n">
        <x:v>1</x:v>
      </x:c>
      <x:c r="H3473" t="str">
        <x:v>independent physical acceptance</x:v>
      </x:c>
      <x:c r="I3473" t="str">
        <x:f>IF(F3473=1,"PASS","OPEN")</x:f>
        <x:v>OPEN</x:v>
      </x:c>
    </x:row>
    <x:row r="3474">
      <x:c r="B3474" t="str">
        <x:v>PH-PK-327</x:v>
      </x:c>
      <x:c r="C3474" t="str">
        <x:v>PHYSICAL</x:v>
      </x:c>
      <x:c r="D3474" t="str">
        <x:v>trial packet</x:v>
      </x:c>
      <x:c r="E3474" t="str">
        <x:v>PH-PK-327</x:v>
      </x:c>
      <x:c r="F3474" t="n">
        <x:f>IF('Trial Register'!Q333&lt;&gt;"",1,0)</x:f>
        <x:v>0</x:v>
      </x:c>
      <x:c r="G3474" t="n">
        <x:v>1</x:v>
      </x:c>
      <x:c r="H3474" t="str">
        <x:v>independent physical acceptance</x:v>
      </x:c>
      <x:c r="I3474" t="str">
        <x:f>IF(F3474=1,"PASS","OPEN")</x:f>
        <x:v>OPEN</x:v>
      </x:c>
    </x:row>
    <x:row r="3475">
      <x:c r="B3475" t="str">
        <x:v>PH-VA-327</x:v>
      </x:c>
      <x:c r="C3475" t="str">
        <x:v>PHYSICAL</x:v>
      </x:c>
      <x:c r="D3475" t="str">
        <x:v>trial validity</x:v>
      </x:c>
      <x:c r="E3475" t="str">
        <x:v>PH-VA-327</x:v>
      </x:c>
      <x:c r="F3475" t="n">
        <x:f>IF('Trial Register'!R333&lt;&gt;"",1,0)</x:f>
        <x:v>0</x:v>
      </x:c>
      <x:c r="G3475" t="n">
        <x:v>1</x:v>
      </x:c>
      <x:c r="H3475" t="str">
        <x:v>independent physical acceptance</x:v>
      </x:c>
      <x:c r="I3475" t="str">
        <x:f>IF(F3475=1,"PASS","OPEN")</x:f>
        <x:v>OPEN</x:v>
      </x:c>
    </x:row>
    <x:row r="3476">
      <x:c r="B3476" t="str">
        <x:v>PH-RV-327</x:v>
      </x:c>
      <x:c r="C3476" t="str">
        <x:v>PHYSICAL</x:v>
      </x:c>
      <x:c r="D3476" t="str">
        <x:v>reported value</x:v>
      </x:c>
      <x:c r="E3476" t="str">
        <x:v>PH-RV-327</x:v>
      </x:c>
      <x:c r="F3476" t="n">
        <x:f>IF('Trial Register'!S333&lt;&gt;"",1,0)</x:f>
        <x:v>0</x:v>
      </x:c>
      <x:c r="G3476" t="n">
        <x:v>1</x:v>
      </x:c>
      <x:c r="H3476" t="str">
        <x:v>independent physical acceptance</x:v>
      </x:c>
      <x:c r="I3476" t="str">
        <x:f>IF(F3476=1,"PASS","OPEN")</x:f>
        <x:v>OPEN</x:v>
      </x:c>
    </x:row>
    <x:row r="3477">
      <x:c r="B3477" t="str">
        <x:v>PH-CR-327</x:v>
      </x:c>
      <x:c r="C3477" t="str">
        <x:v>PHYSICAL</x:v>
      </x:c>
      <x:c r="D3477" t="str">
        <x:v>credit acceptance</x:v>
      </x:c>
      <x:c r="E3477" t="str">
        <x:v>PH-CR-327</x:v>
      </x:c>
      <x:c r="F3477" t="str">
        <x:f>'Trial Register'!V333</x:f>
      </x:c>
      <x:c r="G3477" t="n">
        <x:v>1</x:v>
      </x:c>
      <x:c r="H3477" t="str">
        <x:v>independent physical acceptance</x:v>
      </x:c>
      <x:c r="I3477" t="str">
        <x:f>IF(F3477=1,"PASS","OPEN")</x:f>
        <x:v>OPEN</x:v>
      </x:c>
    </x:row>
    <x:row r="3478">
      <x:c r="B3478" t="str">
        <x:v>PH-EX-328</x:v>
      </x:c>
      <x:c r="C3478" t="str">
        <x:v>PHYSICAL</x:v>
      </x:c>
      <x:c r="D3478" t="str">
        <x:v>trial execution</x:v>
      </x:c>
      <x:c r="E3478" t="str">
        <x:v>PH-EX-328</x:v>
      </x:c>
      <x:c r="F3478" t="n">
        <x:f>IF('Trial Register'!P334&lt;&gt;"",1,0)</x:f>
        <x:v>0</x:v>
      </x:c>
      <x:c r="G3478" t="n">
        <x:v>1</x:v>
      </x:c>
      <x:c r="H3478" t="str">
        <x:v>independent physical acceptance</x:v>
      </x:c>
      <x:c r="I3478" t="str">
        <x:f>IF(F3478=1,"PASS","OPEN")</x:f>
        <x:v>OPEN</x:v>
      </x:c>
    </x:row>
    <x:row r="3479">
      <x:c r="B3479" t="str">
        <x:v>PH-PK-328</x:v>
      </x:c>
      <x:c r="C3479" t="str">
        <x:v>PHYSICAL</x:v>
      </x:c>
      <x:c r="D3479" t="str">
        <x:v>trial packet</x:v>
      </x:c>
      <x:c r="E3479" t="str">
        <x:v>PH-PK-328</x:v>
      </x:c>
      <x:c r="F3479" t="n">
        <x:f>IF('Trial Register'!Q334&lt;&gt;"",1,0)</x:f>
        <x:v>0</x:v>
      </x:c>
      <x:c r="G3479" t="n">
        <x:v>1</x:v>
      </x:c>
      <x:c r="H3479" t="str">
        <x:v>independent physical acceptance</x:v>
      </x:c>
      <x:c r="I3479" t="str">
        <x:f>IF(F3479=1,"PASS","OPEN")</x:f>
        <x:v>OPEN</x:v>
      </x:c>
    </x:row>
    <x:row r="3480">
      <x:c r="B3480" t="str">
        <x:v>PH-VA-328</x:v>
      </x:c>
      <x:c r="C3480" t="str">
        <x:v>PHYSICAL</x:v>
      </x:c>
      <x:c r="D3480" t="str">
        <x:v>trial validity</x:v>
      </x:c>
      <x:c r="E3480" t="str">
        <x:v>PH-VA-328</x:v>
      </x:c>
      <x:c r="F3480" t="n">
        <x:f>IF('Trial Register'!R334&lt;&gt;"",1,0)</x:f>
        <x:v>0</x:v>
      </x:c>
      <x:c r="G3480" t="n">
        <x:v>1</x:v>
      </x:c>
      <x:c r="H3480" t="str">
        <x:v>independent physical acceptance</x:v>
      </x:c>
      <x:c r="I3480" t="str">
        <x:f>IF(F3480=1,"PASS","OPEN")</x:f>
        <x:v>OPEN</x:v>
      </x:c>
    </x:row>
    <x:row r="3481">
      <x:c r="B3481" t="str">
        <x:v>PH-RV-328</x:v>
      </x:c>
      <x:c r="C3481" t="str">
        <x:v>PHYSICAL</x:v>
      </x:c>
      <x:c r="D3481" t="str">
        <x:v>reported value</x:v>
      </x:c>
      <x:c r="E3481" t="str">
        <x:v>PH-RV-328</x:v>
      </x:c>
      <x:c r="F3481" t="n">
        <x:f>IF('Trial Register'!S334&lt;&gt;"",1,0)</x:f>
        <x:v>0</x:v>
      </x:c>
      <x:c r="G3481" t="n">
        <x:v>1</x:v>
      </x:c>
      <x:c r="H3481" t="str">
        <x:v>independent physical acceptance</x:v>
      </x:c>
      <x:c r="I3481" t="str">
        <x:f>IF(F3481=1,"PASS","OPEN")</x:f>
        <x:v>OPEN</x:v>
      </x:c>
    </x:row>
    <x:row r="3482">
      <x:c r="B3482" t="str">
        <x:v>PH-CR-328</x:v>
      </x:c>
      <x:c r="C3482" t="str">
        <x:v>PHYSICAL</x:v>
      </x:c>
      <x:c r="D3482" t="str">
        <x:v>credit acceptance</x:v>
      </x:c>
      <x:c r="E3482" t="str">
        <x:v>PH-CR-328</x:v>
      </x:c>
      <x:c r="F3482" t="str">
        <x:f>'Trial Register'!V334</x:f>
      </x:c>
      <x:c r="G3482" t="n">
        <x:v>1</x:v>
      </x:c>
      <x:c r="H3482" t="str">
        <x:v>independent physical acceptance</x:v>
      </x:c>
      <x:c r="I3482" t="str">
        <x:f>IF(F3482=1,"PASS","OPEN")</x:f>
        <x:v>OPEN</x:v>
      </x:c>
    </x:row>
    <x:row r="3483">
      <x:c r="B3483" t="str">
        <x:v>PH-EX-329</x:v>
      </x:c>
      <x:c r="C3483" t="str">
        <x:v>PHYSICAL</x:v>
      </x:c>
      <x:c r="D3483" t="str">
        <x:v>trial execution</x:v>
      </x:c>
      <x:c r="E3483" t="str">
        <x:v>PH-EX-329</x:v>
      </x:c>
      <x:c r="F3483" t="n">
        <x:f>IF('Trial Register'!P335&lt;&gt;"",1,0)</x:f>
        <x:v>0</x:v>
      </x:c>
      <x:c r="G3483" t="n">
        <x:v>1</x:v>
      </x:c>
      <x:c r="H3483" t="str">
        <x:v>independent physical acceptance</x:v>
      </x:c>
      <x:c r="I3483" t="str">
        <x:f>IF(F3483=1,"PASS","OPEN")</x:f>
        <x:v>OPEN</x:v>
      </x:c>
    </x:row>
    <x:row r="3484">
      <x:c r="B3484" t="str">
        <x:v>PH-PK-329</x:v>
      </x:c>
      <x:c r="C3484" t="str">
        <x:v>PHYSICAL</x:v>
      </x:c>
      <x:c r="D3484" t="str">
        <x:v>trial packet</x:v>
      </x:c>
      <x:c r="E3484" t="str">
        <x:v>PH-PK-329</x:v>
      </x:c>
      <x:c r="F3484" t="n">
        <x:f>IF('Trial Register'!Q335&lt;&gt;"",1,0)</x:f>
        <x:v>0</x:v>
      </x:c>
      <x:c r="G3484" t="n">
        <x:v>1</x:v>
      </x:c>
      <x:c r="H3484" t="str">
        <x:v>independent physical acceptance</x:v>
      </x:c>
      <x:c r="I3484" t="str">
        <x:f>IF(F3484=1,"PASS","OPEN")</x:f>
        <x:v>OPEN</x:v>
      </x:c>
    </x:row>
    <x:row r="3485">
      <x:c r="B3485" t="str">
        <x:v>PH-VA-329</x:v>
      </x:c>
      <x:c r="C3485" t="str">
        <x:v>PHYSICAL</x:v>
      </x:c>
      <x:c r="D3485" t="str">
        <x:v>trial validity</x:v>
      </x:c>
      <x:c r="E3485" t="str">
        <x:v>PH-VA-329</x:v>
      </x:c>
      <x:c r="F3485" t="n">
        <x:f>IF('Trial Register'!R335&lt;&gt;"",1,0)</x:f>
        <x:v>0</x:v>
      </x:c>
      <x:c r="G3485" t="n">
        <x:v>1</x:v>
      </x:c>
      <x:c r="H3485" t="str">
        <x:v>independent physical acceptance</x:v>
      </x:c>
      <x:c r="I3485" t="str">
        <x:f>IF(F3485=1,"PASS","OPEN")</x:f>
        <x:v>OPEN</x:v>
      </x:c>
    </x:row>
    <x:row r="3486">
      <x:c r="B3486" t="str">
        <x:v>PH-RV-329</x:v>
      </x:c>
      <x:c r="C3486" t="str">
        <x:v>PHYSICAL</x:v>
      </x:c>
      <x:c r="D3486" t="str">
        <x:v>reported value</x:v>
      </x:c>
      <x:c r="E3486" t="str">
        <x:v>PH-RV-329</x:v>
      </x:c>
      <x:c r="F3486" t="n">
        <x:f>IF('Trial Register'!S335&lt;&gt;"",1,0)</x:f>
        <x:v>0</x:v>
      </x:c>
      <x:c r="G3486" t="n">
        <x:v>1</x:v>
      </x:c>
      <x:c r="H3486" t="str">
        <x:v>independent physical acceptance</x:v>
      </x:c>
      <x:c r="I3486" t="str">
        <x:f>IF(F3486=1,"PASS","OPEN")</x:f>
        <x:v>OPEN</x:v>
      </x:c>
    </x:row>
    <x:row r="3487">
      <x:c r="B3487" t="str">
        <x:v>PH-CR-329</x:v>
      </x:c>
      <x:c r="C3487" t="str">
        <x:v>PHYSICAL</x:v>
      </x:c>
      <x:c r="D3487" t="str">
        <x:v>credit acceptance</x:v>
      </x:c>
      <x:c r="E3487" t="str">
        <x:v>PH-CR-329</x:v>
      </x:c>
      <x:c r="F3487" t="str">
        <x:f>'Trial Register'!V335</x:f>
      </x:c>
      <x:c r="G3487" t="n">
        <x:v>1</x:v>
      </x:c>
      <x:c r="H3487" t="str">
        <x:v>independent physical acceptance</x:v>
      </x:c>
      <x:c r="I3487" t="str">
        <x:f>IF(F3487=1,"PASS","OPEN")</x:f>
        <x:v>OPEN</x:v>
      </x:c>
    </x:row>
    <x:row r="3488">
      <x:c r="B3488" t="str">
        <x:v>PH-EX-330</x:v>
      </x:c>
      <x:c r="C3488" t="str">
        <x:v>PHYSICAL</x:v>
      </x:c>
      <x:c r="D3488" t="str">
        <x:v>trial execution</x:v>
      </x:c>
      <x:c r="E3488" t="str">
        <x:v>PH-EX-330</x:v>
      </x:c>
      <x:c r="F3488" t="n">
        <x:f>IF('Trial Register'!P336&lt;&gt;"",1,0)</x:f>
        <x:v>0</x:v>
      </x:c>
      <x:c r="G3488" t="n">
        <x:v>1</x:v>
      </x:c>
      <x:c r="H3488" t="str">
        <x:v>independent physical acceptance</x:v>
      </x:c>
      <x:c r="I3488" t="str">
        <x:f>IF(F3488=1,"PASS","OPEN")</x:f>
        <x:v>OPEN</x:v>
      </x:c>
    </x:row>
    <x:row r="3489">
      <x:c r="B3489" t="str">
        <x:v>PH-PK-330</x:v>
      </x:c>
      <x:c r="C3489" t="str">
        <x:v>PHYSICAL</x:v>
      </x:c>
      <x:c r="D3489" t="str">
        <x:v>trial packet</x:v>
      </x:c>
      <x:c r="E3489" t="str">
        <x:v>PH-PK-330</x:v>
      </x:c>
      <x:c r="F3489" t="n">
        <x:f>IF('Trial Register'!Q336&lt;&gt;"",1,0)</x:f>
        <x:v>0</x:v>
      </x:c>
      <x:c r="G3489" t="n">
        <x:v>1</x:v>
      </x:c>
      <x:c r="H3489" t="str">
        <x:v>independent physical acceptance</x:v>
      </x:c>
      <x:c r="I3489" t="str">
        <x:f>IF(F3489=1,"PASS","OPEN")</x:f>
        <x:v>OPEN</x:v>
      </x:c>
    </x:row>
    <x:row r="3490">
      <x:c r="B3490" t="str">
        <x:v>PH-VA-330</x:v>
      </x:c>
      <x:c r="C3490" t="str">
        <x:v>PHYSICAL</x:v>
      </x:c>
      <x:c r="D3490" t="str">
        <x:v>trial validity</x:v>
      </x:c>
      <x:c r="E3490" t="str">
        <x:v>PH-VA-330</x:v>
      </x:c>
      <x:c r="F3490" t="n">
        <x:f>IF('Trial Register'!R336&lt;&gt;"",1,0)</x:f>
        <x:v>0</x:v>
      </x:c>
      <x:c r="G3490" t="n">
        <x:v>1</x:v>
      </x:c>
      <x:c r="H3490" t="str">
        <x:v>independent physical acceptance</x:v>
      </x:c>
      <x:c r="I3490" t="str">
        <x:f>IF(F3490=1,"PASS","OPEN")</x:f>
        <x:v>OPEN</x:v>
      </x:c>
    </x:row>
    <x:row r="3491">
      <x:c r="B3491" t="str">
        <x:v>PH-RV-330</x:v>
      </x:c>
      <x:c r="C3491" t="str">
        <x:v>PHYSICAL</x:v>
      </x:c>
      <x:c r="D3491" t="str">
        <x:v>reported value</x:v>
      </x:c>
      <x:c r="E3491" t="str">
        <x:v>PH-RV-330</x:v>
      </x:c>
      <x:c r="F3491" t="n">
        <x:f>IF('Trial Register'!S336&lt;&gt;"",1,0)</x:f>
        <x:v>0</x:v>
      </x:c>
      <x:c r="G3491" t="n">
        <x:v>1</x:v>
      </x:c>
      <x:c r="H3491" t="str">
        <x:v>independent physical acceptance</x:v>
      </x:c>
      <x:c r="I3491" t="str">
        <x:f>IF(F3491=1,"PASS","OPEN")</x:f>
        <x:v>OPEN</x:v>
      </x:c>
    </x:row>
    <x:row r="3492">
      <x:c r="B3492" t="str">
        <x:v>PH-CR-330</x:v>
      </x:c>
      <x:c r="C3492" t="str">
        <x:v>PHYSICAL</x:v>
      </x:c>
      <x:c r="D3492" t="str">
        <x:v>credit acceptance</x:v>
      </x:c>
      <x:c r="E3492" t="str">
        <x:v>PH-CR-330</x:v>
      </x:c>
      <x:c r="F3492" t="str">
        <x:f>'Trial Register'!V336</x:f>
      </x:c>
      <x:c r="G3492" t="n">
        <x:v>1</x:v>
      </x:c>
      <x:c r="H3492" t="str">
        <x:v>independent physical acceptance</x:v>
      </x:c>
      <x:c r="I3492" t="str">
        <x:f>IF(F3492=1,"PASS","OPEN")</x:f>
        <x:v>OPEN</x:v>
      </x:c>
    </x:row>
    <x:row r="3493">
      <x:c r="B3493" t="str">
        <x:v>PH-EX-331</x:v>
      </x:c>
      <x:c r="C3493" t="str">
        <x:v>PHYSICAL</x:v>
      </x:c>
      <x:c r="D3493" t="str">
        <x:v>trial execution</x:v>
      </x:c>
      <x:c r="E3493" t="str">
        <x:v>PH-EX-331</x:v>
      </x:c>
      <x:c r="F3493" t="n">
        <x:f>IF('Trial Register'!P337&lt;&gt;"",1,0)</x:f>
        <x:v>0</x:v>
      </x:c>
      <x:c r="G3493" t="n">
        <x:v>1</x:v>
      </x:c>
      <x:c r="H3493" t="str">
        <x:v>independent physical acceptance</x:v>
      </x:c>
      <x:c r="I3493" t="str">
        <x:f>IF(F3493=1,"PASS","OPEN")</x:f>
        <x:v>OPEN</x:v>
      </x:c>
    </x:row>
    <x:row r="3494">
      <x:c r="B3494" t="str">
        <x:v>PH-PK-331</x:v>
      </x:c>
      <x:c r="C3494" t="str">
        <x:v>PHYSICAL</x:v>
      </x:c>
      <x:c r="D3494" t="str">
        <x:v>trial packet</x:v>
      </x:c>
      <x:c r="E3494" t="str">
        <x:v>PH-PK-331</x:v>
      </x:c>
      <x:c r="F3494" t="n">
        <x:f>IF('Trial Register'!Q337&lt;&gt;"",1,0)</x:f>
        <x:v>0</x:v>
      </x:c>
      <x:c r="G3494" t="n">
        <x:v>1</x:v>
      </x:c>
      <x:c r="H3494" t="str">
        <x:v>independent physical acceptance</x:v>
      </x:c>
      <x:c r="I3494" t="str">
        <x:f>IF(F3494=1,"PASS","OPEN")</x:f>
        <x:v>OPEN</x:v>
      </x:c>
    </x:row>
    <x:row r="3495">
      <x:c r="B3495" t="str">
        <x:v>PH-VA-331</x:v>
      </x:c>
      <x:c r="C3495" t="str">
        <x:v>PHYSICAL</x:v>
      </x:c>
      <x:c r="D3495" t="str">
        <x:v>trial validity</x:v>
      </x:c>
      <x:c r="E3495" t="str">
        <x:v>PH-VA-331</x:v>
      </x:c>
      <x:c r="F3495" t="n">
        <x:f>IF('Trial Register'!R337&lt;&gt;"",1,0)</x:f>
        <x:v>0</x:v>
      </x:c>
      <x:c r="G3495" t="n">
        <x:v>1</x:v>
      </x:c>
      <x:c r="H3495" t="str">
        <x:v>independent physical acceptance</x:v>
      </x:c>
      <x:c r="I3495" t="str">
        <x:f>IF(F3495=1,"PASS","OPEN")</x:f>
        <x:v>OPEN</x:v>
      </x:c>
    </x:row>
    <x:row r="3496">
      <x:c r="B3496" t="str">
        <x:v>PH-RV-331</x:v>
      </x:c>
      <x:c r="C3496" t="str">
        <x:v>PHYSICAL</x:v>
      </x:c>
      <x:c r="D3496" t="str">
        <x:v>reported value</x:v>
      </x:c>
      <x:c r="E3496" t="str">
        <x:v>PH-RV-331</x:v>
      </x:c>
      <x:c r="F3496" t="n">
        <x:f>IF('Trial Register'!S337&lt;&gt;"",1,0)</x:f>
        <x:v>0</x:v>
      </x:c>
      <x:c r="G3496" t="n">
        <x:v>1</x:v>
      </x:c>
      <x:c r="H3496" t="str">
        <x:v>independent physical acceptance</x:v>
      </x:c>
      <x:c r="I3496" t="str">
        <x:f>IF(F3496=1,"PASS","OPEN")</x:f>
        <x:v>OPEN</x:v>
      </x:c>
    </x:row>
    <x:row r="3497">
      <x:c r="B3497" t="str">
        <x:v>PH-CR-331</x:v>
      </x:c>
      <x:c r="C3497" t="str">
        <x:v>PHYSICAL</x:v>
      </x:c>
      <x:c r="D3497" t="str">
        <x:v>credit acceptance</x:v>
      </x:c>
      <x:c r="E3497" t="str">
        <x:v>PH-CR-331</x:v>
      </x:c>
      <x:c r="F3497" t="str">
        <x:f>'Trial Register'!V337</x:f>
      </x:c>
      <x:c r="G3497" t="n">
        <x:v>1</x:v>
      </x:c>
      <x:c r="H3497" t="str">
        <x:v>independent physical acceptance</x:v>
      </x:c>
      <x:c r="I3497" t="str">
        <x:f>IF(F3497=1,"PASS","OPEN")</x:f>
        <x:v>OPEN</x:v>
      </x:c>
    </x:row>
    <x:row r="3498">
      <x:c r="B3498" t="str">
        <x:v>PH-EX-332</x:v>
      </x:c>
      <x:c r="C3498" t="str">
        <x:v>PHYSICAL</x:v>
      </x:c>
      <x:c r="D3498" t="str">
        <x:v>trial execution</x:v>
      </x:c>
      <x:c r="E3498" t="str">
        <x:v>PH-EX-332</x:v>
      </x:c>
      <x:c r="F3498" t="n">
        <x:f>IF('Trial Register'!P338&lt;&gt;"",1,0)</x:f>
        <x:v>0</x:v>
      </x:c>
      <x:c r="G3498" t="n">
        <x:v>1</x:v>
      </x:c>
      <x:c r="H3498" t="str">
        <x:v>independent physical acceptance</x:v>
      </x:c>
      <x:c r="I3498" t="str">
        <x:f>IF(F3498=1,"PASS","OPEN")</x:f>
        <x:v>OPEN</x:v>
      </x:c>
    </x:row>
    <x:row r="3499">
      <x:c r="B3499" t="str">
        <x:v>PH-PK-332</x:v>
      </x:c>
      <x:c r="C3499" t="str">
        <x:v>PHYSICAL</x:v>
      </x:c>
      <x:c r="D3499" t="str">
        <x:v>trial packet</x:v>
      </x:c>
      <x:c r="E3499" t="str">
        <x:v>PH-PK-332</x:v>
      </x:c>
      <x:c r="F3499" t="n">
        <x:f>IF('Trial Register'!Q338&lt;&gt;"",1,0)</x:f>
        <x:v>0</x:v>
      </x:c>
      <x:c r="G3499" t="n">
        <x:v>1</x:v>
      </x:c>
      <x:c r="H3499" t="str">
        <x:v>independent physical acceptance</x:v>
      </x:c>
      <x:c r="I3499" t="str">
        <x:f>IF(F3499=1,"PASS","OPEN")</x:f>
        <x:v>OPEN</x:v>
      </x:c>
    </x:row>
    <x:row r="3500">
      <x:c r="B3500" t="str">
        <x:v>PH-VA-332</x:v>
      </x:c>
      <x:c r="C3500" t="str">
        <x:v>PHYSICAL</x:v>
      </x:c>
      <x:c r="D3500" t="str">
        <x:v>trial validity</x:v>
      </x:c>
      <x:c r="E3500" t="str">
        <x:v>PH-VA-332</x:v>
      </x:c>
      <x:c r="F3500" t="n">
        <x:f>IF('Trial Register'!R338&lt;&gt;"",1,0)</x:f>
        <x:v>0</x:v>
      </x:c>
      <x:c r="G3500" t="n">
        <x:v>1</x:v>
      </x:c>
      <x:c r="H3500" t="str">
        <x:v>independent physical acceptance</x:v>
      </x:c>
      <x:c r="I3500" t="str">
        <x:f>IF(F3500=1,"PASS","OPEN")</x:f>
        <x:v>OPEN</x:v>
      </x:c>
    </x:row>
    <x:row r="3501">
      <x:c r="B3501" t="str">
        <x:v>PH-RV-332</x:v>
      </x:c>
      <x:c r="C3501" t="str">
        <x:v>PHYSICAL</x:v>
      </x:c>
      <x:c r="D3501" t="str">
        <x:v>reported value</x:v>
      </x:c>
      <x:c r="E3501" t="str">
        <x:v>PH-RV-332</x:v>
      </x:c>
      <x:c r="F3501" t="n">
        <x:f>IF('Trial Register'!S338&lt;&gt;"",1,0)</x:f>
        <x:v>0</x:v>
      </x:c>
      <x:c r="G3501" t="n">
        <x:v>1</x:v>
      </x:c>
      <x:c r="H3501" t="str">
        <x:v>independent physical acceptance</x:v>
      </x:c>
      <x:c r="I3501" t="str">
        <x:f>IF(F3501=1,"PASS","OPEN")</x:f>
        <x:v>OPEN</x:v>
      </x:c>
    </x:row>
    <x:row r="3502">
      <x:c r="B3502" t="str">
        <x:v>PH-CR-332</x:v>
      </x:c>
      <x:c r="C3502" t="str">
        <x:v>PHYSICAL</x:v>
      </x:c>
      <x:c r="D3502" t="str">
        <x:v>credit acceptance</x:v>
      </x:c>
      <x:c r="E3502" t="str">
        <x:v>PH-CR-332</x:v>
      </x:c>
      <x:c r="F3502" t="str">
        <x:f>'Trial Register'!V338</x:f>
      </x:c>
      <x:c r="G3502" t="n">
        <x:v>1</x:v>
      </x:c>
      <x:c r="H3502" t="str">
        <x:v>independent physical acceptance</x:v>
      </x:c>
      <x:c r="I3502" t="str">
        <x:f>IF(F3502=1,"PASS","OPEN")</x:f>
        <x:v>OPEN</x:v>
      </x:c>
    </x:row>
    <x:row r="3503">
      <x:c r="B3503" t="str">
        <x:v>PH-EX-333</x:v>
      </x:c>
      <x:c r="C3503" t="str">
        <x:v>PHYSICAL</x:v>
      </x:c>
      <x:c r="D3503" t="str">
        <x:v>trial execution</x:v>
      </x:c>
      <x:c r="E3503" t="str">
        <x:v>PH-EX-333</x:v>
      </x:c>
      <x:c r="F3503" t="n">
        <x:f>IF('Trial Register'!P339&lt;&gt;"",1,0)</x:f>
        <x:v>0</x:v>
      </x:c>
      <x:c r="G3503" t="n">
        <x:v>1</x:v>
      </x:c>
      <x:c r="H3503" t="str">
        <x:v>independent physical acceptance</x:v>
      </x:c>
      <x:c r="I3503" t="str">
        <x:f>IF(F3503=1,"PASS","OPEN")</x:f>
        <x:v>OPEN</x:v>
      </x:c>
    </x:row>
    <x:row r="3504">
      <x:c r="B3504" t="str">
        <x:v>PH-PK-333</x:v>
      </x:c>
      <x:c r="C3504" t="str">
        <x:v>PHYSICAL</x:v>
      </x:c>
      <x:c r="D3504" t="str">
        <x:v>trial packet</x:v>
      </x:c>
      <x:c r="E3504" t="str">
        <x:v>PH-PK-333</x:v>
      </x:c>
      <x:c r="F3504" t="n">
        <x:f>IF('Trial Register'!Q339&lt;&gt;"",1,0)</x:f>
        <x:v>0</x:v>
      </x:c>
      <x:c r="G3504" t="n">
        <x:v>1</x:v>
      </x:c>
      <x:c r="H3504" t="str">
        <x:v>independent physical acceptance</x:v>
      </x:c>
      <x:c r="I3504" t="str">
        <x:f>IF(F3504=1,"PASS","OPEN")</x:f>
        <x:v>OPEN</x:v>
      </x:c>
    </x:row>
    <x:row r="3505">
      <x:c r="B3505" t="str">
        <x:v>PH-VA-333</x:v>
      </x:c>
      <x:c r="C3505" t="str">
        <x:v>PHYSICAL</x:v>
      </x:c>
      <x:c r="D3505" t="str">
        <x:v>trial validity</x:v>
      </x:c>
      <x:c r="E3505" t="str">
        <x:v>PH-VA-333</x:v>
      </x:c>
      <x:c r="F3505" t="n">
        <x:f>IF('Trial Register'!R339&lt;&gt;"",1,0)</x:f>
        <x:v>0</x:v>
      </x:c>
      <x:c r="G3505" t="n">
        <x:v>1</x:v>
      </x:c>
      <x:c r="H3505" t="str">
        <x:v>independent physical acceptance</x:v>
      </x:c>
      <x:c r="I3505" t="str">
        <x:f>IF(F3505=1,"PASS","OPEN")</x:f>
        <x:v>OPEN</x:v>
      </x:c>
    </x:row>
    <x:row r="3506">
      <x:c r="B3506" t="str">
        <x:v>PH-RV-333</x:v>
      </x:c>
      <x:c r="C3506" t="str">
        <x:v>PHYSICAL</x:v>
      </x:c>
      <x:c r="D3506" t="str">
        <x:v>reported value</x:v>
      </x:c>
      <x:c r="E3506" t="str">
        <x:v>PH-RV-333</x:v>
      </x:c>
      <x:c r="F3506" t="n">
        <x:f>IF('Trial Register'!S339&lt;&gt;"",1,0)</x:f>
        <x:v>0</x:v>
      </x:c>
      <x:c r="G3506" t="n">
        <x:v>1</x:v>
      </x:c>
      <x:c r="H3506" t="str">
        <x:v>independent physical acceptance</x:v>
      </x:c>
      <x:c r="I3506" t="str">
        <x:f>IF(F3506=1,"PASS","OPEN")</x:f>
        <x:v>OPEN</x:v>
      </x:c>
    </x:row>
    <x:row r="3507">
      <x:c r="B3507" t="str">
        <x:v>PH-CR-333</x:v>
      </x:c>
      <x:c r="C3507" t="str">
        <x:v>PHYSICAL</x:v>
      </x:c>
      <x:c r="D3507" t="str">
        <x:v>credit acceptance</x:v>
      </x:c>
      <x:c r="E3507" t="str">
        <x:v>PH-CR-333</x:v>
      </x:c>
      <x:c r="F3507" t="str">
        <x:f>'Trial Register'!V339</x:f>
      </x:c>
      <x:c r="G3507" t="n">
        <x:v>1</x:v>
      </x:c>
      <x:c r="H3507" t="str">
        <x:v>independent physical acceptance</x:v>
      </x:c>
      <x:c r="I3507" t="str">
        <x:f>IF(F3507=1,"PASS","OPEN")</x:f>
        <x:v>OPEN</x:v>
      </x:c>
    </x:row>
    <x:row r="3508">
      <x:c r="B3508" t="str">
        <x:v>PH-EX-334</x:v>
      </x:c>
      <x:c r="C3508" t="str">
        <x:v>PHYSICAL</x:v>
      </x:c>
      <x:c r="D3508" t="str">
        <x:v>trial execution</x:v>
      </x:c>
      <x:c r="E3508" t="str">
        <x:v>PH-EX-334</x:v>
      </x:c>
      <x:c r="F3508" t="n">
        <x:f>IF('Trial Register'!P340&lt;&gt;"",1,0)</x:f>
        <x:v>0</x:v>
      </x:c>
      <x:c r="G3508" t="n">
        <x:v>1</x:v>
      </x:c>
      <x:c r="H3508" t="str">
        <x:v>independent physical acceptance</x:v>
      </x:c>
      <x:c r="I3508" t="str">
        <x:f>IF(F3508=1,"PASS","OPEN")</x:f>
        <x:v>OPEN</x:v>
      </x:c>
    </x:row>
    <x:row r="3509">
      <x:c r="B3509" t="str">
        <x:v>PH-PK-334</x:v>
      </x:c>
      <x:c r="C3509" t="str">
        <x:v>PHYSICAL</x:v>
      </x:c>
      <x:c r="D3509" t="str">
        <x:v>trial packet</x:v>
      </x:c>
      <x:c r="E3509" t="str">
        <x:v>PH-PK-334</x:v>
      </x:c>
      <x:c r="F3509" t="n">
        <x:f>IF('Trial Register'!Q340&lt;&gt;"",1,0)</x:f>
        <x:v>0</x:v>
      </x:c>
      <x:c r="G3509" t="n">
        <x:v>1</x:v>
      </x:c>
      <x:c r="H3509" t="str">
        <x:v>independent physical acceptance</x:v>
      </x:c>
      <x:c r="I3509" t="str">
        <x:f>IF(F3509=1,"PASS","OPEN")</x:f>
        <x:v>OPEN</x:v>
      </x:c>
    </x:row>
    <x:row r="3510">
      <x:c r="B3510" t="str">
        <x:v>PH-VA-334</x:v>
      </x:c>
      <x:c r="C3510" t="str">
        <x:v>PHYSICAL</x:v>
      </x:c>
      <x:c r="D3510" t="str">
        <x:v>trial validity</x:v>
      </x:c>
      <x:c r="E3510" t="str">
        <x:v>PH-VA-334</x:v>
      </x:c>
      <x:c r="F3510" t="n">
        <x:f>IF('Trial Register'!R340&lt;&gt;"",1,0)</x:f>
        <x:v>0</x:v>
      </x:c>
      <x:c r="G3510" t="n">
        <x:v>1</x:v>
      </x:c>
      <x:c r="H3510" t="str">
        <x:v>independent physical acceptance</x:v>
      </x:c>
      <x:c r="I3510" t="str">
        <x:f>IF(F3510=1,"PASS","OPEN")</x:f>
        <x:v>OPEN</x:v>
      </x:c>
    </x:row>
    <x:row r="3511">
      <x:c r="B3511" t="str">
        <x:v>PH-RV-334</x:v>
      </x:c>
      <x:c r="C3511" t="str">
        <x:v>PHYSICAL</x:v>
      </x:c>
      <x:c r="D3511" t="str">
        <x:v>reported value</x:v>
      </x:c>
      <x:c r="E3511" t="str">
        <x:v>PH-RV-334</x:v>
      </x:c>
      <x:c r="F3511" t="n">
        <x:f>IF('Trial Register'!S340&lt;&gt;"",1,0)</x:f>
        <x:v>0</x:v>
      </x:c>
      <x:c r="G3511" t="n">
        <x:v>1</x:v>
      </x:c>
      <x:c r="H3511" t="str">
        <x:v>independent physical acceptance</x:v>
      </x:c>
      <x:c r="I3511" t="str">
        <x:f>IF(F3511=1,"PASS","OPEN")</x:f>
        <x:v>OPEN</x:v>
      </x:c>
    </x:row>
    <x:row r="3512">
      <x:c r="B3512" t="str">
        <x:v>PH-CR-334</x:v>
      </x:c>
      <x:c r="C3512" t="str">
        <x:v>PHYSICAL</x:v>
      </x:c>
      <x:c r="D3512" t="str">
        <x:v>credit acceptance</x:v>
      </x:c>
      <x:c r="E3512" t="str">
        <x:v>PH-CR-334</x:v>
      </x:c>
      <x:c r="F3512" t="str">
        <x:f>'Trial Register'!V340</x:f>
      </x:c>
      <x:c r="G3512" t="n">
        <x:v>1</x:v>
      </x:c>
      <x:c r="H3512" t="str">
        <x:v>independent physical acceptance</x:v>
      </x:c>
      <x:c r="I3512" t="str">
        <x:f>IF(F3512=1,"PASS","OPEN")</x:f>
        <x:v>OPEN</x:v>
      </x:c>
    </x:row>
    <x:row r="3513">
      <x:c r="B3513" t="str">
        <x:v>PH-EX-335</x:v>
      </x:c>
      <x:c r="C3513" t="str">
        <x:v>PHYSICAL</x:v>
      </x:c>
      <x:c r="D3513" t="str">
        <x:v>trial execution</x:v>
      </x:c>
      <x:c r="E3513" t="str">
        <x:v>PH-EX-335</x:v>
      </x:c>
      <x:c r="F3513" t="n">
        <x:f>IF('Trial Register'!P341&lt;&gt;"",1,0)</x:f>
        <x:v>0</x:v>
      </x:c>
      <x:c r="G3513" t="n">
        <x:v>1</x:v>
      </x:c>
      <x:c r="H3513" t="str">
        <x:v>independent physical acceptance</x:v>
      </x:c>
      <x:c r="I3513" t="str">
        <x:f>IF(F3513=1,"PASS","OPEN")</x:f>
        <x:v>OPEN</x:v>
      </x:c>
    </x:row>
    <x:row r="3514">
      <x:c r="B3514" t="str">
        <x:v>PH-PK-335</x:v>
      </x:c>
      <x:c r="C3514" t="str">
        <x:v>PHYSICAL</x:v>
      </x:c>
      <x:c r="D3514" t="str">
        <x:v>trial packet</x:v>
      </x:c>
      <x:c r="E3514" t="str">
        <x:v>PH-PK-335</x:v>
      </x:c>
      <x:c r="F3514" t="n">
        <x:f>IF('Trial Register'!Q341&lt;&gt;"",1,0)</x:f>
        <x:v>0</x:v>
      </x:c>
      <x:c r="G3514" t="n">
        <x:v>1</x:v>
      </x:c>
      <x:c r="H3514" t="str">
        <x:v>independent physical acceptance</x:v>
      </x:c>
      <x:c r="I3514" t="str">
        <x:f>IF(F3514=1,"PASS","OPEN")</x:f>
        <x:v>OPEN</x:v>
      </x:c>
    </x:row>
    <x:row r="3515">
      <x:c r="B3515" t="str">
        <x:v>PH-VA-335</x:v>
      </x:c>
      <x:c r="C3515" t="str">
        <x:v>PHYSICAL</x:v>
      </x:c>
      <x:c r="D3515" t="str">
        <x:v>trial validity</x:v>
      </x:c>
      <x:c r="E3515" t="str">
        <x:v>PH-VA-335</x:v>
      </x:c>
      <x:c r="F3515" t="n">
        <x:f>IF('Trial Register'!R341&lt;&gt;"",1,0)</x:f>
        <x:v>0</x:v>
      </x:c>
      <x:c r="G3515" t="n">
        <x:v>1</x:v>
      </x:c>
      <x:c r="H3515" t="str">
        <x:v>independent physical acceptance</x:v>
      </x:c>
      <x:c r="I3515" t="str">
        <x:f>IF(F3515=1,"PASS","OPEN")</x:f>
        <x:v>OPEN</x:v>
      </x:c>
    </x:row>
    <x:row r="3516">
      <x:c r="B3516" t="str">
        <x:v>PH-RV-335</x:v>
      </x:c>
      <x:c r="C3516" t="str">
        <x:v>PHYSICAL</x:v>
      </x:c>
      <x:c r="D3516" t="str">
        <x:v>reported value</x:v>
      </x:c>
      <x:c r="E3516" t="str">
        <x:v>PH-RV-335</x:v>
      </x:c>
      <x:c r="F3516" t="n">
        <x:f>IF('Trial Register'!S341&lt;&gt;"",1,0)</x:f>
        <x:v>0</x:v>
      </x:c>
      <x:c r="G3516" t="n">
        <x:v>1</x:v>
      </x:c>
      <x:c r="H3516" t="str">
        <x:v>independent physical acceptance</x:v>
      </x:c>
      <x:c r="I3516" t="str">
        <x:f>IF(F3516=1,"PASS","OPEN")</x:f>
        <x:v>OPEN</x:v>
      </x:c>
    </x:row>
    <x:row r="3517">
      <x:c r="B3517" t="str">
        <x:v>PH-CR-335</x:v>
      </x:c>
      <x:c r="C3517" t="str">
        <x:v>PHYSICAL</x:v>
      </x:c>
      <x:c r="D3517" t="str">
        <x:v>credit acceptance</x:v>
      </x:c>
      <x:c r="E3517" t="str">
        <x:v>PH-CR-335</x:v>
      </x:c>
      <x:c r="F3517" t="str">
        <x:f>'Trial Register'!V341</x:f>
      </x:c>
      <x:c r="G3517" t="n">
        <x:v>1</x:v>
      </x:c>
      <x:c r="H3517" t="str">
        <x:v>independent physical acceptance</x:v>
      </x:c>
      <x:c r="I3517" t="str">
        <x:f>IF(F3517=1,"PASS","OPEN")</x:f>
        <x:v>OPEN</x:v>
      </x:c>
    </x:row>
    <x:row r="3518">
      <x:c r="B3518" t="str">
        <x:v>PH-EX-336</x:v>
      </x:c>
      <x:c r="C3518" t="str">
        <x:v>PHYSICAL</x:v>
      </x:c>
      <x:c r="D3518" t="str">
        <x:v>trial execution</x:v>
      </x:c>
      <x:c r="E3518" t="str">
        <x:v>PH-EX-336</x:v>
      </x:c>
      <x:c r="F3518" t="n">
        <x:f>IF('Trial Register'!P342&lt;&gt;"",1,0)</x:f>
        <x:v>0</x:v>
      </x:c>
      <x:c r="G3518" t="n">
        <x:v>1</x:v>
      </x:c>
      <x:c r="H3518" t="str">
        <x:v>independent physical acceptance</x:v>
      </x:c>
      <x:c r="I3518" t="str">
        <x:f>IF(F3518=1,"PASS","OPEN")</x:f>
        <x:v>OPEN</x:v>
      </x:c>
    </x:row>
    <x:row r="3519">
      <x:c r="B3519" t="str">
        <x:v>PH-PK-336</x:v>
      </x:c>
      <x:c r="C3519" t="str">
        <x:v>PHYSICAL</x:v>
      </x:c>
      <x:c r="D3519" t="str">
        <x:v>trial packet</x:v>
      </x:c>
      <x:c r="E3519" t="str">
        <x:v>PH-PK-336</x:v>
      </x:c>
      <x:c r="F3519" t="n">
        <x:f>IF('Trial Register'!Q342&lt;&gt;"",1,0)</x:f>
        <x:v>0</x:v>
      </x:c>
      <x:c r="G3519" t="n">
        <x:v>1</x:v>
      </x:c>
      <x:c r="H3519" t="str">
        <x:v>independent physical acceptance</x:v>
      </x:c>
      <x:c r="I3519" t="str">
        <x:f>IF(F3519=1,"PASS","OPEN")</x:f>
        <x:v>OPEN</x:v>
      </x:c>
    </x:row>
    <x:row r="3520">
      <x:c r="B3520" t="str">
        <x:v>PH-VA-336</x:v>
      </x:c>
      <x:c r="C3520" t="str">
        <x:v>PHYSICAL</x:v>
      </x:c>
      <x:c r="D3520" t="str">
        <x:v>trial validity</x:v>
      </x:c>
      <x:c r="E3520" t="str">
        <x:v>PH-VA-336</x:v>
      </x:c>
      <x:c r="F3520" t="n">
        <x:f>IF('Trial Register'!R342&lt;&gt;"",1,0)</x:f>
        <x:v>0</x:v>
      </x:c>
      <x:c r="G3520" t="n">
        <x:v>1</x:v>
      </x:c>
      <x:c r="H3520" t="str">
        <x:v>independent physical acceptance</x:v>
      </x:c>
      <x:c r="I3520" t="str">
        <x:f>IF(F3520=1,"PASS","OPEN")</x:f>
        <x:v>OPEN</x:v>
      </x:c>
    </x:row>
    <x:row r="3521">
      <x:c r="B3521" t="str">
        <x:v>PH-RV-336</x:v>
      </x:c>
      <x:c r="C3521" t="str">
        <x:v>PHYSICAL</x:v>
      </x:c>
      <x:c r="D3521" t="str">
        <x:v>reported value</x:v>
      </x:c>
      <x:c r="E3521" t="str">
        <x:v>PH-RV-336</x:v>
      </x:c>
      <x:c r="F3521" t="n">
        <x:f>IF('Trial Register'!S342&lt;&gt;"",1,0)</x:f>
        <x:v>0</x:v>
      </x:c>
      <x:c r="G3521" t="n">
        <x:v>1</x:v>
      </x:c>
      <x:c r="H3521" t="str">
        <x:v>independent physical acceptance</x:v>
      </x:c>
      <x:c r="I3521" t="str">
        <x:f>IF(F3521=1,"PASS","OPEN")</x:f>
        <x:v>OPEN</x:v>
      </x:c>
    </x:row>
    <x:row r="3522">
      <x:c r="B3522" t="str">
        <x:v>PH-CR-336</x:v>
      </x:c>
      <x:c r="C3522" t="str">
        <x:v>PHYSICAL</x:v>
      </x:c>
      <x:c r="D3522" t="str">
        <x:v>credit acceptance</x:v>
      </x:c>
      <x:c r="E3522" t="str">
        <x:v>PH-CR-336</x:v>
      </x:c>
      <x:c r="F3522" t="str">
        <x:f>'Trial Register'!V342</x:f>
      </x:c>
      <x:c r="G3522" t="n">
        <x:v>1</x:v>
      </x:c>
      <x:c r="H3522" t="str">
        <x:v>independent physical acceptance</x:v>
      </x:c>
      <x:c r="I3522" t="str">
        <x:f>IF(F3522=1,"PASS","OPEN")</x:f>
        <x:v>OPEN</x:v>
      </x:c>
    </x:row>
    <x:row r="3523">
      <x:c r="B3523" t="str">
        <x:v>PH-EX-337</x:v>
      </x:c>
      <x:c r="C3523" t="str">
        <x:v>PHYSICAL</x:v>
      </x:c>
      <x:c r="D3523" t="str">
        <x:v>trial execution</x:v>
      </x:c>
      <x:c r="E3523" t="str">
        <x:v>PH-EX-337</x:v>
      </x:c>
      <x:c r="F3523" t="n">
        <x:f>IF('Trial Register'!P343&lt;&gt;"",1,0)</x:f>
        <x:v>0</x:v>
      </x:c>
      <x:c r="G3523" t="n">
        <x:v>1</x:v>
      </x:c>
      <x:c r="H3523" t="str">
        <x:v>independent physical acceptance</x:v>
      </x:c>
      <x:c r="I3523" t="str">
        <x:f>IF(F3523=1,"PASS","OPEN")</x:f>
        <x:v>OPEN</x:v>
      </x:c>
    </x:row>
    <x:row r="3524">
      <x:c r="B3524" t="str">
        <x:v>PH-PK-337</x:v>
      </x:c>
      <x:c r="C3524" t="str">
        <x:v>PHYSICAL</x:v>
      </x:c>
      <x:c r="D3524" t="str">
        <x:v>trial packet</x:v>
      </x:c>
      <x:c r="E3524" t="str">
        <x:v>PH-PK-337</x:v>
      </x:c>
      <x:c r="F3524" t="n">
        <x:f>IF('Trial Register'!Q343&lt;&gt;"",1,0)</x:f>
        <x:v>0</x:v>
      </x:c>
      <x:c r="G3524" t="n">
        <x:v>1</x:v>
      </x:c>
      <x:c r="H3524" t="str">
        <x:v>independent physical acceptance</x:v>
      </x:c>
      <x:c r="I3524" t="str">
        <x:f>IF(F3524=1,"PASS","OPEN")</x:f>
        <x:v>OPEN</x:v>
      </x:c>
    </x:row>
    <x:row r="3525">
      <x:c r="B3525" t="str">
        <x:v>PH-VA-337</x:v>
      </x:c>
      <x:c r="C3525" t="str">
        <x:v>PHYSICAL</x:v>
      </x:c>
      <x:c r="D3525" t="str">
        <x:v>trial validity</x:v>
      </x:c>
      <x:c r="E3525" t="str">
        <x:v>PH-VA-337</x:v>
      </x:c>
      <x:c r="F3525" t="n">
        <x:f>IF('Trial Register'!R343&lt;&gt;"",1,0)</x:f>
        <x:v>0</x:v>
      </x:c>
      <x:c r="G3525" t="n">
        <x:v>1</x:v>
      </x:c>
      <x:c r="H3525" t="str">
        <x:v>independent physical acceptance</x:v>
      </x:c>
      <x:c r="I3525" t="str">
        <x:f>IF(F3525=1,"PASS","OPEN")</x:f>
        <x:v>OPEN</x:v>
      </x:c>
    </x:row>
    <x:row r="3526">
      <x:c r="B3526" t="str">
        <x:v>PH-RV-337</x:v>
      </x:c>
      <x:c r="C3526" t="str">
        <x:v>PHYSICAL</x:v>
      </x:c>
      <x:c r="D3526" t="str">
        <x:v>reported value</x:v>
      </x:c>
      <x:c r="E3526" t="str">
        <x:v>PH-RV-337</x:v>
      </x:c>
      <x:c r="F3526" t="n">
        <x:f>IF('Trial Register'!S343&lt;&gt;"",1,0)</x:f>
        <x:v>0</x:v>
      </x:c>
      <x:c r="G3526" t="n">
        <x:v>1</x:v>
      </x:c>
      <x:c r="H3526" t="str">
        <x:v>independent physical acceptance</x:v>
      </x:c>
      <x:c r="I3526" t="str">
        <x:f>IF(F3526=1,"PASS","OPEN")</x:f>
        <x:v>OPEN</x:v>
      </x:c>
    </x:row>
    <x:row r="3527">
      <x:c r="B3527" t="str">
        <x:v>PH-CR-337</x:v>
      </x:c>
      <x:c r="C3527" t="str">
        <x:v>PHYSICAL</x:v>
      </x:c>
      <x:c r="D3527" t="str">
        <x:v>credit acceptance</x:v>
      </x:c>
      <x:c r="E3527" t="str">
        <x:v>PH-CR-337</x:v>
      </x:c>
      <x:c r="F3527" t="str">
        <x:f>'Trial Register'!V343</x:f>
      </x:c>
      <x:c r="G3527" t="n">
        <x:v>1</x:v>
      </x:c>
      <x:c r="H3527" t="str">
        <x:v>independent physical acceptance</x:v>
      </x:c>
      <x:c r="I3527" t="str">
        <x:f>IF(F3527=1,"PASS","OPEN")</x:f>
        <x:v>OPEN</x:v>
      </x:c>
    </x:row>
    <x:row r="3528">
      <x:c r="B3528" t="str">
        <x:v>PH-EX-338</x:v>
      </x:c>
      <x:c r="C3528" t="str">
        <x:v>PHYSICAL</x:v>
      </x:c>
      <x:c r="D3528" t="str">
        <x:v>trial execution</x:v>
      </x:c>
      <x:c r="E3528" t="str">
        <x:v>PH-EX-338</x:v>
      </x:c>
      <x:c r="F3528" t="n">
        <x:f>IF('Trial Register'!P344&lt;&gt;"",1,0)</x:f>
        <x:v>0</x:v>
      </x:c>
      <x:c r="G3528" t="n">
        <x:v>1</x:v>
      </x:c>
      <x:c r="H3528" t="str">
        <x:v>independent physical acceptance</x:v>
      </x:c>
      <x:c r="I3528" t="str">
        <x:f>IF(F3528=1,"PASS","OPEN")</x:f>
        <x:v>OPEN</x:v>
      </x:c>
    </x:row>
    <x:row r="3529">
      <x:c r="B3529" t="str">
        <x:v>PH-PK-338</x:v>
      </x:c>
      <x:c r="C3529" t="str">
        <x:v>PHYSICAL</x:v>
      </x:c>
      <x:c r="D3529" t="str">
        <x:v>trial packet</x:v>
      </x:c>
      <x:c r="E3529" t="str">
        <x:v>PH-PK-338</x:v>
      </x:c>
      <x:c r="F3529" t="n">
        <x:f>IF('Trial Register'!Q344&lt;&gt;"",1,0)</x:f>
        <x:v>0</x:v>
      </x:c>
      <x:c r="G3529" t="n">
        <x:v>1</x:v>
      </x:c>
      <x:c r="H3529" t="str">
        <x:v>independent physical acceptance</x:v>
      </x:c>
      <x:c r="I3529" t="str">
        <x:f>IF(F3529=1,"PASS","OPEN")</x:f>
        <x:v>OPEN</x:v>
      </x:c>
    </x:row>
    <x:row r="3530">
      <x:c r="B3530" t="str">
        <x:v>PH-VA-338</x:v>
      </x:c>
      <x:c r="C3530" t="str">
        <x:v>PHYSICAL</x:v>
      </x:c>
      <x:c r="D3530" t="str">
        <x:v>trial validity</x:v>
      </x:c>
      <x:c r="E3530" t="str">
        <x:v>PH-VA-338</x:v>
      </x:c>
      <x:c r="F3530" t="n">
        <x:f>IF('Trial Register'!R344&lt;&gt;"",1,0)</x:f>
        <x:v>0</x:v>
      </x:c>
      <x:c r="G3530" t="n">
        <x:v>1</x:v>
      </x:c>
      <x:c r="H3530" t="str">
        <x:v>independent physical acceptance</x:v>
      </x:c>
      <x:c r="I3530" t="str">
        <x:f>IF(F3530=1,"PASS","OPEN")</x:f>
        <x:v>OPEN</x:v>
      </x:c>
    </x:row>
    <x:row r="3531">
      <x:c r="B3531" t="str">
        <x:v>PH-RV-338</x:v>
      </x:c>
      <x:c r="C3531" t="str">
        <x:v>PHYSICAL</x:v>
      </x:c>
      <x:c r="D3531" t="str">
        <x:v>reported value</x:v>
      </x:c>
      <x:c r="E3531" t="str">
        <x:v>PH-RV-338</x:v>
      </x:c>
      <x:c r="F3531" t="n">
        <x:f>IF('Trial Register'!S344&lt;&gt;"",1,0)</x:f>
        <x:v>0</x:v>
      </x:c>
      <x:c r="G3531" t="n">
        <x:v>1</x:v>
      </x:c>
      <x:c r="H3531" t="str">
        <x:v>independent physical acceptance</x:v>
      </x:c>
      <x:c r="I3531" t="str">
        <x:f>IF(F3531=1,"PASS","OPEN")</x:f>
        <x:v>OPEN</x:v>
      </x:c>
    </x:row>
    <x:row r="3532">
      <x:c r="B3532" t="str">
        <x:v>PH-CR-338</x:v>
      </x:c>
      <x:c r="C3532" t="str">
        <x:v>PHYSICAL</x:v>
      </x:c>
      <x:c r="D3532" t="str">
        <x:v>credit acceptance</x:v>
      </x:c>
      <x:c r="E3532" t="str">
        <x:v>PH-CR-338</x:v>
      </x:c>
      <x:c r="F3532" t="str">
        <x:f>'Trial Register'!V344</x:f>
      </x:c>
      <x:c r="G3532" t="n">
        <x:v>1</x:v>
      </x:c>
      <x:c r="H3532" t="str">
        <x:v>independent physical acceptance</x:v>
      </x:c>
      <x:c r="I3532" t="str">
        <x:f>IF(F3532=1,"PASS","OPEN")</x:f>
        <x:v>OPEN</x:v>
      </x:c>
    </x:row>
    <x:row r="3533">
      <x:c r="B3533" t="str">
        <x:v>PH-EX-339</x:v>
      </x:c>
      <x:c r="C3533" t="str">
        <x:v>PHYSICAL</x:v>
      </x:c>
      <x:c r="D3533" t="str">
        <x:v>trial execution</x:v>
      </x:c>
      <x:c r="E3533" t="str">
        <x:v>PH-EX-339</x:v>
      </x:c>
      <x:c r="F3533" t="n">
        <x:f>IF('Trial Register'!P345&lt;&gt;"",1,0)</x:f>
        <x:v>0</x:v>
      </x:c>
      <x:c r="G3533" t="n">
        <x:v>1</x:v>
      </x:c>
      <x:c r="H3533" t="str">
        <x:v>independent physical acceptance</x:v>
      </x:c>
      <x:c r="I3533" t="str">
        <x:f>IF(F3533=1,"PASS","OPEN")</x:f>
        <x:v>OPEN</x:v>
      </x:c>
    </x:row>
    <x:row r="3534">
      <x:c r="B3534" t="str">
        <x:v>PH-PK-339</x:v>
      </x:c>
      <x:c r="C3534" t="str">
        <x:v>PHYSICAL</x:v>
      </x:c>
      <x:c r="D3534" t="str">
        <x:v>trial packet</x:v>
      </x:c>
      <x:c r="E3534" t="str">
        <x:v>PH-PK-339</x:v>
      </x:c>
      <x:c r="F3534" t="n">
        <x:f>IF('Trial Register'!Q345&lt;&gt;"",1,0)</x:f>
        <x:v>0</x:v>
      </x:c>
      <x:c r="G3534" t="n">
        <x:v>1</x:v>
      </x:c>
      <x:c r="H3534" t="str">
        <x:v>independent physical acceptance</x:v>
      </x:c>
      <x:c r="I3534" t="str">
        <x:f>IF(F3534=1,"PASS","OPEN")</x:f>
        <x:v>OPEN</x:v>
      </x:c>
    </x:row>
    <x:row r="3535">
      <x:c r="B3535" t="str">
        <x:v>PH-VA-339</x:v>
      </x:c>
      <x:c r="C3535" t="str">
        <x:v>PHYSICAL</x:v>
      </x:c>
      <x:c r="D3535" t="str">
        <x:v>trial validity</x:v>
      </x:c>
      <x:c r="E3535" t="str">
        <x:v>PH-VA-339</x:v>
      </x:c>
      <x:c r="F3535" t="n">
        <x:f>IF('Trial Register'!R345&lt;&gt;"",1,0)</x:f>
        <x:v>0</x:v>
      </x:c>
      <x:c r="G3535" t="n">
        <x:v>1</x:v>
      </x:c>
      <x:c r="H3535" t="str">
        <x:v>independent physical acceptance</x:v>
      </x:c>
      <x:c r="I3535" t="str">
        <x:f>IF(F3535=1,"PASS","OPEN")</x:f>
        <x:v>OPEN</x:v>
      </x:c>
    </x:row>
    <x:row r="3536">
      <x:c r="B3536" t="str">
        <x:v>PH-RV-339</x:v>
      </x:c>
      <x:c r="C3536" t="str">
        <x:v>PHYSICAL</x:v>
      </x:c>
      <x:c r="D3536" t="str">
        <x:v>reported value</x:v>
      </x:c>
      <x:c r="E3536" t="str">
        <x:v>PH-RV-339</x:v>
      </x:c>
      <x:c r="F3536" t="n">
        <x:f>IF('Trial Register'!S345&lt;&gt;"",1,0)</x:f>
        <x:v>0</x:v>
      </x:c>
      <x:c r="G3536" t="n">
        <x:v>1</x:v>
      </x:c>
      <x:c r="H3536" t="str">
        <x:v>independent physical acceptance</x:v>
      </x:c>
      <x:c r="I3536" t="str">
        <x:f>IF(F3536=1,"PASS","OPEN")</x:f>
        <x:v>OPEN</x:v>
      </x:c>
    </x:row>
    <x:row r="3537">
      <x:c r="B3537" t="str">
        <x:v>PH-CR-339</x:v>
      </x:c>
      <x:c r="C3537" t="str">
        <x:v>PHYSICAL</x:v>
      </x:c>
      <x:c r="D3537" t="str">
        <x:v>credit acceptance</x:v>
      </x:c>
      <x:c r="E3537" t="str">
        <x:v>PH-CR-339</x:v>
      </x:c>
      <x:c r="F3537" t="str">
        <x:f>'Trial Register'!V345</x:f>
      </x:c>
      <x:c r="G3537" t="n">
        <x:v>1</x:v>
      </x:c>
      <x:c r="H3537" t="str">
        <x:v>independent physical acceptance</x:v>
      </x:c>
      <x:c r="I3537" t="str">
        <x:f>IF(F3537=1,"PASS","OPEN")</x:f>
        <x:v>OPEN</x:v>
      </x:c>
    </x:row>
    <x:row r="3538">
      <x:c r="B3538" t="str">
        <x:v>PH-EX-340</x:v>
      </x:c>
      <x:c r="C3538" t="str">
        <x:v>PHYSICAL</x:v>
      </x:c>
      <x:c r="D3538" t="str">
        <x:v>trial execution</x:v>
      </x:c>
      <x:c r="E3538" t="str">
        <x:v>PH-EX-340</x:v>
      </x:c>
      <x:c r="F3538" t="n">
        <x:f>IF('Trial Register'!P346&lt;&gt;"",1,0)</x:f>
        <x:v>0</x:v>
      </x:c>
      <x:c r="G3538" t="n">
        <x:v>1</x:v>
      </x:c>
      <x:c r="H3538" t="str">
        <x:v>independent physical acceptance</x:v>
      </x:c>
      <x:c r="I3538" t="str">
        <x:f>IF(F3538=1,"PASS","OPEN")</x:f>
        <x:v>OPEN</x:v>
      </x:c>
    </x:row>
    <x:row r="3539">
      <x:c r="B3539" t="str">
        <x:v>PH-PK-340</x:v>
      </x:c>
      <x:c r="C3539" t="str">
        <x:v>PHYSICAL</x:v>
      </x:c>
      <x:c r="D3539" t="str">
        <x:v>trial packet</x:v>
      </x:c>
      <x:c r="E3539" t="str">
        <x:v>PH-PK-340</x:v>
      </x:c>
      <x:c r="F3539" t="n">
        <x:f>IF('Trial Register'!Q346&lt;&gt;"",1,0)</x:f>
        <x:v>0</x:v>
      </x:c>
      <x:c r="G3539" t="n">
        <x:v>1</x:v>
      </x:c>
      <x:c r="H3539" t="str">
        <x:v>independent physical acceptance</x:v>
      </x:c>
      <x:c r="I3539" t="str">
        <x:f>IF(F3539=1,"PASS","OPEN")</x:f>
        <x:v>OPEN</x:v>
      </x:c>
    </x:row>
    <x:row r="3540">
      <x:c r="B3540" t="str">
        <x:v>PH-VA-340</x:v>
      </x:c>
      <x:c r="C3540" t="str">
        <x:v>PHYSICAL</x:v>
      </x:c>
      <x:c r="D3540" t="str">
        <x:v>trial validity</x:v>
      </x:c>
      <x:c r="E3540" t="str">
        <x:v>PH-VA-340</x:v>
      </x:c>
      <x:c r="F3540" t="n">
        <x:f>IF('Trial Register'!R346&lt;&gt;"",1,0)</x:f>
        <x:v>0</x:v>
      </x:c>
      <x:c r="G3540" t="n">
        <x:v>1</x:v>
      </x:c>
      <x:c r="H3540" t="str">
        <x:v>independent physical acceptance</x:v>
      </x:c>
      <x:c r="I3540" t="str">
        <x:f>IF(F3540=1,"PASS","OPEN")</x:f>
        <x:v>OPEN</x:v>
      </x:c>
    </x:row>
    <x:row r="3541">
      <x:c r="B3541" t="str">
        <x:v>PH-RV-340</x:v>
      </x:c>
      <x:c r="C3541" t="str">
        <x:v>PHYSICAL</x:v>
      </x:c>
      <x:c r="D3541" t="str">
        <x:v>reported value</x:v>
      </x:c>
      <x:c r="E3541" t="str">
        <x:v>PH-RV-340</x:v>
      </x:c>
      <x:c r="F3541" t="n">
        <x:f>IF('Trial Register'!S346&lt;&gt;"",1,0)</x:f>
        <x:v>0</x:v>
      </x:c>
      <x:c r="G3541" t="n">
        <x:v>1</x:v>
      </x:c>
      <x:c r="H3541" t="str">
        <x:v>independent physical acceptance</x:v>
      </x:c>
      <x:c r="I3541" t="str">
        <x:f>IF(F3541=1,"PASS","OPEN")</x:f>
        <x:v>OPEN</x:v>
      </x:c>
    </x:row>
    <x:row r="3542">
      <x:c r="B3542" t="str">
        <x:v>PH-CR-340</x:v>
      </x:c>
      <x:c r="C3542" t="str">
        <x:v>PHYSICAL</x:v>
      </x:c>
      <x:c r="D3542" t="str">
        <x:v>credit acceptance</x:v>
      </x:c>
      <x:c r="E3542" t="str">
        <x:v>PH-CR-340</x:v>
      </x:c>
      <x:c r="F3542" t="str">
        <x:f>'Trial Register'!V346</x:f>
      </x:c>
      <x:c r="G3542" t="n">
        <x:v>1</x:v>
      </x:c>
      <x:c r="H3542" t="str">
        <x:v>independent physical acceptance</x:v>
      </x:c>
      <x:c r="I3542" t="str">
        <x:f>IF(F3542=1,"PASS","OPEN")</x:f>
        <x:v>OPEN</x:v>
      </x:c>
    </x:row>
    <x:row r="3543">
      <x:c r="B3543" t="str">
        <x:v>PH-EX-341</x:v>
      </x:c>
      <x:c r="C3543" t="str">
        <x:v>PHYSICAL</x:v>
      </x:c>
      <x:c r="D3543" t="str">
        <x:v>trial execution</x:v>
      </x:c>
      <x:c r="E3543" t="str">
        <x:v>PH-EX-341</x:v>
      </x:c>
      <x:c r="F3543" t="n">
        <x:f>IF('Trial Register'!P347&lt;&gt;"",1,0)</x:f>
        <x:v>0</x:v>
      </x:c>
      <x:c r="G3543" t="n">
        <x:v>1</x:v>
      </x:c>
      <x:c r="H3543" t="str">
        <x:v>independent physical acceptance</x:v>
      </x:c>
      <x:c r="I3543" t="str">
        <x:f>IF(F3543=1,"PASS","OPEN")</x:f>
        <x:v>OPEN</x:v>
      </x:c>
    </x:row>
    <x:row r="3544">
      <x:c r="B3544" t="str">
        <x:v>PH-PK-341</x:v>
      </x:c>
      <x:c r="C3544" t="str">
        <x:v>PHYSICAL</x:v>
      </x:c>
      <x:c r="D3544" t="str">
        <x:v>trial packet</x:v>
      </x:c>
      <x:c r="E3544" t="str">
        <x:v>PH-PK-341</x:v>
      </x:c>
      <x:c r="F3544" t="n">
        <x:f>IF('Trial Register'!Q347&lt;&gt;"",1,0)</x:f>
        <x:v>0</x:v>
      </x:c>
      <x:c r="G3544" t="n">
        <x:v>1</x:v>
      </x:c>
      <x:c r="H3544" t="str">
        <x:v>independent physical acceptance</x:v>
      </x:c>
      <x:c r="I3544" t="str">
        <x:f>IF(F3544=1,"PASS","OPEN")</x:f>
        <x:v>OPEN</x:v>
      </x:c>
    </x:row>
    <x:row r="3545">
      <x:c r="B3545" t="str">
        <x:v>PH-VA-341</x:v>
      </x:c>
      <x:c r="C3545" t="str">
        <x:v>PHYSICAL</x:v>
      </x:c>
      <x:c r="D3545" t="str">
        <x:v>trial validity</x:v>
      </x:c>
      <x:c r="E3545" t="str">
        <x:v>PH-VA-341</x:v>
      </x:c>
      <x:c r="F3545" t="n">
        <x:f>IF('Trial Register'!R347&lt;&gt;"",1,0)</x:f>
        <x:v>0</x:v>
      </x:c>
      <x:c r="G3545" t="n">
        <x:v>1</x:v>
      </x:c>
      <x:c r="H3545" t="str">
        <x:v>independent physical acceptance</x:v>
      </x:c>
      <x:c r="I3545" t="str">
        <x:f>IF(F3545=1,"PASS","OPEN")</x:f>
        <x:v>OPEN</x:v>
      </x:c>
    </x:row>
    <x:row r="3546">
      <x:c r="B3546" t="str">
        <x:v>PH-RV-341</x:v>
      </x:c>
      <x:c r="C3546" t="str">
        <x:v>PHYSICAL</x:v>
      </x:c>
      <x:c r="D3546" t="str">
        <x:v>reported value</x:v>
      </x:c>
      <x:c r="E3546" t="str">
        <x:v>PH-RV-341</x:v>
      </x:c>
      <x:c r="F3546" t="n">
        <x:f>IF('Trial Register'!S347&lt;&gt;"",1,0)</x:f>
        <x:v>0</x:v>
      </x:c>
      <x:c r="G3546" t="n">
        <x:v>1</x:v>
      </x:c>
      <x:c r="H3546" t="str">
        <x:v>independent physical acceptance</x:v>
      </x:c>
      <x:c r="I3546" t="str">
        <x:f>IF(F3546=1,"PASS","OPEN")</x:f>
        <x:v>OPEN</x:v>
      </x:c>
    </x:row>
    <x:row r="3547">
      <x:c r="B3547" t="str">
        <x:v>PH-CR-341</x:v>
      </x:c>
      <x:c r="C3547" t="str">
        <x:v>PHYSICAL</x:v>
      </x:c>
      <x:c r="D3547" t="str">
        <x:v>credit acceptance</x:v>
      </x:c>
      <x:c r="E3547" t="str">
        <x:v>PH-CR-341</x:v>
      </x:c>
      <x:c r="F3547" t="str">
        <x:f>'Trial Register'!V347</x:f>
      </x:c>
      <x:c r="G3547" t="n">
        <x:v>1</x:v>
      </x:c>
      <x:c r="H3547" t="str">
        <x:v>independent physical acceptance</x:v>
      </x:c>
      <x:c r="I3547" t="str">
        <x:f>IF(F3547=1,"PASS","OPEN")</x:f>
        <x:v>OPEN</x:v>
      </x:c>
    </x:row>
    <x:row r="3548">
      <x:c r="B3548" t="str">
        <x:v>PH-EX-342</x:v>
      </x:c>
      <x:c r="C3548" t="str">
        <x:v>PHYSICAL</x:v>
      </x:c>
      <x:c r="D3548" t="str">
        <x:v>trial execution</x:v>
      </x:c>
      <x:c r="E3548" t="str">
        <x:v>PH-EX-342</x:v>
      </x:c>
      <x:c r="F3548" t="n">
        <x:f>IF('Trial Register'!P348&lt;&gt;"",1,0)</x:f>
        <x:v>0</x:v>
      </x:c>
      <x:c r="G3548" t="n">
        <x:v>1</x:v>
      </x:c>
      <x:c r="H3548" t="str">
        <x:v>independent physical acceptance</x:v>
      </x:c>
      <x:c r="I3548" t="str">
        <x:f>IF(F3548=1,"PASS","OPEN")</x:f>
        <x:v>OPEN</x:v>
      </x:c>
    </x:row>
    <x:row r="3549">
      <x:c r="B3549" t="str">
        <x:v>PH-PK-342</x:v>
      </x:c>
      <x:c r="C3549" t="str">
        <x:v>PHYSICAL</x:v>
      </x:c>
      <x:c r="D3549" t="str">
        <x:v>trial packet</x:v>
      </x:c>
      <x:c r="E3549" t="str">
        <x:v>PH-PK-342</x:v>
      </x:c>
      <x:c r="F3549" t="n">
        <x:f>IF('Trial Register'!Q348&lt;&gt;"",1,0)</x:f>
        <x:v>0</x:v>
      </x:c>
      <x:c r="G3549" t="n">
        <x:v>1</x:v>
      </x:c>
      <x:c r="H3549" t="str">
        <x:v>independent physical acceptance</x:v>
      </x:c>
      <x:c r="I3549" t="str">
        <x:f>IF(F3549=1,"PASS","OPEN")</x:f>
        <x:v>OPEN</x:v>
      </x:c>
    </x:row>
    <x:row r="3550">
      <x:c r="B3550" t="str">
        <x:v>PH-VA-342</x:v>
      </x:c>
      <x:c r="C3550" t="str">
        <x:v>PHYSICAL</x:v>
      </x:c>
      <x:c r="D3550" t="str">
        <x:v>trial validity</x:v>
      </x:c>
      <x:c r="E3550" t="str">
        <x:v>PH-VA-342</x:v>
      </x:c>
      <x:c r="F3550" t="n">
        <x:f>IF('Trial Register'!R348&lt;&gt;"",1,0)</x:f>
        <x:v>0</x:v>
      </x:c>
      <x:c r="G3550" t="n">
        <x:v>1</x:v>
      </x:c>
      <x:c r="H3550" t="str">
        <x:v>independent physical acceptance</x:v>
      </x:c>
      <x:c r="I3550" t="str">
        <x:f>IF(F3550=1,"PASS","OPEN")</x:f>
        <x:v>OPEN</x:v>
      </x:c>
    </x:row>
    <x:row r="3551">
      <x:c r="B3551" t="str">
        <x:v>PH-RV-342</x:v>
      </x:c>
      <x:c r="C3551" t="str">
        <x:v>PHYSICAL</x:v>
      </x:c>
      <x:c r="D3551" t="str">
        <x:v>reported value</x:v>
      </x:c>
      <x:c r="E3551" t="str">
        <x:v>PH-RV-342</x:v>
      </x:c>
      <x:c r="F3551" t="n">
        <x:f>IF('Trial Register'!S348&lt;&gt;"",1,0)</x:f>
        <x:v>0</x:v>
      </x:c>
      <x:c r="G3551" t="n">
        <x:v>1</x:v>
      </x:c>
      <x:c r="H3551" t="str">
        <x:v>independent physical acceptance</x:v>
      </x:c>
      <x:c r="I3551" t="str">
        <x:f>IF(F3551=1,"PASS","OPEN")</x:f>
        <x:v>OPEN</x:v>
      </x:c>
    </x:row>
    <x:row r="3552">
      <x:c r="B3552" t="str">
        <x:v>PH-CR-342</x:v>
      </x:c>
      <x:c r="C3552" t="str">
        <x:v>PHYSICAL</x:v>
      </x:c>
      <x:c r="D3552" t="str">
        <x:v>credit acceptance</x:v>
      </x:c>
      <x:c r="E3552" t="str">
        <x:v>PH-CR-342</x:v>
      </x:c>
      <x:c r="F3552" t="str">
        <x:f>'Trial Register'!V348</x:f>
      </x:c>
      <x:c r="G3552" t="n">
        <x:v>1</x:v>
      </x:c>
      <x:c r="H3552" t="str">
        <x:v>independent physical acceptance</x:v>
      </x:c>
      <x:c r="I3552" t="str">
        <x:f>IF(F3552=1,"PASS","OPEN")</x:f>
        <x:v>OPEN</x:v>
      </x:c>
    </x:row>
    <x:row r="3553">
      <x:c r="B3553" t="str">
        <x:v>PH-EX-343</x:v>
      </x:c>
      <x:c r="C3553" t="str">
        <x:v>PHYSICAL</x:v>
      </x:c>
      <x:c r="D3553" t="str">
        <x:v>trial execution</x:v>
      </x:c>
      <x:c r="E3553" t="str">
        <x:v>PH-EX-343</x:v>
      </x:c>
      <x:c r="F3553" t="n">
        <x:f>IF('Trial Register'!P349&lt;&gt;"",1,0)</x:f>
        <x:v>0</x:v>
      </x:c>
      <x:c r="G3553" t="n">
        <x:v>1</x:v>
      </x:c>
      <x:c r="H3553" t="str">
        <x:v>independent physical acceptance</x:v>
      </x:c>
      <x:c r="I3553" t="str">
        <x:f>IF(F3553=1,"PASS","OPEN")</x:f>
        <x:v>OPEN</x:v>
      </x:c>
    </x:row>
    <x:row r="3554">
      <x:c r="B3554" t="str">
        <x:v>PH-PK-343</x:v>
      </x:c>
      <x:c r="C3554" t="str">
        <x:v>PHYSICAL</x:v>
      </x:c>
      <x:c r="D3554" t="str">
        <x:v>trial packet</x:v>
      </x:c>
      <x:c r="E3554" t="str">
        <x:v>PH-PK-343</x:v>
      </x:c>
      <x:c r="F3554" t="n">
        <x:f>IF('Trial Register'!Q349&lt;&gt;"",1,0)</x:f>
        <x:v>0</x:v>
      </x:c>
      <x:c r="G3554" t="n">
        <x:v>1</x:v>
      </x:c>
      <x:c r="H3554" t="str">
        <x:v>independent physical acceptance</x:v>
      </x:c>
      <x:c r="I3554" t="str">
        <x:f>IF(F3554=1,"PASS","OPEN")</x:f>
        <x:v>OPEN</x:v>
      </x:c>
    </x:row>
    <x:row r="3555">
      <x:c r="B3555" t="str">
        <x:v>PH-VA-343</x:v>
      </x:c>
      <x:c r="C3555" t="str">
        <x:v>PHYSICAL</x:v>
      </x:c>
      <x:c r="D3555" t="str">
        <x:v>trial validity</x:v>
      </x:c>
      <x:c r="E3555" t="str">
        <x:v>PH-VA-343</x:v>
      </x:c>
      <x:c r="F3555" t="n">
        <x:f>IF('Trial Register'!R349&lt;&gt;"",1,0)</x:f>
        <x:v>0</x:v>
      </x:c>
      <x:c r="G3555" t="n">
        <x:v>1</x:v>
      </x:c>
      <x:c r="H3555" t="str">
        <x:v>independent physical acceptance</x:v>
      </x:c>
      <x:c r="I3555" t="str">
        <x:f>IF(F3555=1,"PASS","OPEN")</x:f>
        <x:v>OPEN</x:v>
      </x:c>
    </x:row>
    <x:row r="3556">
      <x:c r="B3556" t="str">
        <x:v>PH-RV-343</x:v>
      </x:c>
      <x:c r="C3556" t="str">
        <x:v>PHYSICAL</x:v>
      </x:c>
      <x:c r="D3556" t="str">
        <x:v>reported value</x:v>
      </x:c>
      <x:c r="E3556" t="str">
        <x:v>PH-RV-343</x:v>
      </x:c>
      <x:c r="F3556" t="n">
        <x:f>IF('Trial Register'!S349&lt;&gt;"",1,0)</x:f>
        <x:v>0</x:v>
      </x:c>
      <x:c r="G3556" t="n">
        <x:v>1</x:v>
      </x:c>
      <x:c r="H3556" t="str">
        <x:v>independent physical acceptance</x:v>
      </x:c>
      <x:c r="I3556" t="str">
        <x:f>IF(F3556=1,"PASS","OPEN")</x:f>
        <x:v>OPEN</x:v>
      </x:c>
    </x:row>
    <x:row r="3557">
      <x:c r="B3557" t="str">
        <x:v>PH-CR-343</x:v>
      </x:c>
      <x:c r="C3557" t="str">
        <x:v>PHYSICAL</x:v>
      </x:c>
      <x:c r="D3557" t="str">
        <x:v>credit acceptance</x:v>
      </x:c>
      <x:c r="E3557" t="str">
        <x:v>PH-CR-343</x:v>
      </x:c>
      <x:c r="F3557" t="str">
        <x:f>'Trial Register'!V349</x:f>
      </x:c>
      <x:c r="G3557" t="n">
        <x:v>1</x:v>
      </x:c>
      <x:c r="H3557" t="str">
        <x:v>independent physical acceptance</x:v>
      </x:c>
      <x:c r="I3557" t="str">
        <x:f>IF(F3557=1,"PASS","OPEN")</x:f>
        <x:v>OPEN</x:v>
      </x:c>
    </x:row>
    <x:row r="3558">
      <x:c r="B3558" t="str">
        <x:v>PH-EX-344</x:v>
      </x:c>
      <x:c r="C3558" t="str">
        <x:v>PHYSICAL</x:v>
      </x:c>
      <x:c r="D3558" t="str">
        <x:v>trial execution</x:v>
      </x:c>
      <x:c r="E3558" t="str">
        <x:v>PH-EX-344</x:v>
      </x:c>
      <x:c r="F3558" t="n">
        <x:f>IF('Trial Register'!P350&lt;&gt;"",1,0)</x:f>
        <x:v>0</x:v>
      </x:c>
      <x:c r="G3558" t="n">
        <x:v>1</x:v>
      </x:c>
      <x:c r="H3558" t="str">
        <x:v>independent physical acceptance</x:v>
      </x:c>
      <x:c r="I3558" t="str">
        <x:f>IF(F3558=1,"PASS","OPEN")</x:f>
        <x:v>OPEN</x:v>
      </x:c>
    </x:row>
    <x:row r="3559">
      <x:c r="B3559" t="str">
        <x:v>PH-PK-344</x:v>
      </x:c>
      <x:c r="C3559" t="str">
        <x:v>PHYSICAL</x:v>
      </x:c>
      <x:c r="D3559" t="str">
        <x:v>trial packet</x:v>
      </x:c>
      <x:c r="E3559" t="str">
        <x:v>PH-PK-344</x:v>
      </x:c>
      <x:c r="F3559" t="n">
        <x:f>IF('Trial Register'!Q350&lt;&gt;"",1,0)</x:f>
        <x:v>0</x:v>
      </x:c>
      <x:c r="G3559" t="n">
        <x:v>1</x:v>
      </x:c>
      <x:c r="H3559" t="str">
        <x:v>independent physical acceptance</x:v>
      </x:c>
      <x:c r="I3559" t="str">
        <x:f>IF(F3559=1,"PASS","OPEN")</x:f>
        <x:v>OPEN</x:v>
      </x:c>
    </x:row>
    <x:row r="3560">
      <x:c r="B3560" t="str">
        <x:v>PH-VA-344</x:v>
      </x:c>
      <x:c r="C3560" t="str">
        <x:v>PHYSICAL</x:v>
      </x:c>
      <x:c r="D3560" t="str">
        <x:v>trial validity</x:v>
      </x:c>
      <x:c r="E3560" t="str">
        <x:v>PH-VA-344</x:v>
      </x:c>
      <x:c r="F3560" t="n">
        <x:f>IF('Trial Register'!R350&lt;&gt;"",1,0)</x:f>
        <x:v>0</x:v>
      </x:c>
      <x:c r="G3560" t="n">
        <x:v>1</x:v>
      </x:c>
      <x:c r="H3560" t="str">
        <x:v>independent physical acceptance</x:v>
      </x:c>
      <x:c r="I3560" t="str">
        <x:f>IF(F3560=1,"PASS","OPEN")</x:f>
        <x:v>OPEN</x:v>
      </x:c>
    </x:row>
    <x:row r="3561">
      <x:c r="B3561" t="str">
        <x:v>PH-RV-344</x:v>
      </x:c>
      <x:c r="C3561" t="str">
        <x:v>PHYSICAL</x:v>
      </x:c>
      <x:c r="D3561" t="str">
        <x:v>reported value</x:v>
      </x:c>
      <x:c r="E3561" t="str">
        <x:v>PH-RV-344</x:v>
      </x:c>
      <x:c r="F3561" t="n">
        <x:f>IF('Trial Register'!S350&lt;&gt;"",1,0)</x:f>
        <x:v>0</x:v>
      </x:c>
      <x:c r="G3561" t="n">
        <x:v>1</x:v>
      </x:c>
      <x:c r="H3561" t="str">
        <x:v>independent physical acceptance</x:v>
      </x:c>
      <x:c r="I3561" t="str">
        <x:f>IF(F3561=1,"PASS","OPEN")</x:f>
        <x:v>OPEN</x:v>
      </x:c>
    </x:row>
    <x:row r="3562">
      <x:c r="B3562" t="str">
        <x:v>PH-CR-344</x:v>
      </x:c>
      <x:c r="C3562" t="str">
        <x:v>PHYSICAL</x:v>
      </x:c>
      <x:c r="D3562" t="str">
        <x:v>credit acceptance</x:v>
      </x:c>
      <x:c r="E3562" t="str">
        <x:v>PH-CR-344</x:v>
      </x:c>
      <x:c r="F3562" t="str">
        <x:f>'Trial Register'!V350</x:f>
      </x:c>
      <x:c r="G3562" t="n">
        <x:v>1</x:v>
      </x:c>
      <x:c r="H3562" t="str">
        <x:v>independent physical acceptance</x:v>
      </x:c>
      <x:c r="I3562" t="str">
        <x:f>IF(F3562=1,"PASS","OPEN")</x:f>
        <x:v>OPEN</x:v>
      </x:c>
    </x:row>
    <x:row r="3563">
      <x:c r="B3563" t="str">
        <x:v>PH-EX-345</x:v>
      </x:c>
      <x:c r="C3563" t="str">
        <x:v>PHYSICAL</x:v>
      </x:c>
      <x:c r="D3563" t="str">
        <x:v>trial execution</x:v>
      </x:c>
      <x:c r="E3563" t="str">
        <x:v>PH-EX-345</x:v>
      </x:c>
      <x:c r="F3563" t="n">
        <x:f>IF('Trial Register'!P351&lt;&gt;"",1,0)</x:f>
        <x:v>0</x:v>
      </x:c>
      <x:c r="G3563" t="n">
        <x:v>1</x:v>
      </x:c>
      <x:c r="H3563" t="str">
        <x:v>independent physical acceptance</x:v>
      </x:c>
      <x:c r="I3563" t="str">
        <x:f>IF(F3563=1,"PASS","OPEN")</x:f>
        <x:v>OPEN</x:v>
      </x:c>
    </x:row>
    <x:row r="3564">
      <x:c r="B3564" t="str">
        <x:v>PH-PK-345</x:v>
      </x:c>
      <x:c r="C3564" t="str">
        <x:v>PHYSICAL</x:v>
      </x:c>
      <x:c r="D3564" t="str">
        <x:v>trial packet</x:v>
      </x:c>
      <x:c r="E3564" t="str">
        <x:v>PH-PK-345</x:v>
      </x:c>
      <x:c r="F3564" t="n">
        <x:f>IF('Trial Register'!Q351&lt;&gt;"",1,0)</x:f>
        <x:v>0</x:v>
      </x:c>
      <x:c r="G3564" t="n">
        <x:v>1</x:v>
      </x:c>
      <x:c r="H3564" t="str">
        <x:v>independent physical acceptance</x:v>
      </x:c>
      <x:c r="I3564" t="str">
        <x:f>IF(F3564=1,"PASS","OPEN")</x:f>
        <x:v>OPEN</x:v>
      </x:c>
    </x:row>
    <x:row r="3565">
      <x:c r="B3565" t="str">
        <x:v>PH-VA-345</x:v>
      </x:c>
      <x:c r="C3565" t="str">
        <x:v>PHYSICAL</x:v>
      </x:c>
      <x:c r="D3565" t="str">
        <x:v>trial validity</x:v>
      </x:c>
      <x:c r="E3565" t="str">
        <x:v>PH-VA-345</x:v>
      </x:c>
      <x:c r="F3565" t="n">
        <x:f>IF('Trial Register'!R351&lt;&gt;"",1,0)</x:f>
        <x:v>0</x:v>
      </x:c>
      <x:c r="G3565" t="n">
        <x:v>1</x:v>
      </x:c>
      <x:c r="H3565" t="str">
        <x:v>independent physical acceptance</x:v>
      </x:c>
      <x:c r="I3565" t="str">
        <x:f>IF(F3565=1,"PASS","OPEN")</x:f>
        <x:v>OPEN</x:v>
      </x:c>
    </x:row>
    <x:row r="3566">
      <x:c r="B3566" t="str">
        <x:v>PH-RV-345</x:v>
      </x:c>
      <x:c r="C3566" t="str">
        <x:v>PHYSICAL</x:v>
      </x:c>
      <x:c r="D3566" t="str">
        <x:v>reported value</x:v>
      </x:c>
      <x:c r="E3566" t="str">
        <x:v>PH-RV-345</x:v>
      </x:c>
      <x:c r="F3566" t="n">
        <x:f>IF('Trial Register'!S351&lt;&gt;"",1,0)</x:f>
        <x:v>0</x:v>
      </x:c>
      <x:c r="G3566" t="n">
        <x:v>1</x:v>
      </x:c>
      <x:c r="H3566" t="str">
        <x:v>independent physical acceptance</x:v>
      </x:c>
      <x:c r="I3566" t="str">
        <x:f>IF(F3566=1,"PASS","OPEN")</x:f>
        <x:v>OPEN</x:v>
      </x:c>
    </x:row>
    <x:row r="3567">
      <x:c r="B3567" t="str">
        <x:v>PH-CR-345</x:v>
      </x:c>
      <x:c r="C3567" t="str">
        <x:v>PHYSICAL</x:v>
      </x:c>
      <x:c r="D3567" t="str">
        <x:v>credit acceptance</x:v>
      </x:c>
      <x:c r="E3567" t="str">
        <x:v>PH-CR-345</x:v>
      </x:c>
      <x:c r="F3567" t="str">
        <x:f>'Trial Register'!V351</x:f>
      </x:c>
      <x:c r="G3567" t="n">
        <x:v>1</x:v>
      </x:c>
      <x:c r="H3567" t="str">
        <x:v>independent physical acceptance</x:v>
      </x:c>
      <x:c r="I3567" t="str">
        <x:f>IF(F3567=1,"PASS","OPEN")</x:f>
        <x:v>OPEN</x:v>
      </x:c>
    </x:row>
    <x:row r="3568">
      <x:c r="B3568" t="str">
        <x:v>PH-EX-346</x:v>
      </x:c>
      <x:c r="C3568" t="str">
        <x:v>PHYSICAL</x:v>
      </x:c>
      <x:c r="D3568" t="str">
        <x:v>trial execution</x:v>
      </x:c>
      <x:c r="E3568" t="str">
        <x:v>PH-EX-346</x:v>
      </x:c>
      <x:c r="F3568" t="n">
        <x:f>IF('Trial Register'!P352&lt;&gt;"",1,0)</x:f>
        <x:v>0</x:v>
      </x:c>
      <x:c r="G3568" t="n">
        <x:v>1</x:v>
      </x:c>
      <x:c r="H3568" t="str">
        <x:v>independent physical acceptance</x:v>
      </x:c>
      <x:c r="I3568" t="str">
        <x:f>IF(F3568=1,"PASS","OPEN")</x:f>
        <x:v>OPEN</x:v>
      </x:c>
    </x:row>
    <x:row r="3569">
      <x:c r="B3569" t="str">
        <x:v>PH-PK-346</x:v>
      </x:c>
      <x:c r="C3569" t="str">
        <x:v>PHYSICAL</x:v>
      </x:c>
      <x:c r="D3569" t="str">
        <x:v>trial packet</x:v>
      </x:c>
      <x:c r="E3569" t="str">
        <x:v>PH-PK-346</x:v>
      </x:c>
      <x:c r="F3569" t="n">
        <x:f>IF('Trial Register'!Q352&lt;&gt;"",1,0)</x:f>
        <x:v>0</x:v>
      </x:c>
      <x:c r="G3569" t="n">
        <x:v>1</x:v>
      </x:c>
      <x:c r="H3569" t="str">
        <x:v>independent physical acceptance</x:v>
      </x:c>
      <x:c r="I3569" t="str">
        <x:f>IF(F3569=1,"PASS","OPEN")</x:f>
        <x:v>OPEN</x:v>
      </x:c>
    </x:row>
    <x:row r="3570">
      <x:c r="B3570" t="str">
        <x:v>PH-VA-346</x:v>
      </x:c>
      <x:c r="C3570" t="str">
        <x:v>PHYSICAL</x:v>
      </x:c>
      <x:c r="D3570" t="str">
        <x:v>trial validity</x:v>
      </x:c>
      <x:c r="E3570" t="str">
        <x:v>PH-VA-346</x:v>
      </x:c>
      <x:c r="F3570" t="n">
        <x:f>IF('Trial Register'!R352&lt;&gt;"",1,0)</x:f>
        <x:v>0</x:v>
      </x:c>
      <x:c r="G3570" t="n">
        <x:v>1</x:v>
      </x:c>
      <x:c r="H3570" t="str">
        <x:v>independent physical acceptance</x:v>
      </x:c>
      <x:c r="I3570" t="str">
        <x:f>IF(F3570=1,"PASS","OPEN")</x:f>
        <x:v>OPEN</x:v>
      </x:c>
    </x:row>
    <x:row r="3571">
      <x:c r="B3571" t="str">
        <x:v>PH-RV-346</x:v>
      </x:c>
      <x:c r="C3571" t="str">
        <x:v>PHYSICAL</x:v>
      </x:c>
      <x:c r="D3571" t="str">
        <x:v>reported value</x:v>
      </x:c>
      <x:c r="E3571" t="str">
        <x:v>PH-RV-346</x:v>
      </x:c>
      <x:c r="F3571" t="n">
        <x:f>IF('Trial Register'!S352&lt;&gt;"",1,0)</x:f>
        <x:v>0</x:v>
      </x:c>
      <x:c r="G3571" t="n">
        <x:v>1</x:v>
      </x:c>
      <x:c r="H3571" t="str">
        <x:v>independent physical acceptance</x:v>
      </x:c>
      <x:c r="I3571" t="str">
        <x:f>IF(F3571=1,"PASS","OPEN")</x:f>
        <x:v>OPEN</x:v>
      </x:c>
    </x:row>
    <x:row r="3572">
      <x:c r="B3572" t="str">
        <x:v>PH-CR-346</x:v>
      </x:c>
      <x:c r="C3572" t="str">
        <x:v>PHYSICAL</x:v>
      </x:c>
      <x:c r="D3572" t="str">
        <x:v>credit acceptance</x:v>
      </x:c>
      <x:c r="E3572" t="str">
        <x:v>PH-CR-346</x:v>
      </x:c>
      <x:c r="F3572" t="str">
        <x:f>'Trial Register'!V352</x:f>
      </x:c>
      <x:c r="G3572" t="n">
        <x:v>1</x:v>
      </x:c>
      <x:c r="H3572" t="str">
        <x:v>independent physical acceptance</x:v>
      </x:c>
      <x:c r="I3572" t="str">
        <x:f>IF(F3572=1,"PASS","OPEN")</x:f>
        <x:v>OPEN</x:v>
      </x:c>
    </x:row>
    <x:row r="3573">
      <x:c r="B3573" t="str">
        <x:v>PH-EX-347</x:v>
      </x:c>
      <x:c r="C3573" t="str">
        <x:v>PHYSICAL</x:v>
      </x:c>
      <x:c r="D3573" t="str">
        <x:v>trial execution</x:v>
      </x:c>
      <x:c r="E3573" t="str">
        <x:v>PH-EX-347</x:v>
      </x:c>
      <x:c r="F3573" t="n">
        <x:f>IF('Trial Register'!P353&lt;&gt;"",1,0)</x:f>
        <x:v>0</x:v>
      </x:c>
      <x:c r="G3573" t="n">
        <x:v>1</x:v>
      </x:c>
      <x:c r="H3573" t="str">
        <x:v>independent physical acceptance</x:v>
      </x:c>
      <x:c r="I3573" t="str">
        <x:f>IF(F3573=1,"PASS","OPEN")</x:f>
        <x:v>OPEN</x:v>
      </x:c>
    </x:row>
    <x:row r="3574">
      <x:c r="B3574" t="str">
        <x:v>PH-PK-347</x:v>
      </x:c>
      <x:c r="C3574" t="str">
        <x:v>PHYSICAL</x:v>
      </x:c>
      <x:c r="D3574" t="str">
        <x:v>trial packet</x:v>
      </x:c>
      <x:c r="E3574" t="str">
        <x:v>PH-PK-347</x:v>
      </x:c>
      <x:c r="F3574" t="n">
        <x:f>IF('Trial Register'!Q353&lt;&gt;"",1,0)</x:f>
        <x:v>0</x:v>
      </x:c>
      <x:c r="G3574" t="n">
        <x:v>1</x:v>
      </x:c>
      <x:c r="H3574" t="str">
        <x:v>independent physical acceptance</x:v>
      </x:c>
      <x:c r="I3574" t="str">
        <x:f>IF(F3574=1,"PASS","OPEN")</x:f>
        <x:v>OPEN</x:v>
      </x:c>
    </x:row>
    <x:row r="3575">
      <x:c r="B3575" t="str">
        <x:v>PH-VA-347</x:v>
      </x:c>
      <x:c r="C3575" t="str">
        <x:v>PHYSICAL</x:v>
      </x:c>
      <x:c r="D3575" t="str">
        <x:v>trial validity</x:v>
      </x:c>
      <x:c r="E3575" t="str">
        <x:v>PH-VA-347</x:v>
      </x:c>
      <x:c r="F3575" t="n">
        <x:f>IF('Trial Register'!R353&lt;&gt;"",1,0)</x:f>
        <x:v>0</x:v>
      </x:c>
      <x:c r="G3575" t="n">
        <x:v>1</x:v>
      </x:c>
      <x:c r="H3575" t="str">
        <x:v>independent physical acceptance</x:v>
      </x:c>
      <x:c r="I3575" t="str">
        <x:f>IF(F3575=1,"PASS","OPEN")</x:f>
        <x:v>OPEN</x:v>
      </x:c>
    </x:row>
    <x:row r="3576">
      <x:c r="B3576" t="str">
        <x:v>PH-RV-347</x:v>
      </x:c>
      <x:c r="C3576" t="str">
        <x:v>PHYSICAL</x:v>
      </x:c>
      <x:c r="D3576" t="str">
        <x:v>reported value</x:v>
      </x:c>
      <x:c r="E3576" t="str">
        <x:v>PH-RV-347</x:v>
      </x:c>
      <x:c r="F3576" t="n">
        <x:f>IF('Trial Register'!S353&lt;&gt;"",1,0)</x:f>
        <x:v>0</x:v>
      </x:c>
      <x:c r="G3576" t="n">
        <x:v>1</x:v>
      </x:c>
      <x:c r="H3576" t="str">
        <x:v>independent physical acceptance</x:v>
      </x:c>
      <x:c r="I3576" t="str">
        <x:f>IF(F3576=1,"PASS","OPEN")</x:f>
        <x:v>OPEN</x:v>
      </x:c>
    </x:row>
    <x:row r="3577">
      <x:c r="B3577" t="str">
        <x:v>PH-CR-347</x:v>
      </x:c>
      <x:c r="C3577" t="str">
        <x:v>PHYSICAL</x:v>
      </x:c>
      <x:c r="D3577" t="str">
        <x:v>credit acceptance</x:v>
      </x:c>
      <x:c r="E3577" t="str">
        <x:v>PH-CR-347</x:v>
      </x:c>
      <x:c r="F3577" t="str">
        <x:f>'Trial Register'!V353</x:f>
      </x:c>
      <x:c r="G3577" t="n">
        <x:v>1</x:v>
      </x:c>
      <x:c r="H3577" t="str">
        <x:v>independent physical acceptance</x:v>
      </x:c>
      <x:c r="I3577" t="str">
        <x:f>IF(F3577=1,"PASS","OPEN")</x:f>
        <x:v>OPEN</x:v>
      </x:c>
    </x:row>
    <x:row r="3578">
      <x:c r="B3578" t="str">
        <x:v>PH-EX-348</x:v>
      </x:c>
      <x:c r="C3578" t="str">
        <x:v>PHYSICAL</x:v>
      </x:c>
      <x:c r="D3578" t="str">
        <x:v>trial execution</x:v>
      </x:c>
      <x:c r="E3578" t="str">
        <x:v>PH-EX-348</x:v>
      </x:c>
      <x:c r="F3578" t="n">
        <x:f>IF('Trial Register'!P354&lt;&gt;"",1,0)</x:f>
        <x:v>0</x:v>
      </x:c>
      <x:c r="G3578" t="n">
        <x:v>1</x:v>
      </x:c>
      <x:c r="H3578" t="str">
        <x:v>independent physical acceptance</x:v>
      </x:c>
      <x:c r="I3578" t="str">
        <x:f>IF(F3578=1,"PASS","OPEN")</x:f>
        <x:v>OPEN</x:v>
      </x:c>
    </x:row>
    <x:row r="3579">
      <x:c r="B3579" t="str">
        <x:v>PH-PK-348</x:v>
      </x:c>
      <x:c r="C3579" t="str">
        <x:v>PHYSICAL</x:v>
      </x:c>
      <x:c r="D3579" t="str">
        <x:v>trial packet</x:v>
      </x:c>
      <x:c r="E3579" t="str">
        <x:v>PH-PK-348</x:v>
      </x:c>
      <x:c r="F3579" t="n">
        <x:f>IF('Trial Register'!Q354&lt;&gt;"",1,0)</x:f>
        <x:v>0</x:v>
      </x:c>
      <x:c r="G3579" t="n">
        <x:v>1</x:v>
      </x:c>
      <x:c r="H3579" t="str">
        <x:v>independent physical acceptance</x:v>
      </x:c>
      <x:c r="I3579" t="str">
        <x:f>IF(F3579=1,"PASS","OPEN")</x:f>
        <x:v>OPEN</x:v>
      </x:c>
    </x:row>
    <x:row r="3580">
      <x:c r="B3580" t="str">
        <x:v>PH-VA-348</x:v>
      </x:c>
      <x:c r="C3580" t="str">
        <x:v>PHYSICAL</x:v>
      </x:c>
      <x:c r="D3580" t="str">
        <x:v>trial validity</x:v>
      </x:c>
      <x:c r="E3580" t="str">
        <x:v>PH-VA-348</x:v>
      </x:c>
      <x:c r="F3580" t="n">
        <x:f>IF('Trial Register'!R354&lt;&gt;"",1,0)</x:f>
        <x:v>0</x:v>
      </x:c>
      <x:c r="G3580" t="n">
        <x:v>1</x:v>
      </x:c>
      <x:c r="H3580" t="str">
        <x:v>independent physical acceptance</x:v>
      </x:c>
      <x:c r="I3580" t="str">
        <x:f>IF(F3580=1,"PASS","OPEN")</x:f>
        <x:v>OPEN</x:v>
      </x:c>
    </x:row>
    <x:row r="3581">
      <x:c r="B3581" t="str">
        <x:v>PH-RV-348</x:v>
      </x:c>
      <x:c r="C3581" t="str">
        <x:v>PHYSICAL</x:v>
      </x:c>
      <x:c r="D3581" t="str">
        <x:v>reported value</x:v>
      </x:c>
      <x:c r="E3581" t="str">
        <x:v>PH-RV-348</x:v>
      </x:c>
      <x:c r="F3581" t="n">
        <x:f>IF('Trial Register'!S354&lt;&gt;"",1,0)</x:f>
        <x:v>0</x:v>
      </x:c>
      <x:c r="G3581" t="n">
        <x:v>1</x:v>
      </x:c>
      <x:c r="H3581" t="str">
        <x:v>independent physical acceptance</x:v>
      </x:c>
      <x:c r="I3581" t="str">
        <x:f>IF(F3581=1,"PASS","OPEN")</x:f>
        <x:v>OPEN</x:v>
      </x:c>
    </x:row>
    <x:row r="3582">
      <x:c r="B3582" t="str">
        <x:v>PH-CR-348</x:v>
      </x:c>
      <x:c r="C3582" t="str">
        <x:v>PHYSICAL</x:v>
      </x:c>
      <x:c r="D3582" t="str">
        <x:v>credit acceptance</x:v>
      </x:c>
      <x:c r="E3582" t="str">
        <x:v>PH-CR-348</x:v>
      </x:c>
      <x:c r="F3582" t="str">
        <x:f>'Trial Register'!V354</x:f>
      </x:c>
      <x:c r="G3582" t="n">
        <x:v>1</x:v>
      </x:c>
      <x:c r="H3582" t="str">
        <x:v>independent physical acceptance</x:v>
      </x:c>
      <x:c r="I3582" t="str">
        <x:f>IF(F3582=1,"PASS","OPEN")</x:f>
        <x:v>OPEN</x:v>
      </x:c>
    </x:row>
    <x:row r="3583">
      <x:c r="B3583" t="str">
        <x:v>PH-EX-349</x:v>
      </x:c>
      <x:c r="C3583" t="str">
        <x:v>PHYSICAL</x:v>
      </x:c>
      <x:c r="D3583" t="str">
        <x:v>trial execution</x:v>
      </x:c>
      <x:c r="E3583" t="str">
        <x:v>PH-EX-349</x:v>
      </x:c>
      <x:c r="F3583" t="n">
        <x:f>IF('Trial Register'!P355&lt;&gt;"",1,0)</x:f>
        <x:v>0</x:v>
      </x:c>
      <x:c r="G3583" t="n">
        <x:v>1</x:v>
      </x:c>
      <x:c r="H3583" t="str">
        <x:v>independent physical acceptance</x:v>
      </x:c>
      <x:c r="I3583" t="str">
        <x:f>IF(F3583=1,"PASS","OPEN")</x:f>
        <x:v>OPEN</x:v>
      </x:c>
    </x:row>
    <x:row r="3584">
      <x:c r="B3584" t="str">
        <x:v>PH-PK-349</x:v>
      </x:c>
      <x:c r="C3584" t="str">
        <x:v>PHYSICAL</x:v>
      </x:c>
      <x:c r="D3584" t="str">
        <x:v>trial packet</x:v>
      </x:c>
      <x:c r="E3584" t="str">
        <x:v>PH-PK-349</x:v>
      </x:c>
      <x:c r="F3584" t="n">
        <x:f>IF('Trial Register'!Q355&lt;&gt;"",1,0)</x:f>
        <x:v>0</x:v>
      </x:c>
      <x:c r="G3584" t="n">
        <x:v>1</x:v>
      </x:c>
      <x:c r="H3584" t="str">
        <x:v>independent physical acceptance</x:v>
      </x:c>
      <x:c r="I3584" t="str">
        <x:f>IF(F3584=1,"PASS","OPEN")</x:f>
        <x:v>OPEN</x:v>
      </x:c>
    </x:row>
    <x:row r="3585">
      <x:c r="B3585" t="str">
        <x:v>PH-VA-349</x:v>
      </x:c>
      <x:c r="C3585" t="str">
        <x:v>PHYSICAL</x:v>
      </x:c>
      <x:c r="D3585" t="str">
        <x:v>trial validity</x:v>
      </x:c>
      <x:c r="E3585" t="str">
        <x:v>PH-VA-349</x:v>
      </x:c>
      <x:c r="F3585" t="n">
        <x:f>IF('Trial Register'!R355&lt;&gt;"",1,0)</x:f>
        <x:v>0</x:v>
      </x:c>
      <x:c r="G3585" t="n">
        <x:v>1</x:v>
      </x:c>
      <x:c r="H3585" t="str">
        <x:v>independent physical acceptance</x:v>
      </x:c>
      <x:c r="I3585" t="str">
        <x:f>IF(F3585=1,"PASS","OPEN")</x:f>
        <x:v>OPEN</x:v>
      </x:c>
    </x:row>
    <x:row r="3586">
      <x:c r="B3586" t="str">
        <x:v>PH-RV-349</x:v>
      </x:c>
      <x:c r="C3586" t="str">
        <x:v>PHYSICAL</x:v>
      </x:c>
      <x:c r="D3586" t="str">
        <x:v>reported value</x:v>
      </x:c>
      <x:c r="E3586" t="str">
        <x:v>PH-RV-349</x:v>
      </x:c>
      <x:c r="F3586" t="n">
        <x:f>IF('Trial Register'!S355&lt;&gt;"",1,0)</x:f>
        <x:v>0</x:v>
      </x:c>
      <x:c r="G3586" t="n">
        <x:v>1</x:v>
      </x:c>
      <x:c r="H3586" t="str">
        <x:v>independent physical acceptance</x:v>
      </x:c>
      <x:c r="I3586" t="str">
        <x:f>IF(F3586=1,"PASS","OPEN")</x:f>
        <x:v>OPEN</x:v>
      </x:c>
    </x:row>
    <x:row r="3587">
      <x:c r="B3587" t="str">
        <x:v>PH-CR-349</x:v>
      </x:c>
      <x:c r="C3587" t="str">
        <x:v>PHYSICAL</x:v>
      </x:c>
      <x:c r="D3587" t="str">
        <x:v>credit acceptance</x:v>
      </x:c>
      <x:c r="E3587" t="str">
        <x:v>PH-CR-349</x:v>
      </x:c>
      <x:c r="F3587" t="str">
        <x:f>'Trial Register'!V355</x:f>
      </x:c>
      <x:c r="G3587" t="n">
        <x:v>1</x:v>
      </x:c>
      <x:c r="H3587" t="str">
        <x:v>independent physical acceptance</x:v>
      </x:c>
      <x:c r="I3587" t="str">
        <x:f>IF(F3587=1,"PASS","OPEN")</x:f>
        <x:v>OPEN</x:v>
      </x:c>
    </x:row>
    <x:row r="3588">
      <x:c r="B3588" t="str">
        <x:v>PH-EX-350</x:v>
      </x:c>
      <x:c r="C3588" t="str">
        <x:v>PHYSICAL</x:v>
      </x:c>
      <x:c r="D3588" t="str">
        <x:v>trial execution</x:v>
      </x:c>
      <x:c r="E3588" t="str">
        <x:v>PH-EX-350</x:v>
      </x:c>
      <x:c r="F3588" t="n">
        <x:f>IF('Trial Register'!P356&lt;&gt;"",1,0)</x:f>
        <x:v>0</x:v>
      </x:c>
      <x:c r="G3588" t="n">
        <x:v>1</x:v>
      </x:c>
      <x:c r="H3588" t="str">
        <x:v>independent physical acceptance</x:v>
      </x:c>
      <x:c r="I3588" t="str">
        <x:f>IF(F3588=1,"PASS","OPEN")</x:f>
        <x:v>OPEN</x:v>
      </x:c>
    </x:row>
    <x:row r="3589">
      <x:c r="B3589" t="str">
        <x:v>PH-PK-350</x:v>
      </x:c>
      <x:c r="C3589" t="str">
        <x:v>PHYSICAL</x:v>
      </x:c>
      <x:c r="D3589" t="str">
        <x:v>trial packet</x:v>
      </x:c>
      <x:c r="E3589" t="str">
        <x:v>PH-PK-350</x:v>
      </x:c>
      <x:c r="F3589" t="n">
        <x:f>IF('Trial Register'!Q356&lt;&gt;"",1,0)</x:f>
        <x:v>0</x:v>
      </x:c>
      <x:c r="G3589" t="n">
        <x:v>1</x:v>
      </x:c>
      <x:c r="H3589" t="str">
        <x:v>independent physical acceptance</x:v>
      </x:c>
      <x:c r="I3589" t="str">
        <x:f>IF(F3589=1,"PASS","OPEN")</x:f>
        <x:v>OPEN</x:v>
      </x:c>
    </x:row>
    <x:row r="3590">
      <x:c r="B3590" t="str">
        <x:v>PH-VA-350</x:v>
      </x:c>
      <x:c r="C3590" t="str">
        <x:v>PHYSICAL</x:v>
      </x:c>
      <x:c r="D3590" t="str">
        <x:v>trial validity</x:v>
      </x:c>
      <x:c r="E3590" t="str">
        <x:v>PH-VA-350</x:v>
      </x:c>
      <x:c r="F3590" t="n">
        <x:f>IF('Trial Register'!R356&lt;&gt;"",1,0)</x:f>
        <x:v>0</x:v>
      </x:c>
      <x:c r="G3590" t="n">
        <x:v>1</x:v>
      </x:c>
      <x:c r="H3590" t="str">
        <x:v>independent physical acceptance</x:v>
      </x:c>
      <x:c r="I3590" t="str">
        <x:f>IF(F3590=1,"PASS","OPEN")</x:f>
        <x:v>OPEN</x:v>
      </x:c>
    </x:row>
    <x:row r="3591">
      <x:c r="B3591" t="str">
        <x:v>PH-RV-350</x:v>
      </x:c>
      <x:c r="C3591" t="str">
        <x:v>PHYSICAL</x:v>
      </x:c>
      <x:c r="D3591" t="str">
        <x:v>reported value</x:v>
      </x:c>
      <x:c r="E3591" t="str">
        <x:v>PH-RV-350</x:v>
      </x:c>
      <x:c r="F3591" t="n">
        <x:f>IF('Trial Register'!S356&lt;&gt;"",1,0)</x:f>
        <x:v>0</x:v>
      </x:c>
      <x:c r="G3591" t="n">
        <x:v>1</x:v>
      </x:c>
      <x:c r="H3591" t="str">
        <x:v>independent physical acceptance</x:v>
      </x:c>
      <x:c r="I3591" t="str">
        <x:f>IF(F3591=1,"PASS","OPEN")</x:f>
        <x:v>OPEN</x:v>
      </x:c>
    </x:row>
    <x:row r="3592">
      <x:c r="B3592" t="str">
        <x:v>PH-CR-350</x:v>
      </x:c>
      <x:c r="C3592" t="str">
        <x:v>PHYSICAL</x:v>
      </x:c>
      <x:c r="D3592" t="str">
        <x:v>credit acceptance</x:v>
      </x:c>
      <x:c r="E3592" t="str">
        <x:v>PH-CR-350</x:v>
      </x:c>
      <x:c r="F3592" t="str">
        <x:f>'Trial Register'!V356</x:f>
      </x:c>
      <x:c r="G3592" t="n">
        <x:v>1</x:v>
      </x:c>
      <x:c r="H3592" t="str">
        <x:v>independent physical acceptance</x:v>
      </x:c>
      <x:c r="I3592" t="str">
        <x:f>IF(F3592=1,"PASS","OPEN")</x:f>
        <x:v>OPEN</x:v>
      </x:c>
    </x:row>
    <x:row r="3593">
      <x:c r="B3593" t="str">
        <x:v>PH-EX-351</x:v>
      </x:c>
      <x:c r="C3593" t="str">
        <x:v>PHYSICAL</x:v>
      </x:c>
      <x:c r="D3593" t="str">
        <x:v>trial execution</x:v>
      </x:c>
      <x:c r="E3593" t="str">
        <x:v>PH-EX-351</x:v>
      </x:c>
      <x:c r="F3593" t="n">
        <x:f>IF('Trial Register'!P357&lt;&gt;"",1,0)</x:f>
        <x:v>0</x:v>
      </x:c>
      <x:c r="G3593" t="n">
        <x:v>1</x:v>
      </x:c>
      <x:c r="H3593" t="str">
        <x:v>independent physical acceptance</x:v>
      </x:c>
      <x:c r="I3593" t="str">
        <x:f>IF(F3593=1,"PASS","OPEN")</x:f>
        <x:v>OPEN</x:v>
      </x:c>
    </x:row>
    <x:row r="3594">
      <x:c r="B3594" t="str">
        <x:v>PH-PK-351</x:v>
      </x:c>
      <x:c r="C3594" t="str">
        <x:v>PHYSICAL</x:v>
      </x:c>
      <x:c r="D3594" t="str">
        <x:v>trial packet</x:v>
      </x:c>
      <x:c r="E3594" t="str">
        <x:v>PH-PK-351</x:v>
      </x:c>
      <x:c r="F3594" t="n">
        <x:f>IF('Trial Register'!Q357&lt;&gt;"",1,0)</x:f>
        <x:v>0</x:v>
      </x:c>
      <x:c r="G3594" t="n">
        <x:v>1</x:v>
      </x:c>
      <x:c r="H3594" t="str">
        <x:v>independent physical acceptance</x:v>
      </x:c>
      <x:c r="I3594" t="str">
        <x:f>IF(F3594=1,"PASS","OPEN")</x:f>
        <x:v>OPEN</x:v>
      </x:c>
    </x:row>
    <x:row r="3595">
      <x:c r="B3595" t="str">
        <x:v>PH-VA-351</x:v>
      </x:c>
      <x:c r="C3595" t="str">
        <x:v>PHYSICAL</x:v>
      </x:c>
      <x:c r="D3595" t="str">
        <x:v>trial validity</x:v>
      </x:c>
      <x:c r="E3595" t="str">
        <x:v>PH-VA-351</x:v>
      </x:c>
      <x:c r="F3595" t="n">
        <x:f>IF('Trial Register'!R357&lt;&gt;"",1,0)</x:f>
        <x:v>0</x:v>
      </x:c>
      <x:c r="G3595" t="n">
        <x:v>1</x:v>
      </x:c>
      <x:c r="H3595" t="str">
        <x:v>independent physical acceptance</x:v>
      </x:c>
      <x:c r="I3595" t="str">
        <x:f>IF(F3595=1,"PASS","OPEN")</x:f>
        <x:v>OPEN</x:v>
      </x:c>
    </x:row>
    <x:row r="3596">
      <x:c r="B3596" t="str">
        <x:v>PH-RV-351</x:v>
      </x:c>
      <x:c r="C3596" t="str">
        <x:v>PHYSICAL</x:v>
      </x:c>
      <x:c r="D3596" t="str">
        <x:v>reported value</x:v>
      </x:c>
      <x:c r="E3596" t="str">
        <x:v>PH-RV-351</x:v>
      </x:c>
      <x:c r="F3596" t="n">
        <x:f>IF('Trial Register'!S357&lt;&gt;"",1,0)</x:f>
        <x:v>0</x:v>
      </x:c>
      <x:c r="G3596" t="n">
        <x:v>1</x:v>
      </x:c>
      <x:c r="H3596" t="str">
        <x:v>independent physical acceptance</x:v>
      </x:c>
      <x:c r="I3596" t="str">
        <x:f>IF(F3596=1,"PASS","OPEN")</x:f>
        <x:v>OPEN</x:v>
      </x:c>
    </x:row>
    <x:row r="3597">
      <x:c r="B3597" t="str">
        <x:v>PH-CR-351</x:v>
      </x:c>
      <x:c r="C3597" t="str">
        <x:v>PHYSICAL</x:v>
      </x:c>
      <x:c r="D3597" t="str">
        <x:v>credit acceptance</x:v>
      </x:c>
      <x:c r="E3597" t="str">
        <x:v>PH-CR-351</x:v>
      </x:c>
      <x:c r="F3597" t="str">
        <x:f>'Trial Register'!V357</x:f>
      </x:c>
      <x:c r="G3597" t="n">
        <x:v>1</x:v>
      </x:c>
      <x:c r="H3597" t="str">
        <x:v>independent physical acceptance</x:v>
      </x:c>
      <x:c r="I3597" t="str">
        <x:f>IF(F3597=1,"PASS","OPEN")</x:f>
        <x:v>OPEN</x:v>
      </x:c>
    </x:row>
    <x:row r="3598">
      <x:c r="B3598" t="str">
        <x:v>PH-EX-352</x:v>
      </x:c>
      <x:c r="C3598" t="str">
        <x:v>PHYSICAL</x:v>
      </x:c>
      <x:c r="D3598" t="str">
        <x:v>trial execution</x:v>
      </x:c>
      <x:c r="E3598" t="str">
        <x:v>PH-EX-352</x:v>
      </x:c>
      <x:c r="F3598" t="n">
        <x:f>IF('Trial Register'!P358&lt;&gt;"",1,0)</x:f>
        <x:v>0</x:v>
      </x:c>
      <x:c r="G3598" t="n">
        <x:v>1</x:v>
      </x:c>
      <x:c r="H3598" t="str">
        <x:v>independent physical acceptance</x:v>
      </x:c>
      <x:c r="I3598" t="str">
        <x:f>IF(F3598=1,"PASS","OPEN")</x:f>
        <x:v>OPEN</x:v>
      </x:c>
    </x:row>
    <x:row r="3599">
      <x:c r="B3599" t="str">
        <x:v>PH-PK-352</x:v>
      </x:c>
      <x:c r="C3599" t="str">
        <x:v>PHYSICAL</x:v>
      </x:c>
      <x:c r="D3599" t="str">
        <x:v>trial packet</x:v>
      </x:c>
      <x:c r="E3599" t="str">
        <x:v>PH-PK-352</x:v>
      </x:c>
      <x:c r="F3599" t="n">
        <x:f>IF('Trial Register'!Q358&lt;&gt;"",1,0)</x:f>
        <x:v>0</x:v>
      </x:c>
      <x:c r="G3599" t="n">
        <x:v>1</x:v>
      </x:c>
      <x:c r="H3599" t="str">
        <x:v>independent physical acceptance</x:v>
      </x:c>
      <x:c r="I3599" t="str">
        <x:f>IF(F3599=1,"PASS","OPEN")</x:f>
        <x:v>OPEN</x:v>
      </x:c>
    </x:row>
    <x:row r="3600">
      <x:c r="B3600" t="str">
        <x:v>PH-VA-352</x:v>
      </x:c>
      <x:c r="C3600" t="str">
        <x:v>PHYSICAL</x:v>
      </x:c>
      <x:c r="D3600" t="str">
        <x:v>trial validity</x:v>
      </x:c>
      <x:c r="E3600" t="str">
        <x:v>PH-VA-352</x:v>
      </x:c>
      <x:c r="F3600" t="n">
        <x:f>IF('Trial Register'!R358&lt;&gt;"",1,0)</x:f>
        <x:v>0</x:v>
      </x:c>
      <x:c r="G3600" t="n">
        <x:v>1</x:v>
      </x:c>
      <x:c r="H3600" t="str">
        <x:v>independent physical acceptance</x:v>
      </x:c>
      <x:c r="I3600" t="str">
        <x:f>IF(F3600=1,"PASS","OPEN")</x:f>
        <x:v>OPEN</x:v>
      </x:c>
    </x:row>
    <x:row r="3601">
      <x:c r="B3601" t="str">
        <x:v>PH-RV-352</x:v>
      </x:c>
      <x:c r="C3601" t="str">
        <x:v>PHYSICAL</x:v>
      </x:c>
      <x:c r="D3601" t="str">
        <x:v>reported value</x:v>
      </x:c>
      <x:c r="E3601" t="str">
        <x:v>PH-RV-352</x:v>
      </x:c>
      <x:c r="F3601" t="n">
        <x:f>IF('Trial Register'!S358&lt;&gt;"",1,0)</x:f>
        <x:v>0</x:v>
      </x:c>
      <x:c r="G3601" t="n">
        <x:v>1</x:v>
      </x:c>
      <x:c r="H3601" t="str">
        <x:v>independent physical acceptance</x:v>
      </x:c>
      <x:c r="I3601" t="str">
        <x:f>IF(F3601=1,"PASS","OPEN")</x:f>
        <x:v>OPEN</x:v>
      </x:c>
    </x:row>
    <x:row r="3602">
      <x:c r="B3602" t="str">
        <x:v>PH-CR-352</x:v>
      </x:c>
      <x:c r="C3602" t="str">
        <x:v>PHYSICAL</x:v>
      </x:c>
      <x:c r="D3602" t="str">
        <x:v>credit acceptance</x:v>
      </x:c>
      <x:c r="E3602" t="str">
        <x:v>PH-CR-352</x:v>
      </x:c>
      <x:c r="F3602" t="str">
        <x:f>'Trial Register'!V358</x:f>
      </x:c>
      <x:c r="G3602" t="n">
        <x:v>1</x:v>
      </x:c>
      <x:c r="H3602" t="str">
        <x:v>independent physical acceptance</x:v>
      </x:c>
      <x:c r="I3602" t="str">
        <x:f>IF(F3602=1,"PASS","OPEN")</x:f>
        <x:v>OPEN</x:v>
      </x:c>
    </x:row>
    <x:row r="3603">
      <x:c r="B3603" t="str">
        <x:v>PH-EX-353</x:v>
      </x:c>
      <x:c r="C3603" t="str">
        <x:v>PHYSICAL</x:v>
      </x:c>
      <x:c r="D3603" t="str">
        <x:v>trial execution</x:v>
      </x:c>
      <x:c r="E3603" t="str">
        <x:v>PH-EX-353</x:v>
      </x:c>
      <x:c r="F3603" t="n">
        <x:f>IF('Trial Register'!P359&lt;&gt;"",1,0)</x:f>
        <x:v>0</x:v>
      </x:c>
      <x:c r="G3603" t="n">
        <x:v>1</x:v>
      </x:c>
      <x:c r="H3603" t="str">
        <x:v>independent physical acceptance</x:v>
      </x:c>
      <x:c r="I3603" t="str">
        <x:f>IF(F3603=1,"PASS","OPEN")</x:f>
        <x:v>OPEN</x:v>
      </x:c>
    </x:row>
    <x:row r="3604">
      <x:c r="B3604" t="str">
        <x:v>PH-PK-353</x:v>
      </x:c>
      <x:c r="C3604" t="str">
        <x:v>PHYSICAL</x:v>
      </x:c>
      <x:c r="D3604" t="str">
        <x:v>trial packet</x:v>
      </x:c>
      <x:c r="E3604" t="str">
        <x:v>PH-PK-353</x:v>
      </x:c>
      <x:c r="F3604" t="n">
        <x:f>IF('Trial Register'!Q359&lt;&gt;"",1,0)</x:f>
        <x:v>0</x:v>
      </x:c>
      <x:c r="G3604" t="n">
        <x:v>1</x:v>
      </x:c>
      <x:c r="H3604" t="str">
        <x:v>independent physical acceptance</x:v>
      </x:c>
      <x:c r="I3604" t="str">
        <x:f>IF(F3604=1,"PASS","OPEN")</x:f>
        <x:v>OPEN</x:v>
      </x:c>
    </x:row>
    <x:row r="3605">
      <x:c r="B3605" t="str">
        <x:v>PH-VA-353</x:v>
      </x:c>
      <x:c r="C3605" t="str">
        <x:v>PHYSICAL</x:v>
      </x:c>
      <x:c r="D3605" t="str">
        <x:v>trial validity</x:v>
      </x:c>
      <x:c r="E3605" t="str">
        <x:v>PH-VA-353</x:v>
      </x:c>
      <x:c r="F3605" t="n">
        <x:f>IF('Trial Register'!R359&lt;&gt;"",1,0)</x:f>
        <x:v>0</x:v>
      </x:c>
      <x:c r="G3605" t="n">
        <x:v>1</x:v>
      </x:c>
      <x:c r="H3605" t="str">
        <x:v>independent physical acceptance</x:v>
      </x:c>
      <x:c r="I3605" t="str">
        <x:f>IF(F3605=1,"PASS","OPEN")</x:f>
        <x:v>OPEN</x:v>
      </x:c>
    </x:row>
    <x:row r="3606">
      <x:c r="B3606" t="str">
        <x:v>PH-RV-353</x:v>
      </x:c>
      <x:c r="C3606" t="str">
        <x:v>PHYSICAL</x:v>
      </x:c>
      <x:c r="D3606" t="str">
        <x:v>reported value</x:v>
      </x:c>
      <x:c r="E3606" t="str">
        <x:v>PH-RV-353</x:v>
      </x:c>
      <x:c r="F3606" t="n">
        <x:f>IF('Trial Register'!S359&lt;&gt;"",1,0)</x:f>
        <x:v>0</x:v>
      </x:c>
      <x:c r="G3606" t="n">
        <x:v>1</x:v>
      </x:c>
      <x:c r="H3606" t="str">
        <x:v>independent physical acceptance</x:v>
      </x:c>
      <x:c r="I3606" t="str">
        <x:f>IF(F3606=1,"PASS","OPEN")</x:f>
        <x:v>OPEN</x:v>
      </x:c>
    </x:row>
    <x:row r="3607">
      <x:c r="B3607" t="str">
        <x:v>PH-CR-353</x:v>
      </x:c>
      <x:c r="C3607" t="str">
        <x:v>PHYSICAL</x:v>
      </x:c>
      <x:c r="D3607" t="str">
        <x:v>credit acceptance</x:v>
      </x:c>
      <x:c r="E3607" t="str">
        <x:v>PH-CR-353</x:v>
      </x:c>
      <x:c r="F3607" t="str">
        <x:f>'Trial Register'!V359</x:f>
      </x:c>
      <x:c r="G3607" t="n">
        <x:v>1</x:v>
      </x:c>
      <x:c r="H3607" t="str">
        <x:v>independent physical acceptance</x:v>
      </x:c>
      <x:c r="I3607" t="str">
        <x:f>IF(F3607=1,"PASS","OPEN")</x:f>
        <x:v>OPEN</x:v>
      </x:c>
    </x:row>
    <x:row r="3608">
      <x:c r="B3608" t="str">
        <x:v>PH-EX-354</x:v>
      </x:c>
      <x:c r="C3608" t="str">
        <x:v>PHYSICAL</x:v>
      </x:c>
      <x:c r="D3608" t="str">
        <x:v>trial execution</x:v>
      </x:c>
      <x:c r="E3608" t="str">
        <x:v>PH-EX-354</x:v>
      </x:c>
      <x:c r="F3608" t="n">
        <x:f>IF('Trial Register'!P360&lt;&gt;"",1,0)</x:f>
        <x:v>0</x:v>
      </x:c>
      <x:c r="G3608" t="n">
        <x:v>1</x:v>
      </x:c>
      <x:c r="H3608" t="str">
        <x:v>independent physical acceptance</x:v>
      </x:c>
      <x:c r="I3608" t="str">
        <x:f>IF(F3608=1,"PASS","OPEN")</x:f>
        <x:v>OPEN</x:v>
      </x:c>
    </x:row>
    <x:row r="3609">
      <x:c r="B3609" t="str">
        <x:v>PH-PK-354</x:v>
      </x:c>
      <x:c r="C3609" t="str">
        <x:v>PHYSICAL</x:v>
      </x:c>
      <x:c r="D3609" t="str">
        <x:v>trial packet</x:v>
      </x:c>
      <x:c r="E3609" t="str">
        <x:v>PH-PK-354</x:v>
      </x:c>
      <x:c r="F3609" t="n">
        <x:f>IF('Trial Register'!Q360&lt;&gt;"",1,0)</x:f>
        <x:v>0</x:v>
      </x:c>
      <x:c r="G3609" t="n">
        <x:v>1</x:v>
      </x:c>
      <x:c r="H3609" t="str">
        <x:v>independent physical acceptance</x:v>
      </x:c>
      <x:c r="I3609" t="str">
        <x:f>IF(F3609=1,"PASS","OPEN")</x:f>
        <x:v>OPEN</x:v>
      </x:c>
    </x:row>
    <x:row r="3610">
      <x:c r="B3610" t="str">
        <x:v>PH-VA-354</x:v>
      </x:c>
      <x:c r="C3610" t="str">
        <x:v>PHYSICAL</x:v>
      </x:c>
      <x:c r="D3610" t="str">
        <x:v>trial validity</x:v>
      </x:c>
      <x:c r="E3610" t="str">
        <x:v>PH-VA-354</x:v>
      </x:c>
      <x:c r="F3610" t="n">
        <x:f>IF('Trial Register'!R360&lt;&gt;"",1,0)</x:f>
        <x:v>0</x:v>
      </x:c>
      <x:c r="G3610" t="n">
        <x:v>1</x:v>
      </x:c>
      <x:c r="H3610" t="str">
        <x:v>independent physical acceptance</x:v>
      </x:c>
      <x:c r="I3610" t="str">
        <x:f>IF(F3610=1,"PASS","OPEN")</x:f>
        <x:v>OPEN</x:v>
      </x:c>
    </x:row>
    <x:row r="3611">
      <x:c r="B3611" t="str">
        <x:v>PH-RV-354</x:v>
      </x:c>
      <x:c r="C3611" t="str">
        <x:v>PHYSICAL</x:v>
      </x:c>
      <x:c r="D3611" t="str">
        <x:v>reported value</x:v>
      </x:c>
      <x:c r="E3611" t="str">
        <x:v>PH-RV-354</x:v>
      </x:c>
      <x:c r="F3611" t="n">
        <x:f>IF('Trial Register'!S360&lt;&gt;"",1,0)</x:f>
        <x:v>0</x:v>
      </x:c>
      <x:c r="G3611" t="n">
        <x:v>1</x:v>
      </x:c>
      <x:c r="H3611" t="str">
        <x:v>independent physical acceptance</x:v>
      </x:c>
      <x:c r="I3611" t="str">
        <x:f>IF(F3611=1,"PASS","OPEN")</x:f>
        <x:v>OPEN</x:v>
      </x:c>
    </x:row>
    <x:row r="3612">
      <x:c r="B3612" t="str">
        <x:v>PH-CR-354</x:v>
      </x:c>
      <x:c r="C3612" t="str">
        <x:v>PHYSICAL</x:v>
      </x:c>
      <x:c r="D3612" t="str">
        <x:v>credit acceptance</x:v>
      </x:c>
      <x:c r="E3612" t="str">
        <x:v>PH-CR-354</x:v>
      </x:c>
      <x:c r="F3612" t="str">
        <x:f>'Trial Register'!V360</x:f>
      </x:c>
      <x:c r="G3612" t="n">
        <x:v>1</x:v>
      </x:c>
      <x:c r="H3612" t="str">
        <x:v>independent physical acceptance</x:v>
      </x:c>
      <x:c r="I3612" t="str">
        <x:f>IF(F3612=1,"PASS","OPEN")</x:f>
        <x:v>OPEN</x:v>
      </x:c>
    </x:row>
    <x:row r="3613">
      <x:c r="B3613" t="str">
        <x:v>PH-EX-355</x:v>
      </x:c>
      <x:c r="C3613" t="str">
        <x:v>PHYSICAL</x:v>
      </x:c>
      <x:c r="D3613" t="str">
        <x:v>trial execution</x:v>
      </x:c>
      <x:c r="E3613" t="str">
        <x:v>PH-EX-355</x:v>
      </x:c>
      <x:c r="F3613" t="n">
        <x:f>IF('Trial Register'!P361&lt;&gt;"",1,0)</x:f>
        <x:v>0</x:v>
      </x:c>
      <x:c r="G3613" t="n">
        <x:v>1</x:v>
      </x:c>
      <x:c r="H3613" t="str">
        <x:v>independent physical acceptance</x:v>
      </x:c>
      <x:c r="I3613" t="str">
        <x:f>IF(F3613=1,"PASS","OPEN")</x:f>
        <x:v>OPEN</x:v>
      </x:c>
    </x:row>
    <x:row r="3614">
      <x:c r="B3614" t="str">
        <x:v>PH-PK-355</x:v>
      </x:c>
      <x:c r="C3614" t="str">
        <x:v>PHYSICAL</x:v>
      </x:c>
      <x:c r="D3614" t="str">
        <x:v>trial packet</x:v>
      </x:c>
      <x:c r="E3614" t="str">
        <x:v>PH-PK-355</x:v>
      </x:c>
      <x:c r="F3614" t="n">
        <x:f>IF('Trial Register'!Q361&lt;&gt;"",1,0)</x:f>
        <x:v>0</x:v>
      </x:c>
      <x:c r="G3614" t="n">
        <x:v>1</x:v>
      </x:c>
      <x:c r="H3614" t="str">
        <x:v>independent physical acceptance</x:v>
      </x:c>
      <x:c r="I3614" t="str">
        <x:f>IF(F3614=1,"PASS","OPEN")</x:f>
        <x:v>OPEN</x:v>
      </x:c>
    </x:row>
    <x:row r="3615">
      <x:c r="B3615" t="str">
        <x:v>PH-VA-355</x:v>
      </x:c>
      <x:c r="C3615" t="str">
        <x:v>PHYSICAL</x:v>
      </x:c>
      <x:c r="D3615" t="str">
        <x:v>trial validity</x:v>
      </x:c>
      <x:c r="E3615" t="str">
        <x:v>PH-VA-355</x:v>
      </x:c>
      <x:c r="F3615" t="n">
        <x:f>IF('Trial Register'!R361&lt;&gt;"",1,0)</x:f>
        <x:v>0</x:v>
      </x:c>
      <x:c r="G3615" t="n">
        <x:v>1</x:v>
      </x:c>
      <x:c r="H3615" t="str">
        <x:v>independent physical acceptance</x:v>
      </x:c>
      <x:c r="I3615" t="str">
        <x:f>IF(F3615=1,"PASS","OPEN")</x:f>
        <x:v>OPEN</x:v>
      </x:c>
    </x:row>
    <x:row r="3616">
      <x:c r="B3616" t="str">
        <x:v>PH-RV-355</x:v>
      </x:c>
      <x:c r="C3616" t="str">
        <x:v>PHYSICAL</x:v>
      </x:c>
      <x:c r="D3616" t="str">
        <x:v>reported value</x:v>
      </x:c>
      <x:c r="E3616" t="str">
        <x:v>PH-RV-355</x:v>
      </x:c>
      <x:c r="F3616" t="n">
        <x:f>IF('Trial Register'!S361&lt;&gt;"",1,0)</x:f>
        <x:v>0</x:v>
      </x:c>
      <x:c r="G3616" t="n">
        <x:v>1</x:v>
      </x:c>
      <x:c r="H3616" t="str">
        <x:v>independent physical acceptance</x:v>
      </x:c>
      <x:c r="I3616" t="str">
        <x:f>IF(F3616=1,"PASS","OPEN")</x:f>
        <x:v>OPEN</x:v>
      </x:c>
    </x:row>
    <x:row r="3617">
      <x:c r="B3617" t="str">
        <x:v>PH-CR-355</x:v>
      </x:c>
      <x:c r="C3617" t="str">
        <x:v>PHYSICAL</x:v>
      </x:c>
      <x:c r="D3617" t="str">
        <x:v>credit acceptance</x:v>
      </x:c>
      <x:c r="E3617" t="str">
        <x:v>PH-CR-355</x:v>
      </x:c>
      <x:c r="F3617" t="str">
        <x:f>'Trial Register'!V361</x:f>
      </x:c>
      <x:c r="G3617" t="n">
        <x:v>1</x:v>
      </x:c>
      <x:c r="H3617" t="str">
        <x:v>independent physical acceptance</x:v>
      </x:c>
      <x:c r="I3617" t="str">
        <x:f>IF(F3617=1,"PASS","OPEN")</x:f>
        <x:v>OPEN</x:v>
      </x:c>
    </x:row>
    <x:row r="3618">
      <x:c r="B3618" t="str">
        <x:v>PH-EX-356</x:v>
      </x:c>
      <x:c r="C3618" t="str">
        <x:v>PHYSICAL</x:v>
      </x:c>
      <x:c r="D3618" t="str">
        <x:v>trial execution</x:v>
      </x:c>
      <x:c r="E3618" t="str">
        <x:v>PH-EX-356</x:v>
      </x:c>
      <x:c r="F3618" t="n">
        <x:f>IF('Trial Register'!P362&lt;&gt;"",1,0)</x:f>
        <x:v>0</x:v>
      </x:c>
      <x:c r="G3618" t="n">
        <x:v>1</x:v>
      </x:c>
      <x:c r="H3618" t="str">
        <x:v>independent physical acceptance</x:v>
      </x:c>
      <x:c r="I3618" t="str">
        <x:f>IF(F3618=1,"PASS","OPEN")</x:f>
        <x:v>OPEN</x:v>
      </x:c>
    </x:row>
    <x:row r="3619">
      <x:c r="B3619" t="str">
        <x:v>PH-PK-356</x:v>
      </x:c>
      <x:c r="C3619" t="str">
        <x:v>PHYSICAL</x:v>
      </x:c>
      <x:c r="D3619" t="str">
        <x:v>trial packet</x:v>
      </x:c>
      <x:c r="E3619" t="str">
        <x:v>PH-PK-356</x:v>
      </x:c>
      <x:c r="F3619" t="n">
        <x:f>IF('Trial Register'!Q362&lt;&gt;"",1,0)</x:f>
        <x:v>0</x:v>
      </x:c>
      <x:c r="G3619" t="n">
        <x:v>1</x:v>
      </x:c>
      <x:c r="H3619" t="str">
        <x:v>independent physical acceptance</x:v>
      </x:c>
      <x:c r="I3619" t="str">
        <x:f>IF(F3619=1,"PASS","OPEN")</x:f>
        <x:v>OPEN</x:v>
      </x:c>
    </x:row>
    <x:row r="3620">
      <x:c r="B3620" t="str">
        <x:v>PH-VA-356</x:v>
      </x:c>
      <x:c r="C3620" t="str">
        <x:v>PHYSICAL</x:v>
      </x:c>
      <x:c r="D3620" t="str">
        <x:v>trial validity</x:v>
      </x:c>
      <x:c r="E3620" t="str">
        <x:v>PH-VA-356</x:v>
      </x:c>
      <x:c r="F3620" t="n">
        <x:f>IF('Trial Register'!R362&lt;&gt;"",1,0)</x:f>
        <x:v>0</x:v>
      </x:c>
      <x:c r="G3620" t="n">
        <x:v>1</x:v>
      </x:c>
      <x:c r="H3620" t="str">
        <x:v>independent physical acceptance</x:v>
      </x:c>
      <x:c r="I3620" t="str">
        <x:f>IF(F3620=1,"PASS","OPEN")</x:f>
        <x:v>OPEN</x:v>
      </x:c>
    </x:row>
    <x:row r="3621">
      <x:c r="B3621" t="str">
        <x:v>PH-RV-356</x:v>
      </x:c>
      <x:c r="C3621" t="str">
        <x:v>PHYSICAL</x:v>
      </x:c>
      <x:c r="D3621" t="str">
        <x:v>reported value</x:v>
      </x:c>
      <x:c r="E3621" t="str">
        <x:v>PH-RV-356</x:v>
      </x:c>
      <x:c r="F3621" t="n">
        <x:f>IF('Trial Register'!S362&lt;&gt;"",1,0)</x:f>
        <x:v>0</x:v>
      </x:c>
      <x:c r="G3621" t="n">
        <x:v>1</x:v>
      </x:c>
      <x:c r="H3621" t="str">
        <x:v>independent physical acceptance</x:v>
      </x:c>
      <x:c r="I3621" t="str">
        <x:f>IF(F3621=1,"PASS","OPEN")</x:f>
        <x:v>OPEN</x:v>
      </x:c>
    </x:row>
    <x:row r="3622">
      <x:c r="B3622" t="str">
        <x:v>PH-CR-356</x:v>
      </x:c>
      <x:c r="C3622" t="str">
        <x:v>PHYSICAL</x:v>
      </x:c>
      <x:c r="D3622" t="str">
        <x:v>credit acceptance</x:v>
      </x:c>
      <x:c r="E3622" t="str">
        <x:v>PH-CR-356</x:v>
      </x:c>
      <x:c r="F3622" t="str">
        <x:f>'Trial Register'!V362</x:f>
      </x:c>
      <x:c r="G3622" t="n">
        <x:v>1</x:v>
      </x:c>
      <x:c r="H3622" t="str">
        <x:v>independent physical acceptance</x:v>
      </x:c>
      <x:c r="I3622" t="str">
        <x:f>IF(F3622=1,"PASS","OPEN")</x:f>
        <x:v>OPEN</x:v>
      </x:c>
    </x:row>
    <x:row r="3623">
      <x:c r="B3623" t="str">
        <x:v>PH-EX-357</x:v>
      </x:c>
      <x:c r="C3623" t="str">
        <x:v>PHYSICAL</x:v>
      </x:c>
      <x:c r="D3623" t="str">
        <x:v>trial execution</x:v>
      </x:c>
      <x:c r="E3623" t="str">
        <x:v>PH-EX-357</x:v>
      </x:c>
      <x:c r="F3623" t="n">
        <x:f>IF('Trial Register'!P363&lt;&gt;"",1,0)</x:f>
        <x:v>0</x:v>
      </x:c>
      <x:c r="G3623" t="n">
        <x:v>1</x:v>
      </x:c>
      <x:c r="H3623" t="str">
        <x:v>independent physical acceptance</x:v>
      </x:c>
      <x:c r="I3623" t="str">
        <x:f>IF(F3623=1,"PASS","OPEN")</x:f>
        <x:v>OPEN</x:v>
      </x:c>
    </x:row>
    <x:row r="3624">
      <x:c r="B3624" t="str">
        <x:v>PH-PK-357</x:v>
      </x:c>
      <x:c r="C3624" t="str">
        <x:v>PHYSICAL</x:v>
      </x:c>
      <x:c r="D3624" t="str">
        <x:v>trial packet</x:v>
      </x:c>
      <x:c r="E3624" t="str">
        <x:v>PH-PK-357</x:v>
      </x:c>
      <x:c r="F3624" t="n">
        <x:f>IF('Trial Register'!Q363&lt;&gt;"",1,0)</x:f>
        <x:v>0</x:v>
      </x:c>
      <x:c r="G3624" t="n">
        <x:v>1</x:v>
      </x:c>
      <x:c r="H3624" t="str">
        <x:v>independent physical acceptance</x:v>
      </x:c>
      <x:c r="I3624" t="str">
        <x:f>IF(F3624=1,"PASS","OPEN")</x:f>
        <x:v>OPEN</x:v>
      </x:c>
    </x:row>
    <x:row r="3625">
      <x:c r="B3625" t="str">
        <x:v>PH-VA-357</x:v>
      </x:c>
      <x:c r="C3625" t="str">
        <x:v>PHYSICAL</x:v>
      </x:c>
      <x:c r="D3625" t="str">
        <x:v>trial validity</x:v>
      </x:c>
      <x:c r="E3625" t="str">
        <x:v>PH-VA-357</x:v>
      </x:c>
      <x:c r="F3625" t="n">
        <x:f>IF('Trial Register'!R363&lt;&gt;"",1,0)</x:f>
        <x:v>0</x:v>
      </x:c>
      <x:c r="G3625" t="n">
        <x:v>1</x:v>
      </x:c>
      <x:c r="H3625" t="str">
        <x:v>independent physical acceptance</x:v>
      </x:c>
      <x:c r="I3625" t="str">
        <x:f>IF(F3625=1,"PASS","OPEN")</x:f>
        <x:v>OPEN</x:v>
      </x:c>
    </x:row>
    <x:row r="3626">
      <x:c r="B3626" t="str">
        <x:v>PH-RV-357</x:v>
      </x:c>
      <x:c r="C3626" t="str">
        <x:v>PHYSICAL</x:v>
      </x:c>
      <x:c r="D3626" t="str">
        <x:v>reported value</x:v>
      </x:c>
      <x:c r="E3626" t="str">
        <x:v>PH-RV-357</x:v>
      </x:c>
      <x:c r="F3626" t="n">
        <x:f>IF('Trial Register'!S363&lt;&gt;"",1,0)</x:f>
        <x:v>0</x:v>
      </x:c>
      <x:c r="G3626" t="n">
        <x:v>1</x:v>
      </x:c>
      <x:c r="H3626" t="str">
        <x:v>independent physical acceptance</x:v>
      </x:c>
      <x:c r="I3626" t="str">
        <x:f>IF(F3626=1,"PASS","OPEN")</x:f>
        <x:v>OPEN</x:v>
      </x:c>
    </x:row>
    <x:row r="3627">
      <x:c r="B3627" t="str">
        <x:v>PH-CR-357</x:v>
      </x:c>
      <x:c r="C3627" t="str">
        <x:v>PHYSICAL</x:v>
      </x:c>
      <x:c r="D3627" t="str">
        <x:v>credit acceptance</x:v>
      </x:c>
      <x:c r="E3627" t="str">
        <x:v>PH-CR-357</x:v>
      </x:c>
      <x:c r="F3627" t="str">
        <x:f>'Trial Register'!V363</x:f>
      </x:c>
      <x:c r="G3627" t="n">
        <x:v>1</x:v>
      </x:c>
      <x:c r="H3627" t="str">
        <x:v>independent physical acceptance</x:v>
      </x:c>
      <x:c r="I3627" t="str">
        <x:f>IF(F3627=1,"PASS","OPEN")</x:f>
        <x:v>OPEN</x:v>
      </x:c>
    </x:row>
    <x:row r="3628">
      <x:c r="B3628" t="str">
        <x:v>PH-EX-358</x:v>
      </x:c>
      <x:c r="C3628" t="str">
        <x:v>PHYSICAL</x:v>
      </x:c>
      <x:c r="D3628" t="str">
        <x:v>trial execution</x:v>
      </x:c>
      <x:c r="E3628" t="str">
        <x:v>PH-EX-358</x:v>
      </x:c>
      <x:c r="F3628" t="n">
        <x:f>IF('Trial Register'!P364&lt;&gt;"",1,0)</x:f>
        <x:v>0</x:v>
      </x:c>
      <x:c r="G3628" t="n">
        <x:v>1</x:v>
      </x:c>
      <x:c r="H3628" t="str">
        <x:v>independent physical acceptance</x:v>
      </x:c>
      <x:c r="I3628" t="str">
        <x:f>IF(F3628=1,"PASS","OPEN")</x:f>
        <x:v>OPEN</x:v>
      </x:c>
    </x:row>
    <x:row r="3629">
      <x:c r="B3629" t="str">
        <x:v>PH-PK-358</x:v>
      </x:c>
      <x:c r="C3629" t="str">
        <x:v>PHYSICAL</x:v>
      </x:c>
      <x:c r="D3629" t="str">
        <x:v>trial packet</x:v>
      </x:c>
      <x:c r="E3629" t="str">
        <x:v>PH-PK-358</x:v>
      </x:c>
      <x:c r="F3629" t="n">
        <x:f>IF('Trial Register'!Q364&lt;&gt;"",1,0)</x:f>
        <x:v>0</x:v>
      </x:c>
      <x:c r="G3629" t="n">
        <x:v>1</x:v>
      </x:c>
      <x:c r="H3629" t="str">
        <x:v>independent physical acceptance</x:v>
      </x:c>
      <x:c r="I3629" t="str">
        <x:f>IF(F3629=1,"PASS","OPEN")</x:f>
        <x:v>OPEN</x:v>
      </x:c>
    </x:row>
    <x:row r="3630">
      <x:c r="B3630" t="str">
        <x:v>PH-VA-358</x:v>
      </x:c>
      <x:c r="C3630" t="str">
        <x:v>PHYSICAL</x:v>
      </x:c>
      <x:c r="D3630" t="str">
        <x:v>trial validity</x:v>
      </x:c>
      <x:c r="E3630" t="str">
        <x:v>PH-VA-358</x:v>
      </x:c>
      <x:c r="F3630" t="n">
        <x:f>IF('Trial Register'!R364&lt;&gt;"",1,0)</x:f>
        <x:v>0</x:v>
      </x:c>
      <x:c r="G3630" t="n">
        <x:v>1</x:v>
      </x:c>
      <x:c r="H3630" t="str">
        <x:v>independent physical acceptance</x:v>
      </x:c>
      <x:c r="I3630" t="str">
        <x:f>IF(F3630=1,"PASS","OPEN")</x:f>
        <x:v>OPEN</x:v>
      </x:c>
    </x:row>
    <x:row r="3631">
      <x:c r="B3631" t="str">
        <x:v>PH-RV-358</x:v>
      </x:c>
      <x:c r="C3631" t="str">
        <x:v>PHYSICAL</x:v>
      </x:c>
      <x:c r="D3631" t="str">
        <x:v>reported value</x:v>
      </x:c>
      <x:c r="E3631" t="str">
        <x:v>PH-RV-358</x:v>
      </x:c>
      <x:c r="F3631" t="n">
        <x:f>IF('Trial Register'!S364&lt;&gt;"",1,0)</x:f>
        <x:v>0</x:v>
      </x:c>
      <x:c r="G3631" t="n">
        <x:v>1</x:v>
      </x:c>
      <x:c r="H3631" t="str">
        <x:v>independent physical acceptance</x:v>
      </x:c>
      <x:c r="I3631" t="str">
        <x:f>IF(F3631=1,"PASS","OPEN")</x:f>
        <x:v>OPEN</x:v>
      </x:c>
    </x:row>
    <x:row r="3632">
      <x:c r="B3632" t="str">
        <x:v>PH-CR-358</x:v>
      </x:c>
      <x:c r="C3632" t="str">
        <x:v>PHYSICAL</x:v>
      </x:c>
      <x:c r="D3632" t="str">
        <x:v>credit acceptance</x:v>
      </x:c>
      <x:c r="E3632" t="str">
        <x:v>PH-CR-358</x:v>
      </x:c>
      <x:c r="F3632" t="str">
        <x:f>'Trial Register'!V364</x:f>
      </x:c>
      <x:c r="G3632" t="n">
        <x:v>1</x:v>
      </x:c>
      <x:c r="H3632" t="str">
        <x:v>independent physical acceptance</x:v>
      </x:c>
      <x:c r="I3632" t="str">
        <x:f>IF(F3632=1,"PASS","OPEN")</x:f>
        <x:v>OPEN</x:v>
      </x:c>
    </x:row>
    <x:row r="3633">
      <x:c r="B3633" t="str">
        <x:v>PH-EX-359</x:v>
      </x:c>
      <x:c r="C3633" t="str">
        <x:v>PHYSICAL</x:v>
      </x:c>
      <x:c r="D3633" t="str">
        <x:v>trial execution</x:v>
      </x:c>
      <x:c r="E3633" t="str">
        <x:v>PH-EX-359</x:v>
      </x:c>
      <x:c r="F3633" t="n">
        <x:f>IF('Trial Register'!P365&lt;&gt;"",1,0)</x:f>
        <x:v>0</x:v>
      </x:c>
      <x:c r="G3633" t="n">
        <x:v>1</x:v>
      </x:c>
      <x:c r="H3633" t="str">
        <x:v>independent physical acceptance</x:v>
      </x:c>
      <x:c r="I3633" t="str">
        <x:f>IF(F3633=1,"PASS","OPEN")</x:f>
        <x:v>OPEN</x:v>
      </x:c>
    </x:row>
    <x:row r="3634">
      <x:c r="B3634" t="str">
        <x:v>PH-PK-359</x:v>
      </x:c>
      <x:c r="C3634" t="str">
        <x:v>PHYSICAL</x:v>
      </x:c>
      <x:c r="D3634" t="str">
        <x:v>trial packet</x:v>
      </x:c>
      <x:c r="E3634" t="str">
        <x:v>PH-PK-359</x:v>
      </x:c>
      <x:c r="F3634" t="n">
        <x:f>IF('Trial Register'!Q365&lt;&gt;"",1,0)</x:f>
        <x:v>0</x:v>
      </x:c>
      <x:c r="G3634" t="n">
        <x:v>1</x:v>
      </x:c>
      <x:c r="H3634" t="str">
        <x:v>independent physical acceptance</x:v>
      </x:c>
      <x:c r="I3634" t="str">
        <x:f>IF(F3634=1,"PASS","OPEN")</x:f>
        <x:v>OPEN</x:v>
      </x:c>
    </x:row>
    <x:row r="3635">
      <x:c r="B3635" t="str">
        <x:v>PH-VA-359</x:v>
      </x:c>
      <x:c r="C3635" t="str">
        <x:v>PHYSICAL</x:v>
      </x:c>
      <x:c r="D3635" t="str">
        <x:v>trial validity</x:v>
      </x:c>
      <x:c r="E3635" t="str">
        <x:v>PH-VA-359</x:v>
      </x:c>
      <x:c r="F3635" t="n">
        <x:f>IF('Trial Register'!R365&lt;&gt;"",1,0)</x:f>
        <x:v>0</x:v>
      </x:c>
      <x:c r="G3635" t="n">
        <x:v>1</x:v>
      </x:c>
      <x:c r="H3635" t="str">
        <x:v>independent physical acceptance</x:v>
      </x:c>
      <x:c r="I3635" t="str">
        <x:f>IF(F3635=1,"PASS","OPEN")</x:f>
        <x:v>OPEN</x:v>
      </x:c>
    </x:row>
    <x:row r="3636">
      <x:c r="B3636" t="str">
        <x:v>PH-RV-359</x:v>
      </x:c>
      <x:c r="C3636" t="str">
        <x:v>PHYSICAL</x:v>
      </x:c>
      <x:c r="D3636" t="str">
        <x:v>reported value</x:v>
      </x:c>
      <x:c r="E3636" t="str">
        <x:v>PH-RV-359</x:v>
      </x:c>
      <x:c r="F3636" t="n">
        <x:f>IF('Trial Register'!S365&lt;&gt;"",1,0)</x:f>
        <x:v>0</x:v>
      </x:c>
      <x:c r="G3636" t="n">
        <x:v>1</x:v>
      </x:c>
      <x:c r="H3636" t="str">
        <x:v>independent physical acceptance</x:v>
      </x:c>
      <x:c r="I3636" t="str">
        <x:f>IF(F3636=1,"PASS","OPEN")</x:f>
        <x:v>OPEN</x:v>
      </x:c>
    </x:row>
    <x:row r="3637">
      <x:c r="B3637" t="str">
        <x:v>PH-CR-359</x:v>
      </x:c>
      <x:c r="C3637" t="str">
        <x:v>PHYSICAL</x:v>
      </x:c>
      <x:c r="D3637" t="str">
        <x:v>credit acceptance</x:v>
      </x:c>
      <x:c r="E3637" t="str">
        <x:v>PH-CR-359</x:v>
      </x:c>
      <x:c r="F3637" t="str">
        <x:f>'Trial Register'!V365</x:f>
      </x:c>
      <x:c r="G3637" t="n">
        <x:v>1</x:v>
      </x:c>
      <x:c r="H3637" t="str">
        <x:v>independent physical acceptance</x:v>
      </x:c>
      <x:c r="I3637" t="str">
        <x:f>IF(F3637=1,"PASS","OPEN")</x:f>
        <x:v>OPEN</x:v>
      </x:c>
    </x:row>
    <x:row r="3638">
      <x:c r="B3638" t="str">
        <x:v>PH-EX-360</x:v>
      </x:c>
      <x:c r="C3638" t="str">
        <x:v>PHYSICAL</x:v>
      </x:c>
      <x:c r="D3638" t="str">
        <x:v>trial execution</x:v>
      </x:c>
      <x:c r="E3638" t="str">
        <x:v>PH-EX-360</x:v>
      </x:c>
      <x:c r="F3638" t="n">
        <x:f>IF('Trial Register'!P366&lt;&gt;"",1,0)</x:f>
        <x:v>0</x:v>
      </x:c>
      <x:c r="G3638" t="n">
        <x:v>1</x:v>
      </x:c>
      <x:c r="H3638" t="str">
        <x:v>independent physical acceptance</x:v>
      </x:c>
      <x:c r="I3638" t="str">
        <x:f>IF(F3638=1,"PASS","OPEN")</x:f>
        <x:v>OPEN</x:v>
      </x:c>
    </x:row>
    <x:row r="3639">
      <x:c r="B3639" t="str">
        <x:v>PH-PK-360</x:v>
      </x:c>
      <x:c r="C3639" t="str">
        <x:v>PHYSICAL</x:v>
      </x:c>
      <x:c r="D3639" t="str">
        <x:v>trial packet</x:v>
      </x:c>
      <x:c r="E3639" t="str">
        <x:v>PH-PK-360</x:v>
      </x:c>
      <x:c r="F3639" t="n">
        <x:f>IF('Trial Register'!Q366&lt;&gt;"",1,0)</x:f>
        <x:v>0</x:v>
      </x:c>
      <x:c r="G3639" t="n">
        <x:v>1</x:v>
      </x:c>
      <x:c r="H3639" t="str">
        <x:v>independent physical acceptance</x:v>
      </x:c>
      <x:c r="I3639" t="str">
        <x:f>IF(F3639=1,"PASS","OPEN")</x:f>
        <x:v>OPEN</x:v>
      </x:c>
    </x:row>
    <x:row r="3640">
      <x:c r="B3640" t="str">
        <x:v>PH-VA-360</x:v>
      </x:c>
      <x:c r="C3640" t="str">
        <x:v>PHYSICAL</x:v>
      </x:c>
      <x:c r="D3640" t="str">
        <x:v>trial validity</x:v>
      </x:c>
      <x:c r="E3640" t="str">
        <x:v>PH-VA-360</x:v>
      </x:c>
      <x:c r="F3640" t="n">
        <x:f>IF('Trial Register'!R366&lt;&gt;"",1,0)</x:f>
        <x:v>0</x:v>
      </x:c>
      <x:c r="G3640" t="n">
        <x:v>1</x:v>
      </x:c>
      <x:c r="H3640" t="str">
        <x:v>independent physical acceptance</x:v>
      </x:c>
      <x:c r="I3640" t="str">
        <x:f>IF(F3640=1,"PASS","OPEN")</x:f>
        <x:v>OPEN</x:v>
      </x:c>
    </x:row>
    <x:row r="3641">
      <x:c r="B3641" t="str">
        <x:v>PH-RV-360</x:v>
      </x:c>
      <x:c r="C3641" t="str">
        <x:v>PHYSICAL</x:v>
      </x:c>
      <x:c r="D3641" t="str">
        <x:v>reported value</x:v>
      </x:c>
      <x:c r="E3641" t="str">
        <x:v>PH-RV-360</x:v>
      </x:c>
      <x:c r="F3641" t="n">
        <x:f>IF('Trial Register'!S366&lt;&gt;"",1,0)</x:f>
        <x:v>0</x:v>
      </x:c>
      <x:c r="G3641" t="n">
        <x:v>1</x:v>
      </x:c>
      <x:c r="H3641" t="str">
        <x:v>independent physical acceptance</x:v>
      </x:c>
      <x:c r="I3641" t="str">
        <x:f>IF(F3641=1,"PASS","OPEN")</x:f>
        <x:v>OPEN</x:v>
      </x:c>
    </x:row>
    <x:row r="3642">
      <x:c r="B3642" t="str">
        <x:v>PH-CR-360</x:v>
      </x:c>
      <x:c r="C3642" t="str">
        <x:v>PHYSICAL</x:v>
      </x:c>
      <x:c r="D3642" t="str">
        <x:v>credit acceptance</x:v>
      </x:c>
      <x:c r="E3642" t="str">
        <x:v>PH-CR-360</x:v>
      </x:c>
      <x:c r="F3642" t="n">
        <x:f>'Trial Register'!V366</x:f>
        <x:v>0</x:v>
      </x:c>
      <x:c r="G3642" t="n">
        <x:v>1</x:v>
      </x:c>
      <x:c r="H3642" t="str">
        <x:v>independent physical acceptance</x:v>
      </x:c>
      <x:c r="I3642" t="str">
        <x:f>IF(F3642=1,"PASS","OPEN")</x:f>
        <x:v>OPEN</x:v>
      </x:c>
    </x:row>
    <x:row r="3643">
      <x:c r="B3643" t="str">
        <x:v>PH-CA-001</x:v>
      </x:c>
      <x:c r="C3643" t="str">
        <x:v>PHYSICAL</x:v>
      </x:c>
      <x:c r="D3643" t="str">
        <x:v>calibration acceptance</x:v>
      </x:c>
      <x:c r="E3643" t="str">
        <x:v>PH-CA-001</x:v>
      </x:c>
      <x:c r="F3643" t="n">
        <x:f>IF('Calibration'!H7&lt;&gt;"",1,0)</x:f>
        <x:v>0</x:v>
      </x:c>
      <x:c r="G3643" t="n">
        <x:v>1</x:v>
      </x:c>
      <x:c r="H3643" t="str">
        <x:v>independent physical acceptance</x:v>
      </x:c>
      <x:c r="I3643" t="str">
        <x:f>IF(F3643=1,"PASS","OPEN")</x:f>
        <x:v>OPEN</x:v>
      </x:c>
    </x:row>
    <x:row r="3644">
      <x:c r="B3644" t="str">
        <x:v>PH-CA-002</x:v>
      </x:c>
      <x:c r="C3644" t="str">
        <x:v>PHYSICAL</x:v>
      </x:c>
      <x:c r="D3644" t="str">
        <x:v>calibration acceptance</x:v>
      </x:c>
      <x:c r="E3644" t="str">
        <x:v>PH-CA-002</x:v>
      </x:c>
      <x:c r="F3644" t="n">
        <x:f>IF('Calibration'!H8&lt;&gt;"",1,0)</x:f>
        <x:v>0</x:v>
      </x:c>
      <x:c r="G3644" t="n">
        <x:v>1</x:v>
      </x:c>
      <x:c r="H3644" t="str">
        <x:v>independent physical acceptance</x:v>
      </x:c>
      <x:c r="I3644" t="str">
        <x:f>IF(F3644=1,"PASS","OPEN")</x:f>
        <x:v>OPEN</x:v>
      </x:c>
    </x:row>
    <x:row r="3645">
      <x:c r="B3645" t="str">
        <x:v>PH-CA-003</x:v>
      </x:c>
      <x:c r="C3645" t="str">
        <x:v>PHYSICAL</x:v>
      </x:c>
      <x:c r="D3645" t="str">
        <x:v>calibration acceptance</x:v>
      </x:c>
      <x:c r="E3645" t="str">
        <x:v>PH-CA-003</x:v>
      </x:c>
      <x:c r="F3645" t="n">
        <x:f>IF('Calibration'!H9&lt;&gt;"",1,0)</x:f>
        <x:v>0</x:v>
      </x:c>
      <x:c r="G3645" t="n">
        <x:v>1</x:v>
      </x:c>
      <x:c r="H3645" t="str">
        <x:v>independent physical acceptance</x:v>
      </x:c>
      <x:c r="I3645" t="str">
        <x:f>IF(F3645=1,"PASS","OPEN")</x:f>
        <x:v>OPEN</x:v>
      </x:c>
    </x:row>
    <x:row r="3646">
      <x:c r="B3646" t="str">
        <x:v>PH-CA-004</x:v>
      </x:c>
      <x:c r="C3646" t="str">
        <x:v>PHYSICAL</x:v>
      </x:c>
      <x:c r="D3646" t="str">
        <x:v>calibration acceptance</x:v>
      </x:c>
      <x:c r="E3646" t="str">
        <x:v>PH-CA-004</x:v>
      </x:c>
      <x:c r="F3646" t="n">
        <x:f>IF('Calibration'!H10&lt;&gt;"",1,0)</x:f>
        <x:v>0</x:v>
      </x:c>
      <x:c r="G3646" t="n">
        <x:v>1</x:v>
      </x:c>
      <x:c r="H3646" t="str">
        <x:v>independent physical acceptance</x:v>
      </x:c>
      <x:c r="I3646" t="str">
        <x:f>IF(F3646=1,"PASS","OPEN")</x:f>
        <x:v>OPEN</x:v>
      </x:c>
    </x:row>
    <x:row r="3647">
      <x:c r="B3647" t="str">
        <x:v>PH-CA-005</x:v>
      </x:c>
      <x:c r="C3647" t="str">
        <x:v>PHYSICAL</x:v>
      </x:c>
      <x:c r="D3647" t="str">
        <x:v>calibration acceptance</x:v>
      </x:c>
      <x:c r="E3647" t="str">
        <x:v>PH-CA-005</x:v>
      </x:c>
      <x:c r="F3647" t="n">
        <x:f>IF('Calibration'!H11&lt;&gt;"",1,0)</x:f>
        <x:v>0</x:v>
      </x:c>
      <x:c r="G3647" t="n">
        <x:v>1</x:v>
      </x:c>
      <x:c r="H3647" t="str">
        <x:v>independent physical acceptance</x:v>
      </x:c>
      <x:c r="I3647" t="str">
        <x:f>IF(F3647=1,"PASS","OPEN")</x:f>
        <x:v>OPEN</x:v>
      </x:c>
    </x:row>
    <x:row r="3648">
      <x:c r="B3648" t="str">
        <x:v>PH-CA-006</x:v>
      </x:c>
      <x:c r="C3648" t="str">
        <x:v>PHYSICAL</x:v>
      </x:c>
      <x:c r="D3648" t="str">
        <x:v>calibration acceptance</x:v>
      </x:c>
      <x:c r="E3648" t="str">
        <x:v>PH-CA-006</x:v>
      </x:c>
      <x:c r="F3648" t="n">
        <x:f>IF('Calibration'!H12&lt;&gt;"",1,0)</x:f>
        <x:v>0</x:v>
      </x:c>
      <x:c r="G3648" t="n">
        <x:v>1</x:v>
      </x:c>
      <x:c r="H3648" t="str">
        <x:v>independent physical acceptance</x:v>
      </x:c>
      <x:c r="I3648" t="str">
        <x:f>IF(F3648=1,"PASS","OPEN")</x:f>
        <x:v>OPEN</x:v>
      </x:c>
    </x:row>
    <x:row r="3649">
      <x:c r="B3649" t="str">
        <x:v>PH-CA-007</x:v>
      </x:c>
      <x:c r="C3649" t="str">
        <x:v>PHYSICAL</x:v>
      </x:c>
      <x:c r="D3649" t="str">
        <x:v>calibration acceptance</x:v>
      </x:c>
      <x:c r="E3649" t="str">
        <x:v>PH-CA-007</x:v>
      </x:c>
      <x:c r="F3649" t="n">
        <x:f>IF('Calibration'!H13&lt;&gt;"",1,0)</x:f>
        <x:v>0</x:v>
      </x:c>
      <x:c r="G3649" t="n">
        <x:v>1</x:v>
      </x:c>
      <x:c r="H3649" t="str">
        <x:v>independent physical acceptance</x:v>
      </x:c>
      <x:c r="I3649" t="str">
        <x:f>IF(F3649=1,"PASS","OPEN")</x:f>
        <x:v>OPEN</x:v>
      </x:c>
    </x:row>
    <x:row r="3650">
      <x:c r="B3650" t="str">
        <x:v>PH-CA-008</x:v>
      </x:c>
      <x:c r="C3650" t="str">
        <x:v>PHYSICAL</x:v>
      </x:c>
      <x:c r="D3650" t="str">
        <x:v>calibration acceptance</x:v>
      </x:c>
      <x:c r="E3650" t="str">
        <x:v>PH-CA-008</x:v>
      </x:c>
      <x:c r="F3650" t="n">
        <x:f>IF('Calibration'!H14&lt;&gt;"",1,0)</x:f>
        <x:v>0</x:v>
      </x:c>
      <x:c r="G3650" t="n">
        <x:v>1</x:v>
      </x:c>
      <x:c r="H3650" t="str">
        <x:v>independent physical acceptance</x:v>
      </x:c>
      <x:c r="I3650" t="str">
        <x:f>IF(F3650=1,"PASS","OPEN")</x:f>
        <x:v>OPEN</x:v>
      </x:c>
    </x:row>
    <x:row r="3651">
      <x:c r="B3651" t="str">
        <x:v>PH-CA-009</x:v>
      </x:c>
      <x:c r="C3651" t="str">
        <x:v>PHYSICAL</x:v>
      </x:c>
      <x:c r="D3651" t="str">
        <x:v>calibration acceptance</x:v>
      </x:c>
      <x:c r="E3651" t="str">
        <x:v>PH-CA-009</x:v>
      </x:c>
      <x:c r="F3651" t="n">
        <x:f>IF('Calibration'!H15&lt;&gt;"",1,0)</x:f>
        <x:v>0</x:v>
      </x:c>
      <x:c r="G3651" t="n">
        <x:v>1</x:v>
      </x:c>
      <x:c r="H3651" t="str">
        <x:v>independent physical acceptance</x:v>
      </x:c>
      <x:c r="I3651" t="str">
        <x:f>IF(F3651=1,"PASS","OPEN")</x:f>
        <x:v>OPEN</x:v>
      </x:c>
    </x:row>
    <x:row r="3652">
      <x:c r="B3652" t="str">
        <x:v>PH-CA-010</x:v>
      </x:c>
      <x:c r="C3652" t="str">
        <x:v>PHYSICAL</x:v>
      </x:c>
      <x:c r="D3652" t="str">
        <x:v>calibration acceptance</x:v>
      </x:c>
      <x:c r="E3652" t="str">
        <x:v>PH-CA-010</x:v>
      </x:c>
      <x:c r="F3652" t="n">
        <x:f>IF('Calibration'!H16&lt;&gt;"",1,0)</x:f>
        <x:v>0</x:v>
      </x:c>
      <x:c r="G3652" t="n">
        <x:v>1</x:v>
      </x:c>
      <x:c r="H3652" t="str">
        <x:v>independent physical acceptance</x:v>
      </x:c>
      <x:c r="I3652" t="str">
        <x:f>IF(F3652=1,"PASS","OPEN")</x:f>
        <x:v>OPEN</x:v>
      </x:c>
    </x:row>
    <x:row r="3653">
      <x:c r="B3653" t="str">
        <x:v>PH-CA-011</x:v>
      </x:c>
      <x:c r="C3653" t="str">
        <x:v>PHYSICAL</x:v>
      </x:c>
      <x:c r="D3653" t="str">
        <x:v>calibration acceptance</x:v>
      </x:c>
      <x:c r="E3653" t="str">
        <x:v>PH-CA-011</x:v>
      </x:c>
      <x:c r="F3653" t="n">
        <x:f>IF('Calibration'!H17&lt;&gt;"",1,0)</x:f>
        <x:v>0</x:v>
      </x:c>
      <x:c r="G3653" t="n">
        <x:v>1</x:v>
      </x:c>
      <x:c r="H3653" t="str">
        <x:v>independent physical acceptance</x:v>
      </x:c>
      <x:c r="I3653" t="str">
        <x:f>IF(F3653=1,"PASS","OPEN")</x:f>
        <x:v>OPEN</x:v>
      </x:c>
    </x:row>
    <x:row r="3654">
      <x:c r="B3654" t="str">
        <x:v>PH-CA-012</x:v>
      </x:c>
      <x:c r="C3654" t="str">
        <x:v>PHYSICAL</x:v>
      </x:c>
      <x:c r="D3654" t="str">
        <x:v>calibration acceptance</x:v>
      </x:c>
      <x:c r="E3654" t="str">
        <x:v>PH-CA-012</x:v>
      </x:c>
      <x:c r="F3654" t="n">
        <x:f>IF('Calibration'!H18&lt;&gt;"",1,0)</x:f>
        <x:v>0</x:v>
      </x:c>
      <x:c r="G3654" t="n">
        <x:v>1</x:v>
      </x:c>
      <x:c r="H3654" t="str">
        <x:v>independent physical acceptance</x:v>
      </x:c>
      <x:c r="I3654" t="str">
        <x:f>IF(F3654=1,"PASS","OPEN")</x:f>
        <x:v>OPEN</x:v>
      </x:c>
    </x:row>
    <x:row r="3655">
      <x:c r="B3655" t="str">
        <x:v>PH-CA-013</x:v>
      </x:c>
      <x:c r="C3655" t="str">
        <x:v>PHYSICAL</x:v>
      </x:c>
      <x:c r="D3655" t="str">
        <x:v>calibration acceptance</x:v>
      </x:c>
      <x:c r="E3655" t="str">
        <x:v>PH-CA-013</x:v>
      </x:c>
      <x:c r="F3655" t="n">
        <x:f>IF('Calibration'!H19&lt;&gt;"",1,0)</x:f>
        <x:v>0</x:v>
      </x:c>
      <x:c r="G3655" t="n">
        <x:v>1</x:v>
      </x:c>
      <x:c r="H3655" t="str">
        <x:v>independent physical acceptance</x:v>
      </x:c>
      <x:c r="I3655" t="str">
        <x:f>IF(F3655=1,"PASS","OPEN")</x:f>
        <x:v>OPEN</x:v>
      </x:c>
    </x:row>
    <x:row r="3656">
      <x:c r="B3656" t="str">
        <x:v>PH-CA-014</x:v>
      </x:c>
      <x:c r="C3656" t="str">
        <x:v>PHYSICAL</x:v>
      </x:c>
      <x:c r="D3656" t="str">
        <x:v>calibration acceptance</x:v>
      </x:c>
      <x:c r="E3656" t="str">
        <x:v>PH-CA-014</x:v>
      </x:c>
      <x:c r="F3656" t="n">
        <x:f>IF('Calibration'!H20&lt;&gt;"",1,0)</x:f>
        <x:v>0</x:v>
      </x:c>
      <x:c r="G3656" t="n">
        <x:v>1</x:v>
      </x:c>
      <x:c r="H3656" t="str">
        <x:v>independent physical acceptance</x:v>
      </x:c>
      <x:c r="I3656" t="str">
        <x:f>IF(F3656=1,"PASS","OPEN")</x:f>
        <x:v>OPEN</x:v>
      </x:c>
    </x:row>
    <x:row r="3657">
      <x:c r="B3657" t="str">
        <x:v>PH-CA-015</x:v>
      </x:c>
      <x:c r="C3657" t="str">
        <x:v>PHYSICAL</x:v>
      </x:c>
      <x:c r="D3657" t="str">
        <x:v>calibration acceptance</x:v>
      </x:c>
      <x:c r="E3657" t="str">
        <x:v>PH-CA-015</x:v>
      </x:c>
      <x:c r="F3657" t="n">
        <x:f>IF('Calibration'!H21&lt;&gt;"",1,0)</x:f>
        <x:v>0</x:v>
      </x:c>
      <x:c r="G3657" t="n">
        <x:v>1</x:v>
      </x:c>
      <x:c r="H3657" t="str">
        <x:v>independent physical acceptance</x:v>
      </x:c>
      <x:c r="I3657" t="str">
        <x:f>IF(F3657=1,"PASS","OPEN")</x:f>
        <x:v>OPEN</x:v>
      </x:c>
    </x:row>
    <x:row r="3658">
      <x:c r="B3658" t="str">
        <x:v>PH-CA-016</x:v>
      </x:c>
      <x:c r="C3658" t="str">
        <x:v>PHYSICAL</x:v>
      </x:c>
      <x:c r="D3658" t="str">
        <x:v>calibration acceptance</x:v>
      </x:c>
      <x:c r="E3658" t="str">
        <x:v>PH-CA-016</x:v>
      </x:c>
      <x:c r="F3658" t="n">
        <x:f>IF('Calibration'!H22&lt;&gt;"",1,0)</x:f>
        <x:v>0</x:v>
      </x:c>
      <x:c r="G3658" t="n">
        <x:v>1</x:v>
      </x:c>
      <x:c r="H3658" t="str">
        <x:v>independent physical acceptance</x:v>
      </x:c>
      <x:c r="I3658" t="str">
        <x:f>IF(F3658=1,"PASS","OPEN")</x:f>
        <x:v>OPEN</x:v>
      </x:c>
    </x:row>
    <x:row r="3659">
      <x:c r="B3659" t="str">
        <x:v>PH-CA-017</x:v>
      </x:c>
      <x:c r="C3659" t="str">
        <x:v>PHYSICAL</x:v>
      </x:c>
      <x:c r="D3659" t="str">
        <x:v>calibration acceptance</x:v>
      </x:c>
      <x:c r="E3659" t="str">
        <x:v>PH-CA-017</x:v>
      </x:c>
      <x:c r="F3659" t="n">
        <x:f>IF('Calibration'!H23&lt;&gt;"",1,0)</x:f>
        <x:v>0</x:v>
      </x:c>
      <x:c r="G3659" t="n">
        <x:v>1</x:v>
      </x:c>
      <x:c r="H3659" t="str">
        <x:v>independent physical acceptance</x:v>
      </x:c>
      <x:c r="I3659" t="str">
        <x:f>IF(F3659=1,"PASS","OPEN")</x:f>
        <x:v>OPEN</x:v>
      </x:c>
    </x:row>
    <x:row r="3660">
      <x:c r="B3660" t="str">
        <x:v>PH-CA-018</x:v>
      </x:c>
      <x:c r="C3660" t="str">
        <x:v>PHYSICAL</x:v>
      </x:c>
      <x:c r="D3660" t="str">
        <x:v>calibration acceptance</x:v>
      </x:c>
      <x:c r="E3660" t="str">
        <x:v>PH-CA-018</x:v>
      </x:c>
      <x:c r="F3660" t="n">
        <x:f>IF('Calibration'!H24&lt;&gt;"",1,0)</x:f>
        <x:v>0</x:v>
      </x:c>
      <x:c r="G3660" t="n">
        <x:v>1</x:v>
      </x:c>
      <x:c r="H3660" t="str">
        <x:v>independent physical acceptance</x:v>
      </x:c>
      <x:c r="I3660" t="str">
        <x:f>IF(F3660=1,"PASS","OPEN")</x:f>
        <x:v>OPEN</x:v>
      </x:c>
    </x:row>
    <x:row r="3661">
      <x:c r="B3661" t="str">
        <x:v>PH-CA-019</x:v>
      </x:c>
      <x:c r="C3661" t="str">
        <x:v>PHYSICAL</x:v>
      </x:c>
      <x:c r="D3661" t="str">
        <x:v>calibration acceptance</x:v>
      </x:c>
      <x:c r="E3661" t="str">
        <x:v>PH-CA-019</x:v>
      </x:c>
      <x:c r="F3661" t="n">
        <x:f>IF('Calibration'!H25&lt;&gt;"",1,0)</x:f>
        <x:v>0</x:v>
      </x:c>
      <x:c r="G3661" t="n">
        <x:v>1</x:v>
      </x:c>
      <x:c r="H3661" t="str">
        <x:v>independent physical acceptance</x:v>
      </x:c>
      <x:c r="I3661" t="str">
        <x:f>IF(F3661=1,"PASS","OPEN")</x:f>
        <x:v>OPEN</x:v>
      </x:c>
    </x:row>
    <x:row r="3662">
      <x:c r="B3662" t="str">
        <x:v>PH-CA-020</x:v>
      </x:c>
      <x:c r="C3662" t="str">
        <x:v>PHYSICAL</x:v>
      </x:c>
      <x:c r="D3662" t="str">
        <x:v>calibration acceptance</x:v>
      </x:c>
      <x:c r="E3662" t="str">
        <x:v>PH-CA-020</x:v>
      </x:c>
      <x:c r="F3662" t="n">
        <x:f>IF('Calibration'!H26&lt;&gt;"",1,0)</x:f>
        <x:v>0</x:v>
      </x:c>
      <x:c r="G3662" t="n">
        <x:v>1</x:v>
      </x:c>
      <x:c r="H3662" t="str">
        <x:v>independent physical acceptance</x:v>
      </x:c>
      <x:c r="I3662" t="str">
        <x:f>IF(F3662=1,"PASS","OPEN")</x:f>
        <x:v>OPEN</x:v>
      </x:c>
    </x:row>
    <x:row r="3663">
      <x:c r="B3663" t="str">
        <x:v>PH-CA-021</x:v>
      </x:c>
      <x:c r="C3663" t="str">
        <x:v>PHYSICAL</x:v>
      </x:c>
      <x:c r="D3663" t="str">
        <x:v>calibration acceptance</x:v>
      </x:c>
      <x:c r="E3663" t="str">
        <x:v>PH-CA-021</x:v>
      </x:c>
      <x:c r="F3663" t="n">
        <x:f>IF('Calibration'!H27&lt;&gt;"",1,0)</x:f>
        <x:v>0</x:v>
      </x:c>
      <x:c r="G3663" t="n">
        <x:v>1</x:v>
      </x:c>
      <x:c r="H3663" t="str">
        <x:v>independent physical acceptance</x:v>
      </x:c>
      <x:c r="I3663" t="str">
        <x:f>IF(F3663=1,"PASS","OPEN")</x:f>
        <x:v>OPEN</x:v>
      </x:c>
    </x:row>
    <x:row r="3664">
      <x:c r="B3664" t="str">
        <x:v>PH-CA-022</x:v>
      </x:c>
      <x:c r="C3664" t="str">
        <x:v>PHYSICAL</x:v>
      </x:c>
      <x:c r="D3664" t="str">
        <x:v>calibration acceptance</x:v>
      </x:c>
      <x:c r="E3664" t="str">
        <x:v>PH-CA-022</x:v>
      </x:c>
      <x:c r="F3664" t="n">
        <x:f>IF('Calibration'!H28&lt;&gt;"",1,0)</x:f>
        <x:v>0</x:v>
      </x:c>
      <x:c r="G3664" t="n">
        <x:v>1</x:v>
      </x:c>
      <x:c r="H3664" t="str">
        <x:v>independent physical acceptance</x:v>
      </x:c>
      <x:c r="I3664" t="str">
        <x:f>IF(F3664=1,"PASS","OPEN")</x:f>
        <x:v>OPEN</x:v>
      </x:c>
    </x:row>
    <x:row r="3665">
      <x:c r="B3665" t="str">
        <x:v>PH-CA-023</x:v>
      </x:c>
      <x:c r="C3665" t="str">
        <x:v>PHYSICAL</x:v>
      </x:c>
      <x:c r="D3665" t="str">
        <x:v>calibration acceptance</x:v>
      </x:c>
      <x:c r="E3665" t="str">
        <x:v>PH-CA-023</x:v>
      </x:c>
      <x:c r="F3665" t="n">
        <x:f>IF('Calibration'!H29&lt;&gt;"",1,0)</x:f>
        <x:v>0</x:v>
      </x:c>
      <x:c r="G3665" t="n">
        <x:v>1</x:v>
      </x:c>
      <x:c r="H3665" t="str">
        <x:v>independent physical acceptance</x:v>
      </x:c>
      <x:c r="I3665" t="str">
        <x:f>IF(F3665=1,"PASS","OPEN")</x:f>
        <x:v>OPEN</x:v>
      </x:c>
    </x:row>
    <x:row r="3666">
      <x:c r="B3666" t="str">
        <x:v>PH-CA-024</x:v>
      </x:c>
      <x:c r="C3666" t="str">
        <x:v>PHYSICAL</x:v>
      </x:c>
      <x:c r="D3666" t="str">
        <x:v>calibration acceptance</x:v>
      </x:c>
      <x:c r="E3666" t="str">
        <x:v>PH-CA-024</x:v>
      </x:c>
      <x:c r="F3666" t="n">
        <x:f>IF('Calibration'!H30&lt;&gt;"",1,0)</x:f>
        <x:v>0</x:v>
      </x:c>
      <x:c r="G3666" t="n">
        <x:v>1</x:v>
      </x:c>
      <x:c r="H3666" t="str">
        <x:v>independent physical acceptance</x:v>
      </x:c>
      <x:c r="I3666" t="str">
        <x:f>IF(F3666=1,"PASS","OPEN")</x:f>
        <x:v>OPEN</x:v>
      </x:c>
    </x:row>
    <x:row r="3667">
      <x:c r="B3667" t="str">
        <x:v>PH-CA-025</x:v>
      </x:c>
      <x:c r="C3667" t="str">
        <x:v>PHYSICAL</x:v>
      </x:c>
      <x:c r="D3667" t="str">
        <x:v>calibration acceptance</x:v>
      </x:c>
      <x:c r="E3667" t="str">
        <x:v>PH-CA-025</x:v>
      </x:c>
      <x:c r="F3667" t="n">
        <x:f>IF('Calibration'!H31&lt;&gt;"",1,0)</x:f>
        <x:v>0</x:v>
      </x:c>
      <x:c r="G3667" t="n">
        <x:v>1</x:v>
      </x:c>
      <x:c r="H3667" t="str">
        <x:v>independent physical acceptance</x:v>
      </x:c>
      <x:c r="I3667" t="str">
        <x:f>IF(F3667=1,"PASS","OPEN")</x:f>
        <x:v>OPEN</x:v>
      </x:c>
    </x:row>
    <x:row r="3668">
      <x:c r="B3668" t="str">
        <x:v>PH-CA-026</x:v>
      </x:c>
      <x:c r="C3668" t="str">
        <x:v>PHYSICAL</x:v>
      </x:c>
      <x:c r="D3668" t="str">
        <x:v>calibration acceptance</x:v>
      </x:c>
      <x:c r="E3668" t="str">
        <x:v>PH-CA-026</x:v>
      </x:c>
      <x:c r="F3668" t="n">
        <x:f>IF('Calibration'!H32&lt;&gt;"",1,0)</x:f>
        <x:v>0</x:v>
      </x:c>
      <x:c r="G3668" t="n">
        <x:v>1</x:v>
      </x:c>
      <x:c r="H3668" t="str">
        <x:v>independent physical acceptance</x:v>
      </x:c>
      <x:c r="I3668" t="str">
        <x:f>IF(F3668=1,"PASS","OPEN")</x:f>
        <x:v>OPEN</x:v>
      </x:c>
    </x:row>
    <x:row r="3669">
      <x:c r="B3669" t="str">
        <x:v>PH-CA-027</x:v>
      </x:c>
      <x:c r="C3669" t="str">
        <x:v>PHYSICAL</x:v>
      </x:c>
      <x:c r="D3669" t="str">
        <x:v>calibration acceptance</x:v>
      </x:c>
      <x:c r="E3669" t="str">
        <x:v>PH-CA-027</x:v>
      </x:c>
      <x:c r="F3669" t="n">
        <x:f>IF('Calibration'!H33&lt;&gt;"",1,0)</x:f>
        <x:v>0</x:v>
      </x:c>
      <x:c r="G3669" t="n">
        <x:v>1</x:v>
      </x:c>
      <x:c r="H3669" t="str">
        <x:v>independent physical acceptance</x:v>
      </x:c>
      <x:c r="I3669" t="str">
        <x:f>IF(F3669=1,"PASS","OPEN")</x:f>
        <x:v>OPEN</x:v>
      </x:c>
    </x:row>
    <x:row r="3670">
      <x:c r="B3670" t="str">
        <x:v>PH-CA-028</x:v>
      </x:c>
      <x:c r="C3670" t="str">
        <x:v>PHYSICAL</x:v>
      </x:c>
      <x:c r="D3670" t="str">
        <x:v>calibration acceptance</x:v>
      </x:c>
      <x:c r="E3670" t="str">
        <x:v>PH-CA-028</x:v>
      </x:c>
      <x:c r="F3670" t="n">
        <x:f>IF('Calibration'!H34&lt;&gt;"",1,0)</x:f>
        <x:v>0</x:v>
      </x:c>
      <x:c r="G3670" t="n">
        <x:v>1</x:v>
      </x:c>
      <x:c r="H3670" t="str">
        <x:v>independent physical acceptance</x:v>
      </x:c>
      <x:c r="I3670" t="str">
        <x:f>IF(F3670=1,"PASS","OPEN")</x:f>
        <x:v>OPEN</x:v>
      </x:c>
    </x:row>
    <x:row r="3671">
      <x:c r="B3671" t="str">
        <x:v>PH-CA-029</x:v>
      </x:c>
      <x:c r="C3671" t="str">
        <x:v>PHYSICAL</x:v>
      </x:c>
      <x:c r="D3671" t="str">
        <x:v>calibration acceptance</x:v>
      </x:c>
      <x:c r="E3671" t="str">
        <x:v>PH-CA-029</x:v>
      </x:c>
      <x:c r="F3671" t="n">
        <x:f>IF('Calibration'!H35&lt;&gt;"",1,0)</x:f>
        <x:v>0</x:v>
      </x:c>
      <x:c r="G3671" t="n">
        <x:v>1</x:v>
      </x:c>
      <x:c r="H3671" t="str">
        <x:v>independent physical acceptance</x:v>
      </x:c>
      <x:c r="I3671" t="str">
        <x:f>IF(F3671=1,"PASS","OPEN")</x:f>
        <x:v>OPEN</x:v>
      </x:c>
    </x:row>
    <x:row r="3672">
      <x:c r="B3672" t="str">
        <x:v>PH-CA-030</x:v>
      </x:c>
      <x:c r="C3672" t="str">
        <x:v>PHYSICAL</x:v>
      </x:c>
      <x:c r="D3672" t="str">
        <x:v>calibration acceptance</x:v>
      </x:c>
      <x:c r="E3672" t="str">
        <x:v>PH-CA-030</x:v>
      </x:c>
      <x:c r="F3672" t="n">
        <x:f>IF('Calibration'!H36&lt;&gt;"",1,0)</x:f>
        <x:v>0</x:v>
      </x:c>
      <x:c r="G3672" t="n">
        <x:v>1</x:v>
      </x:c>
      <x:c r="H3672" t="str">
        <x:v>independent physical acceptance</x:v>
      </x:c>
      <x:c r="I3672" t="str">
        <x:f>IF(F3672=1,"PASS","OPEN")</x:f>
        <x:v>OPEN</x:v>
      </x:c>
    </x:row>
    <x:row r="3673">
      <x:c r="B3673" t="str">
        <x:v>PH-CA-031</x:v>
      </x:c>
      <x:c r="C3673" t="str">
        <x:v>PHYSICAL</x:v>
      </x:c>
      <x:c r="D3673" t="str">
        <x:v>calibration acceptance</x:v>
      </x:c>
      <x:c r="E3673" t="str">
        <x:v>PH-CA-031</x:v>
      </x:c>
      <x:c r="F3673" t="n">
        <x:f>IF('Calibration'!H37&lt;&gt;"",1,0)</x:f>
        <x:v>0</x:v>
      </x:c>
      <x:c r="G3673" t="n">
        <x:v>1</x:v>
      </x:c>
      <x:c r="H3673" t="str">
        <x:v>independent physical acceptance</x:v>
      </x:c>
      <x:c r="I3673" t="str">
        <x:f>IF(F3673=1,"PASS","OPEN")</x:f>
        <x:v>OPEN</x:v>
      </x:c>
    </x:row>
    <x:row r="3674">
      <x:c r="B3674" t="str">
        <x:v>PH-CA-032</x:v>
      </x:c>
      <x:c r="C3674" t="str">
        <x:v>PHYSICAL</x:v>
      </x:c>
      <x:c r="D3674" t="str">
        <x:v>calibration acceptance</x:v>
      </x:c>
      <x:c r="E3674" t="str">
        <x:v>PH-CA-032</x:v>
      </x:c>
      <x:c r="F3674" t="n">
        <x:f>IF('Calibration'!H38&lt;&gt;"",1,0)</x:f>
        <x:v>0</x:v>
      </x:c>
      <x:c r="G3674" t="n">
        <x:v>1</x:v>
      </x:c>
      <x:c r="H3674" t="str">
        <x:v>independent physical acceptance</x:v>
      </x:c>
      <x:c r="I3674" t="str">
        <x:f>IF(F3674=1,"PASS","OPEN")</x:f>
        <x:v>OPEN</x:v>
      </x:c>
    </x:row>
    <x:row r="3675">
      <x:c r="B3675" t="str">
        <x:v>PH-CA-033</x:v>
      </x:c>
      <x:c r="C3675" t="str">
        <x:v>PHYSICAL</x:v>
      </x:c>
      <x:c r="D3675" t="str">
        <x:v>calibration acceptance</x:v>
      </x:c>
      <x:c r="E3675" t="str">
        <x:v>PH-CA-033</x:v>
      </x:c>
      <x:c r="F3675" t="n">
        <x:f>IF('Calibration'!H39&lt;&gt;"",1,0)</x:f>
        <x:v>0</x:v>
      </x:c>
      <x:c r="G3675" t="n">
        <x:v>1</x:v>
      </x:c>
      <x:c r="H3675" t="str">
        <x:v>independent physical acceptance</x:v>
      </x:c>
      <x:c r="I3675" t="str">
        <x:f>IF(F3675=1,"PASS","OPEN")</x:f>
        <x:v>OPEN</x:v>
      </x:c>
    </x:row>
    <x:row r="3676">
      <x:c r="B3676" t="str">
        <x:v>PH-CA-034</x:v>
      </x:c>
      <x:c r="C3676" t="str">
        <x:v>PHYSICAL</x:v>
      </x:c>
      <x:c r="D3676" t="str">
        <x:v>calibration acceptance</x:v>
      </x:c>
      <x:c r="E3676" t="str">
        <x:v>PH-CA-034</x:v>
      </x:c>
      <x:c r="F3676" t="n">
        <x:f>IF('Calibration'!H40&lt;&gt;"",1,0)</x:f>
        <x:v>0</x:v>
      </x:c>
      <x:c r="G3676" t="n">
        <x:v>1</x:v>
      </x:c>
      <x:c r="H3676" t="str">
        <x:v>independent physical acceptance</x:v>
      </x:c>
      <x:c r="I3676" t="str">
        <x:f>IF(F3676=1,"PASS","OPEN")</x:f>
        <x:v>OPEN</x:v>
      </x:c>
    </x:row>
    <x:row r="3677">
      <x:c r="B3677" t="str">
        <x:v>PH-CA-035</x:v>
      </x:c>
      <x:c r="C3677" t="str">
        <x:v>PHYSICAL</x:v>
      </x:c>
      <x:c r="D3677" t="str">
        <x:v>calibration acceptance</x:v>
      </x:c>
      <x:c r="E3677" t="str">
        <x:v>PH-CA-035</x:v>
      </x:c>
      <x:c r="F3677" t="n">
        <x:f>IF('Calibration'!H41&lt;&gt;"",1,0)</x:f>
        <x:v>0</x:v>
      </x:c>
      <x:c r="G3677" t="n">
        <x:v>1</x:v>
      </x:c>
      <x:c r="H3677" t="str">
        <x:v>independent physical acceptance</x:v>
      </x:c>
      <x:c r="I3677" t="str">
        <x:f>IF(F3677=1,"PASS","OPEN")</x:f>
        <x:v>OPEN</x:v>
      </x:c>
    </x:row>
    <x:row r="3678">
      <x:c r="B3678" t="str">
        <x:v>PH-CA-036</x:v>
      </x:c>
      <x:c r="C3678" t="str">
        <x:v>PHYSICAL</x:v>
      </x:c>
      <x:c r="D3678" t="str">
        <x:v>calibration acceptance</x:v>
      </x:c>
      <x:c r="E3678" t="str">
        <x:v>PH-CA-036</x:v>
      </x:c>
      <x:c r="F3678" t="n">
        <x:f>IF('Calibration'!H42&lt;&gt;"",1,0)</x:f>
        <x:v>0</x:v>
      </x:c>
      <x:c r="G3678" t="n">
        <x:v>1</x:v>
      </x:c>
      <x:c r="H3678" t="str">
        <x:v>independent physical acceptance</x:v>
      </x:c>
      <x:c r="I3678" t="str">
        <x:f>IF(F3678=1,"PASS","OPEN")</x:f>
        <x:v>OPEN</x:v>
      </x:c>
    </x:row>
    <x:row r="3679">
      <x:c r="B3679" t="str">
        <x:v>PH-CA-037</x:v>
      </x:c>
      <x:c r="C3679" t="str">
        <x:v>PHYSICAL</x:v>
      </x:c>
      <x:c r="D3679" t="str">
        <x:v>calibration acceptance</x:v>
      </x:c>
      <x:c r="E3679" t="str">
        <x:v>PH-CA-037</x:v>
      </x:c>
      <x:c r="F3679" t="n">
        <x:f>IF('Calibration'!H43&lt;&gt;"",1,0)</x:f>
        <x:v>0</x:v>
      </x:c>
      <x:c r="G3679" t="n">
        <x:v>1</x:v>
      </x:c>
      <x:c r="H3679" t="str">
        <x:v>independent physical acceptance</x:v>
      </x:c>
      <x:c r="I3679" t="str">
        <x:f>IF(F3679=1,"PASS","OPEN")</x:f>
        <x:v>OPEN</x:v>
      </x:c>
    </x:row>
    <x:row r="3680">
      <x:c r="B3680" t="str">
        <x:v>PH-CA-038</x:v>
      </x:c>
      <x:c r="C3680" t="str">
        <x:v>PHYSICAL</x:v>
      </x:c>
      <x:c r="D3680" t="str">
        <x:v>calibration acceptance</x:v>
      </x:c>
      <x:c r="E3680" t="str">
        <x:v>PH-CA-038</x:v>
      </x:c>
      <x:c r="F3680" t="n">
        <x:f>IF('Calibration'!H44&lt;&gt;"",1,0)</x:f>
        <x:v>0</x:v>
      </x:c>
      <x:c r="G3680" t="n">
        <x:v>1</x:v>
      </x:c>
      <x:c r="H3680" t="str">
        <x:v>independent physical acceptance</x:v>
      </x:c>
      <x:c r="I3680" t="str">
        <x:f>IF(F3680=1,"PASS","OPEN")</x:f>
        <x:v>OPEN</x:v>
      </x:c>
    </x:row>
    <x:row r="3681">
      <x:c r="B3681" t="str">
        <x:v>PH-CA-039</x:v>
      </x:c>
      <x:c r="C3681" t="str">
        <x:v>PHYSICAL</x:v>
      </x:c>
      <x:c r="D3681" t="str">
        <x:v>calibration acceptance</x:v>
      </x:c>
      <x:c r="E3681" t="str">
        <x:v>PH-CA-039</x:v>
      </x:c>
      <x:c r="F3681" t="n">
        <x:f>IF('Calibration'!H45&lt;&gt;"",1,0)</x:f>
        <x:v>0</x:v>
      </x:c>
      <x:c r="G3681" t="n">
        <x:v>1</x:v>
      </x:c>
      <x:c r="H3681" t="str">
        <x:v>independent physical acceptance</x:v>
      </x:c>
      <x:c r="I3681" t="str">
        <x:f>IF(F3681=1,"PASS","OPEN")</x:f>
        <x:v>OPEN</x:v>
      </x:c>
    </x:row>
    <x:row r="3682">
      <x:c r="B3682" t="str">
        <x:v>PH-CA-040</x:v>
      </x:c>
      <x:c r="C3682" t="str">
        <x:v>PHYSICAL</x:v>
      </x:c>
      <x:c r="D3682" t="str">
        <x:v>calibration acceptance</x:v>
      </x:c>
      <x:c r="E3682" t="str">
        <x:v>PH-CA-040</x:v>
      </x:c>
      <x:c r="F3682" t="n">
        <x:f>IF('Calibration'!H46&lt;&gt;"",1,0)</x:f>
        <x:v>0</x:v>
      </x:c>
      <x:c r="G3682" t="n">
        <x:v>1</x:v>
      </x:c>
      <x:c r="H3682" t="str">
        <x:v>independent physical acceptance</x:v>
      </x:c>
      <x:c r="I3682" t="str">
        <x:f>IF(F3682=1,"PASS","OPEN")</x:f>
        <x:v>OPEN</x:v>
      </x:c>
    </x:row>
    <x:row r="3683">
      <x:c r="B3683" t="str">
        <x:v>PH-CA-041</x:v>
      </x:c>
      <x:c r="C3683" t="str">
        <x:v>PHYSICAL</x:v>
      </x:c>
      <x:c r="D3683" t="str">
        <x:v>calibration acceptance</x:v>
      </x:c>
      <x:c r="E3683" t="str">
        <x:v>PH-CA-041</x:v>
      </x:c>
      <x:c r="F3683" t="n">
        <x:f>IF('Calibration'!H47&lt;&gt;"",1,0)</x:f>
        <x:v>0</x:v>
      </x:c>
      <x:c r="G3683" t="n">
        <x:v>1</x:v>
      </x:c>
      <x:c r="H3683" t="str">
        <x:v>independent physical acceptance</x:v>
      </x:c>
      <x:c r="I3683" t="str">
        <x:f>IF(F3683=1,"PASS","OPEN")</x:f>
        <x:v>OPEN</x:v>
      </x:c>
    </x:row>
    <x:row r="3684">
      <x:c r="B3684" t="str">
        <x:v>PH-CA-042</x:v>
      </x:c>
      <x:c r="C3684" t="str">
        <x:v>PHYSICAL</x:v>
      </x:c>
      <x:c r="D3684" t="str">
        <x:v>calibration acceptance</x:v>
      </x:c>
      <x:c r="E3684" t="str">
        <x:v>PH-CA-042</x:v>
      </x:c>
      <x:c r="F3684" t="n">
        <x:f>IF('Calibration'!H48&lt;&gt;"",1,0)</x:f>
        <x:v>0</x:v>
      </x:c>
      <x:c r="G3684" t="n">
        <x:v>1</x:v>
      </x:c>
      <x:c r="H3684" t="str">
        <x:v>independent physical acceptance</x:v>
      </x:c>
      <x:c r="I3684" t="str">
        <x:f>IF(F3684=1,"PASS","OPEN")</x:f>
        <x:v>OPEN</x:v>
      </x:c>
    </x:row>
    <x:row r="3685">
      <x:c r="B3685" t="str">
        <x:v>PH-CA-043</x:v>
      </x:c>
      <x:c r="C3685" t="str">
        <x:v>PHYSICAL</x:v>
      </x:c>
      <x:c r="D3685" t="str">
        <x:v>calibration acceptance</x:v>
      </x:c>
      <x:c r="E3685" t="str">
        <x:v>PH-CA-043</x:v>
      </x:c>
      <x:c r="F3685" t="n">
        <x:f>IF('Calibration'!H49&lt;&gt;"",1,0)</x:f>
        <x:v>0</x:v>
      </x:c>
      <x:c r="G3685" t="n">
        <x:v>1</x:v>
      </x:c>
      <x:c r="H3685" t="str">
        <x:v>independent physical acceptance</x:v>
      </x:c>
      <x:c r="I3685" t="str">
        <x:f>IF(F3685=1,"PASS","OPEN")</x:f>
        <x:v>OPEN</x:v>
      </x:c>
    </x:row>
    <x:row r="3686">
      <x:c r="B3686" t="str">
        <x:v>PH-CA-044</x:v>
      </x:c>
      <x:c r="C3686" t="str">
        <x:v>PHYSICAL</x:v>
      </x:c>
      <x:c r="D3686" t="str">
        <x:v>calibration acceptance</x:v>
      </x:c>
      <x:c r="E3686" t="str">
        <x:v>PH-CA-044</x:v>
      </x:c>
      <x:c r="F3686" t="n">
        <x:f>IF('Calibration'!H50&lt;&gt;"",1,0)</x:f>
        <x:v>0</x:v>
      </x:c>
      <x:c r="G3686" t="n">
        <x:v>1</x:v>
      </x:c>
      <x:c r="H3686" t="str">
        <x:v>independent physical acceptance</x:v>
      </x:c>
      <x:c r="I3686" t="str">
        <x:f>IF(F3686=1,"PASS","OPEN")</x:f>
        <x:v>OPEN</x:v>
      </x:c>
    </x:row>
    <x:row r="3687">
      <x:c r="B3687" t="str">
        <x:v>PH-CA-045</x:v>
      </x:c>
      <x:c r="C3687" t="str">
        <x:v>PHYSICAL</x:v>
      </x:c>
      <x:c r="D3687" t="str">
        <x:v>calibration acceptance</x:v>
      </x:c>
      <x:c r="E3687" t="str">
        <x:v>PH-CA-045</x:v>
      </x:c>
      <x:c r="F3687" t="n">
        <x:f>IF('Calibration'!H51&lt;&gt;"",1,0)</x:f>
        <x:v>0</x:v>
      </x:c>
      <x:c r="G3687" t="n">
        <x:v>1</x:v>
      </x:c>
      <x:c r="H3687" t="str">
        <x:v>independent physical acceptance</x:v>
      </x:c>
      <x:c r="I3687" t="str">
        <x:f>IF(F3687=1,"PASS","OPEN")</x:f>
        <x:v>OPEN</x:v>
      </x:c>
    </x:row>
    <x:row r="3688">
      <x:c r="B3688" t="str">
        <x:v>PH-CA-046</x:v>
      </x:c>
      <x:c r="C3688" t="str">
        <x:v>PHYSICAL</x:v>
      </x:c>
      <x:c r="D3688" t="str">
        <x:v>calibration acceptance</x:v>
      </x:c>
      <x:c r="E3688" t="str">
        <x:v>PH-CA-046</x:v>
      </x:c>
      <x:c r="F3688" t="n">
        <x:f>IF('Calibration'!H52&lt;&gt;"",1,0)</x:f>
        <x:v>0</x:v>
      </x:c>
      <x:c r="G3688" t="n">
        <x:v>1</x:v>
      </x:c>
      <x:c r="H3688" t="str">
        <x:v>independent physical acceptance</x:v>
      </x:c>
      <x:c r="I3688" t="str">
        <x:f>IF(F3688=1,"PASS","OPEN")</x:f>
        <x:v>OPEN</x:v>
      </x:c>
    </x:row>
    <x:row r="3689">
      <x:c r="B3689" t="str">
        <x:v>PH-CA-047</x:v>
      </x:c>
      <x:c r="C3689" t="str">
        <x:v>PHYSICAL</x:v>
      </x:c>
      <x:c r="D3689" t="str">
        <x:v>calibration acceptance</x:v>
      </x:c>
      <x:c r="E3689" t="str">
        <x:v>PH-CA-047</x:v>
      </x:c>
      <x:c r="F3689" t="n">
        <x:f>IF('Calibration'!H53&lt;&gt;"",1,0)</x:f>
        <x:v>0</x:v>
      </x:c>
      <x:c r="G3689" t="n">
        <x:v>1</x:v>
      </x:c>
      <x:c r="H3689" t="str">
        <x:v>independent physical acceptance</x:v>
      </x:c>
      <x:c r="I3689" t="str">
        <x:f>IF(F3689=1,"PASS","OPEN")</x:f>
        <x:v>OPEN</x:v>
      </x:c>
    </x:row>
    <x:row r="3690">
      <x:c r="B3690" t="str">
        <x:v>PH-CA-048</x:v>
      </x:c>
      <x:c r="C3690" t="str">
        <x:v>PHYSICAL</x:v>
      </x:c>
      <x:c r="D3690" t="str">
        <x:v>calibration acceptance</x:v>
      </x:c>
      <x:c r="E3690" t="str">
        <x:v>PH-CA-048</x:v>
      </x:c>
      <x:c r="F3690" t="n">
        <x:f>IF('Calibration'!H54&lt;&gt;"",1,0)</x:f>
        <x:v>0</x:v>
      </x:c>
      <x:c r="G3690" t="n">
        <x:v>1</x:v>
      </x:c>
      <x:c r="H3690" t="str">
        <x:v>independent physical acceptance</x:v>
      </x:c>
      <x:c r="I3690" t="str">
        <x:f>IF(F3690=1,"PASS","OPEN")</x:f>
        <x:v>OPEN</x:v>
      </x:c>
    </x:row>
    <x:row r="3691">
      <x:c r="B3691" t="str">
        <x:v>PH-BL-001</x:v>
      </x:c>
      <x:c r="C3691" t="str">
        <x:v>PHYSICAL</x:v>
      </x:c>
      <x:c r="D3691" t="str">
        <x:v>blind package acceptance</x:v>
      </x:c>
      <x:c r="E3691" t="str">
        <x:v>PH-BL-001</x:v>
      </x:c>
      <x:c r="F3691" t="n">
        <x:f>IF('Blind Custody'!I7&lt;&gt;"",1,0)</x:f>
        <x:v>0</x:v>
      </x:c>
      <x:c r="G3691" t="n">
        <x:v>1</x:v>
      </x:c>
      <x:c r="H3691" t="str">
        <x:v>independent physical acceptance</x:v>
      </x:c>
      <x:c r="I3691" t="str">
        <x:f>IF(F3691=1,"PASS","OPEN")</x:f>
        <x:v>OPEN</x:v>
      </x:c>
    </x:row>
    <x:row r="3692">
      <x:c r="B3692" t="str">
        <x:v>PH-BL-002</x:v>
      </x:c>
      <x:c r="C3692" t="str">
        <x:v>PHYSICAL</x:v>
      </x:c>
      <x:c r="D3692" t="str">
        <x:v>blind package acceptance</x:v>
      </x:c>
      <x:c r="E3692" t="str">
        <x:v>PH-BL-002</x:v>
      </x:c>
      <x:c r="F3692" t="n">
        <x:f>IF('Blind Custody'!I8&lt;&gt;"",1,0)</x:f>
        <x:v>0</x:v>
      </x:c>
      <x:c r="G3692" t="n">
        <x:v>1</x:v>
      </x:c>
      <x:c r="H3692" t="str">
        <x:v>independent physical acceptance</x:v>
      </x:c>
      <x:c r="I3692" t="str">
        <x:f>IF(F3692=1,"PASS","OPEN")</x:f>
        <x:v>OPEN</x:v>
      </x:c>
    </x:row>
    <x:row r="3693">
      <x:c r="B3693" t="str">
        <x:v>PH-BL-003</x:v>
      </x:c>
      <x:c r="C3693" t="str">
        <x:v>PHYSICAL</x:v>
      </x:c>
      <x:c r="D3693" t="str">
        <x:v>blind package acceptance</x:v>
      </x:c>
      <x:c r="E3693" t="str">
        <x:v>PH-BL-003</x:v>
      </x:c>
      <x:c r="F3693" t="n">
        <x:f>IF('Blind Custody'!I9&lt;&gt;"",1,0)</x:f>
        <x:v>0</x:v>
      </x:c>
      <x:c r="G3693" t="n">
        <x:v>1</x:v>
      </x:c>
      <x:c r="H3693" t="str">
        <x:v>independent physical acceptance</x:v>
      </x:c>
      <x:c r="I3693" t="str">
        <x:f>IF(F3693=1,"PASS","OPEN")</x:f>
        <x:v>OPEN</x:v>
      </x:c>
    </x:row>
    <x:row r="3694">
      <x:c r="B3694" t="str">
        <x:v>PH-BL-004</x:v>
      </x:c>
      <x:c r="C3694" t="str">
        <x:v>PHYSICAL</x:v>
      </x:c>
      <x:c r="D3694" t="str">
        <x:v>blind package acceptance</x:v>
      </x:c>
      <x:c r="E3694" t="str">
        <x:v>PH-BL-004</x:v>
      </x:c>
      <x:c r="F3694" t="n">
        <x:f>IF('Blind Custody'!I10&lt;&gt;"",1,0)</x:f>
        <x:v>0</x:v>
      </x:c>
      <x:c r="G3694" t="n">
        <x:v>1</x:v>
      </x:c>
      <x:c r="H3694" t="str">
        <x:v>independent physical acceptance</x:v>
      </x:c>
      <x:c r="I3694" t="str">
        <x:f>IF(F3694=1,"PASS","OPEN")</x:f>
        <x:v>OPEN</x:v>
      </x:c>
    </x:row>
    <x:row r="3695">
      <x:c r="B3695" t="str">
        <x:v>PH-BL-005</x:v>
      </x:c>
      <x:c r="C3695" t="str">
        <x:v>PHYSICAL</x:v>
      </x:c>
      <x:c r="D3695" t="str">
        <x:v>blind package acceptance</x:v>
      </x:c>
      <x:c r="E3695" t="str">
        <x:v>PH-BL-005</x:v>
      </x:c>
      <x:c r="F3695" t="n">
        <x:f>IF('Blind Custody'!I11&lt;&gt;"",1,0)</x:f>
        <x:v>0</x:v>
      </x:c>
      <x:c r="G3695" t="n">
        <x:v>1</x:v>
      </x:c>
      <x:c r="H3695" t="str">
        <x:v>independent physical acceptance</x:v>
      </x:c>
      <x:c r="I3695" t="str">
        <x:f>IF(F3695=1,"PASS","OPEN")</x:f>
        <x:v>OPEN</x:v>
      </x:c>
    </x:row>
    <x:row r="3696">
      <x:c r="B3696" t="str">
        <x:v>PH-BL-006</x:v>
      </x:c>
      <x:c r="C3696" t="str">
        <x:v>PHYSICAL</x:v>
      </x:c>
      <x:c r="D3696" t="str">
        <x:v>blind package acceptance</x:v>
      </x:c>
      <x:c r="E3696" t="str">
        <x:v>PH-BL-006</x:v>
      </x:c>
      <x:c r="F3696" t="n">
        <x:f>IF('Blind Custody'!I12&lt;&gt;"",1,0)</x:f>
        <x:v>0</x:v>
      </x:c>
      <x:c r="G3696" t="n">
        <x:v>1</x:v>
      </x:c>
      <x:c r="H3696" t="str">
        <x:v>independent physical acceptance</x:v>
      </x:c>
      <x:c r="I3696" t="str">
        <x:f>IF(F3696=1,"PASS","OPEN")</x:f>
        <x:v>OPEN</x:v>
      </x:c>
    </x:row>
    <x:row r="3697">
      <x:c r="B3697" t="str">
        <x:v>PH-BL-007</x:v>
      </x:c>
      <x:c r="C3697" t="str">
        <x:v>PHYSICAL</x:v>
      </x:c>
      <x:c r="D3697" t="str">
        <x:v>blind package acceptance</x:v>
      </x:c>
      <x:c r="E3697" t="str">
        <x:v>PH-BL-007</x:v>
      </x:c>
      <x:c r="F3697" t="n">
        <x:f>IF('Blind Custody'!I13&lt;&gt;"",1,0)</x:f>
        <x:v>0</x:v>
      </x:c>
      <x:c r="G3697" t="n">
        <x:v>1</x:v>
      </x:c>
      <x:c r="H3697" t="str">
        <x:v>independent physical acceptance</x:v>
      </x:c>
      <x:c r="I3697" t="str">
        <x:f>IF(F3697=1,"PASS","OPEN")</x:f>
        <x:v>OPEN</x:v>
      </x:c>
    </x:row>
    <x:row r="3698">
      <x:c r="B3698" t="str">
        <x:v>PH-BL-008</x:v>
      </x:c>
      <x:c r="C3698" t="str">
        <x:v>PHYSICAL</x:v>
      </x:c>
      <x:c r="D3698" t="str">
        <x:v>blind package acceptance</x:v>
      </x:c>
      <x:c r="E3698" t="str">
        <x:v>PH-BL-008</x:v>
      </x:c>
      <x:c r="F3698" t="n">
        <x:f>IF('Blind Custody'!I14&lt;&gt;"",1,0)</x:f>
        <x:v>0</x:v>
      </x:c>
      <x:c r="G3698" t="n">
        <x:v>1</x:v>
      </x:c>
      <x:c r="H3698" t="str">
        <x:v>independent physical acceptance</x:v>
      </x:c>
      <x:c r="I3698" t="str">
        <x:f>IF(F3698=1,"PASS","OPEN")</x:f>
        <x:v>OPEN</x:v>
      </x:c>
    </x:row>
    <x:row r="3699">
      <x:c r="B3699" t="str">
        <x:v>PH-BL-009</x:v>
      </x:c>
      <x:c r="C3699" t="str">
        <x:v>PHYSICAL</x:v>
      </x:c>
      <x:c r="D3699" t="str">
        <x:v>blind package acceptance</x:v>
      </x:c>
      <x:c r="E3699" t="str">
        <x:v>PH-BL-009</x:v>
      </x:c>
      <x:c r="F3699" t="n">
        <x:f>IF('Blind Custody'!I15&lt;&gt;"",1,0)</x:f>
        <x:v>0</x:v>
      </x:c>
      <x:c r="G3699" t="n">
        <x:v>1</x:v>
      </x:c>
      <x:c r="H3699" t="str">
        <x:v>independent physical acceptance</x:v>
      </x:c>
      <x:c r="I3699" t="str">
        <x:f>IF(F3699=1,"PASS","OPEN")</x:f>
        <x:v>OPEN</x:v>
      </x:c>
    </x:row>
    <x:row r="3700">
      <x:c r="B3700" t="str">
        <x:v>PH-BL-010</x:v>
      </x:c>
      <x:c r="C3700" t="str">
        <x:v>PHYSICAL</x:v>
      </x:c>
      <x:c r="D3700" t="str">
        <x:v>blind package acceptance</x:v>
      </x:c>
      <x:c r="E3700" t="str">
        <x:v>PH-BL-010</x:v>
      </x:c>
      <x:c r="F3700" t="n">
        <x:f>IF('Blind Custody'!I16&lt;&gt;"",1,0)</x:f>
        <x:v>0</x:v>
      </x:c>
      <x:c r="G3700" t="n">
        <x:v>1</x:v>
      </x:c>
      <x:c r="H3700" t="str">
        <x:v>independent physical acceptance</x:v>
      </x:c>
      <x:c r="I3700" t="str">
        <x:f>IF(F3700=1,"PASS","OPEN")</x:f>
        <x:v>OPEN</x:v>
      </x:c>
    </x:row>
    <x:row r="3701">
      <x:c r="B3701" t="str">
        <x:v>PH-BL-011</x:v>
      </x:c>
      <x:c r="C3701" t="str">
        <x:v>PHYSICAL</x:v>
      </x:c>
      <x:c r="D3701" t="str">
        <x:v>blind package acceptance</x:v>
      </x:c>
      <x:c r="E3701" t="str">
        <x:v>PH-BL-011</x:v>
      </x:c>
      <x:c r="F3701" t="n">
        <x:f>IF('Blind Custody'!I17&lt;&gt;"",1,0)</x:f>
        <x:v>0</x:v>
      </x:c>
      <x:c r="G3701" t="n">
        <x:v>1</x:v>
      </x:c>
      <x:c r="H3701" t="str">
        <x:v>independent physical acceptance</x:v>
      </x:c>
      <x:c r="I3701" t="str">
        <x:f>IF(F3701=1,"PASS","OPEN")</x:f>
        <x:v>OPEN</x:v>
      </x:c>
    </x:row>
    <x:row r="3702">
      <x:c r="B3702" t="str">
        <x:v>PH-BL-012</x:v>
      </x:c>
      <x:c r="C3702" t="str">
        <x:v>PHYSICAL</x:v>
      </x:c>
      <x:c r="D3702" t="str">
        <x:v>blind package acceptance</x:v>
      </x:c>
      <x:c r="E3702" t="str">
        <x:v>PH-BL-012</x:v>
      </x:c>
      <x:c r="F3702" t="n">
        <x:f>IF('Blind Custody'!I18&lt;&gt;"",1,0)</x:f>
        <x:v>0</x:v>
      </x:c>
      <x:c r="G3702" t="n">
        <x:v>1</x:v>
      </x:c>
      <x:c r="H3702" t="str">
        <x:v>independent physical acceptance</x:v>
      </x:c>
      <x:c r="I3702" t="str">
        <x:f>IF(F3702=1,"PASS","OPEN")</x:f>
        <x:v>OPEN</x:v>
      </x:c>
    </x:row>
    <x:row r="3703">
      <x:c r="B3703" t="str">
        <x:v>PH-BL-013</x:v>
      </x:c>
      <x:c r="C3703" t="str">
        <x:v>PHYSICAL</x:v>
      </x:c>
      <x:c r="D3703" t="str">
        <x:v>blind package acceptance</x:v>
      </x:c>
      <x:c r="E3703" t="str">
        <x:v>PH-BL-013</x:v>
      </x:c>
      <x:c r="F3703" t="n">
        <x:f>IF('Blind Custody'!I19&lt;&gt;"",1,0)</x:f>
        <x:v>0</x:v>
      </x:c>
      <x:c r="G3703" t="n">
        <x:v>1</x:v>
      </x:c>
      <x:c r="H3703" t="str">
        <x:v>independent physical acceptance</x:v>
      </x:c>
      <x:c r="I3703" t="str">
        <x:f>IF(F3703=1,"PASS","OPEN")</x:f>
        <x:v>OPEN</x:v>
      </x:c>
    </x:row>
    <x:row r="3704">
      <x:c r="B3704" t="str">
        <x:v>PH-BL-014</x:v>
      </x:c>
      <x:c r="C3704" t="str">
        <x:v>PHYSICAL</x:v>
      </x:c>
      <x:c r="D3704" t="str">
        <x:v>blind package acceptance</x:v>
      </x:c>
      <x:c r="E3704" t="str">
        <x:v>PH-BL-014</x:v>
      </x:c>
      <x:c r="F3704" t="n">
        <x:f>IF('Blind Custody'!I20&lt;&gt;"",1,0)</x:f>
        <x:v>0</x:v>
      </x:c>
      <x:c r="G3704" t="n">
        <x:v>1</x:v>
      </x:c>
      <x:c r="H3704" t="str">
        <x:v>independent physical acceptance</x:v>
      </x:c>
      <x:c r="I3704" t="str">
        <x:f>IF(F3704=1,"PASS","OPEN")</x:f>
        <x:v>OPEN</x:v>
      </x:c>
    </x:row>
    <x:row r="3705">
      <x:c r="B3705" t="str">
        <x:v>PH-BL-015</x:v>
      </x:c>
      <x:c r="C3705" t="str">
        <x:v>PHYSICAL</x:v>
      </x:c>
      <x:c r="D3705" t="str">
        <x:v>blind package acceptance</x:v>
      </x:c>
      <x:c r="E3705" t="str">
        <x:v>PH-BL-015</x:v>
      </x:c>
      <x:c r="F3705" t="n">
        <x:f>IF('Blind Custody'!I21&lt;&gt;"",1,0)</x:f>
        <x:v>0</x:v>
      </x:c>
      <x:c r="G3705" t="n">
        <x:v>1</x:v>
      </x:c>
      <x:c r="H3705" t="str">
        <x:v>independent physical acceptance</x:v>
      </x:c>
      <x:c r="I3705" t="str">
        <x:f>IF(F3705=1,"PASS","OPEN")</x:f>
        <x:v>OPEN</x:v>
      </x:c>
    </x:row>
    <x:row r="3706">
      <x:c r="B3706" t="str">
        <x:v>PH-BL-016</x:v>
      </x:c>
      <x:c r="C3706" t="str">
        <x:v>PHYSICAL</x:v>
      </x:c>
      <x:c r="D3706" t="str">
        <x:v>blind package acceptance</x:v>
      </x:c>
      <x:c r="E3706" t="str">
        <x:v>PH-BL-016</x:v>
      </x:c>
      <x:c r="F3706" t="n">
        <x:f>IF('Blind Custody'!I22&lt;&gt;"",1,0)</x:f>
        <x:v>0</x:v>
      </x:c>
      <x:c r="G3706" t="n">
        <x:v>1</x:v>
      </x:c>
      <x:c r="H3706" t="str">
        <x:v>independent physical acceptance</x:v>
      </x:c>
      <x:c r="I3706" t="str">
        <x:f>IF(F3706=1,"PASS","OPEN")</x:f>
        <x:v>OPEN</x:v>
      </x:c>
    </x:row>
    <x:row r="3707">
      <x:c r="B3707" t="str">
        <x:v>PH-BL-017</x:v>
      </x:c>
      <x:c r="C3707" t="str">
        <x:v>PHYSICAL</x:v>
      </x:c>
      <x:c r="D3707" t="str">
        <x:v>blind package acceptance</x:v>
      </x:c>
      <x:c r="E3707" t="str">
        <x:v>PH-BL-017</x:v>
      </x:c>
      <x:c r="F3707" t="n">
        <x:f>IF('Blind Custody'!I23&lt;&gt;"",1,0)</x:f>
        <x:v>0</x:v>
      </x:c>
      <x:c r="G3707" t="n">
        <x:v>1</x:v>
      </x:c>
      <x:c r="H3707" t="str">
        <x:v>independent physical acceptance</x:v>
      </x:c>
      <x:c r="I3707" t="str">
        <x:f>IF(F3707=1,"PASS","OPEN")</x:f>
        <x:v>OPEN</x:v>
      </x:c>
    </x:row>
    <x:row r="3708">
      <x:c r="B3708" t="str">
        <x:v>PH-BL-018</x:v>
      </x:c>
      <x:c r="C3708" t="str">
        <x:v>PHYSICAL</x:v>
      </x:c>
      <x:c r="D3708" t="str">
        <x:v>blind package acceptance</x:v>
      </x:c>
      <x:c r="E3708" t="str">
        <x:v>PH-BL-018</x:v>
      </x:c>
      <x:c r="F3708" t="n">
        <x:f>IF('Blind Custody'!I24&lt;&gt;"",1,0)</x:f>
        <x:v>0</x:v>
      </x:c>
      <x:c r="G3708" t="n">
        <x:v>1</x:v>
      </x:c>
      <x:c r="H3708" t="str">
        <x:v>independent physical acceptance</x:v>
      </x:c>
      <x:c r="I3708" t="str">
        <x:f>IF(F3708=1,"PASS","OPEN")</x:f>
        <x:v>OPEN</x:v>
      </x:c>
    </x:row>
    <x:row r="3709">
      <x:c r="B3709" t="str">
        <x:v>PH-BL-019</x:v>
      </x:c>
      <x:c r="C3709" t="str">
        <x:v>PHYSICAL</x:v>
      </x:c>
      <x:c r="D3709" t="str">
        <x:v>blind package acceptance</x:v>
      </x:c>
      <x:c r="E3709" t="str">
        <x:v>PH-BL-019</x:v>
      </x:c>
      <x:c r="F3709" t="n">
        <x:f>IF('Blind Custody'!I25&lt;&gt;"",1,0)</x:f>
        <x:v>0</x:v>
      </x:c>
      <x:c r="G3709" t="n">
        <x:v>1</x:v>
      </x:c>
      <x:c r="H3709" t="str">
        <x:v>independent physical acceptance</x:v>
      </x:c>
      <x:c r="I3709" t="str">
        <x:f>IF(F3709=1,"PASS","OPEN")</x:f>
        <x:v>OPEN</x:v>
      </x:c>
    </x:row>
    <x:row r="3710">
      <x:c r="B3710" t="str">
        <x:v>PH-BL-020</x:v>
      </x:c>
      <x:c r="C3710" t="str">
        <x:v>PHYSICAL</x:v>
      </x:c>
      <x:c r="D3710" t="str">
        <x:v>blind package acceptance</x:v>
      </x:c>
      <x:c r="E3710" t="str">
        <x:v>PH-BL-020</x:v>
      </x:c>
      <x:c r="F3710" t="n">
        <x:f>IF('Blind Custody'!I26&lt;&gt;"",1,0)</x:f>
        <x:v>0</x:v>
      </x:c>
      <x:c r="G3710" t="n">
        <x:v>1</x:v>
      </x:c>
      <x:c r="H3710" t="str">
        <x:v>independent physical acceptance</x:v>
      </x:c>
      <x:c r="I3710" t="str">
        <x:f>IF(F3710=1,"PASS","OPEN")</x:f>
        <x:v>OPEN</x:v>
      </x:c>
    </x:row>
    <x:row r="3711">
      <x:c r="B3711" t="str">
        <x:v>PH-BL-021</x:v>
      </x:c>
      <x:c r="C3711" t="str">
        <x:v>PHYSICAL</x:v>
      </x:c>
      <x:c r="D3711" t="str">
        <x:v>blind package acceptance</x:v>
      </x:c>
      <x:c r="E3711" t="str">
        <x:v>PH-BL-021</x:v>
      </x:c>
      <x:c r="F3711" t="n">
        <x:f>IF('Blind Custody'!I27&lt;&gt;"",1,0)</x:f>
        <x:v>0</x:v>
      </x:c>
      <x:c r="G3711" t="n">
        <x:v>1</x:v>
      </x:c>
      <x:c r="H3711" t="str">
        <x:v>independent physical acceptance</x:v>
      </x:c>
      <x:c r="I3711" t="str">
        <x:f>IF(F3711=1,"PASS","OPEN")</x:f>
        <x:v>OPEN</x:v>
      </x:c>
    </x:row>
    <x:row r="3712">
      <x:c r="B3712" t="str">
        <x:v>PH-BL-022</x:v>
      </x:c>
      <x:c r="C3712" t="str">
        <x:v>PHYSICAL</x:v>
      </x:c>
      <x:c r="D3712" t="str">
        <x:v>blind package acceptance</x:v>
      </x:c>
      <x:c r="E3712" t="str">
        <x:v>PH-BL-022</x:v>
      </x:c>
      <x:c r="F3712" t="n">
        <x:f>IF('Blind Custody'!I28&lt;&gt;"",1,0)</x:f>
        <x:v>0</x:v>
      </x:c>
      <x:c r="G3712" t="n">
        <x:v>1</x:v>
      </x:c>
      <x:c r="H3712" t="str">
        <x:v>independent physical acceptance</x:v>
      </x:c>
      <x:c r="I3712" t="str">
        <x:f>IF(F3712=1,"PASS","OPEN")</x:f>
        <x:v>OPEN</x:v>
      </x:c>
    </x:row>
    <x:row r="3713">
      <x:c r="B3713" t="str">
        <x:v>PH-BL-023</x:v>
      </x:c>
      <x:c r="C3713" t="str">
        <x:v>PHYSICAL</x:v>
      </x:c>
      <x:c r="D3713" t="str">
        <x:v>blind package acceptance</x:v>
      </x:c>
      <x:c r="E3713" t="str">
        <x:v>PH-BL-023</x:v>
      </x:c>
      <x:c r="F3713" t="n">
        <x:f>IF('Blind Custody'!I29&lt;&gt;"",1,0)</x:f>
        <x:v>0</x:v>
      </x:c>
      <x:c r="G3713" t="n">
        <x:v>1</x:v>
      </x:c>
      <x:c r="H3713" t="str">
        <x:v>independent physical acceptance</x:v>
      </x:c>
      <x:c r="I3713" t="str">
        <x:f>IF(F3713=1,"PASS","OPEN")</x:f>
        <x:v>OPEN</x:v>
      </x:c>
    </x:row>
    <x:row r="3714">
      <x:c r="B3714" t="str">
        <x:v>PH-BL-024</x:v>
      </x:c>
      <x:c r="C3714" t="str">
        <x:v>PHYSICAL</x:v>
      </x:c>
      <x:c r="D3714" t="str">
        <x:v>blind package acceptance</x:v>
      </x:c>
      <x:c r="E3714" t="str">
        <x:v>PH-BL-024</x:v>
      </x:c>
      <x:c r="F3714" t="n">
        <x:f>IF('Blind Custody'!I30&lt;&gt;"",1,0)</x:f>
        <x:v>0</x:v>
      </x:c>
      <x:c r="G3714" t="n">
        <x:v>1</x:v>
      </x:c>
      <x:c r="H3714" t="str">
        <x:v>independent physical acceptance</x:v>
      </x:c>
      <x:c r="I3714" t="str">
        <x:f>IF(F3714=1,"PASS","OPEN")</x:f>
        <x:v>OPEN</x:v>
      </x:c>
    </x:row>
    <x:row r="3715">
      <x:c r="B3715" t="str">
        <x:v>PH-BL-025</x:v>
      </x:c>
      <x:c r="C3715" t="str">
        <x:v>PHYSICAL</x:v>
      </x:c>
      <x:c r="D3715" t="str">
        <x:v>blind package acceptance</x:v>
      </x:c>
      <x:c r="E3715" t="str">
        <x:v>PH-BL-025</x:v>
      </x:c>
      <x:c r="F3715" t="n">
        <x:f>IF('Blind Custody'!I31&lt;&gt;"",1,0)</x:f>
        <x:v>0</x:v>
      </x:c>
      <x:c r="G3715" t="n">
        <x:v>1</x:v>
      </x:c>
      <x:c r="H3715" t="str">
        <x:v>independent physical acceptance</x:v>
      </x:c>
      <x:c r="I3715" t="str">
        <x:f>IF(F3715=1,"PASS","OPEN")</x:f>
        <x:v>OPEN</x:v>
      </x:c>
    </x:row>
    <x:row r="3716">
      <x:c r="B3716" t="str">
        <x:v>PH-BL-026</x:v>
      </x:c>
      <x:c r="C3716" t="str">
        <x:v>PHYSICAL</x:v>
      </x:c>
      <x:c r="D3716" t="str">
        <x:v>blind package acceptance</x:v>
      </x:c>
      <x:c r="E3716" t="str">
        <x:v>PH-BL-026</x:v>
      </x:c>
      <x:c r="F3716" t="n">
        <x:f>IF('Blind Custody'!I32&lt;&gt;"",1,0)</x:f>
        <x:v>0</x:v>
      </x:c>
      <x:c r="G3716" t="n">
        <x:v>1</x:v>
      </x:c>
      <x:c r="H3716" t="str">
        <x:v>independent physical acceptance</x:v>
      </x:c>
      <x:c r="I3716" t="str">
        <x:f>IF(F3716=1,"PASS","OPEN")</x:f>
        <x:v>OPEN</x:v>
      </x:c>
    </x:row>
    <x:row r="3717">
      <x:c r="B3717" t="str">
        <x:v>PH-BL-027</x:v>
      </x:c>
      <x:c r="C3717" t="str">
        <x:v>PHYSICAL</x:v>
      </x:c>
      <x:c r="D3717" t="str">
        <x:v>blind package acceptance</x:v>
      </x:c>
      <x:c r="E3717" t="str">
        <x:v>PH-BL-027</x:v>
      </x:c>
      <x:c r="F3717" t="n">
        <x:f>IF('Blind Custody'!I33&lt;&gt;"",1,0)</x:f>
        <x:v>0</x:v>
      </x:c>
      <x:c r="G3717" t="n">
        <x:v>1</x:v>
      </x:c>
      <x:c r="H3717" t="str">
        <x:v>independent physical acceptance</x:v>
      </x:c>
      <x:c r="I3717" t="str">
        <x:f>IF(F3717=1,"PASS","OPEN")</x:f>
        <x:v>OPEN</x:v>
      </x:c>
    </x:row>
    <x:row r="3718">
      <x:c r="B3718" t="str">
        <x:v>PH-BL-028</x:v>
      </x:c>
      <x:c r="C3718" t="str">
        <x:v>PHYSICAL</x:v>
      </x:c>
      <x:c r="D3718" t="str">
        <x:v>blind package acceptance</x:v>
      </x:c>
      <x:c r="E3718" t="str">
        <x:v>PH-BL-028</x:v>
      </x:c>
      <x:c r="F3718" t="n">
        <x:f>IF('Blind Custody'!I34&lt;&gt;"",1,0)</x:f>
        <x:v>0</x:v>
      </x:c>
      <x:c r="G3718" t="n">
        <x:v>1</x:v>
      </x:c>
      <x:c r="H3718" t="str">
        <x:v>independent physical acceptance</x:v>
      </x:c>
      <x:c r="I3718" t="str">
        <x:f>IF(F3718=1,"PASS","OPEN")</x:f>
        <x:v>OPEN</x:v>
      </x:c>
    </x:row>
    <x:row r="3719">
      <x:c r="B3719" t="str">
        <x:v>PH-BL-029</x:v>
      </x:c>
      <x:c r="C3719" t="str">
        <x:v>PHYSICAL</x:v>
      </x:c>
      <x:c r="D3719" t="str">
        <x:v>blind package acceptance</x:v>
      </x:c>
      <x:c r="E3719" t="str">
        <x:v>PH-BL-029</x:v>
      </x:c>
      <x:c r="F3719" t="n">
        <x:f>IF('Blind Custody'!I35&lt;&gt;"",1,0)</x:f>
        <x:v>0</x:v>
      </x:c>
      <x:c r="G3719" t="n">
        <x:v>1</x:v>
      </x:c>
      <x:c r="H3719" t="str">
        <x:v>independent physical acceptance</x:v>
      </x:c>
      <x:c r="I3719" t="str">
        <x:f>IF(F3719=1,"PASS","OPEN")</x:f>
        <x:v>OPEN</x:v>
      </x:c>
    </x:row>
    <x:row r="3720">
      <x:c r="B3720" t="str">
        <x:v>PH-BL-030</x:v>
      </x:c>
      <x:c r="C3720" t="str">
        <x:v>PHYSICAL</x:v>
      </x:c>
      <x:c r="D3720" t="str">
        <x:v>blind package acceptance</x:v>
      </x:c>
      <x:c r="E3720" t="str">
        <x:v>PH-BL-030</x:v>
      </x:c>
      <x:c r="F3720" t="n">
        <x:f>IF('Blind Custody'!I36&lt;&gt;"",1,0)</x:f>
        <x:v>0</x:v>
      </x:c>
      <x:c r="G3720" t="n">
        <x:v>1</x:v>
      </x:c>
      <x:c r="H3720" t="str">
        <x:v>independent physical acceptance</x:v>
      </x:c>
      <x:c r="I3720" t="str">
        <x:f>IF(F3720=1,"PASS","OPEN")</x:f>
        <x:v>OPEN</x:v>
      </x:c>
    </x:row>
    <x:row r="3721">
      <x:c r="B3721" t="str">
        <x:v>PH-BL-031</x:v>
      </x:c>
      <x:c r="C3721" t="str">
        <x:v>PHYSICAL</x:v>
      </x:c>
      <x:c r="D3721" t="str">
        <x:v>blind package acceptance</x:v>
      </x:c>
      <x:c r="E3721" t="str">
        <x:v>PH-BL-031</x:v>
      </x:c>
      <x:c r="F3721" t="n">
        <x:f>IF('Blind Custody'!I37&lt;&gt;"",1,0)</x:f>
        <x:v>0</x:v>
      </x:c>
      <x:c r="G3721" t="n">
        <x:v>1</x:v>
      </x:c>
      <x:c r="H3721" t="str">
        <x:v>independent physical acceptance</x:v>
      </x:c>
      <x:c r="I3721" t="str">
        <x:f>IF(F3721=1,"PASS","OPEN")</x:f>
        <x:v>OPEN</x:v>
      </x:c>
    </x:row>
    <x:row r="3722">
      <x:c r="B3722" t="str">
        <x:v>PH-BL-032</x:v>
      </x:c>
      <x:c r="C3722" t="str">
        <x:v>PHYSICAL</x:v>
      </x:c>
      <x:c r="D3722" t="str">
        <x:v>blind package acceptance</x:v>
      </x:c>
      <x:c r="E3722" t="str">
        <x:v>PH-BL-032</x:v>
      </x:c>
      <x:c r="F3722" t="n">
        <x:f>IF('Blind Custody'!I38&lt;&gt;"",1,0)</x:f>
        <x:v>0</x:v>
      </x:c>
      <x:c r="G3722" t="n">
        <x:v>1</x:v>
      </x:c>
      <x:c r="H3722" t="str">
        <x:v>independent physical acceptance</x:v>
      </x:c>
      <x:c r="I3722" t="str">
        <x:f>IF(F3722=1,"PASS","OPEN")</x:f>
        <x:v>OPEN</x:v>
      </x:c>
    </x:row>
    <x:row r="3723">
      <x:c r="B3723" t="str">
        <x:v>PH-BL-033</x:v>
      </x:c>
      <x:c r="C3723" t="str">
        <x:v>PHYSICAL</x:v>
      </x:c>
      <x:c r="D3723" t="str">
        <x:v>blind package acceptance</x:v>
      </x:c>
      <x:c r="E3723" t="str">
        <x:v>PH-BL-033</x:v>
      </x:c>
      <x:c r="F3723" t="n">
        <x:f>IF('Blind Custody'!I39&lt;&gt;"",1,0)</x:f>
        <x:v>0</x:v>
      </x:c>
      <x:c r="G3723" t="n">
        <x:v>1</x:v>
      </x:c>
      <x:c r="H3723" t="str">
        <x:v>independent physical acceptance</x:v>
      </x:c>
      <x:c r="I3723" t="str">
        <x:f>IF(F3723=1,"PASS","OPEN")</x:f>
        <x:v>OPEN</x:v>
      </x:c>
    </x:row>
    <x:row r="3724">
      <x:c r="B3724" t="str">
        <x:v>PH-BL-034</x:v>
      </x:c>
      <x:c r="C3724" t="str">
        <x:v>PHYSICAL</x:v>
      </x:c>
      <x:c r="D3724" t="str">
        <x:v>blind package acceptance</x:v>
      </x:c>
      <x:c r="E3724" t="str">
        <x:v>PH-BL-034</x:v>
      </x:c>
      <x:c r="F3724" t="n">
        <x:f>IF('Blind Custody'!I40&lt;&gt;"",1,0)</x:f>
        <x:v>0</x:v>
      </x:c>
      <x:c r="G3724" t="n">
        <x:v>1</x:v>
      </x:c>
      <x:c r="H3724" t="str">
        <x:v>independent physical acceptance</x:v>
      </x:c>
      <x:c r="I3724" t="str">
        <x:f>IF(F3724=1,"PASS","OPEN")</x:f>
        <x:v>OPEN</x:v>
      </x:c>
    </x:row>
    <x:row r="3725">
      <x:c r="B3725" t="str">
        <x:v>PH-BL-035</x:v>
      </x:c>
      <x:c r="C3725" t="str">
        <x:v>PHYSICAL</x:v>
      </x:c>
      <x:c r="D3725" t="str">
        <x:v>blind package acceptance</x:v>
      </x:c>
      <x:c r="E3725" t="str">
        <x:v>PH-BL-035</x:v>
      </x:c>
      <x:c r="F3725" t="n">
        <x:f>IF('Blind Custody'!I41&lt;&gt;"",1,0)</x:f>
        <x:v>0</x:v>
      </x:c>
      <x:c r="G3725" t="n">
        <x:v>1</x:v>
      </x:c>
      <x:c r="H3725" t="str">
        <x:v>independent physical acceptance</x:v>
      </x:c>
      <x:c r="I3725" t="str">
        <x:f>IF(F3725=1,"PASS","OPEN")</x:f>
        <x:v>OPEN</x:v>
      </x:c>
    </x:row>
    <x:row r="3726">
      <x:c r="B3726" t="str">
        <x:v>PH-BL-036</x:v>
      </x:c>
      <x:c r="C3726" t="str">
        <x:v>PHYSICAL</x:v>
      </x:c>
      <x:c r="D3726" t="str">
        <x:v>blind package acceptance</x:v>
      </x:c>
      <x:c r="E3726" t="str">
        <x:v>PH-BL-036</x:v>
      </x:c>
      <x:c r="F3726" t="n">
        <x:f>IF('Blind Custody'!I42&lt;&gt;"",1,0)</x:f>
        <x:v>0</x:v>
      </x:c>
      <x:c r="G3726" t="n">
        <x:v>1</x:v>
      </x:c>
      <x:c r="H3726" t="str">
        <x:v>independent physical acceptance</x:v>
      </x:c>
      <x:c r="I3726" t="str">
        <x:f>IF(F3726=1,"PASS","OPEN")</x:f>
        <x:v>OPEN</x:v>
      </x:c>
    </x:row>
    <x:row r="3727">
      <x:c r="B3727" t="str">
        <x:v>PH-BL-037</x:v>
      </x:c>
      <x:c r="C3727" t="str">
        <x:v>PHYSICAL</x:v>
      </x:c>
      <x:c r="D3727" t="str">
        <x:v>blind package acceptance</x:v>
      </x:c>
      <x:c r="E3727" t="str">
        <x:v>PH-BL-037</x:v>
      </x:c>
      <x:c r="F3727" t="n">
        <x:f>IF('Blind Custody'!I43&lt;&gt;"",1,0)</x:f>
        <x:v>0</x:v>
      </x:c>
      <x:c r="G3727" t="n">
        <x:v>1</x:v>
      </x:c>
      <x:c r="H3727" t="str">
        <x:v>independent physical acceptance</x:v>
      </x:c>
      <x:c r="I3727" t="str">
        <x:f>IF(F3727=1,"PASS","OPEN")</x:f>
        <x:v>OPEN</x:v>
      </x:c>
    </x:row>
    <x:row r="3728">
      <x:c r="B3728" t="str">
        <x:v>PH-BL-038</x:v>
      </x:c>
      <x:c r="C3728" t="str">
        <x:v>PHYSICAL</x:v>
      </x:c>
      <x:c r="D3728" t="str">
        <x:v>blind package acceptance</x:v>
      </x:c>
      <x:c r="E3728" t="str">
        <x:v>PH-BL-038</x:v>
      </x:c>
      <x:c r="F3728" t="n">
        <x:f>IF('Blind Custody'!I44&lt;&gt;"",1,0)</x:f>
        <x:v>0</x:v>
      </x:c>
      <x:c r="G3728" t="n">
        <x:v>1</x:v>
      </x:c>
      <x:c r="H3728" t="str">
        <x:v>independent physical acceptance</x:v>
      </x:c>
      <x:c r="I3728" t="str">
        <x:f>IF(F3728=1,"PASS","OPEN")</x:f>
        <x:v>OPEN</x:v>
      </x:c>
    </x:row>
    <x:row r="3729">
      <x:c r="B3729" t="str">
        <x:v>PH-BL-039</x:v>
      </x:c>
      <x:c r="C3729" t="str">
        <x:v>PHYSICAL</x:v>
      </x:c>
      <x:c r="D3729" t="str">
        <x:v>blind package acceptance</x:v>
      </x:c>
      <x:c r="E3729" t="str">
        <x:v>PH-BL-039</x:v>
      </x:c>
      <x:c r="F3729" t="n">
        <x:f>IF('Blind Custody'!I45&lt;&gt;"",1,0)</x:f>
        <x:v>0</x:v>
      </x:c>
      <x:c r="G3729" t="n">
        <x:v>1</x:v>
      </x:c>
      <x:c r="H3729" t="str">
        <x:v>independent physical acceptance</x:v>
      </x:c>
      <x:c r="I3729" t="str">
        <x:f>IF(F3729=1,"PASS","OPEN")</x:f>
        <x:v>OPEN</x:v>
      </x:c>
    </x:row>
    <x:row r="3730">
      <x:c r="B3730" t="str">
        <x:v>PH-BL-040</x:v>
      </x:c>
      <x:c r="C3730" t="str">
        <x:v>PHYSICAL</x:v>
      </x:c>
      <x:c r="D3730" t="str">
        <x:v>blind package acceptance</x:v>
      </x:c>
      <x:c r="E3730" t="str">
        <x:v>PH-BL-040</x:v>
      </x:c>
      <x:c r="F3730" t="n">
        <x:f>IF('Blind Custody'!I46&lt;&gt;"",1,0)</x:f>
        <x:v>0</x:v>
      </x:c>
      <x:c r="G3730" t="n">
        <x:v>1</x:v>
      </x:c>
      <x:c r="H3730" t="str">
        <x:v>independent physical acceptance</x:v>
      </x:c>
      <x:c r="I3730" t="str">
        <x:f>IF(F3730=1,"PASS","OPEN")</x:f>
        <x:v>OPEN</x:v>
      </x:c>
    </x:row>
    <x:row r="3731">
      <x:c r="B3731" t="str">
        <x:v>PH-BL-041</x:v>
      </x:c>
      <x:c r="C3731" t="str">
        <x:v>PHYSICAL</x:v>
      </x:c>
      <x:c r="D3731" t="str">
        <x:v>blind package acceptance</x:v>
      </x:c>
      <x:c r="E3731" t="str">
        <x:v>PH-BL-041</x:v>
      </x:c>
      <x:c r="F3731" t="n">
        <x:f>IF('Blind Custody'!I47&lt;&gt;"",1,0)</x:f>
        <x:v>0</x:v>
      </x:c>
      <x:c r="G3731" t="n">
        <x:v>1</x:v>
      </x:c>
      <x:c r="H3731" t="str">
        <x:v>independent physical acceptance</x:v>
      </x:c>
      <x:c r="I3731" t="str">
        <x:f>IF(F3731=1,"PASS","OPEN")</x:f>
        <x:v>OPEN</x:v>
      </x:c>
    </x:row>
    <x:row r="3732">
      <x:c r="B3732" t="str">
        <x:v>PH-BL-042</x:v>
      </x:c>
      <x:c r="C3732" t="str">
        <x:v>PHYSICAL</x:v>
      </x:c>
      <x:c r="D3732" t="str">
        <x:v>blind package acceptance</x:v>
      </x:c>
      <x:c r="E3732" t="str">
        <x:v>PH-BL-042</x:v>
      </x:c>
      <x:c r="F3732" t="n">
        <x:f>IF('Blind Custody'!I48&lt;&gt;"",1,0)</x:f>
        <x:v>0</x:v>
      </x:c>
      <x:c r="G3732" t="n">
        <x:v>1</x:v>
      </x:c>
      <x:c r="H3732" t="str">
        <x:v>independent physical acceptance</x:v>
      </x:c>
      <x:c r="I3732" t="str">
        <x:f>IF(F3732=1,"PASS","OPEN")</x:f>
        <x:v>OPEN</x:v>
      </x:c>
    </x:row>
    <x:row r="3733">
      <x:c r="B3733" t="str">
        <x:v>PH-BL-043</x:v>
      </x:c>
      <x:c r="C3733" t="str">
        <x:v>PHYSICAL</x:v>
      </x:c>
      <x:c r="D3733" t="str">
        <x:v>blind package acceptance</x:v>
      </x:c>
      <x:c r="E3733" t="str">
        <x:v>PH-BL-043</x:v>
      </x:c>
      <x:c r="F3733" t="n">
        <x:f>IF('Blind Custody'!I49&lt;&gt;"",1,0)</x:f>
        <x:v>0</x:v>
      </x:c>
      <x:c r="G3733" t="n">
        <x:v>1</x:v>
      </x:c>
      <x:c r="H3733" t="str">
        <x:v>independent physical acceptance</x:v>
      </x:c>
      <x:c r="I3733" t="str">
        <x:f>IF(F3733=1,"PASS","OPEN")</x:f>
        <x:v>OPEN</x:v>
      </x:c>
    </x:row>
    <x:row r="3734">
      <x:c r="B3734" t="str">
        <x:v>PH-BL-044</x:v>
      </x:c>
      <x:c r="C3734" t="str">
        <x:v>PHYSICAL</x:v>
      </x:c>
      <x:c r="D3734" t="str">
        <x:v>blind package acceptance</x:v>
      </x:c>
      <x:c r="E3734" t="str">
        <x:v>PH-BL-044</x:v>
      </x:c>
      <x:c r="F3734" t="n">
        <x:f>IF('Blind Custody'!I50&lt;&gt;"",1,0)</x:f>
        <x:v>0</x:v>
      </x:c>
      <x:c r="G3734" t="n">
        <x:v>1</x:v>
      </x:c>
      <x:c r="H3734" t="str">
        <x:v>independent physical acceptance</x:v>
      </x:c>
      <x:c r="I3734" t="str">
        <x:f>IF(F3734=1,"PASS","OPEN")</x:f>
        <x:v>OPEN</x:v>
      </x:c>
    </x:row>
    <x:row r="3735">
      <x:c r="B3735" t="str">
        <x:v>PH-BL-045</x:v>
      </x:c>
      <x:c r="C3735" t="str">
        <x:v>PHYSICAL</x:v>
      </x:c>
      <x:c r="D3735" t="str">
        <x:v>blind package acceptance</x:v>
      </x:c>
      <x:c r="E3735" t="str">
        <x:v>PH-BL-045</x:v>
      </x:c>
      <x:c r="F3735" t="n">
        <x:f>IF('Blind Custody'!I51&lt;&gt;"",1,0)</x:f>
        <x:v>0</x:v>
      </x:c>
      <x:c r="G3735" t="n">
        <x:v>1</x:v>
      </x:c>
      <x:c r="H3735" t="str">
        <x:v>independent physical acceptance</x:v>
      </x:c>
      <x:c r="I3735" t="str">
        <x:f>IF(F3735=1,"PASS","OPEN")</x:f>
        <x:v>OPEN</x:v>
      </x:c>
    </x:row>
    <x:row r="3736">
      <x:c r="B3736" t="str">
        <x:v>PH-BL-046</x:v>
      </x:c>
      <x:c r="C3736" t="str">
        <x:v>PHYSICAL</x:v>
      </x:c>
      <x:c r="D3736" t="str">
        <x:v>blind package acceptance</x:v>
      </x:c>
      <x:c r="E3736" t="str">
        <x:v>PH-BL-046</x:v>
      </x:c>
      <x:c r="F3736" t="n">
        <x:f>IF('Blind Custody'!I52&lt;&gt;"",1,0)</x:f>
        <x:v>0</x:v>
      </x:c>
      <x:c r="G3736" t="n">
        <x:v>1</x:v>
      </x:c>
      <x:c r="H3736" t="str">
        <x:v>independent physical acceptance</x:v>
      </x:c>
      <x:c r="I3736" t="str">
        <x:f>IF(F3736=1,"PASS","OPEN")</x:f>
        <x:v>OPEN</x:v>
      </x:c>
    </x:row>
    <x:row r="3737">
      <x:c r="B3737" t="str">
        <x:v>PH-BL-047</x:v>
      </x:c>
      <x:c r="C3737" t="str">
        <x:v>PHYSICAL</x:v>
      </x:c>
      <x:c r="D3737" t="str">
        <x:v>blind package acceptance</x:v>
      </x:c>
      <x:c r="E3737" t="str">
        <x:v>PH-BL-047</x:v>
      </x:c>
      <x:c r="F3737" t="n">
        <x:f>IF('Blind Custody'!I53&lt;&gt;"",1,0)</x:f>
        <x:v>0</x:v>
      </x:c>
      <x:c r="G3737" t="n">
        <x:v>1</x:v>
      </x:c>
      <x:c r="H3737" t="str">
        <x:v>independent physical acceptance</x:v>
      </x:c>
      <x:c r="I3737" t="str">
        <x:f>IF(F3737=1,"PASS","OPEN")</x:f>
        <x:v>OPEN</x:v>
      </x:c>
    </x:row>
    <x:row r="3738">
      <x:c r="B3738" t="str">
        <x:v>PH-BL-048</x:v>
      </x:c>
      <x:c r="C3738" t="str">
        <x:v>PHYSICAL</x:v>
      </x:c>
      <x:c r="D3738" t="str">
        <x:v>blind package acceptance</x:v>
      </x:c>
      <x:c r="E3738" t="str">
        <x:v>PH-BL-048</x:v>
      </x:c>
      <x:c r="F3738" t="n">
        <x:f>IF('Blind Custody'!I54&lt;&gt;"",1,0)</x:f>
        <x:v>0</x:v>
      </x:c>
      <x:c r="G3738" t="n">
        <x:v>1</x:v>
      </x:c>
      <x:c r="H3738" t="str">
        <x:v>independent physical acceptance</x:v>
      </x:c>
      <x:c r="I3738" t="str">
        <x:f>IF(F3738=1,"PASS","OPEN")</x:f>
        <x:v>OPEN</x:v>
      </x:c>
    </x:row>
    <x:row r="3739">
      <x:c r="B3739" t="str">
        <x:v>PH-BL-049</x:v>
      </x:c>
      <x:c r="C3739" t="str">
        <x:v>PHYSICAL</x:v>
      </x:c>
      <x:c r="D3739" t="str">
        <x:v>blind package acceptance</x:v>
      </x:c>
      <x:c r="E3739" t="str">
        <x:v>PH-BL-049</x:v>
      </x:c>
      <x:c r="F3739" t="n">
        <x:f>IF('Blind Custody'!I55&lt;&gt;"",1,0)</x:f>
        <x:v>0</x:v>
      </x:c>
      <x:c r="G3739" t="n">
        <x:v>1</x:v>
      </x:c>
      <x:c r="H3739" t="str">
        <x:v>independent physical acceptance</x:v>
      </x:c>
      <x:c r="I3739" t="str">
        <x:f>IF(F3739=1,"PASS","OPEN")</x:f>
        <x:v>OPEN</x:v>
      </x:c>
    </x:row>
    <x:row r="3740">
      <x:c r="B3740" t="str">
        <x:v>PH-BL-050</x:v>
      </x:c>
      <x:c r="C3740" t="str">
        <x:v>PHYSICAL</x:v>
      </x:c>
      <x:c r="D3740" t="str">
        <x:v>blind package acceptance</x:v>
      </x:c>
      <x:c r="E3740" t="str">
        <x:v>PH-BL-050</x:v>
      </x:c>
      <x:c r="F3740" t="n">
        <x:f>IF('Blind Custody'!I56&lt;&gt;"",1,0)</x:f>
        <x:v>0</x:v>
      </x:c>
      <x:c r="G3740" t="n">
        <x:v>1</x:v>
      </x:c>
      <x:c r="H3740" t="str">
        <x:v>independent physical acceptance</x:v>
      </x:c>
      <x:c r="I3740" t="str">
        <x:f>IF(F3740=1,"PASS","OPEN")</x:f>
        <x:v>OPEN</x:v>
      </x:c>
    </x:row>
    <x:row r="3741">
      <x:c r="B3741" t="str">
        <x:v>PH-BL-051</x:v>
      </x:c>
      <x:c r="C3741" t="str">
        <x:v>PHYSICAL</x:v>
      </x:c>
      <x:c r="D3741" t="str">
        <x:v>blind package acceptance</x:v>
      </x:c>
      <x:c r="E3741" t="str">
        <x:v>PH-BL-051</x:v>
      </x:c>
      <x:c r="F3741" t="n">
        <x:f>IF('Blind Custody'!I57&lt;&gt;"",1,0)</x:f>
        <x:v>0</x:v>
      </x:c>
      <x:c r="G3741" t="n">
        <x:v>1</x:v>
      </x:c>
      <x:c r="H3741" t="str">
        <x:v>independent physical acceptance</x:v>
      </x:c>
      <x:c r="I3741" t="str">
        <x:f>IF(F3741=1,"PASS","OPEN")</x:f>
        <x:v>OPEN</x:v>
      </x:c>
    </x:row>
    <x:row r="3742">
      <x:c r="B3742" t="str">
        <x:v>PH-BL-052</x:v>
      </x:c>
      <x:c r="C3742" t="str">
        <x:v>PHYSICAL</x:v>
      </x:c>
      <x:c r="D3742" t="str">
        <x:v>blind package acceptance</x:v>
      </x:c>
      <x:c r="E3742" t="str">
        <x:v>PH-BL-052</x:v>
      </x:c>
      <x:c r="F3742" t="n">
        <x:f>IF('Blind Custody'!I58&lt;&gt;"",1,0)</x:f>
        <x:v>0</x:v>
      </x:c>
      <x:c r="G3742" t="n">
        <x:v>1</x:v>
      </x:c>
      <x:c r="H3742" t="str">
        <x:v>independent physical acceptance</x:v>
      </x:c>
      <x:c r="I3742" t="str">
        <x:f>IF(F3742=1,"PASS","OPEN")</x:f>
        <x:v>OPEN</x:v>
      </x:c>
    </x:row>
    <x:row r="3743">
      <x:c r="B3743" t="str">
        <x:v>PH-BL-053</x:v>
      </x:c>
      <x:c r="C3743" t="str">
        <x:v>PHYSICAL</x:v>
      </x:c>
      <x:c r="D3743" t="str">
        <x:v>blind package acceptance</x:v>
      </x:c>
      <x:c r="E3743" t="str">
        <x:v>PH-BL-053</x:v>
      </x:c>
      <x:c r="F3743" t="n">
        <x:f>IF('Blind Custody'!I59&lt;&gt;"",1,0)</x:f>
        <x:v>0</x:v>
      </x:c>
      <x:c r="G3743" t="n">
        <x:v>1</x:v>
      </x:c>
      <x:c r="H3743" t="str">
        <x:v>independent physical acceptance</x:v>
      </x:c>
      <x:c r="I3743" t="str">
        <x:f>IF(F3743=1,"PASS","OPEN")</x:f>
        <x:v>OPEN</x:v>
      </x:c>
    </x:row>
    <x:row r="3744">
      <x:c r="B3744" t="str">
        <x:v>PH-BL-054</x:v>
      </x:c>
      <x:c r="C3744" t="str">
        <x:v>PHYSICAL</x:v>
      </x:c>
      <x:c r="D3744" t="str">
        <x:v>blind package acceptance</x:v>
      </x:c>
      <x:c r="E3744" t="str">
        <x:v>PH-BL-054</x:v>
      </x:c>
      <x:c r="F3744" t="n">
        <x:f>IF('Blind Custody'!I60&lt;&gt;"",1,0)</x:f>
        <x:v>0</x:v>
      </x:c>
      <x:c r="G3744" t="n">
        <x:v>1</x:v>
      </x:c>
      <x:c r="H3744" t="str">
        <x:v>independent physical acceptance</x:v>
      </x:c>
      <x:c r="I3744" t="str">
        <x:f>IF(F3744=1,"PASS","OPEN")</x:f>
        <x:v>OPEN</x:v>
      </x:c>
    </x:row>
    <x:row r="3745">
      <x:c r="B3745" t="str">
        <x:v>PH-BL-055</x:v>
      </x:c>
      <x:c r="C3745" t="str">
        <x:v>PHYSICAL</x:v>
      </x:c>
      <x:c r="D3745" t="str">
        <x:v>blind package acceptance</x:v>
      </x:c>
      <x:c r="E3745" t="str">
        <x:v>PH-BL-055</x:v>
      </x:c>
      <x:c r="F3745" t="n">
        <x:f>IF('Blind Custody'!I61&lt;&gt;"",1,0)</x:f>
        <x:v>0</x:v>
      </x:c>
      <x:c r="G3745" t="n">
        <x:v>1</x:v>
      </x:c>
      <x:c r="H3745" t="str">
        <x:v>independent physical acceptance</x:v>
      </x:c>
      <x:c r="I3745" t="str">
        <x:f>IF(F3745=1,"PASS","OPEN")</x:f>
        <x:v>OPEN</x:v>
      </x:c>
    </x:row>
    <x:row r="3746">
      <x:c r="B3746" t="str">
        <x:v>PH-BL-056</x:v>
      </x:c>
      <x:c r="C3746" t="str">
        <x:v>PHYSICAL</x:v>
      </x:c>
      <x:c r="D3746" t="str">
        <x:v>blind package acceptance</x:v>
      </x:c>
      <x:c r="E3746" t="str">
        <x:v>PH-BL-056</x:v>
      </x:c>
      <x:c r="F3746" t="n">
        <x:f>IF('Blind Custody'!I62&lt;&gt;"",1,0)</x:f>
        <x:v>0</x:v>
      </x:c>
      <x:c r="G3746" t="n">
        <x:v>1</x:v>
      </x:c>
      <x:c r="H3746" t="str">
        <x:v>independent physical acceptance</x:v>
      </x:c>
      <x:c r="I3746" t="str">
        <x:f>IF(F3746=1,"PASS","OPEN")</x:f>
        <x:v>OPEN</x:v>
      </x:c>
    </x:row>
    <x:row r="3747">
      <x:c r="B3747" t="str">
        <x:v>PH-BL-057</x:v>
      </x:c>
      <x:c r="C3747" t="str">
        <x:v>PHYSICAL</x:v>
      </x:c>
      <x:c r="D3747" t="str">
        <x:v>blind package acceptance</x:v>
      </x:c>
      <x:c r="E3747" t="str">
        <x:v>PH-BL-057</x:v>
      </x:c>
      <x:c r="F3747" t="n">
        <x:f>IF('Blind Custody'!I63&lt;&gt;"",1,0)</x:f>
        <x:v>0</x:v>
      </x:c>
      <x:c r="G3747" t="n">
        <x:v>1</x:v>
      </x:c>
      <x:c r="H3747" t="str">
        <x:v>independent physical acceptance</x:v>
      </x:c>
      <x:c r="I3747" t="str">
        <x:f>IF(F3747=1,"PASS","OPEN")</x:f>
        <x:v>OPEN</x:v>
      </x:c>
    </x:row>
    <x:row r="3748">
      <x:c r="B3748" t="str">
        <x:v>PH-BL-058</x:v>
      </x:c>
      <x:c r="C3748" t="str">
        <x:v>PHYSICAL</x:v>
      </x:c>
      <x:c r="D3748" t="str">
        <x:v>blind package acceptance</x:v>
      </x:c>
      <x:c r="E3748" t="str">
        <x:v>PH-BL-058</x:v>
      </x:c>
      <x:c r="F3748" t="n">
        <x:f>IF('Blind Custody'!I64&lt;&gt;"",1,0)</x:f>
        <x:v>0</x:v>
      </x:c>
      <x:c r="G3748" t="n">
        <x:v>1</x:v>
      </x:c>
      <x:c r="H3748" t="str">
        <x:v>independent physical acceptance</x:v>
      </x:c>
      <x:c r="I3748" t="str">
        <x:f>IF(F3748=1,"PASS","OPEN")</x:f>
        <x:v>OPEN</x:v>
      </x:c>
    </x:row>
    <x:row r="3749">
      <x:c r="B3749" t="str">
        <x:v>PH-BL-059</x:v>
      </x:c>
      <x:c r="C3749" t="str">
        <x:v>PHYSICAL</x:v>
      </x:c>
      <x:c r="D3749" t="str">
        <x:v>blind package acceptance</x:v>
      </x:c>
      <x:c r="E3749" t="str">
        <x:v>PH-BL-059</x:v>
      </x:c>
      <x:c r="F3749" t="n">
        <x:f>IF('Blind Custody'!I65&lt;&gt;"",1,0)</x:f>
        <x:v>0</x:v>
      </x:c>
      <x:c r="G3749" t="n">
        <x:v>1</x:v>
      </x:c>
      <x:c r="H3749" t="str">
        <x:v>independent physical acceptance</x:v>
      </x:c>
      <x:c r="I3749" t="str">
        <x:f>IF(F3749=1,"PASS","OPEN")</x:f>
        <x:v>OPEN</x:v>
      </x:c>
    </x:row>
    <x:row r="3750">
      <x:c r="B3750" t="str">
        <x:v>PH-BL-060</x:v>
      </x:c>
      <x:c r="C3750" t="str">
        <x:v>PHYSICAL</x:v>
      </x:c>
      <x:c r="D3750" t="str">
        <x:v>blind package acceptance</x:v>
      </x:c>
      <x:c r="E3750" t="str">
        <x:v>PH-BL-060</x:v>
      </x:c>
      <x:c r="F3750" t="n">
        <x:f>IF('Blind Custody'!I66&lt;&gt;"",1,0)</x:f>
        <x:v>0</x:v>
      </x:c>
      <x:c r="G3750" t="n">
        <x:v>1</x:v>
      </x:c>
      <x:c r="H3750" t="str">
        <x:v>independent physical acceptance</x:v>
      </x:c>
      <x:c r="I3750" t="str">
        <x:f>IF(F3750=1,"PASS","OPEN")</x:f>
        <x:v>OPEN</x:v>
      </x:c>
    </x:row>
    <x:row r="3751">
      <x:c r="B3751" t="str">
        <x:v>PH-FI-001</x:v>
      </x:c>
      <x:c r="C3751" t="str">
        <x:v>PHYSICAL</x:v>
      </x:c>
      <x:c r="D3751" t="str">
        <x:v>fault-card acceptance</x:v>
      </x:c>
      <x:c r="E3751" t="str">
        <x:v>PH-FI-001</x:v>
      </x:c>
      <x:c r="F3751" t="n">
        <x:f>IF('Fault Cards'!G7&lt;&gt;"",1,0)</x:f>
        <x:v>0</x:v>
      </x:c>
      <x:c r="G3751" t="n">
        <x:v>1</x:v>
      </x:c>
      <x:c r="H3751" t="str">
        <x:v>independent physical acceptance</x:v>
      </x:c>
      <x:c r="I3751" t="str">
        <x:f>IF(F3751=1,"PASS","OPEN")</x:f>
        <x:v>OPEN</x:v>
      </x:c>
    </x:row>
    <x:row r="3752">
      <x:c r="B3752" t="str">
        <x:v>PH-FI-002</x:v>
      </x:c>
      <x:c r="C3752" t="str">
        <x:v>PHYSICAL</x:v>
      </x:c>
      <x:c r="D3752" t="str">
        <x:v>fault-card acceptance</x:v>
      </x:c>
      <x:c r="E3752" t="str">
        <x:v>PH-FI-002</x:v>
      </x:c>
      <x:c r="F3752" t="n">
        <x:f>IF('Fault Cards'!G8&lt;&gt;"",1,0)</x:f>
        <x:v>0</x:v>
      </x:c>
      <x:c r="G3752" t="n">
        <x:v>1</x:v>
      </x:c>
      <x:c r="H3752" t="str">
        <x:v>independent physical acceptance</x:v>
      </x:c>
      <x:c r="I3752" t="str">
        <x:f>IF(F3752=1,"PASS","OPEN")</x:f>
        <x:v>OPEN</x:v>
      </x:c>
    </x:row>
    <x:row r="3753">
      <x:c r="B3753" t="str">
        <x:v>PH-FI-003</x:v>
      </x:c>
      <x:c r="C3753" t="str">
        <x:v>PHYSICAL</x:v>
      </x:c>
      <x:c r="D3753" t="str">
        <x:v>fault-card acceptance</x:v>
      </x:c>
      <x:c r="E3753" t="str">
        <x:v>PH-FI-003</x:v>
      </x:c>
      <x:c r="F3753" t="n">
        <x:f>IF('Fault Cards'!G9&lt;&gt;"",1,0)</x:f>
        <x:v>0</x:v>
      </x:c>
      <x:c r="G3753" t="n">
        <x:v>1</x:v>
      </x:c>
      <x:c r="H3753" t="str">
        <x:v>independent physical acceptance</x:v>
      </x:c>
      <x:c r="I3753" t="str">
        <x:f>IF(F3753=1,"PASS","OPEN")</x:f>
        <x:v>OPEN</x:v>
      </x:c>
    </x:row>
    <x:row r="3754">
      <x:c r="B3754" t="str">
        <x:v>PH-FI-004</x:v>
      </x:c>
      <x:c r="C3754" t="str">
        <x:v>PHYSICAL</x:v>
      </x:c>
      <x:c r="D3754" t="str">
        <x:v>fault-card acceptance</x:v>
      </x:c>
      <x:c r="E3754" t="str">
        <x:v>PH-FI-004</x:v>
      </x:c>
      <x:c r="F3754" t="n">
        <x:f>IF('Fault Cards'!G10&lt;&gt;"",1,0)</x:f>
        <x:v>0</x:v>
      </x:c>
      <x:c r="G3754" t="n">
        <x:v>1</x:v>
      </x:c>
      <x:c r="H3754" t="str">
        <x:v>independent physical acceptance</x:v>
      </x:c>
      <x:c r="I3754" t="str">
        <x:f>IF(F3754=1,"PASS","OPEN")</x:f>
        <x:v>OPEN</x:v>
      </x:c>
    </x:row>
    <x:row r="3755">
      <x:c r="B3755" t="str">
        <x:v>PH-FI-005</x:v>
      </x:c>
      <x:c r="C3755" t="str">
        <x:v>PHYSICAL</x:v>
      </x:c>
      <x:c r="D3755" t="str">
        <x:v>fault-card acceptance</x:v>
      </x:c>
      <x:c r="E3755" t="str">
        <x:v>PH-FI-005</x:v>
      </x:c>
      <x:c r="F3755" t="n">
        <x:f>IF('Fault Cards'!G11&lt;&gt;"",1,0)</x:f>
        <x:v>0</x:v>
      </x:c>
      <x:c r="G3755" t="n">
        <x:v>1</x:v>
      </x:c>
      <x:c r="H3755" t="str">
        <x:v>independent physical acceptance</x:v>
      </x:c>
      <x:c r="I3755" t="str">
        <x:f>IF(F3755=1,"PASS","OPEN")</x:f>
        <x:v>OPEN</x:v>
      </x:c>
    </x:row>
    <x:row r="3756">
      <x:c r="B3756" t="str">
        <x:v>PH-FI-006</x:v>
      </x:c>
      <x:c r="C3756" t="str">
        <x:v>PHYSICAL</x:v>
      </x:c>
      <x:c r="D3756" t="str">
        <x:v>fault-card acceptance</x:v>
      </x:c>
      <x:c r="E3756" t="str">
        <x:v>PH-FI-006</x:v>
      </x:c>
      <x:c r="F3756" t="n">
        <x:f>IF('Fault Cards'!G12&lt;&gt;"",1,0)</x:f>
        <x:v>0</x:v>
      </x:c>
      <x:c r="G3756" t="n">
        <x:v>1</x:v>
      </x:c>
      <x:c r="H3756" t="str">
        <x:v>independent physical acceptance</x:v>
      </x:c>
      <x:c r="I3756" t="str">
        <x:f>IF(F3756=1,"PASS","OPEN")</x:f>
        <x:v>OPEN</x:v>
      </x:c>
    </x:row>
    <x:row r="3757">
      <x:c r="B3757" t="str">
        <x:v>PH-FI-007</x:v>
      </x:c>
      <x:c r="C3757" t="str">
        <x:v>PHYSICAL</x:v>
      </x:c>
      <x:c r="D3757" t="str">
        <x:v>fault-card acceptance</x:v>
      </x:c>
      <x:c r="E3757" t="str">
        <x:v>PH-FI-007</x:v>
      </x:c>
      <x:c r="F3757" t="n">
        <x:f>IF('Fault Cards'!G13&lt;&gt;"",1,0)</x:f>
        <x:v>0</x:v>
      </x:c>
      <x:c r="G3757" t="n">
        <x:v>1</x:v>
      </x:c>
      <x:c r="H3757" t="str">
        <x:v>independent physical acceptance</x:v>
      </x:c>
      <x:c r="I3757" t="str">
        <x:f>IF(F3757=1,"PASS","OPEN")</x:f>
        <x:v>OPEN</x:v>
      </x:c>
    </x:row>
    <x:row r="3758">
      <x:c r="B3758" t="str">
        <x:v>PH-FI-008</x:v>
      </x:c>
      <x:c r="C3758" t="str">
        <x:v>PHYSICAL</x:v>
      </x:c>
      <x:c r="D3758" t="str">
        <x:v>fault-card acceptance</x:v>
      </x:c>
      <x:c r="E3758" t="str">
        <x:v>PH-FI-008</x:v>
      </x:c>
      <x:c r="F3758" t="n">
        <x:f>IF('Fault Cards'!G14&lt;&gt;"",1,0)</x:f>
        <x:v>0</x:v>
      </x:c>
      <x:c r="G3758" t="n">
        <x:v>1</x:v>
      </x:c>
      <x:c r="H3758" t="str">
        <x:v>independent physical acceptance</x:v>
      </x:c>
      <x:c r="I3758" t="str">
        <x:f>IF(F3758=1,"PASS","OPEN")</x:f>
        <x:v>OPEN</x:v>
      </x:c>
    </x:row>
    <x:row r="3759">
      <x:c r="B3759" t="str">
        <x:v>PH-FI-009</x:v>
      </x:c>
      <x:c r="C3759" t="str">
        <x:v>PHYSICAL</x:v>
      </x:c>
      <x:c r="D3759" t="str">
        <x:v>fault-card acceptance</x:v>
      </x:c>
      <x:c r="E3759" t="str">
        <x:v>PH-FI-009</x:v>
      </x:c>
      <x:c r="F3759" t="n">
        <x:f>IF('Fault Cards'!G15&lt;&gt;"",1,0)</x:f>
        <x:v>0</x:v>
      </x:c>
      <x:c r="G3759" t="n">
        <x:v>1</x:v>
      </x:c>
      <x:c r="H3759" t="str">
        <x:v>independent physical acceptance</x:v>
      </x:c>
      <x:c r="I3759" t="str">
        <x:f>IF(F3759=1,"PASS","OPEN")</x:f>
        <x:v>OPEN</x:v>
      </x:c>
    </x:row>
    <x:row r="3760">
      <x:c r="B3760" t="str">
        <x:v>PH-FI-010</x:v>
      </x:c>
      <x:c r="C3760" t="str">
        <x:v>PHYSICAL</x:v>
      </x:c>
      <x:c r="D3760" t="str">
        <x:v>fault-card acceptance</x:v>
      </x:c>
      <x:c r="E3760" t="str">
        <x:v>PH-FI-010</x:v>
      </x:c>
      <x:c r="F3760" t="n">
        <x:f>IF('Fault Cards'!G16&lt;&gt;"",1,0)</x:f>
        <x:v>0</x:v>
      </x:c>
      <x:c r="G3760" t="n">
        <x:v>1</x:v>
      </x:c>
      <x:c r="H3760" t="str">
        <x:v>independent physical acceptance</x:v>
      </x:c>
      <x:c r="I3760" t="str">
        <x:f>IF(F3760=1,"PASS","OPEN")</x:f>
        <x:v>OPEN</x:v>
      </x:c>
    </x:row>
    <x:row r="3761">
      <x:c r="B3761" t="str">
        <x:v>PH-FI-011</x:v>
      </x:c>
      <x:c r="C3761" t="str">
        <x:v>PHYSICAL</x:v>
      </x:c>
      <x:c r="D3761" t="str">
        <x:v>fault-card acceptance</x:v>
      </x:c>
      <x:c r="E3761" t="str">
        <x:v>PH-FI-011</x:v>
      </x:c>
      <x:c r="F3761" t="n">
        <x:f>IF('Fault Cards'!G17&lt;&gt;"",1,0)</x:f>
        <x:v>0</x:v>
      </x:c>
      <x:c r="G3761" t="n">
        <x:v>1</x:v>
      </x:c>
      <x:c r="H3761" t="str">
        <x:v>independent physical acceptance</x:v>
      </x:c>
      <x:c r="I3761" t="str">
        <x:f>IF(F3761=1,"PASS","OPEN")</x:f>
        <x:v>OPEN</x:v>
      </x:c>
    </x:row>
    <x:row r="3762">
      <x:c r="B3762" t="str">
        <x:v>PH-FI-012</x:v>
      </x:c>
      <x:c r="C3762" t="str">
        <x:v>PHYSICAL</x:v>
      </x:c>
      <x:c r="D3762" t="str">
        <x:v>fault-card acceptance</x:v>
      </x:c>
      <x:c r="E3762" t="str">
        <x:v>PH-FI-012</x:v>
      </x:c>
      <x:c r="F3762" t="n">
        <x:f>IF('Fault Cards'!G18&lt;&gt;"",1,0)</x:f>
        <x:v>0</x:v>
      </x:c>
      <x:c r="G3762" t="n">
        <x:v>1</x:v>
      </x:c>
      <x:c r="H3762" t="str">
        <x:v>independent physical acceptance</x:v>
      </x:c>
      <x:c r="I3762" t="str">
        <x:f>IF(F3762=1,"PASS","OPEN")</x:f>
        <x:v>OPEN</x:v>
      </x:c>
    </x:row>
    <x:row r="3763">
      <x:c r="B3763" t="str">
        <x:v>PH-FI-013</x:v>
      </x:c>
      <x:c r="C3763" t="str">
        <x:v>PHYSICAL</x:v>
      </x:c>
      <x:c r="D3763" t="str">
        <x:v>fault-card acceptance</x:v>
      </x:c>
      <x:c r="E3763" t="str">
        <x:v>PH-FI-013</x:v>
      </x:c>
      <x:c r="F3763" t="n">
        <x:f>IF('Fault Cards'!G19&lt;&gt;"",1,0)</x:f>
        <x:v>0</x:v>
      </x:c>
      <x:c r="G3763" t="n">
        <x:v>1</x:v>
      </x:c>
      <x:c r="H3763" t="str">
        <x:v>independent physical acceptance</x:v>
      </x:c>
      <x:c r="I3763" t="str">
        <x:f>IF(F3763=1,"PASS","OPEN")</x:f>
        <x:v>OPEN</x:v>
      </x:c>
    </x:row>
    <x:row r="3764">
      <x:c r="B3764" t="str">
        <x:v>PH-FI-014</x:v>
      </x:c>
      <x:c r="C3764" t="str">
        <x:v>PHYSICAL</x:v>
      </x:c>
      <x:c r="D3764" t="str">
        <x:v>fault-card acceptance</x:v>
      </x:c>
      <x:c r="E3764" t="str">
        <x:v>PH-FI-014</x:v>
      </x:c>
      <x:c r="F3764" t="n">
        <x:f>IF('Fault Cards'!G20&lt;&gt;"",1,0)</x:f>
        <x:v>0</x:v>
      </x:c>
      <x:c r="G3764" t="n">
        <x:v>1</x:v>
      </x:c>
      <x:c r="H3764" t="str">
        <x:v>independent physical acceptance</x:v>
      </x:c>
      <x:c r="I3764" t="str">
        <x:f>IF(F3764=1,"PASS","OPEN")</x:f>
        <x:v>OPEN</x:v>
      </x:c>
    </x:row>
    <x:row r="3765">
      <x:c r="B3765" t="str">
        <x:v>PH-FI-015</x:v>
      </x:c>
      <x:c r="C3765" t="str">
        <x:v>PHYSICAL</x:v>
      </x:c>
      <x:c r="D3765" t="str">
        <x:v>fault-card acceptance</x:v>
      </x:c>
      <x:c r="E3765" t="str">
        <x:v>PH-FI-015</x:v>
      </x:c>
      <x:c r="F3765" t="n">
        <x:f>IF('Fault Cards'!G21&lt;&gt;"",1,0)</x:f>
        <x:v>0</x:v>
      </x:c>
      <x:c r="G3765" t="n">
        <x:v>1</x:v>
      </x:c>
      <x:c r="H3765" t="str">
        <x:v>independent physical acceptance</x:v>
      </x:c>
      <x:c r="I3765" t="str">
        <x:f>IF(F3765=1,"PASS","OPEN")</x:f>
        <x:v>OPEN</x:v>
      </x:c>
    </x:row>
    <x:row r="3766">
      <x:c r="B3766" t="str">
        <x:v>PH-FI-016</x:v>
      </x:c>
      <x:c r="C3766" t="str">
        <x:v>PHYSICAL</x:v>
      </x:c>
      <x:c r="D3766" t="str">
        <x:v>fault-card acceptance</x:v>
      </x:c>
      <x:c r="E3766" t="str">
        <x:v>PH-FI-016</x:v>
      </x:c>
      <x:c r="F3766" t="n">
        <x:f>IF('Fault Cards'!G22&lt;&gt;"",1,0)</x:f>
        <x:v>0</x:v>
      </x:c>
      <x:c r="G3766" t="n">
        <x:v>1</x:v>
      </x:c>
      <x:c r="H3766" t="str">
        <x:v>independent physical acceptance</x:v>
      </x:c>
      <x:c r="I3766" t="str">
        <x:f>IF(F3766=1,"PASS","OPEN")</x:f>
        <x:v>OPEN</x:v>
      </x:c>
    </x:row>
    <x:row r="3767">
      <x:c r="B3767" t="str">
        <x:v>PH-FI-017</x:v>
      </x:c>
      <x:c r="C3767" t="str">
        <x:v>PHYSICAL</x:v>
      </x:c>
      <x:c r="D3767" t="str">
        <x:v>fault-card acceptance</x:v>
      </x:c>
      <x:c r="E3767" t="str">
        <x:v>PH-FI-017</x:v>
      </x:c>
      <x:c r="F3767" t="n">
        <x:f>IF('Fault Cards'!G23&lt;&gt;"",1,0)</x:f>
        <x:v>0</x:v>
      </x:c>
      <x:c r="G3767" t="n">
        <x:v>1</x:v>
      </x:c>
      <x:c r="H3767" t="str">
        <x:v>independent physical acceptance</x:v>
      </x:c>
      <x:c r="I3767" t="str">
        <x:f>IF(F3767=1,"PASS","OPEN")</x:f>
        <x:v>OPEN</x:v>
      </x:c>
    </x:row>
    <x:row r="3768">
      <x:c r="B3768" t="str">
        <x:v>PH-FI-018</x:v>
      </x:c>
      <x:c r="C3768" t="str">
        <x:v>PHYSICAL</x:v>
      </x:c>
      <x:c r="D3768" t="str">
        <x:v>fault-card acceptance</x:v>
      </x:c>
      <x:c r="E3768" t="str">
        <x:v>PH-FI-018</x:v>
      </x:c>
      <x:c r="F3768" t="n">
        <x:f>IF('Fault Cards'!G24&lt;&gt;"",1,0)</x:f>
        <x:v>0</x:v>
      </x:c>
      <x:c r="G3768" t="n">
        <x:v>1</x:v>
      </x:c>
      <x:c r="H3768" t="str">
        <x:v>independent physical acceptance</x:v>
      </x:c>
      <x:c r="I3768" t="str">
        <x:f>IF(F3768=1,"PASS","OPEN")</x:f>
        <x:v>OPEN</x:v>
      </x:c>
    </x:row>
    <x:row r="3769">
      <x:c r="B3769" t="str">
        <x:v>PH-FI-019</x:v>
      </x:c>
      <x:c r="C3769" t="str">
        <x:v>PHYSICAL</x:v>
      </x:c>
      <x:c r="D3769" t="str">
        <x:v>fault-card acceptance</x:v>
      </x:c>
      <x:c r="E3769" t="str">
        <x:v>PH-FI-019</x:v>
      </x:c>
      <x:c r="F3769" t="n">
        <x:f>IF('Fault Cards'!G25&lt;&gt;"",1,0)</x:f>
        <x:v>0</x:v>
      </x:c>
      <x:c r="G3769" t="n">
        <x:v>1</x:v>
      </x:c>
      <x:c r="H3769" t="str">
        <x:v>independent physical acceptance</x:v>
      </x:c>
      <x:c r="I3769" t="str">
        <x:f>IF(F3769=1,"PASS","OPEN")</x:f>
        <x:v>OPEN</x:v>
      </x:c>
    </x:row>
    <x:row r="3770">
      <x:c r="B3770" t="str">
        <x:v>PH-FI-020</x:v>
      </x:c>
      <x:c r="C3770" t="str">
        <x:v>PHYSICAL</x:v>
      </x:c>
      <x:c r="D3770" t="str">
        <x:v>fault-card acceptance</x:v>
      </x:c>
      <x:c r="E3770" t="str">
        <x:v>PH-FI-020</x:v>
      </x:c>
      <x:c r="F3770" t="n">
        <x:f>IF('Fault Cards'!G26&lt;&gt;"",1,0)</x:f>
        <x:v>0</x:v>
      </x:c>
      <x:c r="G3770" t="n">
        <x:v>1</x:v>
      </x:c>
      <x:c r="H3770" t="str">
        <x:v>independent physical acceptance</x:v>
      </x:c>
      <x:c r="I3770" t="str">
        <x:f>IF(F3770=1,"PASS","OPEN")</x:f>
        <x:v>OPEN</x:v>
      </x:c>
    </x:row>
    <x:row r="3771">
      <x:c r="B3771" t="str">
        <x:v>PH-DN-001</x:v>
      </x:c>
      <x:c r="C3771" t="str">
        <x:v>PHYSICAL</x:v>
      </x:c>
      <x:c r="D3771" t="str">
        <x:v>denial-card acceptance</x:v>
      </x:c>
      <x:c r="E3771" t="str">
        <x:v>PH-DN-001</x:v>
      </x:c>
      <x:c r="F3771" t="n">
        <x:f>IF('Denial Cards'!G7&lt;&gt;"",1,0)</x:f>
        <x:v>0</x:v>
      </x:c>
      <x:c r="G3771" t="n">
        <x:v>1</x:v>
      </x:c>
      <x:c r="H3771" t="str">
        <x:v>independent physical acceptance</x:v>
      </x:c>
      <x:c r="I3771" t="str">
        <x:f>IF(F3771=1,"PASS","OPEN")</x:f>
        <x:v>OPEN</x:v>
      </x:c>
    </x:row>
    <x:row r="3772">
      <x:c r="B3772" t="str">
        <x:v>PH-DN-002</x:v>
      </x:c>
      <x:c r="C3772" t="str">
        <x:v>PHYSICAL</x:v>
      </x:c>
      <x:c r="D3772" t="str">
        <x:v>denial-card acceptance</x:v>
      </x:c>
      <x:c r="E3772" t="str">
        <x:v>PH-DN-002</x:v>
      </x:c>
      <x:c r="F3772" t="n">
        <x:f>IF('Denial Cards'!G8&lt;&gt;"",1,0)</x:f>
        <x:v>0</x:v>
      </x:c>
      <x:c r="G3772" t="n">
        <x:v>1</x:v>
      </x:c>
      <x:c r="H3772" t="str">
        <x:v>independent physical acceptance</x:v>
      </x:c>
      <x:c r="I3772" t="str">
        <x:f>IF(F3772=1,"PASS","OPEN")</x:f>
        <x:v>OPEN</x:v>
      </x:c>
    </x:row>
    <x:row r="3773">
      <x:c r="B3773" t="str">
        <x:v>PH-DN-003</x:v>
      </x:c>
      <x:c r="C3773" t="str">
        <x:v>PHYSICAL</x:v>
      </x:c>
      <x:c r="D3773" t="str">
        <x:v>denial-card acceptance</x:v>
      </x:c>
      <x:c r="E3773" t="str">
        <x:v>PH-DN-003</x:v>
      </x:c>
      <x:c r="F3773" t="n">
        <x:f>IF('Denial Cards'!G9&lt;&gt;"",1,0)</x:f>
        <x:v>0</x:v>
      </x:c>
      <x:c r="G3773" t="n">
        <x:v>1</x:v>
      </x:c>
      <x:c r="H3773" t="str">
        <x:v>independent physical acceptance</x:v>
      </x:c>
      <x:c r="I3773" t="str">
        <x:f>IF(F3773=1,"PASS","OPEN")</x:f>
        <x:v>OPEN</x:v>
      </x:c>
    </x:row>
    <x:row r="3774">
      <x:c r="B3774" t="str">
        <x:v>PH-DN-004</x:v>
      </x:c>
      <x:c r="C3774" t="str">
        <x:v>PHYSICAL</x:v>
      </x:c>
      <x:c r="D3774" t="str">
        <x:v>denial-card acceptance</x:v>
      </x:c>
      <x:c r="E3774" t="str">
        <x:v>PH-DN-004</x:v>
      </x:c>
      <x:c r="F3774" t="n">
        <x:f>IF('Denial Cards'!G10&lt;&gt;"",1,0)</x:f>
        <x:v>0</x:v>
      </x:c>
      <x:c r="G3774" t="n">
        <x:v>1</x:v>
      </x:c>
      <x:c r="H3774" t="str">
        <x:v>independent physical acceptance</x:v>
      </x:c>
      <x:c r="I3774" t="str">
        <x:f>IF(F3774=1,"PASS","OPEN")</x:f>
        <x:v>OPEN</x:v>
      </x:c>
    </x:row>
    <x:row r="3775">
      <x:c r="B3775" t="str">
        <x:v>PH-DN-005</x:v>
      </x:c>
      <x:c r="C3775" t="str">
        <x:v>PHYSICAL</x:v>
      </x:c>
      <x:c r="D3775" t="str">
        <x:v>denial-card acceptance</x:v>
      </x:c>
      <x:c r="E3775" t="str">
        <x:v>PH-DN-005</x:v>
      </x:c>
      <x:c r="F3775" t="n">
        <x:f>IF('Denial Cards'!G11&lt;&gt;"",1,0)</x:f>
        <x:v>0</x:v>
      </x:c>
      <x:c r="G3775" t="n">
        <x:v>1</x:v>
      </x:c>
      <x:c r="H3775" t="str">
        <x:v>independent physical acceptance</x:v>
      </x:c>
      <x:c r="I3775" t="str">
        <x:f>IF(F3775=1,"PASS","OPEN")</x:f>
        <x:v>OPEN</x:v>
      </x:c>
    </x:row>
    <x:row r="3776">
      <x:c r="B3776" t="str">
        <x:v>PH-DN-006</x:v>
      </x:c>
      <x:c r="C3776" t="str">
        <x:v>PHYSICAL</x:v>
      </x:c>
      <x:c r="D3776" t="str">
        <x:v>denial-card acceptance</x:v>
      </x:c>
      <x:c r="E3776" t="str">
        <x:v>PH-DN-006</x:v>
      </x:c>
      <x:c r="F3776" t="n">
        <x:f>IF('Denial Cards'!G12&lt;&gt;"",1,0)</x:f>
        <x:v>0</x:v>
      </x:c>
      <x:c r="G3776" t="n">
        <x:v>1</x:v>
      </x:c>
      <x:c r="H3776" t="str">
        <x:v>independent physical acceptance</x:v>
      </x:c>
      <x:c r="I3776" t="str">
        <x:f>IF(F3776=1,"PASS","OPEN")</x:f>
        <x:v>OPEN</x:v>
      </x:c>
    </x:row>
    <x:row r="3777">
      <x:c r="B3777" t="str">
        <x:v>PH-DN-007</x:v>
      </x:c>
      <x:c r="C3777" t="str">
        <x:v>PHYSICAL</x:v>
      </x:c>
      <x:c r="D3777" t="str">
        <x:v>denial-card acceptance</x:v>
      </x:c>
      <x:c r="E3777" t="str">
        <x:v>PH-DN-007</x:v>
      </x:c>
      <x:c r="F3777" t="n">
        <x:f>IF('Denial Cards'!G13&lt;&gt;"",1,0)</x:f>
        <x:v>0</x:v>
      </x:c>
      <x:c r="G3777" t="n">
        <x:v>1</x:v>
      </x:c>
      <x:c r="H3777" t="str">
        <x:v>independent physical acceptance</x:v>
      </x:c>
      <x:c r="I3777" t="str">
        <x:f>IF(F3777=1,"PASS","OPEN")</x:f>
        <x:v>OPEN</x:v>
      </x:c>
    </x:row>
    <x:row r="3778">
      <x:c r="B3778" t="str">
        <x:v>PH-DN-008</x:v>
      </x:c>
      <x:c r="C3778" t="str">
        <x:v>PHYSICAL</x:v>
      </x:c>
      <x:c r="D3778" t="str">
        <x:v>denial-card acceptance</x:v>
      </x:c>
      <x:c r="E3778" t="str">
        <x:v>PH-DN-008</x:v>
      </x:c>
      <x:c r="F3778" t="n">
        <x:f>IF('Denial Cards'!G14&lt;&gt;"",1,0)</x:f>
        <x:v>0</x:v>
      </x:c>
      <x:c r="G3778" t="n">
        <x:v>1</x:v>
      </x:c>
      <x:c r="H3778" t="str">
        <x:v>independent physical acceptance</x:v>
      </x:c>
      <x:c r="I3778" t="str">
        <x:f>IF(F3778=1,"PASS","OPEN")</x:f>
        <x:v>OPEN</x:v>
      </x:c>
    </x:row>
    <x:row r="3779">
      <x:c r="B3779" t="str">
        <x:v>PH-DN-009</x:v>
      </x:c>
      <x:c r="C3779" t="str">
        <x:v>PHYSICAL</x:v>
      </x:c>
      <x:c r="D3779" t="str">
        <x:v>denial-card acceptance</x:v>
      </x:c>
      <x:c r="E3779" t="str">
        <x:v>PH-DN-009</x:v>
      </x:c>
      <x:c r="F3779" t="n">
        <x:f>IF('Denial Cards'!G15&lt;&gt;"",1,0)</x:f>
        <x:v>0</x:v>
      </x:c>
      <x:c r="G3779" t="n">
        <x:v>1</x:v>
      </x:c>
      <x:c r="H3779" t="str">
        <x:v>independent physical acceptance</x:v>
      </x:c>
      <x:c r="I3779" t="str">
        <x:f>IF(F3779=1,"PASS","OPEN")</x:f>
        <x:v>OPEN</x:v>
      </x:c>
    </x:row>
    <x:row r="3780">
      <x:c r="B3780" t="str">
        <x:v>PH-DN-010</x:v>
      </x:c>
      <x:c r="C3780" t="str">
        <x:v>PHYSICAL</x:v>
      </x:c>
      <x:c r="D3780" t="str">
        <x:v>denial-card acceptance</x:v>
      </x:c>
      <x:c r="E3780" t="str">
        <x:v>PH-DN-010</x:v>
      </x:c>
      <x:c r="F3780" t="n">
        <x:f>IF('Denial Cards'!G16&lt;&gt;"",1,0)</x:f>
        <x:v>0</x:v>
      </x:c>
      <x:c r="G3780" t="n">
        <x:v>1</x:v>
      </x:c>
      <x:c r="H3780" t="str">
        <x:v>independent physical acceptance</x:v>
      </x:c>
      <x:c r="I3780" t="str">
        <x:f>IF(F3780=1,"PASS","OPEN")</x:f>
        <x:v>OPEN</x:v>
      </x:c>
    </x:row>
    <x:row r="3781">
      <x:c r="B3781" t="str">
        <x:v>PH-TM-001</x:v>
      </x:c>
      <x:c r="C3781" t="str">
        <x:v>PHYSICAL</x:v>
      </x:c>
      <x:c r="D3781" t="str">
        <x:v>time-node acceptance</x:v>
      </x:c>
      <x:c r="E3781" t="str">
        <x:v>PH-TM-001</x:v>
      </x:c>
      <x:c r="F3781" t="n">
        <x:f>IF('Time Nodes'!I7&lt;&gt;"",1,0)</x:f>
        <x:v>0</x:v>
      </x:c>
      <x:c r="G3781" t="n">
        <x:v>1</x:v>
      </x:c>
      <x:c r="H3781" t="str">
        <x:v>independent physical acceptance</x:v>
      </x:c>
      <x:c r="I3781" t="str">
        <x:f>IF(F3781=1,"PASS","OPEN")</x:f>
        <x:v>OPEN</x:v>
      </x:c>
    </x:row>
    <x:row r="3782">
      <x:c r="B3782" t="str">
        <x:v>PH-TM-002</x:v>
      </x:c>
      <x:c r="C3782" t="str">
        <x:v>PHYSICAL</x:v>
      </x:c>
      <x:c r="D3782" t="str">
        <x:v>time-node acceptance</x:v>
      </x:c>
      <x:c r="E3782" t="str">
        <x:v>PH-TM-002</x:v>
      </x:c>
      <x:c r="F3782" t="n">
        <x:f>IF('Time Nodes'!I8&lt;&gt;"",1,0)</x:f>
        <x:v>0</x:v>
      </x:c>
      <x:c r="G3782" t="n">
        <x:v>1</x:v>
      </x:c>
      <x:c r="H3782" t="str">
        <x:v>independent physical acceptance</x:v>
      </x:c>
      <x:c r="I3782" t="str">
        <x:f>IF(F3782=1,"PASS","OPEN")</x:f>
        <x:v>OPEN</x:v>
      </x:c>
    </x:row>
    <x:row r="3783">
      <x:c r="B3783" t="str">
        <x:v>PH-TM-003</x:v>
      </x:c>
      <x:c r="C3783" t="str">
        <x:v>PHYSICAL</x:v>
      </x:c>
      <x:c r="D3783" t="str">
        <x:v>time-node acceptance</x:v>
      </x:c>
      <x:c r="E3783" t="str">
        <x:v>PH-TM-003</x:v>
      </x:c>
      <x:c r="F3783" t="n">
        <x:f>IF('Time Nodes'!I9&lt;&gt;"",1,0)</x:f>
        <x:v>0</x:v>
      </x:c>
      <x:c r="G3783" t="n">
        <x:v>1</x:v>
      </x:c>
      <x:c r="H3783" t="str">
        <x:v>independent physical acceptance</x:v>
      </x:c>
      <x:c r="I3783" t="str">
        <x:f>IF(F3783=1,"PASS","OPEN")</x:f>
        <x:v>OPEN</x:v>
      </x:c>
    </x:row>
    <x:row r="3784">
      <x:c r="B3784" t="str">
        <x:v>PH-TM-004</x:v>
      </x:c>
      <x:c r="C3784" t="str">
        <x:v>PHYSICAL</x:v>
      </x:c>
      <x:c r="D3784" t="str">
        <x:v>time-node acceptance</x:v>
      </x:c>
      <x:c r="E3784" t="str">
        <x:v>PH-TM-004</x:v>
      </x:c>
      <x:c r="F3784" t="n">
        <x:f>IF('Time Nodes'!I10&lt;&gt;"",1,0)</x:f>
        <x:v>0</x:v>
      </x:c>
      <x:c r="G3784" t="n">
        <x:v>1</x:v>
      </x:c>
      <x:c r="H3784" t="str">
        <x:v>independent physical acceptance</x:v>
      </x:c>
      <x:c r="I3784" t="str">
        <x:f>IF(F3784=1,"PASS","OPEN")</x:f>
        <x:v>OPEN</x:v>
      </x:c>
    </x:row>
    <x:row r="3785">
      <x:c r="B3785" t="str">
        <x:v>PH-TM-005</x:v>
      </x:c>
      <x:c r="C3785" t="str">
        <x:v>PHYSICAL</x:v>
      </x:c>
      <x:c r="D3785" t="str">
        <x:v>time-node acceptance</x:v>
      </x:c>
      <x:c r="E3785" t="str">
        <x:v>PH-TM-005</x:v>
      </x:c>
      <x:c r="F3785" t="n">
        <x:f>IF('Time Nodes'!I11&lt;&gt;"",1,0)</x:f>
        <x:v>0</x:v>
      </x:c>
      <x:c r="G3785" t="n">
        <x:v>1</x:v>
      </x:c>
      <x:c r="H3785" t="str">
        <x:v>independent physical acceptance</x:v>
      </x:c>
      <x:c r="I3785" t="str">
        <x:f>IF(F3785=1,"PASS","OPEN")</x:f>
        <x:v>OPEN</x:v>
      </x:c>
    </x:row>
    <x:row r="3786">
      <x:c r="B3786" t="str">
        <x:v>PH-TM-006</x:v>
      </x:c>
      <x:c r="C3786" t="str">
        <x:v>PHYSICAL</x:v>
      </x:c>
      <x:c r="D3786" t="str">
        <x:v>time-node acceptance</x:v>
      </x:c>
      <x:c r="E3786" t="str">
        <x:v>PH-TM-006</x:v>
      </x:c>
      <x:c r="F3786" t="n">
        <x:f>IF('Time Nodes'!I12&lt;&gt;"",1,0)</x:f>
        <x:v>0</x:v>
      </x:c>
      <x:c r="G3786" t="n">
        <x:v>1</x:v>
      </x:c>
      <x:c r="H3786" t="str">
        <x:v>independent physical acceptance</x:v>
      </x:c>
      <x:c r="I3786" t="str">
        <x:f>IF(F3786=1,"PASS","OPEN")</x:f>
        <x:v>OPEN</x:v>
      </x:c>
    </x:row>
    <x:row r="3787">
      <x:c r="B3787" t="str">
        <x:v>PH-TM-007</x:v>
      </x:c>
      <x:c r="C3787" t="str">
        <x:v>PHYSICAL</x:v>
      </x:c>
      <x:c r="D3787" t="str">
        <x:v>time-node acceptance</x:v>
      </x:c>
      <x:c r="E3787" t="str">
        <x:v>PH-TM-007</x:v>
      </x:c>
      <x:c r="F3787" t="n">
        <x:f>IF('Time Nodes'!I13&lt;&gt;"",1,0)</x:f>
        <x:v>0</x:v>
      </x:c>
      <x:c r="G3787" t="n">
        <x:v>1</x:v>
      </x:c>
      <x:c r="H3787" t="str">
        <x:v>independent physical acceptance</x:v>
      </x:c>
      <x:c r="I3787" t="str">
        <x:f>IF(F3787=1,"PASS","OPEN")</x:f>
        <x:v>OPEN</x:v>
      </x:c>
    </x:row>
    <x:row r="3788">
      <x:c r="B3788" t="str">
        <x:v>PH-TM-008</x:v>
      </x:c>
      <x:c r="C3788" t="str">
        <x:v>PHYSICAL</x:v>
      </x:c>
      <x:c r="D3788" t="str">
        <x:v>time-node acceptance</x:v>
      </x:c>
      <x:c r="E3788" t="str">
        <x:v>PH-TM-008</x:v>
      </x:c>
      <x:c r="F3788" t="n">
        <x:f>IF('Time Nodes'!I14&lt;&gt;"",1,0)</x:f>
        <x:v>0</x:v>
      </x:c>
      <x:c r="G3788" t="n">
        <x:v>1</x:v>
      </x:c>
      <x:c r="H3788" t="str">
        <x:v>independent physical acceptance</x:v>
      </x:c>
      <x:c r="I3788" t="str">
        <x:f>IF(F3788=1,"PASS","OPEN")</x:f>
        <x:v>OPEN</x:v>
      </x:c>
    </x:row>
    <x:row r="3789">
      <x:c r="B3789" t="str">
        <x:v>PH-TM-009</x:v>
      </x:c>
      <x:c r="C3789" t="str">
        <x:v>PHYSICAL</x:v>
      </x:c>
      <x:c r="D3789" t="str">
        <x:v>time-node acceptance</x:v>
      </x:c>
      <x:c r="E3789" t="str">
        <x:v>PH-TM-009</x:v>
      </x:c>
      <x:c r="F3789" t="n">
        <x:f>IF('Time Nodes'!I15&lt;&gt;"",1,0)</x:f>
        <x:v>0</x:v>
      </x:c>
      <x:c r="G3789" t="n">
        <x:v>1</x:v>
      </x:c>
      <x:c r="H3789" t="str">
        <x:v>independent physical acceptance</x:v>
      </x:c>
      <x:c r="I3789" t="str">
        <x:f>IF(F3789=1,"PASS","OPEN")</x:f>
        <x:v>OPEN</x:v>
      </x:c>
    </x:row>
    <x:row r="3790">
      <x:c r="B3790" t="str">
        <x:v>PH-TM-010</x:v>
      </x:c>
      <x:c r="C3790" t="str">
        <x:v>PHYSICAL</x:v>
      </x:c>
      <x:c r="D3790" t="str">
        <x:v>time-node acceptance</x:v>
      </x:c>
      <x:c r="E3790" t="str">
        <x:v>PH-TM-010</x:v>
      </x:c>
      <x:c r="F3790" t="n">
        <x:f>IF('Time Nodes'!I16&lt;&gt;"",1,0)</x:f>
        <x:v>0</x:v>
      </x:c>
      <x:c r="G3790" t="n">
        <x:v>1</x:v>
      </x:c>
      <x:c r="H3790" t="str">
        <x:v>independent physical acceptance</x:v>
      </x:c>
      <x:c r="I3790" t="str">
        <x:f>IF(F3790=1,"PASS","OPEN")</x:f>
        <x:v>OPEN</x:v>
      </x:c>
    </x:row>
    <x:row r="3791">
      <x:c r="B3791" t="str">
        <x:v>PH-TM-011</x:v>
      </x:c>
      <x:c r="C3791" t="str">
        <x:v>PHYSICAL</x:v>
      </x:c>
      <x:c r="D3791" t="str">
        <x:v>time-node acceptance</x:v>
      </x:c>
      <x:c r="E3791" t="str">
        <x:v>PH-TM-011</x:v>
      </x:c>
      <x:c r="F3791" t="n">
        <x:f>IF('Time Nodes'!I17&lt;&gt;"",1,0)</x:f>
        <x:v>0</x:v>
      </x:c>
      <x:c r="G3791" t="n">
        <x:v>1</x:v>
      </x:c>
      <x:c r="H3791" t="str">
        <x:v>independent physical acceptance</x:v>
      </x:c>
      <x:c r="I3791" t="str">
        <x:f>IF(F3791=1,"PASS","OPEN")</x:f>
        <x:v>OPEN</x:v>
      </x:c>
    </x:row>
    <x:row r="3792">
      <x:c r="B3792" t="str">
        <x:v>PH-TM-012</x:v>
      </x:c>
      <x:c r="C3792" t="str">
        <x:v>PHYSICAL</x:v>
      </x:c>
      <x:c r="D3792" t="str">
        <x:v>time-node acceptance</x:v>
      </x:c>
      <x:c r="E3792" t="str">
        <x:v>PH-TM-012</x:v>
      </x:c>
      <x:c r="F3792" t="n">
        <x:f>IF('Time Nodes'!I18&lt;&gt;"",1,0)</x:f>
        <x:v>0</x:v>
      </x:c>
      <x:c r="G3792" t="n">
        <x:v>1</x:v>
      </x:c>
      <x:c r="H3792" t="str">
        <x:v>independent physical acceptance</x:v>
      </x:c>
      <x:c r="I3792" t="str">
        <x:f>IF(F3792=1,"PASS","OPEN")</x:f>
        <x:v>OPEN</x:v>
      </x:c>
    </x:row>
    <x:row r="3793">
      <x:c r="B3793" t="str">
        <x:v>PH-TM-013</x:v>
      </x:c>
      <x:c r="C3793" t="str">
        <x:v>PHYSICAL</x:v>
      </x:c>
      <x:c r="D3793" t="str">
        <x:v>time-node acceptance</x:v>
      </x:c>
      <x:c r="E3793" t="str">
        <x:v>PH-TM-013</x:v>
      </x:c>
      <x:c r="F3793" t="n">
        <x:f>IF('Time Nodes'!I19&lt;&gt;"",1,0)</x:f>
        <x:v>0</x:v>
      </x:c>
      <x:c r="G3793" t="n">
        <x:v>1</x:v>
      </x:c>
      <x:c r="H3793" t="str">
        <x:v>independent physical acceptance</x:v>
      </x:c>
      <x:c r="I3793" t="str">
        <x:f>IF(F3793=1,"PASS","OPEN")</x:f>
        <x:v>OPEN</x:v>
      </x:c>
    </x:row>
    <x:row r="3794">
      <x:c r="B3794" t="str">
        <x:v>PH-TM-014</x:v>
      </x:c>
      <x:c r="C3794" t="str">
        <x:v>PHYSICAL</x:v>
      </x:c>
      <x:c r="D3794" t="str">
        <x:v>time-node acceptance</x:v>
      </x:c>
      <x:c r="E3794" t="str">
        <x:v>PH-TM-014</x:v>
      </x:c>
      <x:c r="F3794" t="n">
        <x:f>IF('Time Nodes'!I20&lt;&gt;"",1,0)</x:f>
        <x:v>0</x:v>
      </x:c>
      <x:c r="G3794" t="n">
        <x:v>1</x:v>
      </x:c>
      <x:c r="H3794" t="str">
        <x:v>independent physical acceptance</x:v>
      </x:c>
      <x:c r="I3794" t="str">
        <x:f>IF(F3794=1,"PASS","OPEN")</x:f>
        <x:v>OPEN</x:v>
      </x:c>
    </x:row>
    <x:row r="3795">
      <x:c r="B3795" t="str">
        <x:v>PH-TM-015</x:v>
      </x:c>
      <x:c r="C3795" t="str">
        <x:v>PHYSICAL</x:v>
      </x:c>
      <x:c r="D3795" t="str">
        <x:v>time-node acceptance</x:v>
      </x:c>
      <x:c r="E3795" t="str">
        <x:v>PH-TM-015</x:v>
      </x:c>
      <x:c r="F3795" t="n">
        <x:f>IF('Time Nodes'!I21&lt;&gt;"",1,0)</x:f>
        <x:v>0</x:v>
      </x:c>
      <x:c r="G3795" t="n">
        <x:v>1</x:v>
      </x:c>
      <x:c r="H3795" t="str">
        <x:v>independent physical acceptance</x:v>
      </x:c>
      <x:c r="I3795" t="str">
        <x:f>IF(F3795=1,"PASS","OPEN")</x:f>
        <x:v>OPEN</x:v>
      </x:c>
    </x:row>
    <x:row r="3796">
      <x:c r="B3796" t="str">
        <x:v>PH-TM-016</x:v>
      </x:c>
      <x:c r="C3796" t="str">
        <x:v>PHYSICAL</x:v>
      </x:c>
      <x:c r="D3796" t="str">
        <x:v>time-node acceptance</x:v>
      </x:c>
      <x:c r="E3796" t="str">
        <x:v>PH-TM-016</x:v>
      </x:c>
      <x:c r="F3796" t="n">
        <x:f>IF('Time Nodes'!I22&lt;&gt;"",1,0)</x:f>
        <x:v>0</x:v>
      </x:c>
      <x:c r="G3796" t="n">
        <x:v>1</x:v>
      </x:c>
      <x:c r="H3796" t="str">
        <x:v>independent physical acceptance</x:v>
      </x:c>
      <x:c r="I3796" t="str">
        <x:f>IF(F3796=1,"PASS","OPEN")</x:f>
        <x:v>OPEN</x:v>
      </x:c>
    </x:row>
    <x:row r="3797">
      <x:c r="B3797" t="str">
        <x:v>PH-TM-017</x:v>
      </x:c>
      <x:c r="C3797" t="str">
        <x:v>PHYSICAL</x:v>
      </x:c>
      <x:c r="D3797" t="str">
        <x:v>time-node acceptance</x:v>
      </x:c>
      <x:c r="E3797" t="str">
        <x:v>PH-TM-017</x:v>
      </x:c>
      <x:c r="F3797" t="n">
        <x:f>IF('Time Nodes'!I23&lt;&gt;"",1,0)</x:f>
        <x:v>0</x:v>
      </x:c>
      <x:c r="G3797" t="n">
        <x:v>1</x:v>
      </x:c>
      <x:c r="H3797" t="str">
        <x:v>independent physical acceptance</x:v>
      </x:c>
      <x:c r="I3797" t="str">
        <x:f>IF(F3797=1,"PASS","OPEN")</x:f>
        <x:v>OPEN</x:v>
      </x:c>
    </x:row>
    <x:row r="3798">
      <x:c r="B3798" t="str">
        <x:v>PH-TM-018</x:v>
      </x:c>
      <x:c r="C3798" t="str">
        <x:v>PHYSICAL</x:v>
      </x:c>
      <x:c r="D3798" t="str">
        <x:v>time-node acceptance</x:v>
      </x:c>
      <x:c r="E3798" t="str">
        <x:v>PH-TM-018</x:v>
      </x:c>
      <x:c r="F3798" t="n">
        <x:f>IF('Time Nodes'!I24&lt;&gt;"",1,0)</x:f>
        <x:v>0</x:v>
      </x:c>
      <x:c r="G3798" t="n">
        <x:v>1</x:v>
      </x:c>
      <x:c r="H3798" t="str">
        <x:v>independent physical acceptance</x:v>
      </x:c>
      <x:c r="I3798" t="str">
        <x:f>IF(F3798=1,"PASS","OPEN")</x:f>
        <x:v>OPEN</x:v>
      </x:c>
    </x:row>
    <x:row r="3799">
      <x:c r="B3799" t="str">
        <x:v>PH-TM-019</x:v>
      </x:c>
      <x:c r="C3799" t="str">
        <x:v>PHYSICAL</x:v>
      </x:c>
      <x:c r="D3799" t="str">
        <x:v>time-node acceptance</x:v>
      </x:c>
      <x:c r="E3799" t="str">
        <x:v>PH-TM-019</x:v>
      </x:c>
      <x:c r="F3799" t="n">
        <x:f>IF('Time Nodes'!I25&lt;&gt;"",1,0)</x:f>
        <x:v>0</x:v>
      </x:c>
      <x:c r="G3799" t="n">
        <x:v>1</x:v>
      </x:c>
      <x:c r="H3799" t="str">
        <x:v>independent physical acceptance</x:v>
      </x:c>
      <x:c r="I3799" t="str">
        <x:f>IF(F3799=1,"PASS","OPEN")</x:f>
        <x:v>OPEN</x:v>
      </x:c>
    </x:row>
    <x:row r="3800">
      <x:c r="B3800" t="str">
        <x:v>PH-TM-020</x:v>
      </x:c>
      <x:c r="C3800" t="str">
        <x:v>PHYSICAL</x:v>
      </x:c>
      <x:c r="D3800" t="str">
        <x:v>time-node acceptance</x:v>
      </x:c>
      <x:c r="E3800" t="str">
        <x:v>PH-TM-020</x:v>
      </x:c>
      <x:c r="F3800" t="n">
        <x:f>IF('Time Nodes'!I26&lt;&gt;"",1,0)</x:f>
        <x:v>0</x:v>
      </x:c>
      <x:c r="G3800" t="n">
        <x:v>1</x:v>
      </x:c>
      <x:c r="H3800" t="str">
        <x:v>independent physical acceptance</x:v>
      </x:c>
      <x:c r="I3800" t="str">
        <x:f>IF(F3800=1,"PASS","OPEN")</x:f>
        <x:v>OPEN</x:v>
      </x:c>
    </x:row>
    <x:row r="3801">
      <x:c r="B3801" t="str">
        <x:v>PH-TM-021</x:v>
      </x:c>
      <x:c r="C3801" t="str">
        <x:v>PHYSICAL</x:v>
      </x:c>
      <x:c r="D3801" t="str">
        <x:v>time-node acceptance</x:v>
      </x:c>
      <x:c r="E3801" t="str">
        <x:v>PH-TM-021</x:v>
      </x:c>
      <x:c r="F3801" t="n">
        <x:f>IF('Time Nodes'!I27&lt;&gt;"",1,0)</x:f>
        <x:v>0</x:v>
      </x:c>
      <x:c r="G3801" t="n">
        <x:v>1</x:v>
      </x:c>
      <x:c r="H3801" t="str">
        <x:v>independent physical acceptance</x:v>
      </x:c>
      <x:c r="I3801" t="str">
        <x:f>IF(F3801=1,"PASS","OPEN")</x:f>
        <x:v>OPEN</x:v>
      </x:c>
    </x:row>
    <x:row r="3802">
      <x:c r="B3802" t="str">
        <x:v>PH-TM-022</x:v>
      </x:c>
      <x:c r="C3802" t="str">
        <x:v>PHYSICAL</x:v>
      </x:c>
      <x:c r="D3802" t="str">
        <x:v>time-node acceptance</x:v>
      </x:c>
      <x:c r="E3802" t="str">
        <x:v>PH-TM-022</x:v>
      </x:c>
      <x:c r="F3802" t="n">
        <x:f>IF('Time Nodes'!I28&lt;&gt;"",1,0)</x:f>
        <x:v>0</x:v>
      </x:c>
      <x:c r="G3802" t="n">
        <x:v>1</x:v>
      </x:c>
      <x:c r="H3802" t="str">
        <x:v>independent physical acceptance</x:v>
      </x:c>
      <x:c r="I3802" t="str">
        <x:f>IF(F3802=1,"PASS","OPEN")</x:f>
        <x:v>OPEN</x:v>
      </x:c>
    </x:row>
    <x:row r="3803">
      <x:c r="B3803" t="str">
        <x:v>PH-TM-023</x:v>
      </x:c>
      <x:c r="C3803" t="str">
        <x:v>PHYSICAL</x:v>
      </x:c>
      <x:c r="D3803" t="str">
        <x:v>time-node acceptance</x:v>
      </x:c>
      <x:c r="E3803" t="str">
        <x:v>PH-TM-023</x:v>
      </x:c>
      <x:c r="F3803" t="n">
        <x:f>IF('Time Nodes'!I29&lt;&gt;"",1,0)</x:f>
        <x:v>0</x:v>
      </x:c>
      <x:c r="G3803" t="n">
        <x:v>1</x:v>
      </x:c>
      <x:c r="H3803" t="str">
        <x:v>independent physical acceptance</x:v>
      </x:c>
      <x:c r="I3803" t="str">
        <x:f>IF(F3803=1,"PASS","OPEN")</x:f>
        <x:v>OPEN</x:v>
      </x:c>
    </x:row>
    <x:row r="3804">
      <x:c r="B3804" t="str">
        <x:v>PH-TM-024</x:v>
      </x:c>
      <x:c r="C3804" t="str">
        <x:v>PHYSICAL</x:v>
      </x:c>
      <x:c r="D3804" t="str">
        <x:v>time-node acceptance</x:v>
      </x:c>
      <x:c r="E3804" t="str">
        <x:v>PH-TM-024</x:v>
      </x:c>
      <x:c r="F3804" t="n">
        <x:f>IF('Time Nodes'!I30&lt;&gt;"",1,0)</x:f>
        <x:v>0</x:v>
      </x:c>
      <x:c r="G3804" t="n">
        <x:v>1</x:v>
      </x:c>
      <x:c r="H3804" t="str">
        <x:v>independent physical acceptance</x:v>
      </x:c>
      <x:c r="I3804" t="str">
        <x:f>IF(F3804=1,"PASS","OPEN")</x:f>
        <x:v>OPEN</x:v>
      </x:c>
    </x:row>
    <x:row r="3805">
      <x:c r="B3805" t="str">
        <x:v>PH-TN-001</x:v>
      </x:c>
      <x:c r="C3805" t="str">
        <x:v>PHYSICAL</x:v>
      </x:c>
      <x:c r="D3805" t="str">
        <x:v>terrain-truth acceptance</x:v>
      </x:c>
      <x:c r="E3805" t="str">
        <x:v>PH-TN-001</x:v>
      </x:c>
      <x:c r="F3805" t="n">
        <x:f>IF('Terrain Truth'!I7&lt;&gt;"",1,0)</x:f>
        <x:v>0</x:v>
      </x:c>
      <x:c r="G3805" t="n">
        <x:v>1</x:v>
      </x:c>
      <x:c r="H3805" t="str">
        <x:v>independent physical acceptance</x:v>
      </x:c>
      <x:c r="I3805" t="str">
        <x:f>IF(F3805=1,"PASS","OPEN")</x:f>
        <x:v>OPEN</x:v>
      </x:c>
    </x:row>
    <x:row r="3806">
      <x:c r="B3806" t="str">
        <x:v>PH-TN-002</x:v>
      </x:c>
      <x:c r="C3806" t="str">
        <x:v>PHYSICAL</x:v>
      </x:c>
      <x:c r="D3806" t="str">
        <x:v>terrain-truth acceptance</x:v>
      </x:c>
      <x:c r="E3806" t="str">
        <x:v>PH-TN-002</x:v>
      </x:c>
      <x:c r="F3806" t="n">
        <x:f>IF('Terrain Truth'!I8&lt;&gt;"",1,0)</x:f>
        <x:v>0</x:v>
      </x:c>
      <x:c r="G3806" t="n">
        <x:v>1</x:v>
      </x:c>
      <x:c r="H3806" t="str">
        <x:v>independent physical acceptance</x:v>
      </x:c>
      <x:c r="I3806" t="str">
        <x:f>IF(F3806=1,"PASS","OPEN")</x:f>
        <x:v>OPEN</x:v>
      </x:c>
    </x:row>
    <x:row r="3807">
      <x:c r="B3807" t="str">
        <x:v>PH-TN-003</x:v>
      </x:c>
      <x:c r="C3807" t="str">
        <x:v>PHYSICAL</x:v>
      </x:c>
      <x:c r="D3807" t="str">
        <x:v>terrain-truth acceptance</x:v>
      </x:c>
      <x:c r="E3807" t="str">
        <x:v>PH-TN-003</x:v>
      </x:c>
      <x:c r="F3807" t="n">
        <x:f>IF('Terrain Truth'!I9&lt;&gt;"",1,0)</x:f>
        <x:v>0</x:v>
      </x:c>
      <x:c r="G3807" t="n">
        <x:v>1</x:v>
      </x:c>
      <x:c r="H3807" t="str">
        <x:v>independent physical acceptance</x:v>
      </x:c>
      <x:c r="I3807" t="str">
        <x:f>IF(F3807=1,"PASS","OPEN")</x:f>
        <x:v>OPEN</x:v>
      </x:c>
    </x:row>
    <x:row r="3808">
      <x:c r="B3808" t="str">
        <x:v>PH-TN-004</x:v>
      </x:c>
      <x:c r="C3808" t="str">
        <x:v>PHYSICAL</x:v>
      </x:c>
      <x:c r="D3808" t="str">
        <x:v>terrain-truth acceptance</x:v>
      </x:c>
      <x:c r="E3808" t="str">
        <x:v>PH-TN-004</x:v>
      </x:c>
      <x:c r="F3808" t="n">
        <x:f>IF('Terrain Truth'!I10&lt;&gt;"",1,0)</x:f>
        <x:v>0</x:v>
      </x:c>
      <x:c r="G3808" t="n">
        <x:v>1</x:v>
      </x:c>
      <x:c r="H3808" t="str">
        <x:v>independent physical acceptance</x:v>
      </x:c>
      <x:c r="I3808" t="str">
        <x:f>IF(F3808=1,"PASS","OPEN")</x:f>
        <x:v>OPEN</x:v>
      </x:c>
    </x:row>
    <x:row r="3809">
      <x:c r="B3809" t="str">
        <x:v>PH-TN-005</x:v>
      </x:c>
      <x:c r="C3809" t="str">
        <x:v>PHYSICAL</x:v>
      </x:c>
      <x:c r="D3809" t="str">
        <x:v>terrain-truth acceptance</x:v>
      </x:c>
      <x:c r="E3809" t="str">
        <x:v>PH-TN-005</x:v>
      </x:c>
      <x:c r="F3809" t="n">
        <x:f>IF('Terrain Truth'!I11&lt;&gt;"",1,0)</x:f>
        <x:v>0</x:v>
      </x:c>
      <x:c r="G3809" t="n">
        <x:v>1</x:v>
      </x:c>
      <x:c r="H3809" t="str">
        <x:v>independent physical acceptance</x:v>
      </x:c>
      <x:c r="I3809" t="str">
        <x:f>IF(F3809=1,"PASS","OPEN")</x:f>
        <x:v>OPEN</x:v>
      </x:c>
    </x:row>
    <x:row r="3810">
      <x:c r="B3810" t="str">
        <x:v>PH-TN-006</x:v>
      </x:c>
      <x:c r="C3810" t="str">
        <x:v>PHYSICAL</x:v>
      </x:c>
      <x:c r="D3810" t="str">
        <x:v>terrain-truth acceptance</x:v>
      </x:c>
      <x:c r="E3810" t="str">
        <x:v>PH-TN-006</x:v>
      </x:c>
      <x:c r="F3810" t="n">
        <x:f>IF('Terrain Truth'!I12&lt;&gt;"",1,0)</x:f>
        <x:v>0</x:v>
      </x:c>
      <x:c r="G3810" t="n">
        <x:v>1</x:v>
      </x:c>
      <x:c r="H3810" t="str">
        <x:v>independent physical acceptance</x:v>
      </x:c>
      <x:c r="I3810" t="str">
        <x:f>IF(F3810=1,"PASS","OPEN")</x:f>
        <x:v>OPEN</x:v>
      </x:c>
    </x:row>
    <x:row r="3811">
      <x:c r="B3811" t="str">
        <x:v>PH-TN-007</x:v>
      </x:c>
      <x:c r="C3811" t="str">
        <x:v>PHYSICAL</x:v>
      </x:c>
      <x:c r="D3811" t="str">
        <x:v>terrain-truth acceptance</x:v>
      </x:c>
      <x:c r="E3811" t="str">
        <x:v>PH-TN-007</x:v>
      </x:c>
      <x:c r="F3811" t="n">
        <x:f>IF('Terrain Truth'!I13&lt;&gt;"",1,0)</x:f>
        <x:v>0</x:v>
      </x:c>
      <x:c r="G3811" t="n">
        <x:v>1</x:v>
      </x:c>
      <x:c r="H3811" t="str">
        <x:v>independent physical acceptance</x:v>
      </x:c>
      <x:c r="I3811" t="str">
        <x:f>IF(F3811=1,"PASS","OPEN")</x:f>
        <x:v>OPEN</x:v>
      </x:c>
    </x:row>
    <x:row r="3812">
      <x:c r="B3812" t="str">
        <x:v>PH-TN-008</x:v>
      </x:c>
      <x:c r="C3812" t="str">
        <x:v>PHYSICAL</x:v>
      </x:c>
      <x:c r="D3812" t="str">
        <x:v>terrain-truth acceptance</x:v>
      </x:c>
      <x:c r="E3812" t="str">
        <x:v>PH-TN-008</x:v>
      </x:c>
      <x:c r="F3812" t="n">
        <x:f>IF('Terrain Truth'!I14&lt;&gt;"",1,0)</x:f>
        <x:v>0</x:v>
      </x:c>
      <x:c r="G3812" t="n">
        <x:v>1</x:v>
      </x:c>
      <x:c r="H3812" t="str">
        <x:v>independent physical acceptance</x:v>
      </x:c>
      <x:c r="I3812" t="str">
        <x:f>IF(F3812=1,"PASS","OPEN")</x:f>
        <x:v>OPEN</x:v>
      </x:c>
    </x:row>
    <x:row r="3813">
      <x:c r="B3813" t="str">
        <x:v>PH-TN-009</x:v>
      </x:c>
      <x:c r="C3813" t="str">
        <x:v>PHYSICAL</x:v>
      </x:c>
      <x:c r="D3813" t="str">
        <x:v>terrain-truth acceptance</x:v>
      </x:c>
      <x:c r="E3813" t="str">
        <x:v>PH-TN-009</x:v>
      </x:c>
      <x:c r="F3813" t="n">
        <x:f>IF('Terrain Truth'!I15&lt;&gt;"",1,0)</x:f>
        <x:v>0</x:v>
      </x:c>
      <x:c r="G3813" t="n">
        <x:v>1</x:v>
      </x:c>
      <x:c r="H3813" t="str">
        <x:v>independent physical acceptance</x:v>
      </x:c>
      <x:c r="I3813" t="str">
        <x:f>IF(F3813=1,"PASS","OPEN")</x:f>
        <x:v>OPEN</x:v>
      </x:c>
    </x:row>
    <x:row r="3814">
      <x:c r="B3814" t="str">
        <x:v>PH-TN-010</x:v>
      </x:c>
      <x:c r="C3814" t="str">
        <x:v>PHYSICAL</x:v>
      </x:c>
      <x:c r="D3814" t="str">
        <x:v>terrain-truth acceptance</x:v>
      </x:c>
      <x:c r="E3814" t="str">
        <x:v>PH-TN-010</x:v>
      </x:c>
      <x:c r="F3814" t="n">
        <x:f>IF('Terrain Truth'!I16&lt;&gt;"",1,0)</x:f>
        <x:v>0</x:v>
      </x:c>
      <x:c r="G3814" t="n">
        <x:v>1</x:v>
      </x:c>
      <x:c r="H3814" t="str">
        <x:v>independent physical acceptance</x:v>
      </x:c>
      <x:c r="I3814" t="str">
        <x:f>IF(F3814=1,"PASS","OPEN")</x:f>
        <x:v>OPEN</x:v>
      </x:c>
    </x:row>
    <x:row r="3815">
      <x:c r="B3815" t="str">
        <x:v>PH-TN-011</x:v>
      </x:c>
      <x:c r="C3815" t="str">
        <x:v>PHYSICAL</x:v>
      </x:c>
      <x:c r="D3815" t="str">
        <x:v>terrain-truth acceptance</x:v>
      </x:c>
      <x:c r="E3815" t="str">
        <x:v>PH-TN-011</x:v>
      </x:c>
      <x:c r="F3815" t="n">
        <x:f>IF('Terrain Truth'!I17&lt;&gt;"",1,0)</x:f>
        <x:v>0</x:v>
      </x:c>
      <x:c r="G3815" t="n">
        <x:v>1</x:v>
      </x:c>
      <x:c r="H3815" t="str">
        <x:v>independent physical acceptance</x:v>
      </x:c>
      <x:c r="I3815" t="str">
        <x:f>IF(F3815=1,"PASS","OPEN")</x:f>
        <x:v>OPEN</x:v>
      </x:c>
    </x:row>
    <x:row r="3816">
      <x:c r="B3816" t="str">
        <x:v>PH-TN-012</x:v>
      </x:c>
      <x:c r="C3816" t="str">
        <x:v>PHYSICAL</x:v>
      </x:c>
      <x:c r="D3816" t="str">
        <x:v>terrain-truth acceptance</x:v>
      </x:c>
      <x:c r="E3816" t="str">
        <x:v>PH-TN-012</x:v>
      </x:c>
      <x:c r="F3816" t="n">
        <x:f>IF('Terrain Truth'!I18&lt;&gt;"",1,0)</x:f>
        <x:v>0</x:v>
      </x:c>
      <x:c r="G3816" t="n">
        <x:v>1</x:v>
      </x:c>
      <x:c r="H3816" t="str">
        <x:v>independent physical acceptance</x:v>
      </x:c>
      <x:c r="I3816" t="str">
        <x:f>IF(F3816=1,"PASS","OPEN")</x:f>
        <x:v>OPEN</x:v>
      </x:c>
    </x:row>
    <x:row r="3817">
      <x:c r="B3817" t="str">
        <x:v>PH-TN-013</x:v>
      </x:c>
      <x:c r="C3817" t="str">
        <x:v>PHYSICAL</x:v>
      </x:c>
      <x:c r="D3817" t="str">
        <x:v>terrain-truth acceptance</x:v>
      </x:c>
      <x:c r="E3817" t="str">
        <x:v>PH-TN-013</x:v>
      </x:c>
      <x:c r="F3817" t="n">
        <x:f>IF('Terrain Truth'!I19&lt;&gt;"",1,0)</x:f>
        <x:v>0</x:v>
      </x:c>
      <x:c r="G3817" t="n">
        <x:v>1</x:v>
      </x:c>
      <x:c r="H3817" t="str">
        <x:v>independent physical acceptance</x:v>
      </x:c>
      <x:c r="I3817" t="str">
        <x:f>IF(F3817=1,"PASS","OPEN")</x:f>
        <x:v>OPEN</x:v>
      </x:c>
    </x:row>
    <x:row r="3818">
      <x:c r="B3818" t="str">
        <x:v>PH-TN-014</x:v>
      </x:c>
      <x:c r="C3818" t="str">
        <x:v>PHYSICAL</x:v>
      </x:c>
      <x:c r="D3818" t="str">
        <x:v>terrain-truth acceptance</x:v>
      </x:c>
      <x:c r="E3818" t="str">
        <x:v>PH-TN-014</x:v>
      </x:c>
      <x:c r="F3818" t="n">
        <x:f>IF('Terrain Truth'!I20&lt;&gt;"",1,0)</x:f>
        <x:v>0</x:v>
      </x:c>
      <x:c r="G3818" t="n">
        <x:v>1</x:v>
      </x:c>
      <x:c r="H3818" t="str">
        <x:v>independent physical acceptance</x:v>
      </x:c>
      <x:c r="I3818" t="str">
        <x:f>IF(F3818=1,"PASS","OPEN")</x:f>
        <x:v>OPEN</x:v>
      </x:c>
    </x:row>
    <x:row r="3819">
      <x:c r="B3819" t="str">
        <x:v>PH-TN-015</x:v>
      </x:c>
      <x:c r="C3819" t="str">
        <x:v>PHYSICAL</x:v>
      </x:c>
      <x:c r="D3819" t="str">
        <x:v>terrain-truth acceptance</x:v>
      </x:c>
      <x:c r="E3819" t="str">
        <x:v>PH-TN-015</x:v>
      </x:c>
      <x:c r="F3819" t="n">
        <x:f>IF('Terrain Truth'!I21&lt;&gt;"",1,0)</x:f>
        <x:v>0</x:v>
      </x:c>
      <x:c r="G3819" t="n">
        <x:v>1</x:v>
      </x:c>
      <x:c r="H3819" t="str">
        <x:v>independent physical acceptance</x:v>
      </x:c>
      <x:c r="I3819" t="str">
        <x:f>IF(F3819=1,"PASS","OPEN")</x:f>
        <x:v>OPEN</x:v>
      </x:c>
    </x:row>
    <x:row r="3820">
      <x:c r="B3820" t="str">
        <x:v>PH-TN-016</x:v>
      </x:c>
      <x:c r="C3820" t="str">
        <x:v>PHYSICAL</x:v>
      </x:c>
      <x:c r="D3820" t="str">
        <x:v>terrain-truth acceptance</x:v>
      </x:c>
      <x:c r="E3820" t="str">
        <x:v>PH-TN-016</x:v>
      </x:c>
      <x:c r="F3820" t="n">
        <x:f>IF('Terrain Truth'!I22&lt;&gt;"",1,0)</x:f>
        <x:v>0</x:v>
      </x:c>
      <x:c r="G3820" t="n">
        <x:v>1</x:v>
      </x:c>
      <x:c r="H3820" t="str">
        <x:v>independent physical acceptance</x:v>
      </x:c>
      <x:c r="I3820" t="str">
        <x:f>IF(F3820=1,"PASS","OPEN")</x:f>
        <x:v>OPEN</x:v>
      </x:c>
    </x:row>
    <x:row r="3821">
      <x:c r="B3821" t="str">
        <x:v>PH-TN-017</x:v>
      </x:c>
      <x:c r="C3821" t="str">
        <x:v>PHYSICAL</x:v>
      </x:c>
      <x:c r="D3821" t="str">
        <x:v>terrain-truth acceptance</x:v>
      </x:c>
      <x:c r="E3821" t="str">
        <x:v>PH-TN-017</x:v>
      </x:c>
      <x:c r="F3821" t="n">
        <x:f>IF('Terrain Truth'!I23&lt;&gt;"",1,0)</x:f>
        <x:v>0</x:v>
      </x:c>
      <x:c r="G3821" t="n">
        <x:v>1</x:v>
      </x:c>
      <x:c r="H3821" t="str">
        <x:v>independent physical acceptance</x:v>
      </x:c>
      <x:c r="I3821" t="str">
        <x:f>IF(F3821=1,"PASS","OPEN")</x:f>
        <x:v>OPEN</x:v>
      </x:c>
    </x:row>
    <x:row r="3822">
      <x:c r="B3822" t="str">
        <x:v>PH-TN-018</x:v>
      </x:c>
      <x:c r="C3822" t="str">
        <x:v>PHYSICAL</x:v>
      </x:c>
      <x:c r="D3822" t="str">
        <x:v>terrain-truth acceptance</x:v>
      </x:c>
      <x:c r="E3822" t="str">
        <x:v>PH-TN-018</x:v>
      </x:c>
      <x:c r="F3822" t="n">
        <x:f>IF('Terrain Truth'!I24&lt;&gt;"",1,0)</x:f>
        <x:v>0</x:v>
      </x:c>
      <x:c r="G3822" t="n">
        <x:v>1</x:v>
      </x:c>
      <x:c r="H3822" t="str">
        <x:v>independent physical acceptance</x:v>
      </x:c>
      <x:c r="I3822" t="str">
        <x:f>IF(F3822=1,"PASS","OPEN")</x:f>
        <x:v>OPEN</x:v>
      </x:c>
    </x:row>
    <x:row r="3823">
      <x:c r="B3823" t="str">
        <x:v>PH-TN-019</x:v>
      </x:c>
      <x:c r="C3823" t="str">
        <x:v>PHYSICAL</x:v>
      </x:c>
      <x:c r="D3823" t="str">
        <x:v>terrain-truth acceptance</x:v>
      </x:c>
      <x:c r="E3823" t="str">
        <x:v>PH-TN-019</x:v>
      </x:c>
      <x:c r="F3823" t="n">
        <x:f>IF('Terrain Truth'!I25&lt;&gt;"",1,0)</x:f>
        <x:v>0</x:v>
      </x:c>
      <x:c r="G3823" t="n">
        <x:v>1</x:v>
      </x:c>
      <x:c r="H3823" t="str">
        <x:v>independent physical acceptance</x:v>
      </x:c>
      <x:c r="I3823" t="str">
        <x:f>IF(F3823=1,"PASS","OPEN")</x:f>
        <x:v>OPEN</x:v>
      </x:c>
    </x:row>
    <x:row r="3824">
      <x:c r="B3824" t="str">
        <x:v>PH-TN-020</x:v>
      </x:c>
      <x:c r="C3824" t="str">
        <x:v>PHYSICAL</x:v>
      </x:c>
      <x:c r="D3824" t="str">
        <x:v>terrain-truth acceptance</x:v>
      </x:c>
      <x:c r="E3824" t="str">
        <x:v>PH-TN-020</x:v>
      </x:c>
      <x:c r="F3824" t="n">
        <x:f>IF('Terrain Truth'!I26&lt;&gt;"",1,0)</x:f>
        <x:v>0</x:v>
      </x:c>
      <x:c r="G3824" t="n">
        <x:v>1</x:v>
      </x:c>
      <x:c r="H3824" t="str">
        <x:v>independent physical acceptance</x:v>
      </x:c>
      <x:c r="I3824" t="str">
        <x:f>IF(F3824=1,"PASS","OPEN")</x:f>
        <x:v>OPEN</x:v>
      </x:c>
    </x:row>
    <x:row r="3825">
      <x:c r="B3825" t="str">
        <x:v>PH-TN-021</x:v>
      </x:c>
      <x:c r="C3825" t="str">
        <x:v>PHYSICAL</x:v>
      </x:c>
      <x:c r="D3825" t="str">
        <x:v>terrain-truth acceptance</x:v>
      </x:c>
      <x:c r="E3825" t="str">
        <x:v>PH-TN-021</x:v>
      </x:c>
      <x:c r="F3825" t="n">
        <x:f>IF('Terrain Truth'!I27&lt;&gt;"",1,0)</x:f>
        <x:v>0</x:v>
      </x:c>
      <x:c r="G3825" t="n">
        <x:v>1</x:v>
      </x:c>
      <x:c r="H3825" t="str">
        <x:v>independent physical acceptance</x:v>
      </x:c>
      <x:c r="I3825" t="str">
        <x:f>IF(F3825=1,"PASS","OPEN")</x:f>
        <x:v>OPEN</x:v>
      </x:c>
    </x:row>
    <x:row r="3826">
      <x:c r="B3826" t="str">
        <x:v>PH-TN-022</x:v>
      </x:c>
      <x:c r="C3826" t="str">
        <x:v>PHYSICAL</x:v>
      </x:c>
      <x:c r="D3826" t="str">
        <x:v>terrain-truth acceptance</x:v>
      </x:c>
      <x:c r="E3826" t="str">
        <x:v>PH-TN-022</x:v>
      </x:c>
      <x:c r="F3826" t="n">
        <x:f>IF('Terrain Truth'!I28&lt;&gt;"",1,0)</x:f>
        <x:v>0</x:v>
      </x:c>
      <x:c r="G3826" t="n">
        <x:v>1</x:v>
      </x:c>
      <x:c r="H3826" t="str">
        <x:v>independent physical acceptance</x:v>
      </x:c>
      <x:c r="I3826" t="str">
        <x:f>IF(F3826=1,"PASS","OPEN")</x:f>
        <x:v>OPEN</x:v>
      </x:c>
    </x:row>
    <x:row r="3827">
      <x:c r="B3827" t="str">
        <x:v>PH-TN-023</x:v>
      </x:c>
      <x:c r="C3827" t="str">
        <x:v>PHYSICAL</x:v>
      </x:c>
      <x:c r="D3827" t="str">
        <x:v>terrain-truth acceptance</x:v>
      </x:c>
      <x:c r="E3827" t="str">
        <x:v>PH-TN-023</x:v>
      </x:c>
      <x:c r="F3827" t="n">
        <x:f>IF('Terrain Truth'!I29&lt;&gt;"",1,0)</x:f>
        <x:v>0</x:v>
      </x:c>
      <x:c r="G3827" t="n">
        <x:v>1</x:v>
      </x:c>
      <x:c r="H3827" t="str">
        <x:v>independent physical acceptance</x:v>
      </x:c>
      <x:c r="I3827" t="str">
        <x:f>IF(F3827=1,"PASS","OPEN")</x:f>
        <x:v>OPEN</x:v>
      </x:c>
    </x:row>
    <x:row r="3828">
      <x:c r="B3828" t="str">
        <x:v>PH-TN-024</x:v>
      </x:c>
      <x:c r="C3828" t="str">
        <x:v>PHYSICAL</x:v>
      </x:c>
      <x:c r="D3828" t="str">
        <x:v>terrain-truth acceptance</x:v>
      </x:c>
      <x:c r="E3828" t="str">
        <x:v>PH-TN-024</x:v>
      </x:c>
      <x:c r="F3828" t="n">
        <x:f>IF('Terrain Truth'!I30&lt;&gt;"",1,0)</x:f>
        <x:v>0</x:v>
      </x:c>
      <x:c r="G3828" t="n">
        <x:v>1</x:v>
      </x:c>
      <x:c r="H3828" t="str">
        <x:v>independent physical acceptance</x:v>
      </x:c>
      <x:c r="I3828" t="str">
        <x:f>IF(F3828=1,"PASS","OPEN")</x:f>
        <x:v>OPEN</x:v>
      </x:c>
    </x:row>
    <x:row r="3829">
      <x:c r="B3829" t="str">
        <x:v>PH-FL-001</x:v>
      </x:c>
      <x:c r="C3829" t="str">
        <x:v>PHYSICAL</x:v>
      </x:c>
      <x:c r="D3829" t="str">
        <x:v>fluid-truth acceptance</x:v>
      </x:c>
      <x:c r="E3829" t="str">
        <x:v>PH-FL-001</x:v>
      </x:c>
      <x:c r="F3829" t="n">
        <x:f>IF('Fluid Truth'!I7&lt;&gt;"",1,0)</x:f>
        <x:v>0</x:v>
      </x:c>
      <x:c r="G3829" t="n">
        <x:v>1</x:v>
      </x:c>
      <x:c r="H3829" t="str">
        <x:v>independent physical acceptance</x:v>
      </x:c>
      <x:c r="I3829" t="str">
        <x:f>IF(F3829=1,"PASS","OPEN")</x:f>
        <x:v>OPEN</x:v>
      </x:c>
    </x:row>
    <x:row r="3830">
      <x:c r="B3830" t="str">
        <x:v>PH-FL-002</x:v>
      </x:c>
      <x:c r="C3830" t="str">
        <x:v>PHYSICAL</x:v>
      </x:c>
      <x:c r="D3830" t="str">
        <x:v>fluid-truth acceptance</x:v>
      </x:c>
      <x:c r="E3830" t="str">
        <x:v>PH-FL-002</x:v>
      </x:c>
      <x:c r="F3830" t="n">
        <x:f>IF('Fluid Truth'!I8&lt;&gt;"",1,0)</x:f>
        <x:v>0</x:v>
      </x:c>
      <x:c r="G3830" t="n">
        <x:v>1</x:v>
      </x:c>
      <x:c r="H3830" t="str">
        <x:v>independent physical acceptance</x:v>
      </x:c>
      <x:c r="I3830" t="str">
        <x:f>IF(F3830=1,"PASS","OPEN")</x:f>
        <x:v>OPEN</x:v>
      </x:c>
    </x:row>
    <x:row r="3831">
      <x:c r="B3831" t="str">
        <x:v>PH-FL-003</x:v>
      </x:c>
      <x:c r="C3831" t="str">
        <x:v>PHYSICAL</x:v>
      </x:c>
      <x:c r="D3831" t="str">
        <x:v>fluid-truth acceptance</x:v>
      </x:c>
      <x:c r="E3831" t="str">
        <x:v>PH-FL-003</x:v>
      </x:c>
      <x:c r="F3831" t="n">
        <x:f>IF('Fluid Truth'!I9&lt;&gt;"",1,0)</x:f>
        <x:v>0</x:v>
      </x:c>
      <x:c r="G3831" t="n">
        <x:v>1</x:v>
      </x:c>
      <x:c r="H3831" t="str">
        <x:v>independent physical acceptance</x:v>
      </x:c>
      <x:c r="I3831" t="str">
        <x:f>IF(F3831=1,"PASS","OPEN")</x:f>
        <x:v>OPEN</x:v>
      </x:c>
    </x:row>
    <x:row r="3832">
      <x:c r="B3832" t="str">
        <x:v>PH-FL-004</x:v>
      </x:c>
      <x:c r="C3832" t="str">
        <x:v>PHYSICAL</x:v>
      </x:c>
      <x:c r="D3832" t="str">
        <x:v>fluid-truth acceptance</x:v>
      </x:c>
      <x:c r="E3832" t="str">
        <x:v>PH-FL-004</x:v>
      </x:c>
      <x:c r="F3832" t="n">
        <x:f>IF('Fluid Truth'!I10&lt;&gt;"",1,0)</x:f>
        <x:v>0</x:v>
      </x:c>
      <x:c r="G3832" t="n">
        <x:v>1</x:v>
      </x:c>
      <x:c r="H3832" t="str">
        <x:v>independent physical acceptance</x:v>
      </x:c>
      <x:c r="I3832" t="str">
        <x:f>IF(F3832=1,"PASS","OPEN")</x:f>
        <x:v>OPEN</x:v>
      </x:c>
    </x:row>
    <x:row r="3833">
      <x:c r="B3833" t="str">
        <x:v>PH-FL-005</x:v>
      </x:c>
      <x:c r="C3833" t="str">
        <x:v>PHYSICAL</x:v>
      </x:c>
      <x:c r="D3833" t="str">
        <x:v>fluid-truth acceptance</x:v>
      </x:c>
      <x:c r="E3833" t="str">
        <x:v>PH-FL-005</x:v>
      </x:c>
      <x:c r="F3833" t="n">
        <x:f>IF('Fluid Truth'!I11&lt;&gt;"",1,0)</x:f>
        <x:v>0</x:v>
      </x:c>
      <x:c r="G3833" t="n">
        <x:v>1</x:v>
      </x:c>
      <x:c r="H3833" t="str">
        <x:v>independent physical acceptance</x:v>
      </x:c>
      <x:c r="I3833" t="str">
        <x:f>IF(F3833=1,"PASS","OPEN")</x:f>
        <x:v>OPEN</x:v>
      </x:c>
    </x:row>
    <x:row r="3834">
      <x:c r="B3834" t="str">
        <x:v>PH-FL-006</x:v>
      </x:c>
      <x:c r="C3834" t="str">
        <x:v>PHYSICAL</x:v>
      </x:c>
      <x:c r="D3834" t="str">
        <x:v>fluid-truth acceptance</x:v>
      </x:c>
      <x:c r="E3834" t="str">
        <x:v>PH-FL-006</x:v>
      </x:c>
      <x:c r="F3834" t="n">
        <x:f>IF('Fluid Truth'!I12&lt;&gt;"",1,0)</x:f>
        <x:v>0</x:v>
      </x:c>
      <x:c r="G3834" t="n">
        <x:v>1</x:v>
      </x:c>
      <x:c r="H3834" t="str">
        <x:v>independent physical acceptance</x:v>
      </x:c>
      <x:c r="I3834" t="str">
        <x:f>IF(F3834=1,"PASS","OPEN")</x:f>
        <x:v>OPEN</x:v>
      </x:c>
    </x:row>
    <x:row r="3835">
      <x:c r="B3835" t="str">
        <x:v>PH-FL-007</x:v>
      </x:c>
      <x:c r="C3835" t="str">
        <x:v>PHYSICAL</x:v>
      </x:c>
      <x:c r="D3835" t="str">
        <x:v>fluid-truth acceptance</x:v>
      </x:c>
      <x:c r="E3835" t="str">
        <x:v>PH-FL-007</x:v>
      </x:c>
      <x:c r="F3835" t="n">
        <x:f>IF('Fluid Truth'!I13&lt;&gt;"",1,0)</x:f>
        <x:v>0</x:v>
      </x:c>
      <x:c r="G3835" t="n">
        <x:v>1</x:v>
      </x:c>
      <x:c r="H3835" t="str">
        <x:v>independent physical acceptance</x:v>
      </x:c>
      <x:c r="I3835" t="str">
        <x:f>IF(F3835=1,"PASS","OPEN")</x:f>
        <x:v>OPEN</x:v>
      </x:c>
    </x:row>
    <x:row r="3836">
      <x:c r="B3836" t="str">
        <x:v>PH-FL-008</x:v>
      </x:c>
      <x:c r="C3836" t="str">
        <x:v>PHYSICAL</x:v>
      </x:c>
      <x:c r="D3836" t="str">
        <x:v>fluid-truth acceptance</x:v>
      </x:c>
      <x:c r="E3836" t="str">
        <x:v>PH-FL-008</x:v>
      </x:c>
      <x:c r="F3836" t="n">
        <x:f>IF('Fluid Truth'!I14&lt;&gt;"",1,0)</x:f>
        <x:v>0</x:v>
      </x:c>
      <x:c r="G3836" t="n">
        <x:v>1</x:v>
      </x:c>
      <x:c r="H3836" t="str">
        <x:v>independent physical acceptance</x:v>
      </x:c>
      <x:c r="I3836" t="str">
        <x:f>IF(F3836=1,"PASS","OPEN")</x:f>
        <x:v>OPEN</x:v>
      </x:c>
    </x:row>
    <x:row r="3837">
      <x:c r="B3837" t="str">
        <x:v>PH-FL-009</x:v>
      </x:c>
      <x:c r="C3837" t="str">
        <x:v>PHYSICAL</x:v>
      </x:c>
      <x:c r="D3837" t="str">
        <x:v>fluid-truth acceptance</x:v>
      </x:c>
      <x:c r="E3837" t="str">
        <x:v>PH-FL-009</x:v>
      </x:c>
      <x:c r="F3837" t="n">
        <x:f>IF('Fluid Truth'!I15&lt;&gt;"",1,0)</x:f>
        <x:v>0</x:v>
      </x:c>
      <x:c r="G3837" t="n">
        <x:v>1</x:v>
      </x:c>
      <x:c r="H3837" t="str">
        <x:v>independent physical acceptance</x:v>
      </x:c>
      <x:c r="I3837" t="str">
        <x:f>IF(F3837=1,"PASS","OPEN")</x:f>
        <x:v>OPEN</x:v>
      </x:c>
    </x:row>
    <x:row r="3838">
      <x:c r="B3838" t="str">
        <x:v>PH-FL-010</x:v>
      </x:c>
      <x:c r="C3838" t="str">
        <x:v>PHYSICAL</x:v>
      </x:c>
      <x:c r="D3838" t="str">
        <x:v>fluid-truth acceptance</x:v>
      </x:c>
      <x:c r="E3838" t="str">
        <x:v>PH-FL-010</x:v>
      </x:c>
      <x:c r="F3838" t="n">
        <x:f>IF('Fluid Truth'!I16&lt;&gt;"",1,0)</x:f>
        <x:v>0</x:v>
      </x:c>
      <x:c r="G3838" t="n">
        <x:v>1</x:v>
      </x:c>
      <x:c r="H3838" t="str">
        <x:v>independent physical acceptance</x:v>
      </x:c>
      <x:c r="I3838" t="str">
        <x:f>IF(F3838=1,"PASS","OPEN")</x:f>
        <x:v>OPEN</x:v>
      </x:c>
    </x:row>
    <x:row r="3839">
      <x:c r="B3839" t="str">
        <x:v>PH-FL-011</x:v>
      </x:c>
      <x:c r="C3839" t="str">
        <x:v>PHYSICAL</x:v>
      </x:c>
      <x:c r="D3839" t="str">
        <x:v>fluid-truth acceptance</x:v>
      </x:c>
      <x:c r="E3839" t="str">
        <x:v>PH-FL-011</x:v>
      </x:c>
      <x:c r="F3839" t="n">
        <x:f>IF('Fluid Truth'!I17&lt;&gt;"",1,0)</x:f>
        <x:v>0</x:v>
      </x:c>
      <x:c r="G3839" t="n">
        <x:v>1</x:v>
      </x:c>
      <x:c r="H3839" t="str">
        <x:v>independent physical acceptance</x:v>
      </x:c>
      <x:c r="I3839" t="str">
        <x:f>IF(F3839=1,"PASS","OPEN")</x:f>
        <x:v>OPEN</x:v>
      </x:c>
    </x:row>
    <x:row r="3840">
      <x:c r="B3840" t="str">
        <x:v>PH-FL-012</x:v>
      </x:c>
      <x:c r="C3840" t="str">
        <x:v>PHYSICAL</x:v>
      </x:c>
      <x:c r="D3840" t="str">
        <x:v>fluid-truth acceptance</x:v>
      </x:c>
      <x:c r="E3840" t="str">
        <x:v>PH-FL-012</x:v>
      </x:c>
      <x:c r="F3840" t="n">
        <x:f>IF('Fluid Truth'!I18&lt;&gt;"",1,0)</x:f>
        <x:v>0</x:v>
      </x:c>
      <x:c r="G3840" t="n">
        <x:v>1</x:v>
      </x:c>
      <x:c r="H3840" t="str">
        <x:v>independent physical acceptance</x:v>
      </x:c>
      <x:c r="I3840" t="str">
        <x:f>IF(F3840=1,"PASS","OPEN")</x:f>
        <x:v>OPEN</x:v>
      </x:c>
    </x:row>
    <x:row r="3841">
      <x:c r="B3841" t="str">
        <x:v>PH-FL-013</x:v>
      </x:c>
      <x:c r="C3841" t="str">
        <x:v>PHYSICAL</x:v>
      </x:c>
      <x:c r="D3841" t="str">
        <x:v>fluid-truth acceptance</x:v>
      </x:c>
      <x:c r="E3841" t="str">
        <x:v>PH-FL-013</x:v>
      </x:c>
      <x:c r="F3841" t="n">
        <x:f>IF('Fluid Truth'!I19&lt;&gt;"",1,0)</x:f>
        <x:v>0</x:v>
      </x:c>
      <x:c r="G3841" t="n">
        <x:v>1</x:v>
      </x:c>
      <x:c r="H3841" t="str">
        <x:v>independent physical acceptance</x:v>
      </x:c>
      <x:c r="I3841" t="str">
        <x:f>IF(F3841=1,"PASS","OPEN")</x:f>
        <x:v>OPEN</x:v>
      </x:c>
    </x:row>
    <x:row r="3842">
      <x:c r="B3842" t="str">
        <x:v>PH-FL-014</x:v>
      </x:c>
      <x:c r="C3842" t="str">
        <x:v>PHYSICAL</x:v>
      </x:c>
      <x:c r="D3842" t="str">
        <x:v>fluid-truth acceptance</x:v>
      </x:c>
      <x:c r="E3842" t="str">
        <x:v>PH-FL-014</x:v>
      </x:c>
      <x:c r="F3842" t="n">
        <x:f>IF('Fluid Truth'!I20&lt;&gt;"",1,0)</x:f>
        <x:v>0</x:v>
      </x:c>
      <x:c r="G3842" t="n">
        <x:v>1</x:v>
      </x:c>
      <x:c r="H3842" t="str">
        <x:v>independent physical acceptance</x:v>
      </x:c>
      <x:c r="I3842" t="str">
        <x:f>IF(F3842=1,"PASS","OPEN")</x:f>
        <x:v>OPEN</x:v>
      </x:c>
    </x:row>
    <x:row r="3843">
      <x:c r="B3843" t="str">
        <x:v>PH-FL-015</x:v>
      </x:c>
      <x:c r="C3843" t="str">
        <x:v>PHYSICAL</x:v>
      </x:c>
      <x:c r="D3843" t="str">
        <x:v>fluid-truth acceptance</x:v>
      </x:c>
      <x:c r="E3843" t="str">
        <x:v>PH-FL-015</x:v>
      </x:c>
      <x:c r="F3843" t="n">
        <x:f>IF('Fluid Truth'!I21&lt;&gt;"",1,0)</x:f>
        <x:v>0</x:v>
      </x:c>
      <x:c r="G3843" t="n">
        <x:v>1</x:v>
      </x:c>
      <x:c r="H3843" t="str">
        <x:v>independent physical acceptance</x:v>
      </x:c>
      <x:c r="I3843" t="str">
        <x:f>IF(F3843=1,"PASS","OPEN")</x:f>
        <x:v>OPEN</x:v>
      </x:c>
    </x:row>
    <x:row r="3844">
      <x:c r="B3844" t="str">
        <x:v>PH-FL-016</x:v>
      </x:c>
      <x:c r="C3844" t="str">
        <x:v>PHYSICAL</x:v>
      </x:c>
      <x:c r="D3844" t="str">
        <x:v>fluid-truth acceptance</x:v>
      </x:c>
      <x:c r="E3844" t="str">
        <x:v>PH-FL-016</x:v>
      </x:c>
      <x:c r="F3844" t="n">
        <x:f>IF('Fluid Truth'!I22&lt;&gt;"",1,0)</x:f>
        <x:v>0</x:v>
      </x:c>
      <x:c r="G3844" t="n">
        <x:v>1</x:v>
      </x:c>
      <x:c r="H3844" t="str">
        <x:v>independent physical acceptance</x:v>
      </x:c>
      <x:c r="I3844" t="str">
        <x:f>IF(F3844=1,"PASS","OPEN")</x:f>
        <x:v>OPEN</x:v>
      </x:c>
    </x:row>
    <x:row r="3845">
      <x:c r="B3845" t="str">
        <x:v>PH-FL-017</x:v>
      </x:c>
      <x:c r="C3845" t="str">
        <x:v>PHYSICAL</x:v>
      </x:c>
      <x:c r="D3845" t="str">
        <x:v>fluid-truth acceptance</x:v>
      </x:c>
      <x:c r="E3845" t="str">
        <x:v>PH-FL-017</x:v>
      </x:c>
      <x:c r="F3845" t="n">
        <x:f>IF('Fluid Truth'!I23&lt;&gt;"",1,0)</x:f>
        <x:v>0</x:v>
      </x:c>
      <x:c r="G3845" t="n">
        <x:v>1</x:v>
      </x:c>
      <x:c r="H3845" t="str">
        <x:v>independent physical acceptance</x:v>
      </x:c>
      <x:c r="I3845" t="str">
        <x:f>IF(F3845=1,"PASS","OPEN")</x:f>
        <x:v>OPEN</x:v>
      </x:c>
    </x:row>
    <x:row r="3846">
      <x:c r="B3846" t="str">
        <x:v>PH-FL-018</x:v>
      </x:c>
      <x:c r="C3846" t="str">
        <x:v>PHYSICAL</x:v>
      </x:c>
      <x:c r="D3846" t="str">
        <x:v>fluid-truth acceptance</x:v>
      </x:c>
      <x:c r="E3846" t="str">
        <x:v>PH-FL-018</x:v>
      </x:c>
      <x:c r="F3846" t="n">
        <x:f>IF('Fluid Truth'!I24&lt;&gt;"",1,0)</x:f>
        <x:v>0</x:v>
      </x:c>
      <x:c r="G3846" t="n">
        <x:v>1</x:v>
      </x:c>
      <x:c r="H3846" t="str">
        <x:v>independent physical acceptance</x:v>
      </x:c>
      <x:c r="I3846" t="str">
        <x:f>IF(F3846=1,"PASS","OPEN")</x:f>
        <x:v>OPEN</x:v>
      </x:c>
    </x:row>
    <x:row r="3847">
      <x:c r="B3847" t="str">
        <x:v>PH-FL-019</x:v>
      </x:c>
      <x:c r="C3847" t="str">
        <x:v>PHYSICAL</x:v>
      </x:c>
      <x:c r="D3847" t="str">
        <x:v>fluid-truth acceptance</x:v>
      </x:c>
      <x:c r="E3847" t="str">
        <x:v>PH-FL-019</x:v>
      </x:c>
      <x:c r="F3847" t="n">
        <x:f>IF('Fluid Truth'!I25&lt;&gt;"",1,0)</x:f>
        <x:v>0</x:v>
      </x:c>
      <x:c r="G3847" t="n">
        <x:v>1</x:v>
      </x:c>
      <x:c r="H3847" t="str">
        <x:v>independent physical acceptance</x:v>
      </x:c>
      <x:c r="I3847" t="str">
        <x:f>IF(F3847=1,"PASS","OPEN")</x:f>
        <x:v>OPEN</x:v>
      </x:c>
    </x:row>
    <x:row r="3848">
      <x:c r="B3848" t="str">
        <x:v>PH-FL-020</x:v>
      </x:c>
      <x:c r="C3848" t="str">
        <x:v>PHYSICAL</x:v>
      </x:c>
      <x:c r="D3848" t="str">
        <x:v>fluid-truth acceptance</x:v>
      </x:c>
      <x:c r="E3848" t="str">
        <x:v>PH-FL-020</x:v>
      </x:c>
      <x:c r="F3848" t="n">
        <x:f>IF('Fluid Truth'!I26&lt;&gt;"",1,0)</x:f>
        <x:v>0</x:v>
      </x:c>
      <x:c r="G3848" t="n">
        <x:v>1</x:v>
      </x:c>
      <x:c r="H3848" t="str">
        <x:v>independent physical acceptance</x:v>
      </x:c>
      <x:c r="I3848" t="str">
        <x:f>IF(F3848=1,"PASS","OPEN")</x:f>
        <x:v>OPEN</x:v>
      </x:c>
    </x:row>
    <x:row r="3849">
      <x:c r="B3849" t="str">
        <x:v>PH-FL-021</x:v>
      </x:c>
      <x:c r="C3849" t="str">
        <x:v>PHYSICAL</x:v>
      </x:c>
      <x:c r="D3849" t="str">
        <x:v>fluid-truth acceptance</x:v>
      </x:c>
      <x:c r="E3849" t="str">
        <x:v>PH-FL-021</x:v>
      </x:c>
      <x:c r="F3849" t="n">
        <x:f>IF('Fluid Truth'!I27&lt;&gt;"",1,0)</x:f>
        <x:v>0</x:v>
      </x:c>
      <x:c r="G3849" t="n">
        <x:v>1</x:v>
      </x:c>
      <x:c r="H3849" t="str">
        <x:v>independent physical acceptance</x:v>
      </x:c>
      <x:c r="I3849" t="str">
        <x:f>IF(F3849=1,"PASS","OPEN")</x:f>
        <x:v>OPEN</x:v>
      </x:c>
    </x:row>
    <x:row r="3850">
      <x:c r="B3850" t="str">
        <x:v>PH-FL-022</x:v>
      </x:c>
      <x:c r="C3850" t="str">
        <x:v>PHYSICAL</x:v>
      </x:c>
      <x:c r="D3850" t="str">
        <x:v>fluid-truth acceptance</x:v>
      </x:c>
      <x:c r="E3850" t="str">
        <x:v>PH-FL-022</x:v>
      </x:c>
      <x:c r="F3850" t="n">
        <x:f>IF('Fluid Truth'!I28&lt;&gt;"",1,0)</x:f>
        <x:v>0</x:v>
      </x:c>
      <x:c r="G3850" t="n">
        <x:v>1</x:v>
      </x:c>
      <x:c r="H3850" t="str">
        <x:v>independent physical acceptance</x:v>
      </x:c>
      <x:c r="I3850" t="str">
        <x:f>IF(F3850=1,"PASS","OPEN")</x:f>
        <x:v>OPEN</x:v>
      </x:c>
    </x:row>
    <x:row r="3851">
      <x:c r="B3851" t="str">
        <x:v>PH-FL-023</x:v>
      </x:c>
      <x:c r="C3851" t="str">
        <x:v>PHYSICAL</x:v>
      </x:c>
      <x:c r="D3851" t="str">
        <x:v>fluid-truth acceptance</x:v>
      </x:c>
      <x:c r="E3851" t="str">
        <x:v>PH-FL-023</x:v>
      </x:c>
      <x:c r="F3851" t="n">
        <x:f>IF('Fluid Truth'!I29&lt;&gt;"",1,0)</x:f>
        <x:v>0</x:v>
      </x:c>
      <x:c r="G3851" t="n">
        <x:v>1</x:v>
      </x:c>
      <x:c r="H3851" t="str">
        <x:v>independent physical acceptance</x:v>
      </x:c>
      <x:c r="I3851" t="str">
        <x:f>IF(F3851=1,"PASS","OPEN")</x:f>
        <x:v>OPEN</x:v>
      </x:c>
    </x:row>
    <x:row r="3852">
      <x:c r="B3852" t="str">
        <x:v>PH-FL-024</x:v>
      </x:c>
      <x:c r="C3852" t="str">
        <x:v>PHYSICAL</x:v>
      </x:c>
      <x:c r="D3852" t="str">
        <x:v>fluid-truth acceptance</x:v>
      </x:c>
      <x:c r="E3852" t="str">
        <x:v>PH-FL-024</x:v>
      </x:c>
      <x:c r="F3852" t="n">
        <x:f>IF('Fluid Truth'!I30&lt;&gt;"",1,0)</x:f>
        <x:v>0</x:v>
      </x:c>
      <x:c r="G3852" t="n">
        <x:v>1</x:v>
      </x:c>
      <x:c r="H3852" t="str">
        <x:v>independent physical acceptance</x:v>
      </x:c>
      <x:c r="I3852" t="str">
        <x:f>IF(F3852=1,"PASS","OPEN")</x:f>
        <x:v>OPEN</x:v>
      </x:c>
    </x:row>
    <x:row r="3853">
      <x:c r="B3853" t="str">
        <x:v>PH-FL-025</x:v>
      </x:c>
      <x:c r="C3853" t="str">
        <x:v>PHYSICAL</x:v>
      </x:c>
      <x:c r="D3853" t="str">
        <x:v>fluid-truth acceptance</x:v>
      </x:c>
      <x:c r="E3853" t="str">
        <x:v>PH-FL-025</x:v>
      </x:c>
      <x:c r="F3853" t="n">
        <x:f>IF('Fluid Truth'!I31&lt;&gt;"",1,0)</x:f>
        <x:v>0</x:v>
      </x:c>
      <x:c r="G3853" t="n">
        <x:v>1</x:v>
      </x:c>
      <x:c r="H3853" t="str">
        <x:v>independent physical acceptance</x:v>
      </x:c>
      <x:c r="I3853" t="str">
        <x:f>IF(F3853=1,"PASS","OPEN")</x:f>
        <x:v>OPEN</x:v>
      </x:c>
    </x:row>
    <x:row r="3854">
      <x:c r="B3854" t="str">
        <x:v>PH-FL-026</x:v>
      </x:c>
      <x:c r="C3854" t="str">
        <x:v>PHYSICAL</x:v>
      </x:c>
      <x:c r="D3854" t="str">
        <x:v>fluid-truth acceptance</x:v>
      </x:c>
      <x:c r="E3854" t="str">
        <x:v>PH-FL-026</x:v>
      </x:c>
      <x:c r="F3854" t="n">
        <x:f>IF('Fluid Truth'!I32&lt;&gt;"",1,0)</x:f>
        <x:v>0</x:v>
      </x:c>
      <x:c r="G3854" t="n">
        <x:v>1</x:v>
      </x:c>
      <x:c r="H3854" t="str">
        <x:v>independent physical acceptance</x:v>
      </x:c>
      <x:c r="I3854" t="str">
        <x:f>IF(F3854=1,"PASS","OPEN")</x:f>
        <x:v>OPEN</x:v>
      </x:c>
    </x:row>
    <x:row r="3855">
      <x:c r="B3855" t="str">
        <x:v>PH-FL-027</x:v>
      </x:c>
      <x:c r="C3855" t="str">
        <x:v>PHYSICAL</x:v>
      </x:c>
      <x:c r="D3855" t="str">
        <x:v>fluid-truth acceptance</x:v>
      </x:c>
      <x:c r="E3855" t="str">
        <x:v>PH-FL-027</x:v>
      </x:c>
      <x:c r="F3855" t="n">
        <x:f>IF('Fluid Truth'!I33&lt;&gt;"",1,0)</x:f>
        <x:v>0</x:v>
      </x:c>
      <x:c r="G3855" t="n">
        <x:v>1</x:v>
      </x:c>
      <x:c r="H3855" t="str">
        <x:v>independent physical acceptance</x:v>
      </x:c>
      <x:c r="I3855" t="str">
        <x:f>IF(F3855=1,"PASS","OPEN")</x:f>
        <x:v>OPEN</x:v>
      </x:c>
    </x:row>
    <x:row r="3856">
      <x:c r="B3856" t="str">
        <x:v>PH-FL-028</x:v>
      </x:c>
      <x:c r="C3856" t="str">
        <x:v>PHYSICAL</x:v>
      </x:c>
      <x:c r="D3856" t="str">
        <x:v>fluid-truth acceptance</x:v>
      </x:c>
      <x:c r="E3856" t="str">
        <x:v>PH-FL-028</x:v>
      </x:c>
      <x:c r="F3856" t="n">
        <x:f>IF('Fluid Truth'!I34&lt;&gt;"",1,0)</x:f>
        <x:v>0</x:v>
      </x:c>
      <x:c r="G3856" t="n">
        <x:v>1</x:v>
      </x:c>
      <x:c r="H3856" t="str">
        <x:v>independent physical acceptance</x:v>
      </x:c>
      <x:c r="I3856" t="str">
        <x:f>IF(F3856=1,"PASS","OPEN")</x:f>
        <x:v>OPEN</x:v>
      </x:c>
    </x:row>
    <x:row r="3857">
      <x:c r="B3857" t="str">
        <x:v>PH-FL-029</x:v>
      </x:c>
      <x:c r="C3857" t="str">
        <x:v>PHYSICAL</x:v>
      </x:c>
      <x:c r="D3857" t="str">
        <x:v>fluid-truth acceptance</x:v>
      </x:c>
      <x:c r="E3857" t="str">
        <x:v>PH-FL-029</x:v>
      </x:c>
      <x:c r="F3857" t="n">
        <x:f>IF('Fluid Truth'!I35&lt;&gt;"",1,0)</x:f>
        <x:v>0</x:v>
      </x:c>
      <x:c r="G3857" t="n">
        <x:v>1</x:v>
      </x:c>
      <x:c r="H3857" t="str">
        <x:v>independent physical acceptance</x:v>
      </x:c>
      <x:c r="I3857" t="str">
        <x:f>IF(F3857=1,"PASS","OPEN")</x:f>
        <x:v>OPEN</x:v>
      </x:c>
    </x:row>
    <x:row r="3858">
      <x:c r="B3858" t="str">
        <x:v>PH-FL-030</x:v>
      </x:c>
      <x:c r="C3858" t="str">
        <x:v>PHYSICAL</x:v>
      </x:c>
      <x:c r="D3858" t="str">
        <x:v>fluid-truth acceptance</x:v>
      </x:c>
      <x:c r="E3858" t="str">
        <x:v>PH-FL-030</x:v>
      </x:c>
      <x:c r="F3858" t="n">
        <x:f>IF('Fluid Truth'!I36&lt;&gt;"",1,0)</x:f>
        <x:v>0</x:v>
      </x:c>
      <x:c r="G3858" t="n">
        <x:v>1</x:v>
      </x:c>
      <x:c r="H3858" t="str">
        <x:v>independent physical acceptance</x:v>
      </x:c>
      <x:c r="I3858" t="str">
        <x:f>IF(F3858=1,"PASS","OPEN")</x:f>
        <x:v>OPEN</x:v>
      </x:c>
    </x:row>
    <x:row r="3859">
      <x:c r="B3859" t="str">
        <x:v>PH-FL-031</x:v>
      </x:c>
      <x:c r="C3859" t="str">
        <x:v>PHYSICAL</x:v>
      </x:c>
      <x:c r="D3859" t="str">
        <x:v>fluid-truth acceptance</x:v>
      </x:c>
      <x:c r="E3859" t="str">
        <x:v>PH-FL-031</x:v>
      </x:c>
      <x:c r="F3859" t="n">
        <x:f>IF('Fluid Truth'!I37&lt;&gt;"",1,0)</x:f>
        <x:v>0</x:v>
      </x:c>
      <x:c r="G3859" t="n">
        <x:v>1</x:v>
      </x:c>
      <x:c r="H3859" t="str">
        <x:v>independent physical acceptance</x:v>
      </x:c>
      <x:c r="I3859" t="str">
        <x:f>IF(F3859=1,"PASS","OPEN")</x:f>
        <x:v>OPEN</x:v>
      </x:c>
    </x:row>
    <x:row r="3860">
      <x:c r="B3860" t="str">
        <x:v>PH-FL-032</x:v>
      </x:c>
      <x:c r="C3860" t="str">
        <x:v>PHYSICAL</x:v>
      </x:c>
      <x:c r="D3860" t="str">
        <x:v>fluid-truth acceptance</x:v>
      </x:c>
      <x:c r="E3860" t="str">
        <x:v>PH-FL-032</x:v>
      </x:c>
      <x:c r="F3860" t="n">
        <x:f>IF('Fluid Truth'!I38&lt;&gt;"",1,0)</x:f>
        <x:v>0</x:v>
      </x:c>
      <x:c r="G3860" t="n">
        <x:v>1</x:v>
      </x:c>
      <x:c r="H3860" t="str">
        <x:v>independent physical acceptance</x:v>
      </x:c>
      <x:c r="I3860" t="str">
        <x:f>IF(F3860=1,"PASS","OPEN")</x:f>
        <x:v>OPEN</x:v>
      </x:c>
    </x:row>
    <x:row r="3861">
      <x:c r="B3861" t="str">
        <x:v>PH-FL-033</x:v>
      </x:c>
      <x:c r="C3861" t="str">
        <x:v>PHYSICAL</x:v>
      </x:c>
      <x:c r="D3861" t="str">
        <x:v>fluid-truth acceptance</x:v>
      </x:c>
      <x:c r="E3861" t="str">
        <x:v>PH-FL-033</x:v>
      </x:c>
      <x:c r="F3861" t="n">
        <x:f>IF('Fluid Truth'!I39&lt;&gt;"",1,0)</x:f>
        <x:v>0</x:v>
      </x:c>
      <x:c r="G3861" t="n">
        <x:v>1</x:v>
      </x:c>
      <x:c r="H3861" t="str">
        <x:v>independent physical acceptance</x:v>
      </x:c>
      <x:c r="I3861" t="str">
        <x:f>IF(F3861=1,"PASS","OPEN")</x:f>
        <x:v>OPEN</x:v>
      </x:c>
    </x:row>
    <x:row r="3862">
      <x:c r="B3862" t="str">
        <x:v>PH-FL-034</x:v>
      </x:c>
      <x:c r="C3862" t="str">
        <x:v>PHYSICAL</x:v>
      </x:c>
      <x:c r="D3862" t="str">
        <x:v>fluid-truth acceptance</x:v>
      </x:c>
      <x:c r="E3862" t="str">
        <x:v>PH-FL-034</x:v>
      </x:c>
      <x:c r="F3862" t="n">
        <x:f>IF('Fluid Truth'!I40&lt;&gt;"",1,0)</x:f>
        <x:v>0</x:v>
      </x:c>
      <x:c r="G3862" t="n">
        <x:v>1</x:v>
      </x:c>
      <x:c r="H3862" t="str">
        <x:v>independent physical acceptance</x:v>
      </x:c>
      <x:c r="I3862" t="str">
        <x:f>IF(F3862=1,"PASS","OPEN")</x:f>
        <x:v>OPEN</x:v>
      </x:c>
    </x:row>
    <x:row r="3863">
      <x:c r="B3863" t="str">
        <x:v>PH-FL-035</x:v>
      </x:c>
      <x:c r="C3863" t="str">
        <x:v>PHYSICAL</x:v>
      </x:c>
      <x:c r="D3863" t="str">
        <x:v>fluid-truth acceptance</x:v>
      </x:c>
      <x:c r="E3863" t="str">
        <x:v>PH-FL-035</x:v>
      </x:c>
      <x:c r="F3863" t="n">
        <x:f>IF('Fluid Truth'!I41&lt;&gt;"",1,0)</x:f>
        <x:v>0</x:v>
      </x:c>
      <x:c r="G3863" t="n">
        <x:v>1</x:v>
      </x:c>
      <x:c r="H3863" t="str">
        <x:v>independent physical acceptance</x:v>
      </x:c>
      <x:c r="I3863" t="str">
        <x:f>IF(F3863=1,"PASS","OPEN")</x:f>
        <x:v>OPEN</x:v>
      </x:c>
    </x:row>
    <x:row r="3864">
      <x:c r="B3864" t="str">
        <x:v>PH-FL-036</x:v>
      </x:c>
      <x:c r="C3864" t="str">
        <x:v>PHYSICAL</x:v>
      </x:c>
      <x:c r="D3864" t="str">
        <x:v>fluid-truth acceptance</x:v>
      </x:c>
      <x:c r="E3864" t="str">
        <x:v>PH-FL-036</x:v>
      </x:c>
      <x:c r="F3864" t="n">
        <x:f>IF('Fluid Truth'!I42&lt;&gt;"",1,0)</x:f>
        <x:v>0</x:v>
      </x:c>
      <x:c r="G3864" t="n">
        <x:v>1</x:v>
      </x:c>
      <x:c r="H3864" t="str">
        <x:v>independent physical acceptance</x:v>
      </x:c>
      <x:c r="I3864" t="str">
        <x:f>IF(F3864=1,"PASS","OPEN")</x:f>
        <x:v>OPEN</x:v>
      </x:c>
    </x:row>
    <x:row r="3865">
      <x:c r="B3865" t="str">
        <x:v>PH-TR-001</x:v>
      </x:c>
      <x:c r="C3865" t="str">
        <x:v>PHYSICAL</x:v>
      </x:c>
      <x:c r="D3865" t="str">
        <x:v>tracer-truth acceptance</x:v>
      </x:c>
      <x:c r="E3865" t="str">
        <x:v>PH-TR-001</x:v>
      </x:c>
      <x:c r="F3865" t="n">
        <x:f>IF('Tracer Truth'!I7&lt;&gt;"",1,0)</x:f>
        <x:v>0</x:v>
      </x:c>
      <x:c r="G3865" t="n">
        <x:v>1</x:v>
      </x:c>
      <x:c r="H3865" t="str">
        <x:v>independent physical acceptance</x:v>
      </x:c>
      <x:c r="I3865" t="str">
        <x:f>IF(F3865=1,"PASS","OPEN")</x:f>
        <x:v>OPEN</x:v>
      </x:c>
    </x:row>
    <x:row r="3866">
      <x:c r="B3866" t="str">
        <x:v>PH-TR-002</x:v>
      </x:c>
      <x:c r="C3866" t="str">
        <x:v>PHYSICAL</x:v>
      </x:c>
      <x:c r="D3866" t="str">
        <x:v>tracer-truth acceptance</x:v>
      </x:c>
      <x:c r="E3866" t="str">
        <x:v>PH-TR-002</x:v>
      </x:c>
      <x:c r="F3866" t="n">
        <x:f>IF('Tracer Truth'!I8&lt;&gt;"",1,0)</x:f>
        <x:v>0</x:v>
      </x:c>
      <x:c r="G3866" t="n">
        <x:v>1</x:v>
      </x:c>
      <x:c r="H3866" t="str">
        <x:v>independent physical acceptance</x:v>
      </x:c>
      <x:c r="I3866" t="str">
        <x:f>IF(F3866=1,"PASS","OPEN")</x:f>
        <x:v>OPEN</x:v>
      </x:c>
    </x:row>
    <x:row r="3867">
      <x:c r="B3867" t="str">
        <x:v>PH-TR-003</x:v>
      </x:c>
      <x:c r="C3867" t="str">
        <x:v>PHYSICAL</x:v>
      </x:c>
      <x:c r="D3867" t="str">
        <x:v>tracer-truth acceptance</x:v>
      </x:c>
      <x:c r="E3867" t="str">
        <x:v>PH-TR-003</x:v>
      </x:c>
      <x:c r="F3867" t="n">
        <x:f>IF('Tracer Truth'!I9&lt;&gt;"",1,0)</x:f>
        <x:v>0</x:v>
      </x:c>
      <x:c r="G3867" t="n">
        <x:v>1</x:v>
      </x:c>
      <x:c r="H3867" t="str">
        <x:v>independent physical acceptance</x:v>
      </x:c>
      <x:c r="I3867" t="str">
        <x:f>IF(F3867=1,"PASS","OPEN")</x:f>
        <x:v>OPEN</x:v>
      </x:c>
    </x:row>
    <x:row r="3868">
      <x:c r="B3868" t="str">
        <x:v>PH-TR-004</x:v>
      </x:c>
      <x:c r="C3868" t="str">
        <x:v>PHYSICAL</x:v>
      </x:c>
      <x:c r="D3868" t="str">
        <x:v>tracer-truth acceptance</x:v>
      </x:c>
      <x:c r="E3868" t="str">
        <x:v>PH-TR-004</x:v>
      </x:c>
      <x:c r="F3868" t="n">
        <x:f>IF('Tracer Truth'!I10&lt;&gt;"",1,0)</x:f>
        <x:v>0</x:v>
      </x:c>
      <x:c r="G3868" t="n">
        <x:v>1</x:v>
      </x:c>
      <x:c r="H3868" t="str">
        <x:v>independent physical acceptance</x:v>
      </x:c>
      <x:c r="I3868" t="str">
        <x:f>IF(F3868=1,"PASS","OPEN")</x:f>
        <x:v>OPEN</x:v>
      </x:c>
    </x:row>
    <x:row r="3869">
      <x:c r="B3869" t="str">
        <x:v>PH-TR-005</x:v>
      </x:c>
      <x:c r="C3869" t="str">
        <x:v>PHYSICAL</x:v>
      </x:c>
      <x:c r="D3869" t="str">
        <x:v>tracer-truth acceptance</x:v>
      </x:c>
      <x:c r="E3869" t="str">
        <x:v>PH-TR-005</x:v>
      </x:c>
      <x:c r="F3869" t="n">
        <x:f>IF('Tracer Truth'!I11&lt;&gt;"",1,0)</x:f>
        <x:v>0</x:v>
      </x:c>
      <x:c r="G3869" t="n">
        <x:v>1</x:v>
      </x:c>
      <x:c r="H3869" t="str">
        <x:v>independent physical acceptance</x:v>
      </x:c>
      <x:c r="I3869" t="str">
        <x:f>IF(F3869=1,"PASS","OPEN")</x:f>
        <x:v>OPEN</x:v>
      </x:c>
    </x:row>
    <x:row r="3870">
      <x:c r="B3870" t="str">
        <x:v>PH-TR-006</x:v>
      </x:c>
      <x:c r="C3870" t="str">
        <x:v>PHYSICAL</x:v>
      </x:c>
      <x:c r="D3870" t="str">
        <x:v>tracer-truth acceptance</x:v>
      </x:c>
      <x:c r="E3870" t="str">
        <x:v>PH-TR-006</x:v>
      </x:c>
      <x:c r="F3870" t="n">
        <x:f>IF('Tracer Truth'!I12&lt;&gt;"",1,0)</x:f>
        <x:v>0</x:v>
      </x:c>
      <x:c r="G3870" t="n">
        <x:v>1</x:v>
      </x:c>
      <x:c r="H3870" t="str">
        <x:v>independent physical acceptance</x:v>
      </x:c>
      <x:c r="I3870" t="str">
        <x:f>IF(F3870=1,"PASS","OPEN")</x:f>
        <x:v>OPEN</x:v>
      </x:c>
    </x:row>
    <x:row r="3871">
      <x:c r="B3871" t="str">
        <x:v>PH-TR-007</x:v>
      </x:c>
      <x:c r="C3871" t="str">
        <x:v>PHYSICAL</x:v>
      </x:c>
      <x:c r="D3871" t="str">
        <x:v>tracer-truth acceptance</x:v>
      </x:c>
      <x:c r="E3871" t="str">
        <x:v>PH-TR-007</x:v>
      </x:c>
      <x:c r="F3871" t="n">
        <x:f>IF('Tracer Truth'!I13&lt;&gt;"",1,0)</x:f>
        <x:v>0</x:v>
      </x:c>
      <x:c r="G3871" t="n">
        <x:v>1</x:v>
      </x:c>
      <x:c r="H3871" t="str">
        <x:v>independent physical acceptance</x:v>
      </x:c>
      <x:c r="I3871" t="str">
        <x:f>IF(F3871=1,"PASS","OPEN")</x:f>
        <x:v>OPEN</x:v>
      </x:c>
    </x:row>
    <x:row r="3872">
      <x:c r="B3872" t="str">
        <x:v>PH-TR-008</x:v>
      </x:c>
      <x:c r="C3872" t="str">
        <x:v>PHYSICAL</x:v>
      </x:c>
      <x:c r="D3872" t="str">
        <x:v>tracer-truth acceptance</x:v>
      </x:c>
      <x:c r="E3872" t="str">
        <x:v>PH-TR-008</x:v>
      </x:c>
      <x:c r="F3872" t="n">
        <x:f>IF('Tracer Truth'!I14&lt;&gt;"",1,0)</x:f>
        <x:v>0</x:v>
      </x:c>
      <x:c r="G3872" t="n">
        <x:v>1</x:v>
      </x:c>
      <x:c r="H3872" t="str">
        <x:v>independent physical acceptance</x:v>
      </x:c>
      <x:c r="I3872" t="str">
        <x:f>IF(F3872=1,"PASS","OPEN")</x:f>
        <x:v>OPEN</x:v>
      </x:c>
    </x:row>
    <x:row r="3873">
      <x:c r="B3873" t="str">
        <x:v>PH-TR-009</x:v>
      </x:c>
      <x:c r="C3873" t="str">
        <x:v>PHYSICAL</x:v>
      </x:c>
      <x:c r="D3873" t="str">
        <x:v>tracer-truth acceptance</x:v>
      </x:c>
      <x:c r="E3873" t="str">
        <x:v>PH-TR-009</x:v>
      </x:c>
      <x:c r="F3873" t="n">
        <x:f>IF('Tracer Truth'!I15&lt;&gt;"",1,0)</x:f>
        <x:v>0</x:v>
      </x:c>
      <x:c r="G3873" t="n">
        <x:v>1</x:v>
      </x:c>
      <x:c r="H3873" t="str">
        <x:v>independent physical acceptance</x:v>
      </x:c>
      <x:c r="I3873" t="str">
        <x:f>IF(F3873=1,"PASS","OPEN")</x:f>
        <x:v>OPEN</x:v>
      </x:c>
    </x:row>
    <x:row r="3874">
      <x:c r="B3874" t="str">
        <x:v>PH-TR-010</x:v>
      </x:c>
      <x:c r="C3874" t="str">
        <x:v>PHYSICAL</x:v>
      </x:c>
      <x:c r="D3874" t="str">
        <x:v>tracer-truth acceptance</x:v>
      </x:c>
      <x:c r="E3874" t="str">
        <x:v>PH-TR-010</x:v>
      </x:c>
      <x:c r="F3874" t="n">
        <x:f>IF('Tracer Truth'!I16&lt;&gt;"",1,0)</x:f>
        <x:v>0</x:v>
      </x:c>
      <x:c r="G3874" t="n">
        <x:v>1</x:v>
      </x:c>
      <x:c r="H3874" t="str">
        <x:v>independent physical acceptance</x:v>
      </x:c>
      <x:c r="I3874" t="str">
        <x:f>IF(F3874=1,"PASS","OPEN")</x:f>
        <x:v>OPEN</x:v>
      </x:c>
    </x:row>
    <x:row r="3875">
      <x:c r="B3875" t="str">
        <x:v>PH-TR-011</x:v>
      </x:c>
      <x:c r="C3875" t="str">
        <x:v>PHYSICAL</x:v>
      </x:c>
      <x:c r="D3875" t="str">
        <x:v>tracer-truth acceptance</x:v>
      </x:c>
      <x:c r="E3875" t="str">
        <x:v>PH-TR-011</x:v>
      </x:c>
      <x:c r="F3875" t="n">
        <x:f>IF('Tracer Truth'!I17&lt;&gt;"",1,0)</x:f>
        <x:v>0</x:v>
      </x:c>
      <x:c r="G3875" t="n">
        <x:v>1</x:v>
      </x:c>
      <x:c r="H3875" t="str">
        <x:v>independent physical acceptance</x:v>
      </x:c>
      <x:c r="I3875" t="str">
        <x:f>IF(F3875=1,"PASS","OPEN")</x:f>
        <x:v>OPEN</x:v>
      </x:c>
    </x:row>
    <x:row r="3876">
      <x:c r="B3876" t="str">
        <x:v>PH-TR-012</x:v>
      </x:c>
      <x:c r="C3876" t="str">
        <x:v>PHYSICAL</x:v>
      </x:c>
      <x:c r="D3876" t="str">
        <x:v>tracer-truth acceptance</x:v>
      </x:c>
      <x:c r="E3876" t="str">
        <x:v>PH-TR-012</x:v>
      </x:c>
      <x:c r="F3876" t="n">
        <x:f>IF('Tracer Truth'!I18&lt;&gt;"",1,0)</x:f>
        <x:v>0</x:v>
      </x:c>
      <x:c r="G3876" t="n">
        <x:v>1</x:v>
      </x:c>
      <x:c r="H3876" t="str">
        <x:v>independent physical acceptance</x:v>
      </x:c>
      <x:c r="I3876" t="str">
        <x:f>IF(F3876=1,"PASS","OPEN")</x:f>
        <x:v>OPEN</x:v>
      </x:c>
    </x:row>
    <x:row r="3877">
      <x:c r="B3877" t="str">
        <x:v>PH-DB-001</x:v>
      </x:c>
      <x:c r="C3877" t="str">
        <x:v>PHYSICAL</x:v>
      </x:c>
      <x:c r="D3877" t="str">
        <x:v>debris-truth acceptance</x:v>
      </x:c>
      <x:c r="E3877" t="str">
        <x:v>PH-DB-001</x:v>
      </x:c>
      <x:c r="F3877" t="n">
        <x:f>IF('Debris Truth'!I7&lt;&gt;"",1,0)</x:f>
        <x:v>0</x:v>
      </x:c>
      <x:c r="G3877" t="n">
        <x:v>1</x:v>
      </x:c>
      <x:c r="H3877" t="str">
        <x:v>independent physical acceptance</x:v>
      </x:c>
      <x:c r="I3877" t="str">
        <x:f>IF(F3877=1,"PASS","OPEN")</x:f>
        <x:v>OPEN</x:v>
      </x:c>
    </x:row>
    <x:row r="3878">
      <x:c r="B3878" t="str">
        <x:v>PH-DB-002</x:v>
      </x:c>
      <x:c r="C3878" t="str">
        <x:v>PHYSICAL</x:v>
      </x:c>
      <x:c r="D3878" t="str">
        <x:v>debris-truth acceptance</x:v>
      </x:c>
      <x:c r="E3878" t="str">
        <x:v>PH-DB-002</x:v>
      </x:c>
      <x:c r="F3878" t="n">
        <x:f>IF('Debris Truth'!I8&lt;&gt;"",1,0)</x:f>
        <x:v>0</x:v>
      </x:c>
      <x:c r="G3878" t="n">
        <x:v>1</x:v>
      </x:c>
      <x:c r="H3878" t="str">
        <x:v>independent physical acceptance</x:v>
      </x:c>
      <x:c r="I3878" t="str">
        <x:f>IF(F3878=1,"PASS","OPEN")</x:f>
        <x:v>OPEN</x:v>
      </x:c>
    </x:row>
    <x:row r="3879">
      <x:c r="B3879" t="str">
        <x:v>PH-DB-003</x:v>
      </x:c>
      <x:c r="C3879" t="str">
        <x:v>PHYSICAL</x:v>
      </x:c>
      <x:c r="D3879" t="str">
        <x:v>debris-truth acceptance</x:v>
      </x:c>
      <x:c r="E3879" t="str">
        <x:v>PH-DB-003</x:v>
      </x:c>
      <x:c r="F3879" t="n">
        <x:f>IF('Debris Truth'!I9&lt;&gt;"",1,0)</x:f>
        <x:v>0</x:v>
      </x:c>
      <x:c r="G3879" t="n">
        <x:v>1</x:v>
      </x:c>
      <x:c r="H3879" t="str">
        <x:v>independent physical acceptance</x:v>
      </x:c>
      <x:c r="I3879" t="str">
        <x:f>IF(F3879=1,"PASS","OPEN")</x:f>
        <x:v>OPEN</x:v>
      </x:c>
    </x:row>
    <x:row r="3880">
      <x:c r="B3880" t="str">
        <x:v>PH-DB-004</x:v>
      </x:c>
      <x:c r="C3880" t="str">
        <x:v>PHYSICAL</x:v>
      </x:c>
      <x:c r="D3880" t="str">
        <x:v>debris-truth acceptance</x:v>
      </x:c>
      <x:c r="E3880" t="str">
        <x:v>PH-DB-004</x:v>
      </x:c>
      <x:c r="F3880" t="n">
        <x:f>IF('Debris Truth'!I10&lt;&gt;"",1,0)</x:f>
        <x:v>0</x:v>
      </x:c>
      <x:c r="G3880" t="n">
        <x:v>1</x:v>
      </x:c>
      <x:c r="H3880" t="str">
        <x:v>independent physical acceptance</x:v>
      </x:c>
      <x:c r="I3880" t="str">
        <x:f>IF(F3880=1,"PASS","OPEN")</x:f>
        <x:v>OPEN</x:v>
      </x:c>
    </x:row>
    <x:row r="3881">
      <x:c r="B3881" t="str">
        <x:v>PH-DB-005</x:v>
      </x:c>
      <x:c r="C3881" t="str">
        <x:v>PHYSICAL</x:v>
      </x:c>
      <x:c r="D3881" t="str">
        <x:v>debris-truth acceptance</x:v>
      </x:c>
      <x:c r="E3881" t="str">
        <x:v>PH-DB-005</x:v>
      </x:c>
      <x:c r="F3881" t="n">
        <x:f>IF('Debris Truth'!I11&lt;&gt;"",1,0)</x:f>
        <x:v>0</x:v>
      </x:c>
      <x:c r="G3881" t="n">
        <x:v>1</x:v>
      </x:c>
      <x:c r="H3881" t="str">
        <x:v>independent physical acceptance</x:v>
      </x:c>
      <x:c r="I3881" t="str">
        <x:f>IF(F3881=1,"PASS","OPEN")</x:f>
        <x:v>OPEN</x:v>
      </x:c>
    </x:row>
    <x:row r="3882">
      <x:c r="B3882" t="str">
        <x:v>PH-DB-006</x:v>
      </x:c>
      <x:c r="C3882" t="str">
        <x:v>PHYSICAL</x:v>
      </x:c>
      <x:c r="D3882" t="str">
        <x:v>debris-truth acceptance</x:v>
      </x:c>
      <x:c r="E3882" t="str">
        <x:v>PH-DB-006</x:v>
      </x:c>
      <x:c r="F3882" t="n">
        <x:f>IF('Debris Truth'!I12&lt;&gt;"",1,0)</x:f>
        <x:v>0</x:v>
      </x:c>
      <x:c r="G3882" t="n">
        <x:v>1</x:v>
      </x:c>
      <x:c r="H3882" t="str">
        <x:v>independent physical acceptance</x:v>
      </x:c>
      <x:c r="I3882" t="str">
        <x:f>IF(F3882=1,"PASS","OPEN")</x:f>
        <x:v>OPEN</x:v>
      </x:c>
    </x:row>
    <x:row r="3883">
      <x:c r="B3883" t="str">
        <x:v>PH-DB-007</x:v>
      </x:c>
      <x:c r="C3883" t="str">
        <x:v>PHYSICAL</x:v>
      </x:c>
      <x:c r="D3883" t="str">
        <x:v>debris-truth acceptance</x:v>
      </x:c>
      <x:c r="E3883" t="str">
        <x:v>PH-DB-007</x:v>
      </x:c>
      <x:c r="F3883" t="n">
        <x:f>IF('Debris Truth'!I13&lt;&gt;"",1,0)</x:f>
        <x:v>0</x:v>
      </x:c>
      <x:c r="G3883" t="n">
        <x:v>1</x:v>
      </x:c>
      <x:c r="H3883" t="str">
        <x:v>independent physical acceptance</x:v>
      </x:c>
      <x:c r="I3883" t="str">
        <x:f>IF(F3883=1,"PASS","OPEN")</x:f>
        <x:v>OPEN</x:v>
      </x:c>
    </x:row>
    <x:row r="3884">
      <x:c r="B3884" t="str">
        <x:v>PH-DB-008</x:v>
      </x:c>
      <x:c r="C3884" t="str">
        <x:v>PHYSICAL</x:v>
      </x:c>
      <x:c r="D3884" t="str">
        <x:v>debris-truth acceptance</x:v>
      </x:c>
      <x:c r="E3884" t="str">
        <x:v>PH-DB-008</x:v>
      </x:c>
      <x:c r="F3884" t="n">
        <x:f>IF('Debris Truth'!I14&lt;&gt;"",1,0)</x:f>
        <x:v>0</x:v>
      </x:c>
      <x:c r="G3884" t="n">
        <x:v>1</x:v>
      </x:c>
      <x:c r="H3884" t="str">
        <x:v>independent physical acceptance</x:v>
      </x:c>
      <x:c r="I3884" t="str">
        <x:f>IF(F3884=1,"PASS","OPEN")</x:f>
        <x:v>OPEN</x:v>
      </x:c>
    </x:row>
    <x:row r="3885">
      <x:c r="B3885" t="str">
        <x:v>PH-DB-009</x:v>
      </x:c>
      <x:c r="C3885" t="str">
        <x:v>PHYSICAL</x:v>
      </x:c>
      <x:c r="D3885" t="str">
        <x:v>debris-truth acceptance</x:v>
      </x:c>
      <x:c r="E3885" t="str">
        <x:v>PH-DB-009</x:v>
      </x:c>
      <x:c r="F3885" t="n">
        <x:f>IF('Debris Truth'!I15&lt;&gt;"",1,0)</x:f>
        <x:v>0</x:v>
      </x:c>
      <x:c r="G3885" t="n">
        <x:v>1</x:v>
      </x:c>
      <x:c r="H3885" t="str">
        <x:v>independent physical acceptance</x:v>
      </x:c>
      <x:c r="I3885" t="str">
        <x:f>IF(F3885=1,"PASS","OPEN")</x:f>
        <x:v>OPEN</x:v>
      </x:c>
    </x:row>
    <x:row r="3886">
      <x:c r="B3886" t="str">
        <x:v>PH-DB-010</x:v>
      </x:c>
      <x:c r="C3886" t="str">
        <x:v>PHYSICAL</x:v>
      </x:c>
      <x:c r="D3886" t="str">
        <x:v>debris-truth acceptance</x:v>
      </x:c>
      <x:c r="E3886" t="str">
        <x:v>PH-DB-010</x:v>
      </x:c>
      <x:c r="F3886" t="n">
        <x:f>IF('Debris Truth'!I16&lt;&gt;"",1,0)</x:f>
        <x:v>0</x:v>
      </x:c>
      <x:c r="G3886" t="n">
        <x:v>1</x:v>
      </x:c>
      <x:c r="H3886" t="str">
        <x:v>independent physical acceptance</x:v>
      </x:c>
      <x:c r="I3886" t="str">
        <x:f>IF(F3886=1,"PASS","OPEN")</x:f>
        <x:v>OPEN</x:v>
      </x:c>
    </x:row>
    <x:row r="3887">
      <x:c r="B3887" t="str">
        <x:v>PH-DB-011</x:v>
      </x:c>
      <x:c r="C3887" t="str">
        <x:v>PHYSICAL</x:v>
      </x:c>
      <x:c r="D3887" t="str">
        <x:v>debris-truth acceptance</x:v>
      </x:c>
      <x:c r="E3887" t="str">
        <x:v>PH-DB-011</x:v>
      </x:c>
      <x:c r="F3887" t="n">
        <x:f>IF('Debris Truth'!I17&lt;&gt;"",1,0)</x:f>
        <x:v>0</x:v>
      </x:c>
      <x:c r="G3887" t="n">
        <x:v>1</x:v>
      </x:c>
      <x:c r="H3887" t="str">
        <x:v>independent physical acceptance</x:v>
      </x:c>
      <x:c r="I3887" t="str">
        <x:f>IF(F3887=1,"PASS","OPEN")</x:f>
        <x:v>OPEN</x:v>
      </x:c>
    </x:row>
    <x:row r="3888">
      <x:c r="B3888" t="str">
        <x:v>PH-DB-012</x:v>
      </x:c>
      <x:c r="C3888" t="str">
        <x:v>PHYSICAL</x:v>
      </x:c>
      <x:c r="D3888" t="str">
        <x:v>debris-truth acceptance</x:v>
      </x:c>
      <x:c r="E3888" t="str">
        <x:v>PH-DB-012</x:v>
      </x:c>
      <x:c r="F3888" t="n">
        <x:f>IF('Debris Truth'!I18&lt;&gt;"",1,0)</x:f>
        <x:v>0</x:v>
      </x:c>
      <x:c r="G3888" t="n">
        <x:v>1</x:v>
      </x:c>
      <x:c r="H3888" t="str">
        <x:v>independent physical acceptance</x:v>
      </x:c>
      <x:c r="I3888" t="str">
        <x:f>IF(F3888=1,"PASS","OPEN")</x:f>
        <x:v>OPEN</x:v>
      </x:c>
    </x:row>
    <x:row r="3889">
      <x:c r="B3889" t="str">
        <x:v>PH-UC-001</x:v>
      </x:c>
      <x:c r="C3889" t="str">
        <x:v>PHYSICAL</x:v>
      </x:c>
      <x:c r="D3889" t="str">
        <x:v>uncertainty acceptance</x:v>
      </x:c>
      <x:c r="E3889" t="str">
        <x:v>PH-UC-001</x:v>
      </x:c>
      <x:c r="F3889" t="n">
        <x:f>IF('Uncertainty'!K7&lt;&gt;"",1,0)</x:f>
        <x:v>0</x:v>
      </x:c>
      <x:c r="G3889" t="n">
        <x:v>1</x:v>
      </x:c>
      <x:c r="H3889" t="str">
        <x:v>independent physical acceptance</x:v>
      </x:c>
      <x:c r="I3889" t="str">
        <x:f>IF(F3889=1,"PASS","OPEN")</x:f>
        <x:v>OPEN</x:v>
      </x:c>
    </x:row>
    <x:row r="3890">
      <x:c r="B3890" t="str">
        <x:v>PH-UC-002</x:v>
      </x:c>
      <x:c r="C3890" t="str">
        <x:v>PHYSICAL</x:v>
      </x:c>
      <x:c r="D3890" t="str">
        <x:v>uncertainty acceptance</x:v>
      </x:c>
      <x:c r="E3890" t="str">
        <x:v>PH-UC-002</x:v>
      </x:c>
      <x:c r="F3890" t="n">
        <x:f>IF('Uncertainty'!K8&lt;&gt;"",1,0)</x:f>
        <x:v>0</x:v>
      </x:c>
      <x:c r="G3890" t="n">
        <x:v>1</x:v>
      </x:c>
      <x:c r="H3890" t="str">
        <x:v>independent physical acceptance</x:v>
      </x:c>
      <x:c r="I3890" t="str">
        <x:f>IF(F3890=1,"PASS","OPEN")</x:f>
        <x:v>OPEN</x:v>
      </x:c>
    </x:row>
    <x:row r="3891">
      <x:c r="B3891" t="str">
        <x:v>PH-UC-003</x:v>
      </x:c>
      <x:c r="C3891" t="str">
        <x:v>PHYSICAL</x:v>
      </x:c>
      <x:c r="D3891" t="str">
        <x:v>uncertainty acceptance</x:v>
      </x:c>
      <x:c r="E3891" t="str">
        <x:v>PH-UC-003</x:v>
      </x:c>
      <x:c r="F3891" t="n">
        <x:f>IF('Uncertainty'!K9&lt;&gt;"",1,0)</x:f>
        <x:v>0</x:v>
      </x:c>
      <x:c r="G3891" t="n">
        <x:v>1</x:v>
      </x:c>
      <x:c r="H3891" t="str">
        <x:v>independent physical acceptance</x:v>
      </x:c>
      <x:c r="I3891" t="str">
        <x:f>IF(F3891=1,"PASS","OPEN")</x:f>
        <x:v>OPEN</x:v>
      </x:c>
    </x:row>
    <x:row r="3892">
      <x:c r="B3892" t="str">
        <x:v>PH-UC-004</x:v>
      </x:c>
      <x:c r="C3892" t="str">
        <x:v>PHYSICAL</x:v>
      </x:c>
      <x:c r="D3892" t="str">
        <x:v>uncertainty acceptance</x:v>
      </x:c>
      <x:c r="E3892" t="str">
        <x:v>PH-UC-004</x:v>
      </x:c>
      <x:c r="F3892" t="n">
        <x:f>IF('Uncertainty'!K10&lt;&gt;"",1,0)</x:f>
        <x:v>0</x:v>
      </x:c>
      <x:c r="G3892" t="n">
        <x:v>1</x:v>
      </x:c>
      <x:c r="H3892" t="str">
        <x:v>independent physical acceptance</x:v>
      </x:c>
      <x:c r="I3892" t="str">
        <x:f>IF(F3892=1,"PASS","OPEN")</x:f>
        <x:v>OPEN</x:v>
      </x:c>
    </x:row>
    <x:row r="3893">
      <x:c r="B3893" t="str">
        <x:v>PH-UC-005</x:v>
      </x:c>
      <x:c r="C3893" t="str">
        <x:v>PHYSICAL</x:v>
      </x:c>
      <x:c r="D3893" t="str">
        <x:v>uncertainty acceptance</x:v>
      </x:c>
      <x:c r="E3893" t="str">
        <x:v>PH-UC-005</x:v>
      </x:c>
      <x:c r="F3893" t="n">
        <x:f>IF('Uncertainty'!K11&lt;&gt;"",1,0)</x:f>
        <x:v>0</x:v>
      </x:c>
      <x:c r="G3893" t="n">
        <x:v>1</x:v>
      </x:c>
      <x:c r="H3893" t="str">
        <x:v>independent physical acceptance</x:v>
      </x:c>
      <x:c r="I3893" t="str">
        <x:f>IF(F3893=1,"PASS","OPEN")</x:f>
        <x:v>OPEN</x:v>
      </x:c>
    </x:row>
    <x:row r="3894">
      <x:c r="B3894" t="str">
        <x:v>PH-UC-006</x:v>
      </x:c>
      <x:c r="C3894" t="str">
        <x:v>PHYSICAL</x:v>
      </x:c>
      <x:c r="D3894" t="str">
        <x:v>uncertainty acceptance</x:v>
      </x:c>
      <x:c r="E3894" t="str">
        <x:v>PH-UC-006</x:v>
      </x:c>
      <x:c r="F3894" t="n">
        <x:f>IF('Uncertainty'!K12&lt;&gt;"",1,0)</x:f>
        <x:v>0</x:v>
      </x:c>
      <x:c r="G3894" t="n">
        <x:v>1</x:v>
      </x:c>
      <x:c r="H3894" t="str">
        <x:v>independent physical acceptance</x:v>
      </x:c>
      <x:c r="I3894" t="str">
        <x:f>IF(F3894=1,"PASS","OPEN")</x:f>
        <x:v>OPEN</x:v>
      </x:c>
    </x:row>
    <x:row r="3895">
      <x:c r="B3895" t="str">
        <x:v>PH-UC-007</x:v>
      </x:c>
      <x:c r="C3895" t="str">
        <x:v>PHYSICAL</x:v>
      </x:c>
      <x:c r="D3895" t="str">
        <x:v>uncertainty acceptance</x:v>
      </x:c>
      <x:c r="E3895" t="str">
        <x:v>PH-UC-007</x:v>
      </x:c>
      <x:c r="F3895" t="n">
        <x:f>IF('Uncertainty'!K13&lt;&gt;"",1,0)</x:f>
        <x:v>0</x:v>
      </x:c>
      <x:c r="G3895" t="n">
        <x:v>1</x:v>
      </x:c>
      <x:c r="H3895" t="str">
        <x:v>independent physical acceptance</x:v>
      </x:c>
      <x:c r="I3895" t="str">
        <x:f>IF(F3895=1,"PASS","OPEN")</x:f>
        <x:v>OPEN</x:v>
      </x:c>
    </x:row>
    <x:row r="3896">
      <x:c r="B3896" t="str">
        <x:v>PH-UC-008</x:v>
      </x:c>
      <x:c r="C3896" t="str">
        <x:v>PHYSICAL</x:v>
      </x:c>
      <x:c r="D3896" t="str">
        <x:v>uncertainty acceptance</x:v>
      </x:c>
      <x:c r="E3896" t="str">
        <x:v>PH-UC-008</x:v>
      </x:c>
      <x:c r="F3896" t="n">
        <x:f>IF('Uncertainty'!K14&lt;&gt;"",1,0)</x:f>
        <x:v>0</x:v>
      </x:c>
      <x:c r="G3896" t="n">
        <x:v>1</x:v>
      </x:c>
      <x:c r="H3896" t="str">
        <x:v>independent physical acceptance</x:v>
      </x:c>
      <x:c r="I3896" t="str">
        <x:f>IF(F3896=1,"PASS","OPEN")</x:f>
        <x:v>OPEN</x:v>
      </x:c>
    </x:row>
    <x:row r="3897">
      <x:c r="B3897" t="str">
        <x:v>PH-UC-009</x:v>
      </x:c>
      <x:c r="C3897" t="str">
        <x:v>PHYSICAL</x:v>
      </x:c>
      <x:c r="D3897" t="str">
        <x:v>uncertainty acceptance</x:v>
      </x:c>
      <x:c r="E3897" t="str">
        <x:v>PH-UC-009</x:v>
      </x:c>
      <x:c r="F3897" t="n">
        <x:f>IF('Uncertainty'!K15&lt;&gt;"",1,0)</x:f>
        <x:v>0</x:v>
      </x:c>
      <x:c r="G3897" t="n">
        <x:v>1</x:v>
      </x:c>
      <x:c r="H3897" t="str">
        <x:v>independent physical acceptance</x:v>
      </x:c>
      <x:c r="I3897" t="str">
        <x:f>IF(F3897=1,"PASS","OPEN")</x:f>
        <x:v>OPEN</x:v>
      </x:c>
    </x:row>
    <x:row r="3898">
      <x:c r="B3898" t="str">
        <x:v>PH-UC-010</x:v>
      </x:c>
      <x:c r="C3898" t="str">
        <x:v>PHYSICAL</x:v>
      </x:c>
      <x:c r="D3898" t="str">
        <x:v>uncertainty acceptance</x:v>
      </x:c>
      <x:c r="E3898" t="str">
        <x:v>PH-UC-010</x:v>
      </x:c>
      <x:c r="F3898" t="n">
        <x:f>IF('Uncertainty'!K16&lt;&gt;"",1,0)</x:f>
        <x:v>0</x:v>
      </x:c>
      <x:c r="G3898" t="n">
        <x:v>1</x:v>
      </x:c>
      <x:c r="H3898" t="str">
        <x:v>independent physical acceptance</x:v>
      </x:c>
      <x:c r="I3898" t="str">
        <x:f>IF(F3898=1,"PASS","OPEN")</x:f>
        <x:v>OPEN</x:v>
      </x:c>
    </x:row>
    <x:row r="3899">
      <x:c r="B3899" t="str">
        <x:v>PH-UC-011</x:v>
      </x:c>
      <x:c r="C3899" t="str">
        <x:v>PHYSICAL</x:v>
      </x:c>
      <x:c r="D3899" t="str">
        <x:v>uncertainty acceptance</x:v>
      </x:c>
      <x:c r="E3899" t="str">
        <x:v>PH-UC-011</x:v>
      </x:c>
      <x:c r="F3899" t="n">
        <x:f>IF('Uncertainty'!K17&lt;&gt;"",1,0)</x:f>
        <x:v>0</x:v>
      </x:c>
      <x:c r="G3899" t="n">
        <x:v>1</x:v>
      </x:c>
      <x:c r="H3899" t="str">
        <x:v>independent physical acceptance</x:v>
      </x:c>
      <x:c r="I3899" t="str">
        <x:f>IF(F3899=1,"PASS","OPEN")</x:f>
        <x:v>OPEN</x:v>
      </x:c>
    </x:row>
    <x:row r="3900">
      <x:c r="B3900" t="str">
        <x:v>PH-UC-012</x:v>
      </x:c>
      <x:c r="C3900" t="str">
        <x:v>PHYSICAL</x:v>
      </x:c>
      <x:c r="D3900" t="str">
        <x:v>uncertainty acceptance</x:v>
      </x:c>
      <x:c r="E3900" t="str">
        <x:v>PH-UC-012</x:v>
      </x:c>
      <x:c r="F3900" t="n">
        <x:f>IF('Uncertainty'!K18&lt;&gt;"",1,0)</x:f>
        <x:v>0</x:v>
      </x:c>
      <x:c r="G3900" t="n">
        <x:v>1</x:v>
      </x:c>
      <x:c r="H3900" t="str">
        <x:v>independent physical acceptance</x:v>
      </x:c>
      <x:c r="I3900" t="str">
        <x:f>IF(F3900=1,"PASS","OPEN")</x:f>
        <x:v>OPEN</x:v>
      </x:c>
    </x:row>
    <x:row r="3901">
      <x:c r="B3901" t="str">
        <x:v>PH-UC-013</x:v>
      </x:c>
      <x:c r="C3901" t="str">
        <x:v>PHYSICAL</x:v>
      </x:c>
      <x:c r="D3901" t="str">
        <x:v>uncertainty acceptance</x:v>
      </x:c>
      <x:c r="E3901" t="str">
        <x:v>PH-UC-013</x:v>
      </x:c>
      <x:c r="F3901" t="n">
        <x:f>IF('Uncertainty'!K19&lt;&gt;"",1,0)</x:f>
        <x:v>0</x:v>
      </x:c>
      <x:c r="G3901" t="n">
        <x:v>1</x:v>
      </x:c>
      <x:c r="H3901" t="str">
        <x:v>independent physical acceptance</x:v>
      </x:c>
      <x:c r="I3901" t="str">
        <x:f>IF(F3901=1,"PASS","OPEN")</x:f>
        <x:v>OPEN</x:v>
      </x:c>
    </x:row>
    <x:row r="3902">
      <x:c r="B3902" t="str">
        <x:v>PH-UC-014</x:v>
      </x:c>
      <x:c r="C3902" t="str">
        <x:v>PHYSICAL</x:v>
      </x:c>
      <x:c r="D3902" t="str">
        <x:v>uncertainty acceptance</x:v>
      </x:c>
      <x:c r="E3902" t="str">
        <x:v>PH-UC-014</x:v>
      </x:c>
      <x:c r="F3902" t="n">
        <x:f>IF('Uncertainty'!K20&lt;&gt;"",1,0)</x:f>
        <x:v>0</x:v>
      </x:c>
      <x:c r="G3902" t="n">
        <x:v>1</x:v>
      </x:c>
      <x:c r="H3902" t="str">
        <x:v>independent physical acceptance</x:v>
      </x:c>
      <x:c r="I3902" t="str">
        <x:f>IF(F3902=1,"PASS","OPEN")</x:f>
        <x:v>OPEN</x:v>
      </x:c>
    </x:row>
    <x:row r="3903">
      <x:c r="B3903" t="str">
        <x:v>PH-UC-015</x:v>
      </x:c>
      <x:c r="C3903" t="str">
        <x:v>PHYSICAL</x:v>
      </x:c>
      <x:c r="D3903" t="str">
        <x:v>uncertainty acceptance</x:v>
      </x:c>
      <x:c r="E3903" t="str">
        <x:v>PH-UC-015</x:v>
      </x:c>
      <x:c r="F3903" t="n">
        <x:f>IF('Uncertainty'!K21&lt;&gt;"",1,0)</x:f>
        <x:v>0</x:v>
      </x:c>
      <x:c r="G3903" t="n">
        <x:v>1</x:v>
      </x:c>
      <x:c r="H3903" t="str">
        <x:v>independent physical acceptance</x:v>
      </x:c>
      <x:c r="I3903" t="str">
        <x:f>IF(F3903=1,"PASS","OPEN")</x:f>
        <x:v>OPEN</x:v>
      </x:c>
    </x:row>
    <x:row r="3904">
      <x:c r="B3904" t="str">
        <x:v>PH-UC-016</x:v>
      </x:c>
      <x:c r="C3904" t="str">
        <x:v>PHYSICAL</x:v>
      </x:c>
      <x:c r="D3904" t="str">
        <x:v>uncertainty acceptance</x:v>
      </x:c>
      <x:c r="E3904" t="str">
        <x:v>PH-UC-016</x:v>
      </x:c>
      <x:c r="F3904" t="n">
        <x:f>IF('Uncertainty'!K22&lt;&gt;"",1,0)</x:f>
        <x:v>0</x:v>
      </x:c>
      <x:c r="G3904" t="n">
        <x:v>1</x:v>
      </x:c>
      <x:c r="H3904" t="str">
        <x:v>independent physical acceptance</x:v>
      </x:c>
      <x:c r="I3904" t="str">
        <x:f>IF(F3904=1,"PASS","OPEN")</x:f>
        <x:v>OPEN</x:v>
      </x:c>
    </x:row>
    <x:row r="3905">
      <x:c r="B3905" t="str">
        <x:v>PH-UC-017</x:v>
      </x:c>
      <x:c r="C3905" t="str">
        <x:v>PHYSICAL</x:v>
      </x:c>
      <x:c r="D3905" t="str">
        <x:v>uncertainty acceptance</x:v>
      </x:c>
      <x:c r="E3905" t="str">
        <x:v>PH-UC-017</x:v>
      </x:c>
      <x:c r="F3905" t="n">
        <x:f>IF('Uncertainty'!K23&lt;&gt;"",1,0)</x:f>
        <x:v>0</x:v>
      </x:c>
      <x:c r="G3905" t="n">
        <x:v>1</x:v>
      </x:c>
      <x:c r="H3905" t="str">
        <x:v>independent physical acceptance</x:v>
      </x:c>
      <x:c r="I3905" t="str">
        <x:f>IF(F3905=1,"PASS","OPEN")</x:f>
        <x:v>OPEN</x:v>
      </x:c>
    </x:row>
    <x:row r="3906">
      <x:c r="B3906" t="str">
        <x:v>PH-UC-018</x:v>
      </x:c>
      <x:c r="C3906" t="str">
        <x:v>PHYSICAL</x:v>
      </x:c>
      <x:c r="D3906" t="str">
        <x:v>uncertainty acceptance</x:v>
      </x:c>
      <x:c r="E3906" t="str">
        <x:v>PH-UC-018</x:v>
      </x:c>
      <x:c r="F3906" t="n">
        <x:f>IF('Uncertainty'!K24&lt;&gt;"",1,0)</x:f>
        <x:v>0</x:v>
      </x:c>
      <x:c r="G3906" t="n">
        <x:v>1</x:v>
      </x:c>
      <x:c r="H3906" t="str">
        <x:v>independent physical acceptance</x:v>
      </x:c>
      <x:c r="I3906" t="str">
        <x:f>IF(F3906=1,"PASS","OPEN")</x:f>
        <x:v>OPEN</x:v>
      </x:c>
    </x:row>
    <x:row r="3907">
      <x:c r="B3907" t="str">
        <x:v>PH-UC-019</x:v>
      </x:c>
      <x:c r="C3907" t="str">
        <x:v>PHYSICAL</x:v>
      </x:c>
      <x:c r="D3907" t="str">
        <x:v>uncertainty acceptance</x:v>
      </x:c>
      <x:c r="E3907" t="str">
        <x:v>PH-UC-019</x:v>
      </x:c>
      <x:c r="F3907" t="n">
        <x:f>IF('Uncertainty'!K25&lt;&gt;"",1,0)</x:f>
        <x:v>0</x:v>
      </x:c>
      <x:c r="G3907" t="n">
        <x:v>1</x:v>
      </x:c>
      <x:c r="H3907" t="str">
        <x:v>independent physical acceptance</x:v>
      </x:c>
      <x:c r="I3907" t="str">
        <x:f>IF(F3907=1,"PASS","OPEN")</x:f>
        <x:v>OPEN</x:v>
      </x:c>
    </x:row>
    <x:row r="3908">
      <x:c r="B3908" t="str">
        <x:v>PH-UC-020</x:v>
      </x:c>
      <x:c r="C3908" t="str">
        <x:v>PHYSICAL</x:v>
      </x:c>
      <x:c r="D3908" t="str">
        <x:v>uncertainty acceptance</x:v>
      </x:c>
      <x:c r="E3908" t="str">
        <x:v>PH-UC-020</x:v>
      </x:c>
      <x:c r="F3908" t="n">
        <x:f>IF('Uncertainty'!K26&lt;&gt;"",1,0)</x:f>
        <x:v>0</x:v>
      </x:c>
      <x:c r="G3908" t="n">
        <x:v>1</x:v>
      </x:c>
      <x:c r="H3908" t="str">
        <x:v>independent physical acceptance</x:v>
      </x:c>
      <x:c r="I3908" t="str">
        <x:f>IF(F3908=1,"PASS","OPEN")</x:f>
        <x:v>OPEN</x:v>
      </x:c>
    </x:row>
    <x:row r="3909">
      <x:c r="B3909" t="str">
        <x:v>PH-UC-021</x:v>
      </x:c>
      <x:c r="C3909" t="str">
        <x:v>PHYSICAL</x:v>
      </x:c>
      <x:c r="D3909" t="str">
        <x:v>uncertainty acceptance</x:v>
      </x:c>
      <x:c r="E3909" t="str">
        <x:v>PH-UC-021</x:v>
      </x:c>
      <x:c r="F3909" t="n">
        <x:f>IF('Uncertainty'!K27&lt;&gt;"",1,0)</x:f>
        <x:v>0</x:v>
      </x:c>
      <x:c r="G3909" t="n">
        <x:v>1</x:v>
      </x:c>
      <x:c r="H3909" t="str">
        <x:v>independent physical acceptance</x:v>
      </x:c>
      <x:c r="I3909" t="str">
        <x:f>IF(F3909=1,"PASS","OPEN")</x:f>
        <x:v>OPEN</x:v>
      </x:c>
    </x:row>
    <x:row r="3910">
      <x:c r="B3910" t="str">
        <x:v>PH-UC-022</x:v>
      </x:c>
      <x:c r="C3910" t="str">
        <x:v>PHYSICAL</x:v>
      </x:c>
      <x:c r="D3910" t="str">
        <x:v>uncertainty acceptance</x:v>
      </x:c>
      <x:c r="E3910" t="str">
        <x:v>PH-UC-022</x:v>
      </x:c>
      <x:c r="F3910" t="n">
        <x:f>IF('Uncertainty'!K28&lt;&gt;"",1,0)</x:f>
        <x:v>0</x:v>
      </x:c>
      <x:c r="G3910" t="n">
        <x:v>1</x:v>
      </x:c>
      <x:c r="H3910" t="str">
        <x:v>independent physical acceptance</x:v>
      </x:c>
      <x:c r="I3910" t="str">
        <x:f>IF(F3910=1,"PASS","OPEN")</x:f>
        <x:v>OPEN</x:v>
      </x:c>
    </x:row>
    <x:row r="3911">
      <x:c r="B3911" t="str">
        <x:v>PH-UC-023</x:v>
      </x:c>
      <x:c r="C3911" t="str">
        <x:v>PHYSICAL</x:v>
      </x:c>
      <x:c r="D3911" t="str">
        <x:v>uncertainty acceptance</x:v>
      </x:c>
      <x:c r="E3911" t="str">
        <x:v>PH-UC-023</x:v>
      </x:c>
      <x:c r="F3911" t="n">
        <x:f>IF('Uncertainty'!K29&lt;&gt;"",1,0)</x:f>
        <x:v>0</x:v>
      </x:c>
      <x:c r="G3911" t="n">
        <x:v>1</x:v>
      </x:c>
      <x:c r="H3911" t="str">
        <x:v>independent physical acceptance</x:v>
      </x:c>
      <x:c r="I3911" t="str">
        <x:f>IF(F3911=1,"PASS","OPEN")</x:f>
        <x:v>OPEN</x:v>
      </x:c>
    </x:row>
    <x:row r="3912">
      <x:c r="B3912" t="str">
        <x:v>PH-UC-024</x:v>
      </x:c>
      <x:c r="C3912" t="str">
        <x:v>PHYSICAL</x:v>
      </x:c>
      <x:c r="D3912" t="str">
        <x:v>uncertainty acceptance</x:v>
      </x:c>
      <x:c r="E3912" t="str">
        <x:v>PH-UC-024</x:v>
      </x:c>
      <x:c r="F3912" t="n">
        <x:f>IF('Uncertainty'!K30&lt;&gt;"",1,0)</x:f>
        <x:v>0</x:v>
      </x:c>
      <x:c r="G3912" t="n">
        <x:v>1</x:v>
      </x:c>
      <x:c r="H3912" t="str">
        <x:v>independent physical acceptance</x:v>
      </x:c>
      <x:c r="I3912" t="str">
        <x:f>IF(F3912=1,"PASS","OPEN")</x:f>
        <x:v>OPEN</x:v>
      </x:c>
    </x:row>
    <x:row r="3913">
      <x:c r="B3913" t="str">
        <x:v>PH-UC-025</x:v>
      </x:c>
      <x:c r="C3913" t="str">
        <x:v>PHYSICAL</x:v>
      </x:c>
      <x:c r="D3913" t="str">
        <x:v>uncertainty acceptance</x:v>
      </x:c>
      <x:c r="E3913" t="str">
        <x:v>PH-UC-025</x:v>
      </x:c>
      <x:c r="F3913" t="n">
        <x:f>IF('Uncertainty'!K31&lt;&gt;"",1,0)</x:f>
        <x:v>0</x:v>
      </x:c>
      <x:c r="G3913" t="n">
        <x:v>1</x:v>
      </x:c>
      <x:c r="H3913" t="str">
        <x:v>independent physical acceptance</x:v>
      </x:c>
      <x:c r="I3913" t="str">
        <x:f>IF(F3913=1,"PASS","OPEN")</x:f>
        <x:v>OPEN</x:v>
      </x:c>
    </x:row>
    <x:row r="3914">
      <x:c r="B3914" t="str">
        <x:v>PH-UC-026</x:v>
      </x:c>
      <x:c r="C3914" t="str">
        <x:v>PHYSICAL</x:v>
      </x:c>
      <x:c r="D3914" t="str">
        <x:v>uncertainty acceptance</x:v>
      </x:c>
      <x:c r="E3914" t="str">
        <x:v>PH-UC-026</x:v>
      </x:c>
      <x:c r="F3914" t="n">
        <x:f>IF('Uncertainty'!K32&lt;&gt;"",1,0)</x:f>
        <x:v>0</x:v>
      </x:c>
      <x:c r="G3914" t="n">
        <x:v>1</x:v>
      </x:c>
      <x:c r="H3914" t="str">
        <x:v>independent physical acceptance</x:v>
      </x:c>
      <x:c r="I3914" t="str">
        <x:f>IF(F3914=1,"PASS","OPEN")</x:f>
        <x:v>OPEN</x:v>
      </x:c>
    </x:row>
    <x:row r="3915">
      <x:c r="B3915" t="str">
        <x:v>PH-UC-027</x:v>
      </x:c>
      <x:c r="C3915" t="str">
        <x:v>PHYSICAL</x:v>
      </x:c>
      <x:c r="D3915" t="str">
        <x:v>uncertainty acceptance</x:v>
      </x:c>
      <x:c r="E3915" t="str">
        <x:v>PH-UC-027</x:v>
      </x:c>
      <x:c r="F3915" t="n">
        <x:f>IF('Uncertainty'!K33&lt;&gt;"",1,0)</x:f>
        <x:v>0</x:v>
      </x:c>
      <x:c r="G3915" t="n">
        <x:v>1</x:v>
      </x:c>
      <x:c r="H3915" t="str">
        <x:v>independent physical acceptance</x:v>
      </x:c>
      <x:c r="I3915" t="str">
        <x:f>IF(F3915=1,"PASS","OPEN")</x:f>
        <x:v>OPEN</x:v>
      </x:c>
    </x:row>
    <x:row r="3916">
      <x:c r="B3916" t="str">
        <x:v>PH-UC-028</x:v>
      </x:c>
      <x:c r="C3916" t="str">
        <x:v>PHYSICAL</x:v>
      </x:c>
      <x:c r="D3916" t="str">
        <x:v>uncertainty acceptance</x:v>
      </x:c>
      <x:c r="E3916" t="str">
        <x:v>PH-UC-028</x:v>
      </x:c>
      <x:c r="F3916" t="n">
        <x:f>IF('Uncertainty'!K34&lt;&gt;"",1,0)</x:f>
        <x:v>0</x:v>
      </x:c>
      <x:c r="G3916" t="n">
        <x:v>1</x:v>
      </x:c>
      <x:c r="H3916" t="str">
        <x:v>independent physical acceptance</x:v>
      </x:c>
      <x:c r="I3916" t="str">
        <x:f>IF(F3916=1,"PASS","OPEN")</x:f>
        <x:v>OPEN</x:v>
      </x:c>
    </x:row>
    <x:row r="3917">
      <x:c r="B3917" t="str">
        <x:v>PH-UC-029</x:v>
      </x:c>
      <x:c r="C3917" t="str">
        <x:v>PHYSICAL</x:v>
      </x:c>
      <x:c r="D3917" t="str">
        <x:v>uncertainty acceptance</x:v>
      </x:c>
      <x:c r="E3917" t="str">
        <x:v>PH-UC-029</x:v>
      </x:c>
      <x:c r="F3917" t="n">
        <x:f>IF('Uncertainty'!K35&lt;&gt;"",1,0)</x:f>
        <x:v>0</x:v>
      </x:c>
      <x:c r="G3917" t="n">
        <x:v>1</x:v>
      </x:c>
      <x:c r="H3917" t="str">
        <x:v>independent physical acceptance</x:v>
      </x:c>
      <x:c r="I3917" t="str">
        <x:f>IF(F3917=1,"PASS","OPEN")</x:f>
        <x:v>OPEN</x:v>
      </x:c>
    </x:row>
    <x:row r="3918">
      <x:c r="B3918" t="str">
        <x:v>PH-UC-030</x:v>
      </x:c>
      <x:c r="C3918" t="str">
        <x:v>PHYSICAL</x:v>
      </x:c>
      <x:c r="D3918" t="str">
        <x:v>uncertainty acceptance</x:v>
      </x:c>
      <x:c r="E3918" t="str">
        <x:v>PH-UC-030</x:v>
      </x:c>
      <x:c r="F3918" t="n">
        <x:f>IF('Uncertainty'!K36&lt;&gt;"",1,0)</x:f>
        <x:v>0</x:v>
      </x:c>
      <x:c r="G3918" t="n">
        <x:v>1</x:v>
      </x:c>
      <x:c r="H3918" t="str">
        <x:v>independent physical acceptance</x:v>
      </x:c>
      <x:c r="I3918" t="str">
        <x:f>IF(F3918=1,"PASS","OPEN")</x:f>
        <x:v>OPEN</x:v>
      </x:c>
    </x:row>
    <x:row r="3919">
      <x:c r="B3919" t="str">
        <x:v>PH-RR-001</x:v>
      </x:c>
      <x:c r="C3919" t="str">
        <x:v>PHYSICAL</x:v>
      </x:c>
      <x:c r="D3919" t="str">
        <x:v>trial-result review</x:v>
      </x:c>
      <x:c r="E3919" t="str">
        <x:v>PH-RR-001</x:v>
      </x:c>
      <x:c r="F3919" t="str">
        <x:f>'Trial Results'!R7</x:f>
      </x:c>
      <x:c r="G3919" t="n">
        <x:v>1</x:v>
      </x:c>
      <x:c r="H3919" t="str">
        <x:v>independent physical acceptance</x:v>
      </x:c>
      <x:c r="I3919" t="str">
        <x:f>IF(F3919=1,"PASS","OPEN")</x:f>
        <x:v>OPEN</x:v>
      </x:c>
    </x:row>
    <x:row r="3920">
      <x:c r="B3920" t="str">
        <x:v>PH-RR-002</x:v>
      </x:c>
      <x:c r="C3920" t="str">
        <x:v>PHYSICAL</x:v>
      </x:c>
      <x:c r="D3920" t="str">
        <x:v>trial-result review</x:v>
      </x:c>
      <x:c r="E3920" t="str">
        <x:v>PH-RR-002</x:v>
      </x:c>
      <x:c r="F3920" t="str">
        <x:f>'Trial Results'!R8</x:f>
      </x:c>
      <x:c r="G3920" t="n">
        <x:v>1</x:v>
      </x:c>
      <x:c r="H3920" t="str">
        <x:v>independent physical acceptance</x:v>
      </x:c>
      <x:c r="I3920" t="str">
        <x:f>IF(F3920=1,"PASS","OPEN")</x:f>
        <x:v>OPEN</x:v>
      </x:c>
    </x:row>
    <x:row r="3921">
      <x:c r="B3921" t="str">
        <x:v>PH-RR-003</x:v>
      </x:c>
      <x:c r="C3921" t="str">
        <x:v>PHYSICAL</x:v>
      </x:c>
      <x:c r="D3921" t="str">
        <x:v>trial-result review</x:v>
      </x:c>
      <x:c r="E3921" t="str">
        <x:v>PH-RR-003</x:v>
      </x:c>
      <x:c r="F3921" t="str">
        <x:f>'Trial Results'!R9</x:f>
      </x:c>
      <x:c r="G3921" t="n">
        <x:v>1</x:v>
      </x:c>
      <x:c r="H3921" t="str">
        <x:v>independent physical acceptance</x:v>
      </x:c>
      <x:c r="I3921" t="str">
        <x:f>IF(F3921=1,"PASS","OPEN")</x:f>
        <x:v>OPEN</x:v>
      </x:c>
    </x:row>
    <x:row r="3922">
      <x:c r="B3922" t="str">
        <x:v>PH-RR-004</x:v>
      </x:c>
      <x:c r="C3922" t="str">
        <x:v>PHYSICAL</x:v>
      </x:c>
      <x:c r="D3922" t="str">
        <x:v>trial-result review</x:v>
      </x:c>
      <x:c r="E3922" t="str">
        <x:v>PH-RR-004</x:v>
      </x:c>
      <x:c r="F3922" t="str">
        <x:f>'Trial Results'!R10</x:f>
      </x:c>
      <x:c r="G3922" t="n">
        <x:v>1</x:v>
      </x:c>
      <x:c r="H3922" t="str">
        <x:v>independent physical acceptance</x:v>
      </x:c>
      <x:c r="I3922" t="str">
        <x:f>IF(F3922=1,"PASS","OPEN")</x:f>
        <x:v>OPEN</x:v>
      </x:c>
    </x:row>
    <x:row r="3923">
      <x:c r="B3923" t="str">
        <x:v>PH-RR-005</x:v>
      </x:c>
      <x:c r="C3923" t="str">
        <x:v>PHYSICAL</x:v>
      </x:c>
      <x:c r="D3923" t="str">
        <x:v>trial-result review</x:v>
      </x:c>
      <x:c r="E3923" t="str">
        <x:v>PH-RR-005</x:v>
      </x:c>
      <x:c r="F3923" t="str">
        <x:f>'Trial Results'!R11</x:f>
      </x:c>
      <x:c r="G3923" t="n">
        <x:v>1</x:v>
      </x:c>
      <x:c r="H3923" t="str">
        <x:v>independent physical acceptance</x:v>
      </x:c>
      <x:c r="I3923" t="str">
        <x:f>IF(F3923=1,"PASS","OPEN")</x:f>
        <x:v>OPEN</x:v>
      </x:c>
    </x:row>
    <x:row r="3924">
      <x:c r="B3924" t="str">
        <x:v>PH-RR-006</x:v>
      </x:c>
      <x:c r="C3924" t="str">
        <x:v>PHYSICAL</x:v>
      </x:c>
      <x:c r="D3924" t="str">
        <x:v>trial-result review</x:v>
      </x:c>
      <x:c r="E3924" t="str">
        <x:v>PH-RR-006</x:v>
      </x:c>
      <x:c r="F3924" t="str">
        <x:f>'Trial Results'!R12</x:f>
      </x:c>
      <x:c r="G3924" t="n">
        <x:v>1</x:v>
      </x:c>
      <x:c r="H3924" t="str">
        <x:v>independent physical acceptance</x:v>
      </x:c>
      <x:c r="I3924" t="str">
        <x:f>IF(F3924=1,"PASS","OPEN")</x:f>
        <x:v>OPEN</x:v>
      </x:c>
    </x:row>
    <x:row r="3925">
      <x:c r="B3925" t="str">
        <x:v>PH-RR-007</x:v>
      </x:c>
      <x:c r="C3925" t="str">
        <x:v>PHYSICAL</x:v>
      </x:c>
      <x:c r="D3925" t="str">
        <x:v>trial-result review</x:v>
      </x:c>
      <x:c r="E3925" t="str">
        <x:v>PH-RR-007</x:v>
      </x:c>
      <x:c r="F3925" t="str">
        <x:f>'Trial Results'!R13</x:f>
      </x:c>
      <x:c r="G3925" t="n">
        <x:v>1</x:v>
      </x:c>
      <x:c r="H3925" t="str">
        <x:v>independent physical acceptance</x:v>
      </x:c>
      <x:c r="I3925" t="str">
        <x:f>IF(F3925=1,"PASS","OPEN")</x:f>
        <x:v>OPEN</x:v>
      </x:c>
    </x:row>
    <x:row r="3926">
      <x:c r="B3926" t="str">
        <x:v>PH-RR-008</x:v>
      </x:c>
      <x:c r="C3926" t="str">
        <x:v>PHYSICAL</x:v>
      </x:c>
      <x:c r="D3926" t="str">
        <x:v>trial-result review</x:v>
      </x:c>
      <x:c r="E3926" t="str">
        <x:v>PH-RR-008</x:v>
      </x:c>
      <x:c r="F3926" t="str">
        <x:f>'Trial Results'!R14</x:f>
      </x:c>
      <x:c r="G3926" t="n">
        <x:v>1</x:v>
      </x:c>
      <x:c r="H3926" t="str">
        <x:v>independent physical acceptance</x:v>
      </x:c>
      <x:c r="I3926" t="str">
        <x:f>IF(F3926=1,"PASS","OPEN")</x:f>
        <x:v>OPEN</x:v>
      </x:c>
    </x:row>
    <x:row r="3927">
      <x:c r="B3927" t="str">
        <x:v>PH-RR-009</x:v>
      </x:c>
      <x:c r="C3927" t="str">
        <x:v>PHYSICAL</x:v>
      </x:c>
      <x:c r="D3927" t="str">
        <x:v>trial-result review</x:v>
      </x:c>
      <x:c r="E3927" t="str">
        <x:v>PH-RR-009</x:v>
      </x:c>
      <x:c r="F3927" t="str">
        <x:f>'Trial Results'!R15</x:f>
      </x:c>
      <x:c r="G3927" t="n">
        <x:v>1</x:v>
      </x:c>
      <x:c r="H3927" t="str">
        <x:v>independent physical acceptance</x:v>
      </x:c>
      <x:c r="I3927" t="str">
        <x:f>IF(F3927=1,"PASS","OPEN")</x:f>
        <x:v>OPEN</x:v>
      </x:c>
    </x:row>
    <x:row r="3928">
      <x:c r="B3928" t="str">
        <x:v>PH-RR-010</x:v>
      </x:c>
      <x:c r="C3928" t="str">
        <x:v>PHYSICAL</x:v>
      </x:c>
      <x:c r="D3928" t="str">
        <x:v>trial-result review</x:v>
      </x:c>
      <x:c r="E3928" t="str">
        <x:v>PH-RR-010</x:v>
      </x:c>
      <x:c r="F3928" t="str">
        <x:f>'Trial Results'!R16</x:f>
      </x:c>
      <x:c r="G3928" t="n">
        <x:v>1</x:v>
      </x:c>
      <x:c r="H3928" t="str">
        <x:v>independent physical acceptance</x:v>
      </x:c>
      <x:c r="I3928" t="str">
        <x:f>IF(F3928=1,"PASS","OPEN")</x:f>
        <x:v>OPEN</x:v>
      </x:c>
    </x:row>
    <x:row r="3929">
      <x:c r="B3929" t="str">
        <x:v>PH-RR-011</x:v>
      </x:c>
      <x:c r="C3929" t="str">
        <x:v>PHYSICAL</x:v>
      </x:c>
      <x:c r="D3929" t="str">
        <x:v>trial-result review</x:v>
      </x:c>
      <x:c r="E3929" t="str">
        <x:v>PH-RR-011</x:v>
      </x:c>
      <x:c r="F3929" t="str">
        <x:f>'Trial Results'!R17</x:f>
      </x:c>
      <x:c r="G3929" t="n">
        <x:v>1</x:v>
      </x:c>
      <x:c r="H3929" t="str">
        <x:v>independent physical acceptance</x:v>
      </x:c>
      <x:c r="I3929" t="str">
        <x:f>IF(F3929=1,"PASS","OPEN")</x:f>
        <x:v>OPEN</x:v>
      </x:c>
    </x:row>
    <x:row r="3930">
      <x:c r="B3930" t="str">
        <x:v>PH-RR-012</x:v>
      </x:c>
      <x:c r="C3930" t="str">
        <x:v>PHYSICAL</x:v>
      </x:c>
      <x:c r="D3930" t="str">
        <x:v>trial-result review</x:v>
      </x:c>
      <x:c r="E3930" t="str">
        <x:v>PH-RR-012</x:v>
      </x:c>
      <x:c r="F3930" t="str">
        <x:f>'Trial Results'!R18</x:f>
      </x:c>
      <x:c r="G3930" t="n">
        <x:v>1</x:v>
      </x:c>
      <x:c r="H3930" t="str">
        <x:v>independent physical acceptance</x:v>
      </x:c>
      <x:c r="I3930" t="str">
        <x:f>IF(F3930=1,"PASS","OPEN")</x:f>
        <x:v>OPEN</x:v>
      </x:c>
    </x:row>
    <x:row r="3931">
      <x:c r="B3931" t="str">
        <x:v>PH-RR-013</x:v>
      </x:c>
      <x:c r="C3931" t="str">
        <x:v>PHYSICAL</x:v>
      </x:c>
      <x:c r="D3931" t="str">
        <x:v>trial-result review</x:v>
      </x:c>
      <x:c r="E3931" t="str">
        <x:v>PH-RR-013</x:v>
      </x:c>
      <x:c r="F3931" t="str">
        <x:f>'Trial Results'!R19</x:f>
      </x:c>
      <x:c r="G3931" t="n">
        <x:v>1</x:v>
      </x:c>
      <x:c r="H3931" t="str">
        <x:v>independent physical acceptance</x:v>
      </x:c>
      <x:c r="I3931" t="str">
        <x:f>IF(F3931=1,"PASS","OPEN")</x:f>
        <x:v>OPEN</x:v>
      </x:c>
    </x:row>
    <x:row r="3932">
      <x:c r="B3932" t="str">
        <x:v>PH-RR-014</x:v>
      </x:c>
      <x:c r="C3932" t="str">
        <x:v>PHYSICAL</x:v>
      </x:c>
      <x:c r="D3932" t="str">
        <x:v>trial-result review</x:v>
      </x:c>
      <x:c r="E3932" t="str">
        <x:v>PH-RR-014</x:v>
      </x:c>
      <x:c r="F3932" t="str">
        <x:f>'Trial Results'!R20</x:f>
      </x:c>
      <x:c r="G3932" t="n">
        <x:v>1</x:v>
      </x:c>
      <x:c r="H3932" t="str">
        <x:v>independent physical acceptance</x:v>
      </x:c>
      <x:c r="I3932" t="str">
        <x:f>IF(F3932=1,"PASS","OPEN")</x:f>
        <x:v>OPEN</x:v>
      </x:c>
    </x:row>
    <x:row r="3933">
      <x:c r="B3933" t="str">
        <x:v>PH-RR-015</x:v>
      </x:c>
      <x:c r="C3933" t="str">
        <x:v>PHYSICAL</x:v>
      </x:c>
      <x:c r="D3933" t="str">
        <x:v>trial-result review</x:v>
      </x:c>
      <x:c r="E3933" t="str">
        <x:v>PH-RR-015</x:v>
      </x:c>
      <x:c r="F3933" t="str">
        <x:f>'Trial Results'!R21</x:f>
      </x:c>
      <x:c r="G3933" t="n">
        <x:v>1</x:v>
      </x:c>
      <x:c r="H3933" t="str">
        <x:v>independent physical acceptance</x:v>
      </x:c>
      <x:c r="I3933" t="str">
        <x:f>IF(F3933=1,"PASS","OPEN")</x:f>
        <x:v>OPEN</x:v>
      </x:c>
    </x:row>
    <x:row r="3934">
      <x:c r="B3934" t="str">
        <x:v>PH-RR-016</x:v>
      </x:c>
      <x:c r="C3934" t="str">
        <x:v>PHYSICAL</x:v>
      </x:c>
      <x:c r="D3934" t="str">
        <x:v>trial-result review</x:v>
      </x:c>
      <x:c r="E3934" t="str">
        <x:v>PH-RR-016</x:v>
      </x:c>
      <x:c r="F3934" t="str">
        <x:f>'Trial Results'!R22</x:f>
      </x:c>
      <x:c r="G3934" t="n">
        <x:v>1</x:v>
      </x:c>
      <x:c r="H3934" t="str">
        <x:v>independent physical acceptance</x:v>
      </x:c>
      <x:c r="I3934" t="str">
        <x:f>IF(F3934=1,"PASS","OPEN")</x:f>
        <x:v>OPEN</x:v>
      </x:c>
    </x:row>
    <x:row r="3935">
      <x:c r="B3935" t="str">
        <x:v>PH-RR-017</x:v>
      </x:c>
      <x:c r="C3935" t="str">
        <x:v>PHYSICAL</x:v>
      </x:c>
      <x:c r="D3935" t="str">
        <x:v>trial-result review</x:v>
      </x:c>
      <x:c r="E3935" t="str">
        <x:v>PH-RR-017</x:v>
      </x:c>
      <x:c r="F3935" t="str">
        <x:f>'Trial Results'!R23</x:f>
      </x:c>
      <x:c r="G3935" t="n">
        <x:v>1</x:v>
      </x:c>
      <x:c r="H3935" t="str">
        <x:v>independent physical acceptance</x:v>
      </x:c>
      <x:c r="I3935" t="str">
        <x:f>IF(F3935=1,"PASS","OPEN")</x:f>
        <x:v>OPEN</x:v>
      </x:c>
    </x:row>
    <x:row r="3936">
      <x:c r="B3936" t="str">
        <x:v>PH-RR-018</x:v>
      </x:c>
      <x:c r="C3936" t="str">
        <x:v>PHYSICAL</x:v>
      </x:c>
      <x:c r="D3936" t="str">
        <x:v>trial-result review</x:v>
      </x:c>
      <x:c r="E3936" t="str">
        <x:v>PH-RR-018</x:v>
      </x:c>
      <x:c r="F3936" t="str">
        <x:f>'Trial Results'!R24</x:f>
      </x:c>
      <x:c r="G3936" t="n">
        <x:v>1</x:v>
      </x:c>
      <x:c r="H3936" t="str">
        <x:v>independent physical acceptance</x:v>
      </x:c>
      <x:c r="I3936" t="str">
        <x:f>IF(F3936=1,"PASS","OPEN")</x:f>
        <x:v>OPEN</x:v>
      </x:c>
    </x:row>
    <x:row r="3937">
      <x:c r="B3937" t="str">
        <x:v>PH-RR-019</x:v>
      </x:c>
      <x:c r="C3937" t="str">
        <x:v>PHYSICAL</x:v>
      </x:c>
      <x:c r="D3937" t="str">
        <x:v>trial-result review</x:v>
      </x:c>
      <x:c r="E3937" t="str">
        <x:v>PH-RR-019</x:v>
      </x:c>
      <x:c r="F3937" t="str">
        <x:f>'Trial Results'!R25</x:f>
      </x:c>
      <x:c r="G3937" t="n">
        <x:v>1</x:v>
      </x:c>
      <x:c r="H3937" t="str">
        <x:v>independent physical acceptance</x:v>
      </x:c>
      <x:c r="I3937" t="str">
        <x:f>IF(F3937=1,"PASS","OPEN")</x:f>
        <x:v>OPEN</x:v>
      </x:c>
    </x:row>
    <x:row r="3938">
      <x:c r="B3938" t="str">
        <x:v>PH-RR-020</x:v>
      </x:c>
      <x:c r="C3938" t="str">
        <x:v>PHYSICAL</x:v>
      </x:c>
      <x:c r="D3938" t="str">
        <x:v>trial-result review</x:v>
      </x:c>
      <x:c r="E3938" t="str">
        <x:v>PH-RR-020</x:v>
      </x:c>
      <x:c r="F3938" t="str">
        <x:f>'Trial Results'!R26</x:f>
      </x:c>
      <x:c r="G3938" t="n">
        <x:v>1</x:v>
      </x:c>
      <x:c r="H3938" t="str">
        <x:v>independent physical acceptance</x:v>
      </x:c>
      <x:c r="I3938" t="str">
        <x:f>IF(F3938=1,"PASS","OPEN")</x:f>
        <x:v>OPEN</x:v>
      </x:c>
    </x:row>
    <x:row r="3939">
      <x:c r="B3939" t="str">
        <x:v>PH-RR-021</x:v>
      </x:c>
      <x:c r="C3939" t="str">
        <x:v>PHYSICAL</x:v>
      </x:c>
      <x:c r="D3939" t="str">
        <x:v>trial-result review</x:v>
      </x:c>
      <x:c r="E3939" t="str">
        <x:v>PH-RR-021</x:v>
      </x:c>
      <x:c r="F3939" t="str">
        <x:f>'Trial Results'!R27</x:f>
      </x:c>
      <x:c r="G3939" t="n">
        <x:v>1</x:v>
      </x:c>
      <x:c r="H3939" t="str">
        <x:v>independent physical acceptance</x:v>
      </x:c>
      <x:c r="I3939" t="str">
        <x:f>IF(F3939=1,"PASS","OPEN")</x:f>
        <x:v>OPEN</x:v>
      </x:c>
    </x:row>
    <x:row r="3940">
      <x:c r="B3940" t="str">
        <x:v>PH-RR-022</x:v>
      </x:c>
      <x:c r="C3940" t="str">
        <x:v>PHYSICAL</x:v>
      </x:c>
      <x:c r="D3940" t="str">
        <x:v>trial-result review</x:v>
      </x:c>
      <x:c r="E3940" t="str">
        <x:v>PH-RR-022</x:v>
      </x:c>
      <x:c r="F3940" t="str">
        <x:f>'Trial Results'!R28</x:f>
      </x:c>
      <x:c r="G3940" t="n">
        <x:v>1</x:v>
      </x:c>
      <x:c r="H3940" t="str">
        <x:v>independent physical acceptance</x:v>
      </x:c>
      <x:c r="I3940" t="str">
        <x:f>IF(F3940=1,"PASS","OPEN")</x:f>
        <x:v>OPEN</x:v>
      </x:c>
    </x:row>
    <x:row r="3941">
      <x:c r="B3941" t="str">
        <x:v>PH-RR-023</x:v>
      </x:c>
      <x:c r="C3941" t="str">
        <x:v>PHYSICAL</x:v>
      </x:c>
      <x:c r="D3941" t="str">
        <x:v>trial-result review</x:v>
      </x:c>
      <x:c r="E3941" t="str">
        <x:v>PH-RR-023</x:v>
      </x:c>
      <x:c r="F3941" t="str">
        <x:f>'Trial Results'!R29</x:f>
      </x:c>
      <x:c r="G3941" t="n">
        <x:v>1</x:v>
      </x:c>
      <x:c r="H3941" t="str">
        <x:v>independent physical acceptance</x:v>
      </x:c>
      <x:c r="I3941" t="str">
        <x:f>IF(F3941=1,"PASS","OPEN")</x:f>
        <x:v>OPEN</x:v>
      </x:c>
    </x:row>
    <x:row r="3942">
      <x:c r="B3942" t="str">
        <x:v>PH-RR-024</x:v>
      </x:c>
      <x:c r="C3942" t="str">
        <x:v>PHYSICAL</x:v>
      </x:c>
      <x:c r="D3942" t="str">
        <x:v>trial-result review</x:v>
      </x:c>
      <x:c r="E3942" t="str">
        <x:v>PH-RR-024</x:v>
      </x:c>
      <x:c r="F3942" t="str">
        <x:f>'Trial Results'!R30</x:f>
      </x:c>
      <x:c r="G3942" t="n">
        <x:v>1</x:v>
      </x:c>
      <x:c r="H3942" t="str">
        <x:v>independent physical acceptance</x:v>
      </x:c>
      <x:c r="I3942" t="str">
        <x:f>IF(F3942=1,"PASS","OPEN")</x:f>
        <x:v>OPEN</x:v>
      </x:c>
    </x:row>
    <x:row r="3943">
      <x:c r="B3943" t="str">
        <x:v>PH-RR-025</x:v>
      </x:c>
      <x:c r="C3943" t="str">
        <x:v>PHYSICAL</x:v>
      </x:c>
      <x:c r="D3943" t="str">
        <x:v>trial-result review</x:v>
      </x:c>
      <x:c r="E3943" t="str">
        <x:v>PH-RR-025</x:v>
      </x:c>
      <x:c r="F3943" t="str">
        <x:f>'Trial Results'!R31</x:f>
      </x:c>
      <x:c r="G3943" t="n">
        <x:v>1</x:v>
      </x:c>
      <x:c r="H3943" t="str">
        <x:v>independent physical acceptance</x:v>
      </x:c>
      <x:c r="I3943" t="str">
        <x:f>IF(F3943=1,"PASS","OPEN")</x:f>
        <x:v>OPEN</x:v>
      </x:c>
    </x:row>
    <x:row r="3944">
      <x:c r="B3944" t="str">
        <x:v>PH-RR-026</x:v>
      </x:c>
      <x:c r="C3944" t="str">
        <x:v>PHYSICAL</x:v>
      </x:c>
      <x:c r="D3944" t="str">
        <x:v>trial-result review</x:v>
      </x:c>
      <x:c r="E3944" t="str">
        <x:v>PH-RR-026</x:v>
      </x:c>
      <x:c r="F3944" t="str">
        <x:f>'Trial Results'!R32</x:f>
      </x:c>
      <x:c r="G3944" t="n">
        <x:v>1</x:v>
      </x:c>
      <x:c r="H3944" t="str">
        <x:v>independent physical acceptance</x:v>
      </x:c>
      <x:c r="I3944" t="str">
        <x:f>IF(F3944=1,"PASS","OPEN")</x:f>
        <x:v>OPEN</x:v>
      </x:c>
    </x:row>
    <x:row r="3945">
      <x:c r="B3945" t="str">
        <x:v>PH-RR-027</x:v>
      </x:c>
      <x:c r="C3945" t="str">
        <x:v>PHYSICAL</x:v>
      </x:c>
      <x:c r="D3945" t="str">
        <x:v>trial-result review</x:v>
      </x:c>
      <x:c r="E3945" t="str">
        <x:v>PH-RR-027</x:v>
      </x:c>
      <x:c r="F3945" t="str">
        <x:f>'Trial Results'!R33</x:f>
      </x:c>
      <x:c r="G3945" t="n">
        <x:v>1</x:v>
      </x:c>
      <x:c r="H3945" t="str">
        <x:v>independent physical acceptance</x:v>
      </x:c>
      <x:c r="I3945" t="str">
        <x:f>IF(F3945=1,"PASS","OPEN")</x:f>
        <x:v>OPEN</x:v>
      </x:c>
    </x:row>
    <x:row r="3946">
      <x:c r="B3946" t="str">
        <x:v>PH-RR-028</x:v>
      </x:c>
      <x:c r="C3946" t="str">
        <x:v>PHYSICAL</x:v>
      </x:c>
      <x:c r="D3946" t="str">
        <x:v>trial-result review</x:v>
      </x:c>
      <x:c r="E3946" t="str">
        <x:v>PH-RR-028</x:v>
      </x:c>
      <x:c r="F3946" t="str">
        <x:f>'Trial Results'!R34</x:f>
      </x:c>
      <x:c r="G3946" t="n">
        <x:v>1</x:v>
      </x:c>
      <x:c r="H3946" t="str">
        <x:v>independent physical acceptance</x:v>
      </x:c>
      <x:c r="I3946" t="str">
        <x:f>IF(F3946=1,"PASS","OPEN")</x:f>
        <x:v>OPEN</x:v>
      </x:c>
    </x:row>
    <x:row r="3947">
      <x:c r="B3947" t="str">
        <x:v>PH-RR-029</x:v>
      </x:c>
      <x:c r="C3947" t="str">
        <x:v>PHYSICAL</x:v>
      </x:c>
      <x:c r="D3947" t="str">
        <x:v>trial-result review</x:v>
      </x:c>
      <x:c r="E3947" t="str">
        <x:v>PH-RR-029</x:v>
      </x:c>
      <x:c r="F3947" t="str">
        <x:f>'Trial Results'!R35</x:f>
      </x:c>
      <x:c r="G3947" t="n">
        <x:v>1</x:v>
      </x:c>
      <x:c r="H3947" t="str">
        <x:v>independent physical acceptance</x:v>
      </x:c>
      <x:c r="I3947" t="str">
        <x:f>IF(F3947=1,"PASS","OPEN")</x:f>
        <x:v>OPEN</x:v>
      </x:c>
    </x:row>
    <x:row r="3948">
      <x:c r="B3948" t="str">
        <x:v>PH-RR-030</x:v>
      </x:c>
      <x:c r="C3948" t="str">
        <x:v>PHYSICAL</x:v>
      </x:c>
      <x:c r="D3948" t="str">
        <x:v>trial-result review</x:v>
      </x:c>
      <x:c r="E3948" t="str">
        <x:v>PH-RR-030</x:v>
      </x:c>
      <x:c r="F3948" t="str">
        <x:f>'Trial Results'!R36</x:f>
      </x:c>
      <x:c r="G3948" t="n">
        <x:v>1</x:v>
      </x:c>
      <x:c r="H3948" t="str">
        <x:v>independent physical acceptance</x:v>
      </x:c>
      <x:c r="I3948" t="str">
        <x:f>IF(F3948=1,"PASS","OPEN")</x:f>
        <x:v>OPEN</x:v>
      </x:c>
    </x:row>
    <x:row r="3949">
      <x:c r="B3949" t="str">
        <x:v>PH-RR-031</x:v>
      </x:c>
      <x:c r="C3949" t="str">
        <x:v>PHYSICAL</x:v>
      </x:c>
      <x:c r="D3949" t="str">
        <x:v>trial-result review</x:v>
      </x:c>
      <x:c r="E3949" t="str">
        <x:v>PH-RR-031</x:v>
      </x:c>
      <x:c r="F3949" t="str">
        <x:f>'Trial Results'!R37</x:f>
      </x:c>
      <x:c r="G3949" t="n">
        <x:v>1</x:v>
      </x:c>
      <x:c r="H3949" t="str">
        <x:v>independent physical acceptance</x:v>
      </x:c>
      <x:c r="I3949" t="str">
        <x:f>IF(F3949=1,"PASS","OPEN")</x:f>
        <x:v>OPEN</x:v>
      </x:c>
    </x:row>
    <x:row r="3950">
      <x:c r="B3950" t="str">
        <x:v>PH-RR-032</x:v>
      </x:c>
      <x:c r="C3950" t="str">
        <x:v>PHYSICAL</x:v>
      </x:c>
      <x:c r="D3950" t="str">
        <x:v>trial-result review</x:v>
      </x:c>
      <x:c r="E3950" t="str">
        <x:v>PH-RR-032</x:v>
      </x:c>
      <x:c r="F3950" t="str">
        <x:f>'Trial Results'!R38</x:f>
      </x:c>
      <x:c r="G3950" t="n">
        <x:v>1</x:v>
      </x:c>
      <x:c r="H3950" t="str">
        <x:v>independent physical acceptance</x:v>
      </x:c>
      <x:c r="I3950" t="str">
        <x:f>IF(F3950=1,"PASS","OPEN")</x:f>
        <x:v>OPEN</x:v>
      </x:c>
    </x:row>
    <x:row r="3951">
      <x:c r="B3951" t="str">
        <x:v>PH-RR-033</x:v>
      </x:c>
      <x:c r="C3951" t="str">
        <x:v>PHYSICAL</x:v>
      </x:c>
      <x:c r="D3951" t="str">
        <x:v>trial-result review</x:v>
      </x:c>
      <x:c r="E3951" t="str">
        <x:v>PH-RR-033</x:v>
      </x:c>
      <x:c r="F3951" t="str">
        <x:f>'Trial Results'!R39</x:f>
      </x:c>
      <x:c r="G3951" t="n">
        <x:v>1</x:v>
      </x:c>
      <x:c r="H3951" t="str">
        <x:v>independent physical acceptance</x:v>
      </x:c>
      <x:c r="I3951" t="str">
        <x:f>IF(F3951=1,"PASS","OPEN")</x:f>
        <x:v>OPEN</x:v>
      </x:c>
    </x:row>
    <x:row r="3952">
      <x:c r="B3952" t="str">
        <x:v>PH-RR-034</x:v>
      </x:c>
      <x:c r="C3952" t="str">
        <x:v>PHYSICAL</x:v>
      </x:c>
      <x:c r="D3952" t="str">
        <x:v>trial-result review</x:v>
      </x:c>
      <x:c r="E3952" t="str">
        <x:v>PH-RR-034</x:v>
      </x:c>
      <x:c r="F3952" t="str">
        <x:f>'Trial Results'!R40</x:f>
      </x:c>
      <x:c r="G3952" t="n">
        <x:v>1</x:v>
      </x:c>
      <x:c r="H3952" t="str">
        <x:v>independent physical acceptance</x:v>
      </x:c>
      <x:c r="I3952" t="str">
        <x:f>IF(F3952=1,"PASS","OPEN")</x:f>
        <x:v>OPEN</x:v>
      </x:c>
    </x:row>
    <x:row r="3953">
      <x:c r="B3953" t="str">
        <x:v>PH-RR-035</x:v>
      </x:c>
      <x:c r="C3953" t="str">
        <x:v>PHYSICAL</x:v>
      </x:c>
      <x:c r="D3953" t="str">
        <x:v>trial-result review</x:v>
      </x:c>
      <x:c r="E3953" t="str">
        <x:v>PH-RR-035</x:v>
      </x:c>
      <x:c r="F3953" t="str">
        <x:f>'Trial Results'!R41</x:f>
      </x:c>
      <x:c r="G3953" t="n">
        <x:v>1</x:v>
      </x:c>
      <x:c r="H3953" t="str">
        <x:v>independent physical acceptance</x:v>
      </x:c>
      <x:c r="I3953" t="str">
        <x:f>IF(F3953=1,"PASS","OPEN")</x:f>
        <x:v>OPEN</x:v>
      </x:c>
    </x:row>
    <x:row r="3954">
      <x:c r="B3954" t="str">
        <x:v>PH-RR-036</x:v>
      </x:c>
      <x:c r="C3954" t="str">
        <x:v>PHYSICAL</x:v>
      </x:c>
      <x:c r="D3954" t="str">
        <x:v>trial-result review</x:v>
      </x:c>
      <x:c r="E3954" t="str">
        <x:v>PH-RR-036</x:v>
      </x:c>
      <x:c r="F3954" t="str">
        <x:f>'Trial Results'!R42</x:f>
      </x:c>
      <x:c r="G3954" t="n">
        <x:v>1</x:v>
      </x:c>
      <x:c r="H3954" t="str">
        <x:v>independent physical acceptance</x:v>
      </x:c>
      <x:c r="I3954" t="str">
        <x:f>IF(F3954=1,"PASS","OPEN")</x:f>
        <x:v>OPEN</x:v>
      </x:c>
    </x:row>
    <x:row r="3955">
      <x:c r="B3955" t="str">
        <x:v>PH-RR-037</x:v>
      </x:c>
      <x:c r="C3955" t="str">
        <x:v>PHYSICAL</x:v>
      </x:c>
      <x:c r="D3955" t="str">
        <x:v>trial-result review</x:v>
      </x:c>
      <x:c r="E3955" t="str">
        <x:v>PH-RR-037</x:v>
      </x:c>
      <x:c r="F3955" t="str">
        <x:f>'Trial Results'!R43</x:f>
      </x:c>
      <x:c r="G3955" t="n">
        <x:v>1</x:v>
      </x:c>
      <x:c r="H3955" t="str">
        <x:v>independent physical acceptance</x:v>
      </x:c>
      <x:c r="I3955" t="str">
        <x:f>IF(F3955=1,"PASS","OPEN")</x:f>
        <x:v>OPEN</x:v>
      </x:c>
    </x:row>
    <x:row r="3956">
      <x:c r="B3956" t="str">
        <x:v>PH-RR-038</x:v>
      </x:c>
      <x:c r="C3956" t="str">
        <x:v>PHYSICAL</x:v>
      </x:c>
      <x:c r="D3956" t="str">
        <x:v>trial-result review</x:v>
      </x:c>
      <x:c r="E3956" t="str">
        <x:v>PH-RR-038</x:v>
      </x:c>
      <x:c r="F3956" t="str">
        <x:f>'Trial Results'!R44</x:f>
      </x:c>
      <x:c r="G3956" t="n">
        <x:v>1</x:v>
      </x:c>
      <x:c r="H3956" t="str">
        <x:v>independent physical acceptance</x:v>
      </x:c>
      <x:c r="I3956" t="str">
        <x:f>IF(F3956=1,"PASS","OPEN")</x:f>
        <x:v>OPEN</x:v>
      </x:c>
    </x:row>
    <x:row r="3957">
      <x:c r="B3957" t="str">
        <x:v>PH-RR-039</x:v>
      </x:c>
      <x:c r="C3957" t="str">
        <x:v>PHYSICAL</x:v>
      </x:c>
      <x:c r="D3957" t="str">
        <x:v>trial-result review</x:v>
      </x:c>
      <x:c r="E3957" t="str">
        <x:v>PH-RR-039</x:v>
      </x:c>
      <x:c r="F3957" t="str">
        <x:f>'Trial Results'!R45</x:f>
      </x:c>
      <x:c r="G3957" t="n">
        <x:v>1</x:v>
      </x:c>
      <x:c r="H3957" t="str">
        <x:v>independent physical acceptance</x:v>
      </x:c>
      <x:c r="I3957" t="str">
        <x:f>IF(F3957=1,"PASS","OPEN")</x:f>
        <x:v>OPEN</x:v>
      </x:c>
    </x:row>
    <x:row r="3958">
      <x:c r="B3958" t="str">
        <x:v>PH-RR-040</x:v>
      </x:c>
      <x:c r="C3958" t="str">
        <x:v>PHYSICAL</x:v>
      </x:c>
      <x:c r="D3958" t="str">
        <x:v>trial-result review</x:v>
      </x:c>
      <x:c r="E3958" t="str">
        <x:v>PH-RR-040</x:v>
      </x:c>
      <x:c r="F3958" t="str">
        <x:f>'Trial Results'!R46</x:f>
      </x:c>
      <x:c r="G3958" t="n">
        <x:v>1</x:v>
      </x:c>
      <x:c r="H3958" t="str">
        <x:v>independent physical acceptance</x:v>
      </x:c>
      <x:c r="I3958" t="str">
        <x:f>IF(F3958=1,"PASS","OPEN")</x:f>
        <x:v>OPEN</x:v>
      </x:c>
    </x:row>
    <x:row r="3959">
      <x:c r="B3959" t="str">
        <x:v>PH-RR-041</x:v>
      </x:c>
      <x:c r="C3959" t="str">
        <x:v>PHYSICAL</x:v>
      </x:c>
      <x:c r="D3959" t="str">
        <x:v>trial-result review</x:v>
      </x:c>
      <x:c r="E3959" t="str">
        <x:v>PH-RR-041</x:v>
      </x:c>
      <x:c r="F3959" t="str">
        <x:f>'Trial Results'!R47</x:f>
      </x:c>
      <x:c r="G3959" t="n">
        <x:v>1</x:v>
      </x:c>
      <x:c r="H3959" t="str">
        <x:v>independent physical acceptance</x:v>
      </x:c>
      <x:c r="I3959" t="str">
        <x:f>IF(F3959=1,"PASS","OPEN")</x:f>
        <x:v>OPEN</x:v>
      </x:c>
    </x:row>
    <x:row r="3960">
      <x:c r="B3960" t="str">
        <x:v>PH-RR-042</x:v>
      </x:c>
      <x:c r="C3960" t="str">
        <x:v>PHYSICAL</x:v>
      </x:c>
      <x:c r="D3960" t="str">
        <x:v>trial-result review</x:v>
      </x:c>
      <x:c r="E3960" t="str">
        <x:v>PH-RR-042</x:v>
      </x:c>
      <x:c r="F3960" t="str">
        <x:f>'Trial Results'!R48</x:f>
      </x:c>
      <x:c r="G3960" t="n">
        <x:v>1</x:v>
      </x:c>
      <x:c r="H3960" t="str">
        <x:v>independent physical acceptance</x:v>
      </x:c>
      <x:c r="I3960" t="str">
        <x:f>IF(F3960=1,"PASS","OPEN")</x:f>
        <x:v>OPEN</x:v>
      </x:c>
    </x:row>
    <x:row r="3961">
      <x:c r="B3961" t="str">
        <x:v>PH-RR-043</x:v>
      </x:c>
      <x:c r="C3961" t="str">
        <x:v>PHYSICAL</x:v>
      </x:c>
      <x:c r="D3961" t="str">
        <x:v>trial-result review</x:v>
      </x:c>
      <x:c r="E3961" t="str">
        <x:v>PH-RR-043</x:v>
      </x:c>
      <x:c r="F3961" t="str">
        <x:f>'Trial Results'!R49</x:f>
      </x:c>
      <x:c r="G3961" t="n">
        <x:v>1</x:v>
      </x:c>
      <x:c r="H3961" t="str">
        <x:v>independent physical acceptance</x:v>
      </x:c>
      <x:c r="I3961" t="str">
        <x:f>IF(F3961=1,"PASS","OPEN")</x:f>
        <x:v>OPEN</x:v>
      </x:c>
    </x:row>
    <x:row r="3962">
      <x:c r="B3962" t="str">
        <x:v>PH-RR-044</x:v>
      </x:c>
      <x:c r="C3962" t="str">
        <x:v>PHYSICAL</x:v>
      </x:c>
      <x:c r="D3962" t="str">
        <x:v>trial-result review</x:v>
      </x:c>
      <x:c r="E3962" t="str">
        <x:v>PH-RR-044</x:v>
      </x:c>
      <x:c r="F3962" t="str">
        <x:f>'Trial Results'!R50</x:f>
      </x:c>
      <x:c r="G3962" t="n">
        <x:v>1</x:v>
      </x:c>
      <x:c r="H3962" t="str">
        <x:v>independent physical acceptance</x:v>
      </x:c>
      <x:c r="I3962" t="str">
        <x:f>IF(F3962=1,"PASS","OPEN")</x:f>
        <x:v>OPEN</x:v>
      </x:c>
    </x:row>
    <x:row r="3963">
      <x:c r="B3963" t="str">
        <x:v>PH-RR-045</x:v>
      </x:c>
      <x:c r="C3963" t="str">
        <x:v>PHYSICAL</x:v>
      </x:c>
      <x:c r="D3963" t="str">
        <x:v>trial-result review</x:v>
      </x:c>
      <x:c r="E3963" t="str">
        <x:v>PH-RR-045</x:v>
      </x:c>
      <x:c r="F3963" t="str">
        <x:f>'Trial Results'!R51</x:f>
      </x:c>
      <x:c r="G3963" t="n">
        <x:v>1</x:v>
      </x:c>
      <x:c r="H3963" t="str">
        <x:v>independent physical acceptance</x:v>
      </x:c>
      <x:c r="I3963" t="str">
        <x:f>IF(F3963=1,"PASS","OPEN")</x:f>
        <x:v>OPEN</x:v>
      </x:c>
    </x:row>
    <x:row r="3964">
      <x:c r="B3964" t="str">
        <x:v>PH-RR-046</x:v>
      </x:c>
      <x:c r="C3964" t="str">
        <x:v>PHYSICAL</x:v>
      </x:c>
      <x:c r="D3964" t="str">
        <x:v>trial-result review</x:v>
      </x:c>
      <x:c r="E3964" t="str">
        <x:v>PH-RR-046</x:v>
      </x:c>
      <x:c r="F3964" t="str">
        <x:f>'Trial Results'!R52</x:f>
      </x:c>
      <x:c r="G3964" t="n">
        <x:v>1</x:v>
      </x:c>
      <x:c r="H3964" t="str">
        <x:v>independent physical acceptance</x:v>
      </x:c>
      <x:c r="I3964" t="str">
        <x:f>IF(F3964=1,"PASS","OPEN")</x:f>
        <x:v>OPEN</x:v>
      </x:c>
    </x:row>
    <x:row r="3965">
      <x:c r="B3965" t="str">
        <x:v>PH-RR-047</x:v>
      </x:c>
      <x:c r="C3965" t="str">
        <x:v>PHYSICAL</x:v>
      </x:c>
      <x:c r="D3965" t="str">
        <x:v>trial-result review</x:v>
      </x:c>
      <x:c r="E3965" t="str">
        <x:v>PH-RR-047</x:v>
      </x:c>
      <x:c r="F3965" t="str">
        <x:f>'Trial Results'!R53</x:f>
      </x:c>
      <x:c r="G3965" t="n">
        <x:v>1</x:v>
      </x:c>
      <x:c r="H3965" t="str">
        <x:v>independent physical acceptance</x:v>
      </x:c>
      <x:c r="I3965" t="str">
        <x:f>IF(F3965=1,"PASS","OPEN")</x:f>
        <x:v>OPEN</x:v>
      </x:c>
    </x:row>
    <x:row r="3966">
      <x:c r="B3966" t="str">
        <x:v>PH-RR-048</x:v>
      </x:c>
      <x:c r="C3966" t="str">
        <x:v>PHYSICAL</x:v>
      </x:c>
      <x:c r="D3966" t="str">
        <x:v>trial-result review</x:v>
      </x:c>
      <x:c r="E3966" t="str">
        <x:v>PH-RR-048</x:v>
      </x:c>
      <x:c r="F3966" t="str">
        <x:f>'Trial Results'!R54</x:f>
      </x:c>
      <x:c r="G3966" t="n">
        <x:v>1</x:v>
      </x:c>
      <x:c r="H3966" t="str">
        <x:v>independent physical acceptance</x:v>
      </x:c>
      <x:c r="I3966" t="str">
        <x:f>IF(F3966=1,"PASS","OPEN")</x:f>
        <x:v>OPEN</x:v>
      </x:c>
    </x:row>
    <x:row r="3967">
      <x:c r="B3967" t="str">
        <x:v>PH-RR-049</x:v>
      </x:c>
      <x:c r="C3967" t="str">
        <x:v>PHYSICAL</x:v>
      </x:c>
      <x:c r="D3967" t="str">
        <x:v>trial-result review</x:v>
      </x:c>
      <x:c r="E3967" t="str">
        <x:v>PH-RR-049</x:v>
      </x:c>
      <x:c r="F3967" t="str">
        <x:f>'Trial Results'!R55</x:f>
      </x:c>
      <x:c r="G3967" t="n">
        <x:v>1</x:v>
      </x:c>
      <x:c r="H3967" t="str">
        <x:v>independent physical acceptance</x:v>
      </x:c>
      <x:c r="I3967" t="str">
        <x:f>IF(F3967=1,"PASS","OPEN")</x:f>
        <x:v>OPEN</x:v>
      </x:c>
    </x:row>
    <x:row r="3968">
      <x:c r="B3968" t="str">
        <x:v>PH-RR-050</x:v>
      </x:c>
      <x:c r="C3968" t="str">
        <x:v>PHYSICAL</x:v>
      </x:c>
      <x:c r="D3968" t="str">
        <x:v>trial-result review</x:v>
      </x:c>
      <x:c r="E3968" t="str">
        <x:v>PH-RR-050</x:v>
      </x:c>
      <x:c r="F3968" t="str">
        <x:f>'Trial Results'!R56</x:f>
      </x:c>
      <x:c r="G3968" t="n">
        <x:v>1</x:v>
      </x:c>
      <x:c r="H3968" t="str">
        <x:v>independent physical acceptance</x:v>
      </x:c>
      <x:c r="I3968" t="str">
        <x:f>IF(F3968=1,"PASS","OPEN")</x:f>
        <x:v>OPEN</x:v>
      </x:c>
    </x:row>
    <x:row r="3969">
      <x:c r="B3969" t="str">
        <x:v>PH-RR-051</x:v>
      </x:c>
      <x:c r="C3969" t="str">
        <x:v>PHYSICAL</x:v>
      </x:c>
      <x:c r="D3969" t="str">
        <x:v>trial-result review</x:v>
      </x:c>
      <x:c r="E3969" t="str">
        <x:v>PH-RR-051</x:v>
      </x:c>
      <x:c r="F3969" t="str">
        <x:f>'Trial Results'!R57</x:f>
      </x:c>
      <x:c r="G3969" t="n">
        <x:v>1</x:v>
      </x:c>
      <x:c r="H3969" t="str">
        <x:v>independent physical acceptance</x:v>
      </x:c>
      <x:c r="I3969" t="str">
        <x:f>IF(F3969=1,"PASS","OPEN")</x:f>
        <x:v>OPEN</x:v>
      </x:c>
    </x:row>
    <x:row r="3970">
      <x:c r="B3970" t="str">
        <x:v>PH-RR-052</x:v>
      </x:c>
      <x:c r="C3970" t="str">
        <x:v>PHYSICAL</x:v>
      </x:c>
      <x:c r="D3970" t="str">
        <x:v>trial-result review</x:v>
      </x:c>
      <x:c r="E3970" t="str">
        <x:v>PH-RR-052</x:v>
      </x:c>
      <x:c r="F3970" t="str">
        <x:f>'Trial Results'!R58</x:f>
      </x:c>
      <x:c r="G3970" t="n">
        <x:v>1</x:v>
      </x:c>
      <x:c r="H3970" t="str">
        <x:v>independent physical acceptance</x:v>
      </x:c>
      <x:c r="I3970" t="str">
        <x:f>IF(F3970=1,"PASS","OPEN")</x:f>
        <x:v>OPEN</x:v>
      </x:c>
    </x:row>
    <x:row r="3971">
      <x:c r="B3971" t="str">
        <x:v>PH-RR-053</x:v>
      </x:c>
      <x:c r="C3971" t="str">
        <x:v>PHYSICAL</x:v>
      </x:c>
      <x:c r="D3971" t="str">
        <x:v>trial-result review</x:v>
      </x:c>
      <x:c r="E3971" t="str">
        <x:v>PH-RR-053</x:v>
      </x:c>
      <x:c r="F3971" t="str">
        <x:f>'Trial Results'!R59</x:f>
      </x:c>
      <x:c r="G3971" t="n">
        <x:v>1</x:v>
      </x:c>
      <x:c r="H3971" t="str">
        <x:v>independent physical acceptance</x:v>
      </x:c>
      <x:c r="I3971" t="str">
        <x:f>IF(F3971=1,"PASS","OPEN")</x:f>
        <x:v>OPEN</x:v>
      </x:c>
    </x:row>
    <x:row r="3972">
      <x:c r="B3972" t="str">
        <x:v>PH-RR-054</x:v>
      </x:c>
      <x:c r="C3972" t="str">
        <x:v>PHYSICAL</x:v>
      </x:c>
      <x:c r="D3972" t="str">
        <x:v>trial-result review</x:v>
      </x:c>
      <x:c r="E3972" t="str">
        <x:v>PH-RR-054</x:v>
      </x:c>
      <x:c r="F3972" t="str">
        <x:f>'Trial Results'!R60</x:f>
      </x:c>
      <x:c r="G3972" t="n">
        <x:v>1</x:v>
      </x:c>
      <x:c r="H3972" t="str">
        <x:v>independent physical acceptance</x:v>
      </x:c>
      <x:c r="I3972" t="str">
        <x:f>IF(F3972=1,"PASS","OPEN")</x:f>
        <x:v>OPEN</x:v>
      </x:c>
    </x:row>
    <x:row r="3973">
      <x:c r="B3973" t="str">
        <x:v>PH-RR-055</x:v>
      </x:c>
      <x:c r="C3973" t="str">
        <x:v>PHYSICAL</x:v>
      </x:c>
      <x:c r="D3973" t="str">
        <x:v>trial-result review</x:v>
      </x:c>
      <x:c r="E3973" t="str">
        <x:v>PH-RR-055</x:v>
      </x:c>
      <x:c r="F3973" t="str">
        <x:f>'Trial Results'!R61</x:f>
      </x:c>
      <x:c r="G3973" t="n">
        <x:v>1</x:v>
      </x:c>
      <x:c r="H3973" t="str">
        <x:v>independent physical acceptance</x:v>
      </x:c>
      <x:c r="I3973" t="str">
        <x:f>IF(F3973=1,"PASS","OPEN")</x:f>
        <x:v>OPEN</x:v>
      </x:c>
    </x:row>
    <x:row r="3974">
      <x:c r="B3974" t="str">
        <x:v>PH-RR-056</x:v>
      </x:c>
      <x:c r="C3974" t="str">
        <x:v>PHYSICAL</x:v>
      </x:c>
      <x:c r="D3974" t="str">
        <x:v>trial-result review</x:v>
      </x:c>
      <x:c r="E3974" t="str">
        <x:v>PH-RR-056</x:v>
      </x:c>
      <x:c r="F3974" t="str">
        <x:f>'Trial Results'!R62</x:f>
      </x:c>
      <x:c r="G3974" t="n">
        <x:v>1</x:v>
      </x:c>
      <x:c r="H3974" t="str">
        <x:v>independent physical acceptance</x:v>
      </x:c>
      <x:c r="I3974" t="str">
        <x:f>IF(F3974=1,"PASS","OPEN")</x:f>
        <x:v>OPEN</x:v>
      </x:c>
    </x:row>
    <x:row r="3975">
      <x:c r="B3975" t="str">
        <x:v>PH-RR-057</x:v>
      </x:c>
      <x:c r="C3975" t="str">
        <x:v>PHYSICAL</x:v>
      </x:c>
      <x:c r="D3975" t="str">
        <x:v>trial-result review</x:v>
      </x:c>
      <x:c r="E3975" t="str">
        <x:v>PH-RR-057</x:v>
      </x:c>
      <x:c r="F3975" t="str">
        <x:f>'Trial Results'!R63</x:f>
      </x:c>
      <x:c r="G3975" t="n">
        <x:v>1</x:v>
      </x:c>
      <x:c r="H3975" t="str">
        <x:v>independent physical acceptance</x:v>
      </x:c>
      <x:c r="I3975" t="str">
        <x:f>IF(F3975=1,"PASS","OPEN")</x:f>
        <x:v>OPEN</x:v>
      </x:c>
    </x:row>
    <x:row r="3976">
      <x:c r="B3976" t="str">
        <x:v>PH-RR-058</x:v>
      </x:c>
      <x:c r="C3976" t="str">
        <x:v>PHYSICAL</x:v>
      </x:c>
      <x:c r="D3976" t="str">
        <x:v>trial-result review</x:v>
      </x:c>
      <x:c r="E3976" t="str">
        <x:v>PH-RR-058</x:v>
      </x:c>
      <x:c r="F3976" t="str">
        <x:f>'Trial Results'!R64</x:f>
      </x:c>
      <x:c r="G3976" t="n">
        <x:v>1</x:v>
      </x:c>
      <x:c r="H3976" t="str">
        <x:v>independent physical acceptance</x:v>
      </x:c>
      <x:c r="I3976" t="str">
        <x:f>IF(F3976=1,"PASS","OPEN")</x:f>
        <x:v>OPEN</x:v>
      </x:c>
    </x:row>
    <x:row r="3977">
      <x:c r="B3977" t="str">
        <x:v>PH-RR-059</x:v>
      </x:c>
      <x:c r="C3977" t="str">
        <x:v>PHYSICAL</x:v>
      </x:c>
      <x:c r="D3977" t="str">
        <x:v>trial-result review</x:v>
      </x:c>
      <x:c r="E3977" t="str">
        <x:v>PH-RR-059</x:v>
      </x:c>
      <x:c r="F3977" t="str">
        <x:f>'Trial Results'!R65</x:f>
      </x:c>
      <x:c r="G3977" t="n">
        <x:v>1</x:v>
      </x:c>
      <x:c r="H3977" t="str">
        <x:v>independent physical acceptance</x:v>
      </x:c>
      <x:c r="I3977" t="str">
        <x:f>IF(F3977=1,"PASS","OPEN")</x:f>
        <x:v>OPEN</x:v>
      </x:c>
    </x:row>
    <x:row r="3978">
      <x:c r="B3978" t="str">
        <x:v>PH-RR-060</x:v>
      </x:c>
      <x:c r="C3978" t="str">
        <x:v>PHYSICAL</x:v>
      </x:c>
      <x:c r="D3978" t="str">
        <x:v>trial-result review</x:v>
      </x:c>
      <x:c r="E3978" t="str">
        <x:v>PH-RR-060</x:v>
      </x:c>
      <x:c r="F3978" t="str">
        <x:f>'Trial Results'!R66</x:f>
      </x:c>
      <x:c r="G3978" t="n">
        <x:v>1</x:v>
      </x:c>
      <x:c r="H3978" t="str">
        <x:v>independent physical acceptance</x:v>
      </x:c>
      <x:c r="I3978" t="str">
        <x:f>IF(F3978=1,"PASS","OPEN")</x:f>
        <x:v>OPEN</x:v>
      </x:c>
    </x:row>
    <x:row r="3979">
      <x:c r="B3979" t="str">
        <x:v>PH-RR-061</x:v>
      </x:c>
      <x:c r="C3979" t="str">
        <x:v>PHYSICAL</x:v>
      </x:c>
      <x:c r="D3979" t="str">
        <x:v>trial-result review</x:v>
      </x:c>
      <x:c r="E3979" t="str">
        <x:v>PH-RR-061</x:v>
      </x:c>
      <x:c r="F3979" t="str">
        <x:f>'Trial Results'!R67</x:f>
      </x:c>
      <x:c r="G3979" t="n">
        <x:v>1</x:v>
      </x:c>
      <x:c r="H3979" t="str">
        <x:v>independent physical acceptance</x:v>
      </x:c>
      <x:c r="I3979" t="str">
        <x:f>IF(F3979=1,"PASS","OPEN")</x:f>
        <x:v>OPEN</x:v>
      </x:c>
    </x:row>
    <x:row r="3980">
      <x:c r="B3980" t="str">
        <x:v>PH-RR-062</x:v>
      </x:c>
      <x:c r="C3980" t="str">
        <x:v>PHYSICAL</x:v>
      </x:c>
      <x:c r="D3980" t="str">
        <x:v>trial-result review</x:v>
      </x:c>
      <x:c r="E3980" t="str">
        <x:v>PH-RR-062</x:v>
      </x:c>
      <x:c r="F3980" t="str">
        <x:f>'Trial Results'!R68</x:f>
      </x:c>
      <x:c r="G3980" t="n">
        <x:v>1</x:v>
      </x:c>
      <x:c r="H3980" t="str">
        <x:v>independent physical acceptance</x:v>
      </x:c>
      <x:c r="I3980" t="str">
        <x:f>IF(F3980=1,"PASS","OPEN")</x:f>
        <x:v>OPEN</x:v>
      </x:c>
    </x:row>
    <x:row r="3981">
      <x:c r="B3981" t="str">
        <x:v>PH-RR-063</x:v>
      </x:c>
      <x:c r="C3981" t="str">
        <x:v>PHYSICAL</x:v>
      </x:c>
      <x:c r="D3981" t="str">
        <x:v>trial-result review</x:v>
      </x:c>
      <x:c r="E3981" t="str">
        <x:v>PH-RR-063</x:v>
      </x:c>
      <x:c r="F3981" t="str">
        <x:f>'Trial Results'!R69</x:f>
      </x:c>
      <x:c r="G3981" t="n">
        <x:v>1</x:v>
      </x:c>
      <x:c r="H3981" t="str">
        <x:v>independent physical acceptance</x:v>
      </x:c>
      <x:c r="I3981" t="str">
        <x:f>IF(F3981=1,"PASS","OPEN")</x:f>
        <x:v>OPEN</x:v>
      </x:c>
    </x:row>
    <x:row r="3982">
      <x:c r="B3982" t="str">
        <x:v>PH-RR-064</x:v>
      </x:c>
      <x:c r="C3982" t="str">
        <x:v>PHYSICAL</x:v>
      </x:c>
      <x:c r="D3982" t="str">
        <x:v>trial-result review</x:v>
      </x:c>
      <x:c r="E3982" t="str">
        <x:v>PH-RR-064</x:v>
      </x:c>
      <x:c r="F3982" t="str">
        <x:f>'Trial Results'!R70</x:f>
      </x:c>
      <x:c r="G3982" t="n">
        <x:v>1</x:v>
      </x:c>
      <x:c r="H3982" t="str">
        <x:v>independent physical acceptance</x:v>
      </x:c>
      <x:c r="I3982" t="str">
        <x:f>IF(F3982=1,"PASS","OPEN")</x:f>
        <x:v>OPEN</x:v>
      </x:c>
    </x:row>
    <x:row r="3983">
      <x:c r="B3983" t="str">
        <x:v>PH-RR-065</x:v>
      </x:c>
      <x:c r="C3983" t="str">
        <x:v>PHYSICAL</x:v>
      </x:c>
      <x:c r="D3983" t="str">
        <x:v>trial-result review</x:v>
      </x:c>
      <x:c r="E3983" t="str">
        <x:v>PH-RR-065</x:v>
      </x:c>
      <x:c r="F3983" t="str">
        <x:f>'Trial Results'!R71</x:f>
      </x:c>
      <x:c r="G3983" t="n">
        <x:v>1</x:v>
      </x:c>
      <x:c r="H3983" t="str">
        <x:v>independent physical acceptance</x:v>
      </x:c>
      <x:c r="I3983" t="str">
        <x:f>IF(F3983=1,"PASS","OPEN")</x:f>
        <x:v>OPEN</x:v>
      </x:c>
    </x:row>
    <x:row r="3984">
      <x:c r="B3984" t="str">
        <x:v>PH-RR-066</x:v>
      </x:c>
      <x:c r="C3984" t="str">
        <x:v>PHYSICAL</x:v>
      </x:c>
      <x:c r="D3984" t="str">
        <x:v>trial-result review</x:v>
      </x:c>
      <x:c r="E3984" t="str">
        <x:v>PH-RR-066</x:v>
      </x:c>
      <x:c r="F3984" t="str">
        <x:f>'Trial Results'!R72</x:f>
      </x:c>
      <x:c r="G3984" t="n">
        <x:v>1</x:v>
      </x:c>
      <x:c r="H3984" t="str">
        <x:v>independent physical acceptance</x:v>
      </x:c>
      <x:c r="I3984" t="str">
        <x:f>IF(F3984=1,"PASS","OPEN")</x:f>
        <x:v>OPEN</x:v>
      </x:c>
    </x:row>
    <x:row r="3985">
      <x:c r="B3985" t="str">
        <x:v>PH-RR-067</x:v>
      </x:c>
      <x:c r="C3985" t="str">
        <x:v>PHYSICAL</x:v>
      </x:c>
      <x:c r="D3985" t="str">
        <x:v>trial-result review</x:v>
      </x:c>
      <x:c r="E3985" t="str">
        <x:v>PH-RR-067</x:v>
      </x:c>
      <x:c r="F3985" t="str">
        <x:f>'Trial Results'!R73</x:f>
      </x:c>
      <x:c r="G3985" t="n">
        <x:v>1</x:v>
      </x:c>
      <x:c r="H3985" t="str">
        <x:v>independent physical acceptance</x:v>
      </x:c>
      <x:c r="I3985" t="str">
        <x:f>IF(F3985=1,"PASS","OPEN")</x:f>
        <x:v>OPEN</x:v>
      </x:c>
    </x:row>
    <x:row r="3986">
      <x:c r="B3986" t="str">
        <x:v>PH-RR-068</x:v>
      </x:c>
      <x:c r="C3986" t="str">
        <x:v>PHYSICAL</x:v>
      </x:c>
      <x:c r="D3986" t="str">
        <x:v>trial-result review</x:v>
      </x:c>
      <x:c r="E3986" t="str">
        <x:v>PH-RR-068</x:v>
      </x:c>
      <x:c r="F3986" t="str">
        <x:f>'Trial Results'!R74</x:f>
      </x:c>
      <x:c r="G3986" t="n">
        <x:v>1</x:v>
      </x:c>
      <x:c r="H3986" t="str">
        <x:v>independent physical acceptance</x:v>
      </x:c>
      <x:c r="I3986" t="str">
        <x:f>IF(F3986=1,"PASS","OPEN")</x:f>
        <x:v>OPEN</x:v>
      </x:c>
    </x:row>
    <x:row r="3987">
      <x:c r="B3987" t="str">
        <x:v>PH-RR-069</x:v>
      </x:c>
      <x:c r="C3987" t="str">
        <x:v>PHYSICAL</x:v>
      </x:c>
      <x:c r="D3987" t="str">
        <x:v>trial-result review</x:v>
      </x:c>
      <x:c r="E3987" t="str">
        <x:v>PH-RR-069</x:v>
      </x:c>
      <x:c r="F3987" t="str">
        <x:f>'Trial Results'!R75</x:f>
      </x:c>
      <x:c r="G3987" t="n">
        <x:v>1</x:v>
      </x:c>
      <x:c r="H3987" t="str">
        <x:v>independent physical acceptance</x:v>
      </x:c>
      <x:c r="I3987" t="str">
        <x:f>IF(F3987=1,"PASS","OPEN")</x:f>
        <x:v>OPEN</x:v>
      </x:c>
    </x:row>
    <x:row r="3988">
      <x:c r="B3988" t="str">
        <x:v>PH-RR-070</x:v>
      </x:c>
      <x:c r="C3988" t="str">
        <x:v>PHYSICAL</x:v>
      </x:c>
      <x:c r="D3988" t="str">
        <x:v>trial-result review</x:v>
      </x:c>
      <x:c r="E3988" t="str">
        <x:v>PH-RR-070</x:v>
      </x:c>
      <x:c r="F3988" t="str">
        <x:f>'Trial Results'!R76</x:f>
      </x:c>
      <x:c r="G3988" t="n">
        <x:v>1</x:v>
      </x:c>
      <x:c r="H3988" t="str">
        <x:v>independent physical acceptance</x:v>
      </x:c>
      <x:c r="I3988" t="str">
        <x:f>IF(F3988=1,"PASS","OPEN")</x:f>
        <x:v>OPEN</x:v>
      </x:c>
    </x:row>
    <x:row r="3989">
      <x:c r="B3989" t="str">
        <x:v>PH-RR-071</x:v>
      </x:c>
      <x:c r="C3989" t="str">
        <x:v>PHYSICAL</x:v>
      </x:c>
      <x:c r="D3989" t="str">
        <x:v>trial-result review</x:v>
      </x:c>
      <x:c r="E3989" t="str">
        <x:v>PH-RR-071</x:v>
      </x:c>
      <x:c r="F3989" t="str">
        <x:f>'Trial Results'!R77</x:f>
      </x:c>
      <x:c r="G3989" t="n">
        <x:v>1</x:v>
      </x:c>
      <x:c r="H3989" t="str">
        <x:v>independent physical acceptance</x:v>
      </x:c>
      <x:c r="I3989" t="str">
        <x:f>IF(F3989=1,"PASS","OPEN")</x:f>
        <x:v>OPEN</x:v>
      </x:c>
    </x:row>
    <x:row r="3990">
      <x:c r="B3990" t="str">
        <x:v>PH-RR-072</x:v>
      </x:c>
      <x:c r="C3990" t="str">
        <x:v>PHYSICAL</x:v>
      </x:c>
      <x:c r="D3990" t="str">
        <x:v>trial-result review</x:v>
      </x:c>
      <x:c r="E3990" t="str">
        <x:v>PH-RR-072</x:v>
      </x:c>
      <x:c r="F3990" t="str">
        <x:f>'Trial Results'!R78</x:f>
      </x:c>
      <x:c r="G3990" t="n">
        <x:v>1</x:v>
      </x:c>
      <x:c r="H3990" t="str">
        <x:v>independent physical acceptance</x:v>
      </x:c>
      <x:c r="I3990" t="str">
        <x:f>IF(F3990=1,"PASS","OPEN")</x:f>
        <x:v>OPEN</x:v>
      </x:c>
    </x:row>
    <x:row r="3991">
      <x:c r="B3991" t="str">
        <x:v>PH-RR-073</x:v>
      </x:c>
      <x:c r="C3991" t="str">
        <x:v>PHYSICAL</x:v>
      </x:c>
      <x:c r="D3991" t="str">
        <x:v>trial-result review</x:v>
      </x:c>
      <x:c r="E3991" t="str">
        <x:v>PH-RR-073</x:v>
      </x:c>
      <x:c r="F3991" t="str">
        <x:f>'Trial Results'!R79</x:f>
      </x:c>
      <x:c r="G3991" t="n">
        <x:v>1</x:v>
      </x:c>
      <x:c r="H3991" t="str">
        <x:v>independent physical acceptance</x:v>
      </x:c>
      <x:c r="I3991" t="str">
        <x:f>IF(F3991=1,"PASS","OPEN")</x:f>
        <x:v>OPEN</x:v>
      </x:c>
    </x:row>
    <x:row r="3992">
      <x:c r="B3992" t="str">
        <x:v>PH-RR-074</x:v>
      </x:c>
      <x:c r="C3992" t="str">
        <x:v>PHYSICAL</x:v>
      </x:c>
      <x:c r="D3992" t="str">
        <x:v>trial-result review</x:v>
      </x:c>
      <x:c r="E3992" t="str">
        <x:v>PH-RR-074</x:v>
      </x:c>
      <x:c r="F3992" t="str">
        <x:f>'Trial Results'!R80</x:f>
      </x:c>
      <x:c r="G3992" t="n">
        <x:v>1</x:v>
      </x:c>
      <x:c r="H3992" t="str">
        <x:v>independent physical acceptance</x:v>
      </x:c>
      <x:c r="I3992" t="str">
        <x:f>IF(F3992=1,"PASS","OPEN")</x:f>
        <x:v>OPEN</x:v>
      </x:c>
    </x:row>
    <x:row r="3993">
      <x:c r="B3993" t="str">
        <x:v>PH-RR-075</x:v>
      </x:c>
      <x:c r="C3993" t="str">
        <x:v>PHYSICAL</x:v>
      </x:c>
      <x:c r="D3993" t="str">
        <x:v>trial-result review</x:v>
      </x:c>
      <x:c r="E3993" t="str">
        <x:v>PH-RR-075</x:v>
      </x:c>
      <x:c r="F3993" t="str">
        <x:f>'Trial Results'!R81</x:f>
      </x:c>
      <x:c r="G3993" t="n">
        <x:v>1</x:v>
      </x:c>
      <x:c r="H3993" t="str">
        <x:v>independent physical acceptance</x:v>
      </x:c>
      <x:c r="I3993" t="str">
        <x:f>IF(F3993=1,"PASS","OPEN")</x:f>
        <x:v>OPEN</x:v>
      </x:c>
    </x:row>
    <x:row r="3994">
      <x:c r="B3994" t="str">
        <x:v>PH-RR-076</x:v>
      </x:c>
      <x:c r="C3994" t="str">
        <x:v>PHYSICAL</x:v>
      </x:c>
      <x:c r="D3994" t="str">
        <x:v>trial-result review</x:v>
      </x:c>
      <x:c r="E3994" t="str">
        <x:v>PH-RR-076</x:v>
      </x:c>
      <x:c r="F3994" t="str">
        <x:f>'Trial Results'!R82</x:f>
      </x:c>
      <x:c r="G3994" t="n">
        <x:v>1</x:v>
      </x:c>
      <x:c r="H3994" t="str">
        <x:v>independent physical acceptance</x:v>
      </x:c>
      <x:c r="I3994" t="str">
        <x:f>IF(F3994=1,"PASS","OPEN")</x:f>
        <x:v>OPEN</x:v>
      </x:c>
    </x:row>
    <x:row r="3995">
      <x:c r="B3995" t="str">
        <x:v>PH-RR-077</x:v>
      </x:c>
      <x:c r="C3995" t="str">
        <x:v>PHYSICAL</x:v>
      </x:c>
      <x:c r="D3995" t="str">
        <x:v>trial-result review</x:v>
      </x:c>
      <x:c r="E3995" t="str">
        <x:v>PH-RR-077</x:v>
      </x:c>
      <x:c r="F3995" t="str">
        <x:f>'Trial Results'!R83</x:f>
      </x:c>
      <x:c r="G3995" t="n">
        <x:v>1</x:v>
      </x:c>
      <x:c r="H3995" t="str">
        <x:v>independent physical acceptance</x:v>
      </x:c>
      <x:c r="I3995" t="str">
        <x:f>IF(F3995=1,"PASS","OPEN")</x:f>
        <x:v>OPEN</x:v>
      </x:c>
    </x:row>
    <x:row r="3996">
      <x:c r="B3996" t="str">
        <x:v>PH-RR-078</x:v>
      </x:c>
      <x:c r="C3996" t="str">
        <x:v>PHYSICAL</x:v>
      </x:c>
      <x:c r="D3996" t="str">
        <x:v>trial-result review</x:v>
      </x:c>
      <x:c r="E3996" t="str">
        <x:v>PH-RR-078</x:v>
      </x:c>
      <x:c r="F3996" t="str">
        <x:f>'Trial Results'!R84</x:f>
      </x:c>
      <x:c r="G3996" t="n">
        <x:v>1</x:v>
      </x:c>
      <x:c r="H3996" t="str">
        <x:v>independent physical acceptance</x:v>
      </x:c>
      <x:c r="I3996" t="str">
        <x:f>IF(F3996=1,"PASS","OPEN")</x:f>
        <x:v>OPEN</x:v>
      </x:c>
    </x:row>
    <x:row r="3997">
      <x:c r="B3997" t="str">
        <x:v>PH-RR-079</x:v>
      </x:c>
      <x:c r="C3997" t="str">
        <x:v>PHYSICAL</x:v>
      </x:c>
      <x:c r="D3997" t="str">
        <x:v>trial-result review</x:v>
      </x:c>
      <x:c r="E3997" t="str">
        <x:v>PH-RR-079</x:v>
      </x:c>
      <x:c r="F3997" t="str">
        <x:f>'Trial Results'!R85</x:f>
      </x:c>
      <x:c r="G3997" t="n">
        <x:v>1</x:v>
      </x:c>
      <x:c r="H3997" t="str">
        <x:v>independent physical acceptance</x:v>
      </x:c>
      <x:c r="I3997" t="str">
        <x:f>IF(F3997=1,"PASS","OPEN")</x:f>
        <x:v>OPEN</x:v>
      </x:c>
    </x:row>
    <x:row r="3998">
      <x:c r="B3998" t="str">
        <x:v>PH-RR-080</x:v>
      </x:c>
      <x:c r="C3998" t="str">
        <x:v>PHYSICAL</x:v>
      </x:c>
      <x:c r="D3998" t="str">
        <x:v>trial-result review</x:v>
      </x:c>
      <x:c r="E3998" t="str">
        <x:v>PH-RR-080</x:v>
      </x:c>
      <x:c r="F3998" t="str">
        <x:f>'Trial Results'!R86</x:f>
      </x:c>
      <x:c r="G3998" t="n">
        <x:v>1</x:v>
      </x:c>
      <x:c r="H3998" t="str">
        <x:v>independent physical acceptance</x:v>
      </x:c>
      <x:c r="I3998" t="str">
        <x:f>IF(F3998=1,"PASS","OPEN")</x:f>
        <x:v>OPEN</x:v>
      </x:c>
    </x:row>
    <x:row r="3999">
      <x:c r="B3999" t="str">
        <x:v>PH-RR-081</x:v>
      </x:c>
      <x:c r="C3999" t="str">
        <x:v>PHYSICAL</x:v>
      </x:c>
      <x:c r="D3999" t="str">
        <x:v>trial-result review</x:v>
      </x:c>
      <x:c r="E3999" t="str">
        <x:v>PH-RR-081</x:v>
      </x:c>
      <x:c r="F3999" t="str">
        <x:f>'Trial Results'!R87</x:f>
      </x:c>
      <x:c r="G3999" t="n">
        <x:v>1</x:v>
      </x:c>
      <x:c r="H3999" t="str">
        <x:v>independent physical acceptance</x:v>
      </x:c>
      <x:c r="I3999" t="str">
        <x:f>IF(F3999=1,"PASS","OPEN")</x:f>
        <x:v>OPEN</x:v>
      </x:c>
    </x:row>
    <x:row r="4000">
      <x:c r="B4000" t="str">
        <x:v>PH-RR-082</x:v>
      </x:c>
      <x:c r="C4000" t="str">
        <x:v>PHYSICAL</x:v>
      </x:c>
      <x:c r="D4000" t="str">
        <x:v>trial-result review</x:v>
      </x:c>
      <x:c r="E4000" t="str">
        <x:v>PH-RR-082</x:v>
      </x:c>
      <x:c r="F4000" t="str">
        <x:f>'Trial Results'!R88</x:f>
      </x:c>
      <x:c r="G4000" t="n">
        <x:v>1</x:v>
      </x:c>
      <x:c r="H4000" t="str">
        <x:v>independent physical acceptance</x:v>
      </x:c>
      <x:c r="I4000" t="str">
        <x:f>IF(F4000=1,"PASS","OPEN")</x:f>
        <x:v>OPEN</x:v>
      </x:c>
    </x:row>
    <x:row r="4001">
      <x:c r="B4001" t="str">
        <x:v>PH-RR-083</x:v>
      </x:c>
      <x:c r="C4001" t="str">
        <x:v>PHYSICAL</x:v>
      </x:c>
      <x:c r="D4001" t="str">
        <x:v>trial-result review</x:v>
      </x:c>
      <x:c r="E4001" t="str">
        <x:v>PH-RR-083</x:v>
      </x:c>
      <x:c r="F4001" t="str">
        <x:f>'Trial Results'!R89</x:f>
      </x:c>
      <x:c r="G4001" t="n">
        <x:v>1</x:v>
      </x:c>
      <x:c r="H4001" t="str">
        <x:v>independent physical acceptance</x:v>
      </x:c>
      <x:c r="I4001" t="str">
        <x:f>IF(F4001=1,"PASS","OPEN")</x:f>
        <x:v>OPEN</x:v>
      </x:c>
    </x:row>
    <x:row r="4002">
      <x:c r="B4002" t="str">
        <x:v>PH-RR-084</x:v>
      </x:c>
      <x:c r="C4002" t="str">
        <x:v>PHYSICAL</x:v>
      </x:c>
      <x:c r="D4002" t="str">
        <x:v>trial-result review</x:v>
      </x:c>
      <x:c r="E4002" t="str">
        <x:v>PH-RR-084</x:v>
      </x:c>
      <x:c r="F4002" t="str">
        <x:f>'Trial Results'!R90</x:f>
      </x:c>
      <x:c r="G4002" t="n">
        <x:v>1</x:v>
      </x:c>
      <x:c r="H4002" t="str">
        <x:v>independent physical acceptance</x:v>
      </x:c>
      <x:c r="I4002" t="str">
        <x:f>IF(F4002=1,"PASS","OPEN")</x:f>
        <x:v>OPEN</x:v>
      </x:c>
    </x:row>
    <x:row r="4003">
      <x:c r="B4003" t="str">
        <x:v>PH-RR-085</x:v>
      </x:c>
      <x:c r="C4003" t="str">
        <x:v>PHYSICAL</x:v>
      </x:c>
      <x:c r="D4003" t="str">
        <x:v>trial-result review</x:v>
      </x:c>
      <x:c r="E4003" t="str">
        <x:v>PH-RR-085</x:v>
      </x:c>
      <x:c r="F4003" t="str">
        <x:f>'Trial Results'!R91</x:f>
      </x:c>
      <x:c r="G4003" t="n">
        <x:v>1</x:v>
      </x:c>
      <x:c r="H4003" t="str">
        <x:v>independent physical acceptance</x:v>
      </x:c>
      <x:c r="I4003" t="str">
        <x:f>IF(F4003=1,"PASS","OPEN")</x:f>
        <x:v>OPEN</x:v>
      </x:c>
    </x:row>
    <x:row r="4004">
      <x:c r="B4004" t="str">
        <x:v>PH-RR-086</x:v>
      </x:c>
      <x:c r="C4004" t="str">
        <x:v>PHYSICAL</x:v>
      </x:c>
      <x:c r="D4004" t="str">
        <x:v>trial-result review</x:v>
      </x:c>
      <x:c r="E4004" t="str">
        <x:v>PH-RR-086</x:v>
      </x:c>
      <x:c r="F4004" t="str">
        <x:f>'Trial Results'!R92</x:f>
      </x:c>
      <x:c r="G4004" t="n">
        <x:v>1</x:v>
      </x:c>
      <x:c r="H4004" t="str">
        <x:v>independent physical acceptance</x:v>
      </x:c>
      <x:c r="I4004" t="str">
        <x:f>IF(F4004=1,"PASS","OPEN")</x:f>
        <x:v>OPEN</x:v>
      </x:c>
    </x:row>
    <x:row r="4005">
      <x:c r="B4005" t="str">
        <x:v>PH-RR-087</x:v>
      </x:c>
      <x:c r="C4005" t="str">
        <x:v>PHYSICAL</x:v>
      </x:c>
      <x:c r="D4005" t="str">
        <x:v>trial-result review</x:v>
      </x:c>
      <x:c r="E4005" t="str">
        <x:v>PH-RR-087</x:v>
      </x:c>
      <x:c r="F4005" t="str">
        <x:f>'Trial Results'!R93</x:f>
      </x:c>
      <x:c r="G4005" t="n">
        <x:v>1</x:v>
      </x:c>
      <x:c r="H4005" t="str">
        <x:v>independent physical acceptance</x:v>
      </x:c>
      <x:c r="I4005" t="str">
        <x:f>IF(F4005=1,"PASS","OPEN")</x:f>
        <x:v>OPEN</x:v>
      </x:c>
    </x:row>
    <x:row r="4006">
      <x:c r="B4006" t="str">
        <x:v>PH-RR-088</x:v>
      </x:c>
      <x:c r="C4006" t="str">
        <x:v>PHYSICAL</x:v>
      </x:c>
      <x:c r="D4006" t="str">
        <x:v>trial-result review</x:v>
      </x:c>
      <x:c r="E4006" t="str">
        <x:v>PH-RR-088</x:v>
      </x:c>
      <x:c r="F4006" t="str">
        <x:f>'Trial Results'!R94</x:f>
      </x:c>
      <x:c r="G4006" t="n">
        <x:v>1</x:v>
      </x:c>
      <x:c r="H4006" t="str">
        <x:v>independent physical acceptance</x:v>
      </x:c>
      <x:c r="I4006" t="str">
        <x:f>IF(F4006=1,"PASS","OPEN")</x:f>
        <x:v>OPEN</x:v>
      </x:c>
    </x:row>
    <x:row r="4007">
      <x:c r="B4007" t="str">
        <x:v>PH-RR-089</x:v>
      </x:c>
      <x:c r="C4007" t="str">
        <x:v>PHYSICAL</x:v>
      </x:c>
      <x:c r="D4007" t="str">
        <x:v>trial-result review</x:v>
      </x:c>
      <x:c r="E4007" t="str">
        <x:v>PH-RR-089</x:v>
      </x:c>
      <x:c r="F4007" t="str">
        <x:f>'Trial Results'!R95</x:f>
      </x:c>
      <x:c r="G4007" t="n">
        <x:v>1</x:v>
      </x:c>
      <x:c r="H4007" t="str">
        <x:v>independent physical acceptance</x:v>
      </x:c>
      <x:c r="I4007" t="str">
        <x:f>IF(F4007=1,"PASS","OPEN")</x:f>
        <x:v>OPEN</x:v>
      </x:c>
    </x:row>
    <x:row r="4008">
      <x:c r="B4008" t="str">
        <x:v>PH-RR-090</x:v>
      </x:c>
      <x:c r="C4008" t="str">
        <x:v>PHYSICAL</x:v>
      </x:c>
      <x:c r="D4008" t="str">
        <x:v>trial-result review</x:v>
      </x:c>
      <x:c r="E4008" t="str">
        <x:v>PH-RR-090</x:v>
      </x:c>
      <x:c r="F4008" t="str">
        <x:f>'Trial Results'!R96</x:f>
      </x:c>
      <x:c r="G4008" t="n">
        <x:v>1</x:v>
      </x:c>
      <x:c r="H4008" t="str">
        <x:v>independent physical acceptance</x:v>
      </x:c>
      <x:c r="I4008" t="str">
        <x:f>IF(F4008=1,"PASS","OPEN")</x:f>
        <x:v>OPEN</x:v>
      </x:c>
    </x:row>
    <x:row r="4009">
      <x:c r="B4009" t="str">
        <x:v>PH-RR-091</x:v>
      </x:c>
      <x:c r="C4009" t="str">
        <x:v>PHYSICAL</x:v>
      </x:c>
      <x:c r="D4009" t="str">
        <x:v>trial-result review</x:v>
      </x:c>
      <x:c r="E4009" t="str">
        <x:v>PH-RR-091</x:v>
      </x:c>
      <x:c r="F4009" t="str">
        <x:f>'Trial Results'!R97</x:f>
      </x:c>
      <x:c r="G4009" t="n">
        <x:v>1</x:v>
      </x:c>
      <x:c r="H4009" t="str">
        <x:v>independent physical acceptance</x:v>
      </x:c>
      <x:c r="I4009" t="str">
        <x:f>IF(F4009=1,"PASS","OPEN")</x:f>
        <x:v>OPEN</x:v>
      </x:c>
    </x:row>
    <x:row r="4010">
      <x:c r="B4010" t="str">
        <x:v>PH-RR-092</x:v>
      </x:c>
      <x:c r="C4010" t="str">
        <x:v>PHYSICAL</x:v>
      </x:c>
      <x:c r="D4010" t="str">
        <x:v>trial-result review</x:v>
      </x:c>
      <x:c r="E4010" t="str">
        <x:v>PH-RR-092</x:v>
      </x:c>
      <x:c r="F4010" t="str">
        <x:f>'Trial Results'!R98</x:f>
      </x:c>
      <x:c r="G4010" t="n">
        <x:v>1</x:v>
      </x:c>
      <x:c r="H4010" t="str">
        <x:v>independent physical acceptance</x:v>
      </x:c>
      <x:c r="I4010" t="str">
        <x:f>IF(F4010=1,"PASS","OPEN")</x:f>
        <x:v>OPEN</x:v>
      </x:c>
    </x:row>
    <x:row r="4011">
      <x:c r="B4011" t="str">
        <x:v>PH-RR-093</x:v>
      </x:c>
      <x:c r="C4011" t="str">
        <x:v>PHYSICAL</x:v>
      </x:c>
      <x:c r="D4011" t="str">
        <x:v>trial-result review</x:v>
      </x:c>
      <x:c r="E4011" t="str">
        <x:v>PH-RR-093</x:v>
      </x:c>
      <x:c r="F4011" t="str">
        <x:f>'Trial Results'!R99</x:f>
      </x:c>
      <x:c r="G4011" t="n">
        <x:v>1</x:v>
      </x:c>
      <x:c r="H4011" t="str">
        <x:v>independent physical acceptance</x:v>
      </x:c>
      <x:c r="I4011" t="str">
        <x:f>IF(F4011=1,"PASS","OPEN")</x:f>
        <x:v>OPEN</x:v>
      </x:c>
    </x:row>
    <x:row r="4012">
      <x:c r="B4012" t="str">
        <x:v>PH-RR-094</x:v>
      </x:c>
      <x:c r="C4012" t="str">
        <x:v>PHYSICAL</x:v>
      </x:c>
      <x:c r="D4012" t="str">
        <x:v>trial-result review</x:v>
      </x:c>
      <x:c r="E4012" t="str">
        <x:v>PH-RR-094</x:v>
      </x:c>
      <x:c r="F4012" t="str">
        <x:f>'Trial Results'!R100</x:f>
      </x:c>
      <x:c r="G4012" t="n">
        <x:v>1</x:v>
      </x:c>
      <x:c r="H4012" t="str">
        <x:v>independent physical acceptance</x:v>
      </x:c>
      <x:c r="I4012" t="str">
        <x:f>IF(F4012=1,"PASS","OPEN")</x:f>
        <x:v>OPEN</x:v>
      </x:c>
    </x:row>
    <x:row r="4013">
      <x:c r="B4013" t="str">
        <x:v>PH-RR-095</x:v>
      </x:c>
      <x:c r="C4013" t="str">
        <x:v>PHYSICAL</x:v>
      </x:c>
      <x:c r="D4013" t="str">
        <x:v>trial-result review</x:v>
      </x:c>
      <x:c r="E4013" t="str">
        <x:v>PH-RR-095</x:v>
      </x:c>
      <x:c r="F4013" t="str">
        <x:f>'Trial Results'!R101</x:f>
      </x:c>
      <x:c r="G4013" t="n">
        <x:v>1</x:v>
      </x:c>
      <x:c r="H4013" t="str">
        <x:v>independent physical acceptance</x:v>
      </x:c>
      <x:c r="I4013" t="str">
        <x:f>IF(F4013=1,"PASS","OPEN")</x:f>
        <x:v>OPEN</x:v>
      </x:c>
    </x:row>
    <x:row r="4014">
      <x:c r="B4014" t="str">
        <x:v>PH-RR-096</x:v>
      </x:c>
      <x:c r="C4014" t="str">
        <x:v>PHYSICAL</x:v>
      </x:c>
      <x:c r="D4014" t="str">
        <x:v>trial-result review</x:v>
      </x:c>
      <x:c r="E4014" t="str">
        <x:v>PH-RR-096</x:v>
      </x:c>
      <x:c r="F4014" t="str">
        <x:f>'Trial Results'!R102</x:f>
      </x:c>
      <x:c r="G4014" t="n">
        <x:v>1</x:v>
      </x:c>
      <x:c r="H4014" t="str">
        <x:v>independent physical acceptance</x:v>
      </x:c>
      <x:c r="I4014" t="str">
        <x:f>IF(F4014=1,"PASS","OPEN")</x:f>
        <x:v>OPEN</x:v>
      </x:c>
    </x:row>
    <x:row r="4015">
      <x:c r="B4015" t="str">
        <x:v>PH-RR-097</x:v>
      </x:c>
      <x:c r="C4015" t="str">
        <x:v>PHYSICAL</x:v>
      </x:c>
      <x:c r="D4015" t="str">
        <x:v>trial-result review</x:v>
      </x:c>
      <x:c r="E4015" t="str">
        <x:v>PH-RR-097</x:v>
      </x:c>
      <x:c r="F4015" t="str">
        <x:f>'Trial Results'!R103</x:f>
      </x:c>
      <x:c r="G4015" t="n">
        <x:v>1</x:v>
      </x:c>
      <x:c r="H4015" t="str">
        <x:v>independent physical acceptance</x:v>
      </x:c>
      <x:c r="I4015" t="str">
        <x:f>IF(F4015=1,"PASS","OPEN")</x:f>
        <x:v>OPEN</x:v>
      </x:c>
    </x:row>
    <x:row r="4016">
      <x:c r="B4016" t="str">
        <x:v>PH-RR-098</x:v>
      </x:c>
      <x:c r="C4016" t="str">
        <x:v>PHYSICAL</x:v>
      </x:c>
      <x:c r="D4016" t="str">
        <x:v>trial-result review</x:v>
      </x:c>
      <x:c r="E4016" t="str">
        <x:v>PH-RR-098</x:v>
      </x:c>
      <x:c r="F4016" t="str">
        <x:f>'Trial Results'!R104</x:f>
      </x:c>
      <x:c r="G4016" t="n">
        <x:v>1</x:v>
      </x:c>
      <x:c r="H4016" t="str">
        <x:v>independent physical acceptance</x:v>
      </x:c>
      <x:c r="I4016" t="str">
        <x:f>IF(F4016=1,"PASS","OPEN")</x:f>
        <x:v>OPEN</x:v>
      </x:c>
    </x:row>
    <x:row r="4017">
      <x:c r="B4017" t="str">
        <x:v>PH-RR-099</x:v>
      </x:c>
      <x:c r="C4017" t="str">
        <x:v>PHYSICAL</x:v>
      </x:c>
      <x:c r="D4017" t="str">
        <x:v>trial-result review</x:v>
      </x:c>
      <x:c r="E4017" t="str">
        <x:v>PH-RR-099</x:v>
      </x:c>
      <x:c r="F4017" t="str">
        <x:f>'Trial Results'!R105</x:f>
      </x:c>
      <x:c r="G4017" t="n">
        <x:v>1</x:v>
      </x:c>
      <x:c r="H4017" t="str">
        <x:v>independent physical acceptance</x:v>
      </x:c>
      <x:c r="I4017" t="str">
        <x:f>IF(F4017=1,"PASS","OPEN")</x:f>
        <x:v>OPEN</x:v>
      </x:c>
    </x:row>
    <x:row r="4018">
      <x:c r="B4018" t="str">
        <x:v>PH-RR-100</x:v>
      </x:c>
      <x:c r="C4018" t="str">
        <x:v>PHYSICAL</x:v>
      </x:c>
      <x:c r="D4018" t="str">
        <x:v>trial-result review</x:v>
      </x:c>
      <x:c r="E4018" t="str">
        <x:v>PH-RR-100</x:v>
      </x:c>
      <x:c r="F4018" t="str">
        <x:f>'Trial Results'!R106</x:f>
      </x:c>
      <x:c r="G4018" t="n">
        <x:v>1</x:v>
      </x:c>
      <x:c r="H4018" t="str">
        <x:v>independent physical acceptance</x:v>
      </x:c>
      <x:c r="I4018" t="str">
        <x:f>IF(F4018=1,"PASS","OPEN")</x:f>
        <x:v>OPEN</x:v>
      </x:c>
    </x:row>
    <x:row r="4019">
      <x:c r="B4019" t="str">
        <x:v>PH-RR-101</x:v>
      </x:c>
      <x:c r="C4019" t="str">
        <x:v>PHYSICAL</x:v>
      </x:c>
      <x:c r="D4019" t="str">
        <x:v>trial-result review</x:v>
      </x:c>
      <x:c r="E4019" t="str">
        <x:v>PH-RR-101</x:v>
      </x:c>
      <x:c r="F4019" t="str">
        <x:f>'Trial Results'!R107</x:f>
      </x:c>
      <x:c r="G4019" t="n">
        <x:v>1</x:v>
      </x:c>
      <x:c r="H4019" t="str">
        <x:v>independent physical acceptance</x:v>
      </x:c>
      <x:c r="I4019" t="str">
        <x:f>IF(F4019=1,"PASS","OPEN")</x:f>
        <x:v>OPEN</x:v>
      </x:c>
    </x:row>
    <x:row r="4020">
      <x:c r="B4020" t="str">
        <x:v>PH-RR-102</x:v>
      </x:c>
      <x:c r="C4020" t="str">
        <x:v>PHYSICAL</x:v>
      </x:c>
      <x:c r="D4020" t="str">
        <x:v>trial-result review</x:v>
      </x:c>
      <x:c r="E4020" t="str">
        <x:v>PH-RR-102</x:v>
      </x:c>
      <x:c r="F4020" t="str">
        <x:f>'Trial Results'!R108</x:f>
      </x:c>
      <x:c r="G4020" t="n">
        <x:v>1</x:v>
      </x:c>
      <x:c r="H4020" t="str">
        <x:v>independent physical acceptance</x:v>
      </x:c>
      <x:c r="I4020" t="str">
        <x:f>IF(F4020=1,"PASS","OPEN")</x:f>
        <x:v>OPEN</x:v>
      </x:c>
    </x:row>
    <x:row r="4021">
      <x:c r="B4021" t="str">
        <x:v>PH-RR-103</x:v>
      </x:c>
      <x:c r="C4021" t="str">
        <x:v>PHYSICAL</x:v>
      </x:c>
      <x:c r="D4021" t="str">
        <x:v>trial-result review</x:v>
      </x:c>
      <x:c r="E4021" t="str">
        <x:v>PH-RR-103</x:v>
      </x:c>
      <x:c r="F4021" t="str">
        <x:f>'Trial Results'!R109</x:f>
      </x:c>
      <x:c r="G4021" t="n">
        <x:v>1</x:v>
      </x:c>
      <x:c r="H4021" t="str">
        <x:v>independent physical acceptance</x:v>
      </x:c>
      <x:c r="I4021" t="str">
        <x:f>IF(F4021=1,"PASS","OPEN")</x:f>
        <x:v>OPEN</x:v>
      </x:c>
    </x:row>
    <x:row r="4022">
      <x:c r="B4022" t="str">
        <x:v>PH-RR-104</x:v>
      </x:c>
      <x:c r="C4022" t="str">
        <x:v>PHYSICAL</x:v>
      </x:c>
      <x:c r="D4022" t="str">
        <x:v>trial-result review</x:v>
      </x:c>
      <x:c r="E4022" t="str">
        <x:v>PH-RR-104</x:v>
      </x:c>
      <x:c r="F4022" t="str">
        <x:f>'Trial Results'!R110</x:f>
      </x:c>
      <x:c r="G4022" t="n">
        <x:v>1</x:v>
      </x:c>
      <x:c r="H4022" t="str">
        <x:v>independent physical acceptance</x:v>
      </x:c>
      <x:c r="I4022" t="str">
        <x:f>IF(F4022=1,"PASS","OPEN")</x:f>
        <x:v>OPEN</x:v>
      </x:c>
    </x:row>
    <x:row r="4023">
      <x:c r="B4023" t="str">
        <x:v>PH-RR-105</x:v>
      </x:c>
      <x:c r="C4023" t="str">
        <x:v>PHYSICAL</x:v>
      </x:c>
      <x:c r="D4023" t="str">
        <x:v>trial-result review</x:v>
      </x:c>
      <x:c r="E4023" t="str">
        <x:v>PH-RR-105</x:v>
      </x:c>
      <x:c r="F4023" t="str">
        <x:f>'Trial Results'!R111</x:f>
      </x:c>
      <x:c r="G4023" t="n">
        <x:v>1</x:v>
      </x:c>
      <x:c r="H4023" t="str">
        <x:v>independent physical acceptance</x:v>
      </x:c>
      <x:c r="I4023" t="str">
        <x:f>IF(F4023=1,"PASS","OPEN")</x:f>
        <x:v>OPEN</x:v>
      </x:c>
    </x:row>
    <x:row r="4024">
      <x:c r="B4024" t="str">
        <x:v>PH-RR-106</x:v>
      </x:c>
      <x:c r="C4024" t="str">
        <x:v>PHYSICAL</x:v>
      </x:c>
      <x:c r="D4024" t="str">
        <x:v>trial-result review</x:v>
      </x:c>
      <x:c r="E4024" t="str">
        <x:v>PH-RR-106</x:v>
      </x:c>
      <x:c r="F4024" t="str">
        <x:f>'Trial Results'!R112</x:f>
      </x:c>
      <x:c r="G4024" t="n">
        <x:v>1</x:v>
      </x:c>
      <x:c r="H4024" t="str">
        <x:v>independent physical acceptance</x:v>
      </x:c>
      <x:c r="I4024" t="str">
        <x:f>IF(F4024=1,"PASS","OPEN")</x:f>
        <x:v>OPEN</x:v>
      </x:c>
    </x:row>
    <x:row r="4025">
      <x:c r="B4025" t="str">
        <x:v>PH-RR-107</x:v>
      </x:c>
      <x:c r="C4025" t="str">
        <x:v>PHYSICAL</x:v>
      </x:c>
      <x:c r="D4025" t="str">
        <x:v>trial-result review</x:v>
      </x:c>
      <x:c r="E4025" t="str">
        <x:v>PH-RR-107</x:v>
      </x:c>
      <x:c r="F4025" t="str">
        <x:f>'Trial Results'!R113</x:f>
      </x:c>
      <x:c r="G4025" t="n">
        <x:v>1</x:v>
      </x:c>
      <x:c r="H4025" t="str">
        <x:v>independent physical acceptance</x:v>
      </x:c>
      <x:c r="I4025" t="str">
        <x:f>IF(F4025=1,"PASS","OPEN")</x:f>
        <x:v>OPEN</x:v>
      </x:c>
    </x:row>
    <x:row r="4026">
      <x:c r="B4026" t="str">
        <x:v>PH-RR-108</x:v>
      </x:c>
      <x:c r="C4026" t="str">
        <x:v>PHYSICAL</x:v>
      </x:c>
      <x:c r="D4026" t="str">
        <x:v>trial-result review</x:v>
      </x:c>
      <x:c r="E4026" t="str">
        <x:v>PH-RR-108</x:v>
      </x:c>
      <x:c r="F4026" t="str">
        <x:f>'Trial Results'!R114</x:f>
      </x:c>
      <x:c r="G4026" t="n">
        <x:v>1</x:v>
      </x:c>
      <x:c r="H4026" t="str">
        <x:v>independent physical acceptance</x:v>
      </x:c>
      <x:c r="I4026" t="str">
        <x:f>IF(F4026=1,"PASS","OPEN")</x:f>
        <x:v>OPEN</x:v>
      </x:c>
    </x:row>
    <x:row r="4027">
      <x:c r="B4027" t="str">
        <x:v>PH-RR-109</x:v>
      </x:c>
      <x:c r="C4027" t="str">
        <x:v>PHYSICAL</x:v>
      </x:c>
      <x:c r="D4027" t="str">
        <x:v>trial-result review</x:v>
      </x:c>
      <x:c r="E4027" t="str">
        <x:v>PH-RR-109</x:v>
      </x:c>
      <x:c r="F4027" t="str">
        <x:f>'Trial Results'!R115</x:f>
      </x:c>
      <x:c r="G4027" t="n">
        <x:v>1</x:v>
      </x:c>
      <x:c r="H4027" t="str">
        <x:v>independent physical acceptance</x:v>
      </x:c>
      <x:c r="I4027" t="str">
        <x:f>IF(F4027=1,"PASS","OPEN")</x:f>
        <x:v>OPEN</x:v>
      </x:c>
    </x:row>
    <x:row r="4028">
      <x:c r="B4028" t="str">
        <x:v>PH-RR-110</x:v>
      </x:c>
      <x:c r="C4028" t="str">
        <x:v>PHYSICAL</x:v>
      </x:c>
      <x:c r="D4028" t="str">
        <x:v>trial-result review</x:v>
      </x:c>
      <x:c r="E4028" t="str">
        <x:v>PH-RR-110</x:v>
      </x:c>
      <x:c r="F4028" t="str">
        <x:f>'Trial Results'!R116</x:f>
      </x:c>
      <x:c r="G4028" t="n">
        <x:v>1</x:v>
      </x:c>
      <x:c r="H4028" t="str">
        <x:v>independent physical acceptance</x:v>
      </x:c>
      <x:c r="I4028" t="str">
        <x:f>IF(F4028=1,"PASS","OPEN")</x:f>
        <x:v>OPEN</x:v>
      </x:c>
    </x:row>
    <x:row r="4029">
      <x:c r="B4029" t="str">
        <x:v>PH-RR-111</x:v>
      </x:c>
      <x:c r="C4029" t="str">
        <x:v>PHYSICAL</x:v>
      </x:c>
      <x:c r="D4029" t="str">
        <x:v>trial-result review</x:v>
      </x:c>
      <x:c r="E4029" t="str">
        <x:v>PH-RR-111</x:v>
      </x:c>
      <x:c r="F4029" t="str">
        <x:f>'Trial Results'!R117</x:f>
      </x:c>
      <x:c r="G4029" t="n">
        <x:v>1</x:v>
      </x:c>
      <x:c r="H4029" t="str">
        <x:v>independent physical acceptance</x:v>
      </x:c>
      <x:c r="I4029" t="str">
        <x:f>IF(F4029=1,"PASS","OPEN")</x:f>
        <x:v>OPEN</x:v>
      </x:c>
    </x:row>
    <x:row r="4030">
      <x:c r="B4030" t="str">
        <x:v>PH-RR-112</x:v>
      </x:c>
      <x:c r="C4030" t="str">
        <x:v>PHYSICAL</x:v>
      </x:c>
      <x:c r="D4030" t="str">
        <x:v>trial-result review</x:v>
      </x:c>
      <x:c r="E4030" t="str">
        <x:v>PH-RR-112</x:v>
      </x:c>
      <x:c r="F4030" t="str">
        <x:f>'Trial Results'!R118</x:f>
      </x:c>
      <x:c r="G4030" t="n">
        <x:v>1</x:v>
      </x:c>
      <x:c r="H4030" t="str">
        <x:v>independent physical acceptance</x:v>
      </x:c>
      <x:c r="I4030" t="str">
        <x:f>IF(F4030=1,"PASS","OPEN")</x:f>
        <x:v>OPEN</x:v>
      </x:c>
    </x:row>
    <x:row r="4031">
      <x:c r="B4031" t="str">
        <x:v>PH-RR-113</x:v>
      </x:c>
      <x:c r="C4031" t="str">
        <x:v>PHYSICAL</x:v>
      </x:c>
      <x:c r="D4031" t="str">
        <x:v>trial-result review</x:v>
      </x:c>
      <x:c r="E4031" t="str">
        <x:v>PH-RR-113</x:v>
      </x:c>
      <x:c r="F4031" t="str">
        <x:f>'Trial Results'!R119</x:f>
      </x:c>
      <x:c r="G4031" t="n">
        <x:v>1</x:v>
      </x:c>
      <x:c r="H4031" t="str">
        <x:v>independent physical acceptance</x:v>
      </x:c>
      <x:c r="I4031" t="str">
        <x:f>IF(F4031=1,"PASS","OPEN")</x:f>
        <x:v>OPEN</x:v>
      </x:c>
    </x:row>
    <x:row r="4032">
      <x:c r="B4032" t="str">
        <x:v>PH-RR-114</x:v>
      </x:c>
      <x:c r="C4032" t="str">
        <x:v>PHYSICAL</x:v>
      </x:c>
      <x:c r="D4032" t="str">
        <x:v>trial-result review</x:v>
      </x:c>
      <x:c r="E4032" t="str">
        <x:v>PH-RR-114</x:v>
      </x:c>
      <x:c r="F4032" t="str">
        <x:f>'Trial Results'!R120</x:f>
      </x:c>
      <x:c r="G4032" t="n">
        <x:v>1</x:v>
      </x:c>
      <x:c r="H4032" t="str">
        <x:v>independent physical acceptance</x:v>
      </x:c>
      <x:c r="I4032" t="str">
        <x:f>IF(F4032=1,"PASS","OPEN")</x:f>
        <x:v>OPEN</x:v>
      </x:c>
    </x:row>
    <x:row r="4033">
      <x:c r="B4033" t="str">
        <x:v>PH-RR-115</x:v>
      </x:c>
      <x:c r="C4033" t="str">
        <x:v>PHYSICAL</x:v>
      </x:c>
      <x:c r="D4033" t="str">
        <x:v>trial-result review</x:v>
      </x:c>
      <x:c r="E4033" t="str">
        <x:v>PH-RR-115</x:v>
      </x:c>
      <x:c r="F4033" t="str">
        <x:f>'Trial Results'!R121</x:f>
      </x:c>
      <x:c r="G4033" t="n">
        <x:v>1</x:v>
      </x:c>
      <x:c r="H4033" t="str">
        <x:v>independent physical acceptance</x:v>
      </x:c>
      <x:c r="I4033" t="str">
        <x:f>IF(F4033=1,"PASS","OPEN")</x:f>
        <x:v>OPEN</x:v>
      </x:c>
    </x:row>
    <x:row r="4034">
      <x:c r="B4034" t="str">
        <x:v>PH-RR-116</x:v>
      </x:c>
      <x:c r="C4034" t="str">
        <x:v>PHYSICAL</x:v>
      </x:c>
      <x:c r="D4034" t="str">
        <x:v>trial-result review</x:v>
      </x:c>
      <x:c r="E4034" t="str">
        <x:v>PH-RR-116</x:v>
      </x:c>
      <x:c r="F4034" t="str">
        <x:f>'Trial Results'!R122</x:f>
      </x:c>
      <x:c r="G4034" t="n">
        <x:v>1</x:v>
      </x:c>
      <x:c r="H4034" t="str">
        <x:v>independent physical acceptance</x:v>
      </x:c>
      <x:c r="I4034" t="str">
        <x:f>IF(F4034=1,"PASS","OPEN")</x:f>
        <x:v>OPEN</x:v>
      </x:c>
    </x:row>
    <x:row r="4035">
      <x:c r="B4035" t="str">
        <x:v>PH-RR-117</x:v>
      </x:c>
      <x:c r="C4035" t="str">
        <x:v>PHYSICAL</x:v>
      </x:c>
      <x:c r="D4035" t="str">
        <x:v>trial-result review</x:v>
      </x:c>
      <x:c r="E4035" t="str">
        <x:v>PH-RR-117</x:v>
      </x:c>
      <x:c r="F4035" t="str">
        <x:f>'Trial Results'!R123</x:f>
      </x:c>
      <x:c r="G4035" t="n">
        <x:v>1</x:v>
      </x:c>
      <x:c r="H4035" t="str">
        <x:v>independent physical acceptance</x:v>
      </x:c>
      <x:c r="I4035" t="str">
        <x:f>IF(F4035=1,"PASS","OPEN")</x:f>
        <x:v>OPEN</x:v>
      </x:c>
    </x:row>
    <x:row r="4036">
      <x:c r="B4036" t="str">
        <x:v>PH-RR-118</x:v>
      </x:c>
      <x:c r="C4036" t="str">
        <x:v>PHYSICAL</x:v>
      </x:c>
      <x:c r="D4036" t="str">
        <x:v>trial-result review</x:v>
      </x:c>
      <x:c r="E4036" t="str">
        <x:v>PH-RR-118</x:v>
      </x:c>
      <x:c r="F4036" t="str">
        <x:f>'Trial Results'!R124</x:f>
      </x:c>
      <x:c r="G4036" t="n">
        <x:v>1</x:v>
      </x:c>
      <x:c r="H4036" t="str">
        <x:v>independent physical acceptance</x:v>
      </x:c>
      <x:c r="I4036" t="str">
        <x:f>IF(F4036=1,"PASS","OPEN")</x:f>
        <x:v>OPEN</x:v>
      </x:c>
    </x:row>
    <x:row r="4037">
      <x:c r="B4037" t="str">
        <x:v>PH-RR-119</x:v>
      </x:c>
      <x:c r="C4037" t="str">
        <x:v>PHYSICAL</x:v>
      </x:c>
      <x:c r="D4037" t="str">
        <x:v>trial-result review</x:v>
      </x:c>
      <x:c r="E4037" t="str">
        <x:v>PH-RR-119</x:v>
      </x:c>
      <x:c r="F4037" t="str">
        <x:f>'Trial Results'!R125</x:f>
      </x:c>
      <x:c r="G4037" t="n">
        <x:v>1</x:v>
      </x:c>
      <x:c r="H4037" t="str">
        <x:v>independent physical acceptance</x:v>
      </x:c>
      <x:c r="I4037" t="str">
        <x:f>IF(F4037=1,"PASS","OPEN")</x:f>
        <x:v>OPEN</x:v>
      </x:c>
    </x:row>
    <x:row r="4038">
      <x:c r="B4038" t="str">
        <x:v>PH-RR-120</x:v>
      </x:c>
      <x:c r="C4038" t="str">
        <x:v>PHYSICAL</x:v>
      </x:c>
      <x:c r="D4038" t="str">
        <x:v>trial-result review</x:v>
      </x:c>
      <x:c r="E4038" t="str">
        <x:v>PH-RR-120</x:v>
      </x:c>
      <x:c r="F4038" t="str">
        <x:f>'Trial Results'!R126</x:f>
      </x:c>
      <x:c r="G4038" t="n">
        <x:v>1</x:v>
      </x:c>
      <x:c r="H4038" t="str">
        <x:v>independent physical acceptance</x:v>
      </x:c>
      <x:c r="I4038" t="str">
        <x:f>IF(F4038=1,"PASS","OPEN")</x:f>
        <x:v>OPEN</x:v>
      </x:c>
    </x:row>
    <x:row r="4039">
      <x:c r="B4039" t="str">
        <x:v>PH-RR-121</x:v>
      </x:c>
      <x:c r="C4039" t="str">
        <x:v>PHYSICAL</x:v>
      </x:c>
      <x:c r="D4039" t="str">
        <x:v>trial-result review</x:v>
      </x:c>
      <x:c r="E4039" t="str">
        <x:v>PH-RR-121</x:v>
      </x:c>
      <x:c r="F4039" t="str">
        <x:f>'Trial Results'!R127</x:f>
      </x:c>
      <x:c r="G4039" t="n">
        <x:v>1</x:v>
      </x:c>
      <x:c r="H4039" t="str">
        <x:v>independent physical acceptance</x:v>
      </x:c>
      <x:c r="I4039" t="str">
        <x:f>IF(F4039=1,"PASS","OPEN")</x:f>
        <x:v>OPEN</x:v>
      </x:c>
    </x:row>
    <x:row r="4040">
      <x:c r="B4040" t="str">
        <x:v>PH-RR-122</x:v>
      </x:c>
      <x:c r="C4040" t="str">
        <x:v>PHYSICAL</x:v>
      </x:c>
      <x:c r="D4040" t="str">
        <x:v>trial-result review</x:v>
      </x:c>
      <x:c r="E4040" t="str">
        <x:v>PH-RR-122</x:v>
      </x:c>
      <x:c r="F4040" t="str">
        <x:f>'Trial Results'!R128</x:f>
      </x:c>
      <x:c r="G4040" t="n">
        <x:v>1</x:v>
      </x:c>
      <x:c r="H4040" t="str">
        <x:v>independent physical acceptance</x:v>
      </x:c>
      <x:c r="I4040" t="str">
        <x:f>IF(F4040=1,"PASS","OPEN")</x:f>
        <x:v>OPEN</x:v>
      </x:c>
    </x:row>
    <x:row r="4041">
      <x:c r="B4041" t="str">
        <x:v>PH-RR-123</x:v>
      </x:c>
      <x:c r="C4041" t="str">
        <x:v>PHYSICAL</x:v>
      </x:c>
      <x:c r="D4041" t="str">
        <x:v>trial-result review</x:v>
      </x:c>
      <x:c r="E4041" t="str">
        <x:v>PH-RR-123</x:v>
      </x:c>
      <x:c r="F4041" t="str">
        <x:f>'Trial Results'!R129</x:f>
      </x:c>
      <x:c r="G4041" t="n">
        <x:v>1</x:v>
      </x:c>
      <x:c r="H4041" t="str">
        <x:v>independent physical acceptance</x:v>
      </x:c>
      <x:c r="I4041" t="str">
        <x:f>IF(F4041=1,"PASS","OPEN")</x:f>
        <x:v>OPEN</x:v>
      </x:c>
    </x:row>
    <x:row r="4042">
      <x:c r="B4042" t="str">
        <x:v>PH-RR-124</x:v>
      </x:c>
      <x:c r="C4042" t="str">
        <x:v>PHYSICAL</x:v>
      </x:c>
      <x:c r="D4042" t="str">
        <x:v>trial-result review</x:v>
      </x:c>
      <x:c r="E4042" t="str">
        <x:v>PH-RR-124</x:v>
      </x:c>
      <x:c r="F4042" t="str">
        <x:f>'Trial Results'!R130</x:f>
      </x:c>
      <x:c r="G4042" t="n">
        <x:v>1</x:v>
      </x:c>
      <x:c r="H4042" t="str">
        <x:v>independent physical acceptance</x:v>
      </x:c>
      <x:c r="I4042" t="str">
        <x:f>IF(F4042=1,"PASS","OPEN")</x:f>
        <x:v>OPEN</x:v>
      </x:c>
    </x:row>
    <x:row r="4043">
      <x:c r="B4043" t="str">
        <x:v>PH-RR-125</x:v>
      </x:c>
      <x:c r="C4043" t="str">
        <x:v>PHYSICAL</x:v>
      </x:c>
      <x:c r="D4043" t="str">
        <x:v>trial-result review</x:v>
      </x:c>
      <x:c r="E4043" t="str">
        <x:v>PH-RR-125</x:v>
      </x:c>
      <x:c r="F4043" t="str">
        <x:f>'Trial Results'!R131</x:f>
      </x:c>
      <x:c r="G4043" t="n">
        <x:v>1</x:v>
      </x:c>
      <x:c r="H4043" t="str">
        <x:v>independent physical acceptance</x:v>
      </x:c>
      <x:c r="I4043" t="str">
        <x:f>IF(F4043=1,"PASS","OPEN")</x:f>
        <x:v>OPEN</x:v>
      </x:c>
    </x:row>
    <x:row r="4044">
      <x:c r="B4044" t="str">
        <x:v>PH-RR-126</x:v>
      </x:c>
      <x:c r="C4044" t="str">
        <x:v>PHYSICAL</x:v>
      </x:c>
      <x:c r="D4044" t="str">
        <x:v>trial-result review</x:v>
      </x:c>
      <x:c r="E4044" t="str">
        <x:v>PH-RR-126</x:v>
      </x:c>
      <x:c r="F4044" t="str">
        <x:f>'Trial Results'!R132</x:f>
      </x:c>
      <x:c r="G4044" t="n">
        <x:v>1</x:v>
      </x:c>
      <x:c r="H4044" t="str">
        <x:v>independent physical acceptance</x:v>
      </x:c>
      <x:c r="I4044" t="str">
        <x:f>IF(F4044=1,"PASS","OPEN")</x:f>
        <x:v>OPEN</x:v>
      </x:c>
    </x:row>
    <x:row r="4045">
      <x:c r="B4045" t="str">
        <x:v>PH-RR-127</x:v>
      </x:c>
      <x:c r="C4045" t="str">
        <x:v>PHYSICAL</x:v>
      </x:c>
      <x:c r="D4045" t="str">
        <x:v>trial-result review</x:v>
      </x:c>
      <x:c r="E4045" t="str">
        <x:v>PH-RR-127</x:v>
      </x:c>
      <x:c r="F4045" t="str">
        <x:f>'Trial Results'!R133</x:f>
      </x:c>
      <x:c r="G4045" t="n">
        <x:v>1</x:v>
      </x:c>
      <x:c r="H4045" t="str">
        <x:v>independent physical acceptance</x:v>
      </x:c>
      <x:c r="I4045" t="str">
        <x:f>IF(F4045=1,"PASS","OPEN")</x:f>
        <x:v>OPEN</x:v>
      </x:c>
    </x:row>
    <x:row r="4046">
      <x:c r="B4046" t="str">
        <x:v>PH-RR-128</x:v>
      </x:c>
      <x:c r="C4046" t="str">
        <x:v>PHYSICAL</x:v>
      </x:c>
      <x:c r="D4046" t="str">
        <x:v>trial-result review</x:v>
      </x:c>
      <x:c r="E4046" t="str">
        <x:v>PH-RR-128</x:v>
      </x:c>
      <x:c r="F4046" t="str">
        <x:f>'Trial Results'!R134</x:f>
      </x:c>
      <x:c r="G4046" t="n">
        <x:v>1</x:v>
      </x:c>
      <x:c r="H4046" t="str">
        <x:v>independent physical acceptance</x:v>
      </x:c>
      <x:c r="I4046" t="str">
        <x:f>IF(F4046=1,"PASS","OPEN")</x:f>
        <x:v>OPEN</x:v>
      </x:c>
    </x:row>
    <x:row r="4047">
      <x:c r="B4047" t="str">
        <x:v>PH-RR-129</x:v>
      </x:c>
      <x:c r="C4047" t="str">
        <x:v>PHYSICAL</x:v>
      </x:c>
      <x:c r="D4047" t="str">
        <x:v>trial-result review</x:v>
      </x:c>
      <x:c r="E4047" t="str">
        <x:v>PH-RR-129</x:v>
      </x:c>
      <x:c r="F4047" t="str">
        <x:f>'Trial Results'!R135</x:f>
      </x:c>
      <x:c r="G4047" t="n">
        <x:v>1</x:v>
      </x:c>
      <x:c r="H4047" t="str">
        <x:v>independent physical acceptance</x:v>
      </x:c>
      <x:c r="I4047" t="str">
        <x:f>IF(F4047=1,"PASS","OPEN")</x:f>
        <x:v>OPEN</x:v>
      </x:c>
    </x:row>
    <x:row r="4048">
      <x:c r="B4048" t="str">
        <x:v>PH-RR-130</x:v>
      </x:c>
      <x:c r="C4048" t="str">
        <x:v>PHYSICAL</x:v>
      </x:c>
      <x:c r="D4048" t="str">
        <x:v>trial-result review</x:v>
      </x:c>
      <x:c r="E4048" t="str">
        <x:v>PH-RR-130</x:v>
      </x:c>
      <x:c r="F4048" t="str">
        <x:f>'Trial Results'!R136</x:f>
      </x:c>
      <x:c r="G4048" t="n">
        <x:v>1</x:v>
      </x:c>
      <x:c r="H4048" t="str">
        <x:v>independent physical acceptance</x:v>
      </x:c>
      <x:c r="I4048" t="str">
        <x:f>IF(F4048=1,"PASS","OPEN")</x:f>
        <x:v>OPEN</x:v>
      </x:c>
    </x:row>
    <x:row r="4049">
      <x:c r="B4049" t="str">
        <x:v>PH-RR-131</x:v>
      </x:c>
      <x:c r="C4049" t="str">
        <x:v>PHYSICAL</x:v>
      </x:c>
      <x:c r="D4049" t="str">
        <x:v>trial-result review</x:v>
      </x:c>
      <x:c r="E4049" t="str">
        <x:v>PH-RR-131</x:v>
      </x:c>
      <x:c r="F4049" t="str">
        <x:f>'Trial Results'!R137</x:f>
      </x:c>
      <x:c r="G4049" t="n">
        <x:v>1</x:v>
      </x:c>
      <x:c r="H4049" t="str">
        <x:v>independent physical acceptance</x:v>
      </x:c>
      <x:c r="I4049" t="str">
        <x:f>IF(F4049=1,"PASS","OPEN")</x:f>
        <x:v>OPEN</x:v>
      </x:c>
    </x:row>
    <x:row r="4050">
      <x:c r="B4050" t="str">
        <x:v>PH-RR-132</x:v>
      </x:c>
      <x:c r="C4050" t="str">
        <x:v>PHYSICAL</x:v>
      </x:c>
      <x:c r="D4050" t="str">
        <x:v>trial-result review</x:v>
      </x:c>
      <x:c r="E4050" t="str">
        <x:v>PH-RR-132</x:v>
      </x:c>
      <x:c r="F4050" t="str">
        <x:f>'Trial Results'!R138</x:f>
      </x:c>
      <x:c r="G4050" t="n">
        <x:v>1</x:v>
      </x:c>
      <x:c r="H4050" t="str">
        <x:v>independent physical acceptance</x:v>
      </x:c>
      <x:c r="I4050" t="str">
        <x:f>IF(F4050=1,"PASS","OPEN")</x:f>
        <x:v>OPEN</x:v>
      </x:c>
    </x:row>
    <x:row r="4051">
      <x:c r="B4051" t="str">
        <x:v>PH-RR-133</x:v>
      </x:c>
      <x:c r="C4051" t="str">
        <x:v>PHYSICAL</x:v>
      </x:c>
      <x:c r="D4051" t="str">
        <x:v>trial-result review</x:v>
      </x:c>
      <x:c r="E4051" t="str">
        <x:v>PH-RR-133</x:v>
      </x:c>
      <x:c r="F4051" t="str">
        <x:f>'Trial Results'!R139</x:f>
      </x:c>
      <x:c r="G4051" t="n">
        <x:v>1</x:v>
      </x:c>
      <x:c r="H4051" t="str">
        <x:v>independent physical acceptance</x:v>
      </x:c>
      <x:c r="I4051" t="str">
        <x:f>IF(F4051=1,"PASS","OPEN")</x:f>
        <x:v>OPEN</x:v>
      </x:c>
    </x:row>
    <x:row r="4052">
      <x:c r="B4052" t="str">
        <x:v>PH-RR-134</x:v>
      </x:c>
      <x:c r="C4052" t="str">
        <x:v>PHYSICAL</x:v>
      </x:c>
      <x:c r="D4052" t="str">
        <x:v>trial-result review</x:v>
      </x:c>
      <x:c r="E4052" t="str">
        <x:v>PH-RR-134</x:v>
      </x:c>
      <x:c r="F4052" t="str">
        <x:f>'Trial Results'!R140</x:f>
      </x:c>
      <x:c r="G4052" t="n">
        <x:v>1</x:v>
      </x:c>
      <x:c r="H4052" t="str">
        <x:v>independent physical acceptance</x:v>
      </x:c>
      <x:c r="I4052" t="str">
        <x:f>IF(F4052=1,"PASS","OPEN")</x:f>
        <x:v>OPEN</x:v>
      </x:c>
    </x:row>
    <x:row r="4053">
      <x:c r="B4053" t="str">
        <x:v>PH-RR-135</x:v>
      </x:c>
      <x:c r="C4053" t="str">
        <x:v>PHYSICAL</x:v>
      </x:c>
      <x:c r="D4053" t="str">
        <x:v>trial-result review</x:v>
      </x:c>
      <x:c r="E4053" t="str">
        <x:v>PH-RR-135</x:v>
      </x:c>
      <x:c r="F4053" t="str">
        <x:f>'Trial Results'!R141</x:f>
      </x:c>
      <x:c r="G4053" t="n">
        <x:v>1</x:v>
      </x:c>
      <x:c r="H4053" t="str">
        <x:v>independent physical acceptance</x:v>
      </x:c>
      <x:c r="I4053" t="str">
        <x:f>IF(F4053=1,"PASS","OPEN")</x:f>
        <x:v>OPEN</x:v>
      </x:c>
    </x:row>
    <x:row r="4054">
      <x:c r="B4054" t="str">
        <x:v>PH-RR-136</x:v>
      </x:c>
      <x:c r="C4054" t="str">
        <x:v>PHYSICAL</x:v>
      </x:c>
      <x:c r="D4054" t="str">
        <x:v>trial-result review</x:v>
      </x:c>
      <x:c r="E4054" t="str">
        <x:v>PH-RR-136</x:v>
      </x:c>
      <x:c r="F4054" t="str">
        <x:f>'Trial Results'!R142</x:f>
      </x:c>
      <x:c r="G4054" t="n">
        <x:v>1</x:v>
      </x:c>
      <x:c r="H4054" t="str">
        <x:v>independent physical acceptance</x:v>
      </x:c>
      <x:c r="I4054" t="str">
        <x:f>IF(F4054=1,"PASS","OPEN")</x:f>
        <x:v>OPEN</x:v>
      </x:c>
    </x:row>
    <x:row r="4055">
      <x:c r="B4055" t="str">
        <x:v>PH-RR-137</x:v>
      </x:c>
      <x:c r="C4055" t="str">
        <x:v>PHYSICAL</x:v>
      </x:c>
      <x:c r="D4055" t="str">
        <x:v>trial-result review</x:v>
      </x:c>
      <x:c r="E4055" t="str">
        <x:v>PH-RR-137</x:v>
      </x:c>
      <x:c r="F4055" t="str">
        <x:f>'Trial Results'!R143</x:f>
      </x:c>
      <x:c r="G4055" t="n">
        <x:v>1</x:v>
      </x:c>
      <x:c r="H4055" t="str">
        <x:v>independent physical acceptance</x:v>
      </x:c>
      <x:c r="I4055" t="str">
        <x:f>IF(F4055=1,"PASS","OPEN")</x:f>
        <x:v>OPEN</x:v>
      </x:c>
    </x:row>
    <x:row r="4056">
      <x:c r="B4056" t="str">
        <x:v>PH-RR-138</x:v>
      </x:c>
      <x:c r="C4056" t="str">
        <x:v>PHYSICAL</x:v>
      </x:c>
      <x:c r="D4056" t="str">
        <x:v>trial-result review</x:v>
      </x:c>
      <x:c r="E4056" t="str">
        <x:v>PH-RR-138</x:v>
      </x:c>
      <x:c r="F4056" t="str">
        <x:f>'Trial Results'!R144</x:f>
      </x:c>
      <x:c r="G4056" t="n">
        <x:v>1</x:v>
      </x:c>
      <x:c r="H4056" t="str">
        <x:v>independent physical acceptance</x:v>
      </x:c>
      <x:c r="I4056" t="str">
        <x:f>IF(F4056=1,"PASS","OPEN")</x:f>
        <x:v>OPEN</x:v>
      </x:c>
    </x:row>
    <x:row r="4057">
      <x:c r="B4057" t="str">
        <x:v>PH-RR-139</x:v>
      </x:c>
      <x:c r="C4057" t="str">
        <x:v>PHYSICAL</x:v>
      </x:c>
      <x:c r="D4057" t="str">
        <x:v>trial-result review</x:v>
      </x:c>
      <x:c r="E4057" t="str">
        <x:v>PH-RR-139</x:v>
      </x:c>
      <x:c r="F4057" t="str">
        <x:f>'Trial Results'!R145</x:f>
      </x:c>
      <x:c r="G4057" t="n">
        <x:v>1</x:v>
      </x:c>
      <x:c r="H4057" t="str">
        <x:v>independent physical acceptance</x:v>
      </x:c>
      <x:c r="I4057" t="str">
        <x:f>IF(F4057=1,"PASS","OPEN")</x:f>
        <x:v>OPEN</x:v>
      </x:c>
    </x:row>
    <x:row r="4058">
      <x:c r="B4058" t="str">
        <x:v>PH-RR-140</x:v>
      </x:c>
      <x:c r="C4058" t="str">
        <x:v>PHYSICAL</x:v>
      </x:c>
      <x:c r="D4058" t="str">
        <x:v>trial-result review</x:v>
      </x:c>
      <x:c r="E4058" t="str">
        <x:v>PH-RR-140</x:v>
      </x:c>
      <x:c r="F4058" t="str">
        <x:f>'Trial Results'!R146</x:f>
      </x:c>
      <x:c r="G4058" t="n">
        <x:v>1</x:v>
      </x:c>
      <x:c r="H4058" t="str">
        <x:v>independent physical acceptance</x:v>
      </x:c>
      <x:c r="I4058" t="str">
        <x:f>IF(F4058=1,"PASS","OPEN")</x:f>
        <x:v>OPEN</x:v>
      </x:c>
    </x:row>
    <x:row r="4059">
      <x:c r="B4059" t="str">
        <x:v>PH-RR-141</x:v>
      </x:c>
      <x:c r="C4059" t="str">
        <x:v>PHYSICAL</x:v>
      </x:c>
      <x:c r="D4059" t="str">
        <x:v>trial-result review</x:v>
      </x:c>
      <x:c r="E4059" t="str">
        <x:v>PH-RR-141</x:v>
      </x:c>
      <x:c r="F4059" t="str">
        <x:f>'Trial Results'!R147</x:f>
      </x:c>
      <x:c r="G4059" t="n">
        <x:v>1</x:v>
      </x:c>
      <x:c r="H4059" t="str">
        <x:v>independent physical acceptance</x:v>
      </x:c>
      <x:c r="I4059" t="str">
        <x:f>IF(F4059=1,"PASS","OPEN")</x:f>
        <x:v>OPEN</x:v>
      </x:c>
    </x:row>
    <x:row r="4060">
      <x:c r="B4060" t="str">
        <x:v>PH-RR-142</x:v>
      </x:c>
      <x:c r="C4060" t="str">
        <x:v>PHYSICAL</x:v>
      </x:c>
      <x:c r="D4060" t="str">
        <x:v>trial-result review</x:v>
      </x:c>
      <x:c r="E4060" t="str">
        <x:v>PH-RR-142</x:v>
      </x:c>
      <x:c r="F4060" t="str">
        <x:f>'Trial Results'!R148</x:f>
      </x:c>
      <x:c r="G4060" t="n">
        <x:v>1</x:v>
      </x:c>
      <x:c r="H4060" t="str">
        <x:v>independent physical acceptance</x:v>
      </x:c>
      <x:c r="I4060" t="str">
        <x:f>IF(F4060=1,"PASS","OPEN")</x:f>
        <x:v>OPEN</x:v>
      </x:c>
    </x:row>
    <x:row r="4061">
      <x:c r="B4061" t="str">
        <x:v>PH-RR-143</x:v>
      </x:c>
      <x:c r="C4061" t="str">
        <x:v>PHYSICAL</x:v>
      </x:c>
      <x:c r="D4061" t="str">
        <x:v>trial-result review</x:v>
      </x:c>
      <x:c r="E4061" t="str">
        <x:v>PH-RR-143</x:v>
      </x:c>
      <x:c r="F4061" t="str">
        <x:f>'Trial Results'!R149</x:f>
      </x:c>
      <x:c r="G4061" t="n">
        <x:v>1</x:v>
      </x:c>
      <x:c r="H4061" t="str">
        <x:v>independent physical acceptance</x:v>
      </x:c>
      <x:c r="I4061" t="str">
        <x:f>IF(F4061=1,"PASS","OPEN")</x:f>
        <x:v>OPEN</x:v>
      </x:c>
    </x:row>
    <x:row r="4062">
      <x:c r="B4062" t="str">
        <x:v>PH-RR-144</x:v>
      </x:c>
      <x:c r="C4062" t="str">
        <x:v>PHYSICAL</x:v>
      </x:c>
      <x:c r="D4062" t="str">
        <x:v>trial-result review</x:v>
      </x:c>
      <x:c r="E4062" t="str">
        <x:v>PH-RR-144</x:v>
      </x:c>
      <x:c r="F4062" t="str">
        <x:f>'Trial Results'!R150</x:f>
      </x:c>
      <x:c r="G4062" t="n">
        <x:v>1</x:v>
      </x:c>
      <x:c r="H4062" t="str">
        <x:v>independent physical acceptance</x:v>
      </x:c>
      <x:c r="I4062" t="str">
        <x:f>IF(F4062=1,"PASS","OPEN")</x:f>
        <x:v>OPEN</x:v>
      </x:c>
    </x:row>
    <x:row r="4063">
      <x:c r="B4063" t="str">
        <x:v>PH-RR-145</x:v>
      </x:c>
      <x:c r="C4063" t="str">
        <x:v>PHYSICAL</x:v>
      </x:c>
      <x:c r="D4063" t="str">
        <x:v>trial-result review</x:v>
      </x:c>
      <x:c r="E4063" t="str">
        <x:v>PH-RR-145</x:v>
      </x:c>
      <x:c r="F4063" t="str">
        <x:f>'Trial Results'!R151</x:f>
      </x:c>
      <x:c r="G4063" t="n">
        <x:v>1</x:v>
      </x:c>
      <x:c r="H4063" t="str">
        <x:v>independent physical acceptance</x:v>
      </x:c>
      <x:c r="I4063" t="str">
        <x:f>IF(F4063=1,"PASS","OPEN")</x:f>
        <x:v>OPEN</x:v>
      </x:c>
    </x:row>
    <x:row r="4064">
      <x:c r="B4064" t="str">
        <x:v>PH-RR-146</x:v>
      </x:c>
      <x:c r="C4064" t="str">
        <x:v>PHYSICAL</x:v>
      </x:c>
      <x:c r="D4064" t="str">
        <x:v>trial-result review</x:v>
      </x:c>
      <x:c r="E4064" t="str">
        <x:v>PH-RR-146</x:v>
      </x:c>
      <x:c r="F4064" t="str">
        <x:f>'Trial Results'!R152</x:f>
      </x:c>
      <x:c r="G4064" t="n">
        <x:v>1</x:v>
      </x:c>
      <x:c r="H4064" t="str">
        <x:v>independent physical acceptance</x:v>
      </x:c>
      <x:c r="I4064" t="str">
        <x:f>IF(F4064=1,"PASS","OPEN")</x:f>
        <x:v>OPEN</x:v>
      </x:c>
    </x:row>
    <x:row r="4065">
      <x:c r="B4065" t="str">
        <x:v>PH-RR-147</x:v>
      </x:c>
      <x:c r="C4065" t="str">
        <x:v>PHYSICAL</x:v>
      </x:c>
      <x:c r="D4065" t="str">
        <x:v>trial-result review</x:v>
      </x:c>
      <x:c r="E4065" t="str">
        <x:v>PH-RR-147</x:v>
      </x:c>
      <x:c r="F4065" t="str">
        <x:f>'Trial Results'!R153</x:f>
      </x:c>
      <x:c r="G4065" t="n">
        <x:v>1</x:v>
      </x:c>
      <x:c r="H4065" t="str">
        <x:v>independent physical acceptance</x:v>
      </x:c>
      <x:c r="I4065" t="str">
        <x:f>IF(F4065=1,"PASS","OPEN")</x:f>
        <x:v>OPEN</x:v>
      </x:c>
    </x:row>
    <x:row r="4066">
      <x:c r="B4066" t="str">
        <x:v>PH-RR-148</x:v>
      </x:c>
      <x:c r="C4066" t="str">
        <x:v>PHYSICAL</x:v>
      </x:c>
      <x:c r="D4066" t="str">
        <x:v>trial-result review</x:v>
      </x:c>
      <x:c r="E4066" t="str">
        <x:v>PH-RR-148</x:v>
      </x:c>
      <x:c r="F4066" t="str">
        <x:f>'Trial Results'!R154</x:f>
      </x:c>
      <x:c r="G4066" t="n">
        <x:v>1</x:v>
      </x:c>
      <x:c r="H4066" t="str">
        <x:v>independent physical acceptance</x:v>
      </x:c>
      <x:c r="I4066" t="str">
        <x:f>IF(F4066=1,"PASS","OPEN")</x:f>
        <x:v>OPEN</x:v>
      </x:c>
    </x:row>
    <x:row r="4067">
      <x:c r="B4067" t="str">
        <x:v>PH-RR-149</x:v>
      </x:c>
      <x:c r="C4067" t="str">
        <x:v>PHYSICAL</x:v>
      </x:c>
      <x:c r="D4067" t="str">
        <x:v>trial-result review</x:v>
      </x:c>
      <x:c r="E4067" t="str">
        <x:v>PH-RR-149</x:v>
      </x:c>
      <x:c r="F4067" t="str">
        <x:f>'Trial Results'!R155</x:f>
      </x:c>
      <x:c r="G4067" t="n">
        <x:v>1</x:v>
      </x:c>
      <x:c r="H4067" t="str">
        <x:v>independent physical acceptance</x:v>
      </x:c>
      <x:c r="I4067" t="str">
        <x:f>IF(F4067=1,"PASS","OPEN")</x:f>
        <x:v>OPEN</x:v>
      </x:c>
    </x:row>
    <x:row r="4068">
      <x:c r="B4068" t="str">
        <x:v>PH-RR-150</x:v>
      </x:c>
      <x:c r="C4068" t="str">
        <x:v>PHYSICAL</x:v>
      </x:c>
      <x:c r="D4068" t="str">
        <x:v>trial-result review</x:v>
      </x:c>
      <x:c r="E4068" t="str">
        <x:v>PH-RR-150</x:v>
      </x:c>
      <x:c r="F4068" t="str">
        <x:f>'Trial Results'!R156</x:f>
      </x:c>
      <x:c r="G4068" t="n">
        <x:v>1</x:v>
      </x:c>
      <x:c r="H4068" t="str">
        <x:v>independent physical acceptance</x:v>
      </x:c>
      <x:c r="I4068" t="str">
        <x:f>IF(F4068=1,"PASS","OPEN")</x:f>
        <x:v>OPEN</x:v>
      </x:c>
    </x:row>
    <x:row r="4069">
      <x:c r="B4069" t="str">
        <x:v>PH-RR-151</x:v>
      </x:c>
      <x:c r="C4069" t="str">
        <x:v>PHYSICAL</x:v>
      </x:c>
      <x:c r="D4069" t="str">
        <x:v>trial-result review</x:v>
      </x:c>
      <x:c r="E4069" t="str">
        <x:v>PH-RR-151</x:v>
      </x:c>
      <x:c r="F4069" t="str">
        <x:f>'Trial Results'!R157</x:f>
      </x:c>
      <x:c r="G4069" t="n">
        <x:v>1</x:v>
      </x:c>
      <x:c r="H4069" t="str">
        <x:v>independent physical acceptance</x:v>
      </x:c>
      <x:c r="I4069" t="str">
        <x:f>IF(F4069=1,"PASS","OPEN")</x:f>
        <x:v>OPEN</x:v>
      </x:c>
    </x:row>
    <x:row r="4070">
      <x:c r="B4070" t="str">
        <x:v>PH-RR-152</x:v>
      </x:c>
      <x:c r="C4070" t="str">
        <x:v>PHYSICAL</x:v>
      </x:c>
      <x:c r="D4070" t="str">
        <x:v>trial-result review</x:v>
      </x:c>
      <x:c r="E4070" t="str">
        <x:v>PH-RR-152</x:v>
      </x:c>
      <x:c r="F4070" t="str">
        <x:f>'Trial Results'!R158</x:f>
      </x:c>
      <x:c r="G4070" t="n">
        <x:v>1</x:v>
      </x:c>
      <x:c r="H4070" t="str">
        <x:v>independent physical acceptance</x:v>
      </x:c>
      <x:c r="I4070" t="str">
        <x:f>IF(F4070=1,"PASS","OPEN")</x:f>
        <x:v>OPEN</x:v>
      </x:c>
    </x:row>
    <x:row r="4071">
      <x:c r="B4071" t="str">
        <x:v>PH-RR-153</x:v>
      </x:c>
      <x:c r="C4071" t="str">
        <x:v>PHYSICAL</x:v>
      </x:c>
      <x:c r="D4071" t="str">
        <x:v>trial-result review</x:v>
      </x:c>
      <x:c r="E4071" t="str">
        <x:v>PH-RR-153</x:v>
      </x:c>
      <x:c r="F4071" t="str">
        <x:f>'Trial Results'!R159</x:f>
      </x:c>
      <x:c r="G4071" t="n">
        <x:v>1</x:v>
      </x:c>
      <x:c r="H4071" t="str">
        <x:v>independent physical acceptance</x:v>
      </x:c>
      <x:c r="I4071" t="str">
        <x:f>IF(F4071=1,"PASS","OPEN")</x:f>
        <x:v>OPEN</x:v>
      </x:c>
    </x:row>
    <x:row r="4072">
      <x:c r="B4072" t="str">
        <x:v>PH-RR-154</x:v>
      </x:c>
      <x:c r="C4072" t="str">
        <x:v>PHYSICAL</x:v>
      </x:c>
      <x:c r="D4072" t="str">
        <x:v>trial-result review</x:v>
      </x:c>
      <x:c r="E4072" t="str">
        <x:v>PH-RR-154</x:v>
      </x:c>
      <x:c r="F4072" t="str">
        <x:f>'Trial Results'!R160</x:f>
      </x:c>
      <x:c r="G4072" t="n">
        <x:v>1</x:v>
      </x:c>
      <x:c r="H4072" t="str">
        <x:v>independent physical acceptance</x:v>
      </x:c>
      <x:c r="I4072" t="str">
        <x:f>IF(F4072=1,"PASS","OPEN")</x:f>
        <x:v>OPEN</x:v>
      </x:c>
    </x:row>
    <x:row r="4073">
      <x:c r="B4073" t="str">
        <x:v>PH-RR-155</x:v>
      </x:c>
      <x:c r="C4073" t="str">
        <x:v>PHYSICAL</x:v>
      </x:c>
      <x:c r="D4073" t="str">
        <x:v>trial-result review</x:v>
      </x:c>
      <x:c r="E4073" t="str">
        <x:v>PH-RR-155</x:v>
      </x:c>
      <x:c r="F4073" t="str">
        <x:f>'Trial Results'!R161</x:f>
      </x:c>
      <x:c r="G4073" t="n">
        <x:v>1</x:v>
      </x:c>
      <x:c r="H4073" t="str">
        <x:v>independent physical acceptance</x:v>
      </x:c>
      <x:c r="I4073" t="str">
        <x:f>IF(F4073=1,"PASS","OPEN")</x:f>
        <x:v>OPEN</x:v>
      </x:c>
    </x:row>
    <x:row r="4074">
      <x:c r="B4074" t="str">
        <x:v>PH-RR-156</x:v>
      </x:c>
      <x:c r="C4074" t="str">
        <x:v>PHYSICAL</x:v>
      </x:c>
      <x:c r="D4074" t="str">
        <x:v>trial-result review</x:v>
      </x:c>
      <x:c r="E4074" t="str">
        <x:v>PH-RR-156</x:v>
      </x:c>
      <x:c r="F4074" t="str">
        <x:f>'Trial Results'!R162</x:f>
      </x:c>
      <x:c r="G4074" t="n">
        <x:v>1</x:v>
      </x:c>
      <x:c r="H4074" t="str">
        <x:v>independent physical acceptance</x:v>
      </x:c>
      <x:c r="I4074" t="str">
        <x:f>IF(F4074=1,"PASS","OPEN")</x:f>
        <x:v>OPEN</x:v>
      </x:c>
    </x:row>
    <x:row r="4075">
      <x:c r="B4075" t="str">
        <x:v>PH-RR-157</x:v>
      </x:c>
      <x:c r="C4075" t="str">
        <x:v>PHYSICAL</x:v>
      </x:c>
      <x:c r="D4075" t="str">
        <x:v>trial-result review</x:v>
      </x:c>
      <x:c r="E4075" t="str">
        <x:v>PH-RR-157</x:v>
      </x:c>
      <x:c r="F4075" t="str">
        <x:f>'Trial Results'!R163</x:f>
      </x:c>
      <x:c r="G4075" t="n">
        <x:v>1</x:v>
      </x:c>
      <x:c r="H4075" t="str">
        <x:v>independent physical acceptance</x:v>
      </x:c>
      <x:c r="I4075" t="str">
        <x:f>IF(F4075=1,"PASS","OPEN")</x:f>
        <x:v>OPEN</x:v>
      </x:c>
    </x:row>
    <x:row r="4076">
      <x:c r="B4076" t="str">
        <x:v>PH-RR-158</x:v>
      </x:c>
      <x:c r="C4076" t="str">
        <x:v>PHYSICAL</x:v>
      </x:c>
      <x:c r="D4076" t="str">
        <x:v>trial-result review</x:v>
      </x:c>
      <x:c r="E4076" t="str">
        <x:v>PH-RR-158</x:v>
      </x:c>
      <x:c r="F4076" t="str">
        <x:f>'Trial Results'!R164</x:f>
      </x:c>
      <x:c r="G4076" t="n">
        <x:v>1</x:v>
      </x:c>
      <x:c r="H4076" t="str">
        <x:v>independent physical acceptance</x:v>
      </x:c>
      <x:c r="I4076" t="str">
        <x:f>IF(F4076=1,"PASS","OPEN")</x:f>
        <x:v>OPEN</x:v>
      </x:c>
    </x:row>
    <x:row r="4077">
      <x:c r="B4077" t="str">
        <x:v>PH-RR-159</x:v>
      </x:c>
      <x:c r="C4077" t="str">
        <x:v>PHYSICAL</x:v>
      </x:c>
      <x:c r="D4077" t="str">
        <x:v>trial-result review</x:v>
      </x:c>
      <x:c r="E4077" t="str">
        <x:v>PH-RR-159</x:v>
      </x:c>
      <x:c r="F4077" t="str">
        <x:f>'Trial Results'!R165</x:f>
      </x:c>
      <x:c r="G4077" t="n">
        <x:v>1</x:v>
      </x:c>
      <x:c r="H4077" t="str">
        <x:v>independent physical acceptance</x:v>
      </x:c>
      <x:c r="I4077" t="str">
        <x:f>IF(F4077=1,"PASS","OPEN")</x:f>
        <x:v>OPEN</x:v>
      </x:c>
    </x:row>
    <x:row r="4078">
      <x:c r="B4078" t="str">
        <x:v>PH-RR-160</x:v>
      </x:c>
      <x:c r="C4078" t="str">
        <x:v>PHYSICAL</x:v>
      </x:c>
      <x:c r="D4078" t="str">
        <x:v>trial-result review</x:v>
      </x:c>
      <x:c r="E4078" t="str">
        <x:v>PH-RR-160</x:v>
      </x:c>
      <x:c r="F4078" t="str">
        <x:f>'Trial Results'!R166</x:f>
      </x:c>
      <x:c r="G4078" t="n">
        <x:v>1</x:v>
      </x:c>
      <x:c r="H4078" t="str">
        <x:v>independent physical acceptance</x:v>
      </x:c>
      <x:c r="I4078" t="str">
        <x:f>IF(F4078=1,"PASS","OPEN")</x:f>
        <x:v>OPEN</x:v>
      </x:c>
    </x:row>
    <x:row r="4079">
      <x:c r="B4079" t="str">
        <x:v>PH-RR-161</x:v>
      </x:c>
      <x:c r="C4079" t="str">
        <x:v>PHYSICAL</x:v>
      </x:c>
      <x:c r="D4079" t="str">
        <x:v>trial-result review</x:v>
      </x:c>
      <x:c r="E4079" t="str">
        <x:v>PH-RR-161</x:v>
      </x:c>
      <x:c r="F4079" t="str">
        <x:f>'Trial Results'!R167</x:f>
      </x:c>
      <x:c r="G4079" t="n">
        <x:v>1</x:v>
      </x:c>
      <x:c r="H4079" t="str">
        <x:v>independent physical acceptance</x:v>
      </x:c>
      <x:c r="I4079" t="str">
        <x:f>IF(F4079=1,"PASS","OPEN")</x:f>
        <x:v>OPEN</x:v>
      </x:c>
    </x:row>
    <x:row r="4080">
      <x:c r="B4080" t="str">
        <x:v>PH-RR-162</x:v>
      </x:c>
      <x:c r="C4080" t="str">
        <x:v>PHYSICAL</x:v>
      </x:c>
      <x:c r="D4080" t="str">
        <x:v>trial-result review</x:v>
      </x:c>
      <x:c r="E4080" t="str">
        <x:v>PH-RR-162</x:v>
      </x:c>
      <x:c r="F4080" t="str">
        <x:f>'Trial Results'!R168</x:f>
      </x:c>
      <x:c r="G4080" t="n">
        <x:v>1</x:v>
      </x:c>
      <x:c r="H4080" t="str">
        <x:v>independent physical acceptance</x:v>
      </x:c>
      <x:c r="I4080" t="str">
        <x:f>IF(F4080=1,"PASS","OPEN")</x:f>
        <x:v>OPEN</x:v>
      </x:c>
    </x:row>
    <x:row r="4081">
      <x:c r="B4081" t="str">
        <x:v>PH-RR-163</x:v>
      </x:c>
      <x:c r="C4081" t="str">
        <x:v>PHYSICAL</x:v>
      </x:c>
      <x:c r="D4081" t="str">
        <x:v>trial-result review</x:v>
      </x:c>
      <x:c r="E4081" t="str">
        <x:v>PH-RR-163</x:v>
      </x:c>
      <x:c r="F4081" t="str">
        <x:f>'Trial Results'!R169</x:f>
      </x:c>
      <x:c r="G4081" t="n">
        <x:v>1</x:v>
      </x:c>
      <x:c r="H4081" t="str">
        <x:v>independent physical acceptance</x:v>
      </x:c>
      <x:c r="I4081" t="str">
        <x:f>IF(F4081=1,"PASS","OPEN")</x:f>
        <x:v>OPEN</x:v>
      </x:c>
    </x:row>
    <x:row r="4082">
      <x:c r="B4082" t="str">
        <x:v>PH-RR-164</x:v>
      </x:c>
      <x:c r="C4082" t="str">
        <x:v>PHYSICAL</x:v>
      </x:c>
      <x:c r="D4082" t="str">
        <x:v>trial-result review</x:v>
      </x:c>
      <x:c r="E4082" t="str">
        <x:v>PH-RR-164</x:v>
      </x:c>
      <x:c r="F4082" t="str">
        <x:f>'Trial Results'!R170</x:f>
      </x:c>
      <x:c r="G4082" t="n">
        <x:v>1</x:v>
      </x:c>
      <x:c r="H4082" t="str">
        <x:v>independent physical acceptance</x:v>
      </x:c>
      <x:c r="I4082" t="str">
        <x:f>IF(F4082=1,"PASS","OPEN")</x:f>
        <x:v>OPEN</x:v>
      </x:c>
    </x:row>
    <x:row r="4083">
      <x:c r="B4083" t="str">
        <x:v>PH-RR-165</x:v>
      </x:c>
      <x:c r="C4083" t="str">
        <x:v>PHYSICAL</x:v>
      </x:c>
      <x:c r="D4083" t="str">
        <x:v>trial-result review</x:v>
      </x:c>
      <x:c r="E4083" t="str">
        <x:v>PH-RR-165</x:v>
      </x:c>
      <x:c r="F4083" t="str">
        <x:f>'Trial Results'!R171</x:f>
      </x:c>
      <x:c r="G4083" t="n">
        <x:v>1</x:v>
      </x:c>
      <x:c r="H4083" t="str">
        <x:v>independent physical acceptance</x:v>
      </x:c>
      <x:c r="I4083" t="str">
        <x:f>IF(F4083=1,"PASS","OPEN")</x:f>
        <x:v>OPEN</x:v>
      </x:c>
    </x:row>
    <x:row r="4084">
      <x:c r="B4084" t="str">
        <x:v>PH-RR-166</x:v>
      </x:c>
      <x:c r="C4084" t="str">
        <x:v>PHYSICAL</x:v>
      </x:c>
      <x:c r="D4084" t="str">
        <x:v>trial-result review</x:v>
      </x:c>
      <x:c r="E4084" t="str">
        <x:v>PH-RR-166</x:v>
      </x:c>
      <x:c r="F4084" t="str">
        <x:f>'Trial Results'!R172</x:f>
      </x:c>
      <x:c r="G4084" t="n">
        <x:v>1</x:v>
      </x:c>
      <x:c r="H4084" t="str">
        <x:v>independent physical acceptance</x:v>
      </x:c>
      <x:c r="I4084" t="str">
        <x:f>IF(F4084=1,"PASS","OPEN")</x:f>
        <x:v>OPEN</x:v>
      </x:c>
    </x:row>
    <x:row r="4085">
      <x:c r="B4085" t="str">
        <x:v>PH-RR-167</x:v>
      </x:c>
      <x:c r="C4085" t="str">
        <x:v>PHYSICAL</x:v>
      </x:c>
      <x:c r="D4085" t="str">
        <x:v>trial-result review</x:v>
      </x:c>
      <x:c r="E4085" t="str">
        <x:v>PH-RR-167</x:v>
      </x:c>
      <x:c r="F4085" t="str">
        <x:f>'Trial Results'!R173</x:f>
      </x:c>
      <x:c r="G4085" t="n">
        <x:v>1</x:v>
      </x:c>
      <x:c r="H4085" t="str">
        <x:v>independent physical acceptance</x:v>
      </x:c>
      <x:c r="I4085" t="str">
        <x:f>IF(F4085=1,"PASS","OPEN")</x:f>
        <x:v>OPEN</x:v>
      </x:c>
    </x:row>
    <x:row r="4086">
      <x:c r="B4086" t="str">
        <x:v>PH-RR-168</x:v>
      </x:c>
      <x:c r="C4086" t="str">
        <x:v>PHYSICAL</x:v>
      </x:c>
      <x:c r="D4086" t="str">
        <x:v>trial-result review</x:v>
      </x:c>
      <x:c r="E4086" t="str">
        <x:v>PH-RR-168</x:v>
      </x:c>
      <x:c r="F4086" t="str">
        <x:f>'Trial Results'!R174</x:f>
      </x:c>
      <x:c r="G4086" t="n">
        <x:v>1</x:v>
      </x:c>
      <x:c r="H4086" t="str">
        <x:v>independent physical acceptance</x:v>
      </x:c>
      <x:c r="I4086" t="str">
        <x:f>IF(F4086=1,"PASS","OPEN")</x:f>
        <x:v>OPEN</x:v>
      </x:c>
    </x:row>
    <x:row r="4087">
      <x:c r="B4087" t="str">
        <x:v>PH-RR-169</x:v>
      </x:c>
      <x:c r="C4087" t="str">
        <x:v>PHYSICAL</x:v>
      </x:c>
      <x:c r="D4087" t="str">
        <x:v>trial-result review</x:v>
      </x:c>
      <x:c r="E4087" t="str">
        <x:v>PH-RR-169</x:v>
      </x:c>
      <x:c r="F4087" t="str">
        <x:f>'Trial Results'!R175</x:f>
      </x:c>
      <x:c r="G4087" t="n">
        <x:v>1</x:v>
      </x:c>
      <x:c r="H4087" t="str">
        <x:v>independent physical acceptance</x:v>
      </x:c>
      <x:c r="I4087" t="str">
        <x:f>IF(F4087=1,"PASS","OPEN")</x:f>
        <x:v>OPEN</x:v>
      </x:c>
    </x:row>
    <x:row r="4088">
      <x:c r="B4088" t="str">
        <x:v>PH-RR-170</x:v>
      </x:c>
      <x:c r="C4088" t="str">
        <x:v>PHYSICAL</x:v>
      </x:c>
      <x:c r="D4088" t="str">
        <x:v>trial-result review</x:v>
      </x:c>
      <x:c r="E4088" t="str">
        <x:v>PH-RR-170</x:v>
      </x:c>
      <x:c r="F4088" t="str">
        <x:f>'Trial Results'!R176</x:f>
      </x:c>
      <x:c r="G4088" t="n">
        <x:v>1</x:v>
      </x:c>
      <x:c r="H4088" t="str">
        <x:v>independent physical acceptance</x:v>
      </x:c>
      <x:c r="I4088" t="str">
        <x:f>IF(F4088=1,"PASS","OPEN")</x:f>
        <x:v>OPEN</x:v>
      </x:c>
    </x:row>
    <x:row r="4089">
      <x:c r="B4089" t="str">
        <x:v>PH-RR-171</x:v>
      </x:c>
      <x:c r="C4089" t="str">
        <x:v>PHYSICAL</x:v>
      </x:c>
      <x:c r="D4089" t="str">
        <x:v>trial-result review</x:v>
      </x:c>
      <x:c r="E4089" t="str">
        <x:v>PH-RR-171</x:v>
      </x:c>
      <x:c r="F4089" t="str">
        <x:f>'Trial Results'!R177</x:f>
      </x:c>
      <x:c r="G4089" t="n">
        <x:v>1</x:v>
      </x:c>
      <x:c r="H4089" t="str">
        <x:v>independent physical acceptance</x:v>
      </x:c>
      <x:c r="I4089" t="str">
        <x:f>IF(F4089=1,"PASS","OPEN")</x:f>
        <x:v>OPEN</x:v>
      </x:c>
    </x:row>
    <x:row r="4090">
      <x:c r="B4090" t="str">
        <x:v>PH-RR-172</x:v>
      </x:c>
      <x:c r="C4090" t="str">
        <x:v>PHYSICAL</x:v>
      </x:c>
      <x:c r="D4090" t="str">
        <x:v>trial-result review</x:v>
      </x:c>
      <x:c r="E4090" t="str">
        <x:v>PH-RR-172</x:v>
      </x:c>
      <x:c r="F4090" t="str">
        <x:f>'Trial Results'!R178</x:f>
      </x:c>
      <x:c r="G4090" t="n">
        <x:v>1</x:v>
      </x:c>
      <x:c r="H4090" t="str">
        <x:v>independent physical acceptance</x:v>
      </x:c>
      <x:c r="I4090" t="str">
        <x:f>IF(F4090=1,"PASS","OPEN")</x:f>
        <x:v>OPEN</x:v>
      </x:c>
    </x:row>
    <x:row r="4091">
      <x:c r="B4091" t="str">
        <x:v>PH-RR-173</x:v>
      </x:c>
      <x:c r="C4091" t="str">
        <x:v>PHYSICAL</x:v>
      </x:c>
      <x:c r="D4091" t="str">
        <x:v>trial-result review</x:v>
      </x:c>
      <x:c r="E4091" t="str">
        <x:v>PH-RR-173</x:v>
      </x:c>
      <x:c r="F4091" t="str">
        <x:f>'Trial Results'!R179</x:f>
      </x:c>
      <x:c r="G4091" t="n">
        <x:v>1</x:v>
      </x:c>
      <x:c r="H4091" t="str">
        <x:v>independent physical acceptance</x:v>
      </x:c>
      <x:c r="I4091" t="str">
        <x:f>IF(F4091=1,"PASS","OPEN")</x:f>
        <x:v>OPEN</x:v>
      </x:c>
    </x:row>
    <x:row r="4092">
      <x:c r="B4092" t="str">
        <x:v>PH-RR-174</x:v>
      </x:c>
      <x:c r="C4092" t="str">
        <x:v>PHYSICAL</x:v>
      </x:c>
      <x:c r="D4092" t="str">
        <x:v>trial-result review</x:v>
      </x:c>
      <x:c r="E4092" t="str">
        <x:v>PH-RR-174</x:v>
      </x:c>
      <x:c r="F4092" t="str">
        <x:f>'Trial Results'!R180</x:f>
      </x:c>
      <x:c r="G4092" t="n">
        <x:v>1</x:v>
      </x:c>
      <x:c r="H4092" t="str">
        <x:v>independent physical acceptance</x:v>
      </x:c>
      <x:c r="I4092" t="str">
        <x:f>IF(F4092=1,"PASS","OPEN")</x:f>
        <x:v>OPEN</x:v>
      </x:c>
    </x:row>
    <x:row r="4093">
      <x:c r="B4093" t="str">
        <x:v>PH-RR-175</x:v>
      </x:c>
      <x:c r="C4093" t="str">
        <x:v>PHYSICAL</x:v>
      </x:c>
      <x:c r="D4093" t="str">
        <x:v>trial-result review</x:v>
      </x:c>
      <x:c r="E4093" t="str">
        <x:v>PH-RR-175</x:v>
      </x:c>
      <x:c r="F4093" t="str">
        <x:f>'Trial Results'!R181</x:f>
      </x:c>
      <x:c r="G4093" t="n">
        <x:v>1</x:v>
      </x:c>
      <x:c r="H4093" t="str">
        <x:v>independent physical acceptance</x:v>
      </x:c>
      <x:c r="I4093" t="str">
        <x:f>IF(F4093=1,"PASS","OPEN")</x:f>
        <x:v>OPEN</x:v>
      </x:c>
    </x:row>
    <x:row r="4094">
      <x:c r="B4094" t="str">
        <x:v>PH-RR-176</x:v>
      </x:c>
      <x:c r="C4094" t="str">
        <x:v>PHYSICAL</x:v>
      </x:c>
      <x:c r="D4094" t="str">
        <x:v>trial-result review</x:v>
      </x:c>
      <x:c r="E4094" t="str">
        <x:v>PH-RR-176</x:v>
      </x:c>
      <x:c r="F4094" t="str">
        <x:f>'Trial Results'!R182</x:f>
      </x:c>
      <x:c r="G4094" t="n">
        <x:v>1</x:v>
      </x:c>
      <x:c r="H4094" t="str">
        <x:v>independent physical acceptance</x:v>
      </x:c>
      <x:c r="I4094" t="str">
        <x:f>IF(F4094=1,"PASS","OPEN")</x:f>
        <x:v>OPEN</x:v>
      </x:c>
    </x:row>
    <x:row r="4095">
      <x:c r="B4095" t="str">
        <x:v>PH-RR-177</x:v>
      </x:c>
      <x:c r="C4095" t="str">
        <x:v>PHYSICAL</x:v>
      </x:c>
      <x:c r="D4095" t="str">
        <x:v>trial-result review</x:v>
      </x:c>
      <x:c r="E4095" t="str">
        <x:v>PH-RR-177</x:v>
      </x:c>
      <x:c r="F4095" t="str">
        <x:f>'Trial Results'!R183</x:f>
      </x:c>
      <x:c r="G4095" t="n">
        <x:v>1</x:v>
      </x:c>
      <x:c r="H4095" t="str">
        <x:v>independent physical acceptance</x:v>
      </x:c>
      <x:c r="I4095" t="str">
        <x:f>IF(F4095=1,"PASS","OPEN")</x:f>
        <x:v>OPEN</x:v>
      </x:c>
    </x:row>
    <x:row r="4096">
      <x:c r="B4096" t="str">
        <x:v>PH-RR-178</x:v>
      </x:c>
      <x:c r="C4096" t="str">
        <x:v>PHYSICAL</x:v>
      </x:c>
      <x:c r="D4096" t="str">
        <x:v>trial-result review</x:v>
      </x:c>
      <x:c r="E4096" t="str">
        <x:v>PH-RR-178</x:v>
      </x:c>
      <x:c r="F4096" t="str">
        <x:f>'Trial Results'!R184</x:f>
      </x:c>
      <x:c r="G4096" t="n">
        <x:v>1</x:v>
      </x:c>
      <x:c r="H4096" t="str">
        <x:v>independent physical acceptance</x:v>
      </x:c>
      <x:c r="I4096" t="str">
        <x:f>IF(F4096=1,"PASS","OPEN")</x:f>
        <x:v>OPEN</x:v>
      </x:c>
    </x:row>
    <x:row r="4097">
      <x:c r="B4097" t="str">
        <x:v>PH-RR-179</x:v>
      </x:c>
      <x:c r="C4097" t="str">
        <x:v>PHYSICAL</x:v>
      </x:c>
      <x:c r="D4097" t="str">
        <x:v>trial-result review</x:v>
      </x:c>
      <x:c r="E4097" t="str">
        <x:v>PH-RR-179</x:v>
      </x:c>
      <x:c r="F4097" t="str">
        <x:f>'Trial Results'!R185</x:f>
      </x:c>
      <x:c r="G4097" t="n">
        <x:v>1</x:v>
      </x:c>
      <x:c r="H4097" t="str">
        <x:v>independent physical acceptance</x:v>
      </x:c>
      <x:c r="I4097" t="str">
        <x:f>IF(F4097=1,"PASS","OPEN")</x:f>
        <x:v>OPEN</x:v>
      </x:c>
    </x:row>
    <x:row r="4098">
      <x:c r="B4098" t="str">
        <x:v>PH-RR-180</x:v>
      </x:c>
      <x:c r="C4098" t="str">
        <x:v>PHYSICAL</x:v>
      </x:c>
      <x:c r="D4098" t="str">
        <x:v>trial-result review</x:v>
      </x:c>
      <x:c r="E4098" t="str">
        <x:v>PH-RR-180</x:v>
      </x:c>
      <x:c r="F4098" t="str">
        <x:f>'Trial Results'!R186</x:f>
      </x:c>
      <x:c r="G4098" t="n">
        <x:v>1</x:v>
      </x:c>
      <x:c r="H4098" t="str">
        <x:v>independent physical acceptance</x:v>
      </x:c>
      <x:c r="I4098" t="str">
        <x:f>IF(F4098=1,"PASS","OPEN")</x:f>
        <x:v>OPEN</x:v>
      </x:c>
    </x:row>
    <x:row r="4099">
      <x:c r="B4099" t="str">
        <x:v>PH-RR-181</x:v>
      </x:c>
      <x:c r="C4099" t="str">
        <x:v>PHYSICAL</x:v>
      </x:c>
      <x:c r="D4099" t="str">
        <x:v>trial-result review</x:v>
      </x:c>
      <x:c r="E4099" t="str">
        <x:v>PH-RR-181</x:v>
      </x:c>
      <x:c r="F4099" t="str">
        <x:f>'Trial Results'!R187</x:f>
      </x:c>
      <x:c r="G4099" t="n">
        <x:v>1</x:v>
      </x:c>
      <x:c r="H4099" t="str">
        <x:v>independent physical acceptance</x:v>
      </x:c>
      <x:c r="I4099" t="str">
        <x:f>IF(F4099=1,"PASS","OPEN")</x:f>
        <x:v>OPEN</x:v>
      </x:c>
    </x:row>
    <x:row r="4100">
      <x:c r="B4100" t="str">
        <x:v>PH-RR-182</x:v>
      </x:c>
      <x:c r="C4100" t="str">
        <x:v>PHYSICAL</x:v>
      </x:c>
      <x:c r="D4100" t="str">
        <x:v>trial-result review</x:v>
      </x:c>
      <x:c r="E4100" t="str">
        <x:v>PH-RR-182</x:v>
      </x:c>
      <x:c r="F4100" t="str">
        <x:f>'Trial Results'!R188</x:f>
      </x:c>
      <x:c r="G4100" t="n">
        <x:v>1</x:v>
      </x:c>
      <x:c r="H4100" t="str">
        <x:v>independent physical acceptance</x:v>
      </x:c>
      <x:c r="I4100" t="str">
        <x:f>IF(F4100=1,"PASS","OPEN")</x:f>
        <x:v>OPEN</x:v>
      </x:c>
    </x:row>
    <x:row r="4101">
      <x:c r="B4101" t="str">
        <x:v>PH-RR-183</x:v>
      </x:c>
      <x:c r="C4101" t="str">
        <x:v>PHYSICAL</x:v>
      </x:c>
      <x:c r="D4101" t="str">
        <x:v>trial-result review</x:v>
      </x:c>
      <x:c r="E4101" t="str">
        <x:v>PH-RR-183</x:v>
      </x:c>
      <x:c r="F4101" t="str">
        <x:f>'Trial Results'!R189</x:f>
      </x:c>
      <x:c r="G4101" t="n">
        <x:v>1</x:v>
      </x:c>
      <x:c r="H4101" t="str">
        <x:v>independent physical acceptance</x:v>
      </x:c>
      <x:c r="I4101" t="str">
        <x:f>IF(F4101=1,"PASS","OPEN")</x:f>
        <x:v>OPEN</x:v>
      </x:c>
    </x:row>
    <x:row r="4102">
      <x:c r="B4102" t="str">
        <x:v>PH-RR-184</x:v>
      </x:c>
      <x:c r="C4102" t="str">
        <x:v>PHYSICAL</x:v>
      </x:c>
      <x:c r="D4102" t="str">
        <x:v>trial-result review</x:v>
      </x:c>
      <x:c r="E4102" t="str">
        <x:v>PH-RR-184</x:v>
      </x:c>
      <x:c r="F4102" t="str">
        <x:f>'Trial Results'!R190</x:f>
      </x:c>
      <x:c r="G4102" t="n">
        <x:v>1</x:v>
      </x:c>
      <x:c r="H4102" t="str">
        <x:v>independent physical acceptance</x:v>
      </x:c>
      <x:c r="I4102" t="str">
        <x:f>IF(F4102=1,"PASS","OPEN")</x:f>
        <x:v>OPEN</x:v>
      </x:c>
    </x:row>
    <x:row r="4103">
      <x:c r="B4103" t="str">
        <x:v>PH-RR-185</x:v>
      </x:c>
      <x:c r="C4103" t="str">
        <x:v>PHYSICAL</x:v>
      </x:c>
      <x:c r="D4103" t="str">
        <x:v>trial-result review</x:v>
      </x:c>
      <x:c r="E4103" t="str">
        <x:v>PH-RR-185</x:v>
      </x:c>
      <x:c r="F4103" t="str">
        <x:f>'Trial Results'!R191</x:f>
      </x:c>
      <x:c r="G4103" t="n">
        <x:v>1</x:v>
      </x:c>
      <x:c r="H4103" t="str">
        <x:v>independent physical acceptance</x:v>
      </x:c>
      <x:c r="I4103" t="str">
        <x:f>IF(F4103=1,"PASS","OPEN")</x:f>
        <x:v>OPEN</x:v>
      </x:c>
    </x:row>
    <x:row r="4104">
      <x:c r="B4104" t="str">
        <x:v>PH-RR-186</x:v>
      </x:c>
      <x:c r="C4104" t="str">
        <x:v>PHYSICAL</x:v>
      </x:c>
      <x:c r="D4104" t="str">
        <x:v>trial-result review</x:v>
      </x:c>
      <x:c r="E4104" t="str">
        <x:v>PH-RR-186</x:v>
      </x:c>
      <x:c r="F4104" t="str">
        <x:f>'Trial Results'!R192</x:f>
      </x:c>
      <x:c r="G4104" t="n">
        <x:v>1</x:v>
      </x:c>
      <x:c r="H4104" t="str">
        <x:v>independent physical acceptance</x:v>
      </x:c>
      <x:c r="I4104" t="str">
        <x:f>IF(F4104=1,"PASS","OPEN")</x:f>
        <x:v>OPEN</x:v>
      </x:c>
    </x:row>
    <x:row r="4105">
      <x:c r="B4105" t="str">
        <x:v>PH-RR-187</x:v>
      </x:c>
      <x:c r="C4105" t="str">
        <x:v>PHYSICAL</x:v>
      </x:c>
      <x:c r="D4105" t="str">
        <x:v>trial-result review</x:v>
      </x:c>
      <x:c r="E4105" t="str">
        <x:v>PH-RR-187</x:v>
      </x:c>
      <x:c r="F4105" t="str">
        <x:f>'Trial Results'!R193</x:f>
      </x:c>
      <x:c r="G4105" t="n">
        <x:v>1</x:v>
      </x:c>
      <x:c r="H4105" t="str">
        <x:v>independent physical acceptance</x:v>
      </x:c>
      <x:c r="I4105" t="str">
        <x:f>IF(F4105=1,"PASS","OPEN")</x:f>
        <x:v>OPEN</x:v>
      </x:c>
    </x:row>
    <x:row r="4106">
      <x:c r="B4106" t="str">
        <x:v>PH-RR-188</x:v>
      </x:c>
      <x:c r="C4106" t="str">
        <x:v>PHYSICAL</x:v>
      </x:c>
      <x:c r="D4106" t="str">
        <x:v>trial-result review</x:v>
      </x:c>
      <x:c r="E4106" t="str">
        <x:v>PH-RR-188</x:v>
      </x:c>
      <x:c r="F4106" t="str">
        <x:f>'Trial Results'!R194</x:f>
      </x:c>
      <x:c r="G4106" t="n">
        <x:v>1</x:v>
      </x:c>
      <x:c r="H4106" t="str">
        <x:v>independent physical acceptance</x:v>
      </x:c>
      <x:c r="I4106" t="str">
        <x:f>IF(F4106=1,"PASS","OPEN")</x:f>
        <x:v>OPEN</x:v>
      </x:c>
    </x:row>
    <x:row r="4107">
      <x:c r="B4107" t="str">
        <x:v>PH-RR-189</x:v>
      </x:c>
      <x:c r="C4107" t="str">
        <x:v>PHYSICAL</x:v>
      </x:c>
      <x:c r="D4107" t="str">
        <x:v>trial-result review</x:v>
      </x:c>
      <x:c r="E4107" t="str">
        <x:v>PH-RR-189</x:v>
      </x:c>
      <x:c r="F4107" t="str">
        <x:f>'Trial Results'!R195</x:f>
      </x:c>
      <x:c r="G4107" t="n">
        <x:v>1</x:v>
      </x:c>
      <x:c r="H4107" t="str">
        <x:v>independent physical acceptance</x:v>
      </x:c>
      <x:c r="I4107" t="str">
        <x:f>IF(F4107=1,"PASS","OPEN")</x:f>
        <x:v>OPEN</x:v>
      </x:c>
    </x:row>
    <x:row r="4108">
      <x:c r="B4108" t="str">
        <x:v>PH-RR-190</x:v>
      </x:c>
      <x:c r="C4108" t="str">
        <x:v>PHYSICAL</x:v>
      </x:c>
      <x:c r="D4108" t="str">
        <x:v>trial-result review</x:v>
      </x:c>
      <x:c r="E4108" t="str">
        <x:v>PH-RR-190</x:v>
      </x:c>
      <x:c r="F4108" t="str">
        <x:f>'Trial Results'!R196</x:f>
      </x:c>
      <x:c r="G4108" t="n">
        <x:v>1</x:v>
      </x:c>
      <x:c r="H4108" t="str">
        <x:v>independent physical acceptance</x:v>
      </x:c>
      <x:c r="I4108" t="str">
        <x:f>IF(F4108=1,"PASS","OPEN")</x:f>
        <x:v>OPEN</x:v>
      </x:c>
    </x:row>
    <x:row r="4109">
      <x:c r="B4109" t="str">
        <x:v>PH-RR-191</x:v>
      </x:c>
      <x:c r="C4109" t="str">
        <x:v>PHYSICAL</x:v>
      </x:c>
      <x:c r="D4109" t="str">
        <x:v>trial-result review</x:v>
      </x:c>
      <x:c r="E4109" t="str">
        <x:v>PH-RR-191</x:v>
      </x:c>
      <x:c r="F4109" t="str">
        <x:f>'Trial Results'!R197</x:f>
      </x:c>
      <x:c r="G4109" t="n">
        <x:v>1</x:v>
      </x:c>
      <x:c r="H4109" t="str">
        <x:v>independent physical acceptance</x:v>
      </x:c>
      <x:c r="I4109" t="str">
        <x:f>IF(F4109=1,"PASS","OPEN")</x:f>
        <x:v>OPEN</x:v>
      </x:c>
    </x:row>
    <x:row r="4110">
      <x:c r="B4110" t="str">
        <x:v>PH-RR-192</x:v>
      </x:c>
      <x:c r="C4110" t="str">
        <x:v>PHYSICAL</x:v>
      </x:c>
      <x:c r="D4110" t="str">
        <x:v>trial-result review</x:v>
      </x:c>
      <x:c r="E4110" t="str">
        <x:v>PH-RR-192</x:v>
      </x:c>
      <x:c r="F4110" t="str">
        <x:f>'Trial Results'!R198</x:f>
      </x:c>
      <x:c r="G4110" t="n">
        <x:v>1</x:v>
      </x:c>
      <x:c r="H4110" t="str">
        <x:v>independent physical acceptance</x:v>
      </x:c>
      <x:c r="I4110" t="str">
        <x:f>IF(F4110=1,"PASS","OPEN")</x:f>
        <x:v>OPEN</x:v>
      </x:c>
    </x:row>
    <x:row r="4111">
      <x:c r="B4111" t="str">
        <x:v>PH-RR-193</x:v>
      </x:c>
      <x:c r="C4111" t="str">
        <x:v>PHYSICAL</x:v>
      </x:c>
      <x:c r="D4111" t="str">
        <x:v>trial-result review</x:v>
      </x:c>
      <x:c r="E4111" t="str">
        <x:v>PH-RR-193</x:v>
      </x:c>
      <x:c r="F4111" t="str">
        <x:f>'Trial Results'!R199</x:f>
      </x:c>
      <x:c r="G4111" t="n">
        <x:v>1</x:v>
      </x:c>
      <x:c r="H4111" t="str">
        <x:v>independent physical acceptance</x:v>
      </x:c>
      <x:c r="I4111" t="str">
        <x:f>IF(F4111=1,"PASS","OPEN")</x:f>
        <x:v>OPEN</x:v>
      </x:c>
    </x:row>
    <x:row r="4112">
      <x:c r="B4112" t="str">
        <x:v>PH-RR-194</x:v>
      </x:c>
      <x:c r="C4112" t="str">
        <x:v>PHYSICAL</x:v>
      </x:c>
      <x:c r="D4112" t="str">
        <x:v>trial-result review</x:v>
      </x:c>
      <x:c r="E4112" t="str">
        <x:v>PH-RR-194</x:v>
      </x:c>
      <x:c r="F4112" t="str">
        <x:f>'Trial Results'!R200</x:f>
      </x:c>
      <x:c r="G4112" t="n">
        <x:v>1</x:v>
      </x:c>
      <x:c r="H4112" t="str">
        <x:v>independent physical acceptance</x:v>
      </x:c>
      <x:c r="I4112" t="str">
        <x:f>IF(F4112=1,"PASS","OPEN")</x:f>
        <x:v>OPEN</x:v>
      </x:c>
    </x:row>
    <x:row r="4113">
      <x:c r="B4113" t="str">
        <x:v>PH-RR-195</x:v>
      </x:c>
      <x:c r="C4113" t="str">
        <x:v>PHYSICAL</x:v>
      </x:c>
      <x:c r="D4113" t="str">
        <x:v>trial-result review</x:v>
      </x:c>
      <x:c r="E4113" t="str">
        <x:v>PH-RR-195</x:v>
      </x:c>
      <x:c r="F4113" t="str">
        <x:f>'Trial Results'!R201</x:f>
      </x:c>
      <x:c r="G4113" t="n">
        <x:v>1</x:v>
      </x:c>
      <x:c r="H4113" t="str">
        <x:v>independent physical acceptance</x:v>
      </x:c>
      <x:c r="I4113" t="str">
        <x:f>IF(F4113=1,"PASS","OPEN")</x:f>
        <x:v>OPEN</x:v>
      </x:c>
    </x:row>
    <x:row r="4114">
      <x:c r="B4114" t="str">
        <x:v>PH-RR-196</x:v>
      </x:c>
      <x:c r="C4114" t="str">
        <x:v>PHYSICAL</x:v>
      </x:c>
      <x:c r="D4114" t="str">
        <x:v>trial-result review</x:v>
      </x:c>
      <x:c r="E4114" t="str">
        <x:v>PH-RR-196</x:v>
      </x:c>
      <x:c r="F4114" t="str">
        <x:f>'Trial Results'!R202</x:f>
      </x:c>
      <x:c r="G4114" t="n">
        <x:v>1</x:v>
      </x:c>
      <x:c r="H4114" t="str">
        <x:v>independent physical acceptance</x:v>
      </x:c>
      <x:c r="I4114" t="str">
        <x:f>IF(F4114=1,"PASS","OPEN")</x:f>
        <x:v>OPEN</x:v>
      </x:c>
    </x:row>
    <x:row r="4115">
      <x:c r="B4115" t="str">
        <x:v>PH-RR-197</x:v>
      </x:c>
      <x:c r="C4115" t="str">
        <x:v>PHYSICAL</x:v>
      </x:c>
      <x:c r="D4115" t="str">
        <x:v>trial-result review</x:v>
      </x:c>
      <x:c r="E4115" t="str">
        <x:v>PH-RR-197</x:v>
      </x:c>
      <x:c r="F4115" t="str">
        <x:f>'Trial Results'!R203</x:f>
      </x:c>
      <x:c r="G4115" t="n">
        <x:v>1</x:v>
      </x:c>
      <x:c r="H4115" t="str">
        <x:v>independent physical acceptance</x:v>
      </x:c>
      <x:c r="I4115" t="str">
        <x:f>IF(F4115=1,"PASS","OPEN")</x:f>
        <x:v>OPEN</x:v>
      </x:c>
    </x:row>
    <x:row r="4116">
      <x:c r="B4116" t="str">
        <x:v>PH-RR-198</x:v>
      </x:c>
      <x:c r="C4116" t="str">
        <x:v>PHYSICAL</x:v>
      </x:c>
      <x:c r="D4116" t="str">
        <x:v>trial-result review</x:v>
      </x:c>
      <x:c r="E4116" t="str">
        <x:v>PH-RR-198</x:v>
      </x:c>
      <x:c r="F4116" t="str">
        <x:f>'Trial Results'!R204</x:f>
      </x:c>
      <x:c r="G4116" t="n">
        <x:v>1</x:v>
      </x:c>
      <x:c r="H4116" t="str">
        <x:v>independent physical acceptance</x:v>
      </x:c>
      <x:c r="I4116" t="str">
        <x:f>IF(F4116=1,"PASS","OPEN")</x:f>
        <x:v>OPEN</x:v>
      </x:c>
    </x:row>
    <x:row r="4117">
      <x:c r="B4117" t="str">
        <x:v>PH-RR-199</x:v>
      </x:c>
      <x:c r="C4117" t="str">
        <x:v>PHYSICAL</x:v>
      </x:c>
      <x:c r="D4117" t="str">
        <x:v>trial-result review</x:v>
      </x:c>
      <x:c r="E4117" t="str">
        <x:v>PH-RR-199</x:v>
      </x:c>
      <x:c r="F4117" t="str">
        <x:f>'Trial Results'!R205</x:f>
      </x:c>
      <x:c r="G4117" t="n">
        <x:v>1</x:v>
      </x:c>
      <x:c r="H4117" t="str">
        <x:v>independent physical acceptance</x:v>
      </x:c>
      <x:c r="I4117" t="str">
        <x:f>IF(F4117=1,"PASS","OPEN")</x:f>
        <x:v>OPEN</x:v>
      </x:c>
    </x:row>
    <x:row r="4118">
      <x:c r="B4118" t="str">
        <x:v>PH-RR-200</x:v>
      </x:c>
      <x:c r="C4118" t="str">
        <x:v>PHYSICAL</x:v>
      </x:c>
      <x:c r="D4118" t="str">
        <x:v>trial-result review</x:v>
      </x:c>
      <x:c r="E4118" t="str">
        <x:v>PH-RR-200</x:v>
      </x:c>
      <x:c r="F4118" t="str">
        <x:f>'Trial Results'!R206</x:f>
      </x:c>
      <x:c r="G4118" t="n">
        <x:v>1</x:v>
      </x:c>
      <x:c r="H4118" t="str">
        <x:v>independent physical acceptance</x:v>
      </x:c>
      <x:c r="I4118" t="str">
        <x:f>IF(F4118=1,"PASS","OPEN")</x:f>
        <x:v>OPEN</x:v>
      </x:c>
    </x:row>
    <x:row r="4119">
      <x:c r="B4119" t="str">
        <x:v>PH-RR-201</x:v>
      </x:c>
      <x:c r="C4119" t="str">
        <x:v>PHYSICAL</x:v>
      </x:c>
      <x:c r="D4119" t="str">
        <x:v>trial-result review</x:v>
      </x:c>
      <x:c r="E4119" t="str">
        <x:v>PH-RR-201</x:v>
      </x:c>
      <x:c r="F4119" t="str">
        <x:f>'Trial Results'!R207</x:f>
      </x:c>
      <x:c r="G4119" t="n">
        <x:v>1</x:v>
      </x:c>
      <x:c r="H4119" t="str">
        <x:v>independent physical acceptance</x:v>
      </x:c>
      <x:c r="I4119" t="str">
        <x:f>IF(F4119=1,"PASS","OPEN")</x:f>
        <x:v>OPEN</x:v>
      </x:c>
    </x:row>
    <x:row r="4120">
      <x:c r="B4120" t="str">
        <x:v>PH-RR-202</x:v>
      </x:c>
      <x:c r="C4120" t="str">
        <x:v>PHYSICAL</x:v>
      </x:c>
      <x:c r="D4120" t="str">
        <x:v>trial-result review</x:v>
      </x:c>
      <x:c r="E4120" t="str">
        <x:v>PH-RR-202</x:v>
      </x:c>
      <x:c r="F4120" t="str">
        <x:f>'Trial Results'!R208</x:f>
      </x:c>
      <x:c r="G4120" t="n">
        <x:v>1</x:v>
      </x:c>
      <x:c r="H4120" t="str">
        <x:v>independent physical acceptance</x:v>
      </x:c>
      <x:c r="I4120" t="str">
        <x:f>IF(F4120=1,"PASS","OPEN")</x:f>
        <x:v>OPEN</x:v>
      </x:c>
    </x:row>
    <x:row r="4121">
      <x:c r="B4121" t="str">
        <x:v>PH-RR-203</x:v>
      </x:c>
      <x:c r="C4121" t="str">
        <x:v>PHYSICAL</x:v>
      </x:c>
      <x:c r="D4121" t="str">
        <x:v>trial-result review</x:v>
      </x:c>
      <x:c r="E4121" t="str">
        <x:v>PH-RR-203</x:v>
      </x:c>
      <x:c r="F4121" t="str">
        <x:f>'Trial Results'!R209</x:f>
      </x:c>
      <x:c r="G4121" t="n">
        <x:v>1</x:v>
      </x:c>
      <x:c r="H4121" t="str">
        <x:v>independent physical acceptance</x:v>
      </x:c>
      <x:c r="I4121" t="str">
        <x:f>IF(F4121=1,"PASS","OPEN")</x:f>
        <x:v>OPEN</x:v>
      </x:c>
    </x:row>
    <x:row r="4122">
      <x:c r="B4122" t="str">
        <x:v>PH-RR-204</x:v>
      </x:c>
      <x:c r="C4122" t="str">
        <x:v>PHYSICAL</x:v>
      </x:c>
      <x:c r="D4122" t="str">
        <x:v>trial-result review</x:v>
      </x:c>
      <x:c r="E4122" t="str">
        <x:v>PH-RR-204</x:v>
      </x:c>
      <x:c r="F4122" t="str">
        <x:f>'Trial Results'!R210</x:f>
      </x:c>
      <x:c r="G4122" t="n">
        <x:v>1</x:v>
      </x:c>
      <x:c r="H4122" t="str">
        <x:v>independent physical acceptance</x:v>
      </x:c>
      <x:c r="I4122" t="str">
        <x:f>IF(F4122=1,"PASS","OPEN")</x:f>
        <x:v>OPEN</x:v>
      </x:c>
    </x:row>
    <x:row r="4123">
      <x:c r="B4123" t="str">
        <x:v>PH-RR-205</x:v>
      </x:c>
      <x:c r="C4123" t="str">
        <x:v>PHYSICAL</x:v>
      </x:c>
      <x:c r="D4123" t="str">
        <x:v>trial-result review</x:v>
      </x:c>
      <x:c r="E4123" t="str">
        <x:v>PH-RR-205</x:v>
      </x:c>
      <x:c r="F4123" t="str">
        <x:f>'Trial Results'!R211</x:f>
      </x:c>
      <x:c r="G4123" t="n">
        <x:v>1</x:v>
      </x:c>
      <x:c r="H4123" t="str">
        <x:v>independent physical acceptance</x:v>
      </x:c>
      <x:c r="I4123" t="str">
        <x:f>IF(F4123=1,"PASS","OPEN")</x:f>
        <x:v>OPEN</x:v>
      </x:c>
    </x:row>
    <x:row r="4124">
      <x:c r="B4124" t="str">
        <x:v>PH-RR-206</x:v>
      </x:c>
      <x:c r="C4124" t="str">
        <x:v>PHYSICAL</x:v>
      </x:c>
      <x:c r="D4124" t="str">
        <x:v>trial-result review</x:v>
      </x:c>
      <x:c r="E4124" t="str">
        <x:v>PH-RR-206</x:v>
      </x:c>
      <x:c r="F4124" t="str">
        <x:f>'Trial Results'!R212</x:f>
      </x:c>
      <x:c r="G4124" t="n">
        <x:v>1</x:v>
      </x:c>
      <x:c r="H4124" t="str">
        <x:v>independent physical acceptance</x:v>
      </x:c>
      <x:c r="I4124" t="str">
        <x:f>IF(F4124=1,"PASS","OPEN")</x:f>
        <x:v>OPEN</x:v>
      </x:c>
    </x:row>
    <x:row r="4125">
      <x:c r="B4125" t="str">
        <x:v>PH-RR-207</x:v>
      </x:c>
      <x:c r="C4125" t="str">
        <x:v>PHYSICAL</x:v>
      </x:c>
      <x:c r="D4125" t="str">
        <x:v>trial-result review</x:v>
      </x:c>
      <x:c r="E4125" t="str">
        <x:v>PH-RR-207</x:v>
      </x:c>
      <x:c r="F4125" t="str">
        <x:f>'Trial Results'!R213</x:f>
      </x:c>
      <x:c r="G4125" t="n">
        <x:v>1</x:v>
      </x:c>
      <x:c r="H4125" t="str">
        <x:v>independent physical acceptance</x:v>
      </x:c>
      <x:c r="I4125" t="str">
        <x:f>IF(F4125=1,"PASS","OPEN")</x:f>
        <x:v>OPEN</x:v>
      </x:c>
    </x:row>
    <x:row r="4126">
      <x:c r="B4126" t="str">
        <x:v>PH-RR-208</x:v>
      </x:c>
      <x:c r="C4126" t="str">
        <x:v>PHYSICAL</x:v>
      </x:c>
      <x:c r="D4126" t="str">
        <x:v>trial-result review</x:v>
      </x:c>
      <x:c r="E4126" t="str">
        <x:v>PH-RR-208</x:v>
      </x:c>
      <x:c r="F4126" t="str">
        <x:f>'Trial Results'!R214</x:f>
      </x:c>
      <x:c r="G4126" t="n">
        <x:v>1</x:v>
      </x:c>
      <x:c r="H4126" t="str">
        <x:v>independent physical acceptance</x:v>
      </x:c>
      <x:c r="I4126" t="str">
        <x:f>IF(F4126=1,"PASS","OPEN")</x:f>
        <x:v>OPEN</x:v>
      </x:c>
    </x:row>
    <x:row r="4127">
      <x:c r="B4127" t="str">
        <x:v>PH-RR-209</x:v>
      </x:c>
      <x:c r="C4127" t="str">
        <x:v>PHYSICAL</x:v>
      </x:c>
      <x:c r="D4127" t="str">
        <x:v>trial-result review</x:v>
      </x:c>
      <x:c r="E4127" t="str">
        <x:v>PH-RR-209</x:v>
      </x:c>
      <x:c r="F4127" t="str">
        <x:f>'Trial Results'!R215</x:f>
      </x:c>
      <x:c r="G4127" t="n">
        <x:v>1</x:v>
      </x:c>
      <x:c r="H4127" t="str">
        <x:v>independent physical acceptance</x:v>
      </x:c>
      <x:c r="I4127" t="str">
        <x:f>IF(F4127=1,"PASS","OPEN")</x:f>
        <x:v>OPEN</x:v>
      </x:c>
    </x:row>
    <x:row r="4128">
      <x:c r="B4128" t="str">
        <x:v>PH-RR-210</x:v>
      </x:c>
      <x:c r="C4128" t="str">
        <x:v>PHYSICAL</x:v>
      </x:c>
      <x:c r="D4128" t="str">
        <x:v>trial-result review</x:v>
      </x:c>
      <x:c r="E4128" t="str">
        <x:v>PH-RR-210</x:v>
      </x:c>
      <x:c r="F4128" t="str">
        <x:f>'Trial Results'!R216</x:f>
      </x:c>
      <x:c r="G4128" t="n">
        <x:v>1</x:v>
      </x:c>
      <x:c r="H4128" t="str">
        <x:v>independent physical acceptance</x:v>
      </x:c>
      <x:c r="I4128" t="str">
        <x:f>IF(F4128=1,"PASS","OPEN")</x:f>
        <x:v>OPEN</x:v>
      </x:c>
    </x:row>
    <x:row r="4129">
      <x:c r="B4129" t="str">
        <x:v>PH-RR-211</x:v>
      </x:c>
      <x:c r="C4129" t="str">
        <x:v>PHYSICAL</x:v>
      </x:c>
      <x:c r="D4129" t="str">
        <x:v>trial-result review</x:v>
      </x:c>
      <x:c r="E4129" t="str">
        <x:v>PH-RR-211</x:v>
      </x:c>
      <x:c r="F4129" t="str">
        <x:f>'Trial Results'!R217</x:f>
      </x:c>
      <x:c r="G4129" t="n">
        <x:v>1</x:v>
      </x:c>
      <x:c r="H4129" t="str">
        <x:v>independent physical acceptance</x:v>
      </x:c>
      <x:c r="I4129" t="str">
        <x:f>IF(F4129=1,"PASS","OPEN")</x:f>
        <x:v>OPEN</x:v>
      </x:c>
    </x:row>
    <x:row r="4130">
      <x:c r="B4130" t="str">
        <x:v>PH-RR-212</x:v>
      </x:c>
      <x:c r="C4130" t="str">
        <x:v>PHYSICAL</x:v>
      </x:c>
      <x:c r="D4130" t="str">
        <x:v>trial-result review</x:v>
      </x:c>
      <x:c r="E4130" t="str">
        <x:v>PH-RR-212</x:v>
      </x:c>
      <x:c r="F4130" t="str">
        <x:f>'Trial Results'!R218</x:f>
      </x:c>
      <x:c r="G4130" t="n">
        <x:v>1</x:v>
      </x:c>
      <x:c r="H4130" t="str">
        <x:v>independent physical acceptance</x:v>
      </x:c>
      <x:c r="I4130" t="str">
        <x:f>IF(F4130=1,"PASS","OPEN")</x:f>
        <x:v>OPEN</x:v>
      </x:c>
    </x:row>
    <x:row r="4131">
      <x:c r="B4131" t="str">
        <x:v>PH-RR-213</x:v>
      </x:c>
      <x:c r="C4131" t="str">
        <x:v>PHYSICAL</x:v>
      </x:c>
      <x:c r="D4131" t="str">
        <x:v>trial-result review</x:v>
      </x:c>
      <x:c r="E4131" t="str">
        <x:v>PH-RR-213</x:v>
      </x:c>
      <x:c r="F4131" t="str">
        <x:f>'Trial Results'!R219</x:f>
      </x:c>
      <x:c r="G4131" t="n">
        <x:v>1</x:v>
      </x:c>
      <x:c r="H4131" t="str">
        <x:v>independent physical acceptance</x:v>
      </x:c>
      <x:c r="I4131" t="str">
        <x:f>IF(F4131=1,"PASS","OPEN")</x:f>
        <x:v>OPEN</x:v>
      </x:c>
    </x:row>
    <x:row r="4132">
      <x:c r="B4132" t="str">
        <x:v>PH-RR-214</x:v>
      </x:c>
      <x:c r="C4132" t="str">
        <x:v>PHYSICAL</x:v>
      </x:c>
      <x:c r="D4132" t="str">
        <x:v>trial-result review</x:v>
      </x:c>
      <x:c r="E4132" t="str">
        <x:v>PH-RR-214</x:v>
      </x:c>
      <x:c r="F4132" t="str">
        <x:f>'Trial Results'!R220</x:f>
      </x:c>
      <x:c r="G4132" t="n">
        <x:v>1</x:v>
      </x:c>
      <x:c r="H4132" t="str">
        <x:v>independent physical acceptance</x:v>
      </x:c>
      <x:c r="I4132" t="str">
        <x:f>IF(F4132=1,"PASS","OPEN")</x:f>
        <x:v>OPEN</x:v>
      </x:c>
    </x:row>
    <x:row r="4133">
      <x:c r="B4133" t="str">
        <x:v>PH-RR-215</x:v>
      </x:c>
      <x:c r="C4133" t="str">
        <x:v>PHYSICAL</x:v>
      </x:c>
      <x:c r="D4133" t="str">
        <x:v>trial-result review</x:v>
      </x:c>
      <x:c r="E4133" t="str">
        <x:v>PH-RR-215</x:v>
      </x:c>
      <x:c r="F4133" t="str">
        <x:f>'Trial Results'!R221</x:f>
      </x:c>
      <x:c r="G4133" t="n">
        <x:v>1</x:v>
      </x:c>
      <x:c r="H4133" t="str">
        <x:v>independent physical acceptance</x:v>
      </x:c>
      <x:c r="I4133" t="str">
        <x:f>IF(F4133=1,"PASS","OPEN")</x:f>
        <x:v>OPEN</x:v>
      </x:c>
    </x:row>
    <x:row r="4134">
      <x:c r="B4134" t="str">
        <x:v>PH-RR-216</x:v>
      </x:c>
      <x:c r="C4134" t="str">
        <x:v>PHYSICAL</x:v>
      </x:c>
      <x:c r="D4134" t="str">
        <x:v>trial-result review</x:v>
      </x:c>
      <x:c r="E4134" t="str">
        <x:v>PH-RR-216</x:v>
      </x:c>
      <x:c r="F4134" t="str">
        <x:f>'Trial Results'!R222</x:f>
      </x:c>
      <x:c r="G4134" t="n">
        <x:v>1</x:v>
      </x:c>
      <x:c r="H4134" t="str">
        <x:v>independent physical acceptance</x:v>
      </x:c>
      <x:c r="I4134" t="str">
        <x:f>IF(F4134=1,"PASS","OPEN")</x:f>
        <x:v>OPEN</x:v>
      </x:c>
    </x:row>
    <x:row r="4135">
      <x:c r="B4135" t="str">
        <x:v>PH-RR-217</x:v>
      </x:c>
      <x:c r="C4135" t="str">
        <x:v>PHYSICAL</x:v>
      </x:c>
      <x:c r="D4135" t="str">
        <x:v>trial-result review</x:v>
      </x:c>
      <x:c r="E4135" t="str">
        <x:v>PH-RR-217</x:v>
      </x:c>
      <x:c r="F4135" t="str">
        <x:f>'Trial Results'!R223</x:f>
      </x:c>
      <x:c r="G4135" t="n">
        <x:v>1</x:v>
      </x:c>
      <x:c r="H4135" t="str">
        <x:v>independent physical acceptance</x:v>
      </x:c>
      <x:c r="I4135" t="str">
        <x:f>IF(F4135=1,"PASS","OPEN")</x:f>
        <x:v>OPEN</x:v>
      </x:c>
    </x:row>
    <x:row r="4136">
      <x:c r="B4136" t="str">
        <x:v>PH-RR-218</x:v>
      </x:c>
      <x:c r="C4136" t="str">
        <x:v>PHYSICAL</x:v>
      </x:c>
      <x:c r="D4136" t="str">
        <x:v>trial-result review</x:v>
      </x:c>
      <x:c r="E4136" t="str">
        <x:v>PH-RR-218</x:v>
      </x:c>
      <x:c r="F4136" t="str">
        <x:f>'Trial Results'!R224</x:f>
      </x:c>
      <x:c r="G4136" t="n">
        <x:v>1</x:v>
      </x:c>
      <x:c r="H4136" t="str">
        <x:v>independent physical acceptance</x:v>
      </x:c>
      <x:c r="I4136" t="str">
        <x:f>IF(F4136=1,"PASS","OPEN")</x:f>
        <x:v>OPEN</x:v>
      </x:c>
    </x:row>
    <x:row r="4137">
      <x:c r="B4137" t="str">
        <x:v>PH-RR-219</x:v>
      </x:c>
      <x:c r="C4137" t="str">
        <x:v>PHYSICAL</x:v>
      </x:c>
      <x:c r="D4137" t="str">
        <x:v>trial-result review</x:v>
      </x:c>
      <x:c r="E4137" t="str">
        <x:v>PH-RR-219</x:v>
      </x:c>
      <x:c r="F4137" t="str">
        <x:f>'Trial Results'!R225</x:f>
      </x:c>
      <x:c r="G4137" t="n">
        <x:v>1</x:v>
      </x:c>
      <x:c r="H4137" t="str">
        <x:v>independent physical acceptance</x:v>
      </x:c>
      <x:c r="I4137" t="str">
        <x:f>IF(F4137=1,"PASS","OPEN")</x:f>
        <x:v>OPEN</x:v>
      </x:c>
    </x:row>
    <x:row r="4138">
      <x:c r="B4138" t="str">
        <x:v>PH-RR-220</x:v>
      </x:c>
      <x:c r="C4138" t="str">
        <x:v>PHYSICAL</x:v>
      </x:c>
      <x:c r="D4138" t="str">
        <x:v>trial-result review</x:v>
      </x:c>
      <x:c r="E4138" t="str">
        <x:v>PH-RR-220</x:v>
      </x:c>
      <x:c r="F4138" t="str">
        <x:f>'Trial Results'!R226</x:f>
      </x:c>
      <x:c r="G4138" t="n">
        <x:v>1</x:v>
      </x:c>
      <x:c r="H4138" t="str">
        <x:v>independent physical acceptance</x:v>
      </x:c>
      <x:c r="I4138" t="str">
        <x:f>IF(F4138=1,"PASS","OPEN")</x:f>
        <x:v>OPEN</x:v>
      </x:c>
    </x:row>
    <x:row r="4139">
      <x:c r="B4139" t="str">
        <x:v>PH-RR-221</x:v>
      </x:c>
      <x:c r="C4139" t="str">
        <x:v>PHYSICAL</x:v>
      </x:c>
      <x:c r="D4139" t="str">
        <x:v>trial-result review</x:v>
      </x:c>
      <x:c r="E4139" t="str">
        <x:v>PH-RR-221</x:v>
      </x:c>
      <x:c r="F4139" t="str">
        <x:f>'Trial Results'!R227</x:f>
      </x:c>
      <x:c r="G4139" t="n">
        <x:v>1</x:v>
      </x:c>
      <x:c r="H4139" t="str">
        <x:v>independent physical acceptance</x:v>
      </x:c>
      <x:c r="I4139" t="str">
        <x:f>IF(F4139=1,"PASS","OPEN")</x:f>
        <x:v>OPEN</x:v>
      </x:c>
    </x:row>
    <x:row r="4140">
      <x:c r="B4140" t="str">
        <x:v>PH-RR-222</x:v>
      </x:c>
      <x:c r="C4140" t="str">
        <x:v>PHYSICAL</x:v>
      </x:c>
      <x:c r="D4140" t="str">
        <x:v>trial-result review</x:v>
      </x:c>
      <x:c r="E4140" t="str">
        <x:v>PH-RR-222</x:v>
      </x:c>
      <x:c r="F4140" t="str">
        <x:f>'Trial Results'!R228</x:f>
      </x:c>
      <x:c r="G4140" t="n">
        <x:v>1</x:v>
      </x:c>
      <x:c r="H4140" t="str">
        <x:v>independent physical acceptance</x:v>
      </x:c>
      <x:c r="I4140" t="str">
        <x:f>IF(F4140=1,"PASS","OPEN")</x:f>
        <x:v>OPEN</x:v>
      </x:c>
    </x:row>
    <x:row r="4141">
      <x:c r="B4141" t="str">
        <x:v>PH-RR-223</x:v>
      </x:c>
      <x:c r="C4141" t="str">
        <x:v>PHYSICAL</x:v>
      </x:c>
      <x:c r="D4141" t="str">
        <x:v>trial-result review</x:v>
      </x:c>
      <x:c r="E4141" t="str">
        <x:v>PH-RR-223</x:v>
      </x:c>
      <x:c r="F4141" t="str">
        <x:f>'Trial Results'!R229</x:f>
      </x:c>
      <x:c r="G4141" t="n">
        <x:v>1</x:v>
      </x:c>
      <x:c r="H4141" t="str">
        <x:v>independent physical acceptance</x:v>
      </x:c>
      <x:c r="I4141" t="str">
        <x:f>IF(F4141=1,"PASS","OPEN")</x:f>
        <x:v>OPEN</x:v>
      </x:c>
    </x:row>
    <x:row r="4142">
      <x:c r="B4142" t="str">
        <x:v>PH-RR-224</x:v>
      </x:c>
      <x:c r="C4142" t="str">
        <x:v>PHYSICAL</x:v>
      </x:c>
      <x:c r="D4142" t="str">
        <x:v>trial-result review</x:v>
      </x:c>
      <x:c r="E4142" t="str">
        <x:v>PH-RR-224</x:v>
      </x:c>
      <x:c r="F4142" t="str">
        <x:f>'Trial Results'!R230</x:f>
      </x:c>
      <x:c r="G4142" t="n">
        <x:v>1</x:v>
      </x:c>
      <x:c r="H4142" t="str">
        <x:v>independent physical acceptance</x:v>
      </x:c>
      <x:c r="I4142" t="str">
        <x:f>IF(F4142=1,"PASS","OPEN")</x:f>
        <x:v>OPEN</x:v>
      </x:c>
    </x:row>
    <x:row r="4143">
      <x:c r="B4143" t="str">
        <x:v>PH-RR-225</x:v>
      </x:c>
      <x:c r="C4143" t="str">
        <x:v>PHYSICAL</x:v>
      </x:c>
      <x:c r="D4143" t="str">
        <x:v>trial-result review</x:v>
      </x:c>
      <x:c r="E4143" t="str">
        <x:v>PH-RR-225</x:v>
      </x:c>
      <x:c r="F4143" t="str">
        <x:f>'Trial Results'!R231</x:f>
      </x:c>
      <x:c r="G4143" t="n">
        <x:v>1</x:v>
      </x:c>
      <x:c r="H4143" t="str">
        <x:v>independent physical acceptance</x:v>
      </x:c>
      <x:c r="I4143" t="str">
        <x:f>IF(F4143=1,"PASS","OPEN")</x:f>
        <x:v>OPEN</x:v>
      </x:c>
    </x:row>
    <x:row r="4144">
      <x:c r="B4144" t="str">
        <x:v>PH-RR-226</x:v>
      </x:c>
      <x:c r="C4144" t="str">
        <x:v>PHYSICAL</x:v>
      </x:c>
      <x:c r="D4144" t="str">
        <x:v>trial-result review</x:v>
      </x:c>
      <x:c r="E4144" t="str">
        <x:v>PH-RR-226</x:v>
      </x:c>
      <x:c r="F4144" t="str">
        <x:f>'Trial Results'!R232</x:f>
      </x:c>
      <x:c r="G4144" t="n">
        <x:v>1</x:v>
      </x:c>
      <x:c r="H4144" t="str">
        <x:v>independent physical acceptance</x:v>
      </x:c>
      <x:c r="I4144" t="str">
        <x:f>IF(F4144=1,"PASS","OPEN")</x:f>
        <x:v>OPEN</x:v>
      </x:c>
    </x:row>
    <x:row r="4145">
      <x:c r="B4145" t="str">
        <x:v>PH-RR-227</x:v>
      </x:c>
      <x:c r="C4145" t="str">
        <x:v>PHYSICAL</x:v>
      </x:c>
      <x:c r="D4145" t="str">
        <x:v>trial-result review</x:v>
      </x:c>
      <x:c r="E4145" t="str">
        <x:v>PH-RR-227</x:v>
      </x:c>
      <x:c r="F4145" t="str">
        <x:f>'Trial Results'!R233</x:f>
      </x:c>
      <x:c r="G4145" t="n">
        <x:v>1</x:v>
      </x:c>
      <x:c r="H4145" t="str">
        <x:v>independent physical acceptance</x:v>
      </x:c>
      <x:c r="I4145" t="str">
        <x:f>IF(F4145=1,"PASS","OPEN")</x:f>
        <x:v>OPEN</x:v>
      </x:c>
    </x:row>
    <x:row r="4146">
      <x:c r="B4146" t="str">
        <x:v>PH-RR-228</x:v>
      </x:c>
      <x:c r="C4146" t="str">
        <x:v>PHYSICAL</x:v>
      </x:c>
      <x:c r="D4146" t="str">
        <x:v>trial-result review</x:v>
      </x:c>
      <x:c r="E4146" t="str">
        <x:v>PH-RR-228</x:v>
      </x:c>
      <x:c r="F4146" t="str">
        <x:f>'Trial Results'!R234</x:f>
      </x:c>
      <x:c r="G4146" t="n">
        <x:v>1</x:v>
      </x:c>
      <x:c r="H4146" t="str">
        <x:v>independent physical acceptance</x:v>
      </x:c>
      <x:c r="I4146" t="str">
        <x:f>IF(F4146=1,"PASS","OPEN")</x:f>
        <x:v>OPEN</x:v>
      </x:c>
    </x:row>
    <x:row r="4147">
      <x:c r="B4147" t="str">
        <x:v>PH-RR-229</x:v>
      </x:c>
      <x:c r="C4147" t="str">
        <x:v>PHYSICAL</x:v>
      </x:c>
      <x:c r="D4147" t="str">
        <x:v>trial-result review</x:v>
      </x:c>
      <x:c r="E4147" t="str">
        <x:v>PH-RR-229</x:v>
      </x:c>
      <x:c r="F4147" t="str">
        <x:f>'Trial Results'!R235</x:f>
      </x:c>
      <x:c r="G4147" t="n">
        <x:v>1</x:v>
      </x:c>
      <x:c r="H4147" t="str">
        <x:v>independent physical acceptance</x:v>
      </x:c>
      <x:c r="I4147" t="str">
        <x:f>IF(F4147=1,"PASS","OPEN")</x:f>
        <x:v>OPEN</x:v>
      </x:c>
    </x:row>
    <x:row r="4148">
      <x:c r="B4148" t="str">
        <x:v>PH-RR-230</x:v>
      </x:c>
      <x:c r="C4148" t="str">
        <x:v>PHYSICAL</x:v>
      </x:c>
      <x:c r="D4148" t="str">
        <x:v>trial-result review</x:v>
      </x:c>
      <x:c r="E4148" t="str">
        <x:v>PH-RR-230</x:v>
      </x:c>
      <x:c r="F4148" t="str">
        <x:f>'Trial Results'!R236</x:f>
      </x:c>
      <x:c r="G4148" t="n">
        <x:v>1</x:v>
      </x:c>
      <x:c r="H4148" t="str">
        <x:v>independent physical acceptance</x:v>
      </x:c>
      <x:c r="I4148" t="str">
        <x:f>IF(F4148=1,"PASS","OPEN")</x:f>
        <x:v>OPEN</x:v>
      </x:c>
    </x:row>
    <x:row r="4149">
      <x:c r="B4149" t="str">
        <x:v>PH-RR-231</x:v>
      </x:c>
      <x:c r="C4149" t="str">
        <x:v>PHYSICAL</x:v>
      </x:c>
      <x:c r="D4149" t="str">
        <x:v>trial-result review</x:v>
      </x:c>
      <x:c r="E4149" t="str">
        <x:v>PH-RR-231</x:v>
      </x:c>
      <x:c r="F4149" t="str">
        <x:f>'Trial Results'!R237</x:f>
      </x:c>
      <x:c r="G4149" t="n">
        <x:v>1</x:v>
      </x:c>
      <x:c r="H4149" t="str">
        <x:v>independent physical acceptance</x:v>
      </x:c>
      <x:c r="I4149" t="str">
        <x:f>IF(F4149=1,"PASS","OPEN")</x:f>
        <x:v>OPEN</x:v>
      </x:c>
    </x:row>
    <x:row r="4150">
      <x:c r="B4150" t="str">
        <x:v>PH-RR-232</x:v>
      </x:c>
      <x:c r="C4150" t="str">
        <x:v>PHYSICAL</x:v>
      </x:c>
      <x:c r="D4150" t="str">
        <x:v>trial-result review</x:v>
      </x:c>
      <x:c r="E4150" t="str">
        <x:v>PH-RR-232</x:v>
      </x:c>
      <x:c r="F4150" t="str">
        <x:f>'Trial Results'!R238</x:f>
      </x:c>
      <x:c r="G4150" t="n">
        <x:v>1</x:v>
      </x:c>
      <x:c r="H4150" t="str">
        <x:v>independent physical acceptance</x:v>
      </x:c>
      <x:c r="I4150" t="str">
        <x:f>IF(F4150=1,"PASS","OPEN")</x:f>
        <x:v>OPEN</x:v>
      </x:c>
    </x:row>
    <x:row r="4151">
      <x:c r="B4151" t="str">
        <x:v>PH-RR-233</x:v>
      </x:c>
      <x:c r="C4151" t="str">
        <x:v>PHYSICAL</x:v>
      </x:c>
      <x:c r="D4151" t="str">
        <x:v>trial-result review</x:v>
      </x:c>
      <x:c r="E4151" t="str">
        <x:v>PH-RR-233</x:v>
      </x:c>
      <x:c r="F4151" t="str">
        <x:f>'Trial Results'!R239</x:f>
      </x:c>
      <x:c r="G4151" t="n">
        <x:v>1</x:v>
      </x:c>
      <x:c r="H4151" t="str">
        <x:v>independent physical acceptance</x:v>
      </x:c>
      <x:c r="I4151" t="str">
        <x:f>IF(F4151=1,"PASS","OPEN")</x:f>
        <x:v>OPEN</x:v>
      </x:c>
    </x:row>
    <x:row r="4152">
      <x:c r="B4152" t="str">
        <x:v>PH-RR-234</x:v>
      </x:c>
      <x:c r="C4152" t="str">
        <x:v>PHYSICAL</x:v>
      </x:c>
      <x:c r="D4152" t="str">
        <x:v>trial-result review</x:v>
      </x:c>
      <x:c r="E4152" t="str">
        <x:v>PH-RR-234</x:v>
      </x:c>
      <x:c r="F4152" t="str">
        <x:f>'Trial Results'!R240</x:f>
      </x:c>
      <x:c r="G4152" t="n">
        <x:v>1</x:v>
      </x:c>
      <x:c r="H4152" t="str">
        <x:v>independent physical acceptance</x:v>
      </x:c>
      <x:c r="I4152" t="str">
        <x:f>IF(F4152=1,"PASS","OPEN")</x:f>
        <x:v>OPEN</x:v>
      </x:c>
    </x:row>
    <x:row r="4153">
      <x:c r="B4153" t="str">
        <x:v>PH-RR-235</x:v>
      </x:c>
      <x:c r="C4153" t="str">
        <x:v>PHYSICAL</x:v>
      </x:c>
      <x:c r="D4153" t="str">
        <x:v>trial-result review</x:v>
      </x:c>
      <x:c r="E4153" t="str">
        <x:v>PH-RR-235</x:v>
      </x:c>
      <x:c r="F4153" t="str">
        <x:f>'Trial Results'!R241</x:f>
      </x:c>
      <x:c r="G4153" t="n">
        <x:v>1</x:v>
      </x:c>
      <x:c r="H4153" t="str">
        <x:v>independent physical acceptance</x:v>
      </x:c>
      <x:c r="I4153" t="str">
        <x:f>IF(F4153=1,"PASS","OPEN")</x:f>
        <x:v>OPEN</x:v>
      </x:c>
    </x:row>
    <x:row r="4154">
      <x:c r="B4154" t="str">
        <x:v>PH-RR-236</x:v>
      </x:c>
      <x:c r="C4154" t="str">
        <x:v>PHYSICAL</x:v>
      </x:c>
      <x:c r="D4154" t="str">
        <x:v>trial-result review</x:v>
      </x:c>
      <x:c r="E4154" t="str">
        <x:v>PH-RR-236</x:v>
      </x:c>
      <x:c r="F4154" t="str">
        <x:f>'Trial Results'!R242</x:f>
      </x:c>
      <x:c r="G4154" t="n">
        <x:v>1</x:v>
      </x:c>
      <x:c r="H4154" t="str">
        <x:v>independent physical acceptance</x:v>
      </x:c>
      <x:c r="I4154" t="str">
        <x:f>IF(F4154=1,"PASS","OPEN")</x:f>
        <x:v>OPEN</x:v>
      </x:c>
    </x:row>
    <x:row r="4155">
      <x:c r="B4155" t="str">
        <x:v>PH-RR-237</x:v>
      </x:c>
      <x:c r="C4155" t="str">
        <x:v>PHYSICAL</x:v>
      </x:c>
      <x:c r="D4155" t="str">
        <x:v>trial-result review</x:v>
      </x:c>
      <x:c r="E4155" t="str">
        <x:v>PH-RR-237</x:v>
      </x:c>
      <x:c r="F4155" t="str">
        <x:f>'Trial Results'!R243</x:f>
      </x:c>
      <x:c r="G4155" t="n">
        <x:v>1</x:v>
      </x:c>
      <x:c r="H4155" t="str">
        <x:v>independent physical acceptance</x:v>
      </x:c>
      <x:c r="I4155" t="str">
        <x:f>IF(F4155=1,"PASS","OPEN")</x:f>
        <x:v>OPEN</x:v>
      </x:c>
    </x:row>
    <x:row r="4156">
      <x:c r="B4156" t="str">
        <x:v>PH-RR-238</x:v>
      </x:c>
      <x:c r="C4156" t="str">
        <x:v>PHYSICAL</x:v>
      </x:c>
      <x:c r="D4156" t="str">
        <x:v>trial-result review</x:v>
      </x:c>
      <x:c r="E4156" t="str">
        <x:v>PH-RR-238</x:v>
      </x:c>
      <x:c r="F4156" t="str">
        <x:f>'Trial Results'!R244</x:f>
      </x:c>
      <x:c r="G4156" t="n">
        <x:v>1</x:v>
      </x:c>
      <x:c r="H4156" t="str">
        <x:v>independent physical acceptance</x:v>
      </x:c>
      <x:c r="I4156" t="str">
        <x:f>IF(F4156=1,"PASS","OPEN")</x:f>
        <x:v>OPEN</x:v>
      </x:c>
    </x:row>
    <x:row r="4157">
      <x:c r="B4157" t="str">
        <x:v>PH-RR-239</x:v>
      </x:c>
      <x:c r="C4157" t="str">
        <x:v>PHYSICAL</x:v>
      </x:c>
      <x:c r="D4157" t="str">
        <x:v>trial-result review</x:v>
      </x:c>
      <x:c r="E4157" t="str">
        <x:v>PH-RR-239</x:v>
      </x:c>
      <x:c r="F4157" t="str">
        <x:f>'Trial Results'!R245</x:f>
      </x:c>
      <x:c r="G4157" t="n">
        <x:v>1</x:v>
      </x:c>
      <x:c r="H4157" t="str">
        <x:v>independent physical acceptance</x:v>
      </x:c>
      <x:c r="I4157" t="str">
        <x:f>IF(F4157=1,"PASS","OPEN")</x:f>
        <x:v>OPEN</x:v>
      </x:c>
    </x:row>
    <x:row r="4158">
      <x:c r="B4158" t="str">
        <x:v>PH-RR-240</x:v>
      </x:c>
      <x:c r="C4158" t="str">
        <x:v>PHYSICAL</x:v>
      </x:c>
      <x:c r="D4158" t="str">
        <x:v>trial-result review</x:v>
      </x:c>
      <x:c r="E4158" t="str">
        <x:v>PH-RR-240</x:v>
      </x:c>
      <x:c r="F4158" t="str">
        <x:f>'Trial Results'!R246</x:f>
      </x:c>
      <x:c r="G4158" t="n">
        <x:v>1</x:v>
      </x:c>
      <x:c r="H4158" t="str">
        <x:v>independent physical acceptance</x:v>
      </x:c>
      <x:c r="I4158" t="str">
        <x:f>IF(F4158=1,"PASS","OPEN")</x:f>
        <x:v>OPEN</x:v>
      </x:c>
    </x:row>
    <x:row r="4159">
      <x:c r="B4159" t="str">
        <x:v>PH-RR-241</x:v>
      </x:c>
      <x:c r="C4159" t="str">
        <x:v>PHYSICAL</x:v>
      </x:c>
      <x:c r="D4159" t="str">
        <x:v>trial-result review</x:v>
      </x:c>
      <x:c r="E4159" t="str">
        <x:v>PH-RR-241</x:v>
      </x:c>
      <x:c r="F4159" t="str">
        <x:f>'Trial Results'!R247</x:f>
      </x:c>
      <x:c r="G4159" t="n">
        <x:v>1</x:v>
      </x:c>
      <x:c r="H4159" t="str">
        <x:v>independent physical acceptance</x:v>
      </x:c>
      <x:c r="I4159" t="str">
        <x:f>IF(F4159=1,"PASS","OPEN")</x:f>
        <x:v>OPEN</x:v>
      </x:c>
    </x:row>
    <x:row r="4160">
      <x:c r="B4160" t="str">
        <x:v>PH-RR-242</x:v>
      </x:c>
      <x:c r="C4160" t="str">
        <x:v>PHYSICAL</x:v>
      </x:c>
      <x:c r="D4160" t="str">
        <x:v>trial-result review</x:v>
      </x:c>
      <x:c r="E4160" t="str">
        <x:v>PH-RR-242</x:v>
      </x:c>
      <x:c r="F4160" t="str">
        <x:f>'Trial Results'!R248</x:f>
      </x:c>
      <x:c r="G4160" t="n">
        <x:v>1</x:v>
      </x:c>
      <x:c r="H4160" t="str">
        <x:v>independent physical acceptance</x:v>
      </x:c>
      <x:c r="I4160" t="str">
        <x:f>IF(F4160=1,"PASS","OPEN")</x:f>
        <x:v>OPEN</x:v>
      </x:c>
    </x:row>
    <x:row r="4161">
      <x:c r="B4161" t="str">
        <x:v>PH-RR-243</x:v>
      </x:c>
      <x:c r="C4161" t="str">
        <x:v>PHYSICAL</x:v>
      </x:c>
      <x:c r="D4161" t="str">
        <x:v>trial-result review</x:v>
      </x:c>
      <x:c r="E4161" t="str">
        <x:v>PH-RR-243</x:v>
      </x:c>
      <x:c r="F4161" t="str">
        <x:f>'Trial Results'!R249</x:f>
      </x:c>
      <x:c r="G4161" t="n">
        <x:v>1</x:v>
      </x:c>
      <x:c r="H4161" t="str">
        <x:v>independent physical acceptance</x:v>
      </x:c>
      <x:c r="I4161" t="str">
        <x:f>IF(F4161=1,"PASS","OPEN")</x:f>
        <x:v>OPEN</x:v>
      </x:c>
    </x:row>
    <x:row r="4162">
      <x:c r="B4162" t="str">
        <x:v>PH-RR-244</x:v>
      </x:c>
      <x:c r="C4162" t="str">
        <x:v>PHYSICAL</x:v>
      </x:c>
      <x:c r="D4162" t="str">
        <x:v>trial-result review</x:v>
      </x:c>
      <x:c r="E4162" t="str">
        <x:v>PH-RR-244</x:v>
      </x:c>
      <x:c r="F4162" t="str">
        <x:f>'Trial Results'!R250</x:f>
      </x:c>
      <x:c r="G4162" t="n">
        <x:v>1</x:v>
      </x:c>
      <x:c r="H4162" t="str">
        <x:v>independent physical acceptance</x:v>
      </x:c>
      <x:c r="I4162" t="str">
        <x:f>IF(F4162=1,"PASS","OPEN")</x:f>
        <x:v>OPEN</x:v>
      </x:c>
    </x:row>
    <x:row r="4163">
      <x:c r="B4163" t="str">
        <x:v>PH-RR-245</x:v>
      </x:c>
      <x:c r="C4163" t="str">
        <x:v>PHYSICAL</x:v>
      </x:c>
      <x:c r="D4163" t="str">
        <x:v>trial-result review</x:v>
      </x:c>
      <x:c r="E4163" t="str">
        <x:v>PH-RR-245</x:v>
      </x:c>
      <x:c r="F4163" t="str">
        <x:f>'Trial Results'!R251</x:f>
      </x:c>
      <x:c r="G4163" t="n">
        <x:v>1</x:v>
      </x:c>
      <x:c r="H4163" t="str">
        <x:v>independent physical acceptance</x:v>
      </x:c>
      <x:c r="I4163" t="str">
        <x:f>IF(F4163=1,"PASS","OPEN")</x:f>
        <x:v>OPEN</x:v>
      </x:c>
    </x:row>
    <x:row r="4164">
      <x:c r="B4164" t="str">
        <x:v>PH-RR-246</x:v>
      </x:c>
      <x:c r="C4164" t="str">
        <x:v>PHYSICAL</x:v>
      </x:c>
      <x:c r="D4164" t="str">
        <x:v>trial-result review</x:v>
      </x:c>
      <x:c r="E4164" t="str">
        <x:v>PH-RR-246</x:v>
      </x:c>
      <x:c r="F4164" t="str">
        <x:f>'Trial Results'!R252</x:f>
      </x:c>
      <x:c r="G4164" t="n">
        <x:v>1</x:v>
      </x:c>
      <x:c r="H4164" t="str">
        <x:v>independent physical acceptance</x:v>
      </x:c>
      <x:c r="I4164" t="str">
        <x:f>IF(F4164=1,"PASS","OPEN")</x:f>
        <x:v>OPEN</x:v>
      </x:c>
    </x:row>
    <x:row r="4165">
      <x:c r="B4165" t="str">
        <x:v>PH-RR-247</x:v>
      </x:c>
      <x:c r="C4165" t="str">
        <x:v>PHYSICAL</x:v>
      </x:c>
      <x:c r="D4165" t="str">
        <x:v>trial-result review</x:v>
      </x:c>
      <x:c r="E4165" t="str">
        <x:v>PH-RR-247</x:v>
      </x:c>
      <x:c r="F4165" t="str">
        <x:f>'Trial Results'!R253</x:f>
      </x:c>
      <x:c r="G4165" t="n">
        <x:v>1</x:v>
      </x:c>
      <x:c r="H4165" t="str">
        <x:v>independent physical acceptance</x:v>
      </x:c>
      <x:c r="I4165" t="str">
        <x:f>IF(F4165=1,"PASS","OPEN")</x:f>
        <x:v>OPEN</x:v>
      </x:c>
    </x:row>
    <x:row r="4166">
      <x:c r="B4166" t="str">
        <x:v>PH-RR-248</x:v>
      </x:c>
      <x:c r="C4166" t="str">
        <x:v>PHYSICAL</x:v>
      </x:c>
      <x:c r="D4166" t="str">
        <x:v>trial-result review</x:v>
      </x:c>
      <x:c r="E4166" t="str">
        <x:v>PH-RR-248</x:v>
      </x:c>
      <x:c r="F4166" t="str">
        <x:f>'Trial Results'!R254</x:f>
      </x:c>
      <x:c r="G4166" t="n">
        <x:v>1</x:v>
      </x:c>
      <x:c r="H4166" t="str">
        <x:v>independent physical acceptance</x:v>
      </x:c>
      <x:c r="I4166" t="str">
        <x:f>IF(F4166=1,"PASS","OPEN")</x:f>
        <x:v>OPEN</x:v>
      </x:c>
    </x:row>
    <x:row r="4167">
      <x:c r="B4167" t="str">
        <x:v>PH-RR-249</x:v>
      </x:c>
      <x:c r="C4167" t="str">
        <x:v>PHYSICAL</x:v>
      </x:c>
      <x:c r="D4167" t="str">
        <x:v>trial-result review</x:v>
      </x:c>
      <x:c r="E4167" t="str">
        <x:v>PH-RR-249</x:v>
      </x:c>
      <x:c r="F4167" t="str">
        <x:f>'Trial Results'!R255</x:f>
      </x:c>
      <x:c r="G4167" t="n">
        <x:v>1</x:v>
      </x:c>
      <x:c r="H4167" t="str">
        <x:v>independent physical acceptance</x:v>
      </x:c>
      <x:c r="I4167" t="str">
        <x:f>IF(F4167=1,"PASS","OPEN")</x:f>
        <x:v>OPEN</x:v>
      </x:c>
    </x:row>
    <x:row r="4168">
      <x:c r="B4168" t="str">
        <x:v>PH-RR-250</x:v>
      </x:c>
      <x:c r="C4168" t="str">
        <x:v>PHYSICAL</x:v>
      </x:c>
      <x:c r="D4168" t="str">
        <x:v>trial-result review</x:v>
      </x:c>
      <x:c r="E4168" t="str">
        <x:v>PH-RR-250</x:v>
      </x:c>
      <x:c r="F4168" t="str">
        <x:f>'Trial Results'!R256</x:f>
      </x:c>
      <x:c r="G4168" t="n">
        <x:v>1</x:v>
      </x:c>
      <x:c r="H4168" t="str">
        <x:v>independent physical acceptance</x:v>
      </x:c>
      <x:c r="I4168" t="str">
        <x:f>IF(F4168=1,"PASS","OPEN")</x:f>
        <x:v>OPEN</x:v>
      </x:c>
    </x:row>
    <x:row r="4169">
      <x:c r="B4169" t="str">
        <x:v>PH-RR-251</x:v>
      </x:c>
      <x:c r="C4169" t="str">
        <x:v>PHYSICAL</x:v>
      </x:c>
      <x:c r="D4169" t="str">
        <x:v>trial-result review</x:v>
      </x:c>
      <x:c r="E4169" t="str">
        <x:v>PH-RR-251</x:v>
      </x:c>
      <x:c r="F4169" t="str">
        <x:f>'Trial Results'!R257</x:f>
      </x:c>
      <x:c r="G4169" t="n">
        <x:v>1</x:v>
      </x:c>
      <x:c r="H4169" t="str">
        <x:v>independent physical acceptance</x:v>
      </x:c>
      <x:c r="I4169" t="str">
        <x:f>IF(F4169=1,"PASS","OPEN")</x:f>
        <x:v>OPEN</x:v>
      </x:c>
    </x:row>
    <x:row r="4170">
      <x:c r="B4170" t="str">
        <x:v>PH-RR-252</x:v>
      </x:c>
      <x:c r="C4170" t="str">
        <x:v>PHYSICAL</x:v>
      </x:c>
      <x:c r="D4170" t="str">
        <x:v>trial-result review</x:v>
      </x:c>
      <x:c r="E4170" t="str">
        <x:v>PH-RR-252</x:v>
      </x:c>
      <x:c r="F4170" t="str">
        <x:f>'Trial Results'!R258</x:f>
      </x:c>
      <x:c r="G4170" t="n">
        <x:v>1</x:v>
      </x:c>
      <x:c r="H4170" t="str">
        <x:v>independent physical acceptance</x:v>
      </x:c>
      <x:c r="I4170" t="str">
        <x:f>IF(F4170=1,"PASS","OPEN")</x:f>
        <x:v>OPEN</x:v>
      </x:c>
    </x:row>
    <x:row r="4171">
      <x:c r="B4171" t="str">
        <x:v>PH-RR-253</x:v>
      </x:c>
      <x:c r="C4171" t="str">
        <x:v>PHYSICAL</x:v>
      </x:c>
      <x:c r="D4171" t="str">
        <x:v>trial-result review</x:v>
      </x:c>
      <x:c r="E4171" t="str">
        <x:v>PH-RR-253</x:v>
      </x:c>
      <x:c r="F4171" t="str">
        <x:f>'Trial Results'!R259</x:f>
      </x:c>
      <x:c r="G4171" t="n">
        <x:v>1</x:v>
      </x:c>
      <x:c r="H4171" t="str">
        <x:v>independent physical acceptance</x:v>
      </x:c>
      <x:c r="I4171" t="str">
        <x:f>IF(F4171=1,"PASS","OPEN")</x:f>
        <x:v>OPEN</x:v>
      </x:c>
    </x:row>
    <x:row r="4172">
      <x:c r="B4172" t="str">
        <x:v>PH-RR-254</x:v>
      </x:c>
      <x:c r="C4172" t="str">
        <x:v>PHYSICAL</x:v>
      </x:c>
      <x:c r="D4172" t="str">
        <x:v>trial-result review</x:v>
      </x:c>
      <x:c r="E4172" t="str">
        <x:v>PH-RR-254</x:v>
      </x:c>
      <x:c r="F4172" t="str">
        <x:f>'Trial Results'!R260</x:f>
      </x:c>
      <x:c r="G4172" t="n">
        <x:v>1</x:v>
      </x:c>
      <x:c r="H4172" t="str">
        <x:v>independent physical acceptance</x:v>
      </x:c>
      <x:c r="I4172" t="str">
        <x:f>IF(F4172=1,"PASS","OPEN")</x:f>
        <x:v>OPEN</x:v>
      </x:c>
    </x:row>
    <x:row r="4173">
      <x:c r="B4173" t="str">
        <x:v>PH-RR-255</x:v>
      </x:c>
      <x:c r="C4173" t="str">
        <x:v>PHYSICAL</x:v>
      </x:c>
      <x:c r="D4173" t="str">
        <x:v>trial-result review</x:v>
      </x:c>
      <x:c r="E4173" t="str">
        <x:v>PH-RR-255</x:v>
      </x:c>
      <x:c r="F4173" t="str">
        <x:f>'Trial Results'!R261</x:f>
      </x:c>
      <x:c r="G4173" t="n">
        <x:v>1</x:v>
      </x:c>
      <x:c r="H4173" t="str">
        <x:v>independent physical acceptance</x:v>
      </x:c>
      <x:c r="I4173" t="str">
        <x:f>IF(F4173=1,"PASS","OPEN")</x:f>
        <x:v>OPEN</x:v>
      </x:c>
    </x:row>
    <x:row r="4174">
      <x:c r="B4174" t="str">
        <x:v>PH-RR-256</x:v>
      </x:c>
      <x:c r="C4174" t="str">
        <x:v>PHYSICAL</x:v>
      </x:c>
      <x:c r="D4174" t="str">
        <x:v>trial-result review</x:v>
      </x:c>
      <x:c r="E4174" t="str">
        <x:v>PH-RR-256</x:v>
      </x:c>
      <x:c r="F4174" t="str">
        <x:f>'Trial Results'!R262</x:f>
      </x:c>
      <x:c r="G4174" t="n">
        <x:v>1</x:v>
      </x:c>
      <x:c r="H4174" t="str">
        <x:v>independent physical acceptance</x:v>
      </x:c>
      <x:c r="I4174" t="str">
        <x:f>IF(F4174=1,"PASS","OPEN")</x:f>
        <x:v>OPEN</x:v>
      </x:c>
    </x:row>
    <x:row r="4175">
      <x:c r="B4175" t="str">
        <x:v>PH-RR-257</x:v>
      </x:c>
      <x:c r="C4175" t="str">
        <x:v>PHYSICAL</x:v>
      </x:c>
      <x:c r="D4175" t="str">
        <x:v>trial-result review</x:v>
      </x:c>
      <x:c r="E4175" t="str">
        <x:v>PH-RR-257</x:v>
      </x:c>
      <x:c r="F4175" t="str">
        <x:f>'Trial Results'!R263</x:f>
      </x:c>
      <x:c r="G4175" t="n">
        <x:v>1</x:v>
      </x:c>
      <x:c r="H4175" t="str">
        <x:v>independent physical acceptance</x:v>
      </x:c>
      <x:c r="I4175" t="str">
        <x:f>IF(F4175=1,"PASS","OPEN")</x:f>
        <x:v>OPEN</x:v>
      </x:c>
    </x:row>
    <x:row r="4176">
      <x:c r="B4176" t="str">
        <x:v>PH-RR-258</x:v>
      </x:c>
      <x:c r="C4176" t="str">
        <x:v>PHYSICAL</x:v>
      </x:c>
      <x:c r="D4176" t="str">
        <x:v>trial-result review</x:v>
      </x:c>
      <x:c r="E4176" t="str">
        <x:v>PH-RR-258</x:v>
      </x:c>
      <x:c r="F4176" t="str">
        <x:f>'Trial Results'!R264</x:f>
      </x:c>
      <x:c r="G4176" t="n">
        <x:v>1</x:v>
      </x:c>
      <x:c r="H4176" t="str">
        <x:v>independent physical acceptance</x:v>
      </x:c>
      <x:c r="I4176" t="str">
        <x:f>IF(F4176=1,"PASS","OPEN")</x:f>
        <x:v>OPEN</x:v>
      </x:c>
    </x:row>
    <x:row r="4177">
      <x:c r="B4177" t="str">
        <x:v>PH-RR-259</x:v>
      </x:c>
      <x:c r="C4177" t="str">
        <x:v>PHYSICAL</x:v>
      </x:c>
      <x:c r="D4177" t="str">
        <x:v>trial-result review</x:v>
      </x:c>
      <x:c r="E4177" t="str">
        <x:v>PH-RR-259</x:v>
      </x:c>
      <x:c r="F4177" t="str">
        <x:f>'Trial Results'!R265</x:f>
      </x:c>
      <x:c r="G4177" t="n">
        <x:v>1</x:v>
      </x:c>
      <x:c r="H4177" t="str">
        <x:v>independent physical acceptance</x:v>
      </x:c>
      <x:c r="I4177" t="str">
        <x:f>IF(F4177=1,"PASS","OPEN")</x:f>
        <x:v>OPEN</x:v>
      </x:c>
    </x:row>
    <x:row r="4178">
      <x:c r="B4178" t="str">
        <x:v>PH-RR-260</x:v>
      </x:c>
      <x:c r="C4178" t="str">
        <x:v>PHYSICAL</x:v>
      </x:c>
      <x:c r="D4178" t="str">
        <x:v>trial-result review</x:v>
      </x:c>
      <x:c r="E4178" t="str">
        <x:v>PH-RR-260</x:v>
      </x:c>
      <x:c r="F4178" t="str">
        <x:f>'Trial Results'!R266</x:f>
      </x:c>
      <x:c r="G4178" t="n">
        <x:v>1</x:v>
      </x:c>
      <x:c r="H4178" t="str">
        <x:v>independent physical acceptance</x:v>
      </x:c>
      <x:c r="I4178" t="str">
        <x:f>IF(F4178=1,"PASS","OPEN")</x:f>
        <x:v>OPEN</x:v>
      </x:c>
    </x:row>
    <x:row r="4179">
      <x:c r="B4179" t="str">
        <x:v>PH-RR-261</x:v>
      </x:c>
      <x:c r="C4179" t="str">
        <x:v>PHYSICAL</x:v>
      </x:c>
      <x:c r="D4179" t="str">
        <x:v>trial-result review</x:v>
      </x:c>
      <x:c r="E4179" t="str">
        <x:v>PH-RR-261</x:v>
      </x:c>
      <x:c r="F4179" t="str">
        <x:f>'Trial Results'!R267</x:f>
      </x:c>
      <x:c r="G4179" t="n">
        <x:v>1</x:v>
      </x:c>
      <x:c r="H4179" t="str">
        <x:v>independent physical acceptance</x:v>
      </x:c>
      <x:c r="I4179" t="str">
        <x:f>IF(F4179=1,"PASS","OPEN")</x:f>
        <x:v>OPEN</x:v>
      </x:c>
    </x:row>
    <x:row r="4180">
      <x:c r="B4180" t="str">
        <x:v>PH-RR-262</x:v>
      </x:c>
      <x:c r="C4180" t="str">
        <x:v>PHYSICAL</x:v>
      </x:c>
      <x:c r="D4180" t="str">
        <x:v>trial-result review</x:v>
      </x:c>
      <x:c r="E4180" t="str">
        <x:v>PH-RR-262</x:v>
      </x:c>
      <x:c r="F4180" t="str">
        <x:f>'Trial Results'!R268</x:f>
      </x:c>
      <x:c r="G4180" t="n">
        <x:v>1</x:v>
      </x:c>
      <x:c r="H4180" t="str">
        <x:v>independent physical acceptance</x:v>
      </x:c>
      <x:c r="I4180" t="str">
        <x:f>IF(F4180=1,"PASS","OPEN")</x:f>
        <x:v>OPEN</x:v>
      </x:c>
    </x:row>
    <x:row r="4181">
      <x:c r="B4181" t="str">
        <x:v>PH-RR-263</x:v>
      </x:c>
      <x:c r="C4181" t="str">
        <x:v>PHYSICAL</x:v>
      </x:c>
      <x:c r="D4181" t="str">
        <x:v>trial-result review</x:v>
      </x:c>
      <x:c r="E4181" t="str">
        <x:v>PH-RR-263</x:v>
      </x:c>
      <x:c r="F4181" t="str">
        <x:f>'Trial Results'!R269</x:f>
      </x:c>
      <x:c r="G4181" t="n">
        <x:v>1</x:v>
      </x:c>
      <x:c r="H4181" t="str">
        <x:v>independent physical acceptance</x:v>
      </x:c>
      <x:c r="I4181" t="str">
        <x:f>IF(F4181=1,"PASS","OPEN")</x:f>
        <x:v>OPEN</x:v>
      </x:c>
    </x:row>
    <x:row r="4182">
      <x:c r="B4182" t="str">
        <x:v>PH-RR-264</x:v>
      </x:c>
      <x:c r="C4182" t="str">
        <x:v>PHYSICAL</x:v>
      </x:c>
      <x:c r="D4182" t="str">
        <x:v>trial-result review</x:v>
      </x:c>
      <x:c r="E4182" t="str">
        <x:v>PH-RR-264</x:v>
      </x:c>
      <x:c r="F4182" t="str">
        <x:f>'Trial Results'!R270</x:f>
      </x:c>
      <x:c r="G4182" t="n">
        <x:v>1</x:v>
      </x:c>
      <x:c r="H4182" t="str">
        <x:v>independent physical acceptance</x:v>
      </x:c>
      <x:c r="I4182" t="str">
        <x:f>IF(F4182=1,"PASS","OPEN")</x:f>
        <x:v>OPEN</x:v>
      </x:c>
    </x:row>
    <x:row r="4183">
      <x:c r="B4183" t="str">
        <x:v>PH-RR-265</x:v>
      </x:c>
      <x:c r="C4183" t="str">
        <x:v>PHYSICAL</x:v>
      </x:c>
      <x:c r="D4183" t="str">
        <x:v>trial-result review</x:v>
      </x:c>
      <x:c r="E4183" t="str">
        <x:v>PH-RR-265</x:v>
      </x:c>
      <x:c r="F4183" t="str">
        <x:f>'Trial Results'!R271</x:f>
      </x:c>
      <x:c r="G4183" t="n">
        <x:v>1</x:v>
      </x:c>
      <x:c r="H4183" t="str">
        <x:v>independent physical acceptance</x:v>
      </x:c>
      <x:c r="I4183" t="str">
        <x:f>IF(F4183=1,"PASS","OPEN")</x:f>
        <x:v>OPEN</x:v>
      </x:c>
    </x:row>
    <x:row r="4184">
      <x:c r="B4184" t="str">
        <x:v>PH-RR-266</x:v>
      </x:c>
      <x:c r="C4184" t="str">
        <x:v>PHYSICAL</x:v>
      </x:c>
      <x:c r="D4184" t="str">
        <x:v>trial-result review</x:v>
      </x:c>
      <x:c r="E4184" t="str">
        <x:v>PH-RR-266</x:v>
      </x:c>
      <x:c r="F4184" t="str">
        <x:f>'Trial Results'!R272</x:f>
      </x:c>
      <x:c r="G4184" t="n">
        <x:v>1</x:v>
      </x:c>
      <x:c r="H4184" t="str">
        <x:v>independent physical acceptance</x:v>
      </x:c>
      <x:c r="I4184" t="str">
        <x:f>IF(F4184=1,"PASS","OPEN")</x:f>
        <x:v>OPEN</x:v>
      </x:c>
    </x:row>
    <x:row r="4185">
      <x:c r="B4185" t="str">
        <x:v>PH-RR-267</x:v>
      </x:c>
      <x:c r="C4185" t="str">
        <x:v>PHYSICAL</x:v>
      </x:c>
      <x:c r="D4185" t="str">
        <x:v>trial-result review</x:v>
      </x:c>
      <x:c r="E4185" t="str">
        <x:v>PH-RR-267</x:v>
      </x:c>
      <x:c r="F4185" t="str">
        <x:f>'Trial Results'!R273</x:f>
      </x:c>
      <x:c r="G4185" t="n">
        <x:v>1</x:v>
      </x:c>
      <x:c r="H4185" t="str">
        <x:v>independent physical acceptance</x:v>
      </x:c>
      <x:c r="I4185" t="str">
        <x:f>IF(F4185=1,"PASS","OPEN")</x:f>
        <x:v>OPEN</x:v>
      </x:c>
    </x:row>
    <x:row r="4186">
      <x:c r="B4186" t="str">
        <x:v>PH-RR-268</x:v>
      </x:c>
      <x:c r="C4186" t="str">
        <x:v>PHYSICAL</x:v>
      </x:c>
      <x:c r="D4186" t="str">
        <x:v>trial-result review</x:v>
      </x:c>
      <x:c r="E4186" t="str">
        <x:v>PH-RR-268</x:v>
      </x:c>
      <x:c r="F4186" t="str">
        <x:f>'Trial Results'!R274</x:f>
      </x:c>
      <x:c r="G4186" t="n">
        <x:v>1</x:v>
      </x:c>
      <x:c r="H4186" t="str">
        <x:v>independent physical acceptance</x:v>
      </x:c>
      <x:c r="I4186" t="str">
        <x:f>IF(F4186=1,"PASS","OPEN")</x:f>
        <x:v>OPEN</x:v>
      </x:c>
    </x:row>
    <x:row r="4187">
      <x:c r="B4187" t="str">
        <x:v>PH-RR-269</x:v>
      </x:c>
      <x:c r="C4187" t="str">
        <x:v>PHYSICAL</x:v>
      </x:c>
      <x:c r="D4187" t="str">
        <x:v>trial-result review</x:v>
      </x:c>
      <x:c r="E4187" t="str">
        <x:v>PH-RR-269</x:v>
      </x:c>
      <x:c r="F4187" t="str">
        <x:f>'Trial Results'!R275</x:f>
      </x:c>
      <x:c r="G4187" t="n">
        <x:v>1</x:v>
      </x:c>
      <x:c r="H4187" t="str">
        <x:v>independent physical acceptance</x:v>
      </x:c>
      <x:c r="I4187" t="str">
        <x:f>IF(F4187=1,"PASS","OPEN")</x:f>
        <x:v>OPEN</x:v>
      </x:c>
    </x:row>
    <x:row r="4188">
      <x:c r="B4188" t="str">
        <x:v>PH-RR-270</x:v>
      </x:c>
      <x:c r="C4188" t="str">
        <x:v>PHYSICAL</x:v>
      </x:c>
      <x:c r="D4188" t="str">
        <x:v>trial-result review</x:v>
      </x:c>
      <x:c r="E4188" t="str">
        <x:v>PH-RR-270</x:v>
      </x:c>
      <x:c r="F4188" t="str">
        <x:f>'Trial Results'!R276</x:f>
      </x:c>
      <x:c r="G4188" t="n">
        <x:v>1</x:v>
      </x:c>
      <x:c r="H4188" t="str">
        <x:v>independent physical acceptance</x:v>
      </x:c>
      <x:c r="I4188" t="str">
        <x:f>IF(F4188=1,"PASS","OPEN")</x:f>
        <x:v>OPEN</x:v>
      </x:c>
    </x:row>
    <x:row r="4189">
      <x:c r="B4189" t="str">
        <x:v>PH-RR-271</x:v>
      </x:c>
      <x:c r="C4189" t="str">
        <x:v>PHYSICAL</x:v>
      </x:c>
      <x:c r="D4189" t="str">
        <x:v>trial-result review</x:v>
      </x:c>
      <x:c r="E4189" t="str">
        <x:v>PH-RR-271</x:v>
      </x:c>
      <x:c r="F4189" t="str">
        <x:f>'Trial Results'!R277</x:f>
      </x:c>
      <x:c r="G4189" t="n">
        <x:v>1</x:v>
      </x:c>
      <x:c r="H4189" t="str">
        <x:v>independent physical acceptance</x:v>
      </x:c>
      <x:c r="I4189" t="str">
        <x:f>IF(F4189=1,"PASS","OPEN")</x:f>
        <x:v>OPEN</x:v>
      </x:c>
    </x:row>
    <x:row r="4190">
      <x:c r="B4190" t="str">
        <x:v>PH-RR-272</x:v>
      </x:c>
      <x:c r="C4190" t="str">
        <x:v>PHYSICAL</x:v>
      </x:c>
      <x:c r="D4190" t="str">
        <x:v>trial-result review</x:v>
      </x:c>
      <x:c r="E4190" t="str">
        <x:v>PH-RR-272</x:v>
      </x:c>
      <x:c r="F4190" t="str">
        <x:f>'Trial Results'!R278</x:f>
      </x:c>
      <x:c r="G4190" t="n">
        <x:v>1</x:v>
      </x:c>
      <x:c r="H4190" t="str">
        <x:v>independent physical acceptance</x:v>
      </x:c>
      <x:c r="I4190" t="str">
        <x:f>IF(F4190=1,"PASS","OPEN")</x:f>
        <x:v>OPEN</x:v>
      </x:c>
    </x:row>
    <x:row r="4191">
      <x:c r="B4191" t="str">
        <x:v>PH-RR-273</x:v>
      </x:c>
      <x:c r="C4191" t="str">
        <x:v>PHYSICAL</x:v>
      </x:c>
      <x:c r="D4191" t="str">
        <x:v>trial-result review</x:v>
      </x:c>
      <x:c r="E4191" t="str">
        <x:v>PH-RR-273</x:v>
      </x:c>
      <x:c r="F4191" t="str">
        <x:f>'Trial Results'!R279</x:f>
      </x:c>
      <x:c r="G4191" t="n">
        <x:v>1</x:v>
      </x:c>
      <x:c r="H4191" t="str">
        <x:v>independent physical acceptance</x:v>
      </x:c>
      <x:c r="I4191" t="str">
        <x:f>IF(F4191=1,"PASS","OPEN")</x:f>
        <x:v>OPEN</x:v>
      </x:c>
    </x:row>
    <x:row r="4192">
      <x:c r="B4192" t="str">
        <x:v>PH-RR-274</x:v>
      </x:c>
      <x:c r="C4192" t="str">
        <x:v>PHYSICAL</x:v>
      </x:c>
      <x:c r="D4192" t="str">
        <x:v>trial-result review</x:v>
      </x:c>
      <x:c r="E4192" t="str">
        <x:v>PH-RR-274</x:v>
      </x:c>
      <x:c r="F4192" t="str">
        <x:f>'Trial Results'!R280</x:f>
      </x:c>
      <x:c r="G4192" t="n">
        <x:v>1</x:v>
      </x:c>
      <x:c r="H4192" t="str">
        <x:v>independent physical acceptance</x:v>
      </x:c>
      <x:c r="I4192" t="str">
        <x:f>IF(F4192=1,"PASS","OPEN")</x:f>
        <x:v>OPEN</x:v>
      </x:c>
    </x:row>
    <x:row r="4193">
      <x:c r="B4193" t="str">
        <x:v>PH-RR-275</x:v>
      </x:c>
      <x:c r="C4193" t="str">
        <x:v>PHYSICAL</x:v>
      </x:c>
      <x:c r="D4193" t="str">
        <x:v>trial-result review</x:v>
      </x:c>
      <x:c r="E4193" t="str">
        <x:v>PH-RR-275</x:v>
      </x:c>
      <x:c r="F4193" t="str">
        <x:f>'Trial Results'!R281</x:f>
      </x:c>
      <x:c r="G4193" t="n">
        <x:v>1</x:v>
      </x:c>
      <x:c r="H4193" t="str">
        <x:v>independent physical acceptance</x:v>
      </x:c>
      <x:c r="I4193" t="str">
        <x:f>IF(F4193=1,"PASS","OPEN")</x:f>
        <x:v>OPEN</x:v>
      </x:c>
    </x:row>
    <x:row r="4194">
      <x:c r="B4194" t="str">
        <x:v>PH-RR-276</x:v>
      </x:c>
      <x:c r="C4194" t="str">
        <x:v>PHYSICAL</x:v>
      </x:c>
      <x:c r="D4194" t="str">
        <x:v>trial-result review</x:v>
      </x:c>
      <x:c r="E4194" t="str">
        <x:v>PH-RR-276</x:v>
      </x:c>
      <x:c r="F4194" t="str">
        <x:f>'Trial Results'!R282</x:f>
      </x:c>
      <x:c r="G4194" t="n">
        <x:v>1</x:v>
      </x:c>
      <x:c r="H4194" t="str">
        <x:v>independent physical acceptance</x:v>
      </x:c>
      <x:c r="I4194" t="str">
        <x:f>IF(F4194=1,"PASS","OPEN")</x:f>
        <x:v>OPEN</x:v>
      </x:c>
    </x:row>
    <x:row r="4195">
      <x:c r="B4195" t="str">
        <x:v>PH-RR-277</x:v>
      </x:c>
      <x:c r="C4195" t="str">
        <x:v>PHYSICAL</x:v>
      </x:c>
      <x:c r="D4195" t="str">
        <x:v>trial-result review</x:v>
      </x:c>
      <x:c r="E4195" t="str">
        <x:v>PH-RR-277</x:v>
      </x:c>
      <x:c r="F4195" t="str">
        <x:f>'Trial Results'!R283</x:f>
      </x:c>
      <x:c r="G4195" t="n">
        <x:v>1</x:v>
      </x:c>
      <x:c r="H4195" t="str">
        <x:v>independent physical acceptance</x:v>
      </x:c>
      <x:c r="I4195" t="str">
        <x:f>IF(F4195=1,"PASS","OPEN")</x:f>
        <x:v>OPEN</x:v>
      </x:c>
    </x:row>
    <x:row r="4196">
      <x:c r="B4196" t="str">
        <x:v>PH-RR-278</x:v>
      </x:c>
      <x:c r="C4196" t="str">
        <x:v>PHYSICAL</x:v>
      </x:c>
      <x:c r="D4196" t="str">
        <x:v>trial-result review</x:v>
      </x:c>
      <x:c r="E4196" t="str">
        <x:v>PH-RR-278</x:v>
      </x:c>
      <x:c r="F4196" t="str">
        <x:f>'Trial Results'!R284</x:f>
      </x:c>
      <x:c r="G4196" t="n">
        <x:v>1</x:v>
      </x:c>
      <x:c r="H4196" t="str">
        <x:v>independent physical acceptance</x:v>
      </x:c>
      <x:c r="I4196" t="str">
        <x:f>IF(F4196=1,"PASS","OPEN")</x:f>
        <x:v>OPEN</x:v>
      </x:c>
    </x:row>
    <x:row r="4197">
      <x:c r="B4197" t="str">
        <x:v>PH-RR-279</x:v>
      </x:c>
      <x:c r="C4197" t="str">
        <x:v>PHYSICAL</x:v>
      </x:c>
      <x:c r="D4197" t="str">
        <x:v>trial-result review</x:v>
      </x:c>
      <x:c r="E4197" t="str">
        <x:v>PH-RR-279</x:v>
      </x:c>
      <x:c r="F4197" t="str">
        <x:f>'Trial Results'!R285</x:f>
      </x:c>
      <x:c r="G4197" t="n">
        <x:v>1</x:v>
      </x:c>
      <x:c r="H4197" t="str">
        <x:v>independent physical acceptance</x:v>
      </x:c>
      <x:c r="I4197" t="str">
        <x:f>IF(F4197=1,"PASS","OPEN")</x:f>
        <x:v>OPEN</x:v>
      </x:c>
    </x:row>
    <x:row r="4198">
      <x:c r="B4198" t="str">
        <x:v>PH-RR-280</x:v>
      </x:c>
      <x:c r="C4198" t="str">
        <x:v>PHYSICAL</x:v>
      </x:c>
      <x:c r="D4198" t="str">
        <x:v>trial-result review</x:v>
      </x:c>
      <x:c r="E4198" t="str">
        <x:v>PH-RR-280</x:v>
      </x:c>
      <x:c r="F4198" t="str">
        <x:f>'Trial Results'!R286</x:f>
      </x:c>
      <x:c r="G4198" t="n">
        <x:v>1</x:v>
      </x:c>
      <x:c r="H4198" t="str">
        <x:v>independent physical acceptance</x:v>
      </x:c>
      <x:c r="I4198" t="str">
        <x:f>IF(F4198=1,"PASS","OPEN")</x:f>
        <x:v>OPEN</x:v>
      </x:c>
    </x:row>
    <x:row r="4199">
      <x:c r="B4199" t="str">
        <x:v>PH-RR-281</x:v>
      </x:c>
      <x:c r="C4199" t="str">
        <x:v>PHYSICAL</x:v>
      </x:c>
      <x:c r="D4199" t="str">
        <x:v>trial-result review</x:v>
      </x:c>
      <x:c r="E4199" t="str">
        <x:v>PH-RR-281</x:v>
      </x:c>
      <x:c r="F4199" t="str">
        <x:f>'Trial Results'!R287</x:f>
      </x:c>
      <x:c r="G4199" t="n">
        <x:v>1</x:v>
      </x:c>
      <x:c r="H4199" t="str">
        <x:v>independent physical acceptance</x:v>
      </x:c>
      <x:c r="I4199" t="str">
        <x:f>IF(F4199=1,"PASS","OPEN")</x:f>
        <x:v>OPEN</x:v>
      </x:c>
    </x:row>
    <x:row r="4200">
      <x:c r="B4200" t="str">
        <x:v>PH-RR-282</x:v>
      </x:c>
      <x:c r="C4200" t="str">
        <x:v>PHYSICAL</x:v>
      </x:c>
      <x:c r="D4200" t="str">
        <x:v>trial-result review</x:v>
      </x:c>
      <x:c r="E4200" t="str">
        <x:v>PH-RR-282</x:v>
      </x:c>
      <x:c r="F4200" t="str">
        <x:f>'Trial Results'!R288</x:f>
      </x:c>
      <x:c r="G4200" t="n">
        <x:v>1</x:v>
      </x:c>
      <x:c r="H4200" t="str">
        <x:v>independent physical acceptance</x:v>
      </x:c>
      <x:c r="I4200" t="str">
        <x:f>IF(F4200=1,"PASS","OPEN")</x:f>
        <x:v>OPEN</x:v>
      </x:c>
    </x:row>
    <x:row r="4201">
      <x:c r="B4201" t="str">
        <x:v>PH-RR-283</x:v>
      </x:c>
      <x:c r="C4201" t="str">
        <x:v>PHYSICAL</x:v>
      </x:c>
      <x:c r="D4201" t="str">
        <x:v>trial-result review</x:v>
      </x:c>
      <x:c r="E4201" t="str">
        <x:v>PH-RR-283</x:v>
      </x:c>
      <x:c r="F4201" t="str">
        <x:f>'Trial Results'!R289</x:f>
      </x:c>
      <x:c r="G4201" t="n">
        <x:v>1</x:v>
      </x:c>
      <x:c r="H4201" t="str">
        <x:v>independent physical acceptance</x:v>
      </x:c>
      <x:c r="I4201" t="str">
        <x:f>IF(F4201=1,"PASS","OPEN")</x:f>
        <x:v>OPEN</x:v>
      </x:c>
    </x:row>
    <x:row r="4202">
      <x:c r="B4202" t="str">
        <x:v>PH-RR-284</x:v>
      </x:c>
      <x:c r="C4202" t="str">
        <x:v>PHYSICAL</x:v>
      </x:c>
      <x:c r="D4202" t="str">
        <x:v>trial-result review</x:v>
      </x:c>
      <x:c r="E4202" t="str">
        <x:v>PH-RR-284</x:v>
      </x:c>
      <x:c r="F4202" t="str">
        <x:f>'Trial Results'!R290</x:f>
      </x:c>
      <x:c r="G4202" t="n">
        <x:v>1</x:v>
      </x:c>
      <x:c r="H4202" t="str">
        <x:v>independent physical acceptance</x:v>
      </x:c>
      <x:c r="I4202" t="str">
        <x:f>IF(F4202=1,"PASS","OPEN")</x:f>
        <x:v>OPEN</x:v>
      </x:c>
    </x:row>
    <x:row r="4203">
      <x:c r="B4203" t="str">
        <x:v>PH-RR-285</x:v>
      </x:c>
      <x:c r="C4203" t="str">
        <x:v>PHYSICAL</x:v>
      </x:c>
      <x:c r="D4203" t="str">
        <x:v>trial-result review</x:v>
      </x:c>
      <x:c r="E4203" t="str">
        <x:v>PH-RR-285</x:v>
      </x:c>
      <x:c r="F4203" t="str">
        <x:f>'Trial Results'!R291</x:f>
      </x:c>
      <x:c r="G4203" t="n">
        <x:v>1</x:v>
      </x:c>
      <x:c r="H4203" t="str">
        <x:v>independent physical acceptance</x:v>
      </x:c>
      <x:c r="I4203" t="str">
        <x:f>IF(F4203=1,"PASS","OPEN")</x:f>
        <x:v>OPEN</x:v>
      </x:c>
    </x:row>
    <x:row r="4204">
      <x:c r="B4204" t="str">
        <x:v>PH-RR-286</x:v>
      </x:c>
      <x:c r="C4204" t="str">
        <x:v>PHYSICAL</x:v>
      </x:c>
      <x:c r="D4204" t="str">
        <x:v>trial-result review</x:v>
      </x:c>
      <x:c r="E4204" t="str">
        <x:v>PH-RR-286</x:v>
      </x:c>
      <x:c r="F4204" t="str">
        <x:f>'Trial Results'!R292</x:f>
      </x:c>
      <x:c r="G4204" t="n">
        <x:v>1</x:v>
      </x:c>
      <x:c r="H4204" t="str">
        <x:v>independent physical acceptance</x:v>
      </x:c>
      <x:c r="I4204" t="str">
        <x:f>IF(F4204=1,"PASS","OPEN")</x:f>
        <x:v>OPEN</x:v>
      </x:c>
    </x:row>
    <x:row r="4205">
      <x:c r="B4205" t="str">
        <x:v>PH-RR-287</x:v>
      </x:c>
      <x:c r="C4205" t="str">
        <x:v>PHYSICAL</x:v>
      </x:c>
      <x:c r="D4205" t="str">
        <x:v>trial-result review</x:v>
      </x:c>
      <x:c r="E4205" t="str">
        <x:v>PH-RR-287</x:v>
      </x:c>
      <x:c r="F4205" t="str">
        <x:f>'Trial Results'!R293</x:f>
      </x:c>
      <x:c r="G4205" t="n">
        <x:v>1</x:v>
      </x:c>
      <x:c r="H4205" t="str">
        <x:v>independent physical acceptance</x:v>
      </x:c>
      <x:c r="I4205" t="str">
        <x:f>IF(F4205=1,"PASS","OPEN")</x:f>
        <x:v>OPEN</x:v>
      </x:c>
    </x:row>
    <x:row r="4206">
      <x:c r="B4206" t="str">
        <x:v>PH-RR-288</x:v>
      </x:c>
      <x:c r="C4206" t="str">
        <x:v>PHYSICAL</x:v>
      </x:c>
      <x:c r="D4206" t="str">
        <x:v>trial-result review</x:v>
      </x:c>
      <x:c r="E4206" t="str">
        <x:v>PH-RR-288</x:v>
      </x:c>
      <x:c r="F4206" t="str">
        <x:f>'Trial Results'!R294</x:f>
      </x:c>
      <x:c r="G4206" t="n">
        <x:v>1</x:v>
      </x:c>
      <x:c r="H4206" t="str">
        <x:v>independent physical acceptance</x:v>
      </x:c>
      <x:c r="I4206" t="str">
        <x:f>IF(F4206=1,"PASS","OPEN")</x:f>
        <x:v>OPEN</x:v>
      </x:c>
    </x:row>
    <x:row r="4207">
      <x:c r="B4207" t="str">
        <x:v>PH-RR-289</x:v>
      </x:c>
      <x:c r="C4207" t="str">
        <x:v>PHYSICAL</x:v>
      </x:c>
      <x:c r="D4207" t="str">
        <x:v>trial-result review</x:v>
      </x:c>
      <x:c r="E4207" t="str">
        <x:v>PH-RR-289</x:v>
      </x:c>
      <x:c r="F4207" t="str">
        <x:f>'Trial Results'!R295</x:f>
      </x:c>
      <x:c r="G4207" t="n">
        <x:v>1</x:v>
      </x:c>
      <x:c r="H4207" t="str">
        <x:v>independent physical acceptance</x:v>
      </x:c>
      <x:c r="I4207" t="str">
        <x:f>IF(F4207=1,"PASS","OPEN")</x:f>
        <x:v>OPEN</x:v>
      </x:c>
    </x:row>
    <x:row r="4208">
      <x:c r="B4208" t="str">
        <x:v>PH-RR-290</x:v>
      </x:c>
      <x:c r="C4208" t="str">
        <x:v>PHYSICAL</x:v>
      </x:c>
      <x:c r="D4208" t="str">
        <x:v>trial-result review</x:v>
      </x:c>
      <x:c r="E4208" t="str">
        <x:v>PH-RR-290</x:v>
      </x:c>
      <x:c r="F4208" t="str">
        <x:f>'Trial Results'!R296</x:f>
      </x:c>
      <x:c r="G4208" t="n">
        <x:v>1</x:v>
      </x:c>
      <x:c r="H4208" t="str">
        <x:v>independent physical acceptance</x:v>
      </x:c>
      <x:c r="I4208" t="str">
        <x:f>IF(F4208=1,"PASS","OPEN")</x:f>
        <x:v>OPEN</x:v>
      </x:c>
    </x:row>
    <x:row r="4209">
      <x:c r="B4209" t="str">
        <x:v>PH-RR-291</x:v>
      </x:c>
      <x:c r="C4209" t="str">
        <x:v>PHYSICAL</x:v>
      </x:c>
      <x:c r="D4209" t="str">
        <x:v>trial-result review</x:v>
      </x:c>
      <x:c r="E4209" t="str">
        <x:v>PH-RR-291</x:v>
      </x:c>
      <x:c r="F4209" t="str">
        <x:f>'Trial Results'!R297</x:f>
      </x:c>
      <x:c r="G4209" t="n">
        <x:v>1</x:v>
      </x:c>
      <x:c r="H4209" t="str">
        <x:v>independent physical acceptance</x:v>
      </x:c>
      <x:c r="I4209" t="str">
        <x:f>IF(F4209=1,"PASS","OPEN")</x:f>
        <x:v>OPEN</x:v>
      </x:c>
    </x:row>
    <x:row r="4210">
      <x:c r="B4210" t="str">
        <x:v>PH-RR-292</x:v>
      </x:c>
      <x:c r="C4210" t="str">
        <x:v>PHYSICAL</x:v>
      </x:c>
      <x:c r="D4210" t="str">
        <x:v>trial-result review</x:v>
      </x:c>
      <x:c r="E4210" t="str">
        <x:v>PH-RR-292</x:v>
      </x:c>
      <x:c r="F4210" t="str">
        <x:f>'Trial Results'!R298</x:f>
      </x:c>
      <x:c r="G4210" t="n">
        <x:v>1</x:v>
      </x:c>
      <x:c r="H4210" t="str">
        <x:v>independent physical acceptance</x:v>
      </x:c>
      <x:c r="I4210" t="str">
        <x:f>IF(F4210=1,"PASS","OPEN")</x:f>
        <x:v>OPEN</x:v>
      </x:c>
    </x:row>
    <x:row r="4211">
      <x:c r="B4211" t="str">
        <x:v>PH-RR-293</x:v>
      </x:c>
      <x:c r="C4211" t="str">
        <x:v>PHYSICAL</x:v>
      </x:c>
      <x:c r="D4211" t="str">
        <x:v>trial-result review</x:v>
      </x:c>
      <x:c r="E4211" t="str">
        <x:v>PH-RR-293</x:v>
      </x:c>
      <x:c r="F4211" t="str">
        <x:f>'Trial Results'!R299</x:f>
      </x:c>
      <x:c r="G4211" t="n">
        <x:v>1</x:v>
      </x:c>
      <x:c r="H4211" t="str">
        <x:v>independent physical acceptance</x:v>
      </x:c>
      <x:c r="I4211" t="str">
        <x:f>IF(F4211=1,"PASS","OPEN")</x:f>
        <x:v>OPEN</x:v>
      </x:c>
    </x:row>
    <x:row r="4212">
      <x:c r="B4212" t="str">
        <x:v>PH-RR-294</x:v>
      </x:c>
      <x:c r="C4212" t="str">
        <x:v>PHYSICAL</x:v>
      </x:c>
      <x:c r="D4212" t="str">
        <x:v>trial-result review</x:v>
      </x:c>
      <x:c r="E4212" t="str">
        <x:v>PH-RR-294</x:v>
      </x:c>
      <x:c r="F4212" t="str">
        <x:f>'Trial Results'!R300</x:f>
      </x:c>
      <x:c r="G4212" t="n">
        <x:v>1</x:v>
      </x:c>
      <x:c r="H4212" t="str">
        <x:v>independent physical acceptance</x:v>
      </x:c>
      <x:c r="I4212" t="str">
        <x:f>IF(F4212=1,"PASS","OPEN")</x:f>
        <x:v>OPEN</x:v>
      </x:c>
    </x:row>
    <x:row r="4213">
      <x:c r="B4213" t="str">
        <x:v>PH-RR-295</x:v>
      </x:c>
      <x:c r="C4213" t="str">
        <x:v>PHYSICAL</x:v>
      </x:c>
      <x:c r="D4213" t="str">
        <x:v>trial-result review</x:v>
      </x:c>
      <x:c r="E4213" t="str">
        <x:v>PH-RR-295</x:v>
      </x:c>
      <x:c r="F4213" t="str">
        <x:f>'Trial Results'!R301</x:f>
      </x:c>
      <x:c r="G4213" t="n">
        <x:v>1</x:v>
      </x:c>
      <x:c r="H4213" t="str">
        <x:v>independent physical acceptance</x:v>
      </x:c>
      <x:c r="I4213" t="str">
        <x:f>IF(F4213=1,"PASS","OPEN")</x:f>
        <x:v>OPEN</x:v>
      </x:c>
    </x:row>
    <x:row r="4214">
      <x:c r="B4214" t="str">
        <x:v>PH-RR-296</x:v>
      </x:c>
      <x:c r="C4214" t="str">
        <x:v>PHYSICAL</x:v>
      </x:c>
      <x:c r="D4214" t="str">
        <x:v>trial-result review</x:v>
      </x:c>
      <x:c r="E4214" t="str">
        <x:v>PH-RR-296</x:v>
      </x:c>
      <x:c r="F4214" t="str">
        <x:f>'Trial Results'!R302</x:f>
      </x:c>
      <x:c r="G4214" t="n">
        <x:v>1</x:v>
      </x:c>
      <x:c r="H4214" t="str">
        <x:v>independent physical acceptance</x:v>
      </x:c>
      <x:c r="I4214" t="str">
        <x:f>IF(F4214=1,"PASS","OPEN")</x:f>
        <x:v>OPEN</x:v>
      </x:c>
    </x:row>
    <x:row r="4215">
      <x:c r="B4215" t="str">
        <x:v>PH-RR-297</x:v>
      </x:c>
      <x:c r="C4215" t="str">
        <x:v>PHYSICAL</x:v>
      </x:c>
      <x:c r="D4215" t="str">
        <x:v>trial-result review</x:v>
      </x:c>
      <x:c r="E4215" t="str">
        <x:v>PH-RR-297</x:v>
      </x:c>
      <x:c r="F4215" t="str">
        <x:f>'Trial Results'!R303</x:f>
      </x:c>
      <x:c r="G4215" t="n">
        <x:v>1</x:v>
      </x:c>
      <x:c r="H4215" t="str">
        <x:v>independent physical acceptance</x:v>
      </x:c>
      <x:c r="I4215" t="str">
        <x:f>IF(F4215=1,"PASS","OPEN")</x:f>
        <x:v>OPEN</x:v>
      </x:c>
    </x:row>
    <x:row r="4216">
      <x:c r="B4216" t="str">
        <x:v>PH-RR-298</x:v>
      </x:c>
      <x:c r="C4216" t="str">
        <x:v>PHYSICAL</x:v>
      </x:c>
      <x:c r="D4216" t="str">
        <x:v>trial-result review</x:v>
      </x:c>
      <x:c r="E4216" t="str">
        <x:v>PH-RR-298</x:v>
      </x:c>
      <x:c r="F4216" t="str">
        <x:f>'Trial Results'!R304</x:f>
      </x:c>
      <x:c r="G4216" t="n">
        <x:v>1</x:v>
      </x:c>
      <x:c r="H4216" t="str">
        <x:v>independent physical acceptance</x:v>
      </x:c>
      <x:c r="I4216" t="str">
        <x:f>IF(F4216=1,"PASS","OPEN")</x:f>
        <x:v>OPEN</x:v>
      </x:c>
    </x:row>
    <x:row r="4217">
      <x:c r="B4217" t="str">
        <x:v>PH-RR-299</x:v>
      </x:c>
      <x:c r="C4217" t="str">
        <x:v>PHYSICAL</x:v>
      </x:c>
      <x:c r="D4217" t="str">
        <x:v>trial-result review</x:v>
      </x:c>
      <x:c r="E4217" t="str">
        <x:v>PH-RR-299</x:v>
      </x:c>
      <x:c r="F4217" t="str">
        <x:f>'Trial Results'!R305</x:f>
      </x:c>
      <x:c r="G4217" t="n">
        <x:v>1</x:v>
      </x:c>
      <x:c r="H4217" t="str">
        <x:v>independent physical acceptance</x:v>
      </x:c>
      <x:c r="I4217" t="str">
        <x:f>IF(F4217=1,"PASS","OPEN")</x:f>
        <x:v>OPEN</x:v>
      </x:c>
    </x:row>
    <x:row r="4218">
      <x:c r="B4218" t="str">
        <x:v>PH-RR-300</x:v>
      </x:c>
      <x:c r="C4218" t="str">
        <x:v>PHYSICAL</x:v>
      </x:c>
      <x:c r="D4218" t="str">
        <x:v>trial-result review</x:v>
      </x:c>
      <x:c r="E4218" t="str">
        <x:v>PH-RR-300</x:v>
      </x:c>
      <x:c r="F4218" t="str">
        <x:f>'Trial Results'!R306</x:f>
      </x:c>
      <x:c r="G4218" t="n">
        <x:v>1</x:v>
      </x:c>
      <x:c r="H4218" t="str">
        <x:v>independent physical acceptance</x:v>
      </x:c>
      <x:c r="I4218" t="str">
        <x:f>IF(F4218=1,"PASS","OPEN")</x:f>
        <x:v>OPEN</x:v>
      </x:c>
    </x:row>
    <x:row r="4219">
      <x:c r="B4219" t="str">
        <x:v>PH-RR-301</x:v>
      </x:c>
      <x:c r="C4219" t="str">
        <x:v>PHYSICAL</x:v>
      </x:c>
      <x:c r="D4219" t="str">
        <x:v>trial-result review</x:v>
      </x:c>
      <x:c r="E4219" t="str">
        <x:v>PH-RR-301</x:v>
      </x:c>
      <x:c r="F4219" t="str">
        <x:f>'Trial Results'!R307</x:f>
      </x:c>
      <x:c r="G4219" t="n">
        <x:v>1</x:v>
      </x:c>
      <x:c r="H4219" t="str">
        <x:v>independent physical acceptance</x:v>
      </x:c>
      <x:c r="I4219" t="str">
        <x:f>IF(F4219=1,"PASS","OPEN")</x:f>
        <x:v>OPEN</x:v>
      </x:c>
    </x:row>
    <x:row r="4220">
      <x:c r="B4220" t="str">
        <x:v>PH-RR-302</x:v>
      </x:c>
      <x:c r="C4220" t="str">
        <x:v>PHYSICAL</x:v>
      </x:c>
      <x:c r="D4220" t="str">
        <x:v>trial-result review</x:v>
      </x:c>
      <x:c r="E4220" t="str">
        <x:v>PH-RR-302</x:v>
      </x:c>
      <x:c r="F4220" t="str">
        <x:f>'Trial Results'!R308</x:f>
      </x:c>
      <x:c r="G4220" t="n">
        <x:v>1</x:v>
      </x:c>
      <x:c r="H4220" t="str">
        <x:v>independent physical acceptance</x:v>
      </x:c>
      <x:c r="I4220" t="str">
        <x:f>IF(F4220=1,"PASS","OPEN")</x:f>
        <x:v>OPEN</x:v>
      </x:c>
    </x:row>
    <x:row r="4221">
      <x:c r="B4221" t="str">
        <x:v>PH-RR-303</x:v>
      </x:c>
      <x:c r="C4221" t="str">
        <x:v>PHYSICAL</x:v>
      </x:c>
      <x:c r="D4221" t="str">
        <x:v>trial-result review</x:v>
      </x:c>
      <x:c r="E4221" t="str">
        <x:v>PH-RR-303</x:v>
      </x:c>
      <x:c r="F4221" t="str">
        <x:f>'Trial Results'!R309</x:f>
      </x:c>
      <x:c r="G4221" t="n">
        <x:v>1</x:v>
      </x:c>
      <x:c r="H4221" t="str">
        <x:v>independent physical acceptance</x:v>
      </x:c>
      <x:c r="I4221" t="str">
        <x:f>IF(F4221=1,"PASS","OPEN")</x:f>
        <x:v>OPEN</x:v>
      </x:c>
    </x:row>
    <x:row r="4222">
      <x:c r="B4222" t="str">
        <x:v>PH-RR-304</x:v>
      </x:c>
      <x:c r="C4222" t="str">
        <x:v>PHYSICAL</x:v>
      </x:c>
      <x:c r="D4222" t="str">
        <x:v>trial-result review</x:v>
      </x:c>
      <x:c r="E4222" t="str">
        <x:v>PH-RR-304</x:v>
      </x:c>
      <x:c r="F4222" t="str">
        <x:f>'Trial Results'!R310</x:f>
      </x:c>
      <x:c r="G4222" t="n">
        <x:v>1</x:v>
      </x:c>
      <x:c r="H4222" t="str">
        <x:v>independent physical acceptance</x:v>
      </x:c>
      <x:c r="I4222" t="str">
        <x:f>IF(F4222=1,"PASS","OPEN")</x:f>
        <x:v>OPEN</x:v>
      </x:c>
    </x:row>
    <x:row r="4223">
      <x:c r="B4223" t="str">
        <x:v>PH-RR-305</x:v>
      </x:c>
      <x:c r="C4223" t="str">
        <x:v>PHYSICAL</x:v>
      </x:c>
      <x:c r="D4223" t="str">
        <x:v>trial-result review</x:v>
      </x:c>
      <x:c r="E4223" t="str">
        <x:v>PH-RR-305</x:v>
      </x:c>
      <x:c r="F4223" t="str">
        <x:f>'Trial Results'!R311</x:f>
      </x:c>
      <x:c r="G4223" t="n">
        <x:v>1</x:v>
      </x:c>
      <x:c r="H4223" t="str">
        <x:v>independent physical acceptance</x:v>
      </x:c>
      <x:c r="I4223" t="str">
        <x:f>IF(F4223=1,"PASS","OPEN")</x:f>
        <x:v>OPEN</x:v>
      </x:c>
    </x:row>
    <x:row r="4224">
      <x:c r="B4224" t="str">
        <x:v>PH-RR-306</x:v>
      </x:c>
      <x:c r="C4224" t="str">
        <x:v>PHYSICAL</x:v>
      </x:c>
      <x:c r="D4224" t="str">
        <x:v>trial-result review</x:v>
      </x:c>
      <x:c r="E4224" t="str">
        <x:v>PH-RR-306</x:v>
      </x:c>
      <x:c r="F4224" t="str">
        <x:f>'Trial Results'!R312</x:f>
      </x:c>
      <x:c r="G4224" t="n">
        <x:v>1</x:v>
      </x:c>
      <x:c r="H4224" t="str">
        <x:v>independent physical acceptance</x:v>
      </x:c>
      <x:c r="I4224" t="str">
        <x:f>IF(F4224=1,"PASS","OPEN")</x:f>
        <x:v>OPEN</x:v>
      </x:c>
    </x:row>
    <x:row r="4225">
      <x:c r="B4225" t="str">
        <x:v>PH-RR-307</x:v>
      </x:c>
      <x:c r="C4225" t="str">
        <x:v>PHYSICAL</x:v>
      </x:c>
      <x:c r="D4225" t="str">
        <x:v>trial-result review</x:v>
      </x:c>
      <x:c r="E4225" t="str">
        <x:v>PH-RR-307</x:v>
      </x:c>
      <x:c r="F4225" t="str">
        <x:f>'Trial Results'!R313</x:f>
      </x:c>
      <x:c r="G4225" t="n">
        <x:v>1</x:v>
      </x:c>
      <x:c r="H4225" t="str">
        <x:v>independent physical acceptance</x:v>
      </x:c>
      <x:c r="I4225" t="str">
        <x:f>IF(F4225=1,"PASS","OPEN")</x:f>
        <x:v>OPEN</x:v>
      </x:c>
    </x:row>
    <x:row r="4226">
      <x:c r="B4226" t="str">
        <x:v>PH-RR-308</x:v>
      </x:c>
      <x:c r="C4226" t="str">
        <x:v>PHYSICAL</x:v>
      </x:c>
      <x:c r="D4226" t="str">
        <x:v>trial-result review</x:v>
      </x:c>
      <x:c r="E4226" t="str">
        <x:v>PH-RR-308</x:v>
      </x:c>
      <x:c r="F4226" t="str">
        <x:f>'Trial Results'!R314</x:f>
      </x:c>
      <x:c r="G4226" t="n">
        <x:v>1</x:v>
      </x:c>
      <x:c r="H4226" t="str">
        <x:v>independent physical acceptance</x:v>
      </x:c>
      <x:c r="I4226" t="str">
        <x:f>IF(F4226=1,"PASS","OPEN")</x:f>
        <x:v>OPEN</x:v>
      </x:c>
    </x:row>
    <x:row r="4227">
      <x:c r="B4227" t="str">
        <x:v>PH-RR-309</x:v>
      </x:c>
      <x:c r="C4227" t="str">
        <x:v>PHYSICAL</x:v>
      </x:c>
      <x:c r="D4227" t="str">
        <x:v>trial-result review</x:v>
      </x:c>
      <x:c r="E4227" t="str">
        <x:v>PH-RR-309</x:v>
      </x:c>
      <x:c r="F4227" t="str">
        <x:f>'Trial Results'!R315</x:f>
      </x:c>
      <x:c r="G4227" t="n">
        <x:v>1</x:v>
      </x:c>
      <x:c r="H4227" t="str">
        <x:v>independent physical acceptance</x:v>
      </x:c>
      <x:c r="I4227" t="str">
        <x:f>IF(F4227=1,"PASS","OPEN")</x:f>
        <x:v>OPEN</x:v>
      </x:c>
    </x:row>
    <x:row r="4228">
      <x:c r="B4228" t="str">
        <x:v>PH-RR-310</x:v>
      </x:c>
      <x:c r="C4228" t="str">
        <x:v>PHYSICAL</x:v>
      </x:c>
      <x:c r="D4228" t="str">
        <x:v>trial-result review</x:v>
      </x:c>
      <x:c r="E4228" t="str">
        <x:v>PH-RR-310</x:v>
      </x:c>
      <x:c r="F4228" t="str">
        <x:f>'Trial Results'!R316</x:f>
      </x:c>
      <x:c r="G4228" t="n">
        <x:v>1</x:v>
      </x:c>
      <x:c r="H4228" t="str">
        <x:v>independent physical acceptance</x:v>
      </x:c>
      <x:c r="I4228" t="str">
        <x:f>IF(F4228=1,"PASS","OPEN")</x:f>
        <x:v>OPEN</x:v>
      </x:c>
    </x:row>
    <x:row r="4229">
      <x:c r="B4229" t="str">
        <x:v>PH-RR-311</x:v>
      </x:c>
      <x:c r="C4229" t="str">
        <x:v>PHYSICAL</x:v>
      </x:c>
      <x:c r="D4229" t="str">
        <x:v>trial-result review</x:v>
      </x:c>
      <x:c r="E4229" t="str">
        <x:v>PH-RR-311</x:v>
      </x:c>
      <x:c r="F4229" t="str">
        <x:f>'Trial Results'!R317</x:f>
      </x:c>
      <x:c r="G4229" t="n">
        <x:v>1</x:v>
      </x:c>
      <x:c r="H4229" t="str">
        <x:v>independent physical acceptance</x:v>
      </x:c>
      <x:c r="I4229" t="str">
        <x:f>IF(F4229=1,"PASS","OPEN")</x:f>
        <x:v>OPEN</x:v>
      </x:c>
    </x:row>
    <x:row r="4230">
      <x:c r="B4230" t="str">
        <x:v>PH-RR-312</x:v>
      </x:c>
      <x:c r="C4230" t="str">
        <x:v>PHYSICAL</x:v>
      </x:c>
      <x:c r="D4230" t="str">
        <x:v>trial-result review</x:v>
      </x:c>
      <x:c r="E4230" t="str">
        <x:v>PH-RR-312</x:v>
      </x:c>
      <x:c r="F4230" t="str">
        <x:f>'Trial Results'!R318</x:f>
      </x:c>
      <x:c r="G4230" t="n">
        <x:v>1</x:v>
      </x:c>
      <x:c r="H4230" t="str">
        <x:v>independent physical acceptance</x:v>
      </x:c>
      <x:c r="I4230" t="str">
        <x:f>IF(F4230=1,"PASS","OPEN")</x:f>
        <x:v>OPEN</x:v>
      </x:c>
    </x:row>
    <x:row r="4231">
      <x:c r="B4231" t="str">
        <x:v>PH-RR-313</x:v>
      </x:c>
      <x:c r="C4231" t="str">
        <x:v>PHYSICAL</x:v>
      </x:c>
      <x:c r="D4231" t="str">
        <x:v>trial-result review</x:v>
      </x:c>
      <x:c r="E4231" t="str">
        <x:v>PH-RR-313</x:v>
      </x:c>
      <x:c r="F4231" t="str">
        <x:f>'Trial Results'!R319</x:f>
      </x:c>
      <x:c r="G4231" t="n">
        <x:v>1</x:v>
      </x:c>
      <x:c r="H4231" t="str">
        <x:v>independent physical acceptance</x:v>
      </x:c>
      <x:c r="I4231" t="str">
        <x:f>IF(F4231=1,"PASS","OPEN")</x:f>
        <x:v>OPEN</x:v>
      </x:c>
    </x:row>
    <x:row r="4232">
      <x:c r="B4232" t="str">
        <x:v>PH-RR-314</x:v>
      </x:c>
      <x:c r="C4232" t="str">
        <x:v>PHYSICAL</x:v>
      </x:c>
      <x:c r="D4232" t="str">
        <x:v>trial-result review</x:v>
      </x:c>
      <x:c r="E4232" t="str">
        <x:v>PH-RR-314</x:v>
      </x:c>
      <x:c r="F4232" t="str">
        <x:f>'Trial Results'!R320</x:f>
      </x:c>
      <x:c r="G4232" t="n">
        <x:v>1</x:v>
      </x:c>
      <x:c r="H4232" t="str">
        <x:v>independent physical acceptance</x:v>
      </x:c>
      <x:c r="I4232" t="str">
        <x:f>IF(F4232=1,"PASS","OPEN")</x:f>
        <x:v>OPEN</x:v>
      </x:c>
    </x:row>
    <x:row r="4233">
      <x:c r="B4233" t="str">
        <x:v>PH-RR-315</x:v>
      </x:c>
      <x:c r="C4233" t="str">
        <x:v>PHYSICAL</x:v>
      </x:c>
      <x:c r="D4233" t="str">
        <x:v>trial-result review</x:v>
      </x:c>
      <x:c r="E4233" t="str">
        <x:v>PH-RR-315</x:v>
      </x:c>
      <x:c r="F4233" t="str">
        <x:f>'Trial Results'!R321</x:f>
      </x:c>
      <x:c r="G4233" t="n">
        <x:v>1</x:v>
      </x:c>
      <x:c r="H4233" t="str">
        <x:v>independent physical acceptance</x:v>
      </x:c>
      <x:c r="I4233" t="str">
        <x:f>IF(F4233=1,"PASS","OPEN")</x:f>
        <x:v>OPEN</x:v>
      </x:c>
    </x:row>
    <x:row r="4234">
      <x:c r="B4234" t="str">
        <x:v>PH-RR-316</x:v>
      </x:c>
      <x:c r="C4234" t="str">
        <x:v>PHYSICAL</x:v>
      </x:c>
      <x:c r="D4234" t="str">
        <x:v>trial-result review</x:v>
      </x:c>
      <x:c r="E4234" t="str">
        <x:v>PH-RR-316</x:v>
      </x:c>
      <x:c r="F4234" t="str">
        <x:f>'Trial Results'!R322</x:f>
      </x:c>
      <x:c r="G4234" t="n">
        <x:v>1</x:v>
      </x:c>
      <x:c r="H4234" t="str">
        <x:v>independent physical acceptance</x:v>
      </x:c>
      <x:c r="I4234" t="str">
        <x:f>IF(F4234=1,"PASS","OPEN")</x:f>
        <x:v>OPEN</x:v>
      </x:c>
    </x:row>
    <x:row r="4235">
      <x:c r="B4235" t="str">
        <x:v>PH-RR-317</x:v>
      </x:c>
      <x:c r="C4235" t="str">
        <x:v>PHYSICAL</x:v>
      </x:c>
      <x:c r="D4235" t="str">
        <x:v>trial-result review</x:v>
      </x:c>
      <x:c r="E4235" t="str">
        <x:v>PH-RR-317</x:v>
      </x:c>
      <x:c r="F4235" t="str">
        <x:f>'Trial Results'!R323</x:f>
      </x:c>
      <x:c r="G4235" t="n">
        <x:v>1</x:v>
      </x:c>
      <x:c r="H4235" t="str">
        <x:v>independent physical acceptance</x:v>
      </x:c>
      <x:c r="I4235" t="str">
        <x:f>IF(F4235=1,"PASS","OPEN")</x:f>
        <x:v>OPEN</x:v>
      </x:c>
    </x:row>
    <x:row r="4236">
      <x:c r="B4236" t="str">
        <x:v>PH-RR-318</x:v>
      </x:c>
      <x:c r="C4236" t="str">
        <x:v>PHYSICAL</x:v>
      </x:c>
      <x:c r="D4236" t="str">
        <x:v>trial-result review</x:v>
      </x:c>
      <x:c r="E4236" t="str">
        <x:v>PH-RR-318</x:v>
      </x:c>
      <x:c r="F4236" t="str">
        <x:f>'Trial Results'!R324</x:f>
      </x:c>
      <x:c r="G4236" t="n">
        <x:v>1</x:v>
      </x:c>
      <x:c r="H4236" t="str">
        <x:v>independent physical acceptance</x:v>
      </x:c>
      <x:c r="I4236" t="str">
        <x:f>IF(F4236=1,"PASS","OPEN")</x:f>
        <x:v>OPEN</x:v>
      </x:c>
    </x:row>
    <x:row r="4237">
      <x:c r="B4237" t="str">
        <x:v>PH-RR-319</x:v>
      </x:c>
      <x:c r="C4237" t="str">
        <x:v>PHYSICAL</x:v>
      </x:c>
      <x:c r="D4237" t="str">
        <x:v>trial-result review</x:v>
      </x:c>
      <x:c r="E4237" t="str">
        <x:v>PH-RR-319</x:v>
      </x:c>
      <x:c r="F4237" t="str">
        <x:f>'Trial Results'!R325</x:f>
      </x:c>
      <x:c r="G4237" t="n">
        <x:v>1</x:v>
      </x:c>
      <x:c r="H4237" t="str">
        <x:v>independent physical acceptance</x:v>
      </x:c>
      <x:c r="I4237" t="str">
        <x:f>IF(F4237=1,"PASS","OPEN")</x:f>
        <x:v>OPEN</x:v>
      </x:c>
    </x:row>
    <x:row r="4238">
      <x:c r="B4238" t="str">
        <x:v>PH-RR-320</x:v>
      </x:c>
      <x:c r="C4238" t="str">
        <x:v>PHYSICAL</x:v>
      </x:c>
      <x:c r="D4238" t="str">
        <x:v>trial-result review</x:v>
      </x:c>
      <x:c r="E4238" t="str">
        <x:v>PH-RR-320</x:v>
      </x:c>
      <x:c r="F4238" t="str">
        <x:f>'Trial Results'!R326</x:f>
      </x:c>
      <x:c r="G4238" t="n">
        <x:v>1</x:v>
      </x:c>
      <x:c r="H4238" t="str">
        <x:v>independent physical acceptance</x:v>
      </x:c>
      <x:c r="I4238" t="str">
        <x:f>IF(F4238=1,"PASS","OPEN")</x:f>
        <x:v>OPEN</x:v>
      </x:c>
    </x:row>
    <x:row r="4239">
      <x:c r="B4239" t="str">
        <x:v>PH-RR-321</x:v>
      </x:c>
      <x:c r="C4239" t="str">
        <x:v>PHYSICAL</x:v>
      </x:c>
      <x:c r="D4239" t="str">
        <x:v>trial-result review</x:v>
      </x:c>
      <x:c r="E4239" t="str">
        <x:v>PH-RR-321</x:v>
      </x:c>
      <x:c r="F4239" t="str">
        <x:f>'Trial Results'!R327</x:f>
      </x:c>
      <x:c r="G4239" t="n">
        <x:v>1</x:v>
      </x:c>
      <x:c r="H4239" t="str">
        <x:v>independent physical acceptance</x:v>
      </x:c>
      <x:c r="I4239" t="str">
        <x:f>IF(F4239=1,"PASS","OPEN")</x:f>
        <x:v>OPEN</x:v>
      </x:c>
    </x:row>
    <x:row r="4240">
      <x:c r="B4240" t="str">
        <x:v>PH-RR-322</x:v>
      </x:c>
      <x:c r="C4240" t="str">
        <x:v>PHYSICAL</x:v>
      </x:c>
      <x:c r="D4240" t="str">
        <x:v>trial-result review</x:v>
      </x:c>
      <x:c r="E4240" t="str">
        <x:v>PH-RR-322</x:v>
      </x:c>
      <x:c r="F4240" t="str">
        <x:f>'Trial Results'!R328</x:f>
      </x:c>
      <x:c r="G4240" t="n">
        <x:v>1</x:v>
      </x:c>
      <x:c r="H4240" t="str">
        <x:v>independent physical acceptance</x:v>
      </x:c>
      <x:c r="I4240" t="str">
        <x:f>IF(F4240=1,"PASS","OPEN")</x:f>
        <x:v>OPEN</x:v>
      </x:c>
    </x:row>
    <x:row r="4241">
      <x:c r="B4241" t="str">
        <x:v>PH-RR-323</x:v>
      </x:c>
      <x:c r="C4241" t="str">
        <x:v>PHYSICAL</x:v>
      </x:c>
      <x:c r="D4241" t="str">
        <x:v>trial-result review</x:v>
      </x:c>
      <x:c r="E4241" t="str">
        <x:v>PH-RR-323</x:v>
      </x:c>
      <x:c r="F4241" t="str">
        <x:f>'Trial Results'!R329</x:f>
      </x:c>
      <x:c r="G4241" t="n">
        <x:v>1</x:v>
      </x:c>
      <x:c r="H4241" t="str">
        <x:v>independent physical acceptance</x:v>
      </x:c>
      <x:c r="I4241" t="str">
        <x:f>IF(F4241=1,"PASS","OPEN")</x:f>
        <x:v>OPEN</x:v>
      </x:c>
    </x:row>
    <x:row r="4242">
      <x:c r="B4242" t="str">
        <x:v>PH-RR-324</x:v>
      </x:c>
      <x:c r="C4242" t="str">
        <x:v>PHYSICAL</x:v>
      </x:c>
      <x:c r="D4242" t="str">
        <x:v>trial-result review</x:v>
      </x:c>
      <x:c r="E4242" t="str">
        <x:v>PH-RR-324</x:v>
      </x:c>
      <x:c r="F4242" t="str">
        <x:f>'Trial Results'!R330</x:f>
      </x:c>
      <x:c r="G4242" t="n">
        <x:v>1</x:v>
      </x:c>
      <x:c r="H4242" t="str">
        <x:v>independent physical acceptance</x:v>
      </x:c>
      <x:c r="I4242" t="str">
        <x:f>IF(F4242=1,"PASS","OPEN")</x:f>
        <x:v>OPEN</x:v>
      </x:c>
    </x:row>
    <x:row r="4243">
      <x:c r="B4243" t="str">
        <x:v>PH-RR-325</x:v>
      </x:c>
      <x:c r="C4243" t="str">
        <x:v>PHYSICAL</x:v>
      </x:c>
      <x:c r="D4243" t="str">
        <x:v>trial-result review</x:v>
      </x:c>
      <x:c r="E4243" t="str">
        <x:v>PH-RR-325</x:v>
      </x:c>
      <x:c r="F4243" t="str">
        <x:f>'Trial Results'!R331</x:f>
      </x:c>
      <x:c r="G4243" t="n">
        <x:v>1</x:v>
      </x:c>
      <x:c r="H4243" t="str">
        <x:v>independent physical acceptance</x:v>
      </x:c>
      <x:c r="I4243" t="str">
        <x:f>IF(F4243=1,"PASS","OPEN")</x:f>
        <x:v>OPEN</x:v>
      </x:c>
    </x:row>
    <x:row r="4244">
      <x:c r="B4244" t="str">
        <x:v>PH-RR-326</x:v>
      </x:c>
      <x:c r="C4244" t="str">
        <x:v>PHYSICAL</x:v>
      </x:c>
      <x:c r="D4244" t="str">
        <x:v>trial-result review</x:v>
      </x:c>
      <x:c r="E4244" t="str">
        <x:v>PH-RR-326</x:v>
      </x:c>
      <x:c r="F4244" t="str">
        <x:f>'Trial Results'!R332</x:f>
      </x:c>
      <x:c r="G4244" t="n">
        <x:v>1</x:v>
      </x:c>
      <x:c r="H4244" t="str">
        <x:v>independent physical acceptance</x:v>
      </x:c>
      <x:c r="I4244" t="str">
        <x:f>IF(F4244=1,"PASS","OPEN")</x:f>
        <x:v>OPEN</x:v>
      </x:c>
    </x:row>
    <x:row r="4245">
      <x:c r="B4245" t="str">
        <x:v>PH-RR-327</x:v>
      </x:c>
      <x:c r="C4245" t="str">
        <x:v>PHYSICAL</x:v>
      </x:c>
      <x:c r="D4245" t="str">
        <x:v>trial-result review</x:v>
      </x:c>
      <x:c r="E4245" t="str">
        <x:v>PH-RR-327</x:v>
      </x:c>
      <x:c r="F4245" t="str">
        <x:f>'Trial Results'!R333</x:f>
      </x:c>
      <x:c r="G4245" t="n">
        <x:v>1</x:v>
      </x:c>
      <x:c r="H4245" t="str">
        <x:v>independent physical acceptance</x:v>
      </x:c>
      <x:c r="I4245" t="str">
        <x:f>IF(F4245=1,"PASS","OPEN")</x:f>
        <x:v>OPEN</x:v>
      </x:c>
    </x:row>
    <x:row r="4246">
      <x:c r="B4246" t="str">
        <x:v>PH-RR-328</x:v>
      </x:c>
      <x:c r="C4246" t="str">
        <x:v>PHYSICAL</x:v>
      </x:c>
      <x:c r="D4246" t="str">
        <x:v>trial-result review</x:v>
      </x:c>
      <x:c r="E4246" t="str">
        <x:v>PH-RR-328</x:v>
      </x:c>
      <x:c r="F4246" t="str">
        <x:f>'Trial Results'!R334</x:f>
      </x:c>
      <x:c r="G4246" t="n">
        <x:v>1</x:v>
      </x:c>
      <x:c r="H4246" t="str">
        <x:v>independent physical acceptance</x:v>
      </x:c>
      <x:c r="I4246" t="str">
        <x:f>IF(F4246=1,"PASS","OPEN")</x:f>
        <x:v>OPEN</x:v>
      </x:c>
    </x:row>
    <x:row r="4247">
      <x:c r="B4247" t="str">
        <x:v>PH-RR-329</x:v>
      </x:c>
      <x:c r="C4247" t="str">
        <x:v>PHYSICAL</x:v>
      </x:c>
      <x:c r="D4247" t="str">
        <x:v>trial-result review</x:v>
      </x:c>
      <x:c r="E4247" t="str">
        <x:v>PH-RR-329</x:v>
      </x:c>
      <x:c r="F4247" t="str">
        <x:f>'Trial Results'!R335</x:f>
      </x:c>
      <x:c r="G4247" t="n">
        <x:v>1</x:v>
      </x:c>
      <x:c r="H4247" t="str">
        <x:v>independent physical acceptance</x:v>
      </x:c>
      <x:c r="I4247" t="str">
        <x:f>IF(F4247=1,"PASS","OPEN")</x:f>
        <x:v>OPEN</x:v>
      </x:c>
    </x:row>
    <x:row r="4248">
      <x:c r="B4248" t="str">
        <x:v>PH-RR-330</x:v>
      </x:c>
      <x:c r="C4248" t="str">
        <x:v>PHYSICAL</x:v>
      </x:c>
      <x:c r="D4248" t="str">
        <x:v>trial-result review</x:v>
      </x:c>
      <x:c r="E4248" t="str">
        <x:v>PH-RR-330</x:v>
      </x:c>
      <x:c r="F4248" t="str">
        <x:f>'Trial Results'!R336</x:f>
      </x:c>
      <x:c r="G4248" t="n">
        <x:v>1</x:v>
      </x:c>
      <x:c r="H4248" t="str">
        <x:v>independent physical acceptance</x:v>
      </x:c>
      <x:c r="I4248" t="str">
        <x:f>IF(F4248=1,"PASS","OPEN")</x:f>
        <x:v>OPEN</x:v>
      </x:c>
    </x:row>
    <x:row r="4249">
      <x:c r="B4249" t="str">
        <x:v>PH-RR-331</x:v>
      </x:c>
      <x:c r="C4249" t="str">
        <x:v>PHYSICAL</x:v>
      </x:c>
      <x:c r="D4249" t="str">
        <x:v>trial-result review</x:v>
      </x:c>
      <x:c r="E4249" t="str">
        <x:v>PH-RR-331</x:v>
      </x:c>
      <x:c r="F4249" t="str">
        <x:f>'Trial Results'!R337</x:f>
      </x:c>
      <x:c r="G4249" t="n">
        <x:v>1</x:v>
      </x:c>
      <x:c r="H4249" t="str">
        <x:v>independent physical acceptance</x:v>
      </x:c>
      <x:c r="I4249" t="str">
        <x:f>IF(F4249=1,"PASS","OPEN")</x:f>
        <x:v>OPEN</x:v>
      </x:c>
    </x:row>
    <x:row r="4250">
      <x:c r="B4250" t="str">
        <x:v>PH-RR-332</x:v>
      </x:c>
      <x:c r="C4250" t="str">
        <x:v>PHYSICAL</x:v>
      </x:c>
      <x:c r="D4250" t="str">
        <x:v>trial-result review</x:v>
      </x:c>
      <x:c r="E4250" t="str">
        <x:v>PH-RR-332</x:v>
      </x:c>
      <x:c r="F4250" t="str">
        <x:f>'Trial Results'!R338</x:f>
      </x:c>
      <x:c r="G4250" t="n">
        <x:v>1</x:v>
      </x:c>
      <x:c r="H4250" t="str">
        <x:v>independent physical acceptance</x:v>
      </x:c>
      <x:c r="I4250" t="str">
        <x:f>IF(F4250=1,"PASS","OPEN")</x:f>
        <x:v>OPEN</x:v>
      </x:c>
    </x:row>
    <x:row r="4251">
      <x:c r="B4251" t="str">
        <x:v>PH-RR-333</x:v>
      </x:c>
      <x:c r="C4251" t="str">
        <x:v>PHYSICAL</x:v>
      </x:c>
      <x:c r="D4251" t="str">
        <x:v>trial-result review</x:v>
      </x:c>
      <x:c r="E4251" t="str">
        <x:v>PH-RR-333</x:v>
      </x:c>
      <x:c r="F4251" t="str">
        <x:f>'Trial Results'!R339</x:f>
      </x:c>
      <x:c r="G4251" t="n">
        <x:v>1</x:v>
      </x:c>
      <x:c r="H4251" t="str">
        <x:v>independent physical acceptance</x:v>
      </x:c>
      <x:c r="I4251" t="str">
        <x:f>IF(F4251=1,"PASS","OPEN")</x:f>
        <x:v>OPEN</x:v>
      </x:c>
    </x:row>
    <x:row r="4252">
      <x:c r="B4252" t="str">
        <x:v>PH-RR-334</x:v>
      </x:c>
      <x:c r="C4252" t="str">
        <x:v>PHYSICAL</x:v>
      </x:c>
      <x:c r="D4252" t="str">
        <x:v>trial-result review</x:v>
      </x:c>
      <x:c r="E4252" t="str">
        <x:v>PH-RR-334</x:v>
      </x:c>
      <x:c r="F4252" t="str">
        <x:f>'Trial Results'!R340</x:f>
      </x:c>
      <x:c r="G4252" t="n">
        <x:v>1</x:v>
      </x:c>
      <x:c r="H4252" t="str">
        <x:v>independent physical acceptance</x:v>
      </x:c>
      <x:c r="I4252" t="str">
        <x:f>IF(F4252=1,"PASS","OPEN")</x:f>
        <x:v>OPEN</x:v>
      </x:c>
    </x:row>
    <x:row r="4253">
      <x:c r="B4253" t="str">
        <x:v>PH-RR-335</x:v>
      </x:c>
      <x:c r="C4253" t="str">
        <x:v>PHYSICAL</x:v>
      </x:c>
      <x:c r="D4253" t="str">
        <x:v>trial-result review</x:v>
      </x:c>
      <x:c r="E4253" t="str">
        <x:v>PH-RR-335</x:v>
      </x:c>
      <x:c r="F4253" t="str">
        <x:f>'Trial Results'!R341</x:f>
      </x:c>
      <x:c r="G4253" t="n">
        <x:v>1</x:v>
      </x:c>
      <x:c r="H4253" t="str">
        <x:v>independent physical acceptance</x:v>
      </x:c>
      <x:c r="I4253" t="str">
        <x:f>IF(F4253=1,"PASS","OPEN")</x:f>
        <x:v>OPEN</x:v>
      </x:c>
    </x:row>
    <x:row r="4254">
      <x:c r="B4254" t="str">
        <x:v>PH-RR-336</x:v>
      </x:c>
      <x:c r="C4254" t="str">
        <x:v>PHYSICAL</x:v>
      </x:c>
      <x:c r="D4254" t="str">
        <x:v>trial-result review</x:v>
      </x:c>
      <x:c r="E4254" t="str">
        <x:v>PH-RR-336</x:v>
      </x:c>
      <x:c r="F4254" t="str">
        <x:f>'Trial Results'!R342</x:f>
      </x:c>
      <x:c r="G4254" t="n">
        <x:v>1</x:v>
      </x:c>
      <x:c r="H4254" t="str">
        <x:v>independent physical acceptance</x:v>
      </x:c>
      <x:c r="I4254" t="str">
        <x:f>IF(F4254=1,"PASS","OPEN")</x:f>
        <x:v>OPEN</x:v>
      </x:c>
    </x:row>
    <x:row r="4255">
      <x:c r="B4255" t="str">
        <x:v>PH-RR-337</x:v>
      </x:c>
      <x:c r="C4255" t="str">
        <x:v>PHYSICAL</x:v>
      </x:c>
      <x:c r="D4255" t="str">
        <x:v>trial-result review</x:v>
      </x:c>
      <x:c r="E4255" t="str">
        <x:v>PH-RR-337</x:v>
      </x:c>
      <x:c r="F4255" t="str">
        <x:f>'Trial Results'!R343</x:f>
      </x:c>
      <x:c r="G4255" t="n">
        <x:v>1</x:v>
      </x:c>
      <x:c r="H4255" t="str">
        <x:v>independent physical acceptance</x:v>
      </x:c>
      <x:c r="I4255" t="str">
        <x:f>IF(F4255=1,"PASS","OPEN")</x:f>
        <x:v>OPEN</x:v>
      </x:c>
    </x:row>
    <x:row r="4256">
      <x:c r="B4256" t="str">
        <x:v>PH-RR-338</x:v>
      </x:c>
      <x:c r="C4256" t="str">
        <x:v>PHYSICAL</x:v>
      </x:c>
      <x:c r="D4256" t="str">
        <x:v>trial-result review</x:v>
      </x:c>
      <x:c r="E4256" t="str">
        <x:v>PH-RR-338</x:v>
      </x:c>
      <x:c r="F4256" t="str">
        <x:f>'Trial Results'!R344</x:f>
      </x:c>
      <x:c r="G4256" t="n">
        <x:v>1</x:v>
      </x:c>
      <x:c r="H4256" t="str">
        <x:v>independent physical acceptance</x:v>
      </x:c>
      <x:c r="I4256" t="str">
        <x:f>IF(F4256=1,"PASS","OPEN")</x:f>
        <x:v>OPEN</x:v>
      </x:c>
    </x:row>
    <x:row r="4257">
      <x:c r="B4257" t="str">
        <x:v>PH-RR-339</x:v>
      </x:c>
      <x:c r="C4257" t="str">
        <x:v>PHYSICAL</x:v>
      </x:c>
      <x:c r="D4257" t="str">
        <x:v>trial-result review</x:v>
      </x:c>
      <x:c r="E4257" t="str">
        <x:v>PH-RR-339</x:v>
      </x:c>
      <x:c r="F4257" t="str">
        <x:f>'Trial Results'!R345</x:f>
      </x:c>
      <x:c r="G4257" t="n">
        <x:v>1</x:v>
      </x:c>
      <x:c r="H4257" t="str">
        <x:v>independent physical acceptance</x:v>
      </x:c>
      <x:c r="I4257" t="str">
        <x:f>IF(F4257=1,"PASS","OPEN")</x:f>
        <x:v>OPEN</x:v>
      </x:c>
    </x:row>
    <x:row r="4258">
      <x:c r="B4258" t="str">
        <x:v>PH-RR-340</x:v>
      </x:c>
      <x:c r="C4258" t="str">
        <x:v>PHYSICAL</x:v>
      </x:c>
      <x:c r="D4258" t="str">
        <x:v>trial-result review</x:v>
      </x:c>
      <x:c r="E4258" t="str">
        <x:v>PH-RR-340</x:v>
      </x:c>
      <x:c r="F4258" t="str">
        <x:f>'Trial Results'!R346</x:f>
      </x:c>
      <x:c r="G4258" t="n">
        <x:v>1</x:v>
      </x:c>
      <x:c r="H4258" t="str">
        <x:v>independent physical acceptance</x:v>
      </x:c>
      <x:c r="I4258" t="str">
        <x:f>IF(F4258=1,"PASS","OPEN")</x:f>
        <x:v>OPEN</x:v>
      </x:c>
    </x:row>
    <x:row r="4259">
      <x:c r="B4259" t="str">
        <x:v>PH-RR-341</x:v>
      </x:c>
      <x:c r="C4259" t="str">
        <x:v>PHYSICAL</x:v>
      </x:c>
      <x:c r="D4259" t="str">
        <x:v>trial-result review</x:v>
      </x:c>
      <x:c r="E4259" t="str">
        <x:v>PH-RR-341</x:v>
      </x:c>
      <x:c r="F4259" t="str">
        <x:f>'Trial Results'!R347</x:f>
      </x:c>
      <x:c r="G4259" t="n">
        <x:v>1</x:v>
      </x:c>
      <x:c r="H4259" t="str">
        <x:v>independent physical acceptance</x:v>
      </x:c>
      <x:c r="I4259" t="str">
        <x:f>IF(F4259=1,"PASS","OPEN")</x:f>
        <x:v>OPEN</x:v>
      </x:c>
    </x:row>
    <x:row r="4260">
      <x:c r="B4260" t="str">
        <x:v>PH-RR-342</x:v>
      </x:c>
      <x:c r="C4260" t="str">
        <x:v>PHYSICAL</x:v>
      </x:c>
      <x:c r="D4260" t="str">
        <x:v>trial-result review</x:v>
      </x:c>
      <x:c r="E4260" t="str">
        <x:v>PH-RR-342</x:v>
      </x:c>
      <x:c r="F4260" t="str">
        <x:f>'Trial Results'!R348</x:f>
      </x:c>
      <x:c r="G4260" t="n">
        <x:v>1</x:v>
      </x:c>
      <x:c r="H4260" t="str">
        <x:v>independent physical acceptance</x:v>
      </x:c>
      <x:c r="I4260" t="str">
        <x:f>IF(F4260=1,"PASS","OPEN")</x:f>
        <x:v>OPEN</x:v>
      </x:c>
    </x:row>
    <x:row r="4261">
      <x:c r="B4261" t="str">
        <x:v>PH-RR-343</x:v>
      </x:c>
      <x:c r="C4261" t="str">
        <x:v>PHYSICAL</x:v>
      </x:c>
      <x:c r="D4261" t="str">
        <x:v>trial-result review</x:v>
      </x:c>
      <x:c r="E4261" t="str">
        <x:v>PH-RR-343</x:v>
      </x:c>
      <x:c r="F4261" t="str">
        <x:f>'Trial Results'!R349</x:f>
      </x:c>
      <x:c r="G4261" t="n">
        <x:v>1</x:v>
      </x:c>
      <x:c r="H4261" t="str">
        <x:v>independent physical acceptance</x:v>
      </x:c>
      <x:c r="I4261" t="str">
        <x:f>IF(F4261=1,"PASS","OPEN")</x:f>
        <x:v>OPEN</x:v>
      </x:c>
    </x:row>
    <x:row r="4262">
      <x:c r="B4262" t="str">
        <x:v>PH-RR-344</x:v>
      </x:c>
      <x:c r="C4262" t="str">
        <x:v>PHYSICAL</x:v>
      </x:c>
      <x:c r="D4262" t="str">
        <x:v>trial-result review</x:v>
      </x:c>
      <x:c r="E4262" t="str">
        <x:v>PH-RR-344</x:v>
      </x:c>
      <x:c r="F4262" t="str">
        <x:f>'Trial Results'!R350</x:f>
      </x:c>
      <x:c r="G4262" t="n">
        <x:v>1</x:v>
      </x:c>
      <x:c r="H4262" t="str">
        <x:v>independent physical acceptance</x:v>
      </x:c>
      <x:c r="I4262" t="str">
        <x:f>IF(F4262=1,"PASS","OPEN")</x:f>
        <x:v>OPEN</x:v>
      </x:c>
    </x:row>
    <x:row r="4263">
      <x:c r="B4263" t="str">
        <x:v>PH-RR-345</x:v>
      </x:c>
      <x:c r="C4263" t="str">
        <x:v>PHYSICAL</x:v>
      </x:c>
      <x:c r="D4263" t="str">
        <x:v>trial-result review</x:v>
      </x:c>
      <x:c r="E4263" t="str">
        <x:v>PH-RR-345</x:v>
      </x:c>
      <x:c r="F4263" t="str">
        <x:f>'Trial Results'!R351</x:f>
      </x:c>
      <x:c r="G4263" t="n">
        <x:v>1</x:v>
      </x:c>
      <x:c r="H4263" t="str">
        <x:v>independent physical acceptance</x:v>
      </x:c>
      <x:c r="I4263" t="str">
        <x:f>IF(F4263=1,"PASS","OPEN")</x:f>
        <x:v>OPEN</x:v>
      </x:c>
    </x:row>
    <x:row r="4264">
      <x:c r="B4264" t="str">
        <x:v>PH-RR-346</x:v>
      </x:c>
      <x:c r="C4264" t="str">
        <x:v>PHYSICAL</x:v>
      </x:c>
      <x:c r="D4264" t="str">
        <x:v>trial-result review</x:v>
      </x:c>
      <x:c r="E4264" t="str">
        <x:v>PH-RR-346</x:v>
      </x:c>
      <x:c r="F4264" t="str">
        <x:f>'Trial Results'!R352</x:f>
      </x:c>
      <x:c r="G4264" t="n">
        <x:v>1</x:v>
      </x:c>
      <x:c r="H4264" t="str">
        <x:v>independent physical acceptance</x:v>
      </x:c>
      <x:c r="I4264" t="str">
        <x:f>IF(F4264=1,"PASS","OPEN")</x:f>
        <x:v>OPEN</x:v>
      </x:c>
    </x:row>
    <x:row r="4265">
      <x:c r="B4265" t="str">
        <x:v>PH-RR-347</x:v>
      </x:c>
      <x:c r="C4265" t="str">
        <x:v>PHYSICAL</x:v>
      </x:c>
      <x:c r="D4265" t="str">
        <x:v>trial-result review</x:v>
      </x:c>
      <x:c r="E4265" t="str">
        <x:v>PH-RR-347</x:v>
      </x:c>
      <x:c r="F4265" t="str">
        <x:f>'Trial Results'!R353</x:f>
      </x:c>
      <x:c r="G4265" t="n">
        <x:v>1</x:v>
      </x:c>
      <x:c r="H4265" t="str">
        <x:v>independent physical acceptance</x:v>
      </x:c>
      <x:c r="I4265" t="str">
        <x:f>IF(F4265=1,"PASS","OPEN")</x:f>
        <x:v>OPEN</x:v>
      </x:c>
    </x:row>
    <x:row r="4266">
      <x:c r="B4266" t="str">
        <x:v>PH-RR-348</x:v>
      </x:c>
      <x:c r="C4266" t="str">
        <x:v>PHYSICAL</x:v>
      </x:c>
      <x:c r="D4266" t="str">
        <x:v>trial-result review</x:v>
      </x:c>
      <x:c r="E4266" t="str">
        <x:v>PH-RR-348</x:v>
      </x:c>
      <x:c r="F4266" t="str">
        <x:f>'Trial Results'!R354</x:f>
      </x:c>
      <x:c r="G4266" t="n">
        <x:v>1</x:v>
      </x:c>
      <x:c r="H4266" t="str">
        <x:v>independent physical acceptance</x:v>
      </x:c>
      <x:c r="I4266" t="str">
        <x:f>IF(F4266=1,"PASS","OPEN")</x:f>
        <x:v>OPEN</x:v>
      </x:c>
    </x:row>
    <x:row r="4267">
      <x:c r="B4267" t="str">
        <x:v>PH-RR-349</x:v>
      </x:c>
      <x:c r="C4267" t="str">
        <x:v>PHYSICAL</x:v>
      </x:c>
      <x:c r="D4267" t="str">
        <x:v>trial-result review</x:v>
      </x:c>
      <x:c r="E4267" t="str">
        <x:v>PH-RR-349</x:v>
      </x:c>
      <x:c r="F4267" t="str">
        <x:f>'Trial Results'!R355</x:f>
      </x:c>
      <x:c r="G4267" t="n">
        <x:v>1</x:v>
      </x:c>
      <x:c r="H4267" t="str">
        <x:v>independent physical acceptance</x:v>
      </x:c>
      <x:c r="I4267" t="str">
        <x:f>IF(F4267=1,"PASS","OPEN")</x:f>
        <x:v>OPEN</x:v>
      </x:c>
    </x:row>
    <x:row r="4268">
      <x:c r="B4268" t="str">
        <x:v>PH-RR-350</x:v>
      </x:c>
      <x:c r="C4268" t="str">
        <x:v>PHYSICAL</x:v>
      </x:c>
      <x:c r="D4268" t="str">
        <x:v>trial-result review</x:v>
      </x:c>
      <x:c r="E4268" t="str">
        <x:v>PH-RR-350</x:v>
      </x:c>
      <x:c r="F4268" t="str">
        <x:f>'Trial Results'!R356</x:f>
      </x:c>
      <x:c r="G4268" t="n">
        <x:v>1</x:v>
      </x:c>
      <x:c r="H4268" t="str">
        <x:v>independent physical acceptance</x:v>
      </x:c>
      <x:c r="I4268" t="str">
        <x:f>IF(F4268=1,"PASS","OPEN")</x:f>
        <x:v>OPEN</x:v>
      </x:c>
    </x:row>
    <x:row r="4269">
      <x:c r="B4269" t="str">
        <x:v>PH-RR-351</x:v>
      </x:c>
      <x:c r="C4269" t="str">
        <x:v>PHYSICAL</x:v>
      </x:c>
      <x:c r="D4269" t="str">
        <x:v>trial-result review</x:v>
      </x:c>
      <x:c r="E4269" t="str">
        <x:v>PH-RR-351</x:v>
      </x:c>
      <x:c r="F4269" t="str">
        <x:f>'Trial Results'!R357</x:f>
      </x:c>
      <x:c r="G4269" t="n">
        <x:v>1</x:v>
      </x:c>
      <x:c r="H4269" t="str">
        <x:v>independent physical acceptance</x:v>
      </x:c>
      <x:c r="I4269" t="str">
        <x:f>IF(F4269=1,"PASS","OPEN")</x:f>
        <x:v>OPEN</x:v>
      </x:c>
    </x:row>
    <x:row r="4270">
      <x:c r="B4270" t="str">
        <x:v>PH-RR-352</x:v>
      </x:c>
      <x:c r="C4270" t="str">
        <x:v>PHYSICAL</x:v>
      </x:c>
      <x:c r="D4270" t="str">
        <x:v>trial-result review</x:v>
      </x:c>
      <x:c r="E4270" t="str">
        <x:v>PH-RR-352</x:v>
      </x:c>
      <x:c r="F4270" t="str">
        <x:f>'Trial Results'!R358</x:f>
      </x:c>
      <x:c r="G4270" t="n">
        <x:v>1</x:v>
      </x:c>
      <x:c r="H4270" t="str">
        <x:v>independent physical acceptance</x:v>
      </x:c>
      <x:c r="I4270" t="str">
        <x:f>IF(F4270=1,"PASS","OPEN")</x:f>
        <x:v>OPEN</x:v>
      </x:c>
    </x:row>
    <x:row r="4271">
      <x:c r="B4271" t="str">
        <x:v>PH-RR-353</x:v>
      </x:c>
      <x:c r="C4271" t="str">
        <x:v>PHYSICAL</x:v>
      </x:c>
      <x:c r="D4271" t="str">
        <x:v>trial-result review</x:v>
      </x:c>
      <x:c r="E4271" t="str">
        <x:v>PH-RR-353</x:v>
      </x:c>
      <x:c r="F4271" t="str">
        <x:f>'Trial Results'!R359</x:f>
      </x:c>
      <x:c r="G4271" t="n">
        <x:v>1</x:v>
      </x:c>
      <x:c r="H4271" t="str">
        <x:v>independent physical acceptance</x:v>
      </x:c>
      <x:c r="I4271" t="str">
        <x:f>IF(F4271=1,"PASS","OPEN")</x:f>
        <x:v>OPEN</x:v>
      </x:c>
    </x:row>
    <x:row r="4272">
      <x:c r="B4272" t="str">
        <x:v>PH-RR-354</x:v>
      </x:c>
      <x:c r="C4272" t="str">
        <x:v>PHYSICAL</x:v>
      </x:c>
      <x:c r="D4272" t="str">
        <x:v>trial-result review</x:v>
      </x:c>
      <x:c r="E4272" t="str">
        <x:v>PH-RR-354</x:v>
      </x:c>
      <x:c r="F4272" t="str">
        <x:f>'Trial Results'!R360</x:f>
      </x:c>
      <x:c r="G4272" t="n">
        <x:v>1</x:v>
      </x:c>
      <x:c r="H4272" t="str">
        <x:v>independent physical acceptance</x:v>
      </x:c>
      <x:c r="I4272" t="str">
        <x:f>IF(F4272=1,"PASS","OPEN")</x:f>
        <x:v>OPEN</x:v>
      </x:c>
    </x:row>
    <x:row r="4273">
      <x:c r="B4273" t="str">
        <x:v>PH-RR-355</x:v>
      </x:c>
      <x:c r="C4273" t="str">
        <x:v>PHYSICAL</x:v>
      </x:c>
      <x:c r="D4273" t="str">
        <x:v>trial-result review</x:v>
      </x:c>
      <x:c r="E4273" t="str">
        <x:v>PH-RR-355</x:v>
      </x:c>
      <x:c r="F4273" t="str">
        <x:f>'Trial Results'!R361</x:f>
      </x:c>
      <x:c r="G4273" t="n">
        <x:v>1</x:v>
      </x:c>
      <x:c r="H4273" t="str">
        <x:v>independent physical acceptance</x:v>
      </x:c>
      <x:c r="I4273" t="str">
        <x:f>IF(F4273=1,"PASS","OPEN")</x:f>
        <x:v>OPEN</x:v>
      </x:c>
    </x:row>
    <x:row r="4274">
      <x:c r="B4274" t="str">
        <x:v>PH-RR-356</x:v>
      </x:c>
      <x:c r="C4274" t="str">
        <x:v>PHYSICAL</x:v>
      </x:c>
      <x:c r="D4274" t="str">
        <x:v>trial-result review</x:v>
      </x:c>
      <x:c r="E4274" t="str">
        <x:v>PH-RR-356</x:v>
      </x:c>
      <x:c r="F4274" t="str">
        <x:f>'Trial Results'!R362</x:f>
      </x:c>
      <x:c r="G4274" t="n">
        <x:v>1</x:v>
      </x:c>
      <x:c r="H4274" t="str">
        <x:v>independent physical acceptance</x:v>
      </x:c>
      <x:c r="I4274" t="str">
        <x:f>IF(F4274=1,"PASS","OPEN")</x:f>
        <x:v>OPEN</x:v>
      </x:c>
    </x:row>
    <x:row r="4275">
      <x:c r="B4275" t="str">
        <x:v>PH-RR-357</x:v>
      </x:c>
      <x:c r="C4275" t="str">
        <x:v>PHYSICAL</x:v>
      </x:c>
      <x:c r="D4275" t="str">
        <x:v>trial-result review</x:v>
      </x:c>
      <x:c r="E4275" t="str">
        <x:v>PH-RR-357</x:v>
      </x:c>
      <x:c r="F4275" t="str">
        <x:f>'Trial Results'!R363</x:f>
      </x:c>
      <x:c r="G4275" t="n">
        <x:v>1</x:v>
      </x:c>
      <x:c r="H4275" t="str">
        <x:v>independent physical acceptance</x:v>
      </x:c>
      <x:c r="I4275" t="str">
        <x:f>IF(F4275=1,"PASS","OPEN")</x:f>
        <x:v>OPEN</x:v>
      </x:c>
    </x:row>
    <x:row r="4276">
      <x:c r="B4276" t="str">
        <x:v>PH-RR-358</x:v>
      </x:c>
      <x:c r="C4276" t="str">
        <x:v>PHYSICAL</x:v>
      </x:c>
      <x:c r="D4276" t="str">
        <x:v>trial-result review</x:v>
      </x:c>
      <x:c r="E4276" t="str">
        <x:v>PH-RR-358</x:v>
      </x:c>
      <x:c r="F4276" t="str">
        <x:f>'Trial Results'!R364</x:f>
      </x:c>
      <x:c r="G4276" t="n">
        <x:v>1</x:v>
      </x:c>
      <x:c r="H4276" t="str">
        <x:v>independent physical acceptance</x:v>
      </x:c>
      <x:c r="I4276" t="str">
        <x:f>IF(F4276=1,"PASS","OPEN")</x:f>
        <x:v>OPEN</x:v>
      </x:c>
    </x:row>
    <x:row r="4277">
      <x:c r="B4277" t="str">
        <x:v>PH-RR-359</x:v>
      </x:c>
      <x:c r="C4277" t="str">
        <x:v>PHYSICAL</x:v>
      </x:c>
      <x:c r="D4277" t="str">
        <x:v>trial-result review</x:v>
      </x:c>
      <x:c r="E4277" t="str">
        <x:v>PH-RR-359</x:v>
      </x:c>
      <x:c r="F4277" t="str">
        <x:f>'Trial Results'!R365</x:f>
      </x:c>
      <x:c r="G4277" t="n">
        <x:v>1</x:v>
      </x:c>
      <x:c r="H4277" t="str">
        <x:v>independent physical acceptance</x:v>
      </x:c>
      <x:c r="I4277" t="str">
        <x:f>IF(F4277=1,"PASS","OPEN")</x:f>
        <x:v>OPEN</x:v>
      </x:c>
    </x:row>
    <x:row r="4278">
      <x:c r="B4278" t="str">
        <x:v>PH-RR-360</x:v>
      </x:c>
      <x:c r="C4278" t="str">
        <x:v>PHYSICAL</x:v>
      </x:c>
      <x:c r="D4278" t="str">
        <x:v>trial-result review</x:v>
      </x:c>
      <x:c r="E4278" t="str">
        <x:v>PH-RR-360</x:v>
      </x:c>
      <x:c r="F4278" t="n">
        <x:f>'Trial Results'!R366</x:f>
        <x:v>0</x:v>
      </x:c>
      <x:c r="G4278" t="n">
        <x:v>1</x:v>
      </x:c>
      <x:c r="H4278" t="str">
        <x:v>independent physical acceptance</x:v>
      </x:c>
      <x:c r="I4278" t="str">
        <x:f>IF(F4278=1,"PASS","OPEN")</x:f>
        <x:v>OPEN</x:v>
      </x:c>
    </x:row>
    <x:row r="4279">
      <x:c r="B4279" t="str">
        <x:v>PH-AG-001</x:v>
      </x:c>
      <x:c r="C4279" t="str">
        <x:v>PHYSICAL</x:v>
      </x:c>
      <x:c r="D4279" t="str">
        <x:v>rig agreement</x:v>
      </x:c>
      <x:c r="E4279" t="str">
        <x:v>PH-AG-001</x:v>
      </x:c>
      <x:c r="F4279" t="str">
        <x:f>'Agreement'!L7</x:f>
      </x:c>
      <x:c r="G4279" t="n">
        <x:v>1</x:v>
      </x:c>
      <x:c r="H4279" t="str">
        <x:v>independent physical acceptance</x:v>
      </x:c>
      <x:c r="I4279" t="str">
        <x:f>IF(F4279=1,"PASS","OPEN")</x:f>
        <x:v>OPEN</x:v>
      </x:c>
    </x:row>
    <x:row r="4280">
      <x:c r="B4280" t="str">
        <x:v>PH-AG-002</x:v>
      </x:c>
      <x:c r="C4280" t="str">
        <x:v>PHYSICAL</x:v>
      </x:c>
      <x:c r="D4280" t="str">
        <x:v>rig agreement</x:v>
      </x:c>
      <x:c r="E4280" t="str">
        <x:v>PH-AG-002</x:v>
      </x:c>
      <x:c r="F4280" t="str">
        <x:f>'Agreement'!L8</x:f>
      </x:c>
      <x:c r="G4280" t="n">
        <x:v>1</x:v>
      </x:c>
      <x:c r="H4280" t="str">
        <x:v>independent physical acceptance</x:v>
      </x:c>
      <x:c r="I4280" t="str">
        <x:f>IF(F4280=1,"PASS","OPEN")</x:f>
        <x:v>OPEN</x:v>
      </x:c>
    </x:row>
    <x:row r="4281">
      <x:c r="B4281" t="str">
        <x:v>PH-AG-003</x:v>
      </x:c>
      <x:c r="C4281" t="str">
        <x:v>PHYSICAL</x:v>
      </x:c>
      <x:c r="D4281" t="str">
        <x:v>rig agreement</x:v>
      </x:c>
      <x:c r="E4281" t="str">
        <x:v>PH-AG-003</x:v>
      </x:c>
      <x:c r="F4281" t="str">
        <x:f>'Agreement'!L9</x:f>
      </x:c>
      <x:c r="G4281" t="n">
        <x:v>1</x:v>
      </x:c>
      <x:c r="H4281" t="str">
        <x:v>independent physical acceptance</x:v>
      </x:c>
      <x:c r="I4281" t="str">
        <x:f>IF(F4281=1,"PASS","OPEN")</x:f>
        <x:v>OPEN</x:v>
      </x:c>
    </x:row>
    <x:row r="4282">
      <x:c r="B4282" t="str">
        <x:v>PH-AG-004</x:v>
      </x:c>
      <x:c r="C4282" t="str">
        <x:v>PHYSICAL</x:v>
      </x:c>
      <x:c r="D4282" t="str">
        <x:v>rig agreement</x:v>
      </x:c>
      <x:c r="E4282" t="str">
        <x:v>PH-AG-004</x:v>
      </x:c>
      <x:c r="F4282" t="str">
        <x:f>'Agreement'!L10</x:f>
      </x:c>
      <x:c r="G4282" t="n">
        <x:v>1</x:v>
      </x:c>
      <x:c r="H4282" t="str">
        <x:v>independent physical acceptance</x:v>
      </x:c>
      <x:c r="I4282" t="str">
        <x:f>IF(F4282=1,"PASS","OPEN")</x:f>
        <x:v>OPEN</x:v>
      </x:c>
    </x:row>
    <x:row r="4283">
      <x:c r="B4283" t="str">
        <x:v>PH-AG-005</x:v>
      </x:c>
      <x:c r="C4283" t="str">
        <x:v>PHYSICAL</x:v>
      </x:c>
      <x:c r="D4283" t="str">
        <x:v>rig agreement</x:v>
      </x:c>
      <x:c r="E4283" t="str">
        <x:v>PH-AG-005</x:v>
      </x:c>
      <x:c r="F4283" t="str">
        <x:f>'Agreement'!L11</x:f>
      </x:c>
      <x:c r="G4283" t="n">
        <x:v>1</x:v>
      </x:c>
      <x:c r="H4283" t="str">
        <x:v>independent physical acceptance</x:v>
      </x:c>
      <x:c r="I4283" t="str">
        <x:f>IF(F4283=1,"PASS","OPEN")</x:f>
        <x:v>OPEN</x:v>
      </x:c>
    </x:row>
    <x:row r="4284">
      <x:c r="B4284" t="str">
        <x:v>PH-AG-006</x:v>
      </x:c>
      <x:c r="C4284" t="str">
        <x:v>PHYSICAL</x:v>
      </x:c>
      <x:c r="D4284" t="str">
        <x:v>rig agreement</x:v>
      </x:c>
      <x:c r="E4284" t="str">
        <x:v>PH-AG-006</x:v>
      </x:c>
      <x:c r="F4284" t="str">
        <x:f>'Agreement'!L12</x:f>
      </x:c>
      <x:c r="G4284" t="n">
        <x:v>1</x:v>
      </x:c>
      <x:c r="H4284" t="str">
        <x:v>independent physical acceptance</x:v>
      </x:c>
      <x:c r="I4284" t="str">
        <x:f>IF(F4284=1,"PASS","OPEN")</x:f>
        <x:v>OPEN</x:v>
      </x:c>
    </x:row>
    <x:row r="4285">
      <x:c r="B4285" t="str">
        <x:v>PH-AG-007</x:v>
      </x:c>
      <x:c r="C4285" t="str">
        <x:v>PHYSICAL</x:v>
      </x:c>
      <x:c r="D4285" t="str">
        <x:v>rig agreement</x:v>
      </x:c>
      <x:c r="E4285" t="str">
        <x:v>PH-AG-007</x:v>
      </x:c>
      <x:c r="F4285" t="str">
        <x:f>'Agreement'!L13</x:f>
      </x:c>
      <x:c r="G4285" t="n">
        <x:v>1</x:v>
      </x:c>
      <x:c r="H4285" t="str">
        <x:v>independent physical acceptance</x:v>
      </x:c>
      <x:c r="I4285" t="str">
        <x:f>IF(F4285=1,"PASS","OPEN")</x:f>
        <x:v>OPEN</x:v>
      </x:c>
    </x:row>
    <x:row r="4286">
      <x:c r="B4286" t="str">
        <x:v>PH-AG-008</x:v>
      </x:c>
      <x:c r="C4286" t="str">
        <x:v>PHYSICAL</x:v>
      </x:c>
      <x:c r="D4286" t="str">
        <x:v>rig agreement</x:v>
      </x:c>
      <x:c r="E4286" t="str">
        <x:v>PH-AG-008</x:v>
      </x:c>
      <x:c r="F4286" t="str">
        <x:f>'Agreement'!L14</x:f>
      </x:c>
      <x:c r="G4286" t="n">
        <x:v>1</x:v>
      </x:c>
      <x:c r="H4286" t="str">
        <x:v>independent physical acceptance</x:v>
      </x:c>
      <x:c r="I4286" t="str">
        <x:f>IF(F4286=1,"PASS","OPEN")</x:f>
        <x:v>OPEN</x:v>
      </x:c>
    </x:row>
    <x:row r="4287">
      <x:c r="B4287" t="str">
        <x:v>PH-AG-009</x:v>
      </x:c>
      <x:c r="C4287" t="str">
        <x:v>PHYSICAL</x:v>
      </x:c>
      <x:c r="D4287" t="str">
        <x:v>rig agreement</x:v>
      </x:c>
      <x:c r="E4287" t="str">
        <x:v>PH-AG-009</x:v>
      </x:c>
      <x:c r="F4287" t="str">
        <x:f>'Agreement'!L15</x:f>
      </x:c>
      <x:c r="G4287" t="n">
        <x:v>1</x:v>
      </x:c>
      <x:c r="H4287" t="str">
        <x:v>independent physical acceptance</x:v>
      </x:c>
      <x:c r="I4287" t="str">
        <x:f>IF(F4287=1,"PASS","OPEN")</x:f>
        <x:v>OPEN</x:v>
      </x:c>
    </x:row>
    <x:row r="4288">
      <x:c r="B4288" t="str">
        <x:v>PH-AG-010</x:v>
      </x:c>
      <x:c r="C4288" t="str">
        <x:v>PHYSICAL</x:v>
      </x:c>
      <x:c r="D4288" t="str">
        <x:v>rig agreement</x:v>
      </x:c>
      <x:c r="E4288" t="str">
        <x:v>PH-AG-010</x:v>
      </x:c>
      <x:c r="F4288" t="str">
        <x:f>'Agreement'!L16</x:f>
      </x:c>
      <x:c r="G4288" t="n">
        <x:v>1</x:v>
      </x:c>
      <x:c r="H4288" t="str">
        <x:v>independent physical acceptance</x:v>
      </x:c>
      <x:c r="I4288" t="str">
        <x:f>IF(F4288=1,"PASS","OPEN")</x:f>
        <x:v>OPEN</x:v>
      </x:c>
    </x:row>
    <x:row r="4289">
      <x:c r="B4289" t="str">
        <x:v>PH-AG-011</x:v>
      </x:c>
      <x:c r="C4289" t="str">
        <x:v>PHYSICAL</x:v>
      </x:c>
      <x:c r="D4289" t="str">
        <x:v>rig agreement</x:v>
      </x:c>
      <x:c r="E4289" t="str">
        <x:v>PH-AG-011</x:v>
      </x:c>
      <x:c r="F4289" t="str">
        <x:f>'Agreement'!L17</x:f>
      </x:c>
      <x:c r="G4289" t="n">
        <x:v>1</x:v>
      </x:c>
      <x:c r="H4289" t="str">
        <x:v>independent physical acceptance</x:v>
      </x:c>
      <x:c r="I4289" t="str">
        <x:f>IF(F4289=1,"PASS","OPEN")</x:f>
        <x:v>OPEN</x:v>
      </x:c>
    </x:row>
    <x:row r="4290">
      <x:c r="B4290" t="str">
        <x:v>PH-AG-012</x:v>
      </x:c>
      <x:c r="C4290" t="str">
        <x:v>PHYSICAL</x:v>
      </x:c>
      <x:c r="D4290" t="str">
        <x:v>rig agreement</x:v>
      </x:c>
      <x:c r="E4290" t="str">
        <x:v>PH-AG-012</x:v>
      </x:c>
      <x:c r="F4290" t="str">
        <x:f>'Agreement'!L18</x:f>
      </x:c>
      <x:c r="G4290" t="n">
        <x:v>1</x:v>
      </x:c>
      <x:c r="H4290" t="str">
        <x:v>independent physical acceptance</x:v>
      </x:c>
      <x:c r="I4290" t="str">
        <x:f>IF(F4290=1,"PASS","OPEN")</x:f>
        <x:v>OPEN</x:v>
      </x:c>
    </x:row>
    <x:row r="4291">
      <x:c r="B4291" t="str">
        <x:v>PH-AG-013</x:v>
      </x:c>
      <x:c r="C4291" t="str">
        <x:v>PHYSICAL</x:v>
      </x:c>
      <x:c r="D4291" t="str">
        <x:v>rig agreement</x:v>
      </x:c>
      <x:c r="E4291" t="str">
        <x:v>PH-AG-013</x:v>
      </x:c>
      <x:c r="F4291" t="str">
        <x:f>'Agreement'!L19</x:f>
      </x:c>
      <x:c r="G4291" t="n">
        <x:v>1</x:v>
      </x:c>
      <x:c r="H4291" t="str">
        <x:v>independent physical acceptance</x:v>
      </x:c>
      <x:c r="I4291" t="str">
        <x:f>IF(F4291=1,"PASS","OPEN")</x:f>
        <x:v>OPEN</x:v>
      </x:c>
    </x:row>
    <x:row r="4292">
      <x:c r="B4292" t="str">
        <x:v>PH-AG-014</x:v>
      </x:c>
      <x:c r="C4292" t="str">
        <x:v>PHYSICAL</x:v>
      </x:c>
      <x:c r="D4292" t="str">
        <x:v>rig agreement</x:v>
      </x:c>
      <x:c r="E4292" t="str">
        <x:v>PH-AG-014</x:v>
      </x:c>
      <x:c r="F4292" t="str">
        <x:f>'Agreement'!L20</x:f>
      </x:c>
      <x:c r="G4292" t="n">
        <x:v>1</x:v>
      </x:c>
      <x:c r="H4292" t="str">
        <x:v>independent physical acceptance</x:v>
      </x:c>
      <x:c r="I4292" t="str">
        <x:f>IF(F4292=1,"PASS","OPEN")</x:f>
        <x:v>OPEN</x:v>
      </x:c>
    </x:row>
    <x:row r="4293">
      <x:c r="B4293" t="str">
        <x:v>PH-AG-015</x:v>
      </x:c>
      <x:c r="C4293" t="str">
        <x:v>PHYSICAL</x:v>
      </x:c>
      <x:c r="D4293" t="str">
        <x:v>rig agreement</x:v>
      </x:c>
      <x:c r="E4293" t="str">
        <x:v>PH-AG-015</x:v>
      </x:c>
      <x:c r="F4293" t="str">
        <x:f>'Agreement'!L21</x:f>
      </x:c>
      <x:c r="G4293" t="n">
        <x:v>1</x:v>
      </x:c>
      <x:c r="H4293" t="str">
        <x:v>independent physical acceptance</x:v>
      </x:c>
      <x:c r="I4293" t="str">
        <x:f>IF(F4293=1,"PASS","OPEN")</x:f>
        <x:v>OPEN</x:v>
      </x:c>
    </x:row>
    <x:row r="4294">
      <x:c r="B4294" t="str">
        <x:v>PH-AG-016</x:v>
      </x:c>
      <x:c r="C4294" t="str">
        <x:v>PHYSICAL</x:v>
      </x:c>
      <x:c r="D4294" t="str">
        <x:v>rig agreement</x:v>
      </x:c>
      <x:c r="E4294" t="str">
        <x:v>PH-AG-016</x:v>
      </x:c>
      <x:c r="F4294" t="str">
        <x:f>'Agreement'!L22</x:f>
      </x:c>
      <x:c r="G4294" t="n">
        <x:v>1</x:v>
      </x:c>
      <x:c r="H4294" t="str">
        <x:v>independent physical acceptance</x:v>
      </x:c>
      <x:c r="I4294" t="str">
        <x:f>IF(F4294=1,"PASS","OPEN")</x:f>
        <x:v>OPEN</x:v>
      </x:c>
    </x:row>
    <x:row r="4295">
      <x:c r="B4295" t="str">
        <x:v>PH-AG-017</x:v>
      </x:c>
      <x:c r="C4295" t="str">
        <x:v>PHYSICAL</x:v>
      </x:c>
      <x:c r="D4295" t="str">
        <x:v>rig agreement</x:v>
      </x:c>
      <x:c r="E4295" t="str">
        <x:v>PH-AG-017</x:v>
      </x:c>
      <x:c r="F4295" t="str">
        <x:f>'Agreement'!L23</x:f>
      </x:c>
      <x:c r="G4295" t="n">
        <x:v>1</x:v>
      </x:c>
      <x:c r="H4295" t="str">
        <x:v>independent physical acceptance</x:v>
      </x:c>
      <x:c r="I4295" t="str">
        <x:f>IF(F4295=1,"PASS","OPEN")</x:f>
        <x:v>OPEN</x:v>
      </x:c>
    </x:row>
    <x:row r="4296">
      <x:c r="B4296" t="str">
        <x:v>PH-AG-018</x:v>
      </x:c>
      <x:c r="C4296" t="str">
        <x:v>PHYSICAL</x:v>
      </x:c>
      <x:c r="D4296" t="str">
        <x:v>rig agreement</x:v>
      </x:c>
      <x:c r="E4296" t="str">
        <x:v>PH-AG-018</x:v>
      </x:c>
      <x:c r="F4296" t="str">
        <x:f>'Agreement'!L24</x:f>
      </x:c>
      <x:c r="G4296" t="n">
        <x:v>1</x:v>
      </x:c>
      <x:c r="H4296" t="str">
        <x:v>independent physical acceptance</x:v>
      </x:c>
      <x:c r="I4296" t="str">
        <x:f>IF(F4296=1,"PASS","OPEN")</x:f>
        <x:v>OPEN</x:v>
      </x:c>
    </x:row>
    <x:row r="4297">
      <x:c r="B4297" t="str">
        <x:v>PH-AG-019</x:v>
      </x:c>
      <x:c r="C4297" t="str">
        <x:v>PHYSICAL</x:v>
      </x:c>
      <x:c r="D4297" t="str">
        <x:v>rig agreement</x:v>
      </x:c>
      <x:c r="E4297" t="str">
        <x:v>PH-AG-019</x:v>
      </x:c>
      <x:c r="F4297" t="str">
        <x:f>'Agreement'!L25</x:f>
      </x:c>
      <x:c r="G4297" t="n">
        <x:v>1</x:v>
      </x:c>
      <x:c r="H4297" t="str">
        <x:v>independent physical acceptance</x:v>
      </x:c>
      <x:c r="I4297" t="str">
        <x:f>IF(F4297=1,"PASS","OPEN")</x:f>
        <x:v>OPEN</x:v>
      </x:c>
    </x:row>
    <x:row r="4298">
      <x:c r="B4298" t="str">
        <x:v>PH-AG-020</x:v>
      </x:c>
      <x:c r="C4298" t="str">
        <x:v>PHYSICAL</x:v>
      </x:c>
      <x:c r="D4298" t="str">
        <x:v>rig agreement</x:v>
      </x:c>
      <x:c r="E4298" t="str">
        <x:v>PH-AG-020</x:v>
      </x:c>
      <x:c r="F4298" t="str">
        <x:f>'Agreement'!L26</x:f>
      </x:c>
      <x:c r="G4298" t="n">
        <x:v>1</x:v>
      </x:c>
      <x:c r="H4298" t="str">
        <x:v>independent physical acceptance</x:v>
      </x:c>
      <x:c r="I4298" t="str">
        <x:f>IF(F4298=1,"PASS","OPEN")</x:f>
        <x:v>OPEN</x:v>
      </x:c>
    </x:row>
    <x:row r="4299">
      <x:c r="B4299" t="str">
        <x:v>PH-AG-021</x:v>
      </x:c>
      <x:c r="C4299" t="str">
        <x:v>PHYSICAL</x:v>
      </x:c>
      <x:c r="D4299" t="str">
        <x:v>rig agreement</x:v>
      </x:c>
      <x:c r="E4299" t="str">
        <x:v>PH-AG-021</x:v>
      </x:c>
      <x:c r="F4299" t="str">
        <x:f>'Agreement'!L27</x:f>
      </x:c>
      <x:c r="G4299" t="n">
        <x:v>1</x:v>
      </x:c>
      <x:c r="H4299" t="str">
        <x:v>independent physical acceptance</x:v>
      </x:c>
      <x:c r="I4299" t="str">
        <x:f>IF(F4299=1,"PASS","OPEN")</x:f>
        <x:v>OPEN</x:v>
      </x:c>
    </x:row>
    <x:row r="4300">
      <x:c r="B4300" t="str">
        <x:v>PH-AG-022</x:v>
      </x:c>
      <x:c r="C4300" t="str">
        <x:v>PHYSICAL</x:v>
      </x:c>
      <x:c r="D4300" t="str">
        <x:v>rig agreement</x:v>
      </x:c>
      <x:c r="E4300" t="str">
        <x:v>PH-AG-022</x:v>
      </x:c>
      <x:c r="F4300" t="str">
        <x:f>'Agreement'!L28</x:f>
      </x:c>
      <x:c r="G4300" t="n">
        <x:v>1</x:v>
      </x:c>
      <x:c r="H4300" t="str">
        <x:v>independent physical acceptance</x:v>
      </x:c>
      <x:c r="I4300" t="str">
        <x:f>IF(F4300=1,"PASS","OPEN")</x:f>
        <x:v>OPEN</x:v>
      </x:c>
    </x:row>
    <x:row r="4301">
      <x:c r="B4301" t="str">
        <x:v>PH-AG-023</x:v>
      </x:c>
      <x:c r="C4301" t="str">
        <x:v>PHYSICAL</x:v>
      </x:c>
      <x:c r="D4301" t="str">
        <x:v>rig agreement</x:v>
      </x:c>
      <x:c r="E4301" t="str">
        <x:v>PH-AG-023</x:v>
      </x:c>
      <x:c r="F4301" t="str">
        <x:f>'Agreement'!L29</x:f>
      </x:c>
      <x:c r="G4301" t="n">
        <x:v>1</x:v>
      </x:c>
      <x:c r="H4301" t="str">
        <x:v>independent physical acceptance</x:v>
      </x:c>
      <x:c r="I4301" t="str">
        <x:f>IF(F4301=1,"PASS","OPEN")</x:f>
        <x:v>OPEN</x:v>
      </x:c>
    </x:row>
    <x:row r="4302">
      <x:c r="B4302" t="str">
        <x:v>PH-AG-024</x:v>
      </x:c>
      <x:c r="C4302" t="str">
        <x:v>PHYSICAL</x:v>
      </x:c>
      <x:c r="D4302" t="str">
        <x:v>rig agreement</x:v>
      </x:c>
      <x:c r="E4302" t="str">
        <x:v>PH-AG-024</x:v>
      </x:c>
      <x:c r="F4302" t="str">
        <x:f>'Agreement'!L30</x:f>
      </x:c>
      <x:c r="G4302" t="n">
        <x:v>1</x:v>
      </x:c>
      <x:c r="H4302" t="str">
        <x:v>independent physical acceptance</x:v>
      </x:c>
      <x:c r="I4302" t="str">
        <x:f>IF(F4302=1,"PASS","OPEN")</x:f>
        <x:v>OPEN</x:v>
      </x:c>
    </x:row>
    <x:row r="4303">
      <x:c r="B4303" t="str">
        <x:v>PH-AG-025</x:v>
      </x:c>
      <x:c r="C4303" t="str">
        <x:v>PHYSICAL</x:v>
      </x:c>
      <x:c r="D4303" t="str">
        <x:v>rig agreement</x:v>
      </x:c>
      <x:c r="E4303" t="str">
        <x:v>PH-AG-025</x:v>
      </x:c>
      <x:c r="F4303" t="str">
        <x:f>'Agreement'!L31</x:f>
      </x:c>
      <x:c r="G4303" t="n">
        <x:v>1</x:v>
      </x:c>
      <x:c r="H4303" t="str">
        <x:v>independent physical acceptance</x:v>
      </x:c>
      <x:c r="I4303" t="str">
        <x:f>IF(F4303=1,"PASS","OPEN")</x:f>
        <x:v>OPEN</x:v>
      </x:c>
    </x:row>
    <x:row r="4304">
      <x:c r="B4304" t="str">
        <x:v>PH-AG-026</x:v>
      </x:c>
      <x:c r="C4304" t="str">
        <x:v>PHYSICAL</x:v>
      </x:c>
      <x:c r="D4304" t="str">
        <x:v>rig agreement</x:v>
      </x:c>
      <x:c r="E4304" t="str">
        <x:v>PH-AG-026</x:v>
      </x:c>
      <x:c r="F4304" t="str">
        <x:f>'Agreement'!L32</x:f>
      </x:c>
      <x:c r="G4304" t="n">
        <x:v>1</x:v>
      </x:c>
      <x:c r="H4304" t="str">
        <x:v>independent physical acceptance</x:v>
      </x:c>
      <x:c r="I4304" t="str">
        <x:f>IF(F4304=1,"PASS","OPEN")</x:f>
        <x:v>OPEN</x:v>
      </x:c>
    </x:row>
    <x:row r="4305">
      <x:c r="B4305" t="str">
        <x:v>PH-AG-027</x:v>
      </x:c>
      <x:c r="C4305" t="str">
        <x:v>PHYSICAL</x:v>
      </x:c>
      <x:c r="D4305" t="str">
        <x:v>rig agreement</x:v>
      </x:c>
      <x:c r="E4305" t="str">
        <x:v>PH-AG-027</x:v>
      </x:c>
      <x:c r="F4305" t="str">
        <x:f>'Agreement'!L33</x:f>
      </x:c>
      <x:c r="G4305" t="n">
        <x:v>1</x:v>
      </x:c>
      <x:c r="H4305" t="str">
        <x:v>independent physical acceptance</x:v>
      </x:c>
      <x:c r="I4305" t="str">
        <x:f>IF(F4305=1,"PASS","OPEN")</x:f>
        <x:v>OPEN</x:v>
      </x:c>
    </x:row>
    <x:row r="4306">
      <x:c r="B4306" t="str">
        <x:v>PH-AG-028</x:v>
      </x:c>
      <x:c r="C4306" t="str">
        <x:v>PHYSICAL</x:v>
      </x:c>
      <x:c r="D4306" t="str">
        <x:v>rig agreement</x:v>
      </x:c>
      <x:c r="E4306" t="str">
        <x:v>PH-AG-028</x:v>
      </x:c>
      <x:c r="F4306" t="str">
        <x:f>'Agreement'!L34</x:f>
      </x:c>
      <x:c r="G4306" t="n">
        <x:v>1</x:v>
      </x:c>
      <x:c r="H4306" t="str">
        <x:v>independent physical acceptance</x:v>
      </x:c>
      <x:c r="I4306" t="str">
        <x:f>IF(F4306=1,"PASS","OPEN")</x:f>
        <x:v>OPEN</x:v>
      </x:c>
    </x:row>
    <x:row r="4307">
      <x:c r="B4307" t="str">
        <x:v>PH-AG-029</x:v>
      </x:c>
      <x:c r="C4307" t="str">
        <x:v>PHYSICAL</x:v>
      </x:c>
      <x:c r="D4307" t="str">
        <x:v>rig agreement</x:v>
      </x:c>
      <x:c r="E4307" t="str">
        <x:v>PH-AG-029</x:v>
      </x:c>
      <x:c r="F4307" t="str">
        <x:f>'Agreement'!L35</x:f>
      </x:c>
      <x:c r="G4307" t="n">
        <x:v>1</x:v>
      </x:c>
      <x:c r="H4307" t="str">
        <x:v>independent physical acceptance</x:v>
      </x:c>
      <x:c r="I4307" t="str">
        <x:f>IF(F4307=1,"PASS","OPEN")</x:f>
        <x:v>OPEN</x:v>
      </x:c>
    </x:row>
    <x:row r="4308">
      <x:c r="B4308" t="str">
        <x:v>PH-AG-030</x:v>
      </x:c>
      <x:c r="C4308" t="str">
        <x:v>PHYSICAL</x:v>
      </x:c>
      <x:c r="D4308" t="str">
        <x:v>rig agreement</x:v>
      </x:c>
      <x:c r="E4308" t="str">
        <x:v>PH-AG-030</x:v>
      </x:c>
      <x:c r="F4308" t="n">
        <x:f>'Agreement'!L36</x:f>
        <x:v>0</x:v>
      </x:c>
      <x:c r="G4308" t="n">
        <x:v>1</x:v>
      </x:c>
      <x:c r="H4308" t="str">
        <x:v>independent physical acceptance</x:v>
      </x:c>
      <x:c r="I4308" t="str">
        <x:f>IF(F4308=1,"PASS","OPEN")</x:f>
        <x:v>OPEN</x:v>
      </x:c>
    </x:row>
    <x:row r="4309">
      <x:c r="B4309" t="str">
        <x:v>PH-EQ-001</x:v>
      </x:c>
      <x:c r="C4309" t="str">
        <x:v>PHYSICAL</x:v>
      </x:c>
      <x:c r="D4309" t="str">
        <x:v>truth-root equivalence</x:v>
      </x:c>
      <x:c r="E4309" t="str">
        <x:v>PH-EQ-001</x:v>
      </x:c>
      <x:c r="F4309" t="str">
        <x:f>'Equivalence'!J7</x:f>
      </x:c>
      <x:c r="G4309" t="n">
        <x:v>1</x:v>
      </x:c>
      <x:c r="H4309" t="str">
        <x:v>independent physical acceptance</x:v>
      </x:c>
      <x:c r="I4309" t="str">
        <x:f>IF(F4309=1,"PASS","OPEN")</x:f>
        <x:v>OPEN</x:v>
      </x:c>
    </x:row>
    <x:row r="4310">
      <x:c r="B4310" t="str">
        <x:v>PH-EQ-002</x:v>
      </x:c>
      <x:c r="C4310" t="str">
        <x:v>PHYSICAL</x:v>
      </x:c>
      <x:c r="D4310" t="str">
        <x:v>truth-root equivalence</x:v>
      </x:c>
      <x:c r="E4310" t="str">
        <x:v>PH-EQ-002</x:v>
      </x:c>
      <x:c r="F4310" t="str">
        <x:f>'Equivalence'!J8</x:f>
      </x:c>
      <x:c r="G4310" t="n">
        <x:v>1</x:v>
      </x:c>
      <x:c r="H4310" t="str">
        <x:v>independent physical acceptance</x:v>
      </x:c>
      <x:c r="I4310" t="str">
        <x:f>IF(F4310=1,"PASS","OPEN")</x:f>
        <x:v>OPEN</x:v>
      </x:c>
    </x:row>
    <x:row r="4311">
      <x:c r="B4311" t="str">
        <x:v>PH-EQ-003</x:v>
      </x:c>
      <x:c r="C4311" t="str">
        <x:v>PHYSICAL</x:v>
      </x:c>
      <x:c r="D4311" t="str">
        <x:v>truth-root equivalence</x:v>
      </x:c>
      <x:c r="E4311" t="str">
        <x:v>PH-EQ-003</x:v>
      </x:c>
      <x:c r="F4311" t="str">
        <x:f>'Equivalence'!J9</x:f>
      </x:c>
      <x:c r="G4311" t="n">
        <x:v>1</x:v>
      </x:c>
      <x:c r="H4311" t="str">
        <x:v>independent physical acceptance</x:v>
      </x:c>
      <x:c r="I4311" t="str">
        <x:f>IF(F4311=1,"PASS","OPEN")</x:f>
        <x:v>OPEN</x:v>
      </x:c>
    </x:row>
    <x:row r="4312">
      <x:c r="B4312" t="str">
        <x:v>PH-EQ-004</x:v>
      </x:c>
      <x:c r="C4312" t="str">
        <x:v>PHYSICAL</x:v>
      </x:c>
      <x:c r="D4312" t="str">
        <x:v>truth-root equivalence</x:v>
      </x:c>
      <x:c r="E4312" t="str">
        <x:v>PH-EQ-004</x:v>
      </x:c>
      <x:c r="F4312" t="str">
        <x:f>'Equivalence'!J10</x:f>
      </x:c>
      <x:c r="G4312" t="n">
        <x:v>1</x:v>
      </x:c>
      <x:c r="H4312" t="str">
        <x:v>independent physical acceptance</x:v>
      </x:c>
      <x:c r="I4312" t="str">
        <x:f>IF(F4312=1,"PASS","OPEN")</x:f>
        <x:v>OPEN</x:v>
      </x:c>
    </x:row>
    <x:row r="4313">
      <x:c r="B4313" t="str">
        <x:v>PH-EQ-005</x:v>
      </x:c>
      <x:c r="C4313" t="str">
        <x:v>PHYSICAL</x:v>
      </x:c>
      <x:c r="D4313" t="str">
        <x:v>truth-root equivalence</x:v>
      </x:c>
      <x:c r="E4313" t="str">
        <x:v>PH-EQ-005</x:v>
      </x:c>
      <x:c r="F4313" t="str">
        <x:f>'Equivalence'!J11</x:f>
      </x:c>
      <x:c r="G4313" t="n">
        <x:v>1</x:v>
      </x:c>
      <x:c r="H4313" t="str">
        <x:v>independent physical acceptance</x:v>
      </x:c>
      <x:c r="I4313" t="str">
        <x:f>IF(F4313=1,"PASS","OPEN")</x:f>
        <x:v>OPEN</x:v>
      </x:c>
    </x:row>
    <x:row r="4314">
      <x:c r="B4314" t="str">
        <x:v>PH-EQ-006</x:v>
      </x:c>
      <x:c r="C4314" t="str">
        <x:v>PHYSICAL</x:v>
      </x:c>
      <x:c r="D4314" t="str">
        <x:v>truth-root equivalence</x:v>
      </x:c>
      <x:c r="E4314" t="str">
        <x:v>PH-EQ-006</x:v>
      </x:c>
      <x:c r="F4314" t="str">
        <x:f>'Equivalence'!J12</x:f>
      </x:c>
      <x:c r="G4314" t="n">
        <x:v>1</x:v>
      </x:c>
      <x:c r="H4314" t="str">
        <x:v>independent physical acceptance</x:v>
      </x:c>
      <x:c r="I4314" t="str">
        <x:f>IF(F4314=1,"PASS","OPEN")</x:f>
        <x:v>OPEN</x:v>
      </x:c>
    </x:row>
    <x:row r="4315">
      <x:c r="B4315" t="str">
        <x:v>PH-EQ-007</x:v>
      </x:c>
      <x:c r="C4315" t="str">
        <x:v>PHYSICAL</x:v>
      </x:c>
      <x:c r="D4315" t="str">
        <x:v>truth-root equivalence</x:v>
      </x:c>
      <x:c r="E4315" t="str">
        <x:v>PH-EQ-007</x:v>
      </x:c>
      <x:c r="F4315" t="str">
        <x:f>'Equivalence'!J13</x:f>
      </x:c>
      <x:c r="G4315" t="n">
        <x:v>1</x:v>
      </x:c>
      <x:c r="H4315" t="str">
        <x:v>independent physical acceptance</x:v>
      </x:c>
      <x:c r="I4315" t="str">
        <x:f>IF(F4315=1,"PASS","OPEN")</x:f>
        <x:v>OPEN</x:v>
      </x:c>
    </x:row>
    <x:row r="4316">
      <x:c r="B4316" t="str">
        <x:v>PH-EQ-008</x:v>
      </x:c>
      <x:c r="C4316" t="str">
        <x:v>PHYSICAL</x:v>
      </x:c>
      <x:c r="D4316" t="str">
        <x:v>truth-root equivalence</x:v>
      </x:c>
      <x:c r="E4316" t="str">
        <x:v>PH-EQ-008</x:v>
      </x:c>
      <x:c r="F4316" t="str">
        <x:f>'Equivalence'!J14</x:f>
      </x:c>
      <x:c r="G4316" t="n">
        <x:v>1</x:v>
      </x:c>
      <x:c r="H4316" t="str">
        <x:v>independent physical acceptance</x:v>
      </x:c>
      <x:c r="I4316" t="str">
        <x:f>IF(F4316=1,"PASS","OPEN")</x:f>
        <x:v>OPEN</x:v>
      </x:c>
    </x:row>
    <x:row r="4317">
      <x:c r="B4317" t="str">
        <x:v>PH-EQ-009</x:v>
      </x:c>
      <x:c r="C4317" t="str">
        <x:v>PHYSICAL</x:v>
      </x:c>
      <x:c r="D4317" t="str">
        <x:v>truth-root equivalence</x:v>
      </x:c>
      <x:c r="E4317" t="str">
        <x:v>PH-EQ-009</x:v>
      </x:c>
      <x:c r="F4317" t="str">
        <x:f>'Equivalence'!J15</x:f>
      </x:c>
      <x:c r="G4317" t="n">
        <x:v>1</x:v>
      </x:c>
      <x:c r="H4317" t="str">
        <x:v>independent physical acceptance</x:v>
      </x:c>
      <x:c r="I4317" t="str">
        <x:f>IF(F4317=1,"PASS","OPEN")</x:f>
        <x:v>OPEN</x:v>
      </x:c>
    </x:row>
    <x:row r="4318">
      <x:c r="B4318" t="str">
        <x:v>PH-EQ-010</x:v>
      </x:c>
      <x:c r="C4318" t="str">
        <x:v>PHYSICAL</x:v>
      </x:c>
      <x:c r="D4318" t="str">
        <x:v>truth-root equivalence</x:v>
      </x:c>
      <x:c r="E4318" t="str">
        <x:v>PH-EQ-010</x:v>
      </x:c>
      <x:c r="F4318" t="n">
        <x:f>'Equivalence'!J16</x:f>
        <x:v>0</x:v>
      </x:c>
      <x:c r="G4318" t="n">
        <x:v>1</x:v>
      </x:c>
      <x:c r="H4318" t="str">
        <x:v>independent physical acceptance</x:v>
      </x:c>
      <x:c r="I4318" t="str">
        <x:f>IF(F4318=1,"PASS","OPEN")</x:f>
        <x:v>OPEN</x:v>
      </x:c>
    </x:row>
    <x:row r="4319">
      <x:c r="B4319" t="str">
        <x:v>PH-MQ-001</x:v>
      </x:c>
      <x:c r="C4319" t="str">
        <x:v>PHYSICAL</x:v>
      </x:c>
      <x:c r="D4319" t="str">
        <x:v>method qualification</x:v>
      </x:c>
      <x:c r="E4319" t="str">
        <x:v>PH-MQ-001</x:v>
      </x:c>
      <x:c r="F4319" t="str">
        <x:f>'Method Qualification'!J7</x:f>
      </x:c>
      <x:c r="G4319" t="n">
        <x:v>1</x:v>
      </x:c>
      <x:c r="H4319" t="str">
        <x:v>independent physical acceptance</x:v>
      </x:c>
      <x:c r="I4319" t="str">
        <x:f>IF(F4319=1,"PASS","OPEN")</x:f>
        <x:v>OPEN</x:v>
      </x:c>
    </x:row>
    <x:row r="4320">
      <x:c r="B4320" t="str">
        <x:v>PH-MQ-002</x:v>
      </x:c>
      <x:c r="C4320" t="str">
        <x:v>PHYSICAL</x:v>
      </x:c>
      <x:c r="D4320" t="str">
        <x:v>method qualification</x:v>
      </x:c>
      <x:c r="E4320" t="str">
        <x:v>PH-MQ-002</x:v>
      </x:c>
      <x:c r="F4320" t="str">
        <x:f>'Method Qualification'!J8</x:f>
      </x:c>
      <x:c r="G4320" t="n">
        <x:v>1</x:v>
      </x:c>
      <x:c r="H4320" t="str">
        <x:v>independent physical acceptance</x:v>
      </x:c>
      <x:c r="I4320" t="str">
        <x:f>IF(F4320=1,"PASS","OPEN")</x:f>
        <x:v>OPEN</x:v>
      </x:c>
    </x:row>
    <x:row r="4321">
      <x:c r="B4321" t="str">
        <x:v>PH-MQ-003</x:v>
      </x:c>
      <x:c r="C4321" t="str">
        <x:v>PHYSICAL</x:v>
      </x:c>
      <x:c r="D4321" t="str">
        <x:v>method qualification</x:v>
      </x:c>
      <x:c r="E4321" t="str">
        <x:v>PH-MQ-003</x:v>
      </x:c>
      <x:c r="F4321" t="str">
        <x:f>'Method Qualification'!J9</x:f>
      </x:c>
      <x:c r="G4321" t="n">
        <x:v>1</x:v>
      </x:c>
      <x:c r="H4321" t="str">
        <x:v>independent physical acceptance</x:v>
      </x:c>
      <x:c r="I4321" t="str">
        <x:f>IF(F4321=1,"PASS","OPEN")</x:f>
        <x:v>OPEN</x:v>
      </x:c>
    </x:row>
    <x:row r="4322">
      <x:c r="B4322" t="str">
        <x:v>PH-MQ-004</x:v>
      </x:c>
      <x:c r="C4322" t="str">
        <x:v>PHYSICAL</x:v>
      </x:c>
      <x:c r="D4322" t="str">
        <x:v>method qualification</x:v>
      </x:c>
      <x:c r="E4322" t="str">
        <x:v>PH-MQ-004</x:v>
      </x:c>
      <x:c r="F4322" t="str">
        <x:f>'Method Qualification'!J10</x:f>
      </x:c>
      <x:c r="G4322" t="n">
        <x:v>1</x:v>
      </x:c>
      <x:c r="H4322" t="str">
        <x:v>independent physical acceptance</x:v>
      </x:c>
      <x:c r="I4322" t="str">
        <x:f>IF(F4322=1,"PASS","OPEN")</x:f>
        <x:v>OPEN</x:v>
      </x:c>
    </x:row>
    <x:row r="4323">
      <x:c r="B4323" t="str">
        <x:v>PH-MQ-005</x:v>
      </x:c>
      <x:c r="C4323" t="str">
        <x:v>PHYSICAL</x:v>
      </x:c>
      <x:c r="D4323" t="str">
        <x:v>method qualification</x:v>
      </x:c>
      <x:c r="E4323" t="str">
        <x:v>PH-MQ-005</x:v>
      </x:c>
      <x:c r="F4323" t="n">
        <x:f>'Method Qualification'!J11</x:f>
        <x:v>0</x:v>
      </x:c>
      <x:c r="G4323" t="n">
        <x:v>1</x:v>
      </x:c>
      <x:c r="H4323" t="str">
        <x:v>independent physical acceptance</x:v>
      </x:c>
      <x:c r="I4323" t="str">
        <x:f>IF(F4323=1,"PASS","OPEN")</x:f>
        <x:v>OPEN</x:v>
      </x:c>
    </x:row>
    <x:row r="4324">
      <x:c r="B4324" t="str">
        <x:v>PH-RP-001</x:v>
      </x:c>
      <x:c r="C4324" t="str">
        <x:v>PHYSICAL</x:v>
      </x:c>
      <x:c r="D4324" t="str">
        <x:v>replay acceptance</x:v>
      </x:c>
      <x:c r="E4324" t="str">
        <x:v>PH-RP-001</x:v>
      </x:c>
      <x:c r="F4324" t="str">
        <x:f>'Replay Ledger'!M7</x:f>
      </x:c>
      <x:c r="G4324" t="n">
        <x:v>1</x:v>
      </x:c>
      <x:c r="H4324" t="str">
        <x:v>independent physical acceptance</x:v>
      </x:c>
      <x:c r="I4324" t="str">
        <x:f>IF(F4324=1,"PASS","OPEN")</x:f>
        <x:v>OPEN</x:v>
      </x:c>
    </x:row>
    <x:row r="4325">
      <x:c r="B4325" t="str">
        <x:v>PH-RP-002</x:v>
      </x:c>
      <x:c r="C4325" t="str">
        <x:v>PHYSICAL</x:v>
      </x:c>
      <x:c r="D4325" t="str">
        <x:v>replay acceptance</x:v>
      </x:c>
      <x:c r="E4325" t="str">
        <x:v>PH-RP-002</x:v>
      </x:c>
      <x:c r="F4325" t="str">
        <x:f>'Replay Ledger'!M8</x:f>
      </x:c>
      <x:c r="G4325" t="n">
        <x:v>1</x:v>
      </x:c>
      <x:c r="H4325" t="str">
        <x:v>independent physical acceptance</x:v>
      </x:c>
      <x:c r="I4325" t="str">
        <x:f>IF(F4325=1,"PASS","OPEN")</x:f>
        <x:v>OPEN</x:v>
      </x:c>
    </x:row>
    <x:row r="4326">
      <x:c r="B4326" t="str">
        <x:v>PH-RP-003</x:v>
      </x:c>
      <x:c r="C4326" t="str">
        <x:v>PHYSICAL</x:v>
      </x:c>
      <x:c r="D4326" t="str">
        <x:v>replay acceptance</x:v>
      </x:c>
      <x:c r="E4326" t="str">
        <x:v>PH-RP-003</x:v>
      </x:c>
      <x:c r="F4326" t="str">
        <x:f>'Replay Ledger'!M9</x:f>
      </x:c>
      <x:c r="G4326" t="n">
        <x:v>1</x:v>
      </x:c>
      <x:c r="H4326" t="str">
        <x:v>independent physical acceptance</x:v>
      </x:c>
      <x:c r="I4326" t="str">
        <x:f>IF(F4326=1,"PASS","OPEN")</x:f>
        <x:v>OPEN</x:v>
      </x:c>
    </x:row>
    <x:row r="4327">
      <x:c r="B4327" t="str">
        <x:v>PH-RP-004</x:v>
      </x:c>
      <x:c r="C4327" t="str">
        <x:v>PHYSICAL</x:v>
      </x:c>
      <x:c r="D4327" t="str">
        <x:v>replay acceptance</x:v>
      </x:c>
      <x:c r="E4327" t="str">
        <x:v>PH-RP-004</x:v>
      </x:c>
      <x:c r="F4327" t="str">
        <x:f>'Replay Ledger'!M10</x:f>
      </x:c>
      <x:c r="G4327" t="n">
        <x:v>1</x:v>
      </x:c>
      <x:c r="H4327" t="str">
        <x:v>independent physical acceptance</x:v>
      </x:c>
      <x:c r="I4327" t="str">
        <x:f>IF(F4327=1,"PASS","OPEN")</x:f>
        <x:v>OPEN</x:v>
      </x:c>
    </x:row>
    <x:row r="4328">
      <x:c r="B4328" t="str">
        <x:v>PH-RP-005</x:v>
      </x:c>
      <x:c r="C4328" t="str">
        <x:v>PHYSICAL</x:v>
      </x:c>
      <x:c r="D4328" t="str">
        <x:v>replay acceptance</x:v>
      </x:c>
      <x:c r="E4328" t="str">
        <x:v>PH-RP-005</x:v>
      </x:c>
      <x:c r="F4328" t="str">
        <x:f>'Replay Ledger'!M11</x:f>
      </x:c>
      <x:c r="G4328" t="n">
        <x:v>1</x:v>
      </x:c>
      <x:c r="H4328" t="str">
        <x:v>independent physical acceptance</x:v>
      </x:c>
      <x:c r="I4328" t="str">
        <x:f>IF(F4328=1,"PASS","OPEN")</x:f>
        <x:v>OPEN</x:v>
      </x:c>
    </x:row>
    <x:row r="4329">
      <x:c r="B4329" t="str">
        <x:v>PH-RP-006</x:v>
      </x:c>
      <x:c r="C4329" t="str">
        <x:v>PHYSICAL</x:v>
      </x:c>
      <x:c r="D4329" t="str">
        <x:v>replay acceptance</x:v>
      </x:c>
      <x:c r="E4329" t="str">
        <x:v>PH-RP-006</x:v>
      </x:c>
      <x:c r="F4329" t="str">
        <x:f>'Replay Ledger'!M12</x:f>
      </x:c>
      <x:c r="G4329" t="n">
        <x:v>1</x:v>
      </x:c>
      <x:c r="H4329" t="str">
        <x:v>independent physical acceptance</x:v>
      </x:c>
      <x:c r="I4329" t="str">
        <x:f>IF(F4329=1,"PASS","OPEN")</x:f>
        <x:v>OPEN</x:v>
      </x:c>
    </x:row>
    <x:row r="4330">
      <x:c r="B4330" t="str">
        <x:v>PH-RP-007</x:v>
      </x:c>
      <x:c r="C4330" t="str">
        <x:v>PHYSICAL</x:v>
      </x:c>
      <x:c r="D4330" t="str">
        <x:v>replay acceptance</x:v>
      </x:c>
      <x:c r="E4330" t="str">
        <x:v>PH-RP-007</x:v>
      </x:c>
      <x:c r="F4330" t="str">
        <x:f>'Replay Ledger'!M13</x:f>
      </x:c>
      <x:c r="G4330" t="n">
        <x:v>1</x:v>
      </x:c>
      <x:c r="H4330" t="str">
        <x:v>independent physical acceptance</x:v>
      </x:c>
      <x:c r="I4330" t="str">
        <x:f>IF(F4330=1,"PASS","OPEN")</x:f>
        <x:v>OPEN</x:v>
      </x:c>
    </x:row>
    <x:row r="4331">
      <x:c r="B4331" t="str">
        <x:v>PH-RP-008</x:v>
      </x:c>
      <x:c r="C4331" t="str">
        <x:v>PHYSICAL</x:v>
      </x:c>
      <x:c r="D4331" t="str">
        <x:v>replay acceptance</x:v>
      </x:c>
      <x:c r="E4331" t="str">
        <x:v>PH-RP-008</x:v>
      </x:c>
      <x:c r="F4331" t="str">
        <x:f>'Replay Ledger'!M14</x:f>
      </x:c>
      <x:c r="G4331" t="n">
        <x:v>1</x:v>
      </x:c>
      <x:c r="H4331" t="str">
        <x:v>independent physical acceptance</x:v>
      </x:c>
      <x:c r="I4331" t="str">
        <x:f>IF(F4331=1,"PASS","OPEN")</x:f>
        <x:v>OPEN</x:v>
      </x:c>
    </x:row>
    <x:row r="4332">
      <x:c r="B4332" t="str">
        <x:v>PH-RP-009</x:v>
      </x:c>
      <x:c r="C4332" t="str">
        <x:v>PHYSICAL</x:v>
      </x:c>
      <x:c r="D4332" t="str">
        <x:v>replay acceptance</x:v>
      </x:c>
      <x:c r="E4332" t="str">
        <x:v>PH-RP-009</x:v>
      </x:c>
      <x:c r="F4332" t="str">
        <x:f>'Replay Ledger'!M15</x:f>
      </x:c>
      <x:c r="G4332" t="n">
        <x:v>1</x:v>
      </x:c>
      <x:c r="H4332" t="str">
        <x:v>independent physical acceptance</x:v>
      </x:c>
      <x:c r="I4332" t="str">
        <x:f>IF(F4332=1,"PASS","OPEN")</x:f>
        <x:v>OPEN</x:v>
      </x:c>
    </x:row>
    <x:row r="4333">
      <x:c r="B4333" t="str">
        <x:v>PH-RP-010</x:v>
      </x:c>
      <x:c r="C4333" t="str">
        <x:v>PHYSICAL</x:v>
      </x:c>
      <x:c r="D4333" t="str">
        <x:v>replay acceptance</x:v>
      </x:c>
      <x:c r="E4333" t="str">
        <x:v>PH-RP-010</x:v>
      </x:c>
      <x:c r="F4333" t="str">
        <x:f>'Replay Ledger'!M16</x:f>
      </x:c>
      <x:c r="G4333" t="n">
        <x:v>1</x:v>
      </x:c>
      <x:c r="H4333" t="str">
        <x:v>independent physical acceptance</x:v>
      </x:c>
      <x:c r="I4333" t="str">
        <x:f>IF(F4333=1,"PASS","OPEN")</x:f>
        <x:v>OPEN</x:v>
      </x:c>
    </x:row>
    <x:row r="4334">
      <x:c r="B4334" t="str">
        <x:v>PH-RP-011</x:v>
      </x:c>
      <x:c r="C4334" t="str">
        <x:v>PHYSICAL</x:v>
      </x:c>
      <x:c r="D4334" t="str">
        <x:v>replay acceptance</x:v>
      </x:c>
      <x:c r="E4334" t="str">
        <x:v>PH-RP-011</x:v>
      </x:c>
      <x:c r="F4334" t="str">
        <x:f>'Replay Ledger'!M17</x:f>
      </x:c>
      <x:c r="G4334" t="n">
        <x:v>1</x:v>
      </x:c>
      <x:c r="H4334" t="str">
        <x:v>independent physical acceptance</x:v>
      </x:c>
      <x:c r="I4334" t="str">
        <x:f>IF(F4334=1,"PASS","OPEN")</x:f>
        <x:v>OPEN</x:v>
      </x:c>
    </x:row>
    <x:row r="4335">
      <x:c r="B4335" t="str">
        <x:v>PH-RP-012</x:v>
      </x:c>
      <x:c r="C4335" t="str">
        <x:v>PHYSICAL</x:v>
      </x:c>
      <x:c r="D4335" t="str">
        <x:v>replay acceptance</x:v>
      </x:c>
      <x:c r="E4335" t="str">
        <x:v>PH-RP-012</x:v>
      </x:c>
      <x:c r="F4335" t="str">
        <x:f>'Replay Ledger'!M18</x:f>
      </x:c>
      <x:c r="G4335" t="n">
        <x:v>1</x:v>
      </x:c>
      <x:c r="H4335" t="str">
        <x:v>independent physical acceptance</x:v>
      </x:c>
      <x:c r="I4335" t="str">
        <x:f>IF(F4335=1,"PASS","OPEN")</x:f>
        <x:v>OPEN</x:v>
      </x:c>
    </x:row>
    <x:row r="4336">
      <x:c r="B4336" t="str">
        <x:v>PH-RP-013</x:v>
      </x:c>
      <x:c r="C4336" t="str">
        <x:v>PHYSICAL</x:v>
      </x:c>
      <x:c r="D4336" t="str">
        <x:v>replay acceptance</x:v>
      </x:c>
      <x:c r="E4336" t="str">
        <x:v>PH-RP-013</x:v>
      </x:c>
      <x:c r="F4336" t="str">
        <x:f>'Replay Ledger'!M19</x:f>
      </x:c>
      <x:c r="G4336" t="n">
        <x:v>1</x:v>
      </x:c>
      <x:c r="H4336" t="str">
        <x:v>independent physical acceptance</x:v>
      </x:c>
      <x:c r="I4336" t="str">
        <x:f>IF(F4336=1,"PASS","OPEN")</x:f>
        <x:v>OPEN</x:v>
      </x:c>
    </x:row>
    <x:row r="4337">
      <x:c r="B4337" t="str">
        <x:v>PH-RP-014</x:v>
      </x:c>
      <x:c r="C4337" t="str">
        <x:v>PHYSICAL</x:v>
      </x:c>
      <x:c r="D4337" t="str">
        <x:v>replay acceptance</x:v>
      </x:c>
      <x:c r="E4337" t="str">
        <x:v>PH-RP-014</x:v>
      </x:c>
      <x:c r="F4337" t="str">
        <x:f>'Replay Ledger'!M20</x:f>
      </x:c>
      <x:c r="G4337" t="n">
        <x:v>1</x:v>
      </x:c>
      <x:c r="H4337" t="str">
        <x:v>independent physical acceptance</x:v>
      </x:c>
      <x:c r="I4337" t="str">
        <x:f>IF(F4337=1,"PASS","OPEN")</x:f>
        <x:v>OPEN</x:v>
      </x:c>
    </x:row>
    <x:row r="4338">
      <x:c r="B4338" t="str">
        <x:v>PH-RP-015</x:v>
      </x:c>
      <x:c r="C4338" t="str">
        <x:v>PHYSICAL</x:v>
      </x:c>
      <x:c r="D4338" t="str">
        <x:v>replay acceptance</x:v>
      </x:c>
      <x:c r="E4338" t="str">
        <x:v>PH-RP-015</x:v>
      </x:c>
      <x:c r="F4338" t="str">
        <x:f>'Replay Ledger'!M21</x:f>
      </x:c>
      <x:c r="G4338" t="n">
        <x:v>1</x:v>
      </x:c>
      <x:c r="H4338" t="str">
        <x:v>independent physical acceptance</x:v>
      </x:c>
      <x:c r="I4338" t="str">
        <x:f>IF(F4338=1,"PASS","OPEN")</x:f>
        <x:v>OPEN</x:v>
      </x:c>
    </x:row>
    <x:row r="4339">
      <x:c r="B4339" t="str">
        <x:v>PH-RP-016</x:v>
      </x:c>
      <x:c r="C4339" t="str">
        <x:v>PHYSICAL</x:v>
      </x:c>
      <x:c r="D4339" t="str">
        <x:v>replay acceptance</x:v>
      </x:c>
      <x:c r="E4339" t="str">
        <x:v>PH-RP-016</x:v>
      </x:c>
      <x:c r="F4339" t="str">
        <x:f>'Replay Ledger'!M22</x:f>
      </x:c>
      <x:c r="G4339" t="n">
        <x:v>1</x:v>
      </x:c>
      <x:c r="H4339" t="str">
        <x:v>independent physical acceptance</x:v>
      </x:c>
      <x:c r="I4339" t="str">
        <x:f>IF(F4339=1,"PASS","OPEN")</x:f>
        <x:v>OPEN</x:v>
      </x:c>
    </x:row>
    <x:row r="4340">
      <x:c r="B4340" t="str">
        <x:v>PH-RP-017</x:v>
      </x:c>
      <x:c r="C4340" t="str">
        <x:v>PHYSICAL</x:v>
      </x:c>
      <x:c r="D4340" t="str">
        <x:v>replay acceptance</x:v>
      </x:c>
      <x:c r="E4340" t="str">
        <x:v>PH-RP-017</x:v>
      </x:c>
      <x:c r="F4340" t="str">
        <x:f>'Replay Ledger'!M23</x:f>
      </x:c>
      <x:c r="G4340" t="n">
        <x:v>1</x:v>
      </x:c>
      <x:c r="H4340" t="str">
        <x:v>independent physical acceptance</x:v>
      </x:c>
      <x:c r="I4340" t="str">
        <x:f>IF(F4340=1,"PASS","OPEN")</x:f>
        <x:v>OPEN</x:v>
      </x:c>
    </x:row>
    <x:row r="4341">
      <x:c r="B4341" t="str">
        <x:v>PH-RP-018</x:v>
      </x:c>
      <x:c r="C4341" t="str">
        <x:v>PHYSICAL</x:v>
      </x:c>
      <x:c r="D4341" t="str">
        <x:v>replay acceptance</x:v>
      </x:c>
      <x:c r="E4341" t="str">
        <x:v>PH-RP-018</x:v>
      </x:c>
      <x:c r="F4341" t="str">
        <x:f>'Replay Ledger'!M24</x:f>
      </x:c>
      <x:c r="G4341" t="n">
        <x:v>1</x:v>
      </x:c>
      <x:c r="H4341" t="str">
        <x:v>independent physical acceptance</x:v>
      </x:c>
      <x:c r="I4341" t="str">
        <x:f>IF(F4341=1,"PASS","OPEN")</x:f>
        <x:v>OPEN</x:v>
      </x:c>
    </x:row>
    <x:row r="4342">
      <x:c r="B4342" t="str">
        <x:v>PH-RP-019</x:v>
      </x:c>
      <x:c r="C4342" t="str">
        <x:v>PHYSICAL</x:v>
      </x:c>
      <x:c r="D4342" t="str">
        <x:v>replay acceptance</x:v>
      </x:c>
      <x:c r="E4342" t="str">
        <x:v>PH-RP-019</x:v>
      </x:c>
      <x:c r="F4342" t="str">
        <x:f>'Replay Ledger'!M25</x:f>
      </x:c>
      <x:c r="G4342" t="n">
        <x:v>1</x:v>
      </x:c>
      <x:c r="H4342" t="str">
        <x:v>independent physical acceptance</x:v>
      </x:c>
      <x:c r="I4342" t="str">
        <x:f>IF(F4342=1,"PASS","OPEN")</x:f>
        <x:v>OPEN</x:v>
      </x:c>
    </x:row>
    <x:row r="4343">
      <x:c r="B4343" t="str">
        <x:v>PH-RP-020</x:v>
      </x:c>
      <x:c r="C4343" t="str">
        <x:v>PHYSICAL</x:v>
      </x:c>
      <x:c r="D4343" t="str">
        <x:v>replay acceptance</x:v>
      </x:c>
      <x:c r="E4343" t="str">
        <x:v>PH-RP-020</x:v>
      </x:c>
      <x:c r="F4343" t="str">
        <x:f>'Replay Ledger'!M26</x:f>
      </x:c>
      <x:c r="G4343" t="n">
        <x:v>1</x:v>
      </x:c>
      <x:c r="H4343" t="str">
        <x:v>independent physical acceptance</x:v>
      </x:c>
      <x:c r="I4343" t="str">
        <x:f>IF(F4343=1,"PASS","OPEN")</x:f>
        <x:v>OPEN</x:v>
      </x:c>
    </x:row>
    <x:row r="4344">
      <x:c r="B4344" t="str">
        <x:v>PH-RP-021</x:v>
      </x:c>
      <x:c r="C4344" t="str">
        <x:v>PHYSICAL</x:v>
      </x:c>
      <x:c r="D4344" t="str">
        <x:v>replay acceptance</x:v>
      </x:c>
      <x:c r="E4344" t="str">
        <x:v>PH-RP-021</x:v>
      </x:c>
      <x:c r="F4344" t="str">
        <x:f>'Replay Ledger'!M27</x:f>
      </x:c>
      <x:c r="G4344" t="n">
        <x:v>1</x:v>
      </x:c>
      <x:c r="H4344" t="str">
        <x:v>independent physical acceptance</x:v>
      </x:c>
      <x:c r="I4344" t="str">
        <x:f>IF(F4344=1,"PASS","OPEN")</x:f>
        <x:v>OPEN</x:v>
      </x:c>
    </x:row>
    <x:row r="4345">
      <x:c r="B4345" t="str">
        <x:v>PH-RP-022</x:v>
      </x:c>
      <x:c r="C4345" t="str">
        <x:v>PHYSICAL</x:v>
      </x:c>
      <x:c r="D4345" t="str">
        <x:v>replay acceptance</x:v>
      </x:c>
      <x:c r="E4345" t="str">
        <x:v>PH-RP-022</x:v>
      </x:c>
      <x:c r="F4345" t="str">
        <x:f>'Replay Ledger'!M28</x:f>
      </x:c>
      <x:c r="G4345" t="n">
        <x:v>1</x:v>
      </x:c>
      <x:c r="H4345" t="str">
        <x:v>independent physical acceptance</x:v>
      </x:c>
      <x:c r="I4345" t="str">
        <x:f>IF(F4345=1,"PASS","OPEN")</x:f>
        <x:v>OPEN</x:v>
      </x:c>
    </x:row>
    <x:row r="4346">
      <x:c r="B4346" t="str">
        <x:v>PH-RP-023</x:v>
      </x:c>
      <x:c r="C4346" t="str">
        <x:v>PHYSICAL</x:v>
      </x:c>
      <x:c r="D4346" t="str">
        <x:v>replay acceptance</x:v>
      </x:c>
      <x:c r="E4346" t="str">
        <x:v>PH-RP-023</x:v>
      </x:c>
      <x:c r="F4346" t="str">
        <x:f>'Replay Ledger'!M29</x:f>
      </x:c>
      <x:c r="G4346" t="n">
        <x:v>1</x:v>
      </x:c>
      <x:c r="H4346" t="str">
        <x:v>independent physical acceptance</x:v>
      </x:c>
      <x:c r="I4346" t="str">
        <x:f>IF(F4346=1,"PASS","OPEN")</x:f>
        <x:v>OPEN</x:v>
      </x:c>
    </x:row>
    <x:row r="4347">
      <x:c r="B4347" t="str">
        <x:v>PH-RP-024</x:v>
      </x:c>
      <x:c r="C4347" t="str">
        <x:v>PHYSICAL</x:v>
      </x:c>
      <x:c r="D4347" t="str">
        <x:v>replay acceptance</x:v>
      </x:c>
      <x:c r="E4347" t="str">
        <x:v>PH-RP-024</x:v>
      </x:c>
      <x:c r="F4347" t="str">
        <x:f>'Replay Ledger'!M30</x:f>
      </x:c>
      <x:c r="G4347" t="n">
        <x:v>1</x:v>
      </x:c>
      <x:c r="H4347" t="str">
        <x:v>independent physical acceptance</x:v>
      </x:c>
      <x:c r="I4347" t="str">
        <x:f>IF(F4347=1,"PASS","OPEN")</x:f>
        <x:v>OPEN</x:v>
      </x:c>
    </x:row>
    <x:row r="4348">
      <x:c r="B4348" t="str">
        <x:v>PH-RP-025</x:v>
      </x:c>
      <x:c r="C4348" t="str">
        <x:v>PHYSICAL</x:v>
      </x:c>
      <x:c r="D4348" t="str">
        <x:v>replay acceptance</x:v>
      </x:c>
      <x:c r="E4348" t="str">
        <x:v>PH-RP-025</x:v>
      </x:c>
      <x:c r="F4348" t="str">
        <x:f>'Replay Ledger'!M31</x:f>
      </x:c>
      <x:c r="G4348" t="n">
        <x:v>1</x:v>
      </x:c>
      <x:c r="H4348" t="str">
        <x:v>independent physical acceptance</x:v>
      </x:c>
      <x:c r="I4348" t="str">
        <x:f>IF(F4348=1,"PASS","OPEN")</x:f>
        <x:v>OPEN</x:v>
      </x:c>
    </x:row>
    <x:row r="4349">
      <x:c r="B4349" t="str">
        <x:v>PH-RP-026</x:v>
      </x:c>
      <x:c r="C4349" t="str">
        <x:v>PHYSICAL</x:v>
      </x:c>
      <x:c r="D4349" t="str">
        <x:v>replay acceptance</x:v>
      </x:c>
      <x:c r="E4349" t="str">
        <x:v>PH-RP-026</x:v>
      </x:c>
      <x:c r="F4349" t="str">
        <x:f>'Replay Ledger'!M32</x:f>
      </x:c>
      <x:c r="G4349" t="n">
        <x:v>1</x:v>
      </x:c>
      <x:c r="H4349" t="str">
        <x:v>independent physical acceptance</x:v>
      </x:c>
      <x:c r="I4349" t="str">
        <x:f>IF(F4349=1,"PASS","OPEN")</x:f>
        <x:v>OPEN</x:v>
      </x:c>
    </x:row>
    <x:row r="4350">
      <x:c r="B4350" t="str">
        <x:v>PH-RP-027</x:v>
      </x:c>
      <x:c r="C4350" t="str">
        <x:v>PHYSICAL</x:v>
      </x:c>
      <x:c r="D4350" t="str">
        <x:v>replay acceptance</x:v>
      </x:c>
      <x:c r="E4350" t="str">
        <x:v>PH-RP-027</x:v>
      </x:c>
      <x:c r="F4350" t="str">
        <x:f>'Replay Ledger'!M33</x:f>
      </x:c>
      <x:c r="G4350" t="n">
        <x:v>1</x:v>
      </x:c>
      <x:c r="H4350" t="str">
        <x:v>independent physical acceptance</x:v>
      </x:c>
      <x:c r="I4350" t="str">
        <x:f>IF(F4350=1,"PASS","OPEN")</x:f>
        <x:v>OPEN</x:v>
      </x:c>
    </x:row>
    <x:row r="4351">
      <x:c r="B4351" t="str">
        <x:v>PH-RP-028</x:v>
      </x:c>
      <x:c r="C4351" t="str">
        <x:v>PHYSICAL</x:v>
      </x:c>
      <x:c r="D4351" t="str">
        <x:v>replay acceptance</x:v>
      </x:c>
      <x:c r="E4351" t="str">
        <x:v>PH-RP-028</x:v>
      </x:c>
      <x:c r="F4351" t="str">
        <x:f>'Replay Ledger'!M34</x:f>
      </x:c>
      <x:c r="G4351" t="n">
        <x:v>1</x:v>
      </x:c>
      <x:c r="H4351" t="str">
        <x:v>independent physical acceptance</x:v>
      </x:c>
      <x:c r="I4351" t="str">
        <x:f>IF(F4351=1,"PASS","OPEN")</x:f>
        <x:v>OPEN</x:v>
      </x:c>
    </x:row>
    <x:row r="4352">
      <x:c r="B4352" t="str">
        <x:v>PH-RP-029</x:v>
      </x:c>
      <x:c r="C4352" t="str">
        <x:v>PHYSICAL</x:v>
      </x:c>
      <x:c r="D4352" t="str">
        <x:v>replay acceptance</x:v>
      </x:c>
      <x:c r="E4352" t="str">
        <x:v>PH-RP-029</x:v>
      </x:c>
      <x:c r="F4352" t="str">
        <x:f>'Replay Ledger'!M35</x:f>
      </x:c>
      <x:c r="G4352" t="n">
        <x:v>1</x:v>
      </x:c>
      <x:c r="H4352" t="str">
        <x:v>independent physical acceptance</x:v>
      </x:c>
      <x:c r="I4352" t="str">
        <x:f>IF(F4352=1,"PASS","OPEN")</x:f>
        <x:v>OPEN</x:v>
      </x:c>
    </x:row>
    <x:row r="4353">
      <x:c r="B4353" t="str">
        <x:v>PH-RP-030</x:v>
      </x:c>
      <x:c r="C4353" t="str">
        <x:v>PHYSICAL</x:v>
      </x:c>
      <x:c r="D4353" t="str">
        <x:v>replay acceptance</x:v>
      </x:c>
      <x:c r="E4353" t="str">
        <x:v>PH-RP-030</x:v>
      </x:c>
      <x:c r="F4353" t="str">
        <x:f>'Replay Ledger'!M36</x:f>
      </x:c>
      <x:c r="G4353" t="n">
        <x:v>1</x:v>
      </x:c>
      <x:c r="H4353" t="str">
        <x:v>independent physical acceptance</x:v>
      </x:c>
      <x:c r="I4353" t="str">
        <x:f>IF(F4353=1,"PASS","OPEN")</x:f>
        <x:v>OPEN</x:v>
      </x:c>
    </x:row>
    <x:row r="4354">
      <x:c r="B4354" t="str">
        <x:v>PH-RP-031</x:v>
      </x:c>
      <x:c r="C4354" t="str">
        <x:v>PHYSICAL</x:v>
      </x:c>
      <x:c r="D4354" t="str">
        <x:v>replay acceptance</x:v>
      </x:c>
      <x:c r="E4354" t="str">
        <x:v>PH-RP-031</x:v>
      </x:c>
      <x:c r="F4354" t="str">
        <x:f>'Replay Ledger'!M37</x:f>
      </x:c>
      <x:c r="G4354" t="n">
        <x:v>1</x:v>
      </x:c>
      <x:c r="H4354" t="str">
        <x:v>independent physical acceptance</x:v>
      </x:c>
      <x:c r="I4354" t="str">
        <x:f>IF(F4354=1,"PASS","OPEN")</x:f>
        <x:v>OPEN</x:v>
      </x:c>
    </x:row>
    <x:row r="4355">
      <x:c r="B4355" t="str">
        <x:v>PH-RP-032</x:v>
      </x:c>
      <x:c r="C4355" t="str">
        <x:v>PHYSICAL</x:v>
      </x:c>
      <x:c r="D4355" t="str">
        <x:v>replay acceptance</x:v>
      </x:c>
      <x:c r="E4355" t="str">
        <x:v>PH-RP-032</x:v>
      </x:c>
      <x:c r="F4355" t="str">
        <x:f>'Replay Ledger'!M38</x:f>
      </x:c>
      <x:c r="G4355" t="n">
        <x:v>1</x:v>
      </x:c>
      <x:c r="H4355" t="str">
        <x:v>independent physical acceptance</x:v>
      </x:c>
      <x:c r="I4355" t="str">
        <x:f>IF(F4355=1,"PASS","OPEN")</x:f>
        <x:v>OPEN</x:v>
      </x:c>
    </x:row>
    <x:row r="4356">
      <x:c r="B4356" t="str">
        <x:v>PH-RP-033</x:v>
      </x:c>
      <x:c r="C4356" t="str">
        <x:v>PHYSICAL</x:v>
      </x:c>
      <x:c r="D4356" t="str">
        <x:v>replay acceptance</x:v>
      </x:c>
      <x:c r="E4356" t="str">
        <x:v>PH-RP-033</x:v>
      </x:c>
      <x:c r="F4356" t="str">
        <x:f>'Replay Ledger'!M39</x:f>
      </x:c>
      <x:c r="G4356" t="n">
        <x:v>1</x:v>
      </x:c>
      <x:c r="H4356" t="str">
        <x:v>independent physical acceptance</x:v>
      </x:c>
      <x:c r="I4356" t="str">
        <x:f>IF(F4356=1,"PASS","OPEN")</x:f>
        <x:v>OPEN</x:v>
      </x:c>
    </x:row>
    <x:row r="4357">
      <x:c r="B4357" t="str">
        <x:v>PH-RP-034</x:v>
      </x:c>
      <x:c r="C4357" t="str">
        <x:v>PHYSICAL</x:v>
      </x:c>
      <x:c r="D4357" t="str">
        <x:v>replay acceptance</x:v>
      </x:c>
      <x:c r="E4357" t="str">
        <x:v>PH-RP-034</x:v>
      </x:c>
      <x:c r="F4357" t="str">
        <x:f>'Replay Ledger'!M40</x:f>
      </x:c>
      <x:c r="G4357" t="n">
        <x:v>1</x:v>
      </x:c>
      <x:c r="H4357" t="str">
        <x:v>independent physical acceptance</x:v>
      </x:c>
      <x:c r="I4357" t="str">
        <x:f>IF(F4357=1,"PASS","OPEN")</x:f>
        <x:v>OPEN</x:v>
      </x:c>
    </x:row>
    <x:row r="4358">
      <x:c r="B4358" t="str">
        <x:v>PH-RP-035</x:v>
      </x:c>
      <x:c r="C4358" t="str">
        <x:v>PHYSICAL</x:v>
      </x:c>
      <x:c r="D4358" t="str">
        <x:v>replay acceptance</x:v>
      </x:c>
      <x:c r="E4358" t="str">
        <x:v>PH-RP-035</x:v>
      </x:c>
      <x:c r="F4358" t="str">
        <x:f>'Replay Ledger'!M41</x:f>
      </x:c>
      <x:c r="G4358" t="n">
        <x:v>1</x:v>
      </x:c>
      <x:c r="H4358" t="str">
        <x:v>independent physical acceptance</x:v>
      </x:c>
      <x:c r="I4358" t="str">
        <x:f>IF(F4358=1,"PASS","OPEN")</x:f>
        <x:v>OPEN</x:v>
      </x:c>
    </x:row>
    <x:row r="4359">
      <x:c r="B4359" t="str">
        <x:v>PH-RP-036</x:v>
      </x:c>
      <x:c r="C4359" t="str">
        <x:v>PHYSICAL</x:v>
      </x:c>
      <x:c r="D4359" t="str">
        <x:v>replay acceptance</x:v>
      </x:c>
      <x:c r="E4359" t="str">
        <x:v>PH-RP-036</x:v>
      </x:c>
      <x:c r="F4359" t="str">
        <x:f>'Replay Ledger'!M42</x:f>
      </x:c>
      <x:c r="G4359" t="n">
        <x:v>1</x:v>
      </x:c>
      <x:c r="H4359" t="str">
        <x:v>independent physical acceptance</x:v>
      </x:c>
      <x:c r="I4359" t="str">
        <x:f>IF(F4359=1,"PASS","OPEN")</x:f>
        <x:v>OPEN</x:v>
      </x:c>
    </x:row>
    <x:row r="4360">
      <x:c r="B4360" t="str">
        <x:v>PH-RP-037</x:v>
      </x:c>
      <x:c r="C4360" t="str">
        <x:v>PHYSICAL</x:v>
      </x:c>
      <x:c r="D4360" t="str">
        <x:v>replay acceptance</x:v>
      </x:c>
      <x:c r="E4360" t="str">
        <x:v>PH-RP-037</x:v>
      </x:c>
      <x:c r="F4360" t="str">
        <x:f>'Replay Ledger'!M43</x:f>
      </x:c>
      <x:c r="G4360" t="n">
        <x:v>1</x:v>
      </x:c>
      <x:c r="H4360" t="str">
        <x:v>independent physical acceptance</x:v>
      </x:c>
      <x:c r="I4360" t="str">
        <x:f>IF(F4360=1,"PASS","OPEN")</x:f>
        <x:v>OPEN</x:v>
      </x:c>
    </x:row>
    <x:row r="4361">
      <x:c r="B4361" t="str">
        <x:v>PH-RP-038</x:v>
      </x:c>
      <x:c r="C4361" t="str">
        <x:v>PHYSICAL</x:v>
      </x:c>
      <x:c r="D4361" t="str">
        <x:v>replay acceptance</x:v>
      </x:c>
      <x:c r="E4361" t="str">
        <x:v>PH-RP-038</x:v>
      </x:c>
      <x:c r="F4361" t="str">
        <x:f>'Replay Ledger'!M44</x:f>
      </x:c>
      <x:c r="G4361" t="n">
        <x:v>1</x:v>
      </x:c>
      <x:c r="H4361" t="str">
        <x:v>independent physical acceptance</x:v>
      </x:c>
      <x:c r="I4361" t="str">
        <x:f>IF(F4361=1,"PASS","OPEN")</x:f>
        <x:v>OPEN</x:v>
      </x:c>
    </x:row>
    <x:row r="4362">
      <x:c r="B4362" t="str">
        <x:v>PH-RP-039</x:v>
      </x:c>
      <x:c r="C4362" t="str">
        <x:v>PHYSICAL</x:v>
      </x:c>
      <x:c r="D4362" t="str">
        <x:v>replay acceptance</x:v>
      </x:c>
      <x:c r="E4362" t="str">
        <x:v>PH-RP-039</x:v>
      </x:c>
      <x:c r="F4362" t="str">
        <x:f>'Replay Ledger'!M45</x:f>
      </x:c>
      <x:c r="G4362" t="n">
        <x:v>1</x:v>
      </x:c>
      <x:c r="H4362" t="str">
        <x:v>independent physical acceptance</x:v>
      </x:c>
      <x:c r="I4362" t="str">
        <x:f>IF(F4362=1,"PASS","OPEN")</x:f>
        <x:v>OPEN</x:v>
      </x:c>
    </x:row>
    <x:row r="4363">
      <x:c r="B4363" t="str">
        <x:v>PH-RP-040</x:v>
      </x:c>
      <x:c r="C4363" t="str">
        <x:v>PHYSICAL</x:v>
      </x:c>
      <x:c r="D4363" t="str">
        <x:v>replay acceptance</x:v>
      </x:c>
      <x:c r="E4363" t="str">
        <x:v>PH-RP-040</x:v>
      </x:c>
      <x:c r="F4363" t="str">
        <x:f>'Replay Ledger'!M46</x:f>
      </x:c>
      <x:c r="G4363" t="n">
        <x:v>1</x:v>
      </x:c>
      <x:c r="H4363" t="str">
        <x:v>independent physical acceptance</x:v>
      </x:c>
      <x:c r="I4363" t="str">
        <x:f>IF(F4363=1,"PASS","OPEN")</x:f>
        <x:v>OPEN</x:v>
      </x:c>
    </x:row>
    <x:row r="4364">
      <x:c r="B4364" t="str">
        <x:v>PH-RP-041</x:v>
      </x:c>
      <x:c r="C4364" t="str">
        <x:v>PHYSICAL</x:v>
      </x:c>
      <x:c r="D4364" t="str">
        <x:v>replay acceptance</x:v>
      </x:c>
      <x:c r="E4364" t="str">
        <x:v>PH-RP-041</x:v>
      </x:c>
      <x:c r="F4364" t="str">
        <x:f>'Replay Ledger'!M47</x:f>
      </x:c>
      <x:c r="G4364" t="n">
        <x:v>1</x:v>
      </x:c>
      <x:c r="H4364" t="str">
        <x:v>independent physical acceptance</x:v>
      </x:c>
      <x:c r="I4364" t="str">
        <x:f>IF(F4364=1,"PASS","OPEN")</x:f>
        <x:v>OPEN</x:v>
      </x:c>
    </x:row>
    <x:row r="4365">
      <x:c r="B4365" t="str">
        <x:v>PH-RP-042</x:v>
      </x:c>
      <x:c r="C4365" t="str">
        <x:v>PHYSICAL</x:v>
      </x:c>
      <x:c r="D4365" t="str">
        <x:v>replay acceptance</x:v>
      </x:c>
      <x:c r="E4365" t="str">
        <x:v>PH-RP-042</x:v>
      </x:c>
      <x:c r="F4365" t="str">
        <x:f>'Replay Ledger'!M48</x:f>
      </x:c>
      <x:c r="G4365" t="n">
        <x:v>1</x:v>
      </x:c>
      <x:c r="H4365" t="str">
        <x:v>independent physical acceptance</x:v>
      </x:c>
      <x:c r="I4365" t="str">
        <x:f>IF(F4365=1,"PASS","OPEN")</x:f>
        <x:v>OPEN</x:v>
      </x:c>
    </x:row>
    <x:row r="4366">
      <x:c r="B4366" t="str">
        <x:v>PH-RP-043</x:v>
      </x:c>
      <x:c r="C4366" t="str">
        <x:v>PHYSICAL</x:v>
      </x:c>
      <x:c r="D4366" t="str">
        <x:v>replay acceptance</x:v>
      </x:c>
      <x:c r="E4366" t="str">
        <x:v>PH-RP-043</x:v>
      </x:c>
      <x:c r="F4366" t="str">
        <x:f>'Replay Ledger'!M49</x:f>
      </x:c>
      <x:c r="G4366" t="n">
        <x:v>1</x:v>
      </x:c>
      <x:c r="H4366" t="str">
        <x:v>independent physical acceptance</x:v>
      </x:c>
      <x:c r="I4366" t="str">
        <x:f>IF(F4366=1,"PASS","OPEN")</x:f>
        <x:v>OPEN</x:v>
      </x:c>
    </x:row>
    <x:row r="4367">
      <x:c r="B4367" t="str">
        <x:v>PH-RP-044</x:v>
      </x:c>
      <x:c r="C4367" t="str">
        <x:v>PHYSICAL</x:v>
      </x:c>
      <x:c r="D4367" t="str">
        <x:v>replay acceptance</x:v>
      </x:c>
      <x:c r="E4367" t="str">
        <x:v>PH-RP-044</x:v>
      </x:c>
      <x:c r="F4367" t="str">
        <x:f>'Replay Ledger'!M50</x:f>
      </x:c>
      <x:c r="G4367" t="n">
        <x:v>1</x:v>
      </x:c>
      <x:c r="H4367" t="str">
        <x:v>independent physical acceptance</x:v>
      </x:c>
      <x:c r="I4367" t="str">
        <x:f>IF(F4367=1,"PASS","OPEN")</x:f>
        <x:v>OPEN</x:v>
      </x:c>
    </x:row>
    <x:row r="4368">
      <x:c r="B4368" t="str">
        <x:v>PH-RP-045</x:v>
      </x:c>
      <x:c r="C4368" t="str">
        <x:v>PHYSICAL</x:v>
      </x:c>
      <x:c r="D4368" t="str">
        <x:v>replay acceptance</x:v>
      </x:c>
      <x:c r="E4368" t="str">
        <x:v>PH-RP-045</x:v>
      </x:c>
      <x:c r="F4368" t="str">
        <x:f>'Replay Ledger'!M51</x:f>
      </x:c>
      <x:c r="G4368" t="n">
        <x:v>1</x:v>
      </x:c>
      <x:c r="H4368" t="str">
        <x:v>independent physical acceptance</x:v>
      </x:c>
      <x:c r="I4368" t="str">
        <x:f>IF(F4368=1,"PASS","OPEN")</x:f>
        <x:v>OPEN</x:v>
      </x:c>
    </x:row>
    <x:row r="4369">
      <x:c r="B4369" t="str">
        <x:v>PH-RP-046</x:v>
      </x:c>
      <x:c r="C4369" t="str">
        <x:v>PHYSICAL</x:v>
      </x:c>
      <x:c r="D4369" t="str">
        <x:v>replay acceptance</x:v>
      </x:c>
      <x:c r="E4369" t="str">
        <x:v>PH-RP-046</x:v>
      </x:c>
      <x:c r="F4369" t="str">
        <x:f>'Replay Ledger'!M52</x:f>
      </x:c>
      <x:c r="G4369" t="n">
        <x:v>1</x:v>
      </x:c>
      <x:c r="H4369" t="str">
        <x:v>independent physical acceptance</x:v>
      </x:c>
      <x:c r="I4369" t="str">
        <x:f>IF(F4369=1,"PASS","OPEN")</x:f>
        <x:v>OPEN</x:v>
      </x:c>
    </x:row>
    <x:row r="4370">
      <x:c r="B4370" t="str">
        <x:v>PH-RP-047</x:v>
      </x:c>
      <x:c r="C4370" t="str">
        <x:v>PHYSICAL</x:v>
      </x:c>
      <x:c r="D4370" t="str">
        <x:v>replay acceptance</x:v>
      </x:c>
      <x:c r="E4370" t="str">
        <x:v>PH-RP-047</x:v>
      </x:c>
      <x:c r="F4370" t="str">
        <x:f>'Replay Ledger'!M53</x:f>
      </x:c>
      <x:c r="G4370" t="n">
        <x:v>1</x:v>
      </x:c>
      <x:c r="H4370" t="str">
        <x:v>independent physical acceptance</x:v>
      </x:c>
      <x:c r="I4370" t="str">
        <x:f>IF(F4370=1,"PASS","OPEN")</x:f>
        <x:v>OPEN</x:v>
      </x:c>
    </x:row>
    <x:row r="4371">
      <x:c r="B4371" t="str">
        <x:v>PH-RP-048</x:v>
      </x:c>
      <x:c r="C4371" t="str">
        <x:v>PHYSICAL</x:v>
      </x:c>
      <x:c r="D4371" t="str">
        <x:v>replay acceptance</x:v>
      </x:c>
      <x:c r="E4371" t="str">
        <x:v>PH-RP-048</x:v>
      </x:c>
      <x:c r="F4371" t="str">
        <x:f>'Replay Ledger'!M54</x:f>
      </x:c>
      <x:c r="G4371" t="n">
        <x:v>1</x:v>
      </x:c>
      <x:c r="H4371" t="str">
        <x:v>independent physical acceptance</x:v>
      </x:c>
      <x:c r="I4371" t="str">
        <x:f>IF(F4371=1,"PASS","OPEN")</x:f>
        <x:v>OPEN</x:v>
      </x:c>
    </x:row>
    <x:row r="4372">
      <x:c r="B4372" t="str">
        <x:v>PH-RP-049</x:v>
      </x:c>
      <x:c r="C4372" t="str">
        <x:v>PHYSICAL</x:v>
      </x:c>
      <x:c r="D4372" t="str">
        <x:v>replay acceptance</x:v>
      </x:c>
      <x:c r="E4372" t="str">
        <x:v>PH-RP-049</x:v>
      </x:c>
      <x:c r="F4372" t="str">
        <x:f>'Replay Ledger'!M55</x:f>
      </x:c>
      <x:c r="G4372" t="n">
        <x:v>1</x:v>
      </x:c>
      <x:c r="H4372" t="str">
        <x:v>independent physical acceptance</x:v>
      </x:c>
      <x:c r="I4372" t="str">
        <x:f>IF(F4372=1,"PASS","OPEN")</x:f>
        <x:v>OPEN</x:v>
      </x:c>
    </x:row>
    <x:row r="4373">
      <x:c r="B4373" t="str">
        <x:v>PH-RP-050</x:v>
      </x:c>
      <x:c r="C4373" t="str">
        <x:v>PHYSICAL</x:v>
      </x:c>
      <x:c r="D4373" t="str">
        <x:v>replay acceptance</x:v>
      </x:c>
      <x:c r="E4373" t="str">
        <x:v>PH-RP-050</x:v>
      </x:c>
      <x:c r="F4373" t="str">
        <x:f>'Replay Ledger'!M56</x:f>
      </x:c>
      <x:c r="G4373" t="n">
        <x:v>1</x:v>
      </x:c>
      <x:c r="H4373" t="str">
        <x:v>independent physical acceptance</x:v>
      </x:c>
      <x:c r="I4373" t="str">
        <x:f>IF(F4373=1,"PASS","OPEN")</x:f>
        <x:v>OPEN</x:v>
      </x:c>
    </x:row>
    <x:row r="4374">
      <x:c r="B4374" t="str">
        <x:v>PH-RP-051</x:v>
      </x:c>
      <x:c r="C4374" t="str">
        <x:v>PHYSICAL</x:v>
      </x:c>
      <x:c r="D4374" t="str">
        <x:v>replay acceptance</x:v>
      </x:c>
      <x:c r="E4374" t="str">
        <x:v>PH-RP-051</x:v>
      </x:c>
      <x:c r="F4374" t="str">
        <x:f>'Replay Ledger'!M57</x:f>
      </x:c>
      <x:c r="G4374" t="n">
        <x:v>1</x:v>
      </x:c>
      <x:c r="H4374" t="str">
        <x:v>independent physical acceptance</x:v>
      </x:c>
      <x:c r="I4374" t="str">
        <x:f>IF(F4374=1,"PASS","OPEN")</x:f>
        <x:v>OPEN</x:v>
      </x:c>
    </x:row>
    <x:row r="4375">
      <x:c r="B4375" t="str">
        <x:v>PH-RP-052</x:v>
      </x:c>
      <x:c r="C4375" t="str">
        <x:v>PHYSICAL</x:v>
      </x:c>
      <x:c r="D4375" t="str">
        <x:v>replay acceptance</x:v>
      </x:c>
      <x:c r="E4375" t="str">
        <x:v>PH-RP-052</x:v>
      </x:c>
      <x:c r="F4375" t="str">
        <x:f>'Replay Ledger'!M58</x:f>
      </x:c>
      <x:c r="G4375" t="n">
        <x:v>1</x:v>
      </x:c>
      <x:c r="H4375" t="str">
        <x:v>independent physical acceptance</x:v>
      </x:c>
      <x:c r="I4375" t="str">
        <x:f>IF(F4375=1,"PASS","OPEN")</x:f>
        <x:v>OPEN</x:v>
      </x:c>
    </x:row>
    <x:row r="4376">
      <x:c r="B4376" t="str">
        <x:v>PH-RP-053</x:v>
      </x:c>
      <x:c r="C4376" t="str">
        <x:v>PHYSICAL</x:v>
      </x:c>
      <x:c r="D4376" t="str">
        <x:v>replay acceptance</x:v>
      </x:c>
      <x:c r="E4376" t="str">
        <x:v>PH-RP-053</x:v>
      </x:c>
      <x:c r="F4376" t="str">
        <x:f>'Replay Ledger'!M59</x:f>
      </x:c>
      <x:c r="G4376" t="n">
        <x:v>1</x:v>
      </x:c>
      <x:c r="H4376" t="str">
        <x:v>independent physical acceptance</x:v>
      </x:c>
      <x:c r="I4376" t="str">
        <x:f>IF(F4376=1,"PASS","OPEN")</x:f>
        <x:v>OPEN</x:v>
      </x:c>
    </x:row>
    <x:row r="4377">
      <x:c r="B4377" t="str">
        <x:v>PH-RP-054</x:v>
      </x:c>
      <x:c r="C4377" t="str">
        <x:v>PHYSICAL</x:v>
      </x:c>
      <x:c r="D4377" t="str">
        <x:v>replay acceptance</x:v>
      </x:c>
      <x:c r="E4377" t="str">
        <x:v>PH-RP-054</x:v>
      </x:c>
      <x:c r="F4377" t="str">
        <x:f>'Replay Ledger'!M60</x:f>
      </x:c>
      <x:c r="G4377" t="n">
        <x:v>1</x:v>
      </x:c>
      <x:c r="H4377" t="str">
        <x:v>independent physical acceptance</x:v>
      </x:c>
      <x:c r="I4377" t="str">
        <x:f>IF(F4377=1,"PASS","OPEN")</x:f>
        <x:v>OPEN</x:v>
      </x:c>
    </x:row>
    <x:row r="4378">
      <x:c r="B4378" t="str">
        <x:v>PH-RP-055</x:v>
      </x:c>
      <x:c r="C4378" t="str">
        <x:v>PHYSICAL</x:v>
      </x:c>
      <x:c r="D4378" t="str">
        <x:v>replay acceptance</x:v>
      </x:c>
      <x:c r="E4378" t="str">
        <x:v>PH-RP-055</x:v>
      </x:c>
      <x:c r="F4378" t="str">
        <x:f>'Replay Ledger'!M61</x:f>
      </x:c>
      <x:c r="G4378" t="n">
        <x:v>1</x:v>
      </x:c>
      <x:c r="H4378" t="str">
        <x:v>independent physical acceptance</x:v>
      </x:c>
      <x:c r="I4378" t="str">
        <x:f>IF(F4378=1,"PASS","OPEN")</x:f>
        <x:v>OPEN</x:v>
      </x:c>
    </x:row>
    <x:row r="4379">
      <x:c r="B4379" t="str">
        <x:v>PH-RP-056</x:v>
      </x:c>
      <x:c r="C4379" t="str">
        <x:v>PHYSICAL</x:v>
      </x:c>
      <x:c r="D4379" t="str">
        <x:v>replay acceptance</x:v>
      </x:c>
      <x:c r="E4379" t="str">
        <x:v>PH-RP-056</x:v>
      </x:c>
      <x:c r="F4379" t="str">
        <x:f>'Replay Ledger'!M62</x:f>
      </x:c>
      <x:c r="G4379" t="n">
        <x:v>1</x:v>
      </x:c>
      <x:c r="H4379" t="str">
        <x:v>independent physical acceptance</x:v>
      </x:c>
      <x:c r="I4379" t="str">
        <x:f>IF(F4379=1,"PASS","OPEN")</x:f>
        <x:v>OPEN</x:v>
      </x:c>
    </x:row>
    <x:row r="4380">
      <x:c r="B4380" t="str">
        <x:v>PH-RP-057</x:v>
      </x:c>
      <x:c r="C4380" t="str">
        <x:v>PHYSICAL</x:v>
      </x:c>
      <x:c r="D4380" t="str">
        <x:v>replay acceptance</x:v>
      </x:c>
      <x:c r="E4380" t="str">
        <x:v>PH-RP-057</x:v>
      </x:c>
      <x:c r="F4380" t="str">
        <x:f>'Replay Ledger'!M63</x:f>
      </x:c>
      <x:c r="G4380" t="n">
        <x:v>1</x:v>
      </x:c>
      <x:c r="H4380" t="str">
        <x:v>independent physical acceptance</x:v>
      </x:c>
      <x:c r="I4380" t="str">
        <x:f>IF(F4380=1,"PASS","OPEN")</x:f>
        <x:v>OPEN</x:v>
      </x:c>
    </x:row>
    <x:row r="4381">
      <x:c r="B4381" t="str">
        <x:v>PH-RP-058</x:v>
      </x:c>
      <x:c r="C4381" t="str">
        <x:v>PHYSICAL</x:v>
      </x:c>
      <x:c r="D4381" t="str">
        <x:v>replay acceptance</x:v>
      </x:c>
      <x:c r="E4381" t="str">
        <x:v>PH-RP-058</x:v>
      </x:c>
      <x:c r="F4381" t="str">
        <x:f>'Replay Ledger'!M64</x:f>
      </x:c>
      <x:c r="G4381" t="n">
        <x:v>1</x:v>
      </x:c>
      <x:c r="H4381" t="str">
        <x:v>independent physical acceptance</x:v>
      </x:c>
      <x:c r="I4381" t="str">
        <x:f>IF(F4381=1,"PASS","OPEN")</x:f>
        <x:v>OPEN</x:v>
      </x:c>
    </x:row>
    <x:row r="4382">
      <x:c r="B4382" t="str">
        <x:v>PH-RP-059</x:v>
      </x:c>
      <x:c r="C4382" t="str">
        <x:v>PHYSICAL</x:v>
      </x:c>
      <x:c r="D4382" t="str">
        <x:v>replay acceptance</x:v>
      </x:c>
      <x:c r="E4382" t="str">
        <x:v>PH-RP-059</x:v>
      </x:c>
      <x:c r="F4382" t="str">
        <x:f>'Replay Ledger'!M65</x:f>
      </x:c>
      <x:c r="G4382" t="n">
        <x:v>1</x:v>
      </x:c>
      <x:c r="H4382" t="str">
        <x:v>independent physical acceptance</x:v>
      </x:c>
      <x:c r="I4382" t="str">
        <x:f>IF(F4382=1,"PASS","OPEN")</x:f>
        <x:v>OPEN</x:v>
      </x:c>
    </x:row>
    <x:row r="4383">
      <x:c r="B4383" t="str">
        <x:v>PH-RP-060</x:v>
      </x:c>
      <x:c r="C4383" t="str">
        <x:v>PHYSICAL</x:v>
      </x:c>
      <x:c r="D4383" t="str">
        <x:v>replay acceptance</x:v>
      </x:c>
      <x:c r="E4383" t="str">
        <x:v>PH-RP-060</x:v>
      </x:c>
      <x:c r="F4383" t="n">
        <x:f>'Replay Ledger'!M66</x:f>
        <x:v>0</x:v>
      </x:c>
      <x:c r="G4383" t="n">
        <x:v>1</x:v>
      </x:c>
      <x:c r="H4383" t="str">
        <x:v>independent physical acceptance</x:v>
      </x:c>
      <x:c r="I4383" t="str">
        <x:f>IF(F4383=1,"PASS","OPEN")</x:f>
        <x:v>OPEN</x:v>
      </x:c>
    </x:row>
    <x:row r="4384">
      <x:c r="B4384" t="str">
        <x:v>PH-EV-001</x:v>
      </x:c>
      <x:c r="C4384" t="str">
        <x:v>PHYSICAL</x:v>
      </x:c>
      <x:c r="D4384" t="str">
        <x:v>evidence-object acceptance</x:v>
      </x:c>
      <x:c r="E4384" t="str">
        <x:v>PH-EV-001</x:v>
      </x:c>
      <x:c r="F4384" t="n">
        <x:f>IF('Evidence Objects'!E7&lt;&gt;"",1,0)</x:f>
        <x:v>0</x:v>
      </x:c>
      <x:c r="G4384" t="n">
        <x:v>1</x:v>
      </x:c>
      <x:c r="H4384" t="str">
        <x:v>independent physical acceptance</x:v>
      </x:c>
      <x:c r="I4384" t="str">
        <x:f>IF(F4384=1,"PASS","OPEN")</x:f>
        <x:v>OPEN</x:v>
      </x:c>
    </x:row>
    <x:row r="4385">
      <x:c r="B4385" t="str">
        <x:v>PH-EV-002</x:v>
      </x:c>
      <x:c r="C4385" t="str">
        <x:v>PHYSICAL</x:v>
      </x:c>
      <x:c r="D4385" t="str">
        <x:v>evidence-object acceptance</x:v>
      </x:c>
      <x:c r="E4385" t="str">
        <x:v>PH-EV-002</x:v>
      </x:c>
      <x:c r="F4385" t="n">
        <x:f>IF('Evidence Objects'!E8&lt;&gt;"",1,0)</x:f>
        <x:v>0</x:v>
      </x:c>
      <x:c r="G4385" t="n">
        <x:v>1</x:v>
      </x:c>
      <x:c r="H4385" t="str">
        <x:v>independent physical acceptance</x:v>
      </x:c>
      <x:c r="I4385" t="str">
        <x:f>IF(F4385=1,"PASS","OPEN")</x:f>
        <x:v>OPEN</x:v>
      </x:c>
    </x:row>
    <x:row r="4386">
      <x:c r="B4386" t="str">
        <x:v>PH-EV-003</x:v>
      </x:c>
      <x:c r="C4386" t="str">
        <x:v>PHYSICAL</x:v>
      </x:c>
      <x:c r="D4386" t="str">
        <x:v>evidence-object acceptance</x:v>
      </x:c>
      <x:c r="E4386" t="str">
        <x:v>PH-EV-003</x:v>
      </x:c>
      <x:c r="F4386" t="n">
        <x:f>IF('Evidence Objects'!E9&lt;&gt;"",1,0)</x:f>
        <x:v>0</x:v>
      </x:c>
      <x:c r="G4386" t="n">
        <x:v>1</x:v>
      </x:c>
      <x:c r="H4386" t="str">
        <x:v>independent physical acceptance</x:v>
      </x:c>
      <x:c r="I4386" t="str">
        <x:f>IF(F4386=1,"PASS","OPEN")</x:f>
        <x:v>OPEN</x:v>
      </x:c>
    </x:row>
    <x:row r="4387">
      <x:c r="B4387" t="str">
        <x:v>PH-EV-004</x:v>
      </x:c>
      <x:c r="C4387" t="str">
        <x:v>PHYSICAL</x:v>
      </x:c>
      <x:c r="D4387" t="str">
        <x:v>evidence-object acceptance</x:v>
      </x:c>
      <x:c r="E4387" t="str">
        <x:v>PH-EV-004</x:v>
      </x:c>
      <x:c r="F4387" t="n">
        <x:f>IF('Evidence Objects'!E10&lt;&gt;"",1,0)</x:f>
        <x:v>0</x:v>
      </x:c>
      <x:c r="G4387" t="n">
        <x:v>1</x:v>
      </x:c>
      <x:c r="H4387" t="str">
        <x:v>independent physical acceptance</x:v>
      </x:c>
      <x:c r="I4387" t="str">
        <x:f>IF(F4387=1,"PASS","OPEN")</x:f>
        <x:v>OPEN</x:v>
      </x:c>
    </x:row>
    <x:row r="4388">
      <x:c r="B4388" t="str">
        <x:v>PH-EV-005</x:v>
      </x:c>
      <x:c r="C4388" t="str">
        <x:v>PHYSICAL</x:v>
      </x:c>
      <x:c r="D4388" t="str">
        <x:v>evidence-object acceptance</x:v>
      </x:c>
      <x:c r="E4388" t="str">
        <x:v>PH-EV-005</x:v>
      </x:c>
      <x:c r="F4388" t="n">
        <x:f>IF('Evidence Objects'!E11&lt;&gt;"",1,0)</x:f>
        <x:v>0</x:v>
      </x:c>
      <x:c r="G4388" t="n">
        <x:v>1</x:v>
      </x:c>
      <x:c r="H4388" t="str">
        <x:v>independent physical acceptance</x:v>
      </x:c>
      <x:c r="I4388" t="str">
        <x:f>IF(F4388=1,"PASS","OPEN")</x:f>
        <x:v>OPEN</x:v>
      </x:c>
    </x:row>
    <x:row r="4389">
      <x:c r="B4389" t="str">
        <x:v>PH-EV-006</x:v>
      </x:c>
      <x:c r="C4389" t="str">
        <x:v>PHYSICAL</x:v>
      </x:c>
      <x:c r="D4389" t="str">
        <x:v>evidence-object acceptance</x:v>
      </x:c>
      <x:c r="E4389" t="str">
        <x:v>PH-EV-006</x:v>
      </x:c>
      <x:c r="F4389" t="n">
        <x:f>IF('Evidence Objects'!E12&lt;&gt;"",1,0)</x:f>
        <x:v>0</x:v>
      </x:c>
      <x:c r="G4389" t="n">
        <x:v>1</x:v>
      </x:c>
      <x:c r="H4389" t="str">
        <x:v>independent physical acceptance</x:v>
      </x:c>
      <x:c r="I4389" t="str">
        <x:f>IF(F4389=1,"PASS","OPEN")</x:f>
        <x:v>OPEN</x:v>
      </x:c>
    </x:row>
    <x:row r="4390">
      <x:c r="B4390" t="str">
        <x:v>PH-EV-007</x:v>
      </x:c>
      <x:c r="C4390" t="str">
        <x:v>PHYSICAL</x:v>
      </x:c>
      <x:c r="D4390" t="str">
        <x:v>evidence-object acceptance</x:v>
      </x:c>
      <x:c r="E4390" t="str">
        <x:v>PH-EV-007</x:v>
      </x:c>
      <x:c r="F4390" t="n">
        <x:f>IF('Evidence Objects'!E13&lt;&gt;"",1,0)</x:f>
        <x:v>0</x:v>
      </x:c>
      <x:c r="G4390" t="n">
        <x:v>1</x:v>
      </x:c>
      <x:c r="H4390" t="str">
        <x:v>independent physical acceptance</x:v>
      </x:c>
      <x:c r="I4390" t="str">
        <x:f>IF(F4390=1,"PASS","OPEN")</x:f>
        <x:v>OPEN</x:v>
      </x:c>
    </x:row>
    <x:row r="4391">
      <x:c r="B4391" t="str">
        <x:v>PH-EV-008</x:v>
      </x:c>
      <x:c r="C4391" t="str">
        <x:v>PHYSICAL</x:v>
      </x:c>
      <x:c r="D4391" t="str">
        <x:v>evidence-object acceptance</x:v>
      </x:c>
      <x:c r="E4391" t="str">
        <x:v>PH-EV-008</x:v>
      </x:c>
      <x:c r="F4391" t="n">
        <x:f>IF('Evidence Objects'!E14&lt;&gt;"",1,0)</x:f>
        <x:v>0</x:v>
      </x:c>
      <x:c r="G4391" t="n">
        <x:v>1</x:v>
      </x:c>
      <x:c r="H4391" t="str">
        <x:v>independent physical acceptance</x:v>
      </x:c>
      <x:c r="I4391" t="str">
        <x:f>IF(F4391=1,"PASS","OPEN")</x:f>
        <x:v>OPEN</x:v>
      </x:c>
    </x:row>
    <x:row r="4392">
      <x:c r="B4392" t="str">
        <x:v>PH-EV-009</x:v>
      </x:c>
      <x:c r="C4392" t="str">
        <x:v>PHYSICAL</x:v>
      </x:c>
      <x:c r="D4392" t="str">
        <x:v>evidence-object acceptance</x:v>
      </x:c>
      <x:c r="E4392" t="str">
        <x:v>PH-EV-009</x:v>
      </x:c>
      <x:c r="F4392" t="n">
        <x:f>IF('Evidence Objects'!E15&lt;&gt;"",1,0)</x:f>
        <x:v>0</x:v>
      </x:c>
      <x:c r="G4392" t="n">
        <x:v>1</x:v>
      </x:c>
      <x:c r="H4392" t="str">
        <x:v>independent physical acceptance</x:v>
      </x:c>
      <x:c r="I4392" t="str">
        <x:f>IF(F4392=1,"PASS","OPEN")</x:f>
        <x:v>OPEN</x:v>
      </x:c>
    </x:row>
    <x:row r="4393">
      <x:c r="B4393" t="str">
        <x:v>PH-EV-010</x:v>
      </x:c>
      <x:c r="C4393" t="str">
        <x:v>PHYSICAL</x:v>
      </x:c>
      <x:c r="D4393" t="str">
        <x:v>evidence-object acceptance</x:v>
      </x:c>
      <x:c r="E4393" t="str">
        <x:v>PH-EV-010</x:v>
      </x:c>
      <x:c r="F4393" t="n">
        <x:f>IF('Evidence Objects'!E16&lt;&gt;"",1,0)</x:f>
        <x:v>0</x:v>
      </x:c>
      <x:c r="G4393" t="n">
        <x:v>1</x:v>
      </x:c>
      <x:c r="H4393" t="str">
        <x:v>independent physical acceptance</x:v>
      </x:c>
      <x:c r="I4393" t="str">
        <x:f>IF(F4393=1,"PASS","OPEN")</x:f>
        <x:v>OPEN</x:v>
      </x:c>
    </x:row>
    <x:row r="4394">
      <x:c r="B4394" t="str">
        <x:v>PH-EV-011</x:v>
      </x:c>
      <x:c r="C4394" t="str">
        <x:v>PHYSICAL</x:v>
      </x:c>
      <x:c r="D4394" t="str">
        <x:v>evidence-object acceptance</x:v>
      </x:c>
      <x:c r="E4394" t="str">
        <x:v>PH-EV-011</x:v>
      </x:c>
      <x:c r="F4394" t="n">
        <x:f>IF('Evidence Objects'!E17&lt;&gt;"",1,0)</x:f>
        <x:v>0</x:v>
      </x:c>
      <x:c r="G4394" t="n">
        <x:v>1</x:v>
      </x:c>
      <x:c r="H4394" t="str">
        <x:v>independent physical acceptance</x:v>
      </x:c>
      <x:c r="I4394" t="str">
        <x:f>IF(F4394=1,"PASS","OPEN")</x:f>
        <x:v>OPEN</x:v>
      </x:c>
    </x:row>
    <x:row r="4395">
      <x:c r="B4395" t="str">
        <x:v>PH-EV-012</x:v>
      </x:c>
      <x:c r="C4395" t="str">
        <x:v>PHYSICAL</x:v>
      </x:c>
      <x:c r="D4395" t="str">
        <x:v>evidence-object acceptance</x:v>
      </x:c>
      <x:c r="E4395" t="str">
        <x:v>PH-EV-012</x:v>
      </x:c>
      <x:c r="F4395" t="n">
        <x:f>IF('Evidence Objects'!E18&lt;&gt;"",1,0)</x:f>
        <x:v>0</x:v>
      </x:c>
      <x:c r="G4395" t="n">
        <x:v>1</x:v>
      </x:c>
      <x:c r="H4395" t="str">
        <x:v>independent physical acceptance</x:v>
      </x:c>
      <x:c r="I4395" t="str">
        <x:f>IF(F4395=1,"PASS","OPEN")</x:f>
        <x:v>OPEN</x:v>
      </x:c>
    </x:row>
    <x:row r="4396">
      <x:c r="B4396" t="str">
        <x:v>PH-RG-001</x:v>
      </x:c>
      <x:c r="C4396" t="str">
        <x:v>PHYSICAL</x:v>
      </x:c>
      <x:c r="D4396" t="str">
        <x:v>regression acceptance</x:v>
      </x:c>
      <x:c r="E4396" t="str">
        <x:v>PH-RG-001</x:v>
      </x:c>
      <x:c r="F4396" t="n">
        <x:f>IF('Regression'!E7&lt;&gt;"",1,0)</x:f>
        <x:v>0</x:v>
      </x:c>
      <x:c r="G4396" t="n">
        <x:v>1</x:v>
      </x:c>
      <x:c r="H4396" t="str">
        <x:v>independent physical acceptance</x:v>
      </x:c>
      <x:c r="I4396" t="str">
        <x:f>IF(F4396=1,"PASS","OPEN")</x:f>
        <x:v>OPEN</x:v>
      </x:c>
    </x:row>
    <x:row r="4397">
      <x:c r="B4397" t="str">
        <x:v>PH-RG-002</x:v>
      </x:c>
      <x:c r="C4397" t="str">
        <x:v>PHYSICAL</x:v>
      </x:c>
      <x:c r="D4397" t="str">
        <x:v>regression acceptance</x:v>
      </x:c>
      <x:c r="E4397" t="str">
        <x:v>PH-RG-002</x:v>
      </x:c>
      <x:c r="F4397" t="n">
        <x:f>IF('Regression'!E8&lt;&gt;"",1,0)</x:f>
        <x:v>0</x:v>
      </x:c>
      <x:c r="G4397" t="n">
        <x:v>1</x:v>
      </x:c>
      <x:c r="H4397" t="str">
        <x:v>independent physical acceptance</x:v>
      </x:c>
      <x:c r="I4397" t="str">
        <x:f>IF(F4397=1,"PASS","OPEN")</x:f>
        <x:v>OPEN</x:v>
      </x:c>
    </x:row>
    <x:row r="4398">
      <x:c r="B4398" t="str">
        <x:v>PH-RG-003</x:v>
      </x:c>
      <x:c r="C4398" t="str">
        <x:v>PHYSICAL</x:v>
      </x:c>
      <x:c r="D4398" t="str">
        <x:v>regression acceptance</x:v>
      </x:c>
      <x:c r="E4398" t="str">
        <x:v>PH-RG-003</x:v>
      </x:c>
      <x:c r="F4398" t="n">
        <x:f>IF('Regression'!E9&lt;&gt;"",1,0)</x:f>
        <x:v>0</x:v>
      </x:c>
      <x:c r="G4398" t="n">
        <x:v>1</x:v>
      </x:c>
      <x:c r="H4398" t="str">
        <x:v>independent physical acceptance</x:v>
      </x:c>
      <x:c r="I4398" t="str">
        <x:f>IF(F4398=1,"PASS","OPEN")</x:f>
        <x:v>OPEN</x:v>
      </x:c>
    </x:row>
    <x:row r="4399">
      <x:c r="B4399" t="str">
        <x:v>PH-RG-004</x:v>
      </x:c>
      <x:c r="C4399" t="str">
        <x:v>PHYSICAL</x:v>
      </x:c>
      <x:c r="D4399" t="str">
        <x:v>regression acceptance</x:v>
      </x:c>
      <x:c r="E4399" t="str">
        <x:v>PH-RG-004</x:v>
      </x:c>
      <x:c r="F4399" t="n">
        <x:f>IF('Regression'!E10&lt;&gt;"",1,0)</x:f>
        <x:v>0</x:v>
      </x:c>
      <x:c r="G4399" t="n">
        <x:v>1</x:v>
      </x:c>
      <x:c r="H4399" t="str">
        <x:v>independent physical acceptance</x:v>
      </x:c>
      <x:c r="I4399" t="str">
        <x:f>IF(F4399=1,"PASS","OPEN")</x:f>
        <x:v>OPEN</x:v>
      </x:c>
    </x:row>
    <x:row r="4400">
      <x:c r="B4400" t="str">
        <x:v>PH-RG-005</x:v>
      </x:c>
      <x:c r="C4400" t="str">
        <x:v>PHYSICAL</x:v>
      </x:c>
      <x:c r="D4400" t="str">
        <x:v>regression acceptance</x:v>
      </x:c>
      <x:c r="E4400" t="str">
        <x:v>PH-RG-005</x:v>
      </x:c>
      <x:c r="F4400" t="n">
        <x:f>IF('Regression'!E11&lt;&gt;"",1,0)</x:f>
        <x:v>0</x:v>
      </x:c>
      <x:c r="G4400" t="n">
        <x:v>1</x:v>
      </x:c>
      <x:c r="H4400" t="str">
        <x:v>independent physical acceptance</x:v>
      </x:c>
      <x:c r="I4400" t="str">
        <x:f>IF(F4400=1,"PASS","OPEN")</x:f>
        <x:v>OPEN</x:v>
      </x:c>
    </x:row>
    <x:row r="4401">
      <x:c r="B4401" t="str">
        <x:v>PH-RG-006</x:v>
      </x:c>
      <x:c r="C4401" t="str">
        <x:v>PHYSICAL</x:v>
      </x:c>
      <x:c r="D4401" t="str">
        <x:v>regression acceptance</x:v>
      </x:c>
      <x:c r="E4401" t="str">
        <x:v>PH-RG-006</x:v>
      </x:c>
      <x:c r="F4401" t="n">
        <x:f>IF('Regression'!E12&lt;&gt;"",1,0)</x:f>
        <x:v>0</x:v>
      </x:c>
      <x:c r="G4401" t="n">
        <x:v>1</x:v>
      </x:c>
      <x:c r="H4401" t="str">
        <x:v>independent physical acceptance</x:v>
      </x:c>
      <x:c r="I4401" t="str">
        <x:f>IF(F4401=1,"PASS","OPEN")</x:f>
        <x:v>OPEN</x:v>
      </x:c>
    </x:row>
    <x:row r="4402">
      <x:c r="B4402" t="str">
        <x:v>PH-RG-007</x:v>
      </x:c>
      <x:c r="C4402" t="str">
        <x:v>PHYSICAL</x:v>
      </x:c>
      <x:c r="D4402" t="str">
        <x:v>regression acceptance</x:v>
      </x:c>
      <x:c r="E4402" t="str">
        <x:v>PH-RG-007</x:v>
      </x:c>
      <x:c r="F4402" t="n">
        <x:f>IF('Regression'!E13&lt;&gt;"",1,0)</x:f>
        <x:v>0</x:v>
      </x:c>
      <x:c r="G4402" t="n">
        <x:v>1</x:v>
      </x:c>
      <x:c r="H4402" t="str">
        <x:v>independent physical acceptance</x:v>
      </x:c>
      <x:c r="I4402" t="str">
        <x:f>IF(F4402=1,"PASS","OPEN")</x:f>
        <x:v>OPEN</x:v>
      </x:c>
    </x:row>
    <x:row r="4403">
      <x:c r="B4403" t="str">
        <x:v>PH-RG-008</x:v>
      </x:c>
      <x:c r="C4403" t="str">
        <x:v>PHYSICAL</x:v>
      </x:c>
      <x:c r="D4403" t="str">
        <x:v>regression acceptance</x:v>
      </x:c>
      <x:c r="E4403" t="str">
        <x:v>PH-RG-008</x:v>
      </x:c>
      <x:c r="F4403" t="n">
        <x:f>IF('Regression'!E14&lt;&gt;"",1,0)</x:f>
        <x:v>0</x:v>
      </x:c>
      <x:c r="G4403" t="n">
        <x:v>1</x:v>
      </x:c>
      <x:c r="H4403" t="str">
        <x:v>independent physical acceptance</x:v>
      </x:c>
      <x:c r="I4403" t="str">
        <x:f>IF(F4403=1,"PASS","OPEN")</x:f>
        <x:v>OPEN</x:v>
      </x:c>
    </x:row>
    <x:row r="4404">
      <x:c r="B4404" t="str">
        <x:v>PH-RG-009</x:v>
      </x:c>
      <x:c r="C4404" t="str">
        <x:v>PHYSICAL</x:v>
      </x:c>
      <x:c r="D4404" t="str">
        <x:v>regression acceptance</x:v>
      </x:c>
      <x:c r="E4404" t="str">
        <x:v>PH-RG-009</x:v>
      </x:c>
      <x:c r="F4404" t="n">
        <x:f>IF('Regression'!E15&lt;&gt;"",1,0)</x:f>
        <x:v>0</x:v>
      </x:c>
      <x:c r="G4404" t="n">
        <x:v>1</x:v>
      </x:c>
      <x:c r="H4404" t="str">
        <x:v>independent physical acceptance</x:v>
      </x:c>
      <x:c r="I4404" t="str">
        <x:f>IF(F4404=1,"PASS","OPEN")</x:f>
        <x:v>OPEN</x:v>
      </x:c>
    </x:row>
    <x:row r="4405">
      <x:c r="B4405" t="str">
        <x:v>PH-RG-010</x:v>
      </x:c>
      <x:c r="C4405" t="str">
        <x:v>PHYSICAL</x:v>
      </x:c>
      <x:c r="D4405" t="str">
        <x:v>regression acceptance</x:v>
      </x:c>
      <x:c r="E4405" t="str">
        <x:v>PH-RG-010</x:v>
      </x:c>
      <x:c r="F4405" t="n">
        <x:f>IF('Regression'!E16&lt;&gt;"",1,0)</x:f>
        <x:v>0</x:v>
      </x:c>
      <x:c r="G4405" t="n">
        <x:v>1</x:v>
      </x:c>
      <x:c r="H4405" t="str">
        <x:v>independent physical acceptance</x:v>
      </x:c>
      <x:c r="I4405" t="str">
        <x:f>IF(F4405=1,"PASS","OPEN")</x:f>
        <x:v>OPEN</x:v>
      </x:c>
    </x:row>
    <x:row r="4406">
      <x:c r="B4406" t="str">
        <x:v>PH-RG-011</x:v>
      </x:c>
      <x:c r="C4406" t="str">
        <x:v>PHYSICAL</x:v>
      </x:c>
      <x:c r="D4406" t="str">
        <x:v>regression acceptance</x:v>
      </x:c>
      <x:c r="E4406" t="str">
        <x:v>PH-RG-011</x:v>
      </x:c>
      <x:c r="F4406" t="n">
        <x:f>IF('Regression'!E17&lt;&gt;"",1,0)</x:f>
        <x:v>0</x:v>
      </x:c>
      <x:c r="G4406" t="n">
        <x:v>1</x:v>
      </x:c>
      <x:c r="H4406" t="str">
        <x:v>independent physical acceptance</x:v>
      </x:c>
      <x:c r="I4406" t="str">
        <x:f>IF(F4406=1,"PASS","OPEN")</x:f>
        <x:v>OPEN</x:v>
      </x:c>
    </x:row>
    <x:row r="4407">
      <x:c r="B4407" t="str">
        <x:v>PH-RG-012</x:v>
      </x:c>
      <x:c r="C4407" t="str">
        <x:v>PHYSICAL</x:v>
      </x:c>
      <x:c r="D4407" t="str">
        <x:v>regression acceptance</x:v>
      </x:c>
      <x:c r="E4407" t="str">
        <x:v>PH-RG-012</x:v>
      </x:c>
      <x:c r="F4407" t="n">
        <x:f>IF('Regression'!E18&lt;&gt;"",1,0)</x:f>
        <x:v>0</x:v>
      </x:c>
      <x:c r="G4407" t="n">
        <x:v>1</x:v>
      </x:c>
      <x:c r="H4407" t="str">
        <x:v>independent physical acceptance</x:v>
      </x:c>
      <x:c r="I4407" t="str">
        <x:f>IF(F4407=1,"PASS","OPEN")</x:f>
        <x:v>OPEN</x:v>
      </x:c>
    </x:row>
    <x:row r="4408">
      <x:c r="B4408" t="str">
        <x:v>PH-RG-013</x:v>
      </x:c>
      <x:c r="C4408" t="str">
        <x:v>PHYSICAL</x:v>
      </x:c>
      <x:c r="D4408" t="str">
        <x:v>regression acceptance</x:v>
      </x:c>
      <x:c r="E4408" t="str">
        <x:v>PH-RG-013</x:v>
      </x:c>
      <x:c r="F4408" t="n">
        <x:f>IF('Regression'!E19&lt;&gt;"",1,0)</x:f>
        <x:v>0</x:v>
      </x:c>
      <x:c r="G4408" t="n">
        <x:v>1</x:v>
      </x:c>
      <x:c r="H4408" t="str">
        <x:v>independent physical acceptance</x:v>
      </x:c>
      <x:c r="I4408" t="str">
        <x:f>IF(F4408=1,"PASS","OPEN")</x:f>
        <x:v>OPEN</x:v>
      </x:c>
    </x:row>
    <x:row r="4409">
      <x:c r="B4409" t="str">
        <x:v>PH-RG-014</x:v>
      </x:c>
      <x:c r="C4409" t="str">
        <x:v>PHYSICAL</x:v>
      </x:c>
      <x:c r="D4409" t="str">
        <x:v>regression acceptance</x:v>
      </x:c>
      <x:c r="E4409" t="str">
        <x:v>PH-RG-014</x:v>
      </x:c>
      <x:c r="F4409" t="n">
        <x:f>IF('Regression'!E20&lt;&gt;"",1,0)</x:f>
        <x:v>0</x:v>
      </x:c>
      <x:c r="G4409" t="n">
        <x:v>1</x:v>
      </x:c>
      <x:c r="H4409" t="str">
        <x:v>independent physical acceptance</x:v>
      </x:c>
      <x:c r="I4409" t="str">
        <x:f>IF(F4409=1,"PASS","OPEN")</x:f>
        <x:v>OPEN</x:v>
      </x:c>
    </x:row>
    <x:row r="4410">
      <x:c r="B4410" t="str">
        <x:v>PH-RG-015</x:v>
      </x:c>
      <x:c r="C4410" t="str">
        <x:v>PHYSICAL</x:v>
      </x:c>
      <x:c r="D4410" t="str">
        <x:v>regression acceptance</x:v>
      </x:c>
      <x:c r="E4410" t="str">
        <x:v>PH-RG-015</x:v>
      </x:c>
      <x:c r="F4410" t="n">
        <x:f>IF('Regression'!E21&lt;&gt;"",1,0)</x:f>
        <x:v>0</x:v>
      </x:c>
      <x:c r="G4410" t="n">
        <x:v>1</x:v>
      </x:c>
      <x:c r="H4410" t="str">
        <x:v>independent physical acceptance</x:v>
      </x:c>
      <x:c r="I4410" t="str">
        <x:f>IF(F4410=1,"PASS","OPEN")</x:f>
        <x:v>OPEN</x:v>
      </x:c>
    </x:row>
    <x:row r="4411">
      <x:c r="B4411" t="str">
        <x:v>PH-RG-016</x:v>
      </x:c>
      <x:c r="C4411" t="str">
        <x:v>PHYSICAL</x:v>
      </x:c>
      <x:c r="D4411" t="str">
        <x:v>regression acceptance</x:v>
      </x:c>
      <x:c r="E4411" t="str">
        <x:v>PH-RG-016</x:v>
      </x:c>
      <x:c r="F4411" t="n">
        <x:f>IF('Regression'!E22&lt;&gt;"",1,0)</x:f>
        <x:v>0</x:v>
      </x:c>
      <x:c r="G4411" t="n">
        <x:v>1</x:v>
      </x:c>
      <x:c r="H4411" t="str">
        <x:v>independent physical acceptance</x:v>
      </x:c>
      <x:c r="I4411" t="str">
        <x:f>IF(F4411=1,"PASS","OPEN")</x:f>
        <x:v>OPEN</x:v>
      </x:c>
    </x:row>
    <x:row r="4412">
      <x:c r="B4412" t="str">
        <x:v>PH-TC-001</x:v>
      </x:c>
      <x:c r="C4412" t="str">
        <x:v>PHYSICAL</x:v>
      </x:c>
      <x:c r="D4412" t="str">
        <x:v>technology demonstration</x:v>
      </x:c>
      <x:c r="E4412" t="str">
        <x:v>PH-TC-001</x:v>
      </x:c>
      <x:c r="F4412" t="n">
        <x:f>IF('Technology Campaigns'!F7&lt;&gt;"",1,0)</x:f>
        <x:v>0</x:v>
      </x:c>
      <x:c r="G4412" t="n">
        <x:v>1</x:v>
      </x:c>
      <x:c r="H4412" t="str">
        <x:v>independent physical acceptance</x:v>
      </x:c>
      <x:c r="I4412" t="str">
        <x:f>IF(F4412=1,"PASS","OPEN")</x:f>
        <x:v>OPEN</x:v>
      </x:c>
    </x:row>
    <x:row r="4413">
      <x:c r="B4413" t="str">
        <x:v>PH-TC-002</x:v>
      </x:c>
      <x:c r="C4413" t="str">
        <x:v>PHYSICAL</x:v>
      </x:c>
      <x:c r="D4413" t="str">
        <x:v>technology demonstration</x:v>
      </x:c>
      <x:c r="E4413" t="str">
        <x:v>PH-TC-002</x:v>
      </x:c>
      <x:c r="F4413" t="n">
        <x:f>IF('Technology Campaigns'!F8&lt;&gt;"",1,0)</x:f>
        <x:v>0</x:v>
      </x:c>
      <x:c r="G4413" t="n">
        <x:v>1</x:v>
      </x:c>
      <x:c r="H4413" t="str">
        <x:v>independent physical acceptance</x:v>
      </x:c>
      <x:c r="I4413" t="str">
        <x:f>IF(F4413=1,"PASS","OPEN")</x:f>
        <x:v>OPEN</x:v>
      </x:c>
    </x:row>
    <x:row r="4414">
      <x:c r="B4414" t="str">
        <x:v>PH-TC-003</x:v>
      </x:c>
      <x:c r="C4414" t="str">
        <x:v>PHYSICAL</x:v>
      </x:c>
      <x:c r="D4414" t="str">
        <x:v>technology demonstration</x:v>
      </x:c>
      <x:c r="E4414" t="str">
        <x:v>PH-TC-003</x:v>
      </x:c>
      <x:c r="F4414" t="n">
        <x:f>IF('Technology Campaigns'!F9&lt;&gt;"",1,0)</x:f>
        <x:v>0</x:v>
      </x:c>
      <x:c r="G4414" t="n">
        <x:v>1</x:v>
      </x:c>
      <x:c r="H4414" t="str">
        <x:v>independent physical acceptance</x:v>
      </x:c>
      <x:c r="I4414" t="str">
        <x:f>IF(F4414=1,"PASS","OPEN")</x:f>
        <x:v>OPEN</x:v>
      </x:c>
    </x:row>
    <x:row r="4415">
      <x:c r="B4415" t="str">
        <x:v>PH-TC-004</x:v>
      </x:c>
      <x:c r="C4415" t="str">
        <x:v>PHYSICAL</x:v>
      </x:c>
      <x:c r="D4415" t="str">
        <x:v>technology demonstration</x:v>
      </x:c>
      <x:c r="E4415" t="str">
        <x:v>PH-TC-004</x:v>
      </x:c>
      <x:c r="F4415" t="n">
        <x:f>IF('Technology Campaigns'!F10&lt;&gt;"",1,0)</x:f>
        <x:v>0</x:v>
      </x:c>
      <x:c r="G4415" t="n">
        <x:v>1</x:v>
      </x:c>
      <x:c r="H4415" t="str">
        <x:v>independent physical acceptance</x:v>
      </x:c>
      <x:c r="I4415" t="str">
        <x:f>IF(F4415=1,"PASS","OPEN")</x:f>
        <x:v>OPEN</x:v>
      </x:c>
    </x:row>
    <x:row r="4416">
      <x:c r="B4416" t="str">
        <x:v>PH-TC-005</x:v>
      </x:c>
      <x:c r="C4416" t="str">
        <x:v>PHYSICAL</x:v>
      </x:c>
      <x:c r="D4416" t="str">
        <x:v>technology demonstration</x:v>
      </x:c>
      <x:c r="E4416" t="str">
        <x:v>PH-TC-005</x:v>
      </x:c>
      <x:c r="F4416" t="n">
        <x:f>IF('Technology Campaigns'!F11&lt;&gt;"",1,0)</x:f>
        <x:v>0</x:v>
      </x:c>
      <x:c r="G4416" t="n">
        <x:v>1</x:v>
      </x:c>
      <x:c r="H4416" t="str">
        <x:v>independent physical acceptance</x:v>
      </x:c>
      <x:c r="I4416" t="str">
        <x:f>IF(F4416=1,"PASS","OPEN")</x:f>
        <x:v>OPEN</x:v>
      </x:c>
    </x:row>
    <x:row r="4417">
      <x:c r="B4417" t="str">
        <x:v>PH-TC-006</x:v>
      </x:c>
      <x:c r="C4417" t="str">
        <x:v>PHYSICAL</x:v>
      </x:c>
      <x:c r="D4417" t="str">
        <x:v>technology demonstration</x:v>
      </x:c>
      <x:c r="E4417" t="str">
        <x:v>PH-TC-006</x:v>
      </x:c>
      <x:c r="F4417" t="n">
        <x:f>IF('Technology Campaigns'!F12&lt;&gt;"",1,0)</x:f>
        <x:v>0</x:v>
      </x:c>
      <x:c r="G4417" t="n">
        <x:v>1</x:v>
      </x:c>
      <x:c r="H4417" t="str">
        <x:v>independent physical acceptance</x:v>
      </x:c>
      <x:c r="I4417" t="str">
        <x:f>IF(F4417=1,"PASS","OPEN")</x:f>
        <x:v>OPEN</x:v>
      </x:c>
    </x:row>
    <x:row r="4418">
      <x:c r="B4418" t="str">
        <x:v>PH-TC-007</x:v>
      </x:c>
      <x:c r="C4418" t="str">
        <x:v>PHYSICAL</x:v>
      </x:c>
      <x:c r="D4418" t="str">
        <x:v>technology demonstration</x:v>
      </x:c>
      <x:c r="E4418" t="str">
        <x:v>PH-TC-007</x:v>
      </x:c>
      <x:c r="F4418" t="n">
        <x:f>IF('Technology Campaigns'!F13&lt;&gt;"",1,0)</x:f>
        <x:v>0</x:v>
      </x:c>
      <x:c r="G4418" t="n">
        <x:v>1</x:v>
      </x:c>
      <x:c r="H4418" t="str">
        <x:v>independent physical acceptance</x:v>
      </x:c>
      <x:c r="I4418" t="str">
        <x:f>IF(F4418=1,"PASS","OPEN")</x:f>
        <x:v>OPEN</x:v>
      </x:c>
    </x:row>
    <x:row r="4419">
      <x:c r="B4419" t="str">
        <x:v>PH-TC-008</x:v>
      </x:c>
      <x:c r="C4419" t="str">
        <x:v>PHYSICAL</x:v>
      </x:c>
      <x:c r="D4419" t="str">
        <x:v>technology demonstration</x:v>
      </x:c>
      <x:c r="E4419" t="str">
        <x:v>PH-TC-008</x:v>
      </x:c>
      <x:c r="F4419" t="n">
        <x:f>IF('Technology Campaigns'!F14&lt;&gt;"",1,0)</x:f>
        <x:v>0</x:v>
      </x:c>
      <x:c r="G4419" t="n">
        <x:v>1</x:v>
      </x:c>
      <x:c r="H4419" t="str">
        <x:v>independent physical acceptance</x:v>
      </x:c>
      <x:c r="I4419" t="str">
        <x:f>IF(F4419=1,"PASS","OPEN")</x:f>
        <x:v>OPEN</x:v>
      </x:c>
    </x:row>
    <x:row r="4420">
      <x:c r="B4420" t="str">
        <x:v>PH-TC-009</x:v>
      </x:c>
      <x:c r="C4420" t="str">
        <x:v>PHYSICAL</x:v>
      </x:c>
      <x:c r="D4420" t="str">
        <x:v>technology demonstration</x:v>
      </x:c>
      <x:c r="E4420" t="str">
        <x:v>PH-TC-009</x:v>
      </x:c>
      <x:c r="F4420" t="n">
        <x:f>IF('Technology Campaigns'!F15&lt;&gt;"",1,0)</x:f>
        <x:v>0</x:v>
      </x:c>
      <x:c r="G4420" t="n">
        <x:v>1</x:v>
      </x:c>
      <x:c r="H4420" t="str">
        <x:v>independent physical acceptance</x:v>
      </x:c>
      <x:c r="I4420" t="str">
        <x:f>IF(F4420=1,"PASS","OPEN")</x:f>
        <x:v>OPEN</x:v>
      </x:c>
    </x:row>
    <x:row r="4421">
      <x:c r="B4421" t="str">
        <x:v>PH-TC-010</x:v>
      </x:c>
      <x:c r="C4421" t="str">
        <x:v>PHYSICAL</x:v>
      </x:c>
      <x:c r="D4421" t="str">
        <x:v>technology demonstration</x:v>
      </x:c>
      <x:c r="E4421" t="str">
        <x:v>PH-TC-010</x:v>
      </x:c>
      <x:c r="F4421" t="n">
        <x:f>IF('Technology Campaigns'!F16&lt;&gt;"",1,0)</x:f>
        <x:v>0</x:v>
      </x:c>
      <x:c r="G4421" t="n">
        <x:v>1</x:v>
      </x:c>
      <x:c r="H4421" t="str">
        <x:v>independent physical acceptance</x:v>
      </x:c>
      <x:c r="I4421" t="str">
        <x:f>IF(F4421=1,"PASS","OPEN")</x:f>
        <x:v>OPEN</x:v>
      </x:c>
    </x:row>
    <x:row r="4422">
      <x:c r="B4422" t="str">
        <x:v>PH-TC-011</x:v>
      </x:c>
      <x:c r="C4422" t="str">
        <x:v>PHYSICAL</x:v>
      </x:c>
      <x:c r="D4422" t="str">
        <x:v>technology demonstration</x:v>
      </x:c>
      <x:c r="E4422" t="str">
        <x:v>PH-TC-011</x:v>
      </x:c>
      <x:c r="F4422" t="n">
        <x:f>IF('Technology Campaigns'!F17&lt;&gt;"",1,0)</x:f>
        <x:v>0</x:v>
      </x:c>
      <x:c r="G4422" t="n">
        <x:v>1</x:v>
      </x:c>
      <x:c r="H4422" t="str">
        <x:v>independent physical acceptance</x:v>
      </x:c>
      <x:c r="I4422" t="str">
        <x:f>IF(F4422=1,"PASS","OPEN")</x:f>
        <x:v>OPEN</x:v>
      </x:c>
    </x:row>
    <x:row r="4423">
      <x:c r="B4423" t="str">
        <x:v>PH-TC-012</x:v>
      </x:c>
      <x:c r="C4423" t="str">
        <x:v>PHYSICAL</x:v>
      </x:c>
      <x:c r="D4423" t="str">
        <x:v>technology demonstration</x:v>
      </x:c>
      <x:c r="E4423" t="str">
        <x:v>PH-TC-012</x:v>
      </x:c>
      <x:c r="F4423" t="n">
        <x:f>IF('Technology Campaigns'!F18&lt;&gt;"",1,0)</x:f>
        <x:v>0</x:v>
      </x:c>
      <x:c r="G4423" t="n">
        <x:v>1</x:v>
      </x:c>
      <x:c r="H4423" t="str">
        <x:v>independent physical acceptance</x:v>
      </x:c>
      <x:c r="I4423" t="str">
        <x:f>IF(F4423=1,"PASS","OPEN")</x:f>
        <x:v>OPEN</x:v>
      </x:c>
    </x:row>
    <x:row r="4424">
      <x:c r="B4424" t="str">
        <x:v>DS-01</x:v>
      </x:c>
      <x:c r="C4424" t="str">
        <x:v>DOWNSTREAM</x:v>
      </x:c>
      <x:c r="D4424" t="str">
        <x:v>AM-00 release authority</x:v>
      </x:c>
      <x:c r="E4424" t="str">
        <x:v>AM-00 release authority</x:v>
      </x:c>
      <x:c r="F4424" t="n">
        <x:f>Controls!$D$42</x:f>
        <x:v>0</x:v>
      </x:c>
      <x:c r="G4424" t="n">
        <x:v>1</x:v>
      </x:c>
      <x:c r="H4424" t="str">
        <x:v>separate authority</x:v>
      </x:c>
      <x:c r="I4424" t="str">
        <x:f>IF(F4424=1,"PASS","BLOCKED")</x:f>
        <x:v>BLOCKED</x:v>
      </x:c>
    </x:row>
    <x:row r="4425">
      <x:c r="B4425" t="str">
        <x:v>DS-02</x:v>
      </x:c>
      <x:c r="C4425" t="str">
        <x:v>DOWNSTREAM</x:v>
      </x:c>
      <x:c r="D4425" t="str">
        <x:v>AM-01 release authority</x:v>
      </x:c>
      <x:c r="E4425" t="str">
        <x:v>AM-01 release authority</x:v>
      </x:c>
      <x:c r="F4425" t="n">
        <x:f>Controls!$D$43</x:f>
        <x:v>0</x:v>
      </x:c>
      <x:c r="G4425" t="n">
        <x:v>1</x:v>
      </x:c>
      <x:c r="H4425" t="str">
        <x:v>separate authority</x:v>
      </x:c>
      <x:c r="I4425" t="str">
        <x:f>IF(F4425=1,"PASS","BLOCKED")</x:f>
        <x:v>BLOCKED</x:v>
      </x:c>
    </x:row>
    <x:row r="4426">
      <x:c r="B4426" t="str">
        <x:v>DS-03</x:v>
      </x:c>
      <x:c r="C4426" t="str">
        <x:v>DOWNSTREAM</x:v>
      </x:c>
      <x:c r="D4426" t="str">
        <x:v>AM-02 release authority</x:v>
      </x:c>
      <x:c r="E4426" t="str">
        <x:v>AM-02 release authority</x:v>
      </x:c>
      <x:c r="F4426" t="n">
        <x:f>Controls!$D$44</x:f>
        <x:v>0</x:v>
      </x:c>
      <x:c r="G4426" t="n">
        <x:v>1</x:v>
      </x:c>
      <x:c r="H4426" t="str">
        <x:v>separate authority</x:v>
      </x:c>
      <x:c r="I4426" t="str">
        <x:f>IF(F4426=1,"PASS","BLOCKED")</x:f>
        <x:v>BLOCKED</x:v>
      </x:c>
    </x:row>
    <x:row r="4427">
      <x:c r="B4427" t="str">
        <x:v>DS-04</x:v>
      </x:c>
      <x:c r="C4427" t="str">
        <x:v>DOWNSTREAM</x:v>
      </x:c>
      <x:c r="D4427" t="str">
        <x:v>AM-03 release authority</x:v>
      </x:c>
      <x:c r="E4427" t="str">
        <x:v>AM-03 release authority</x:v>
      </x:c>
      <x:c r="F4427" t="n">
        <x:f>Controls!$D$45</x:f>
        <x:v>0</x:v>
      </x:c>
      <x:c r="G4427" t="n">
        <x:v>1</x:v>
      </x:c>
      <x:c r="H4427" t="str">
        <x:v>separate authority</x:v>
      </x:c>
      <x:c r="I4427" t="str">
        <x:f>IF(F4427=1,"PASS","BLOCKED")</x:f>
        <x:v>BLOCKED</x:v>
      </x:c>
    </x:row>
    <x:row r="4428">
      <x:c r="B4428" t="str">
        <x:v>DS-05</x:v>
      </x:c>
      <x:c r="C4428" t="str">
        <x:v>DOWNSTREAM</x:v>
      </x:c>
      <x:c r="D4428" t="str">
        <x:v>AM-04 release authority</x:v>
      </x:c>
      <x:c r="E4428" t="str">
        <x:v>AM-04 release authority</x:v>
      </x:c>
      <x:c r="F4428" t="n">
        <x:f>Controls!$D$46</x:f>
        <x:v>0</x:v>
      </x:c>
      <x:c r="G4428" t="n">
        <x:v>1</x:v>
      </x:c>
      <x:c r="H4428" t="str">
        <x:v>separate authority</x:v>
      </x:c>
      <x:c r="I4428" t="str">
        <x:f>IF(F4428=1,"PASS","BLOCKED")</x:f>
        <x:v>BLOCKED</x:v>
      </x:c>
    </x:row>
    <x:row r="4429">
      <x:c r="B4429" t="str">
        <x:v>DS-06</x:v>
      </x:c>
      <x:c r="C4429" t="str">
        <x:v>DOWNSTREAM</x:v>
      </x:c>
      <x:c r="D4429" t="str">
        <x:v>quarter-source method authority</x:v>
      </x:c>
      <x:c r="E4429" t="str">
        <x:v>quarter-source method authority</x:v>
      </x:c>
      <x:c r="F4429" t="n">
        <x:f>Controls!$D$47</x:f>
        <x:v>0</x:v>
      </x:c>
      <x:c r="G4429" t="n">
        <x:v>1</x:v>
      </x:c>
      <x:c r="H4429" t="str">
        <x:v>separate authority</x:v>
      </x:c>
      <x:c r="I4429" t="str">
        <x:f>IF(F4429=1,"PASS","BLOCKED")</x:f>
        <x:v>BLOCKED</x:v>
      </x:c>
    </x:row>
    <x:row r="4430">
      <x:c r="B4430" t="str">
        <x:v>DS-07</x:v>
      </x:c>
      <x:c r="C4430" t="str">
        <x:v>DOWNSTREAM</x:v>
      </x:c>
      <x:c r="D4430" t="str">
        <x:v>candidate article entry</x:v>
      </x:c>
      <x:c r="E4430" t="str">
        <x:v>candidate article entry</x:v>
      </x:c>
      <x:c r="F4430" t="n">
        <x:f>Controls!$D$48</x:f>
        <x:v>0</x:v>
      </x:c>
      <x:c r="G4430" t="n">
        <x:v>1</x:v>
      </x:c>
      <x:c r="H4430" t="str">
        <x:v>separate authority</x:v>
      </x:c>
      <x:c r="I4430" t="str">
        <x:f>IF(F4430=1,"PASS","BLOCKED")</x:f>
        <x:v>BLOCKED</x:v>
      </x:c>
    </x:row>
    <x:row r="4431">
      <x:c r="B4431" t="str">
        <x:v>DS-08</x:v>
      </x:c>
      <x:c r="C4431" t="str">
        <x:v>DOWNSTREAM</x:v>
      </x:c>
      <x:c r="D4431" t="str">
        <x:v>Root A source campaign release</x:v>
      </x:c>
      <x:c r="E4431" t="str">
        <x:v>Root A source campaign release</x:v>
      </x:c>
      <x:c r="F4431" t="n">
        <x:f>Controls!$D$49</x:f>
        <x:v>0</x:v>
      </x:c>
      <x:c r="G4431" t="n">
        <x:v>1</x:v>
      </x:c>
      <x:c r="H4431" t="str">
        <x:v>separate authority</x:v>
      </x:c>
      <x:c r="I4431" t="str">
        <x:f>IF(F4431=1,"PASS","BLOCKED")</x:f>
        <x:v>BLOCKED</x:v>
      </x:c>
    </x:row>
    <x:row r="4432">
      <x:c r="B4432" t="str">
        <x:v>DS-09</x:v>
      </x:c>
      <x:c r="C4432" t="str">
        <x:v>DOWNSTREAM</x:v>
      </x:c>
      <x:c r="D4432" t="str">
        <x:v>exterior-rendering authority</x:v>
      </x:c>
      <x:c r="E4432" t="str">
        <x:v>exterior-rendering authority</x:v>
      </x:c>
      <x:c r="F4432" t="n">
        <x:f>Controls!$D$50</x:f>
        <x:v>0</x:v>
      </x:c>
      <x:c r="G4432" t="n">
        <x:v>1</x:v>
      </x:c>
      <x:c r="H4432" t="str">
        <x:v>separate authority</x:v>
      </x:c>
      <x:c r="I4432" t="str">
        <x:f>IF(F4432=1,"PASS","BLOCKED")</x:f>
        <x:v>BLOCKED</x:v>
      </x:c>
    </x:row>
  </x:sheetData>
  <x:conditionalFormatting sqref="I7:I4432">
    <x:cfRule type="containsText" dxfId="216" priority="1" operator="containsText" text="FAIL"/>
    <x:cfRule type="containsText" dxfId="217" priority="2" operator="containsText" text="INVALID"/>
    <x:cfRule type="containsText" dxfId="218" priority="3" operator="containsText" text="BLOCKED"/>
    <x:cfRule type="containsText" dxfId="219" priority="4" operator="containsText" text="OPEN"/>
    <x:cfRule type="containsText" dxfId="220" priority="5" operator="containsText" text="GAP"/>
    <x:cfRule type="containsText" dxfId="221" priority="6" operator="containsText" text="DORMANT"/>
    <x:cfRule type="containsText" dxfId="222" priority="7" operator="containsText" text="PASS"/>
    <x:cfRule type="containsText" dxfId="223" priority="8" operator="containsText" text="VALID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53" hidden="0" customWidth="1"/>
    <x:col min="5" max="5" width="20" hidden="0" customWidth="1"/>
    <x:col min="6" max="6" width="20" hidden="0" customWidth="1"/>
    <x:col min="7" max="7" width="12" hidden="0" customWidth="1"/>
    <x:col min="8" max="8" width="14" hidden="0" customWidth="1"/>
    <x:col min="11" max="11" width="16" hidden="0" customWidth="1"/>
  </x:cols>
  <x:sheetData>
    <x:row r="2">
      <x:c r="B2" s="1" t="str">
        <x:v>Terminal-observer audit</x:v>
      </x:c>
      <x:c r="K2" t="n">
        <x:v>40</x:v>
      </x:c>
    </x:row>
    <x:row r="3">
      <x:c r="B3" s="2" t="str">
        <x:v>Forty headline invariants and every release state are observed without feeding results back to governing calculations.</x:v>
      </x:c>
      <x:c r="K3" t="n">
        <x:v>4426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Audit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Expected</x:v>
      </x:c>
      <x:c r="G6" s="7" t="str">
        <x:v>Comparator</x:v>
      </x:c>
      <x:c r="H6" s="7" t="str">
        <x:v>State</x:v>
      </x:c>
    </x:row>
    <x:row r="7">
      <x:c r="B7" t="str">
        <x:v>H01</x:v>
      </x:c>
      <x:c r="C7" t="str">
        <x:v>HEADLINE</x:v>
      </x:c>
      <x:c r="D7" t="str">
        <x:v>methods</x:v>
      </x:c>
      <x:c r="E7" s="14" t="n">
        <x:f>COUNTA('Method Matrix'!B7:B11)</x:f>
        <x:v>5</x:v>
      </x:c>
      <x:c r="F7" s="14" t="n">
        <x:v>5</x:v>
      </x:c>
      <x:c r="G7" t="str">
        <x:v>equals</x:v>
      </x:c>
      <x:c r="H7" t="str">
        <x:f>IF(ABS(E7-F7)&lt;0.01,"PASS","FAIL")</x:f>
        <x:v>PASS</x:v>
      </x:c>
    </x:row>
    <x:row r="8">
      <x:c r="B8" t="str">
        <x:v>H02</x:v>
      </x:c>
      <x:c r="C8" t="str">
        <x:v>HEADLINE</x:v>
      </x:c>
      <x:c r="D8" t="str">
        <x:v>trial classes</x:v>
      </x:c>
      <x:c r="E8" s="14" t="n">
        <x:f>COUNTA('Trial Classes'!B7:B12)</x:f>
        <x:v>6</x:v>
      </x:c>
      <x:c r="F8" s="14" t="n">
        <x:v>6</x:v>
      </x:c>
      <x:c r="G8" t="str">
        <x:v>equals</x:v>
      </x:c>
      <x:c r="H8" t="str">
        <x:f>IF(ABS(E8-F8)&lt;0.01,"PASS","FAIL")</x:f>
        <x:v>PASS</x:v>
      </x:c>
    </x:row>
    <x:row r="9">
      <x:c r="B9" t="str">
        <x:v>H03</x:v>
      </x:c>
      <x:c r="C9" t="str">
        <x:v>HEADLINE</x:v>
      </x:c>
      <x:c r="D9" t="str">
        <x:v>truth roots</x:v>
      </x:c>
      <x:c r="E9" s="14" t="n">
        <x:f>COUNTA('Truth Roots'!B7:B16)</x:f>
        <x:v>10</x:v>
      </x:c>
      <x:c r="F9" s="14" t="n">
        <x:v>10</x:v>
      </x:c>
      <x:c r="G9" t="str">
        <x:v>equals</x:v>
      </x:c>
      <x:c r="H9" t="str">
        <x:f>IF(ABS(E9-F9)&lt;0.01,"PASS","FAIL")</x:f>
        <x:v>PASS</x:v>
      </x:c>
    </x:row>
    <x:row r="10">
      <x:c r="B10" t="str">
        <x:v>H04</x:v>
      </x:c>
      <x:c r="C10" t="str">
        <x:v>HEADLINE</x:v>
      </x:c>
      <x:c r="D10" t="str">
        <x:v>truth articles</x:v>
      </x:c>
      <x:c r="E10" s="14" t="n">
        <x:f>COUNTA('Artifact Bank'!B7:B126)</x:f>
        <x:v>120</x:v>
      </x:c>
      <x:c r="F10" s="14" t="n">
        <x:v>120</x:v>
      </x:c>
      <x:c r="G10" t="str">
        <x:v>equals</x:v>
      </x:c>
      <x:c r="H10" t="str">
        <x:f>IF(ABS(E10-F10)&lt;0.01,"PASS","FAIL")</x:f>
        <x:v>PASS</x:v>
      </x:c>
    </x:row>
    <x:row r="11">
      <x:c r="B11" t="str">
        <x:v>H05</x:v>
      </x:c>
      <x:c r="C11" t="str">
        <x:v>HEADLINE</x:v>
      </x:c>
      <x:c r="D11" t="str">
        <x:v>characteristics</x:v>
      </x:c>
      <x:c r="E11" s="14" t="n">
        <x:f>COUNTA('Artifact Characteristics'!B7:B86)</x:f>
        <x:v>80</x:v>
      </x:c>
      <x:c r="F11" s="14" t="n">
        <x:v>80</x:v>
      </x:c>
      <x:c r="G11" t="str">
        <x:v>equals</x:v>
      </x:c>
      <x:c r="H11" t="str">
        <x:f>IF(ABS(E11-F11)&lt;0.01,"PASS","FAIL")</x:f>
        <x:v>PASS</x:v>
      </x:c>
    </x:row>
    <x:row r="12">
      <x:c r="B12" t="str">
        <x:v>H06</x:v>
      </x:c>
      <x:c r="C12" t="str">
        <x:v>HEADLINE</x:v>
      </x:c>
      <x:c r="D12" t="str">
        <x:v>envelopes</x:v>
      </x:c>
      <x:c r="E12" s="14" t="n">
        <x:f>COUNTA('Reference Envelopes'!B7:B36)</x:f>
        <x:v>30</x:v>
      </x:c>
      <x:c r="F12" s="14" t="n">
        <x:v>30</x:v>
      </x:c>
      <x:c r="G12" t="str">
        <x:v>equals</x:v>
      </x:c>
      <x:c r="H12" t="str">
        <x:f>IF(ABS(E12-F12)&lt;0.01,"PASS","FAIL")</x:f>
        <x:v>PASS</x:v>
      </x:c>
    </x:row>
    <x:row r="13">
      <x:c r="B13" t="str">
        <x:v>H07</x:v>
      </x:c>
      <x:c r="C13" t="str">
        <x:v>HEADLINE</x:v>
      </x:c>
      <x:c r="D13" t="str">
        <x:v>trials</x:v>
      </x:c>
      <x:c r="E13" s="14" t="n">
        <x:f>COUNTA('Trial Register'!B7:B366)</x:f>
        <x:v>360</x:v>
      </x:c>
      <x:c r="F13" s="14" t="n">
        <x:v>360</x:v>
      </x:c>
      <x:c r="G13" t="str">
        <x:v>equals</x:v>
      </x:c>
      <x:c r="H13" t="str">
        <x:f>IF(ABS(E13-F13)&lt;0.01,"PASS","FAIL")</x:f>
        <x:v>PASS</x:v>
      </x:c>
    </x:row>
    <x:row r="14">
      <x:c r="B14" t="str">
        <x:v>H08</x:v>
      </x:c>
      <x:c r="C14" t="str">
        <x:v>HEADLINE</x:v>
      </x:c>
      <x:c r="D14" t="str">
        <x:v>worked-cell trials</x:v>
      </x:c>
      <x:c r="E14" s="14" t="n">
        <x:f>COUNTA('Worked Cell'!B7:B18)</x:f>
        <x:v>12</x:v>
      </x:c>
      <x:c r="F14" s="14" t="n">
        <x:v>12</x:v>
      </x:c>
      <x:c r="G14" t="str">
        <x:v>equals</x:v>
      </x:c>
      <x:c r="H14" t="str">
        <x:f>IF(ABS(E14-F14)&lt;0.01,"PASS","FAIL")</x:f>
        <x:v>PASS</x:v>
      </x:c>
    </x:row>
    <x:row r="15">
      <x:c r="B15" t="str">
        <x:v>H09</x:v>
      </x:c>
      <x:c r="C15" t="str">
        <x:v>HEADLINE</x:v>
      </x:c>
      <x:c r="D15" t="str">
        <x:v>calibration chains</x:v>
      </x:c>
      <x:c r="E15" s="14" t="n">
        <x:f>COUNTA(Calibration!B7:B54)</x:f>
        <x:v>48</x:v>
      </x:c>
      <x:c r="F15" s="14" t="n">
        <x:v>48</x:v>
      </x:c>
      <x:c r="G15" t="str">
        <x:v>equals</x:v>
      </x:c>
      <x:c r="H15" t="str">
        <x:f>IF(ABS(E15-F15)&lt;0.01,"PASS","FAIL")</x:f>
        <x:v>PASS</x:v>
      </x:c>
    </x:row>
    <x:row r="16">
      <x:c r="B16" t="str">
        <x:v>H10</x:v>
      </x:c>
      <x:c r="C16" t="str">
        <x:v>HEADLINE</x:v>
      </x:c>
      <x:c r="D16" t="str">
        <x:v>blind packages</x:v>
      </x:c>
      <x:c r="E16" s="14" t="n">
        <x:f>COUNTA('Blind Custody'!B7:B66)</x:f>
        <x:v>60</x:v>
      </x:c>
      <x:c r="F16" s="14" t="n">
        <x:v>60</x:v>
      </x:c>
      <x:c r="G16" t="str">
        <x:v>equals</x:v>
      </x:c>
      <x:c r="H16" t="str">
        <x:f>IF(ABS(E16-F16)&lt;0.01,"PASS","FAIL")</x:f>
        <x:v>PASS</x:v>
      </x:c>
    </x:row>
    <x:row r="17">
      <x:c r="B17" t="str">
        <x:v>H11</x:v>
      </x:c>
      <x:c r="C17" t="str">
        <x:v>HEADLINE</x:v>
      </x:c>
      <x:c r="D17" t="str">
        <x:v>fault cards</x:v>
      </x:c>
      <x:c r="E17" s="14" t="n">
        <x:f>COUNTA('Fault Cards'!B7:B26)</x:f>
        <x:v>20</x:v>
      </x:c>
      <x:c r="F17" s="14" t="n">
        <x:v>20</x:v>
      </x:c>
      <x:c r="G17" t="str">
        <x:v>equals</x:v>
      </x:c>
      <x:c r="H17" t="str">
        <x:f>IF(ABS(E17-F17)&lt;0.01,"PASS","FAIL")</x:f>
        <x:v>PASS</x:v>
      </x:c>
    </x:row>
    <x:row r="18">
      <x:c r="B18" t="str">
        <x:v>H12</x:v>
      </x:c>
      <x:c r="C18" t="str">
        <x:v>HEADLINE</x:v>
      </x:c>
      <x:c r="D18" t="str">
        <x:v>denial cards</x:v>
      </x:c>
      <x:c r="E18" s="14" t="n">
        <x:f>COUNTA('Denial Cards'!B7:B16)</x:f>
        <x:v>10</x:v>
      </x:c>
      <x:c r="F18" s="14" t="n">
        <x:v>10</x:v>
      </x:c>
      <x:c r="G18" t="str">
        <x:v>equals</x:v>
      </x:c>
      <x:c r="H18" t="str">
        <x:f>IF(ABS(E18-F18)&lt;0.01,"PASS","FAIL")</x:f>
        <x:v>PASS</x:v>
      </x:c>
    </x:row>
    <x:row r="19">
      <x:c r="B19" t="str">
        <x:v>H13</x:v>
      </x:c>
      <x:c r="C19" t="str">
        <x:v>HEADLINE</x:v>
      </x:c>
      <x:c r="D19" t="str">
        <x:v>time nodes</x:v>
      </x:c>
      <x:c r="E19" s="14" t="n">
        <x:f>COUNTA('Time Nodes'!B7:B30)</x:f>
        <x:v>24</x:v>
      </x:c>
      <x:c r="F19" s="14" t="n">
        <x:v>24</x:v>
      </x:c>
      <x:c r="G19" t="str">
        <x:v>equals</x:v>
      </x:c>
      <x:c r="H19" t="str">
        <x:f>IF(ABS(E19-F19)&lt;0.01,"PASS","FAIL")</x:f>
        <x:v>PASS</x:v>
      </x:c>
    </x:row>
    <x:row r="20">
      <x:c r="B20" t="str">
        <x:v>H14</x:v>
      </x:c>
      <x:c r="C20" t="str">
        <x:v>HEADLINE</x:v>
      </x:c>
      <x:c r="D20" t="str">
        <x:v>terrain truth</x:v>
      </x:c>
      <x:c r="E20" s="14" t="n">
        <x:f>COUNTA('Terrain Truth'!B7:B30)</x:f>
        <x:v>24</x:v>
      </x:c>
      <x:c r="F20" s="14" t="n">
        <x:v>24</x:v>
      </x:c>
      <x:c r="G20" t="str">
        <x:v>equals</x:v>
      </x:c>
      <x:c r="H20" t="str">
        <x:f>IF(ABS(E20-F20)&lt;0.01,"PASS","FAIL")</x:f>
        <x:v>PASS</x:v>
      </x:c>
    </x:row>
    <x:row r="21">
      <x:c r="B21" t="str">
        <x:v>H15</x:v>
      </x:c>
      <x:c r="C21" t="str">
        <x:v>HEADLINE</x:v>
      </x:c>
      <x:c r="D21" t="str">
        <x:v>fluid truth</x:v>
      </x:c>
      <x:c r="E21" s="14" t="n">
        <x:f>COUNTA('Fluid Truth'!B7:B42)</x:f>
        <x:v>36</x:v>
      </x:c>
      <x:c r="F21" s="14" t="n">
        <x:v>36</x:v>
      </x:c>
      <x:c r="G21" t="str">
        <x:v>equals</x:v>
      </x:c>
      <x:c r="H21" t="str">
        <x:f>IF(ABS(E21-F21)&lt;0.01,"PASS","FAIL")</x:f>
        <x:v>PASS</x:v>
      </x:c>
    </x:row>
    <x:row r="22">
      <x:c r="B22" t="str">
        <x:v>H16</x:v>
      </x:c>
      <x:c r="C22" t="str">
        <x:v>HEADLINE</x:v>
      </x:c>
      <x:c r="D22" t="str">
        <x:v>tracer truth</x:v>
      </x:c>
      <x:c r="E22" s="14" t="n">
        <x:f>COUNTA('Tracer Truth'!B7:B18)</x:f>
        <x:v>12</x:v>
      </x:c>
      <x:c r="F22" s="14" t="n">
        <x:v>12</x:v>
      </x:c>
      <x:c r="G22" t="str">
        <x:v>equals</x:v>
      </x:c>
      <x:c r="H22" t="str">
        <x:f>IF(ABS(E22-F22)&lt;0.01,"PASS","FAIL")</x:f>
        <x:v>PASS</x:v>
      </x:c>
    </x:row>
    <x:row r="23">
      <x:c r="B23" t="str">
        <x:v>H17</x:v>
      </x:c>
      <x:c r="C23" t="str">
        <x:v>HEADLINE</x:v>
      </x:c>
      <x:c r="D23" t="str">
        <x:v>debris truth</x:v>
      </x:c>
      <x:c r="E23" s="14" t="n">
        <x:f>COUNTA('Debris Truth'!B7:B18)</x:f>
        <x:v>12</x:v>
      </x:c>
      <x:c r="F23" s="14" t="n">
        <x:v>12</x:v>
      </x:c>
      <x:c r="G23" t="str">
        <x:v>equals</x:v>
      </x:c>
      <x:c r="H23" t="str">
        <x:f>IF(ABS(E23-F23)&lt;0.01,"PASS","FAIL")</x:f>
        <x:v>PASS</x:v>
      </x:c>
    </x:row>
    <x:row r="24">
      <x:c r="B24" t="str">
        <x:v>H18</x:v>
      </x:c>
      <x:c r="C24" t="str">
        <x:v>HEADLINE</x:v>
      </x:c>
      <x:c r="D24" t="str">
        <x:v>uncertainty chains</x:v>
      </x:c>
      <x:c r="E24" s="14" t="n">
        <x:f>COUNTA(Uncertainty!B7:B36)</x:f>
        <x:v>30</x:v>
      </x:c>
      <x:c r="F24" s="14" t="n">
        <x:v>30</x:v>
      </x:c>
      <x:c r="G24" t="str">
        <x:v>equals</x:v>
      </x:c>
      <x:c r="H24" t="str">
        <x:f>IF(ABS(E24-F24)&lt;0.01,"PASS","FAIL")</x:f>
        <x:v>PASS</x:v>
      </x:c>
    </x:row>
    <x:row r="25">
      <x:c r="B25" t="str">
        <x:v>H19</x:v>
      </x:c>
      <x:c r="C25" t="str">
        <x:v>HEADLINE</x:v>
      </x:c>
      <x:c r="D25" t="str">
        <x:v>rig agreements</x:v>
      </x:c>
      <x:c r="E25" s="14" t="n">
        <x:f>COUNTA(Agreement!B7:B36)</x:f>
        <x:v>30</x:v>
      </x:c>
      <x:c r="F25" s="14" t="n">
        <x:v>30</x:v>
      </x:c>
      <x:c r="G25" t="str">
        <x:v>equals</x:v>
      </x:c>
      <x:c r="H25" t="str">
        <x:f>IF(ABS(E25-F25)&lt;0.01,"PASS","FAIL")</x:f>
        <x:v>PASS</x:v>
      </x:c>
    </x:row>
    <x:row r="26">
      <x:c r="B26" t="str">
        <x:v>H20</x:v>
      </x:c>
      <x:c r="C26" t="str">
        <x:v>HEADLINE</x:v>
      </x:c>
      <x:c r="D26" t="str">
        <x:v>equivalence records</x:v>
      </x:c>
      <x:c r="E26" s="14" t="n">
        <x:f>COUNTA(Equivalence!B7:B16)</x:f>
        <x:v>10</x:v>
      </x:c>
      <x:c r="F26" s="14" t="n">
        <x:v>10</x:v>
      </x:c>
      <x:c r="G26" t="str">
        <x:v>equals</x:v>
      </x:c>
      <x:c r="H26" t="str">
        <x:f>IF(ABS(E26-F26)&lt;0.01,"PASS","FAIL")</x:f>
        <x:v>PASS</x:v>
      </x:c>
    </x:row>
    <x:row r="27">
      <x:c r="B27" t="str">
        <x:v>H21</x:v>
      </x:c>
      <x:c r="C27" t="str">
        <x:v>HEADLINE</x:v>
      </x:c>
      <x:c r="D27" t="str">
        <x:v>method qualifications</x:v>
      </x:c>
      <x:c r="E27" s="14" t="n">
        <x:f>COUNTA('Method Qualification'!B7:B11)</x:f>
        <x:v>5</x:v>
      </x:c>
      <x:c r="F27" s="14" t="n">
        <x:v>5</x:v>
      </x:c>
      <x:c r="G27" t="str">
        <x:v>equals</x:v>
      </x:c>
      <x:c r="H27" t="str">
        <x:f>IF(ABS(E27-F27)&lt;0.01,"PASS","FAIL")</x:f>
        <x:v>PASS</x:v>
      </x:c>
    </x:row>
    <x:row r="28">
      <x:c r="B28" t="str">
        <x:v>H22</x:v>
      </x:c>
      <x:c r="C28" t="str">
        <x:v>HEADLINE</x:v>
      </x:c>
      <x:c r="D28" t="str">
        <x:v>replays</x:v>
      </x:c>
      <x:c r="E28" s="14" t="n">
        <x:f>COUNTA('Replay Ledger'!B7:B66)</x:f>
        <x:v>60</x:v>
      </x:c>
      <x:c r="F28" s="14" t="n">
        <x:v>60</x:v>
      </x:c>
      <x:c r="G28" t="str">
        <x:v>equals</x:v>
      </x:c>
      <x:c r="H28" t="str">
        <x:f>IF(ABS(E28-F28)&lt;0.01,"PASS","FAIL")</x:f>
        <x:v>PASS</x:v>
      </x:c>
    </x:row>
    <x:row r="29">
      <x:c r="B29" t="str">
        <x:v>H23</x:v>
      </x:c>
      <x:c r="C29" t="str">
        <x:v>HEADLINE</x:v>
      </x:c>
      <x:c r="D29" t="str">
        <x:v>reserve tokens</x:v>
      </x:c>
      <x:c r="E29" s="14" t="n">
        <x:f>COUNTA('Reserve Ledger'!B7:B81)</x:f>
        <x:v>75</x:v>
      </x:c>
      <x:c r="F29" s="14" t="n">
        <x:v>75</x:v>
      </x:c>
      <x:c r="G29" t="str">
        <x:v>equals</x:v>
      </x:c>
      <x:c r="H29" t="str">
        <x:f>IF(ABS(E29-F29)&lt;0.01,"PASS","FAIL")</x:f>
        <x:v>PASS</x:v>
      </x:c>
    </x:row>
    <x:row r="30">
      <x:c r="B30" t="str">
        <x:v>H24</x:v>
      </x:c>
      <x:c r="C30" t="str">
        <x:v>HEADLINE</x:v>
      </x:c>
      <x:c r="D30" t="str">
        <x:v>base rig-days</x:v>
      </x:c>
      <x:c r="E30" s="14" t="n">
        <x:f>'Trial Classes'!I14</x:f>
        <x:v>960</x:v>
      </x:c>
      <x:c r="F30" s="14" t="n">
        <x:v>960</x:v>
      </x:c>
      <x:c r="G30" t="str">
        <x:v>equals</x:v>
      </x:c>
      <x:c r="H30" t="str">
        <x:f>IF(ABS(E30-F30)&lt;0.01,"PASS","FAIL")</x:f>
        <x:v>PASS</x:v>
      </x:c>
    </x:row>
    <x:row r="31">
      <x:c r="B31" t="str">
        <x:v>H25</x:v>
      </x:c>
      <x:c r="C31" t="str">
        <x:v>HEADLINE</x:v>
      </x:c>
      <x:c r="D31" t="str">
        <x:v>reserve rig-days</x:v>
      </x:c>
      <x:c r="E31" s="14" t="n">
        <x:f>'Trial Classes'!J14</x:f>
        <x:v>221</x:v>
      </x:c>
      <x:c r="F31" s="14" t="n">
        <x:v>221</x:v>
      </x:c>
      <x:c r="G31" t="str">
        <x:v>equals</x:v>
      </x:c>
      <x:c r="H31" t="str">
        <x:f>IF(ABS(E31-F31)&lt;0.01,"PASS","FAIL")</x:f>
        <x:v>PASS</x:v>
      </x:c>
    </x:row>
    <x:row r="32">
      <x:c r="B32" t="str">
        <x:v>H26</x:v>
      </x:c>
      <x:c r="C32" t="str">
        <x:v>HEADLINE</x:v>
      </x:c>
      <x:c r="D32" t="str">
        <x:v>base evidence TB</x:v>
      </x:c>
      <x:c r="E32" s="14" t="n">
        <x:f>'Evidence Budget'!C17</x:f>
        <x:v>42.35736250368</x:v>
      </x:c>
      <x:c r="F32" s="14" t="n">
        <x:v>42.357362504</x:v>
      </x:c>
      <x:c r="G32" t="str">
        <x:v>equals</x:v>
      </x:c>
      <x:c r="H32" t="str">
        <x:f>IF(ABS(E32-F32)&lt;0.01,"PASS","FAIL")</x:f>
        <x:v>PASS</x:v>
      </x:c>
    </x:row>
    <x:row r="33">
      <x:c r="B33" t="str">
        <x:v>H27</x:v>
      </x:c>
      <x:c r="C33" t="str">
        <x:v>HEADLINE</x:v>
      </x:c>
      <x:c r="D33" t="str">
        <x:v>provision evidence TB</x:v>
      </x:c>
      <x:c r="E33" s="14" t="n">
        <x:f>'Evidence Budget'!C18</x:f>
        <x:v>66.53635693286401</x:v>
      </x:c>
      <x:c r="F33" s="14" t="n">
        <x:v>66.536356933</x:v>
      </x:c>
      <x:c r="G33" t="str">
        <x:v>equals</x:v>
      </x:c>
      <x:c r="H33" t="str">
        <x:f>IF(ABS(E33-F33)&lt;0.01,"PASS","FAIL")</x:f>
        <x:v>PASS</x:v>
      </x:c>
    </x:row>
    <x:row r="34">
      <x:c r="B34" t="str">
        <x:v>H28</x:v>
      </x:c>
      <x:c r="C34" t="str">
        <x:v>HEADLINE</x:v>
      </x:c>
      <x:c r="D34" t="str">
        <x:v>workforce</x:v>
      </x:c>
      <x:c r="E34" s="14" t="n">
        <x:f>Workforce!C18</x:f>
        <x:v>436</x:v>
      </x:c>
      <x:c r="F34" s="14" t="n">
        <x:v>436</x:v>
      </x:c>
      <x:c r="G34" t="str">
        <x:v>equals</x:v>
      </x:c>
      <x:c r="H34" t="str">
        <x:f>IF(ABS(E34-F34)&lt;0.01,"PASS","FAIL")</x:f>
        <x:v>PASS</x:v>
      </x:c>
    </x:row>
    <x:row r="35">
      <x:c r="B35" t="str">
        <x:v>H29</x:v>
      </x:c>
      <x:c r="C35" t="str">
        <x:v>HEADLINE</x:v>
      </x:c>
      <x:c r="D35" t="str">
        <x:v>capital</x:v>
      </x:c>
      <x:c r="E35" s="14" t="n">
        <x:f>Capital!C20</x:f>
        <x:v>480</x:v>
      </x:c>
      <x:c r="F35" s="14" t="n">
        <x:v>480</x:v>
      </x:c>
      <x:c r="G35" t="str">
        <x:v>equals</x:v>
      </x:c>
      <x:c r="H35" t="str">
        <x:f>IF(ABS(E35-F35)&lt;0.01,"PASS","FAIL")</x:f>
        <x:v>PASS</x:v>
      </x:c>
    </x:row>
    <x:row r="36">
      <x:c r="B36" t="str">
        <x:v>H30</x:v>
      </x:c>
      <x:c r="C36" t="str">
        <x:v>HEADLINE</x:v>
      </x:c>
      <x:c r="D36" t="str">
        <x:v>annual support</x:v>
      </x:c>
      <x:c r="E36" s="14" t="n">
        <x:f>'Annual Support'!C18</x:f>
        <x:v>188</x:v>
      </x:c>
      <x:c r="F36" s="14" t="n">
        <x:v>188</x:v>
      </x:c>
      <x:c r="G36" t="str">
        <x:v>equals</x:v>
      </x:c>
      <x:c r="H36" t="str">
        <x:f>IF(ABS(E36-F36)&lt;0.01,"PASS","FAIL")</x:f>
        <x:v>PASS</x:v>
      </x:c>
    </x:row>
    <x:row r="37">
      <x:c r="B37" t="str">
        <x:v>H31</x:v>
      </x:c>
      <x:c r="C37" t="str">
        <x:v>HEADLINE</x:v>
      </x:c>
      <x:c r="D37" t="str">
        <x:v>program exposure</x:v>
      </x:c>
      <x:c r="E37" s="14" t="n">
        <x:f>'Portfolio Boundary'!C22</x:f>
        <x:v>950</x:v>
      </x:c>
      <x:c r="F37" s="14" t="n">
        <x:v>950</x:v>
      </x:c>
      <x:c r="G37" t="str">
        <x:v>equals</x:v>
      </x:c>
      <x:c r="H37" t="str">
        <x:f>IF(ABS(E37-F37)&lt;0.01,"PASS","FAIL")</x:f>
        <x:v>PASS</x:v>
      </x:c>
    </x:row>
    <x:row r="38">
      <x:c r="B38" t="str">
        <x:v>H32</x:v>
      </x:c>
      <x:c r="C38" t="str">
        <x:v>HEADLINE</x:v>
      </x:c>
      <x:c r="D38" t="str">
        <x:v>BRD-13R capital</x:v>
      </x:c>
      <x:c r="E38" s="14" t="n">
        <x:f>'Portfolio Boundary'!C17</x:f>
        <x:v>2395</x:v>
      </x:c>
      <x:c r="F38" s="14" t="n">
        <x:v>2395</x:v>
      </x:c>
      <x:c r="G38" t="str">
        <x:v>equals</x:v>
      </x:c>
      <x:c r="H38" t="str">
        <x:f>IF(ABS(E38-F38)&lt;0.01,"PASS","FAIL")</x:f>
        <x:v>PASS</x:v>
      </x:c>
    </x:row>
    <x:row r="39">
      <x:c r="B39" t="str">
        <x:v>H33</x:v>
      </x:c>
      <x:c r="C39" t="str">
        <x:v>HEADLINE</x:v>
      </x:c>
      <x:c r="D39" t="str">
        <x:v>BRD-13R annual</x:v>
      </x:c>
      <x:c r="E39" s="14" t="n">
        <x:f>'Portfolio Boundary'!D17</x:f>
        <x:v>446</x:v>
      </x:c>
      <x:c r="F39" s="14" t="n">
        <x:v>446</x:v>
      </x:c>
      <x:c r="G39" t="str">
        <x:v>equals</x:v>
      </x:c>
      <x:c r="H39" t="str">
        <x:f>IF(ABS(E39-F39)&lt;0.01,"PASS","FAIL")</x:f>
        <x:v>PASS</x:v>
      </x:c>
    </x:row>
    <x:row r="40">
      <x:c r="B40" t="str">
        <x:v>H34</x:v>
      </x:c>
      <x:c r="C40" t="str">
        <x:v>HEADLINE</x:v>
      </x:c>
      <x:c r="D40" t="str">
        <x:v>BRD-13U capital</x:v>
      </x:c>
      <x:c r="E40" s="14" t="n">
        <x:f>'Portfolio Boundary'!C21</x:f>
        <x:v>3035</x:v>
      </x:c>
      <x:c r="F40" s="14" t="n">
        <x:v>3035</x:v>
      </x:c>
      <x:c r="G40" t="str">
        <x:v>equals</x:v>
      </x:c>
      <x:c r="H40" t="str">
        <x:f>IF(ABS(E40-F40)&lt;0.01,"PASS","FAIL")</x:f>
        <x:v>PASS</x:v>
      </x:c>
    </x:row>
    <x:row r="41">
      <x:c r="B41" t="str">
        <x:v>H35</x:v>
      </x:c>
      <x:c r="C41" t="str">
        <x:v>HEADLINE</x:v>
      </x:c>
      <x:c r="D41" t="str">
        <x:v>BRD-13U annual</x:v>
      </x:c>
      <x:c r="E41" s="14" t="n">
        <x:f>'Portfolio Boundary'!D21</x:f>
        <x:v>609</x:v>
      </x:c>
      <x:c r="F41" s="14" t="n">
        <x:v>609</x:v>
      </x:c>
      <x:c r="G41" t="str">
        <x:v>equals</x:v>
      </x:c>
      <x:c r="H41" t="str">
        <x:f>IF(ABS(E41-F41)&lt;0.01,"PASS","FAIL")</x:f>
        <x:v>PASS</x:v>
      </x:c>
    </x:row>
    <x:row r="42">
      <x:c r="B42" t="str">
        <x:v>H36</x:v>
      </x:c>
      <x:c r="C42" t="str">
        <x:v>HEADLINE</x:v>
      </x:c>
      <x:c r="D42" t="str">
        <x:v>planning gates</x:v>
      </x:c>
      <x:c r="E42" s="14" t="n">
        <x:f>'Release Gates'!K2</x:f>
        <x:v>1606</x:v>
      </x:c>
      <x:c r="F42" s="14" t="n">
        <x:v>1606</x:v>
      </x:c>
      <x:c r="G42" t="str">
        <x:v>equals</x:v>
      </x:c>
      <x:c r="H42" t="str">
        <x:f>IF(ABS(E42-F42)&lt;0.01,"PASS","FAIL")</x:f>
        <x:v>PASS</x:v>
      </x:c>
    </x:row>
    <x:row r="43">
      <x:c r="B43" t="str">
        <x:v>H37</x:v>
      </x:c>
      <x:c r="C43" t="str">
        <x:v>HEADLINE</x:v>
      </x:c>
      <x:c r="D43" t="str">
        <x:v>physical gates</x:v>
      </x:c>
      <x:c r="E43" s="14" t="n">
        <x:f>'Release Gates'!K3</x:f>
        <x:v>2811</x:v>
      </x:c>
      <x:c r="F43" s="14" t="n">
        <x:v>2811</x:v>
      </x:c>
      <x:c r="G43" t="str">
        <x:v>equals</x:v>
      </x:c>
      <x:c r="H43" t="str">
        <x:f>IF(ABS(E43-F43)&lt;0.01,"PASS","FAIL")</x:f>
        <x:v>PASS</x:v>
      </x:c>
    </x:row>
    <x:row r="44">
      <x:c r="B44" t="str">
        <x:v>H38</x:v>
      </x:c>
      <x:c r="C44" t="str">
        <x:v>HEADLINE</x:v>
      </x:c>
      <x:c r="D44" t="str">
        <x:v>downstream gates</x:v>
      </x:c>
      <x:c r="E44" s="14" t="n">
        <x:f>'Release Gates'!K4</x:f>
        <x:v>9</x:v>
      </x:c>
      <x:c r="F44" s="14" t="n">
        <x:v>9</x:v>
      </x:c>
      <x:c r="G44" t="str">
        <x:v>equals</x:v>
      </x:c>
      <x:c r="H44" t="str">
        <x:f>IF(ABS(E44-F44)&lt;0.01,"PASS","FAIL")</x:f>
        <x:v>PASS</x:v>
      </x:c>
    </x:row>
    <x:row r="45">
      <x:c r="B45" t="str">
        <x:v>H39</x:v>
      </x:c>
      <x:c r="C45" t="str">
        <x:v>HEADLINE</x:v>
      </x:c>
      <x:c r="D45" t="str">
        <x:v>technology campaigns</x:v>
      </x:c>
      <x:c r="E45" s="14" t="n">
        <x:f>COUNTA('Technology Campaigns'!B7:B18)</x:f>
        <x:v>12</x:v>
      </x:c>
      <x:c r="F45" s="14" t="n">
        <x:v>12</x:v>
      </x:c>
      <x:c r="G45" t="str">
        <x:v>equals</x:v>
      </x:c>
      <x:c r="H45" t="str">
        <x:f>IF(ABS(E45-F45)&lt;0.01,"PASS","FAIL")</x:f>
        <x:v>PASS</x:v>
      </x:c>
    </x:row>
    <x:row r="46">
      <x:c r="B46" t="str">
        <x:v>H40</x:v>
      </x:c>
      <x:c r="C46" t="str">
        <x:v>HEADLINE</x:v>
      </x:c>
      <x:c r="D46" t="str">
        <x:v>internal sources</x:v>
      </x:c>
      <x:c r="E46" s="14" t="n">
        <x:f>COUNTA(Sources!B7:B16)</x:f>
        <x:v>10</x:v>
      </x:c>
      <x:c r="F46" s="14" t="n">
        <x:v>10</x:v>
      </x:c>
      <x:c r="G46" t="str">
        <x:v>equals</x:v>
      </x:c>
      <x:c r="H46" t="str">
        <x:f>IF(ABS(E46-F46)&lt;0.01,"PASS","FAIL")</x:f>
        <x:v>PASS</x:v>
      </x:c>
    </x:row>
    <x:row r="47">
      <x:c r="B47" t="str">
        <x:v>A-00001</x:v>
      </x:c>
      <x:c r="C47" t="str">
        <x:v>GATE</x:v>
      </x:c>
      <x:c r="D47" t="str">
        <x:v>release state mirrors governing ledger</x:v>
      </x:c>
      <x:c r="E47" t="str">
        <x:f>'Release Gates'!I7</x:f>
        <x:v>PASS</x:v>
      </x:c>
      <x:c r="F47" t="str">
        <x:f>IF('Release Gates'!C7="PLANNING","PASS",IF('Release Gates'!C7="PHYSICAL","OPEN","BLOCKED"))</x:f>
        <x:v>PASS</x:v>
      </x:c>
      <x:c r="G47" t="str">
        <x:v>equals</x:v>
      </x:c>
      <x:c r="H47" t="str">
        <x:f>IF(E47=F47,"PASS","FAIL")</x:f>
        <x:v>PASS</x:v>
      </x:c>
    </x:row>
    <x:row r="48">
      <x:c r="B48" t="str">
        <x:v>A-00002</x:v>
      </x:c>
      <x:c r="C48" t="str">
        <x:v>GATE</x:v>
      </x:c>
      <x:c r="D48" t="str">
        <x:v>release state mirrors governing ledger</x:v>
      </x:c>
      <x:c r="E48" t="str">
        <x:f>'Release Gates'!I8</x:f>
        <x:v>PASS</x:v>
      </x:c>
      <x:c r="F48" t="str">
        <x:f>IF('Release Gates'!C8="PLANNING","PASS",IF('Release Gates'!C8="PHYSICAL","OPEN","BLOCKED"))</x:f>
        <x:v>PASS</x:v>
      </x:c>
      <x:c r="G48" t="str">
        <x:v>equals</x:v>
      </x:c>
      <x:c r="H48" t="str">
        <x:f>IF(E48=F48,"PASS","FAIL")</x:f>
        <x:v>PASS</x:v>
      </x:c>
    </x:row>
    <x:row r="49">
      <x:c r="B49" t="str">
        <x:v>A-00003</x:v>
      </x:c>
      <x:c r="C49" t="str">
        <x:v>GATE</x:v>
      </x:c>
      <x:c r="D49" t="str">
        <x:v>release state mirrors governing ledger</x:v>
      </x:c>
      <x:c r="E49" t="str">
        <x:f>'Release Gates'!I9</x:f>
        <x:v>PASS</x:v>
      </x:c>
      <x:c r="F49" t="str">
        <x:f>IF('Release Gates'!C9="PLANNING","PASS",IF('Release Gates'!C9="PHYSICAL","OPEN","BLOCKED"))</x:f>
        <x:v>PASS</x:v>
      </x:c>
      <x:c r="G49" t="str">
        <x:v>equals</x:v>
      </x:c>
      <x:c r="H49" t="str">
        <x:f>IF(E49=F49,"PASS","FAIL")</x:f>
        <x:v>PASS</x:v>
      </x:c>
    </x:row>
    <x:row r="50">
      <x:c r="B50" t="str">
        <x:v>A-00004</x:v>
      </x:c>
      <x:c r="C50" t="str">
        <x:v>GATE</x:v>
      </x:c>
      <x:c r="D50" t="str">
        <x:v>release state mirrors governing ledger</x:v>
      </x:c>
      <x:c r="E50" t="str">
        <x:f>'Release Gates'!I10</x:f>
        <x:v>PASS</x:v>
      </x:c>
      <x:c r="F50" t="str">
        <x:f>IF('Release Gates'!C10="PLANNING","PASS",IF('Release Gates'!C10="PHYSICAL","OPEN","BLOCKED"))</x:f>
        <x:v>PASS</x:v>
      </x:c>
      <x:c r="G50" t="str">
        <x:v>equals</x:v>
      </x:c>
      <x:c r="H50" t="str">
        <x:f>IF(E50=F50,"PASS","FAIL")</x:f>
        <x:v>PASS</x:v>
      </x:c>
    </x:row>
    <x:row r="51">
      <x:c r="B51" t="str">
        <x:v>A-00005</x:v>
      </x:c>
      <x:c r="C51" t="str">
        <x:v>GATE</x:v>
      </x:c>
      <x:c r="D51" t="str">
        <x:v>release state mirrors governing ledger</x:v>
      </x:c>
      <x:c r="E51" t="str">
        <x:f>'Release Gates'!I11</x:f>
        <x:v>PASS</x:v>
      </x:c>
      <x:c r="F51" t="str">
        <x:f>IF('Release Gates'!C11="PLANNING","PASS",IF('Release Gates'!C11="PHYSICAL","OPEN","BLOCKED"))</x:f>
        <x:v>PASS</x:v>
      </x:c>
      <x:c r="G51" t="str">
        <x:v>equals</x:v>
      </x:c>
      <x:c r="H51" t="str">
        <x:f>IF(E51=F51,"PASS","FAIL")</x:f>
        <x:v>PASS</x:v>
      </x:c>
    </x:row>
    <x:row r="52">
      <x:c r="B52" t="str">
        <x:v>A-00006</x:v>
      </x:c>
      <x:c r="C52" t="str">
        <x:v>GATE</x:v>
      </x:c>
      <x:c r="D52" t="str">
        <x:v>release state mirrors governing ledger</x:v>
      </x:c>
      <x:c r="E52" t="str">
        <x:f>'Release Gates'!I12</x:f>
        <x:v>PASS</x:v>
      </x:c>
      <x:c r="F52" t="str">
        <x:f>IF('Release Gates'!C12="PLANNING","PASS",IF('Release Gates'!C12="PHYSICAL","OPEN","BLOCKED"))</x:f>
        <x:v>PASS</x:v>
      </x:c>
      <x:c r="G52" t="str">
        <x:v>equals</x:v>
      </x:c>
      <x:c r="H52" t="str">
        <x:f>IF(E52=F52,"PASS","FAIL")</x:f>
        <x:v>PASS</x:v>
      </x:c>
    </x:row>
    <x:row r="53">
      <x:c r="B53" t="str">
        <x:v>A-00007</x:v>
      </x:c>
      <x:c r="C53" t="str">
        <x:v>GATE</x:v>
      </x:c>
      <x:c r="D53" t="str">
        <x:v>release state mirrors governing ledger</x:v>
      </x:c>
      <x:c r="E53" t="str">
        <x:f>'Release Gates'!I13</x:f>
        <x:v>PASS</x:v>
      </x:c>
      <x:c r="F53" t="str">
        <x:f>IF('Release Gates'!C13="PLANNING","PASS",IF('Release Gates'!C13="PHYSICAL","OPEN","BLOCKED"))</x:f>
        <x:v>PASS</x:v>
      </x:c>
      <x:c r="G53" t="str">
        <x:v>equals</x:v>
      </x:c>
      <x:c r="H53" t="str">
        <x:f>IF(E53=F53,"PASS","FAIL")</x:f>
        <x:v>PASS</x:v>
      </x:c>
    </x:row>
    <x:row r="54">
      <x:c r="B54" t="str">
        <x:v>A-00008</x:v>
      </x:c>
      <x:c r="C54" t="str">
        <x:v>GATE</x:v>
      </x:c>
      <x:c r="D54" t="str">
        <x:v>release state mirrors governing ledger</x:v>
      </x:c>
      <x:c r="E54" t="str">
        <x:f>'Release Gates'!I14</x:f>
        <x:v>PASS</x:v>
      </x:c>
      <x:c r="F54" t="str">
        <x:f>IF('Release Gates'!C14="PLANNING","PASS",IF('Release Gates'!C14="PHYSICAL","OPEN","BLOCKED"))</x:f>
        <x:v>PASS</x:v>
      </x:c>
      <x:c r="G54" t="str">
        <x:v>equals</x:v>
      </x:c>
      <x:c r="H54" t="str">
        <x:f>IF(E54=F54,"PASS","FAIL")</x:f>
        <x:v>PASS</x:v>
      </x:c>
    </x:row>
    <x:row r="55">
      <x:c r="B55" t="str">
        <x:v>A-00009</x:v>
      </x:c>
      <x:c r="C55" t="str">
        <x:v>GATE</x:v>
      </x:c>
      <x:c r="D55" t="str">
        <x:v>release state mirrors governing ledger</x:v>
      </x:c>
      <x:c r="E55" t="str">
        <x:f>'Release Gates'!I15</x:f>
        <x:v>PASS</x:v>
      </x:c>
      <x:c r="F55" t="str">
        <x:f>IF('Release Gates'!C15="PLANNING","PASS",IF('Release Gates'!C15="PHYSICAL","OPEN","BLOCKED"))</x:f>
        <x:v>PASS</x:v>
      </x:c>
      <x:c r="G55" t="str">
        <x:v>equals</x:v>
      </x:c>
      <x:c r="H55" t="str">
        <x:f>IF(E55=F55,"PASS","FAIL")</x:f>
        <x:v>PASS</x:v>
      </x:c>
    </x:row>
    <x:row r="56">
      <x:c r="B56" t="str">
        <x:v>A-00010</x:v>
      </x:c>
      <x:c r="C56" t="str">
        <x:v>GATE</x:v>
      </x:c>
      <x:c r="D56" t="str">
        <x:v>release state mirrors governing ledger</x:v>
      </x:c>
      <x:c r="E56" t="str">
        <x:f>'Release Gates'!I16</x:f>
        <x:v>PASS</x:v>
      </x:c>
      <x:c r="F56" t="str">
        <x:f>IF('Release Gates'!C16="PLANNING","PASS",IF('Release Gates'!C16="PHYSICAL","OPEN","BLOCKED"))</x:f>
        <x:v>PASS</x:v>
      </x:c>
      <x:c r="G56" t="str">
        <x:v>equals</x:v>
      </x:c>
      <x:c r="H56" t="str">
        <x:f>IF(E56=F56,"PASS","FAIL")</x:f>
        <x:v>PASS</x:v>
      </x:c>
    </x:row>
    <x:row r="57">
      <x:c r="B57" t="str">
        <x:v>A-00011</x:v>
      </x:c>
      <x:c r="C57" t="str">
        <x:v>GATE</x:v>
      </x:c>
      <x:c r="D57" t="str">
        <x:v>release state mirrors governing ledger</x:v>
      </x:c>
      <x:c r="E57" t="str">
        <x:f>'Release Gates'!I17</x:f>
        <x:v>PASS</x:v>
      </x:c>
      <x:c r="F57" t="str">
        <x:f>IF('Release Gates'!C17="PLANNING","PASS",IF('Release Gates'!C17="PHYSICAL","OPEN","BLOCKED"))</x:f>
        <x:v>PASS</x:v>
      </x:c>
      <x:c r="G57" t="str">
        <x:v>equals</x:v>
      </x:c>
      <x:c r="H57" t="str">
        <x:f>IF(E57=F57,"PASS","FAIL")</x:f>
        <x:v>PASS</x:v>
      </x:c>
    </x:row>
    <x:row r="58">
      <x:c r="B58" t="str">
        <x:v>A-00012</x:v>
      </x:c>
      <x:c r="C58" t="str">
        <x:v>GATE</x:v>
      </x:c>
      <x:c r="D58" t="str">
        <x:v>release state mirrors governing ledger</x:v>
      </x:c>
      <x:c r="E58" t="str">
        <x:f>'Release Gates'!I18</x:f>
        <x:v>PASS</x:v>
      </x:c>
      <x:c r="F58" t="str">
        <x:f>IF('Release Gates'!C18="PLANNING","PASS",IF('Release Gates'!C18="PHYSICAL","OPEN","BLOCKED"))</x:f>
        <x:v>PASS</x:v>
      </x:c>
      <x:c r="G58" t="str">
        <x:v>equals</x:v>
      </x:c>
      <x:c r="H58" t="str">
        <x:f>IF(E58=F58,"PASS","FAIL")</x:f>
        <x:v>PASS</x:v>
      </x:c>
    </x:row>
    <x:row r="59">
      <x:c r="B59" t="str">
        <x:v>A-00013</x:v>
      </x:c>
      <x:c r="C59" t="str">
        <x:v>GATE</x:v>
      </x:c>
      <x:c r="D59" t="str">
        <x:v>release state mirrors governing ledger</x:v>
      </x:c>
      <x:c r="E59" t="str">
        <x:f>'Release Gates'!I19</x:f>
        <x:v>PASS</x:v>
      </x:c>
      <x:c r="F59" t="str">
        <x:f>IF('Release Gates'!C19="PLANNING","PASS",IF('Release Gates'!C19="PHYSICAL","OPEN","BLOCKED"))</x:f>
        <x:v>PASS</x:v>
      </x:c>
      <x:c r="G59" t="str">
        <x:v>equals</x:v>
      </x:c>
      <x:c r="H59" t="str">
        <x:f>IF(E59=F59,"PASS","FAIL")</x:f>
        <x:v>PASS</x:v>
      </x:c>
    </x:row>
    <x:row r="60">
      <x:c r="B60" t="str">
        <x:v>A-00014</x:v>
      </x:c>
      <x:c r="C60" t="str">
        <x:v>GATE</x:v>
      </x:c>
      <x:c r="D60" t="str">
        <x:v>release state mirrors governing ledger</x:v>
      </x:c>
      <x:c r="E60" t="str">
        <x:f>'Release Gates'!I20</x:f>
        <x:v>PASS</x:v>
      </x:c>
      <x:c r="F60" t="str">
        <x:f>IF('Release Gates'!C20="PLANNING","PASS",IF('Release Gates'!C20="PHYSICAL","OPEN","BLOCKED"))</x:f>
        <x:v>PASS</x:v>
      </x:c>
      <x:c r="G60" t="str">
        <x:v>equals</x:v>
      </x:c>
      <x:c r="H60" t="str">
        <x:f>IF(E60=F60,"PASS","FAIL")</x:f>
        <x:v>PASS</x:v>
      </x:c>
    </x:row>
    <x:row r="61">
      <x:c r="B61" t="str">
        <x:v>A-00015</x:v>
      </x:c>
      <x:c r="C61" t="str">
        <x:v>GATE</x:v>
      </x:c>
      <x:c r="D61" t="str">
        <x:v>release state mirrors governing ledger</x:v>
      </x:c>
      <x:c r="E61" t="str">
        <x:f>'Release Gates'!I21</x:f>
        <x:v>PASS</x:v>
      </x:c>
      <x:c r="F61" t="str">
        <x:f>IF('Release Gates'!C21="PLANNING","PASS",IF('Release Gates'!C21="PHYSICAL","OPEN","BLOCKED"))</x:f>
        <x:v>PASS</x:v>
      </x:c>
      <x:c r="G61" t="str">
        <x:v>equals</x:v>
      </x:c>
      <x:c r="H61" t="str">
        <x:f>IF(E61=F61,"PASS","FAIL")</x:f>
        <x:v>PASS</x:v>
      </x:c>
    </x:row>
    <x:row r="62">
      <x:c r="B62" t="str">
        <x:v>A-00016</x:v>
      </x:c>
      <x:c r="C62" t="str">
        <x:v>GATE</x:v>
      </x:c>
      <x:c r="D62" t="str">
        <x:v>release state mirrors governing ledger</x:v>
      </x:c>
      <x:c r="E62" t="str">
        <x:f>'Release Gates'!I22</x:f>
        <x:v>PASS</x:v>
      </x:c>
      <x:c r="F62" t="str">
        <x:f>IF('Release Gates'!C22="PLANNING","PASS",IF('Release Gates'!C22="PHYSICAL","OPEN","BLOCKED"))</x:f>
        <x:v>PASS</x:v>
      </x:c>
      <x:c r="G62" t="str">
        <x:v>equals</x:v>
      </x:c>
      <x:c r="H62" t="str">
        <x:f>IF(E62=F62,"PASS","FAIL")</x:f>
        <x:v>PASS</x:v>
      </x:c>
    </x:row>
    <x:row r="63">
      <x:c r="B63" t="str">
        <x:v>A-00017</x:v>
      </x:c>
      <x:c r="C63" t="str">
        <x:v>GATE</x:v>
      </x:c>
      <x:c r="D63" t="str">
        <x:v>release state mirrors governing ledger</x:v>
      </x:c>
      <x:c r="E63" t="str">
        <x:f>'Release Gates'!I23</x:f>
        <x:v>PASS</x:v>
      </x:c>
      <x:c r="F63" t="str">
        <x:f>IF('Release Gates'!C23="PLANNING","PASS",IF('Release Gates'!C23="PHYSICAL","OPEN","BLOCKED"))</x:f>
        <x:v>PASS</x:v>
      </x:c>
      <x:c r="G63" t="str">
        <x:v>equals</x:v>
      </x:c>
      <x:c r="H63" t="str">
        <x:f>IF(E63=F63,"PASS","FAIL")</x:f>
        <x:v>PASS</x:v>
      </x:c>
    </x:row>
    <x:row r="64">
      <x:c r="B64" t="str">
        <x:v>A-00018</x:v>
      </x:c>
      <x:c r="C64" t="str">
        <x:v>GATE</x:v>
      </x:c>
      <x:c r="D64" t="str">
        <x:v>release state mirrors governing ledger</x:v>
      </x:c>
      <x:c r="E64" t="str">
        <x:f>'Release Gates'!I24</x:f>
        <x:v>PASS</x:v>
      </x:c>
      <x:c r="F64" t="str">
        <x:f>IF('Release Gates'!C24="PLANNING","PASS",IF('Release Gates'!C24="PHYSICAL","OPEN","BLOCKED"))</x:f>
        <x:v>PASS</x:v>
      </x:c>
      <x:c r="G64" t="str">
        <x:v>equals</x:v>
      </x:c>
      <x:c r="H64" t="str">
        <x:f>IF(E64=F64,"PASS","FAIL")</x:f>
        <x:v>PASS</x:v>
      </x:c>
    </x:row>
    <x:row r="65">
      <x:c r="B65" t="str">
        <x:v>A-00019</x:v>
      </x:c>
      <x:c r="C65" t="str">
        <x:v>GATE</x:v>
      </x:c>
      <x:c r="D65" t="str">
        <x:v>release state mirrors governing ledger</x:v>
      </x:c>
      <x:c r="E65" t="str">
        <x:f>'Release Gates'!I25</x:f>
        <x:v>PASS</x:v>
      </x:c>
      <x:c r="F65" t="str">
        <x:f>IF('Release Gates'!C25="PLANNING","PASS",IF('Release Gates'!C25="PHYSICAL","OPEN","BLOCKED"))</x:f>
        <x:v>PASS</x:v>
      </x:c>
      <x:c r="G65" t="str">
        <x:v>equals</x:v>
      </x:c>
      <x:c r="H65" t="str">
        <x:f>IF(E65=F65,"PASS","FAIL")</x:f>
        <x:v>PASS</x:v>
      </x:c>
    </x:row>
    <x:row r="66">
      <x:c r="B66" t="str">
        <x:v>A-00020</x:v>
      </x:c>
      <x:c r="C66" t="str">
        <x:v>GATE</x:v>
      </x:c>
      <x:c r="D66" t="str">
        <x:v>release state mirrors governing ledger</x:v>
      </x:c>
      <x:c r="E66" t="str">
        <x:f>'Release Gates'!I26</x:f>
        <x:v>PASS</x:v>
      </x:c>
      <x:c r="F66" t="str">
        <x:f>IF('Release Gates'!C26="PLANNING","PASS",IF('Release Gates'!C26="PHYSICAL","OPEN","BLOCKED"))</x:f>
        <x:v>PASS</x:v>
      </x:c>
      <x:c r="G66" t="str">
        <x:v>equals</x:v>
      </x:c>
      <x:c r="H66" t="str">
        <x:f>IF(E66=F66,"PASS","FAIL")</x:f>
        <x:v>PASS</x:v>
      </x:c>
    </x:row>
    <x:row r="67">
      <x:c r="B67" t="str">
        <x:v>A-00021</x:v>
      </x:c>
      <x:c r="C67" t="str">
        <x:v>GATE</x:v>
      </x:c>
      <x:c r="D67" t="str">
        <x:v>release state mirrors governing ledger</x:v>
      </x:c>
      <x:c r="E67" t="str">
        <x:f>'Release Gates'!I27</x:f>
        <x:v>PASS</x:v>
      </x:c>
      <x:c r="F67" t="str">
        <x:f>IF('Release Gates'!C27="PLANNING","PASS",IF('Release Gates'!C27="PHYSICAL","OPEN","BLOCKED"))</x:f>
        <x:v>PASS</x:v>
      </x:c>
      <x:c r="G67" t="str">
        <x:v>equals</x:v>
      </x:c>
      <x:c r="H67" t="str">
        <x:f>IF(E67=F67,"PASS","FAIL")</x:f>
        <x:v>PASS</x:v>
      </x:c>
    </x:row>
    <x:row r="68">
      <x:c r="B68" t="str">
        <x:v>A-00022</x:v>
      </x:c>
      <x:c r="C68" t="str">
        <x:v>GATE</x:v>
      </x:c>
      <x:c r="D68" t="str">
        <x:v>release state mirrors governing ledger</x:v>
      </x:c>
      <x:c r="E68" t="str">
        <x:f>'Release Gates'!I28</x:f>
        <x:v>PASS</x:v>
      </x:c>
      <x:c r="F68" t="str">
        <x:f>IF('Release Gates'!C28="PLANNING","PASS",IF('Release Gates'!C28="PHYSICAL","OPEN","BLOCKED"))</x:f>
        <x:v>PASS</x:v>
      </x:c>
      <x:c r="G68" t="str">
        <x:v>equals</x:v>
      </x:c>
      <x:c r="H68" t="str">
        <x:f>IF(E68=F68,"PASS","FAIL")</x:f>
        <x:v>PASS</x:v>
      </x:c>
    </x:row>
    <x:row r="69">
      <x:c r="B69" t="str">
        <x:v>A-00023</x:v>
      </x:c>
      <x:c r="C69" t="str">
        <x:v>GATE</x:v>
      </x:c>
      <x:c r="D69" t="str">
        <x:v>release state mirrors governing ledger</x:v>
      </x:c>
      <x:c r="E69" t="str">
        <x:f>'Release Gates'!I29</x:f>
        <x:v>PASS</x:v>
      </x:c>
      <x:c r="F69" t="str">
        <x:f>IF('Release Gates'!C29="PLANNING","PASS",IF('Release Gates'!C29="PHYSICAL","OPEN","BLOCKED"))</x:f>
        <x:v>PASS</x:v>
      </x:c>
      <x:c r="G69" t="str">
        <x:v>equals</x:v>
      </x:c>
      <x:c r="H69" t="str">
        <x:f>IF(E69=F69,"PASS","FAIL")</x:f>
        <x:v>PASS</x:v>
      </x:c>
    </x:row>
    <x:row r="70">
      <x:c r="B70" t="str">
        <x:v>A-00024</x:v>
      </x:c>
      <x:c r="C70" t="str">
        <x:v>GATE</x:v>
      </x:c>
      <x:c r="D70" t="str">
        <x:v>release state mirrors governing ledger</x:v>
      </x:c>
      <x:c r="E70" t="str">
        <x:f>'Release Gates'!I30</x:f>
        <x:v>PASS</x:v>
      </x:c>
      <x:c r="F70" t="str">
        <x:f>IF('Release Gates'!C30="PLANNING","PASS",IF('Release Gates'!C30="PHYSICAL","OPEN","BLOCKED"))</x:f>
        <x:v>PASS</x:v>
      </x:c>
      <x:c r="G70" t="str">
        <x:v>equals</x:v>
      </x:c>
      <x:c r="H70" t="str">
        <x:f>IF(E70=F70,"PASS","FAIL")</x:f>
        <x:v>PASS</x:v>
      </x:c>
    </x:row>
    <x:row r="71">
      <x:c r="B71" t="str">
        <x:v>A-00025</x:v>
      </x:c>
      <x:c r="C71" t="str">
        <x:v>GATE</x:v>
      </x:c>
      <x:c r="D71" t="str">
        <x:v>release state mirrors governing ledger</x:v>
      </x:c>
      <x:c r="E71" t="str">
        <x:f>'Release Gates'!I31</x:f>
        <x:v>PASS</x:v>
      </x:c>
      <x:c r="F71" t="str">
        <x:f>IF('Release Gates'!C31="PLANNING","PASS",IF('Release Gates'!C31="PHYSICAL","OPEN","BLOCKED"))</x:f>
        <x:v>PASS</x:v>
      </x:c>
      <x:c r="G71" t="str">
        <x:v>equals</x:v>
      </x:c>
      <x:c r="H71" t="str">
        <x:f>IF(E71=F71,"PASS","FAIL")</x:f>
        <x:v>PASS</x:v>
      </x:c>
    </x:row>
    <x:row r="72">
      <x:c r="B72" t="str">
        <x:v>A-00026</x:v>
      </x:c>
      <x:c r="C72" t="str">
        <x:v>GATE</x:v>
      </x:c>
      <x:c r="D72" t="str">
        <x:v>release state mirrors governing ledger</x:v>
      </x:c>
      <x:c r="E72" t="str">
        <x:f>'Release Gates'!I32</x:f>
        <x:v>PASS</x:v>
      </x:c>
      <x:c r="F72" t="str">
        <x:f>IF('Release Gates'!C32="PLANNING","PASS",IF('Release Gates'!C32="PHYSICAL","OPEN","BLOCKED"))</x:f>
        <x:v>PASS</x:v>
      </x:c>
      <x:c r="G72" t="str">
        <x:v>equals</x:v>
      </x:c>
      <x:c r="H72" t="str">
        <x:f>IF(E72=F72,"PASS","FAIL")</x:f>
        <x:v>PASS</x:v>
      </x:c>
    </x:row>
    <x:row r="73">
      <x:c r="B73" t="str">
        <x:v>A-00027</x:v>
      </x:c>
      <x:c r="C73" t="str">
        <x:v>GATE</x:v>
      </x:c>
      <x:c r="D73" t="str">
        <x:v>release state mirrors governing ledger</x:v>
      </x:c>
      <x:c r="E73" t="str">
        <x:f>'Release Gates'!I33</x:f>
        <x:v>PASS</x:v>
      </x:c>
      <x:c r="F73" t="str">
        <x:f>IF('Release Gates'!C33="PLANNING","PASS",IF('Release Gates'!C33="PHYSICAL","OPEN","BLOCKED"))</x:f>
        <x:v>PASS</x:v>
      </x:c>
      <x:c r="G73" t="str">
        <x:v>equals</x:v>
      </x:c>
      <x:c r="H73" t="str">
        <x:f>IF(E73=F73,"PASS","FAIL")</x:f>
        <x:v>PASS</x:v>
      </x:c>
    </x:row>
    <x:row r="74">
      <x:c r="B74" t="str">
        <x:v>A-00028</x:v>
      </x:c>
      <x:c r="C74" t="str">
        <x:v>GATE</x:v>
      </x:c>
      <x:c r="D74" t="str">
        <x:v>release state mirrors governing ledger</x:v>
      </x:c>
      <x:c r="E74" t="str">
        <x:f>'Release Gates'!I34</x:f>
        <x:v>PASS</x:v>
      </x:c>
      <x:c r="F74" t="str">
        <x:f>IF('Release Gates'!C34="PLANNING","PASS",IF('Release Gates'!C34="PHYSICAL","OPEN","BLOCKED"))</x:f>
        <x:v>PASS</x:v>
      </x:c>
      <x:c r="G74" t="str">
        <x:v>equals</x:v>
      </x:c>
      <x:c r="H74" t="str">
        <x:f>IF(E74=F74,"PASS","FAIL")</x:f>
        <x:v>PASS</x:v>
      </x:c>
    </x:row>
    <x:row r="75">
      <x:c r="B75" t="str">
        <x:v>A-00029</x:v>
      </x:c>
      <x:c r="C75" t="str">
        <x:v>GATE</x:v>
      </x:c>
      <x:c r="D75" t="str">
        <x:v>release state mirrors governing ledger</x:v>
      </x:c>
      <x:c r="E75" t="str">
        <x:f>'Release Gates'!I35</x:f>
        <x:v>PASS</x:v>
      </x:c>
      <x:c r="F75" t="str">
        <x:f>IF('Release Gates'!C35="PLANNING","PASS",IF('Release Gates'!C35="PHYSICAL","OPEN","BLOCKED"))</x:f>
        <x:v>PASS</x:v>
      </x:c>
      <x:c r="G75" t="str">
        <x:v>equals</x:v>
      </x:c>
      <x:c r="H75" t="str">
        <x:f>IF(E75=F75,"PASS","FAIL")</x:f>
        <x:v>PASS</x:v>
      </x:c>
    </x:row>
    <x:row r="76">
      <x:c r="B76" t="str">
        <x:v>A-00030</x:v>
      </x:c>
      <x:c r="C76" t="str">
        <x:v>GATE</x:v>
      </x:c>
      <x:c r="D76" t="str">
        <x:v>release state mirrors governing ledger</x:v>
      </x:c>
      <x:c r="E76" t="str">
        <x:f>'Release Gates'!I36</x:f>
        <x:v>PASS</x:v>
      </x:c>
      <x:c r="F76" t="str">
        <x:f>IF('Release Gates'!C36="PLANNING","PASS",IF('Release Gates'!C36="PHYSICAL","OPEN","BLOCKED"))</x:f>
        <x:v>PASS</x:v>
      </x:c>
      <x:c r="G76" t="str">
        <x:v>equals</x:v>
      </x:c>
      <x:c r="H76" t="str">
        <x:f>IF(E76=F76,"PASS","FAIL")</x:f>
        <x:v>PASS</x:v>
      </x:c>
    </x:row>
    <x:row r="77">
      <x:c r="B77" t="str">
        <x:v>A-00031</x:v>
      </x:c>
      <x:c r="C77" t="str">
        <x:v>GATE</x:v>
      </x:c>
      <x:c r="D77" t="str">
        <x:v>release state mirrors governing ledger</x:v>
      </x:c>
      <x:c r="E77" t="str">
        <x:f>'Release Gates'!I37</x:f>
        <x:v>PASS</x:v>
      </x:c>
      <x:c r="F77" t="str">
        <x:f>IF('Release Gates'!C37="PLANNING","PASS",IF('Release Gates'!C37="PHYSICAL","OPEN","BLOCKED"))</x:f>
        <x:v>PASS</x:v>
      </x:c>
      <x:c r="G77" t="str">
        <x:v>equals</x:v>
      </x:c>
      <x:c r="H77" t="str">
        <x:f>IF(E77=F77,"PASS","FAIL")</x:f>
        <x:v>PASS</x:v>
      </x:c>
    </x:row>
    <x:row r="78">
      <x:c r="B78" t="str">
        <x:v>A-00032</x:v>
      </x:c>
      <x:c r="C78" t="str">
        <x:v>GATE</x:v>
      </x:c>
      <x:c r="D78" t="str">
        <x:v>release state mirrors governing ledger</x:v>
      </x:c>
      <x:c r="E78" t="str">
        <x:f>'Release Gates'!I38</x:f>
        <x:v>PASS</x:v>
      </x:c>
      <x:c r="F78" t="str">
        <x:f>IF('Release Gates'!C38="PLANNING","PASS",IF('Release Gates'!C38="PHYSICAL","OPEN","BLOCKED"))</x:f>
        <x:v>PASS</x:v>
      </x:c>
      <x:c r="G78" t="str">
        <x:v>equals</x:v>
      </x:c>
      <x:c r="H78" t="str">
        <x:f>IF(E78=F78,"PASS","FAIL")</x:f>
        <x:v>PASS</x:v>
      </x:c>
    </x:row>
    <x:row r="79">
      <x:c r="B79" t="str">
        <x:v>A-00033</x:v>
      </x:c>
      <x:c r="C79" t="str">
        <x:v>GATE</x:v>
      </x:c>
      <x:c r="D79" t="str">
        <x:v>release state mirrors governing ledger</x:v>
      </x:c>
      <x:c r="E79" t="str">
        <x:f>'Release Gates'!I39</x:f>
        <x:v>PASS</x:v>
      </x:c>
      <x:c r="F79" t="str">
        <x:f>IF('Release Gates'!C39="PLANNING","PASS",IF('Release Gates'!C39="PHYSICAL","OPEN","BLOCKED"))</x:f>
        <x:v>PASS</x:v>
      </x:c>
      <x:c r="G79" t="str">
        <x:v>equals</x:v>
      </x:c>
      <x:c r="H79" t="str">
        <x:f>IF(E79=F79,"PASS","FAIL")</x:f>
        <x:v>PASS</x:v>
      </x:c>
    </x:row>
    <x:row r="80">
      <x:c r="B80" t="str">
        <x:v>A-00034</x:v>
      </x:c>
      <x:c r="C80" t="str">
        <x:v>GATE</x:v>
      </x:c>
      <x:c r="D80" t="str">
        <x:v>release state mirrors governing ledger</x:v>
      </x:c>
      <x:c r="E80" t="str">
        <x:f>'Release Gates'!I40</x:f>
        <x:v>PASS</x:v>
      </x:c>
      <x:c r="F80" t="str">
        <x:f>IF('Release Gates'!C40="PLANNING","PASS",IF('Release Gates'!C40="PHYSICAL","OPEN","BLOCKED"))</x:f>
        <x:v>PASS</x:v>
      </x:c>
      <x:c r="G80" t="str">
        <x:v>equals</x:v>
      </x:c>
      <x:c r="H80" t="str">
        <x:f>IF(E80=F80,"PASS","FAIL")</x:f>
        <x:v>PASS</x:v>
      </x:c>
    </x:row>
    <x:row r="81">
      <x:c r="B81" t="str">
        <x:v>A-00035</x:v>
      </x:c>
      <x:c r="C81" t="str">
        <x:v>GATE</x:v>
      </x:c>
      <x:c r="D81" t="str">
        <x:v>release state mirrors governing ledger</x:v>
      </x:c>
      <x:c r="E81" t="str">
        <x:f>'Release Gates'!I41</x:f>
        <x:v>PASS</x:v>
      </x:c>
      <x:c r="F81" t="str">
        <x:f>IF('Release Gates'!C41="PLANNING","PASS",IF('Release Gates'!C41="PHYSICAL","OPEN","BLOCKED"))</x:f>
        <x:v>PASS</x:v>
      </x:c>
      <x:c r="G81" t="str">
        <x:v>equals</x:v>
      </x:c>
      <x:c r="H81" t="str">
        <x:f>IF(E81=F81,"PASS","FAIL")</x:f>
        <x:v>PASS</x:v>
      </x:c>
    </x:row>
    <x:row r="82">
      <x:c r="B82" t="str">
        <x:v>A-00036</x:v>
      </x:c>
      <x:c r="C82" t="str">
        <x:v>GATE</x:v>
      </x:c>
      <x:c r="D82" t="str">
        <x:v>release state mirrors governing ledger</x:v>
      </x:c>
      <x:c r="E82" t="str">
        <x:f>'Release Gates'!I42</x:f>
        <x:v>PASS</x:v>
      </x:c>
      <x:c r="F82" t="str">
        <x:f>IF('Release Gates'!C42="PLANNING","PASS",IF('Release Gates'!C42="PHYSICAL","OPEN","BLOCKED"))</x:f>
        <x:v>PASS</x:v>
      </x:c>
      <x:c r="G82" t="str">
        <x:v>equals</x:v>
      </x:c>
      <x:c r="H82" t="str">
        <x:f>IF(E82=F82,"PASS","FAIL")</x:f>
        <x:v>PASS</x:v>
      </x:c>
    </x:row>
    <x:row r="83">
      <x:c r="B83" t="str">
        <x:v>A-00037</x:v>
      </x:c>
      <x:c r="C83" t="str">
        <x:v>GATE</x:v>
      </x:c>
      <x:c r="D83" t="str">
        <x:v>release state mirrors governing ledger</x:v>
      </x:c>
      <x:c r="E83" t="str">
        <x:f>'Release Gates'!I43</x:f>
        <x:v>PASS</x:v>
      </x:c>
      <x:c r="F83" t="str">
        <x:f>IF('Release Gates'!C43="PLANNING","PASS",IF('Release Gates'!C43="PHYSICAL","OPEN","BLOCKED"))</x:f>
        <x:v>PASS</x:v>
      </x:c>
      <x:c r="G83" t="str">
        <x:v>equals</x:v>
      </x:c>
      <x:c r="H83" t="str">
        <x:f>IF(E83=F83,"PASS","FAIL")</x:f>
        <x:v>PASS</x:v>
      </x:c>
    </x:row>
    <x:row r="84">
      <x:c r="B84" t="str">
        <x:v>A-00038</x:v>
      </x:c>
      <x:c r="C84" t="str">
        <x:v>GATE</x:v>
      </x:c>
      <x:c r="D84" t="str">
        <x:v>release state mirrors governing ledger</x:v>
      </x:c>
      <x:c r="E84" t="str">
        <x:f>'Release Gates'!I44</x:f>
        <x:v>PASS</x:v>
      </x:c>
      <x:c r="F84" t="str">
        <x:f>IF('Release Gates'!C44="PLANNING","PASS",IF('Release Gates'!C44="PHYSICAL","OPEN","BLOCKED"))</x:f>
        <x:v>PASS</x:v>
      </x:c>
      <x:c r="G84" t="str">
        <x:v>equals</x:v>
      </x:c>
      <x:c r="H84" t="str">
        <x:f>IF(E84=F84,"PASS","FAIL")</x:f>
        <x:v>PASS</x:v>
      </x:c>
    </x:row>
    <x:row r="85">
      <x:c r="B85" t="str">
        <x:v>A-00039</x:v>
      </x:c>
      <x:c r="C85" t="str">
        <x:v>GATE</x:v>
      </x:c>
      <x:c r="D85" t="str">
        <x:v>release state mirrors governing ledger</x:v>
      </x:c>
      <x:c r="E85" t="str">
        <x:f>'Release Gates'!I45</x:f>
        <x:v>PASS</x:v>
      </x:c>
      <x:c r="F85" t="str">
        <x:f>IF('Release Gates'!C45="PLANNING","PASS",IF('Release Gates'!C45="PHYSICAL","OPEN","BLOCKED"))</x:f>
        <x:v>PASS</x:v>
      </x:c>
      <x:c r="G85" t="str">
        <x:v>equals</x:v>
      </x:c>
      <x:c r="H85" t="str">
        <x:f>IF(E85=F85,"PASS","FAIL")</x:f>
        <x:v>PASS</x:v>
      </x:c>
    </x:row>
    <x:row r="86">
      <x:c r="B86" t="str">
        <x:v>A-00040</x:v>
      </x:c>
      <x:c r="C86" t="str">
        <x:v>GATE</x:v>
      </x:c>
      <x:c r="D86" t="str">
        <x:v>release state mirrors governing ledger</x:v>
      </x:c>
      <x:c r="E86" t="str">
        <x:f>'Release Gates'!I46</x:f>
        <x:v>PASS</x:v>
      </x:c>
      <x:c r="F86" t="str">
        <x:f>IF('Release Gates'!C46="PLANNING","PASS",IF('Release Gates'!C46="PHYSICAL","OPEN","BLOCKED"))</x:f>
        <x:v>PASS</x:v>
      </x:c>
      <x:c r="G86" t="str">
        <x:v>equals</x:v>
      </x:c>
      <x:c r="H86" t="str">
        <x:f>IF(E86=F86,"PASS","FAIL")</x:f>
        <x:v>PASS</x:v>
      </x:c>
    </x:row>
    <x:row r="87">
      <x:c r="B87" t="str">
        <x:v>A-00041</x:v>
      </x:c>
      <x:c r="C87" t="str">
        <x:v>GATE</x:v>
      </x:c>
      <x:c r="D87" t="str">
        <x:v>release state mirrors governing ledger</x:v>
      </x:c>
      <x:c r="E87" t="str">
        <x:f>'Release Gates'!I47</x:f>
        <x:v>PASS</x:v>
      </x:c>
      <x:c r="F87" t="str">
        <x:f>IF('Release Gates'!C47="PLANNING","PASS",IF('Release Gates'!C47="PHYSICAL","OPEN","BLOCKED"))</x:f>
        <x:v>PASS</x:v>
      </x:c>
      <x:c r="G87" t="str">
        <x:v>equals</x:v>
      </x:c>
      <x:c r="H87" t="str">
        <x:f>IF(E87=F87,"PASS","FAIL")</x:f>
        <x:v>PASS</x:v>
      </x:c>
    </x:row>
    <x:row r="88">
      <x:c r="B88" t="str">
        <x:v>A-00042</x:v>
      </x:c>
      <x:c r="C88" t="str">
        <x:v>GATE</x:v>
      </x:c>
      <x:c r="D88" t="str">
        <x:v>release state mirrors governing ledger</x:v>
      </x:c>
      <x:c r="E88" t="str">
        <x:f>'Release Gates'!I48</x:f>
        <x:v>PASS</x:v>
      </x:c>
      <x:c r="F88" t="str">
        <x:f>IF('Release Gates'!C48="PLANNING","PASS",IF('Release Gates'!C48="PHYSICAL","OPEN","BLOCKED"))</x:f>
        <x:v>PASS</x:v>
      </x:c>
      <x:c r="G88" t="str">
        <x:v>equals</x:v>
      </x:c>
      <x:c r="H88" t="str">
        <x:f>IF(E88=F88,"PASS","FAIL")</x:f>
        <x:v>PASS</x:v>
      </x:c>
    </x:row>
    <x:row r="89">
      <x:c r="B89" t="str">
        <x:v>A-00043</x:v>
      </x:c>
      <x:c r="C89" t="str">
        <x:v>GATE</x:v>
      </x:c>
      <x:c r="D89" t="str">
        <x:v>release state mirrors governing ledger</x:v>
      </x:c>
      <x:c r="E89" t="str">
        <x:f>'Release Gates'!I49</x:f>
        <x:v>PASS</x:v>
      </x:c>
      <x:c r="F89" t="str">
        <x:f>IF('Release Gates'!C49="PLANNING","PASS",IF('Release Gates'!C49="PHYSICAL","OPEN","BLOCKED"))</x:f>
        <x:v>PASS</x:v>
      </x:c>
      <x:c r="G89" t="str">
        <x:v>equals</x:v>
      </x:c>
      <x:c r="H89" t="str">
        <x:f>IF(E89=F89,"PASS","FAIL")</x:f>
        <x:v>PASS</x:v>
      </x:c>
    </x:row>
    <x:row r="90">
      <x:c r="B90" t="str">
        <x:v>A-00044</x:v>
      </x:c>
      <x:c r="C90" t="str">
        <x:v>GATE</x:v>
      </x:c>
      <x:c r="D90" t="str">
        <x:v>release state mirrors governing ledger</x:v>
      </x:c>
      <x:c r="E90" t="str">
        <x:f>'Release Gates'!I50</x:f>
        <x:v>PASS</x:v>
      </x:c>
      <x:c r="F90" t="str">
        <x:f>IF('Release Gates'!C50="PLANNING","PASS",IF('Release Gates'!C50="PHYSICAL","OPEN","BLOCKED"))</x:f>
        <x:v>PASS</x:v>
      </x:c>
      <x:c r="G90" t="str">
        <x:v>equals</x:v>
      </x:c>
      <x:c r="H90" t="str">
        <x:f>IF(E90=F90,"PASS","FAIL")</x:f>
        <x:v>PASS</x:v>
      </x:c>
    </x:row>
    <x:row r="91">
      <x:c r="B91" t="str">
        <x:v>A-00045</x:v>
      </x:c>
      <x:c r="C91" t="str">
        <x:v>GATE</x:v>
      </x:c>
      <x:c r="D91" t="str">
        <x:v>release state mirrors governing ledger</x:v>
      </x:c>
      <x:c r="E91" t="str">
        <x:f>'Release Gates'!I51</x:f>
        <x:v>PASS</x:v>
      </x:c>
      <x:c r="F91" t="str">
        <x:f>IF('Release Gates'!C51="PLANNING","PASS",IF('Release Gates'!C51="PHYSICAL","OPEN","BLOCKED"))</x:f>
        <x:v>PASS</x:v>
      </x:c>
      <x:c r="G91" t="str">
        <x:v>equals</x:v>
      </x:c>
      <x:c r="H91" t="str">
        <x:f>IF(E91=F91,"PASS","FAIL")</x:f>
        <x:v>PASS</x:v>
      </x:c>
    </x:row>
    <x:row r="92">
      <x:c r="B92" t="str">
        <x:v>A-00046</x:v>
      </x:c>
      <x:c r="C92" t="str">
        <x:v>GATE</x:v>
      </x:c>
      <x:c r="D92" t="str">
        <x:v>release state mirrors governing ledger</x:v>
      </x:c>
      <x:c r="E92" t="str">
        <x:f>'Release Gates'!I52</x:f>
        <x:v>PASS</x:v>
      </x:c>
      <x:c r="F92" t="str">
        <x:f>IF('Release Gates'!C52="PLANNING","PASS",IF('Release Gates'!C52="PHYSICAL","OPEN","BLOCKED"))</x:f>
        <x:v>PASS</x:v>
      </x:c>
      <x:c r="G92" t="str">
        <x:v>equals</x:v>
      </x:c>
      <x:c r="H92" t="str">
        <x:f>IF(E92=F92,"PASS","FAIL")</x:f>
        <x:v>PASS</x:v>
      </x:c>
    </x:row>
    <x:row r="93">
      <x:c r="B93" t="str">
        <x:v>A-00047</x:v>
      </x:c>
      <x:c r="C93" t="str">
        <x:v>GATE</x:v>
      </x:c>
      <x:c r="D93" t="str">
        <x:v>release state mirrors governing ledger</x:v>
      </x:c>
      <x:c r="E93" t="str">
        <x:f>'Release Gates'!I53</x:f>
        <x:v>PASS</x:v>
      </x:c>
      <x:c r="F93" t="str">
        <x:f>IF('Release Gates'!C53="PLANNING","PASS",IF('Release Gates'!C53="PHYSICAL","OPEN","BLOCKED"))</x:f>
        <x:v>PASS</x:v>
      </x:c>
      <x:c r="G93" t="str">
        <x:v>equals</x:v>
      </x:c>
      <x:c r="H93" t="str">
        <x:f>IF(E93=F93,"PASS","FAIL")</x:f>
        <x:v>PASS</x:v>
      </x:c>
    </x:row>
    <x:row r="94">
      <x:c r="B94" t="str">
        <x:v>A-00048</x:v>
      </x:c>
      <x:c r="C94" t="str">
        <x:v>GATE</x:v>
      </x:c>
      <x:c r="D94" t="str">
        <x:v>release state mirrors governing ledger</x:v>
      </x:c>
      <x:c r="E94" t="str">
        <x:f>'Release Gates'!I54</x:f>
        <x:v>PASS</x:v>
      </x:c>
      <x:c r="F94" t="str">
        <x:f>IF('Release Gates'!C54="PLANNING","PASS",IF('Release Gates'!C54="PHYSICAL","OPEN","BLOCKED"))</x:f>
        <x:v>PASS</x:v>
      </x:c>
      <x:c r="G94" t="str">
        <x:v>equals</x:v>
      </x:c>
      <x:c r="H94" t="str">
        <x:f>IF(E94=F94,"PASS","FAIL")</x:f>
        <x:v>PASS</x:v>
      </x:c>
    </x:row>
    <x:row r="95">
      <x:c r="B95" t="str">
        <x:v>A-00049</x:v>
      </x:c>
      <x:c r="C95" t="str">
        <x:v>GATE</x:v>
      </x:c>
      <x:c r="D95" t="str">
        <x:v>release state mirrors governing ledger</x:v>
      </x:c>
      <x:c r="E95" t="str">
        <x:f>'Release Gates'!I55</x:f>
        <x:v>PASS</x:v>
      </x:c>
      <x:c r="F95" t="str">
        <x:f>IF('Release Gates'!C55="PLANNING","PASS",IF('Release Gates'!C55="PHYSICAL","OPEN","BLOCKED"))</x:f>
        <x:v>PASS</x:v>
      </x:c>
      <x:c r="G95" t="str">
        <x:v>equals</x:v>
      </x:c>
      <x:c r="H95" t="str">
        <x:f>IF(E95=F95,"PASS","FAIL")</x:f>
        <x:v>PASS</x:v>
      </x:c>
    </x:row>
    <x:row r="96">
      <x:c r="B96" t="str">
        <x:v>A-00050</x:v>
      </x:c>
      <x:c r="C96" t="str">
        <x:v>GATE</x:v>
      </x:c>
      <x:c r="D96" t="str">
        <x:v>release state mirrors governing ledger</x:v>
      </x:c>
      <x:c r="E96" t="str">
        <x:f>'Release Gates'!I56</x:f>
        <x:v>PASS</x:v>
      </x:c>
      <x:c r="F96" t="str">
        <x:f>IF('Release Gates'!C56="PLANNING","PASS",IF('Release Gates'!C56="PHYSICAL","OPEN","BLOCKED"))</x:f>
        <x:v>PASS</x:v>
      </x:c>
      <x:c r="G96" t="str">
        <x:v>equals</x:v>
      </x:c>
      <x:c r="H96" t="str">
        <x:f>IF(E96=F96,"PASS","FAIL")</x:f>
        <x:v>PASS</x:v>
      </x:c>
    </x:row>
    <x:row r="97">
      <x:c r="B97" t="str">
        <x:v>A-00051</x:v>
      </x:c>
      <x:c r="C97" t="str">
        <x:v>GATE</x:v>
      </x:c>
      <x:c r="D97" t="str">
        <x:v>release state mirrors governing ledger</x:v>
      </x:c>
      <x:c r="E97" t="str">
        <x:f>'Release Gates'!I57</x:f>
        <x:v>PASS</x:v>
      </x:c>
      <x:c r="F97" t="str">
        <x:f>IF('Release Gates'!C57="PLANNING","PASS",IF('Release Gates'!C57="PHYSICAL","OPEN","BLOCKED"))</x:f>
        <x:v>PASS</x:v>
      </x:c>
      <x:c r="G97" t="str">
        <x:v>equals</x:v>
      </x:c>
      <x:c r="H97" t="str">
        <x:f>IF(E97=F97,"PASS","FAIL")</x:f>
        <x:v>PASS</x:v>
      </x:c>
    </x:row>
    <x:row r="98">
      <x:c r="B98" t="str">
        <x:v>A-00052</x:v>
      </x:c>
      <x:c r="C98" t="str">
        <x:v>GATE</x:v>
      </x:c>
      <x:c r="D98" t="str">
        <x:v>release state mirrors governing ledger</x:v>
      </x:c>
      <x:c r="E98" t="str">
        <x:f>'Release Gates'!I58</x:f>
        <x:v>PASS</x:v>
      </x:c>
      <x:c r="F98" t="str">
        <x:f>IF('Release Gates'!C58="PLANNING","PASS",IF('Release Gates'!C58="PHYSICAL","OPEN","BLOCKED"))</x:f>
        <x:v>PASS</x:v>
      </x:c>
      <x:c r="G98" t="str">
        <x:v>equals</x:v>
      </x:c>
      <x:c r="H98" t="str">
        <x:f>IF(E98=F98,"PASS","FAIL")</x:f>
        <x:v>PASS</x:v>
      </x:c>
    </x:row>
    <x:row r="99">
      <x:c r="B99" t="str">
        <x:v>A-00053</x:v>
      </x:c>
      <x:c r="C99" t="str">
        <x:v>GATE</x:v>
      </x:c>
      <x:c r="D99" t="str">
        <x:v>release state mirrors governing ledger</x:v>
      </x:c>
      <x:c r="E99" t="str">
        <x:f>'Release Gates'!I59</x:f>
        <x:v>PASS</x:v>
      </x:c>
      <x:c r="F99" t="str">
        <x:f>IF('Release Gates'!C59="PLANNING","PASS",IF('Release Gates'!C59="PHYSICAL","OPEN","BLOCKED"))</x:f>
        <x:v>PASS</x:v>
      </x:c>
      <x:c r="G99" t="str">
        <x:v>equals</x:v>
      </x:c>
      <x:c r="H99" t="str">
        <x:f>IF(E99=F99,"PASS","FAIL")</x:f>
        <x:v>PASS</x:v>
      </x:c>
    </x:row>
    <x:row r="100">
      <x:c r="B100" t="str">
        <x:v>A-00054</x:v>
      </x:c>
      <x:c r="C100" t="str">
        <x:v>GATE</x:v>
      </x:c>
      <x:c r="D100" t="str">
        <x:v>release state mirrors governing ledger</x:v>
      </x:c>
      <x:c r="E100" t="str">
        <x:f>'Release Gates'!I60</x:f>
        <x:v>PASS</x:v>
      </x:c>
      <x:c r="F100" t="str">
        <x:f>IF('Release Gates'!C60="PLANNING","PASS",IF('Release Gates'!C60="PHYSICAL","OPEN","BLOCKED"))</x:f>
        <x:v>PASS</x:v>
      </x:c>
      <x:c r="G100" t="str">
        <x:v>equals</x:v>
      </x:c>
      <x:c r="H100" t="str">
        <x:f>IF(E100=F100,"PASS","FAIL")</x:f>
        <x:v>PASS</x:v>
      </x:c>
    </x:row>
    <x:row r="101">
      <x:c r="B101" t="str">
        <x:v>A-00055</x:v>
      </x:c>
      <x:c r="C101" t="str">
        <x:v>GATE</x:v>
      </x:c>
      <x:c r="D101" t="str">
        <x:v>release state mirrors governing ledger</x:v>
      </x:c>
      <x:c r="E101" t="str">
        <x:f>'Release Gates'!I61</x:f>
        <x:v>PASS</x:v>
      </x:c>
      <x:c r="F101" t="str">
        <x:f>IF('Release Gates'!C61="PLANNING","PASS",IF('Release Gates'!C61="PHYSICAL","OPEN","BLOCKED"))</x:f>
        <x:v>PASS</x:v>
      </x:c>
      <x:c r="G101" t="str">
        <x:v>equals</x:v>
      </x:c>
      <x:c r="H101" t="str">
        <x:f>IF(E101=F101,"PASS","FAIL")</x:f>
        <x:v>PASS</x:v>
      </x:c>
    </x:row>
    <x:row r="102">
      <x:c r="B102" t="str">
        <x:v>A-00056</x:v>
      </x:c>
      <x:c r="C102" t="str">
        <x:v>GATE</x:v>
      </x:c>
      <x:c r="D102" t="str">
        <x:v>release state mirrors governing ledger</x:v>
      </x:c>
      <x:c r="E102" t="str">
        <x:f>'Release Gates'!I62</x:f>
        <x:v>PASS</x:v>
      </x:c>
      <x:c r="F102" t="str">
        <x:f>IF('Release Gates'!C62="PLANNING","PASS",IF('Release Gates'!C62="PHYSICAL","OPEN","BLOCKED"))</x:f>
        <x:v>PASS</x:v>
      </x:c>
      <x:c r="G102" t="str">
        <x:v>equals</x:v>
      </x:c>
      <x:c r="H102" t="str">
        <x:f>IF(E102=F102,"PASS","FAIL")</x:f>
        <x:v>PASS</x:v>
      </x:c>
    </x:row>
    <x:row r="103">
      <x:c r="B103" t="str">
        <x:v>A-00057</x:v>
      </x:c>
      <x:c r="C103" t="str">
        <x:v>GATE</x:v>
      </x:c>
      <x:c r="D103" t="str">
        <x:v>release state mirrors governing ledger</x:v>
      </x:c>
      <x:c r="E103" t="str">
        <x:f>'Release Gates'!I63</x:f>
        <x:v>PASS</x:v>
      </x:c>
      <x:c r="F103" t="str">
        <x:f>IF('Release Gates'!C63="PLANNING","PASS",IF('Release Gates'!C63="PHYSICAL","OPEN","BLOCKED"))</x:f>
        <x:v>PASS</x:v>
      </x:c>
      <x:c r="G103" t="str">
        <x:v>equals</x:v>
      </x:c>
      <x:c r="H103" t="str">
        <x:f>IF(E103=F103,"PASS","FAIL")</x:f>
        <x:v>PASS</x:v>
      </x:c>
    </x:row>
    <x:row r="104">
      <x:c r="B104" t="str">
        <x:v>A-00058</x:v>
      </x:c>
      <x:c r="C104" t="str">
        <x:v>GATE</x:v>
      </x:c>
      <x:c r="D104" t="str">
        <x:v>release state mirrors governing ledger</x:v>
      </x:c>
      <x:c r="E104" t="str">
        <x:f>'Release Gates'!I64</x:f>
        <x:v>PASS</x:v>
      </x:c>
      <x:c r="F104" t="str">
        <x:f>IF('Release Gates'!C64="PLANNING","PASS",IF('Release Gates'!C64="PHYSICAL","OPEN","BLOCKED"))</x:f>
        <x:v>PASS</x:v>
      </x:c>
      <x:c r="G104" t="str">
        <x:v>equals</x:v>
      </x:c>
      <x:c r="H104" t="str">
        <x:f>IF(E104=F104,"PASS","FAIL")</x:f>
        <x:v>PASS</x:v>
      </x:c>
    </x:row>
    <x:row r="105">
      <x:c r="B105" t="str">
        <x:v>A-00059</x:v>
      </x:c>
      <x:c r="C105" t="str">
        <x:v>GATE</x:v>
      </x:c>
      <x:c r="D105" t="str">
        <x:v>release state mirrors governing ledger</x:v>
      </x:c>
      <x:c r="E105" t="str">
        <x:f>'Release Gates'!I65</x:f>
        <x:v>PASS</x:v>
      </x:c>
      <x:c r="F105" t="str">
        <x:f>IF('Release Gates'!C65="PLANNING","PASS",IF('Release Gates'!C65="PHYSICAL","OPEN","BLOCKED"))</x:f>
        <x:v>PASS</x:v>
      </x:c>
      <x:c r="G105" t="str">
        <x:v>equals</x:v>
      </x:c>
      <x:c r="H105" t="str">
        <x:f>IF(E105=F105,"PASS","FAIL")</x:f>
        <x:v>PASS</x:v>
      </x:c>
    </x:row>
    <x:row r="106">
      <x:c r="B106" t="str">
        <x:v>A-00060</x:v>
      </x:c>
      <x:c r="C106" t="str">
        <x:v>GATE</x:v>
      </x:c>
      <x:c r="D106" t="str">
        <x:v>release state mirrors governing ledger</x:v>
      </x:c>
      <x:c r="E106" t="str">
        <x:f>'Release Gates'!I66</x:f>
        <x:v>PASS</x:v>
      </x:c>
      <x:c r="F106" t="str">
        <x:f>IF('Release Gates'!C66="PLANNING","PASS",IF('Release Gates'!C66="PHYSICAL","OPEN","BLOCKED"))</x:f>
        <x:v>PASS</x:v>
      </x:c>
      <x:c r="G106" t="str">
        <x:v>equals</x:v>
      </x:c>
      <x:c r="H106" t="str">
        <x:f>IF(E106=F106,"PASS","FAIL")</x:f>
        <x:v>PASS</x:v>
      </x:c>
    </x:row>
    <x:row r="107">
      <x:c r="B107" t="str">
        <x:v>A-00061</x:v>
      </x:c>
      <x:c r="C107" t="str">
        <x:v>GATE</x:v>
      </x:c>
      <x:c r="D107" t="str">
        <x:v>release state mirrors governing ledger</x:v>
      </x:c>
      <x:c r="E107" t="str">
        <x:f>'Release Gates'!I67</x:f>
        <x:v>PASS</x:v>
      </x:c>
      <x:c r="F107" t="str">
        <x:f>IF('Release Gates'!C67="PLANNING","PASS",IF('Release Gates'!C67="PHYSICAL","OPEN","BLOCKED"))</x:f>
        <x:v>PASS</x:v>
      </x:c>
      <x:c r="G107" t="str">
        <x:v>equals</x:v>
      </x:c>
      <x:c r="H107" t="str">
        <x:f>IF(E107=F107,"PASS","FAIL")</x:f>
        <x:v>PASS</x:v>
      </x:c>
    </x:row>
    <x:row r="108">
      <x:c r="B108" t="str">
        <x:v>A-00062</x:v>
      </x:c>
      <x:c r="C108" t="str">
        <x:v>GATE</x:v>
      </x:c>
      <x:c r="D108" t="str">
        <x:v>release state mirrors governing ledger</x:v>
      </x:c>
      <x:c r="E108" t="str">
        <x:f>'Release Gates'!I68</x:f>
        <x:v>PASS</x:v>
      </x:c>
      <x:c r="F108" t="str">
        <x:f>IF('Release Gates'!C68="PLANNING","PASS",IF('Release Gates'!C68="PHYSICAL","OPEN","BLOCKED"))</x:f>
        <x:v>PASS</x:v>
      </x:c>
      <x:c r="G108" t="str">
        <x:v>equals</x:v>
      </x:c>
      <x:c r="H108" t="str">
        <x:f>IF(E108=F108,"PASS","FAIL")</x:f>
        <x:v>PASS</x:v>
      </x:c>
    </x:row>
    <x:row r="109">
      <x:c r="B109" t="str">
        <x:v>A-00063</x:v>
      </x:c>
      <x:c r="C109" t="str">
        <x:v>GATE</x:v>
      </x:c>
      <x:c r="D109" t="str">
        <x:v>release state mirrors governing ledger</x:v>
      </x:c>
      <x:c r="E109" t="str">
        <x:f>'Release Gates'!I69</x:f>
        <x:v>PASS</x:v>
      </x:c>
      <x:c r="F109" t="str">
        <x:f>IF('Release Gates'!C69="PLANNING","PASS",IF('Release Gates'!C69="PHYSICAL","OPEN","BLOCKED"))</x:f>
        <x:v>PASS</x:v>
      </x:c>
      <x:c r="G109" t="str">
        <x:v>equals</x:v>
      </x:c>
      <x:c r="H109" t="str">
        <x:f>IF(E109=F109,"PASS","FAIL")</x:f>
        <x:v>PASS</x:v>
      </x:c>
    </x:row>
    <x:row r="110">
      <x:c r="B110" t="str">
        <x:v>A-00064</x:v>
      </x:c>
      <x:c r="C110" t="str">
        <x:v>GATE</x:v>
      </x:c>
      <x:c r="D110" t="str">
        <x:v>release state mirrors governing ledger</x:v>
      </x:c>
      <x:c r="E110" t="str">
        <x:f>'Release Gates'!I70</x:f>
        <x:v>PASS</x:v>
      </x:c>
      <x:c r="F110" t="str">
        <x:f>IF('Release Gates'!C70="PLANNING","PASS",IF('Release Gates'!C70="PHYSICAL","OPEN","BLOCKED"))</x:f>
        <x:v>PASS</x:v>
      </x:c>
      <x:c r="G110" t="str">
        <x:v>equals</x:v>
      </x:c>
      <x:c r="H110" t="str">
        <x:f>IF(E110=F110,"PASS","FAIL")</x:f>
        <x:v>PASS</x:v>
      </x:c>
    </x:row>
    <x:row r="111">
      <x:c r="B111" t="str">
        <x:v>A-00065</x:v>
      </x:c>
      <x:c r="C111" t="str">
        <x:v>GATE</x:v>
      </x:c>
      <x:c r="D111" t="str">
        <x:v>release state mirrors governing ledger</x:v>
      </x:c>
      <x:c r="E111" t="str">
        <x:f>'Release Gates'!I71</x:f>
        <x:v>PASS</x:v>
      </x:c>
      <x:c r="F111" t="str">
        <x:f>IF('Release Gates'!C71="PLANNING","PASS",IF('Release Gates'!C71="PHYSICAL","OPEN","BLOCKED"))</x:f>
        <x:v>PASS</x:v>
      </x:c>
      <x:c r="G111" t="str">
        <x:v>equals</x:v>
      </x:c>
      <x:c r="H111" t="str">
        <x:f>IF(E111=F111,"PASS","FAIL")</x:f>
        <x:v>PASS</x:v>
      </x:c>
    </x:row>
    <x:row r="112">
      <x:c r="B112" t="str">
        <x:v>A-00066</x:v>
      </x:c>
      <x:c r="C112" t="str">
        <x:v>GATE</x:v>
      </x:c>
      <x:c r="D112" t="str">
        <x:v>release state mirrors governing ledger</x:v>
      </x:c>
      <x:c r="E112" t="str">
        <x:f>'Release Gates'!I72</x:f>
        <x:v>PASS</x:v>
      </x:c>
      <x:c r="F112" t="str">
        <x:f>IF('Release Gates'!C72="PLANNING","PASS",IF('Release Gates'!C72="PHYSICAL","OPEN","BLOCKED"))</x:f>
        <x:v>PASS</x:v>
      </x:c>
      <x:c r="G112" t="str">
        <x:v>equals</x:v>
      </x:c>
      <x:c r="H112" t="str">
        <x:f>IF(E112=F112,"PASS","FAIL")</x:f>
        <x:v>PASS</x:v>
      </x:c>
    </x:row>
    <x:row r="113">
      <x:c r="B113" t="str">
        <x:v>A-00067</x:v>
      </x:c>
      <x:c r="C113" t="str">
        <x:v>GATE</x:v>
      </x:c>
      <x:c r="D113" t="str">
        <x:v>release state mirrors governing ledger</x:v>
      </x:c>
      <x:c r="E113" t="str">
        <x:f>'Release Gates'!I73</x:f>
        <x:v>PASS</x:v>
      </x:c>
      <x:c r="F113" t="str">
        <x:f>IF('Release Gates'!C73="PLANNING","PASS",IF('Release Gates'!C73="PHYSICAL","OPEN","BLOCKED"))</x:f>
        <x:v>PASS</x:v>
      </x:c>
      <x:c r="G113" t="str">
        <x:v>equals</x:v>
      </x:c>
      <x:c r="H113" t="str">
        <x:f>IF(E113=F113,"PASS","FAIL")</x:f>
        <x:v>PASS</x:v>
      </x:c>
    </x:row>
    <x:row r="114">
      <x:c r="B114" t="str">
        <x:v>A-00068</x:v>
      </x:c>
      <x:c r="C114" t="str">
        <x:v>GATE</x:v>
      </x:c>
      <x:c r="D114" t="str">
        <x:v>release state mirrors governing ledger</x:v>
      </x:c>
      <x:c r="E114" t="str">
        <x:f>'Release Gates'!I74</x:f>
        <x:v>PASS</x:v>
      </x:c>
      <x:c r="F114" t="str">
        <x:f>IF('Release Gates'!C74="PLANNING","PASS",IF('Release Gates'!C74="PHYSICAL","OPEN","BLOCKED"))</x:f>
        <x:v>PASS</x:v>
      </x:c>
      <x:c r="G114" t="str">
        <x:v>equals</x:v>
      </x:c>
      <x:c r="H114" t="str">
        <x:f>IF(E114=F114,"PASS","FAIL")</x:f>
        <x:v>PASS</x:v>
      </x:c>
    </x:row>
    <x:row r="115">
      <x:c r="B115" t="str">
        <x:v>A-00069</x:v>
      </x:c>
      <x:c r="C115" t="str">
        <x:v>GATE</x:v>
      </x:c>
      <x:c r="D115" t="str">
        <x:v>release state mirrors governing ledger</x:v>
      </x:c>
      <x:c r="E115" t="str">
        <x:f>'Release Gates'!I75</x:f>
        <x:v>PASS</x:v>
      </x:c>
      <x:c r="F115" t="str">
        <x:f>IF('Release Gates'!C75="PLANNING","PASS",IF('Release Gates'!C75="PHYSICAL","OPEN","BLOCKED"))</x:f>
        <x:v>PASS</x:v>
      </x:c>
      <x:c r="G115" t="str">
        <x:v>equals</x:v>
      </x:c>
      <x:c r="H115" t="str">
        <x:f>IF(E115=F115,"PASS","FAIL")</x:f>
        <x:v>PASS</x:v>
      </x:c>
    </x:row>
    <x:row r="116">
      <x:c r="B116" t="str">
        <x:v>A-00070</x:v>
      </x:c>
      <x:c r="C116" t="str">
        <x:v>GATE</x:v>
      </x:c>
      <x:c r="D116" t="str">
        <x:v>release state mirrors governing ledger</x:v>
      </x:c>
      <x:c r="E116" t="str">
        <x:f>'Release Gates'!I76</x:f>
        <x:v>PASS</x:v>
      </x:c>
      <x:c r="F116" t="str">
        <x:f>IF('Release Gates'!C76="PLANNING","PASS",IF('Release Gates'!C76="PHYSICAL","OPEN","BLOCKED"))</x:f>
        <x:v>PASS</x:v>
      </x:c>
      <x:c r="G116" t="str">
        <x:v>equals</x:v>
      </x:c>
      <x:c r="H116" t="str">
        <x:f>IF(E116=F116,"PASS","FAIL")</x:f>
        <x:v>PASS</x:v>
      </x:c>
    </x:row>
    <x:row r="117">
      <x:c r="B117" t="str">
        <x:v>A-00071</x:v>
      </x:c>
      <x:c r="C117" t="str">
        <x:v>GATE</x:v>
      </x:c>
      <x:c r="D117" t="str">
        <x:v>release state mirrors governing ledger</x:v>
      </x:c>
      <x:c r="E117" t="str">
        <x:f>'Release Gates'!I77</x:f>
        <x:v>PASS</x:v>
      </x:c>
      <x:c r="F117" t="str">
        <x:f>IF('Release Gates'!C77="PLANNING","PASS",IF('Release Gates'!C77="PHYSICAL","OPEN","BLOCKED"))</x:f>
        <x:v>PASS</x:v>
      </x:c>
      <x:c r="G117" t="str">
        <x:v>equals</x:v>
      </x:c>
      <x:c r="H117" t="str">
        <x:f>IF(E117=F117,"PASS","FAIL")</x:f>
        <x:v>PASS</x:v>
      </x:c>
    </x:row>
    <x:row r="118">
      <x:c r="B118" t="str">
        <x:v>A-00072</x:v>
      </x:c>
      <x:c r="C118" t="str">
        <x:v>GATE</x:v>
      </x:c>
      <x:c r="D118" t="str">
        <x:v>release state mirrors governing ledger</x:v>
      </x:c>
      <x:c r="E118" t="str">
        <x:f>'Release Gates'!I78</x:f>
        <x:v>PASS</x:v>
      </x:c>
      <x:c r="F118" t="str">
        <x:f>IF('Release Gates'!C78="PLANNING","PASS",IF('Release Gates'!C78="PHYSICAL","OPEN","BLOCKED"))</x:f>
        <x:v>PASS</x:v>
      </x:c>
      <x:c r="G118" t="str">
        <x:v>equals</x:v>
      </x:c>
      <x:c r="H118" t="str">
        <x:f>IF(E118=F118,"PASS","FAIL")</x:f>
        <x:v>PASS</x:v>
      </x:c>
    </x:row>
    <x:row r="119">
      <x:c r="B119" t="str">
        <x:v>A-00073</x:v>
      </x:c>
      <x:c r="C119" t="str">
        <x:v>GATE</x:v>
      </x:c>
      <x:c r="D119" t="str">
        <x:v>release state mirrors governing ledger</x:v>
      </x:c>
      <x:c r="E119" t="str">
        <x:f>'Release Gates'!I79</x:f>
        <x:v>PASS</x:v>
      </x:c>
      <x:c r="F119" t="str">
        <x:f>IF('Release Gates'!C79="PLANNING","PASS",IF('Release Gates'!C79="PHYSICAL","OPEN","BLOCKED"))</x:f>
        <x:v>PASS</x:v>
      </x:c>
      <x:c r="G119" t="str">
        <x:v>equals</x:v>
      </x:c>
      <x:c r="H119" t="str">
        <x:f>IF(E119=F119,"PASS","FAIL")</x:f>
        <x:v>PASS</x:v>
      </x:c>
    </x:row>
    <x:row r="120">
      <x:c r="B120" t="str">
        <x:v>A-00074</x:v>
      </x:c>
      <x:c r="C120" t="str">
        <x:v>GATE</x:v>
      </x:c>
      <x:c r="D120" t="str">
        <x:v>release state mirrors governing ledger</x:v>
      </x:c>
      <x:c r="E120" t="str">
        <x:f>'Release Gates'!I80</x:f>
        <x:v>PASS</x:v>
      </x:c>
      <x:c r="F120" t="str">
        <x:f>IF('Release Gates'!C80="PLANNING","PASS",IF('Release Gates'!C80="PHYSICAL","OPEN","BLOCKED"))</x:f>
        <x:v>PASS</x:v>
      </x:c>
      <x:c r="G120" t="str">
        <x:v>equals</x:v>
      </x:c>
      <x:c r="H120" t="str">
        <x:f>IF(E120=F120,"PASS","FAIL")</x:f>
        <x:v>PASS</x:v>
      </x:c>
    </x:row>
    <x:row r="121">
      <x:c r="B121" t="str">
        <x:v>A-00075</x:v>
      </x:c>
      <x:c r="C121" t="str">
        <x:v>GATE</x:v>
      </x:c>
      <x:c r="D121" t="str">
        <x:v>release state mirrors governing ledger</x:v>
      </x:c>
      <x:c r="E121" t="str">
        <x:f>'Release Gates'!I81</x:f>
        <x:v>PASS</x:v>
      </x:c>
      <x:c r="F121" t="str">
        <x:f>IF('Release Gates'!C81="PLANNING","PASS",IF('Release Gates'!C81="PHYSICAL","OPEN","BLOCKED"))</x:f>
        <x:v>PASS</x:v>
      </x:c>
      <x:c r="G121" t="str">
        <x:v>equals</x:v>
      </x:c>
      <x:c r="H121" t="str">
        <x:f>IF(E121=F121,"PASS","FAIL")</x:f>
        <x:v>PASS</x:v>
      </x:c>
    </x:row>
    <x:row r="122">
      <x:c r="B122" t="str">
        <x:v>A-00076</x:v>
      </x:c>
      <x:c r="C122" t="str">
        <x:v>GATE</x:v>
      </x:c>
      <x:c r="D122" t="str">
        <x:v>release state mirrors governing ledger</x:v>
      </x:c>
      <x:c r="E122" t="str">
        <x:f>'Release Gates'!I82</x:f>
        <x:v>PASS</x:v>
      </x:c>
      <x:c r="F122" t="str">
        <x:f>IF('Release Gates'!C82="PLANNING","PASS",IF('Release Gates'!C82="PHYSICAL","OPEN","BLOCKED"))</x:f>
        <x:v>PASS</x:v>
      </x:c>
      <x:c r="G122" t="str">
        <x:v>equals</x:v>
      </x:c>
      <x:c r="H122" t="str">
        <x:f>IF(E122=F122,"PASS","FAIL")</x:f>
        <x:v>PASS</x:v>
      </x:c>
    </x:row>
    <x:row r="123">
      <x:c r="B123" t="str">
        <x:v>A-00077</x:v>
      </x:c>
      <x:c r="C123" t="str">
        <x:v>GATE</x:v>
      </x:c>
      <x:c r="D123" t="str">
        <x:v>release state mirrors governing ledger</x:v>
      </x:c>
      <x:c r="E123" t="str">
        <x:f>'Release Gates'!I83</x:f>
        <x:v>PASS</x:v>
      </x:c>
      <x:c r="F123" t="str">
        <x:f>IF('Release Gates'!C83="PLANNING","PASS",IF('Release Gates'!C83="PHYSICAL","OPEN","BLOCKED"))</x:f>
        <x:v>PASS</x:v>
      </x:c>
      <x:c r="G123" t="str">
        <x:v>equals</x:v>
      </x:c>
      <x:c r="H123" t="str">
        <x:f>IF(E123=F123,"PASS","FAIL")</x:f>
        <x:v>PASS</x:v>
      </x:c>
    </x:row>
    <x:row r="124">
      <x:c r="B124" t="str">
        <x:v>A-00078</x:v>
      </x:c>
      <x:c r="C124" t="str">
        <x:v>GATE</x:v>
      </x:c>
      <x:c r="D124" t="str">
        <x:v>release state mirrors governing ledger</x:v>
      </x:c>
      <x:c r="E124" t="str">
        <x:f>'Release Gates'!I84</x:f>
        <x:v>PASS</x:v>
      </x:c>
      <x:c r="F124" t="str">
        <x:f>IF('Release Gates'!C84="PLANNING","PASS",IF('Release Gates'!C84="PHYSICAL","OPEN","BLOCKED"))</x:f>
        <x:v>PASS</x:v>
      </x:c>
      <x:c r="G124" t="str">
        <x:v>equals</x:v>
      </x:c>
      <x:c r="H124" t="str">
        <x:f>IF(E124=F124,"PASS","FAIL")</x:f>
        <x:v>PASS</x:v>
      </x:c>
    </x:row>
    <x:row r="125">
      <x:c r="B125" t="str">
        <x:v>A-00079</x:v>
      </x:c>
      <x:c r="C125" t="str">
        <x:v>GATE</x:v>
      </x:c>
      <x:c r="D125" t="str">
        <x:v>release state mirrors governing ledger</x:v>
      </x:c>
      <x:c r="E125" t="str">
        <x:f>'Release Gates'!I85</x:f>
        <x:v>PASS</x:v>
      </x:c>
      <x:c r="F125" t="str">
        <x:f>IF('Release Gates'!C85="PLANNING","PASS",IF('Release Gates'!C85="PHYSICAL","OPEN","BLOCKED"))</x:f>
        <x:v>PASS</x:v>
      </x:c>
      <x:c r="G125" t="str">
        <x:v>equals</x:v>
      </x:c>
      <x:c r="H125" t="str">
        <x:f>IF(E125=F125,"PASS","FAIL")</x:f>
        <x:v>PASS</x:v>
      </x:c>
    </x:row>
    <x:row r="126">
      <x:c r="B126" t="str">
        <x:v>A-00080</x:v>
      </x:c>
      <x:c r="C126" t="str">
        <x:v>GATE</x:v>
      </x:c>
      <x:c r="D126" t="str">
        <x:v>release state mirrors governing ledger</x:v>
      </x:c>
      <x:c r="E126" t="str">
        <x:f>'Release Gates'!I86</x:f>
        <x:v>PASS</x:v>
      </x:c>
      <x:c r="F126" t="str">
        <x:f>IF('Release Gates'!C86="PLANNING","PASS",IF('Release Gates'!C86="PHYSICAL","OPEN","BLOCKED"))</x:f>
        <x:v>PASS</x:v>
      </x:c>
      <x:c r="G126" t="str">
        <x:v>equals</x:v>
      </x:c>
      <x:c r="H126" t="str">
        <x:f>IF(E126=F126,"PASS","FAIL")</x:f>
        <x:v>PASS</x:v>
      </x:c>
    </x:row>
    <x:row r="127">
      <x:c r="B127" t="str">
        <x:v>A-00081</x:v>
      </x:c>
      <x:c r="C127" t="str">
        <x:v>GATE</x:v>
      </x:c>
      <x:c r="D127" t="str">
        <x:v>release state mirrors governing ledger</x:v>
      </x:c>
      <x:c r="E127" t="str">
        <x:f>'Release Gates'!I87</x:f>
        <x:v>PASS</x:v>
      </x:c>
      <x:c r="F127" t="str">
        <x:f>IF('Release Gates'!C87="PLANNING","PASS",IF('Release Gates'!C87="PHYSICAL","OPEN","BLOCKED"))</x:f>
        <x:v>PASS</x:v>
      </x:c>
      <x:c r="G127" t="str">
        <x:v>equals</x:v>
      </x:c>
      <x:c r="H127" t="str">
        <x:f>IF(E127=F127,"PASS","FAIL")</x:f>
        <x:v>PASS</x:v>
      </x:c>
    </x:row>
    <x:row r="128">
      <x:c r="B128" t="str">
        <x:v>A-00082</x:v>
      </x:c>
      <x:c r="C128" t="str">
        <x:v>GATE</x:v>
      </x:c>
      <x:c r="D128" t="str">
        <x:v>release state mirrors governing ledger</x:v>
      </x:c>
      <x:c r="E128" t="str">
        <x:f>'Release Gates'!I88</x:f>
        <x:v>PASS</x:v>
      </x:c>
      <x:c r="F128" t="str">
        <x:f>IF('Release Gates'!C88="PLANNING","PASS",IF('Release Gates'!C88="PHYSICAL","OPEN","BLOCKED"))</x:f>
        <x:v>PASS</x:v>
      </x:c>
      <x:c r="G128" t="str">
        <x:v>equals</x:v>
      </x:c>
      <x:c r="H128" t="str">
        <x:f>IF(E128=F128,"PASS","FAIL")</x:f>
        <x:v>PASS</x:v>
      </x:c>
    </x:row>
    <x:row r="129">
      <x:c r="B129" t="str">
        <x:v>A-00083</x:v>
      </x:c>
      <x:c r="C129" t="str">
        <x:v>GATE</x:v>
      </x:c>
      <x:c r="D129" t="str">
        <x:v>release state mirrors governing ledger</x:v>
      </x:c>
      <x:c r="E129" t="str">
        <x:f>'Release Gates'!I89</x:f>
        <x:v>PASS</x:v>
      </x:c>
      <x:c r="F129" t="str">
        <x:f>IF('Release Gates'!C89="PLANNING","PASS",IF('Release Gates'!C89="PHYSICAL","OPEN","BLOCKED"))</x:f>
        <x:v>PASS</x:v>
      </x:c>
      <x:c r="G129" t="str">
        <x:v>equals</x:v>
      </x:c>
      <x:c r="H129" t="str">
        <x:f>IF(E129=F129,"PASS","FAIL")</x:f>
        <x:v>PASS</x:v>
      </x:c>
    </x:row>
    <x:row r="130">
      <x:c r="B130" t="str">
        <x:v>A-00084</x:v>
      </x:c>
      <x:c r="C130" t="str">
        <x:v>GATE</x:v>
      </x:c>
      <x:c r="D130" t="str">
        <x:v>release state mirrors governing ledger</x:v>
      </x:c>
      <x:c r="E130" t="str">
        <x:f>'Release Gates'!I90</x:f>
        <x:v>PASS</x:v>
      </x:c>
      <x:c r="F130" t="str">
        <x:f>IF('Release Gates'!C90="PLANNING","PASS",IF('Release Gates'!C90="PHYSICAL","OPEN","BLOCKED"))</x:f>
        <x:v>PASS</x:v>
      </x:c>
      <x:c r="G130" t="str">
        <x:v>equals</x:v>
      </x:c>
      <x:c r="H130" t="str">
        <x:f>IF(E130=F130,"PASS","FAIL")</x:f>
        <x:v>PASS</x:v>
      </x:c>
    </x:row>
    <x:row r="131">
      <x:c r="B131" t="str">
        <x:v>A-00085</x:v>
      </x:c>
      <x:c r="C131" t="str">
        <x:v>GATE</x:v>
      </x:c>
      <x:c r="D131" t="str">
        <x:v>release state mirrors governing ledger</x:v>
      </x:c>
      <x:c r="E131" t="str">
        <x:f>'Release Gates'!I91</x:f>
        <x:v>PASS</x:v>
      </x:c>
      <x:c r="F131" t="str">
        <x:f>IF('Release Gates'!C91="PLANNING","PASS",IF('Release Gates'!C91="PHYSICAL","OPEN","BLOCKED"))</x:f>
        <x:v>PASS</x:v>
      </x:c>
      <x:c r="G131" t="str">
        <x:v>equals</x:v>
      </x:c>
      <x:c r="H131" t="str">
        <x:f>IF(E131=F131,"PASS","FAIL")</x:f>
        <x:v>PASS</x:v>
      </x:c>
    </x:row>
    <x:row r="132">
      <x:c r="B132" t="str">
        <x:v>A-00086</x:v>
      </x:c>
      <x:c r="C132" t="str">
        <x:v>GATE</x:v>
      </x:c>
      <x:c r="D132" t="str">
        <x:v>release state mirrors governing ledger</x:v>
      </x:c>
      <x:c r="E132" t="str">
        <x:f>'Release Gates'!I92</x:f>
        <x:v>PASS</x:v>
      </x:c>
      <x:c r="F132" t="str">
        <x:f>IF('Release Gates'!C92="PLANNING","PASS",IF('Release Gates'!C92="PHYSICAL","OPEN","BLOCKED"))</x:f>
        <x:v>PASS</x:v>
      </x:c>
      <x:c r="G132" t="str">
        <x:v>equals</x:v>
      </x:c>
      <x:c r="H132" t="str">
        <x:f>IF(E132=F132,"PASS","FAIL")</x:f>
        <x:v>PASS</x:v>
      </x:c>
    </x:row>
    <x:row r="133">
      <x:c r="B133" t="str">
        <x:v>A-00087</x:v>
      </x:c>
      <x:c r="C133" t="str">
        <x:v>GATE</x:v>
      </x:c>
      <x:c r="D133" t="str">
        <x:v>release state mirrors governing ledger</x:v>
      </x:c>
      <x:c r="E133" t="str">
        <x:f>'Release Gates'!I93</x:f>
        <x:v>PASS</x:v>
      </x:c>
      <x:c r="F133" t="str">
        <x:f>IF('Release Gates'!C93="PLANNING","PASS",IF('Release Gates'!C93="PHYSICAL","OPEN","BLOCKED"))</x:f>
        <x:v>PASS</x:v>
      </x:c>
      <x:c r="G133" t="str">
        <x:v>equals</x:v>
      </x:c>
      <x:c r="H133" t="str">
        <x:f>IF(E133=F133,"PASS","FAIL")</x:f>
        <x:v>PASS</x:v>
      </x:c>
    </x:row>
    <x:row r="134">
      <x:c r="B134" t="str">
        <x:v>A-00088</x:v>
      </x:c>
      <x:c r="C134" t="str">
        <x:v>GATE</x:v>
      </x:c>
      <x:c r="D134" t="str">
        <x:v>release state mirrors governing ledger</x:v>
      </x:c>
      <x:c r="E134" t="str">
        <x:f>'Release Gates'!I94</x:f>
        <x:v>PASS</x:v>
      </x:c>
      <x:c r="F134" t="str">
        <x:f>IF('Release Gates'!C94="PLANNING","PASS",IF('Release Gates'!C94="PHYSICAL","OPEN","BLOCKED"))</x:f>
        <x:v>PASS</x:v>
      </x:c>
      <x:c r="G134" t="str">
        <x:v>equals</x:v>
      </x:c>
      <x:c r="H134" t="str">
        <x:f>IF(E134=F134,"PASS","FAIL")</x:f>
        <x:v>PASS</x:v>
      </x:c>
    </x:row>
    <x:row r="135">
      <x:c r="B135" t="str">
        <x:v>A-00089</x:v>
      </x:c>
      <x:c r="C135" t="str">
        <x:v>GATE</x:v>
      </x:c>
      <x:c r="D135" t="str">
        <x:v>release state mirrors governing ledger</x:v>
      </x:c>
      <x:c r="E135" t="str">
        <x:f>'Release Gates'!I95</x:f>
        <x:v>PASS</x:v>
      </x:c>
      <x:c r="F135" t="str">
        <x:f>IF('Release Gates'!C95="PLANNING","PASS",IF('Release Gates'!C95="PHYSICAL","OPEN","BLOCKED"))</x:f>
        <x:v>PASS</x:v>
      </x:c>
      <x:c r="G135" t="str">
        <x:v>equals</x:v>
      </x:c>
      <x:c r="H135" t="str">
        <x:f>IF(E135=F135,"PASS","FAIL")</x:f>
        <x:v>PASS</x:v>
      </x:c>
    </x:row>
    <x:row r="136">
      <x:c r="B136" t="str">
        <x:v>A-00090</x:v>
      </x:c>
      <x:c r="C136" t="str">
        <x:v>GATE</x:v>
      </x:c>
      <x:c r="D136" t="str">
        <x:v>release state mirrors governing ledger</x:v>
      </x:c>
      <x:c r="E136" t="str">
        <x:f>'Release Gates'!I96</x:f>
        <x:v>PASS</x:v>
      </x:c>
      <x:c r="F136" t="str">
        <x:f>IF('Release Gates'!C96="PLANNING","PASS",IF('Release Gates'!C96="PHYSICAL","OPEN","BLOCKED"))</x:f>
        <x:v>PASS</x:v>
      </x:c>
      <x:c r="G136" t="str">
        <x:v>equals</x:v>
      </x:c>
      <x:c r="H136" t="str">
        <x:f>IF(E136=F136,"PASS","FAIL")</x:f>
        <x:v>PASS</x:v>
      </x:c>
    </x:row>
    <x:row r="137">
      <x:c r="B137" t="str">
        <x:v>A-00091</x:v>
      </x:c>
      <x:c r="C137" t="str">
        <x:v>GATE</x:v>
      </x:c>
      <x:c r="D137" t="str">
        <x:v>release state mirrors governing ledger</x:v>
      </x:c>
      <x:c r="E137" t="str">
        <x:f>'Release Gates'!I97</x:f>
        <x:v>PASS</x:v>
      </x:c>
      <x:c r="F137" t="str">
        <x:f>IF('Release Gates'!C97="PLANNING","PASS",IF('Release Gates'!C97="PHYSICAL","OPEN","BLOCKED"))</x:f>
        <x:v>PASS</x:v>
      </x:c>
      <x:c r="G137" t="str">
        <x:v>equals</x:v>
      </x:c>
      <x:c r="H137" t="str">
        <x:f>IF(E137=F137,"PASS","FAIL")</x:f>
        <x:v>PASS</x:v>
      </x:c>
    </x:row>
    <x:row r="138">
      <x:c r="B138" t="str">
        <x:v>A-00092</x:v>
      </x:c>
      <x:c r="C138" t="str">
        <x:v>GATE</x:v>
      </x:c>
      <x:c r="D138" t="str">
        <x:v>release state mirrors governing ledger</x:v>
      </x:c>
      <x:c r="E138" t="str">
        <x:f>'Release Gates'!I98</x:f>
        <x:v>PASS</x:v>
      </x:c>
      <x:c r="F138" t="str">
        <x:f>IF('Release Gates'!C98="PLANNING","PASS",IF('Release Gates'!C98="PHYSICAL","OPEN","BLOCKED"))</x:f>
        <x:v>PASS</x:v>
      </x:c>
      <x:c r="G138" t="str">
        <x:v>equals</x:v>
      </x:c>
      <x:c r="H138" t="str">
        <x:f>IF(E138=F138,"PASS","FAIL")</x:f>
        <x:v>PASS</x:v>
      </x:c>
    </x:row>
    <x:row r="139">
      <x:c r="B139" t="str">
        <x:v>A-00093</x:v>
      </x:c>
      <x:c r="C139" t="str">
        <x:v>GATE</x:v>
      </x:c>
      <x:c r="D139" t="str">
        <x:v>release state mirrors governing ledger</x:v>
      </x:c>
      <x:c r="E139" t="str">
        <x:f>'Release Gates'!I99</x:f>
        <x:v>PASS</x:v>
      </x:c>
      <x:c r="F139" t="str">
        <x:f>IF('Release Gates'!C99="PLANNING","PASS",IF('Release Gates'!C99="PHYSICAL","OPEN","BLOCKED"))</x:f>
        <x:v>PASS</x:v>
      </x:c>
      <x:c r="G139" t="str">
        <x:v>equals</x:v>
      </x:c>
      <x:c r="H139" t="str">
        <x:f>IF(E139=F139,"PASS","FAIL")</x:f>
        <x:v>PASS</x:v>
      </x:c>
    </x:row>
    <x:row r="140">
      <x:c r="B140" t="str">
        <x:v>A-00094</x:v>
      </x:c>
      <x:c r="C140" t="str">
        <x:v>GATE</x:v>
      </x:c>
      <x:c r="D140" t="str">
        <x:v>release state mirrors governing ledger</x:v>
      </x:c>
      <x:c r="E140" t="str">
        <x:f>'Release Gates'!I100</x:f>
        <x:v>PASS</x:v>
      </x:c>
      <x:c r="F140" t="str">
        <x:f>IF('Release Gates'!C100="PLANNING","PASS",IF('Release Gates'!C100="PHYSICAL","OPEN","BLOCKED"))</x:f>
        <x:v>PASS</x:v>
      </x:c>
      <x:c r="G140" t="str">
        <x:v>equals</x:v>
      </x:c>
      <x:c r="H140" t="str">
        <x:f>IF(E140=F140,"PASS","FAIL")</x:f>
        <x:v>PASS</x:v>
      </x:c>
    </x:row>
    <x:row r="141">
      <x:c r="B141" t="str">
        <x:v>A-00095</x:v>
      </x:c>
      <x:c r="C141" t="str">
        <x:v>GATE</x:v>
      </x:c>
      <x:c r="D141" t="str">
        <x:v>release state mirrors governing ledger</x:v>
      </x:c>
      <x:c r="E141" t="str">
        <x:f>'Release Gates'!I101</x:f>
        <x:v>PASS</x:v>
      </x:c>
      <x:c r="F141" t="str">
        <x:f>IF('Release Gates'!C101="PLANNING","PASS",IF('Release Gates'!C101="PHYSICAL","OPEN","BLOCKED"))</x:f>
        <x:v>PASS</x:v>
      </x:c>
      <x:c r="G141" t="str">
        <x:v>equals</x:v>
      </x:c>
      <x:c r="H141" t="str">
        <x:f>IF(E141=F141,"PASS","FAIL")</x:f>
        <x:v>PASS</x:v>
      </x:c>
    </x:row>
    <x:row r="142">
      <x:c r="B142" t="str">
        <x:v>A-00096</x:v>
      </x:c>
      <x:c r="C142" t="str">
        <x:v>GATE</x:v>
      </x:c>
      <x:c r="D142" t="str">
        <x:v>release state mirrors governing ledger</x:v>
      </x:c>
      <x:c r="E142" t="str">
        <x:f>'Release Gates'!I102</x:f>
        <x:v>PASS</x:v>
      </x:c>
      <x:c r="F142" t="str">
        <x:f>IF('Release Gates'!C102="PLANNING","PASS",IF('Release Gates'!C102="PHYSICAL","OPEN","BLOCKED"))</x:f>
        <x:v>PASS</x:v>
      </x:c>
      <x:c r="G142" t="str">
        <x:v>equals</x:v>
      </x:c>
      <x:c r="H142" t="str">
        <x:f>IF(E142=F142,"PASS","FAIL")</x:f>
        <x:v>PASS</x:v>
      </x:c>
    </x:row>
    <x:row r="143">
      <x:c r="B143" t="str">
        <x:v>A-00097</x:v>
      </x:c>
      <x:c r="C143" t="str">
        <x:v>GATE</x:v>
      </x:c>
      <x:c r="D143" t="str">
        <x:v>release state mirrors governing ledger</x:v>
      </x:c>
      <x:c r="E143" t="str">
        <x:f>'Release Gates'!I103</x:f>
        <x:v>PASS</x:v>
      </x:c>
      <x:c r="F143" t="str">
        <x:f>IF('Release Gates'!C103="PLANNING","PASS",IF('Release Gates'!C103="PHYSICAL","OPEN","BLOCKED"))</x:f>
        <x:v>PASS</x:v>
      </x:c>
      <x:c r="G143" t="str">
        <x:v>equals</x:v>
      </x:c>
      <x:c r="H143" t="str">
        <x:f>IF(E143=F143,"PASS","FAIL")</x:f>
        <x:v>PASS</x:v>
      </x:c>
    </x:row>
    <x:row r="144">
      <x:c r="B144" t="str">
        <x:v>A-00098</x:v>
      </x:c>
      <x:c r="C144" t="str">
        <x:v>GATE</x:v>
      </x:c>
      <x:c r="D144" t="str">
        <x:v>release state mirrors governing ledger</x:v>
      </x:c>
      <x:c r="E144" t="str">
        <x:f>'Release Gates'!I104</x:f>
        <x:v>PASS</x:v>
      </x:c>
      <x:c r="F144" t="str">
        <x:f>IF('Release Gates'!C104="PLANNING","PASS",IF('Release Gates'!C104="PHYSICAL","OPEN","BLOCKED"))</x:f>
        <x:v>PASS</x:v>
      </x:c>
      <x:c r="G144" t="str">
        <x:v>equals</x:v>
      </x:c>
      <x:c r="H144" t="str">
        <x:f>IF(E144=F144,"PASS","FAIL")</x:f>
        <x:v>PASS</x:v>
      </x:c>
    </x:row>
    <x:row r="145">
      <x:c r="B145" t="str">
        <x:v>A-00099</x:v>
      </x:c>
      <x:c r="C145" t="str">
        <x:v>GATE</x:v>
      </x:c>
      <x:c r="D145" t="str">
        <x:v>release state mirrors governing ledger</x:v>
      </x:c>
      <x:c r="E145" t="str">
        <x:f>'Release Gates'!I105</x:f>
        <x:v>PASS</x:v>
      </x:c>
      <x:c r="F145" t="str">
        <x:f>IF('Release Gates'!C105="PLANNING","PASS",IF('Release Gates'!C105="PHYSICAL","OPEN","BLOCKED"))</x:f>
        <x:v>PASS</x:v>
      </x:c>
      <x:c r="G145" t="str">
        <x:v>equals</x:v>
      </x:c>
      <x:c r="H145" t="str">
        <x:f>IF(E145=F145,"PASS","FAIL")</x:f>
        <x:v>PASS</x:v>
      </x:c>
    </x:row>
    <x:row r="146">
      <x:c r="B146" t="str">
        <x:v>A-00100</x:v>
      </x:c>
      <x:c r="C146" t="str">
        <x:v>GATE</x:v>
      </x:c>
      <x:c r="D146" t="str">
        <x:v>release state mirrors governing ledger</x:v>
      </x:c>
      <x:c r="E146" t="str">
        <x:f>'Release Gates'!I106</x:f>
        <x:v>PASS</x:v>
      </x:c>
      <x:c r="F146" t="str">
        <x:f>IF('Release Gates'!C106="PLANNING","PASS",IF('Release Gates'!C106="PHYSICAL","OPEN","BLOCKED"))</x:f>
        <x:v>PASS</x:v>
      </x:c>
      <x:c r="G146" t="str">
        <x:v>equals</x:v>
      </x:c>
      <x:c r="H146" t="str">
        <x:f>IF(E146=F146,"PASS","FAIL")</x:f>
        <x:v>PASS</x:v>
      </x:c>
    </x:row>
    <x:row r="147">
      <x:c r="B147" t="str">
        <x:v>A-00101</x:v>
      </x:c>
      <x:c r="C147" t="str">
        <x:v>GATE</x:v>
      </x:c>
      <x:c r="D147" t="str">
        <x:v>release state mirrors governing ledger</x:v>
      </x:c>
      <x:c r="E147" t="str">
        <x:f>'Release Gates'!I107</x:f>
        <x:v>PASS</x:v>
      </x:c>
      <x:c r="F147" t="str">
        <x:f>IF('Release Gates'!C107="PLANNING","PASS",IF('Release Gates'!C107="PHYSICAL","OPEN","BLOCKED"))</x:f>
        <x:v>PASS</x:v>
      </x:c>
      <x:c r="G147" t="str">
        <x:v>equals</x:v>
      </x:c>
      <x:c r="H147" t="str">
        <x:f>IF(E147=F147,"PASS","FAIL")</x:f>
        <x:v>PASS</x:v>
      </x:c>
    </x:row>
    <x:row r="148">
      <x:c r="B148" t="str">
        <x:v>A-00102</x:v>
      </x:c>
      <x:c r="C148" t="str">
        <x:v>GATE</x:v>
      </x:c>
      <x:c r="D148" t="str">
        <x:v>release state mirrors governing ledger</x:v>
      </x:c>
      <x:c r="E148" t="str">
        <x:f>'Release Gates'!I108</x:f>
        <x:v>PASS</x:v>
      </x:c>
      <x:c r="F148" t="str">
        <x:f>IF('Release Gates'!C108="PLANNING","PASS",IF('Release Gates'!C108="PHYSICAL","OPEN","BLOCKED"))</x:f>
        <x:v>PASS</x:v>
      </x:c>
      <x:c r="G148" t="str">
        <x:v>equals</x:v>
      </x:c>
      <x:c r="H148" t="str">
        <x:f>IF(E148=F148,"PASS","FAIL")</x:f>
        <x:v>PASS</x:v>
      </x:c>
    </x:row>
    <x:row r="149">
      <x:c r="B149" t="str">
        <x:v>A-00103</x:v>
      </x:c>
      <x:c r="C149" t="str">
        <x:v>GATE</x:v>
      </x:c>
      <x:c r="D149" t="str">
        <x:v>release state mirrors governing ledger</x:v>
      </x:c>
      <x:c r="E149" t="str">
        <x:f>'Release Gates'!I109</x:f>
        <x:v>PASS</x:v>
      </x:c>
      <x:c r="F149" t="str">
        <x:f>IF('Release Gates'!C109="PLANNING","PASS",IF('Release Gates'!C109="PHYSICAL","OPEN","BLOCKED"))</x:f>
        <x:v>PASS</x:v>
      </x:c>
      <x:c r="G149" t="str">
        <x:v>equals</x:v>
      </x:c>
      <x:c r="H149" t="str">
        <x:f>IF(E149=F149,"PASS","FAIL")</x:f>
        <x:v>PASS</x:v>
      </x:c>
    </x:row>
    <x:row r="150">
      <x:c r="B150" t="str">
        <x:v>A-00104</x:v>
      </x:c>
      <x:c r="C150" t="str">
        <x:v>GATE</x:v>
      </x:c>
      <x:c r="D150" t="str">
        <x:v>release state mirrors governing ledger</x:v>
      </x:c>
      <x:c r="E150" t="str">
        <x:f>'Release Gates'!I110</x:f>
        <x:v>PASS</x:v>
      </x:c>
      <x:c r="F150" t="str">
        <x:f>IF('Release Gates'!C110="PLANNING","PASS",IF('Release Gates'!C110="PHYSICAL","OPEN","BLOCKED"))</x:f>
        <x:v>PASS</x:v>
      </x:c>
      <x:c r="G150" t="str">
        <x:v>equals</x:v>
      </x:c>
      <x:c r="H150" t="str">
        <x:f>IF(E150=F150,"PASS","FAIL")</x:f>
        <x:v>PASS</x:v>
      </x:c>
    </x:row>
    <x:row r="151">
      <x:c r="B151" t="str">
        <x:v>A-00105</x:v>
      </x:c>
      <x:c r="C151" t="str">
        <x:v>GATE</x:v>
      </x:c>
      <x:c r="D151" t="str">
        <x:v>release state mirrors governing ledger</x:v>
      </x:c>
      <x:c r="E151" t="str">
        <x:f>'Release Gates'!I111</x:f>
        <x:v>PASS</x:v>
      </x:c>
      <x:c r="F151" t="str">
        <x:f>IF('Release Gates'!C111="PLANNING","PASS",IF('Release Gates'!C111="PHYSICAL","OPEN","BLOCKED"))</x:f>
        <x:v>PASS</x:v>
      </x:c>
      <x:c r="G151" t="str">
        <x:v>equals</x:v>
      </x:c>
      <x:c r="H151" t="str">
        <x:f>IF(E151=F151,"PASS","FAIL")</x:f>
        <x:v>PASS</x:v>
      </x:c>
    </x:row>
    <x:row r="152">
      <x:c r="B152" t="str">
        <x:v>A-00106</x:v>
      </x:c>
      <x:c r="C152" t="str">
        <x:v>GATE</x:v>
      </x:c>
      <x:c r="D152" t="str">
        <x:v>release state mirrors governing ledger</x:v>
      </x:c>
      <x:c r="E152" t="str">
        <x:f>'Release Gates'!I112</x:f>
        <x:v>PASS</x:v>
      </x:c>
      <x:c r="F152" t="str">
        <x:f>IF('Release Gates'!C112="PLANNING","PASS",IF('Release Gates'!C112="PHYSICAL","OPEN","BLOCKED"))</x:f>
        <x:v>PASS</x:v>
      </x:c>
      <x:c r="G152" t="str">
        <x:v>equals</x:v>
      </x:c>
      <x:c r="H152" t="str">
        <x:f>IF(E152=F152,"PASS","FAIL")</x:f>
        <x:v>PASS</x:v>
      </x:c>
    </x:row>
    <x:row r="153">
      <x:c r="B153" t="str">
        <x:v>A-00107</x:v>
      </x:c>
      <x:c r="C153" t="str">
        <x:v>GATE</x:v>
      </x:c>
      <x:c r="D153" t="str">
        <x:v>release state mirrors governing ledger</x:v>
      </x:c>
      <x:c r="E153" t="str">
        <x:f>'Release Gates'!I113</x:f>
        <x:v>PASS</x:v>
      </x:c>
      <x:c r="F153" t="str">
        <x:f>IF('Release Gates'!C113="PLANNING","PASS",IF('Release Gates'!C113="PHYSICAL","OPEN","BLOCKED"))</x:f>
        <x:v>PASS</x:v>
      </x:c>
      <x:c r="G153" t="str">
        <x:v>equals</x:v>
      </x:c>
      <x:c r="H153" t="str">
        <x:f>IF(E153=F153,"PASS","FAIL")</x:f>
        <x:v>PASS</x:v>
      </x:c>
    </x:row>
    <x:row r="154">
      <x:c r="B154" t="str">
        <x:v>A-00108</x:v>
      </x:c>
      <x:c r="C154" t="str">
        <x:v>GATE</x:v>
      </x:c>
      <x:c r="D154" t="str">
        <x:v>release state mirrors governing ledger</x:v>
      </x:c>
      <x:c r="E154" t="str">
        <x:f>'Release Gates'!I114</x:f>
        <x:v>PASS</x:v>
      </x:c>
      <x:c r="F154" t="str">
        <x:f>IF('Release Gates'!C114="PLANNING","PASS",IF('Release Gates'!C114="PHYSICAL","OPEN","BLOCKED"))</x:f>
        <x:v>PASS</x:v>
      </x:c>
      <x:c r="G154" t="str">
        <x:v>equals</x:v>
      </x:c>
      <x:c r="H154" t="str">
        <x:f>IF(E154=F154,"PASS","FAIL")</x:f>
        <x:v>PASS</x:v>
      </x:c>
    </x:row>
    <x:row r="155">
      <x:c r="B155" t="str">
        <x:v>A-00109</x:v>
      </x:c>
      <x:c r="C155" t="str">
        <x:v>GATE</x:v>
      </x:c>
      <x:c r="D155" t="str">
        <x:v>release state mirrors governing ledger</x:v>
      </x:c>
      <x:c r="E155" t="str">
        <x:f>'Release Gates'!I115</x:f>
        <x:v>PASS</x:v>
      </x:c>
      <x:c r="F155" t="str">
        <x:f>IF('Release Gates'!C115="PLANNING","PASS",IF('Release Gates'!C115="PHYSICAL","OPEN","BLOCKED"))</x:f>
        <x:v>PASS</x:v>
      </x:c>
      <x:c r="G155" t="str">
        <x:v>equals</x:v>
      </x:c>
      <x:c r="H155" t="str">
        <x:f>IF(E155=F155,"PASS","FAIL")</x:f>
        <x:v>PASS</x:v>
      </x:c>
    </x:row>
    <x:row r="156">
      <x:c r="B156" t="str">
        <x:v>A-00110</x:v>
      </x:c>
      <x:c r="C156" t="str">
        <x:v>GATE</x:v>
      </x:c>
      <x:c r="D156" t="str">
        <x:v>release state mirrors governing ledger</x:v>
      </x:c>
      <x:c r="E156" t="str">
        <x:f>'Release Gates'!I116</x:f>
        <x:v>PASS</x:v>
      </x:c>
      <x:c r="F156" t="str">
        <x:f>IF('Release Gates'!C116="PLANNING","PASS",IF('Release Gates'!C116="PHYSICAL","OPEN","BLOCKED"))</x:f>
        <x:v>PASS</x:v>
      </x:c>
      <x:c r="G156" t="str">
        <x:v>equals</x:v>
      </x:c>
      <x:c r="H156" t="str">
        <x:f>IF(E156=F156,"PASS","FAIL")</x:f>
        <x:v>PASS</x:v>
      </x:c>
    </x:row>
    <x:row r="157">
      <x:c r="B157" t="str">
        <x:v>A-00111</x:v>
      </x:c>
      <x:c r="C157" t="str">
        <x:v>GATE</x:v>
      </x:c>
      <x:c r="D157" t="str">
        <x:v>release state mirrors governing ledger</x:v>
      </x:c>
      <x:c r="E157" t="str">
        <x:f>'Release Gates'!I117</x:f>
        <x:v>PASS</x:v>
      </x:c>
      <x:c r="F157" t="str">
        <x:f>IF('Release Gates'!C117="PLANNING","PASS",IF('Release Gates'!C117="PHYSICAL","OPEN","BLOCKED"))</x:f>
        <x:v>PASS</x:v>
      </x:c>
      <x:c r="G157" t="str">
        <x:v>equals</x:v>
      </x:c>
      <x:c r="H157" t="str">
        <x:f>IF(E157=F157,"PASS","FAIL")</x:f>
        <x:v>PASS</x:v>
      </x:c>
    </x:row>
    <x:row r="158">
      <x:c r="B158" t="str">
        <x:v>A-00112</x:v>
      </x:c>
      <x:c r="C158" t="str">
        <x:v>GATE</x:v>
      </x:c>
      <x:c r="D158" t="str">
        <x:v>release state mirrors governing ledger</x:v>
      </x:c>
      <x:c r="E158" t="str">
        <x:f>'Release Gates'!I118</x:f>
        <x:v>PASS</x:v>
      </x:c>
      <x:c r="F158" t="str">
        <x:f>IF('Release Gates'!C118="PLANNING","PASS",IF('Release Gates'!C118="PHYSICAL","OPEN","BLOCKED"))</x:f>
        <x:v>PASS</x:v>
      </x:c>
      <x:c r="G158" t="str">
        <x:v>equals</x:v>
      </x:c>
      <x:c r="H158" t="str">
        <x:f>IF(E158=F158,"PASS","FAIL")</x:f>
        <x:v>PASS</x:v>
      </x:c>
    </x:row>
    <x:row r="159">
      <x:c r="B159" t="str">
        <x:v>A-00113</x:v>
      </x:c>
      <x:c r="C159" t="str">
        <x:v>GATE</x:v>
      </x:c>
      <x:c r="D159" t="str">
        <x:v>release state mirrors governing ledger</x:v>
      </x:c>
      <x:c r="E159" t="str">
        <x:f>'Release Gates'!I119</x:f>
        <x:v>PASS</x:v>
      </x:c>
      <x:c r="F159" t="str">
        <x:f>IF('Release Gates'!C119="PLANNING","PASS",IF('Release Gates'!C119="PHYSICAL","OPEN","BLOCKED"))</x:f>
        <x:v>PASS</x:v>
      </x:c>
      <x:c r="G159" t="str">
        <x:v>equals</x:v>
      </x:c>
      <x:c r="H159" t="str">
        <x:f>IF(E159=F159,"PASS","FAIL")</x:f>
        <x:v>PASS</x:v>
      </x:c>
    </x:row>
    <x:row r="160">
      <x:c r="B160" t="str">
        <x:v>A-00114</x:v>
      </x:c>
      <x:c r="C160" t="str">
        <x:v>GATE</x:v>
      </x:c>
      <x:c r="D160" t="str">
        <x:v>release state mirrors governing ledger</x:v>
      </x:c>
      <x:c r="E160" t="str">
        <x:f>'Release Gates'!I120</x:f>
        <x:v>PASS</x:v>
      </x:c>
      <x:c r="F160" t="str">
        <x:f>IF('Release Gates'!C120="PLANNING","PASS",IF('Release Gates'!C120="PHYSICAL","OPEN","BLOCKED"))</x:f>
        <x:v>PASS</x:v>
      </x:c>
      <x:c r="G160" t="str">
        <x:v>equals</x:v>
      </x:c>
      <x:c r="H160" t="str">
        <x:f>IF(E160=F160,"PASS","FAIL")</x:f>
        <x:v>PASS</x:v>
      </x:c>
    </x:row>
    <x:row r="161">
      <x:c r="B161" t="str">
        <x:v>A-00115</x:v>
      </x:c>
      <x:c r="C161" t="str">
        <x:v>GATE</x:v>
      </x:c>
      <x:c r="D161" t="str">
        <x:v>release state mirrors governing ledger</x:v>
      </x:c>
      <x:c r="E161" t="str">
        <x:f>'Release Gates'!I121</x:f>
        <x:v>PASS</x:v>
      </x:c>
      <x:c r="F161" t="str">
        <x:f>IF('Release Gates'!C121="PLANNING","PASS",IF('Release Gates'!C121="PHYSICAL","OPEN","BLOCKED"))</x:f>
        <x:v>PASS</x:v>
      </x:c>
      <x:c r="G161" t="str">
        <x:v>equals</x:v>
      </x:c>
      <x:c r="H161" t="str">
        <x:f>IF(E161=F161,"PASS","FAIL")</x:f>
        <x:v>PASS</x:v>
      </x:c>
    </x:row>
    <x:row r="162">
      <x:c r="B162" t="str">
        <x:v>A-00116</x:v>
      </x:c>
      <x:c r="C162" t="str">
        <x:v>GATE</x:v>
      </x:c>
      <x:c r="D162" t="str">
        <x:v>release state mirrors governing ledger</x:v>
      </x:c>
      <x:c r="E162" t="str">
        <x:f>'Release Gates'!I122</x:f>
        <x:v>PASS</x:v>
      </x:c>
      <x:c r="F162" t="str">
        <x:f>IF('Release Gates'!C122="PLANNING","PASS",IF('Release Gates'!C122="PHYSICAL","OPEN","BLOCKED"))</x:f>
        <x:v>PASS</x:v>
      </x:c>
      <x:c r="G162" t="str">
        <x:v>equals</x:v>
      </x:c>
      <x:c r="H162" t="str">
        <x:f>IF(E162=F162,"PASS","FAIL")</x:f>
        <x:v>PASS</x:v>
      </x:c>
    </x:row>
    <x:row r="163">
      <x:c r="B163" t="str">
        <x:v>A-00117</x:v>
      </x:c>
      <x:c r="C163" t="str">
        <x:v>GATE</x:v>
      </x:c>
      <x:c r="D163" t="str">
        <x:v>release state mirrors governing ledger</x:v>
      </x:c>
      <x:c r="E163" t="str">
        <x:f>'Release Gates'!I123</x:f>
        <x:v>PASS</x:v>
      </x:c>
      <x:c r="F163" t="str">
        <x:f>IF('Release Gates'!C123="PLANNING","PASS",IF('Release Gates'!C123="PHYSICAL","OPEN","BLOCKED"))</x:f>
        <x:v>PASS</x:v>
      </x:c>
      <x:c r="G163" t="str">
        <x:v>equals</x:v>
      </x:c>
      <x:c r="H163" t="str">
        <x:f>IF(E163=F163,"PASS","FAIL")</x:f>
        <x:v>PASS</x:v>
      </x:c>
    </x:row>
    <x:row r="164">
      <x:c r="B164" t="str">
        <x:v>A-00118</x:v>
      </x:c>
      <x:c r="C164" t="str">
        <x:v>GATE</x:v>
      </x:c>
      <x:c r="D164" t="str">
        <x:v>release state mirrors governing ledger</x:v>
      </x:c>
      <x:c r="E164" t="str">
        <x:f>'Release Gates'!I124</x:f>
        <x:v>PASS</x:v>
      </x:c>
      <x:c r="F164" t="str">
        <x:f>IF('Release Gates'!C124="PLANNING","PASS",IF('Release Gates'!C124="PHYSICAL","OPEN","BLOCKED"))</x:f>
        <x:v>PASS</x:v>
      </x:c>
      <x:c r="G164" t="str">
        <x:v>equals</x:v>
      </x:c>
      <x:c r="H164" t="str">
        <x:f>IF(E164=F164,"PASS","FAIL")</x:f>
        <x:v>PASS</x:v>
      </x:c>
    </x:row>
    <x:row r="165">
      <x:c r="B165" t="str">
        <x:v>A-00119</x:v>
      </x:c>
      <x:c r="C165" t="str">
        <x:v>GATE</x:v>
      </x:c>
      <x:c r="D165" t="str">
        <x:v>release state mirrors governing ledger</x:v>
      </x:c>
      <x:c r="E165" t="str">
        <x:f>'Release Gates'!I125</x:f>
        <x:v>PASS</x:v>
      </x:c>
      <x:c r="F165" t="str">
        <x:f>IF('Release Gates'!C125="PLANNING","PASS",IF('Release Gates'!C125="PHYSICAL","OPEN","BLOCKED"))</x:f>
        <x:v>PASS</x:v>
      </x:c>
      <x:c r="G165" t="str">
        <x:v>equals</x:v>
      </x:c>
      <x:c r="H165" t="str">
        <x:f>IF(E165=F165,"PASS","FAIL")</x:f>
        <x:v>PASS</x:v>
      </x:c>
    </x:row>
    <x:row r="166">
      <x:c r="B166" t="str">
        <x:v>A-00120</x:v>
      </x:c>
      <x:c r="C166" t="str">
        <x:v>GATE</x:v>
      </x:c>
      <x:c r="D166" t="str">
        <x:v>release state mirrors governing ledger</x:v>
      </x:c>
      <x:c r="E166" t="str">
        <x:f>'Release Gates'!I126</x:f>
        <x:v>PASS</x:v>
      </x:c>
      <x:c r="F166" t="str">
        <x:f>IF('Release Gates'!C126="PLANNING","PASS",IF('Release Gates'!C126="PHYSICAL","OPEN","BLOCKED"))</x:f>
        <x:v>PASS</x:v>
      </x:c>
      <x:c r="G166" t="str">
        <x:v>equals</x:v>
      </x:c>
      <x:c r="H166" t="str">
        <x:f>IF(E166=F166,"PASS","FAIL")</x:f>
        <x:v>PASS</x:v>
      </x:c>
    </x:row>
    <x:row r="167">
      <x:c r="B167" t="str">
        <x:v>A-00121</x:v>
      </x:c>
      <x:c r="C167" t="str">
        <x:v>GATE</x:v>
      </x:c>
      <x:c r="D167" t="str">
        <x:v>release state mirrors governing ledger</x:v>
      </x:c>
      <x:c r="E167" t="str">
        <x:f>'Release Gates'!I127</x:f>
        <x:v>PASS</x:v>
      </x:c>
      <x:c r="F167" t="str">
        <x:f>IF('Release Gates'!C127="PLANNING","PASS",IF('Release Gates'!C127="PHYSICAL","OPEN","BLOCKED"))</x:f>
        <x:v>PASS</x:v>
      </x:c>
      <x:c r="G167" t="str">
        <x:v>equals</x:v>
      </x:c>
      <x:c r="H167" t="str">
        <x:f>IF(E167=F167,"PASS","FAIL")</x:f>
        <x:v>PASS</x:v>
      </x:c>
    </x:row>
    <x:row r="168">
      <x:c r="B168" t="str">
        <x:v>A-00122</x:v>
      </x:c>
      <x:c r="C168" t="str">
        <x:v>GATE</x:v>
      </x:c>
      <x:c r="D168" t="str">
        <x:v>release state mirrors governing ledger</x:v>
      </x:c>
      <x:c r="E168" t="str">
        <x:f>'Release Gates'!I128</x:f>
        <x:v>PASS</x:v>
      </x:c>
      <x:c r="F168" t="str">
        <x:f>IF('Release Gates'!C128="PLANNING","PASS",IF('Release Gates'!C128="PHYSICAL","OPEN","BLOCKED"))</x:f>
        <x:v>PASS</x:v>
      </x:c>
      <x:c r="G168" t="str">
        <x:v>equals</x:v>
      </x:c>
      <x:c r="H168" t="str">
        <x:f>IF(E168=F168,"PASS","FAIL")</x:f>
        <x:v>PASS</x:v>
      </x:c>
    </x:row>
    <x:row r="169">
      <x:c r="B169" t="str">
        <x:v>A-00123</x:v>
      </x:c>
      <x:c r="C169" t="str">
        <x:v>GATE</x:v>
      </x:c>
      <x:c r="D169" t="str">
        <x:v>release state mirrors governing ledger</x:v>
      </x:c>
      <x:c r="E169" t="str">
        <x:f>'Release Gates'!I129</x:f>
        <x:v>PASS</x:v>
      </x:c>
      <x:c r="F169" t="str">
        <x:f>IF('Release Gates'!C129="PLANNING","PASS",IF('Release Gates'!C129="PHYSICAL","OPEN","BLOCKED"))</x:f>
        <x:v>PASS</x:v>
      </x:c>
      <x:c r="G169" t="str">
        <x:v>equals</x:v>
      </x:c>
      <x:c r="H169" t="str">
        <x:f>IF(E169=F169,"PASS","FAIL")</x:f>
        <x:v>PASS</x:v>
      </x:c>
    </x:row>
    <x:row r="170">
      <x:c r="B170" t="str">
        <x:v>A-00124</x:v>
      </x:c>
      <x:c r="C170" t="str">
        <x:v>GATE</x:v>
      </x:c>
      <x:c r="D170" t="str">
        <x:v>release state mirrors governing ledger</x:v>
      </x:c>
      <x:c r="E170" t="str">
        <x:f>'Release Gates'!I130</x:f>
        <x:v>PASS</x:v>
      </x:c>
      <x:c r="F170" t="str">
        <x:f>IF('Release Gates'!C130="PLANNING","PASS",IF('Release Gates'!C130="PHYSICAL","OPEN","BLOCKED"))</x:f>
        <x:v>PASS</x:v>
      </x:c>
      <x:c r="G170" t="str">
        <x:v>equals</x:v>
      </x:c>
      <x:c r="H170" t="str">
        <x:f>IF(E170=F170,"PASS","FAIL")</x:f>
        <x:v>PASS</x:v>
      </x:c>
    </x:row>
    <x:row r="171">
      <x:c r="B171" t="str">
        <x:v>A-00125</x:v>
      </x:c>
      <x:c r="C171" t="str">
        <x:v>GATE</x:v>
      </x:c>
      <x:c r="D171" t="str">
        <x:v>release state mirrors governing ledger</x:v>
      </x:c>
      <x:c r="E171" t="str">
        <x:f>'Release Gates'!I131</x:f>
        <x:v>PASS</x:v>
      </x:c>
      <x:c r="F171" t="str">
        <x:f>IF('Release Gates'!C131="PLANNING","PASS",IF('Release Gates'!C131="PHYSICAL","OPEN","BLOCKED"))</x:f>
        <x:v>PASS</x:v>
      </x:c>
      <x:c r="G171" t="str">
        <x:v>equals</x:v>
      </x:c>
      <x:c r="H171" t="str">
        <x:f>IF(E171=F171,"PASS","FAIL")</x:f>
        <x:v>PASS</x:v>
      </x:c>
    </x:row>
    <x:row r="172">
      <x:c r="B172" t="str">
        <x:v>A-00126</x:v>
      </x:c>
      <x:c r="C172" t="str">
        <x:v>GATE</x:v>
      </x:c>
      <x:c r="D172" t="str">
        <x:v>release state mirrors governing ledger</x:v>
      </x:c>
      <x:c r="E172" t="str">
        <x:f>'Release Gates'!I132</x:f>
        <x:v>PASS</x:v>
      </x:c>
      <x:c r="F172" t="str">
        <x:f>IF('Release Gates'!C132="PLANNING","PASS",IF('Release Gates'!C132="PHYSICAL","OPEN","BLOCKED"))</x:f>
        <x:v>PASS</x:v>
      </x:c>
      <x:c r="G172" t="str">
        <x:v>equals</x:v>
      </x:c>
      <x:c r="H172" t="str">
        <x:f>IF(E172=F172,"PASS","FAIL")</x:f>
        <x:v>PASS</x:v>
      </x:c>
    </x:row>
    <x:row r="173">
      <x:c r="B173" t="str">
        <x:v>A-00127</x:v>
      </x:c>
      <x:c r="C173" t="str">
        <x:v>GATE</x:v>
      </x:c>
      <x:c r="D173" t="str">
        <x:v>release state mirrors governing ledger</x:v>
      </x:c>
      <x:c r="E173" t="str">
        <x:f>'Release Gates'!I133</x:f>
        <x:v>PASS</x:v>
      </x:c>
      <x:c r="F173" t="str">
        <x:f>IF('Release Gates'!C133="PLANNING","PASS",IF('Release Gates'!C133="PHYSICAL","OPEN","BLOCKED"))</x:f>
        <x:v>PASS</x:v>
      </x:c>
      <x:c r="G173" t="str">
        <x:v>equals</x:v>
      </x:c>
      <x:c r="H173" t="str">
        <x:f>IF(E173=F173,"PASS","FAIL")</x:f>
        <x:v>PASS</x:v>
      </x:c>
    </x:row>
    <x:row r="174">
      <x:c r="B174" t="str">
        <x:v>A-00128</x:v>
      </x:c>
      <x:c r="C174" t="str">
        <x:v>GATE</x:v>
      </x:c>
      <x:c r="D174" t="str">
        <x:v>release state mirrors governing ledger</x:v>
      </x:c>
      <x:c r="E174" t="str">
        <x:f>'Release Gates'!I134</x:f>
        <x:v>PASS</x:v>
      </x:c>
      <x:c r="F174" t="str">
        <x:f>IF('Release Gates'!C134="PLANNING","PASS",IF('Release Gates'!C134="PHYSICAL","OPEN","BLOCKED"))</x:f>
        <x:v>PASS</x:v>
      </x:c>
      <x:c r="G174" t="str">
        <x:v>equals</x:v>
      </x:c>
      <x:c r="H174" t="str">
        <x:f>IF(E174=F174,"PASS","FAIL")</x:f>
        <x:v>PASS</x:v>
      </x:c>
    </x:row>
    <x:row r="175">
      <x:c r="B175" t="str">
        <x:v>A-00129</x:v>
      </x:c>
      <x:c r="C175" t="str">
        <x:v>GATE</x:v>
      </x:c>
      <x:c r="D175" t="str">
        <x:v>release state mirrors governing ledger</x:v>
      </x:c>
      <x:c r="E175" t="str">
        <x:f>'Release Gates'!I135</x:f>
        <x:v>PASS</x:v>
      </x:c>
      <x:c r="F175" t="str">
        <x:f>IF('Release Gates'!C135="PLANNING","PASS",IF('Release Gates'!C135="PHYSICAL","OPEN","BLOCKED"))</x:f>
        <x:v>PASS</x:v>
      </x:c>
      <x:c r="G175" t="str">
        <x:v>equals</x:v>
      </x:c>
      <x:c r="H175" t="str">
        <x:f>IF(E175=F175,"PASS","FAIL")</x:f>
        <x:v>PASS</x:v>
      </x:c>
    </x:row>
    <x:row r="176">
      <x:c r="B176" t="str">
        <x:v>A-00130</x:v>
      </x:c>
      <x:c r="C176" t="str">
        <x:v>GATE</x:v>
      </x:c>
      <x:c r="D176" t="str">
        <x:v>release state mirrors governing ledger</x:v>
      </x:c>
      <x:c r="E176" t="str">
        <x:f>'Release Gates'!I136</x:f>
        <x:v>PASS</x:v>
      </x:c>
      <x:c r="F176" t="str">
        <x:f>IF('Release Gates'!C136="PLANNING","PASS",IF('Release Gates'!C136="PHYSICAL","OPEN","BLOCKED"))</x:f>
        <x:v>PASS</x:v>
      </x:c>
      <x:c r="G176" t="str">
        <x:v>equals</x:v>
      </x:c>
      <x:c r="H176" t="str">
        <x:f>IF(E176=F176,"PASS","FAIL")</x:f>
        <x:v>PASS</x:v>
      </x:c>
    </x:row>
    <x:row r="177">
      <x:c r="B177" t="str">
        <x:v>A-00131</x:v>
      </x:c>
      <x:c r="C177" t="str">
        <x:v>GATE</x:v>
      </x:c>
      <x:c r="D177" t="str">
        <x:v>release state mirrors governing ledger</x:v>
      </x:c>
      <x:c r="E177" t="str">
        <x:f>'Release Gates'!I137</x:f>
        <x:v>PASS</x:v>
      </x:c>
      <x:c r="F177" t="str">
        <x:f>IF('Release Gates'!C137="PLANNING","PASS",IF('Release Gates'!C137="PHYSICAL","OPEN","BLOCKED"))</x:f>
        <x:v>PASS</x:v>
      </x:c>
      <x:c r="G177" t="str">
        <x:v>equals</x:v>
      </x:c>
      <x:c r="H177" t="str">
        <x:f>IF(E177=F177,"PASS","FAIL")</x:f>
        <x:v>PASS</x:v>
      </x:c>
    </x:row>
    <x:row r="178">
      <x:c r="B178" t="str">
        <x:v>A-00132</x:v>
      </x:c>
      <x:c r="C178" t="str">
        <x:v>GATE</x:v>
      </x:c>
      <x:c r="D178" t="str">
        <x:v>release state mirrors governing ledger</x:v>
      </x:c>
      <x:c r="E178" t="str">
        <x:f>'Release Gates'!I138</x:f>
        <x:v>PASS</x:v>
      </x:c>
      <x:c r="F178" t="str">
        <x:f>IF('Release Gates'!C138="PLANNING","PASS",IF('Release Gates'!C138="PHYSICAL","OPEN","BLOCKED"))</x:f>
        <x:v>PASS</x:v>
      </x:c>
      <x:c r="G178" t="str">
        <x:v>equals</x:v>
      </x:c>
      <x:c r="H178" t="str">
        <x:f>IF(E178=F178,"PASS","FAIL")</x:f>
        <x:v>PASS</x:v>
      </x:c>
    </x:row>
    <x:row r="179">
      <x:c r="B179" t="str">
        <x:v>A-00133</x:v>
      </x:c>
      <x:c r="C179" t="str">
        <x:v>GATE</x:v>
      </x:c>
      <x:c r="D179" t="str">
        <x:v>release state mirrors governing ledger</x:v>
      </x:c>
      <x:c r="E179" t="str">
        <x:f>'Release Gates'!I139</x:f>
        <x:v>PASS</x:v>
      </x:c>
      <x:c r="F179" t="str">
        <x:f>IF('Release Gates'!C139="PLANNING","PASS",IF('Release Gates'!C139="PHYSICAL","OPEN","BLOCKED"))</x:f>
        <x:v>PASS</x:v>
      </x:c>
      <x:c r="G179" t="str">
        <x:v>equals</x:v>
      </x:c>
      <x:c r="H179" t="str">
        <x:f>IF(E179=F179,"PASS","FAIL")</x:f>
        <x:v>PASS</x:v>
      </x:c>
    </x:row>
    <x:row r="180">
      <x:c r="B180" t="str">
        <x:v>A-00134</x:v>
      </x:c>
      <x:c r="C180" t="str">
        <x:v>GATE</x:v>
      </x:c>
      <x:c r="D180" t="str">
        <x:v>release state mirrors governing ledger</x:v>
      </x:c>
      <x:c r="E180" t="str">
        <x:f>'Release Gates'!I140</x:f>
        <x:v>PASS</x:v>
      </x:c>
      <x:c r="F180" t="str">
        <x:f>IF('Release Gates'!C140="PLANNING","PASS",IF('Release Gates'!C140="PHYSICAL","OPEN","BLOCKED"))</x:f>
        <x:v>PASS</x:v>
      </x:c>
      <x:c r="G180" t="str">
        <x:v>equals</x:v>
      </x:c>
      <x:c r="H180" t="str">
        <x:f>IF(E180=F180,"PASS","FAIL")</x:f>
        <x:v>PASS</x:v>
      </x:c>
    </x:row>
    <x:row r="181">
      <x:c r="B181" t="str">
        <x:v>A-00135</x:v>
      </x:c>
      <x:c r="C181" t="str">
        <x:v>GATE</x:v>
      </x:c>
      <x:c r="D181" t="str">
        <x:v>release state mirrors governing ledger</x:v>
      </x:c>
      <x:c r="E181" t="str">
        <x:f>'Release Gates'!I141</x:f>
        <x:v>PASS</x:v>
      </x:c>
      <x:c r="F181" t="str">
        <x:f>IF('Release Gates'!C141="PLANNING","PASS",IF('Release Gates'!C141="PHYSICAL","OPEN","BLOCKED"))</x:f>
        <x:v>PASS</x:v>
      </x:c>
      <x:c r="G181" t="str">
        <x:v>equals</x:v>
      </x:c>
      <x:c r="H181" t="str">
        <x:f>IF(E181=F181,"PASS","FAIL")</x:f>
        <x:v>PASS</x:v>
      </x:c>
    </x:row>
    <x:row r="182">
      <x:c r="B182" t="str">
        <x:v>A-00136</x:v>
      </x:c>
      <x:c r="C182" t="str">
        <x:v>GATE</x:v>
      </x:c>
      <x:c r="D182" t="str">
        <x:v>release state mirrors governing ledger</x:v>
      </x:c>
      <x:c r="E182" t="str">
        <x:f>'Release Gates'!I142</x:f>
        <x:v>PASS</x:v>
      </x:c>
      <x:c r="F182" t="str">
        <x:f>IF('Release Gates'!C142="PLANNING","PASS",IF('Release Gates'!C142="PHYSICAL","OPEN","BLOCKED"))</x:f>
        <x:v>PASS</x:v>
      </x:c>
      <x:c r="G182" t="str">
        <x:v>equals</x:v>
      </x:c>
      <x:c r="H182" t="str">
        <x:f>IF(E182=F182,"PASS","FAIL")</x:f>
        <x:v>PASS</x:v>
      </x:c>
    </x:row>
    <x:row r="183">
      <x:c r="B183" t="str">
        <x:v>A-00137</x:v>
      </x:c>
      <x:c r="C183" t="str">
        <x:v>GATE</x:v>
      </x:c>
      <x:c r="D183" t="str">
        <x:v>release state mirrors governing ledger</x:v>
      </x:c>
      <x:c r="E183" t="str">
        <x:f>'Release Gates'!I143</x:f>
        <x:v>PASS</x:v>
      </x:c>
      <x:c r="F183" t="str">
        <x:f>IF('Release Gates'!C143="PLANNING","PASS",IF('Release Gates'!C143="PHYSICAL","OPEN","BLOCKED"))</x:f>
        <x:v>PASS</x:v>
      </x:c>
      <x:c r="G183" t="str">
        <x:v>equals</x:v>
      </x:c>
      <x:c r="H183" t="str">
        <x:f>IF(E183=F183,"PASS","FAIL")</x:f>
        <x:v>PASS</x:v>
      </x:c>
    </x:row>
    <x:row r="184">
      <x:c r="B184" t="str">
        <x:v>A-00138</x:v>
      </x:c>
      <x:c r="C184" t="str">
        <x:v>GATE</x:v>
      </x:c>
      <x:c r="D184" t="str">
        <x:v>release state mirrors governing ledger</x:v>
      </x:c>
      <x:c r="E184" t="str">
        <x:f>'Release Gates'!I144</x:f>
        <x:v>PASS</x:v>
      </x:c>
      <x:c r="F184" t="str">
        <x:f>IF('Release Gates'!C144="PLANNING","PASS",IF('Release Gates'!C144="PHYSICAL","OPEN","BLOCKED"))</x:f>
        <x:v>PASS</x:v>
      </x:c>
      <x:c r="G184" t="str">
        <x:v>equals</x:v>
      </x:c>
      <x:c r="H184" t="str">
        <x:f>IF(E184=F184,"PASS","FAIL")</x:f>
        <x:v>PASS</x:v>
      </x:c>
    </x:row>
    <x:row r="185">
      <x:c r="B185" t="str">
        <x:v>A-00139</x:v>
      </x:c>
      <x:c r="C185" t="str">
        <x:v>GATE</x:v>
      </x:c>
      <x:c r="D185" t="str">
        <x:v>release state mirrors governing ledger</x:v>
      </x:c>
      <x:c r="E185" t="str">
        <x:f>'Release Gates'!I145</x:f>
        <x:v>PASS</x:v>
      </x:c>
      <x:c r="F185" t="str">
        <x:f>IF('Release Gates'!C145="PLANNING","PASS",IF('Release Gates'!C145="PHYSICAL","OPEN","BLOCKED"))</x:f>
        <x:v>PASS</x:v>
      </x:c>
      <x:c r="G185" t="str">
        <x:v>equals</x:v>
      </x:c>
      <x:c r="H185" t="str">
        <x:f>IF(E185=F185,"PASS","FAIL")</x:f>
        <x:v>PASS</x:v>
      </x:c>
    </x:row>
    <x:row r="186">
      <x:c r="B186" t="str">
        <x:v>A-00140</x:v>
      </x:c>
      <x:c r="C186" t="str">
        <x:v>GATE</x:v>
      </x:c>
      <x:c r="D186" t="str">
        <x:v>release state mirrors governing ledger</x:v>
      </x:c>
      <x:c r="E186" t="str">
        <x:f>'Release Gates'!I146</x:f>
        <x:v>PASS</x:v>
      </x:c>
      <x:c r="F186" t="str">
        <x:f>IF('Release Gates'!C146="PLANNING","PASS",IF('Release Gates'!C146="PHYSICAL","OPEN","BLOCKED"))</x:f>
        <x:v>PASS</x:v>
      </x:c>
      <x:c r="G186" t="str">
        <x:v>equals</x:v>
      </x:c>
      <x:c r="H186" t="str">
        <x:f>IF(E186=F186,"PASS","FAIL")</x:f>
        <x:v>PASS</x:v>
      </x:c>
    </x:row>
    <x:row r="187">
      <x:c r="B187" t="str">
        <x:v>A-00141</x:v>
      </x:c>
      <x:c r="C187" t="str">
        <x:v>GATE</x:v>
      </x:c>
      <x:c r="D187" t="str">
        <x:v>release state mirrors governing ledger</x:v>
      </x:c>
      <x:c r="E187" t="str">
        <x:f>'Release Gates'!I147</x:f>
        <x:v>PASS</x:v>
      </x:c>
      <x:c r="F187" t="str">
        <x:f>IF('Release Gates'!C147="PLANNING","PASS",IF('Release Gates'!C147="PHYSICAL","OPEN","BLOCKED"))</x:f>
        <x:v>PASS</x:v>
      </x:c>
      <x:c r="G187" t="str">
        <x:v>equals</x:v>
      </x:c>
      <x:c r="H187" t="str">
        <x:f>IF(E187=F187,"PASS","FAIL")</x:f>
        <x:v>PASS</x:v>
      </x:c>
    </x:row>
    <x:row r="188">
      <x:c r="B188" t="str">
        <x:v>A-00142</x:v>
      </x:c>
      <x:c r="C188" t="str">
        <x:v>GATE</x:v>
      </x:c>
      <x:c r="D188" t="str">
        <x:v>release state mirrors governing ledger</x:v>
      </x:c>
      <x:c r="E188" t="str">
        <x:f>'Release Gates'!I148</x:f>
        <x:v>PASS</x:v>
      </x:c>
      <x:c r="F188" t="str">
        <x:f>IF('Release Gates'!C148="PLANNING","PASS",IF('Release Gates'!C148="PHYSICAL","OPEN","BLOCKED"))</x:f>
        <x:v>PASS</x:v>
      </x:c>
      <x:c r="G188" t="str">
        <x:v>equals</x:v>
      </x:c>
      <x:c r="H188" t="str">
        <x:f>IF(E188=F188,"PASS","FAIL")</x:f>
        <x:v>PASS</x:v>
      </x:c>
    </x:row>
    <x:row r="189">
      <x:c r="B189" t="str">
        <x:v>A-00143</x:v>
      </x:c>
      <x:c r="C189" t="str">
        <x:v>GATE</x:v>
      </x:c>
      <x:c r="D189" t="str">
        <x:v>release state mirrors governing ledger</x:v>
      </x:c>
      <x:c r="E189" t="str">
        <x:f>'Release Gates'!I149</x:f>
        <x:v>PASS</x:v>
      </x:c>
      <x:c r="F189" t="str">
        <x:f>IF('Release Gates'!C149="PLANNING","PASS",IF('Release Gates'!C149="PHYSICAL","OPEN","BLOCKED"))</x:f>
        <x:v>PASS</x:v>
      </x:c>
      <x:c r="G189" t="str">
        <x:v>equals</x:v>
      </x:c>
      <x:c r="H189" t="str">
        <x:f>IF(E189=F189,"PASS","FAIL")</x:f>
        <x:v>PASS</x:v>
      </x:c>
    </x:row>
    <x:row r="190">
      <x:c r="B190" t="str">
        <x:v>A-00144</x:v>
      </x:c>
      <x:c r="C190" t="str">
        <x:v>GATE</x:v>
      </x:c>
      <x:c r="D190" t="str">
        <x:v>release state mirrors governing ledger</x:v>
      </x:c>
      <x:c r="E190" t="str">
        <x:f>'Release Gates'!I150</x:f>
        <x:v>PASS</x:v>
      </x:c>
      <x:c r="F190" t="str">
        <x:f>IF('Release Gates'!C150="PLANNING","PASS",IF('Release Gates'!C150="PHYSICAL","OPEN","BLOCKED"))</x:f>
        <x:v>PASS</x:v>
      </x:c>
      <x:c r="G190" t="str">
        <x:v>equals</x:v>
      </x:c>
      <x:c r="H190" t="str">
        <x:f>IF(E190=F190,"PASS","FAIL")</x:f>
        <x:v>PASS</x:v>
      </x:c>
    </x:row>
    <x:row r="191">
      <x:c r="B191" t="str">
        <x:v>A-00145</x:v>
      </x:c>
      <x:c r="C191" t="str">
        <x:v>GATE</x:v>
      </x:c>
      <x:c r="D191" t="str">
        <x:v>release state mirrors governing ledger</x:v>
      </x:c>
      <x:c r="E191" t="str">
        <x:f>'Release Gates'!I151</x:f>
        <x:v>PASS</x:v>
      </x:c>
      <x:c r="F191" t="str">
        <x:f>IF('Release Gates'!C151="PLANNING","PASS",IF('Release Gates'!C151="PHYSICAL","OPEN","BLOCKED"))</x:f>
        <x:v>PASS</x:v>
      </x:c>
      <x:c r="G191" t="str">
        <x:v>equals</x:v>
      </x:c>
      <x:c r="H191" t="str">
        <x:f>IF(E191=F191,"PASS","FAIL")</x:f>
        <x:v>PASS</x:v>
      </x:c>
    </x:row>
    <x:row r="192">
      <x:c r="B192" t="str">
        <x:v>A-00146</x:v>
      </x:c>
      <x:c r="C192" t="str">
        <x:v>GATE</x:v>
      </x:c>
      <x:c r="D192" t="str">
        <x:v>release state mirrors governing ledger</x:v>
      </x:c>
      <x:c r="E192" t="str">
        <x:f>'Release Gates'!I152</x:f>
        <x:v>PASS</x:v>
      </x:c>
      <x:c r="F192" t="str">
        <x:f>IF('Release Gates'!C152="PLANNING","PASS",IF('Release Gates'!C152="PHYSICAL","OPEN","BLOCKED"))</x:f>
        <x:v>PASS</x:v>
      </x:c>
      <x:c r="G192" t="str">
        <x:v>equals</x:v>
      </x:c>
      <x:c r="H192" t="str">
        <x:f>IF(E192=F192,"PASS","FAIL")</x:f>
        <x:v>PASS</x:v>
      </x:c>
    </x:row>
    <x:row r="193">
      <x:c r="B193" t="str">
        <x:v>A-00147</x:v>
      </x:c>
      <x:c r="C193" t="str">
        <x:v>GATE</x:v>
      </x:c>
      <x:c r="D193" t="str">
        <x:v>release state mirrors governing ledger</x:v>
      </x:c>
      <x:c r="E193" t="str">
        <x:f>'Release Gates'!I153</x:f>
        <x:v>PASS</x:v>
      </x:c>
      <x:c r="F193" t="str">
        <x:f>IF('Release Gates'!C153="PLANNING","PASS",IF('Release Gates'!C153="PHYSICAL","OPEN","BLOCKED"))</x:f>
        <x:v>PASS</x:v>
      </x:c>
      <x:c r="G193" t="str">
        <x:v>equals</x:v>
      </x:c>
      <x:c r="H193" t="str">
        <x:f>IF(E193=F193,"PASS","FAIL")</x:f>
        <x:v>PASS</x:v>
      </x:c>
    </x:row>
    <x:row r="194">
      <x:c r="B194" t="str">
        <x:v>A-00148</x:v>
      </x:c>
      <x:c r="C194" t="str">
        <x:v>GATE</x:v>
      </x:c>
      <x:c r="D194" t="str">
        <x:v>release state mirrors governing ledger</x:v>
      </x:c>
      <x:c r="E194" t="str">
        <x:f>'Release Gates'!I154</x:f>
        <x:v>PASS</x:v>
      </x:c>
      <x:c r="F194" t="str">
        <x:f>IF('Release Gates'!C154="PLANNING","PASS",IF('Release Gates'!C154="PHYSICAL","OPEN","BLOCKED"))</x:f>
        <x:v>PASS</x:v>
      </x:c>
      <x:c r="G194" t="str">
        <x:v>equals</x:v>
      </x:c>
      <x:c r="H194" t="str">
        <x:f>IF(E194=F194,"PASS","FAIL")</x:f>
        <x:v>PASS</x:v>
      </x:c>
    </x:row>
    <x:row r="195">
      <x:c r="B195" t="str">
        <x:v>A-00149</x:v>
      </x:c>
      <x:c r="C195" t="str">
        <x:v>GATE</x:v>
      </x:c>
      <x:c r="D195" t="str">
        <x:v>release state mirrors governing ledger</x:v>
      </x:c>
      <x:c r="E195" t="str">
        <x:f>'Release Gates'!I155</x:f>
        <x:v>PASS</x:v>
      </x:c>
      <x:c r="F195" t="str">
        <x:f>IF('Release Gates'!C155="PLANNING","PASS",IF('Release Gates'!C155="PHYSICAL","OPEN","BLOCKED"))</x:f>
        <x:v>PASS</x:v>
      </x:c>
      <x:c r="G195" t="str">
        <x:v>equals</x:v>
      </x:c>
      <x:c r="H195" t="str">
        <x:f>IF(E195=F195,"PASS","FAIL")</x:f>
        <x:v>PASS</x:v>
      </x:c>
    </x:row>
    <x:row r="196">
      <x:c r="B196" t="str">
        <x:v>A-00150</x:v>
      </x:c>
      <x:c r="C196" t="str">
        <x:v>GATE</x:v>
      </x:c>
      <x:c r="D196" t="str">
        <x:v>release state mirrors governing ledger</x:v>
      </x:c>
      <x:c r="E196" t="str">
        <x:f>'Release Gates'!I156</x:f>
        <x:v>PASS</x:v>
      </x:c>
      <x:c r="F196" t="str">
        <x:f>IF('Release Gates'!C156="PLANNING","PASS",IF('Release Gates'!C156="PHYSICAL","OPEN","BLOCKED"))</x:f>
        <x:v>PASS</x:v>
      </x:c>
      <x:c r="G196" t="str">
        <x:v>equals</x:v>
      </x:c>
      <x:c r="H196" t="str">
        <x:f>IF(E196=F196,"PASS","FAIL")</x:f>
        <x:v>PASS</x:v>
      </x:c>
    </x:row>
    <x:row r="197">
      <x:c r="B197" t="str">
        <x:v>A-00151</x:v>
      </x:c>
      <x:c r="C197" t="str">
        <x:v>GATE</x:v>
      </x:c>
      <x:c r="D197" t="str">
        <x:v>release state mirrors governing ledger</x:v>
      </x:c>
      <x:c r="E197" t="str">
        <x:f>'Release Gates'!I157</x:f>
        <x:v>PASS</x:v>
      </x:c>
      <x:c r="F197" t="str">
        <x:f>IF('Release Gates'!C157="PLANNING","PASS",IF('Release Gates'!C157="PHYSICAL","OPEN","BLOCKED"))</x:f>
        <x:v>PASS</x:v>
      </x:c>
      <x:c r="G197" t="str">
        <x:v>equals</x:v>
      </x:c>
      <x:c r="H197" t="str">
        <x:f>IF(E197=F197,"PASS","FAIL")</x:f>
        <x:v>PASS</x:v>
      </x:c>
    </x:row>
    <x:row r="198">
      <x:c r="B198" t="str">
        <x:v>A-00152</x:v>
      </x:c>
      <x:c r="C198" t="str">
        <x:v>GATE</x:v>
      </x:c>
      <x:c r="D198" t="str">
        <x:v>release state mirrors governing ledger</x:v>
      </x:c>
      <x:c r="E198" t="str">
        <x:f>'Release Gates'!I158</x:f>
        <x:v>PASS</x:v>
      </x:c>
      <x:c r="F198" t="str">
        <x:f>IF('Release Gates'!C158="PLANNING","PASS",IF('Release Gates'!C158="PHYSICAL","OPEN","BLOCKED"))</x:f>
        <x:v>PASS</x:v>
      </x:c>
      <x:c r="G198" t="str">
        <x:v>equals</x:v>
      </x:c>
      <x:c r="H198" t="str">
        <x:f>IF(E198=F198,"PASS","FAIL")</x:f>
        <x:v>PASS</x:v>
      </x:c>
    </x:row>
    <x:row r="199">
      <x:c r="B199" t="str">
        <x:v>A-00153</x:v>
      </x:c>
      <x:c r="C199" t="str">
        <x:v>GATE</x:v>
      </x:c>
      <x:c r="D199" t="str">
        <x:v>release state mirrors governing ledger</x:v>
      </x:c>
      <x:c r="E199" t="str">
        <x:f>'Release Gates'!I159</x:f>
        <x:v>PASS</x:v>
      </x:c>
      <x:c r="F199" t="str">
        <x:f>IF('Release Gates'!C159="PLANNING","PASS",IF('Release Gates'!C159="PHYSICAL","OPEN","BLOCKED"))</x:f>
        <x:v>PASS</x:v>
      </x:c>
      <x:c r="G199" t="str">
        <x:v>equals</x:v>
      </x:c>
      <x:c r="H199" t="str">
        <x:f>IF(E199=F199,"PASS","FAIL")</x:f>
        <x:v>PASS</x:v>
      </x:c>
    </x:row>
    <x:row r="200">
      <x:c r="B200" t="str">
        <x:v>A-00154</x:v>
      </x:c>
      <x:c r="C200" t="str">
        <x:v>GATE</x:v>
      </x:c>
      <x:c r="D200" t="str">
        <x:v>release state mirrors governing ledger</x:v>
      </x:c>
      <x:c r="E200" t="str">
        <x:f>'Release Gates'!I160</x:f>
        <x:v>PASS</x:v>
      </x:c>
      <x:c r="F200" t="str">
        <x:f>IF('Release Gates'!C160="PLANNING","PASS",IF('Release Gates'!C160="PHYSICAL","OPEN","BLOCKED"))</x:f>
        <x:v>PASS</x:v>
      </x:c>
      <x:c r="G200" t="str">
        <x:v>equals</x:v>
      </x:c>
      <x:c r="H200" t="str">
        <x:f>IF(E200=F200,"PASS","FAIL")</x:f>
        <x:v>PASS</x:v>
      </x:c>
    </x:row>
    <x:row r="201">
      <x:c r="B201" t="str">
        <x:v>A-00155</x:v>
      </x:c>
      <x:c r="C201" t="str">
        <x:v>GATE</x:v>
      </x:c>
      <x:c r="D201" t="str">
        <x:v>release state mirrors governing ledger</x:v>
      </x:c>
      <x:c r="E201" t="str">
        <x:f>'Release Gates'!I161</x:f>
        <x:v>PASS</x:v>
      </x:c>
      <x:c r="F201" t="str">
        <x:f>IF('Release Gates'!C161="PLANNING","PASS",IF('Release Gates'!C161="PHYSICAL","OPEN","BLOCKED"))</x:f>
        <x:v>PASS</x:v>
      </x:c>
      <x:c r="G201" t="str">
        <x:v>equals</x:v>
      </x:c>
      <x:c r="H201" t="str">
        <x:f>IF(E201=F201,"PASS","FAIL")</x:f>
        <x:v>PASS</x:v>
      </x:c>
    </x:row>
    <x:row r="202">
      <x:c r="B202" t="str">
        <x:v>A-00156</x:v>
      </x:c>
      <x:c r="C202" t="str">
        <x:v>GATE</x:v>
      </x:c>
      <x:c r="D202" t="str">
        <x:v>release state mirrors governing ledger</x:v>
      </x:c>
      <x:c r="E202" t="str">
        <x:f>'Release Gates'!I162</x:f>
        <x:v>PASS</x:v>
      </x:c>
      <x:c r="F202" t="str">
        <x:f>IF('Release Gates'!C162="PLANNING","PASS",IF('Release Gates'!C162="PHYSICAL","OPEN","BLOCKED"))</x:f>
        <x:v>PASS</x:v>
      </x:c>
      <x:c r="G202" t="str">
        <x:v>equals</x:v>
      </x:c>
      <x:c r="H202" t="str">
        <x:f>IF(E202=F202,"PASS","FAIL")</x:f>
        <x:v>PASS</x:v>
      </x:c>
    </x:row>
    <x:row r="203">
      <x:c r="B203" t="str">
        <x:v>A-00157</x:v>
      </x:c>
      <x:c r="C203" t="str">
        <x:v>GATE</x:v>
      </x:c>
      <x:c r="D203" t="str">
        <x:v>release state mirrors governing ledger</x:v>
      </x:c>
      <x:c r="E203" t="str">
        <x:f>'Release Gates'!I163</x:f>
        <x:v>PASS</x:v>
      </x:c>
      <x:c r="F203" t="str">
        <x:f>IF('Release Gates'!C163="PLANNING","PASS",IF('Release Gates'!C163="PHYSICAL","OPEN","BLOCKED"))</x:f>
        <x:v>PASS</x:v>
      </x:c>
      <x:c r="G203" t="str">
        <x:v>equals</x:v>
      </x:c>
      <x:c r="H203" t="str">
        <x:f>IF(E203=F203,"PASS","FAIL")</x:f>
        <x:v>PASS</x:v>
      </x:c>
    </x:row>
    <x:row r="204">
      <x:c r="B204" t="str">
        <x:v>A-00158</x:v>
      </x:c>
      <x:c r="C204" t="str">
        <x:v>GATE</x:v>
      </x:c>
      <x:c r="D204" t="str">
        <x:v>release state mirrors governing ledger</x:v>
      </x:c>
      <x:c r="E204" t="str">
        <x:f>'Release Gates'!I164</x:f>
        <x:v>PASS</x:v>
      </x:c>
      <x:c r="F204" t="str">
        <x:f>IF('Release Gates'!C164="PLANNING","PASS",IF('Release Gates'!C164="PHYSICAL","OPEN","BLOCKED"))</x:f>
        <x:v>PASS</x:v>
      </x:c>
      <x:c r="G204" t="str">
        <x:v>equals</x:v>
      </x:c>
      <x:c r="H204" t="str">
        <x:f>IF(E204=F204,"PASS","FAIL")</x:f>
        <x:v>PASS</x:v>
      </x:c>
    </x:row>
    <x:row r="205">
      <x:c r="B205" t="str">
        <x:v>A-00159</x:v>
      </x:c>
      <x:c r="C205" t="str">
        <x:v>GATE</x:v>
      </x:c>
      <x:c r="D205" t="str">
        <x:v>release state mirrors governing ledger</x:v>
      </x:c>
      <x:c r="E205" t="str">
        <x:f>'Release Gates'!I165</x:f>
        <x:v>PASS</x:v>
      </x:c>
      <x:c r="F205" t="str">
        <x:f>IF('Release Gates'!C165="PLANNING","PASS",IF('Release Gates'!C165="PHYSICAL","OPEN","BLOCKED"))</x:f>
        <x:v>PASS</x:v>
      </x:c>
      <x:c r="G205" t="str">
        <x:v>equals</x:v>
      </x:c>
      <x:c r="H205" t="str">
        <x:f>IF(E205=F205,"PASS","FAIL")</x:f>
        <x:v>PASS</x:v>
      </x:c>
    </x:row>
    <x:row r="206">
      <x:c r="B206" t="str">
        <x:v>A-00160</x:v>
      </x:c>
      <x:c r="C206" t="str">
        <x:v>GATE</x:v>
      </x:c>
      <x:c r="D206" t="str">
        <x:v>release state mirrors governing ledger</x:v>
      </x:c>
      <x:c r="E206" t="str">
        <x:f>'Release Gates'!I166</x:f>
        <x:v>PASS</x:v>
      </x:c>
      <x:c r="F206" t="str">
        <x:f>IF('Release Gates'!C166="PLANNING","PASS",IF('Release Gates'!C166="PHYSICAL","OPEN","BLOCKED"))</x:f>
        <x:v>PASS</x:v>
      </x:c>
      <x:c r="G206" t="str">
        <x:v>equals</x:v>
      </x:c>
      <x:c r="H206" t="str">
        <x:f>IF(E206=F206,"PASS","FAIL")</x:f>
        <x:v>PASS</x:v>
      </x:c>
    </x:row>
    <x:row r="207">
      <x:c r="B207" t="str">
        <x:v>A-00161</x:v>
      </x:c>
      <x:c r="C207" t="str">
        <x:v>GATE</x:v>
      </x:c>
      <x:c r="D207" t="str">
        <x:v>release state mirrors governing ledger</x:v>
      </x:c>
      <x:c r="E207" t="str">
        <x:f>'Release Gates'!I167</x:f>
        <x:v>PASS</x:v>
      </x:c>
      <x:c r="F207" t="str">
        <x:f>IF('Release Gates'!C167="PLANNING","PASS",IF('Release Gates'!C167="PHYSICAL","OPEN","BLOCKED"))</x:f>
        <x:v>PASS</x:v>
      </x:c>
      <x:c r="G207" t="str">
        <x:v>equals</x:v>
      </x:c>
      <x:c r="H207" t="str">
        <x:f>IF(E207=F207,"PASS","FAIL")</x:f>
        <x:v>PASS</x:v>
      </x:c>
    </x:row>
    <x:row r="208">
      <x:c r="B208" t="str">
        <x:v>A-00162</x:v>
      </x:c>
      <x:c r="C208" t="str">
        <x:v>GATE</x:v>
      </x:c>
      <x:c r="D208" t="str">
        <x:v>release state mirrors governing ledger</x:v>
      </x:c>
      <x:c r="E208" t="str">
        <x:f>'Release Gates'!I168</x:f>
        <x:v>PASS</x:v>
      </x:c>
      <x:c r="F208" t="str">
        <x:f>IF('Release Gates'!C168="PLANNING","PASS",IF('Release Gates'!C168="PHYSICAL","OPEN","BLOCKED"))</x:f>
        <x:v>PASS</x:v>
      </x:c>
      <x:c r="G208" t="str">
        <x:v>equals</x:v>
      </x:c>
      <x:c r="H208" t="str">
        <x:f>IF(E208=F208,"PASS","FAIL")</x:f>
        <x:v>PASS</x:v>
      </x:c>
    </x:row>
    <x:row r="209">
      <x:c r="B209" t="str">
        <x:v>A-00163</x:v>
      </x:c>
      <x:c r="C209" t="str">
        <x:v>GATE</x:v>
      </x:c>
      <x:c r="D209" t="str">
        <x:v>release state mirrors governing ledger</x:v>
      </x:c>
      <x:c r="E209" t="str">
        <x:f>'Release Gates'!I169</x:f>
        <x:v>PASS</x:v>
      </x:c>
      <x:c r="F209" t="str">
        <x:f>IF('Release Gates'!C169="PLANNING","PASS",IF('Release Gates'!C169="PHYSICAL","OPEN","BLOCKED"))</x:f>
        <x:v>PASS</x:v>
      </x:c>
      <x:c r="G209" t="str">
        <x:v>equals</x:v>
      </x:c>
      <x:c r="H209" t="str">
        <x:f>IF(E209=F209,"PASS","FAIL")</x:f>
        <x:v>PASS</x:v>
      </x:c>
    </x:row>
    <x:row r="210">
      <x:c r="B210" t="str">
        <x:v>A-00164</x:v>
      </x:c>
      <x:c r="C210" t="str">
        <x:v>GATE</x:v>
      </x:c>
      <x:c r="D210" t="str">
        <x:v>release state mirrors governing ledger</x:v>
      </x:c>
      <x:c r="E210" t="str">
        <x:f>'Release Gates'!I170</x:f>
        <x:v>PASS</x:v>
      </x:c>
      <x:c r="F210" t="str">
        <x:f>IF('Release Gates'!C170="PLANNING","PASS",IF('Release Gates'!C170="PHYSICAL","OPEN","BLOCKED"))</x:f>
        <x:v>PASS</x:v>
      </x:c>
      <x:c r="G210" t="str">
        <x:v>equals</x:v>
      </x:c>
      <x:c r="H210" t="str">
        <x:f>IF(E210=F210,"PASS","FAIL")</x:f>
        <x:v>PASS</x:v>
      </x:c>
    </x:row>
    <x:row r="211">
      <x:c r="B211" t="str">
        <x:v>A-00165</x:v>
      </x:c>
      <x:c r="C211" t="str">
        <x:v>GATE</x:v>
      </x:c>
      <x:c r="D211" t="str">
        <x:v>release state mirrors governing ledger</x:v>
      </x:c>
      <x:c r="E211" t="str">
        <x:f>'Release Gates'!I171</x:f>
        <x:v>PASS</x:v>
      </x:c>
      <x:c r="F211" t="str">
        <x:f>IF('Release Gates'!C171="PLANNING","PASS",IF('Release Gates'!C171="PHYSICAL","OPEN","BLOCKED"))</x:f>
        <x:v>PASS</x:v>
      </x:c>
      <x:c r="G211" t="str">
        <x:v>equals</x:v>
      </x:c>
      <x:c r="H211" t="str">
        <x:f>IF(E211=F211,"PASS","FAIL")</x:f>
        <x:v>PASS</x:v>
      </x:c>
    </x:row>
    <x:row r="212">
      <x:c r="B212" t="str">
        <x:v>A-00166</x:v>
      </x:c>
      <x:c r="C212" t="str">
        <x:v>GATE</x:v>
      </x:c>
      <x:c r="D212" t="str">
        <x:v>release state mirrors governing ledger</x:v>
      </x:c>
      <x:c r="E212" t="str">
        <x:f>'Release Gates'!I172</x:f>
        <x:v>PASS</x:v>
      </x:c>
      <x:c r="F212" t="str">
        <x:f>IF('Release Gates'!C172="PLANNING","PASS",IF('Release Gates'!C172="PHYSICAL","OPEN","BLOCKED"))</x:f>
        <x:v>PASS</x:v>
      </x:c>
      <x:c r="G212" t="str">
        <x:v>equals</x:v>
      </x:c>
      <x:c r="H212" t="str">
        <x:f>IF(E212=F212,"PASS","FAIL")</x:f>
        <x:v>PASS</x:v>
      </x:c>
    </x:row>
    <x:row r="213">
      <x:c r="B213" t="str">
        <x:v>A-00167</x:v>
      </x:c>
      <x:c r="C213" t="str">
        <x:v>GATE</x:v>
      </x:c>
      <x:c r="D213" t="str">
        <x:v>release state mirrors governing ledger</x:v>
      </x:c>
      <x:c r="E213" t="str">
        <x:f>'Release Gates'!I173</x:f>
        <x:v>PASS</x:v>
      </x:c>
      <x:c r="F213" t="str">
        <x:f>IF('Release Gates'!C173="PLANNING","PASS",IF('Release Gates'!C173="PHYSICAL","OPEN","BLOCKED"))</x:f>
        <x:v>PASS</x:v>
      </x:c>
      <x:c r="G213" t="str">
        <x:v>equals</x:v>
      </x:c>
      <x:c r="H213" t="str">
        <x:f>IF(E213=F213,"PASS","FAIL")</x:f>
        <x:v>PASS</x:v>
      </x:c>
    </x:row>
    <x:row r="214">
      <x:c r="B214" t="str">
        <x:v>A-00168</x:v>
      </x:c>
      <x:c r="C214" t="str">
        <x:v>GATE</x:v>
      </x:c>
      <x:c r="D214" t="str">
        <x:v>release state mirrors governing ledger</x:v>
      </x:c>
      <x:c r="E214" t="str">
        <x:f>'Release Gates'!I174</x:f>
        <x:v>PASS</x:v>
      </x:c>
      <x:c r="F214" t="str">
        <x:f>IF('Release Gates'!C174="PLANNING","PASS",IF('Release Gates'!C174="PHYSICAL","OPEN","BLOCKED"))</x:f>
        <x:v>PASS</x:v>
      </x:c>
      <x:c r="G214" t="str">
        <x:v>equals</x:v>
      </x:c>
      <x:c r="H214" t="str">
        <x:f>IF(E214=F214,"PASS","FAIL")</x:f>
        <x:v>PASS</x:v>
      </x:c>
    </x:row>
    <x:row r="215">
      <x:c r="B215" t="str">
        <x:v>A-00169</x:v>
      </x:c>
      <x:c r="C215" t="str">
        <x:v>GATE</x:v>
      </x:c>
      <x:c r="D215" t="str">
        <x:v>release state mirrors governing ledger</x:v>
      </x:c>
      <x:c r="E215" t="str">
        <x:f>'Release Gates'!I175</x:f>
        <x:v>PASS</x:v>
      </x:c>
      <x:c r="F215" t="str">
        <x:f>IF('Release Gates'!C175="PLANNING","PASS",IF('Release Gates'!C175="PHYSICAL","OPEN","BLOCKED"))</x:f>
        <x:v>PASS</x:v>
      </x:c>
      <x:c r="G215" t="str">
        <x:v>equals</x:v>
      </x:c>
      <x:c r="H215" t="str">
        <x:f>IF(E215=F215,"PASS","FAIL")</x:f>
        <x:v>PASS</x:v>
      </x:c>
    </x:row>
    <x:row r="216">
      <x:c r="B216" t="str">
        <x:v>A-00170</x:v>
      </x:c>
      <x:c r="C216" t="str">
        <x:v>GATE</x:v>
      </x:c>
      <x:c r="D216" t="str">
        <x:v>release state mirrors governing ledger</x:v>
      </x:c>
      <x:c r="E216" t="str">
        <x:f>'Release Gates'!I176</x:f>
        <x:v>PASS</x:v>
      </x:c>
      <x:c r="F216" t="str">
        <x:f>IF('Release Gates'!C176="PLANNING","PASS",IF('Release Gates'!C176="PHYSICAL","OPEN","BLOCKED"))</x:f>
        <x:v>PASS</x:v>
      </x:c>
      <x:c r="G216" t="str">
        <x:v>equals</x:v>
      </x:c>
      <x:c r="H216" t="str">
        <x:f>IF(E216=F216,"PASS","FAIL")</x:f>
        <x:v>PASS</x:v>
      </x:c>
    </x:row>
    <x:row r="217">
      <x:c r="B217" t="str">
        <x:v>A-00171</x:v>
      </x:c>
      <x:c r="C217" t="str">
        <x:v>GATE</x:v>
      </x:c>
      <x:c r="D217" t="str">
        <x:v>release state mirrors governing ledger</x:v>
      </x:c>
      <x:c r="E217" t="str">
        <x:f>'Release Gates'!I177</x:f>
        <x:v>PASS</x:v>
      </x:c>
      <x:c r="F217" t="str">
        <x:f>IF('Release Gates'!C177="PLANNING","PASS",IF('Release Gates'!C177="PHYSICAL","OPEN","BLOCKED"))</x:f>
        <x:v>PASS</x:v>
      </x:c>
      <x:c r="G217" t="str">
        <x:v>equals</x:v>
      </x:c>
      <x:c r="H217" t="str">
        <x:f>IF(E217=F217,"PASS","FAIL")</x:f>
        <x:v>PASS</x:v>
      </x:c>
    </x:row>
    <x:row r="218">
      <x:c r="B218" t="str">
        <x:v>A-00172</x:v>
      </x:c>
      <x:c r="C218" t="str">
        <x:v>GATE</x:v>
      </x:c>
      <x:c r="D218" t="str">
        <x:v>release state mirrors governing ledger</x:v>
      </x:c>
      <x:c r="E218" t="str">
        <x:f>'Release Gates'!I178</x:f>
        <x:v>PASS</x:v>
      </x:c>
      <x:c r="F218" t="str">
        <x:f>IF('Release Gates'!C178="PLANNING","PASS",IF('Release Gates'!C178="PHYSICAL","OPEN","BLOCKED"))</x:f>
        <x:v>PASS</x:v>
      </x:c>
      <x:c r="G218" t="str">
        <x:v>equals</x:v>
      </x:c>
      <x:c r="H218" t="str">
        <x:f>IF(E218=F218,"PASS","FAIL")</x:f>
        <x:v>PASS</x:v>
      </x:c>
    </x:row>
    <x:row r="219">
      <x:c r="B219" t="str">
        <x:v>A-00173</x:v>
      </x:c>
      <x:c r="C219" t="str">
        <x:v>GATE</x:v>
      </x:c>
      <x:c r="D219" t="str">
        <x:v>release state mirrors governing ledger</x:v>
      </x:c>
      <x:c r="E219" t="str">
        <x:f>'Release Gates'!I179</x:f>
        <x:v>PASS</x:v>
      </x:c>
      <x:c r="F219" t="str">
        <x:f>IF('Release Gates'!C179="PLANNING","PASS",IF('Release Gates'!C179="PHYSICAL","OPEN","BLOCKED"))</x:f>
        <x:v>PASS</x:v>
      </x:c>
      <x:c r="G219" t="str">
        <x:v>equals</x:v>
      </x:c>
      <x:c r="H219" t="str">
        <x:f>IF(E219=F219,"PASS","FAIL")</x:f>
        <x:v>PASS</x:v>
      </x:c>
    </x:row>
    <x:row r="220">
      <x:c r="B220" t="str">
        <x:v>A-00174</x:v>
      </x:c>
      <x:c r="C220" t="str">
        <x:v>GATE</x:v>
      </x:c>
      <x:c r="D220" t="str">
        <x:v>release state mirrors governing ledger</x:v>
      </x:c>
      <x:c r="E220" t="str">
        <x:f>'Release Gates'!I180</x:f>
        <x:v>PASS</x:v>
      </x:c>
      <x:c r="F220" t="str">
        <x:f>IF('Release Gates'!C180="PLANNING","PASS",IF('Release Gates'!C180="PHYSICAL","OPEN","BLOCKED"))</x:f>
        <x:v>PASS</x:v>
      </x:c>
      <x:c r="G220" t="str">
        <x:v>equals</x:v>
      </x:c>
      <x:c r="H220" t="str">
        <x:f>IF(E220=F220,"PASS","FAIL")</x:f>
        <x:v>PASS</x:v>
      </x:c>
    </x:row>
    <x:row r="221">
      <x:c r="B221" t="str">
        <x:v>A-00175</x:v>
      </x:c>
      <x:c r="C221" t="str">
        <x:v>GATE</x:v>
      </x:c>
      <x:c r="D221" t="str">
        <x:v>release state mirrors governing ledger</x:v>
      </x:c>
      <x:c r="E221" t="str">
        <x:f>'Release Gates'!I181</x:f>
        <x:v>PASS</x:v>
      </x:c>
      <x:c r="F221" t="str">
        <x:f>IF('Release Gates'!C181="PLANNING","PASS",IF('Release Gates'!C181="PHYSICAL","OPEN","BLOCKED"))</x:f>
        <x:v>PASS</x:v>
      </x:c>
      <x:c r="G221" t="str">
        <x:v>equals</x:v>
      </x:c>
      <x:c r="H221" t="str">
        <x:f>IF(E221=F221,"PASS","FAIL")</x:f>
        <x:v>PASS</x:v>
      </x:c>
    </x:row>
    <x:row r="222">
      <x:c r="B222" t="str">
        <x:v>A-00176</x:v>
      </x:c>
      <x:c r="C222" t="str">
        <x:v>GATE</x:v>
      </x:c>
      <x:c r="D222" t="str">
        <x:v>release state mirrors governing ledger</x:v>
      </x:c>
      <x:c r="E222" t="str">
        <x:f>'Release Gates'!I182</x:f>
        <x:v>PASS</x:v>
      </x:c>
      <x:c r="F222" t="str">
        <x:f>IF('Release Gates'!C182="PLANNING","PASS",IF('Release Gates'!C182="PHYSICAL","OPEN","BLOCKED"))</x:f>
        <x:v>PASS</x:v>
      </x:c>
      <x:c r="G222" t="str">
        <x:v>equals</x:v>
      </x:c>
      <x:c r="H222" t="str">
        <x:f>IF(E222=F222,"PASS","FAIL")</x:f>
        <x:v>PASS</x:v>
      </x:c>
    </x:row>
    <x:row r="223">
      <x:c r="B223" t="str">
        <x:v>A-00177</x:v>
      </x:c>
      <x:c r="C223" t="str">
        <x:v>GATE</x:v>
      </x:c>
      <x:c r="D223" t="str">
        <x:v>release state mirrors governing ledger</x:v>
      </x:c>
      <x:c r="E223" t="str">
        <x:f>'Release Gates'!I183</x:f>
        <x:v>PASS</x:v>
      </x:c>
      <x:c r="F223" t="str">
        <x:f>IF('Release Gates'!C183="PLANNING","PASS",IF('Release Gates'!C183="PHYSICAL","OPEN","BLOCKED"))</x:f>
        <x:v>PASS</x:v>
      </x:c>
      <x:c r="G223" t="str">
        <x:v>equals</x:v>
      </x:c>
      <x:c r="H223" t="str">
        <x:f>IF(E223=F223,"PASS","FAIL")</x:f>
        <x:v>PASS</x:v>
      </x:c>
    </x:row>
    <x:row r="224">
      <x:c r="B224" t="str">
        <x:v>A-00178</x:v>
      </x:c>
      <x:c r="C224" t="str">
        <x:v>GATE</x:v>
      </x:c>
      <x:c r="D224" t="str">
        <x:v>release state mirrors governing ledger</x:v>
      </x:c>
      <x:c r="E224" t="str">
        <x:f>'Release Gates'!I184</x:f>
        <x:v>PASS</x:v>
      </x:c>
      <x:c r="F224" t="str">
        <x:f>IF('Release Gates'!C184="PLANNING","PASS",IF('Release Gates'!C184="PHYSICAL","OPEN","BLOCKED"))</x:f>
        <x:v>PASS</x:v>
      </x:c>
      <x:c r="G224" t="str">
        <x:v>equals</x:v>
      </x:c>
      <x:c r="H224" t="str">
        <x:f>IF(E224=F224,"PASS","FAIL")</x:f>
        <x:v>PASS</x:v>
      </x:c>
    </x:row>
    <x:row r="225">
      <x:c r="B225" t="str">
        <x:v>A-00179</x:v>
      </x:c>
      <x:c r="C225" t="str">
        <x:v>GATE</x:v>
      </x:c>
      <x:c r="D225" t="str">
        <x:v>release state mirrors governing ledger</x:v>
      </x:c>
      <x:c r="E225" t="str">
        <x:f>'Release Gates'!I185</x:f>
        <x:v>PASS</x:v>
      </x:c>
      <x:c r="F225" t="str">
        <x:f>IF('Release Gates'!C185="PLANNING","PASS",IF('Release Gates'!C185="PHYSICAL","OPEN","BLOCKED"))</x:f>
        <x:v>PASS</x:v>
      </x:c>
      <x:c r="G225" t="str">
        <x:v>equals</x:v>
      </x:c>
      <x:c r="H225" t="str">
        <x:f>IF(E225=F225,"PASS","FAIL")</x:f>
        <x:v>PASS</x:v>
      </x:c>
    </x:row>
    <x:row r="226">
      <x:c r="B226" t="str">
        <x:v>A-00180</x:v>
      </x:c>
      <x:c r="C226" t="str">
        <x:v>GATE</x:v>
      </x:c>
      <x:c r="D226" t="str">
        <x:v>release state mirrors governing ledger</x:v>
      </x:c>
      <x:c r="E226" t="str">
        <x:f>'Release Gates'!I186</x:f>
        <x:v>PASS</x:v>
      </x:c>
      <x:c r="F226" t="str">
        <x:f>IF('Release Gates'!C186="PLANNING","PASS",IF('Release Gates'!C186="PHYSICAL","OPEN","BLOCKED"))</x:f>
        <x:v>PASS</x:v>
      </x:c>
      <x:c r="G226" t="str">
        <x:v>equals</x:v>
      </x:c>
      <x:c r="H226" t="str">
        <x:f>IF(E226=F226,"PASS","FAIL")</x:f>
        <x:v>PASS</x:v>
      </x:c>
    </x:row>
    <x:row r="227">
      <x:c r="B227" t="str">
        <x:v>A-00181</x:v>
      </x:c>
      <x:c r="C227" t="str">
        <x:v>GATE</x:v>
      </x:c>
      <x:c r="D227" t="str">
        <x:v>release state mirrors governing ledger</x:v>
      </x:c>
      <x:c r="E227" t="str">
        <x:f>'Release Gates'!I187</x:f>
        <x:v>PASS</x:v>
      </x:c>
      <x:c r="F227" t="str">
        <x:f>IF('Release Gates'!C187="PLANNING","PASS",IF('Release Gates'!C187="PHYSICAL","OPEN","BLOCKED"))</x:f>
        <x:v>PASS</x:v>
      </x:c>
      <x:c r="G227" t="str">
        <x:v>equals</x:v>
      </x:c>
      <x:c r="H227" t="str">
        <x:f>IF(E227=F227,"PASS","FAIL")</x:f>
        <x:v>PASS</x:v>
      </x:c>
    </x:row>
    <x:row r="228">
      <x:c r="B228" t="str">
        <x:v>A-00182</x:v>
      </x:c>
      <x:c r="C228" t="str">
        <x:v>GATE</x:v>
      </x:c>
      <x:c r="D228" t="str">
        <x:v>release state mirrors governing ledger</x:v>
      </x:c>
      <x:c r="E228" t="str">
        <x:f>'Release Gates'!I188</x:f>
        <x:v>PASS</x:v>
      </x:c>
      <x:c r="F228" t="str">
        <x:f>IF('Release Gates'!C188="PLANNING","PASS",IF('Release Gates'!C188="PHYSICAL","OPEN","BLOCKED"))</x:f>
        <x:v>PASS</x:v>
      </x:c>
      <x:c r="G228" t="str">
        <x:v>equals</x:v>
      </x:c>
      <x:c r="H228" t="str">
        <x:f>IF(E228=F228,"PASS","FAIL")</x:f>
        <x:v>PASS</x:v>
      </x:c>
    </x:row>
    <x:row r="229">
      <x:c r="B229" t="str">
        <x:v>A-00183</x:v>
      </x:c>
      <x:c r="C229" t="str">
        <x:v>GATE</x:v>
      </x:c>
      <x:c r="D229" t="str">
        <x:v>release state mirrors governing ledger</x:v>
      </x:c>
      <x:c r="E229" t="str">
        <x:f>'Release Gates'!I189</x:f>
        <x:v>PASS</x:v>
      </x:c>
      <x:c r="F229" t="str">
        <x:f>IF('Release Gates'!C189="PLANNING","PASS",IF('Release Gates'!C189="PHYSICAL","OPEN","BLOCKED"))</x:f>
        <x:v>PASS</x:v>
      </x:c>
      <x:c r="G229" t="str">
        <x:v>equals</x:v>
      </x:c>
      <x:c r="H229" t="str">
        <x:f>IF(E229=F229,"PASS","FAIL")</x:f>
        <x:v>PASS</x:v>
      </x:c>
    </x:row>
    <x:row r="230">
      <x:c r="B230" t="str">
        <x:v>A-00184</x:v>
      </x:c>
      <x:c r="C230" t="str">
        <x:v>GATE</x:v>
      </x:c>
      <x:c r="D230" t="str">
        <x:v>release state mirrors governing ledger</x:v>
      </x:c>
      <x:c r="E230" t="str">
        <x:f>'Release Gates'!I190</x:f>
        <x:v>PASS</x:v>
      </x:c>
      <x:c r="F230" t="str">
        <x:f>IF('Release Gates'!C190="PLANNING","PASS",IF('Release Gates'!C190="PHYSICAL","OPEN","BLOCKED"))</x:f>
        <x:v>PASS</x:v>
      </x:c>
      <x:c r="G230" t="str">
        <x:v>equals</x:v>
      </x:c>
      <x:c r="H230" t="str">
        <x:f>IF(E230=F230,"PASS","FAIL")</x:f>
        <x:v>PASS</x:v>
      </x:c>
    </x:row>
    <x:row r="231">
      <x:c r="B231" t="str">
        <x:v>A-00185</x:v>
      </x:c>
      <x:c r="C231" t="str">
        <x:v>GATE</x:v>
      </x:c>
      <x:c r="D231" t="str">
        <x:v>release state mirrors governing ledger</x:v>
      </x:c>
      <x:c r="E231" t="str">
        <x:f>'Release Gates'!I191</x:f>
        <x:v>PASS</x:v>
      </x:c>
      <x:c r="F231" t="str">
        <x:f>IF('Release Gates'!C191="PLANNING","PASS",IF('Release Gates'!C191="PHYSICAL","OPEN","BLOCKED"))</x:f>
        <x:v>PASS</x:v>
      </x:c>
      <x:c r="G231" t="str">
        <x:v>equals</x:v>
      </x:c>
      <x:c r="H231" t="str">
        <x:f>IF(E231=F231,"PASS","FAIL")</x:f>
        <x:v>PASS</x:v>
      </x:c>
    </x:row>
    <x:row r="232">
      <x:c r="B232" t="str">
        <x:v>A-00186</x:v>
      </x:c>
      <x:c r="C232" t="str">
        <x:v>GATE</x:v>
      </x:c>
      <x:c r="D232" t="str">
        <x:v>release state mirrors governing ledger</x:v>
      </x:c>
      <x:c r="E232" t="str">
        <x:f>'Release Gates'!I192</x:f>
        <x:v>PASS</x:v>
      </x:c>
      <x:c r="F232" t="str">
        <x:f>IF('Release Gates'!C192="PLANNING","PASS",IF('Release Gates'!C192="PHYSICAL","OPEN","BLOCKED"))</x:f>
        <x:v>PASS</x:v>
      </x:c>
      <x:c r="G232" t="str">
        <x:v>equals</x:v>
      </x:c>
      <x:c r="H232" t="str">
        <x:f>IF(E232=F232,"PASS","FAIL")</x:f>
        <x:v>PASS</x:v>
      </x:c>
    </x:row>
    <x:row r="233">
      <x:c r="B233" t="str">
        <x:v>A-00187</x:v>
      </x:c>
      <x:c r="C233" t="str">
        <x:v>GATE</x:v>
      </x:c>
      <x:c r="D233" t="str">
        <x:v>release state mirrors governing ledger</x:v>
      </x:c>
      <x:c r="E233" t="str">
        <x:f>'Release Gates'!I193</x:f>
        <x:v>PASS</x:v>
      </x:c>
      <x:c r="F233" t="str">
        <x:f>IF('Release Gates'!C193="PLANNING","PASS",IF('Release Gates'!C193="PHYSICAL","OPEN","BLOCKED"))</x:f>
        <x:v>PASS</x:v>
      </x:c>
      <x:c r="G233" t="str">
        <x:v>equals</x:v>
      </x:c>
      <x:c r="H233" t="str">
        <x:f>IF(E233=F233,"PASS","FAIL")</x:f>
        <x:v>PASS</x:v>
      </x:c>
    </x:row>
    <x:row r="234">
      <x:c r="B234" t="str">
        <x:v>A-00188</x:v>
      </x:c>
      <x:c r="C234" t="str">
        <x:v>GATE</x:v>
      </x:c>
      <x:c r="D234" t="str">
        <x:v>release state mirrors governing ledger</x:v>
      </x:c>
      <x:c r="E234" t="str">
        <x:f>'Release Gates'!I194</x:f>
        <x:v>PASS</x:v>
      </x:c>
      <x:c r="F234" t="str">
        <x:f>IF('Release Gates'!C194="PLANNING","PASS",IF('Release Gates'!C194="PHYSICAL","OPEN","BLOCKED"))</x:f>
        <x:v>PASS</x:v>
      </x:c>
      <x:c r="G234" t="str">
        <x:v>equals</x:v>
      </x:c>
      <x:c r="H234" t="str">
        <x:f>IF(E234=F234,"PASS","FAIL")</x:f>
        <x:v>PASS</x:v>
      </x:c>
    </x:row>
    <x:row r="235">
      <x:c r="B235" t="str">
        <x:v>A-00189</x:v>
      </x:c>
      <x:c r="C235" t="str">
        <x:v>GATE</x:v>
      </x:c>
      <x:c r="D235" t="str">
        <x:v>release state mirrors governing ledger</x:v>
      </x:c>
      <x:c r="E235" t="str">
        <x:f>'Release Gates'!I195</x:f>
        <x:v>PASS</x:v>
      </x:c>
      <x:c r="F235" t="str">
        <x:f>IF('Release Gates'!C195="PLANNING","PASS",IF('Release Gates'!C195="PHYSICAL","OPEN","BLOCKED"))</x:f>
        <x:v>PASS</x:v>
      </x:c>
      <x:c r="G235" t="str">
        <x:v>equals</x:v>
      </x:c>
      <x:c r="H235" t="str">
        <x:f>IF(E235=F235,"PASS","FAIL")</x:f>
        <x:v>PASS</x:v>
      </x:c>
    </x:row>
    <x:row r="236">
      <x:c r="B236" t="str">
        <x:v>A-00190</x:v>
      </x:c>
      <x:c r="C236" t="str">
        <x:v>GATE</x:v>
      </x:c>
      <x:c r="D236" t="str">
        <x:v>release state mirrors governing ledger</x:v>
      </x:c>
      <x:c r="E236" t="str">
        <x:f>'Release Gates'!I196</x:f>
        <x:v>PASS</x:v>
      </x:c>
      <x:c r="F236" t="str">
        <x:f>IF('Release Gates'!C196="PLANNING","PASS",IF('Release Gates'!C196="PHYSICAL","OPEN","BLOCKED"))</x:f>
        <x:v>PASS</x:v>
      </x:c>
      <x:c r="G236" t="str">
        <x:v>equals</x:v>
      </x:c>
      <x:c r="H236" t="str">
        <x:f>IF(E236=F236,"PASS","FAIL")</x:f>
        <x:v>PASS</x:v>
      </x:c>
    </x:row>
    <x:row r="237">
      <x:c r="B237" t="str">
        <x:v>A-00191</x:v>
      </x:c>
      <x:c r="C237" t="str">
        <x:v>GATE</x:v>
      </x:c>
      <x:c r="D237" t="str">
        <x:v>release state mirrors governing ledger</x:v>
      </x:c>
      <x:c r="E237" t="str">
        <x:f>'Release Gates'!I197</x:f>
        <x:v>PASS</x:v>
      </x:c>
      <x:c r="F237" t="str">
        <x:f>IF('Release Gates'!C197="PLANNING","PASS",IF('Release Gates'!C197="PHYSICAL","OPEN","BLOCKED"))</x:f>
        <x:v>PASS</x:v>
      </x:c>
      <x:c r="G237" t="str">
        <x:v>equals</x:v>
      </x:c>
      <x:c r="H237" t="str">
        <x:f>IF(E237=F237,"PASS","FAIL")</x:f>
        <x:v>PASS</x:v>
      </x:c>
    </x:row>
    <x:row r="238">
      <x:c r="B238" t="str">
        <x:v>A-00192</x:v>
      </x:c>
      <x:c r="C238" t="str">
        <x:v>GATE</x:v>
      </x:c>
      <x:c r="D238" t="str">
        <x:v>release state mirrors governing ledger</x:v>
      </x:c>
      <x:c r="E238" t="str">
        <x:f>'Release Gates'!I198</x:f>
        <x:v>PASS</x:v>
      </x:c>
      <x:c r="F238" t="str">
        <x:f>IF('Release Gates'!C198="PLANNING","PASS",IF('Release Gates'!C198="PHYSICAL","OPEN","BLOCKED"))</x:f>
        <x:v>PASS</x:v>
      </x:c>
      <x:c r="G238" t="str">
        <x:v>equals</x:v>
      </x:c>
      <x:c r="H238" t="str">
        <x:f>IF(E238=F238,"PASS","FAIL")</x:f>
        <x:v>PASS</x:v>
      </x:c>
    </x:row>
    <x:row r="239">
      <x:c r="B239" t="str">
        <x:v>A-00193</x:v>
      </x:c>
      <x:c r="C239" t="str">
        <x:v>GATE</x:v>
      </x:c>
      <x:c r="D239" t="str">
        <x:v>release state mirrors governing ledger</x:v>
      </x:c>
      <x:c r="E239" t="str">
        <x:f>'Release Gates'!I199</x:f>
        <x:v>PASS</x:v>
      </x:c>
      <x:c r="F239" t="str">
        <x:f>IF('Release Gates'!C199="PLANNING","PASS",IF('Release Gates'!C199="PHYSICAL","OPEN","BLOCKED"))</x:f>
        <x:v>PASS</x:v>
      </x:c>
      <x:c r="G239" t="str">
        <x:v>equals</x:v>
      </x:c>
      <x:c r="H239" t="str">
        <x:f>IF(E239=F239,"PASS","FAIL")</x:f>
        <x:v>PASS</x:v>
      </x:c>
    </x:row>
    <x:row r="240">
      <x:c r="B240" t="str">
        <x:v>A-00194</x:v>
      </x:c>
      <x:c r="C240" t="str">
        <x:v>GATE</x:v>
      </x:c>
      <x:c r="D240" t="str">
        <x:v>release state mirrors governing ledger</x:v>
      </x:c>
      <x:c r="E240" t="str">
        <x:f>'Release Gates'!I200</x:f>
        <x:v>PASS</x:v>
      </x:c>
      <x:c r="F240" t="str">
        <x:f>IF('Release Gates'!C200="PLANNING","PASS",IF('Release Gates'!C200="PHYSICAL","OPEN","BLOCKED"))</x:f>
        <x:v>PASS</x:v>
      </x:c>
      <x:c r="G240" t="str">
        <x:v>equals</x:v>
      </x:c>
      <x:c r="H240" t="str">
        <x:f>IF(E240=F240,"PASS","FAIL")</x:f>
        <x:v>PASS</x:v>
      </x:c>
    </x:row>
    <x:row r="241">
      <x:c r="B241" t="str">
        <x:v>A-00195</x:v>
      </x:c>
      <x:c r="C241" t="str">
        <x:v>GATE</x:v>
      </x:c>
      <x:c r="D241" t="str">
        <x:v>release state mirrors governing ledger</x:v>
      </x:c>
      <x:c r="E241" t="str">
        <x:f>'Release Gates'!I201</x:f>
        <x:v>PASS</x:v>
      </x:c>
      <x:c r="F241" t="str">
        <x:f>IF('Release Gates'!C201="PLANNING","PASS",IF('Release Gates'!C201="PHYSICAL","OPEN","BLOCKED"))</x:f>
        <x:v>PASS</x:v>
      </x:c>
      <x:c r="G241" t="str">
        <x:v>equals</x:v>
      </x:c>
      <x:c r="H241" t="str">
        <x:f>IF(E241=F241,"PASS","FAIL")</x:f>
        <x:v>PASS</x:v>
      </x:c>
    </x:row>
    <x:row r="242">
      <x:c r="B242" t="str">
        <x:v>A-00196</x:v>
      </x:c>
      <x:c r="C242" t="str">
        <x:v>GATE</x:v>
      </x:c>
      <x:c r="D242" t="str">
        <x:v>release state mirrors governing ledger</x:v>
      </x:c>
      <x:c r="E242" t="str">
        <x:f>'Release Gates'!I202</x:f>
        <x:v>PASS</x:v>
      </x:c>
      <x:c r="F242" t="str">
        <x:f>IF('Release Gates'!C202="PLANNING","PASS",IF('Release Gates'!C202="PHYSICAL","OPEN","BLOCKED"))</x:f>
        <x:v>PASS</x:v>
      </x:c>
      <x:c r="G242" t="str">
        <x:v>equals</x:v>
      </x:c>
      <x:c r="H242" t="str">
        <x:f>IF(E242=F242,"PASS","FAIL")</x:f>
        <x:v>PASS</x:v>
      </x:c>
    </x:row>
    <x:row r="243">
      <x:c r="B243" t="str">
        <x:v>A-00197</x:v>
      </x:c>
      <x:c r="C243" t="str">
        <x:v>GATE</x:v>
      </x:c>
      <x:c r="D243" t="str">
        <x:v>release state mirrors governing ledger</x:v>
      </x:c>
      <x:c r="E243" t="str">
        <x:f>'Release Gates'!I203</x:f>
        <x:v>PASS</x:v>
      </x:c>
      <x:c r="F243" t="str">
        <x:f>IF('Release Gates'!C203="PLANNING","PASS",IF('Release Gates'!C203="PHYSICAL","OPEN","BLOCKED"))</x:f>
        <x:v>PASS</x:v>
      </x:c>
      <x:c r="G243" t="str">
        <x:v>equals</x:v>
      </x:c>
      <x:c r="H243" t="str">
        <x:f>IF(E243=F243,"PASS","FAIL")</x:f>
        <x:v>PASS</x:v>
      </x:c>
    </x:row>
    <x:row r="244">
      <x:c r="B244" t="str">
        <x:v>A-00198</x:v>
      </x:c>
      <x:c r="C244" t="str">
        <x:v>GATE</x:v>
      </x:c>
      <x:c r="D244" t="str">
        <x:v>release state mirrors governing ledger</x:v>
      </x:c>
      <x:c r="E244" t="str">
        <x:f>'Release Gates'!I204</x:f>
        <x:v>PASS</x:v>
      </x:c>
      <x:c r="F244" t="str">
        <x:f>IF('Release Gates'!C204="PLANNING","PASS",IF('Release Gates'!C204="PHYSICAL","OPEN","BLOCKED"))</x:f>
        <x:v>PASS</x:v>
      </x:c>
      <x:c r="G244" t="str">
        <x:v>equals</x:v>
      </x:c>
      <x:c r="H244" t="str">
        <x:f>IF(E244=F244,"PASS","FAIL")</x:f>
        <x:v>PASS</x:v>
      </x:c>
    </x:row>
    <x:row r="245">
      <x:c r="B245" t="str">
        <x:v>A-00199</x:v>
      </x:c>
      <x:c r="C245" t="str">
        <x:v>GATE</x:v>
      </x:c>
      <x:c r="D245" t="str">
        <x:v>release state mirrors governing ledger</x:v>
      </x:c>
      <x:c r="E245" t="str">
        <x:f>'Release Gates'!I205</x:f>
        <x:v>PASS</x:v>
      </x:c>
      <x:c r="F245" t="str">
        <x:f>IF('Release Gates'!C205="PLANNING","PASS",IF('Release Gates'!C205="PHYSICAL","OPEN","BLOCKED"))</x:f>
        <x:v>PASS</x:v>
      </x:c>
      <x:c r="G245" t="str">
        <x:v>equals</x:v>
      </x:c>
      <x:c r="H245" t="str">
        <x:f>IF(E245=F245,"PASS","FAIL")</x:f>
        <x:v>PASS</x:v>
      </x:c>
    </x:row>
    <x:row r="246">
      <x:c r="B246" t="str">
        <x:v>A-00200</x:v>
      </x:c>
      <x:c r="C246" t="str">
        <x:v>GATE</x:v>
      </x:c>
      <x:c r="D246" t="str">
        <x:v>release state mirrors governing ledger</x:v>
      </x:c>
      <x:c r="E246" t="str">
        <x:f>'Release Gates'!I206</x:f>
        <x:v>PASS</x:v>
      </x:c>
      <x:c r="F246" t="str">
        <x:f>IF('Release Gates'!C206="PLANNING","PASS",IF('Release Gates'!C206="PHYSICAL","OPEN","BLOCKED"))</x:f>
        <x:v>PASS</x:v>
      </x:c>
      <x:c r="G246" t="str">
        <x:v>equals</x:v>
      </x:c>
      <x:c r="H246" t="str">
        <x:f>IF(E246=F246,"PASS","FAIL")</x:f>
        <x:v>PASS</x:v>
      </x:c>
    </x:row>
    <x:row r="247">
      <x:c r="B247" t="str">
        <x:v>A-00201</x:v>
      </x:c>
      <x:c r="C247" t="str">
        <x:v>GATE</x:v>
      </x:c>
      <x:c r="D247" t="str">
        <x:v>release state mirrors governing ledger</x:v>
      </x:c>
      <x:c r="E247" t="str">
        <x:f>'Release Gates'!I207</x:f>
        <x:v>PASS</x:v>
      </x:c>
      <x:c r="F247" t="str">
        <x:f>IF('Release Gates'!C207="PLANNING","PASS",IF('Release Gates'!C207="PHYSICAL","OPEN","BLOCKED"))</x:f>
        <x:v>PASS</x:v>
      </x:c>
      <x:c r="G247" t="str">
        <x:v>equals</x:v>
      </x:c>
      <x:c r="H247" t="str">
        <x:f>IF(E247=F247,"PASS","FAIL")</x:f>
        <x:v>PASS</x:v>
      </x:c>
    </x:row>
    <x:row r="248">
      <x:c r="B248" t="str">
        <x:v>A-00202</x:v>
      </x:c>
      <x:c r="C248" t="str">
        <x:v>GATE</x:v>
      </x:c>
      <x:c r="D248" t="str">
        <x:v>release state mirrors governing ledger</x:v>
      </x:c>
      <x:c r="E248" t="str">
        <x:f>'Release Gates'!I208</x:f>
        <x:v>PASS</x:v>
      </x:c>
      <x:c r="F248" t="str">
        <x:f>IF('Release Gates'!C208="PLANNING","PASS",IF('Release Gates'!C208="PHYSICAL","OPEN","BLOCKED"))</x:f>
        <x:v>PASS</x:v>
      </x:c>
      <x:c r="G248" t="str">
        <x:v>equals</x:v>
      </x:c>
      <x:c r="H248" t="str">
        <x:f>IF(E248=F248,"PASS","FAIL")</x:f>
        <x:v>PASS</x:v>
      </x:c>
    </x:row>
    <x:row r="249">
      <x:c r="B249" t="str">
        <x:v>A-00203</x:v>
      </x:c>
      <x:c r="C249" t="str">
        <x:v>GATE</x:v>
      </x:c>
      <x:c r="D249" t="str">
        <x:v>release state mirrors governing ledger</x:v>
      </x:c>
      <x:c r="E249" t="str">
        <x:f>'Release Gates'!I209</x:f>
        <x:v>PASS</x:v>
      </x:c>
      <x:c r="F249" t="str">
        <x:f>IF('Release Gates'!C209="PLANNING","PASS",IF('Release Gates'!C209="PHYSICAL","OPEN","BLOCKED"))</x:f>
        <x:v>PASS</x:v>
      </x:c>
      <x:c r="G249" t="str">
        <x:v>equals</x:v>
      </x:c>
      <x:c r="H249" t="str">
        <x:f>IF(E249=F249,"PASS","FAIL")</x:f>
        <x:v>PASS</x:v>
      </x:c>
    </x:row>
    <x:row r="250">
      <x:c r="B250" t="str">
        <x:v>A-00204</x:v>
      </x:c>
      <x:c r="C250" t="str">
        <x:v>GATE</x:v>
      </x:c>
      <x:c r="D250" t="str">
        <x:v>release state mirrors governing ledger</x:v>
      </x:c>
      <x:c r="E250" t="str">
        <x:f>'Release Gates'!I210</x:f>
        <x:v>PASS</x:v>
      </x:c>
      <x:c r="F250" t="str">
        <x:f>IF('Release Gates'!C210="PLANNING","PASS",IF('Release Gates'!C210="PHYSICAL","OPEN","BLOCKED"))</x:f>
        <x:v>PASS</x:v>
      </x:c>
      <x:c r="G250" t="str">
        <x:v>equals</x:v>
      </x:c>
      <x:c r="H250" t="str">
        <x:f>IF(E250=F250,"PASS","FAIL")</x:f>
        <x:v>PASS</x:v>
      </x:c>
    </x:row>
    <x:row r="251">
      <x:c r="B251" t="str">
        <x:v>A-00205</x:v>
      </x:c>
      <x:c r="C251" t="str">
        <x:v>GATE</x:v>
      </x:c>
      <x:c r="D251" t="str">
        <x:v>release state mirrors governing ledger</x:v>
      </x:c>
      <x:c r="E251" t="str">
        <x:f>'Release Gates'!I211</x:f>
        <x:v>PASS</x:v>
      </x:c>
      <x:c r="F251" t="str">
        <x:f>IF('Release Gates'!C211="PLANNING","PASS",IF('Release Gates'!C211="PHYSICAL","OPEN","BLOCKED"))</x:f>
        <x:v>PASS</x:v>
      </x:c>
      <x:c r="G251" t="str">
        <x:v>equals</x:v>
      </x:c>
      <x:c r="H251" t="str">
        <x:f>IF(E251=F251,"PASS","FAIL")</x:f>
        <x:v>PASS</x:v>
      </x:c>
    </x:row>
    <x:row r="252">
      <x:c r="B252" t="str">
        <x:v>A-00206</x:v>
      </x:c>
      <x:c r="C252" t="str">
        <x:v>GATE</x:v>
      </x:c>
      <x:c r="D252" t="str">
        <x:v>release state mirrors governing ledger</x:v>
      </x:c>
      <x:c r="E252" t="str">
        <x:f>'Release Gates'!I212</x:f>
        <x:v>PASS</x:v>
      </x:c>
      <x:c r="F252" t="str">
        <x:f>IF('Release Gates'!C212="PLANNING","PASS",IF('Release Gates'!C212="PHYSICAL","OPEN","BLOCKED"))</x:f>
        <x:v>PASS</x:v>
      </x:c>
      <x:c r="G252" t="str">
        <x:v>equals</x:v>
      </x:c>
      <x:c r="H252" t="str">
        <x:f>IF(E252=F252,"PASS","FAIL")</x:f>
        <x:v>PASS</x:v>
      </x:c>
    </x:row>
    <x:row r="253">
      <x:c r="B253" t="str">
        <x:v>A-00207</x:v>
      </x:c>
      <x:c r="C253" t="str">
        <x:v>GATE</x:v>
      </x:c>
      <x:c r="D253" t="str">
        <x:v>release state mirrors governing ledger</x:v>
      </x:c>
      <x:c r="E253" t="str">
        <x:f>'Release Gates'!I213</x:f>
        <x:v>PASS</x:v>
      </x:c>
      <x:c r="F253" t="str">
        <x:f>IF('Release Gates'!C213="PLANNING","PASS",IF('Release Gates'!C213="PHYSICAL","OPEN","BLOCKED"))</x:f>
        <x:v>PASS</x:v>
      </x:c>
      <x:c r="G253" t="str">
        <x:v>equals</x:v>
      </x:c>
      <x:c r="H253" t="str">
        <x:f>IF(E253=F253,"PASS","FAIL")</x:f>
        <x:v>PASS</x:v>
      </x:c>
    </x:row>
    <x:row r="254">
      <x:c r="B254" t="str">
        <x:v>A-00208</x:v>
      </x:c>
      <x:c r="C254" t="str">
        <x:v>GATE</x:v>
      </x:c>
      <x:c r="D254" t="str">
        <x:v>release state mirrors governing ledger</x:v>
      </x:c>
      <x:c r="E254" t="str">
        <x:f>'Release Gates'!I214</x:f>
        <x:v>PASS</x:v>
      </x:c>
      <x:c r="F254" t="str">
        <x:f>IF('Release Gates'!C214="PLANNING","PASS",IF('Release Gates'!C214="PHYSICAL","OPEN","BLOCKED"))</x:f>
        <x:v>PASS</x:v>
      </x:c>
      <x:c r="G254" t="str">
        <x:v>equals</x:v>
      </x:c>
      <x:c r="H254" t="str">
        <x:f>IF(E254=F254,"PASS","FAIL")</x:f>
        <x:v>PASS</x:v>
      </x:c>
    </x:row>
    <x:row r="255">
      <x:c r="B255" t="str">
        <x:v>A-00209</x:v>
      </x:c>
      <x:c r="C255" t="str">
        <x:v>GATE</x:v>
      </x:c>
      <x:c r="D255" t="str">
        <x:v>release state mirrors governing ledger</x:v>
      </x:c>
      <x:c r="E255" t="str">
        <x:f>'Release Gates'!I215</x:f>
        <x:v>PASS</x:v>
      </x:c>
      <x:c r="F255" t="str">
        <x:f>IF('Release Gates'!C215="PLANNING","PASS",IF('Release Gates'!C215="PHYSICAL","OPEN","BLOCKED"))</x:f>
        <x:v>PASS</x:v>
      </x:c>
      <x:c r="G255" t="str">
        <x:v>equals</x:v>
      </x:c>
      <x:c r="H255" t="str">
        <x:f>IF(E255=F255,"PASS","FAIL")</x:f>
        <x:v>PASS</x:v>
      </x:c>
    </x:row>
    <x:row r="256">
      <x:c r="B256" t="str">
        <x:v>A-00210</x:v>
      </x:c>
      <x:c r="C256" t="str">
        <x:v>GATE</x:v>
      </x:c>
      <x:c r="D256" t="str">
        <x:v>release state mirrors governing ledger</x:v>
      </x:c>
      <x:c r="E256" t="str">
        <x:f>'Release Gates'!I216</x:f>
        <x:v>PASS</x:v>
      </x:c>
      <x:c r="F256" t="str">
        <x:f>IF('Release Gates'!C216="PLANNING","PASS",IF('Release Gates'!C216="PHYSICAL","OPEN","BLOCKED"))</x:f>
        <x:v>PASS</x:v>
      </x:c>
      <x:c r="G256" t="str">
        <x:v>equals</x:v>
      </x:c>
      <x:c r="H256" t="str">
        <x:f>IF(E256=F256,"PASS","FAIL")</x:f>
        <x:v>PASS</x:v>
      </x:c>
    </x:row>
    <x:row r="257">
      <x:c r="B257" t="str">
        <x:v>A-00211</x:v>
      </x:c>
      <x:c r="C257" t="str">
        <x:v>GATE</x:v>
      </x:c>
      <x:c r="D257" t="str">
        <x:v>release state mirrors governing ledger</x:v>
      </x:c>
      <x:c r="E257" t="str">
        <x:f>'Release Gates'!I217</x:f>
        <x:v>PASS</x:v>
      </x:c>
      <x:c r="F257" t="str">
        <x:f>IF('Release Gates'!C217="PLANNING","PASS",IF('Release Gates'!C217="PHYSICAL","OPEN","BLOCKED"))</x:f>
        <x:v>PASS</x:v>
      </x:c>
      <x:c r="G257" t="str">
        <x:v>equals</x:v>
      </x:c>
      <x:c r="H257" t="str">
        <x:f>IF(E257=F257,"PASS","FAIL")</x:f>
        <x:v>PASS</x:v>
      </x:c>
    </x:row>
    <x:row r="258">
      <x:c r="B258" t="str">
        <x:v>A-00212</x:v>
      </x:c>
      <x:c r="C258" t="str">
        <x:v>GATE</x:v>
      </x:c>
      <x:c r="D258" t="str">
        <x:v>release state mirrors governing ledger</x:v>
      </x:c>
      <x:c r="E258" t="str">
        <x:f>'Release Gates'!I218</x:f>
        <x:v>PASS</x:v>
      </x:c>
      <x:c r="F258" t="str">
        <x:f>IF('Release Gates'!C218="PLANNING","PASS",IF('Release Gates'!C218="PHYSICAL","OPEN","BLOCKED"))</x:f>
        <x:v>PASS</x:v>
      </x:c>
      <x:c r="G258" t="str">
        <x:v>equals</x:v>
      </x:c>
      <x:c r="H258" t="str">
        <x:f>IF(E258=F258,"PASS","FAIL")</x:f>
        <x:v>PASS</x:v>
      </x:c>
    </x:row>
    <x:row r="259">
      <x:c r="B259" t="str">
        <x:v>A-00213</x:v>
      </x:c>
      <x:c r="C259" t="str">
        <x:v>GATE</x:v>
      </x:c>
      <x:c r="D259" t="str">
        <x:v>release state mirrors governing ledger</x:v>
      </x:c>
      <x:c r="E259" t="str">
        <x:f>'Release Gates'!I219</x:f>
        <x:v>PASS</x:v>
      </x:c>
      <x:c r="F259" t="str">
        <x:f>IF('Release Gates'!C219="PLANNING","PASS",IF('Release Gates'!C219="PHYSICAL","OPEN","BLOCKED"))</x:f>
        <x:v>PASS</x:v>
      </x:c>
      <x:c r="G259" t="str">
        <x:v>equals</x:v>
      </x:c>
      <x:c r="H259" t="str">
        <x:f>IF(E259=F259,"PASS","FAIL")</x:f>
        <x:v>PASS</x:v>
      </x:c>
    </x:row>
    <x:row r="260">
      <x:c r="B260" t="str">
        <x:v>A-00214</x:v>
      </x:c>
      <x:c r="C260" t="str">
        <x:v>GATE</x:v>
      </x:c>
      <x:c r="D260" t="str">
        <x:v>release state mirrors governing ledger</x:v>
      </x:c>
      <x:c r="E260" t="str">
        <x:f>'Release Gates'!I220</x:f>
        <x:v>PASS</x:v>
      </x:c>
      <x:c r="F260" t="str">
        <x:f>IF('Release Gates'!C220="PLANNING","PASS",IF('Release Gates'!C220="PHYSICAL","OPEN","BLOCKED"))</x:f>
        <x:v>PASS</x:v>
      </x:c>
      <x:c r="G260" t="str">
        <x:v>equals</x:v>
      </x:c>
      <x:c r="H260" t="str">
        <x:f>IF(E260=F260,"PASS","FAIL")</x:f>
        <x:v>PASS</x:v>
      </x:c>
    </x:row>
    <x:row r="261">
      <x:c r="B261" t="str">
        <x:v>A-00215</x:v>
      </x:c>
      <x:c r="C261" t="str">
        <x:v>GATE</x:v>
      </x:c>
      <x:c r="D261" t="str">
        <x:v>release state mirrors governing ledger</x:v>
      </x:c>
      <x:c r="E261" t="str">
        <x:f>'Release Gates'!I221</x:f>
        <x:v>PASS</x:v>
      </x:c>
      <x:c r="F261" t="str">
        <x:f>IF('Release Gates'!C221="PLANNING","PASS",IF('Release Gates'!C221="PHYSICAL","OPEN","BLOCKED"))</x:f>
        <x:v>PASS</x:v>
      </x:c>
      <x:c r="G261" t="str">
        <x:v>equals</x:v>
      </x:c>
      <x:c r="H261" t="str">
        <x:f>IF(E261=F261,"PASS","FAIL")</x:f>
        <x:v>PASS</x:v>
      </x:c>
    </x:row>
    <x:row r="262">
      <x:c r="B262" t="str">
        <x:v>A-00216</x:v>
      </x:c>
      <x:c r="C262" t="str">
        <x:v>GATE</x:v>
      </x:c>
      <x:c r="D262" t="str">
        <x:v>release state mirrors governing ledger</x:v>
      </x:c>
      <x:c r="E262" t="str">
        <x:f>'Release Gates'!I222</x:f>
        <x:v>PASS</x:v>
      </x:c>
      <x:c r="F262" t="str">
        <x:f>IF('Release Gates'!C222="PLANNING","PASS",IF('Release Gates'!C222="PHYSICAL","OPEN","BLOCKED"))</x:f>
        <x:v>PASS</x:v>
      </x:c>
      <x:c r="G262" t="str">
        <x:v>equals</x:v>
      </x:c>
      <x:c r="H262" t="str">
        <x:f>IF(E262=F262,"PASS","FAIL")</x:f>
        <x:v>PASS</x:v>
      </x:c>
    </x:row>
    <x:row r="263">
      <x:c r="B263" t="str">
        <x:v>A-00217</x:v>
      </x:c>
      <x:c r="C263" t="str">
        <x:v>GATE</x:v>
      </x:c>
      <x:c r="D263" t="str">
        <x:v>release state mirrors governing ledger</x:v>
      </x:c>
      <x:c r="E263" t="str">
        <x:f>'Release Gates'!I223</x:f>
        <x:v>PASS</x:v>
      </x:c>
      <x:c r="F263" t="str">
        <x:f>IF('Release Gates'!C223="PLANNING","PASS",IF('Release Gates'!C223="PHYSICAL","OPEN","BLOCKED"))</x:f>
        <x:v>PASS</x:v>
      </x:c>
      <x:c r="G263" t="str">
        <x:v>equals</x:v>
      </x:c>
      <x:c r="H263" t="str">
        <x:f>IF(E263=F263,"PASS","FAIL")</x:f>
        <x:v>PASS</x:v>
      </x:c>
    </x:row>
    <x:row r="264">
      <x:c r="B264" t="str">
        <x:v>A-00218</x:v>
      </x:c>
      <x:c r="C264" t="str">
        <x:v>GATE</x:v>
      </x:c>
      <x:c r="D264" t="str">
        <x:v>release state mirrors governing ledger</x:v>
      </x:c>
      <x:c r="E264" t="str">
        <x:f>'Release Gates'!I224</x:f>
        <x:v>PASS</x:v>
      </x:c>
      <x:c r="F264" t="str">
        <x:f>IF('Release Gates'!C224="PLANNING","PASS",IF('Release Gates'!C224="PHYSICAL","OPEN","BLOCKED"))</x:f>
        <x:v>PASS</x:v>
      </x:c>
      <x:c r="G264" t="str">
        <x:v>equals</x:v>
      </x:c>
      <x:c r="H264" t="str">
        <x:f>IF(E264=F264,"PASS","FAIL")</x:f>
        <x:v>PASS</x:v>
      </x:c>
    </x:row>
    <x:row r="265">
      <x:c r="B265" t="str">
        <x:v>A-00219</x:v>
      </x:c>
      <x:c r="C265" t="str">
        <x:v>GATE</x:v>
      </x:c>
      <x:c r="D265" t="str">
        <x:v>release state mirrors governing ledger</x:v>
      </x:c>
      <x:c r="E265" t="str">
        <x:f>'Release Gates'!I225</x:f>
        <x:v>PASS</x:v>
      </x:c>
      <x:c r="F265" t="str">
        <x:f>IF('Release Gates'!C225="PLANNING","PASS",IF('Release Gates'!C225="PHYSICAL","OPEN","BLOCKED"))</x:f>
        <x:v>PASS</x:v>
      </x:c>
      <x:c r="G265" t="str">
        <x:v>equals</x:v>
      </x:c>
      <x:c r="H265" t="str">
        <x:f>IF(E265=F265,"PASS","FAIL")</x:f>
        <x:v>PASS</x:v>
      </x:c>
    </x:row>
    <x:row r="266">
      <x:c r="B266" t="str">
        <x:v>A-00220</x:v>
      </x:c>
      <x:c r="C266" t="str">
        <x:v>GATE</x:v>
      </x:c>
      <x:c r="D266" t="str">
        <x:v>release state mirrors governing ledger</x:v>
      </x:c>
      <x:c r="E266" t="str">
        <x:f>'Release Gates'!I226</x:f>
        <x:v>PASS</x:v>
      </x:c>
      <x:c r="F266" t="str">
        <x:f>IF('Release Gates'!C226="PLANNING","PASS",IF('Release Gates'!C226="PHYSICAL","OPEN","BLOCKED"))</x:f>
        <x:v>PASS</x:v>
      </x:c>
      <x:c r="G266" t="str">
        <x:v>equals</x:v>
      </x:c>
      <x:c r="H266" t="str">
        <x:f>IF(E266=F266,"PASS","FAIL")</x:f>
        <x:v>PASS</x:v>
      </x:c>
    </x:row>
    <x:row r="267">
      <x:c r="B267" t="str">
        <x:v>A-00221</x:v>
      </x:c>
      <x:c r="C267" t="str">
        <x:v>GATE</x:v>
      </x:c>
      <x:c r="D267" t="str">
        <x:v>release state mirrors governing ledger</x:v>
      </x:c>
      <x:c r="E267" t="str">
        <x:f>'Release Gates'!I227</x:f>
        <x:v>PASS</x:v>
      </x:c>
      <x:c r="F267" t="str">
        <x:f>IF('Release Gates'!C227="PLANNING","PASS",IF('Release Gates'!C227="PHYSICAL","OPEN","BLOCKED"))</x:f>
        <x:v>PASS</x:v>
      </x:c>
      <x:c r="G267" t="str">
        <x:v>equals</x:v>
      </x:c>
      <x:c r="H267" t="str">
        <x:f>IF(E267=F267,"PASS","FAIL")</x:f>
        <x:v>PASS</x:v>
      </x:c>
    </x:row>
    <x:row r="268">
      <x:c r="B268" t="str">
        <x:v>A-00222</x:v>
      </x:c>
      <x:c r="C268" t="str">
        <x:v>GATE</x:v>
      </x:c>
      <x:c r="D268" t="str">
        <x:v>release state mirrors governing ledger</x:v>
      </x:c>
      <x:c r="E268" t="str">
        <x:f>'Release Gates'!I228</x:f>
        <x:v>PASS</x:v>
      </x:c>
      <x:c r="F268" t="str">
        <x:f>IF('Release Gates'!C228="PLANNING","PASS",IF('Release Gates'!C228="PHYSICAL","OPEN","BLOCKED"))</x:f>
        <x:v>PASS</x:v>
      </x:c>
      <x:c r="G268" t="str">
        <x:v>equals</x:v>
      </x:c>
      <x:c r="H268" t="str">
        <x:f>IF(E268=F268,"PASS","FAIL")</x:f>
        <x:v>PASS</x:v>
      </x:c>
    </x:row>
    <x:row r="269">
      <x:c r="B269" t="str">
        <x:v>A-00223</x:v>
      </x:c>
      <x:c r="C269" t="str">
        <x:v>GATE</x:v>
      </x:c>
      <x:c r="D269" t="str">
        <x:v>release state mirrors governing ledger</x:v>
      </x:c>
      <x:c r="E269" t="str">
        <x:f>'Release Gates'!I229</x:f>
        <x:v>PASS</x:v>
      </x:c>
      <x:c r="F269" t="str">
        <x:f>IF('Release Gates'!C229="PLANNING","PASS",IF('Release Gates'!C229="PHYSICAL","OPEN","BLOCKED"))</x:f>
        <x:v>PASS</x:v>
      </x:c>
      <x:c r="G269" t="str">
        <x:v>equals</x:v>
      </x:c>
      <x:c r="H269" t="str">
        <x:f>IF(E269=F269,"PASS","FAIL")</x:f>
        <x:v>PASS</x:v>
      </x:c>
    </x:row>
    <x:row r="270">
      <x:c r="B270" t="str">
        <x:v>A-00224</x:v>
      </x:c>
      <x:c r="C270" t="str">
        <x:v>GATE</x:v>
      </x:c>
      <x:c r="D270" t="str">
        <x:v>release state mirrors governing ledger</x:v>
      </x:c>
      <x:c r="E270" t="str">
        <x:f>'Release Gates'!I230</x:f>
        <x:v>PASS</x:v>
      </x:c>
      <x:c r="F270" t="str">
        <x:f>IF('Release Gates'!C230="PLANNING","PASS",IF('Release Gates'!C230="PHYSICAL","OPEN","BLOCKED"))</x:f>
        <x:v>PASS</x:v>
      </x:c>
      <x:c r="G270" t="str">
        <x:v>equals</x:v>
      </x:c>
      <x:c r="H270" t="str">
        <x:f>IF(E270=F270,"PASS","FAIL")</x:f>
        <x:v>PASS</x:v>
      </x:c>
    </x:row>
    <x:row r="271">
      <x:c r="B271" t="str">
        <x:v>A-00225</x:v>
      </x:c>
      <x:c r="C271" t="str">
        <x:v>GATE</x:v>
      </x:c>
      <x:c r="D271" t="str">
        <x:v>release state mirrors governing ledger</x:v>
      </x:c>
      <x:c r="E271" t="str">
        <x:f>'Release Gates'!I231</x:f>
        <x:v>PASS</x:v>
      </x:c>
      <x:c r="F271" t="str">
        <x:f>IF('Release Gates'!C231="PLANNING","PASS",IF('Release Gates'!C231="PHYSICAL","OPEN","BLOCKED"))</x:f>
        <x:v>PASS</x:v>
      </x:c>
      <x:c r="G271" t="str">
        <x:v>equals</x:v>
      </x:c>
      <x:c r="H271" t="str">
        <x:f>IF(E271=F271,"PASS","FAIL")</x:f>
        <x:v>PASS</x:v>
      </x:c>
    </x:row>
    <x:row r="272">
      <x:c r="B272" t="str">
        <x:v>A-00226</x:v>
      </x:c>
      <x:c r="C272" t="str">
        <x:v>GATE</x:v>
      </x:c>
      <x:c r="D272" t="str">
        <x:v>release state mirrors governing ledger</x:v>
      </x:c>
      <x:c r="E272" t="str">
        <x:f>'Release Gates'!I232</x:f>
        <x:v>PASS</x:v>
      </x:c>
      <x:c r="F272" t="str">
        <x:f>IF('Release Gates'!C232="PLANNING","PASS",IF('Release Gates'!C232="PHYSICAL","OPEN","BLOCKED"))</x:f>
        <x:v>PASS</x:v>
      </x:c>
      <x:c r="G272" t="str">
        <x:v>equals</x:v>
      </x:c>
      <x:c r="H272" t="str">
        <x:f>IF(E272=F272,"PASS","FAIL")</x:f>
        <x:v>PASS</x:v>
      </x:c>
    </x:row>
    <x:row r="273">
      <x:c r="B273" t="str">
        <x:v>A-00227</x:v>
      </x:c>
      <x:c r="C273" t="str">
        <x:v>GATE</x:v>
      </x:c>
      <x:c r="D273" t="str">
        <x:v>release state mirrors governing ledger</x:v>
      </x:c>
      <x:c r="E273" t="str">
        <x:f>'Release Gates'!I233</x:f>
        <x:v>PASS</x:v>
      </x:c>
      <x:c r="F273" t="str">
        <x:f>IF('Release Gates'!C233="PLANNING","PASS",IF('Release Gates'!C233="PHYSICAL","OPEN","BLOCKED"))</x:f>
        <x:v>PASS</x:v>
      </x:c>
      <x:c r="G273" t="str">
        <x:v>equals</x:v>
      </x:c>
      <x:c r="H273" t="str">
        <x:f>IF(E273=F273,"PASS","FAIL")</x:f>
        <x:v>PASS</x:v>
      </x:c>
    </x:row>
    <x:row r="274">
      <x:c r="B274" t="str">
        <x:v>A-00228</x:v>
      </x:c>
      <x:c r="C274" t="str">
        <x:v>GATE</x:v>
      </x:c>
      <x:c r="D274" t="str">
        <x:v>release state mirrors governing ledger</x:v>
      </x:c>
      <x:c r="E274" t="str">
        <x:f>'Release Gates'!I234</x:f>
        <x:v>PASS</x:v>
      </x:c>
      <x:c r="F274" t="str">
        <x:f>IF('Release Gates'!C234="PLANNING","PASS",IF('Release Gates'!C234="PHYSICAL","OPEN","BLOCKED"))</x:f>
        <x:v>PASS</x:v>
      </x:c>
      <x:c r="G274" t="str">
        <x:v>equals</x:v>
      </x:c>
      <x:c r="H274" t="str">
        <x:f>IF(E274=F274,"PASS","FAIL")</x:f>
        <x:v>PASS</x:v>
      </x:c>
    </x:row>
    <x:row r="275">
      <x:c r="B275" t="str">
        <x:v>A-00229</x:v>
      </x:c>
      <x:c r="C275" t="str">
        <x:v>GATE</x:v>
      </x:c>
      <x:c r="D275" t="str">
        <x:v>release state mirrors governing ledger</x:v>
      </x:c>
      <x:c r="E275" t="str">
        <x:f>'Release Gates'!I235</x:f>
        <x:v>PASS</x:v>
      </x:c>
      <x:c r="F275" t="str">
        <x:f>IF('Release Gates'!C235="PLANNING","PASS",IF('Release Gates'!C235="PHYSICAL","OPEN","BLOCKED"))</x:f>
        <x:v>PASS</x:v>
      </x:c>
      <x:c r="G275" t="str">
        <x:v>equals</x:v>
      </x:c>
      <x:c r="H275" t="str">
        <x:f>IF(E275=F275,"PASS","FAIL")</x:f>
        <x:v>PASS</x:v>
      </x:c>
    </x:row>
    <x:row r="276">
      <x:c r="B276" t="str">
        <x:v>A-00230</x:v>
      </x:c>
      <x:c r="C276" t="str">
        <x:v>GATE</x:v>
      </x:c>
      <x:c r="D276" t="str">
        <x:v>release state mirrors governing ledger</x:v>
      </x:c>
      <x:c r="E276" t="str">
        <x:f>'Release Gates'!I236</x:f>
        <x:v>PASS</x:v>
      </x:c>
      <x:c r="F276" t="str">
        <x:f>IF('Release Gates'!C236="PLANNING","PASS",IF('Release Gates'!C236="PHYSICAL","OPEN","BLOCKED"))</x:f>
        <x:v>PASS</x:v>
      </x:c>
      <x:c r="G276" t="str">
        <x:v>equals</x:v>
      </x:c>
      <x:c r="H276" t="str">
        <x:f>IF(E276=F276,"PASS","FAIL")</x:f>
        <x:v>PASS</x:v>
      </x:c>
    </x:row>
    <x:row r="277">
      <x:c r="B277" t="str">
        <x:v>A-00231</x:v>
      </x:c>
      <x:c r="C277" t="str">
        <x:v>GATE</x:v>
      </x:c>
      <x:c r="D277" t="str">
        <x:v>release state mirrors governing ledger</x:v>
      </x:c>
      <x:c r="E277" t="str">
        <x:f>'Release Gates'!I237</x:f>
        <x:v>PASS</x:v>
      </x:c>
      <x:c r="F277" t="str">
        <x:f>IF('Release Gates'!C237="PLANNING","PASS",IF('Release Gates'!C237="PHYSICAL","OPEN","BLOCKED"))</x:f>
        <x:v>PASS</x:v>
      </x:c>
      <x:c r="G277" t="str">
        <x:v>equals</x:v>
      </x:c>
      <x:c r="H277" t="str">
        <x:f>IF(E277=F277,"PASS","FAIL")</x:f>
        <x:v>PASS</x:v>
      </x:c>
    </x:row>
    <x:row r="278">
      <x:c r="B278" t="str">
        <x:v>A-00232</x:v>
      </x:c>
      <x:c r="C278" t="str">
        <x:v>GATE</x:v>
      </x:c>
      <x:c r="D278" t="str">
        <x:v>release state mirrors governing ledger</x:v>
      </x:c>
      <x:c r="E278" t="str">
        <x:f>'Release Gates'!I238</x:f>
        <x:v>PASS</x:v>
      </x:c>
      <x:c r="F278" t="str">
        <x:f>IF('Release Gates'!C238="PLANNING","PASS",IF('Release Gates'!C238="PHYSICAL","OPEN","BLOCKED"))</x:f>
        <x:v>PASS</x:v>
      </x:c>
      <x:c r="G278" t="str">
        <x:v>equals</x:v>
      </x:c>
      <x:c r="H278" t="str">
        <x:f>IF(E278=F278,"PASS","FAIL")</x:f>
        <x:v>PASS</x:v>
      </x:c>
    </x:row>
    <x:row r="279">
      <x:c r="B279" t="str">
        <x:v>A-00233</x:v>
      </x:c>
      <x:c r="C279" t="str">
        <x:v>GATE</x:v>
      </x:c>
      <x:c r="D279" t="str">
        <x:v>release state mirrors governing ledger</x:v>
      </x:c>
      <x:c r="E279" t="str">
        <x:f>'Release Gates'!I239</x:f>
        <x:v>PASS</x:v>
      </x:c>
      <x:c r="F279" t="str">
        <x:f>IF('Release Gates'!C239="PLANNING","PASS",IF('Release Gates'!C239="PHYSICAL","OPEN","BLOCKED"))</x:f>
        <x:v>PASS</x:v>
      </x:c>
      <x:c r="G279" t="str">
        <x:v>equals</x:v>
      </x:c>
      <x:c r="H279" t="str">
        <x:f>IF(E279=F279,"PASS","FAIL")</x:f>
        <x:v>PASS</x:v>
      </x:c>
    </x:row>
    <x:row r="280">
      <x:c r="B280" t="str">
        <x:v>A-00234</x:v>
      </x:c>
      <x:c r="C280" t="str">
        <x:v>GATE</x:v>
      </x:c>
      <x:c r="D280" t="str">
        <x:v>release state mirrors governing ledger</x:v>
      </x:c>
      <x:c r="E280" t="str">
        <x:f>'Release Gates'!I240</x:f>
        <x:v>PASS</x:v>
      </x:c>
      <x:c r="F280" t="str">
        <x:f>IF('Release Gates'!C240="PLANNING","PASS",IF('Release Gates'!C240="PHYSICAL","OPEN","BLOCKED"))</x:f>
        <x:v>PASS</x:v>
      </x:c>
      <x:c r="G280" t="str">
        <x:v>equals</x:v>
      </x:c>
      <x:c r="H280" t="str">
        <x:f>IF(E280=F280,"PASS","FAIL")</x:f>
        <x:v>PASS</x:v>
      </x:c>
    </x:row>
    <x:row r="281">
      <x:c r="B281" t="str">
        <x:v>A-00235</x:v>
      </x:c>
      <x:c r="C281" t="str">
        <x:v>GATE</x:v>
      </x:c>
      <x:c r="D281" t="str">
        <x:v>release state mirrors governing ledger</x:v>
      </x:c>
      <x:c r="E281" t="str">
        <x:f>'Release Gates'!I241</x:f>
        <x:v>PASS</x:v>
      </x:c>
      <x:c r="F281" t="str">
        <x:f>IF('Release Gates'!C241="PLANNING","PASS",IF('Release Gates'!C241="PHYSICAL","OPEN","BLOCKED"))</x:f>
        <x:v>PASS</x:v>
      </x:c>
      <x:c r="G281" t="str">
        <x:v>equals</x:v>
      </x:c>
      <x:c r="H281" t="str">
        <x:f>IF(E281=F281,"PASS","FAIL")</x:f>
        <x:v>PASS</x:v>
      </x:c>
    </x:row>
    <x:row r="282">
      <x:c r="B282" t="str">
        <x:v>A-00236</x:v>
      </x:c>
      <x:c r="C282" t="str">
        <x:v>GATE</x:v>
      </x:c>
      <x:c r="D282" t="str">
        <x:v>release state mirrors governing ledger</x:v>
      </x:c>
      <x:c r="E282" t="str">
        <x:f>'Release Gates'!I242</x:f>
        <x:v>PASS</x:v>
      </x:c>
      <x:c r="F282" t="str">
        <x:f>IF('Release Gates'!C242="PLANNING","PASS",IF('Release Gates'!C242="PHYSICAL","OPEN","BLOCKED"))</x:f>
        <x:v>PASS</x:v>
      </x:c>
      <x:c r="G282" t="str">
        <x:v>equals</x:v>
      </x:c>
      <x:c r="H282" t="str">
        <x:f>IF(E282=F282,"PASS","FAIL")</x:f>
        <x:v>PASS</x:v>
      </x:c>
    </x:row>
    <x:row r="283">
      <x:c r="B283" t="str">
        <x:v>A-00237</x:v>
      </x:c>
      <x:c r="C283" t="str">
        <x:v>GATE</x:v>
      </x:c>
      <x:c r="D283" t="str">
        <x:v>release state mirrors governing ledger</x:v>
      </x:c>
      <x:c r="E283" t="str">
        <x:f>'Release Gates'!I243</x:f>
        <x:v>PASS</x:v>
      </x:c>
      <x:c r="F283" t="str">
        <x:f>IF('Release Gates'!C243="PLANNING","PASS",IF('Release Gates'!C243="PHYSICAL","OPEN","BLOCKED"))</x:f>
        <x:v>PASS</x:v>
      </x:c>
      <x:c r="G283" t="str">
        <x:v>equals</x:v>
      </x:c>
      <x:c r="H283" t="str">
        <x:f>IF(E283=F283,"PASS","FAIL")</x:f>
        <x:v>PASS</x:v>
      </x:c>
    </x:row>
    <x:row r="284">
      <x:c r="B284" t="str">
        <x:v>A-00238</x:v>
      </x:c>
      <x:c r="C284" t="str">
        <x:v>GATE</x:v>
      </x:c>
      <x:c r="D284" t="str">
        <x:v>release state mirrors governing ledger</x:v>
      </x:c>
      <x:c r="E284" t="str">
        <x:f>'Release Gates'!I244</x:f>
        <x:v>PASS</x:v>
      </x:c>
      <x:c r="F284" t="str">
        <x:f>IF('Release Gates'!C244="PLANNING","PASS",IF('Release Gates'!C244="PHYSICAL","OPEN","BLOCKED"))</x:f>
        <x:v>PASS</x:v>
      </x:c>
      <x:c r="G284" t="str">
        <x:v>equals</x:v>
      </x:c>
      <x:c r="H284" t="str">
        <x:f>IF(E284=F284,"PASS","FAIL")</x:f>
        <x:v>PASS</x:v>
      </x:c>
    </x:row>
    <x:row r="285">
      <x:c r="B285" t="str">
        <x:v>A-00239</x:v>
      </x:c>
      <x:c r="C285" t="str">
        <x:v>GATE</x:v>
      </x:c>
      <x:c r="D285" t="str">
        <x:v>release state mirrors governing ledger</x:v>
      </x:c>
      <x:c r="E285" t="str">
        <x:f>'Release Gates'!I245</x:f>
        <x:v>PASS</x:v>
      </x:c>
      <x:c r="F285" t="str">
        <x:f>IF('Release Gates'!C245="PLANNING","PASS",IF('Release Gates'!C245="PHYSICAL","OPEN","BLOCKED"))</x:f>
        <x:v>PASS</x:v>
      </x:c>
      <x:c r="G285" t="str">
        <x:v>equals</x:v>
      </x:c>
      <x:c r="H285" t="str">
        <x:f>IF(E285=F285,"PASS","FAIL")</x:f>
        <x:v>PASS</x:v>
      </x:c>
    </x:row>
    <x:row r="286">
      <x:c r="B286" t="str">
        <x:v>A-00240</x:v>
      </x:c>
      <x:c r="C286" t="str">
        <x:v>GATE</x:v>
      </x:c>
      <x:c r="D286" t="str">
        <x:v>release state mirrors governing ledger</x:v>
      </x:c>
      <x:c r="E286" t="str">
        <x:f>'Release Gates'!I246</x:f>
        <x:v>PASS</x:v>
      </x:c>
      <x:c r="F286" t="str">
        <x:f>IF('Release Gates'!C246="PLANNING","PASS",IF('Release Gates'!C246="PHYSICAL","OPEN","BLOCKED"))</x:f>
        <x:v>PASS</x:v>
      </x:c>
      <x:c r="G286" t="str">
        <x:v>equals</x:v>
      </x:c>
      <x:c r="H286" t="str">
        <x:f>IF(E286=F286,"PASS","FAIL")</x:f>
        <x:v>PASS</x:v>
      </x:c>
    </x:row>
    <x:row r="287">
      <x:c r="B287" t="str">
        <x:v>A-00241</x:v>
      </x:c>
      <x:c r="C287" t="str">
        <x:v>GATE</x:v>
      </x:c>
      <x:c r="D287" t="str">
        <x:v>release state mirrors governing ledger</x:v>
      </x:c>
      <x:c r="E287" t="str">
        <x:f>'Release Gates'!I247</x:f>
        <x:v>PASS</x:v>
      </x:c>
      <x:c r="F287" t="str">
        <x:f>IF('Release Gates'!C247="PLANNING","PASS",IF('Release Gates'!C247="PHYSICAL","OPEN","BLOCKED"))</x:f>
        <x:v>PASS</x:v>
      </x:c>
      <x:c r="G287" t="str">
        <x:v>equals</x:v>
      </x:c>
      <x:c r="H287" t="str">
        <x:f>IF(E287=F287,"PASS","FAIL")</x:f>
        <x:v>PASS</x:v>
      </x:c>
    </x:row>
    <x:row r="288">
      <x:c r="B288" t="str">
        <x:v>A-00242</x:v>
      </x:c>
      <x:c r="C288" t="str">
        <x:v>GATE</x:v>
      </x:c>
      <x:c r="D288" t="str">
        <x:v>release state mirrors governing ledger</x:v>
      </x:c>
      <x:c r="E288" t="str">
        <x:f>'Release Gates'!I248</x:f>
        <x:v>PASS</x:v>
      </x:c>
      <x:c r="F288" t="str">
        <x:f>IF('Release Gates'!C248="PLANNING","PASS",IF('Release Gates'!C248="PHYSICAL","OPEN","BLOCKED"))</x:f>
        <x:v>PASS</x:v>
      </x:c>
      <x:c r="G288" t="str">
        <x:v>equals</x:v>
      </x:c>
      <x:c r="H288" t="str">
        <x:f>IF(E288=F288,"PASS","FAIL")</x:f>
        <x:v>PASS</x:v>
      </x:c>
    </x:row>
    <x:row r="289">
      <x:c r="B289" t="str">
        <x:v>A-00243</x:v>
      </x:c>
      <x:c r="C289" t="str">
        <x:v>GATE</x:v>
      </x:c>
      <x:c r="D289" t="str">
        <x:v>release state mirrors governing ledger</x:v>
      </x:c>
      <x:c r="E289" t="str">
        <x:f>'Release Gates'!I249</x:f>
        <x:v>PASS</x:v>
      </x:c>
      <x:c r="F289" t="str">
        <x:f>IF('Release Gates'!C249="PLANNING","PASS",IF('Release Gates'!C249="PHYSICAL","OPEN","BLOCKED"))</x:f>
        <x:v>PASS</x:v>
      </x:c>
      <x:c r="G289" t="str">
        <x:v>equals</x:v>
      </x:c>
      <x:c r="H289" t="str">
        <x:f>IF(E289=F289,"PASS","FAIL")</x:f>
        <x:v>PASS</x:v>
      </x:c>
    </x:row>
    <x:row r="290">
      <x:c r="B290" t="str">
        <x:v>A-00244</x:v>
      </x:c>
      <x:c r="C290" t="str">
        <x:v>GATE</x:v>
      </x:c>
      <x:c r="D290" t="str">
        <x:v>release state mirrors governing ledger</x:v>
      </x:c>
      <x:c r="E290" t="str">
        <x:f>'Release Gates'!I250</x:f>
        <x:v>PASS</x:v>
      </x:c>
      <x:c r="F290" t="str">
        <x:f>IF('Release Gates'!C250="PLANNING","PASS",IF('Release Gates'!C250="PHYSICAL","OPEN","BLOCKED"))</x:f>
        <x:v>PASS</x:v>
      </x:c>
      <x:c r="G290" t="str">
        <x:v>equals</x:v>
      </x:c>
      <x:c r="H290" t="str">
        <x:f>IF(E290=F290,"PASS","FAIL")</x:f>
        <x:v>PASS</x:v>
      </x:c>
    </x:row>
    <x:row r="291">
      <x:c r="B291" t="str">
        <x:v>A-00245</x:v>
      </x:c>
      <x:c r="C291" t="str">
        <x:v>GATE</x:v>
      </x:c>
      <x:c r="D291" t="str">
        <x:v>release state mirrors governing ledger</x:v>
      </x:c>
      <x:c r="E291" t="str">
        <x:f>'Release Gates'!I251</x:f>
        <x:v>PASS</x:v>
      </x:c>
      <x:c r="F291" t="str">
        <x:f>IF('Release Gates'!C251="PLANNING","PASS",IF('Release Gates'!C251="PHYSICAL","OPEN","BLOCKED"))</x:f>
        <x:v>PASS</x:v>
      </x:c>
      <x:c r="G291" t="str">
        <x:v>equals</x:v>
      </x:c>
      <x:c r="H291" t="str">
        <x:f>IF(E291=F291,"PASS","FAIL")</x:f>
        <x:v>PASS</x:v>
      </x:c>
    </x:row>
    <x:row r="292">
      <x:c r="B292" t="str">
        <x:v>A-00246</x:v>
      </x:c>
      <x:c r="C292" t="str">
        <x:v>GATE</x:v>
      </x:c>
      <x:c r="D292" t="str">
        <x:v>release state mirrors governing ledger</x:v>
      </x:c>
      <x:c r="E292" t="str">
        <x:f>'Release Gates'!I252</x:f>
        <x:v>PASS</x:v>
      </x:c>
      <x:c r="F292" t="str">
        <x:f>IF('Release Gates'!C252="PLANNING","PASS",IF('Release Gates'!C252="PHYSICAL","OPEN","BLOCKED"))</x:f>
        <x:v>PASS</x:v>
      </x:c>
      <x:c r="G292" t="str">
        <x:v>equals</x:v>
      </x:c>
      <x:c r="H292" t="str">
        <x:f>IF(E292=F292,"PASS","FAIL")</x:f>
        <x:v>PASS</x:v>
      </x:c>
    </x:row>
    <x:row r="293">
      <x:c r="B293" t="str">
        <x:v>A-00247</x:v>
      </x:c>
      <x:c r="C293" t="str">
        <x:v>GATE</x:v>
      </x:c>
      <x:c r="D293" t="str">
        <x:v>release state mirrors governing ledger</x:v>
      </x:c>
      <x:c r="E293" t="str">
        <x:f>'Release Gates'!I253</x:f>
        <x:v>PASS</x:v>
      </x:c>
      <x:c r="F293" t="str">
        <x:f>IF('Release Gates'!C253="PLANNING","PASS",IF('Release Gates'!C253="PHYSICAL","OPEN","BLOCKED"))</x:f>
        <x:v>PASS</x:v>
      </x:c>
      <x:c r="G293" t="str">
        <x:v>equals</x:v>
      </x:c>
      <x:c r="H293" t="str">
        <x:f>IF(E293=F293,"PASS","FAIL")</x:f>
        <x:v>PASS</x:v>
      </x:c>
    </x:row>
    <x:row r="294">
      <x:c r="B294" t="str">
        <x:v>A-00248</x:v>
      </x:c>
      <x:c r="C294" t="str">
        <x:v>GATE</x:v>
      </x:c>
      <x:c r="D294" t="str">
        <x:v>release state mirrors governing ledger</x:v>
      </x:c>
      <x:c r="E294" t="str">
        <x:f>'Release Gates'!I254</x:f>
        <x:v>PASS</x:v>
      </x:c>
      <x:c r="F294" t="str">
        <x:f>IF('Release Gates'!C254="PLANNING","PASS",IF('Release Gates'!C254="PHYSICAL","OPEN","BLOCKED"))</x:f>
        <x:v>PASS</x:v>
      </x:c>
      <x:c r="G294" t="str">
        <x:v>equals</x:v>
      </x:c>
      <x:c r="H294" t="str">
        <x:f>IF(E294=F294,"PASS","FAIL")</x:f>
        <x:v>PASS</x:v>
      </x:c>
    </x:row>
    <x:row r="295">
      <x:c r="B295" t="str">
        <x:v>A-00249</x:v>
      </x:c>
      <x:c r="C295" t="str">
        <x:v>GATE</x:v>
      </x:c>
      <x:c r="D295" t="str">
        <x:v>release state mirrors governing ledger</x:v>
      </x:c>
      <x:c r="E295" t="str">
        <x:f>'Release Gates'!I255</x:f>
        <x:v>PASS</x:v>
      </x:c>
      <x:c r="F295" t="str">
        <x:f>IF('Release Gates'!C255="PLANNING","PASS",IF('Release Gates'!C255="PHYSICAL","OPEN","BLOCKED"))</x:f>
        <x:v>PASS</x:v>
      </x:c>
      <x:c r="G295" t="str">
        <x:v>equals</x:v>
      </x:c>
      <x:c r="H295" t="str">
        <x:f>IF(E295=F295,"PASS","FAIL")</x:f>
        <x:v>PASS</x:v>
      </x:c>
    </x:row>
    <x:row r="296">
      <x:c r="B296" t="str">
        <x:v>A-00250</x:v>
      </x:c>
      <x:c r="C296" t="str">
        <x:v>GATE</x:v>
      </x:c>
      <x:c r="D296" t="str">
        <x:v>release state mirrors governing ledger</x:v>
      </x:c>
      <x:c r="E296" t="str">
        <x:f>'Release Gates'!I256</x:f>
        <x:v>PASS</x:v>
      </x:c>
      <x:c r="F296" t="str">
        <x:f>IF('Release Gates'!C256="PLANNING","PASS",IF('Release Gates'!C256="PHYSICAL","OPEN","BLOCKED"))</x:f>
        <x:v>PASS</x:v>
      </x:c>
      <x:c r="G296" t="str">
        <x:v>equals</x:v>
      </x:c>
      <x:c r="H296" t="str">
        <x:f>IF(E296=F296,"PASS","FAIL")</x:f>
        <x:v>PASS</x:v>
      </x:c>
    </x:row>
    <x:row r="297">
      <x:c r="B297" t="str">
        <x:v>A-00251</x:v>
      </x:c>
      <x:c r="C297" t="str">
        <x:v>GATE</x:v>
      </x:c>
      <x:c r="D297" t="str">
        <x:v>release state mirrors governing ledger</x:v>
      </x:c>
      <x:c r="E297" t="str">
        <x:f>'Release Gates'!I257</x:f>
        <x:v>PASS</x:v>
      </x:c>
      <x:c r="F297" t="str">
        <x:f>IF('Release Gates'!C257="PLANNING","PASS",IF('Release Gates'!C257="PHYSICAL","OPEN","BLOCKED"))</x:f>
        <x:v>PASS</x:v>
      </x:c>
      <x:c r="G297" t="str">
        <x:v>equals</x:v>
      </x:c>
      <x:c r="H297" t="str">
        <x:f>IF(E297=F297,"PASS","FAIL")</x:f>
        <x:v>PASS</x:v>
      </x:c>
    </x:row>
    <x:row r="298">
      <x:c r="B298" t="str">
        <x:v>A-00252</x:v>
      </x:c>
      <x:c r="C298" t="str">
        <x:v>GATE</x:v>
      </x:c>
      <x:c r="D298" t="str">
        <x:v>release state mirrors governing ledger</x:v>
      </x:c>
      <x:c r="E298" t="str">
        <x:f>'Release Gates'!I258</x:f>
        <x:v>PASS</x:v>
      </x:c>
      <x:c r="F298" t="str">
        <x:f>IF('Release Gates'!C258="PLANNING","PASS",IF('Release Gates'!C258="PHYSICAL","OPEN","BLOCKED"))</x:f>
        <x:v>PASS</x:v>
      </x:c>
      <x:c r="G298" t="str">
        <x:v>equals</x:v>
      </x:c>
      <x:c r="H298" t="str">
        <x:f>IF(E298=F298,"PASS","FAIL")</x:f>
        <x:v>PASS</x:v>
      </x:c>
    </x:row>
    <x:row r="299">
      <x:c r="B299" t="str">
        <x:v>A-00253</x:v>
      </x:c>
      <x:c r="C299" t="str">
        <x:v>GATE</x:v>
      </x:c>
      <x:c r="D299" t="str">
        <x:v>release state mirrors governing ledger</x:v>
      </x:c>
      <x:c r="E299" t="str">
        <x:f>'Release Gates'!I259</x:f>
        <x:v>PASS</x:v>
      </x:c>
      <x:c r="F299" t="str">
        <x:f>IF('Release Gates'!C259="PLANNING","PASS",IF('Release Gates'!C259="PHYSICAL","OPEN","BLOCKED"))</x:f>
        <x:v>PASS</x:v>
      </x:c>
      <x:c r="G299" t="str">
        <x:v>equals</x:v>
      </x:c>
      <x:c r="H299" t="str">
        <x:f>IF(E299=F299,"PASS","FAIL")</x:f>
        <x:v>PASS</x:v>
      </x:c>
    </x:row>
    <x:row r="300">
      <x:c r="B300" t="str">
        <x:v>A-00254</x:v>
      </x:c>
      <x:c r="C300" t="str">
        <x:v>GATE</x:v>
      </x:c>
      <x:c r="D300" t="str">
        <x:v>release state mirrors governing ledger</x:v>
      </x:c>
      <x:c r="E300" t="str">
        <x:f>'Release Gates'!I260</x:f>
        <x:v>PASS</x:v>
      </x:c>
      <x:c r="F300" t="str">
        <x:f>IF('Release Gates'!C260="PLANNING","PASS",IF('Release Gates'!C260="PHYSICAL","OPEN","BLOCKED"))</x:f>
        <x:v>PASS</x:v>
      </x:c>
      <x:c r="G300" t="str">
        <x:v>equals</x:v>
      </x:c>
      <x:c r="H300" t="str">
        <x:f>IF(E300=F300,"PASS","FAIL")</x:f>
        <x:v>PASS</x:v>
      </x:c>
    </x:row>
    <x:row r="301">
      <x:c r="B301" t="str">
        <x:v>A-00255</x:v>
      </x:c>
      <x:c r="C301" t="str">
        <x:v>GATE</x:v>
      </x:c>
      <x:c r="D301" t="str">
        <x:v>release state mirrors governing ledger</x:v>
      </x:c>
      <x:c r="E301" t="str">
        <x:f>'Release Gates'!I261</x:f>
        <x:v>PASS</x:v>
      </x:c>
      <x:c r="F301" t="str">
        <x:f>IF('Release Gates'!C261="PLANNING","PASS",IF('Release Gates'!C261="PHYSICAL","OPEN","BLOCKED"))</x:f>
        <x:v>PASS</x:v>
      </x:c>
      <x:c r="G301" t="str">
        <x:v>equals</x:v>
      </x:c>
      <x:c r="H301" t="str">
        <x:f>IF(E301=F301,"PASS","FAIL")</x:f>
        <x:v>PASS</x:v>
      </x:c>
    </x:row>
    <x:row r="302">
      <x:c r="B302" t="str">
        <x:v>A-00256</x:v>
      </x:c>
      <x:c r="C302" t="str">
        <x:v>GATE</x:v>
      </x:c>
      <x:c r="D302" t="str">
        <x:v>release state mirrors governing ledger</x:v>
      </x:c>
      <x:c r="E302" t="str">
        <x:f>'Release Gates'!I262</x:f>
        <x:v>PASS</x:v>
      </x:c>
      <x:c r="F302" t="str">
        <x:f>IF('Release Gates'!C262="PLANNING","PASS",IF('Release Gates'!C262="PHYSICAL","OPEN","BLOCKED"))</x:f>
        <x:v>PASS</x:v>
      </x:c>
      <x:c r="G302" t="str">
        <x:v>equals</x:v>
      </x:c>
      <x:c r="H302" t="str">
        <x:f>IF(E302=F302,"PASS","FAIL")</x:f>
        <x:v>PASS</x:v>
      </x:c>
    </x:row>
    <x:row r="303">
      <x:c r="B303" t="str">
        <x:v>A-00257</x:v>
      </x:c>
      <x:c r="C303" t="str">
        <x:v>GATE</x:v>
      </x:c>
      <x:c r="D303" t="str">
        <x:v>release state mirrors governing ledger</x:v>
      </x:c>
      <x:c r="E303" t="str">
        <x:f>'Release Gates'!I263</x:f>
        <x:v>PASS</x:v>
      </x:c>
      <x:c r="F303" t="str">
        <x:f>IF('Release Gates'!C263="PLANNING","PASS",IF('Release Gates'!C263="PHYSICAL","OPEN","BLOCKED"))</x:f>
        <x:v>PASS</x:v>
      </x:c>
      <x:c r="G303" t="str">
        <x:v>equals</x:v>
      </x:c>
      <x:c r="H303" t="str">
        <x:f>IF(E303=F303,"PASS","FAIL")</x:f>
        <x:v>PASS</x:v>
      </x:c>
    </x:row>
    <x:row r="304">
      <x:c r="B304" t="str">
        <x:v>A-00258</x:v>
      </x:c>
      <x:c r="C304" t="str">
        <x:v>GATE</x:v>
      </x:c>
      <x:c r="D304" t="str">
        <x:v>release state mirrors governing ledger</x:v>
      </x:c>
      <x:c r="E304" t="str">
        <x:f>'Release Gates'!I264</x:f>
        <x:v>PASS</x:v>
      </x:c>
      <x:c r="F304" t="str">
        <x:f>IF('Release Gates'!C264="PLANNING","PASS",IF('Release Gates'!C264="PHYSICAL","OPEN","BLOCKED"))</x:f>
        <x:v>PASS</x:v>
      </x:c>
      <x:c r="G304" t="str">
        <x:v>equals</x:v>
      </x:c>
      <x:c r="H304" t="str">
        <x:f>IF(E304=F304,"PASS","FAIL")</x:f>
        <x:v>PASS</x:v>
      </x:c>
    </x:row>
    <x:row r="305">
      <x:c r="B305" t="str">
        <x:v>A-00259</x:v>
      </x:c>
      <x:c r="C305" t="str">
        <x:v>GATE</x:v>
      </x:c>
      <x:c r="D305" t="str">
        <x:v>release state mirrors governing ledger</x:v>
      </x:c>
      <x:c r="E305" t="str">
        <x:f>'Release Gates'!I265</x:f>
        <x:v>PASS</x:v>
      </x:c>
      <x:c r="F305" t="str">
        <x:f>IF('Release Gates'!C265="PLANNING","PASS",IF('Release Gates'!C265="PHYSICAL","OPEN","BLOCKED"))</x:f>
        <x:v>PASS</x:v>
      </x:c>
      <x:c r="G305" t="str">
        <x:v>equals</x:v>
      </x:c>
      <x:c r="H305" t="str">
        <x:f>IF(E305=F305,"PASS","FAIL")</x:f>
        <x:v>PASS</x:v>
      </x:c>
    </x:row>
    <x:row r="306">
      <x:c r="B306" t="str">
        <x:v>A-00260</x:v>
      </x:c>
      <x:c r="C306" t="str">
        <x:v>GATE</x:v>
      </x:c>
      <x:c r="D306" t="str">
        <x:v>release state mirrors governing ledger</x:v>
      </x:c>
      <x:c r="E306" t="str">
        <x:f>'Release Gates'!I266</x:f>
        <x:v>PASS</x:v>
      </x:c>
      <x:c r="F306" t="str">
        <x:f>IF('Release Gates'!C266="PLANNING","PASS",IF('Release Gates'!C266="PHYSICAL","OPEN","BLOCKED"))</x:f>
        <x:v>PASS</x:v>
      </x:c>
      <x:c r="G306" t="str">
        <x:v>equals</x:v>
      </x:c>
      <x:c r="H306" t="str">
        <x:f>IF(E306=F306,"PASS","FAIL")</x:f>
        <x:v>PASS</x:v>
      </x:c>
    </x:row>
    <x:row r="307">
      <x:c r="B307" t="str">
        <x:v>A-00261</x:v>
      </x:c>
      <x:c r="C307" t="str">
        <x:v>GATE</x:v>
      </x:c>
      <x:c r="D307" t="str">
        <x:v>release state mirrors governing ledger</x:v>
      </x:c>
      <x:c r="E307" t="str">
        <x:f>'Release Gates'!I267</x:f>
        <x:v>PASS</x:v>
      </x:c>
      <x:c r="F307" t="str">
        <x:f>IF('Release Gates'!C267="PLANNING","PASS",IF('Release Gates'!C267="PHYSICAL","OPEN","BLOCKED"))</x:f>
        <x:v>PASS</x:v>
      </x:c>
      <x:c r="G307" t="str">
        <x:v>equals</x:v>
      </x:c>
      <x:c r="H307" t="str">
        <x:f>IF(E307=F307,"PASS","FAIL")</x:f>
        <x:v>PASS</x:v>
      </x:c>
    </x:row>
    <x:row r="308">
      <x:c r="B308" t="str">
        <x:v>A-00262</x:v>
      </x:c>
      <x:c r="C308" t="str">
        <x:v>GATE</x:v>
      </x:c>
      <x:c r="D308" t="str">
        <x:v>release state mirrors governing ledger</x:v>
      </x:c>
      <x:c r="E308" t="str">
        <x:f>'Release Gates'!I268</x:f>
        <x:v>PASS</x:v>
      </x:c>
      <x:c r="F308" t="str">
        <x:f>IF('Release Gates'!C268="PLANNING","PASS",IF('Release Gates'!C268="PHYSICAL","OPEN","BLOCKED"))</x:f>
        <x:v>PASS</x:v>
      </x:c>
      <x:c r="G308" t="str">
        <x:v>equals</x:v>
      </x:c>
      <x:c r="H308" t="str">
        <x:f>IF(E308=F308,"PASS","FAIL")</x:f>
        <x:v>PASS</x:v>
      </x:c>
    </x:row>
    <x:row r="309">
      <x:c r="B309" t="str">
        <x:v>A-00263</x:v>
      </x:c>
      <x:c r="C309" t="str">
        <x:v>GATE</x:v>
      </x:c>
      <x:c r="D309" t="str">
        <x:v>release state mirrors governing ledger</x:v>
      </x:c>
      <x:c r="E309" t="str">
        <x:f>'Release Gates'!I269</x:f>
        <x:v>PASS</x:v>
      </x:c>
      <x:c r="F309" t="str">
        <x:f>IF('Release Gates'!C269="PLANNING","PASS",IF('Release Gates'!C269="PHYSICAL","OPEN","BLOCKED"))</x:f>
        <x:v>PASS</x:v>
      </x:c>
      <x:c r="G309" t="str">
        <x:v>equals</x:v>
      </x:c>
      <x:c r="H309" t="str">
        <x:f>IF(E309=F309,"PASS","FAIL")</x:f>
        <x:v>PASS</x:v>
      </x:c>
    </x:row>
    <x:row r="310">
      <x:c r="B310" t="str">
        <x:v>A-00264</x:v>
      </x:c>
      <x:c r="C310" t="str">
        <x:v>GATE</x:v>
      </x:c>
      <x:c r="D310" t="str">
        <x:v>release state mirrors governing ledger</x:v>
      </x:c>
      <x:c r="E310" t="str">
        <x:f>'Release Gates'!I270</x:f>
        <x:v>PASS</x:v>
      </x:c>
      <x:c r="F310" t="str">
        <x:f>IF('Release Gates'!C270="PLANNING","PASS",IF('Release Gates'!C270="PHYSICAL","OPEN","BLOCKED"))</x:f>
        <x:v>PASS</x:v>
      </x:c>
      <x:c r="G310" t="str">
        <x:v>equals</x:v>
      </x:c>
      <x:c r="H310" t="str">
        <x:f>IF(E310=F310,"PASS","FAIL")</x:f>
        <x:v>PASS</x:v>
      </x:c>
    </x:row>
    <x:row r="311">
      <x:c r="B311" t="str">
        <x:v>A-00265</x:v>
      </x:c>
      <x:c r="C311" t="str">
        <x:v>GATE</x:v>
      </x:c>
      <x:c r="D311" t="str">
        <x:v>release state mirrors governing ledger</x:v>
      </x:c>
      <x:c r="E311" t="str">
        <x:f>'Release Gates'!I271</x:f>
        <x:v>PASS</x:v>
      </x:c>
      <x:c r="F311" t="str">
        <x:f>IF('Release Gates'!C271="PLANNING","PASS",IF('Release Gates'!C271="PHYSICAL","OPEN","BLOCKED"))</x:f>
        <x:v>PASS</x:v>
      </x:c>
      <x:c r="G311" t="str">
        <x:v>equals</x:v>
      </x:c>
      <x:c r="H311" t="str">
        <x:f>IF(E311=F311,"PASS","FAIL")</x:f>
        <x:v>PASS</x:v>
      </x:c>
    </x:row>
    <x:row r="312">
      <x:c r="B312" t="str">
        <x:v>A-00266</x:v>
      </x:c>
      <x:c r="C312" t="str">
        <x:v>GATE</x:v>
      </x:c>
      <x:c r="D312" t="str">
        <x:v>release state mirrors governing ledger</x:v>
      </x:c>
      <x:c r="E312" t="str">
        <x:f>'Release Gates'!I272</x:f>
        <x:v>PASS</x:v>
      </x:c>
      <x:c r="F312" t="str">
        <x:f>IF('Release Gates'!C272="PLANNING","PASS",IF('Release Gates'!C272="PHYSICAL","OPEN","BLOCKED"))</x:f>
        <x:v>PASS</x:v>
      </x:c>
      <x:c r="G312" t="str">
        <x:v>equals</x:v>
      </x:c>
      <x:c r="H312" t="str">
        <x:f>IF(E312=F312,"PASS","FAIL")</x:f>
        <x:v>PASS</x:v>
      </x:c>
    </x:row>
    <x:row r="313">
      <x:c r="B313" t="str">
        <x:v>A-00267</x:v>
      </x:c>
      <x:c r="C313" t="str">
        <x:v>GATE</x:v>
      </x:c>
      <x:c r="D313" t="str">
        <x:v>release state mirrors governing ledger</x:v>
      </x:c>
      <x:c r="E313" t="str">
        <x:f>'Release Gates'!I273</x:f>
        <x:v>PASS</x:v>
      </x:c>
      <x:c r="F313" t="str">
        <x:f>IF('Release Gates'!C273="PLANNING","PASS",IF('Release Gates'!C273="PHYSICAL","OPEN","BLOCKED"))</x:f>
        <x:v>PASS</x:v>
      </x:c>
      <x:c r="G313" t="str">
        <x:v>equals</x:v>
      </x:c>
      <x:c r="H313" t="str">
        <x:f>IF(E313=F313,"PASS","FAIL")</x:f>
        <x:v>PASS</x:v>
      </x:c>
    </x:row>
    <x:row r="314">
      <x:c r="B314" t="str">
        <x:v>A-00268</x:v>
      </x:c>
      <x:c r="C314" t="str">
        <x:v>GATE</x:v>
      </x:c>
      <x:c r="D314" t="str">
        <x:v>release state mirrors governing ledger</x:v>
      </x:c>
      <x:c r="E314" t="str">
        <x:f>'Release Gates'!I274</x:f>
        <x:v>PASS</x:v>
      </x:c>
      <x:c r="F314" t="str">
        <x:f>IF('Release Gates'!C274="PLANNING","PASS",IF('Release Gates'!C274="PHYSICAL","OPEN","BLOCKED"))</x:f>
        <x:v>PASS</x:v>
      </x:c>
      <x:c r="G314" t="str">
        <x:v>equals</x:v>
      </x:c>
      <x:c r="H314" t="str">
        <x:f>IF(E314=F314,"PASS","FAIL")</x:f>
        <x:v>PASS</x:v>
      </x:c>
    </x:row>
    <x:row r="315">
      <x:c r="B315" t="str">
        <x:v>A-00269</x:v>
      </x:c>
      <x:c r="C315" t="str">
        <x:v>GATE</x:v>
      </x:c>
      <x:c r="D315" t="str">
        <x:v>release state mirrors governing ledger</x:v>
      </x:c>
      <x:c r="E315" t="str">
        <x:f>'Release Gates'!I275</x:f>
        <x:v>PASS</x:v>
      </x:c>
      <x:c r="F315" t="str">
        <x:f>IF('Release Gates'!C275="PLANNING","PASS",IF('Release Gates'!C275="PHYSICAL","OPEN","BLOCKED"))</x:f>
        <x:v>PASS</x:v>
      </x:c>
      <x:c r="G315" t="str">
        <x:v>equals</x:v>
      </x:c>
      <x:c r="H315" t="str">
        <x:f>IF(E315=F315,"PASS","FAIL")</x:f>
        <x:v>PASS</x:v>
      </x:c>
    </x:row>
    <x:row r="316">
      <x:c r="B316" t="str">
        <x:v>A-00270</x:v>
      </x:c>
      <x:c r="C316" t="str">
        <x:v>GATE</x:v>
      </x:c>
      <x:c r="D316" t="str">
        <x:v>release state mirrors governing ledger</x:v>
      </x:c>
      <x:c r="E316" t="str">
        <x:f>'Release Gates'!I276</x:f>
        <x:v>PASS</x:v>
      </x:c>
      <x:c r="F316" t="str">
        <x:f>IF('Release Gates'!C276="PLANNING","PASS",IF('Release Gates'!C276="PHYSICAL","OPEN","BLOCKED"))</x:f>
        <x:v>PASS</x:v>
      </x:c>
      <x:c r="G316" t="str">
        <x:v>equals</x:v>
      </x:c>
      <x:c r="H316" t="str">
        <x:f>IF(E316=F316,"PASS","FAIL")</x:f>
        <x:v>PASS</x:v>
      </x:c>
    </x:row>
    <x:row r="317">
      <x:c r="B317" t="str">
        <x:v>A-00271</x:v>
      </x:c>
      <x:c r="C317" t="str">
        <x:v>GATE</x:v>
      </x:c>
      <x:c r="D317" t="str">
        <x:v>release state mirrors governing ledger</x:v>
      </x:c>
      <x:c r="E317" t="str">
        <x:f>'Release Gates'!I277</x:f>
        <x:v>PASS</x:v>
      </x:c>
      <x:c r="F317" t="str">
        <x:f>IF('Release Gates'!C277="PLANNING","PASS",IF('Release Gates'!C277="PHYSICAL","OPEN","BLOCKED"))</x:f>
        <x:v>PASS</x:v>
      </x:c>
      <x:c r="G317" t="str">
        <x:v>equals</x:v>
      </x:c>
      <x:c r="H317" t="str">
        <x:f>IF(E317=F317,"PASS","FAIL")</x:f>
        <x:v>PASS</x:v>
      </x:c>
    </x:row>
    <x:row r="318">
      <x:c r="B318" t="str">
        <x:v>A-00272</x:v>
      </x:c>
      <x:c r="C318" t="str">
        <x:v>GATE</x:v>
      </x:c>
      <x:c r="D318" t="str">
        <x:v>release state mirrors governing ledger</x:v>
      </x:c>
      <x:c r="E318" t="str">
        <x:f>'Release Gates'!I278</x:f>
        <x:v>PASS</x:v>
      </x:c>
      <x:c r="F318" t="str">
        <x:f>IF('Release Gates'!C278="PLANNING","PASS",IF('Release Gates'!C278="PHYSICAL","OPEN","BLOCKED"))</x:f>
        <x:v>PASS</x:v>
      </x:c>
      <x:c r="G318" t="str">
        <x:v>equals</x:v>
      </x:c>
      <x:c r="H318" t="str">
        <x:f>IF(E318=F318,"PASS","FAIL")</x:f>
        <x:v>PASS</x:v>
      </x:c>
    </x:row>
    <x:row r="319">
      <x:c r="B319" t="str">
        <x:v>A-00273</x:v>
      </x:c>
      <x:c r="C319" t="str">
        <x:v>GATE</x:v>
      </x:c>
      <x:c r="D319" t="str">
        <x:v>release state mirrors governing ledger</x:v>
      </x:c>
      <x:c r="E319" t="str">
        <x:f>'Release Gates'!I279</x:f>
        <x:v>PASS</x:v>
      </x:c>
      <x:c r="F319" t="str">
        <x:f>IF('Release Gates'!C279="PLANNING","PASS",IF('Release Gates'!C279="PHYSICAL","OPEN","BLOCKED"))</x:f>
        <x:v>PASS</x:v>
      </x:c>
      <x:c r="G319" t="str">
        <x:v>equals</x:v>
      </x:c>
      <x:c r="H319" t="str">
        <x:f>IF(E319=F319,"PASS","FAIL")</x:f>
        <x:v>PASS</x:v>
      </x:c>
    </x:row>
    <x:row r="320">
      <x:c r="B320" t="str">
        <x:v>A-00274</x:v>
      </x:c>
      <x:c r="C320" t="str">
        <x:v>GATE</x:v>
      </x:c>
      <x:c r="D320" t="str">
        <x:v>release state mirrors governing ledger</x:v>
      </x:c>
      <x:c r="E320" t="str">
        <x:f>'Release Gates'!I280</x:f>
        <x:v>PASS</x:v>
      </x:c>
      <x:c r="F320" t="str">
        <x:f>IF('Release Gates'!C280="PLANNING","PASS",IF('Release Gates'!C280="PHYSICAL","OPEN","BLOCKED"))</x:f>
        <x:v>PASS</x:v>
      </x:c>
      <x:c r="G320" t="str">
        <x:v>equals</x:v>
      </x:c>
      <x:c r="H320" t="str">
        <x:f>IF(E320=F320,"PASS","FAIL")</x:f>
        <x:v>PASS</x:v>
      </x:c>
    </x:row>
    <x:row r="321">
      <x:c r="B321" t="str">
        <x:v>A-00275</x:v>
      </x:c>
      <x:c r="C321" t="str">
        <x:v>GATE</x:v>
      </x:c>
      <x:c r="D321" t="str">
        <x:v>release state mirrors governing ledger</x:v>
      </x:c>
      <x:c r="E321" t="str">
        <x:f>'Release Gates'!I281</x:f>
        <x:v>PASS</x:v>
      </x:c>
      <x:c r="F321" t="str">
        <x:f>IF('Release Gates'!C281="PLANNING","PASS",IF('Release Gates'!C281="PHYSICAL","OPEN","BLOCKED"))</x:f>
        <x:v>PASS</x:v>
      </x:c>
      <x:c r="G321" t="str">
        <x:v>equals</x:v>
      </x:c>
      <x:c r="H321" t="str">
        <x:f>IF(E321=F321,"PASS","FAIL")</x:f>
        <x:v>PASS</x:v>
      </x:c>
    </x:row>
    <x:row r="322">
      <x:c r="B322" t="str">
        <x:v>A-00276</x:v>
      </x:c>
      <x:c r="C322" t="str">
        <x:v>GATE</x:v>
      </x:c>
      <x:c r="D322" t="str">
        <x:v>release state mirrors governing ledger</x:v>
      </x:c>
      <x:c r="E322" t="str">
        <x:f>'Release Gates'!I282</x:f>
        <x:v>PASS</x:v>
      </x:c>
      <x:c r="F322" t="str">
        <x:f>IF('Release Gates'!C282="PLANNING","PASS",IF('Release Gates'!C282="PHYSICAL","OPEN","BLOCKED"))</x:f>
        <x:v>PASS</x:v>
      </x:c>
      <x:c r="G322" t="str">
        <x:v>equals</x:v>
      </x:c>
      <x:c r="H322" t="str">
        <x:f>IF(E322=F322,"PASS","FAIL")</x:f>
        <x:v>PASS</x:v>
      </x:c>
    </x:row>
    <x:row r="323">
      <x:c r="B323" t="str">
        <x:v>A-00277</x:v>
      </x:c>
      <x:c r="C323" t="str">
        <x:v>GATE</x:v>
      </x:c>
      <x:c r="D323" t="str">
        <x:v>release state mirrors governing ledger</x:v>
      </x:c>
      <x:c r="E323" t="str">
        <x:f>'Release Gates'!I283</x:f>
        <x:v>PASS</x:v>
      </x:c>
      <x:c r="F323" t="str">
        <x:f>IF('Release Gates'!C283="PLANNING","PASS",IF('Release Gates'!C283="PHYSICAL","OPEN","BLOCKED"))</x:f>
        <x:v>PASS</x:v>
      </x:c>
      <x:c r="G323" t="str">
        <x:v>equals</x:v>
      </x:c>
      <x:c r="H323" t="str">
        <x:f>IF(E323=F323,"PASS","FAIL")</x:f>
        <x:v>PASS</x:v>
      </x:c>
    </x:row>
    <x:row r="324">
      <x:c r="B324" t="str">
        <x:v>A-00278</x:v>
      </x:c>
      <x:c r="C324" t="str">
        <x:v>GATE</x:v>
      </x:c>
      <x:c r="D324" t="str">
        <x:v>release state mirrors governing ledger</x:v>
      </x:c>
      <x:c r="E324" t="str">
        <x:f>'Release Gates'!I284</x:f>
        <x:v>PASS</x:v>
      </x:c>
      <x:c r="F324" t="str">
        <x:f>IF('Release Gates'!C284="PLANNING","PASS",IF('Release Gates'!C284="PHYSICAL","OPEN","BLOCKED"))</x:f>
        <x:v>PASS</x:v>
      </x:c>
      <x:c r="G324" t="str">
        <x:v>equals</x:v>
      </x:c>
      <x:c r="H324" t="str">
        <x:f>IF(E324=F324,"PASS","FAIL")</x:f>
        <x:v>PASS</x:v>
      </x:c>
    </x:row>
    <x:row r="325">
      <x:c r="B325" t="str">
        <x:v>A-00279</x:v>
      </x:c>
      <x:c r="C325" t="str">
        <x:v>GATE</x:v>
      </x:c>
      <x:c r="D325" t="str">
        <x:v>release state mirrors governing ledger</x:v>
      </x:c>
      <x:c r="E325" t="str">
        <x:f>'Release Gates'!I285</x:f>
        <x:v>PASS</x:v>
      </x:c>
      <x:c r="F325" t="str">
        <x:f>IF('Release Gates'!C285="PLANNING","PASS",IF('Release Gates'!C285="PHYSICAL","OPEN","BLOCKED"))</x:f>
        <x:v>PASS</x:v>
      </x:c>
      <x:c r="G325" t="str">
        <x:v>equals</x:v>
      </x:c>
      <x:c r="H325" t="str">
        <x:f>IF(E325=F325,"PASS","FAIL")</x:f>
        <x:v>PASS</x:v>
      </x:c>
    </x:row>
    <x:row r="326">
      <x:c r="B326" t="str">
        <x:v>A-00280</x:v>
      </x:c>
      <x:c r="C326" t="str">
        <x:v>GATE</x:v>
      </x:c>
      <x:c r="D326" t="str">
        <x:v>release state mirrors governing ledger</x:v>
      </x:c>
      <x:c r="E326" t="str">
        <x:f>'Release Gates'!I286</x:f>
        <x:v>PASS</x:v>
      </x:c>
      <x:c r="F326" t="str">
        <x:f>IF('Release Gates'!C286="PLANNING","PASS",IF('Release Gates'!C286="PHYSICAL","OPEN","BLOCKED"))</x:f>
        <x:v>PASS</x:v>
      </x:c>
      <x:c r="G326" t="str">
        <x:v>equals</x:v>
      </x:c>
      <x:c r="H326" t="str">
        <x:f>IF(E326=F326,"PASS","FAIL")</x:f>
        <x:v>PASS</x:v>
      </x:c>
    </x:row>
    <x:row r="327">
      <x:c r="B327" t="str">
        <x:v>A-00281</x:v>
      </x:c>
      <x:c r="C327" t="str">
        <x:v>GATE</x:v>
      </x:c>
      <x:c r="D327" t="str">
        <x:v>release state mirrors governing ledger</x:v>
      </x:c>
      <x:c r="E327" t="str">
        <x:f>'Release Gates'!I287</x:f>
        <x:v>PASS</x:v>
      </x:c>
      <x:c r="F327" t="str">
        <x:f>IF('Release Gates'!C287="PLANNING","PASS",IF('Release Gates'!C287="PHYSICAL","OPEN","BLOCKED"))</x:f>
        <x:v>PASS</x:v>
      </x:c>
      <x:c r="G327" t="str">
        <x:v>equals</x:v>
      </x:c>
      <x:c r="H327" t="str">
        <x:f>IF(E327=F327,"PASS","FAIL")</x:f>
        <x:v>PASS</x:v>
      </x:c>
    </x:row>
    <x:row r="328">
      <x:c r="B328" t="str">
        <x:v>A-00282</x:v>
      </x:c>
      <x:c r="C328" t="str">
        <x:v>GATE</x:v>
      </x:c>
      <x:c r="D328" t="str">
        <x:v>release state mirrors governing ledger</x:v>
      </x:c>
      <x:c r="E328" t="str">
        <x:f>'Release Gates'!I288</x:f>
        <x:v>PASS</x:v>
      </x:c>
      <x:c r="F328" t="str">
        <x:f>IF('Release Gates'!C288="PLANNING","PASS",IF('Release Gates'!C288="PHYSICAL","OPEN","BLOCKED"))</x:f>
        <x:v>PASS</x:v>
      </x:c>
      <x:c r="G328" t="str">
        <x:v>equals</x:v>
      </x:c>
      <x:c r="H328" t="str">
        <x:f>IF(E328=F328,"PASS","FAIL")</x:f>
        <x:v>PASS</x:v>
      </x:c>
    </x:row>
    <x:row r="329">
      <x:c r="B329" t="str">
        <x:v>A-00283</x:v>
      </x:c>
      <x:c r="C329" t="str">
        <x:v>GATE</x:v>
      </x:c>
      <x:c r="D329" t="str">
        <x:v>release state mirrors governing ledger</x:v>
      </x:c>
      <x:c r="E329" t="str">
        <x:f>'Release Gates'!I289</x:f>
        <x:v>PASS</x:v>
      </x:c>
      <x:c r="F329" t="str">
        <x:f>IF('Release Gates'!C289="PLANNING","PASS",IF('Release Gates'!C289="PHYSICAL","OPEN","BLOCKED"))</x:f>
        <x:v>PASS</x:v>
      </x:c>
      <x:c r="G329" t="str">
        <x:v>equals</x:v>
      </x:c>
      <x:c r="H329" t="str">
        <x:f>IF(E329=F329,"PASS","FAIL")</x:f>
        <x:v>PASS</x:v>
      </x:c>
    </x:row>
    <x:row r="330">
      <x:c r="B330" t="str">
        <x:v>A-00284</x:v>
      </x:c>
      <x:c r="C330" t="str">
        <x:v>GATE</x:v>
      </x:c>
      <x:c r="D330" t="str">
        <x:v>release state mirrors governing ledger</x:v>
      </x:c>
      <x:c r="E330" t="str">
        <x:f>'Release Gates'!I290</x:f>
        <x:v>PASS</x:v>
      </x:c>
      <x:c r="F330" t="str">
        <x:f>IF('Release Gates'!C290="PLANNING","PASS",IF('Release Gates'!C290="PHYSICAL","OPEN","BLOCKED"))</x:f>
        <x:v>PASS</x:v>
      </x:c>
      <x:c r="G330" t="str">
        <x:v>equals</x:v>
      </x:c>
      <x:c r="H330" t="str">
        <x:f>IF(E330=F330,"PASS","FAIL")</x:f>
        <x:v>PASS</x:v>
      </x:c>
    </x:row>
    <x:row r="331">
      <x:c r="B331" t="str">
        <x:v>A-00285</x:v>
      </x:c>
      <x:c r="C331" t="str">
        <x:v>GATE</x:v>
      </x:c>
      <x:c r="D331" t="str">
        <x:v>release state mirrors governing ledger</x:v>
      </x:c>
      <x:c r="E331" t="str">
        <x:f>'Release Gates'!I291</x:f>
        <x:v>PASS</x:v>
      </x:c>
      <x:c r="F331" t="str">
        <x:f>IF('Release Gates'!C291="PLANNING","PASS",IF('Release Gates'!C291="PHYSICAL","OPEN","BLOCKED"))</x:f>
        <x:v>PASS</x:v>
      </x:c>
      <x:c r="G331" t="str">
        <x:v>equals</x:v>
      </x:c>
      <x:c r="H331" t="str">
        <x:f>IF(E331=F331,"PASS","FAIL")</x:f>
        <x:v>PASS</x:v>
      </x:c>
    </x:row>
    <x:row r="332">
      <x:c r="B332" t="str">
        <x:v>A-00286</x:v>
      </x:c>
      <x:c r="C332" t="str">
        <x:v>GATE</x:v>
      </x:c>
      <x:c r="D332" t="str">
        <x:v>release state mirrors governing ledger</x:v>
      </x:c>
      <x:c r="E332" t="str">
        <x:f>'Release Gates'!I292</x:f>
        <x:v>PASS</x:v>
      </x:c>
      <x:c r="F332" t="str">
        <x:f>IF('Release Gates'!C292="PLANNING","PASS",IF('Release Gates'!C292="PHYSICAL","OPEN","BLOCKED"))</x:f>
        <x:v>PASS</x:v>
      </x:c>
      <x:c r="G332" t="str">
        <x:v>equals</x:v>
      </x:c>
      <x:c r="H332" t="str">
        <x:f>IF(E332=F332,"PASS","FAIL")</x:f>
        <x:v>PASS</x:v>
      </x:c>
    </x:row>
    <x:row r="333">
      <x:c r="B333" t="str">
        <x:v>A-00287</x:v>
      </x:c>
      <x:c r="C333" t="str">
        <x:v>GATE</x:v>
      </x:c>
      <x:c r="D333" t="str">
        <x:v>release state mirrors governing ledger</x:v>
      </x:c>
      <x:c r="E333" t="str">
        <x:f>'Release Gates'!I293</x:f>
        <x:v>PASS</x:v>
      </x:c>
      <x:c r="F333" t="str">
        <x:f>IF('Release Gates'!C293="PLANNING","PASS",IF('Release Gates'!C293="PHYSICAL","OPEN","BLOCKED"))</x:f>
        <x:v>PASS</x:v>
      </x:c>
      <x:c r="G333" t="str">
        <x:v>equals</x:v>
      </x:c>
      <x:c r="H333" t="str">
        <x:f>IF(E333=F333,"PASS","FAIL")</x:f>
        <x:v>PASS</x:v>
      </x:c>
    </x:row>
    <x:row r="334">
      <x:c r="B334" t="str">
        <x:v>A-00288</x:v>
      </x:c>
      <x:c r="C334" t="str">
        <x:v>GATE</x:v>
      </x:c>
      <x:c r="D334" t="str">
        <x:v>release state mirrors governing ledger</x:v>
      </x:c>
      <x:c r="E334" t="str">
        <x:f>'Release Gates'!I294</x:f>
        <x:v>PASS</x:v>
      </x:c>
      <x:c r="F334" t="str">
        <x:f>IF('Release Gates'!C294="PLANNING","PASS",IF('Release Gates'!C294="PHYSICAL","OPEN","BLOCKED"))</x:f>
        <x:v>PASS</x:v>
      </x:c>
      <x:c r="G334" t="str">
        <x:v>equals</x:v>
      </x:c>
      <x:c r="H334" t="str">
        <x:f>IF(E334=F334,"PASS","FAIL")</x:f>
        <x:v>PASS</x:v>
      </x:c>
    </x:row>
    <x:row r="335">
      <x:c r="B335" t="str">
        <x:v>A-00289</x:v>
      </x:c>
      <x:c r="C335" t="str">
        <x:v>GATE</x:v>
      </x:c>
      <x:c r="D335" t="str">
        <x:v>release state mirrors governing ledger</x:v>
      </x:c>
      <x:c r="E335" t="str">
        <x:f>'Release Gates'!I295</x:f>
        <x:v>PASS</x:v>
      </x:c>
      <x:c r="F335" t="str">
        <x:f>IF('Release Gates'!C295="PLANNING","PASS",IF('Release Gates'!C295="PHYSICAL","OPEN","BLOCKED"))</x:f>
        <x:v>PASS</x:v>
      </x:c>
      <x:c r="G335" t="str">
        <x:v>equals</x:v>
      </x:c>
      <x:c r="H335" t="str">
        <x:f>IF(E335=F335,"PASS","FAIL")</x:f>
        <x:v>PASS</x:v>
      </x:c>
    </x:row>
    <x:row r="336">
      <x:c r="B336" t="str">
        <x:v>A-00290</x:v>
      </x:c>
      <x:c r="C336" t="str">
        <x:v>GATE</x:v>
      </x:c>
      <x:c r="D336" t="str">
        <x:v>release state mirrors governing ledger</x:v>
      </x:c>
      <x:c r="E336" t="str">
        <x:f>'Release Gates'!I296</x:f>
        <x:v>PASS</x:v>
      </x:c>
      <x:c r="F336" t="str">
        <x:f>IF('Release Gates'!C296="PLANNING","PASS",IF('Release Gates'!C296="PHYSICAL","OPEN","BLOCKED"))</x:f>
        <x:v>PASS</x:v>
      </x:c>
      <x:c r="G336" t="str">
        <x:v>equals</x:v>
      </x:c>
      <x:c r="H336" t="str">
        <x:f>IF(E336=F336,"PASS","FAIL")</x:f>
        <x:v>PASS</x:v>
      </x:c>
    </x:row>
    <x:row r="337">
      <x:c r="B337" t="str">
        <x:v>A-00291</x:v>
      </x:c>
      <x:c r="C337" t="str">
        <x:v>GATE</x:v>
      </x:c>
      <x:c r="D337" t="str">
        <x:v>release state mirrors governing ledger</x:v>
      </x:c>
      <x:c r="E337" t="str">
        <x:f>'Release Gates'!I297</x:f>
        <x:v>PASS</x:v>
      </x:c>
      <x:c r="F337" t="str">
        <x:f>IF('Release Gates'!C297="PLANNING","PASS",IF('Release Gates'!C297="PHYSICAL","OPEN","BLOCKED"))</x:f>
        <x:v>PASS</x:v>
      </x:c>
      <x:c r="G337" t="str">
        <x:v>equals</x:v>
      </x:c>
      <x:c r="H337" t="str">
        <x:f>IF(E337=F337,"PASS","FAIL")</x:f>
        <x:v>PASS</x:v>
      </x:c>
    </x:row>
    <x:row r="338">
      <x:c r="B338" t="str">
        <x:v>A-00292</x:v>
      </x:c>
      <x:c r="C338" t="str">
        <x:v>GATE</x:v>
      </x:c>
      <x:c r="D338" t="str">
        <x:v>release state mirrors governing ledger</x:v>
      </x:c>
      <x:c r="E338" t="str">
        <x:f>'Release Gates'!I298</x:f>
        <x:v>PASS</x:v>
      </x:c>
      <x:c r="F338" t="str">
        <x:f>IF('Release Gates'!C298="PLANNING","PASS",IF('Release Gates'!C298="PHYSICAL","OPEN","BLOCKED"))</x:f>
        <x:v>PASS</x:v>
      </x:c>
      <x:c r="G338" t="str">
        <x:v>equals</x:v>
      </x:c>
      <x:c r="H338" t="str">
        <x:f>IF(E338=F338,"PASS","FAIL")</x:f>
        <x:v>PASS</x:v>
      </x:c>
    </x:row>
    <x:row r="339">
      <x:c r="B339" t="str">
        <x:v>A-00293</x:v>
      </x:c>
      <x:c r="C339" t="str">
        <x:v>GATE</x:v>
      </x:c>
      <x:c r="D339" t="str">
        <x:v>release state mirrors governing ledger</x:v>
      </x:c>
      <x:c r="E339" t="str">
        <x:f>'Release Gates'!I299</x:f>
        <x:v>PASS</x:v>
      </x:c>
      <x:c r="F339" t="str">
        <x:f>IF('Release Gates'!C299="PLANNING","PASS",IF('Release Gates'!C299="PHYSICAL","OPEN","BLOCKED"))</x:f>
        <x:v>PASS</x:v>
      </x:c>
      <x:c r="G339" t="str">
        <x:v>equals</x:v>
      </x:c>
      <x:c r="H339" t="str">
        <x:f>IF(E339=F339,"PASS","FAIL")</x:f>
        <x:v>PASS</x:v>
      </x:c>
    </x:row>
    <x:row r="340">
      <x:c r="B340" t="str">
        <x:v>A-00294</x:v>
      </x:c>
      <x:c r="C340" t="str">
        <x:v>GATE</x:v>
      </x:c>
      <x:c r="D340" t="str">
        <x:v>release state mirrors governing ledger</x:v>
      </x:c>
      <x:c r="E340" t="str">
        <x:f>'Release Gates'!I300</x:f>
        <x:v>PASS</x:v>
      </x:c>
      <x:c r="F340" t="str">
        <x:f>IF('Release Gates'!C300="PLANNING","PASS",IF('Release Gates'!C300="PHYSICAL","OPEN","BLOCKED"))</x:f>
        <x:v>PASS</x:v>
      </x:c>
      <x:c r="G340" t="str">
        <x:v>equals</x:v>
      </x:c>
      <x:c r="H340" t="str">
        <x:f>IF(E340=F340,"PASS","FAIL")</x:f>
        <x:v>PASS</x:v>
      </x:c>
    </x:row>
    <x:row r="341">
      <x:c r="B341" t="str">
        <x:v>A-00295</x:v>
      </x:c>
      <x:c r="C341" t="str">
        <x:v>GATE</x:v>
      </x:c>
      <x:c r="D341" t="str">
        <x:v>release state mirrors governing ledger</x:v>
      </x:c>
      <x:c r="E341" t="str">
        <x:f>'Release Gates'!I301</x:f>
        <x:v>PASS</x:v>
      </x:c>
      <x:c r="F341" t="str">
        <x:f>IF('Release Gates'!C301="PLANNING","PASS",IF('Release Gates'!C301="PHYSICAL","OPEN","BLOCKED"))</x:f>
        <x:v>PASS</x:v>
      </x:c>
      <x:c r="G341" t="str">
        <x:v>equals</x:v>
      </x:c>
      <x:c r="H341" t="str">
        <x:f>IF(E341=F341,"PASS","FAIL")</x:f>
        <x:v>PASS</x:v>
      </x:c>
    </x:row>
    <x:row r="342">
      <x:c r="B342" t="str">
        <x:v>A-00296</x:v>
      </x:c>
      <x:c r="C342" t="str">
        <x:v>GATE</x:v>
      </x:c>
      <x:c r="D342" t="str">
        <x:v>release state mirrors governing ledger</x:v>
      </x:c>
      <x:c r="E342" t="str">
        <x:f>'Release Gates'!I302</x:f>
        <x:v>PASS</x:v>
      </x:c>
      <x:c r="F342" t="str">
        <x:f>IF('Release Gates'!C302="PLANNING","PASS",IF('Release Gates'!C302="PHYSICAL","OPEN","BLOCKED"))</x:f>
        <x:v>PASS</x:v>
      </x:c>
      <x:c r="G342" t="str">
        <x:v>equals</x:v>
      </x:c>
      <x:c r="H342" t="str">
        <x:f>IF(E342=F342,"PASS","FAIL")</x:f>
        <x:v>PASS</x:v>
      </x:c>
    </x:row>
    <x:row r="343">
      <x:c r="B343" t="str">
        <x:v>A-00297</x:v>
      </x:c>
      <x:c r="C343" t="str">
        <x:v>GATE</x:v>
      </x:c>
      <x:c r="D343" t="str">
        <x:v>release state mirrors governing ledger</x:v>
      </x:c>
      <x:c r="E343" t="str">
        <x:f>'Release Gates'!I303</x:f>
        <x:v>PASS</x:v>
      </x:c>
      <x:c r="F343" t="str">
        <x:f>IF('Release Gates'!C303="PLANNING","PASS",IF('Release Gates'!C303="PHYSICAL","OPEN","BLOCKED"))</x:f>
        <x:v>PASS</x:v>
      </x:c>
      <x:c r="G343" t="str">
        <x:v>equals</x:v>
      </x:c>
      <x:c r="H343" t="str">
        <x:f>IF(E343=F343,"PASS","FAIL")</x:f>
        <x:v>PASS</x:v>
      </x:c>
    </x:row>
    <x:row r="344">
      <x:c r="B344" t="str">
        <x:v>A-00298</x:v>
      </x:c>
      <x:c r="C344" t="str">
        <x:v>GATE</x:v>
      </x:c>
      <x:c r="D344" t="str">
        <x:v>release state mirrors governing ledger</x:v>
      </x:c>
      <x:c r="E344" t="str">
        <x:f>'Release Gates'!I304</x:f>
        <x:v>PASS</x:v>
      </x:c>
      <x:c r="F344" t="str">
        <x:f>IF('Release Gates'!C304="PLANNING","PASS",IF('Release Gates'!C304="PHYSICAL","OPEN","BLOCKED"))</x:f>
        <x:v>PASS</x:v>
      </x:c>
      <x:c r="G344" t="str">
        <x:v>equals</x:v>
      </x:c>
      <x:c r="H344" t="str">
        <x:f>IF(E344=F344,"PASS","FAIL")</x:f>
        <x:v>PASS</x:v>
      </x:c>
    </x:row>
    <x:row r="345">
      <x:c r="B345" t="str">
        <x:v>A-00299</x:v>
      </x:c>
      <x:c r="C345" t="str">
        <x:v>GATE</x:v>
      </x:c>
      <x:c r="D345" t="str">
        <x:v>release state mirrors governing ledger</x:v>
      </x:c>
      <x:c r="E345" t="str">
        <x:f>'Release Gates'!I305</x:f>
        <x:v>PASS</x:v>
      </x:c>
      <x:c r="F345" t="str">
        <x:f>IF('Release Gates'!C305="PLANNING","PASS",IF('Release Gates'!C305="PHYSICAL","OPEN","BLOCKED"))</x:f>
        <x:v>PASS</x:v>
      </x:c>
      <x:c r="G345" t="str">
        <x:v>equals</x:v>
      </x:c>
      <x:c r="H345" t="str">
        <x:f>IF(E345=F345,"PASS","FAIL")</x:f>
        <x:v>PASS</x:v>
      </x:c>
    </x:row>
    <x:row r="346">
      <x:c r="B346" t="str">
        <x:v>A-00300</x:v>
      </x:c>
      <x:c r="C346" t="str">
        <x:v>GATE</x:v>
      </x:c>
      <x:c r="D346" t="str">
        <x:v>release state mirrors governing ledger</x:v>
      </x:c>
      <x:c r="E346" t="str">
        <x:f>'Release Gates'!I306</x:f>
        <x:v>PASS</x:v>
      </x:c>
      <x:c r="F346" t="str">
        <x:f>IF('Release Gates'!C306="PLANNING","PASS",IF('Release Gates'!C306="PHYSICAL","OPEN","BLOCKED"))</x:f>
        <x:v>PASS</x:v>
      </x:c>
      <x:c r="G346" t="str">
        <x:v>equals</x:v>
      </x:c>
      <x:c r="H346" t="str">
        <x:f>IF(E346=F346,"PASS","FAIL")</x:f>
        <x:v>PASS</x:v>
      </x:c>
    </x:row>
    <x:row r="347">
      <x:c r="B347" t="str">
        <x:v>A-00301</x:v>
      </x:c>
      <x:c r="C347" t="str">
        <x:v>GATE</x:v>
      </x:c>
      <x:c r="D347" t="str">
        <x:v>release state mirrors governing ledger</x:v>
      </x:c>
      <x:c r="E347" t="str">
        <x:f>'Release Gates'!I307</x:f>
        <x:v>PASS</x:v>
      </x:c>
      <x:c r="F347" t="str">
        <x:f>IF('Release Gates'!C307="PLANNING","PASS",IF('Release Gates'!C307="PHYSICAL","OPEN","BLOCKED"))</x:f>
        <x:v>PASS</x:v>
      </x:c>
      <x:c r="G347" t="str">
        <x:v>equals</x:v>
      </x:c>
      <x:c r="H347" t="str">
        <x:f>IF(E347=F347,"PASS","FAIL")</x:f>
        <x:v>PASS</x:v>
      </x:c>
    </x:row>
    <x:row r="348">
      <x:c r="B348" t="str">
        <x:v>A-00302</x:v>
      </x:c>
      <x:c r="C348" t="str">
        <x:v>GATE</x:v>
      </x:c>
      <x:c r="D348" t="str">
        <x:v>release state mirrors governing ledger</x:v>
      </x:c>
      <x:c r="E348" t="str">
        <x:f>'Release Gates'!I308</x:f>
        <x:v>PASS</x:v>
      </x:c>
      <x:c r="F348" t="str">
        <x:f>IF('Release Gates'!C308="PLANNING","PASS",IF('Release Gates'!C308="PHYSICAL","OPEN","BLOCKED"))</x:f>
        <x:v>PASS</x:v>
      </x:c>
      <x:c r="G348" t="str">
        <x:v>equals</x:v>
      </x:c>
      <x:c r="H348" t="str">
        <x:f>IF(E348=F348,"PASS","FAIL")</x:f>
        <x:v>PASS</x:v>
      </x:c>
    </x:row>
    <x:row r="349">
      <x:c r="B349" t="str">
        <x:v>A-00303</x:v>
      </x:c>
      <x:c r="C349" t="str">
        <x:v>GATE</x:v>
      </x:c>
      <x:c r="D349" t="str">
        <x:v>release state mirrors governing ledger</x:v>
      </x:c>
      <x:c r="E349" t="str">
        <x:f>'Release Gates'!I309</x:f>
        <x:v>PASS</x:v>
      </x:c>
      <x:c r="F349" t="str">
        <x:f>IF('Release Gates'!C309="PLANNING","PASS",IF('Release Gates'!C309="PHYSICAL","OPEN","BLOCKED"))</x:f>
        <x:v>PASS</x:v>
      </x:c>
      <x:c r="G349" t="str">
        <x:v>equals</x:v>
      </x:c>
      <x:c r="H349" t="str">
        <x:f>IF(E349=F349,"PASS","FAIL")</x:f>
        <x:v>PASS</x:v>
      </x:c>
    </x:row>
    <x:row r="350">
      <x:c r="B350" t="str">
        <x:v>A-00304</x:v>
      </x:c>
      <x:c r="C350" t="str">
        <x:v>GATE</x:v>
      </x:c>
      <x:c r="D350" t="str">
        <x:v>release state mirrors governing ledger</x:v>
      </x:c>
      <x:c r="E350" t="str">
        <x:f>'Release Gates'!I310</x:f>
        <x:v>PASS</x:v>
      </x:c>
      <x:c r="F350" t="str">
        <x:f>IF('Release Gates'!C310="PLANNING","PASS",IF('Release Gates'!C310="PHYSICAL","OPEN","BLOCKED"))</x:f>
        <x:v>PASS</x:v>
      </x:c>
      <x:c r="G350" t="str">
        <x:v>equals</x:v>
      </x:c>
      <x:c r="H350" t="str">
        <x:f>IF(E350=F350,"PASS","FAIL")</x:f>
        <x:v>PASS</x:v>
      </x:c>
    </x:row>
    <x:row r="351">
      <x:c r="B351" t="str">
        <x:v>A-00305</x:v>
      </x:c>
      <x:c r="C351" t="str">
        <x:v>GATE</x:v>
      </x:c>
      <x:c r="D351" t="str">
        <x:v>release state mirrors governing ledger</x:v>
      </x:c>
      <x:c r="E351" t="str">
        <x:f>'Release Gates'!I311</x:f>
        <x:v>PASS</x:v>
      </x:c>
      <x:c r="F351" t="str">
        <x:f>IF('Release Gates'!C311="PLANNING","PASS",IF('Release Gates'!C311="PHYSICAL","OPEN","BLOCKED"))</x:f>
        <x:v>PASS</x:v>
      </x:c>
      <x:c r="G351" t="str">
        <x:v>equals</x:v>
      </x:c>
      <x:c r="H351" t="str">
        <x:f>IF(E351=F351,"PASS","FAIL")</x:f>
        <x:v>PASS</x:v>
      </x:c>
    </x:row>
    <x:row r="352">
      <x:c r="B352" t="str">
        <x:v>A-00306</x:v>
      </x:c>
      <x:c r="C352" t="str">
        <x:v>GATE</x:v>
      </x:c>
      <x:c r="D352" t="str">
        <x:v>release state mirrors governing ledger</x:v>
      </x:c>
      <x:c r="E352" t="str">
        <x:f>'Release Gates'!I312</x:f>
        <x:v>PASS</x:v>
      </x:c>
      <x:c r="F352" t="str">
        <x:f>IF('Release Gates'!C312="PLANNING","PASS",IF('Release Gates'!C312="PHYSICAL","OPEN","BLOCKED"))</x:f>
        <x:v>PASS</x:v>
      </x:c>
      <x:c r="G352" t="str">
        <x:v>equals</x:v>
      </x:c>
      <x:c r="H352" t="str">
        <x:f>IF(E352=F352,"PASS","FAIL")</x:f>
        <x:v>PASS</x:v>
      </x:c>
    </x:row>
    <x:row r="353">
      <x:c r="B353" t="str">
        <x:v>A-00307</x:v>
      </x:c>
      <x:c r="C353" t="str">
        <x:v>GATE</x:v>
      </x:c>
      <x:c r="D353" t="str">
        <x:v>release state mirrors governing ledger</x:v>
      </x:c>
      <x:c r="E353" t="str">
        <x:f>'Release Gates'!I313</x:f>
        <x:v>PASS</x:v>
      </x:c>
      <x:c r="F353" t="str">
        <x:f>IF('Release Gates'!C313="PLANNING","PASS",IF('Release Gates'!C313="PHYSICAL","OPEN","BLOCKED"))</x:f>
        <x:v>PASS</x:v>
      </x:c>
      <x:c r="G353" t="str">
        <x:v>equals</x:v>
      </x:c>
      <x:c r="H353" t="str">
        <x:f>IF(E353=F353,"PASS","FAIL")</x:f>
        <x:v>PASS</x:v>
      </x:c>
    </x:row>
    <x:row r="354">
      <x:c r="B354" t="str">
        <x:v>A-00308</x:v>
      </x:c>
      <x:c r="C354" t="str">
        <x:v>GATE</x:v>
      </x:c>
      <x:c r="D354" t="str">
        <x:v>release state mirrors governing ledger</x:v>
      </x:c>
      <x:c r="E354" t="str">
        <x:f>'Release Gates'!I314</x:f>
        <x:v>PASS</x:v>
      </x:c>
      <x:c r="F354" t="str">
        <x:f>IF('Release Gates'!C314="PLANNING","PASS",IF('Release Gates'!C314="PHYSICAL","OPEN","BLOCKED"))</x:f>
        <x:v>PASS</x:v>
      </x:c>
      <x:c r="G354" t="str">
        <x:v>equals</x:v>
      </x:c>
      <x:c r="H354" t="str">
        <x:f>IF(E354=F354,"PASS","FAIL")</x:f>
        <x:v>PASS</x:v>
      </x:c>
    </x:row>
    <x:row r="355">
      <x:c r="B355" t="str">
        <x:v>A-00309</x:v>
      </x:c>
      <x:c r="C355" t="str">
        <x:v>GATE</x:v>
      </x:c>
      <x:c r="D355" t="str">
        <x:v>release state mirrors governing ledger</x:v>
      </x:c>
      <x:c r="E355" t="str">
        <x:f>'Release Gates'!I315</x:f>
        <x:v>PASS</x:v>
      </x:c>
      <x:c r="F355" t="str">
        <x:f>IF('Release Gates'!C315="PLANNING","PASS",IF('Release Gates'!C315="PHYSICAL","OPEN","BLOCKED"))</x:f>
        <x:v>PASS</x:v>
      </x:c>
      <x:c r="G355" t="str">
        <x:v>equals</x:v>
      </x:c>
      <x:c r="H355" t="str">
        <x:f>IF(E355=F355,"PASS","FAIL")</x:f>
        <x:v>PASS</x:v>
      </x:c>
    </x:row>
    <x:row r="356">
      <x:c r="B356" t="str">
        <x:v>A-00310</x:v>
      </x:c>
      <x:c r="C356" t="str">
        <x:v>GATE</x:v>
      </x:c>
      <x:c r="D356" t="str">
        <x:v>release state mirrors governing ledger</x:v>
      </x:c>
      <x:c r="E356" t="str">
        <x:f>'Release Gates'!I316</x:f>
        <x:v>PASS</x:v>
      </x:c>
      <x:c r="F356" t="str">
        <x:f>IF('Release Gates'!C316="PLANNING","PASS",IF('Release Gates'!C316="PHYSICAL","OPEN","BLOCKED"))</x:f>
        <x:v>PASS</x:v>
      </x:c>
      <x:c r="G356" t="str">
        <x:v>equals</x:v>
      </x:c>
      <x:c r="H356" t="str">
        <x:f>IF(E356=F356,"PASS","FAIL")</x:f>
        <x:v>PASS</x:v>
      </x:c>
    </x:row>
    <x:row r="357">
      <x:c r="B357" t="str">
        <x:v>A-00311</x:v>
      </x:c>
      <x:c r="C357" t="str">
        <x:v>GATE</x:v>
      </x:c>
      <x:c r="D357" t="str">
        <x:v>release state mirrors governing ledger</x:v>
      </x:c>
      <x:c r="E357" t="str">
        <x:f>'Release Gates'!I317</x:f>
        <x:v>PASS</x:v>
      </x:c>
      <x:c r="F357" t="str">
        <x:f>IF('Release Gates'!C317="PLANNING","PASS",IF('Release Gates'!C317="PHYSICAL","OPEN","BLOCKED"))</x:f>
        <x:v>PASS</x:v>
      </x:c>
      <x:c r="G357" t="str">
        <x:v>equals</x:v>
      </x:c>
      <x:c r="H357" t="str">
        <x:f>IF(E357=F357,"PASS","FAIL")</x:f>
        <x:v>PASS</x:v>
      </x:c>
    </x:row>
    <x:row r="358">
      <x:c r="B358" t="str">
        <x:v>A-00312</x:v>
      </x:c>
      <x:c r="C358" t="str">
        <x:v>GATE</x:v>
      </x:c>
      <x:c r="D358" t="str">
        <x:v>release state mirrors governing ledger</x:v>
      </x:c>
      <x:c r="E358" t="str">
        <x:f>'Release Gates'!I318</x:f>
        <x:v>PASS</x:v>
      </x:c>
      <x:c r="F358" t="str">
        <x:f>IF('Release Gates'!C318="PLANNING","PASS",IF('Release Gates'!C318="PHYSICAL","OPEN","BLOCKED"))</x:f>
        <x:v>PASS</x:v>
      </x:c>
      <x:c r="G358" t="str">
        <x:v>equals</x:v>
      </x:c>
      <x:c r="H358" t="str">
        <x:f>IF(E358=F358,"PASS","FAIL")</x:f>
        <x:v>PASS</x:v>
      </x:c>
    </x:row>
    <x:row r="359">
      <x:c r="B359" t="str">
        <x:v>A-00313</x:v>
      </x:c>
      <x:c r="C359" t="str">
        <x:v>GATE</x:v>
      </x:c>
      <x:c r="D359" t="str">
        <x:v>release state mirrors governing ledger</x:v>
      </x:c>
      <x:c r="E359" t="str">
        <x:f>'Release Gates'!I319</x:f>
        <x:v>PASS</x:v>
      </x:c>
      <x:c r="F359" t="str">
        <x:f>IF('Release Gates'!C319="PLANNING","PASS",IF('Release Gates'!C319="PHYSICAL","OPEN","BLOCKED"))</x:f>
        <x:v>PASS</x:v>
      </x:c>
      <x:c r="G359" t="str">
        <x:v>equals</x:v>
      </x:c>
      <x:c r="H359" t="str">
        <x:f>IF(E359=F359,"PASS","FAIL")</x:f>
        <x:v>PASS</x:v>
      </x:c>
    </x:row>
    <x:row r="360">
      <x:c r="B360" t="str">
        <x:v>A-00314</x:v>
      </x:c>
      <x:c r="C360" t="str">
        <x:v>GATE</x:v>
      </x:c>
      <x:c r="D360" t="str">
        <x:v>release state mirrors governing ledger</x:v>
      </x:c>
      <x:c r="E360" t="str">
        <x:f>'Release Gates'!I320</x:f>
        <x:v>PASS</x:v>
      </x:c>
      <x:c r="F360" t="str">
        <x:f>IF('Release Gates'!C320="PLANNING","PASS",IF('Release Gates'!C320="PHYSICAL","OPEN","BLOCKED"))</x:f>
        <x:v>PASS</x:v>
      </x:c>
      <x:c r="G360" t="str">
        <x:v>equals</x:v>
      </x:c>
      <x:c r="H360" t="str">
        <x:f>IF(E360=F360,"PASS","FAIL")</x:f>
        <x:v>PASS</x:v>
      </x:c>
    </x:row>
    <x:row r="361">
      <x:c r="B361" t="str">
        <x:v>A-00315</x:v>
      </x:c>
      <x:c r="C361" t="str">
        <x:v>GATE</x:v>
      </x:c>
      <x:c r="D361" t="str">
        <x:v>release state mirrors governing ledger</x:v>
      </x:c>
      <x:c r="E361" t="str">
        <x:f>'Release Gates'!I321</x:f>
        <x:v>PASS</x:v>
      </x:c>
      <x:c r="F361" t="str">
        <x:f>IF('Release Gates'!C321="PLANNING","PASS",IF('Release Gates'!C321="PHYSICAL","OPEN","BLOCKED"))</x:f>
        <x:v>PASS</x:v>
      </x:c>
      <x:c r="G361" t="str">
        <x:v>equals</x:v>
      </x:c>
      <x:c r="H361" t="str">
        <x:f>IF(E361=F361,"PASS","FAIL")</x:f>
        <x:v>PASS</x:v>
      </x:c>
    </x:row>
    <x:row r="362">
      <x:c r="B362" t="str">
        <x:v>A-00316</x:v>
      </x:c>
      <x:c r="C362" t="str">
        <x:v>GATE</x:v>
      </x:c>
      <x:c r="D362" t="str">
        <x:v>release state mirrors governing ledger</x:v>
      </x:c>
      <x:c r="E362" t="str">
        <x:f>'Release Gates'!I322</x:f>
        <x:v>PASS</x:v>
      </x:c>
      <x:c r="F362" t="str">
        <x:f>IF('Release Gates'!C322="PLANNING","PASS",IF('Release Gates'!C322="PHYSICAL","OPEN","BLOCKED"))</x:f>
        <x:v>PASS</x:v>
      </x:c>
      <x:c r="G362" t="str">
        <x:v>equals</x:v>
      </x:c>
      <x:c r="H362" t="str">
        <x:f>IF(E362=F362,"PASS","FAIL")</x:f>
        <x:v>PASS</x:v>
      </x:c>
    </x:row>
    <x:row r="363">
      <x:c r="B363" t="str">
        <x:v>A-00317</x:v>
      </x:c>
      <x:c r="C363" t="str">
        <x:v>GATE</x:v>
      </x:c>
      <x:c r="D363" t="str">
        <x:v>release state mirrors governing ledger</x:v>
      </x:c>
      <x:c r="E363" t="str">
        <x:f>'Release Gates'!I323</x:f>
        <x:v>PASS</x:v>
      </x:c>
      <x:c r="F363" t="str">
        <x:f>IF('Release Gates'!C323="PLANNING","PASS",IF('Release Gates'!C323="PHYSICAL","OPEN","BLOCKED"))</x:f>
        <x:v>PASS</x:v>
      </x:c>
      <x:c r="G363" t="str">
        <x:v>equals</x:v>
      </x:c>
      <x:c r="H363" t="str">
        <x:f>IF(E363=F363,"PASS","FAIL")</x:f>
        <x:v>PASS</x:v>
      </x:c>
    </x:row>
    <x:row r="364">
      <x:c r="B364" t="str">
        <x:v>A-00318</x:v>
      </x:c>
      <x:c r="C364" t="str">
        <x:v>GATE</x:v>
      </x:c>
      <x:c r="D364" t="str">
        <x:v>release state mirrors governing ledger</x:v>
      </x:c>
      <x:c r="E364" t="str">
        <x:f>'Release Gates'!I324</x:f>
        <x:v>PASS</x:v>
      </x:c>
      <x:c r="F364" t="str">
        <x:f>IF('Release Gates'!C324="PLANNING","PASS",IF('Release Gates'!C324="PHYSICAL","OPEN","BLOCKED"))</x:f>
        <x:v>PASS</x:v>
      </x:c>
      <x:c r="G364" t="str">
        <x:v>equals</x:v>
      </x:c>
      <x:c r="H364" t="str">
        <x:f>IF(E364=F364,"PASS","FAIL")</x:f>
        <x:v>PASS</x:v>
      </x:c>
    </x:row>
    <x:row r="365">
      <x:c r="B365" t="str">
        <x:v>A-00319</x:v>
      </x:c>
      <x:c r="C365" t="str">
        <x:v>GATE</x:v>
      </x:c>
      <x:c r="D365" t="str">
        <x:v>release state mirrors governing ledger</x:v>
      </x:c>
      <x:c r="E365" t="str">
        <x:f>'Release Gates'!I325</x:f>
        <x:v>PASS</x:v>
      </x:c>
      <x:c r="F365" t="str">
        <x:f>IF('Release Gates'!C325="PLANNING","PASS",IF('Release Gates'!C325="PHYSICAL","OPEN","BLOCKED"))</x:f>
        <x:v>PASS</x:v>
      </x:c>
      <x:c r="G365" t="str">
        <x:v>equals</x:v>
      </x:c>
      <x:c r="H365" t="str">
        <x:f>IF(E365=F365,"PASS","FAIL")</x:f>
        <x:v>PASS</x:v>
      </x:c>
    </x:row>
    <x:row r="366">
      <x:c r="B366" t="str">
        <x:v>A-00320</x:v>
      </x:c>
      <x:c r="C366" t="str">
        <x:v>GATE</x:v>
      </x:c>
      <x:c r="D366" t="str">
        <x:v>release state mirrors governing ledger</x:v>
      </x:c>
      <x:c r="E366" t="str">
        <x:f>'Release Gates'!I326</x:f>
        <x:v>PASS</x:v>
      </x:c>
      <x:c r="F366" t="str">
        <x:f>IF('Release Gates'!C326="PLANNING","PASS",IF('Release Gates'!C326="PHYSICAL","OPEN","BLOCKED"))</x:f>
        <x:v>PASS</x:v>
      </x:c>
      <x:c r="G366" t="str">
        <x:v>equals</x:v>
      </x:c>
      <x:c r="H366" t="str">
        <x:f>IF(E366=F366,"PASS","FAIL")</x:f>
        <x:v>PASS</x:v>
      </x:c>
    </x:row>
    <x:row r="367">
      <x:c r="B367" t="str">
        <x:v>A-00321</x:v>
      </x:c>
      <x:c r="C367" t="str">
        <x:v>GATE</x:v>
      </x:c>
      <x:c r="D367" t="str">
        <x:v>release state mirrors governing ledger</x:v>
      </x:c>
      <x:c r="E367" t="str">
        <x:f>'Release Gates'!I327</x:f>
        <x:v>PASS</x:v>
      </x:c>
      <x:c r="F367" t="str">
        <x:f>IF('Release Gates'!C327="PLANNING","PASS",IF('Release Gates'!C327="PHYSICAL","OPEN","BLOCKED"))</x:f>
        <x:v>PASS</x:v>
      </x:c>
      <x:c r="G367" t="str">
        <x:v>equals</x:v>
      </x:c>
      <x:c r="H367" t="str">
        <x:f>IF(E367=F367,"PASS","FAIL")</x:f>
        <x:v>PASS</x:v>
      </x:c>
    </x:row>
    <x:row r="368">
      <x:c r="B368" t="str">
        <x:v>A-00322</x:v>
      </x:c>
      <x:c r="C368" t="str">
        <x:v>GATE</x:v>
      </x:c>
      <x:c r="D368" t="str">
        <x:v>release state mirrors governing ledger</x:v>
      </x:c>
      <x:c r="E368" t="str">
        <x:f>'Release Gates'!I328</x:f>
        <x:v>PASS</x:v>
      </x:c>
      <x:c r="F368" t="str">
        <x:f>IF('Release Gates'!C328="PLANNING","PASS",IF('Release Gates'!C328="PHYSICAL","OPEN","BLOCKED"))</x:f>
        <x:v>PASS</x:v>
      </x:c>
      <x:c r="G368" t="str">
        <x:v>equals</x:v>
      </x:c>
      <x:c r="H368" t="str">
        <x:f>IF(E368=F368,"PASS","FAIL")</x:f>
        <x:v>PASS</x:v>
      </x:c>
    </x:row>
    <x:row r="369">
      <x:c r="B369" t="str">
        <x:v>A-00323</x:v>
      </x:c>
      <x:c r="C369" t="str">
        <x:v>GATE</x:v>
      </x:c>
      <x:c r="D369" t="str">
        <x:v>release state mirrors governing ledger</x:v>
      </x:c>
      <x:c r="E369" t="str">
        <x:f>'Release Gates'!I329</x:f>
        <x:v>PASS</x:v>
      </x:c>
      <x:c r="F369" t="str">
        <x:f>IF('Release Gates'!C329="PLANNING","PASS",IF('Release Gates'!C329="PHYSICAL","OPEN","BLOCKED"))</x:f>
        <x:v>PASS</x:v>
      </x:c>
      <x:c r="G369" t="str">
        <x:v>equals</x:v>
      </x:c>
      <x:c r="H369" t="str">
        <x:f>IF(E369=F369,"PASS","FAIL")</x:f>
        <x:v>PASS</x:v>
      </x:c>
    </x:row>
    <x:row r="370">
      <x:c r="B370" t="str">
        <x:v>A-00324</x:v>
      </x:c>
      <x:c r="C370" t="str">
        <x:v>GATE</x:v>
      </x:c>
      <x:c r="D370" t="str">
        <x:v>release state mirrors governing ledger</x:v>
      </x:c>
      <x:c r="E370" t="str">
        <x:f>'Release Gates'!I330</x:f>
        <x:v>PASS</x:v>
      </x:c>
      <x:c r="F370" t="str">
        <x:f>IF('Release Gates'!C330="PLANNING","PASS",IF('Release Gates'!C330="PHYSICAL","OPEN","BLOCKED"))</x:f>
        <x:v>PASS</x:v>
      </x:c>
      <x:c r="G370" t="str">
        <x:v>equals</x:v>
      </x:c>
      <x:c r="H370" t="str">
        <x:f>IF(E370=F370,"PASS","FAIL")</x:f>
        <x:v>PASS</x:v>
      </x:c>
    </x:row>
    <x:row r="371">
      <x:c r="B371" t="str">
        <x:v>A-00325</x:v>
      </x:c>
      <x:c r="C371" t="str">
        <x:v>GATE</x:v>
      </x:c>
      <x:c r="D371" t="str">
        <x:v>release state mirrors governing ledger</x:v>
      </x:c>
      <x:c r="E371" t="str">
        <x:f>'Release Gates'!I331</x:f>
        <x:v>PASS</x:v>
      </x:c>
      <x:c r="F371" t="str">
        <x:f>IF('Release Gates'!C331="PLANNING","PASS",IF('Release Gates'!C331="PHYSICAL","OPEN","BLOCKED"))</x:f>
        <x:v>PASS</x:v>
      </x:c>
      <x:c r="G371" t="str">
        <x:v>equals</x:v>
      </x:c>
      <x:c r="H371" t="str">
        <x:f>IF(E371=F371,"PASS","FAIL")</x:f>
        <x:v>PASS</x:v>
      </x:c>
    </x:row>
    <x:row r="372">
      <x:c r="B372" t="str">
        <x:v>A-00326</x:v>
      </x:c>
      <x:c r="C372" t="str">
        <x:v>GATE</x:v>
      </x:c>
      <x:c r="D372" t="str">
        <x:v>release state mirrors governing ledger</x:v>
      </x:c>
      <x:c r="E372" t="str">
        <x:f>'Release Gates'!I332</x:f>
        <x:v>PASS</x:v>
      </x:c>
      <x:c r="F372" t="str">
        <x:f>IF('Release Gates'!C332="PLANNING","PASS",IF('Release Gates'!C332="PHYSICAL","OPEN","BLOCKED"))</x:f>
        <x:v>PASS</x:v>
      </x:c>
      <x:c r="G372" t="str">
        <x:v>equals</x:v>
      </x:c>
      <x:c r="H372" t="str">
        <x:f>IF(E372=F372,"PASS","FAIL")</x:f>
        <x:v>PASS</x:v>
      </x:c>
    </x:row>
    <x:row r="373">
      <x:c r="B373" t="str">
        <x:v>A-00327</x:v>
      </x:c>
      <x:c r="C373" t="str">
        <x:v>GATE</x:v>
      </x:c>
      <x:c r="D373" t="str">
        <x:v>release state mirrors governing ledger</x:v>
      </x:c>
      <x:c r="E373" t="str">
        <x:f>'Release Gates'!I333</x:f>
        <x:v>PASS</x:v>
      </x:c>
      <x:c r="F373" t="str">
        <x:f>IF('Release Gates'!C333="PLANNING","PASS",IF('Release Gates'!C333="PHYSICAL","OPEN","BLOCKED"))</x:f>
        <x:v>PASS</x:v>
      </x:c>
      <x:c r="G373" t="str">
        <x:v>equals</x:v>
      </x:c>
      <x:c r="H373" t="str">
        <x:f>IF(E373=F373,"PASS","FAIL")</x:f>
        <x:v>PASS</x:v>
      </x:c>
    </x:row>
    <x:row r="374">
      <x:c r="B374" t="str">
        <x:v>A-00328</x:v>
      </x:c>
      <x:c r="C374" t="str">
        <x:v>GATE</x:v>
      </x:c>
      <x:c r="D374" t="str">
        <x:v>release state mirrors governing ledger</x:v>
      </x:c>
      <x:c r="E374" t="str">
        <x:f>'Release Gates'!I334</x:f>
        <x:v>PASS</x:v>
      </x:c>
      <x:c r="F374" t="str">
        <x:f>IF('Release Gates'!C334="PLANNING","PASS",IF('Release Gates'!C334="PHYSICAL","OPEN","BLOCKED"))</x:f>
        <x:v>PASS</x:v>
      </x:c>
      <x:c r="G374" t="str">
        <x:v>equals</x:v>
      </x:c>
      <x:c r="H374" t="str">
        <x:f>IF(E374=F374,"PASS","FAIL")</x:f>
        <x:v>PASS</x:v>
      </x:c>
    </x:row>
    <x:row r="375">
      <x:c r="B375" t="str">
        <x:v>A-00329</x:v>
      </x:c>
      <x:c r="C375" t="str">
        <x:v>GATE</x:v>
      </x:c>
      <x:c r="D375" t="str">
        <x:v>release state mirrors governing ledger</x:v>
      </x:c>
      <x:c r="E375" t="str">
        <x:f>'Release Gates'!I335</x:f>
        <x:v>PASS</x:v>
      </x:c>
      <x:c r="F375" t="str">
        <x:f>IF('Release Gates'!C335="PLANNING","PASS",IF('Release Gates'!C335="PHYSICAL","OPEN","BLOCKED"))</x:f>
        <x:v>PASS</x:v>
      </x:c>
      <x:c r="G375" t="str">
        <x:v>equals</x:v>
      </x:c>
      <x:c r="H375" t="str">
        <x:f>IF(E375=F375,"PASS","FAIL")</x:f>
        <x:v>PASS</x:v>
      </x:c>
    </x:row>
    <x:row r="376">
      <x:c r="B376" t="str">
        <x:v>A-00330</x:v>
      </x:c>
      <x:c r="C376" t="str">
        <x:v>GATE</x:v>
      </x:c>
      <x:c r="D376" t="str">
        <x:v>release state mirrors governing ledger</x:v>
      </x:c>
      <x:c r="E376" t="str">
        <x:f>'Release Gates'!I336</x:f>
        <x:v>PASS</x:v>
      </x:c>
      <x:c r="F376" t="str">
        <x:f>IF('Release Gates'!C336="PLANNING","PASS",IF('Release Gates'!C336="PHYSICAL","OPEN","BLOCKED"))</x:f>
        <x:v>PASS</x:v>
      </x:c>
      <x:c r="G376" t="str">
        <x:v>equals</x:v>
      </x:c>
      <x:c r="H376" t="str">
        <x:f>IF(E376=F376,"PASS","FAIL")</x:f>
        <x:v>PASS</x:v>
      </x:c>
    </x:row>
    <x:row r="377">
      <x:c r="B377" t="str">
        <x:v>A-00331</x:v>
      </x:c>
      <x:c r="C377" t="str">
        <x:v>GATE</x:v>
      </x:c>
      <x:c r="D377" t="str">
        <x:v>release state mirrors governing ledger</x:v>
      </x:c>
      <x:c r="E377" t="str">
        <x:f>'Release Gates'!I337</x:f>
        <x:v>PASS</x:v>
      </x:c>
      <x:c r="F377" t="str">
        <x:f>IF('Release Gates'!C337="PLANNING","PASS",IF('Release Gates'!C337="PHYSICAL","OPEN","BLOCKED"))</x:f>
        <x:v>PASS</x:v>
      </x:c>
      <x:c r="G377" t="str">
        <x:v>equals</x:v>
      </x:c>
      <x:c r="H377" t="str">
        <x:f>IF(E377=F377,"PASS","FAIL")</x:f>
        <x:v>PASS</x:v>
      </x:c>
    </x:row>
    <x:row r="378">
      <x:c r="B378" t="str">
        <x:v>A-00332</x:v>
      </x:c>
      <x:c r="C378" t="str">
        <x:v>GATE</x:v>
      </x:c>
      <x:c r="D378" t="str">
        <x:v>release state mirrors governing ledger</x:v>
      </x:c>
      <x:c r="E378" t="str">
        <x:f>'Release Gates'!I338</x:f>
        <x:v>PASS</x:v>
      </x:c>
      <x:c r="F378" t="str">
        <x:f>IF('Release Gates'!C338="PLANNING","PASS",IF('Release Gates'!C338="PHYSICAL","OPEN","BLOCKED"))</x:f>
        <x:v>PASS</x:v>
      </x:c>
      <x:c r="G378" t="str">
        <x:v>equals</x:v>
      </x:c>
      <x:c r="H378" t="str">
        <x:f>IF(E378=F378,"PASS","FAIL")</x:f>
        <x:v>PASS</x:v>
      </x:c>
    </x:row>
    <x:row r="379">
      <x:c r="B379" t="str">
        <x:v>A-00333</x:v>
      </x:c>
      <x:c r="C379" t="str">
        <x:v>GATE</x:v>
      </x:c>
      <x:c r="D379" t="str">
        <x:v>release state mirrors governing ledger</x:v>
      </x:c>
      <x:c r="E379" t="str">
        <x:f>'Release Gates'!I339</x:f>
        <x:v>PASS</x:v>
      </x:c>
      <x:c r="F379" t="str">
        <x:f>IF('Release Gates'!C339="PLANNING","PASS",IF('Release Gates'!C339="PHYSICAL","OPEN","BLOCKED"))</x:f>
        <x:v>PASS</x:v>
      </x:c>
      <x:c r="G379" t="str">
        <x:v>equals</x:v>
      </x:c>
      <x:c r="H379" t="str">
        <x:f>IF(E379=F379,"PASS","FAIL")</x:f>
        <x:v>PASS</x:v>
      </x:c>
    </x:row>
    <x:row r="380">
      <x:c r="B380" t="str">
        <x:v>A-00334</x:v>
      </x:c>
      <x:c r="C380" t="str">
        <x:v>GATE</x:v>
      </x:c>
      <x:c r="D380" t="str">
        <x:v>release state mirrors governing ledger</x:v>
      </x:c>
      <x:c r="E380" t="str">
        <x:f>'Release Gates'!I340</x:f>
        <x:v>PASS</x:v>
      </x:c>
      <x:c r="F380" t="str">
        <x:f>IF('Release Gates'!C340="PLANNING","PASS",IF('Release Gates'!C340="PHYSICAL","OPEN","BLOCKED"))</x:f>
        <x:v>PASS</x:v>
      </x:c>
      <x:c r="G380" t="str">
        <x:v>equals</x:v>
      </x:c>
      <x:c r="H380" t="str">
        <x:f>IF(E380=F380,"PASS","FAIL")</x:f>
        <x:v>PASS</x:v>
      </x:c>
    </x:row>
    <x:row r="381">
      <x:c r="B381" t="str">
        <x:v>A-00335</x:v>
      </x:c>
      <x:c r="C381" t="str">
        <x:v>GATE</x:v>
      </x:c>
      <x:c r="D381" t="str">
        <x:v>release state mirrors governing ledger</x:v>
      </x:c>
      <x:c r="E381" t="str">
        <x:f>'Release Gates'!I341</x:f>
        <x:v>PASS</x:v>
      </x:c>
      <x:c r="F381" t="str">
        <x:f>IF('Release Gates'!C341="PLANNING","PASS",IF('Release Gates'!C341="PHYSICAL","OPEN","BLOCKED"))</x:f>
        <x:v>PASS</x:v>
      </x:c>
      <x:c r="G381" t="str">
        <x:v>equals</x:v>
      </x:c>
      <x:c r="H381" t="str">
        <x:f>IF(E381=F381,"PASS","FAIL")</x:f>
        <x:v>PASS</x:v>
      </x:c>
    </x:row>
    <x:row r="382">
      <x:c r="B382" t="str">
        <x:v>A-00336</x:v>
      </x:c>
      <x:c r="C382" t="str">
        <x:v>GATE</x:v>
      </x:c>
      <x:c r="D382" t="str">
        <x:v>release state mirrors governing ledger</x:v>
      </x:c>
      <x:c r="E382" t="str">
        <x:f>'Release Gates'!I342</x:f>
        <x:v>PASS</x:v>
      </x:c>
      <x:c r="F382" t="str">
        <x:f>IF('Release Gates'!C342="PLANNING","PASS",IF('Release Gates'!C342="PHYSICAL","OPEN","BLOCKED"))</x:f>
        <x:v>PASS</x:v>
      </x:c>
      <x:c r="G382" t="str">
        <x:v>equals</x:v>
      </x:c>
      <x:c r="H382" t="str">
        <x:f>IF(E382=F382,"PASS","FAIL")</x:f>
        <x:v>PASS</x:v>
      </x:c>
    </x:row>
    <x:row r="383">
      <x:c r="B383" t="str">
        <x:v>A-00337</x:v>
      </x:c>
      <x:c r="C383" t="str">
        <x:v>GATE</x:v>
      </x:c>
      <x:c r="D383" t="str">
        <x:v>release state mirrors governing ledger</x:v>
      </x:c>
      <x:c r="E383" t="str">
        <x:f>'Release Gates'!I343</x:f>
        <x:v>PASS</x:v>
      </x:c>
      <x:c r="F383" t="str">
        <x:f>IF('Release Gates'!C343="PLANNING","PASS",IF('Release Gates'!C343="PHYSICAL","OPEN","BLOCKED"))</x:f>
        <x:v>PASS</x:v>
      </x:c>
      <x:c r="G383" t="str">
        <x:v>equals</x:v>
      </x:c>
      <x:c r="H383" t="str">
        <x:f>IF(E383=F383,"PASS","FAIL")</x:f>
        <x:v>PASS</x:v>
      </x:c>
    </x:row>
    <x:row r="384">
      <x:c r="B384" t="str">
        <x:v>A-00338</x:v>
      </x:c>
      <x:c r="C384" t="str">
        <x:v>GATE</x:v>
      </x:c>
      <x:c r="D384" t="str">
        <x:v>release state mirrors governing ledger</x:v>
      </x:c>
      <x:c r="E384" t="str">
        <x:f>'Release Gates'!I344</x:f>
        <x:v>PASS</x:v>
      </x:c>
      <x:c r="F384" t="str">
        <x:f>IF('Release Gates'!C344="PLANNING","PASS",IF('Release Gates'!C344="PHYSICAL","OPEN","BLOCKED"))</x:f>
        <x:v>PASS</x:v>
      </x:c>
      <x:c r="G384" t="str">
        <x:v>equals</x:v>
      </x:c>
      <x:c r="H384" t="str">
        <x:f>IF(E384=F384,"PASS","FAIL")</x:f>
        <x:v>PASS</x:v>
      </x:c>
    </x:row>
    <x:row r="385">
      <x:c r="B385" t="str">
        <x:v>A-00339</x:v>
      </x:c>
      <x:c r="C385" t="str">
        <x:v>GATE</x:v>
      </x:c>
      <x:c r="D385" t="str">
        <x:v>release state mirrors governing ledger</x:v>
      </x:c>
      <x:c r="E385" t="str">
        <x:f>'Release Gates'!I345</x:f>
        <x:v>PASS</x:v>
      </x:c>
      <x:c r="F385" t="str">
        <x:f>IF('Release Gates'!C345="PLANNING","PASS",IF('Release Gates'!C345="PHYSICAL","OPEN","BLOCKED"))</x:f>
        <x:v>PASS</x:v>
      </x:c>
      <x:c r="G385" t="str">
        <x:v>equals</x:v>
      </x:c>
      <x:c r="H385" t="str">
        <x:f>IF(E385=F385,"PASS","FAIL")</x:f>
        <x:v>PASS</x:v>
      </x:c>
    </x:row>
    <x:row r="386">
      <x:c r="B386" t="str">
        <x:v>A-00340</x:v>
      </x:c>
      <x:c r="C386" t="str">
        <x:v>GATE</x:v>
      </x:c>
      <x:c r="D386" t="str">
        <x:v>release state mirrors governing ledger</x:v>
      </x:c>
      <x:c r="E386" t="str">
        <x:f>'Release Gates'!I346</x:f>
        <x:v>PASS</x:v>
      </x:c>
      <x:c r="F386" t="str">
        <x:f>IF('Release Gates'!C346="PLANNING","PASS",IF('Release Gates'!C346="PHYSICAL","OPEN","BLOCKED"))</x:f>
        <x:v>PASS</x:v>
      </x:c>
      <x:c r="G386" t="str">
        <x:v>equals</x:v>
      </x:c>
      <x:c r="H386" t="str">
        <x:f>IF(E386=F386,"PASS","FAIL")</x:f>
        <x:v>PASS</x:v>
      </x:c>
    </x:row>
    <x:row r="387">
      <x:c r="B387" t="str">
        <x:v>A-00341</x:v>
      </x:c>
      <x:c r="C387" t="str">
        <x:v>GATE</x:v>
      </x:c>
      <x:c r="D387" t="str">
        <x:v>release state mirrors governing ledger</x:v>
      </x:c>
      <x:c r="E387" t="str">
        <x:f>'Release Gates'!I347</x:f>
        <x:v>PASS</x:v>
      </x:c>
      <x:c r="F387" t="str">
        <x:f>IF('Release Gates'!C347="PLANNING","PASS",IF('Release Gates'!C347="PHYSICAL","OPEN","BLOCKED"))</x:f>
        <x:v>PASS</x:v>
      </x:c>
      <x:c r="G387" t="str">
        <x:v>equals</x:v>
      </x:c>
      <x:c r="H387" t="str">
        <x:f>IF(E387=F387,"PASS","FAIL")</x:f>
        <x:v>PASS</x:v>
      </x:c>
    </x:row>
    <x:row r="388">
      <x:c r="B388" t="str">
        <x:v>A-00342</x:v>
      </x:c>
      <x:c r="C388" t="str">
        <x:v>GATE</x:v>
      </x:c>
      <x:c r="D388" t="str">
        <x:v>release state mirrors governing ledger</x:v>
      </x:c>
      <x:c r="E388" t="str">
        <x:f>'Release Gates'!I348</x:f>
        <x:v>PASS</x:v>
      </x:c>
      <x:c r="F388" t="str">
        <x:f>IF('Release Gates'!C348="PLANNING","PASS",IF('Release Gates'!C348="PHYSICAL","OPEN","BLOCKED"))</x:f>
        <x:v>PASS</x:v>
      </x:c>
      <x:c r="G388" t="str">
        <x:v>equals</x:v>
      </x:c>
      <x:c r="H388" t="str">
        <x:f>IF(E388=F388,"PASS","FAIL")</x:f>
        <x:v>PASS</x:v>
      </x:c>
    </x:row>
    <x:row r="389">
      <x:c r="B389" t="str">
        <x:v>A-00343</x:v>
      </x:c>
      <x:c r="C389" t="str">
        <x:v>GATE</x:v>
      </x:c>
      <x:c r="D389" t="str">
        <x:v>release state mirrors governing ledger</x:v>
      </x:c>
      <x:c r="E389" t="str">
        <x:f>'Release Gates'!I349</x:f>
        <x:v>PASS</x:v>
      </x:c>
      <x:c r="F389" t="str">
        <x:f>IF('Release Gates'!C349="PLANNING","PASS",IF('Release Gates'!C349="PHYSICAL","OPEN","BLOCKED"))</x:f>
        <x:v>PASS</x:v>
      </x:c>
      <x:c r="G389" t="str">
        <x:v>equals</x:v>
      </x:c>
      <x:c r="H389" t="str">
        <x:f>IF(E389=F389,"PASS","FAIL")</x:f>
        <x:v>PASS</x:v>
      </x:c>
    </x:row>
    <x:row r="390">
      <x:c r="B390" t="str">
        <x:v>A-00344</x:v>
      </x:c>
      <x:c r="C390" t="str">
        <x:v>GATE</x:v>
      </x:c>
      <x:c r="D390" t="str">
        <x:v>release state mirrors governing ledger</x:v>
      </x:c>
      <x:c r="E390" t="str">
        <x:f>'Release Gates'!I350</x:f>
        <x:v>PASS</x:v>
      </x:c>
      <x:c r="F390" t="str">
        <x:f>IF('Release Gates'!C350="PLANNING","PASS",IF('Release Gates'!C350="PHYSICAL","OPEN","BLOCKED"))</x:f>
        <x:v>PASS</x:v>
      </x:c>
      <x:c r="G390" t="str">
        <x:v>equals</x:v>
      </x:c>
      <x:c r="H390" t="str">
        <x:f>IF(E390=F390,"PASS","FAIL")</x:f>
        <x:v>PASS</x:v>
      </x:c>
    </x:row>
    <x:row r="391">
      <x:c r="B391" t="str">
        <x:v>A-00345</x:v>
      </x:c>
      <x:c r="C391" t="str">
        <x:v>GATE</x:v>
      </x:c>
      <x:c r="D391" t="str">
        <x:v>release state mirrors governing ledger</x:v>
      </x:c>
      <x:c r="E391" t="str">
        <x:f>'Release Gates'!I351</x:f>
        <x:v>PASS</x:v>
      </x:c>
      <x:c r="F391" t="str">
        <x:f>IF('Release Gates'!C351="PLANNING","PASS",IF('Release Gates'!C351="PHYSICAL","OPEN","BLOCKED"))</x:f>
        <x:v>PASS</x:v>
      </x:c>
      <x:c r="G391" t="str">
        <x:v>equals</x:v>
      </x:c>
      <x:c r="H391" t="str">
        <x:f>IF(E391=F391,"PASS","FAIL")</x:f>
        <x:v>PASS</x:v>
      </x:c>
    </x:row>
    <x:row r="392">
      <x:c r="B392" t="str">
        <x:v>A-00346</x:v>
      </x:c>
      <x:c r="C392" t="str">
        <x:v>GATE</x:v>
      </x:c>
      <x:c r="D392" t="str">
        <x:v>release state mirrors governing ledger</x:v>
      </x:c>
      <x:c r="E392" t="str">
        <x:f>'Release Gates'!I352</x:f>
        <x:v>PASS</x:v>
      </x:c>
      <x:c r="F392" t="str">
        <x:f>IF('Release Gates'!C352="PLANNING","PASS",IF('Release Gates'!C352="PHYSICAL","OPEN","BLOCKED"))</x:f>
        <x:v>PASS</x:v>
      </x:c>
      <x:c r="G392" t="str">
        <x:v>equals</x:v>
      </x:c>
      <x:c r="H392" t="str">
        <x:f>IF(E392=F392,"PASS","FAIL")</x:f>
        <x:v>PASS</x:v>
      </x:c>
    </x:row>
    <x:row r="393">
      <x:c r="B393" t="str">
        <x:v>A-00347</x:v>
      </x:c>
      <x:c r="C393" t="str">
        <x:v>GATE</x:v>
      </x:c>
      <x:c r="D393" t="str">
        <x:v>release state mirrors governing ledger</x:v>
      </x:c>
      <x:c r="E393" t="str">
        <x:f>'Release Gates'!I353</x:f>
        <x:v>PASS</x:v>
      </x:c>
      <x:c r="F393" t="str">
        <x:f>IF('Release Gates'!C353="PLANNING","PASS",IF('Release Gates'!C353="PHYSICAL","OPEN","BLOCKED"))</x:f>
        <x:v>PASS</x:v>
      </x:c>
      <x:c r="G393" t="str">
        <x:v>equals</x:v>
      </x:c>
      <x:c r="H393" t="str">
        <x:f>IF(E393=F393,"PASS","FAIL")</x:f>
        <x:v>PASS</x:v>
      </x:c>
    </x:row>
    <x:row r="394">
      <x:c r="B394" t="str">
        <x:v>A-00348</x:v>
      </x:c>
      <x:c r="C394" t="str">
        <x:v>GATE</x:v>
      </x:c>
      <x:c r="D394" t="str">
        <x:v>release state mirrors governing ledger</x:v>
      </x:c>
      <x:c r="E394" t="str">
        <x:f>'Release Gates'!I354</x:f>
        <x:v>PASS</x:v>
      </x:c>
      <x:c r="F394" t="str">
        <x:f>IF('Release Gates'!C354="PLANNING","PASS",IF('Release Gates'!C354="PHYSICAL","OPEN","BLOCKED"))</x:f>
        <x:v>PASS</x:v>
      </x:c>
      <x:c r="G394" t="str">
        <x:v>equals</x:v>
      </x:c>
      <x:c r="H394" t="str">
        <x:f>IF(E394=F394,"PASS","FAIL")</x:f>
        <x:v>PASS</x:v>
      </x:c>
    </x:row>
    <x:row r="395">
      <x:c r="B395" t="str">
        <x:v>A-00349</x:v>
      </x:c>
      <x:c r="C395" t="str">
        <x:v>GATE</x:v>
      </x:c>
      <x:c r="D395" t="str">
        <x:v>release state mirrors governing ledger</x:v>
      </x:c>
      <x:c r="E395" t="str">
        <x:f>'Release Gates'!I355</x:f>
        <x:v>PASS</x:v>
      </x:c>
      <x:c r="F395" t="str">
        <x:f>IF('Release Gates'!C355="PLANNING","PASS",IF('Release Gates'!C355="PHYSICAL","OPEN","BLOCKED"))</x:f>
        <x:v>PASS</x:v>
      </x:c>
      <x:c r="G395" t="str">
        <x:v>equals</x:v>
      </x:c>
      <x:c r="H395" t="str">
        <x:f>IF(E395=F395,"PASS","FAIL")</x:f>
        <x:v>PASS</x:v>
      </x:c>
    </x:row>
    <x:row r="396">
      <x:c r="B396" t="str">
        <x:v>A-00350</x:v>
      </x:c>
      <x:c r="C396" t="str">
        <x:v>GATE</x:v>
      </x:c>
      <x:c r="D396" t="str">
        <x:v>release state mirrors governing ledger</x:v>
      </x:c>
      <x:c r="E396" t="str">
        <x:f>'Release Gates'!I356</x:f>
        <x:v>PASS</x:v>
      </x:c>
      <x:c r="F396" t="str">
        <x:f>IF('Release Gates'!C356="PLANNING","PASS",IF('Release Gates'!C356="PHYSICAL","OPEN","BLOCKED"))</x:f>
        <x:v>PASS</x:v>
      </x:c>
      <x:c r="G396" t="str">
        <x:v>equals</x:v>
      </x:c>
      <x:c r="H396" t="str">
        <x:f>IF(E396=F396,"PASS","FAIL")</x:f>
        <x:v>PASS</x:v>
      </x:c>
    </x:row>
    <x:row r="397">
      <x:c r="B397" t="str">
        <x:v>A-00351</x:v>
      </x:c>
      <x:c r="C397" t="str">
        <x:v>GATE</x:v>
      </x:c>
      <x:c r="D397" t="str">
        <x:v>release state mirrors governing ledger</x:v>
      </x:c>
      <x:c r="E397" t="str">
        <x:f>'Release Gates'!I357</x:f>
        <x:v>PASS</x:v>
      </x:c>
      <x:c r="F397" t="str">
        <x:f>IF('Release Gates'!C357="PLANNING","PASS",IF('Release Gates'!C357="PHYSICAL","OPEN","BLOCKED"))</x:f>
        <x:v>PASS</x:v>
      </x:c>
      <x:c r="G397" t="str">
        <x:v>equals</x:v>
      </x:c>
      <x:c r="H397" t="str">
        <x:f>IF(E397=F397,"PASS","FAIL")</x:f>
        <x:v>PASS</x:v>
      </x:c>
    </x:row>
    <x:row r="398">
      <x:c r="B398" t="str">
        <x:v>A-00352</x:v>
      </x:c>
      <x:c r="C398" t="str">
        <x:v>GATE</x:v>
      </x:c>
      <x:c r="D398" t="str">
        <x:v>release state mirrors governing ledger</x:v>
      </x:c>
      <x:c r="E398" t="str">
        <x:f>'Release Gates'!I358</x:f>
        <x:v>PASS</x:v>
      </x:c>
      <x:c r="F398" t="str">
        <x:f>IF('Release Gates'!C358="PLANNING","PASS",IF('Release Gates'!C358="PHYSICAL","OPEN","BLOCKED"))</x:f>
        <x:v>PASS</x:v>
      </x:c>
      <x:c r="G398" t="str">
        <x:v>equals</x:v>
      </x:c>
      <x:c r="H398" t="str">
        <x:f>IF(E398=F398,"PASS","FAIL")</x:f>
        <x:v>PASS</x:v>
      </x:c>
    </x:row>
    <x:row r="399">
      <x:c r="B399" t="str">
        <x:v>A-00353</x:v>
      </x:c>
      <x:c r="C399" t="str">
        <x:v>GATE</x:v>
      </x:c>
      <x:c r="D399" t="str">
        <x:v>release state mirrors governing ledger</x:v>
      </x:c>
      <x:c r="E399" t="str">
        <x:f>'Release Gates'!I359</x:f>
        <x:v>PASS</x:v>
      </x:c>
      <x:c r="F399" t="str">
        <x:f>IF('Release Gates'!C359="PLANNING","PASS",IF('Release Gates'!C359="PHYSICAL","OPEN","BLOCKED"))</x:f>
        <x:v>PASS</x:v>
      </x:c>
      <x:c r="G399" t="str">
        <x:v>equals</x:v>
      </x:c>
      <x:c r="H399" t="str">
        <x:f>IF(E399=F399,"PASS","FAIL")</x:f>
        <x:v>PASS</x:v>
      </x:c>
    </x:row>
    <x:row r="400">
      <x:c r="B400" t="str">
        <x:v>A-00354</x:v>
      </x:c>
      <x:c r="C400" t="str">
        <x:v>GATE</x:v>
      </x:c>
      <x:c r="D400" t="str">
        <x:v>release state mirrors governing ledger</x:v>
      </x:c>
      <x:c r="E400" t="str">
        <x:f>'Release Gates'!I360</x:f>
        <x:v>PASS</x:v>
      </x:c>
      <x:c r="F400" t="str">
        <x:f>IF('Release Gates'!C360="PLANNING","PASS",IF('Release Gates'!C360="PHYSICAL","OPEN","BLOCKED"))</x:f>
        <x:v>PASS</x:v>
      </x:c>
      <x:c r="G400" t="str">
        <x:v>equals</x:v>
      </x:c>
      <x:c r="H400" t="str">
        <x:f>IF(E400=F400,"PASS","FAIL")</x:f>
        <x:v>PASS</x:v>
      </x:c>
    </x:row>
    <x:row r="401">
      <x:c r="B401" t="str">
        <x:v>A-00355</x:v>
      </x:c>
      <x:c r="C401" t="str">
        <x:v>GATE</x:v>
      </x:c>
      <x:c r="D401" t="str">
        <x:v>release state mirrors governing ledger</x:v>
      </x:c>
      <x:c r="E401" t="str">
        <x:f>'Release Gates'!I361</x:f>
        <x:v>PASS</x:v>
      </x:c>
      <x:c r="F401" t="str">
        <x:f>IF('Release Gates'!C361="PLANNING","PASS",IF('Release Gates'!C361="PHYSICAL","OPEN","BLOCKED"))</x:f>
        <x:v>PASS</x:v>
      </x:c>
      <x:c r="G401" t="str">
        <x:v>equals</x:v>
      </x:c>
      <x:c r="H401" t="str">
        <x:f>IF(E401=F401,"PASS","FAIL")</x:f>
        <x:v>PASS</x:v>
      </x:c>
    </x:row>
    <x:row r="402">
      <x:c r="B402" t="str">
        <x:v>A-00356</x:v>
      </x:c>
      <x:c r="C402" t="str">
        <x:v>GATE</x:v>
      </x:c>
      <x:c r="D402" t="str">
        <x:v>release state mirrors governing ledger</x:v>
      </x:c>
      <x:c r="E402" t="str">
        <x:f>'Release Gates'!I362</x:f>
        <x:v>PASS</x:v>
      </x:c>
      <x:c r="F402" t="str">
        <x:f>IF('Release Gates'!C362="PLANNING","PASS",IF('Release Gates'!C362="PHYSICAL","OPEN","BLOCKED"))</x:f>
        <x:v>PASS</x:v>
      </x:c>
      <x:c r="G402" t="str">
        <x:v>equals</x:v>
      </x:c>
      <x:c r="H402" t="str">
        <x:f>IF(E402=F402,"PASS","FAIL")</x:f>
        <x:v>PASS</x:v>
      </x:c>
    </x:row>
    <x:row r="403">
      <x:c r="B403" t="str">
        <x:v>A-00357</x:v>
      </x:c>
      <x:c r="C403" t="str">
        <x:v>GATE</x:v>
      </x:c>
      <x:c r="D403" t="str">
        <x:v>release state mirrors governing ledger</x:v>
      </x:c>
      <x:c r="E403" t="str">
        <x:f>'Release Gates'!I363</x:f>
        <x:v>PASS</x:v>
      </x:c>
      <x:c r="F403" t="str">
        <x:f>IF('Release Gates'!C363="PLANNING","PASS",IF('Release Gates'!C363="PHYSICAL","OPEN","BLOCKED"))</x:f>
        <x:v>PASS</x:v>
      </x:c>
      <x:c r="G403" t="str">
        <x:v>equals</x:v>
      </x:c>
      <x:c r="H403" t="str">
        <x:f>IF(E403=F403,"PASS","FAIL")</x:f>
        <x:v>PASS</x:v>
      </x:c>
    </x:row>
    <x:row r="404">
      <x:c r="B404" t="str">
        <x:v>A-00358</x:v>
      </x:c>
      <x:c r="C404" t="str">
        <x:v>GATE</x:v>
      </x:c>
      <x:c r="D404" t="str">
        <x:v>release state mirrors governing ledger</x:v>
      </x:c>
      <x:c r="E404" t="str">
        <x:f>'Release Gates'!I364</x:f>
        <x:v>PASS</x:v>
      </x:c>
      <x:c r="F404" t="str">
        <x:f>IF('Release Gates'!C364="PLANNING","PASS",IF('Release Gates'!C364="PHYSICAL","OPEN","BLOCKED"))</x:f>
        <x:v>PASS</x:v>
      </x:c>
      <x:c r="G404" t="str">
        <x:v>equals</x:v>
      </x:c>
      <x:c r="H404" t="str">
        <x:f>IF(E404=F404,"PASS","FAIL")</x:f>
        <x:v>PASS</x:v>
      </x:c>
    </x:row>
    <x:row r="405">
      <x:c r="B405" t="str">
        <x:v>A-00359</x:v>
      </x:c>
      <x:c r="C405" t="str">
        <x:v>GATE</x:v>
      </x:c>
      <x:c r="D405" t="str">
        <x:v>release state mirrors governing ledger</x:v>
      </x:c>
      <x:c r="E405" t="str">
        <x:f>'Release Gates'!I365</x:f>
        <x:v>PASS</x:v>
      </x:c>
      <x:c r="F405" t="str">
        <x:f>IF('Release Gates'!C365="PLANNING","PASS",IF('Release Gates'!C365="PHYSICAL","OPEN","BLOCKED"))</x:f>
        <x:v>PASS</x:v>
      </x:c>
      <x:c r="G405" t="str">
        <x:v>equals</x:v>
      </x:c>
      <x:c r="H405" t="str">
        <x:f>IF(E405=F405,"PASS","FAIL")</x:f>
        <x:v>PASS</x:v>
      </x:c>
    </x:row>
    <x:row r="406">
      <x:c r="B406" t="str">
        <x:v>A-00360</x:v>
      </x:c>
      <x:c r="C406" t="str">
        <x:v>GATE</x:v>
      </x:c>
      <x:c r="D406" t="str">
        <x:v>release state mirrors governing ledger</x:v>
      </x:c>
      <x:c r="E406" t="str">
        <x:f>'Release Gates'!I366</x:f>
        <x:v>PASS</x:v>
      </x:c>
      <x:c r="F406" t="str">
        <x:f>IF('Release Gates'!C366="PLANNING","PASS",IF('Release Gates'!C366="PHYSICAL","OPEN","BLOCKED"))</x:f>
        <x:v>PASS</x:v>
      </x:c>
      <x:c r="G406" t="str">
        <x:v>equals</x:v>
      </x:c>
      <x:c r="H406" t="str">
        <x:f>IF(E406=F406,"PASS","FAIL")</x:f>
        <x:v>PASS</x:v>
      </x:c>
    </x:row>
    <x:row r="407">
      <x:c r="B407" t="str">
        <x:v>A-00361</x:v>
      </x:c>
      <x:c r="C407" t="str">
        <x:v>GATE</x:v>
      </x:c>
      <x:c r="D407" t="str">
        <x:v>release state mirrors governing ledger</x:v>
      </x:c>
      <x:c r="E407" t="str">
        <x:f>'Release Gates'!I367</x:f>
        <x:v>PASS</x:v>
      </x:c>
      <x:c r="F407" t="str">
        <x:f>IF('Release Gates'!C367="PLANNING","PASS",IF('Release Gates'!C367="PHYSICAL","OPEN","BLOCKED"))</x:f>
        <x:v>PASS</x:v>
      </x:c>
      <x:c r="G407" t="str">
        <x:v>equals</x:v>
      </x:c>
      <x:c r="H407" t="str">
        <x:f>IF(E407=F407,"PASS","FAIL")</x:f>
        <x:v>PASS</x:v>
      </x:c>
    </x:row>
    <x:row r="408">
      <x:c r="B408" t="str">
        <x:v>A-00362</x:v>
      </x:c>
      <x:c r="C408" t="str">
        <x:v>GATE</x:v>
      </x:c>
      <x:c r="D408" t="str">
        <x:v>release state mirrors governing ledger</x:v>
      </x:c>
      <x:c r="E408" t="str">
        <x:f>'Release Gates'!I368</x:f>
        <x:v>PASS</x:v>
      </x:c>
      <x:c r="F408" t="str">
        <x:f>IF('Release Gates'!C368="PLANNING","PASS",IF('Release Gates'!C368="PHYSICAL","OPEN","BLOCKED"))</x:f>
        <x:v>PASS</x:v>
      </x:c>
      <x:c r="G408" t="str">
        <x:v>equals</x:v>
      </x:c>
      <x:c r="H408" t="str">
        <x:f>IF(E408=F408,"PASS","FAIL")</x:f>
        <x:v>PASS</x:v>
      </x:c>
    </x:row>
    <x:row r="409">
      <x:c r="B409" t="str">
        <x:v>A-00363</x:v>
      </x:c>
      <x:c r="C409" t="str">
        <x:v>GATE</x:v>
      </x:c>
      <x:c r="D409" t="str">
        <x:v>release state mirrors governing ledger</x:v>
      </x:c>
      <x:c r="E409" t="str">
        <x:f>'Release Gates'!I369</x:f>
        <x:v>PASS</x:v>
      </x:c>
      <x:c r="F409" t="str">
        <x:f>IF('Release Gates'!C369="PLANNING","PASS",IF('Release Gates'!C369="PHYSICAL","OPEN","BLOCKED"))</x:f>
        <x:v>PASS</x:v>
      </x:c>
      <x:c r="G409" t="str">
        <x:v>equals</x:v>
      </x:c>
      <x:c r="H409" t="str">
        <x:f>IF(E409=F409,"PASS","FAIL")</x:f>
        <x:v>PASS</x:v>
      </x:c>
    </x:row>
    <x:row r="410">
      <x:c r="B410" t="str">
        <x:v>A-00364</x:v>
      </x:c>
      <x:c r="C410" t="str">
        <x:v>GATE</x:v>
      </x:c>
      <x:c r="D410" t="str">
        <x:v>release state mirrors governing ledger</x:v>
      </x:c>
      <x:c r="E410" t="str">
        <x:f>'Release Gates'!I370</x:f>
        <x:v>PASS</x:v>
      </x:c>
      <x:c r="F410" t="str">
        <x:f>IF('Release Gates'!C370="PLANNING","PASS",IF('Release Gates'!C370="PHYSICAL","OPEN","BLOCKED"))</x:f>
        <x:v>PASS</x:v>
      </x:c>
      <x:c r="G410" t="str">
        <x:v>equals</x:v>
      </x:c>
      <x:c r="H410" t="str">
        <x:f>IF(E410=F410,"PASS","FAIL")</x:f>
        <x:v>PASS</x:v>
      </x:c>
    </x:row>
    <x:row r="411">
      <x:c r="B411" t="str">
        <x:v>A-00365</x:v>
      </x:c>
      <x:c r="C411" t="str">
        <x:v>GATE</x:v>
      </x:c>
      <x:c r="D411" t="str">
        <x:v>release state mirrors governing ledger</x:v>
      </x:c>
      <x:c r="E411" t="str">
        <x:f>'Release Gates'!I371</x:f>
        <x:v>PASS</x:v>
      </x:c>
      <x:c r="F411" t="str">
        <x:f>IF('Release Gates'!C371="PLANNING","PASS",IF('Release Gates'!C371="PHYSICAL","OPEN","BLOCKED"))</x:f>
        <x:v>PASS</x:v>
      </x:c>
      <x:c r="G411" t="str">
        <x:v>equals</x:v>
      </x:c>
      <x:c r="H411" t="str">
        <x:f>IF(E411=F411,"PASS","FAIL")</x:f>
        <x:v>PASS</x:v>
      </x:c>
    </x:row>
    <x:row r="412">
      <x:c r="B412" t="str">
        <x:v>A-00366</x:v>
      </x:c>
      <x:c r="C412" t="str">
        <x:v>GATE</x:v>
      </x:c>
      <x:c r="D412" t="str">
        <x:v>release state mirrors governing ledger</x:v>
      </x:c>
      <x:c r="E412" t="str">
        <x:f>'Release Gates'!I372</x:f>
        <x:v>PASS</x:v>
      </x:c>
      <x:c r="F412" t="str">
        <x:f>IF('Release Gates'!C372="PLANNING","PASS",IF('Release Gates'!C372="PHYSICAL","OPEN","BLOCKED"))</x:f>
        <x:v>PASS</x:v>
      </x:c>
      <x:c r="G412" t="str">
        <x:v>equals</x:v>
      </x:c>
      <x:c r="H412" t="str">
        <x:f>IF(E412=F412,"PASS","FAIL")</x:f>
        <x:v>PASS</x:v>
      </x:c>
    </x:row>
    <x:row r="413">
      <x:c r="B413" t="str">
        <x:v>A-00367</x:v>
      </x:c>
      <x:c r="C413" t="str">
        <x:v>GATE</x:v>
      </x:c>
      <x:c r="D413" t="str">
        <x:v>release state mirrors governing ledger</x:v>
      </x:c>
      <x:c r="E413" t="str">
        <x:f>'Release Gates'!I373</x:f>
        <x:v>PASS</x:v>
      </x:c>
      <x:c r="F413" t="str">
        <x:f>IF('Release Gates'!C373="PLANNING","PASS",IF('Release Gates'!C373="PHYSICAL","OPEN","BLOCKED"))</x:f>
        <x:v>PASS</x:v>
      </x:c>
      <x:c r="G413" t="str">
        <x:v>equals</x:v>
      </x:c>
      <x:c r="H413" t="str">
        <x:f>IF(E413=F413,"PASS","FAIL")</x:f>
        <x:v>PASS</x:v>
      </x:c>
    </x:row>
    <x:row r="414">
      <x:c r="B414" t="str">
        <x:v>A-00368</x:v>
      </x:c>
      <x:c r="C414" t="str">
        <x:v>GATE</x:v>
      </x:c>
      <x:c r="D414" t="str">
        <x:v>release state mirrors governing ledger</x:v>
      </x:c>
      <x:c r="E414" t="str">
        <x:f>'Release Gates'!I374</x:f>
        <x:v>PASS</x:v>
      </x:c>
      <x:c r="F414" t="str">
        <x:f>IF('Release Gates'!C374="PLANNING","PASS",IF('Release Gates'!C374="PHYSICAL","OPEN","BLOCKED"))</x:f>
        <x:v>PASS</x:v>
      </x:c>
      <x:c r="G414" t="str">
        <x:v>equals</x:v>
      </x:c>
      <x:c r="H414" t="str">
        <x:f>IF(E414=F414,"PASS","FAIL")</x:f>
        <x:v>PASS</x:v>
      </x:c>
    </x:row>
    <x:row r="415">
      <x:c r="B415" t="str">
        <x:v>A-00369</x:v>
      </x:c>
      <x:c r="C415" t="str">
        <x:v>GATE</x:v>
      </x:c>
      <x:c r="D415" t="str">
        <x:v>release state mirrors governing ledger</x:v>
      </x:c>
      <x:c r="E415" t="str">
        <x:f>'Release Gates'!I375</x:f>
        <x:v>PASS</x:v>
      </x:c>
      <x:c r="F415" t="str">
        <x:f>IF('Release Gates'!C375="PLANNING","PASS",IF('Release Gates'!C375="PHYSICAL","OPEN","BLOCKED"))</x:f>
        <x:v>PASS</x:v>
      </x:c>
      <x:c r="G415" t="str">
        <x:v>equals</x:v>
      </x:c>
      <x:c r="H415" t="str">
        <x:f>IF(E415=F415,"PASS","FAIL")</x:f>
        <x:v>PASS</x:v>
      </x:c>
    </x:row>
    <x:row r="416">
      <x:c r="B416" t="str">
        <x:v>A-00370</x:v>
      </x:c>
      <x:c r="C416" t="str">
        <x:v>GATE</x:v>
      </x:c>
      <x:c r="D416" t="str">
        <x:v>release state mirrors governing ledger</x:v>
      </x:c>
      <x:c r="E416" t="str">
        <x:f>'Release Gates'!I376</x:f>
        <x:v>PASS</x:v>
      </x:c>
      <x:c r="F416" t="str">
        <x:f>IF('Release Gates'!C376="PLANNING","PASS",IF('Release Gates'!C376="PHYSICAL","OPEN","BLOCKED"))</x:f>
        <x:v>PASS</x:v>
      </x:c>
      <x:c r="G416" t="str">
        <x:v>equals</x:v>
      </x:c>
      <x:c r="H416" t="str">
        <x:f>IF(E416=F416,"PASS","FAIL")</x:f>
        <x:v>PASS</x:v>
      </x:c>
    </x:row>
    <x:row r="417">
      <x:c r="B417" t="str">
        <x:v>A-00371</x:v>
      </x:c>
      <x:c r="C417" t="str">
        <x:v>GATE</x:v>
      </x:c>
      <x:c r="D417" t="str">
        <x:v>release state mirrors governing ledger</x:v>
      </x:c>
      <x:c r="E417" t="str">
        <x:f>'Release Gates'!I377</x:f>
        <x:v>PASS</x:v>
      </x:c>
      <x:c r="F417" t="str">
        <x:f>IF('Release Gates'!C377="PLANNING","PASS",IF('Release Gates'!C377="PHYSICAL","OPEN","BLOCKED"))</x:f>
        <x:v>PASS</x:v>
      </x:c>
      <x:c r="G417" t="str">
        <x:v>equals</x:v>
      </x:c>
      <x:c r="H417" t="str">
        <x:f>IF(E417=F417,"PASS","FAIL")</x:f>
        <x:v>PASS</x:v>
      </x:c>
    </x:row>
    <x:row r="418">
      <x:c r="B418" t="str">
        <x:v>A-00372</x:v>
      </x:c>
      <x:c r="C418" t="str">
        <x:v>GATE</x:v>
      </x:c>
      <x:c r="D418" t="str">
        <x:v>release state mirrors governing ledger</x:v>
      </x:c>
      <x:c r="E418" t="str">
        <x:f>'Release Gates'!I378</x:f>
        <x:v>PASS</x:v>
      </x:c>
      <x:c r="F418" t="str">
        <x:f>IF('Release Gates'!C378="PLANNING","PASS",IF('Release Gates'!C378="PHYSICAL","OPEN","BLOCKED"))</x:f>
        <x:v>PASS</x:v>
      </x:c>
      <x:c r="G418" t="str">
        <x:v>equals</x:v>
      </x:c>
      <x:c r="H418" t="str">
        <x:f>IF(E418=F418,"PASS","FAIL")</x:f>
        <x:v>PASS</x:v>
      </x:c>
    </x:row>
    <x:row r="419">
      <x:c r="B419" t="str">
        <x:v>A-00373</x:v>
      </x:c>
      <x:c r="C419" t="str">
        <x:v>GATE</x:v>
      </x:c>
      <x:c r="D419" t="str">
        <x:v>release state mirrors governing ledger</x:v>
      </x:c>
      <x:c r="E419" t="str">
        <x:f>'Release Gates'!I379</x:f>
        <x:v>PASS</x:v>
      </x:c>
      <x:c r="F419" t="str">
        <x:f>IF('Release Gates'!C379="PLANNING","PASS",IF('Release Gates'!C379="PHYSICAL","OPEN","BLOCKED"))</x:f>
        <x:v>PASS</x:v>
      </x:c>
      <x:c r="G419" t="str">
        <x:v>equals</x:v>
      </x:c>
      <x:c r="H419" t="str">
        <x:f>IF(E419=F419,"PASS","FAIL")</x:f>
        <x:v>PASS</x:v>
      </x:c>
    </x:row>
    <x:row r="420">
      <x:c r="B420" t="str">
        <x:v>A-00374</x:v>
      </x:c>
      <x:c r="C420" t="str">
        <x:v>GATE</x:v>
      </x:c>
      <x:c r="D420" t="str">
        <x:v>release state mirrors governing ledger</x:v>
      </x:c>
      <x:c r="E420" t="str">
        <x:f>'Release Gates'!I380</x:f>
        <x:v>PASS</x:v>
      </x:c>
      <x:c r="F420" t="str">
        <x:f>IF('Release Gates'!C380="PLANNING","PASS",IF('Release Gates'!C380="PHYSICAL","OPEN","BLOCKED"))</x:f>
        <x:v>PASS</x:v>
      </x:c>
      <x:c r="G420" t="str">
        <x:v>equals</x:v>
      </x:c>
      <x:c r="H420" t="str">
        <x:f>IF(E420=F420,"PASS","FAIL")</x:f>
        <x:v>PASS</x:v>
      </x:c>
    </x:row>
    <x:row r="421">
      <x:c r="B421" t="str">
        <x:v>A-00375</x:v>
      </x:c>
      <x:c r="C421" t="str">
        <x:v>GATE</x:v>
      </x:c>
      <x:c r="D421" t="str">
        <x:v>release state mirrors governing ledger</x:v>
      </x:c>
      <x:c r="E421" t="str">
        <x:f>'Release Gates'!I381</x:f>
        <x:v>PASS</x:v>
      </x:c>
      <x:c r="F421" t="str">
        <x:f>IF('Release Gates'!C381="PLANNING","PASS",IF('Release Gates'!C381="PHYSICAL","OPEN","BLOCKED"))</x:f>
        <x:v>PASS</x:v>
      </x:c>
      <x:c r="G421" t="str">
        <x:v>equals</x:v>
      </x:c>
      <x:c r="H421" t="str">
        <x:f>IF(E421=F421,"PASS","FAIL")</x:f>
        <x:v>PASS</x:v>
      </x:c>
    </x:row>
    <x:row r="422">
      <x:c r="B422" t="str">
        <x:v>A-00376</x:v>
      </x:c>
      <x:c r="C422" t="str">
        <x:v>GATE</x:v>
      </x:c>
      <x:c r="D422" t="str">
        <x:v>release state mirrors governing ledger</x:v>
      </x:c>
      <x:c r="E422" t="str">
        <x:f>'Release Gates'!I382</x:f>
        <x:v>PASS</x:v>
      </x:c>
      <x:c r="F422" t="str">
        <x:f>IF('Release Gates'!C382="PLANNING","PASS",IF('Release Gates'!C382="PHYSICAL","OPEN","BLOCKED"))</x:f>
        <x:v>PASS</x:v>
      </x:c>
      <x:c r="G422" t="str">
        <x:v>equals</x:v>
      </x:c>
      <x:c r="H422" t="str">
        <x:f>IF(E422=F422,"PASS","FAIL")</x:f>
        <x:v>PASS</x:v>
      </x:c>
    </x:row>
    <x:row r="423">
      <x:c r="B423" t="str">
        <x:v>A-00377</x:v>
      </x:c>
      <x:c r="C423" t="str">
        <x:v>GATE</x:v>
      </x:c>
      <x:c r="D423" t="str">
        <x:v>release state mirrors governing ledger</x:v>
      </x:c>
      <x:c r="E423" t="str">
        <x:f>'Release Gates'!I383</x:f>
        <x:v>PASS</x:v>
      </x:c>
      <x:c r="F423" t="str">
        <x:f>IF('Release Gates'!C383="PLANNING","PASS",IF('Release Gates'!C383="PHYSICAL","OPEN","BLOCKED"))</x:f>
        <x:v>PASS</x:v>
      </x:c>
      <x:c r="G423" t="str">
        <x:v>equals</x:v>
      </x:c>
      <x:c r="H423" t="str">
        <x:f>IF(E423=F423,"PASS","FAIL")</x:f>
        <x:v>PASS</x:v>
      </x:c>
    </x:row>
    <x:row r="424">
      <x:c r="B424" t="str">
        <x:v>A-00378</x:v>
      </x:c>
      <x:c r="C424" t="str">
        <x:v>GATE</x:v>
      </x:c>
      <x:c r="D424" t="str">
        <x:v>release state mirrors governing ledger</x:v>
      </x:c>
      <x:c r="E424" t="str">
        <x:f>'Release Gates'!I384</x:f>
        <x:v>PASS</x:v>
      </x:c>
      <x:c r="F424" t="str">
        <x:f>IF('Release Gates'!C384="PLANNING","PASS",IF('Release Gates'!C384="PHYSICAL","OPEN","BLOCKED"))</x:f>
        <x:v>PASS</x:v>
      </x:c>
      <x:c r="G424" t="str">
        <x:v>equals</x:v>
      </x:c>
      <x:c r="H424" t="str">
        <x:f>IF(E424=F424,"PASS","FAIL")</x:f>
        <x:v>PASS</x:v>
      </x:c>
    </x:row>
    <x:row r="425">
      <x:c r="B425" t="str">
        <x:v>A-00379</x:v>
      </x:c>
      <x:c r="C425" t="str">
        <x:v>GATE</x:v>
      </x:c>
      <x:c r="D425" t="str">
        <x:v>release state mirrors governing ledger</x:v>
      </x:c>
      <x:c r="E425" t="str">
        <x:f>'Release Gates'!I385</x:f>
        <x:v>PASS</x:v>
      </x:c>
      <x:c r="F425" t="str">
        <x:f>IF('Release Gates'!C385="PLANNING","PASS",IF('Release Gates'!C385="PHYSICAL","OPEN","BLOCKED"))</x:f>
        <x:v>PASS</x:v>
      </x:c>
      <x:c r="G425" t="str">
        <x:v>equals</x:v>
      </x:c>
      <x:c r="H425" t="str">
        <x:f>IF(E425=F425,"PASS","FAIL")</x:f>
        <x:v>PASS</x:v>
      </x:c>
    </x:row>
    <x:row r="426">
      <x:c r="B426" t="str">
        <x:v>A-00380</x:v>
      </x:c>
      <x:c r="C426" t="str">
        <x:v>GATE</x:v>
      </x:c>
      <x:c r="D426" t="str">
        <x:v>release state mirrors governing ledger</x:v>
      </x:c>
      <x:c r="E426" t="str">
        <x:f>'Release Gates'!I386</x:f>
        <x:v>PASS</x:v>
      </x:c>
      <x:c r="F426" t="str">
        <x:f>IF('Release Gates'!C386="PLANNING","PASS",IF('Release Gates'!C386="PHYSICAL","OPEN","BLOCKED"))</x:f>
        <x:v>PASS</x:v>
      </x:c>
      <x:c r="G426" t="str">
        <x:v>equals</x:v>
      </x:c>
      <x:c r="H426" t="str">
        <x:f>IF(E426=F426,"PASS","FAIL")</x:f>
        <x:v>PASS</x:v>
      </x:c>
    </x:row>
    <x:row r="427">
      <x:c r="B427" t="str">
        <x:v>A-00381</x:v>
      </x:c>
      <x:c r="C427" t="str">
        <x:v>GATE</x:v>
      </x:c>
      <x:c r="D427" t="str">
        <x:v>release state mirrors governing ledger</x:v>
      </x:c>
      <x:c r="E427" t="str">
        <x:f>'Release Gates'!I387</x:f>
        <x:v>PASS</x:v>
      </x:c>
      <x:c r="F427" t="str">
        <x:f>IF('Release Gates'!C387="PLANNING","PASS",IF('Release Gates'!C387="PHYSICAL","OPEN","BLOCKED"))</x:f>
        <x:v>PASS</x:v>
      </x:c>
      <x:c r="G427" t="str">
        <x:v>equals</x:v>
      </x:c>
      <x:c r="H427" t="str">
        <x:f>IF(E427=F427,"PASS","FAIL")</x:f>
        <x:v>PASS</x:v>
      </x:c>
    </x:row>
    <x:row r="428">
      <x:c r="B428" t="str">
        <x:v>A-00382</x:v>
      </x:c>
      <x:c r="C428" t="str">
        <x:v>GATE</x:v>
      </x:c>
      <x:c r="D428" t="str">
        <x:v>release state mirrors governing ledger</x:v>
      </x:c>
      <x:c r="E428" t="str">
        <x:f>'Release Gates'!I388</x:f>
        <x:v>PASS</x:v>
      </x:c>
      <x:c r="F428" t="str">
        <x:f>IF('Release Gates'!C388="PLANNING","PASS",IF('Release Gates'!C388="PHYSICAL","OPEN","BLOCKED"))</x:f>
        <x:v>PASS</x:v>
      </x:c>
      <x:c r="G428" t="str">
        <x:v>equals</x:v>
      </x:c>
      <x:c r="H428" t="str">
        <x:f>IF(E428=F428,"PASS","FAIL")</x:f>
        <x:v>PASS</x:v>
      </x:c>
    </x:row>
    <x:row r="429">
      <x:c r="B429" t="str">
        <x:v>A-00383</x:v>
      </x:c>
      <x:c r="C429" t="str">
        <x:v>GATE</x:v>
      </x:c>
      <x:c r="D429" t="str">
        <x:v>release state mirrors governing ledger</x:v>
      </x:c>
      <x:c r="E429" t="str">
        <x:f>'Release Gates'!I389</x:f>
        <x:v>PASS</x:v>
      </x:c>
      <x:c r="F429" t="str">
        <x:f>IF('Release Gates'!C389="PLANNING","PASS",IF('Release Gates'!C389="PHYSICAL","OPEN","BLOCKED"))</x:f>
        <x:v>PASS</x:v>
      </x:c>
      <x:c r="G429" t="str">
        <x:v>equals</x:v>
      </x:c>
      <x:c r="H429" t="str">
        <x:f>IF(E429=F429,"PASS","FAIL")</x:f>
        <x:v>PASS</x:v>
      </x:c>
    </x:row>
    <x:row r="430">
      <x:c r="B430" t="str">
        <x:v>A-00384</x:v>
      </x:c>
      <x:c r="C430" t="str">
        <x:v>GATE</x:v>
      </x:c>
      <x:c r="D430" t="str">
        <x:v>release state mirrors governing ledger</x:v>
      </x:c>
      <x:c r="E430" t="str">
        <x:f>'Release Gates'!I390</x:f>
        <x:v>PASS</x:v>
      </x:c>
      <x:c r="F430" t="str">
        <x:f>IF('Release Gates'!C390="PLANNING","PASS",IF('Release Gates'!C390="PHYSICAL","OPEN","BLOCKED"))</x:f>
        <x:v>PASS</x:v>
      </x:c>
      <x:c r="G430" t="str">
        <x:v>equals</x:v>
      </x:c>
      <x:c r="H430" t="str">
        <x:f>IF(E430=F430,"PASS","FAIL")</x:f>
        <x:v>PASS</x:v>
      </x:c>
    </x:row>
    <x:row r="431">
      <x:c r="B431" t="str">
        <x:v>A-00385</x:v>
      </x:c>
      <x:c r="C431" t="str">
        <x:v>GATE</x:v>
      </x:c>
      <x:c r="D431" t="str">
        <x:v>release state mirrors governing ledger</x:v>
      </x:c>
      <x:c r="E431" t="str">
        <x:f>'Release Gates'!I391</x:f>
        <x:v>PASS</x:v>
      </x:c>
      <x:c r="F431" t="str">
        <x:f>IF('Release Gates'!C391="PLANNING","PASS",IF('Release Gates'!C391="PHYSICAL","OPEN","BLOCKED"))</x:f>
        <x:v>PASS</x:v>
      </x:c>
      <x:c r="G431" t="str">
        <x:v>equals</x:v>
      </x:c>
      <x:c r="H431" t="str">
        <x:f>IF(E431=F431,"PASS","FAIL")</x:f>
        <x:v>PASS</x:v>
      </x:c>
    </x:row>
    <x:row r="432">
      <x:c r="B432" t="str">
        <x:v>A-00386</x:v>
      </x:c>
      <x:c r="C432" t="str">
        <x:v>GATE</x:v>
      </x:c>
      <x:c r="D432" t="str">
        <x:v>release state mirrors governing ledger</x:v>
      </x:c>
      <x:c r="E432" t="str">
        <x:f>'Release Gates'!I392</x:f>
        <x:v>PASS</x:v>
      </x:c>
      <x:c r="F432" t="str">
        <x:f>IF('Release Gates'!C392="PLANNING","PASS",IF('Release Gates'!C392="PHYSICAL","OPEN","BLOCKED"))</x:f>
        <x:v>PASS</x:v>
      </x:c>
      <x:c r="G432" t="str">
        <x:v>equals</x:v>
      </x:c>
      <x:c r="H432" t="str">
        <x:f>IF(E432=F432,"PASS","FAIL")</x:f>
        <x:v>PASS</x:v>
      </x:c>
    </x:row>
    <x:row r="433">
      <x:c r="B433" t="str">
        <x:v>A-00387</x:v>
      </x:c>
      <x:c r="C433" t="str">
        <x:v>GATE</x:v>
      </x:c>
      <x:c r="D433" t="str">
        <x:v>release state mirrors governing ledger</x:v>
      </x:c>
      <x:c r="E433" t="str">
        <x:f>'Release Gates'!I393</x:f>
        <x:v>PASS</x:v>
      </x:c>
      <x:c r="F433" t="str">
        <x:f>IF('Release Gates'!C393="PLANNING","PASS",IF('Release Gates'!C393="PHYSICAL","OPEN","BLOCKED"))</x:f>
        <x:v>PASS</x:v>
      </x:c>
      <x:c r="G433" t="str">
        <x:v>equals</x:v>
      </x:c>
      <x:c r="H433" t="str">
        <x:f>IF(E433=F433,"PASS","FAIL")</x:f>
        <x:v>PASS</x:v>
      </x:c>
    </x:row>
    <x:row r="434">
      <x:c r="B434" t="str">
        <x:v>A-00388</x:v>
      </x:c>
      <x:c r="C434" t="str">
        <x:v>GATE</x:v>
      </x:c>
      <x:c r="D434" t="str">
        <x:v>release state mirrors governing ledger</x:v>
      </x:c>
      <x:c r="E434" t="str">
        <x:f>'Release Gates'!I394</x:f>
        <x:v>PASS</x:v>
      </x:c>
      <x:c r="F434" t="str">
        <x:f>IF('Release Gates'!C394="PLANNING","PASS",IF('Release Gates'!C394="PHYSICAL","OPEN","BLOCKED"))</x:f>
        <x:v>PASS</x:v>
      </x:c>
      <x:c r="G434" t="str">
        <x:v>equals</x:v>
      </x:c>
      <x:c r="H434" t="str">
        <x:f>IF(E434=F434,"PASS","FAIL")</x:f>
        <x:v>PASS</x:v>
      </x:c>
    </x:row>
    <x:row r="435">
      <x:c r="B435" t="str">
        <x:v>A-00389</x:v>
      </x:c>
      <x:c r="C435" t="str">
        <x:v>GATE</x:v>
      </x:c>
      <x:c r="D435" t="str">
        <x:v>release state mirrors governing ledger</x:v>
      </x:c>
      <x:c r="E435" t="str">
        <x:f>'Release Gates'!I395</x:f>
        <x:v>PASS</x:v>
      </x:c>
      <x:c r="F435" t="str">
        <x:f>IF('Release Gates'!C395="PLANNING","PASS",IF('Release Gates'!C395="PHYSICAL","OPEN","BLOCKED"))</x:f>
        <x:v>PASS</x:v>
      </x:c>
      <x:c r="G435" t="str">
        <x:v>equals</x:v>
      </x:c>
      <x:c r="H435" t="str">
        <x:f>IF(E435=F435,"PASS","FAIL")</x:f>
        <x:v>PASS</x:v>
      </x:c>
    </x:row>
    <x:row r="436">
      <x:c r="B436" t="str">
        <x:v>A-00390</x:v>
      </x:c>
      <x:c r="C436" t="str">
        <x:v>GATE</x:v>
      </x:c>
      <x:c r="D436" t="str">
        <x:v>release state mirrors governing ledger</x:v>
      </x:c>
      <x:c r="E436" t="str">
        <x:f>'Release Gates'!I396</x:f>
        <x:v>PASS</x:v>
      </x:c>
      <x:c r="F436" t="str">
        <x:f>IF('Release Gates'!C396="PLANNING","PASS",IF('Release Gates'!C396="PHYSICAL","OPEN","BLOCKED"))</x:f>
        <x:v>PASS</x:v>
      </x:c>
      <x:c r="G436" t="str">
        <x:v>equals</x:v>
      </x:c>
      <x:c r="H436" t="str">
        <x:f>IF(E436=F436,"PASS","FAIL")</x:f>
        <x:v>PASS</x:v>
      </x:c>
    </x:row>
    <x:row r="437">
      <x:c r="B437" t="str">
        <x:v>A-00391</x:v>
      </x:c>
      <x:c r="C437" t="str">
        <x:v>GATE</x:v>
      </x:c>
      <x:c r="D437" t="str">
        <x:v>release state mirrors governing ledger</x:v>
      </x:c>
      <x:c r="E437" t="str">
        <x:f>'Release Gates'!I397</x:f>
        <x:v>PASS</x:v>
      </x:c>
      <x:c r="F437" t="str">
        <x:f>IF('Release Gates'!C397="PLANNING","PASS",IF('Release Gates'!C397="PHYSICAL","OPEN","BLOCKED"))</x:f>
        <x:v>PASS</x:v>
      </x:c>
      <x:c r="G437" t="str">
        <x:v>equals</x:v>
      </x:c>
      <x:c r="H437" t="str">
        <x:f>IF(E437=F437,"PASS","FAIL")</x:f>
        <x:v>PASS</x:v>
      </x:c>
    </x:row>
    <x:row r="438">
      <x:c r="B438" t="str">
        <x:v>A-00392</x:v>
      </x:c>
      <x:c r="C438" t="str">
        <x:v>GATE</x:v>
      </x:c>
      <x:c r="D438" t="str">
        <x:v>release state mirrors governing ledger</x:v>
      </x:c>
      <x:c r="E438" t="str">
        <x:f>'Release Gates'!I398</x:f>
        <x:v>PASS</x:v>
      </x:c>
      <x:c r="F438" t="str">
        <x:f>IF('Release Gates'!C398="PLANNING","PASS",IF('Release Gates'!C398="PHYSICAL","OPEN","BLOCKED"))</x:f>
        <x:v>PASS</x:v>
      </x:c>
      <x:c r="G438" t="str">
        <x:v>equals</x:v>
      </x:c>
      <x:c r="H438" t="str">
        <x:f>IF(E438=F438,"PASS","FAIL")</x:f>
        <x:v>PASS</x:v>
      </x:c>
    </x:row>
    <x:row r="439">
      <x:c r="B439" t="str">
        <x:v>A-00393</x:v>
      </x:c>
      <x:c r="C439" t="str">
        <x:v>GATE</x:v>
      </x:c>
      <x:c r="D439" t="str">
        <x:v>release state mirrors governing ledger</x:v>
      </x:c>
      <x:c r="E439" t="str">
        <x:f>'Release Gates'!I399</x:f>
        <x:v>PASS</x:v>
      </x:c>
      <x:c r="F439" t="str">
        <x:f>IF('Release Gates'!C399="PLANNING","PASS",IF('Release Gates'!C399="PHYSICAL","OPEN","BLOCKED"))</x:f>
        <x:v>PASS</x:v>
      </x:c>
      <x:c r="G439" t="str">
        <x:v>equals</x:v>
      </x:c>
      <x:c r="H439" t="str">
        <x:f>IF(E439=F439,"PASS","FAIL")</x:f>
        <x:v>PASS</x:v>
      </x:c>
    </x:row>
    <x:row r="440">
      <x:c r="B440" t="str">
        <x:v>A-00394</x:v>
      </x:c>
      <x:c r="C440" t="str">
        <x:v>GATE</x:v>
      </x:c>
      <x:c r="D440" t="str">
        <x:v>release state mirrors governing ledger</x:v>
      </x:c>
      <x:c r="E440" t="str">
        <x:f>'Release Gates'!I400</x:f>
        <x:v>PASS</x:v>
      </x:c>
      <x:c r="F440" t="str">
        <x:f>IF('Release Gates'!C400="PLANNING","PASS",IF('Release Gates'!C400="PHYSICAL","OPEN","BLOCKED"))</x:f>
        <x:v>PASS</x:v>
      </x:c>
      <x:c r="G440" t="str">
        <x:v>equals</x:v>
      </x:c>
      <x:c r="H440" t="str">
        <x:f>IF(E440=F440,"PASS","FAIL")</x:f>
        <x:v>PASS</x:v>
      </x:c>
    </x:row>
    <x:row r="441">
      <x:c r="B441" t="str">
        <x:v>A-00395</x:v>
      </x:c>
      <x:c r="C441" t="str">
        <x:v>GATE</x:v>
      </x:c>
      <x:c r="D441" t="str">
        <x:v>release state mirrors governing ledger</x:v>
      </x:c>
      <x:c r="E441" t="str">
        <x:f>'Release Gates'!I401</x:f>
        <x:v>PASS</x:v>
      </x:c>
      <x:c r="F441" t="str">
        <x:f>IF('Release Gates'!C401="PLANNING","PASS",IF('Release Gates'!C401="PHYSICAL","OPEN","BLOCKED"))</x:f>
        <x:v>PASS</x:v>
      </x:c>
      <x:c r="G441" t="str">
        <x:v>equals</x:v>
      </x:c>
      <x:c r="H441" t="str">
        <x:f>IF(E441=F441,"PASS","FAIL")</x:f>
        <x:v>PASS</x:v>
      </x:c>
    </x:row>
    <x:row r="442">
      <x:c r="B442" t="str">
        <x:v>A-00396</x:v>
      </x:c>
      <x:c r="C442" t="str">
        <x:v>GATE</x:v>
      </x:c>
      <x:c r="D442" t="str">
        <x:v>release state mirrors governing ledger</x:v>
      </x:c>
      <x:c r="E442" t="str">
        <x:f>'Release Gates'!I402</x:f>
        <x:v>PASS</x:v>
      </x:c>
      <x:c r="F442" t="str">
        <x:f>IF('Release Gates'!C402="PLANNING","PASS",IF('Release Gates'!C402="PHYSICAL","OPEN","BLOCKED"))</x:f>
        <x:v>PASS</x:v>
      </x:c>
      <x:c r="G442" t="str">
        <x:v>equals</x:v>
      </x:c>
      <x:c r="H442" t="str">
        <x:f>IF(E442=F442,"PASS","FAIL")</x:f>
        <x:v>PASS</x:v>
      </x:c>
    </x:row>
    <x:row r="443">
      <x:c r="B443" t="str">
        <x:v>A-00397</x:v>
      </x:c>
      <x:c r="C443" t="str">
        <x:v>GATE</x:v>
      </x:c>
      <x:c r="D443" t="str">
        <x:v>release state mirrors governing ledger</x:v>
      </x:c>
      <x:c r="E443" t="str">
        <x:f>'Release Gates'!I403</x:f>
        <x:v>PASS</x:v>
      </x:c>
      <x:c r="F443" t="str">
        <x:f>IF('Release Gates'!C403="PLANNING","PASS",IF('Release Gates'!C403="PHYSICAL","OPEN","BLOCKED"))</x:f>
        <x:v>PASS</x:v>
      </x:c>
      <x:c r="G443" t="str">
        <x:v>equals</x:v>
      </x:c>
      <x:c r="H443" t="str">
        <x:f>IF(E443=F443,"PASS","FAIL")</x:f>
        <x:v>PASS</x:v>
      </x:c>
    </x:row>
    <x:row r="444">
      <x:c r="B444" t="str">
        <x:v>A-00398</x:v>
      </x:c>
      <x:c r="C444" t="str">
        <x:v>GATE</x:v>
      </x:c>
      <x:c r="D444" t="str">
        <x:v>release state mirrors governing ledger</x:v>
      </x:c>
      <x:c r="E444" t="str">
        <x:f>'Release Gates'!I404</x:f>
        <x:v>PASS</x:v>
      </x:c>
      <x:c r="F444" t="str">
        <x:f>IF('Release Gates'!C404="PLANNING","PASS",IF('Release Gates'!C404="PHYSICAL","OPEN","BLOCKED"))</x:f>
        <x:v>PASS</x:v>
      </x:c>
      <x:c r="G444" t="str">
        <x:v>equals</x:v>
      </x:c>
      <x:c r="H444" t="str">
        <x:f>IF(E444=F444,"PASS","FAIL")</x:f>
        <x:v>PASS</x:v>
      </x:c>
    </x:row>
    <x:row r="445">
      <x:c r="B445" t="str">
        <x:v>A-00399</x:v>
      </x:c>
      <x:c r="C445" t="str">
        <x:v>GATE</x:v>
      </x:c>
      <x:c r="D445" t="str">
        <x:v>release state mirrors governing ledger</x:v>
      </x:c>
      <x:c r="E445" t="str">
        <x:f>'Release Gates'!I405</x:f>
        <x:v>PASS</x:v>
      </x:c>
      <x:c r="F445" t="str">
        <x:f>IF('Release Gates'!C405="PLANNING","PASS",IF('Release Gates'!C405="PHYSICAL","OPEN","BLOCKED"))</x:f>
        <x:v>PASS</x:v>
      </x:c>
      <x:c r="G445" t="str">
        <x:v>equals</x:v>
      </x:c>
      <x:c r="H445" t="str">
        <x:f>IF(E445=F445,"PASS","FAIL")</x:f>
        <x:v>PASS</x:v>
      </x:c>
    </x:row>
    <x:row r="446">
      <x:c r="B446" t="str">
        <x:v>A-00400</x:v>
      </x:c>
      <x:c r="C446" t="str">
        <x:v>GATE</x:v>
      </x:c>
      <x:c r="D446" t="str">
        <x:v>release state mirrors governing ledger</x:v>
      </x:c>
      <x:c r="E446" t="str">
        <x:f>'Release Gates'!I406</x:f>
        <x:v>PASS</x:v>
      </x:c>
      <x:c r="F446" t="str">
        <x:f>IF('Release Gates'!C406="PLANNING","PASS",IF('Release Gates'!C406="PHYSICAL","OPEN","BLOCKED"))</x:f>
        <x:v>PASS</x:v>
      </x:c>
      <x:c r="G446" t="str">
        <x:v>equals</x:v>
      </x:c>
      <x:c r="H446" t="str">
        <x:f>IF(E446=F446,"PASS","FAIL")</x:f>
        <x:v>PASS</x:v>
      </x:c>
    </x:row>
    <x:row r="447">
      <x:c r="B447" t="str">
        <x:v>A-00401</x:v>
      </x:c>
      <x:c r="C447" t="str">
        <x:v>GATE</x:v>
      </x:c>
      <x:c r="D447" t="str">
        <x:v>release state mirrors governing ledger</x:v>
      </x:c>
      <x:c r="E447" t="str">
        <x:f>'Release Gates'!I407</x:f>
        <x:v>PASS</x:v>
      </x:c>
      <x:c r="F447" t="str">
        <x:f>IF('Release Gates'!C407="PLANNING","PASS",IF('Release Gates'!C407="PHYSICAL","OPEN","BLOCKED"))</x:f>
        <x:v>PASS</x:v>
      </x:c>
      <x:c r="G447" t="str">
        <x:v>equals</x:v>
      </x:c>
      <x:c r="H447" t="str">
        <x:f>IF(E447=F447,"PASS","FAIL")</x:f>
        <x:v>PASS</x:v>
      </x:c>
    </x:row>
    <x:row r="448">
      <x:c r="B448" t="str">
        <x:v>A-00402</x:v>
      </x:c>
      <x:c r="C448" t="str">
        <x:v>GATE</x:v>
      </x:c>
      <x:c r="D448" t="str">
        <x:v>release state mirrors governing ledger</x:v>
      </x:c>
      <x:c r="E448" t="str">
        <x:f>'Release Gates'!I408</x:f>
        <x:v>PASS</x:v>
      </x:c>
      <x:c r="F448" t="str">
        <x:f>IF('Release Gates'!C408="PLANNING","PASS",IF('Release Gates'!C408="PHYSICAL","OPEN","BLOCKED"))</x:f>
        <x:v>PASS</x:v>
      </x:c>
      <x:c r="G448" t="str">
        <x:v>equals</x:v>
      </x:c>
      <x:c r="H448" t="str">
        <x:f>IF(E448=F448,"PASS","FAIL")</x:f>
        <x:v>PASS</x:v>
      </x:c>
    </x:row>
    <x:row r="449">
      <x:c r="B449" t="str">
        <x:v>A-00403</x:v>
      </x:c>
      <x:c r="C449" t="str">
        <x:v>GATE</x:v>
      </x:c>
      <x:c r="D449" t="str">
        <x:v>release state mirrors governing ledger</x:v>
      </x:c>
      <x:c r="E449" t="str">
        <x:f>'Release Gates'!I409</x:f>
        <x:v>PASS</x:v>
      </x:c>
      <x:c r="F449" t="str">
        <x:f>IF('Release Gates'!C409="PLANNING","PASS",IF('Release Gates'!C409="PHYSICAL","OPEN","BLOCKED"))</x:f>
        <x:v>PASS</x:v>
      </x:c>
      <x:c r="G449" t="str">
        <x:v>equals</x:v>
      </x:c>
      <x:c r="H449" t="str">
        <x:f>IF(E449=F449,"PASS","FAIL")</x:f>
        <x:v>PASS</x:v>
      </x:c>
    </x:row>
    <x:row r="450">
      <x:c r="B450" t="str">
        <x:v>A-00404</x:v>
      </x:c>
      <x:c r="C450" t="str">
        <x:v>GATE</x:v>
      </x:c>
      <x:c r="D450" t="str">
        <x:v>release state mirrors governing ledger</x:v>
      </x:c>
      <x:c r="E450" t="str">
        <x:f>'Release Gates'!I410</x:f>
        <x:v>PASS</x:v>
      </x:c>
      <x:c r="F450" t="str">
        <x:f>IF('Release Gates'!C410="PLANNING","PASS",IF('Release Gates'!C410="PHYSICAL","OPEN","BLOCKED"))</x:f>
        <x:v>PASS</x:v>
      </x:c>
      <x:c r="G450" t="str">
        <x:v>equals</x:v>
      </x:c>
      <x:c r="H450" t="str">
        <x:f>IF(E450=F450,"PASS","FAIL")</x:f>
        <x:v>PASS</x:v>
      </x:c>
    </x:row>
    <x:row r="451">
      <x:c r="B451" t="str">
        <x:v>A-00405</x:v>
      </x:c>
      <x:c r="C451" t="str">
        <x:v>GATE</x:v>
      </x:c>
      <x:c r="D451" t="str">
        <x:v>release state mirrors governing ledger</x:v>
      </x:c>
      <x:c r="E451" t="str">
        <x:f>'Release Gates'!I411</x:f>
        <x:v>PASS</x:v>
      </x:c>
      <x:c r="F451" t="str">
        <x:f>IF('Release Gates'!C411="PLANNING","PASS",IF('Release Gates'!C411="PHYSICAL","OPEN","BLOCKED"))</x:f>
        <x:v>PASS</x:v>
      </x:c>
      <x:c r="G451" t="str">
        <x:v>equals</x:v>
      </x:c>
      <x:c r="H451" t="str">
        <x:f>IF(E451=F451,"PASS","FAIL")</x:f>
        <x:v>PASS</x:v>
      </x:c>
    </x:row>
    <x:row r="452">
      <x:c r="B452" t="str">
        <x:v>A-00406</x:v>
      </x:c>
      <x:c r="C452" t="str">
        <x:v>GATE</x:v>
      </x:c>
      <x:c r="D452" t="str">
        <x:v>release state mirrors governing ledger</x:v>
      </x:c>
      <x:c r="E452" t="str">
        <x:f>'Release Gates'!I412</x:f>
        <x:v>PASS</x:v>
      </x:c>
      <x:c r="F452" t="str">
        <x:f>IF('Release Gates'!C412="PLANNING","PASS",IF('Release Gates'!C412="PHYSICAL","OPEN","BLOCKED"))</x:f>
        <x:v>PASS</x:v>
      </x:c>
      <x:c r="G452" t="str">
        <x:v>equals</x:v>
      </x:c>
      <x:c r="H452" t="str">
        <x:f>IF(E452=F452,"PASS","FAIL")</x:f>
        <x:v>PASS</x:v>
      </x:c>
    </x:row>
    <x:row r="453">
      <x:c r="B453" t="str">
        <x:v>A-00407</x:v>
      </x:c>
      <x:c r="C453" t="str">
        <x:v>GATE</x:v>
      </x:c>
      <x:c r="D453" t="str">
        <x:v>release state mirrors governing ledger</x:v>
      </x:c>
      <x:c r="E453" t="str">
        <x:f>'Release Gates'!I413</x:f>
        <x:v>PASS</x:v>
      </x:c>
      <x:c r="F453" t="str">
        <x:f>IF('Release Gates'!C413="PLANNING","PASS",IF('Release Gates'!C413="PHYSICAL","OPEN","BLOCKED"))</x:f>
        <x:v>PASS</x:v>
      </x:c>
      <x:c r="G453" t="str">
        <x:v>equals</x:v>
      </x:c>
      <x:c r="H453" t="str">
        <x:f>IF(E453=F453,"PASS","FAIL")</x:f>
        <x:v>PASS</x:v>
      </x:c>
    </x:row>
    <x:row r="454">
      <x:c r="B454" t="str">
        <x:v>A-00408</x:v>
      </x:c>
      <x:c r="C454" t="str">
        <x:v>GATE</x:v>
      </x:c>
      <x:c r="D454" t="str">
        <x:v>release state mirrors governing ledger</x:v>
      </x:c>
      <x:c r="E454" t="str">
        <x:f>'Release Gates'!I414</x:f>
        <x:v>PASS</x:v>
      </x:c>
      <x:c r="F454" t="str">
        <x:f>IF('Release Gates'!C414="PLANNING","PASS",IF('Release Gates'!C414="PHYSICAL","OPEN","BLOCKED"))</x:f>
        <x:v>PASS</x:v>
      </x:c>
      <x:c r="G454" t="str">
        <x:v>equals</x:v>
      </x:c>
      <x:c r="H454" t="str">
        <x:f>IF(E454=F454,"PASS","FAIL")</x:f>
        <x:v>PASS</x:v>
      </x:c>
    </x:row>
    <x:row r="455">
      <x:c r="B455" t="str">
        <x:v>A-00409</x:v>
      </x:c>
      <x:c r="C455" t="str">
        <x:v>GATE</x:v>
      </x:c>
      <x:c r="D455" t="str">
        <x:v>release state mirrors governing ledger</x:v>
      </x:c>
      <x:c r="E455" t="str">
        <x:f>'Release Gates'!I415</x:f>
        <x:v>PASS</x:v>
      </x:c>
      <x:c r="F455" t="str">
        <x:f>IF('Release Gates'!C415="PLANNING","PASS",IF('Release Gates'!C415="PHYSICAL","OPEN","BLOCKED"))</x:f>
        <x:v>PASS</x:v>
      </x:c>
      <x:c r="G455" t="str">
        <x:v>equals</x:v>
      </x:c>
      <x:c r="H455" t="str">
        <x:f>IF(E455=F455,"PASS","FAIL")</x:f>
        <x:v>PASS</x:v>
      </x:c>
    </x:row>
    <x:row r="456">
      <x:c r="B456" t="str">
        <x:v>A-00410</x:v>
      </x:c>
      <x:c r="C456" t="str">
        <x:v>GATE</x:v>
      </x:c>
      <x:c r="D456" t="str">
        <x:v>release state mirrors governing ledger</x:v>
      </x:c>
      <x:c r="E456" t="str">
        <x:f>'Release Gates'!I416</x:f>
        <x:v>PASS</x:v>
      </x:c>
      <x:c r="F456" t="str">
        <x:f>IF('Release Gates'!C416="PLANNING","PASS",IF('Release Gates'!C416="PHYSICAL","OPEN","BLOCKED"))</x:f>
        <x:v>PASS</x:v>
      </x:c>
      <x:c r="G456" t="str">
        <x:v>equals</x:v>
      </x:c>
      <x:c r="H456" t="str">
        <x:f>IF(E456=F456,"PASS","FAIL")</x:f>
        <x:v>PASS</x:v>
      </x:c>
    </x:row>
    <x:row r="457">
      <x:c r="B457" t="str">
        <x:v>A-00411</x:v>
      </x:c>
      <x:c r="C457" t="str">
        <x:v>GATE</x:v>
      </x:c>
      <x:c r="D457" t="str">
        <x:v>release state mirrors governing ledger</x:v>
      </x:c>
      <x:c r="E457" t="str">
        <x:f>'Release Gates'!I417</x:f>
        <x:v>PASS</x:v>
      </x:c>
      <x:c r="F457" t="str">
        <x:f>IF('Release Gates'!C417="PLANNING","PASS",IF('Release Gates'!C417="PHYSICAL","OPEN","BLOCKED"))</x:f>
        <x:v>PASS</x:v>
      </x:c>
      <x:c r="G457" t="str">
        <x:v>equals</x:v>
      </x:c>
      <x:c r="H457" t="str">
        <x:f>IF(E457=F457,"PASS","FAIL")</x:f>
        <x:v>PASS</x:v>
      </x:c>
    </x:row>
    <x:row r="458">
      <x:c r="B458" t="str">
        <x:v>A-00412</x:v>
      </x:c>
      <x:c r="C458" t="str">
        <x:v>GATE</x:v>
      </x:c>
      <x:c r="D458" t="str">
        <x:v>release state mirrors governing ledger</x:v>
      </x:c>
      <x:c r="E458" t="str">
        <x:f>'Release Gates'!I418</x:f>
        <x:v>PASS</x:v>
      </x:c>
      <x:c r="F458" t="str">
        <x:f>IF('Release Gates'!C418="PLANNING","PASS",IF('Release Gates'!C418="PHYSICAL","OPEN","BLOCKED"))</x:f>
        <x:v>PASS</x:v>
      </x:c>
      <x:c r="G458" t="str">
        <x:v>equals</x:v>
      </x:c>
      <x:c r="H458" t="str">
        <x:f>IF(E458=F458,"PASS","FAIL")</x:f>
        <x:v>PASS</x:v>
      </x:c>
    </x:row>
    <x:row r="459">
      <x:c r="B459" t="str">
        <x:v>A-00413</x:v>
      </x:c>
      <x:c r="C459" t="str">
        <x:v>GATE</x:v>
      </x:c>
      <x:c r="D459" t="str">
        <x:v>release state mirrors governing ledger</x:v>
      </x:c>
      <x:c r="E459" t="str">
        <x:f>'Release Gates'!I419</x:f>
        <x:v>PASS</x:v>
      </x:c>
      <x:c r="F459" t="str">
        <x:f>IF('Release Gates'!C419="PLANNING","PASS",IF('Release Gates'!C419="PHYSICAL","OPEN","BLOCKED"))</x:f>
        <x:v>PASS</x:v>
      </x:c>
      <x:c r="G459" t="str">
        <x:v>equals</x:v>
      </x:c>
      <x:c r="H459" t="str">
        <x:f>IF(E459=F459,"PASS","FAIL")</x:f>
        <x:v>PASS</x:v>
      </x:c>
    </x:row>
    <x:row r="460">
      <x:c r="B460" t="str">
        <x:v>A-00414</x:v>
      </x:c>
      <x:c r="C460" t="str">
        <x:v>GATE</x:v>
      </x:c>
      <x:c r="D460" t="str">
        <x:v>release state mirrors governing ledger</x:v>
      </x:c>
      <x:c r="E460" t="str">
        <x:f>'Release Gates'!I420</x:f>
        <x:v>PASS</x:v>
      </x:c>
      <x:c r="F460" t="str">
        <x:f>IF('Release Gates'!C420="PLANNING","PASS",IF('Release Gates'!C420="PHYSICAL","OPEN","BLOCKED"))</x:f>
        <x:v>PASS</x:v>
      </x:c>
      <x:c r="G460" t="str">
        <x:v>equals</x:v>
      </x:c>
      <x:c r="H460" t="str">
        <x:f>IF(E460=F460,"PASS","FAIL")</x:f>
        <x:v>PASS</x:v>
      </x:c>
    </x:row>
    <x:row r="461">
      <x:c r="B461" t="str">
        <x:v>A-00415</x:v>
      </x:c>
      <x:c r="C461" t="str">
        <x:v>GATE</x:v>
      </x:c>
      <x:c r="D461" t="str">
        <x:v>release state mirrors governing ledger</x:v>
      </x:c>
      <x:c r="E461" t="str">
        <x:f>'Release Gates'!I421</x:f>
        <x:v>PASS</x:v>
      </x:c>
      <x:c r="F461" t="str">
        <x:f>IF('Release Gates'!C421="PLANNING","PASS",IF('Release Gates'!C421="PHYSICAL","OPEN","BLOCKED"))</x:f>
        <x:v>PASS</x:v>
      </x:c>
      <x:c r="G461" t="str">
        <x:v>equals</x:v>
      </x:c>
      <x:c r="H461" t="str">
        <x:f>IF(E461=F461,"PASS","FAIL")</x:f>
        <x:v>PASS</x:v>
      </x:c>
    </x:row>
    <x:row r="462">
      <x:c r="B462" t="str">
        <x:v>A-00416</x:v>
      </x:c>
      <x:c r="C462" t="str">
        <x:v>GATE</x:v>
      </x:c>
      <x:c r="D462" t="str">
        <x:v>release state mirrors governing ledger</x:v>
      </x:c>
      <x:c r="E462" t="str">
        <x:f>'Release Gates'!I422</x:f>
        <x:v>PASS</x:v>
      </x:c>
      <x:c r="F462" t="str">
        <x:f>IF('Release Gates'!C422="PLANNING","PASS",IF('Release Gates'!C422="PHYSICAL","OPEN","BLOCKED"))</x:f>
        <x:v>PASS</x:v>
      </x:c>
      <x:c r="G462" t="str">
        <x:v>equals</x:v>
      </x:c>
      <x:c r="H462" t="str">
        <x:f>IF(E462=F462,"PASS","FAIL")</x:f>
        <x:v>PASS</x:v>
      </x:c>
    </x:row>
    <x:row r="463">
      <x:c r="B463" t="str">
        <x:v>A-00417</x:v>
      </x:c>
      <x:c r="C463" t="str">
        <x:v>GATE</x:v>
      </x:c>
      <x:c r="D463" t="str">
        <x:v>release state mirrors governing ledger</x:v>
      </x:c>
      <x:c r="E463" t="str">
        <x:f>'Release Gates'!I423</x:f>
        <x:v>PASS</x:v>
      </x:c>
      <x:c r="F463" t="str">
        <x:f>IF('Release Gates'!C423="PLANNING","PASS",IF('Release Gates'!C423="PHYSICAL","OPEN","BLOCKED"))</x:f>
        <x:v>PASS</x:v>
      </x:c>
      <x:c r="G463" t="str">
        <x:v>equals</x:v>
      </x:c>
      <x:c r="H463" t="str">
        <x:f>IF(E463=F463,"PASS","FAIL")</x:f>
        <x:v>PASS</x:v>
      </x:c>
    </x:row>
    <x:row r="464">
      <x:c r="B464" t="str">
        <x:v>A-00418</x:v>
      </x:c>
      <x:c r="C464" t="str">
        <x:v>GATE</x:v>
      </x:c>
      <x:c r="D464" t="str">
        <x:v>release state mirrors governing ledger</x:v>
      </x:c>
      <x:c r="E464" t="str">
        <x:f>'Release Gates'!I424</x:f>
        <x:v>PASS</x:v>
      </x:c>
      <x:c r="F464" t="str">
        <x:f>IF('Release Gates'!C424="PLANNING","PASS",IF('Release Gates'!C424="PHYSICAL","OPEN","BLOCKED"))</x:f>
        <x:v>PASS</x:v>
      </x:c>
      <x:c r="G464" t="str">
        <x:v>equals</x:v>
      </x:c>
      <x:c r="H464" t="str">
        <x:f>IF(E464=F464,"PASS","FAIL")</x:f>
        <x:v>PASS</x:v>
      </x:c>
    </x:row>
    <x:row r="465">
      <x:c r="B465" t="str">
        <x:v>A-00419</x:v>
      </x:c>
      <x:c r="C465" t="str">
        <x:v>GATE</x:v>
      </x:c>
      <x:c r="D465" t="str">
        <x:v>release state mirrors governing ledger</x:v>
      </x:c>
      <x:c r="E465" t="str">
        <x:f>'Release Gates'!I425</x:f>
        <x:v>PASS</x:v>
      </x:c>
      <x:c r="F465" t="str">
        <x:f>IF('Release Gates'!C425="PLANNING","PASS",IF('Release Gates'!C425="PHYSICAL","OPEN","BLOCKED"))</x:f>
        <x:v>PASS</x:v>
      </x:c>
      <x:c r="G465" t="str">
        <x:v>equals</x:v>
      </x:c>
      <x:c r="H465" t="str">
        <x:f>IF(E465=F465,"PASS","FAIL")</x:f>
        <x:v>PASS</x:v>
      </x:c>
    </x:row>
    <x:row r="466">
      <x:c r="B466" t="str">
        <x:v>A-00420</x:v>
      </x:c>
      <x:c r="C466" t="str">
        <x:v>GATE</x:v>
      </x:c>
      <x:c r="D466" t="str">
        <x:v>release state mirrors governing ledger</x:v>
      </x:c>
      <x:c r="E466" t="str">
        <x:f>'Release Gates'!I426</x:f>
        <x:v>PASS</x:v>
      </x:c>
      <x:c r="F466" t="str">
        <x:f>IF('Release Gates'!C426="PLANNING","PASS",IF('Release Gates'!C426="PHYSICAL","OPEN","BLOCKED"))</x:f>
        <x:v>PASS</x:v>
      </x:c>
      <x:c r="G466" t="str">
        <x:v>equals</x:v>
      </x:c>
      <x:c r="H466" t="str">
        <x:f>IF(E466=F466,"PASS","FAIL")</x:f>
        <x:v>PASS</x:v>
      </x:c>
    </x:row>
    <x:row r="467">
      <x:c r="B467" t="str">
        <x:v>A-00421</x:v>
      </x:c>
      <x:c r="C467" t="str">
        <x:v>GATE</x:v>
      </x:c>
      <x:c r="D467" t="str">
        <x:v>release state mirrors governing ledger</x:v>
      </x:c>
      <x:c r="E467" t="str">
        <x:f>'Release Gates'!I427</x:f>
        <x:v>PASS</x:v>
      </x:c>
      <x:c r="F467" t="str">
        <x:f>IF('Release Gates'!C427="PLANNING","PASS",IF('Release Gates'!C427="PHYSICAL","OPEN","BLOCKED"))</x:f>
        <x:v>PASS</x:v>
      </x:c>
      <x:c r="G467" t="str">
        <x:v>equals</x:v>
      </x:c>
      <x:c r="H467" t="str">
        <x:f>IF(E467=F467,"PASS","FAIL")</x:f>
        <x:v>PASS</x:v>
      </x:c>
    </x:row>
    <x:row r="468">
      <x:c r="B468" t="str">
        <x:v>A-00422</x:v>
      </x:c>
      <x:c r="C468" t="str">
        <x:v>GATE</x:v>
      </x:c>
      <x:c r="D468" t="str">
        <x:v>release state mirrors governing ledger</x:v>
      </x:c>
      <x:c r="E468" t="str">
        <x:f>'Release Gates'!I428</x:f>
        <x:v>PASS</x:v>
      </x:c>
      <x:c r="F468" t="str">
        <x:f>IF('Release Gates'!C428="PLANNING","PASS",IF('Release Gates'!C428="PHYSICAL","OPEN","BLOCKED"))</x:f>
        <x:v>PASS</x:v>
      </x:c>
      <x:c r="G468" t="str">
        <x:v>equals</x:v>
      </x:c>
      <x:c r="H468" t="str">
        <x:f>IF(E468=F468,"PASS","FAIL")</x:f>
        <x:v>PASS</x:v>
      </x:c>
    </x:row>
    <x:row r="469">
      <x:c r="B469" t="str">
        <x:v>A-00423</x:v>
      </x:c>
      <x:c r="C469" t="str">
        <x:v>GATE</x:v>
      </x:c>
      <x:c r="D469" t="str">
        <x:v>release state mirrors governing ledger</x:v>
      </x:c>
      <x:c r="E469" t="str">
        <x:f>'Release Gates'!I429</x:f>
        <x:v>PASS</x:v>
      </x:c>
      <x:c r="F469" t="str">
        <x:f>IF('Release Gates'!C429="PLANNING","PASS",IF('Release Gates'!C429="PHYSICAL","OPEN","BLOCKED"))</x:f>
        <x:v>PASS</x:v>
      </x:c>
      <x:c r="G469" t="str">
        <x:v>equals</x:v>
      </x:c>
      <x:c r="H469" t="str">
        <x:f>IF(E469=F469,"PASS","FAIL")</x:f>
        <x:v>PASS</x:v>
      </x:c>
    </x:row>
    <x:row r="470">
      <x:c r="B470" t="str">
        <x:v>A-00424</x:v>
      </x:c>
      <x:c r="C470" t="str">
        <x:v>GATE</x:v>
      </x:c>
      <x:c r="D470" t="str">
        <x:v>release state mirrors governing ledger</x:v>
      </x:c>
      <x:c r="E470" t="str">
        <x:f>'Release Gates'!I430</x:f>
        <x:v>PASS</x:v>
      </x:c>
      <x:c r="F470" t="str">
        <x:f>IF('Release Gates'!C430="PLANNING","PASS",IF('Release Gates'!C430="PHYSICAL","OPEN","BLOCKED"))</x:f>
        <x:v>PASS</x:v>
      </x:c>
      <x:c r="G470" t="str">
        <x:v>equals</x:v>
      </x:c>
      <x:c r="H470" t="str">
        <x:f>IF(E470=F470,"PASS","FAIL")</x:f>
        <x:v>PASS</x:v>
      </x:c>
    </x:row>
    <x:row r="471">
      <x:c r="B471" t="str">
        <x:v>A-00425</x:v>
      </x:c>
      <x:c r="C471" t="str">
        <x:v>GATE</x:v>
      </x:c>
      <x:c r="D471" t="str">
        <x:v>release state mirrors governing ledger</x:v>
      </x:c>
      <x:c r="E471" t="str">
        <x:f>'Release Gates'!I431</x:f>
        <x:v>PASS</x:v>
      </x:c>
      <x:c r="F471" t="str">
        <x:f>IF('Release Gates'!C431="PLANNING","PASS",IF('Release Gates'!C431="PHYSICAL","OPEN","BLOCKED"))</x:f>
        <x:v>PASS</x:v>
      </x:c>
      <x:c r="G471" t="str">
        <x:v>equals</x:v>
      </x:c>
      <x:c r="H471" t="str">
        <x:f>IF(E471=F471,"PASS","FAIL")</x:f>
        <x:v>PASS</x:v>
      </x:c>
    </x:row>
    <x:row r="472">
      <x:c r="B472" t="str">
        <x:v>A-00426</x:v>
      </x:c>
      <x:c r="C472" t="str">
        <x:v>GATE</x:v>
      </x:c>
      <x:c r="D472" t="str">
        <x:v>release state mirrors governing ledger</x:v>
      </x:c>
      <x:c r="E472" t="str">
        <x:f>'Release Gates'!I432</x:f>
        <x:v>PASS</x:v>
      </x:c>
      <x:c r="F472" t="str">
        <x:f>IF('Release Gates'!C432="PLANNING","PASS",IF('Release Gates'!C432="PHYSICAL","OPEN","BLOCKED"))</x:f>
        <x:v>PASS</x:v>
      </x:c>
      <x:c r="G472" t="str">
        <x:v>equals</x:v>
      </x:c>
      <x:c r="H472" t="str">
        <x:f>IF(E472=F472,"PASS","FAIL")</x:f>
        <x:v>PASS</x:v>
      </x:c>
    </x:row>
    <x:row r="473">
      <x:c r="B473" t="str">
        <x:v>A-00427</x:v>
      </x:c>
      <x:c r="C473" t="str">
        <x:v>GATE</x:v>
      </x:c>
      <x:c r="D473" t="str">
        <x:v>release state mirrors governing ledger</x:v>
      </x:c>
      <x:c r="E473" t="str">
        <x:f>'Release Gates'!I433</x:f>
        <x:v>PASS</x:v>
      </x:c>
      <x:c r="F473" t="str">
        <x:f>IF('Release Gates'!C433="PLANNING","PASS",IF('Release Gates'!C433="PHYSICAL","OPEN","BLOCKED"))</x:f>
        <x:v>PASS</x:v>
      </x:c>
      <x:c r="G473" t="str">
        <x:v>equals</x:v>
      </x:c>
      <x:c r="H473" t="str">
        <x:f>IF(E473=F473,"PASS","FAIL")</x:f>
        <x:v>PASS</x:v>
      </x:c>
    </x:row>
    <x:row r="474">
      <x:c r="B474" t="str">
        <x:v>A-00428</x:v>
      </x:c>
      <x:c r="C474" t="str">
        <x:v>GATE</x:v>
      </x:c>
      <x:c r="D474" t="str">
        <x:v>release state mirrors governing ledger</x:v>
      </x:c>
      <x:c r="E474" t="str">
        <x:f>'Release Gates'!I434</x:f>
        <x:v>PASS</x:v>
      </x:c>
      <x:c r="F474" t="str">
        <x:f>IF('Release Gates'!C434="PLANNING","PASS",IF('Release Gates'!C434="PHYSICAL","OPEN","BLOCKED"))</x:f>
        <x:v>PASS</x:v>
      </x:c>
      <x:c r="G474" t="str">
        <x:v>equals</x:v>
      </x:c>
      <x:c r="H474" t="str">
        <x:f>IF(E474=F474,"PASS","FAIL")</x:f>
        <x:v>PASS</x:v>
      </x:c>
    </x:row>
    <x:row r="475">
      <x:c r="B475" t="str">
        <x:v>A-00429</x:v>
      </x:c>
      <x:c r="C475" t="str">
        <x:v>GATE</x:v>
      </x:c>
      <x:c r="D475" t="str">
        <x:v>release state mirrors governing ledger</x:v>
      </x:c>
      <x:c r="E475" t="str">
        <x:f>'Release Gates'!I435</x:f>
        <x:v>PASS</x:v>
      </x:c>
      <x:c r="F475" t="str">
        <x:f>IF('Release Gates'!C435="PLANNING","PASS",IF('Release Gates'!C435="PHYSICAL","OPEN","BLOCKED"))</x:f>
        <x:v>PASS</x:v>
      </x:c>
      <x:c r="G475" t="str">
        <x:v>equals</x:v>
      </x:c>
      <x:c r="H475" t="str">
        <x:f>IF(E475=F475,"PASS","FAIL")</x:f>
        <x:v>PASS</x:v>
      </x:c>
    </x:row>
    <x:row r="476">
      <x:c r="B476" t="str">
        <x:v>A-00430</x:v>
      </x:c>
      <x:c r="C476" t="str">
        <x:v>GATE</x:v>
      </x:c>
      <x:c r="D476" t="str">
        <x:v>release state mirrors governing ledger</x:v>
      </x:c>
      <x:c r="E476" t="str">
        <x:f>'Release Gates'!I436</x:f>
        <x:v>PASS</x:v>
      </x:c>
      <x:c r="F476" t="str">
        <x:f>IF('Release Gates'!C436="PLANNING","PASS",IF('Release Gates'!C436="PHYSICAL","OPEN","BLOCKED"))</x:f>
        <x:v>PASS</x:v>
      </x:c>
      <x:c r="G476" t="str">
        <x:v>equals</x:v>
      </x:c>
      <x:c r="H476" t="str">
        <x:f>IF(E476=F476,"PASS","FAIL")</x:f>
        <x:v>PASS</x:v>
      </x:c>
    </x:row>
    <x:row r="477">
      <x:c r="B477" t="str">
        <x:v>A-00431</x:v>
      </x:c>
      <x:c r="C477" t="str">
        <x:v>GATE</x:v>
      </x:c>
      <x:c r="D477" t="str">
        <x:v>release state mirrors governing ledger</x:v>
      </x:c>
      <x:c r="E477" t="str">
        <x:f>'Release Gates'!I437</x:f>
        <x:v>PASS</x:v>
      </x:c>
      <x:c r="F477" t="str">
        <x:f>IF('Release Gates'!C437="PLANNING","PASS",IF('Release Gates'!C437="PHYSICAL","OPEN","BLOCKED"))</x:f>
        <x:v>PASS</x:v>
      </x:c>
      <x:c r="G477" t="str">
        <x:v>equals</x:v>
      </x:c>
      <x:c r="H477" t="str">
        <x:f>IF(E477=F477,"PASS","FAIL")</x:f>
        <x:v>PASS</x:v>
      </x:c>
    </x:row>
    <x:row r="478">
      <x:c r="B478" t="str">
        <x:v>A-00432</x:v>
      </x:c>
      <x:c r="C478" t="str">
        <x:v>GATE</x:v>
      </x:c>
      <x:c r="D478" t="str">
        <x:v>release state mirrors governing ledger</x:v>
      </x:c>
      <x:c r="E478" t="str">
        <x:f>'Release Gates'!I438</x:f>
        <x:v>PASS</x:v>
      </x:c>
      <x:c r="F478" t="str">
        <x:f>IF('Release Gates'!C438="PLANNING","PASS",IF('Release Gates'!C438="PHYSICAL","OPEN","BLOCKED"))</x:f>
        <x:v>PASS</x:v>
      </x:c>
      <x:c r="G478" t="str">
        <x:v>equals</x:v>
      </x:c>
      <x:c r="H478" t="str">
        <x:f>IF(E478=F478,"PASS","FAIL")</x:f>
        <x:v>PASS</x:v>
      </x:c>
    </x:row>
    <x:row r="479">
      <x:c r="B479" t="str">
        <x:v>A-00433</x:v>
      </x:c>
      <x:c r="C479" t="str">
        <x:v>GATE</x:v>
      </x:c>
      <x:c r="D479" t="str">
        <x:v>release state mirrors governing ledger</x:v>
      </x:c>
      <x:c r="E479" t="str">
        <x:f>'Release Gates'!I439</x:f>
        <x:v>PASS</x:v>
      </x:c>
      <x:c r="F479" t="str">
        <x:f>IF('Release Gates'!C439="PLANNING","PASS",IF('Release Gates'!C439="PHYSICAL","OPEN","BLOCKED"))</x:f>
        <x:v>PASS</x:v>
      </x:c>
      <x:c r="G479" t="str">
        <x:v>equals</x:v>
      </x:c>
      <x:c r="H479" t="str">
        <x:f>IF(E479=F479,"PASS","FAIL")</x:f>
        <x:v>PASS</x:v>
      </x:c>
    </x:row>
    <x:row r="480">
      <x:c r="B480" t="str">
        <x:v>A-00434</x:v>
      </x:c>
      <x:c r="C480" t="str">
        <x:v>GATE</x:v>
      </x:c>
      <x:c r="D480" t="str">
        <x:v>release state mirrors governing ledger</x:v>
      </x:c>
      <x:c r="E480" t="str">
        <x:f>'Release Gates'!I440</x:f>
        <x:v>PASS</x:v>
      </x:c>
      <x:c r="F480" t="str">
        <x:f>IF('Release Gates'!C440="PLANNING","PASS",IF('Release Gates'!C440="PHYSICAL","OPEN","BLOCKED"))</x:f>
        <x:v>PASS</x:v>
      </x:c>
      <x:c r="G480" t="str">
        <x:v>equals</x:v>
      </x:c>
      <x:c r="H480" t="str">
        <x:f>IF(E480=F480,"PASS","FAIL")</x:f>
        <x:v>PASS</x:v>
      </x:c>
    </x:row>
    <x:row r="481">
      <x:c r="B481" t="str">
        <x:v>A-00435</x:v>
      </x:c>
      <x:c r="C481" t="str">
        <x:v>GATE</x:v>
      </x:c>
      <x:c r="D481" t="str">
        <x:v>release state mirrors governing ledger</x:v>
      </x:c>
      <x:c r="E481" t="str">
        <x:f>'Release Gates'!I441</x:f>
        <x:v>PASS</x:v>
      </x:c>
      <x:c r="F481" t="str">
        <x:f>IF('Release Gates'!C441="PLANNING","PASS",IF('Release Gates'!C441="PHYSICAL","OPEN","BLOCKED"))</x:f>
        <x:v>PASS</x:v>
      </x:c>
      <x:c r="G481" t="str">
        <x:v>equals</x:v>
      </x:c>
      <x:c r="H481" t="str">
        <x:f>IF(E481=F481,"PASS","FAIL")</x:f>
        <x:v>PASS</x:v>
      </x:c>
    </x:row>
    <x:row r="482">
      <x:c r="B482" t="str">
        <x:v>A-00436</x:v>
      </x:c>
      <x:c r="C482" t="str">
        <x:v>GATE</x:v>
      </x:c>
      <x:c r="D482" t="str">
        <x:v>release state mirrors governing ledger</x:v>
      </x:c>
      <x:c r="E482" t="str">
        <x:f>'Release Gates'!I442</x:f>
        <x:v>PASS</x:v>
      </x:c>
      <x:c r="F482" t="str">
        <x:f>IF('Release Gates'!C442="PLANNING","PASS",IF('Release Gates'!C442="PHYSICAL","OPEN","BLOCKED"))</x:f>
        <x:v>PASS</x:v>
      </x:c>
      <x:c r="G482" t="str">
        <x:v>equals</x:v>
      </x:c>
      <x:c r="H482" t="str">
        <x:f>IF(E482=F482,"PASS","FAIL")</x:f>
        <x:v>PASS</x:v>
      </x:c>
    </x:row>
    <x:row r="483">
      <x:c r="B483" t="str">
        <x:v>A-00437</x:v>
      </x:c>
      <x:c r="C483" t="str">
        <x:v>GATE</x:v>
      </x:c>
      <x:c r="D483" t="str">
        <x:v>release state mirrors governing ledger</x:v>
      </x:c>
      <x:c r="E483" t="str">
        <x:f>'Release Gates'!I443</x:f>
        <x:v>PASS</x:v>
      </x:c>
      <x:c r="F483" t="str">
        <x:f>IF('Release Gates'!C443="PLANNING","PASS",IF('Release Gates'!C443="PHYSICAL","OPEN","BLOCKED"))</x:f>
        <x:v>PASS</x:v>
      </x:c>
      <x:c r="G483" t="str">
        <x:v>equals</x:v>
      </x:c>
      <x:c r="H483" t="str">
        <x:f>IF(E483=F483,"PASS","FAIL")</x:f>
        <x:v>PASS</x:v>
      </x:c>
    </x:row>
    <x:row r="484">
      <x:c r="B484" t="str">
        <x:v>A-00438</x:v>
      </x:c>
      <x:c r="C484" t="str">
        <x:v>GATE</x:v>
      </x:c>
      <x:c r="D484" t="str">
        <x:v>release state mirrors governing ledger</x:v>
      </x:c>
      <x:c r="E484" t="str">
        <x:f>'Release Gates'!I444</x:f>
        <x:v>PASS</x:v>
      </x:c>
      <x:c r="F484" t="str">
        <x:f>IF('Release Gates'!C444="PLANNING","PASS",IF('Release Gates'!C444="PHYSICAL","OPEN","BLOCKED"))</x:f>
        <x:v>PASS</x:v>
      </x:c>
      <x:c r="G484" t="str">
        <x:v>equals</x:v>
      </x:c>
      <x:c r="H484" t="str">
        <x:f>IF(E484=F484,"PASS","FAIL")</x:f>
        <x:v>PASS</x:v>
      </x:c>
    </x:row>
    <x:row r="485">
      <x:c r="B485" t="str">
        <x:v>A-00439</x:v>
      </x:c>
      <x:c r="C485" t="str">
        <x:v>GATE</x:v>
      </x:c>
      <x:c r="D485" t="str">
        <x:v>release state mirrors governing ledger</x:v>
      </x:c>
      <x:c r="E485" t="str">
        <x:f>'Release Gates'!I445</x:f>
        <x:v>PASS</x:v>
      </x:c>
      <x:c r="F485" t="str">
        <x:f>IF('Release Gates'!C445="PLANNING","PASS",IF('Release Gates'!C445="PHYSICAL","OPEN","BLOCKED"))</x:f>
        <x:v>PASS</x:v>
      </x:c>
      <x:c r="G485" t="str">
        <x:v>equals</x:v>
      </x:c>
      <x:c r="H485" t="str">
        <x:f>IF(E485=F485,"PASS","FAIL")</x:f>
        <x:v>PASS</x:v>
      </x:c>
    </x:row>
    <x:row r="486">
      <x:c r="B486" t="str">
        <x:v>A-00440</x:v>
      </x:c>
      <x:c r="C486" t="str">
        <x:v>GATE</x:v>
      </x:c>
      <x:c r="D486" t="str">
        <x:v>release state mirrors governing ledger</x:v>
      </x:c>
      <x:c r="E486" t="str">
        <x:f>'Release Gates'!I446</x:f>
        <x:v>PASS</x:v>
      </x:c>
      <x:c r="F486" t="str">
        <x:f>IF('Release Gates'!C446="PLANNING","PASS",IF('Release Gates'!C446="PHYSICAL","OPEN","BLOCKED"))</x:f>
        <x:v>PASS</x:v>
      </x:c>
      <x:c r="G486" t="str">
        <x:v>equals</x:v>
      </x:c>
      <x:c r="H486" t="str">
        <x:f>IF(E486=F486,"PASS","FAIL")</x:f>
        <x:v>PASS</x:v>
      </x:c>
    </x:row>
    <x:row r="487">
      <x:c r="B487" t="str">
        <x:v>A-00441</x:v>
      </x:c>
      <x:c r="C487" t="str">
        <x:v>GATE</x:v>
      </x:c>
      <x:c r="D487" t="str">
        <x:v>release state mirrors governing ledger</x:v>
      </x:c>
      <x:c r="E487" t="str">
        <x:f>'Release Gates'!I447</x:f>
        <x:v>PASS</x:v>
      </x:c>
      <x:c r="F487" t="str">
        <x:f>IF('Release Gates'!C447="PLANNING","PASS",IF('Release Gates'!C447="PHYSICAL","OPEN","BLOCKED"))</x:f>
        <x:v>PASS</x:v>
      </x:c>
      <x:c r="G487" t="str">
        <x:v>equals</x:v>
      </x:c>
      <x:c r="H487" t="str">
        <x:f>IF(E487=F487,"PASS","FAIL")</x:f>
        <x:v>PASS</x:v>
      </x:c>
    </x:row>
    <x:row r="488">
      <x:c r="B488" t="str">
        <x:v>A-00442</x:v>
      </x:c>
      <x:c r="C488" t="str">
        <x:v>GATE</x:v>
      </x:c>
      <x:c r="D488" t="str">
        <x:v>release state mirrors governing ledger</x:v>
      </x:c>
      <x:c r="E488" t="str">
        <x:f>'Release Gates'!I448</x:f>
        <x:v>PASS</x:v>
      </x:c>
      <x:c r="F488" t="str">
        <x:f>IF('Release Gates'!C448="PLANNING","PASS",IF('Release Gates'!C448="PHYSICAL","OPEN","BLOCKED"))</x:f>
        <x:v>PASS</x:v>
      </x:c>
      <x:c r="G488" t="str">
        <x:v>equals</x:v>
      </x:c>
      <x:c r="H488" t="str">
        <x:f>IF(E488=F488,"PASS","FAIL")</x:f>
        <x:v>PASS</x:v>
      </x:c>
    </x:row>
    <x:row r="489">
      <x:c r="B489" t="str">
        <x:v>A-00443</x:v>
      </x:c>
      <x:c r="C489" t="str">
        <x:v>GATE</x:v>
      </x:c>
      <x:c r="D489" t="str">
        <x:v>release state mirrors governing ledger</x:v>
      </x:c>
      <x:c r="E489" t="str">
        <x:f>'Release Gates'!I449</x:f>
        <x:v>PASS</x:v>
      </x:c>
      <x:c r="F489" t="str">
        <x:f>IF('Release Gates'!C449="PLANNING","PASS",IF('Release Gates'!C449="PHYSICAL","OPEN","BLOCKED"))</x:f>
        <x:v>PASS</x:v>
      </x:c>
      <x:c r="G489" t="str">
        <x:v>equals</x:v>
      </x:c>
      <x:c r="H489" t="str">
        <x:f>IF(E489=F489,"PASS","FAIL")</x:f>
        <x:v>PASS</x:v>
      </x:c>
    </x:row>
    <x:row r="490">
      <x:c r="B490" t="str">
        <x:v>A-00444</x:v>
      </x:c>
      <x:c r="C490" t="str">
        <x:v>GATE</x:v>
      </x:c>
      <x:c r="D490" t="str">
        <x:v>release state mirrors governing ledger</x:v>
      </x:c>
      <x:c r="E490" t="str">
        <x:f>'Release Gates'!I450</x:f>
        <x:v>PASS</x:v>
      </x:c>
      <x:c r="F490" t="str">
        <x:f>IF('Release Gates'!C450="PLANNING","PASS",IF('Release Gates'!C450="PHYSICAL","OPEN","BLOCKED"))</x:f>
        <x:v>PASS</x:v>
      </x:c>
      <x:c r="G490" t="str">
        <x:v>equals</x:v>
      </x:c>
      <x:c r="H490" t="str">
        <x:f>IF(E490=F490,"PASS","FAIL")</x:f>
        <x:v>PASS</x:v>
      </x:c>
    </x:row>
    <x:row r="491">
      <x:c r="B491" t="str">
        <x:v>A-00445</x:v>
      </x:c>
      <x:c r="C491" t="str">
        <x:v>GATE</x:v>
      </x:c>
      <x:c r="D491" t="str">
        <x:v>release state mirrors governing ledger</x:v>
      </x:c>
      <x:c r="E491" t="str">
        <x:f>'Release Gates'!I451</x:f>
        <x:v>PASS</x:v>
      </x:c>
      <x:c r="F491" t="str">
        <x:f>IF('Release Gates'!C451="PLANNING","PASS",IF('Release Gates'!C451="PHYSICAL","OPEN","BLOCKED"))</x:f>
        <x:v>PASS</x:v>
      </x:c>
      <x:c r="G491" t="str">
        <x:v>equals</x:v>
      </x:c>
      <x:c r="H491" t="str">
        <x:f>IF(E491=F491,"PASS","FAIL")</x:f>
        <x:v>PASS</x:v>
      </x:c>
    </x:row>
    <x:row r="492">
      <x:c r="B492" t="str">
        <x:v>A-00446</x:v>
      </x:c>
      <x:c r="C492" t="str">
        <x:v>GATE</x:v>
      </x:c>
      <x:c r="D492" t="str">
        <x:v>release state mirrors governing ledger</x:v>
      </x:c>
      <x:c r="E492" t="str">
        <x:f>'Release Gates'!I452</x:f>
        <x:v>PASS</x:v>
      </x:c>
      <x:c r="F492" t="str">
        <x:f>IF('Release Gates'!C452="PLANNING","PASS",IF('Release Gates'!C452="PHYSICAL","OPEN","BLOCKED"))</x:f>
        <x:v>PASS</x:v>
      </x:c>
      <x:c r="G492" t="str">
        <x:v>equals</x:v>
      </x:c>
      <x:c r="H492" t="str">
        <x:f>IF(E492=F492,"PASS","FAIL")</x:f>
        <x:v>PASS</x:v>
      </x:c>
    </x:row>
    <x:row r="493">
      <x:c r="B493" t="str">
        <x:v>A-00447</x:v>
      </x:c>
      <x:c r="C493" t="str">
        <x:v>GATE</x:v>
      </x:c>
      <x:c r="D493" t="str">
        <x:v>release state mirrors governing ledger</x:v>
      </x:c>
      <x:c r="E493" t="str">
        <x:f>'Release Gates'!I453</x:f>
        <x:v>PASS</x:v>
      </x:c>
      <x:c r="F493" t="str">
        <x:f>IF('Release Gates'!C453="PLANNING","PASS",IF('Release Gates'!C453="PHYSICAL","OPEN","BLOCKED"))</x:f>
        <x:v>PASS</x:v>
      </x:c>
      <x:c r="G493" t="str">
        <x:v>equals</x:v>
      </x:c>
      <x:c r="H493" t="str">
        <x:f>IF(E493=F493,"PASS","FAIL")</x:f>
        <x:v>PASS</x:v>
      </x:c>
    </x:row>
    <x:row r="494">
      <x:c r="B494" t="str">
        <x:v>A-00448</x:v>
      </x:c>
      <x:c r="C494" t="str">
        <x:v>GATE</x:v>
      </x:c>
      <x:c r="D494" t="str">
        <x:v>release state mirrors governing ledger</x:v>
      </x:c>
      <x:c r="E494" t="str">
        <x:f>'Release Gates'!I454</x:f>
        <x:v>PASS</x:v>
      </x:c>
      <x:c r="F494" t="str">
        <x:f>IF('Release Gates'!C454="PLANNING","PASS",IF('Release Gates'!C454="PHYSICAL","OPEN","BLOCKED"))</x:f>
        <x:v>PASS</x:v>
      </x:c>
      <x:c r="G494" t="str">
        <x:v>equals</x:v>
      </x:c>
      <x:c r="H494" t="str">
        <x:f>IF(E494=F494,"PASS","FAIL")</x:f>
        <x:v>PASS</x:v>
      </x:c>
    </x:row>
    <x:row r="495">
      <x:c r="B495" t="str">
        <x:v>A-00449</x:v>
      </x:c>
      <x:c r="C495" t="str">
        <x:v>GATE</x:v>
      </x:c>
      <x:c r="D495" t="str">
        <x:v>release state mirrors governing ledger</x:v>
      </x:c>
      <x:c r="E495" t="str">
        <x:f>'Release Gates'!I455</x:f>
        <x:v>PASS</x:v>
      </x:c>
      <x:c r="F495" t="str">
        <x:f>IF('Release Gates'!C455="PLANNING","PASS",IF('Release Gates'!C455="PHYSICAL","OPEN","BLOCKED"))</x:f>
        <x:v>PASS</x:v>
      </x:c>
      <x:c r="G495" t="str">
        <x:v>equals</x:v>
      </x:c>
      <x:c r="H495" t="str">
        <x:f>IF(E495=F495,"PASS","FAIL")</x:f>
        <x:v>PASS</x:v>
      </x:c>
    </x:row>
    <x:row r="496">
      <x:c r="B496" t="str">
        <x:v>A-00450</x:v>
      </x:c>
      <x:c r="C496" t="str">
        <x:v>GATE</x:v>
      </x:c>
      <x:c r="D496" t="str">
        <x:v>release state mirrors governing ledger</x:v>
      </x:c>
      <x:c r="E496" t="str">
        <x:f>'Release Gates'!I456</x:f>
        <x:v>PASS</x:v>
      </x:c>
      <x:c r="F496" t="str">
        <x:f>IF('Release Gates'!C456="PLANNING","PASS",IF('Release Gates'!C456="PHYSICAL","OPEN","BLOCKED"))</x:f>
        <x:v>PASS</x:v>
      </x:c>
      <x:c r="G496" t="str">
        <x:v>equals</x:v>
      </x:c>
      <x:c r="H496" t="str">
        <x:f>IF(E496=F496,"PASS","FAIL")</x:f>
        <x:v>PASS</x:v>
      </x:c>
    </x:row>
    <x:row r="497">
      <x:c r="B497" t="str">
        <x:v>A-00451</x:v>
      </x:c>
      <x:c r="C497" t="str">
        <x:v>GATE</x:v>
      </x:c>
      <x:c r="D497" t="str">
        <x:v>release state mirrors governing ledger</x:v>
      </x:c>
      <x:c r="E497" t="str">
        <x:f>'Release Gates'!I457</x:f>
        <x:v>PASS</x:v>
      </x:c>
      <x:c r="F497" t="str">
        <x:f>IF('Release Gates'!C457="PLANNING","PASS",IF('Release Gates'!C457="PHYSICAL","OPEN","BLOCKED"))</x:f>
        <x:v>PASS</x:v>
      </x:c>
      <x:c r="G497" t="str">
        <x:v>equals</x:v>
      </x:c>
      <x:c r="H497" t="str">
        <x:f>IF(E497=F497,"PASS","FAIL")</x:f>
        <x:v>PASS</x:v>
      </x:c>
    </x:row>
    <x:row r="498">
      <x:c r="B498" t="str">
        <x:v>A-00452</x:v>
      </x:c>
      <x:c r="C498" t="str">
        <x:v>GATE</x:v>
      </x:c>
      <x:c r="D498" t="str">
        <x:v>release state mirrors governing ledger</x:v>
      </x:c>
      <x:c r="E498" t="str">
        <x:f>'Release Gates'!I458</x:f>
        <x:v>PASS</x:v>
      </x:c>
      <x:c r="F498" t="str">
        <x:f>IF('Release Gates'!C458="PLANNING","PASS",IF('Release Gates'!C458="PHYSICAL","OPEN","BLOCKED"))</x:f>
        <x:v>PASS</x:v>
      </x:c>
      <x:c r="G498" t="str">
        <x:v>equals</x:v>
      </x:c>
      <x:c r="H498" t="str">
        <x:f>IF(E498=F498,"PASS","FAIL")</x:f>
        <x:v>PASS</x:v>
      </x:c>
    </x:row>
    <x:row r="499">
      <x:c r="B499" t="str">
        <x:v>A-00453</x:v>
      </x:c>
      <x:c r="C499" t="str">
        <x:v>GATE</x:v>
      </x:c>
      <x:c r="D499" t="str">
        <x:v>release state mirrors governing ledger</x:v>
      </x:c>
      <x:c r="E499" t="str">
        <x:f>'Release Gates'!I459</x:f>
        <x:v>PASS</x:v>
      </x:c>
      <x:c r="F499" t="str">
        <x:f>IF('Release Gates'!C459="PLANNING","PASS",IF('Release Gates'!C459="PHYSICAL","OPEN","BLOCKED"))</x:f>
        <x:v>PASS</x:v>
      </x:c>
      <x:c r="G499" t="str">
        <x:v>equals</x:v>
      </x:c>
      <x:c r="H499" t="str">
        <x:f>IF(E499=F499,"PASS","FAIL")</x:f>
        <x:v>PASS</x:v>
      </x:c>
    </x:row>
    <x:row r="500">
      <x:c r="B500" t="str">
        <x:v>A-00454</x:v>
      </x:c>
      <x:c r="C500" t="str">
        <x:v>GATE</x:v>
      </x:c>
      <x:c r="D500" t="str">
        <x:v>release state mirrors governing ledger</x:v>
      </x:c>
      <x:c r="E500" t="str">
        <x:f>'Release Gates'!I460</x:f>
        <x:v>PASS</x:v>
      </x:c>
      <x:c r="F500" t="str">
        <x:f>IF('Release Gates'!C460="PLANNING","PASS",IF('Release Gates'!C460="PHYSICAL","OPEN","BLOCKED"))</x:f>
        <x:v>PASS</x:v>
      </x:c>
      <x:c r="G500" t="str">
        <x:v>equals</x:v>
      </x:c>
      <x:c r="H500" t="str">
        <x:f>IF(E500=F500,"PASS","FAIL")</x:f>
        <x:v>PASS</x:v>
      </x:c>
    </x:row>
    <x:row r="501">
      <x:c r="B501" t="str">
        <x:v>A-00455</x:v>
      </x:c>
      <x:c r="C501" t="str">
        <x:v>GATE</x:v>
      </x:c>
      <x:c r="D501" t="str">
        <x:v>release state mirrors governing ledger</x:v>
      </x:c>
      <x:c r="E501" t="str">
        <x:f>'Release Gates'!I461</x:f>
        <x:v>PASS</x:v>
      </x:c>
      <x:c r="F501" t="str">
        <x:f>IF('Release Gates'!C461="PLANNING","PASS",IF('Release Gates'!C461="PHYSICAL","OPEN","BLOCKED"))</x:f>
        <x:v>PASS</x:v>
      </x:c>
      <x:c r="G501" t="str">
        <x:v>equals</x:v>
      </x:c>
      <x:c r="H501" t="str">
        <x:f>IF(E501=F501,"PASS","FAIL")</x:f>
        <x:v>PASS</x:v>
      </x:c>
    </x:row>
    <x:row r="502">
      <x:c r="B502" t="str">
        <x:v>A-00456</x:v>
      </x:c>
      <x:c r="C502" t="str">
        <x:v>GATE</x:v>
      </x:c>
      <x:c r="D502" t="str">
        <x:v>release state mirrors governing ledger</x:v>
      </x:c>
      <x:c r="E502" t="str">
        <x:f>'Release Gates'!I462</x:f>
        <x:v>PASS</x:v>
      </x:c>
      <x:c r="F502" t="str">
        <x:f>IF('Release Gates'!C462="PLANNING","PASS",IF('Release Gates'!C462="PHYSICAL","OPEN","BLOCKED"))</x:f>
        <x:v>PASS</x:v>
      </x:c>
      <x:c r="G502" t="str">
        <x:v>equals</x:v>
      </x:c>
      <x:c r="H502" t="str">
        <x:f>IF(E502=F502,"PASS","FAIL")</x:f>
        <x:v>PASS</x:v>
      </x:c>
    </x:row>
    <x:row r="503">
      <x:c r="B503" t="str">
        <x:v>A-00457</x:v>
      </x:c>
      <x:c r="C503" t="str">
        <x:v>GATE</x:v>
      </x:c>
      <x:c r="D503" t="str">
        <x:v>release state mirrors governing ledger</x:v>
      </x:c>
      <x:c r="E503" t="str">
        <x:f>'Release Gates'!I463</x:f>
        <x:v>PASS</x:v>
      </x:c>
      <x:c r="F503" t="str">
        <x:f>IF('Release Gates'!C463="PLANNING","PASS",IF('Release Gates'!C463="PHYSICAL","OPEN","BLOCKED"))</x:f>
        <x:v>PASS</x:v>
      </x:c>
      <x:c r="G503" t="str">
        <x:v>equals</x:v>
      </x:c>
      <x:c r="H503" t="str">
        <x:f>IF(E503=F503,"PASS","FAIL")</x:f>
        <x:v>PASS</x:v>
      </x:c>
    </x:row>
    <x:row r="504">
      <x:c r="B504" t="str">
        <x:v>A-00458</x:v>
      </x:c>
      <x:c r="C504" t="str">
        <x:v>GATE</x:v>
      </x:c>
      <x:c r="D504" t="str">
        <x:v>release state mirrors governing ledger</x:v>
      </x:c>
      <x:c r="E504" t="str">
        <x:f>'Release Gates'!I464</x:f>
        <x:v>PASS</x:v>
      </x:c>
      <x:c r="F504" t="str">
        <x:f>IF('Release Gates'!C464="PLANNING","PASS",IF('Release Gates'!C464="PHYSICAL","OPEN","BLOCKED"))</x:f>
        <x:v>PASS</x:v>
      </x:c>
      <x:c r="G504" t="str">
        <x:v>equals</x:v>
      </x:c>
      <x:c r="H504" t="str">
        <x:f>IF(E504=F504,"PASS","FAIL")</x:f>
        <x:v>PASS</x:v>
      </x:c>
    </x:row>
    <x:row r="505">
      <x:c r="B505" t="str">
        <x:v>A-00459</x:v>
      </x:c>
      <x:c r="C505" t="str">
        <x:v>GATE</x:v>
      </x:c>
      <x:c r="D505" t="str">
        <x:v>release state mirrors governing ledger</x:v>
      </x:c>
      <x:c r="E505" t="str">
        <x:f>'Release Gates'!I465</x:f>
        <x:v>PASS</x:v>
      </x:c>
      <x:c r="F505" t="str">
        <x:f>IF('Release Gates'!C465="PLANNING","PASS",IF('Release Gates'!C465="PHYSICAL","OPEN","BLOCKED"))</x:f>
        <x:v>PASS</x:v>
      </x:c>
      <x:c r="G505" t="str">
        <x:v>equals</x:v>
      </x:c>
      <x:c r="H505" t="str">
        <x:f>IF(E505=F505,"PASS","FAIL")</x:f>
        <x:v>PASS</x:v>
      </x:c>
    </x:row>
    <x:row r="506">
      <x:c r="B506" t="str">
        <x:v>A-00460</x:v>
      </x:c>
      <x:c r="C506" t="str">
        <x:v>GATE</x:v>
      </x:c>
      <x:c r="D506" t="str">
        <x:v>release state mirrors governing ledger</x:v>
      </x:c>
      <x:c r="E506" t="str">
        <x:f>'Release Gates'!I466</x:f>
        <x:v>PASS</x:v>
      </x:c>
      <x:c r="F506" t="str">
        <x:f>IF('Release Gates'!C466="PLANNING","PASS",IF('Release Gates'!C466="PHYSICAL","OPEN","BLOCKED"))</x:f>
        <x:v>PASS</x:v>
      </x:c>
      <x:c r="G506" t="str">
        <x:v>equals</x:v>
      </x:c>
      <x:c r="H506" t="str">
        <x:f>IF(E506=F506,"PASS","FAIL")</x:f>
        <x:v>PASS</x:v>
      </x:c>
    </x:row>
    <x:row r="507">
      <x:c r="B507" t="str">
        <x:v>A-00461</x:v>
      </x:c>
      <x:c r="C507" t="str">
        <x:v>GATE</x:v>
      </x:c>
      <x:c r="D507" t="str">
        <x:v>release state mirrors governing ledger</x:v>
      </x:c>
      <x:c r="E507" t="str">
        <x:f>'Release Gates'!I467</x:f>
        <x:v>PASS</x:v>
      </x:c>
      <x:c r="F507" t="str">
        <x:f>IF('Release Gates'!C467="PLANNING","PASS",IF('Release Gates'!C467="PHYSICAL","OPEN","BLOCKED"))</x:f>
        <x:v>PASS</x:v>
      </x:c>
      <x:c r="G507" t="str">
        <x:v>equals</x:v>
      </x:c>
      <x:c r="H507" t="str">
        <x:f>IF(E507=F507,"PASS","FAIL")</x:f>
        <x:v>PASS</x:v>
      </x:c>
    </x:row>
    <x:row r="508">
      <x:c r="B508" t="str">
        <x:v>A-00462</x:v>
      </x:c>
      <x:c r="C508" t="str">
        <x:v>GATE</x:v>
      </x:c>
      <x:c r="D508" t="str">
        <x:v>release state mirrors governing ledger</x:v>
      </x:c>
      <x:c r="E508" t="str">
        <x:f>'Release Gates'!I468</x:f>
        <x:v>PASS</x:v>
      </x:c>
      <x:c r="F508" t="str">
        <x:f>IF('Release Gates'!C468="PLANNING","PASS",IF('Release Gates'!C468="PHYSICAL","OPEN","BLOCKED"))</x:f>
        <x:v>PASS</x:v>
      </x:c>
      <x:c r="G508" t="str">
        <x:v>equals</x:v>
      </x:c>
      <x:c r="H508" t="str">
        <x:f>IF(E508=F508,"PASS","FAIL")</x:f>
        <x:v>PASS</x:v>
      </x:c>
    </x:row>
    <x:row r="509">
      <x:c r="B509" t="str">
        <x:v>A-00463</x:v>
      </x:c>
      <x:c r="C509" t="str">
        <x:v>GATE</x:v>
      </x:c>
      <x:c r="D509" t="str">
        <x:v>release state mirrors governing ledger</x:v>
      </x:c>
      <x:c r="E509" t="str">
        <x:f>'Release Gates'!I469</x:f>
        <x:v>PASS</x:v>
      </x:c>
      <x:c r="F509" t="str">
        <x:f>IF('Release Gates'!C469="PLANNING","PASS",IF('Release Gates'!C469="PHYSICAL","OPEN","BLOCKED"))</x:f>
        <x:v>PASS</x:v>
      </x:c>
      <x:c r="G509" t="str">
        <x:v>equals</x:v>
      </x:c>
      <x:c r="H509" t="str">
        <x:f>IF(E509=F509,"PASS","FAIL")</x:f>
        <x:v>PASS</x:v>
      </x:c>
    </x:row>
    <x:row r="510">
      <x:c r="B510" t="str">
        <x:v>A-00464</x:v>
      </x:c>
      <x:c r="C510" t="str">
        <x:v>GATE</x:v>
      </x:c>
      <x:c r="D510" t="str">
        <x:v>release state mirrors governing ledger</x:v>
      </x:c>
      <x:c r="E510" t="str">
        <x:f>'Release Gates'!I470</x:f>
        <x:v>PASS</x:v>
      </x:c>
      <x:c r="F510" t="str">
        <x:f>IF('Release Gates'!C470="PLANNING","PASS",IF('Release Gates'!C470="PHYSICAL","OPEN","BLOCKED"))</x:f>
        <x:v>PASS</x:v>
      </x:c>
      <x:c r="G510" t="str">
        <x:v>equals</x:v>
      </x:c>
      <x:c r="H510" t="str">
        <x:f>IF(E510=F510,"PASS","FAIL")</x:f>
        <x:v>PASS</x:v>
      </x:c>
    </x:row>
    <x:row r="511">
      <x:c r="B511" t="str">
        <x:v>A-00465</x:v>
      </x:c>
      <x:c r="C511" t="str">
        <x:v>GATE</x:v>
      </x:c>
      <x:c r="D511" t="str">
        <x:v>release state mirrors governing ledger</x:v>
      </x:c>
      <x:c r="E511" t="str">
        <x:f>'Release Gates'!I471</x:f>
        <x:v>PASS</x:v>
      </x:c>
      <x:c r="F511" t="str">
        <x:f>IF('Release Gates'!C471="PLANNING","PASS",IF('Release Gates'!C471="PHYSICAL","OPEN","BLOCKED"))</x:f>
        <x:v>PASS</x:v>
      </x:c>
      <x:c r="G511" t="str">
        <x:v>equals</x:v>
      </x:c>
      <x:c r="H511" t="str">
        <x:f>IF(E511=F511,"PASS","FAIL")</x:f>
        <x:v>PASS</x:v>
      </x:c>
    </x:row>
    <x:row r="512">
      <x:c r="B512" t="str">
        <x:v>A-00466</x:v>
      </x:c>
      <x:c r="C512" t="str">
        <x:v>GATE</x:v>
      </x:c>
      <x:c r="D512" t="str">
        <x:v>release state mirrors governing ledger</x:v>
      </x:c>
      <x:c r="E512" t="str">
        <x:f>'Release Gates'!I472</x:f>
        <x:v>PASS</x:v>
      </x:c>
      <x:c r="F512" t="str">
        <x:f>IF('Release Gates'!C472="PLANNING","PASS",IF('Release Gates'!C472="PHYSICAL","OPEN","BLOCKED"))</x:f>
        <x:v>PASS</x:v>
      </x:c>
      <x:c r="G512" t="str">
        <x:v>equals</x:v>
      </x:c>
      <x:c r="H512" t="str">
        <x:f>IF(E512=F512,"PASS","FAIL")</x:f>
        <x:v>PASS</x:v>
      </x:c>
    </x:row>
    <x:row r="513">
      <x:c r="B513" t="str">
        <x:v>A-00467</x:v>
      </x:c>
      <x:c r="C513" t="str">
        <x:v>GATE</x:v>
      </x:c>
      <x:c r="D513" t="str">
        <x:v>release state mirrors governing ledger</x:v>
      </x:c>
      <x:c r="E513" t="str">
        <x:f>'Release Gates'!I473</x:f>
        <x:v>PASS</x:v>
      </x:c>
      <x:c r="F513" t="str">
        <x:f>IF('Release Gates'!C473="PLANNING","PASS",IF('Release Gates'!C473="PHYSICAL","OPEN","BLOCKED"))</x:f>
        <x:v>PASS</x:v>
      </x:c>
      <x:c r="G513" t="str">
        <x:v>equals</x:v>
      </x:c>
      <x:c r="H513" t="str">
        <x:f>IF(E513=F513,"PASS","FAIL")</x:f>
        <x:v>PASS</x:v>
      </x:c>
    </x:row>
    <x:row r="514">
      <x:c r="B514" t="str">
        <x:v>A-00468</x:v>
      </x:c>
      <x:c r="C514" t="str">
        <x:v>GATE</x:v>
      </x:c>
      <x:c r="D514" t="str">
        <x:v>release state mirrors governing ledger</x:v>
      </x:c>
      <x:c r="E514" t="str">
        <x:f>'Release Gates'!I474</x:f>
        <x:v>PASS</x:v>
      </x:c>
      <x:c r="F514" t="str">
        <x:f>IF('Release Gates'!C474="PLANNING","PASS",IF('Release Gates'!C474="PHYSICAL","OPEN","BLOCKED"))</x:f>
        <x:v>PASS</x:v>
      </x:c>
      <x:c r="G514" t="str">
        <x:v>equals</x:v>
      </x:c>
      <x:c r="H514" t="str">
        <x:f>IF(E514=F514,"PASS","FAIL")</x:f>
        <x:v>PASS</x:v>
      </x:c>
    </x:row>
    <x:row r="515">
      <x:c r="B515" t="str">
        <x:v>A-00469</x:v>
      </x:c>
      <x:c r="C515" t="str">
        <x:v>GATE</x:v>
      </x:c>
      <x:c r="D515" t="str">
        <x:v>release state mirrors governing ledger</x:v>
      </x:c>
      <x:c r="E515" t="str">
        <x:f>'Release Gates'!I475</x:f>
        <x:v>PASS</x:v>
      </x:c>
      <x:c r="F515" t="str">
        <x:f>IF('Release Gates'!C475="PLANNING","PASS",IF('Release Gates'!C475="PHYSICAL","OPEN","BLOCKED"))</x:f>
        <x:v>PASS</x:v>
      </x:c>
      <x:c r="G515" t="str">
        <x:v>equals</x:v>
      </x:c>
      <x:c r="H515" t="str">
        <x:f>IF(E515=F515,"PASS","FAIL")</x:f>
        <x:v>PASS</x:v>
      </x:c>
    </x:row>
    <x:row r="516">
      <x:c r="B516" t="str">
        <x:v>A-00470</x:v>
      </x:c>
      <x:c r="C516" t="str">
        <x:v>GATE</x:v>
      </x:c>
      <x:c r="D516" t="str">
        <x:v>release state mirrors governing ledger</x:v>
      </x:c>
      <x:c r="E516" t="str">
        <x:f>'Release Gates'!I476</x:f>
        <x:v>PASS</x:v>
      </x:c>
      <x:c r="F516" t="str">
        <x:f>IF('Release Gates'!C476="PLANNING","PASS",IF('Release Gates'!C476="PHYSICAL","OPEN","BLOCKED"))</x:f>
        <x:v>PASS</x:v>
      </x:c>
      <x:c r="G516" t="str">
        <x:v>equals</x:v>
      </x:c>
      <x:c r="H516" t="str">
        <x:f>IF(E516=F516,"PASS","FAIL")</x:f>
        <x:v>PASS</x:v>
      </x:c>
    </x:row>
    <x:row r="517">
      <x:c r="B517" t="str">
        <x:v>A-00471</x:v>
      </x:c>
      <x:c r="C517" t="str">
        <x:v>GATE</x:v>
      </x:c>
      <x:c r="D517" t="str">
        <x:v>release state mirrors governing ledger</x:v>
      </x:c>
      <x:c r="E517" t="str">
        <x:f>'Release Gates'!I477</x:f>
        <x:v>PASS</x:v>
      </x:c>
      <x:c r="F517" t="str">
        <x:f>IF('Release Gates'!C477="PLANNING","PASS",IF('Release Gates'!C477="PHYSICAL","OPEN","BLOCKED"))</x:f>
        <x:v>PASS</x:v>
      </x:c>
      <x:c r="G517" t="str">
        <x:v>equals</x:v>
      </x:c>
      <x:c r="H517" t="str">
        <x:f>IF(E517=F517,"PASS","FAIL")</x:f>
        <x:v>PASS</x:v>
      </x:c>
    </x:row>
    <x:row r="518">
      <x:c r="B518" t="str">
        <x:v>A-00472</x:v>
      </x:c>
      <x:c r="C518" t="str">
        <x:v>GATE</x:v>
      </x:c>
      <x:c r="D518" t="str">
        <x:v>release state mirrors governing ledger</x:v>
      </x:c>
      <x:c r="E518" t="str">
        <x:f>'Release Gates'!I478</x:f>
        <x:v>PASS</x:v>
      </x:c>
      <x:c r="F518" t="str">
        <x:f>IF('Release Gates'!C478="PLANNING","PASS",IF('Release Gates'!C478="PHYSICAL","OPEN","BLOCKED"))</x:f>
        <x:v>PASS</x:v>
      </x:c>
      <x:c r="G518" t="str">
        <x:v>equals</x:v>
      </x:c>
      <x:c r="H518" t="str">
        <x:f>IF(E518=F518,"PASS","FAIL")</x:f>
        <x:v>PASS</x:v>
      </x:c>
    </x:row>
    <x:row r="519">
      <x:c r="B519" t="str">
        <x:v>A-00473</x:v>
      </x:c>
      <x:c r="C519" t="str">
        <x:v>GATE</x:v>
      </x:c>
      <x:c r="D519" t="str">
        <x:v>release state mirrors governing ledger</x:v>
      </x:c>
      <x:c r="E519" t="str">
        <x:f>'Release Gates'!I479</x:f>
        <x:v>PASS</x:v>
      </x:c>
      <x:c r="F519" t="str">
        <x:f>IF('Release Gates'!C479="PLANNING","PASS",IF('Release Gates'!C479="PHYSICAL","OPEN","BLOCKED"))</x:f>
        <x:v>PASS</x:v>
      </x:c>
      <x:c r="G519" t="str">
        <x:v>equals</x:v>
      </x:c>
      <x:c r="H519" t="str">
        <x:f>IF(E519=F519,"PASS","FAIL")</x:f>
        <x:v>PASS</x:v>
      </x:c>
    </x:row>
    <x:row r="520">
      <x:c r="B520" t="str">
        <x:v>A-00474</x:v>
      </x:c>
      <x:c r="C520" t="str">
        <x:v>GATE</x:v>
      </x:c>
      <x:c r="D520" t="str">
        <x:v>release state mirrors governing ledger</x:v>
      </x:c>
      <x:c r="E520" t="str">
        <x:f>'Release Gates'!I480</x:f>
        <x:v>PASS</x:v>
      </x:c>
      <x:c r="F520" t="str">
        <x:f>IF('Release Gates'!C480="PLANNING","PASS",IF('Release Gates'!C480="PHYSICAL","OPEN","BLOCKED"))</x:f>
        <x:v>PASS</x:v>
      </x:c>
      <x:c r="G520" t="str">
        <x:v>equals</x:v>
      </x:c>
      <x:c r="H520" t="str">
        <x:f>IF(E520=F520,"PASS","FAIL")</x:f>
        <x:v>PASS</x:v>
      </x:c>
    </x:row>
    <x:row r="521">
      <x:c r="B521" t="str">
        <x:v>A-00475</x:v>
      </x:c>
      <x:c r="C521" t="str">
        <x:v>GATE</x:v>
      </x:c>
      <x:c r="D521" t="str">
        <x:v>release state mirrors governing ledger</x:v>
      </x:c>
      <x:c r="E521" t="str">
        <x:f>'Release Gates'!I481</x:f>
        <x:v>PASS</x:v>
      </x:c>
      <x:c r="F521" t="str">
        <x:f>IF('Release Gates'!C481="PLANNING","PASS",IF('Release Gates'!C481="PHYSICAL","OPEN","BLOCKED"))</x:f>
        <x:v>PASS</x:v>
      </x:c>
      <x:c r="G521" t="str">
        <x:v>equals</x:v>
      </x:c>
      <x:c r="H521" t="str">
        <x:f>IF(E521=F521,"PASS","FAIL")</x:f>
        <x:v>PASS</x:v>
      </x:c>
    </x:row>
    <x:row r="522">
      <x:c r="B522" t="str">
        <x:v>A-00476</x:v>
      </x:c>
      <x:c r="C522" t="str">
        <x:v>GATE</x:v>
      </x:c>
      <x:c r="D522" t="str">
        <x:v>release state mirrors governing ledger</x:v>
      </x:c>
      <x:c r="E522" t="str">
        <x:f>'Release Gates'!I482</x:f>
        <x:v>PASS</x:v>
      </x:c>
      <x:c r="F522" t="str">
        <x:f>IF('Release Gates'!C482="PLANNING","PASS",IF('Release Gates'!C482="PHYSICAL","OPEN","BLOCKED"))</x:f>
        <x:v>PASS</x:v>
      </x:c>
      <x:c r="G522" t="str">
        <x:v>equals</x:v>
      </x:c>
      <x:c r="H522" t="str">
        <x:f>IF(E522=F522,"PASS","FAIL")</x:f>
        <x:v>PASS</x:v>
      </x:c>
    </x:row>
    <x:row r="523">
      <x:c r="B523" t="str">
        <x:v>A-00477</x:v>
      </x:c>
      <x:c r="C523" t="str">
        <x:v>GATE</x:v>
      </x:c>
      <x:c r="D523" t="str">
        <x:v>release state mirrors governing ledger</x:v>
      </x:c>
      <x:c r="E523" t="str">
        <x:f>'Release Gates'!I483</x:f>
        <x:v>PASS</x:v>
      </x:c>
      <x:c r="F523" t="str">
        <x:f>IF('Release Gates'!C483="PLANNING","PASS",IF('Release Gates'!C483="PHYSICAL","OPEN","BLOCKED"))</x:f>
        <x:v>PASS</x:v>
      </x:c>
      <x:c r="G523" t="str">
        <x:v>equals</x:v>
      </x:c>
      <x:c r="H523" t="str">
        <x:f>IF(E523=F523,"PASS","FAIL")</x:f>
        <x:v>PASS</x:v>
      </x:c>
    </x:row>
    <x:row r="524">
      <x:c r="B524" t="str">
        <x:v>A-00478</x:v>
      </x:c>
      <x:c r="C524" t="str">
        <x:v>GATE</x:v>
      </x:c>
      <x:c r="D524" t="str">
        <x:v>release state mirrors governing ledger</x:v>
      </x:c>
      <x:c r="E524" t="str">
        <x:f>'Release Gates'!I484</x:f>
        <x:v>PASS</x:v>
      </x:c>
      <x:c r="F524" t="str">
        <x:f>IF('Release Gates'!C484="PLANNING","PASS",IF('Release Gates'!C484="PHYSICAL","OPEN","BLOCKED"))</x:f>
        <x:v>PASS</x:v>
      </x:c>
      <x:c r="G524" t="str">
        <x:v>equals</x:v>
      </x:c>
      <x:c r="H524" t="str">
        <x:f>IF(E524=F524,"PASS","FAIL")</x:f>
        <x:v>PASS</x:v>
      </x:c>
    </x:row>
    <x:row r="525">
      <x:c r="B525" t="str">
        <x:v>A-00479</x:v>
      </x:c>
      <x:c r="C525" t="str">
        <x:v>GATE</x:v>
      </x:c>
      <x:c r="D525" t="str">
        <x:v>release state mirrors governing ledger</x:v>
      </x:c>
      <x:c r="E525" t="str">
        <x:f>'Release Gates'!I485</x:f>
        <x:v>PASS</x:v>
      </x:c>
      <x:c r="F525" t="str">
        <x:f>IF('Release Gates'!C485="PLANNING","PASS",IF('Release Gates'!C485="PHYSICAL","OPEN","BLOCKED"))</x:f>
        <x:v>PASS</x:v>
      </x:c>
      <x:c r="G525" t="str">
        <x:v>equals</x:v>
      </x:c>
      <x:c r="H525" t="str">
        <x:f>IF(E525=F525,"PASS","FAIL")</x:f>
        <x:v>PASS</x:v>
      </x:c>
    </x:row>
    <x:row r="526">
      <x:c r="B526" t="str">
        <x:v>A-00480</x:v>
      </x:c>
      <x:c r="C526" t="str">
        <x:v>GATE</x:v>
      </x:c>
      <x:c r="D526" t="str">
        <x:v>release state mirrors governing ledger</x:v>
      </x:c>
      <x:c r="E526" t="str">
        <x:f>'Release Gates'!I486</x:f>
        <x:v>PASS</x:v>
      </x:c>
      <x:c r="F526" t="str">
        <x:f>IF('Release Gates'!C486="PLANNING","PASS",IF('Release Gates'!C486="PHYSICAL","OPEN","BLOCKED"))</x:f>
        <x:v>PASS</x:v>
      </x:c>
      <x:c r="G526" t="str">
        <x:v>equals</x:v>
      </x:c>
      <x:c r="H526" t="str">
        <x:f>IF(E526=F526,"PASS","FAIL")</x:f>
        <x:v>PASS</x:v>
      </x:c>
    </x:row>
    <x:row r="527">
      <x:c r="B527" t="str">
        <x:v>A-00481</x:v>
      </x:c>
      <x:c r="C527" t="str">
        <x:v>GATE</x:v>
      </x:c>
      <x:c r="D527" t="str">
        <x:v>release state mirrors governing ledger</x:v>
      </x:c>
      <x:c r="E527" t="str">
        <x:f>'Release Gates'!I487</x:f>
        <x:v>PASS</x:v>
      </x:c>
      <x:c r="F527" t="str">
        <x:f>IF('Release Gates'!C487="PLANNING","PASS",IF('Release Gates'!C487="PHYSICAL","OPEN","BLOCKED"))</x:f>
        <x:v>PASS</x:v>
      </x:c>
      <x:c r="G527" t="str">
        <x:v>equals</x:v>
      </x:c>
      <x:c r="H527" t="str">
        <x:f>IF(E527=F527,"PASS","FAIL")</x:f>
        <x:v>PASS</x:v>
      </x:c>
    </x:row>
    <x:row r="528">
      <x:c r="B528" t="str">
        <x:v>A-00482</x:v>
      </x:c>
      <x:c r="C528" t="str">
        <x:v>GATE</x:v>
      </x:c>
      <x:c r="D528" t="str">
        <x:v>release state mirrors governing ledger</x:v>
      </x:c>
      <x:c r="E528" t="str">
        <x:f>'Release Gates'!I488</x:f>
        <x:v>PASS</x:v>
      </x:c>
      <x:c r="F528" t="str">
        <x:f>IF('Release Gates'!C488="PLANNING","PASS",IF('Release Gates'!C488="PHYSICAL","OPEN","BLOCKED"))</x:f>
        <x:v>PASS</x:v>
      </x:c>
      <x:c r="G528" t="str">
        <x:v>equals</x:v>
      </x:c>
      <x:c r="H528" t="str">
        <x:f>IF(E528=F528,"PASS","FAIL")</x:f>
        <x:v>PASS</x:v>
      </x:c>
    </x:row>
    <x:row r="529">
      <x:c r="B529" t="str">
        <x:v>A-00483</x:v>
      </x:c>
      <x:c r="C529" t="str">
        <x:v>GATE</x:v>
      </x:c>
      <x:c r="D529" t="str">
        <x:v>release state mirrors governing ledger</x:v>
      </x:c>
      <x:c r="E529" t="str">
        <x:f>'Release Gates'!I489</x:f>
        <x:v>PASS</x:v>
      </x:c>
      <x:c r="F529" t="str">
        <x:f>IF('Release Gates'!C489="PLANNING","PASS",IF('Release Gates'!C489="PHYSICAL","OPEN","BLOCKED"))</x:f>
        <x:v>PASS</x:v>
      </x:c>
      <x:c r="G529" t="str">
        <x:v>equals</x:v>
      </x:c>
      <x:c r="H529" t="str">
        <x:f>IF(E529=F529,"PASS","FAIL")</x:f>
        <x:v>PASS</x:v>
      </x:c>
    </x:row>
    <x:row r="530">
      <x:c r="B530" t="str">
        <x:v>A-00484</x:v>
      </x:c>
      <x:c r="C530" t="str">
        <x:v>GATE</x:v>
      </x:c>
      <x:c r="D530" t="str">
        <x:v>release state mirrors governing ledger</x:v>
      </x:c>
      <x:c r="E530" t="str">
        <x:f>'Release Gates'!I490</x:f>
        <x:v>PASS</x:v>
      </x:c>
      <x:c r="F530" t="str">
        <x:f>IF('Release Gates'!C490="PLANNING","PASS",IF('Release Gates'!C490="PHYSICAL","OPEN","BLOCKED"))</x:f>
        <x:v>PASS</x:v>
      </x:c>
      <x:c r="G530" t="str">
        <x:v>equals</x:v>
      </x:c>
      <x:c r="H530" t="str">
        <x:f>IF(E530=F530,"PASS","FAIL")</x:f>
        <x:v>PASS</x:v>
      </x:c>
    </x:row>
    <x:row r="531">
      <x:c r="B531" t="str">
        <x:v>A-00485</x:v>
      </x:c>
      <x:c r="C531" t="str">
        <x:v>GATE</x:v>
      </x:c>
      <x:c r="D531" t="str">
        <x:v>release state mirrors governing ledger</x:v>
      </x:c>
      <x:c r="E531" t="str">
        <x:f>'Release Gates'!I491</x:f>
        <x:v>PASS</x:v>
      </x:c>
      <x:c r="F531" t="str">
        <x:f>IF('Release Gates'!C491="PLANNING","PASS",IF('Release Gates'!C491="PHYSICAL","OPEN","BLOCKED"))</x:f>
        <x:v>PASS</x:v>
      </x:c>
      <x:c r="G531" t="str">
        <x:v>equals</x:v>
      </x:c>
      <x:c r="H531" t="str">
        <x:f>IF(E531=F531,"PASS","FAIL")</x:f>
        <x:v>PASS</x:v>
      </x:c>
    </x:row>
    <x:row r="532">
      <x:c r="B532" t="str">
        <x:v>A-00486</x:v>
      </x:c>
      <x:c r="C532" t="str">
        <x:v>GATE</x:v>
      </x:c>
      <x:c r="D532" t="str">
        <x:v>release state mirrors governing ledger</x:v>
      </x:c>
      <x:c r="E532" t="str">
        <x:f>'Release Gates'!I492</x:f>
        <x:v>PASS</x:v>
      </x:c>
      <x:c r="F532" t="str">
        <x:f>IF('Release Gates'!C492="PLANNING","PASS",IF('Release Gates'!C492="PHYSICAL","OPEN","BLOCKED"))</x:f>
        <x:v>PASS</x:v>
      </x:c>
      <x:c r="G532" t="str">
        <x:v>equals</x:v>
      </x:c>
      <x:c r="H532" t="str">
        <x:f>IF(E532=F532,"PASS","FAIL")</x:f>
        <x:v>PASS</x:v>
      </x:c>
    </x:row>
    <x:row r="533">
      <x:c r="B533" t="str">
        <x:v>A-00487</x:v>
      </x:c>
      <x:c r="C533" t="str">
        <x:v>GATE</x:v>
      </x:c>
      <x:c r="D533" t="str">
        <x:v>release state mirrors governing ledger</x:v>
      </x:c>
      <x:c r="E533" t="str">
        <x:f>'Release Gates'!I493</x:f>
        <x:v>PASS</x:v>
      </x:c>
      <x:c r="F533" t="str">
        <x:f>IF('Release Gates'!C493="PLANNING","PASS",IF('Release Gates'!C493="PHYSICAL","OPEN","BLOCKED"))</x:f>
        <x:v>PASS</x:v>
      </x:c>
      <x:c r="G533" t="str">
        <x:v>equals</x:v>
      </x:c>
      <x:c r="H533" t="str">
        <x:f>IF(E533=F533,"PASS","FAIL")</x:f>
        <x:v>PASS</x:v>
      </x:c>
    </x:row>
    <x:row r="534">
      <x:c r="B534" t="str">
        <x:v>A-00488</x:v>
      </x:c>
      <x:c r="C534" t="str">
        <x:v>GATE</x:v>
      </x:c>
      <x:c r="D534" t="str">
        <x:v>release state mirrors governing ledger</x:v>
      </x:c>
      <x:c r="E534" t="str">
        <x:f>'Release Gates'!I494</x:f>
        <x:v>PASS</x:v>
      </x:c>
      <x:c r="F534" t="str">
        <x:f>IF('Release Gates'!C494="PLANNING","PASS",IF('Release Gates'!C494="PHYSICAL","OPEN","BLOCKED"))</x:f>
        <x:v>PASS</x:v>
      </x:c>
      <x:c r="G534" t="str">
        <x:v>equals</x:v>
      </x:c>
      <x:c r="H534" t="str">
        <x:f>IF(E534=F534,"PASS","FAIL")</x:f>
        <x:v>PASS</x:v>
      </x:c>
    </x:row>
    <x:row r="535">
      <x:c r="B535" t="str">
        <x:v>A-00489</x:v>
      </x:c>
      <x:c r="C535" t="str">
        <x:v>GATE</x:v>
      </x:c>
      <x:c r="D535" t="str">
        <x:v>release state mirrors governing ledger</x:v>
      </x:c>
      <x:c r="E535" t="str">
        <x:f>'Release Gates'!I495</x:f>
        <x:v>PASS</x:v>
      </x:c>
      <x:c r="F535" t="str">
        <x:f>IF('Release Gates'!C495="PLANNING","PASS",IF('Release Gates'!C495="PHYSICAL","OPEN","BLOCKED"))</x:f>
        <x:v>PASS</x:v>
      </x:c>
      <x:c r="G535" t="str">
        <x:v>equals</x:v>
      </x:c>
      <x:c r="H535" t="str">
        <x:f>IF(E535=F535,"PASS","FAIL")</x:f>
        <x:v>PASS</x:v>
      </x:c>
    </x:row>
    <x:row r="536">
      <x:c r="B536" t="str">
        <x:v>A-00490</x:v>
      </x:c>
      <x:c r="C536" t="str">
        <x:v>GATE</x:v>
      </x:c>
      <x:c r="D536" t="str">
        <x:v>release state mirrors governing ledger</x:v>
      </x:c>
      <x:c r="E536" t="str">
        <x:f>'Release Gates'!I496</x:f>
        <x:v>PASS</x:v>
      </x:c>
      <x:c r="F536" t="str">
        <x:f>IF('Release Gates'!C496="PLANNING","PASS",IF('Release Gates'!C496="PHYSICAL","OPEN","BLOCKED"))</x:f>
        <x:v>PASS</x:v>
      </x:c>
      <x:c r="G536" t="str">
        <x:v>equals</x:v>
      </x:c>
      <x:c r="H536" t="str">
        <x:f>IF(E536=F536,"PASS","FAIL")</x:f>
        <x:v>PASS</x:v>
      </x:c>
    </x:row>
    <x:row r="537">
      <x:c r="B537" t="str">
        <x:v>A-00491</x:v>
      </x:c>
      <x:c r="C537" t="str">
        <x:v>GATE</x:v>
      </x:c>
      <x:c r="D537" t="str">
        <x:v>release state mirrors governing ledger</x:v>
      </x:c>
      <x:c r="E537" t="str">
        <x:f>'Release Gates'!I497</x:f>
        <x:v>PASS</x:v>
      </x:c>
      <x:c r="F537" t="str">
        <x:f>IF('Release Gates'!C497="PLANNING","PASS",IF('Release Gates'!C497="PHYSICAL","OPEN","BLOCKED"))</x:f>
        <x:v>PASS</x:v>
      </x:c>
      <x:c r="G537" t="str">
        <x:v>equals</x:v>
      </x:c>
      <x:c r="H537" t="str">
        <x:f>IF(E537=F537,"PASS","FAIL")</x:f>
        <x:v>PASS</x:v>
      </x:c>
    </x:row>
    <x:row r="538">
      <x:c r="B538" t="str">
        <x:v>A-00492</x:v>
      </x:c>
      <x:c r="C538" t="str">
        <x:v>GATE</x:v>
      </x:c>
      <x:c r="D538" t="str">
        <x:v>release state mirrors governing ledger</x:v>
      </x:c>
      <x:c r="E538" t="str">
        <x:f>'Release Gates'!I498</x:f>
        <x:v>PASS</x:v>
      </x:c>
      <x:c r="F538" t="str">
        <x:f>IF('Release Gates'!C498="PLANNING","PASS",IF('Release Gates'!C498="PHYSICAL","OPEN","BLOCKED"))</x:f>
        <x:v>PASS</x:v>
      </x:c>
      <x:c r="G538" t="str">
        <x:v>equals</x:v>
      </x:c>
      <x:c r="H538" t="str">
        <x:f>IF(E538=F538,"PASS","FAIL")</x:f>
        <x:v>PASS</x:v>
      </x:c>
    </x:row>
    <x:row r="539">
      <x:c r="B539" t="str">
        <x:v>A-00493</x:v>
      </x:c>
      <x:c r="C539" t="str">
        <x:v>GATE</x:v>
      </x:c>
      <x:c r="D539" t="str">
        <x:v>release state mirrors governing ledger</x:v>
      </x:c>
      <x:c r="E539" t="str">
        <x:f>'Release Gates'!I499</x:f>
        <x:v>PASS</x:v>
      </x:c>
      <x:c r="F539" t="str">
        <x:f>IF('Release Gates'!C499="PLANNING","PASS",IF('Release Gates'!C499="PHYSICAL","OPEN","BLOCKED"))</x:f>
        <x:v>PASS</x:v>
      </x:c>
      <x:c r="G539" t="str">
        <x:v>equals</x:v>
      </x:c>
      <x:c r="H539" t="str">
        <x:f>IF(E539=F539,"PASS","FAIL")</x:f>
        <x:v>PASS</x:v>
      </x:c>
    </x:row>
    <x:row r="540">
      <x:c r="B540" t="str">
        <x:v>A-00494</x:v>
      </x:c>
      <x:c r="C540" t="str">
        <x:v>GATE</x:v>
      </x:c>
      <x:c r="D540" t="str">
        <x:v>release state mirrors governing ledger</x:v>
      </x:c>
      <x:c r="E540" t="str">
        <x:f>'Release Gates'!I500</x:f>
        <x:v>PASS</x:v>
      </x:c>
      <x:c r="F540" t="str">
        <x:f>IF('Release Gates'!C500="PLANNING","PASS",IF('Release Gates'!C500="PHYSICAL","OPEN","BLOCKED"))</x:f>
        <x:v>PASS</x:v>
      </x:c>
      <x:c r="G540" t="str">
        <x:v>equals</x:v>
      </x:c>
      <x:c r="H540" t="str">
        <x:f>IF(E540=F540,"PASS","FAIL")</x:f>
        <x:v>PASS</x:v>
      </x:c>
    </x:row>
    <x:row r="541">
      <x:c r="B541" t="str">
        <x:v>A-00495</x:v>
      </x:c>
      <x:c r="C541" t="str">
        <x:v>GATE</x:v>
      </x:c>
      <x:c r="D541" t="str">
        <x:v>release state mirrors governing ledger</x:v>
      </x:c>
      <x:c r="E541" t="str">
        <x:f>'Release Gates'!I501</x:f>
        <x:v>PASS</x:v>
      </x:c>
      <x:c r="F541" t="str">
        <x:f>IF('Release Gates'!C501="PLANNING","PASS",IF('Release Gates'!C501="PHYSICAL","OPEN","BLOCKED"))</x:f>
        <x:v>PASS</x:v>
      </x:c>
      <x:c r="G541" t="str">
        <x:v>equals</x:v>
      </x:c>
      <x:c r="H541" t="str">
        <x:f>IF(E541=F541,"PASS","FAIL")</x:f>
        <x:v>PASS</x:v>
      </x:c>
    </x:row>
    <x:row r="542">
      <x:c r="B542" t="str">
        <x:v>A-00496</x:v>
      </x:c>
      <x:c r="C542" t="str">
        <x:v>GATE</x:v>
      </x:c>
      <x:c r="D542" t="str">
        <x:v>release state mirrors governing ledger</x:v>
      </x:c>
      <x:c r="E542" t="str">
        <x:f>'Release Gates'!I502</x:f>
        <x:v>PASS</x:v>
      </x:c>
      <x:c r="F542" t="str">
        <x:f>IF('Release Gates'!C502="PLANNING","PASS",IF('Release Gates'!C502="PHYSICAL","OPEN","BLOCKED"))</x:f>
        <x:v>PASS</x:v>
      </x:c>
      <x:c r="G542" t="str">
        <x:v>equals</x:v>
      </x:c>
      <x:c r="H542" t="str">
        <x:f>IF(E542=F542,"PASS","FAIL")</x:f>
        <x:v>PASS</x:v>
      </x:c>
    </x:row>
    <x:row r="543">
      <x:c r="B543" t="str">
        <x:v>A-00497</x:v>
      </x:c>
      <x:c r="C543" t="str">
        <x:v>GATE</x:v>
      </x:c>
      <x:c r="D543" t="str">
        <x:v>release state mirrors governing ledger</x:v>
      </x:c>
      <x:c r="E543" t="str">
        <x:f>'Release Gates'!I503</x:f>
        <x:v>PASS</x:v>
      </x:c>
      <x:c r="F543" t="str">
        <x:f>IF('Release Gates'!C503="PLANNING","PASS",IF('Release Gates'!C503="PHYSICAL","OPEN","BLOCKED"))</x:f>
        <x:v>PASS</x:v>
      </x:c>
      <x:c r="G543" t="str">
        <x:v>equals</x:v>
      </x:c>
      <x:c r="H543" t="str">
        <x:f>IF(E543=F543,"PASS","FAIL")</x:f>
        <x:v>PASS</x:v>
      </x:c>
    </x:row>
    <x:row r="544">
      <x:c r="B544" t="str">
        <x:v>A-00498</x:v>
      </x:c>
      <x:c r="C544" t="str">
        <x:v>GATE</x:v>
      </x:c>
      <x:c r="D544" t="str">
        <x:v>release state mirrors governing ledger</x:v>
      </x:c>
      <x:c r="E544" t="str">
        <x:f>'Release Gates'!I504</x:f>
        <x:v>PASS</x:v>
      </x:c>
      <x:c r="F544" t="str">
        <x:f>IF('Release Gates'!C504="PLANNING","PASS",IF('Release Gates'!C504="PHYSICAL","OPEN","BLOCKED"))</x:f>
        <x:v>PASS</x:v>
      </x:c>
      <x:c r="G544" t="str">
        <x:v>equals</x:v>
      </x:c>
      <x:c r="H544" t="str">
        <x:f>IF(E544=F544,"PASS","FAIL")</x:f>
        <x:v>PASS</x:v>
      </x:c>
    </x:row>
    <x:row r="545">
      <x:c r="B545" t="str">
        <x:v>A-00499</x:v>
      </x:c>
      <x:c r="C545" t="str">
        <x:v>GATE</x:v>
      </x:c>
      <x:c r="D545" t="str">
        <x:v>release state mirrors governing ledger</x:v>
      </x:c>
      <x:c r="E545" t="str">
        <x:f>'Release Gates'!I505</x:f>
        <x:v>PASS</x:v>
      </x:c>
      <x:c r="F545" t="str">
        <x:f>IF('Release Gates'!C505="PLANNING","PASS",IF('Release Gates'!C505="PHYSICAL","OPEN","BLOCKED"))</x:f>
        <x:v>PASS</x:v>
      </x:c>
      <x:c r="G545" t="str">
        <x:v>equals</x:v>
      </x:c>
      <x:c r="H545" t="str">
        <x:f>IF(E545=F545,"PASS","FAIL")</x:f>
        <x:v>PASS</x:v>
      </x:c>
    </x:row>
    <x:row r="546">
      <x:c r="B546" t="str">
        <x:v>A-00500</x:v>
      </x:c>
      <x:c r="C546" t="str">
        <x:v>GATE</x:v>
      </x:c>
      <x:c r="D546" t="str">
        <x:v>release state mirrors governing ledger</x:v>
      </x:c>
      <x:c r="E546" t="str">
        <x:f>'Release Gates'!I506</x:f>
        <x:v>PASS</x:v>
      </x:c>
      <x:c r="F546" t="str">
        <x:f>IF('Release Gates'!C506="PLANNING","PASS",IF('Release Gates'!C506="PHYSICAL","OPEN","BLOCKED"))</x:f>
        <x:v>PASS</x:v>
      </x:c>
      <x:c r="G546" t="str">
        <x:v>equals</x:v>
      </x:c>
      <x:c r="H546" t="str">
        <x:f>IF(E546=F546,"PASS","FAIL")</x:f>
        <x:v>PASS</x:v>
      </x:c>
    </x:row>
    <x:row r="547">
      <x:c r="B547" t="str">
        <x:v>A-00501</x:v>
      </x:c>
      <x:c r="C547" t="str">
        <x:v>GATE</x:v>
      </x:c>
      <x:c r="D547" t="str">
        <x:v>release state mirrors governing ledger</x:v>
      </x:c>
      <x:c r="E547" t="str">
        <x:f>'Release Gates'!I507</x:f>
        <x:v>PASS</x:v>
      </x:c>
      <x:c r="F547" t="str">
        <x:f>IF('Release Gates'!C507="PLANNING","PASS",IF('Release Gates'!C507="PHYSICAL","OPEN","BLOCKED"))</x:f>
        <x:v>PASS</x:v>
      </x:c>
      <x:c r="G547" t="str">
        <x:v>equals</x:v>
      </x:c>
      <x:c r="H547" t="str">
        <x:f>IF(E547=F547,"PASS","FAIL")</x:f>
        <x:v>PASS</x:v>
      </x:c>
    </x:row>
    <x:row r="548">
      <x:c r="B548" t="str">
        <x:v>A-00502</x:v>
      </x:c>
      <x:c r="C548" t="str">
        <x:v>GATE</x:v>
      </x:c>
      <x:c r="D548" t="str">
        <x:v>release state mirrors governing ledger</x:v>
      </x:c>
      <x:c r="E548" t="str">
        <x:f>'Release Gates'!I508</x:f>
        <x:v>PASS</x:v>
      </x:c>
      <x:c r="F548" t="str">
        <x:f>IF('Release Gates'!C508="PLANNING","PASS",IF('Release Gates'!C508="PHYSICAL","OPEN","BLOCKED"))</x:f>
        <x:v>PASS</x:v>
      </x:c>
      <x:c r="G548" t="str">
        <x:v>equals</x:v>
      </x:c>
      <x:c r="H548" t="str">
        <x:f>IF(E548=F548,"PASS","FAIL")</x:f>
        <x:v>PASS</x:v>
      </x:c>
    </x:row>
    <x:row r="549">
      <x:c r="B549" t="str">
        <x:v>A-00503</x:v>
      </x:c>
      <x:c r="C549" t="str">
        <x:v>GATE</x:v>
      </x:c>
      <x:c r="D549" t="str">
        <x:v>release state mirrors governing ledger</x:v>
      </x:c>
      <x:c r="E549" t="str">
        <x:f>'Release Gates'!I509</x:f>
        <x:v>PASS</x:v>
      </x:c>
      <x:c r="F549" t="str">
        <x:f>IF('Release Gates'!C509="PLANNING","PASS",IF('Release Gates'!C509="PHYSICAL","OPEN","BLOCKED"))</x:f>
        <x:v>PASS</x:v>
      </x:c>
      <x:c r="G549" t="str">
        <x:v>equals</x:v>
      </x:c>
      <x:c r="H549" t="str">
        <x:f>IF(E549=F549,"PASS","FAIL")</x:f>
        <x:v>PASS</x:v>
      </x:c>
    </x:row>
    <x:row r="550">
      <x:c r="B550" t="str">
        <x:v>A-00504</x:v>
      </x:c>
      <x:c r="C550" t="str">
        <x:v>GATE</x:v>
      </x:c>
      <x:c r="D550" t="str">
        <x:v>release state mirrors governing ledger</x:v>
      </x:c>
      <x:c r="E550" t="str">
        <x:f>'Release Gates'!I510</x:f>
        <x:v>PASS</x:v>
      </x:c>
      <x:c r="F550" t="str">
        <x:f>IF('Release Gates'!C510="PLANNING","PASS",IF('Release Gates'!C510="PHYSICAL","OPEN","BLOCKED"))</x:f>
        <x:v>PASS</x:v>
      </x:c>
      <x:c r="G550" t="str">
        <x:v>equals</x:v>
      </x:c>
      <x:c r="H550" t="str">
        <x:f>IF(E550=F550,"PASS","FAIL")</x:f>
        <x:v>PASS</x:v>
      </x:c>
    </x:row>
    <x:row r="551">
      <x:c r="B551" t="str">
        <x:v>A-00505</x:v>
      </x:c>
      <x:c r="C551" t="str">
        <x:v>GATE</x:v>
      </x:c>
      <x:c r="D551" t="str">
        <x:v>release state mirrors governing ledger</x:v>
      </x:c>
      <x:c r="E551" t="str">
        <x:f>'Release Gates'!I511</x:f>
        <x:v>PASS</x:v>
      </x:c>
      <x:c r="F551" t="str">
        <x:f>IF('Release Gates'!C511="PLANNING","PASS",IF('Release Gates'!C511="PHYSICAL","OPEN","BLOCKED"))</x:f>
        <x:v>PASS</x:v>
      </x:c>
      <x:c r="G551" t="str">
        <x:v>equals</x:v>
      </x:c>
      <x:c r="H551" t="str">
        <x:f>IF(E551=F551,"PASS","FAIL")</x:f>
        <x:v>PASS</x:v>
      </x:c>
    </x:row>
    <x:row r="552">
      <x:c r="B552" t="str">
        <x:v>A-00506</x:v>
      </x:c>
      <x:c r="C552" t="str">
        <x:v>GATE</x:v>
      </x:c>
      <x:c r="D552" t="str">
        <x:v>release state mirrors governing ledger</x:v>
      </x:c>
      <x:c r="E552" t="str">
        <x:f>'Release Gates'!I512</x:f>
        <x:v>PASS</x:v>
      </x:c>
      <x:c r="F552" t="str">
        <x:f>IF('Release Gates'!C512="PLANNING","PASS",IF('Release Gates'!C512="PHYSICAL","OPEN","BLOCKED"))</x:f>
        <x:v>PASS</x:v>
      </x:c>
      <x:c r="G552" t="str">
        <x:v>equals</x:v>
      </x:c>
      <x:c r="H552" t="str">
        <x:f>IF(E552=F552,"PASS","FAIL")</x:f>
        <x:v>PASS</x:v>
      </x:c>
    </x:row>
    <x:row r="553">
      <x:c r="B553" t="str">
        <x:v>A-00507</x:v>
      </x:c>
      <x:c r="C553" t="str">
        <x:v>GATE</x:v>
      </x:c>
      <x:c r="D553" t="str">
        <x:v>release state mirrors governing ledger</x:v>
      </x:c>
      <x:c r="E553" t="str">
        <x:f>'Release Gates'!I513</x:f>
        <x:v>PASS</x:v>
      </x:c>
      <x:c r="F553" t="str">
        <x:f>IF('Release Gates'!C513="PLANNING","PASS",IF('Release Gates'!C513="PHYSICAL","OPEN","BLOCKED"))</x:f>
        <x:v>PASS</x:v>
      </x:c>
      <x:c r="G553" t="str">
        <x:v>equals</x:v>
      </x:c>
      <x:c r="H553" t="str">
        <x:f>IF(E553=F553,"PASS","FAIL")</x:f>
        <x:v>PASS</x:v>
      </x:c>
    </x:row>
    <x:row r="554">
      <x:c r="B554" t="str">
        <x:v>A-00508</x:v>
      </x:c>
      <x:c r="C554" t="str">
        <x:v>GATE</x:v>
      </x:c>
      <x:c r="D554" t="str">
        <x:v>release state mirrors governing ledger</x:v>
      </x:c>
      <x:c r="E554" t="str">
        <x:f>'Release Gates'!I514</x:f>
        <x:v>PASS</x:v>
      </x:c>
      <x:c r="F554" t="str">
        <x:f>IF('Release Gates'!C514="PLANNING","PASS",IF('Release Gates'!C514="PHYSICAL","OPEN","BLOCKED"))</x:f>
        <x:v>PASS</x:v>
      </x:c>
      <x:c r="G554" t="str">
        <x:v>equals</x:v>
      </x:c>
      <x:c r="H554" t="str">
        <x:f>IF(E554=F554,"PASS","FAIL")</x:f>
        <x:v>PASS</x:v>
      </x:c>
    </x:row>
    <x:row r="555">
      <x:c r="B555" t="str">
        <x:v>A-00509</x:v>
      </x:c>
      <x:c r="C555" t="str">
        <x:v>GATE</x:v>
      </x:c>
      <x:c r="D555" t="str">
        <x:v>release state mirrors governing ledger</x:v>
      </x:c>
      <x:c r="E555" t="str">
        <x:f>'Release Gates'!I515</x:f>
        <x:v>PASS</x:v>
      </x:c>
      <x:c r="F555" t="str">
        <x:f>IF('Release Gates'!C515="PLANNING","PASS",IF('Release Gates'!C515="PHYSICAL","OPEN","BLOCKED"))</x:f>
        <x:v>PASS</x:v>
      </x:c>
      <x:c r="G555" t="str">
        <x:v>equals</x:v>
      </x:c>
      <x:c r="H555" t="str">
        <x:f>IF(E555=F555,"PASS","FAIL")</x:f>
        <x:v>PASS</x:v>
      </x:c>
    </x:row>
    <x:row r="556">
      <x:c r="B556" t="str">
        <x:v>A-00510</x:v>
      </x:c>
      <x:c r="C556" t="str">
        <x:v>GATE</x:v>
      </x:c>
      <x:c r="D556" t="str">
        <x:v>release state mirrors governing ledger</x:v>
      </x:c>
      <x:c r="E556" t="str">
        <x:f>'Release Gates'!I516</x:f>
        <x:v>PASS</x:v>
      </x:c>
      <x:c r="F556" t="str">
        <x:f>IF('Release Gates'!C516="PLANNING","PASS",IF('Release Gates'!C516="PHYSICAL","OPEN","BLOCKED"))</x:f>
        <x:v>PASS</x:v>
      </x:c>
      <x:c r="G556" t="str">
        <x:v>equals</x:v>
      </x:c>
      <x:c r="H556" t="str">
        <x:f>IF(E556=F556,"PASS","FAIL")</x:f>
        <x:v>PASS</x:v>
      </x:c>
    </x:row>
    <x:row r="557">
      <x:c r="B557" t="str">
        <x:v>A-00511</x:v>
      </x:c>
      <x:c r="C557" t="str">
        <x:v>GATE</x:v>
      </x:c>
      <x:c r="D557" t="str">
        <x:v>release state mirrors governing ledger</x:v>
      </x:c>
      <x:c r="E557" t="str">
        <x:f>'Release Gates'!I517</x:f>
        <x:v>PASS</x:v>
      </x:c>
      <x:c r="F557" t="str">
        <x:f>IF('Release Gates'!C517="PLANNING","PASS",IF('Release Gates'!C517="PHYSICAL","OPEN","BLOCKED"))</x:f>
        <x:v>PASS</x:v>
      </x:c>
      <x:c r="G557" t="str">
        <x:v>equals</x:v>
      </x:c>
      <x:c r="H557" t="str">
        <x:f>IF(E557=F557,"PASS","FAIL")</x:f>
        <x:v>PASS</x:v>
      </x:c>
    </x:row>
    <x:row r="558">
      <x:c r="B558" t="str">
        <x:v>A-00512</x:v>
      </x:c>
      <x:c r="C558" t="str">
        <x:v>GATE</x:v>
      </x:c>
      <x:c r="D558" t="str">
        <x:v>release state mirrors governing ledger</x:v>
      </x:c>
      <x:c r="E558" t="str">
        <x:f>'Release Gates'!I518</x:f>
        <x:v>PASS</x:v>
      </x:c>
      <x:c r="F558" t="str">
        <x:f>IF('Release Gates'!C518="PLANNING","PASS",IF('Release Gates'!C518="PHYSICAL","OPEN","BLOCKED"))</x:f>
        <x:v>PASS</x:v>
      </x:c>
      <x:c r="G558" t="str">
        <x:v>equals</x:v>
      </x:c>
      <x:c r="H558" t="str">
        <x:f>IF(E558=F558,"PASS","FAIL")</x:f>
        <x:v>PASS</x:v>
      </x:c>
    </x:row>
    <x:row r="559">
      <x:c r="B559" t="str">
        <x:v>A-00513</x:v>
      </x:c>
      <x:c r="C559" t="str">
        <x:v>GATE</x:v>
      </x:c>
      <x:c r="D559" t="str">
        <x:v>release state mirrors governing ledger</x:v>
      </x:c>
      <x:c r="E559" t="str">
        <x:f>'Release Gates'!I519</x:f>
        <x:v>PASS</x:v>
      </x:c>
      <x:c r="F559" t="str">
        <x:f>IF('Release Gates'!C519="PLANNING","PASS",IF('Release Gates'!C519="PHYSICAL","OPEN","BLOCKED"))</x:f>
        <x:v>PASS</x:v>
      </x:c>
      <x:c r="G559" t="str">
        <x:v>equals</x:v>
      </x:c>
      <x:c r="H559" t="str">
        <x:f>IF(E559=F559,"PASS","FAIL")</x:f>
        <x:v>PASS</x:v>
      </x:c>
    </x:row>
    <x:row r="560">
      <x:c r="B560" t="str">
        <x:v>A-00514</x:v>
      </x:c>
      <x:c r="C560" t="str">
        <x:v>GATE</x:v>
      </x:c>
      <x:c r="D560" t="str">
        <x:v>release state mirrors governing ledger</x:v>
      </x:c>
      <x:c r="E560" t="str">
        <x:f>'Release Gates'!I520</x:f>
        <x:v>PASS</x:v>
      </x:c>
      <x:c r="F560" t="str">
        <x:f>IF('Release Gates'!C520="PLANNING","PASS",IF('Release Gates'!C520="PHYSICAL","OPEN","BLOCKED"))</x:f>
        <x:v>PASS</x:v>
      </x:c>
      <x:c r="G560" t="str">
        <x:v>equals</x:v>
      </x:c>
      <x:c r="H560" t="str">
        <x:f>IF(E560=F560,"PASS","FAIL")</x:f>
        <x:v>PASS</x:v>
      </x:c>
    </x:row>
    <x:row r="561">
      <x:c r="B561" t="str">
        <x:v>A-00515</x:v>
      </x:c>
      <x:c r="C561" t="str">
        <x:v>GATE</x:v>
      </x:c>
      <x:c r="D561" t="str">
        <x:v>release state mirrors governing ledger</x:v>
      </x:c>
      <x:c r="E561" t="str">
        <x:f>'Release Gates'!I521</x:f>
        <x:v>PASS</x:v>
      </x:c>
      <x:c r="F561" t="str">
        <x:f>IF('Release Gates'!C521="PLANNING","PASS",IF('Release Gates'!C521="PHYSICAL","OPEN","BLOCKED"))</x:f>
        <x:v>PASS</x:v>
      </x:c>
      <x:c r="G561" t="str">
        <x:v>equals</x:v>
      </x:c>
      <x:c r="H561" t="str">
        <x:f>IF(E561=F561,"PASS","FAIL")</x:f>
        <x:v>PASS</x:v>
      </x:c>
    </x:row>
    <x:row r="562">
      <x:c r="B562" t="str">
        <x:v>A-00516</x:v>
      </x:c>
      <x:c r="C562" t="str">
        <x:v>GATE</x:v>
      </x:c>
      <x:c r="D562" t="str">
        <x:v>release state mirrors governing ledger</x:v>
      </x:c>
      <x:c r="E562" t="str">
        <x:f>'Release Gates'!I522</x:f>
        <x:v>PASS</x:v>
      </x:c>
      <x:c r="F562" t="str">
        <x:f>IF('Release Gates'!C522="PLANNING","PASS",IF('Release Gates'!C522="PHYSICAL","OPEN","BLOCKED"))</x:f>
        <x:v>PASS</x:v>
      </x:c>
      <x:c r="G562" t="str">
        <x:v>equals</x:v>
      </x:c>
      <x:c r="H562" t="str">
        <x:f>IF(E562=F562,"PASS","FAIL")</x:f>
        <x:v>PASS</x:v>
      </x:c>
    </x:row>
    <x:row r="563">
      <x:c r="B563" t="str">
        <x:v>A-00517</x:v>
      </x:c>
      <x:c r="C563" t="str">
        <x:v>GATE</x:v>
      </x:c>
      <x:c r="D563" t="str">
        <x:v>release state mirrors governing ledger</x:v>
      </x:c>
      <x:c r="E563" t="str">
        <x:f>'Release Gates'!I523</x:f>
        <x:v>PASS</x:v>
      </x:c>
      <x:c r="F563" t="str">
        <x:f>IF('Release Gates'!C523="PLANNING","PASS",IF('Release Gates'!C523="PHYSICAL","OPEN","BLOCKED"))</x:f>
        <x:v>PASS</x:v>
      </x:c>
      <x:c r="G563" t="str">
        <x:v>equals</x:v>
      </x:c>
      <x:c r="H563" t="str">
        <x:f>IF(E563=F563,"PASS","FAIL")</x:f>
        <x:v>PASS</x:v>
      </x:c>
    </x:row>
    <x:row r="564">
      <x:c r="B564" t="str">
        <x:v>A-00518</x:v>
      </x:c>
      <x:c r="C564" t="str">
        <x:v>GATE</x:v>
      </x:c>
      <x:c r="D564" t="str">
        <x:v>release state mirrors governing ledger</x:v>
      </x:c>
      <x:c r="E564" t="str">
        <x:f>'Release Gates'!I524</x:f>
        <x:v>PASS</x:v>
      </x:c>
      <x:c r="F564" t="str">
        <x:f>IF('Release Gates'!C524="PLANNING","PASS",IF('Release Gates'!C524="PHYSICAL","OPEN","BLOCKED"))</x:f>
        <x:v>PASS</x:v>
      </x:c>
      <x:c r="G564" t="str">
        <x:v>equals</x:v>
      </x:c>
      <x:c r="H564" t="str">
        <x:f>IF(E564=F564,"PASS","FAIL")</x:f>
        <x:v>PASS</x:v>
      </x:c>
    </x:row>
    <x:row r="565">
      <x:c r="B565" t="str">
        <x:v>A-00519</x:v>
      </x:c>
      <x:c r="C565" t="str">
        <x:v>GATE</x:v>
      </x:c>
      <x:c r="D565" t="str">
        <x:v>release state mirrors governing ledger</x:v>
      </x:c>
      <x:c r="E565" t="str">
        <x:f>'Release Gates'!I525</x:f>
        <x:v>PASS</x:v>
      </x:c>
      <x:c r="F565" t="str">
        <x:f>IF('Release Gates'!C525="PLANNING","PASS",IF('Release Gates'!C525="PHYSICAL","OPEN","BLOCKED"))</x:f>
        <x:v>PASS</x:v>
      </x:c>
      <x:c r="G565" t="str">
        <x:v>equals</x:v>
      </x:c>
      <x:c r="H565" t="str">
        <x:f>IF(E565=F565,"PASS","FAIL")</x:f>
        <x:v>PASS</x:v>
      </x:c>
    </x:row>
    <x:row r="566">
      <x:c r="B566" t="str">
        <x:v>A-00520</x:v>
      </x:c>
      <x:c r="C566" t="str">
        <x:v>GATE</x:v>
      </x:c>
      <x:c r="D566" t="str">
        <x:v>release state mirrors governing ledger</x:v>
      </x:c>
      <x:c r="E566" t="str">
        <x:f>'Release Gates'!I526</x:f>
        <x:v>PASS</x:v>
      </x:c>
      <x:c r="F566" t="str">
        <x:f>IF('Release Gates'!C526="PLANNING","PASS",IF('Release Gates'!C526="PHYSICAL","OPEN","BLOCKED"))</x:f>
        <x:v>PASS</x:v>
      </x:c>
      <x:c r="G566" t="str">
        <x:v>equals</x:v>
      </x:c>
      <x:c r="H566" t="str">
        <x:f>IF(E566=F566,"PASS","FAIL")</x:f>
        <x:v>PASS</x:v>
      </x:c>
    </x:row>
    <x:row r="567">
      <x:c r="B567" t="str">
        <x:v>A-00521</x:v>
      </x:c>
      <x:c r="C567" t="str">
        <x:v>GATE</x:v>
      </x:c>
      <x:c r="D567" t="str">
        <x:v>release state mirrors governing ledger</x:v>
      </x:c>
      <x:c r="E567" t="str">
        <x:f>'Release Gates'!I527</x:f>
        <x:v>PASS</x:v>
      </x:c>
      <x:c r="F567" t="str">
        <x:f>IF('Release Gates'!C527="PLANNING","PASS",IF('Release Gates'!C527="PHYSICAL","OPEN","BLOCKED"))</x:f>
        <x:v>PASS</x:v>
      </x:c>
      <x:c r="G567" t="str">
        <x:v>equals</x:v>
      </x:c>
      <x:c r="H567" t="str">
        <x:f>IF(E567=F567,"PASS","FAIL")</x:f>
        <x:v>PASS</x:v>
      </x:c>
    </x:row>
    <x:row r="568">
      <x:c r="B568" t="str">
        <x:v>A-00522</x:v>
      </x:c>
      <x:c r="C568" t="str">
        <x:v>GATE</x:v>
      </x:c>
      <x:c r="D568" t="str">
        <x:v>release state mirrors governing ledger</x:v>
      </x:c>
      <x:c r="E568" t="str">
        <x:f>'Release Gates'!I528</x:f>
        <x:v>PASS</x:v>
      </x:c>
      <x:c r="F568" t="str">
        <x:f>IF('Release Gates'!C528="PLANNING","PASS",IF('Release Gates'!C528="PHYSICAL","OPEN","BLOCKED"))</x:f>
        <x:v>PASS</x:v>
      </x:c>
      <x:c r="G568" t="str">
        <x:v>equals</x:v>
      </x:c>
      <x:c r="H568" t="str">
        <x:f>IF(E568=F568,"PASS","FAIL")</x:f>
        <x:v>PASS</x:v>
      </x:c>
    </x:row>
    <x:row r="569">
      <x:c r="B569" t="str">
        <x:v>A-00523</x:v>
      </x:c>
      <x:c r="C569" t="str">
        <x:v>GATE</x:v>
      </x:c>
      <x:c r="D569" t="str">
        <x:v>release state mirrors governing ledger</x:v>
      </x:c>
      <x:c r="E569" t="str">
        <x:f>'Release Gates'!I529</x:f>
        <x:v>PASS</x:v>
      </x:c>
      <x:c r="F569" t="str">
        <x:f>IF('Release Gates'!C529="PLANNING","PASS",IF('Release Gates'!C529="PHYSICAL","OPEN","BLOCKED"))</x:f>
        <x:v>PASS</x:v>
      </x:c>
      <x:c r="G569" t="str">
        <x:v>equals</x:v>
      </x:c>
      <x:c r="H569" t="str">
        <x:f>IF(E569=F569,"PASS","FAIL")</x:f>
        <x:v>PASS</x:v>
      </x:c>
    </x:row>
    <x:row r="570">
      <x:c r="B570" t="str">
        <x:v>A-00524</x:v>
      </x:c>
      <x:c r="C570" t="str">
        <x:v>GATE</x:v>
      </x:c>
      <x:c r="D570" t="str">
        <x:v>release state mirrors governing ledger</x:v>
      </x:c>
      <x:c r="E570" t="str">
        <x:f>'Release Gates'!I530</x:f>
        <x:v>PASS</x:v>
      </x:c>
      <x:c r="F570" t="str">
        <x:f>IF('Release Gates'!C530="PLANNING","PASS",IF('Release Gates'!C530="PHYSICAL","OPEN","BLOCKED"))</x:f>
        <x:v>PASS</x:v>
      </x:c>
      <x:c r="G570" t="str">
        <x:v>equals</x:v>
      </x:c>
      <x:c r="H570" t="str">
        <x:f>IF(E570=F570,"PASS","FAIL")</x:f>
        <x:v>PASS</x:v>
      </x:c>
    </x:row>
    <x:row r="571">
      <x:c r="B571" t="str">
        <x:v>A-00525</x:v>
      </x:c>
      <x:c r="C571" t="str">
        <x:v>GATE</x:v>
      </x:c>
      <x:c r="D571" t="str">
        <x:v>release state mirrors governing ledger</x:v>
      </x:c>
      <x:c r="E571" t="str">
        <x:f>'Release Gates'!I531</x:f>
        <x:v>PASS</x:v>
      </x:c>
      <x:c r="F571" t="str">
        <x:f>IF('Release Gates'!C531="PLANNING","PASS",IF('Release Gates'!C531="PHYSICAL","OPEN","BLOCKED"))</x:f>
        <x:v>PASS</x:v>
      </x:c>
      <x:c r="G571" t="str">
        <x:v>equals</x:v>
      </x:c>
      <x:c r="H571" t="str">
        <x:f>IF(E571=F571,"PASS","FAIL")</x:f>
        <x:v>PASS</x:v>
      </x:c>
    </x:row>
    <x:row r="572">
      <x:c r="B572" t="str">
        <x:v>A-00526</x:v>
      </x:c>
      <x:c r="C572" t="str">
        <x:v>GATE</x:v>
      </x:c>
      <x:c r="D572" t="str">
        <x:v>release state mirrors governing ledger</x:v>
      </x:c>
      <x:c r="E572" t="str">
        <x:f>'Release Gates'!I532</x:f>
        <x:v>PASS</x:v>
      </x:c>
      <x:c r="F572" t="str">
        <x:f>IF('Release Gates'!C532="PLANNING","PASS",IF('Release Gates'!C532="PHYSICAL","OPEN","BLOCKED"))</x:f>
        <x:v>PASS</x:v>
      </x:c>
      <x:c r="G572" t="str">
        <x:v>equals</x:v>
      </x:c>
      <x:c r="H572" t="str">
        <x:f>IF(E572=F572,"PASS","FAIL")</x:f>
        <x:v>PASS</x:v>
      </x:c>
    </x:row>
    <x:row r="573">
      <x:c r="B573" t="str">
        <x:v>A-00527</x:v>
      </x:c>
      <x:c r="C573" t="str">
        <x:v>GATE</x:v>
      </x:c>
      <x:c r="D573" t="str">
        <x:v>release state mirrors governing ledger</x:v>
      </x:c>
      <x:c r="E573" t="str">
        <x:f>'Release Gates'!I533</x:f>
        <x:v>PASS</x:v>
      </x:c>
      <x:c r="F573" t="str">
        <x:f>IF('Release Gates'!C533="PLANNING","PASS",IF('Release Gates'!C533="PHYSICAL","OPEN","BLOCKED"))</x:f>
        <x:v>PASS</x:v>
      </x:c>
      <x:c r="G573" t="str">
        <x:v>equals</x:v>
      </x:c>
      <x:c r="H573" t="str">
        <x:f>IF(E573=F573,"PASS","FAIL")</x:f>
        <x:v>PASS</x:v>
      </x:c>
    </x:row>
    <x:row r="574">
      <x:c r="B574" t="str">
        <x:v>A-00528</x:v>
      </x:c>
      <x:c r="C574" t="str">
        <x:v>GATE</x:v>
      </x:c>
      <x:c r="D574" t="str">
        <x:v>release state mirrors governing ledger</x:v>
      </x:c>
      <x:c r="E574" t="str">
        <x:f>'Release Gates'!I534</x:f>
        <x:v>PASS</x:v>
      </x:c>
      <x:c r="F574" t="str">
        <x:f>IF('Release Gates'!C534="PLANNING","PASS",IF('Release Gates'!C534="PHYSICAL","OPEN","BLOCKED"))</x:f>
        <x:v>PASS</x:v>
      </x:c>
      <x:c r="G574" t="str">
        <x:v>equals</x:v>
      </x:c>
      <x:c r="H574" t="str">
        <x:f>IF(E574=F574,"PASS","FAIL")</x:f>
        <x:v>PASS</x:v>
      </x:c>
    </x:row>
    <x:row r="575">
      <x:c r="B575" t="str">
        <x:v>A-00529</x:v>
      </x:c>
      <x:c r="C575" t="str">
        <x:v>GATE</x:v>
      </x:c>
      <x:c r="D575" t="str">
        <x:v>release state mirrors governing ledger</x:v>
      </x:c>
      <x:c r="E575" t="str">
        <x:f>'Release Gates'!I535</x:f>
        <x:v>PASS</x:v>
      </x:c>
      <x:c r="F575" t="str">
        <x:f>IF('Release Gates'!C535="PLANNING","PASS",IF('Release Gates'!C535="PHYSICAL","OPEN","BLOCKED"))</x:f>
        <x:v>PASS</x:v>
      </x:c>
      <x:c r="G575" t="str">
        <x:v>equals</x:v>
      </x:c>
      <x:c r="H575" t="str">
        <x:f>IF(E575=F575,"PASS","FAIL")</x:f>
        <x:v>PASS</x:v>
      </x:c>
    </x:row>
    <x:row r="576">
      <x:c r="B576" t="str">
        <x:v>A-00530</x:v>
      </x:c>
      <x:c r="C576" t="str">
        <x:v>GATE</x:v>
      </x:c>
      <x:c r="D576" t="str">
        <x:v>release state mirrors governing ledger</x:v>
      </x:c>
      <x:c r="E576" t="str">
        <x:f>'Release Gates'!I536</x:f>
        <x:v>PASS</x:v>
      </x:c>
      <x:c r="F576" t="str">
        <x:f>IF('Release Gates'!C536="PLANNING","PASS",IF('Release Gates'!C536="PHYSICAL","OPEN","BLOCKED"))</x:f>
        <x:v>PASS</x:v>
      </x:c>
      <x:c r="G576" t="str">
        <x:v>equals</x:v>
      </x:c>
      <x:c r="H576" t="str">
        <x:f>IF(E576=F576,"PASS","FAIL")</x:f>
        <x:v>PASS</x:v>
      </x:c>
    </x:row>
    <x:row r="577">
      <x:c r="B577" t="str">
        <x:v>A-00531</x:v>
      </x:c>
      <x:c r="C577" t="str">
        <x:v>GATE</x:v>
      </x:c>
      <x:c r="D577" t="str">
        <x:v>release state mirrors governing ledger</x:v>
      </x:c>
      <x:c r="E577" t="str">
        <x:f>'Release Gates'!I537</x:f>
        <x:v>PASS</x:v>
      </x:c>
      <x:c r="F577" t="str">
        <x:f>IF('Release Gates'!C537="PLANNING","PASS",IF('Release Gates'!C537="PHYSICAL","OPEN","BLOCKED"))</x:f>
        <x:v>PASS</x:v>
      </x:c>
      <x:c r="G577" t="str">
        <x:v>equals</x:v>
      </x:c>
      <x:c r="H577" t="str">
        <x:f>IF(E577=F577,"PASS","FAIL")</x:f>
        <x:v>PASS</x:v>
      </x:c>
    </x:row>
    <x:row r="578">
      <x:c r="B578" t="str">
        <x:v>A-00532</x:v>
      </x:c>
      <x:c r="C578" t="str">
        <x:v>GATE</x:v>
      </x:c>
      <x:c r="D578" t="str">
        <x:v>release state mirrors governing ledger</x:v>
      </x:c>
      <x:c r="E578" t="str">
        <x:f>'Release Gates'!I538</x:f>
        <x:v>PASS</x:v>
      </x:c>
      <x:c r="F578" t="str">
        <x:f>IF('Release Gates'!C538="PLANNING","PASS",IF('Release Gates'!C538="PHYSICAL","OPEN","BLOCKED"))</x:f>
        <x:v>PASS</x:v>
      </x:c>
      <x:c r="G578" t="str">
        <x:v>equals</x:v>
      </x:c>
      <x:c r="H578" t="str">
        <x:f>IF(E578=F578,"PASS","FAIL")</x:f>
        <x:v>PASS</x:v>
      </x:c>
    </x:row>
    <x:row r="579">
      <x:c r="B579" t="str">
        <x:v>A-00533</x:v>
      </x:c>
      <x:c r="C579" t="str">
        <x:v>GATE</x:v>
      </x:c>
      <x:c r="D579" t="str">
        <x:v>release state mirrors governing ledger</x:v>
      </x:c>
      <x:c r="E579" t="str">
        <x:f>'Release Gates'!I539</x:f>
        <x:v>PASS</x:v>
      </x:c>
      <x:c r="F579" t="str">
        <x:f>IF('Release Gates'!C539="PLANNING","PASS",IF('Release Gates'!C539="PHYSICAL","OPEN","BLOCKED"))</x:f>
        <x:v>PASS</x:v>
      </x:c>
      <x:c r="G579" t="str">
        <x:v>equals</x:v>
      </x:c>
      <x:c r="H579" t="str">
        <x:f>IF(E579=F579,"PASS","FAIL")</x:f>
        <x:v>PASS</x:v>
      </x:c>
    </x:row>
    <x:row r="580">
      <x:c r="B580" t="str">
        <x:v>A-00534</x:v>
      </x:c>
      <x:c r="C580" t="str">
        <x:v>GATE</x:v>
      </x:c>
      <x:c r="D580" t="str">
        <x:v>release state mirrors governing ledger</x:v>
      </x:c>
      <x:c r="E580" t="str">
        <x:f>'Release Gates'!I540</x:f>
        <x:v>PASS</x:v>
      </x:c>
      <x:c r="F580" t="str">
        <x:f>IF('Release Gates'!C540="PLANNING","PASS",IF('Release Gates'!C540="PHYSICAL","OPEN","BLOCKED"))</x:f>
        <x:v>PASS</x:v>
      </x:c>
      <x:c r="G580" t="str">
        <x:v>equals</x:v>
      </x:c>
      <x:c r="H580" t="str">
        <x:f>IF(E580=F580,"PASS","FAIL")</x:f>
        <x:v>PASS</x:v>
      </x:c>
    </x:row>
    <x:row r="581">
      <x:c r="B581" t="str">
        <x:v>A-00535</x:v>
      </x:c>
      <x:c r="C581" t="str">
        <x:v>GATE</x:v>
      </x:c>
      <x:c r="D581" t="str">
        <x:v>release state mirrors governing ledger</x:v>
      </x:c>
      <x:c r="E581" t="str">
        <x:f>'Release Gates'!I541</x:f>
        <x:v>PASS</x:v>
      </x:c>
      <x:c r="F581" t="str">
        <x:f>IF('Release Gates'!C541="PLANNING","PASS",IF('Release Gates'!C541="PHYSICAL","OPEN","BLOCKED"))</x:f>
        <x:v>PASS</x:v>
      </x:c>
      <x:c r="G581" t="str">
        <x:v>equals</x:v>
      </x:c>
      <x:c r="H581" t="str">
        <x:f>IF(E581=F581,"PASS","FAIL")</x:f>
        <x:v>PASS</x:v>
      </x:c>
    </x:row>
    <x:row r="582">
      <x:c r="B582" t="str">
        <x:v>A-00536</x:v>
      </x:c>
      <x:c r="C582" t="str">
        <x:v>GATE</x:v>
      </x:c>
      <x:c r="D582" t="str">
        <x:v>release state mirrors governing ledger</x:v>
      </x:c>
      <x:c r="E582" t="str">
        <x:f>'Release Gates'!I542</x:f>
        <x:v>PASS</x:v>
      </x:c>
      <x:c r="F582" t="str">
        <x:f>IF('Release Gates'!C542="PLANNING","PASS",IF('Release Gates'!C542="PHYSICAL","OPEN","BLOCKED"))</x:f>
        <x:v>PASS</x:v>
      </x:c>
      <x:c r="G582" t="str">
        <x:v>equals</x:v>
      </x:c>
      <x:c r="H582" t="str">
        <x:f>IF(E582=F582,"PASS","FAIL")</x:f>
        <x:v>PASS</x:v>
      </x:c>
    </x:row>
    <x:row r="583">
      <x:c r="B583" t="str">
        <x:v>A-00537</x:v>
      </x:c>
      <x:c r="C583" t="str">
        <x:v>GATE</x:v>
      </x:c>
      <x:c r="D583" t="str">
        <x:v>release state mirrors governing ledger</x:v>
      </x:c>
      <x:c r="E583" t="str">
        <x:f>'Release Gates'!I543</x:f>
        <x:v>PASS</x:v>
      </x:c>
      <x:c r="F583" t="str">
        <x:f>IF('Release Gates'!C543="PLANNING","PASS",IF('Release Gates'!C543="PHYSICAL","OPEN","BLOCKED"))</x:f>
        <x:v>PASS</x:v>
      </x:c>
      <x:c r="G583" t="str">
        <x:v>equals</x:v>
      </x:c>
      <x:c r="H583" t="str">
        <x:f>IF(E583=F583,"PASS","FAIL")</x:f>
        <x:v>PASS</x:v>
      </x:c>
    </x:row>
    <x:row r="584">
      <x:c r="B584" t="str">
        <x:v>A-00538</x:v>
      </x:c>
      <x:c r="C584" t="str">
        <x:v>GATE</x:v>
      </x:c>
      <x:c r="D584" t="str">
        <x:v>release state mirrors governing ledger</x:v>
      </x:c>
      <x:c r="E584" t="str">
        <x:f>'Release Gates'!I544</x:f>
        <x:v>PASS</x:v>
      </x:c>
      <x:c r="F584" t="str">
        <x:f>IF('Release Gates'!C544="PLANNING","PASS",IF('Release Gates'!C544="PHYSICAL","OPEN","BLOCKED"))</x:f>
        <x:v>PASS</x:v>
      </x:c>
      <x:c r="G584" t="str">
        <x:v>equals</x:v>
      </x:c>
      <x:c r="H584" t="str">
        <x:f>IF(E584=F584,"PASS","FAIL")</x:f>
        <x:v>PASS</x:v>
      </x:c>
    </x:row>
    <x:row r="585">
      <x:c r="B585" t="str">
        <x:v>A-00539</x:v>
      </x:c>
      <x:c r="C585" t="str">
        <x:v>GATE</x:v>
      </x:c>
      <x:c r="D585" t="str">
        <x:v>release state mirrors governing ledger</x:v>
      </x:c>
      <x:c r="E585" t="str">
        <x:f>'Release Gates'!I545</x:f>
        <x:v>PASS</x:v>
      </x:c>
      <x:c r="F585" t="str">
        <x:f>IF('Release Gates'!C545="PLANNING","PASS",IF('Release Gates'!C545="PHYSICAL","OPEN","BLOCKED"))</x:f>
        <x:v>PASS</x:v>
      </x:c>
      <x:c r="G585" t="str">
        <x:v>equals</x:v>
      </x:c>
      <x:c r="H585" t="str">
        <x:f>IF(E585=F585,"PASS","FAIL")</x:f>
        <x:v>PASS</x:v>
      </x:c>
    </x:row>
    <x:row r="586">
      <x:c r="B586" t="str">
        <x:v>A-00540</x:v>
      </x:c>
      <x:c r="C586" t="str">
        <x:v>GATE</x:v>
      </x:c>
      <x:c r="D586" t="str">
        <x:v>release state mirrors governing ledger</x:v>
      </x:c>
      <x:c r="E586" t="str">
        <x:f>'Release Gates'!I546</x:f>
        <x:v>PASS</x:v>
      </x:c>
      <x:c r="F586" t="str">
        <x:f>IF('Release Gates'!C546="PLANNING","PASS",IF('Release Gates'!C546="PHYSICAL","OPEN","BLOCKED"))</x:f>
        <x:v>PASS</x:v>
      </x:c>
      <x:c r="G586" t="str">
        <x:v>equals</x:v>
      </x:c>
      <x:c r="H586" t="str">
        <x:f>IF(E586=F586,"PASS","FAIL")</x:f>
        <x:v>PASS</x:v>
      </x:c>
    </x:row>
    <x:row r="587">
      <x:c r="B587" t="str">
        <x:v>A-00541</x:v>
      </x:c>
      <x:c r="C587" t="str">
        <x:v>GATE</x:v>
      </x:c>
      <x:c r="D587" t="str">
        <x:v>release state mirrors governing ledger</x:v>
      </x:c>
      <x:c r="E587" t="str">
        <x:f>'Release Gates'!I547</x:f>
        <x:v>PASS</x:v>
      </x:c>
      <x:c r="F587" t="str">
        <x:f>IF('Release Gates'!C547="PLANNING","PASS",IF('Release Gates'!C547="PHYSICAL","OPEN","BLOCKED"))</x:f>
        <x:v>PASS</x:v>
      </x:c>
      <x:c r="G587" t="str">
        <x:v>equals</x:v>
      </x:c>
      <x:c r="H587" t="str">
        <x:f>IF(E587=F587,"PASS","FAIL")</x:f>
        <x:v>PASS</x:v>
      </x:c>
    </x:row>
    <x:row r="588">
      <x:c r="B588" t="str">
        <x:v>A-00542</x:v>
      </x:c>
      <x:c r="C588" t="str">
        <x:v>GATE</x:v>
      </x:c>
      <x:c r="D588" t="str">
        <x:v>release state mirrors governing ledger</x:v>
      </x:c>
      <x:c r="E588" t="str">
        <x:f>'Release Gates'!I548</x:f>
        <x:v>PASS</x:v>
      </x:c>
      <x:c r="F588" t="str">
        <x:f>IF('Release Gates'!C548="PLANNING","PASS",IF('Release Gates'!C548="PHYSICAL","OPEN","BLOCKED"))</x:f>
        <x:v>PASS</x:v>
      </x:c>
      <x:c r="G588" t="str">
        <x:v>equals</x:v>
      </x:c>
      <x:c r="H588" t="str">
        <x:f>IF(E588=F588,"PASS","FAIL")</x:f>
        <x:v>PASS</x:v>
      </x:c>
    </x:row>
    <x:row r="589">
      <x:c r="B589" t="str">
        <x:v>A-00543</x:v>
      </x:c>
      <x:c r="C589" t="str">
        <x:v>GATE</x:v>
      </x:c>
      <x:c r="D589" t="str">
        <x:v>release state mirrors governing ledger</x:v>
      </x:c>
      <x:c r="E589" t="str">
        <x:f>'Release Gates'!I549</x:f>
        <x:v>PASS</x:v>
      </x:c>
      <x:c r="F589" t="str">
        <x:f>IF('Release Gates'!C549="PLANNING","PASS",IF('Release Gates'!C549="PHYSICAL","OPEN","BLOCKED"))</x:f>
        <x:v>PASS</x:v>
      </x:c>
      <x:c r="G589" t="str">
        <x:v>equals</x:v>
      </x:c>
      <x:c r="H589" t="str">
        <x:f>IF(E589=F589,"PASS","FAIL")</x:f>
        <x:v>PASS</x:v>
      </x:c>
    </x:row>
    <x:row r="590">
      <x:c r="B590" t="str">
        <x:v>A-00544</x:v>
      </x:c>
      <x:c r="C590" t="str">
        <x:v>GATE</x:v>
      </x:c>
      <x:c r="D590" t="str">
        <x:v>release state mirrors governing ledger</x:v>
      </x:c>
      <x:c r="E590" t="str">
        <x:f>'Release Gates'!I550</x:f>
        <x:v>PASS</x:v>
      </x:c>
      <x:c r="F590" t="str">
        <x:f>IF('Release Gates'!C550="PLANNING","PASS",IF('Release Gates'!C550="PHYSICAL","OPEN","BLOCKED"))</x:f>
        <x:v>PASS</x:v>
      </x:c>
      <x:c r="G590" t="str">
        <x:v>equals</x:v>
      </x:c>
      <x:c r="H590" t="str">
        <x:f>IF(E590=F590,"PASS","FAIL")</x:f>
        <x:v>PASS</x:v>
      </x:c>
    </x:row>
    <x:row r="591">
      <x:c r="B591" t="str">
        <x:v>A-00545</x:v>
      </x:c>
      <x:c r="C591" t="str">
        <x:v>GATE</x:v>
      </x:c>
      <x:c r="D591" t="str">
        <x:v>release state mirrors governing ledger</x:v>
      </x:c>
      <x:c r="E591" t="str">
        <x:f>'Release Gates'!I551</x:f>
        <x:v>PASS</x:v>
      </x:c>
      <x:c r="F591" t="str">
        <x:f>IF('Release Gates'!C551="PLANNING","PASS",IF('Release Gates'!C551="PHYSICAL","OPEN","BLOCKED"))</x:f>
        <x:v>PASS</x:v>
      </x:c>
      <x:c r="G591" t="str">
        <x:v>equals</x:v>
      </x:c>
      <x:c r="H591" t="str">
        <x:f>IF(E591=F591,"PASS","FAIL")</x:f>
        <x:v>PASS</x:v>
      </x:c>
    </x:row>
    <x:row r="592">
      <x:c r="B592" t="str">
        <x:v>A-00546</x:v>
      </x:c>
      <x:c r="C592" t="str">
        <x:v>GATE</x:v>
      </x:c>
      <x:c r="D592" t="str">
        <x:v>release state mirrors governing ledger</x:v>
      </x:c>
      <x:c r="E592" t="str">
        <x:f>'Release Gates'!I552</x:f>
        <x:v>PASS</x:v>
      </x:c>
      <x:c r="F592" t="str">
        <x:f>IF('Release Gates'!C552="PLANNING","PASS",IF('Release Gates'!C552="PHYSICAL","OPEN","BLOCKED"))</x:f>
        <x:v>PASS</x:v>
      </x:c>
      <x:c r="G592" t="str">
        <x:v>equals</x:v>
      </x:c>
      <x:c r="H592" t="str">
        <x:f>IF(E592=F592,"PASS","FAIL")</x:f>
        <x:v>PASS</x:v>
      </x:c>
    </x:row>
    <x:row r="593">
      <x:c r="B593" t="str">
        <x:v>A-00547</x:v>
      </x:c>
      <x:c r="C593" t="str">
        <x:v>GATE</x:v>
      </x:c>
      <x:c r="D593" t="str">
        <x:v>release state mirrors governing ledger</x:v>
      </x:c>
      <x:c r="E593" t="str">
        <x:f>'Release Gates'!I553</x:f>
        <x:v>PASS</x:v>
      </x:c>
      <x:c r="F593" t="str">
        <x:f>IF('Release Gates'!C553="PLANNING","PASS",IF('Release Gates'!C553="PHYSICAL","OPEN","BLOCKED"))</x:f>
        <x:v>PASS</x:v>
      </x:c>
      <x:c r="G593" t="str">
        <x:v>equals</x:v>
      </x:c>
      <x:c r="H593" t="str">
        <x:f>IF(E593=F593,"PASS","FAIL")</x:f>
        <x:v>PASS</x:v>
      </x:c>
    </x:row>
    <x:row r="594">
      <x:c r="B594" t="str">
        <x:v>A-00548</x:v>
      </x:c>
      <x:c r="C594" t="str">
        <x:v>GATE</x:v>
      </x:c>
      <x:c r="D594" t="str">
        <x:v>release state mirrors governing ledger</x:v>
      </x:c>
      <x:c r="E594" t="str">
        <x:f>'Release Gates'!I554</x:f>
        <x:v>PASS</x:v>
      </x:c>
      <x:c r="F594" t="str">
        <x:f>IF('Release Gates'!C554="PLANNING","PASS",IF('Release Gates'!C554="PHYSICAL","OPEN","BLOCKED"))</x:f>
        <x:v>PASS</x:v>
      </x:c>
      <x:c r="G594" t="str">
        <x:v>equals</x:v>
      </x:c>
      <x:c r="H594" t="str">
        <x:f>IF(E594=F594,"PASS","FAIL")</x:f>
        <x:v>PASS</x:v>
      </x:c>
    </x:row>
    <x:row r="595">
      <x:c r="B595" t="str">
        <x:v>A-00549</x:v>
      </x:c>
      <x:c r="C595" t="str">
        <x:v>GATE</x:v>
      </x:c>
      <x:c r="D595" t="str">
        <x:v>release state mirrors governing ledger</x:v>
      </x:c>
      <x:c r="E595" t="str">
        <x:f>'Release Gates'!I555</x:f>
        <x:v>PASS</x:v>
      </x:c>
      <x:c r="F595" t="str">
        <x:f>IF('Release Gates'!C555="PLANNING","PASS",IF('Release Gates'!C555="PHYSICAL","OPEN","BLOCKED"))</x:f>
        <x:v>PASS</x:v>
      </x:c>
      <x:c r="G595" t="str">
        <x:v>equals</x:v>
      </x:c>
      <x:c r="H595" t="str">
        <x:f>IF(E595=F595,"PASS","FAIL")</x:f>
        <x:v>PASS</x:v>
      </x:c>
    </x:row>
    <x:row r="596">
      <x:c r="B596" t="str">
        <x:v>A-00550</x:v>
      </x:c>
      <x:c r="C596" t="str">
        <x:v>GATE</x:v>
      </x:c>
      <x:c r="D596" t="str">
        <x:v>release state mirrors governing ledger</x:v>
      </x:c>
      <x:c r="E596" t="str">
        <x:f>'Release Gates'!I556</x:f>
        <x:v>PASS</x:v>
      </x:c>
      <x:c r="F596" t="str">
        <x:f>IF('Release Gates'!C556="PLANNING","PASS",IF('Release Gates'!C556="PHYSICAL","OPEN","BLOCKED"))</x:f>
        <x:v>PASS</x:v>
      </x:c>
      <x:c r="G596" t="str">
        <x:v>equals</x:v>
      </x:c>
      <x:c r="H596" t="str">
        <x:f>IF(E596=F596,"PASS","FAIL")</x:f>
        <x:v>PASS</x:v>
      </x:c>
    </x:row>
    <x:row r="597">
      <x:c r="B597" t="str">
        <x:v>A-00551</x:v>
      </x:c>
      <x:c r="C597" t="str">
        <x:v>GATE</x:v>
      </x:c>
      <x:c r="D597" t="str">
        <x:v>release state mirrors governing ledger</x:v>
      </x:c>
      <x:c r="E597" t="str">
        <x:f>'Release Gates'!I557</x:f>
        <x:v>PASS</x:v>
      </x:c>
      <x:c r="F597" t="str">
        <x:f>IF('Release Gates'!C557="PLANNING","PASS",IF('Release Gates'!C557="PHYSICAL","OPEN","BLOCKED"))</x:f>
        <x:v>PASS</x:v>
      </x:c>
      <x:c r="G597" t="str">
        <x:v>equals</x:v>
      </x:c>
      <x:c r="H597" t="str">
        <x:f>IF(E597=F597,"PASS","FAIL")</x:f>
        <x:v>PASS</x:v>
      </x:c>
    </x:row>
    <x:row r="598">
      <x:c r="B598" t="str">
        <x:v>A-00552</x:v>
      </x:c>
      <x:c r="C598" t="str">
        <x:v>GATE</x:v>
      </x:c>
      <x:c r="D598" t="str">
        <x:v>release state mirrors governing ledger</x:v>
      </x:c>
      <x:c r="E598" t="str">
        <x:f>'Release Gates'!I558</x:f>
        <x:v>PASS</x:v>
      </x:c>
      <x:c r="F598" t="str">
        <x:f>IF('Release Gates'!C558="PLANNING","PASS",IF('Release Gates'!C558="PHYSICAL","OPEN","BLOCKED"))</x:f>
        <x:v>PASS</x:v>
      </x:c>
      <x:c r="G598" t="str">
        <x:v>equals</x:v>
      </x:c>
      <x:c r="H598" t="str">
        <x:f>IF(E598=F598,"PASS","FAIL")</x:f>
        <x:v>PASS</x:v>
      </x:c>
    </x:row>
    <x:row r="599">
      <x:c r="B599" t="str">
        <x:v>A-00553</x:v>
      </x:c>
      <x:c r="C599" t="str">
        <x:v>GATE</x:v>
      </x:c>
      <x:c r="D599" t="str">
        <x:v>release state mirrors governing ledger</x:v>
      </x:c>
      <x:c r="E599" t="str">
        <x:f>'Release Gates'!I559</x:f>
        <x:v>PASS</x:v>
      </x:c>
      <x:c r="F599" t="str">
        <x:f>IF('Release Gates'!C559="PLANNING","PASS",IF('Release Gates'!C559="PHYSICAL","OPEN","BLOCKED"))</x:f>
        <x:v>PASS</x:v>
      </x:c>
      <x:c r="G599" t="str">
        <x:v>equals</x:v>
      </x:c>
      <x:c r="H599" t="str">
        <x:f>IF(E599=F599,"PASS","FAIL")</x:f>
        <x:v>PASS</x:v>
      </x:c>
    </x:row>
    <x:row r="600">
      <x:c r="B600" t="str">
        <x:v>A-00554</x:v>
      </x:c>
      <x:c r="C600" t="str">
        <x:v>GATE</x:v>
      </x:c>
      <x:c r="D600" t="str">
        <x:v>release state mirrors governing ledger</x:v>
      </x:c>
      <x:c r="E600" t="str">
        <x:f>'Release Gates'!I560</x:f>
        <x:v>PASS</x:v>
      </x:c>
      <x:c r="F600" t="str">
        <x:f>IF('Release Gates'!C560="PLANNING","PASS",IF('Release Gates'!C560="PHYSICAL","OPEN","BLOCKED"))</x:f>
        <x:v>PASS</x:v>
      </x:c>
      <x:c r="G600" t="str">
        <x:v>equals</x:v>
      </x:c>
      <x:c r="H600" t="str">
        <x:f>IF(E600=F600,"PASS","FAIL")</x:f>
        <x:v>PASS</x:v>
      </x:c>
    </x:row>
    <x:row r="601">
      <x:c r="B601" t="str">
        <x:v>A-00555</x:v>
      </x:c>
      <x:c r="C601" t="str">
        <x:v>GATE</x:v>
      </x:c>
      <x:c r="D601" t="str">
        <x:v>release state mirrors governing ledger</x:v>
      </x:c>
      <x:c r="E601" t="str">
        <x:f>'Release Gates'!I561</x:f>
        <x:v>PASS</x:v>
      </x:c>
      <x:c r="F601" t="str">
        <x:f>IF('Release Gates'!C561="PLANNING","PASS",IF('Release Gates'!C561="PHYSICAL","OPEN","BLOCKED"))</x:f>
        <x:v>PASS</x:v>
      </x:c>
      <x:c r="G601" t="str">
        <x:v>equals</x:v>
      </x:c>
      <x:c r="H601" t="str">
        <x:f>IF(E601=F601,"PASS","FAIL")</x:f>
        <x:v>PASS</x:v>
      </x:c>
    </x:row>
    <x:row r="602">
      <x:c r="B602" t="str">
        <x:v>A-00556</x:v>
      </x:c>
      <x:c r="C602" t="str">
        <x:v>GATE</x:v>
      </x:c>
      <x:c r="D602" t="str">
        <x:v>release state mirrors governing ledger</x:v>
      </x:c>
      <x:c r="E602" t="str">
        <x:f>'Release Gates'!I562</x:f>
        <x:v>PASS</x:v>
      </x:c>
      <x:c r="F602" t="str">
        <x:f>IF('Release Gates'!C562="PLANNING","PASS",IF('Release Gates'!C562="PHYSICAL","OPEN","BLOCKED"))</x:f>
        <x:v>PASS</x:v>
      </x:c>
      <x:c r="G602" t="str">
        <x:v>equals</x:v>
      </x:c>
      <x:c r="H602" t="str">
        <x:f>IF(E602=F602,"PASS","FAIL")</x:f>
        <x:v>PASS</x:v>
      </x:c>
    </x:row>
    <x:row r="603">
      <x:c r="B603" t="str">
        <x:v>A-00557</x:v>
      </x:c>
      <x:c r="C603" t="str">
        <x:v>GATE</x:v>
      </x:c>
      <x:c r="D603" t="str">
        <x:v>release state mirrors governing ledger</x:v>
      </x:c>
      <x:c r="E603" t="str">
        <x:f>'Release Gates'!I563</x:f>
        <x:v>PASS</x:v>
      </x:c>
      <x:c r="F603" t="str">
        <x:f>IF('Release Gates'!C563="PLANNING","PASS",IF('Release Gates'!C563="PHYSICAL","OPEN","BLOCKED"))</x:f>
        <x:v>PASS</x:v>
      </x:c>
      <x:c r="G603" t="str">
        <x:v>equals</x:v>
      </x:c>
      <x:c r="H603" t="str">
        <x:f>IF(E603=F603,"PASS","FAIL")</x:f>
        <x:v>PASS</x:v>
      </x:c>
    </x:row>
    <x:row r="604">
      <x:c r="B604" t="str">
        <x:v>A-00558</x:v>
      </x:c>
      <x:c r="C604" t="str">
        <x:v>GATE</x:v>
      </x:c>
      <x:c r="D604" t="str">
        <x:v>release state mirrors governing ledger</x:v>
      </x:c>
      <x:c r="E604" t="str">
        <x:f>'Release Gates'!I564</x:f>
        <x:v>PASS</x:v>
      </x:c>
      <x:c r="F604" t="str">
        <x:f>IF('Release Gates'!C564="PLANNING","PASS",IF('Release Gates'!C564="PHYSICAL","OPEN","BLOCKED"))</x:f>
        <x:v>PASS</x:v>
      </x:c>
      <x:c r="G604" t="str">
        <x:v>equals</x:v>
      </x:c>
      <x:c r="H604" t="str">
        <x:f>IF(E604=F604,"PASS","FAIL")</x:f>
        <x:v>PASS</x:v>
      </x:c>
    </x:row>
    <x:row r="605">
      <x:c r="B605" t="str">
        <x:v>A-00559</x:v>
      </x:c>
      <x:c r="C605" t="str">
        <x:v>GATE</x:v>
      </x:c>
      <x:c r="D605" t="str">
        <x:v>release state mirrors governing ledger</x:v>
      </x:c>
      <x:c r="E605" t="str">
        <x:f>'Release Gates'!I565</x:f>
        <x:v>PASS</x:v>
      </x:c>
      <x:c r="F605" t="str">
        <x:f>IF('Release Gates'!C565="PLANNING","PASS",IF('Release Gates'!C565="PHYSICAL","OPEN","BLOCKED"))</x:f>
        <x:v>PASS</x:v>
      </x:c>
      <x:c r="G605" t="str">
        <x:v>equals</x:v>
      </x:c>
      <x:c r="H605" t="str">
        <x:f>IF(E605=F605,"PASS","FAIL")</x:f>
        <x:v>PASS</x:v>
      </x:c>
    </x:row>
    <x:row r="606">
      <x:c r="B606" t="str">
        <x:v>A-00560</x:v>
      </x:c>
      <x:c r="C606" t="str">
        <x:v>GATE</x:v>
      </x:c>
      <x:c r="D606" t="str">
        <x:v>release state mirrors governing ledger</x:v>
      </x:c>
      <x:c r="E606" t="str">
        <x:f>'Release Gates'!I566</x:f>
        <x:v>PASS</x:v>
      </x:c>
      <x:c r="F606" t="str">
        <x:f>IF('Release Gates'!C566="PLANNING","PASS",IF('Release Gates'!C566="PHYSICAL","OPEN","BLOCKED"))</x:f>
        <x:v>PASS</x:v>
      </x:c>
      <x:c r="G606" t="str">
        <x:v>equals</x:v>
      </x:c>
      <x:c r="H606" t="str">
        <x:f>IF(E606=F606,"PASS","FAIL")</x:f>
        <x:v>PASS</x:v>
      </x:c>
    </x:row>
    <x:row r="607">
      <x:c r="B607" t="str">
        <x:v>A-00561</x:v>
      </x:c>
      <x:c r="C607" t="str">
        <x:v>GATE</x:v>
      </x:c>
      <x:c r="D607" t="str">
        <x:v>release state mirrors governing ledger</x:v>
      </x:c>
      <x:c r="E607" t="str">
        <x:f>'Release Gates'!I567</x:f>
        <x:v>PASS</x:v>
      </x:c>
      <x:c r="F607" t="str">
        <x:f>IF('Release Gates'!C567="PLANNING","PASS",IF('Release Gates'!C567="PHYSICAL","OPEN","BLOCKED"))</x:f>
        <x:v>PASS</x:v>
      </x:c>
      <x:c r="G607" t="str">
        <x:v>equals</x:v>
      </x:c>
      <x:c r="H607" t="str">
        <x:f>IF(E607=F607,"PASS","FAIL")</x:f>
        <x:v>PASS</x:v>
      </x:c>
    </x:row>
    <x:row r="608">
      <x:c r="B608" t="str">
        <x:v>A-00562</x:v>
      </x:c>
      <x:c r="C608" t="str">
        <x:v>GATE</x:v>
      </x:c>
      <x:c r="D608" t="str">
        <x:v>release state mirrors governing ledger</x:v>
      </x:c>
      <x:c r="E608" t="str">
        <x:f>'Release Gates'!I568</x:f>
        <x:v>PASS</x:v>
      </x:c>
      <x:c r="F608" t="str">
        <x:f>IF('Release Gates'!C568="PLANNING","PASS",IF('Release Gates'!C568="PHYSICAL","OPEN","BLOCKED"))</x:f>
        <x:v>PASS</x:v>
      </x:c>
      <x:c r="G608" t="str">
        <x:v>equals</x:v>
      </x:c>
      <x:c r="H608" t="str">
        <x:f>IF(E608=F608,"PASS","FAIL")</x:f>
        <x:v>PASS</x:v>
      </x:c>
    </x:row>
    <x:row r="609">
      <x:c r="B609" t="str">
        <x:v>A-00563</x:v>
      </x:c>
      <x:c r="C609" t="str">
        <x:v>GATE</x:v>
      </x:c>
      <x:c r="D609" t="str">
        <x:v>release state mirrors governing ledger</x:v>
      </x:c>
      <x:c r="E609" t="str">
        <x:f>'Release Gates'!I569</x:f>
        <x:v>PASS</x:v>
      </x:c>
      <x:c r="F609" t="str">
        <x:f>IF('Release Gates'!C569="PLANNING","PASS",IF('Release Gates'!C569="PHYSICAL","OPEN","BLOCKED"))</x:f>
        <x:v>PASS</x:v>
      </x:c>
      <x:c r="G609" t="str">
        <x:v>equals</x:v>
      </x:c>
      <x:c r="H609" t="str">
        <x:f>IF(E609=F609,"PASS","FAIL")</x:f>
        <x:v>PASS</x:v>
      </x:c>
    </x:row>
    <x:row r="610">
      <x:c r="B610" t="str">
        <x:v>A-00564</x:v>
      </x:c>
      <x:c r="C610" t="str">
        <x:v>GATE</x:v>
      </x:c>
      <x:c r="D610" t="str">
        <x:v>release state mirrors governing ledger</x:v>
      </x:c>
      <x:c r="E610" t="str">
        <x:f>'Release Gates'!I570</x:f>
        <x:v>PASS</x:v>
      </x:c>
      <x:c r="F610" t="str">
        <x:f>IF('Release Gates'!C570="PLANNING","PASS",IF('Release Gates'!C570="PHYSICAL","OPEN","BLOCKED"))</x:f>
        <x:v>PASS</x:v>
      </x:c>
      <x:c r="G610" t="str">
        <x:v>equals</x:v>
      </x:c>
      <x:c r="H610" t="str">
        <x:f>IF(E610=F610,"PASS","FAIL")</x:f>
        <x:v>PASS</x:v>
      </x:c>
    </x:row>
    <x:row r="611">
      <x:c r="B611" t="str">
        <x:v>A-00565</x:v>
      </x:c>
      <x:c r="C611" t="str">
        <x:v>GATE</x:v>
      </x:c>
      <x:c r="D611" t="str">
        <x:v>release state mirrors governing ledger</x:v>
      </x:c>
      <x:c r="E611" t="str">
        <x:f>'Release Gates'!I571</x:f>
        <x:v>PASS</x:v>
      </x:c>
      <x:c r="F611" t="str">
        <x:f>IF('Release Gates'!C571="PLANNING","PASS",IF('Release Gates'!C571="PHYSICAL","OPEN","BLOCKED"))</x:f>
        <x:v>PASS</x:v>
      </x:c>
      <x:c r="G611" t="str">
        <x:v>equals</x:v>
      </x:c>
      <x:c r="H611" t="str">
        <x:f>IF(E611=F611,"PASS","FAIL")</x:f>
        <x:v>PASS</x:v>
      </x:c>
    </x:row>
    <x:row r="612">
      <x:c r="B612" t="str">
        <x:v>A-00566</x:v>
      </x:c>
      <x:c r="C612" t="str">
        <x:v>GATE</x:v>
      </x:c>
      <x:c r="D612" t="str">
        <x:v>release state mirrors governing ledger</x:v>
      </x:c>
      <x:c r="E612" t="str">
        <x:f>'Release Gates'!I572</x:f>
        <x:v>PASS</x:v>
      </x:c>
      <x:c r="F612" t="str">
        <x:f>IF('Release Gates'!C572="PLANNING","PASS",IF('Release Gates'!C572="PHYSICAL","OPEN","BLOCKED"))</x:f>
        <x:v>PASS</x:v>
      </x:c>
      <x:c r="G612" t="str">
        <x:v>equals</x:v>
      </x:c>
      <x:c r="H612" t="str">
        <x:f>IF(E612=F612,"PASS","FAIL")</x:f>
        <x:v>PASS</x:v>
      </x:c>
    </x:row>
    <x:row r="613">
      <x:c r="B613" t="str">
        <x:v>A-00567</x:v>
      </x:c>
      <x:c r="C613" t="str">
        <x:v>GATE</x:v>
      </x:c>
      <x:c r="D613" t="str">
        <x:v>release state mirrors governing ledger</x:v>
      </x:c>
      <x:c r="E613" t="str">
        <x:f>'Release Gates'!I573</x:f>
        <x:v>PASS</x:v>
      </x:c>
      <x:c r="F613" t="str">
        <x:f>IF('Release Gates'!C573="PLANNING","PASS",IF('Release Gates'!C573="PHYSICAL","OPEN","BLOCKED"))</x:f>
        <x:v>PASS</x:v>
      </x:c>
      <x:c r="G613" t="str">
        <x:v>equals</x:v>
      </x:c>
      <x:c r="H613" t="str">
        <x:f>IF(E613=F613,"PASS","FAIL")</x:f>
        <x:v>PASS</x:v>
      </x:c>
    </x:row>
    <x:row r="614">
      <x:c r="B614" t="str">
        <x:v>A-00568</x:v>
      </x:c>
      <x:c r="C614" t="str">
        <x:v>GATE</x:v>
      </x:c>
      <x:c r="D614" t="str">
        <x:v>release state mirrors governing ledger</x:v>
      </x:c>
      <x:c r="E614" t="str">
        <x:f>'Release Gates'!I574</x:f>
        <x:v>PASS</x:v>
      </x:c>
      <x:c r="F614" t="str">
        <x:f>IF('Release Gates'!C574="PLANNING","PASS",IF('Release Gates'!C574="PHYSICAL","OPEN","BLOCKED"))</x:f>
        <x:v>PASS</x:v>
      </x:c>
      <x:c r="G614" t="str">
        <x:v>equals</x:v>
      </x:c>
      <x:c r="H614" t="str">
        <x:f>IF(E614=F614,"PASS","FAIL")</x:f>
        <x:v>PASS</x:v>
      </x:c>
    </x:row>
    <x:row r="615">
      <x:c r="B615" t="str">
        <x:v>A-00569</x:v>
      </x:c>
      <x:c r="C615" t="str">
        <x:v>GATE</x:v>
      </x:c>
      <x:c r="D615" t="str">
        <x:v>release state mirrors governing ledger</x:v>
      </x:c>
      <x:c r="E615" t="str">
        <x:f>'Release Gates'!I575</x:f>
        <x:v>PASS</x:v>
      </x:c>
      <x:c r="F615" t="str">
        <x:f>IF('Release Gates'!C575="PLANNING","PASS",IF('Release Gates'!C575="PHYSICAL","OPEN","BLOCKED"))</x:f>
        <x:v>PASS</x:v>
      </x:c>
      <x:c r="G615" t="str">
        <x:v>equals</x:v>
      </x:c>
      <x:c r="H615" t="str">
        <x:f>IF(E615=F615,"PASS","FAIL")</x:f>
        <x:v>PASS</x:v>
      </x:c>
    </x:row>
    <x:row r="616">
      <x:c r="B616" t="str">
        <x:v>A-00570</x:v>
      </x:c>
      <x:c r="C616" t="str">
        <x:v>GATE</x:v>
      </x:c>
      <x:c r="D616" t="str">
        <x:v>release state mirrors governing ledger</x:v>
      </x:c>
      <x:c r="E616" t="str">
        <x:f>'Release Gates'!I576</x:f>
        <x:v>PASS</x:v>
      </x:c>
      <x:c r="F616" t="str">
        <x:f>IF('Release Gates'!C576="PLANNING","PASS",IF('Release Gates'!C576="PHYSICAL","OPEN","BLOCKED"))</x:f>
        <x:v>PASS</x:v>
      </x:c>
      <x:c r="G616" t="str">
        <x:v>equals</x:v>
      </x:c>
      <x:c r="H616" t="str">
        <x:f>IF(E616=F616,"PASS","FAIL")</x:f>
        <x:v>PASS</x:v>
      </x:c>
    </x:row>
    <x:row r="617">
      <x:c r="B617" t="str">
        <x:v>A-00571</x:v>
      </x:c>
      <x:c r="C617" t="str">
        <x:v>GATE</x:v>
      </x:c>
      <x:c r="D617" t="str">
        <x:v>release state mirrors governing ledger</x:v>
      </x:c>
      <x:c r="E617" t="str">
        <x:f>'Release Gates'!I577</x:f>
        <x:v>PASS</x:v>
      </x:c>
      <x:c r="F617" t="str">
        <x:f>IF('Release Gates'!C577="PLANNING","PASS",IF('Release Gates'!C577="PHYSICAL","OPEN","BLOCKED"))</x:f>
        <x:v>PASS</x:v>
      </x:c>
      <x:c r="G617" t="str">
        <x:v>equals</x:v>
      </x:c>
      <x:c r="H617" t="str">
        <x:f>IF(E617=F617,"PASS","FAIL")</x:f>
        <x:v>PASS</x:v>
      </x:c>
    </x:row>
    <x:row r="618">
      <x:c r="B618" t="str">
        <x:v>A-00572</x:v>
      </x:c>
      <x:c r="C618" t="str">
        <x:v>GATE</x:v>
      </x:c>
      <x:c r="D618" t="str">
        <x:v>release state mirrors governing ledger</x:v>
      </x:c>
      <x:c r="E618" t="str">
        <x:f>'Release Gates'!I578</x:f>
        <x:v>PASS</x:v>
      </x:c>
      <x:c r="F618" t="str">
        <x:f>IF('Release Gates'!C578="PLANNING","PASS",IF('Release Gates'!C578="PHYSICAL","OPEN","BLOCKED"))</x:f>
        <x:v>PASS</x:v>
      </x:c>
      <x:c r="G618" t="str">
        <x:v>equals</x:v>
      </x:c>
      <x:c r="H618" t="str">
        <x:f>IF(E618=F618,"PASS","FAIL")</x:f>
        <x:v>PASS</x:v>
      </x:c>
    </x:row>
    <x:row r="619">
      <x:c r="B619" t="str">
        <x:v>A-00573</x:v>
      </x:c>
      <x:c r="C619" t="str">
        <x:v>GATE</x:v>
      </x:c>
      <x:c r="D619" t="str">
        <x:v>release state mirrors governing ledger</x:v>
      </x:c>
      <x:c r="E619" t="str">
        <x:f>'Release Gates'!I579</x:f>
        <x:v>PASS</x:v>
      </x:c>
      <x:c r="F619" t="str">
        <x:f>IF('Release Gates'!C579="PLANNING","PASS",IF('Release Gates'!C579="PHYSICAL","OPEN","BLOCKED"))</x:f>
        <x:v>PASS</x:v>
      </x:c>
      <x:c r="G619" t="str">
        <x:v>equals</x:v>
      </x:c>
      <x:c r="H619" t="str">
        <x:f>IF(E619=F619,"PASS","FAIL")</x:f>
        <x:v>PASS</x:v>
      </x:c>
    </x:row>
    <x:row r="620">
      <x:c r="B620" t="str">
        <x:v>A-00574</x:v>
      </x:c>
      <x:c r="C620" t="str">
        <x:v>GATE</x:v>
      </x:c>
      <x:c r="D620" t="str">
        <x:v>release state mirrors governing ledger</x:v>
      </x:c>
      <x:c r="E620" t="str">
        <x:f>'Release Gates'!I580</x:f>
        <x:v>PASS</x:v>
      </x:c>
      <x:c r="F620" t="str">
        <x:f>IF('Release Gates'!C580="PLANNING","PASS",IF('Release Gates'!C580="PHYSICAL","OPEN","BLOCKED"))</x:f>
        <x:v>PASS</x:v>
      </x:c>
      <x:c r="G620" t="str">
        <x:v>equals</x:v>
      </x:c>
      <x:c r="H620" t="str">
        <x:f>IF(E620=F620,"PASS","FAIL")</x:f>
        <x:v>PASS</x:v>
      </x:c>
    </x:row>
    <x:row r="621">
      <x:c r="B621" t="str">
        <x:v>A-00575</x:v>
      </x:c>
      <x:c r="C621" t="str">
        <x:v>GATE</x:v>
      </x:c>
      <x:c r="D621" t="str">
        <x:v>release state mirrors governing ledger</x:v>
      </x:c>
      <x:c r="E621" t="str">
        <x:f>'Release Gates'!I581</x:f>
        <x:v>PASS</x:v>
      </x:c>
      <x:c r="F621" t="str">
        <x:f>IF('Release Gates'!C581="PLANNING","PASS",IF('Release Gates'!C581="PHYSICAL","OPEN","BLOCKED"))</x:f>
        <x:v>PASS</x:v>
      </x:c>
      <x:c r="G621" t="str">
        <x:v>equals</x:v>
      </x:c>
      <x:c r="H621" t="str">
        <x:f>IF(E621=F621,"PASS","FAIL")</x:f>
        <x:v>PASS</x:v>
      </x:c>
    </x:row>
    <x:row r="622">
      <x:c r="B622" t="str">
        <x:v>A-00576</x:v>
      </x:c>
      <x:c r="C622" t="str">
        <x:v>GATE</x:v>
      </x:c>
      <x:c r="D622" t="str">
        <x:v>release state mirrors governing ledger</x:v>
      </x:c>
      <x:c r="E622" t="str">
        <x:f>'Release Gates'!I582</x:f>
        <x:v>PASS</x:v>
      </x:c>
      <x:c r="F622" t="str">
        <x:f>IF('Release Gates'!C582="PLANNING","PASS",IF('Release Gates'!C582="PHYSICAL","OPEN","BLOCKED"))</x:f>
        <x:v>PASS</x:v>
      </x:c>
      <x:c r="G622" t="str">
        <x:v>equals</x:v>
      </x:c>
      <x:c r="H622" t="str">
        <x:f>IF(E622=F622,"PASS","FAIL")</x:f>
        <x:v>PASS</x:v>
      </x:c>
    </x:row>
    <x:row r="623">
      <x:c r="B623" t="str">
        <x:v>A-00577</x:v>
      </x:c>
      <x:c r="C623" t="str">
        <x:v>GATE</x:v>
      </x:c>
      <x:c r="D623" t="str">
        <x:v>release state mirrors governing ledger</x:v>
      </x:c>
      <x:c r="E623" t="str">
        <x:f>'Release Gates'!I583</x:f>
        <x:v>PASS</x:v>
      </x:c>
      <x:c r="F623" t="str">
        <x:f>IF('Release Gates'!C583="PLANNING","PASS",IF('Release Gates'!C583="PHYSICAL","OPEN","BLOCKED"))</x:f>
        <x:v>PASS</x:v>
      </x:c>
      <x:c r="G623" t="str">
        <x:v>equals</x:v>
      </x:c>
      <x:c r="H623" t="str">
        <x:f>IF(E623=F623,"PASS","FAIL")</x:f>
        <x:v>PASS</x:v>
      </x:c>
    </x:row>
    <x:row r="624">
      <x:c r="B624" t="str">
        <x:v>A-00578</x:v>
      </x:c>
      <x:c r="C624" t="str">
        <x:v>GATE</x:v>
      </x:c>
      <x:c r="D624" t="str">
        <x:v>release state mirrors governing ledger</x:v>
      </x:c>
      <x:c r="E624" t="str">
        <x:f>'Release Gates'!I584</x:f>
        <x:v>PASS</x:v>
      </x:c>
      <x:c r="F624" t="str">
        <x:f>IF('Release Gates'!C584="PLANNING","PASS",IF('Release Gates'!C584="PHYSICAL","OPEN","BLOCKED"))</x:f>
        <x:v>PASS</x:v>
      </x:c>
      <x:c r="G624" t="str">
        <x:v>equals</x:v>
      </x:c>
      <x:c r="H624" t="str">
        <x:f>IF(E624=F624,"PASS","FAIL")</x:f>
        <x:v>PASS</x:v>
      </x:c>
    </x:row>
    <x:row r="625">
      <x:c r="B625" t="str">
        <x:v>A-00579</x:v>
      </x:c>
      <x:c r="C625" t="str">
        <x:v>GATE</x:v>
      </x:c>
      <x:c r="D625" t="str">
        <x:v>release state mirrors governing ledger</x:v>
      </x:c>
      <x:c r="E625" t="str">
        <x:f>'Release Gates'!I585</x:f>
        <x:v>PASS</x:v>
      </x:c>
      <x:c r="F625" t="str">
        <x:f>IF('Release Gates'!C585="PLANNING","PASS",IF('Release Gates'!C585="PHYSICAL","OPEN","BLOCKED"))</x:f>
        <x:v>PASS</x:v>
      </x:c>
      <x:c r="G625" t="str">
        <x:v>equals</x:v>
      </x:c>
      <x:c r="H625" t="str">
        <x:f>IF(E625=F625,"PASS","FAIL")</x:f>
        <x:v>PASS</x:v>
      </x:c>
    </x:row>
    <x:row r="626">
      <x:c r="B626" t="str">
        <x:v>A-00580</x:v>
      </x:c>
      <x:c r="C626" t="str">
        <x:v>GATE</x:v>
      </x:c>
      <x:c r="D626" t="str">
        <x:v>release state mirrors governing ledger</x:v>
      </x:c>
      <x:c r="E626" t="str">
        <x:f>'Release Gates'!I586</x:f>
        <x:v>PASS</x:v>
      </x:c>
      <x:c r="F626" t="str">
        <x:f>IF('Release Gates'!C586="PLANNING","PASS",IF('Release Gates'!C586="PHYSICAL","OPEN","BLOCKED"))</x:f>
        <x:v>PASS</x:v>
      </x:c>
      <x:c r="G626" t="str">
        <x:v>equals</x:v>
      </x:c>
      <x:c r="H626" t="str">
        <x:f>IF(E626=F626,"PASS","FAIL")</x:f>
        <x:v>PASS</x:v>
      </x:c>
    </x:row>
    <x:row r="627">
      <x:c r="B627" t="str">
        <x:v>A-00581</x:v>
      </x:c>
      <x:c r="C627" t="str">
        <x:v>GATE</x:v>
      </x:c>
      <x:c r="D627" t="str">
        <x:v>release state mirrors governing ledger</x:v>
      </x:c>
      <x:c r="E627" t="str">
        <x:f>'Release Gates'!I587</x:f>
        <x:v>PASS</x:v>
      </x:c>
      <x:c r="F627" t="str">
        <x:f>IF('Release Gates'!C587="PLANNING","PASS",IF('Release Gates'!C587="PHYSICAL","OPEN","BLOCKED"))</x:f>
        <x:v>PASS</x:v>
      </x:c>
      <x:c r="G627" t="str">
        <x:v>equals</x:v>
      </x:c>
      <x:c r="H627" t="str">
        <x:f>IF(E627=F627,"PASS","FAIL")</x:f>
        <x:v>PASS</x:v>
      </x:c>
    </x:row>
    <x:row r="628">
      <x:c r="B628" t="str">
        <x:v>A-00582</x:v>
      </x:c>
      <x:c r="C628" t="str">
        <x:v>GATE</x:v>
      </x:c>
      <x:c r="D628" t="str">
        <x:v>release state mirrors governing ledger</x:v>
      </x:c>
      <x:c r="E628" t="str">
        <x:f>'Release Gates'!I588</x:f>
        <x:v>PASS</x:v>
      </x:c>
      <x:c r="F628" t="str">
        <x:f>IF('Release Gates'!C588="PLANNING","PASS",IF('Release Gates'!C588="PHYSICAL","OPEN","BLOCKED"))</x:f>
        <x:v>PASS</x:v>
      </x:c>
      <x:c r="G628" t="str">
        <x:v>equals</x:v>
      </x:c>
      <x:c r="H628" t="str">
        <x:f>IF(E628=F628,"PASS","FAIL")</x:f>
        <x:v>PASS</x:v>
      </x:c>
    </x:row>
    <x:row r="629">
      <x:c r="B629" t="str">
        <x:v>A-00583</x:v>
      </x:c>
      <x:c r="C629" t="str">
        <x:v>GATE</x:v>
      </x:c>
      <x:c r="D629" t="str">
        <x:v>release state mirrors governing ledger</x:v>
      </x:c>
      <x:c r="E629" t="str">
        <x:f>'Release Gates'!I589</x:f>
        <x:v>PASS</x:v>
      </x:c>
      <x:c r="F629" t="str">
        <x:f>IF('Release Gates'!C589="PLANNING","PASS",IF('Release Gates'!C589="PHYSICAL","OPEN","BLOCKED"))</x:f>
        <x:v>PASS</x:v>
      </x:c>
      <x:c r="G629" t="str">
        <x:v>equals</x:v>
      </x:c>
      <x:c r="H629" t="str">
        <x:f>IF(E629=F629,"PASS","FAIL")</x:f>
        <x:v>PASS</x:v>
      </x:c>
    </x:row>
    <x:row r="630">
      <x:c r="B630" t="str">
        <x:v>A-00584</x:v>
      </x:c>
      <x:c r="C630" t="str">
        <x:v>GATE</x:v>
      </x:c>
      <x:c r="D630" t="str">
        <x:v>release state mirrors governing ledger</x:v>
      </x:c>
      <x:c r="E630" t="str">
        <x:f>'Release Gates'!I590</x:f>
        <x:v>PASS</x:v>
      </x:c>
      <x:c r="F630" t="str">
        <x:f>IF('Release Gates'!C590="PLANNING","PASS",IF('Release Gates'!C590="PHYSICAL","OPEN","BLOCKED"))</x:f>
        <x:v>PASS</x:v>
      </x:c>
      <x:c r="G630" t="str">
        <x:v>equals</x:v>
      </x:c>
      <x:c r="H630" t="str">
        <x:f>IF(E630=F630,"PASS","FAIL")</x:f>
        <x:v>PASS</x:v>
      </x:c>
    </x:row>
    <x:row r="631">
      <x:c r="B631" t="str">
        <x:v>A-00585</x:v>
      </x:c>
      <x:c r="C631" t="str">
        <x:v>GATE</x:v>
      </x:c>
      <x:c r="D631" t="str">
        <x:v>release state mirrors governing ledger</x:v>
      </x:c>
      <x:c r="E631" t="str">
        <x:f>'Release Gates'!I591</x:f>
        <x:v>PASS</x:v>
      </x:c>
      <x:c r="F631" t="str">
        <x:f>IF('Release Gates'!C591="PLANNING","PASS",IF('Release Gates'!C591="PHYSICAL","OPEN","BLOCKED"))</x:f>
        <x:v>PASS</x:v>
      </x:c>
      <x:c r="G631" t="str">
        <x:v>equals</x:v>
      </x:c>
      <x:c r="H631" t="str">
        <x:f>IF(E631=F631,"PASS","FAIL")</x:f>
        <x:v>PASS</x:v>
      </x:c>
    </x:row>
    <x:row r="632">
      <x:c r="B632" t="str">
        <x:v>A-00586</x:v>
      </x:c>
      <x:c r="C632" t="str">
        <x:v>GATE</x:v>
      </x:c>
      <x:c r="D632" t="str">
        <x:v>release state mirrors governing ledger</x:v>
      </x:c>
      <x:c r="E632" t="str">
        <x:f>'Release Gates'!I592</x:f>
        <x:v>PASS</x:v>
      </x:c>
      <x:c r="F632" t="str">
        <x:f>IF('Release Gates'!C592="PLANNING","PASS",IF('Release Gates'!C592="PHYSICAL","OPEN","BLOCKED"))</x:f>
        <x:v>PASS</x:v>
      </x:c>
      <x:c r="G632" t="str">
        <x:v>equals</x:v>
      </x:c>
      <x:c r="H632" t="str">
        <x:f>IF(E632=F632,"PASS","FAIL")</x:f>
        <x:v>PASS</x:v>
      </x:c>
    </x:row>
    <x:row r="633">
      <x:c r="B633" t="str">
        <x:v>A-00587</x:v>
      </x:c>
      <x:c r="C633" t="str">
        <x:v>GATE</x:v>
      </x:c>
      <x:c r="D633" t="str">
        <x:v>release state mirrors governing ledger</x:v>
      </x:c>
      <x:c r="E633" t="str">
        <x:f>'Release Gates'!I593</x:f>
        <x:v>PASS</x:v>
      </x:c>
      <x:c r="F633" t="str">
        <x:f>IF('Release Gates'!C593="PLANNING","PASS",IF('Release Gates'!C593="PHYSICAL","OPEN","BLOCKED"))</x:f>
        <x:v>PASS</x:v>
      </x:c>
      <x:c r="G633" t="str">
        <x:v>equals</x:v>
      </x:c>
      <x:c r="H633" t="str">
        <x:f>IF(E633=F633,"PASS","FAIL")</x:f>
        <x:v>PASS</x:v>
      </x:c>
    </x:row>
    <x:row r="634">
      <x:c r="B634" t="str">
        <x:v>A-00588</x:v>
      </x:c>
      <x:c r="C634" t="str">
        <x:v>GATE</x:v>
      </x:c>
      <x:c r="D634" t="str">
        <x:v>release state mirrors governing ledger</x:v>
      </x:c>
      <x:c r="E634" t="str">
        <x:f>'Release Gates'!I594</x:f>
        <x:v>PASS</x:v>
      </x:c>
      <x:c r="F634" t="str">
        <x:f>IF('Release Gates'!C594="PLANNING","PASS",IF('Release Gates'!C594="PHYSICAL","OPEN","BLOCKED"))</x:f>
        <x:v>PASS</x:v>
      </x:c>
      <x:c r="G634" t="str">
        <x:v>equals</x:v>
      </x:c>
      <x:c r="H634" t="str">
        <x:f>IF(E634=F634,"PASS","FAIL")</x:f>
        <x:v>PASS</x:v>
      </x:c>
    </x:row>
    <x:row r="635">
      <x:c r="B635" t="str">
        <x:v>A-00589</x:v>
      </x:c>
      <x:c r="C635" t="str">
        <x:v>GATE</x:v>
      </x:c>
      <x:c r="D635" t="str">
        <x:v>release state mirrors governing ledger</x:v>
      </x:c>
      <x:c r="E635" t="str">
        <x:f>'Release Gates'!I595</x:f>
        <x:v>PASS</x:v>
      </x:c>
      <x:c r="F635" t="str">
        <x:f>IF('Release Gates'!C595="PLANNING","PASS",IF('Release Gates'!C595="PHYSICAL","OPEN","BLOCKED"))</x:f>
        <x:v>PASS</x:v>
      </x:c>
      <x:c r="G635" t="str">
        <x:v>equals</x:v>
      </x:c>
      <x:c r="H635" t="str">
        <x:f>IF(E635=F635,"PASS","FAIL")</x:f>
        <x:v>PASS</x:v>
      </x:c>
    </x:row>
    <x:row r="636">
      <x:c r="B636" t="str">
        <x:v>A-00590</x:v>
      </x:c>
      <x:c r="C636" t="str">
        <x:v>GATE</x:v>
      </x:c>
      <x:c r="D636" t="str">
        <x:v>release state mirrors governing ledger</x:v>
      </x:c>
      <x:c r="E636" t="str">
        <x:f>'Release Gates'!I596</x:f>
        <x:v>PASS</x:v>
      </x:c>
      <x:c r="F636" t="str">
        <x:f>IF('Release Gates'!C596="PLANNING","PASS",IF('Release Gates'!C596="PHYSICAL","OPEN","BLOCKED"))</x:f>
        <x:v>PASS</x:v>
      </x:c>
      <x:c r="G636" t="str">
        <x:v>equals</x:v>
      </x:c>
      <x:c r="H636" t="str">
        <x:f>IF(E636=F636,"PASS","FAIL")</x:f>
        <x:v>PASS</x:v>
      </x:c>
    </x:row>
    <x:row r="637">
      <x:c r="B637" t="str">
        <x:v>A-00591</x:v>
      </x:c>
      <x:c r="C637" t="str">
        <x:v>GATE</x:v>
      </x:c>
      <x:c r="D637" t="str">
        <x:v>release state mirrors governing ledger</x:v>
      </x:c>
      <x:c r="E637" t="str">
        <x:f>'Release Gates'!I597</x:f>
        <x:v>PASS</x:v>
      </x:c>
      <x:c r="F637" t="str">
        <x:f>IF('Release Gates'!C597="PLANNING","PASS",IF('Release Gates'!C597="PHYSICAL","OPEN","BLOCKED"))</x:f>
        <x:v>PASS</x:v>
      </x:c>
      <x:c r="G637" t="str">
        <x:v>equals</x:v>
      </x:c>
      <x:c r="H637" t="str">
        <x:f>IF(E637=F637,"PASS","FAIL")</x:f>
        <x:v>PASS</x:v>
      </x:c>
    </x:row>
    <x:row r="638">
      <x:c r="B638" t="str">
        <x:v>A-00592</x:v>
      </x:c>
      <x:c r="C638" t="str">
        <x:v>GATE</x:v>
      </x:c>
      <x:c r="D638" t="str">
        <x:v>release state mirrors governing ledger</x:v>
      </x:c>
      <x:c r="E638" t="str">
        <x:f>'Release Gates'!I598</x:f>
        <x:v>PASS</x:v>
      </x:c>
      <x:c r="F638" t="str">
        <x:f>IF('Release Gates'!C598="PLANNING","PASS",IF('Release Gates'!C598="PHYSICAL","OPEN","BLOCKED"))</x:f>
        <x:v>PASS</x:v>
      </x:c>
      <x:c r="G638" t="str">
        <x:v>equals</x:v>
      </x:c>
      <x:c r="H638" t="str">
        <x:f>IF(E638=F638,"PASS","FAIL")</x:f>
        <x:v>PASS</x:v>
      </x:c>
    </x:row>
    <x:row r="639">
      <x:c r="B639" t="str">
        <x:v>A-00593</x:v>
      </x:c>
      <x:c r="C639" t="str">
        <x:v>GATE</x:v>
      </x:c>
      <x:c r="D639" t="str">
        <x:v>release state mirrors governing ledger</x:v>
      </x:c>
      <x:c r="E639" t="str">
        <x:f>'Release Gates'!I599</x:f>
        <x:v>PASS</x:v>
      </x:c>
      <x:c r="F639" t="str">
        <x:f>IF('Release Gates'!C599="PLANNING","PASS",IF('Release Gates'!C599="PHYSICAL","OPEN","BLOCKED"))</x:f>
        <x:v>PASS</x:v>
      </x:c>
      <x:c r="G639" t="str">
        <x:v>equals</x:v>
      </x:c>
      <x:c r="H639" t="str">
        <x:f>IF(E639=F639,"PASS","FAIL")</x:f>
        <x:v>PASS</x:v>
      </x:c>
    </x:row>
    <x:row r="640">
      <x:c r="B640" t="str">
        <x:v>A-00594</x:v>
      </x:c>
      <x:c r="C640" t="str">
        <x:v>GATE</x:v>
      </x:c>
      <x:c r="D640" t="str">
        <x:v>release state mirrors governing ledger</x:v>
      </x:c>
      <x:c r="E640" t="str">
        <x:f>'Release Gates'!I600</x:f>
        <x:v>PASS</x:v>
      </x:c>
      <x:c r="F640" t="str">
        <x:f>IF('Release Gates'!C600="PLANNING","PASS",IF('Release Gates'!C600="PHYSICAL","OPEN","BLOCKED"))</x:f>
        <x:v>PASS</x:v>
      </x:c>
      <x:c r="G640" t="str">
        <x:v>equals</x:v>
      </x:c>
      <x:c r="H640" t="str">
        <x:f>IF(E640=F640,"PASS","FAIL")</x:f>
        <x:v>PASS</x:v>
      </x:c>
    </x:row>
    <x:row r="641">
      <x:c r="B641" t="str">
        <x:v>A-00595</x:v>
      </x:c>
      <x:c r="C641" t="str">
        <x:v>GATE</x:v>
      </x:c>
      <x:c r="D641" t="str">
        <x:v>release state mirrors governing ledger</x:v>
      </x:c>
      <x:c r="E641" t="str">
        <x:f>'Release Gates'!I601</x:f>
        <x:v>PASS</x:v>
      </x:c>
      <x:c r="F641" t="str">
        <x:f>IF('Release Gates'!C601="PLANNING","PASS",IF('Release Gates'!C601="PHYSICAL","OPEN","BLOCKED"))</x:f>
        <x:v>PASS</x:v>
      </x:c>
      <x:c r="G641" t="str">
        <x:v>equals</x:v>
      </x:c>
      <x:c r="H641" t="str">
        <x:f>IF(E641=F641,"PASS","FAIL")</x:f>
        <x:v>PASS</x:v>
      </x:c>
    </x:row>
    <x:row r="642">
      <x:c r="B642" t="str">
        <x:v>A-00596</x:v>
      </x:c>
      <x:c r="C642" t="str">
        <x:v>GATE</x:v>
      </x:c>
      <x:c r="D642" t="str">
        <x:v>release state mirrors governing ledger</x:v>
      </x:c>
      <x:c r="E642" t="str">
        <x:f>'Release Gates'!I602</x:f>
        <x:v>PASS</x:v>
      </x:c>
      <x:c r="F642" t="str">
        <x:f>IF('Release Gates'!C602="PLANNING","PASS",IF('Release Gates'!C602="PHYSICAL","OPEN","BLOCKED"))</x:f>
        <x:v>PASS</x:v>
      </x:c>
      <x:c r="G642" t="str">
        <x:v>equals</x:v>
      </x:c>
      <x:c r="H642" t="str">
        <x:f>IF(E642=F642,"PASS","FAIL")</x:f>
        <x:v>PASS</x:v>
      </x:c>
    </x:row>
    <x:row r="643">
      <x:c r="B643" t="str">
        <x:v>A-00597</x:v>
      </x:c>
      <x:c r="C643" t="str">
        <x:v>GATE</x:v>
      </x:c>
      <x:c r="D643" t="str">
        <x:v>release state mirrors governing ledger</x:v>
      </x:c>
      <x:c r="E643" t="str">
        <x:f>'Release Gates'!I603</x:f>
        <x:v>PASS</x:v>
      </x:c>
      <x:c r="F643" t="str">
        <x:f>IF('Release Gates'!C603="PLANNING","PASS",IF('Release Gates'!C603="PHYSICAL","OPEN","BLOCKED"))</x:f>
        <x:v>PASS</x:v>
      </x:c>
      <x:c r="G643" t="str">
        <x:v>equals</x:v>
      </x:c>
      <x:c r="H643" t="str">
        <x:f>IF(E643=F643,"PASS","FAIL")</x:f>
        <x:v>PASS</x:v>
      </x:c>
    </x:row>
    <x:row r="644">
      <x:c r="B644" t="str">
        <x:v>A-00598</x:v>
      </x:c>
      <x:c r="C644" t="str">
        <x:v>GATE</x:v>
      </x:c>
      <x:c r="D644" t="str">
        <x:v>release state mirrors governing ledger</x:v>
      </x:c>
      <x:c r="E644" t="str">
        <x:f>'Release Gates'!I604</x:f>
        <x:v>PASS</x:v>
      </x:c>
      <x:c r="F644" t="str">
        <x:f>IF('Release Gates'!C604="PLANNING","PASS",IF('Release Gates'!C604="PHYSICAL","OPEN","BLOCKED"))</x:f>
        <x:v>PASS</x:v>
      </x:c>
      <x:c r="G644" t="str">
        <x:v>equals</x:v>
      </x:c>
      <x:c r="H644" t="str">
        <x:f>IF(E644=F644,"PASS","FAIL")</x:f>
        <x:v>PASS</x:v>
      </x:c>
    </x:row>
    <x:row r="645">
      <x:c r="B645" t="str">
        <x:v>A-00599</x:v>
      </x:c>
      <x:c r="C645" t="str">
        <x:v>GATE</x:v>
      </x:c>
      <x:c r="D645" t="str">
        <x:v>release state mirrors governing ledger</x:v>
      </x:c>
      <x:c r="E645" t="str">
        <x:f>'Release Gates'!I605</x:f>
        <x:v>PASS</x:v>
      </x:c>
      <x:c r="F645" t="str">
        <x:f>IF('Release Gates'!C605="PLANNING","PASS",IF('Release Gates'!C605="PHYSICAL","OPEN","BLOCKED"))</x:f>
        <x:v>PASS</x:v>
      </x:c>
      <x:c r="G645" t="str">
        <x:v>equals</x:v>
      </x:c>
      <x:c r="H645" t="str">
        <x:f>IF(E645=F645,"PASS","FAIL")</x:f>
        <x:v>PASS</x:v>
      </x:c>
    </x:row>
    <x:row r="646">
      <x:c r="B646" t="str">
        <x:v>A-00600</x:v>
      </x:c>
      <x:c r="C646" t="str">
        <x:v>GATE</x:v>
      </x:c>
      <x:c r="D646" t="str">
        <x:v>release state mirrors governing ledger</x:v>
      </x:c>
      <x:c r="E646" t="str">
        <x:f>'Release Gates'!I606</x:f>
        <x:v>PASS</x:v>
      </x:c>
      <x:c r="F646" t="str">
        <x:f>IF('Release Gates'!C606="PLANNING","PASS",IF('Release Gates'!C606="PHYSICAL","OPEN","BLOCKED"))</x:f>
        <x:v>PASS</x:v>
      </x:c>
      <x:c r="G646" t="str">
        <x:v>equals</x:v>
      </x:c>
      <x:c r="H646" t="str">
        <x:f>IF(E646=F646,"PASS","FAIL")</x:f>
        <x:v>PASS</x:v>
      </x:c>
    </x:row>
    <x:row r="647">
      <x:c r="B647" t="str">
        <x:v>A-00601</x:v>
      </x:c>
      <x:c r="C647" t="str">
        <x:v>GATE</x:v>
      </x:c>
      <x:c r="D647" t="str">
        <x:v>release state mirrors governing ledger</x:v>
      </x:c>
      <x:c r="E647" t="str">
        <x:f>'Release Gates'!I607</x:f>
        <x:v>PASS</x:v>
      </x:c>
      <x:c r="F647" t="str">
        <x:f>IF('Release Gates'!C607="PLANNING","PASS",IF('Release Gates'!C607="PHYSICAL","OPEN","BLOCKED"))</x:f>
        <x:v>PASS</x:v>
      </x:c>
      <x:c r="G647" t="str">
        <x:v>equals</x:v>
      </x:c>
      <x:c r="H647" t="str">
        <x:f>IF(E647=F647,"PASS","FAIL")</x:f>
        <x:v>PASS</x:v>
      </x:c>
    </x:row>
    <x:row r="648">
      <x:c r="B648" t="str">
        <x:v>A-00602</x:v>
      </x:c>
      <x:c r="C648" t="str">
        <x:v>GATE</x:v>
      </x:c>
      <x:c r="D648" t="str">
        <x:v>release state mirrors governing ledger</x:v>
      </x:c>
      <x:c r="E648" t="str">
        <x:f>'Release Gates'!I608</x:f>
        <x:v>PASS</x:v>
      </x:c>
      <x:c r="F648" t="str">
        <x:f>IF('Release Gates'!C608="PLANNING","PASS",IF('Release Gates'!C608="PHYSICAL","OPEN","BLOCKED"))</x:f>
        <x:v>PASS</x:v>
      </x:c>
      <x:c r="G648" t="str">
        <x:v>equals</x:v>
      </x:c>
      <x:c r="H648" t="str">
        <x:f>IF(E648=F648,"PASS","FAIL")</x:f>
        <x:v>PASS</x:v>
      </x:c>
    </x:row>
    <x:row r="649">
      <x:c r="B649" t="str">
        <x:v>A-00603</x:v>
      </x:c>
      <x:c r="C649" t="str">
        <x:v>GATE</x:v>
      </x:c>
      <x:c r="D649" t="str">
        <x:v>release state mirrors governing ledger</x:v>
      </x:c>
      <x:c r="E649" t="str">
        <x:f>'Release Gates'!I609</x:f>
        <x:v>PASS</x:v>
      </x:c>
      <x:c r="F649" t="str">
        <x:f>IF('Release Gates'!C609="PLANNING","PASS",IF('Release Gates'!C609="PHYSICAL","OPEN","BLOCKED"))</x:f>
        <x:v>PASS</x:v>
      </x:c>
      <x:c r="G649" t="str">
        <x:v>equals</x:v>
      </x:c>
      <x:c r="H649" t="str">
        <x:f>IF(E649=F649,"PASS","FAIL")</x:f>
        <x:v>PASS</x:v>
      </x:c>
    </x:row>
    <x:row r="650">
      <x:c r="B650" t="str">
        <x:v>A-00604</x:v>
      </x:c>
      <x:c r="C650" t="str">
        <x:v>GATE</x:v>
      </x:c>
      <x:c r="D650" t="str">
        <x:v>release state mirrors governing ledger</x:v>
      </x:c>
      <x:c r="E650" t="str">
        <x:f>'Release Gates'!I610</x:f>
        <x:v>PASS</x:v>
      </x:c>
      <x:c r="F650" t="str">
        <x:f>IF('Release Gates'!C610="PLANNING","PASS",IF('Release Gates'!C610="PHYSICAL","OPEN","BLOCKED"))</x:f>
        <x:v>PASS</x:v>
      </x:c>
      <x:c r="G650" t="str">
        <x:v>equals</x:v>
      </x:c>
      <x:c r="H650" t="str">
        <x:f>IF(E650=F650,"PASS","FAIL")</x:f>
        <x:v>PASS</x:v>
      </x:c>
    </x:row>
    <x:row r="651">
      <x:c r="B651" t="str">
        <x:v>A-00605</x:v>
      </x:c>
      <x:c r="C651" t="str">
        <x:v>GATE</x:v>
      </x:c>
      <x:c r="D651" t="str">
        <x:v>release state mirrors governing ledger</x:v>
      </x:c>
      <x:c r="E651" t="str">
        <x:f>'Release Gates'!I611</x:f>
        <x:v>PASS</x:v>
      </x:c>
      <x:c r="F651" t="str">
        <x:f>IF('Release Gates'!C611="PLANNING","PASS",IF('Release Gates'!C611="PHYSICAL","OPEN","BLOCKED"))</x:f>
        <x:v>PASS</x:v>
      </x:c>
      <x:c r="G651" t="str">
        <x:v>equals</x:v>
      </x:c>
      <x:c r="H651" t="str">
        <x:f>IF(E651=F651,"PASS","FAIL")</x:f>
        <x:v>PASS</x:v>
      </x:c>
    </x:row>
    <x:row r="652">
      <x:c r="B652" t="str">
        <x:v>A-00606</x:v>
      </x:c>
      <x:c r="C652" t="str">
        <x:v>GATE</x:v>
      </x:c>
      <x:c r="D652" t="str">
        <x:v>release state mirrors governing ledger</x:v>
      </x:c>
      <x:c r="E652" t="str">
        <x:f>'Release Gates'!I612</x:f>
        <x:v>PASS</x:v>
      </x:c>
      <x:c r="F652" t="str">
        <x:f>IF('Release Gates'!C612="PLANNING","PASS",IF('Release Gates'!C612="PHYSICAL","OPEN","BLOCKED"))</x:f>
        <x:v>PASS</x:v>
      </x:c>
      <x:c r="G652" t="str">
        <x:v>equals</x:v>
      </x:c>
      <x:c r="H652" t="str">
        <x:f>IF(E652=F652,"PASS","FAIL")</x:f>
        <x:v>PASS</x:v>
      </x:c>
    </x:row>
    <x:row r="653">
      <x:c r="B653" t="str">
        <x:v>A-00607</x:v>
      </x:c>
      <x:c r="C653" t="str">
        <x:v>GATE</x:v>
      </x:c>
      <x:c r="D653" t="str">
        <x:v>release state mirrors governing ledger</x:v>
      </x:c>
      <x:c r="E653" t="str">
        <x:f>'Release Gates'!I613</x:f>
        <x:v>PASS</x:v>
      </x:c>
      <x:c r="F653" t="str">
        <x:f>IF('Release Gates'!C613="PLANNING","PASS",IF('Release Gates'!C613="PHYSICAL","OPEN","BLOCKED"))</x:f>
        <x:v>PASS</x:v>
      </x:c>
      <x:c r="G653" t="str">
        <x:v>equals</x:v>
      </x:c>
      <x:c r="H653" t="str">
        <x:f>IF(E653=F653,"PASS","FAIL")</x:f>
        <x:v>PASS</x:v>
      </x:c>
    </x:row>
    <x:row r="654">
      <x:c r="B654" t="str">
        <x:v>A-00608</x:v>
      </x:c>
      <x:c r="C654" t="str">
        <x:v>GATE</x:v>
      </x:c>
      <x:c r="D654" t="str">
        <x:v>release state mirrors governing ledger</x:v>
      </x:c>
      <x:c r="E654" t="str">
        <x:f>'Release Gates'!I614</x:f>
        <x:v>PASS</x:v>
      </x:c>
      <x:c r="F654" t="str">
        <x:f>IF('Release Gates'!C614="PLANNING","PASS",IF('Release Gates'!C614="PHYSICAL","OPEN","BLOCKED"))</x:f>
        <x:v>PASS</x:v>
      </x:c>
      <x:c r="G654" t="str">
        <x:v>equals</x:v>
      </x:c>
      <x:c r="H654" t="str">
        <x:f>IF(E654=F654,"PASS","FAIL")</x:f>
        <x:v>PASS</x:v>
      </x:c>
    </x:row>
    <x:row r="655">
      <x:c r="B655" t="str">
        <x:v>A-00609</x:v>
      </x:c>
      <x:c r="C655" t="str">
        <x:v>GATE</x:v>
      </x:c>
      <x:c r="D655" t="str">
        <x:v>release state mirrors governing ledger</x:v>
      </x:c>
      <x:c r="E655" t="str">
        <x:f>'Release Gates'!I615</x:f>
        <x:v>PASS</x:v>
      </x:c>
      <x:c r="F655" t="str">
        <x:f>IF('Release Gates'!C615="PLANNING","PASS",IF('Release Gates'!C615="PHYSICAL","OPEN","BLOCKED"))</x:f>
        <x:v>PASS</x:v>
      </x:c>
      <x:c r="G655" t="str">
        <x:v>equals</x:v>
      </x:c>
      <x:c r="H655" t="str">
        <x:f>IF(E655=F655,"PASS","FAIL")</x:f>
        <x:v>PASS</x:v>
      </x:c>
    </x:row>
    <x:row r="656">
      <x:c r="B656" t="str">
        <x:v>A-00610</x:v>
      </x:c>
      <x:c r="C656" t="str">
        <x:v>GATE</x:v>
      </x:c>
      <x:c r="D656" t="str">
        <x:v>release state mirrors governing ledger</x:v>
      </x:c>
      <x:c r="E656" t="str">
        <x:f>'Release Gates'!I616</x:f>
        <x:v>PASS</x:v>
      </x:c>
      <x:c r="F656" t="str">
        <x:f>IF('Release Gates'!C616="PLANNING","PASS",IF('Release Gates'!C616="PHYSICAL","OPEN","BLOCKED"))</x:f>
        <x:v>PASS</x:v>
      </x:c>
      <x:c r="G656" t="str">
        <x:v>equals</x:v>
      </x:c>
      <x:c r="H656" t="str">
        <x:f>IF(E656=F656,"PASS","FAIL")</x:f>
        <x:v>PASS</x:v>
      </x:c>
    </x:row>
    <x:row r="657">
      <x:c r="B657" t="str">
        <x:v>A-00611</x:v>
      </x:c>
      <x:c r="C657" t="str">
        <x:v>GATE</x:v>
      </x:c>
      <x:c r="D657" t="str">
        <x:v>release state mirrors governing ledger</x:v>
      </x:c>
      <x:c r="E657" t="str">
        <x:f>'Release Gates'!I617</x:f>
        <x:v>PASS</x:v>
      </x:c>
      <x:c r="F657" t="str">
        <x:f>IF('Release Gates'!C617="PLANNING","PASS",IF('Release Gates'!C617="PHYSICAL","OPEN","BLOCKED"))</x:f>
        <x:v>PASS</x:v>
      </x:c>
      <x:c r="G657" t="str">
        <x:v>equals</x:v>
      </x:c>
      <x:c r="H657" t="str">
        <x:f>IF(E657=F657,"PASS","FAIL")</x:f>
        <x:v>PASS</x:v>
      </x:c>
    </x:row>
    <x:row r="658">
      <x:c r="B658" t="str">
        <x:v>A-00612</x:v>
      </x:c>
      <x:c r="C658" t="str">
        <x:v>GATE</x:v>
      </x:c>
      <x:c r="D658" t="str">
        <x:v>release state mirrors governing ledger</x:v>
      </x:c>
      <x:c r="E658" t="str">
        <x:f>'Release Gates'!I618</x:f>
        <x:v>PASS</x:v>
      </x:c>
      <x:c r="F658" t="str">
        <x:f>IF('Release Gates'!C618="PLANNING","PASS",IF('Release Gates'!C618="PHYSICAL","OPEN","BLOCKED"))</x:f>
        <x:v>PASS</x:v>
      </x:c>
      <x:c r="G658" t="str">
        <x:v>equals</x:v>
      </x:c>
      <x:c r="H658" t="str">
        <x:f>IF(E658=F658,"PASS","FAIL")</x:f>
        <x:v>PASS</x:v>
      </x:c>
    </x:row>
    <x:row r="659">
      <x:c r="B659" t="str">
        <x:v>A-00613</x:v>
      </x:c>
      <x:c r="C659" t="str">
        <x:v>GATE</x:v>
      </x:c>
      <x:c r="D659" t="str">
        <x:v>release state mirrors governing ledger</x:v>
      </x:c>
      <x:c r="E659" t="str">
        <x:f>'Release Gates'!I619</x:f>
        <x:v>PASS</x:v>
      </x:c>
      <x:c r="F659" t="str">
        <x:f>IF('Release Gates'!C619="PLANNING","PASS",IF('Release Gates'!C619="PHYSICAL","OPEN","BLOCKED"))</x:f>
        <x:v>PASS</x:v>
      </x:c>
      <x:c r="G659" t="str">
        <x:v>equals</x:v>
      </x:c>
      <x:c r="H659" t="str">
        <x:f>IF(E659=F659,"PASS","FAIL")</x:f>
        <x:v>PASS</x:v>
      </x:c>
    </x:row>
    <x:row r="660">
      <x:c r="B660" t="str">
        <x:v>A-00614</x:v>
      </x:c>
      <x:c r="C660" t="str">
        <x:v>GATE</x:v>
      </x:c>
      <x:c r="D660" t="str">
        <x:v>release state mirrors governing ledger</x:v>
      </x:c>
      <x:c r="E660" t="str">
        <x:f>'Release Gates'!I620</x:f>
        <x:v>PASS</x:v>
      </x:c>
      <x:c r="F660" t="str">
        <x:f>IF('Release Gates'!C620="PLANNING","PASS",IF('Release Gates'!C620="PHYSICAL","OPEN","BLOCKED"))</x:f>
        <x:v>PASS</x:v>
      </x:c>
      <x:c r="G660" t="str">
        <x:v>equals</x:v>
      </x:c>
      <x:c r="H660" t="str">
        <x:f>IF(E660=F660,"PASS","FAIL")</x:f>
        <x:v>PASS</x:v>
      </x:c>
    </x:row>
    <x:row r="661">
      <x:c r="B661" t="str">
        <x:v>A-00615</x:v>
      </x:c>
      <x:c r="C661" t="str">
        <x:v>GATE</x:v>
      </x:c>
      <x:c r="D661" t="str">
        <x:v>release state mirrors governing ledger</x:v>
      </x:c>
      <x:c r="E661" t="str">
        <x:f>'Release Gates'!I621</x:f>
        <x:v>PASS</x:v>
      </x:c>
      <x:c r="F661" t="str">
        <x:f>IF('Release Gates'!C621="PLANNING","PASS",IF('Release Gates'!C621="PHYSICAL","OPEN","BLOCKED"))</x:f>
        <x:v>PASS</x:v>
      </x:c>
      <x:c r="G661" t="str">
        <x:v>equals</x:v>
      </x:c>
      <x:c r="H661" t="str">
        <x:f>IF(E661=F661,"PASS","FAIL")</x:f>
        <x:v>PASS</x:v>
      </x:c>
    </x:row>
    <x:row r="662">
      <x:c r="B662" t="str">
        <x:v>A-00616</x:v>
      </x:c>
      <x:c r="C662" t="str">
        <x:v>GATE</x:v>
      </x:c>
      <x:c r="D662" t="str">
        <x:v>release state mirrors governing ledger</x:v>
      </x:c>
      <x:c r="E662" t="str">
        <x:f>'Release Gates'!I622</x:f>
        <x:v>PASS</x:v>
      </x:c>
      <x:c r="F662" t="str">
        <x:f>IF('Release Gates'!C622="PLANNING","PASS",IF('Release Gates'!C622="PHYSICAL","OPEN","BLOCKED"))</x:f>
        <x:v>PASS</x:v>
      </x:c>
      <x:c r="G662" t="str">
        <x:v>equals</x:v>
      </x:c>
      <x:c r="H662" t="str">
        <x:f>IF(E662=F662,"PASS","FAIL")</x:f>
        <x:v>PASS</x:v>
      </x:c>
    </x:row>
    <x:row r="663">
      <x:c r="B663" t="str">
        <x:v>A-00617</x:v>
      </x:c>
      <x:c r="C663" t="str">
        <x:v>GATE</x:v>
      </x:c>
      <x:c r="D663" t="str">
        <x:v>release state mirrors governing ledger</x:v>
      </x:c>
      <x:c r="E663" t="str">
        <x:f>'Release Gates'!I623</x:f>
        <x:v>PASS</x:v>
      </x:c>
      <x:c r="F663" t="str">
        <x:f>IF('Release Gates'!C623="PLANNING","PASS",IF('Release Gates'!C623="PHYSICAL","OPEN","BLOCKED"))</x:f>
        <x:v>PASS</x:v>
      </x:c>
      <x:c r="G663" t="str">
        <x:v>equals</x:v>
      </x:c>
      <x:c r="H663" t="str">
        <x:f>IF(E663=F663,"PASS","FAIL")</x:f>
        <x:v>PASS</x:v>
      </x:c>
    </x:row>
    <x:row r="664">
      <x:c r="B664" t="str">
        <x:v>A-00618</x:v>
      </x:c>
      <x:c r="C664" t="str">
        <x:v>GATE</x:v>
      </x:c>
      <x:c r="D664" t="str">
        <x:v>release state mirrors governing ledger</x:v>
      </x:c>
      <x:c r="E664" t="str">
        <x:f>'Release Gates'!I624</x:f>
        <x:v>PASS</x:v>
      </x:c>
      <x:c r="F664" t="str">
        <x:f>IF('Release Gates'!C624="PLANNING","PASS",IF('Release Gates'!C624="PHYSICAL","OPEN","BLOCKED"))</x:f>
        <x:v>PASS</x:v>
      </x:c>
      <x:c r="G664" t="str">
        <x:v>equals</x:v>
      </x:c>
      <x:c r="H664" t="str">
        <x:f>IF(E664=F664,"PASS","FAIL")</x:f>
        <x:v>PASS</x:v>
      </x:c>
    </x:row>
    <x:row r="665">
      <x:c r="B665" t="str">
        <x:v>A-00619</x:v>
      </x:c>
      <x:c r="C665" t="str">
        <x:v>GATE</x:v>
      </x:c>
      <x:c r="D665" t="str">
        <x:v>release state mirrors governing ledger</x:v>
      </x:c>
      <x:c r="E665" t="str">
        <x:f>'Release Gates'!I625</x:f>
        <x:v>PASS</x:v>
      </x:c>
      <x:c r="F665" t="str">
        <x:f>IF('Release Gates'!C625="PLANNING","PASS",IF('Release Gates'!C625="PHYSICAL","OPEN","BLOCKED"))</x:f>
        <x:v>PASS</x:v>
      </x:c>
      <x:c r="G665" t="str">
        <x:v>equals</x:v>
      </x:c>
      <x:c r="H665" t="str">
        <x:f>IF(E665=F665,"PASS","FAIL")</x:f>
        <x:v>PASS</x:v>
      </x:c>
    </x:row>
    <x:row r="666">
      <x:c r="B666" t="str">
        <x:v>A-00620</x:v>
      </x:c>
      <x:c r="C666" t="str">
        <x:v>GATE</x:v>
      </x:c>
      <x:c r="D666" t="str">
        <x:v>release state mirrors governing ledger</x:v>
      </x:c>
      <x:c r="E666" t="str">
        <x:f>'Release Gates'!I626</x:f>
        <x:v>PASS</x:v>
      </x:c>
      <x:c r="F666" t="str">
        <x:f>IF('Release Gates'!C626="PLANNING","PASS",IF('Release Gates'!C626="PHYSICAL","OPEN","BLOCKED"))</x:f>
        <x:v>PASS</x:v>
      </x:c>
      <x:c r="G666" t="str">
        <x:v>equals</x:v>
      </x:c>
      <x:c r="H666" t="str">
        <x:f>IF(E666=F666,"PASS","FAIL")</x:f>
        <x:v>PASS</x:v>
      </x:c>
    </x:row>
    <x:row r="667">
      <x:c r="B667" t="str">
        <x:v>A-00621</x:v>
      </x:c>
      <x:c r="C667" t="str">
        <x:v>GATE</x:v>
      </x:c>
      <x:c r="D667" t="str">
        <x:v>release state mirrors governing ledger</x:v>
      </x:c>
      <x:c r="E667" t="str">
        <x:f>'Release Gates'!I627</x:f>
        <x:v>PASS</x:v>
      </x:c>
      <x:c r="F667" t="str">
        <x:f>IF('Release Gates'!C627="PLANNING","PASS",IF('Release Gates'!C627="PHYSICAL","OPEN","BLOCKED"))</x:f>
        <x:v>PASS</x:v>
      </x:c>
      <x:c r="G667" t="str">
        <x:v>equals</x:v>
      </x:c>
      <x:c r="H667" t="str">
        <x:f>IF(E667=F667,"PASS","FAIL")</x:f>
        <x:v>PASS</x:v>
      </x:c>
    </x:row>
    <x:row r="668">
      <x:c r="B668" t="str">
        <x:v>A-00622</x:v>
      </x:c>
      <x:c r="C668" t="str">
        <x:v>GATE</x:v>
      </x:c>
      <x:c r="D668" t="str">
        <x:v>release state mirrors governing ledger</x:v>
      </x:c>
      <x:c r="E668" t="str">
        <x:f>'Release Gates'!I628</x:f>
        <x:v>PASS</x:v>
      </x:c>
      <x:c r="F668" t="str">
        <x:f>IF('Release Gates'!C628="PLANNING","PASS",IF('Release Gates'!C628="PHYSICAL","OPEN","BLOCKED"))</x:f>
        <x:v>PASS</x:v>
      </x:c>
      <x:c r="G668" t="str">
        <x:v>equals</x:v>
      </x:c>
      <x:c r="H668" t="str">
        <x:f>IF(E668=F668,"PASS","FAIL")</x:f>
        <x:v>PASS</x:v>
      </x:c>
    </x:row>
    <x:row r="669">
      <x:c r="B669" t="str">
        <x:v>A-00623</x:v>
      </x:c>
      <x:c r="C669" t="str">
        <x:v>GATE</x:v>
      </x:c>
      <x:c r="D669" t="str">
        <x:v>release state mirrors governing ledger</x:v>
      </x:c>
      <x:c r="E669" t="str">
        <x:f>'Release Gates'!I629</x:f>
        <x:v>PASS</x:v>
      </x:c>
      <x:c r="F669" t="str">
        <x:f>IF('Release Gates'!C629="PLANNING","PASS",IF('Release Gates'!C629="PHYSICAL","OPEN","BLOCKED"))</x:f>
        <x:v>PASS</x:v>
      </x:c>
      <x:c r="G669" t="str">
        <x:v>equals</x:v>
      </x:c>
      <x:c r="H669" t="str">
        <x:f>IF(E669=F669,"PASS","FAIL")</x:f>
        <x:v>PASS</x:v>
      </x:c>
    </x:row>
    <x:row r="670">
      <x:c r="B670" t="str">
        <x:v>A-00624</x:v>
      </x:c>
      <x:c r="C670" t="str">
        <x:v>GATE</x:v>
      </x:c>
      <x:c r="D670" t="str">
        <x:v>release state mirrors governing ledger</x:v>
      </x:c>
      <x:c r="E670" t="str">
        <x:f>'Release Gates'!I630</x:f>
        <x:v>PASS</x:v>
      </x:c>
      <x:c r="F670" t="str">
        <x:f>IF('Release Gates'!C630="PLANNING","PASS",IF('Release Gates'!C630="PHYSICAL","OPEN","BLOCKED"))</x:f>
        <x:v>PASS</x:v>
      </x:c>
      <x:c r="G670" t="str">
        <x:v>equals</x:v>
      </x:c>
      <x:c r="H670" t="str">
        <x:f>IF(E670=F670,"PASS","FAIL")</x:f>
        <x:v>PASS</x:v>
      </x:c>
    </x:row>
    <x:row r="671">
      <x:c r="B671" t="str">
        <x:v>A-00625</x:v>
      </x:c>
      <x:c r="C671" t="str">
        <x:v>GATE</x:v>
      </x:c>
      <x:c r="D671" t="str">
        <x:v>release state mirrors governing ledger</x:v>
      </x:c>
      <x:c r="E671" t="str">
        <x:f>'Release Gates'!I631</x:f>
        <x:v>PASS</x:v>
      </x:c>
      <x:c r="F671" t="str">
        <x:f>IF('Release Gates'!C631="PLANNING","PASS",IF('Release Gates'!C631="PHYSICAL","OPEN","BLOCKED"))</x:f>
        <x:v>PASS</x:v>
      </x:c>
      <x:c r="G671" t="str">
        <x:v>equals</x:v>
      </x:c>
      <x:c r="H671" t="str">
        <x:f>IF(E671=F671,"PASS","FAIL")</x:f>
        <x:v>PASS</x:v>
      </x:c>
    </x:row>
    <x:row r="672">
      <x:c r="B672" t="str">
        <x:v>A-00626</x:v>
      </x:c>
      <x:c r="C672" t="str">
        <x:v>GATE</x:v>
      </x:c>
      <x:c r="D672" t="str">
        <x:v>release state mirrors governing ledger</x:v>
      </x:c>
      <x:c r="E672" t="str">
        <x:f>'Release Gates'!I632</x:f>
        <x:v>PASS</x:v>
      </x:c>
      <x:c r="F672" t="str">
        <x:f>IF('Release Gates'!C632="PLANNING","PASS",IF('Release Gates'!C632="PHYSICAL","OPEN","BLOCKED"))</x:f>
        <x:v>PASS</x:v>
      </x:c>
      <x:c r="G672" t="str">
        <x:v>equals</x:v>
      </x:c>
      <x:c r="H672" t="str">
        <x:f>IF(E672=F672,"PASS","FAIL")</x:f>
        <x:v>PASS</x:v>
      </x:c>
    </x:row>
    <x:row r="673">
      <x:c r="B673" t="str">
        <x:v>A-00627</x:v>
      </x:c>
      <x:c r="C673" t="str">
        <x:v>GATE</x:v>
      </x:c>
      <x:c r="D673" t="str">
        <x:v>release state mirrors governing ledger</x:v>
      </x:c>
      <x:c r="E673" t="str">
        <x:f>'Release Gates'!I633</x:f>
        <x:v>PASS</x:v>
      </x:c>
      <x:c r="F673" t="str">
        <x:f>IF('Release Gates'!C633="PLANNING","PASS",IF('Release Gates'!C633="PHYSICAL","OPEN","BLOCKED"))</x:f>
        <x:v>PASS</x:v>
      </x:c>
      <x:c r="G673" t="str">
        <x:v>equals</x:v>
      </x:c>
      <x:c r="H673" t="str">
        <x:f>IF(E673=F673,"PASS","FAIL")</x:f>
        <x:v>PASS</x:v>
      </x:c>
    </x:row>
    <x:row r="674">
      <x:c r="B674" t="str">
        <x:v>A-00628</x:v>
      </x:c>
      <x:c r="C674" t="str">
        <x:v>GATE</x:v>
      </x:c>
      <x:c r="D674" t="str">
        <x:v>release state mirrors governing ledger</x:v>
      </x:c>
      <x:c r="E674" t="str">
        <x:f>'Release Gates'!I634</x:f>
        <x:v>PASS</x:v>
      </x:c>
      <x:c r="F674" t="str">
        <x:f>IF('Release Gates'!C634="PLANNING","PASS",IF('Release Gates'!C634="PHYSICAL","OPEN","BLOCKED"))</x:f>
        <x:v>PASS</x:v>
      </x:c>
      <x:c r="G674" t="str">
        <x:v>equals</x:v>
      </x:c>
      <x:c r="H674" t="str">
        <x:f>IF(E674=F674,"PASS","FAIL")</x:f>
        <x:v>PASS</x:v>
      </x:c>
    </x:row>
    <x:row r="675">
      <x:c r="B675" t="str">
        <x:v>A-00629</x:v>
      </x:c>
      <x:c r="C675" t="str">
        <x:v>GATE</x:v>
      </x:c>
      <x:c r="D675" t="str">
        <x:v>release state mirrors governing ledger</x:v>
      </x:c>
      <x:c r="E675" t="str">
        <x:f>'Release Gates'!I635</x:f>
        <x:v>PASS</x:v>
      </x:c>
      <x:c r="F675" t="str">
        <x:f>IF('Release Gates'!C635="PLANNING","PASS",IF('Release Gates'!C635="PHYSICAL","OPEN","BLOCKED"))</x:f>
        <x:v>PASS</x:v>
      </x:c>
      <x:c r="G675" t="str">
        <x:v>equals</x:v>
      </x:c>
      <x:c r="H675" t="str">
        <x:f>IF(E675=F675,"PASS","FAIL")</x:f>
        <x:v>PASS</x:v>
      </x:c>
    </x:row>
    <x:row r="676">
      <x:c r="B676" t="str">
        <x:v>A-00630</x:v>
      </x:c>
      <x:c r="C676" t="str">
        <x:v>GATE</x:v>
      </x:c>
      <x:c r="D676" t="str">
        <x:v>release state mirrors governing ledger</x:v>
      </x:c>
      <x:c r="E676" t="str">
        <x:f>'Release Gates'!I636</x:f>
        <x:v>PASS</x:v>
      </x:c>
      <x:c r="F676" t="str">
        <x:f>IF('Release Gates'!C636="PLANNING","PASS",IF('Release Gates'!C636="PHYSICAL","OPEN","BLOCKED"))</x:f>
        <x:v>PASS</x:v>
      </x:c>
      <x:c r="G676" t="str">
        <x:v>equals</x:v>
      </x:c>
      <x:c r="H676" t="str">
        <x:f>IF(E676=F676,"PASS","FAIL")</x:f>
        <x:v>PASS</x:v>
      </x:c>
    </x:row>
    <x:row r="677">
      <x:c r="B677" t="str">
        <x:v>A-00631</x:v>
      </x:c>
      <x:c r="C677" t="str">
        <x:v>GATE</x:v>
      </x:c>
      <x:c r="D677" t="str">
        <x:v>release state mirrors governing ledger</x:v>
      </x:c>
      <x:c r="E677" t="str">
        <x:f>'Release Gates'!I637</x:f>
        <x:v>PASS</x:v>
      </x:c>
      <x:c r="F677" t="str">
        <x:f>IF('Release Gates'!C637="PLANNING","PASS",IF('Release Gates'!C637="PHYSICAL","OPEN","BLOCKED"))</x:f>
        <x:v>PASS</x:v>
      </x:c>
      <x:c r="G677" t="str">
        <x:v>equals</x:v>
      </x:c>
      <x:c r="H677" t="str">
        <x:f>IF(E677=F677,"PASS","FAIL")</x:f>
        <x:v>PASS</x:v>
      </x:c>
    </x:row>
    <x:row r="678">
      <x:c r="B678" t="str">
        <x:v>A-00632</x:v>
      </x:c>
      <x:c r="C678" t="str">
        <x:v>GATE</x:v>
      </x:c>
      <x:c r="D678" t="str">
        <x:v>release state mirrors governing ledger</x:v>
      </x:c>
      <x:c r="E678" t="str">
        <x:f>'Release Gates'!I638</x:f>
        <x:v>PASS</x:v>
      </x:c>
      <x:c r="F678" t="str">
        <x:f>IF('Release Gates'!C638="PLANNING","PASS",IF('Release Gates'!C638="PHYSICAL","OPEN","BLOCKED"))</x:f>
        <x:v>PASS</x:v>
      </x:c>
      <x:c r="G678" t="str">
        <x:v>equals</x:v>
      </x:c>
      <x:c r="H678" t="str">
        <x:f>IF(E678=F678,"PASS","FAIL")</x:f>
        <x:v>PASS</x:v>
      </x:c>
    </x:row>
    <x:row r="679">
      <x:c r="B679" t="str">
        <x:v>A-00633</x:v>
      </x:c>
      <x:c r="C679" t="str">
        <x:v>GATE</x:v>
      </x:c>
      <x:c r="D679" t="str">
        <x:v>release state mirrors governing ledger</x:v>
      </x:c>
      <x:c r="E679" t="str">
        <x:f>'Release Gates'!I639</x:f>
        <x:v>PASS</x:v>
      </x:c>
      <x:c r="F679" t="str">
        <x:f>IF('Release Gates'!C639="PLANNING","PASS",IF('Release Gates'!C639="PHYSICAL","OPEN","BLOCKED"))</x:f>
        <x:v>PASS</x:v>
      </x:c>
      <x:c r="G679" t="str">
        <x:v>equals</x:v>
      </x:c>
      <x:c r="H679" t="str">
        <x:f>IF(E679=F679,"PASS","FAIL")</x:f>
        <x:v>PASS</x:v>
      </x:c>
    </x:row>
    <x:row r="680">
      <x:c r="B680" t="str">
        <x:v>A-00634</x:v>
      </x:c>
      <x:c r="C680" t="str">
        <x:v>GATE</x:v>
      </x:c>
      <x:c r="D680" t="str">
        <x:v>release state mirrors governing ledger</x:v>
      </x:c>
      <x:c r="E680" t="str">
        <x:f>'Release Gates'!I640</x:f>
        <x:v>PASS</x:v>
      </x:c>
      <x:c r="F680" t="str">
        <x:f>IF('Release Gates'!C640="PLANNING","PASS",IF('Release Gates'!C640="PHYSICAL","OPEN","BLOCKED"))</x:f>
        <x:v>PASS</x:v>
      </x:c>
      <x:c r="G680" t="str">
        <x:v>equals</x:v>
      </x:c>
      <x:c r="H680" t="str">
        <x:f>IF(E680=F680,"PASS","FAIL")</x:f>
        <x:v>PASS</x:v>
      </x:c>
    </x:row>
    <x:row r="681">
      <x:c r="B681" t="str">
        <x:v>A-00635</x:v>
      </x:c>
      <x:c r="C681" t="str">
        <x:v>GATE</x:v>
      </x:c>
      <x:c r="D681" t="str">
        <x:v>release state mirrors governing ledger</x:v>
      </x:c>
      <x:c r="E681" t="str">
        <x:f>'Release Gates'!I641</x:f>
        <x:v>PASS</x:v>
      </x:c>
      <x:c r="F681" t="str">
        <x:f>IF('Release Gates'!C641="PLANNING","PASS",IF('Release Gates'!C641="PHYSICAL","OPEN","BLOCKED"))</x:f>
        <x:v>PASS</x:v>
      </x:c>
      <x:c r="G681" t="str">
        <x:v>equals</x:v>
      </x:c>
      <x:c r="H681" t="str">
        <x:f>IF(E681=F681,"PASS","FAIL")</x:f>
        <x:v>PASS</x:v>
      </x:c>
    </x:row>
    <x:row r="682">
      <x:c r="B682" t="str">
        <x:v>A-00636</x:v>
      </x:c>
      <x:c r="C682" t="str">
        <x:v>GATE</x:v>
      </x:c>
      <x:c r="D682" t="str">
        <x:v>release state mirrors governing ledger</x:v>
      </x:c>
      <x:c r="E682" t="str">
        <x:f>'Release Gates'!I642</x:f>
        <x:v>PASS</x:v>
      </x:c>
      <x:c r="F682" t="str">
        <x:f>IF('Release Gates'!C642="PLANNING","PASS",IF('Release Gates'!C642="PHYSICAL","OPEN","BLOCKED"))</x:f>
        <x:v>PASS</x:v>
      </x:c>
      <x:c r="G682" t="str">
        <x:v>equals</x:v>
      </x:c>
      <x:c r="H682" t="str">
        <x:f>IF(E682=F682,"PASS","FAIL")</x:f>
        <x:v>PASS</x:v>
      </x:c>
    </x:row>
    <x:row r="683">
      <x:c r="B683" t="str">
        <x:v>A-00637</x:v>
      </x:c>
      <x:c r="C683" t="str">
        <x:v>GATE</x:v>
      </x:c>
      <x:c r="D683" t="str">
        <x:v>release state mirrors governing ledger</x:v>
      </x:c>
      <x:c r="E683" t="str">
        <x:f>'Release Gates'!I643</x:f>
        <x:v>PASS</x:v>
      </x:c>
      <x:c r="F683" t="str">
        <x:f>IF('Release Gates'!C643="PLANNING","PASS",IF('Release Gates'!C643="PHYSICAL","OPEN","BLOCKED"))</x:f>
        <x:v>PASS</x:v>
      </x:c>
      <x:c r="G683" t="str">
        <x:v>equals</x:v>
      </x:c>
      <x:c r="H683" t="str">
        <x:f>IF(E683=F683,"PASS","FAIL")</x:f>
        <x:v>PASS</x:v>
      </x:c>
    </x:row>
    <x:row r="684">
      <x:c r="B684" t="str">
        <x:v>A-00638</x:v>
      </x:c>
      <x:c r="C684" t="str">
        <x:v>GATE</x:v>
      </x:c>
      <x:c r="D684" t="str">
        <x:v>release state mirrors governing ledger</x:v>
      </x:c>
      <x:c r="E684" t="str">
        <x:f>'Release Gates'!I644</x:f>
        <x:v>PASS</x:v>
      </x:c>
      <x:c r="F684" t="str">
        <x:f>IF('Release Gates'!C644="PLANNING","PASS",IF('Release Gates'!C644="PHYSICAL","OPEN","BLOCKED"))</x:f>
        <x:v>PASS</x:v>
      </x:c>
      <x:c r="G684" t="str">
        <x:v>equals</x:v>
      </x:c>
      <x:c r="H684" t="str">
        <x:f>IF(E684=F684,"PASS","FAIL")</x:f>
        <x:v>PASS</x:v>
      </x:c>
    </x:row>
    <x:row r="685">
      <x:c r="B685" t="str">
        <x:v>A-00639</x:v>
      </x:c>
      <x:c r="C685" t="str">
        <x:v>GATE</x:v>
      </x:c>
      <x:c r="D685" t="str">
        <x:v>release state mirrors governing ledger</x:v>
      </x:c>
      <x:c r="E685" t="str">
        <x:f>'Release Gates'!I645</x:f>
        <x:v>PASS</x:v>
      </x:c>
      <x:c r="F685" t="str">
        <x:f>IF('Release Gates'!C645="PLANNING","PASS",IF('Release Gates'!C645="PHYSICAL","OPEN","BLOCKED"))</x:f>
        <x:v>PASS</x:v>
      </x:c>
      <x:c r="G685" t="str">
        <x:v>equals</x:v>
      </x:c>
      <x:c r="H685" t="str">
        <x:f>IF(E685=F685,"PASS","FAIL")</x:f>
        <x:v>PASS</x:v>
      </x:c>
    </x:row>
    <x:row r="686">
      <x:c r="B686" t="str">
        <x:v>A-00640</x:v>
      </x:c>
      <x:c r="C686" t="str">
        <x:v>GATE</x:v>
      </x:c>
      <x:c r="D686" t="str">
        <x:v>release state mirrors governing ledger</x:v>
      </x:c>
      <x:c r="E686" t="str">
        <x:f>'Release Gates'!I646</x:f>
        <x:v>PASS</x:v>
      </x:c>
      <x:c r="F686" t="str">
        <x:f>IF('Release Gates'!C646="PLANNING","PASS",IF('Release Gates'!C646="PHYSICAL","OPEN","BLOCKED"))</x:f>
        <x:v>PASS</x:v>
      </x:c>
      <x:c r="G686" t="str">
        <x:v>equals</x:v>
      </x:c>
      <x:c r="H686" t="str">
        <x:f>IF(E686=F686,"PASS","FAIL")</x:f>
        <x:v>PASS</x:v>
      </x:c>
    </x:row>
    <x:row r="687">
      <x:c r="B687" t="str">
        <x:v>A-00641</x:v>
      </x:c>
      <x:c r="C687" t="str">
        <x:v>GATE</x:v>
      </x:c>
      <x:c r="D687" t="str">
        <x:v>release state mirrors governing ledger</x:v>
      </x:c>
      <x:c r="E687" t="str">
        <x:f>'Release Gates'!I647</x:f>
        <x:v>PASS</x:v>
      </x:c>
      <x:c r="F687" t="str">
        <x:f>IF('Release Gates'!C647="PLANNING","PASS",IF('Release Gates'!C647="PHYSICAL","OPEN","BLOCKED"))</x:f>
        <x:v>PASS</x:v>
      </x:c>
      <x:c r="G687" t="str">
        <x:v>equals</x:v>
      </x:c>
      <x:c r="H687" t="str">
        <x:f>IF(E687=F687,"PASS","FAIL")</x:f>
        <x:v>PASS</x:v>
      </x:c>
    </x:row>
    <x:row r="688">
      <x:c r="B688" t="str">
        <x:v>A-00642</x:v>
      </x:c>
      <x:c r="C688" t="str">
        <x:v>GATE</x:v>
      </x:c>
      <x:c r="D688" t="str">
        <x:v>release state mirrors governing ledger</x:v>
      </x:c>
      <x:c r="E688" t="str">
        <x:f>'Release Gates'!I648</x:f>
        <x:v>PASS</x:v>
      </x:c>
      <x:c r="F688" t="str">
        <x:f>IF('Release Gates'!C648="PLANNING","PASS",IF('Release Gates'!C648="PHYSICAL","OPEN","BLOCKED"))</x:f>
        <x:v>PASS</x:v>
      </x:c>
      <x:c r="G688" t="str">
        <x:v>equals</x:v>
      </x:c>
      <x:c r="H688" t="str">
        <x:f>IF(E688=F688,"PASS","FAIL")</x:f>
        <x:v>PASS</x:v>
      </x:c>
    </x:row>
    <x:row r="689">
      <x:c r="B689" t="str">
        <x:v>A-00643</x:v>
      </x:c>
      <x:c r="C689" t="str">
        <x:v>GATE</x:v>
      </x:c>
      <x:c r="D689" t="str">
        <x:v>release state mirrors governing ledger</x:v>
      </x:c>
      <x:c r="E689" t="str">
        <x:f>'Release Gates'!I649</x:f>
        <x:v>PASS</x:v>
      </x:c>
      <x:c r="F689" t="str">
        <x:f>IF('Release Gates'!C649="PLANNING","PASS",IF('Release Gates'!C649="PHYSICAL","OPEN","BLOCKED"))</x:f>
        <x:v>PASS</x:v>
      </x:c>
      <x:c r="G689" t="str">
        <x:v>equals</x:v>
      </x:c>
      <x:c r="H689" t="str">
        <x:f>IF(E689=F689,"PASS","FAIL")</x:f>
        <x:v>PASS</x:v>
      </x:c>
    </x:row>
    <x:row r="690">
      <x:c r="B690" t="str">
        <x:v>A-00644</x:v>
      </x:c>
      <x:c r="C690" t="str">
        <x:v>GATE</x:v>
      </x:c>
      <x:c r="D690" t="str">
        <x:v>release state mirrors governing ledger</x:v>
      </x:c>
      <x:c r="E690" t="str">
        <x:f>'Release Gates'!I650</x:f>
        <x:v>PASS</x:v>
      </x:c>
      <x:c r="F690" t="str">
        <x:f>IF('Release Gates'!C650="PLANNING","PASS",IF('Release Gates'!C650="PHYSICAL","OPEN","BLOCKED"))</x:f>
        <x:v>PASS</x:v>
      </x:c>
      <x:c r="G690" t="str">
        <x:v>equals</x:v>
      </x:c>
      <x:c r="H690" t="str">
        <x:f>IF(E690=F690,"PASS","FAIL")</x:f>
        <x:v>PASS</x:v>
      </x:c>
    </x:row>
    <x:row r="691">
      <x:c r="B691" t="str">
        <x:v>A-00645</x:v>
      </x:c>
      <x:c r="C691" t="str">
        <x:v>GATE</x:v>
      </x:c>
      <x:c r="D691" t="str">
        <x:v>release state mirrors governing ledger</x:v>
      </x:c>
      <x:c r="E691" t="str">
        <x:f>'Release Gates'!I651</x:f>
        <x:v>PASS</x:v>
      </x:c>
      <x:c r="F691" t="str">
        <x:f>IF('Release Gates'!C651="PLANNING","PASS",IF('Release Gates'!C651="PHYSICAL","OPEN","BLOCKED"))</x:f>
        <x:v>PASS</x:v>
      </x:c>
      <x:c r="G691" t="str">
        <x:v>equals</x:v>
      </x:c>
      <x:c r="H691" t="str">
        <x:f>IF(E691=F691,"PASS","FAIL")</x:f>
        <x:v>PASS</x:v>
      </x:c>
    </x:row>
    <x:row r="692">
      <x:c r="B692" t="str">
        <x:v>A-00646</x:v>
      </x:c>
      <x:c r="C692" t="str">
        <x:v>GATE</x:v>
      </x:c>
      <x:c r="D692" t="str">
        <x:v>release state mirrors governing ledger</x:v>
      </x:c>
      <x:c r="E692" t="str">
        <x:f>'Release Gates'!I652</x:f>
        <x:v>PASS</x:v>
      </x:c>
      <x:c r="F692" t="str">
        <x:f>IF('Release Gates'!C652="PLANNING","PASS",IF('Release Gates'!C652="PHYSICAL","OPEN","BLOCKED"))</x:f>
        <x:v>PASS</x:v>
      </x:c>
      <x:c r="G692" t="str">
        <x:v>equals</x:v>
      </x:c>
      <x:c r="H692" t="str">
        <x:f>IF(E692=F692,"PASS","FAIL")</x:f>
        <x:v>PASS</x:v>
      </x:c>
    </x:row>
    <x:row r="693">
      <x:c r="B693" t="str">
        <x:v>A-00647</x:v>
      </x:c>
      <x:c r="C693" t="str">
        <x:v>GATE</x:v>
      </x:c>
      <x:c r="D693" t="str">
        <x:v>release state mirrors governing ledger</x:v>
      </x:c>
      <x:c r="E693" t="str">
        <x:f>'Release Gates'!I653</x:f>
        <x:v>PASS</x:v>
      </x:c>
      <x:c r="F693" t="str">
        <x:f>IF('Release Gates'!C653="PLANNING","PASS",IF('Release Gates'!C653="PHYSICAL","OPEN","BLOCKED"))</x:f>
        <x:v>PASS</x:v>
      </x:c>
      <x:c r="G693" t="str">
        <x:v>equals</x:v>
      </x:c>
      <x:c r="H693" t="str">
        <x:f>IF(E693=F693,"PASS","FAIL")</x:f>
        <x:v>PASS</x:v>
      </x:c>
    </x:row>
    <x:row r="694">
      <x:c r="B694" t="str">
        <x:v>A-00648</x:v>
      </x:c>
      <x:c r="C694" t="str">
        <x:v>GATE</x:v>
      </x:c>
      <x:c r="D694" t="str">
        <x:v>release state mirrors governing ledger</x:v>
      </x:c>
      <x:c r="E694" t="str">
        <x:f>'Release Gates'!I654</x:f>
        <x:v>PASS</x:v>
      </x:c>
      <x:c r="F694" t="str">
        <x:f>IF('Release Gates'!C654="PLANNING","PASS",IF('Release Gates'!C654="PHYSICAL","OPEN","BLOCKED"))</x:f>
        <x:v>PASS</x:v>
      </x:c>
      <x:c r="G694" t="str">
        <x:v>equals</x:v>
      </x:c>
      <x:c r="H694" t="str">
        <x:f>IF(E694=F694,"PASS","FAIL")</x:f>
        <x:v>PASS</x:v>
      </x:c>
    </x:row>
    <x:row r="695">
      <x:c r="B695" t="str">
        <x:v>A-00649</x:v>
      </x:c>
      <x:c r="C695" t="str">
        <x:v>GATE</x:v>
      </x:c>
      <x:c r="D695" t="str">
        <x:v>release state mirrors governing ledger</x:v>
      </x:c>
      <x:c r="E695" t="str">
        <x:f>'Release Gates'!I655</x:f>
        <x:v>PASS</x:v>
      </x:c>
      <x:c r="F695" t="str">
        <x:f>IF('Release Gates'!C655="PLANNING","PASS",IF('Release Gates'!C655="PHYSICAL","OPEN","BLOCKED"))</x:f>
        <x:v>PASS</x:v>
      </x:c>
      <x:c r="G695" t="str">
        <x:v>equals</x:v>
      </x:c>
      <x:c r="H695" t="str">
        <x:f>IF(E695=F695,"PASS","FAIL")</x:f>
        <x:v>PASS</x:v>
      </x:c>
    </x:row>
    <x:row r="696">
      <x:c r="B696" t="str">
        <x:v>A-00650</x:v>
      </x:c>
      <x:c r="C696" t="str">
        <x:v>GATE</x:v>
      </x:c>
      <x:c r="D696" t="str">
        <x:v>release state mirrors governing ledger</x:v>
      </x:c>
      <x:c r="E696" t="str">
        <x:f>'Release Gates'!I656</x:f>
        <x:v>PASS</x:v>
      </x:c>
      <x:c r="F696" t="str">
        <x:f>IF('Release Gates'!C656="PLANNING","PASS",IF('Release Gates'!C656="PHYSICAL","OPEN","BLOCKED"))</x:f>
        <x:v>PASS</x:v>
      </x:c>
      <x:c r="G696" t="str">
        <x:v>equals</x:v>
      </x:c>
      <x:c r="H696" t="str">
        <x:f>IF(E696=F696,"PASS","FAIL")</x:f>
        <x:v>PASS</x:v>
      </x:c>
    </x:row>
    <x:row r="697">
      <x:c r="B697" t="str">
        <x:v>A-00651</x:v>
      </x:c>
      <x:c r="C697" t="str">
        <x:v>GATE</x:v>
      </x:c>
      <x:c r="D697" t="str">
        <x:v>release state mirrors governing ledger</x:v>
      </x:c>
      <x:c r="E697" t="str">
        <x:f>'Release Gates'!I657</x:f>
        <x:v>PASS</x:v>
      </x:c>
      <x:c r="F697" t="str">
        <x:f>IF('Release Gates'!C657="PLANNING","PASS",IF('Release Gates'!C657="PHYSICAL","OPEN","BLOCKED"))</x:f>
        <x:v>PASS</x:v>
      </x:c>
      <x:c r="G697" t="str">
        <x:v>equals</x:v>
      </x:c>
      <x:c r="H697" t="str">
        <x:f>IF(E697=F697,"PASS","FAIL")</x:f>
        <x:v>PASS</x:v>
      </x:c>
    </x:row>
    <x:row r="698">
      <x:c r="B698" t="str">
        <x:v>A-00652</x:v>
      </x:c>
      <x:c r="C698" t="str">
        <x:v>GATE</x:v>
      </x:c>
      <x:c r="D698" t="str">
        <x:v>release state mirrors governing ledger</x:v>
      </x:c>
      <x:c r="E698" t="str">
        <x:f>'Release Gates'!I658</x:f>
        <x:v>PASS</x:v>
      </x:c>
      <x:c r="F698" t="str">
        <x:f>IF('Release Gates'!C658="PLANNING","PASS",IF('Release Gates'!C658="PHYSICAL","OPEN","BLOCKED"))</x:f>
        <x:v>PASS</x:v>
      </x:c>
      <x:c r="G698" t="str">
        <x:v>equals</x:v>
      </x:c>
      <x:c r="H698" t="str">
        <x:f>IF(E698=F698,"PASS","FAIL")</x:f>
        <x:v>PASS</x:v>
      </x:c>
    </x:row>
    <x:row r="699">
      <x:c r="B699" t="str">
        <x:v>A-00653</x:v>
      </x:c>
      <x:c r="C699" t="str">
        <x:v>GATE</x:v>
      </x:c>
      <x:c r="D699" t="str">
        <x:v>release state mirrors governing ledger</x:v>
      </x:c>
      <x:c r="E699" t="str">
        <x:f>'Release Gates'!I659</x:f>
        <x:v>PASS</x:v>
      </x:c>
      <x:c r="F699" t="str">
        <x:f>IF('Release Gates'!C659="PLANNING","PASS",IF('Release Gates'!C659="PHYSICAL","OPEN","BLOCKED"))</x:f>
        <x:v>PASS</x:v>
      </x:c>
      <x:c r="G699" t="str">
        <x:v>equals</x:v>
      </x:c>
      <x:c r="H699" t="str">
        <x:f>IF(E699=F699,"PASS","FAIL")</x:f>
        <x:v>PASS</x:v>
      </x:c>
    </x:row>
    <x:row r="700">
      <x:c r="B700" t="str">
        <x:v>A-00654</x:v>
      </x:c>
      <x:c r="C700" t="str">
        <x:v>GATE</x:v>
      </x:c>
      <x:c r="D700" t="str">
        <x:v>release state mirrors governing ledger</x:v>
      </x:c>
      <x:c r="E700" t="str">
        <x:f>'Release Gates'!I660</x:f>
        <x:v>PASS</x:v>
      </x:c>
      <x:c r="F700" t="str">
        <x:f>IF('Release Gates'!C660="PLANNING","PASS",IF('Release Gates'!C660="PHYSICAL","OPEN","BLOCKED"))</x:f>
        <x:v>PASS</x:v>
      </x:c>
      <x:c r="G700" t="str">
        <x:v>equals</x:v>
      </x:c>
      <x:c r="H700" t="str">
        <x:f>IF(E700=F700,"PASS","FAIL")</x:f>
        <x:v>PASS</x:v>
      </x:c>
    </x:row>
    <x:row r="701">
      <x:c r="B701" t="str">
        <x:v>A-00655</x:v>
      </x:c>
      <x:c r="C701" t="str">
        <x:v>GATE</x:v>
      </x:c>
      <x:c r="D701" t="str">
        <x:v>release state mirrors governing ledger</x:v>
      </x:c>
      <x:c r="E701" t="str">
        <x:f>'Release Gates'!I661</x:f>
        <x:v>PASS</x:v>
      </x:c>
      <x:c r="F701" t="str">
        <x:f>IF('Release Gates'!C661="PLANNING","PASS",IF('Release Gates'!C661="PHYSICAL","OPEN","BLOCKED"))</x:f>
        <x:v>PASS</x:v>
      </x:c>
      <x:c r="G701" t="str">
        <x:v>equals</x:v>
      </x:c>
      <x:c r="H701" t="str">
        <x:f>IF(E701=F701,"PASS","FAIL")</x:f>
        <x:v>PASS</x:v>
      </x:c>
    </x:row>
    <x:row r="702">
      <x:c r="B702" t="str">
        <x:v>A-00656</x:v>
      </x:c>
      <x:c r="C702" t="str">
        <x:v>GATE</x:v>
      </x:c>
      <x:c r="D702" t="str">
        <x:v>release state mirrors governing ledger</x:v>
      </x:c>
      <x:c r="E702" t="str">
        <x:f>'Release Gates'!I662</x:f>
        <x:v>PASS</x:v>
      </x:c>
      <x:c r="F702" t="str">
        <x:f>IF('Release Gates'!C662="PLANNING","PASS",IF('Release Gates'!C662="PHYSICAL","OPEN","BLOCKED"))</x:f>
        <x:v>PASS</x:v>
      </x:c>
      <x:c r="G702" t="str">
        <x:v>equals</x:v>
      </x:c>
      <x:c r="H702" t="str">
        <x:f>IF(E702=F702,"PASS","FAIL")</x:f>
        <x:v>PASS</x:v>
      </x:c>
    </x:row>
    <x:row r="703">
      <x:c r="B703" t="str">
        <x:v>A-00657</x:v>
      </x:c>
      <x:c r="C703" t="str">
        <x:v>GATE</x:v>
      </x:c>
      <x:c r="D703" t="str">
        <x:v>release state mirrors governing ledger</x:v>
      </x:c>
      <x:c r="E703" t="str">
        <x:f>'Release Gates'!I663</x:f>
        <x:v>PASS</x:v>
      </x:c>
      <x:c r="F703" t="str">
        <x:f>IF('Release Gates'!C663="PLANNING","PASS",IF('Release Gates'!C663="PHYSICAL","OPEN","BLOCKED"))</x:f>
        <x:v>PASS</x:v>
      </x:c>
      <x:c r="G703" t="str">
        <x:v>equals</x:v>
      </x:c>
      <x:c r="H703" t="str">
        <x:f>IF(E703=F703,"PASS","FAIL")</x:f>
        <x:v>PASS</x:v>
      </x:c>
    </x:row>
    <x:row r="704">
      <x:c r="B704" t="str">
        <x:v>A-00658</x:v>
      </x:c>
      <x:c r="C704" t="str">
        <x:v>GATE</x:v>
      </x:c>
      <x:c r="D704" t="str">
        <x:v>release state mirrors governing ledger</x:v>
      </x:c>
      <x:c r="E704" t="str">
        <x:f>'Release Gates'!I664</x:f>
        <x:v>PASS</x:v>
      </x:c>
      <x:c r="F704" t="str">
        <x:f>IF('Release Gates'!C664="PLANNING","PASS",IF('Release Gates'!C664="PHYSICAL","OPEN","BLOCKED"))</x:f>
        <x:v>PASS</x:v>
      </x:c>
      <x:c r="G704" t="str">
        <x:v>equals</x:v>
      </x:c>
      <x:c r="H704" t="str">
        <x:f>IF(E704=F704,"PASS","FAIL")</x:f>
        <x:v>PASS</x:v>
      </x:c>
    </x:row>
    <x:row r="705">
      <x:c r="B705" t="str">
        <x:v>A-00659</x:v>
      </x:c>
      <x:c r="C705" t="str">
        <x:v>GATE</x:v>
      </x:c>
      <x:c r="D705" t="str">
        <x:v>release state mirrors governing ledger</x:v>
      </x:c>
      <x:c r="E705" t="str">
        <x:f>'Release Gates'!I665</x:f>
        <x:v>PASS</x:v>
      </x:c>
      <x:c r="F705" t="str">
        <x:f>IF('Release Gates'!C665="PLANNING","PASS",IF('Release Gates'!C665="PHYSICAL","OPEN","BLOCKED"))</x:f>
        <x:v>PASS</x:v>
      </x:c>
      <x:c r="G705" t="str">
        <x:v>equals</x:v>
      </x:c>
      <x:c r="H705" t="str">
        <x:f>IF(E705=F705,"PASS","FAIL")</x:f>
        <x:v>PASS</x:v>
      </x:c>
    </x:row>
    <x:row r="706">
      <x:c r="B706" t="str">
        <x:v>A-00660</x:v>
      </x:c>
      <x:c r="C706" t="str">
        <x:v>GATE</x:v>
      </x:c>
      <x:c r="D706" t="str">
        <x:v>release state mirrors governing ledger</x:v>
      </x:c>
      <x:c r="E706" t="str">
        <x:f>'Release Gates'!I666</x:f>
        <x:v>PASS</x:v>
      </x:c>
      <x:c r="F706" t="str">
        <x:f>IF('Release Gates'!C666="PLANNING","PASS",IF('Release Gates'!C666="PHYSICAL","OPEN","BLOCKED"))</x:f>
        <x:v>PASS</x:v>
      </x:c>
      <x:c r="G706" t="str">
        <x:v>equals</x:v>
      </x:c>
      <x:c r="H706" t="str">
        <x:f>IF(E706=F706,"PASS","FAIL")</x:f>
        <x:v>PASS</x:v>
      </x:c>
    </x:row>
    <x:row r="707">
      <x:c r="B707" t="str">
        <x:v>A-00661</x:v>
      </x:c>
      <x:c r="C707" t="str">
        <x:v>GATE</x:v>
      </x:c>
      <x:c r="D707" t="str">
        <x:v>release state mirrors governing ledger</x:v>
      </x:c>
      <x:c r="E707" t="str">
        <x:f>'Release Gates'!I667</x:f>
        <x:v>PASS</x:v>
      </x:c>
      <x:c r="F707" t="str">
        <x:f>IF('Release Gates'!C667="PLANNING","PASS",IF('Release Gates'!C667="PHYSICAL","OPEN","BLOCKED"))</x:f>
        <x:v>PASS</x:v>
      </x:c>
      <x:c r="G707" t="str">
        <x:v>equals</x:v>
      </x:c>
      <x:c r="H707" t="str">
        <x:f>IF(E707=F707,"PASS","FAIL")</x:f>
        <x:v>PASS</x:v>
      </x:c>
    </x:row>
    <x:row r="708">
      <x:c r="B708" t="str">
        <x:v>A-00662</x:v>
      </x:c>
      <x:c r="C708" t="str">
        <x:v>GATE</x:v>
      </x:c>
      <x:c r="D708" t="str">
        <x:v>release state mirrors governing ledger</x:v>
      </x:c>
      <x:c r="E708" t="str">
        <x:f>'Release Gates'!I668</x:f>
        <x:v>PASS</x:v>
      </x:c>
      <x:c r="F708" t="str">
        <x:f>IF('Release Gates'!C668="PLANNING","PASS",IF('Release Gates'!C668="PHYSICAL","OPEN","BLOCKED"))</x:f>
        <x:v>PASS</x:v>
      </x:c>
      <x:c r="G708" t="str">
        <x:v>equals</x:v>
      </x:c>
      <x:c r="H708" t="str">
        <x:f>IF(E708=F708,"PASS","FAIL")</x:f>
        <x:v>PASS</x:v>
      </x:c>
    </x:row>
    <x:row r="709">
      <x:c r="B709" t="str">
        <x:v>A-00663</x:v>
      </x:c>
      <x:c r="C709" t="str">
        <x:v>GATE</x:v>
      </x:c>
      <x:c r="D709" t="str">
        <x:v>release state mirrors governing ledger</x:v>
      </x:c>
      <x:c r="E709" t="str">
        <x:f>'Release Gates'!I669</x:f>
        <x:v>PASS</x:v>
      </x:c>
      <x:c r="F709" t="str">
        <x:f>IF('Release Gates'!C669="PLANNING","PASS",IF('Release Gates'!C669="PHYSICAL","OPEN","BLOCKED"))</x:f>
        <x:v>PASS</x:v>
      </x:c>
      <x:c r="G709" t="str">
        <x:v>equals</x:v>
      </x:c>
      <x:c r="H709" t="str">
        <x:f>IF(E709=F709,"PASS","FAIL")</x:f>
        <x:v>PASS</x:v>
      </x:c>
    </x:row>
    <x:row r="710">
      <x:c r="B710" t="str">
        <x:v>A-00664</x:v>
      </x:c>
      <x:c r="C710" t="str">
        <x:v>GATE</x:v>
      </x:c>
      <x:c r="D710" t="str">
        <x:v>release state mirrors governing ledger</x:v>
      </x:c>
      <x:c r="E710" t="str">
        <x:f>'Release Gates'!I670</x:f>
        <x:v>PASS</x:v>
      </x:c>
      <x:c r="F710" t="str">
        <x:f>IF('Release Gates'!C670="PLANNING","PASS",IF('Release Gates'!C670="PHYSICAL","OPEN","BLOCKED"))</x:f>
        <x:v>PASS</x:v>
      </x:c>
      <x:c r="G710" t="str">
        <x:v>equals</x:v>
      </x:c>
      <x:c r="H710" t="str">
        <x:f>IF(E710=F710,"PASS","FAIL")</x:f>
        <x:v>PASS</x:v>
      </x:c>
    </x:row>
    <x:row r="711">
      <x:c r="B711" t="str">
        <x:v>A-00665</x:v>
      </x:c>
      <x:c r="C711" t="str">
        <x:v>GATE</x:v>
      </x:c>
      <x:c r="D711" t="str">
        <x:v>release state mirrors governing ledger</x:v>
      </x:c>
      <x:c r="E711" t="str">
        <x:f>'Release Gates'!I671</x:f>
        <x:v>PASS</x:v>
      </x:c>
      <x:c r="F711" t="str">
        <x:f>IF('Release Gates'!C671="PLANNING","PASS",IF('Release Gates'!C671="PHYSICAL","OPEN","BLOCKED"))</x:f>
        <x:v>PASS</x:v>
      </x:c>
      <x:c r="G711" t="str">
        <x:v>equals</x:v>
      </x:c>
      <x:c r="H711" t="str">
        <x:f>IF(E711=F711,"PASS","FAIL")</x:f>
        <x:v>PASS</x:v>
      </x:c>
    </x:row>
    <x:row r="712">
      <x:c r="B712" t="str">
        <x:v>A-00666</x:v>
      </x:c>
      <x:c r="C712" t="str">
        <x:v>GATE</x:v>
      </x:c>
      <x:c r="D712" t="str">
        <x:v>release state mirrors governing ledger</x:v>
      </x:c>
      <x:c r="E712" t="str">
        <x:f>'Release Gates'!I672</x:f>
        <x:v>PASS</x:v>
      </x:c>
      <x:c r="F712" t="str">
        <x:f>IF('Release Gates'!C672="PLANNING","PASS",IF('Release Gates'!C672="PHYSICAL","OPEN","BLOCKED"))</x:f>
        <x:v>PASS</x:v>
      </x:c>
      <x:c r="G712" t="str">
        <x:v>equals</x:v>
      </x:c>
      <x:c r="H712" t="str">
        <x:f>IF(E712=F712,"PASS","FAIL")</x:f>
        <x:v>PASS</x:v>
      </x:c>
    </x:row>
    <x:row r="713">
      <x:c r="B713" t="str">
        <x:v>A-00667</x:v>
      </x:c>
      <x:c r="C713" t="str">
        <x:v>GATE</x:v>
      </x:c>
      <x:c r="D713" t="str">
        <x:v>release state mirrors governing ledger</x:v>
      </x:c>
      <x:c r="E713" t="str">
        <x:f>'Release Gates'!I673</x:f>
        <x:v>PASS</x:v>
      </x:c>
      <x:c r="F713" t="str">
        <x:f>IF('Release Gates'!C673="PLANNING","PASS",IF('Release Gates'!C673="PHYSICAL","OPEN","BLOCKED"))</x:f>
        <x:v>PASS</x:v>
      </x:c>
      <x:c r="G713" t="str">
        <x:v>equals</x:v>
      </x:c>
      <x:c r="H713" t="str">
        <x:f>IF(E713=F713,"PASS","FAIL")</x:f>
        <x:v>PASS</x:v>
      </x:c>
    </x:row>
    <x:row r="714">
      <x:c r="B714" t="str">
        <x:v>A-00668</x:v>
      </x:c>
      <x:c r="C714" t="str">
        <x:v>GATE</x:v>
      </x:c>
      <x:c r="D714" t="str">
        <x:v>release state mirrors governing ledger</x:v>
      </x:c>
      <x:c r="E714" t="str">
        <x:f>'Release Gates'!I674</x:f>
        <x:v>PASS</x:v>
      </x:c>
      <x:c r="F714" t="str">
        <x:f>IF('Release Gates'!C674="PLANNING","PASS",IF('Release Gates'!C674="PHYSICAL","OPEN","BLOCKED"))</x:f>
        <x:v>PASS</x:v>
      </x:c>
      <x:c r="G714" t="str">
        <x:v>equals</x:v>
      </x:c>
      <x:c r="H714" t="str">
        <x:f>IF(E714=F714,"PASS","FAIL")</x:f>
        <x:v>PASS</x:v>
      </x:c>
    </x:row>
    <x:row r="715">
      <x:c r="B715" t="str">
        <x:v>A-00669</x:v>
      </x:c>
      <x:c r="C715" t="str">
        <x:v>GATE</x:v>
      </x:c>
      <x:c r="D715" t="str">
        <x:v>release state mirrors governing ledger</x:v>
      </x:c>
      <x:c r="E715" t="str">
        <x:f>'Release Gates'!I675</x:f>
        <x:v>PASS</x:v>
      </x:c>
      <x:c r="F715" t="str">
        <x:f>IF('Release Gates'!C675="PLANNING","PASS",IF('Release Gates'!C675="PHYSICAL","OPEN","BLOCKED"))</x:f>
        <x:v>PASS</x:v>
      </x:c>
      <x:c r="G715" t="str">
        <x:v>equals</x:v>
      </x:c>
      <x:c r="H715" t="str">
        <x:f>IF(E715=F715,"PASS","FAIL")</x:f>
        <x:v>PASS</x:v>
      </x:c>
    </x:row>
    <x:row r="716">
      <x:c r="B716" t="str">
        <x:v>A-00670</x:v>
      </x:c>
      <x:c r="C716" t="str">
        <x:v>GATE</x:v>
      </x:c>
      <x:c r="D716" t="str">
        <x:v>release state mirrors governing ledger</x:v>
      </x:c>
      <x:c r="E716" t="str">
        <x:f>'Release Gates'!I676</x:f>
        <x:v>PASS</x:v>
      </x:c>
      <x:c r="F716" t="str">
        <x:f>IF('Release Gates'!C676="PLANNING","PASS",IF('Release Gates'!C676="PHYSICAL","OPEN","BLOCKED"))</x:f>
        <x:v>PASS</x:v>
      </x:c>
      <x:c r="G716" t="str">
        <x:v>equals</x:v>
      </x:c>
      <x:c r="H716" t="str">
        <x:f>IF(E716=F716,"PASS","FAIL")</x:f>
        <x:v>PASS</x:v>
      </x:c>
    </x:row>
    <x:row r="717">
      <x:c r="B717" t="str">
        <x:v>A-00671</x:v>
      </x:c>
      <x:c r="C717" t="str">
        <x:v>GATE</x:v>
      </x:c>
      <x:c r="D717" t="str">
        <x:v>release state mirrors governing ledger</x:v>
      </x:c>
      <x:c r="E717" t="str">
        <x:f>'Release Gates'!I677</x:f>
        <x:v>PASS</x:v>
      </x:c>
      <x:c r="F717" t="str">
        <x:f>IF('Release Gates'!C677="PLANNING","PASS",IF('Release Gates'!C677="PHYSICAL","OPEN","BLOCKED"))</x:f>
        <x:v>PASS</x:v>
      </x:c>
      <x:c r="G717" t="str">
        <x:v>equals</x:v>
      </x:c>
      <x:c r="H717" t="str">
        <x:f>IF(E717=F717,"PASS","FAIL")</x:f>
        <x:v>PASS</x:v>
      </x:c>
    </x:row>
    <x:row r="718">
      <x:c r="B718" t="str">
        <x:v>A-00672</x:v>
      </x:c>
      <x:c r="C718" t="str">
        <x:v>GATE</x:v>
      </x:c>
      <x:c r="D718" t="str">
        <x:v>release state mirrors governing ledger</x:v>
      </x:c>
      <x:c r="E718" t="str">
        <x:f>'Release Gates'!I678</x:f>
        <x:v>PASS</x:v>
      </x:c>
      <x:c r="F718" t="str">
        <x:f>IF('Release Gates'!C678="PLANNING","PASS",IF('Release Gates'!C678="PHYSICAL","OPEN","BLOCKED"))</x:f>
        <x:v>PASS</x:v>
      </x:c>
      <x:c r="G718" t="str">
        <x:v>equals</x:v>
      </x:c>
      <x:c r="H718" t="str">
        <x:f>IF(E718=F718,"PASS","FAIL")</x:f>
        <x:v>PASS</x:v>
      </x:c>
    </x:row>
    <x:row r="719">
      <x:c r="B719" t="str">
        <x:v>A-00673</x:v>
      </x:c>
      <x:c r="C719" t="str">
        <x:v>GATE</x:v>
      </x:c>
      <x:c r="D719" t="str">
        <x:v>release state mirrors governing ledger</x:v>
      </x:c>
      <x:c r="E719" t="str">
        <x:f>'Release Gates'!I679</x:f>
        <x:v>PASS</x:v>
      </x:c>
      <x:c r="F719" t="str">
        <x:f>IF('Release Gates'!C679="PLANNING","PASS",IF('Release Gates'!C679="PHYSICAL","OPEN","BLOCKED"))</x:f>
        <x:v>PASS</x:v>
      </x:c>
      <x:c r="G719" t="str">
        <x:v>equals</x:v>
      </x:c>
      <x:c r="H719" t="str">
        <x:f>IF(E719=F719,"PASS","FAIL")</x:f>
        <x:v>PASS</x:v>
      </x:c>
    </x:row>
    <x:row r="720">
      <x:c r="B720" t="str">
        <x:v>A-00674</x:v>
      </x:c>
      <x:c r="C720" t="str">
        <x:v>GATE</x:v>
      </x:c>
      <x:c r="D720" t="str">
        <x:v>release state mirrors governing ledger</x:v>
      </x:c>
      <x:c r="E720" t="str">
        <x:f>'Release Gates'!I680</x:f>
        <x:v>PASS</x:v>
      </x:c>
      <x:c r="F720" t="str">
        <x:f>IF('Release Gates'!C680="PLANNING","PASS",IF('Release Gates'!C680="PHYSICAL","OPEN","BLOCKED"))</x:f>
        <x:v>PASS</x:v>
      </x:c>
      <x:c r="G720" t="str">
        <x:v>equals</x:v>
      </x:c>
      <x:c r="H720" t="str">
        <x:f>IF(E720=F720,"PASS","FAIL")</x:f>
        <x:v>PASS</x:v>
      </x:c>
    </x:row>
    <x:row r="721">
      <x:c r="B721" t="str">
        <x:v>A-00675</x:v>
      </x:c>
      <x:c r="C721" t="str">
        <x:v>GATE</x:v>
      </x:c>
      <x:c r="D721" t="str">
        <x:v>release state mirrors governing ledger</x:v>
      </x:c>
      <x:c r="E721" t="str">
        <x:f>'Release Gates'!I681</x:f>
        <x:v>PASS</x:v>
      </x:c>
      <x:c r="F721" t="str">
        <x:f>IF('Release Gates'!C681="PLANNING","PASS",IF('Release Gates'!C681="PHYSICAL","OPEN","BLOCKED"))</x:f>
        <x:v>PASS</x:v>
      </x:c>
      <x:c r="G721" t="str">
        <x:v>equals</x:v>
      </x:c>
      <x:c r="H721" t="str">
        <x:f>IF(E721=F721,"PASS","FAIL")</x:f>
        <x:v>PASS</x:v>
      </x:c>
    </x:row>
    <x:row r="722">
      <x:c r="B722" t="str">
        <x:v>A-00676</x:v>
      </x:c>
      <x:c r="C722" t="str">
        <x:v>GATE</x:v>
      </x:c>
      <x:c r="D722" t="str">
        <x:v>release state mirrors governing ledger</x:v>
      </x:c>
      <x:c r="E722" t="str">
        <x:f>'Release Gates'!I682</x:f>
        <x:v>PASS</x:v>
      </x:c>
      <x:c r="F722" t="str">
        <x:f>IF('Release Gates'!C682="PLANNING","PASS",IF('Release Gates'!C682="PHYSICAL","OPEN","BLOCKED"))</x:f>
        <x:v>PASS</x:v>
      </x:c>
      <x:c r="G722" t="str">
        <x:v>equals</x:v>
      </x:c>
      <x:c r="H722" t="str">
        <x:f>IF(E722=F722,"PASS","FAIL")</x:f>
        <x:v>PASS</x:v>
      </x:c>
    </x:row>
    <x:row r="723">
      <x:c r="B723" t="str">
        <x:v>A-00677</x:v>
      </x:c>
      <x:c r="C723" t="str">
        <x:v>GATE</x:v>
      </x:c>
      <x:c r="D723" t="str">
        <x:v>release state mirrors governing ledger</x:v>
      </x:c>
      <x:c r="E723" t="str">
        <x:f>'Release Gates'!I683</x:f>
        <x:v>PASS</x:v>
      </x:c>
      <x:c r="F723" t="str">
        <x:f>IF('Release Gates'!C683="PLANNING","PASS",IF('Release Gates'!C683="PHYSICAL","OPEN","BLOCKED"))</x:f>
        <x:v>PASS</x:v>
      </x:c>
      <x:c r="G723" t="str">
        <x:v>equals</x:v>
      </x:c>
      <x:c r="H723" t="str">
        <x:f>IF(E723=F723,"PASS","FAIL")</x:f>
        <x:v>PASS</x:v>
      </x:c>
    </x:row>
    <x:row r="724">
      <x:c r="B724" t="str">
        <x:v>A-00678</x:v>
      </x:c>
      <x:c r="C724" t="str">
        <x:v>GATE</x:v>
      </x:c>
      <x:c r="D724" t="str">
        <x:v>release state mirrors governing ledger</x:v>
      </x:c>
      <x:c r="E724" t="str">
        <x:f>'Release Gates'!I684</x:f>
        <x:v>PASS</x:v>
      </x:c>
      <x:c r="F724" t="str">
        <x:f>IF('Release Gates'!C684="PLANNING","PASS",IF('Release Gates'!C684="PHYSICAL","OPEN","BLOCKED"))</x:f>
        <x:v>PASS</x:v>
      </x:c>
      <x:c r="G724" t="str">
        <x:v>equals</x:v>
      </x:c>
      <x:c r="H724" t="str">
        <x:f>IF(E724=F724,"PASS","FAIL")</x:f>
        <x:v>PASS</x:v>
      </x:c>
    </x:row>
    <x:row r="725">
      <x:c r="B725" t="str">
        <x:v>A-00679</x:v>
      </x:c>
      <x:c r="C725" t="str">
        <x:v>GATE</x:v>
      </x:c>
      <x:c r="D725" t="str">
        <x:v>release state mirrors governing ledger</x:v>
      </x:c>
      <x:c r="E725" t="str">
        <x:f>'Release Gates'!I685</x:f>
        <x:v>PASS</x:v>
      </x:c>
      <x:c r="F725" t="str">
        <x:f>IF('Release Gates'!C685="PLANNING","PASS",IF('Release Gates'!C685="PHYSICAL","OPEN","BLOCKED"))</x:f>
        <x:v>PASS</x:v>
      </x:c>
      <x:c r="G725" t="str">
        <x:v>equals</x:v>
      </x:c>
      <x:c r="H725" t="str">
        <x:f>IF(E725=F725,"PASS","FAIL")</x:f>
        <x:v>PASS</x:v>
      </x:c>
    </x:row>
    <x:row r="726">
      <x:c r="B726" t="str">
        <x:v>A-00680</x:v>
      </x:c>
      <x:c r="C726" t="str">
        <x:v>GATE</x:v>
      </x:c>
      <x:c r="D726" t="str">
        <x:v>release state mirrors governing ledger</x:v>
      </x:c>
      <x:c r="E726" t="str">
        <x:f>'Release Gates'!I686</x:f>
        <x:v>PASS</x:v>
      </x:c>
      <x:c r="F726" t="str">
        <x:f>IF('Release Gates'!C686="PLANNING","PASS",IF('Release Gates'!C686="PHYSICAL","OPEN","BLOCKED"))</x:f>
        <x:v>PASS</x:v>
      </x:c>
      <x:c r="G726" t="str">
        <x:v>equals</x:v>
      </x:c>
      <x:c r="H726" t="str">
        <x:f>IF(E726=F726,"PASS","FAIL")</x:f>
        <x:v>PASS</x:v>
      </x:c>
    </x:row>
    <x:row r="727">
      <x:c r="B727" t="str">
        <x:v>A-00681</x:v>
      </x:c>
      <x:c r="C727" t="str">
        <x:v>GATE</x:v>
      </x:c>
      <x:c r="D727" t="str">
        <x:v>release state mirrors governing ledger</x:v>
      </x:c>
      <x:c r="E727" t="str">
        <x:f>'Release Gates'!I687</x:f>
        <x:v>PASS</x:v>
      </x:c>
      <x:c r="F727" t="str">
        <x:f>IF('Release Gates'!C687="PLANNING","PASS",IF('Release Gates'!C687="PHYSICAL","OPEN","BLOCKED"))</x:f>
        <x:v>PASS</x:v>
      </x:c>
      <x:c r="G727" t="str">
        <x:v>equals</x:v>
      </x:c>
      <x:c r="H727" t="str">
        <x:f>IF(E727=F727,"PASS","FAIL")</x:f>
        <x:v>PASS</x:v>
      </x:c>
    </x:row>
    <x:row r="728">
      <x:c r="B728" t="str">
        <x:v>A-00682</x:v>
      </x:c>
      <x:c r="C728" t="str">
        <x:v>GATE</x:v>
      </x:c>
      <x:c r="D728" t="str">
        <x:v>release state mirrors governing ledger</x:v>
      </x:c>
      <x:c r="E728" t="str">
        <x:f>'Release Gates'!I688</x:f>
        <x:v>PASS</x:v>
      </x:c>
      <x:c r="F728" t="str">
        <x:f>IF('Release Gates'!C688="PLANNING","PASS",IF('Release Gates'!C688="PHYSICAL","OPEN","BLOCKED"))</x:f>
        <x:v>PASS</x:v>
      </x:c>
      <x:c r="G728" t="str">
        <x:v>equals</x:v>
      </x:c>
      <x:c r="H728" t="str">
        <x:f>IF(E728=F728,"PASS","FAIL")</x:f>
        <x:v>PASS</x:v>
      </x:c>
    </x:row>
    <x:row r="729">
      <x:c r="B729" t="str">
        <x:v>A-00683</x:v>
      </x:c>
      <x:c r="C729" t="str">
        <x:v>GATE</x:v>
      </x:c>
      <x:c r="D729" t="str">
        <x:v>release state mirrors governing ledger</x:v>
      </x:c>
      <x:c r="E729" t="str">
        <x:f>'Release Gates'!I689</x:f>
        <x:v>PASS</x:v>
      </x:c>
      <x:c r="F729" t="str">
        <x:f>IF('Release Gates'!C689="PLANNING","PASS",IF('Release Gates'!C689="PHYSICAL","OPEN","BLOCKED"))</x:f>
        <x:v>PASS</x:v>
      </x:c>
      <x:c r="G729" t="str">
        <x:v>equals</x:v>
      </x:c>
      <x:c r="H729" t="str">
        <x:f>IF(E729=F729,"PASS","FAIL")</x:f>
        <x:v>PASS</x:v>
      </x:c>
    </x:row>
    <x:row r="730">
      <x:c r="B730" t="str">
        <x:v>A-00684</x:v>
      </x:c>
      <x:c r="C730" t="str">
        <x:v>GATE</x:v>
      </x:c>
      <x:c r="D730" t="str">
        <x:v>release state mirrors governing ledger</x:v>
      </x:c>
      <x:c r="E730" t="str">
        <x:f>'Release Gates'!I690</x:f>
        <x:v>PASS</x:v>
      </x:c>
      <x:c r="F730" t="str">
        <x:f>IF('Release Gates'!C690="PLANNING","PASS",IF('Release Gates'!C690="PHYSICAL","OPEN","BLOCKED"))</x:f>
        <x:v>PASS</x:v>
      </x:c>
      <x:c r="G730" t="str">
        <x:v>equals</x:v>
      </x:c>
      <x:c r="H730" t="str">
        <x:f>IF(E730=F730,"PASS","FAIL")</x:f>
        <x:v>PASS</x:v>
      </x:c>
    </x:row>
    <x:row r="731">
      <x:c r="B731" t="str">
        <x:v>A-00685</x:v>
      </x:c>
      <x:c r="C731" t="str">
        <x:v>GATE</x:v>
      </x:c>
      <x:c r="D731" t="str">
        <x:v>release state mirrors governing ledger</x:v>
      </x:c>
      <x:c r="E731" t="str">
        <x:f>'Release Gates'!I691</x:f>
        <x:v>PASS</x:v>
      </x:c>
      <x:c r="F731" t="str">
        <x:f>IF('Release Gates'!C691="PLANNING","PASS",IF('Release Gates'!C691="PHYSICAL","OPEN","BLOCKED"))</x:f>
        <x:v>PASS</x:v>
      </x:c>
      <x:c r="G731" t="str">
        <x:v>equals</x:v>
      </x:c>
      <x:c r="H731" t="str">
        <x:f>IF(E731=F731,"PASS","FAIL")</x:f>
        <x:v>PASS</x:v>
      </x:c>
    </x:row>
    <x:row r="732">
      <x:c r="B732" t="str">
        <x:v>A-00686</x:v>
      </x:c>
      <x:c r="C732" t="str">
        <x:v>GATE</x:v>
      </x:c>
      <x:c r="D732" t="str">
        <x:v>release state mirrors governing ledger</x:v>
      </x:c>
      <x:c r="E732" t="str">
        <x:f>'Release Gates'!I692</x:f>
        <x:v>PASS</x:v>
      </x:c>
      <x:c r="F732" t="str">
        <x:f>IF('Release Gates'!C692="PLANNING","PASS",IF('Release Gates'!C692="PHYSICAL","OPEN","BLOCKED"))</x:f>
        <x:v>PASS</x:v>
      </x:c>
      <x:c r="G732" t="str">
        <x:v>equals</x:v>
      </x:c>
      <x:c r="H732" t="str">
        <x:f>IF(E732=F732,"PASS","FAIL")</x:f>
        <x:v>PASS</x:v>
      </x:c>
    </x:row>
    <x:row r="733">
      <x:c r="B733" t="str">
        <x:v>A-00687</x:v>
      </x:c>
      <x:c r="C733" t="str">
        <x:v>GATE</x:v>
      </x:c>
      <x:c r="D733" t="str">
        <x:v>release state mirrors governing ledger</x:v>
      </x:c>
      <x:c r="E733" t="str">
        <x:f>'Release Gates'!I693</x:f>
        <x:v>PASS</x:v>
      </x:c>
      <x:c r="F733" t="str">
        <x:f>IF('Release Gates'!C693="PLANNING","PASS",IF('Release Gates'!C693="PHYSICAL","OPEN","BLOCKED"))</x:f>
        <x:v>PASS</x:v>
      </x:c>
      <x:c r="G733" t="str">
        <x:v>equals</x:v>
      </x:c>
      <x:c r="H733" t="str">
        <x:f>IF(E733=F733,"PASS","FAIL")</x:f>
        <x:v>PASS</x:v>
      </x:c>
    </x:row>
    <x:row r="734">
      <x:c r="B734" t="str">
        <x:v>A-00688</x:v>
      </x:c>
      <x:c r="C734" t="str">
        <x:v>GATE</x:v>
      </x:c>
      <x:c r="D734" t="str">
        <x:v>release state mirrors governing ledger</x:v>
      </x:c>
      <x:c r="E734" t="str">
        <x:f>'Release Gates'!I694</x:f>
        <x:v>PASS</x:v>
      </x:c>
      <x:c r="F734" t="str">
        <x:f>IF('Release Gates'!C694="PLANNING","PASS",IF('Release Gates'!C694="PHYSICAL","OPEN","BLOCKED"))</x:f>
        <x:v>PASS</x:v>
      </x:c>
      <x:c r="G734" t="str">
        <x:v>equals</x:v>
      </x:c>
      <x:c r="H734" t="str">
        <x:f>IF(E734=F734,"PASS","FAIL")</x:f>
        <x:v>PASS</x:v>
      </x:c>
    </x:row>
    <x:row r="735">
      <x:c r="B735" t="str">
        <x:v>A-00689</x:v>
      </x:c>
      <x:c r="C735" t="str">
        <x:v>GATE</x:v>
      </x:c>
      <x:c r="D735" t="str">
        <x:v>release state mirrors governing ledger</x:v>
      </x:c>
      <x:c r="E735" t="str">
        <x:f>'Release Gates'!I695</x:f>
        <x:v>PASS</x:v>
      </x:c>
      <x:c r="F735" t="str">
        <x:f>IF('Release Gates'!C695="PLANNING","PASS",IF('Release Gates'!C695="PHYSICAL","OPEN","BLOCKED"))</x:f>
        <x:v>PASS</x:v>
      </x:c>
      <x:c r="G735" t="str">
        <x:v>equals</x:v>
      </x:c>
      <x:c r="H735" t="str">
        <x:f>IF(E735=F735,"PASS","FAIL")</x:f>
        <x:v>PASS</x:v>
      </x:c>
    </x:row>
    <x:row r="736">
      <x:c r="B736" t="str">
        <x:v>A-00690</x:v>
      </x:c>
      <x:c r="C736" t="str">
        <x:v>GATE</x:v>
      </x:c>
      <x:c r="D736" t="str">
        <x:v>release state mirrors governing ledger</x:v>
      </x:c>
      <x:c r="E736" t="str">
        <x:f>'Release Gates'!I696</x:f>
        <x:v>PASS</x:v>
      </x:c>
      <x:c r="F736" t="str">
        <x:f>IF('Release Gates'!C696="PLANNING","PASS",IF('Release Gates'!C696="PHYSICAL","OPEN","BLOCKED"))</x:f>
        <x:v>PASS</x:v>
      </x:c>
      <x:c r="G736" t="str">
        <x:v>equals</x:v>
      </x:c>
      <x:c r="H736" t="str">
        <x:f>IF(E736=F736,"PASS","FAIL")</x:f>
        <x:v>PASS</x:v>
      </x:c>
    </x:row>
    <x:row r="737">
      <x:c r="B737" t="str">
        <x:v>A-00691</x:v>
      </x:c>
      <x:c r="C737" t="str">
        <x:v>GATE</x:v>
      </x:c>
      <x:c r="D737" t="str">
        <x:v>release state mirrors governing ledger</x:v>
      </x:c>
      <x:c r="E737" t="str">
        <x:f>'Release Gates'!I697</x:f>
        <x:v>PASS</x:v>
      </x:c>
      <x:c r="F737" t="str">
        <x:f>IF('Release Gates'!C697="PLANNING","PASS",IF('Release Gates'!C697="PHYSICAL","OPEN","BLOCKED"))</x:f>
        <x:v>PASS</x:v>
      </x:c>
      <x:c r="G737" t="str">
        <x:v>equals</x:v>
      </x:c>
      <x:c r="H737" t="str">
        <x:f>IF(E737=F737,"PASS","FAIL")</x:f>
        <x:v>PASS</x:v>
      </x:c>
    </x:row>
    <x:row r="738">
      <x:c r="B738" t="str">
        <x:v>A-00692</x:v>
      </x:c>
      <x:c r="C738" t="str">
        <x:v>GATE</x:v>
      </x:c>
      <x:c r="D738" t="str">
        <x:v>release state mirrors governing ledger</x:v>
      </x:c>
      <x:c r="E738" t="str">
        <x:f>'Release Gates'!I698</x:f>
        <x:v>PASS</x:v>
      </x:c>
      <x:c r="F738" t="str">
        <x:f>IF('Release Gates'!C698="PLANNING","PASS",IF('Release Gates'!C698="PHYSICAL","OPEN","BLOCKED"))</x:f>
        <x:v>PASS</x:v>
      </x:c>
      <x:c r="G738" t="str">
        <x:v>equals</x:v>
      </x:c>
      <x:c r="H738" t="str">
        <x:f>IF(E738=F738,"PASS","FAIL")</x:f>
        <x:v>PASS</x:v>
      </x:c>
    </x:row>
    <x:row r="739">
      <x:c r="B739" t="str">
        <x:v>A-00693</x:v>
      </x:c>
      <x:c r="C739" t="str">
        <x:v>GATE</x:v>
      </x:c>
      <x:c r="D739" t="str">
        <x:v>release state mirrors governing ledger</x:v>
      </x:c>
      <x:c r="E739" t="str">
        <x:f>'Release Gates'!I699</x:f>
        <x:v>PASS</x:v>
      </x:c>
      <x:c r="F739" t="str">
        <x:f>IF('Release Gates'!C699="PLANNING","PASS",IF('Release Gates'!C699="PHYSICAL","OPEN","BLOCKED"))</x:f>
        <x:v>PASS</x:v>
      </x:c>
      <x:c r="G739" t="str">
        <x:v>equals</x:v>
      </x:c>
      <x:c r="H739" t="str">
        <x:f>IF(E739=F739,"PASS","FAIL")</x:f>
        <x:v>PASS</x:v>
      </x:c>
    </x:row>
    <x:row r="740">
      <x:c r="B740" t="str">
        <x:v>A-00694</x:v>
      </x:c>
      <x:c r="C740" t="str">
        <x:v>GATE</x:v>
      </x:c>
      <x:c r="D740" t="str">
        <x:v>release state mirrors governing ledger</x:v>
      </x:c>
      <x:c r="E740" t="str">
        <x:f>'Release Gates'!I700</x:f>
        <x:v>PASS</x:v>
      </x:c>
      <x:c r="F740" t="str">
        <x:f>IF('Release Gates'!C700="PLANNING","PASS",IF('Release Gates'!C700="PHYSICAL","OPEN","BLOCKED"))</x:f>
        <x:v>PASS</x:v>
      </x:c>
      <x:c r="G740" t="str">
        <x:v>equals</x:v>
      </x:c>
      <x:c r="H740" t="str">
        <x:f>IF(E740=F740,"PASS","FAIL")</x:f>
        <x:v>PASS</x:v>
      </x:c>
    </x:row>
    <x:row r="741">
      <x:c r="B741" t="str">
        <x:v>A-00695</x:v>
      </x:c>
      <x:c r="C741" t="str">
        <x:v>GATE</x:v>
      </x:c>
      <x:c r="D741" t="str">
        <x:v>release state mirrors governing ledger</x:v>
      </x:c>
      <x:c r="E741" t="str">
        <x:f>'Release Gates'!I701</x:f>
        <x:v>PASS</x:v>
      </x:c>
      <x:c r="F741" t="str">
        <x:f>IF('Release Gates'!C701="PLANNING","PASS",IF('Release Gates'!C701="PHYSICAL","OPEN","BLOCKED"))</x:f>
        <x:v>PASS</x:v>
      </x:c>
      <x:c r="G741" t="str">
        <x:v>equals</x:v>
      </x:c>
      <x:c r="H741" t="str">
        <x:f>IF(E741=F741,"PASS","FAIL")</x:f>
        <x:v>PASS</x:v>
      </x:c>
    </x:row>
    <x:row r="742">
      <x:c r="B742" t="str">
        <x:v>A-00696</x:v>
      </x:c>
      <x:c r="C742" t="str">
        <x:v>GATE</x:v>
      </x:c>
      <x:c r="D742" t="str">
        <x:v>release state mirrors governing ledger</x:v>
      </x:c>
      <x:c r="E742" t="str">
        <x:f>'Release Gates'!I702</x:f>
        <x:v>PASS</x:v>
      </x:c>
      <x:c r="F742" t="str">
        <x:f>IF('Release Gates'!C702="PLANNING","PASS",IF('Release Gates'!C702="PHYSICAL","OPEN","BLOCKED"))</x:f>
        <x:v>PASS</x:v>
      </x:c>
      <x:c r="G742" t="str">
        <x:v>equals</x:v>
      </x:c>
      <x:c r="H742" t="str">
        <x:f>IF(E742=F742,"PASS","FAIL")</x:f>
        <x:v>PASS</x:v>
      </x:c>
    </x:row>
    <x:row r="743">
      <x:c r="B743" t="str">
        <x:v>A-00697</x:v>
      </x:c>
      <x:c r="C743" t="str">
        <x:v>GATE</x:v>
      </x:c>
      <x:c r="D743" t="str">
        <x:v>release state mirrors governing ledger</x:v>
      </x:c>
      <x:c r="E743" t="str">
        <x:f>'Release Gates'!I703</x:f>
        <x:v>PASS</x:v>
      </x:c>
      <x:c r="F743" t="str">
        <x:f>IF('Release Gates'!C703="PLANNING","PASS",IF('Release Gates'!C703="PHYSICAL","OPEN","BLOCKED"))</x:f>
        <x:v>PASS</x:v>
      </x:c>
      <x:c r="G743" t="str">
        <x:v>equals</x:v>
      </x:c>
      <x:c r="H743" t="str">
        <x:f>IF(E743=F743,"PASS","FAIL")</x:f>
        <x:v>PASS</x:v>
      </x:c>
    </x:row>
    <x:row r="744">
      <x:c r="B744" t="str">
        <x:v>A-00698</x:v>
      </x:c>
      <x:c r="C744" t="str">
        <x:v>GATE</x:v>
      </x:c>
      <x:c r="D744" t="str">
        <x:v>release state mirrors governing ledger</x:v>
      </x:c>
      <x:c r="E744" t="str">
        <x:f>'Release Gates'!I704</x:f>
        <x:v>PASS</x:v>
      </x:c>
      <x:c r="F744" t="str">
        <x:f>IF('Release Gates'!C704="PLANNING","PASS",IF('Release Gates'!C704="PHYSICAL","OPEN","BLOCKED"))</x:f>
        <x:v>PASS</x:v>
      </x:c>
      <x:c r="G744" t="str">
        <x:v>equals</x:v>
      </x:c>
      <x:c r="H744" t="str">
        <x:f>IF(E744=F744,"PASS","FAIL")</x:f>
        <x:v>PASS</x:v>
      </x:c>
    </x:row>
    <x:row r="745">
      <x:c r="B745" t="str">
        <x:v>A-00699</x:v>
      </x:c>
      <x:c r="C745" t="str">
        <x:v>GATE</x:v>
      </x:c>
      <x:c r="D745" t="str">
        <x:v>release state mirrors governing ledger</x:v>
      </x:c>
      <x:c r="E745" t="str">
        <x:f>'Release Gates'!I705</x:f>
        <x:v>PASS</x:v>
      </x:c>
      <x:c r="F745" t="str">
        <x:f>IF('Release Gates'!C705="PLANNING","PASS",IF('Release Gates'!C705="PHYSICAL","OPEN","BLOCKED"))</x:f>
        <x:v>PASS</x:v>
      </x:c>
      <x:c r="G745" t="str">
        <x:v>equals</x:v>
      </x:c>
      <x:c r="H745" t="str">
        <x:f>IF(E745=F745,"PASS","FAIL")</x:f>
        <x:v>PASS</x:v>
      </x:c>
    </x:row>
    <x:row r="746">
      <x:c r="B746" t="str">
        <x:v>A-00700</x:v>
      </x:c>
      <x:c r="C746" t="str">
        <x:v>GATE</x:v>
      </x:c>
      <x:c r="D746" t="str">
        <x:v>release state mirrors governing ledger</x:v>
      </x:c>
      <x:c r="E746" t="str">
        <x:f>'Release Gates'!I706</x:f>
        <x:v>PASS</x:v>
      </x:c>
      <x:c r="F746" t="str">
        <x:f>IF('Release Gates'!C706="PLANNING","PASS",IF('Release Gates'!C706="PHYSICAL","OPEN","BLOCKED"))</x:f>
        <x:v>PASS</x:v>
      </x:c>
      <x:c r="G746" t="str">
        <x:v>equals</x:v>
      </x:c>
      <x:c r="H746" t="str">
        <x:f>IF(E746=F746,"PASS","FAIL")</x:f>
        <x:v>PASS</x:v>
      </x:c>
    </x:row>
    <x:row r="747">
      <x:c r="B747" t="str">
        <x:v>A-00701</x:v>
      </x:c>
      <x:c r="C747" t="str">
        <x:v>GATE</x:v>
      </x:c>
      <x:c r="D747" t="str">
        <x:v>release state mirrors governing ledger</x:v>
      </x:c>
      <x:c r="E747" t="str">
        <x:f>'Release Gates'!I707</x:f>
        <x:v>PASS</x:v>
      </x:c>
      <x:c r="F747" t="str">
        <x:f>IF('Release Gates'!C707="PLANNING","PASS",IF('Release Gates'!C707="PHYSICAL","OPEN","BLOCKED"))</x:f>
        <x:v>PASS</x:v>
      </x:c>
      <x:c r="G747" t="str">
        <x:v>equals</x:v>
      </x:c>
      <x:c r="H747" t="str">
        <x:f>IF(E747=F747,"PASS","FAIL")</x:f>
        <x:v>PASS</x:v>
      </x:c>
    </x:row>
    <x:row r="748">
      <x:c r="B748" t="str">
        <x:v>A-00702</x:v>
      </x:c>
      <x:c r="C748" t="str">
        <x:v>GATE</x:v>
      </x:c>
      <x:c r="D748" t="str">
        <x:v>release state mirrors governing ledger</x:v>
      </x:c>
      <x:c r="E748" t="str">
        <x:f>'Release Gates'!I708</x:f>
        <x:v>PASS</x:v>
      </x:c>
      <x:c r="F748" t="str">
        <x:f>IF('Release Gates'!C708="PLANNING","PASS",IF('Release Gates'!C708="PHYSICAL","OPEN","BLOCKED"))</x:f>
        <x:v>PASS</x:v>
      </x:c>
      <x:c r="G748" t="str">
        <x:v>equals</x:v>
      </x:c>
      <x:c r="H748" t="str">
        <x:f>IF(E748=F748,"PASS","FAIL")</x:f>
        <x:v>PASS</x:v>
      </x:c>
    </x:row>
    <x:row r="749">
      <x:c r="B749" t="str">
        <x:v>A-00703</x:v>
      </x:c>
      <x:c r="C749" t="str">
        <x:v>GATE</x:v>
      </x:c>
      <x:c r="D749" t="str">
        <x:v>release state mirrors governing ledger</x:v>
      </x:c>
      <x:c r="E749" t="str">
        <x:f>'Release Gates'!I709</x:f>
        <x:v>PASS</x:v>
      </x:c>
      <x:c r="F749" t="str">
        <x:f>IF('Release Gates'!C709="PLANNING","PASS",IF('Release Gates'!C709="PHYSICAL","OPEN","BLOCKED"))</x:f>
        <x:v>PASS</x:v>
      </x:c>
      <x:c r="G749" t="str">
        <x:v>equals</x:v>
      </x:c>
      <x:c r="H749" t="str">
        <x:f>IF(E749=F749,"PASS","FAIL")</x:f>
        <x:v>PASS</x:v>
      </x:c>
    </x:row>
    <x:row r="750">
      <x:c r="B750" t="str">
        <x:v>A-00704</x:v>
      </x:c>
      <x:c r="C750" t="str">
        <x:v>GATE</x:v>
      </x:c>
      <x:c r="D750" t="str">
        <x:v>release state mirrors governing ledger</x:v>
      </x:c>
      <x:c r="E750" t="str">
        <x:f>'Release Gates'!I710</x:f>
        <x:v>PASS</x:v>
      </x:c>
      <x:c r="F750" t="str">
        <x:f>IF('Release Gates'!C710="PLANNING","PASS",IF('Release Gates'!C710="PHYSICAL","OPEN","BLOCKED"))</x:f>
        <x:v>PASS</x:v>
      </x:c>
      <x:c r="G750" t="str">
        <x:v>equals</x:v>
      </x:c>
      <x:c r="H750" t="str">
        <x:f>IF(E750=F750,"PASS","FAIL")</x:f>
        <x:v>PASS</x:v>
      </x:c>
    </x:row>
    <x:row r="751">
      <x:c r="B751" t="str">
        <x:v>A-00705</x:v>
      </x:c>
      <x:c r="C751" t="str">
        <x:v>GATE</x:v>
      </x:c>
      <x:c r="D751" t="str">
        <x:v>release state mirrors governing ledger</x:v>
      </x:c>
      <x:c r="E751" t="str">
        <x:f>'Release Gates'!I711</x:f>
        <x:v>PASS</x:v>
      </x:c>
      <x:c r="F751" t="str">
        <x:f>IF('Release Gates'!C711="PLANNING","PASS",IF('Release Gates'!C711="PHYSICAL","OPEN","BLOCKED"))</x:f>
        <x:v>PASS</x:v>
      </x:c>
      <x:c r="G751" t="str">
        <x:v>equals</x:v>
      </x:c>
      <x:c r="H751" t="str">
        <x:f>IF(E751=F751,"PASS","FAIL")</x:f>
        <x:v>PASS</x:v>
      </x:c>
    </x:row>
    <x:row r="752">
      <x:c r="B752" t="str">
        <x:v>A-00706</x:v>
      </x:c>
      <x:c r="C752" t="str">
        <x:v>GATE</x:v>
      </x:c>
      <x:c r="D752" t="str">
        <x:v>release state mirrors governing ledger</x:v>
      </x:c>
      <x:c r="E752" t="str">
        <x:f>'Release Gates'!I712</x:f>
        <x:v>PASS</x:v>
      </x:c>
      <x:c r="F752" t="str">
        <x:f>IF('Release Gates'!C712="PLANNING","PASS",IF('Release Gates'!C712="PHYSICAL","OPEN","BLOCKED"))</x:f>
        <x:v>PASS</x:v>
      </x:c>
      <x:c r="G752" t="str">
        <x:v>equals</x:v>
      </x:c>
      <x:c r="H752" t="str">
        <x:f>IF(E752=F752,"PASS","FAIL")</x:f>
        <x:v>PASS</x:v>
      </x:c>
    </x:row>
    <x:row r="753">
      <x:c r="B753" t="str">
        <x:v>A-00707</x:v>
      </x:c>
      <x:c r="C753" t="str">
        <x:v>GATE</x:v>
      </x:c>
      <x:c r="D753" t="str">
        <x:v>release state mirrors governing ledger</x:v>
      </x:c>
      <x:c r="E753" t="str">
        <x:f>'Release Gates'!I713</x:f>
        <x:v>PASS</x:v>
      </x:c>
      <x:c r="F753" t="str">
        <x:f>IF('Release Gates'!C713="PLANNING","PASS",IF('Release Gates'!C713="PHYSICAL","OPEN","BLOCKED"))</x:f>
        <x:v>PASS</x:v>
      </x:c>
      <x:c r="G753" t="str">
        <x:v>equals</x:v>
      </x:c>
      <x:c r="H753" t="str">
        <x:f>IF(E753=F753,"PASS","FAIL")</x:f>
        <x:v>PASS</x:v>
      </x:c>
    </x:row>
    <x:row r="754">
      <x:c r="B754" t="str">
        <x:v>A-00708</x:v>
      </x:c>
      <x:c r="C754" t="str">
        <x:v>GATE</x:v>
      </x:c>
      <x:c r="D754" t="str">
        <x:v>release state mirrors governing ledger</x:v>
      </x:c>
      <x:c r="E754" t="str">
        <x:f>'Release Gates'!I714</x:f>
        <x:v>PASS</x:v>
      </x:c>
      <x:c r="F754" t="str">
        <x:f>IF('Release Gates'!C714="PLANNING","PASS",IF('Release Gates'!C714="PHYSICAL","OPEN","BLOCKED"))</x:f>
        <x:v>PASS</x:v>
      </x:c>
      <x:c r="G754" t="str">
        <x:v>equals</x:v>
      </x:c>
      <x:c r="H754" t="str">
        <x:f>IF(E754=F754,"PASS","FAIL")</x:f>
        <x:v>PASS</x:v>
      </x:c>
    </x:row>
    <x:row r="755">
      <x:c r="B755" t="str">
        <x:v>A-00709</x:v>
      </x:c>
      <x:c r="C755" t="str">
        <x:v>GATE</x:v>
      </x:c>
      <x:c r="D755" t="str">
        <x:v>release state mirrors governing ledger</x:v>
      </x:c>
      <x:c r="E755" t="str">
        <x:f>'Release Gates'!I715</x:f>
        <x:v>PASS</x:v>
      </x:c>
      <x:c r="F755" t="str">
        <x:f>IF('Release Gates'!C715="PLANNING","PASS",IF('Release Gates'!C715="PHYSICAL","OPEN","BLOCKED"))</x:f>
        <x:v>PASS</x:v>
      </x:c>
      <x:c r="G755" t="str">
        <x:v>equals</x:v>
      </x:c>
      <x:c r="H755" t="str">
        <x:f>IF(E755=F755,"PASS","FAIL")</x:f>
        <x:v>PASS</x:v>
      </x:c>
    </x:row>
    <x:row r="756">
      <x:c r="B756" t="str">
        <x:v>A-00710</x:v>
      </x:c>
      <x:c r="C756" t="str">
        <x:v>GATE</x:v>
      </x:c>
      <x:c r="D756" t="str">
        <x:v>release state mirrors governing ledger</x:v>
      </x:c>
      <x:c r="E756" t="str">
        <x:f>'Release Gates'!I716</x:f>
        <x:v>PASS</x:v>
      </x:c>
      <x:c r="F756" t="str">
        <x:f>IF('Release Gates'!C716="PLANNING","PASS",IF('Release Gates'!C716="PHYSICAL","OPEN","BLOCKED"))</x:f>
        <x:v>PASS</x:v>
      </x:c>
      <x:c r="G756" t="str">
        <x:v>equals</x:v>
      </x:c>
      <x:c r="H756" t="str">
        <x:f>IF(E756=F756,"PASS","FAIL")</x:f>
        <x:v>PASS</x:v>
      </x:c>
    </x:row>
    <x:row r="757">
      <x:c r="B757" t="str">
        <x:v>A-00711</x:v>
      </x:c>
      <x:c r="C757" t="str">
        <x:v>GATE</x:v>
      </x:c>
      <x:c r="D757" t="str">
        <x:v>release state mirrors governing ledger</x:v>
      </x:c>
      <x:c r="E757" t="str">
        <x:f>'Release Gates'!I717</x:f>
        <x:v>PASS</x:v>
      </x:c>
      <x:c r="F757" t="str">
        <x:f>IF('Release Gates'!C717="PLANNING","PASS",IF('Release Gates'!C717="PHYSICAL","OPEN","BLOCKED"))</x:f>
        <x:v>PASS</x:v>
      </x:c>
      <x:c r="G757" t="str">
        <x:v>equals</x:v>
      </x:c>
      <x:c r="H757" t="str">
        <x:f>IF(E757=F757,"PASS","FAIL")</x:f>
        <x:v>PASS</x:v>
      </x:c>
    </x:row>
    <x:row r="758">
      <x:c r="B758" t="str">
        <x:v>A-00712</x:v>
      </x:c>
      <x:c r="C758" t="str">
        <x:v>GATE</x:v>
      </x:c>
      <x:c r="D758" t="str">
        <x:v>release state mirrors governing ledger</x:v>
      </x:c>
      <x:c r="E758" t="str">
        <x:f>'Release Gates'!I718</x:f>
        <x:v>PASS</x:v>
      </x:c>
      <x:c r="F758" t="str">
        <x:f>IF('Release Gates'!C718="PLANNING","PASS",IF('Release Gates'!C718="PHYSICAL","OPEN","BLOCKED"))</x:f>
        <x:v>PASS</x:v>
      </x:c>
      <x:c r="G758" t="str">
        <x:v>equals</x:v>
      </x:c>
      <x:c r="H758" t="str">
        <x:f>IF(E758=F758,"PASS","FAIL")</x:f>
        <x:v>PASS</x:v>
      </x:c>
    </x:row>
    <x:row r="759">
      <x:c r="B759" t="str">
        <x:v>A-00713</x:v>
      </x:c>
      <x:c r="C759" t="str">
        <x:v>GATE</x:v>
      </x:c>
      <x:c r="D759" t="str">
        <x:v>release state mirrors governing ledger</x:v>
      </x:c>
      <x:c r="E759" t="str">
        <x:f>'Release Gates'!I719</x:f>
        <x:v>PASS</x:v>
      </x:c>
      <x:c r="F759" t="str">
        <x:f>IF('Release Gates'!C719="PLANNING","PASS",IF('Release Gates'!C719="PHYSICAL","OPEN","BLOCKED"))</x:f>
        <x:v>PASS</x:v>
      </x:c>
      <x:c r="G759" t="str">
        <x:v>equals</x:v>
      </x:c>
      <x:c r="H759" t="str">
        <x:f>IF(E759=F759,"PASS","FAIL")</x:f>
        <x:v>PASS</x:v>
      </x:c>
    </x:row>
    <x:row r="760">
      <x:c r="B760" t="str">
        <x:v>A-00714</x:v>
      </x:c>
      <x:c r="C760" t="str">
        <x:v>GATE</x:v>
      </x:c>
      <x:c r="D760" t="str">
        <x:v>release state mirrors governing ledger</x:v>
      </x:c>
      <x:c r="E760" t="str">
        <x:f>'Release Gates'!I720</x:f>
        <x:v>PASS</x:v>
      </x:c>
      <x:c r="F760" t="str">
        <x:f>IF('Release Gates'!C720="PLANNING","PASS",IF('Release Gates'!C720="PHYSICAL","OPEN","BLOCKED"))</x:f>
        <x:v>PASS</x:v>
      </x:c>
      <x:c r="G760" t="str">
        <x:v>equals</x:v>
      </x:c>
      <x:c r="H760" t="str">
        <x:f>IF(E760=F760,"PASS","FAIL")</x:f>
        <x:v>PASS</x:v>
      </x:c>
    </x:row>
    <x:row r="761">
      <x:c r="B761" t="str">
        <x:v>A-00715</x:v>
      </x:c>
      <x:c r="C761" t="str">
        <x:v>GATE</x:v>
      </x:c>
      <x:c r="D761" t="str">
        <x:v>release state mirrors governing ledger</x:v>
      </x:c>
      <x:c r="E761" t="str">
        <x:f>'Release Gates'!I721</x:f>
        <x:v>PASS</x:v>
      </x:c>
      <x:c r="F761" t="str">
        <x:f>IF('Release Gates'!C721="PLANNING","PASS",IF('Release Gates'!C721="PHYSICAL","OPEN","BLOCKED"))</x:f>
        <x:v>PASS</x:v>
      </x:c>
      <x:c r="G761" t="str">
        <x:v>equals</x:v>
      </x:c>
      <x:c r="H761" t="str">
        <x:f>IF(E761=F761,"PASS","FAIL")</x:f>
        <x:v>PASS</x:v>
      </x:c>
    </x:row>
    <x:row r="762">
      <x:c r="B762" t="str">
        <x:v>A-00716</x:v>
      </x:c>
      <x:c r="C762" t="str">
        <x:v>GATE</x:v>
      </x:c>
      <x:c r="D762" t="str">
        <x:v>release state mirrors governing ledger</x:v>
      </x:c>
      <x:c r="E762" t="str">
        <x:f>'Release Gates'!I722</x:f>
        <x:v>PASS</x:v>
      </x:c>
      <x:c r="F762" t="str">
        <x:f>IF('Release Gates'!C722="PLANNING","PASS",IF('Release Gates'!C722="PHYSICAL","OPEN","BLOCKED"))</x:f>
        <x:v>PASS</x:v>
      </x:c>
      <x:c r="G762" t="str">
        <x:v>equals</x:v>
      </x:c>
      <x:c r="H762" t="str">
        <x:f>IF(E762=F762,"PASS","FAIL")</x:f>
        <x:v>PASS</x:v>
      </x:c>
    </x:row>
    <x:row r="763">
      <x:c r="B763" t="str">
        <x:v>A-00717</x:v>
      </x:c>
      <x:c r="C763" t="str">
        <x:v>GATE</x:v>
      </x:c>
      <x:c r="D763" t="str">
        <x:v>release state mirrors governing ledger</x:v>
      </x:c>
      <x:c r="E763" t="str">
        <x:f>'Release Gates'!I723</x:f>
        <x:v>PASS</x:v>
      </x:c>
      <x:c r="F763" t="str">
        <x:f>IF('Release Gates'!C723="PLANNING","PASS",IF('Release Gates'!C723="PHYSICAL","OPEN","BLOCKED"))</x:f>
        <x:v>PASS</x:v>
      </x:c>
      <x:c r="G763" t="str">
        <x:v>equals</x:v>
      </x:c>
      <x:c r="H763" t="str">
        <x:f>IF(E763=F763,"PASS","FAIL")</x:f>
        <x:v>PASS</x:v>
      </x:c>
    </x:row>
    <x:row r="764">
      <x:c r="B764" t="str">
        <x:v>A-00718</x:v>
      </x:c>
      <x:c r="C764" t="str">
        <x:v>GATE</x:v>
      </x:c>
      <x:c r="D764" t="str">
        <x:v>release state mirrors governing ledger</x:v>
      </x:c>
      <x:c r="E764" t="str">
        <x:f>'Release Gates'!I724</x:f>
        <x:v>PASS</x:v>
      </x:c>
      <x:c r="F764" t="str">
        <x:f>IF('Release Gates'!C724="PLANNING","PASS",IF('Release Gates'!C724="PHYSICAL","OPEN","BLOCKED"))</x:f>
        <x:v>PASS</x:v>
      </x:c>
      <x:c r="G764" t="str">
        <x:v>equals</x:v>
      </x:c>
      <x:c r="H764" t="str">
        <x:f>IF(E764=F764,"PASS","FAIL")</x:f>
        <x:v>PASS</x:v>
      </x:c>
    </x:row>
    <x:row r="765">
      <x:c r="B765" t="str">
        <x:v>A-00719</x:v>
      </x:c>
      <x:c r="C765" t="str">
        <x:v>GATE</x:v>
      </x:c>
      <x:c r="D765" t="str">
        <x:v>release state mirrors governing ledger</x:v>
      </x:c>
      <x:c r="E765" t="str">
        <x:f>'Release Gates'!I725</x:f>
        <x:v>PASS</x:v>
      </x:c>
      <x:c r="F765" t="str">
        <x:f>IF('Release Gates'!C725="PLANNING","PASS",IF('Release Gates'!C725="PHYSICAL","OPEN","BLOCKED"))</x:f>
        <x:v>PASS</x:v>
      </x:c>
      <x:c r="G765" t="str">
        <x:v>equals</x:v>
      </x:c>
      <x:c r="H765" t="str">
        <x:f>IF(E765=F765,"PASS","FAIL")</x:f>
        <x:v>PASS</x:v>
      </x:c>
    </x:row>
    <x:row r="766">
      <x:c r="B766" t="str">
        <x:v>A-00720</x:v>
      </x:c>
      <x:c r="C766" t="str">
        <x:v>GATE</x:v>
      </x:c>
      <x:c r="D766" t="str">
        <x:v>release state mirrors governing ledger</x:v>
      </x:c>
      <x:c r="E766" t="str">
        <x:f>'Release Gates'!I726</x:f>
        <x:v>PASS</x:v>
      </x:c>
      <x:c r="F766" t="str">
        <x:f>IF('Release Gates'!C726="PLANNING","PASS",IF('Release Gates'!C726="PHYSICAL","OPEN","BLOCKED"))</x:f>
        <x:v>PASS</x:v>
      </x:c>
      <x:c r="G766" t="str">
        <x:v>equals</x:v>
      </x:c>
      <x:c r="H766" t="str">
        <x:f>IF(E766=F766,"PASS","FAIL")</x:f>
        <x:v>PASS</x:v>
      </x:c>
    </x:row>
    <x:row r="767">
      <x:c r="B767" t="str">
        <x:v>A-00721</x:v>
      </x:c>
      <x:c r="C767" t="str">
        <x:v>GATE</x:v>
      </x:c>
      <x:c r="D767" t="str">
        <x:v>release state mirrors governing ledger</x:v>
      </x:c>
      <x:c r="E767" t="str">
        <x:f>'Release Gates'!I727</x:f>
        <x:v>PASS</x:v>
      </x:c>
      <x:c r="F767" t="str">
        <x:f>IF('Release Gates'!C727="PLANNING","PASS",IF('Release Gates'!C727="PHYSICAL","OPEN","BLOCKED"))</x:f>
        <x:v>PASS</x:v>
      </x:c>
      <x:c r="G767" t="str">
        <x:v>equals</x:v>
      </x:c>
      <x:c r="H767" t="str">
        <x:f>IF(E767=F767,"PASS","FAIL")</x:f>
        <x:v>PASS</x:v>
      </x:c>
    </x:row>
    <x:row r="768">
      <x:c r="B768" t="str">
        <x:v>A-00722</x:v>
      </x:c>
      <x:c r="C768" t="str">
        <x:v>GATE</x:v>
      </x:c>
      <x:c r="D768" t="str">
        <x:v>release state mirrors governing ledger</x:v>
      </x:c>
      <x:c r="E768" t="str">
        <x:f>'Release Gates'!I728</x:f>
        <x:v>PASS</x:v>
      </x:c>
      <x:c r="F768" t="str">
        <x:f>IF('Release Gates'!C728="PLANNING","PASS",IF('Release Gates'!C728="PHYSICAL","OPEN","BLOCKED"))</x:f>
        <x:v>PASS</x:v>
      </x:c>
      <x:c r="G768" t="str">
        <x:v>equals</x:v>
      </x:c>
      <x:c r="H768" t="str">
        <x:f>IF(E768=F768,"PASS","FAIL")</x:f>
        <x:v>PASS</x:v>
      </x:c>
    </x:row>
    <x:row r="769">
      <x:c r="B769" t="str">
        <x:v>A-00723</x:v>
      </x:c>
      <x:c r="C769" t="str">
        <x:v>GATE</x:v>
      </x:c>
      <x:c r="D769" t="str">
        <x:v>release state mirrors governing ledger</x:v>
      </x:c>
      <x:c r="E769" t="str">
        <x:f>'Release Gates'!I729</x:f>
        <x:v>PASS</x:v>
      </x:c>
      <x:c r="F769" t="str">
        <x:f>IF('Release Gates'!C729="PLANNING","PASS",IF('Release Gates'!C729="PHYSICAL","OPEN","BLOCKED"))</x:f>
        <x:v>PASS</x:v>
      </x:c>
      <x:c r="G769" t="str">
        <x:v>equals</x:v>
      </x:c>
      <x:c r="H769" t="str">
        <x:f>IF(E769=F769,"PASS","FAIL")</x:f>
        <x:v>PASS</x:v>
      </x:c>
    </x:row>
    <x:row r="770">
      <x:c r="B770" t="str">
        <x:v>A-00724</x:v>
      </x:c>
      <x:c r="C770" t="str">
        <x:v>GATE</x:v>
      </x:c>
      <x:c r="D770" t="str">
        <x:v>release state mirrors governing ledger</x:v>
      </x:c>
      <x:c r="E770" t="str">
        <x:f>'Release Gates'!I730</x:f>
        <x:v>PASS</x:v>
      </x:c>
      <x:c r="F770" t="str">
        <x:f>IF('Release Gates'!C730="PLANNING","PASS",IF('Release Gates'!C730="PHYSICAL","OPEN","BLOCKED"))</x:f>
        <x:v>PASS</x:v>
      </x:c>
      <x:c r="G770" t="str">
        <x:v>equals</x:v>
      </x:c>
      <x:c r="H770" t="str">
        <x:f>IF(E770=F770,"PASS","FAIL")</x:f>
        <x:v>PASS</x:v>
      </x:c>
    </x:row>
    <x:row r="771">
      <x:c r="B771" t="str">
        <x:v>A-00725</x:v>
      </x:c>
      <x:c r="C771" t="str">
        <x:v>GATE</x:v>
      </x:c>
      <x:c r="D771" t="str">
        <x:v>release state mirrors governing ledger</x:v>
      </x:c>
      <x:c r="E771" t="str">
        <x:f>'Release Gates'!I731</x:f>
        <x:v>PASS</x:v>
      </x:c>
      <x:c r="F771" t="str">
        <x:f>IF('Release Gates'!C731="PLANNING","PASS",IF('Release Gates'!C731="PHYSICAL","OPEN","BLOCKED"))</x:f>
        <x:v>PASS</x:v>
      </x:c>
      <x:c r="G771" t="str">
        <x:v>equals</x:v>
      </x:c>
      <x:c r="H771" t="str">
        <x:f>IF(E771=F771,"PASS","FAIL")</x:f>
        <x:v>PASS</x:v>
      </x:c>
    </x:row>
    <x:row r="772">
      <x:c r="B772" t="str">
        <x:v>A-00726</x:v>
      </x:c>
      <x:c r="C772" t="str">
        <x:v>GATE</x:v>
      </x:c>
      <x:c r="D772" t="str">
        <x:v>release state mirrors governing ledger</x:v>
      </x:c>
      <x:c r="E772" t="str">
        <x:f>'Release Gates'!I732</x:f>
        <x:v>PASS</x:v>
      </x:c>
      <x:c r="F772" t="str">
        <x:f>IF('Release Gates'!C732="PLANNING","PASS",IF('Release Gates'!C732="PHYSICAL","OPEN","BLOCKED"))</x:f>
        <x:v>PASS</x:v>
      </x:c>
      <x:c r="G772" t="str">
        <x:v>equals</x:v>
      </x:c>
      <x:c r="H772" t="str">
        <x:f>IF(E772=F772,"PASS","FAIL")</x:f>
        <x:v>PASS</x:v>
      </x:c>
    </x:row>
    <x:row r="773">
      <x:c r="B773" t="str">
        <x:v>A-00727</x:v>
      </x:c>
      <x:c r="C773" t="str">
        <x:v>GATE</x:v>
      </x:c>
      <x:c r="D773" t="str">
        <x:v>release state mirrors governing ledger</x:v>
      </x:c>
      <x:c r="E773" t="str">
        <x:f>'Release Gates'!I733</x:f>
        <x:v>PASS</x:v>
      </x:c>
      <x:c r="F773" t="str">
        <x:f>IF('Release Gates'!C733="PLANNING","PASS",IF('Release Gates'!C733="PHYSICAL","OPEN","BLOCKED"))</x:f>
        <x:v>PASS</x:v>
      </x:c>
      <x:c r="G773" t="str">
        <x:v>equals</x:v>
      </x:c>
      <x:c r="H773" t="str">
        <x:f>IF(E773=F773,"PASS","FAIL")</x:f>
        <x:v>PASS</x:v>
      </x:c>
    </x:row>
    <x:row r="774">
      <x:c r="B774" t="str">
        <x:v>A-00728</x:v>
      </x:c>
      <x:c r="C774" t="str">
        <x:v>GATE</x:v>
      </x:c>
      <x:c r="D774" t="str">
        <x:v>release state mirrors governing ledger</x:v>
      </x:c>
      <x:c r="E774" t="str">
        <x:f>'Release Gates'!I734</x:f>
        <x:v>PASS</x:v>
      </x:c>
      <x:c r="F774" t="str">
        <x:f>IF('Release Gates'!C734="PLANNING","PASS",IF('Release Gates'!C734="PHYSICAL","OPEN","BLOCKED"))</x:f>
        <x:v>PASS</x:v>
      </x:c>
      <x:c r="G774" t="str">
        <x:v>equals</x:v>
      </x:c>
      <x:c r="H774" t="str">
        <x:f>IF(E774=F774,"PASS","FAIL")</x:f>
        <x:v>PASS</x:v>
      </x:c>
    </x:row>
    <x:row r="775">
      <x:c r="B775" t="str">
        <x:v>A-00729</x:v>
      </x:c>
      <x:c r="C775" t="str">
        <x:v>GATE</x:v>
      </x:c>
      <x:c r="D775" t="str">
        <x:v>release state mirrors governing ledger</x:v>
      </x:c>
      <x:c r="E775" t="str">
        <x:f>'Release Gates'!I735</x:f>
        <x:v>PASS</x:v>
      </x:c>
      <x:c r="F775" t="str">
        <x:f>IF('Release Gates'!C735="PLANNING","PASS",IF('Release Gates'!C735="PHYSICAL","OPEN","BLOCKED"))</x:f>
        <x:v>PASS</x:v>
      </x:c>
      <x:c r="G775" t="str">
        <x:v>equals</x:v>
      </x:c>
      <x:c r="H775" t="str">
        <x:f>IF(E775=F775,"PASS","FAIL")</x:f>
        <x:v>PASS</x:v>
      </x:c>
    </x:row>
    <x:row r="776">
      <x:c r="B776" t="str">
        <x:v>A-00730</x:v>
      </x:c>
      <x:c r="C776" t="str">
        <x:v>GATE</x:v>
      </x:c>
      <x:c r="D776" t="str">
        <x:v>release state mirrors governing ledger</x:v>
      </x:c>
      <x:c r="E776" t="str">
        <x:f>'Release Gates'!I736</x:f>
        <x:v>PASS</x:v>
      </x:c>
      <x:c r="F776" t="str">
        <x:f>IF('Release Gates'!C736="PLANNING","PASS",IF('Release Gates'!C736="PHYSICAL","OPEN","BLOCKED"))</x:f>
        <x:v>PASS</x:v>
      </x:c>
      <x:c r="G776" t="str">
        <x:v>equals</x:v>
      </x:c>
      <x:c r="H776" t="str">
        <x:f>IF(E776=F776,"PASS","FAIL")</x:f>
        <x:v>PASS</x:v>
      </x:c>
    </x:row>
    <x:row r="777">
      <x:c r="B777" t="str">
        <x:v>A-00731</x:v>
      </x:c>
      <x:c r="C777" t="str">
        <x:v>GATE</x:v>
      </x:c>
      <x:c r="D777" t="str">
        <x:v>release state mirrors governing ledger</x:v>
      </x:c>
      <x:c r="E777" t="str">
        <x:f>'Release Gates'!I737</x:f>
        <x:v>PASS</x:v>
      </x:c>
      <x:c r="F777" t="str">
        <x:f>IF('Release Gates'!C737="PLANNING","PASS",IF('Release Gates'!C737="PHYSICAL","OPEN","BLOCKED"))</x:f>
        <x:v>PASS</x:v>
      </x:c>
      <x:c r="G777" t="str">
        <x:v>equals</x:v>
      </x:c>
      <x:c r="H777" t="str">
        <x:f>IF(E777=F777,"PASS","FAIL")</x:f>
        <x:v>PASS</x:v>
      </x:c>
    </x:row>
    <x:row r="778">
      <x:c r="B778" t="str">
        <x:v>A-00732</x:v>
      </x:c>
      <x:c r="C778" t="str">
        <x:v>GATE</x:v>
      </x:c>
      <x:c r="D778" t="str">
        <x:v>release state mirrors governing ledger</x:v>
      </x:c>
      <x:c r="E778" t="str">
        <x:f>'Release Gates'!I738</x:f>
        <x:v>PASS</x:v>
      </x:c>
      <x:c r="F778" t="str">
        <x:f>IF('Release Gates'!C738="PLANNING","PASS",IF('Release Gates'!C738="PHYSICAL","OPEN","BLOCKED"))</x:f>
        <x:v>PASS</x:v>
      </x:c>
      <x:c r="G778" t="str">
        <x:v>equals</x:v>
      </x:c>
      <x:c r="H778" t="str">
        <x:f>IF(E778=F778,"PASS","FAIL")</x:f>
        <x:v>PASS</x:v>
      </x:c>
    </x:row>
    <x:row r="779">
      <x:c r="B779" t="str">
        <x:v>A-00733</x:v>
      </x:c>
      <x:c r="C779" t="str">
        <x:v>GATE</x:v>
      </x:c>
      <x:c r="D779" t="str">
        <x:v>release state mirrors governing ledger</x:v>
      </x:c>
      <x:c r="E779" t="str">
        <x:f>'Release Gates'!I739</x:f>
        <x:v>PASS</x:v>
      </x:c>
      <x:c r="F779" t="str">
        <x:f>IF('Release Gates'!C739="PLANNING","PASS",IF('Release Gates'!C739="PHYSICAL","OPEN","BLOCKED"))</x:f>
        <x:v>PASS</x:v>
      </x:c>
      <x:c r="G779" t="str">
        <x:v>equals</x:v>
      </x:c>
      <x:c r="H779" t="str">
        <x:f>IF(E779=F779,"PASS","FAIL")</x:f>
        <x:v>PASS</x:v>
      </x:c>
    </x:row>
    <x:row r="780">
      <x:c r="B780" t="str">
        <x:v>A-00734</x:v>
      </x:c>
      <x:c r="C780" t="str">
        <x:v>GATE</x:v>
      </x:c>
      <x:c r="D780" t="str">
        <x:v>release state mirrors governing ledger</x:v>
      </x:c>
      <x:c r="E780" t="str">
        <x:f>'Release Gates'!I740</x:f>
        <x:v>PASS</x:v>
      </x:c>
      <x:c r="F780" t="str">
        <x:f>IF('Release Gates'!C740="PLANNING","PASS",IF('Release Gates'!C740="PHYSICAL","OPEN","BLOCKED"))</x:f>
        <x:v>PASS</x:v>
      </x:c>
      <x:c r="G780" t="str">
        <x:v>equals</x:v>
      </x:c>
      <x:c r="H780" t="str">
        <x:f>IF(E780=F780,"PASS","FAIL")</x:f>
        <x:v>PASS</x:v>
      </x:c>
    </x:row>
    <x:row r="781">
      <x:c r="B781" t="str">
        <x:v>A-00735</x:v>
      </x:c>
      <x:c r="C781" t="str">
        <x:v>GATE</x:v>
      </x:c>
      <x:c r="D781" t="str">
        <x:v>release state mirrors governing ledger</x:v>
      </x:c>
      <x:c r="E781" t="str">
        <x:f>'Release Gates'!I741</x:f>
        <x:v>PASS</x:v>
      </x:c>
      <x:c r="F781" t="str">
        <x:f>IF('Release Gates'!C741="PLANNING","PASS",IF('Release Gates'!C741="PHYSICAL","OPEN","BLOCKED"))</x:f>
        <x:v>PASS</x:v>
      </x:c>
      <x:c r="G781" t="str">
        <x:v>equals</x:v>
      </x:c>
      <x:c r="H781" t="str">
        <x:f>IF(E781=F781,"PASS","FAIL")</x:f>
        <x:v>PASS</x:v>
      </x:c>
    </x:row>
    <x:row r="782">
      <x:c r="B782" t="str">
        <x:v>A-00736</x:v>
      </x:c>
      <x:c r="C782" t="str">
        <x:v>GATE</x:v>
      </x:c>
      <x:c r="D782" t="str">
        <x:v>release state mirrors governing ledger</x:v>
      </x:c>
      <x:c r="E782" t="str">
        <x:f>'Release Gates'!I742</x:f>
        <x:v>PASS</x:v>
      </x:c>
      <x:c r="F782" t="str">
        <x:f>IF('Release Gates'!C742="PLANNING","PASS",IF('Release Gates'!C742="PHYSICAL","OPEN","BLOCKED"))</x:f>
        <x:v>PASS</x:v>
      </x:c>
      <x:c r="G782" t="str">
        <x:v>equals</x:v>
      </x:c>
      <x:c r="H782" t="str">
        <x:f>IF(E782=F782,"PASS","FAIL")</x:f>
        <x:v>PASS</x:v>
      </x:c>
    </x:row>
    <x:row r="783">
      <x:c r="B783" t="str">
        <x:v>A-00737</x:v>
      </x:c>
      <x:c r="C783" t="str">
        <x:v>GATE</x:v>
      </x:c>
      <x:c r="D783" t="str">
        <x:v>release state mirrors governing ledger</x:v>
      </x:c>
      <x:c r="E783" t="str">
        <x:f>'Release Gates'!I743</x:f>
        <x:v>PASS</x:v>
      </x:c>
      <x:c r="F783" t="str">
        <x:f>IF('Release Gates'!C743="PLANNING","PASS",IF('Release Gates'!C743="PHYSICAL","OPEN","BLOCKED"))</x:f>
        <x:v>PASS</x:v>
      </x:c>
      <x:c r="G783" t="str">
        <x:v>equals</x:v>
      </x:c>
      <x:c r="H783" t="str">
        <x:f>IF(E783=F783,"PASS","FAIL")</x:f>
        <x:v>PASS</x:v>
      </x:c>
    </x:row>
    <x:row r="784">
      <x:c r="B784" t="str">
        <x:v>A-00738</x:v>
      </x:c>
      <x:c r="C784" t="str">
        <x:v>GATE</x:v>
      </x:c>
      <x:c r="D784" t="str">
        <x:v>release state mirrors governing ledger</x:v>
      </x:c>
      <x:c r="E784" t="str">
        <x:f>'Release Gates'!I744</x:f>
        <x:v>PASS</x:v>
      </x:c>
      <x:c r="F784" t="str">
        <x:f>IF('Release Gates'!C744="PLANNING","PASS",IF('Release Gates'!C744="PHYSICAL","OPEN","BLOCKED"))</x:f>
        <x:v>PASS</x:v>
      </x:c>
      <x:c r="G784" t="str">
        <x:v>equals</x:v>
      </x:c>
      <x:c r="H784" t="str">
        <x:f>IF(E784=F784,"PASS","FAIL")</x:f>
        <x:v>PASS</x:v>
      </x:c>
    </x:row>
    <x:row r="785">
      <x:c r="B785" t="str">
        <x:v>A-00739</x:v>
      </x:c>
      <x:c r="C785" t="str">
        <x:v>GATE</x:v>
      </x:c>
      <x:c r="D785" t="str">
        <x:v>release state mirrors governing ledger</x:v>
      </x:c>
      <x:c r="E785" t="str">
        <x:f>'Release Gates'!I745</x:f>
        <x:v>PASS</x:v>
      </x:c>
      <x:c r="F785" t="str">
        <x:f>IF('Release Gates'!C745="PLANNING","PASS",IF('Release Gates'!C745="PHYSICAL","OPEN","BLOCKED"))</x:f>
        <x:v>PASS</x:v>
      </x:c>
      <x:c r="G785" t="str">
        <x:v>equals</x:v>
      </x:c>
      <x:c r="H785" t="str">
        <x:f>IF(E785=F785,"PASS","FAIL")</x:f>
        <x:v>PASS</x:v>
      </x:c>
    </x:row>
    <x:row r="786">
      <x:c r="B786" t="str">
        <x:v>A-00740</x:v>
      </x:c>
      <x:c r="C786" t="str">
        <x:v>GATE</x:v>
      </x:c>
      <x:c r="D786" t="str">
        <x:v>release state mirrors governing ledger</x:v>
      </x:c>
      <x:c r="E786" t="str">
        <x:f>'Release Gates'!I746</x:f>
        <x:v>PASS</x:v>
      </x:c>
      <x:c r="F786" t="str">
        <x:f>IF('Release Gates'!C746="PLANNING","PASS",IF('Release Gates'!C746="PHYSICAL","OPEN","BLOCKED"))</x:f>
        <x:v>PASS</x:v>
      </x:c>
      <x:c r="G786" t="str">
        <x:v>equals</x:v>
      </x:c>
      <x:c r="H786" t="str">
        <x:f>IF(E786=F786,"PASS","FAIL")</x:f>
        <x:v>PASS</x:v>
      </x:c>
    </x:row>
    <x:row r="787">
      <x:c r="B787" t="str">
        <x:v>A-00741</x:v>
      </x:c>
      <x:c r="C787" t="str">
        <x:v>GATE</x:v>
      </x:c>
      <x:c r="D787" t="str">
        <x:v>release state mirrors governing ledger</x:v>
      </x:c>
      <x:c r="E787" t="str">
        <x:f>'Release Gates'!I747</x:f>
        <x:v>PASS</x:v>
      </x:c>
      <x:c r="F787" t="str">
        <x:f>IF('Release Gates'!C747="PLANNING","PASS",IF('Release Gates'!C747="PHYSICAL","OPEN","BLOCKED"))</x:f>
        <x:v>PASS</x:v>
      </x:c>
      <x:c r="G787" t="str">
        <x:v>equals</x:v>
      </x:c>
      <x:c r="H787" t="str">
        <x:f>IF(E787=F787,"PASS","FAIL")</x:f>
        <x:v>PASS</x:v>
      </x:c>
    </x:row>
    <x:row r="788">
      <x:c r="B788" t="str">
        <x:v>A-00742</x:v>
      </x:c>
      <x:c r="C788" t="str">
        <x:v>GATE</x:v>
      </x:c>
      <x:c r="D788" t="str">
        <x:v>release state mirrors governing ledger</x:v>
      </x:c>
      <x:c r="E788" t="str">
        <x:f>'Release Gates'!I748</x:f>
        <x:v>PASS</x:v>
      </x:c>
      <x:c r="F788" t="str">
        <x:f>IF('Release Gates'!C748="PLANNING","PASS",IF('Release Gates'!C748="PHYSICAL","OPEN","BLOCKED"))</x:f>
        <x:v>PASS</x:v>
      </x:c>
      <x:c r="G788" t="str">
        <x:v>equals</x:v>
      </x:c>
      <x:c r="H788" t="str">
        <x:f>IF(E788=F788,"PASS","FAIL")</x:f>
        <x:v>PASS</x:v>
      </x:c>
    </x:row>
    <x:row r="789">
      <x:c r="B789" t="str">
        <x:v>A-00743</x:v>
      </x:c>
      <x:c r="C789" t="str">
        <x:v>GATE</x:v>
      </x:c>
      <x:c r="D789" t="str">
        <x:v>release state mirrors governing ledger</x:v>
      </x:c>
      <x:c r="E789" t="str">
        <x:f>'Release Gates'!I749</x:f>
        <x:v>PASS</x:v>
      </x:c>
      <x:c r="F789" t="str">
        <x:f>IF('Release Gates'!C749="PLANNING","PASS",IF('Release Gates'!C749="PHYSICAL","OPEN","BLOCKED"))</x:f>
        <x:v>PASS</x:v>
      </x:c>
      <x:c r="G789" t="str">
        <x:v>equals</x:v>
      </x:c>
      <x:c r="H789" t="str">
        <x:f>IF(E789=F789,"PASS","FAIL")</x:f>
        <x:v>PASS</x:v>
      </x:c>
    </x:row>
    <x:row r="790">
      <x:c r="B790" t="str">
        <x:v>A-00744</x:v>
      </x:c>
      <x:c r="C790" t="str">
        <x:v>GATE</x:v>
      </x:c>
      <x:c r="D790" t="str">
        <x:v>release state mirrors governing ledger</x:v>
      </x:c>
      <x:c r="E790" t="str">
        <x:f>'Release Gates'!I750</x:f>
        <x:v>PASS</x:v>
      </x:c>
      <x:c r="F790" t="str">
        <x:f>IF('Release Gates'!C750="PLANNING","PASS",IF('Release Gates'!C750="PHYSICAL","OPEN","BLOCKED"))</x:f>
        <x:v>PASS</x:v>
      </x:c>
      <x:c r="G790" t="str">
        <x:v>equals</x:v>
      </x:c>
      <x:c r="H790" t="str">
        <x:f>IF(E790=F790,"PASS","FAIL")</x:f>
        <x:v>PASS</x:v>
      </x:c>
    </x:row>
    <x:row r="791">
      <x:c r="B791" t="str">
        <x:v>A-00745</x:v>
      </x:c>
      <x:c r="C791" t="str">
        <x:v>GATE</x:v>
      </x:c>
      <x:c r="D791" t="str">
        <x:v>release state mirrors governing ledger</x:v>
      </x:c>
      <x:c r="E791" t="str">
        <x:f>'Release Gates'!I751</x:f>
        <x:v>PASS</x:v>
      </x:c>
      <x:c r="F791" t="str">
        <x:f>IF('Release Gates'!C751="PLANNING","PASS",IF('Release Gates'!C751="PHYSICAL","OPEN","BLOCKED"))</x:f>
        <x:v>PASS</x:v>
      </x:c>
      <x:c r="G791" t="str">
        <x:v>equals</x:v>
      </x:c>
      <x:c r="H791" t="str">
        <x:f>IF(E791=F791,"PASS","FAIL")</x:f>
        <x:v>PASS</x:v>
      </x:c>
    </x:row>
    <x:row r="792">
      <x:c r="B792" t="str">
        <x:v>A-00746</x:v>
      </x:c>
      <x:c r="C792" t="str">
        <x:v>GATE</x:v>
      </x:c>
      <x:c r="D792" t="str">
        <x:v>release state mirrors governing ledger</x:v>
      </x:c>
      <x:c r="E792" t="str">
        <x:f>'Release Gates'!I752</x:f>
        <x:v>PASS</x:v>
      </x:c>
      <x:c r="F792" t="str">
        <x:f>IF('Release Gates'!C752="PLANNING","PASS",IF('Release Gates'!C752="PHYSICAL","OPEN","BLOCKED"))</x:f>
        <x:v>PASS</x:v>
      </x:c>
      <x:c r="G792" t="str">
        <x:v>equals</x:v>
      </x:c>
      <x:c r="H792" t="str">
        <x:f>IF(E792=F792,"PASS","FAIL")</x:f>
        <x:v>PASS</x:v>
      </x:c>
    </x:row>
    <x:row r="793">
      <x:c r="B793" t="str">
        <x:v>A-00747</x:v>
      </x:c>
      <x:c r="C793" t="str">
        <x:v>GATE</x:v>
      </x:c>
      <x:c r="D793" t="str">
        <x:v>release state mirrors governing ledger</x:v>
      </x:c>
      <x:c r="E793" t="str">
        <x:f>'Release Gates'!I753</x:f>
        <x:v>PASS</x:v>
      </x:c>
      <x:c r="F793" t="str">
        <x:f>IF('Release Gates'!C753="PLANNING","PASS",IF('Release Gates'!C753="PHYSICAL","OPEN","BLOCKED"))</x:f>
        <x:v>PASS</x:v>
      </x:c>
      <x:c r="G793" t="str">
        <x:v>equals</x:v>
      </x:c>
      <x:c r="H793" t="str">
        <x:f>IF(E793=F793,"PASS","FAIL")</x:f>
        <x:v>PASS</x:v>
      </x:c>
    </x:row>
    <x:row r="794">
      <x:c r="B794" t="str">
        <x:v>A-00748</x:v>
      </x:c>
      <x:c r="C794" t="str">
        <x:v>GATE</x:v>
      </x:c>
      <x:c r="D794" t="str">
        <x:v>release state mirrors governing ledger</x:v>
      </x:c>
      <x:c r="E794" t="str">
        <x:f>'Release Gates'!I754</x:f>
        <x:v>PASS</x:v>
      </x:c>
      <x:c r="F794" t="str">
        <x:f>IF('Release Gates'!C754="PLANNING","PASS",IF('Release Gates'!C754="PHYSICAL","OPEN","BLOCKED"))</x:f>
        <x:v>PASS</x:v>
      </x:c>
      <x:c r="G794" t="str">
        <x:v>equals</x:v>
      </x:c>
      <x:c r="H794" t="str">
        <x:f>IF(E794=F794,"PASS","FAIL")</x:f>
        <x:v>PASS</x:v>
      </x:c>
    </x:row>
    <x:row r="795">
      <x:c r="B795" t="str">
        <x:v>A-00749</x:v>
      </x:c>
      <x:c r="C795" t="str">
        <x:v>GATE</x:v>
      </x:c>
      <x:c r="D795" t="str">
        <x:v>release state mirrors governing ledger</x:v>
      </x:c>
      <x:c r="E795" t="str">
        <x:f>'Release Gates'!I755</x:f>
        <x:v>PASS</x:v>
      </x:c>
      <x:c r="F795" t="str">
        <x:f>IF('Release Gates'!C755="PLANNING","PASS",IF('Release Gates'!C755="PHYSICAL","OPEN","BLOCKED"))</x:f>
        <x:v>PASS</x:v>
      </x:c>
      <x:c r="G795" t="str">
        <x:v>equals</x:v>
      </x:c>
      <x:c r="H795" t="str">
        <x:f>IF(E795=F795,"PASS","FAIL")</x:f>
        <x:v>PASS</x:v>
      </x:c>
    </x:row>
    <x:row r="796">
      <x:c r="B796" t="str">
        <x:v>A-00750</x:v>
      </x:c>
      <x:c r="C796" t="str">
        <x:v>GATE</x:v>
      </x:c>
      <x:c r="D796" t="str">
        <x:v>release state mirrors governing ledger</x:v>
      </x:c>
      <x:c r="E796" t="str">
        <x:f>'Release Gates'!I756</x:f>
        <x:v>PASS</x:v>
      </x:c>
      <x:c r="F796" t="str">
        <x:f>IF('Release Gates'!C756="PLANNING","PASS",IF('Release Gates'!C756="PHYSICAL","OPEN","BLOCKED"))</x:f>
        <x:v>PASS</x:v>
      </x:c>
      <x:c r="G796" t="str">
        <x:v>equals</x:v>
      </x:c>
      <x:c r="H796" t="str">
        <x:f>IF(E796=F796,"PASS","FAIL")</x:f>
        <x:v>PASS</x:v>
      </x:c>
    </x:row>
    <x:row r="797">
      <x:c r="B797" t="str">
        <x:v>A-00751</x:v>
      </x:c>
      <x:c r="C797" t="str">
        <x:v>GATE</x:v>
      </x:c>
      <x:c r="D797" t="str">
        <x:v>release state mirrors governing ledger</x:v>
      </x:c>
      <x:c r="E797" t="str">
        <x:f>'Release Gates'!I757</x:f>
        <x:v>PASS</x:v>
      </x:c>
      <x:c r="F797" t="str">
        <x:f>IF('Release Gates'!C757="PLANNING","PASS",IF('Release Gates'!C757="PHYSICAL","OPEN","BLOCKED"))</x:f>
        <x:v>PASS</x:v>
      </x:c>
      <x:c r="G797" t="str">
        <x:v>equals</x:v>
      </x:c>
      <x:c r="H797" t="str">
        <x:f>IF(E797=F797,"PASS","FAIL")</x:f>
        <x:v>PASS</x:v>
      </x:c>
    </x:row>
    <x:row r="798">
      <x:c r="B798" t="str">
        <x:v>A-00752</x:v>
      </x:c>
      <x:c r="C798" t="str">
        <x:v>GATE</x:v>
      </x:c>
      <x:c r="D798" t="str">
        <x:v>release state mirrors governing ledger</x:v>
      </x:c>
      <x:c r="E798" t="str">
        <x:f>'Release Gates'!I758</x:f>
        <x:v>PASS</x:v>
      </x:c>
      <x:c r="F798" t="str">
        <x:f>IF('Release Gates'!C758="PLANNING","PASS",IF('Release Gates'!C758="PHYSICAL","OPEN","BLOCKED"))</x:f>
        <x:v>PASS</x:v>
      </x:c>
      <x:c r="G798" t="str">
        <x:v>equals</x:v>
      </x:c>
      <x:c r="H798" t="str">
        <x:f>IF(E798=F798,"PASS","FAIL")</x:f>
        <x:v>PASS</x:v>
      </x:c>
    </x:row>
    <x:row r="799">
      <x:c r="B799" t="str">
        <x:v>A-00753</x:v>
      </x:c>
      <x:c r="C799" t="str">
        <x:v>GATE</x:v>
      </x:c>
      <x:c r="D799" t="str">
        <x:v>release state mirrors governing ledger</x:v>
      </x:c>
      <x:c r="E799" t="str">
        <x:f>'Release Gates'!I759</x:f>
        <x:v>PASS</x:v>
      </x:c>
      <x:c r="F799" t="str">
        <x:f>IF('Release Gates'!C759="PLANNING","PASS",IF('Release Gates'!C759="PHYSICAL","OPEN","BLOCKED"))</x:f>
        <x:v>PASS</x:v>
      </x:c>
      <x:c r="G799" t="str">
        <x:v>equals</x:v>
      </x:c>
      <x:c r="H799" t="str">
        <x:f>IF(E799=F799,"PASS","FAIL")</x:f>
        <x:v>PASS</x:v>
      </x:c>
    </x:row>
    <x:row r="800">
      <x:c r="B800" t="str">
        <x:v>A-00754</x:v>
      </x:c>
      <x:c r="C800" t="str">
        <x:v>GATE</x:v>
      </x:c>
      <x:c r="D800" t="str">
        <x:v>release state mirrors governing ledger</x:v>
      </x:c>
      <x:c r="E800" t="str">
        <x:f>'Release Gates'!I760</x:f>
        <x:v>PASS</x:v>
      </x:c>
      <x:c r="F800" t="str">
        <x:f>IF('Release Gates'!C760="PLANNING","PASS",IF('Release Gates'!C760="PHYSICAL","OPEN","BLOCKED"))</x:f>
        <x:v>PASS</x:v>
      </x:c>
      <x:c r="G800" t="str">
        <x:v>equals</x:v>
      </x:c>
      <x:c r="H800" t="str">
        <x:f>IF(E800=F800,"PASS","FAIL")</x:f>
        <x:v>PASS</x:v>
      </x:c>
    </x:row>
    <x:row r="801">
      <x:c r="B801" t="str">
        <x:v>A-00755</x:v>
      </x:c>
      <x:c r="C801" t="str">
        <x:v>GATE</x:v>
      </x:c>
      <x:c r="D801" t="str">
        <x:v>release state mirrors governing ledger</x:v>
      </x:c>
      <x:c r="E801" t="str">
        <x:f>'Release Gates'!I761</x:f>
        <x:v>PASS</x:v>
      </x:c>
      <x:c r="F801" t="str">
        <x:f>IF('Release Gates'!C761="PLANNING","PASS",IF('Release Gates'!C761="PHYSICAL","OPEN","BLOCKED"))</x:f>
        <x:v>PASS</x:v>
      </x:c>
      <x:c r="G801" t="str">
        <x:v>equals</x:v>
      </x:c>
      <x:c r="H801" t="str">
        <x:f>IF(E801=F801,"PASS","FAIL")</x:f>
        <x:v>PASS</x:v>
      </x:c>
    </x:row>
    <x:row r="802">
      <x:c r="B802" t="str">
        <x:v>A-00756</x:v>
      </x:c>
      <x:c r="C802" t="str">
        <x:v>GATE</x:v>
      </x:c>
      <x:c r="D802" t="str">
        <x:v>release state mirrors governing ledger</x:v>
      </x:c>
      <x:c r="E802" t="str">
        <x:f>'Release Gates'!I762</x:f>
        <x:v>PASS</x:v>
      </x:c>
      <x:c r="F802" t="str">
        <x:f>IF('Release Gates'!C762="PLANNING","PASS",IF('Release Gates'!C762="PHYSICAL","OPEN","BLOCKED"))</x:f>
        <x:v>PASS</x:v>
      </x:c>
      <x:c r="G802" t="str">
        <x:v>equals</x:v>
      </x:c>
      <x:c r="H802" t="str">
        <x:f>IF(E802=F802,"PASS","FAIL")</x:f>
        <x:v>PASS</x:v>
      </x:c>
    </x:row>
    <x:row r="803">
      <x:c r="B803" t="str">
        <x:v>A-00757</x:v>
      </x:c>
      <x:c r="C803" t="str">
        <x:v>GATE</x:v>
      </x:c>
      <x:c r="D803" t="str">
        <x:v>release state mirrors governing ledger</x:v>
      </x:c>
      <x:c r="E803" t="str">
        <x:f>'Release Gates'!I763</x:f>
        <x:v>PASS</x:v>
      </x:c>
      <x:c r="F803" t="str">
        <x:f>IF('Release Gates'!C763="PLANNING","PASS",IF('Release Gates'!C763="PHYSICAL","OPEN","BLOCKED"))</x:f>
        <x:v>PASS</x:v>
      </x:c>
      <x:c r="G803" t="str">
        <x:v>equals</x:v>
      </x:c>
      <x:c r="H803" t="str">
        <x:f>IF(E803=F803,"PASS","FAIL")</x:f>
        <x:v>PASS</x:v>
      </x:c>
    </x:row>
    <x:row r="804">
      <x:c r="B804" t="str">
        <x:v>A-00758</x:v>
      </x:c>
      <x:c r="C804" t="str">
        <x:v>GATE</x:v>
      </x:c>
      <x:c r="D804" t="str">
        <x:v>release state mirrors governing ledger</x:v>
      </x:c>
      <x:c r="E804" t="str">
        <x:f>'Release Gates'!I764</x:f>
        <x:v>PASS</x:v>
      </x:c>
      <x:c r="F804" t="str">
        <x:f>IF('Release Gates'!C764="PLANNING","PASS",IF('Release Gates'!C764="PHYSICAL","OPEN","BLOCKED"))</x:f>
        <x:v>PASS</x:v>
      </x:c>
      <x:c r="G804" t="str">
        <x:v>equals</x:v>
      </x:c>
      <x:c r="H804" t="str">
        <x:f>IF(E804=F804,"PASS","FAIL")</x:f>
        <x:v>PASS</x:v>
      </x:c>
    </x:row>
    <x:row r="805">
      <x:c r="B805" t="str">
        <x:v>A-00759</x:v>
      </x:c>
      <x:c r="C805" t="str">
        <x:v>GATE</x:v>
      </x:c>
      <x:c r="D805" t="str">
        <x:v>release state mirrors governing ledger</x:v>
      </x:c>
      <x:c r="E805" t="str">
        <x:f>'Release Gates'!I765</x:f>
        <x:v>PASS</x:v>
      </x:c>
      <x:c r="F805" t="str">
        <x:f>IF('Release Gates'!C765="PLANNING","PASS",IF('Release Gates'!C765="PHYSICAL","OPEN","BLOCKED"))</x:f>
        <x:v>PASS</x:v>
      </x:c>
      <x:c r="G805" t="str">
        <x:v>equals</x:v>
      </x:c>
      <x:c r="H805" t="str">
        <x:f>IF(E805=F805,"PASS","FAIL")</x:f>
        <x:v>PASS</x:v>
      </x:c>
    </x:row>
    <x:row r="806">
      <x:c r="B806" t="str">
        <x:v>A-00760</x:v>
      </x:c>
      <x:c r="C806" t="str">
        <x:v>GATE</x:v>
      </x:c>
      <x:c r="D806" t="str">
        <x:v>release state mirrors governing ledger</x:v>
      </x:c>
      <x:c r="E806" t="str">
        <x:f>'Release Gates'!I766</x:f>
        <x:v>PASS</x:v>
      </x:c>
      <x:c r="F806" t="str">
        <x:f>IF('Release Gates'!C766="PLANNING","PASS",IF('Release Gates'!C766="PHYSICAL","OPEN","BLOCKED"))</x:f>
        <x:v>PASS</x:v>
      </x:c>
      <x:c r="G806" t="str">
        <x:v>equals</x:v>
      </x:c>
      <x:c r="H806" t="str">
        <x:f>IF(E806=F806,"PASS","FAIL")</x:f>
        <x:v>PASS</x:v>
      </x:c>
    </x:row>
    <x:row r="807">
      <x:c r="B807" t="str">
        <x:v>A-00761</x:v>
      </x:c>
      <x:c r="C807" t="str">
        <x:v>GATE</x:v>
      </x:c>
      <x:c r="D807" t="str">
        <x:v>release state mirrors governing ledger</x:v>
      </x:c>
      <x:c r="E807" t="str">
        <x:f>'Release Gates'!I767</x:f>
        <x:v>PASS</x:v>
      </x:c>
      <x:c r="F807" t="str">
        <x:f>IF('Release Gates'!C767="PLANNING","PASS",IF('Release Gates'!C767="PHYSICAL","OPEN","BLOCKED"))</x:f>
        <x:v>PASS</x:v>
      </x:c>
      <x:c r="G807" t="str">
        <x:v>equals</x:v>
      </x:c>
      <x:c r="H807" t="str">
        <x:f>IF(E807=F807,"PASS","FAIL")</x:f>
        <x:v>PASS</x:v>
      </x:c>
    </x:row>
    <x:row r="808">
      <x:c r="B808" t="str">
        <x:v>A-00762</x:v>
      </x:c>
      <x:c r="C808" t="str">
        <x:v>GATE</x:v>
      </x:c>
      <x:c r="D808" t="str">
        <x:v>release state mirrors governing ledger</x:v>
      </x:c>
      <x:c r="E808" t="str">
        <x:f>'Release Gates'!I768</x:f>
        <x:v>PASS</x:v>
      </x:c>
      <x:c r="F808" t="str">
        <x:f>IF('Release Gates'!C768="PLANNING","PASS",IF('Release Gates'!C768="PHYSICAL","OPEN","BLOCKED"))</x:f>
        <x:v>PASS</x:v>
      </x:c>
      <x:c r="G808" t="str">
        <x:v>equals</x:v>
      </x:c>
      <x:c r="H808" t="str">
        <x:f>IF(E808=F808,"PASS","FAIL")</x:f>
        <x:v>PASS</x:v>
      </x:c>
    </x:row>
    <x:row r="809">
      <x:c r="B809" t="str">
        <x:v>A-00763</x:v>
      </x:c>
      <x:c r="C809" t="str">
        <x:v>GATE</x:v>
      </x:c>
      <x:c r="D809" t="str">
        <x:v>release state mirrors governing ledger</x:v>
      </x:c>
      <x:c r="E809" t="str">
        <x:f>'Release Gates'!I769</x:f>
        <x:v>PASS</x:v>
      </x:c>
      <x:c r="F809" t="str">
        <x:f>IF('Release Gates'!C769="PLANNING","PASS",IF('Release Gates'!C769="PHYSICAL","OPEN","BLOCKED"))</x:f>
        <x:v>PASS</x:v>
      </x:c>
      <x:c r="G809" t="str">
        <x:v>equals</x:v>
      </x:c>
      <x:c r="H809" t="str">
        <x:f>IF(E809=F809,"PASS","FAIL")</x:f>
        <x:v>PASS</x:v>
      </x:c>
    </x:row>
    <x:row r="810">
      <x:c r="B810" t="str">
        <x:v>A-00764</x:v>
      </x:c>
      <x:c r="C810" t="str">
        <x:v>GATE</x:v>
      </x:c>
      <x:c r="D810" t="str">
        <x:v>release state mirrors governing ledger</x:v>
      </x:c>
      <x:c r="E810" t="str">
        <x:f>'Release Gates'!I770</x:f>
        <x:v>PASS</x:v>
      </x:c>
      <x:c r="F810" t="str">
        <x:f>IF('Release Gates'!C770="PLANNING","PASS",IF('Release Gates'!C770="PHYSICAL","OPEN","BLOCKED"))</x:f>
        <x:v>PASS</x:v>
      </x:c>
      <x:c r="G810" t="str">
        <x:v>equals</x:v>
      </x:c>
      <x:c r="H810" t="str">
        <x:f>IF(E810=F810,"PASS","FAIL")</x:f>
        <x:v>PASS</x:v>
      </x:c>
    </x:row>
    <x:row r="811">
      <x:c r="B811" t="str">
        <x:v>A-00765</x:v>
      </x:c>
      <x:c r="C811" t="str">
        <x:v>GATE</x:v>
      </x:c>
      <x:c r="D811" t="str">
        <x:v>release state mirrors governing ledger</x:v>
      </x:c>
      <x:c r="E811" t="str">
        <x:f>'Release Gates'!I771</x:f>
        <x:v>PASS</x:v>
      </x:c>
      <x:c r="F811" t="str">
        <x:f>IF('Release Gates'!C771="PLANNING","PASS",IF('Release Gates'!C771="PHYSICAL","OPEN","BLOCKED"))</x:f>
        <x:v>PASS</x:v>
      </x:c>
      <x:c r="G811" t="str">
        <x:v>equals</x:v>
      </x:c>
      <x:c r="H811" t="str">
        <x:f>IF(E811=F811,"PASS","FAIL")</x:f>
        <x:v>PASS</x:v>
      </x:c>
    </x:row>
    <x:row r="812">
      <x:c r="B812" t="str">
        <x:v>A-00766</x:v>
      </x:c>
      <x:c r="C812" t="str">
        <x:v>GATE</x:v>
      </x:c>
      <x:c r="D812" t="str">
        <x:v>release state mirrors governing ledger</x:v>
      </x:c>
      <x:c r="E812" t="str">
        <x:f>'Release Gates'!I772</x:f>
        <x:v>PASS</x:v>
      </x:c>
      <x:c r="F812" t="str">
        <x:f>IF('Release Gates'!C772="PLANNING","PASS",IF('Release Gates'!C772="PHYSICAL","OPEN","BLOCKED"))</x:f>
        <x:v>PASS</x:v>
      </x:c>
      <x:c r="G812" t="str">
        <x:v>equals</x:v>
      </x:c>
      <x:c r="H812" t="str">
        <x:f>IF(E812=F812,"PASS","FAIL")</x:f>
        <x:v>PASS</x:v>
      </x:c>
    </x:row>
    <x:row r="813">
      <x:c r="B813" t="str">
        <x:v>A-00767</x:v>
      </x:c>
      <x:c r="C813" t="str">
        <x:v>GATE</x:v>
      </x:c>
      <x:c r="D813" t="str">
        <x:v>release state mirrors governing ledger</x:v>
      </x:c>
      <x:c r="E813" t="str">
        <x:f>'Release Gates'!I773</x:f>
        <x:v>PASS</x:v>
      </x:c>
      <x:c r="F813" t="str">
        <x:f>IF('Release Gates'!C773="PLANNING","PASS",IF('Release Gates'!C773="PHYSICAL","OPEN","BLOCKED"))</x:f>
        <x:v>PASS</x:v>
      </x:c>
      <x:c r="G813" t="str">
        <x:v>equals</x:v>
      </x:c>
      <x:c r="H813" t="str">
        <x:f>IF(E813=F813,"PASS","FAIL")</x:f>
        <x:v>PASS</x:v>
      </x:c>
    </x:row>
    <x:row r="814">
      <x:c r="B814" t="str">
        <x:v>A-00768</x:v>
      </x:c>
      <x:c r="C814" t="str">
        <x:v>GATE</x:v>
      </x:c>
      <x:c r="D814" t="str">
        <x:v>release state mirrors governing ledger</x:v>
      </x:c>
      <x:c r="E814" t="str">
        <x:f>'Release Gates'!I774</x:f>
        <x:v>PASS</x:v>
      </x:c>
      <x:c r="F814" t="str">
        <x:f>IF('Release Gates'!C774="PLANNING","PASS",IF('Release Gates'!C774="PHYSICAL","OPEN","BLOCKED"))</x:f>
        <x:v>PASS</x:v>
      </x:c>
      <x:c r="G814" t="str">
        <x:v>equals</x:v>
      </x:c>
      <x:c r="H814" t="str">
        <x:f>IF(E814=F814,"PASS","FAIL")</x:f>
        <x:v>PASS</x:v>
      </x:c>
    </x:row>
    <x:row r="815">
      <x:c r="B815" t="str">
        <x:v>A-00769</x:v>
      </x:c>
      <x:c r="C815" t="str">
        <x:v>GATE</x:v>
      </x:c>
      <x:c r="D815" t="str">
        <x:v>release state mirrors governing ledger</x:v>
      </x:c>
      <x:c r="E815" t="str">
        <x:f>'Release Gates'!I775</x:f>
        <x:v>PASS</x:v>
      </x:c>
      <x:c r="F815" t="str">
        <x:f>IF('Release Gates'!C775="PLANNING","PASS",IF('Release Gates'!C775="PHYSICAL","OPEN","BLOCKED"))</x:f>
        <x:v>PASS</x:v>
      </x:c>
      <x:c r="G815" t="str">
        <x:v>equals</x:v>
      </x:c>
      <x:c r="H815" t="str">
        <x:f>IF(E815=F815,"PASS","FAIL")</x:f>
        <x:v>PASS</x:v>
      </x:c>
    </x:row>
    <x:row r="816">
      <x:c r="B816" t="str">
        <x:v>A-00770</x:v>
      </x:c>
      <x:c r="C816" t="str">
        <x:v>GATE</x:v>
      </x:c>
      <x:c r="D816" t="str">
        <x:v>release state mirrors governing ledger</x:v>
      </x:c>
      <x:c r="E816" t="str">
        <x:f>'Release Gates'!I776</x:f>
        <x:v>PASS</x:v>
      </x:c>
      <x:c r="F816" t="str">
        <x:f>IF('Release Gates'!C776="PLANNING","PASS",IF('Release Gates'!C776="PHYSICAL","OPEN","BLOCKED"))</x:f>
        <x:v>PASS</x:v>
      </x:c>
      <x:c r="G816" t="str">
        <x:v>equals</x:v>
      </x:c>
      <x:c r="H816" t="str">
        <x:f>IF(E816=F816,"PASS","FAIL")</x:f>
        <x:v>PASS</x:v>
      </x:c>
    </x:row>
    <x:row r="817">
      <x:c r="B817" t="str">
        <x:v>A-00771</x:v>
      </x:c>
      <x:c r="C817" t="str">
        <x:v>GATE</x:v>
      </x:c>
      <x:c r="D817" t="str">
        <x:v>release state mirrors governing ledger</x:v>
      </x:c>
      <x:c r="E817" t="str">
        <x:f>'Release Gates'!I777</x:f>
        <x:v>PASS</x:v>
      </x:c>
      <x:c r="F817" t="str">
        <x:f>IF('Release Gates'!C777="PLANNING","PASS",IF('Release Gates'!C777="PHYSICAL","OPEN","BLOCKED"))</x:f>
        <x:v>PASS</x:v>
      </x:c>
      <x:c r="G817" t="str">
        <x:v>equals</x:v>
      </x:c>
      <x:c r="H817" t="str">
        <x:f>IF(E817=F817,"PASS","FAIL")</x:f>
        <x:v>PASS</x:v>
      </x:c>
    </x:row>
    <x:row r="818">
      <x:c r="B818" t="str">
        <x:v>A-00772</x:v>
      </x:c>
      <x:c r="C818" t="str">
        <x:v>GATE</x:v>
      </x:c>
      <x:c r="D818" t="str">
        <x:v>release state mirrors governing ledger</x:v>
      </x:c>
      <x:c r="E818" t="str">
        <x:f>'Release Gates'!I778</x:f>
        <x:v>PASS</x:v>
      </x:c>
      <x:c r="F818" t="str">
        <x:f>IF('Release Gates'!C778="PLANNING","PASS",IF('Release Gates'!C778="PHYSICAL","OPEN","BLOCKED"))</x:f>
        <x:v>PASS</x:v>
      </x:c>
      <x:c r="G818" t="str">
        <x:v>equals</x:v>
      </x:c>
      <x:c r="H818" t="str">
        <x:f>IF(E818=F818,"PASS","FAIL")</x:f>
        <x:v>PASS</x:v>
      </x:c>
    </x:row>
    <x:row r="819">
      <x:c r="B819" t="str">
        <x:v>A-00773</x:v>
      </x:c>
      <x:c r="C819" t="str">
        <x:v>GATE</x:v>
      </x:c>
      <x:c r="D819" t="str">
        <x:v>release state mirrors governing ledger</x:v>
      </x:c>
      <x:c r="E819" t="str">
        <x:f>'Release Gates'!I779</x:f>
        <x:v>PASS</x:v>
      </x:c>
      <x:c r="F819" t="str">
        <x:f>IF('Release Gates'!C779="PLANNING","PASS",IF('Release Gates'!C779="PHYSICAL","OPEN","BLOCKED"))</x:f>
        <x:v>PASS</x:v>
      </x:c>
      <x:c r="G819" t="str">
        <x:v>equals</x:v>
      </x:c>
      <x:c r="H819" t="str">
        <x:f>IF(E819=F819,"PASS","FAIL")</x:f>
        <x:v>PASS</x:v>
      </x:c>
    </x:row>
    <x:row r="820">
      <x:c r="B820" t="str">
        <x:v>A-00774</x:v>
      </x:c>
      <x:c r="C820" t="str">
        <x:v>GATE</x:v>
      </x:c>
      <x:c r="D820" t="str">
        <x:v>release state mirrors governing ledger</x:v>
      </x:c>
      <x:c r="E820" t="str">
        <x:f>'Release Gates'!I780</x:f>
        <x:v>PASS</x:v>
      </x:c>
      <x:c r="F820" t="str">
        <x:f>IF('Release Gates'!C780="PLANNING","PASS",IF('Release Gates'!C780="PHYSICAL","OPEN","BLOCKED"))</x:f>
        <x:v>PASS</x:v>
      </x:c>
      <x:c r="G820" t="str">
        <x:v>equals</x:v>
      </x:c>
      <x:c r="H820" t="str">
        <x:f>IF(E820=F820,"PASS","FAIL")</x:f>
        <x:v>PASS</x:v>
      </x:c>
    </x:row>
    <x:row r="821">
      <x:c r="B821" t="str">
        <x:v>A-00775</x:v>
      </x:c>
      <x:c r="C821" t="str">
        <x:v>GATE</x:v>
      </x:c>
      <x:c r="D821" t="str">
        <x:v>release state mirrors governing ledger</x:v>
      </x:c>
      <x:c r="E821" t="str">
        <x:f>'Release Gates'!I781</x:f>
        <x:v>PASS</x:v>
      </x:c>
      <x:c r="F821" t="str">
        <x:f>IF('Release Gates'!C781="PLANNING","PASS",IF('Release Gates'!C781="PHYSICAL","OPEN","BLOCKED"))</x:f>
        <x:v>PASS</x:v>
      </x:c>
      <x:c r="G821" t="str">
        <x:v>equals</x:v>
      </x:c>
      <x:c r="H821" t="str">
        <x:f>IF(E821=F821,"PASS","FAIL")</x:f>
        <x:v>PASS</x:v>
      </x:c>
    </x:row>
    <x:row r="822">
      <x:c r="B822" t="str">
        <x:v>A-00776</x:v>
      </x:c>
      <x:c r="C822" t="str">
        <x:v>GATE</x:v>
      </x:c>
      <x:c r="D822" t="str">
        <x:v>release state mirrors governing ledger</x:v>
      </x:c>
      <x:c r="E822" t="str">
        <x:f>'Release Gates'!I782</x:f>
        <x:v>PASS</x:v>
      </x:c>
      <x:c r="F822" t="str">
        <x:f>IF('Release Gates'!C782="PLANNING","PASS",IF('Release Gates'!C782="PHYSICAL","OPEN","BLOCKED"))</x:f>
        <x:v>PASS</x:v>
      </x:c>
      <x:c r="G822" t="str">
        <x:v>equals</x:v>
      </x:c>
      <x:c r="H822" t="str">
        <x:f>IF(E822=F822,"PASS","FAIL")</x:f>
        <x:v>PASS</x:v>
      </x:c>
    </x:row>
    <x:row r="823">
      <x:c r="B823" t="str">
        <x:v>A-00777</x:v>
      </x:c>
      <x:c r="C823" t="str">
        <x:v>GATE</x:v>
      </x:c>
      <x:c r="D823" t="str">
        <x:v>release state mirrors governing ledger</x:v>
      </x:c>
      <x:c r="E823" t="str">
        <x:f>'Release Gates'!I783</x:f>
        <x:v>PASS</x:v>
      </x:c>
      <x:c r="F823" t="str">
        <x:f>IF('Release Gates'!C783="PLANNING","PASS",IF('Release Gates'!C783="PHYSICAL","OPEN","BLOCKED"))</x:f>
        <x:v>PASS</x:v>
      </x:c>
      <x:c r="G823" t="str">
        <x:v>equals</x:v>
      </x:c>
      <x:c r="H823" t="str">
        <x:f>IF(E823=F823,"PASS","FAIL")</x:f>
        <x:v>PASS</x:v>
      </x:c>
    </x:row>
    <x:row r="824">
      <x:c r="B824" t="str">
        <x:v>A-00778</x:v>
      </x:c>
      <x:c r="C824" t="str">
        <x:v>GATE</x:v>
      </x:c>
      <x:c r="D824" t="str">
        <x:v>release state mirrors governing ledger</x:v>
      </x:c>
      <x:c r="E824" t="str">
        <x:f>'Release Gates'!I784</x:f>
        <x:v>PASS</x:v>
      </x:c>
      <x:c r="F824" t="str">
        <x:f>IF('Release Gates'!C784="PLANNING","PASS",IF('Release Gates'!C784="PHYSICAL","OPEN","BLOCKED"))</x:f>
        <x:v>PASS</x:v>
      </x:c>
      <x:c r="G824" t="str">
        <x:v>equals</x:v>
      </x:c>
      <x:c r="H824" t="str">
        <x:f>IF(E824=F824,"PASS","FAIL")</x:f>
        <x:v>PASS</x:v>
      </x:c>
    </x:row>
    <x:row r="825">
      <x:c r="B825" t="str">
        <x:v>A-00779</x:v>
      </x:c>
      <x:c r="C825" t="str">
        <x:v>GATE</x:v>
      </x:c>
      <x:c r="D825" t="str">
        <x:v>release state mirrors governing ledger</x:v>
      </x:c>
      <x:c r="E825" t="str">
        <x:f>'Release Gates'!I785</x:f>
        <x:v>PASS</x:v>
      </x:c>
      <x:c r="F825" t="str">
        <x:f>IF('Release Gates'!C785="PLANNING","PASS",IF('Release Gates'!C785="PHYSICAL","OPEN","BLOCKED"))</x:f>
        <x:v>PASS</x:v>
      </x:c>
      <x:c r="G825" t="str">
        <x:v>equals</x:v>
      </x:c>
      <x:c r="H825" t="str">
        <x:f>IF(E825=F825,"PASS","FAIL")</x:f>
        <x:v>PASS</x:v>
      </x:c>
    </x:row>
    <x:row r="826">
      <x:c r="B826" t="str">
        <x:v>A-00780</x:v>
      </x:c>
      <x:c r="C826" t="str">
        <x:v>GATE</x:v>
      </x:c>
      <x:c r="D826" t="str">
        <x:v>release state mirrors governing ledger</x:v>
      </x:c>
      <x:c r="E826" t="str">
        <x:f>'Release Gates'!I786</x:f>
        <x:v>PASS</x:v>
      </x:c>
      <x:c r="F826" t="str">
        <x:f>IF('Release Gates'!C786="PLANNING","PASS",IF('Release Gates'!C786="PHYSICAL","OPEN","BLOCKED"))</x:f>
        <x:v>PASS</x:v>
      </x:c>
      <x:c r="G826" t="str">
        <x:v>equals</x:v>
      </x:c>
      <x:c r="H826" t="str">
        <x:f>IF(E826=F826,"PASS","FAIL")</x:f>
        <x:v>PASS</x:v>
      </x:c>
    </x:row>
    <x:row r="827">
      <x:c r="B827" t="str">
        <x:v>A-00781</x:v>
      </x:c>
      <x:c r="C827" t="str">
        <x:v>GATE</x:v>
      </x:c>
      <x:c r="D827" t="str">
        <x:v>release state mirrors governing ledger</x:v>
      </x:c>
      <x:c r="E827" t="str">
        <x:f>'Release Gates'!I787</x:f>
        <x:v>PASS</x:v>
      </x:c>
      <x:c r="F827" t="str">
        <x:f>IF('Release Gates'!C787="PLANNING","PASS",IF('Release Gates'!C787="PHYSICAL","OPEN","BLOCKED"))</x:f>
        <x:v>PASS</x:v>
      </x:c>
      <x:c r="G827" t="str">
        <x:v>equals</x:v>
      </x:c>
      <x:c r="H827" t="str">
        <x:f>IF(E827=F827,"PASS","FAIL")</x:f>
        <x:v>PASS</x:v>
      </x:c>
    </x:row>
    <x:row r="828">
      <x:c r="B828" t="str">
        <x:v>A-00782</x:v>
      </x:c>
      <x:c r="C828" t="str">
        <x:v>GATE</x:v>
      </x:c>
      <x:c r="D828" t="str">
        <x:v>release state mirrors governing ledger</x:v>
      </x:c>
      <x:c r="E828" t="str">
        <x:f>'Release Gates'!I788</x:f>
        <x:v>PASS</x:v>
      </x:c>
      <x:c r="F828" t="str">
        <x:f>IF('Release Gates'!C788="PLANNING","PASS",IF('Release Gates'!C788="PHYSICAL","OPEN","BLOCKED"))</x:f>
        <x:v>PASS</x:v>
      </x:c>
      <x:c r="G828" t="str">
        <x:v>equals</x:v>
      </x:c>
      <x:c r="H828" t="str">
        <x:f>IF(E828=F828,"PASS","FAIL")</x:f>
        <x:v>PASS</x:v>
      </x:c>
    </x:row>
    <x:row r="829">
      <x:c r="B829" t="str">
        <x:v>A-00783</x:v>
      </x:c>
      <x:c r="C829" t="str">
        <x:v>GATE</x:v>
      </x:c>
      <x:c r="D829" t="str">
        <x:v>release state mirrors governing ledger</x:v>
      </x:c>
      <x:c r="E829" t="str">
        <x:f>'Release Gates'!I789</x:f>
        <x:v>PASS</x:v>
      </x:c>
      <x:c r="F829" t="str">
        <x:f>IF('Release Gates'!C789="PLANNING","PASS",IF('Release Gates'!C789="PHYSICAL","OPEN","BLOCKED"))</x:f>
        <x:v>PASS</x:v>
      </x:c>
      <x:c r="G829" t="str">
        <x:v>equals</x:v>
      </x:c>
      <x:c r="H829" t="str">
        <x:f>IF(E829=F829,"PASS","FAIL")</x:f>
        <x:v>PASS</x:v>
      </x:c>
    </x:row>
    <x:row r="830">
      <x:c r="B830" t="str">
        <x:v>A-00784</x:v>
      </x:c>
      <x:c r="C830" t="str">
        <x:v>GATE</x:v>
      </x:c>
      <x:c r="D830" t="str">
        <x:v>release state mirrors governing ledger</x:v>
      </x:c>
      <x:c r="E830" t="str">
        <x:f>'Release Gates'!I790</x:f>
        <x:v>PASS</x:v>
      </x:c>
      <x:c r="F830" t="str">
        <x:f>IF('Release Gates'!C790="PLANNING","PASS",IF('Release Gates'!C790="PHYSICAL","OPEN","BLOCKED"))</x:f>
        <x:v>PASS</x:v>
      </x:c>
      <x:c r="G830" t="str">
        <x:v>equals</x:v>
      </x:c>
      <x:c r="H830" t="str">
        <x:f>IF(E830=F830,"PASS","FAIL")</x:f>
        <x:v>PASS</x:v>
      </x:c>
    </x:row>
    <x:row r="831">
      <x:c r="B831" t="str">
        <x:v>A-00785</x:v>
      </x:c>
      <x:c r="C831" t="str">
        <x:v>GATE</x:v>
      </x:c>
      <x:c r="D831" t="str">
        <x:v>release state mirrors governing ledger</x:v>
      </x:c>
      <x:c r="E831" t="str">
        <x:f>'Release Gates'!I791</x:f>
        <x:v>PASS</x:v>
      </x:c>
      <x:c r="F831" t="str">
        <x:f>IF('Release Gates'!C791="PLANNING","PASS",IF('Release Gates'!C791="PHYSICAL","OPEN","BLOCKED"))</x:f>
        <x:v>PASS</x:v>
      </x:c>
      <x:c r="G831" t="str">
        <x:v>equals</x:v>
      </x:c>
      <x:c r="H831" t="str">
        <x:f>IF(E831=F831,"PASS","FAIL")</x:f>
        <x:v>PASS</x:v>
      </x:c>
    </x:row>
    <x:row r="832">
      <x:c r="B832" t="str">
        <x:v>A-00786</x:v>
      </x:c>
      <x:c r="C832" t="str">
        <x:v>GATE</x:v>
      </x:c>
      <x:c r="D832" t="str">
        <x:v>release state mirrors governing ledger</x:v>
      </x:c>
      <x:c r="E832" t="str">
        <x:f>'Release Gates'!I792</x:f>
        <x:v>PASS</x:v>
      </x:c>
      <x:c r="F832" t="str">
        <x:f>IF('Release Gates'!C792="PLANNING","PASS",IF('Release Gates'!C792="PHYSICAL","OPEN","BLOCKED"))</x:f>
        <x:v>PASS</x:v>
      </x:c>
      <x:c r="G832" t="str">
        <x:v>equals</x:v>
      </x:c>
      <x:c r="H832" t="str">
        <x:f>IF(E832=F832,"PASS","FAIL")</x:f>
        <x:v>PASS</x:v>
      </x:c>
    </x:row>
    <x:row r="833">
      <x:c r="B833" t="str">
        <x:v>A-00787</x:v>
      </x:c>
      <x:c r="C833" t="str">
        <x:v>GATE</x:v>
      </x:c>
      <x:c r="D833" t="str">
        <x:v>release state mirrors governing ledger</x:v>
      </x:c>
      <x:c r="E833" t="str">
        <x:f>'Release Gates'!I793</x:f>
        <x:v>PASS</x:v>
      </x:c>
      <x:c r="F833" t="str">
        <x:f>IF('Release Gates'!C793="PLANNING","PASS",IF('Release Gates'!C793="PHYSICAL","OPEN","BLOCKED"))</x:f>
        <x:v>PASS</x:v>
      </x:c>
      <x:c r="G833" t="str">
        <x:v>equals</x:v>
      </x:c>
      <x:c r="H833" t="str">
        <x:f>IF(E833=F833,"PASS","FAIL")</x:f>
        <x:v>PASS</x:v>
      </x:c>
    </x:row>
    <x:row r="834">
      <x:c r="B834" t="str">
        <x:v>A-00788</x:v>
      </x:c>
      <x:c r="C834" t="str">
        <x:v>GATE</x:v>
      </x:c>
      <x:c r="D834" t="str">
        <x:v>release state mirrors governing ledger</x:v>
      </x:c>
      <x:c r="E834" t="str">
        <x:f>'Release Gates'!I794</x:f>
        <x:v>PASS</x:v>
      </x:c>
      <x:c r="F834" t="str">
        <x:f>IF('Release Gates'!C794="PLANNING","PASS",IF('Release Gates'!C794="PHYSICAL","OPEN","BLOCKED"))</x:f>
        <x:v>PASS</x:v>
      </x:c>
      <x:c r="G834" t="str">
        <x:v>equals</x:v>
      </x:c>
      <x:c r="H834" t="str">
        <x:f>IF(E834=F834,"PASS","FAIL")</x:f>
        <x:v>PASS</x:v>
      </x:c>
    </x:row>
    <x:row r="835">
      <x:c r="B835" t="str">
        <x:v>A-00789</x:v>
      </x:c>
      <x:c r="C835" t="str">
        <x:v>GATE</x:v>
      </x:c>
      <x:c r="D835" t="str">
        <x:v>release state mirrors governing ledger</x:v>
      </x:c>
      <x:c r="E835" t="str">
        <x:f>'Release Gates'!I795</x:f>
        <x:v>PASS</x:v>
      </x:c>
      <x:c r="F835" t="str">
        <x:f>IF('Release Gates'!C795="PLANNING","PASS",IF('Release Gates'!C795="PHYSICAL","OPEN","BLOCKED"))</x:f>
        <x:v>PASS</x:v>
      </x:c>
      <x:c r="G835" t="str">
        <x:v>equals</x:v>
      </x:c>
      <x:c r="H835" t="str">
        <x:f>IF(E835=F835,"PASS","FAIL")</x:f>
        <x:v>PASS</x:v>
      </x:c>
    </x:row>
    <x:row r="836">
      <x:c r="B836" t="str">
        <x:v>A-00790</x:v>
      </x:c>
      <x:c r="C836" t="str">
        <x:v>GATE</x:v>
      </x:c>
      <x:c r="D836" t="str">
        <x:v>release state mirrors governing ledger</x:v>
      </x:c>
      <x:c r="E836" t="str">
        <x:f>'Release Gates'!I796</x:f>
        <x:v>PASS</x:v>
      </x:c>
      <x:c r="F836" t="str">
        <x:f>IF('Release Gates'!C796="PLANNING","PASS",IF('Release Gates'!C796="PHYSICAL","OPEN","BLOCKED"))</x:f>
        <x:v>PASS</x:v>
      </x:c>
      <x:c r="G836" t="str">
        <x:v>equals</x:v>
      </x:c>
      <x:c r="H836" t="str">
        <x:f>IF(E836=F836,"PASS","FAIL")</x:f>
        <x:v>PASS</x:v>
      </x:c>
    </x:row>
    <x:row r="837">
      <x:c r="B837" t="str">
        <x:v>A-00791</x:v>
      </x:c>
      <x:c r="C837" t="str">
        <x:v>GATE</x:v>
      </x:c>
      <x:c r="D837" t="str">
        <x:v>release state mirrors governing ledger</x:v>
      </x:c>
      <x:c r="E837" t="str">
        <x:f>'Release Gates'!I797</x:f>
        <x:v>PASS</x:v>
      </x:c>
      <x:c r="F837" t="str">
        <x:f>IF('Release Gates'!C797="PLANNING","PASS",IF('Release Gates'!C797="PHYSICAL","OPEN","BLOCKED"))</x:f>
        <x:v>PASS</x:v>
      </x:c>
      <x:c r="G837" t="str">
        <x:v>equals</x:v>
      </x:c>
      <x:c r="H837" t="str">
        <x:f>IF(E837=F837,"PASS","FAIL")</x:f>
        <x:v>PASS</x:v>
      </x:c>
    </x:row>
    <x:row r="838">
      <x:c r="B838" t="str">
        <x:v>A-00792</x:v>
      </x:c>
      <x:c r="C838" t="str">
        <x:v>GATE</x:v>
      </x:c>
      <x:c r="D838" t="str">
        <x:v>release state mirrors governing ledger</x:v>
      </x:c>
      <x:c r="E838" t="str">
        <x:f>'Release Gates'!I798</x:f>
        <x:v>PASS</x:v>
      </x:c>
      <x:c r="F838" t="str">
        <x:f>IF('Release Gates'!C798="PLANNING","PASS",IF('Release Gates'!C798="PHYSICAL","OPEN","BLOCKED"))</x:f>
        <x:v>PASS</x:v>
      </x:c>
      <x:c r="G838" t="str">
        <x:v>equals</x:v>
      </x:c>
      <x:c r="H838" t="str">
        <x:f>IF(E838=F838,"PASS","FAIL")</x:f>
        <x:v>PASS</x:v>
      </x:c>
    </x:row>
    <x:row r="839">
      <x:c r="B839" t="str">
        <x:v>A-00793</x:v>
      </x:c>
      <x:c r="C839" t="str">
        <x:v>GATE</x:v>
      </x:c>
      <x:c r="D839" t="str">
        <x:v>release state mirrors governing ledger</x:v>
      </x:c>
      <x:c r="E839" t="str">
        <x:f>'Release Gates'!I799</x:f>
        <x:v>PASS</x:v>
      </x:c>
      <x:c r="F839" t="str">
        <x:f>IF('Release Gates'!C799="PLANNING","PASS",IF('Release Gates'!C799="PHYSICAL","OPEN","BLOCKED"))</x:f>
        <x:v>PASS</x:v>
      </x:c>
      <x:c r="G839" t="str">
        <x:v>equals</x:v>
      </x:c>
      <x:c r="H839" t="str">
        <x:f>IF(E839=F839,"PASS","FAIL")</x:f>
        <x:v>PASS</x:v>
      </x:c>
    </x:row>
    <x:row r="840">
      <x:c r="B840" t="str">
        <x:v>A-00794</x:v>
      </x:c>
      <x:c r="C840" t="str">
        <x:v>GATE</x:v>
      </x:c>
      <x:c r="D840" t="str">
        <x:v>release state mirrors governing ledger</x:v>
      </x:c>
      <x:c r="E840" t="str">
        <x:f>'Release Gates'!I800</x:f>
        <x:v>PASS</x:v>
      </x:c>
      <x:c r="F840" t="str">
        <x:f>IF('Release Gates'!C800="PLANNING","PASS",IF('Release Gates'!C800="PHYSICAL","OPEN","BLOCKED"))</x:f>
        <x:v>PASS</x:v>
      </x:c>
      <x:c r="G840" t="str">
        <x:v>equals</x:v>
      </x:c>
      <x:c r="H840" t="str">
        <x:f>IF(E840=F840,"PASS","FAIL")</x:f>
        <x:v>PASS</x:v>
      </x:c>
    </x:row>
    <x:row r="841">
      <x:c r="B841" t="str">
        <x:v>A-00795</x:v>
      </x:c>
      <x:c r="C841" t="str">
        <x:v>GATE</x:v>
      </x:c>
      <x:c r="D841" t="str">
        <x:v>release state mirrors governing ledger</x:v>
      </x:c>
      <x:c r="E841" t="str">
        <x:f>'Release Gates'!I801</x:f>
        <x:v>PASS</x:v>
      </x:c>
      <x:c r="F841" t="str">
        <x:f>IF('Release Gates'!C801="PLANNING","PASS",IF('Release Gates'!C801="PHYSICAL","OPEN","BLOCKED"))</x:f>
        <x:v>PASS</x:v>
      </x:c>
      <x:c r="G841" t="str">
        <x:v>equals</x:v>
      </x:c>
      <x:c r="H841" t="str">
        <x:f>IF(E841=F841,"PASS","FAIL")</x:f>
        <x:v>PASS</x:v>
      </x:c>
    </x:row>
    <x:row r="842">
      <x:c r="B842" t="str">
        <x:v>A-00796</x:v>
      </x:c>
      <x:c r="C842" t="str">
        <x:v>GATE</x:v>
      </x:c>
      <x:c r="D842" t="str">
        <x:v>release state mirrors governing ledger</x:v>
      </x:c>
      <x:c r="E842" t="str">
        <x:f>'Release Gates'!I802</x:f>
        <x:v>PASS</x:v>
      </x:c>
      <x:c r="F842" t="str">
        <x:f>IF('Release Gates'!C802="PLANNING","PASS",IF('Release Gates'!C802="PHYSICAL","OPEN","BLOCKED"))</x:f>
        <x:v>PASS</x:v>
      </x:c>
      <x:c r="G842" t="str">
        <x:v>equals</x:v>
      </x:c>
      <x:c r="H842" t="str">
        <x:f>IF(E842=F842,"PASS","FAIL")</x:f>
        <x:v>PASS</x:v>
      </x:c>
    </x:row>
    <x:row r="843">
      <x:c r="B843" t="str">
        <x:v>A-00797</x:v>
      </x:c>
      <x:c r="C843" t="str">
        <x:v>GATE</x:v>
      </x:c>
      <x:c r="D843" t="str">
        <x:v>release state mirrors governing ledger</x:v>
      </x:c>
      <x:c r="E843" t="str">
        <x:f>'Release Gates'!I803</x:f>
        <x:v>PASS</x:v>
      </x:c>
      <x:c r="F843" t="str">
        <x:f>IF('Release Gates'!C803="PLANNING","PASS",IF('Release Gates'!C803="PHYSICAL","OPEN","BLOCKED"))</x:f>
        <x:v>PASS</x:v>
      </x:c>
      <x:c r="G843" t="str">
        <x:v>equals</x:v>
      </x:c>
      <x:c r="H843" t="str">
        <x:f>IF(E843=F843,"PASS","FAIL")</x:f>
        <x:v>PASS</x:v>
      </x:c>
    </x:row>
    <x:row r="844">
      <x:c r="B844" t="str">
        <x:v>A-00798</x:v>
      </x:c>
      <x:c r="C844" t="str">
        <x:v>GATE</x:v>
      </x:c>
      <x:c r="D844" t="str">
        <x:v>release state mirrors governing ledger</x:v>
      </x:c>
      <x:c r="E844" t="str">
        <x:f>'Release Gates'!I804</x:f>
        <x:v>PASS</x:v>
      </x:c>
      <x:c r="F844" t="str">
        <x:f>IF('Release Gates'!C804="PLANNING","PASS",IF('Release Gates'!C804="PHYSICAL","OPEN","BLOCKED"))</x:f>
        <x:v>PASS</x:v>
      </x:c>
      <x:c r="G844" t="str">
        <x:v>equals</x:v>
      </x:c>
      <x:c r="H844" t="str">
        <x:f>IF(E844=F844,"PASS","FAIL")</x:f>
        <x:v>PASS</x:v>
      </x:c>
    </x:row>
    <x:row r="845">
      <x:c r="B845" t="str">
        <x:v>A-00799</x:v>
      </x:c>
      <x:c r="C845" t="str">
        <x:v>GATE</x:v>
      </x:c>
      <x:c r="D845" t="str">
        <x:v>release state mirrors governing ledger</x:v>
      </x:c>
      <x:c r="E845" t="str">
        <x:f>'Release Gates'!I805</x:f>
        <x:v>PASS</x:v>
      </x:c>
      <x:c r="F845" t="str">
        <x:f>IF('Release Gates'!C805="PLANNING","PASS",IF('Release Gates'!C805="PHYSICAL","OPEN","BLOCKED"))</x:f>
        <x:v>PASS</x:v>
      </x:c>
      <x:c r="G845" t="str">
        <x:v>equals</x:v>
      </x:c>
      <x:c r="H845" t="str">
        <x:f>IF(E845=F845,"PASS","FAIL")</x:f>
        <x:v>PASS</x:v>
      </x:c>
    </x:row>
    <x:row r="846">
      <x:c r="B846" t="str">
        <x:v>A-00800</x:v>
      </x:c>
      <x:c r="C846" t="str">
        <x:v>GATE</x:v>
      </x:c>
      <x:c r="D846" t="str">
        <x:v>release state mirrors governing ledger</x:v>
      </x:c>
      <x:c r="E846" t="str">
        <x:f>'Release Gates'!I806</x:f>
        <x:v>PASS</x:v>
      </x:c>
      <x:c r="F846" t="str">
        <x:f>IF('Release Gates'!C806="PLANNING","PASS",IF('Release Gates'!C806="PHYSICAL","OPEN","BLOCKED"))</x:f>
        <x:v>PASS</x:v>
      </x:c>
      <x:c r="G846" t="str">
        <x:v>equals</x:v>
      </x:c>
      <x:c r="H846" t="str">
        <x:f>IF(E846=F846,"PASS","FAIL")</x:f>
        <x:v>PASS</x:v>
      </x:c>
    </x:row>
    <x:row r="847">
      <x:c r="B847" t="str">
        <x:v>A-00801</x:v>
      </x:c>
      <x:c r="C847" t="str">
        <x:v>GATE</x:v>
      </x:c>
      <x:c r="D847" t="str">
        <x:v>release state mirrors governing ledger</x:v>
      </x:c>
      <x:c r="E847" t="str">
        <x:f>'Release Gates'!I807</x:f>
        <x:v>PASS</x:v>
      </x:c>
      <x:c r="F847" t="str">
        <x:f>IF('Release Gates'!C807="PLANNING","PASS",IF('Release Gates'!C807="PHYSICAL","OPEN","BLOCKED"))</x:f>
        <x:v>PASS</x:v>
      </x:c>
      <x:c r="G847" t="str">
        <x:v>equals</x:v>
      </x:c>
      <x:c r="H847" t="str">
        <x:f>IF(E847=F847,"PASS","FAIL")</x:f>
        <x:v>PASS</x:v>
      </x:c>
    </x:row>
    <x:row r="848">
      <x:c r="B848" t="str">
        <x:v>A-00802</x:v>
      </x:c>
      <x:c r="C848" t="str">
        <x:v>GATE</x:v>
      </x:c>
      <x:c r="D848" t="str">
        <x:v>release state mirrors governing ledger</x:v>
      </x:c>
      <x:c r="E848" t="str">
        <x:f>'Release Gates'!I808</x:f>
        <x:v>PASS</x:v>
      </x:c>
      <x:c r="F848" t="str">
        <x:f>IF('Release Gates'!C808="PLANNING","PASS",IF('Release Gates'!C808="PHYSICAL","OPEN","BLOCKED"))</x:f>
        <x:v>PASS</x:v>
      </x:c>
      <x:c r="G848" t="str">
        <x:v>equals</x:v>
      </x:c>
      <x:c r="H848" t="str">
        <x:f>IF(E848=F848,"PASS","FAIL")</x:f>
        <x:v>PASS</x:v>
      </x:c>
    </x:row>
    <x:row r="849">
      <x:c r="B849" t="str">
        <x:v>A-00803</x:v>
      </x:c>
      <x:c r="C849" t="str">
        <x:v>GATE</x:v>
      </x:c>
      <x:c r="D849" t="str">
        <x:v>release state mirrors governing ledger</x:v>
      </x:c>
      <x:c r="E849" t="str">
        <x:f>'Release Gates'!I809</x:f>
        <x:v>PASS</x:v>
      </x:c>
      <x:c r="F849" t="str">
        <x:f>IF('Release Gates'!C809="PLANNING","PASS",IF('Release Gates'!C809="PHYSICAL","OPEN","BLOCKED"))</x:f>
        <x:v>PASS</x:v>
      </x:c>
      <x:c r="G849" t="str">
        <x:v>equals</x:v>
      </x:c>
      <x:c r="H849" t="str">
        <x:f>IF(E849=F849,"PASS","FAIL")</x:f>
        <x:v>PASS</x:v>
      </x:c>
    </x:row>
    <x:row r="850">
      <x:c r="B850" t="str">
        <x:v>A-00804</x:v>
      </x:c>
      <x:c r="C850" t="str">
        <x:v>GATE</x:v>
      </x:c>
      <x:c r="D850" t="str">
        <x:v>release state mirrors governing ledger</x:v>
      </x:c>
      <x:c r="E850" t="str">
        <x:f>'Release Gates'!I810</x:f>
        <x:v>PASS</x:v>
      </x:c>
      <x:c r="F850" t="str">
        <x:f>IF('Release Gates'!C810="PLANNING","PASS",IF('Release Gates'!C810="PHYSICAL","OPEN","BLOCKED"))</x:f>
        <x:v>PASS</x:v>
      </x:c>
      <x:c r="G850" t="str">
        <x:v>equals</x:v>
      </x:c>
      <x:c r="H850" t="str">
        <x:f>IF(E850=F850,"PASS","FAIL")</x:f>
        <x:v>PASS</x:v>
      </x:c>
    </x:row>
    <x:row r="851">
      <x:c r="B851" t="str">
        <x:v>A-00805</x:v>
      </x:c>
      <x:c r="C851" t="str">
        <x:v>GATE</x:v>
      </x:c>
      <x:c r="D851" t="str">
        <x:v>release state mirrors governing ledger</x:v>
      </x:c>
      <x:c r="E851" t="str">
        <x:f>'Release Gates'!I811</x:f>
        <x:v>PASS</x:v>
      </x:c>
      <x:c r="F851" t="str">
        <x:f>IF('Release Gates'!C811="PLANNING","PASS",IF('Release Gates'!C811="PHYSICAL","OPEN","BLOCKED"))</x:f>
        <x:v>PASS</x:v>
      </x:c>
      <x:c r="G851" t="str">
        <x:v>equals</x:v>
      </x:c>
      <x:c r="H851" t="str">
        <x:f>IF(E851=F851,"PASS","FAIL")</x:f>
        <x:v>PASS</x:v>
      </x:c>
    </x:row>
    <x:row r="852">
      <x:c r="B852" t="str">
        <x:v>A-00806</x:v>
      </x:c>
      <x:c r="C852" t="str">
        <x:v>GATE</x:v>
      </x:c>
      <x:c r="D852" t="str">
        <x:v>release state mirrors governing ledger</x:v>
      </x:c>
      <x:c r="E852" t="str">
        <x:f>'Release Gates'!I812</x:f>
        <x:v>PASS</x:v>
      </x:c>
      <x:c r="F852" t="str">
        <x:f>IF('Release Gates'!C812="PLANNING","PASS",IF('Release Gates'!C812="PHYSICAL","OPEN","BLOCKED"))</x:f>
        <x:v>PASS</x:v>
      </x:c>
      <x:c r="G852" t="str">
        <x:v>equals</x:v>
      </x:c>
      <x:c r="H852" t="str">
        <x:f>IF(E852=F852,"PASS","FAIL")</x:f>
        <x:v>PASS</x:v>
      </x:c>
    </x:row>
    <x:row r="853">
      <x:c r="B853" t="str">
        <x:v>A-00807</x:v>
      </x:c>
      <x:c r="C853" t="str">
        <x:v>GATE</x:v>
      </x:c>
      <x:c r="D853" t="str">
        <x:v>release state mirrors governing ledger</x:v>
      </x:c>
      <x:c r="E853" t="str">
        <x:f>'Release Gates'!I813</x:f>
        <x:v>PASS</x:v>
      </x:c>
      <x:c r="F853" t="str">
        <x:f>IF('Release Gates'!C813="PLANNING","PASS",IF('Release Gates'!C813="PHYSICAL","OPEN","BLOCKED"))</x:f>
        <x:v>PASS</x:v>
      </x:c>
      <x:c r="G853" t="str">
        <x:v>equals</x:v>
      </x:c>
      <x:c r="H853" t="str">
        <x:f>IF(E853=F853,"PASS","FAIL")</x:f>
        <x:v>PASS</x:v>
      </x:c>
    </x:row>
    <x:row r="854">
      <x:c r="B854" t="str">
        <x:v>A-00808</x:v>
      </x:c>
      <x:c r="C854" t="str">
        <x:v>GATE</x:v>
      </x:c>
      <x:c r="D854" t="str">
        <x:v>release state mirrors governing ledger</x:v>
      </x:c>
      <x:c r="E854" t="str">
        <x:f>'Release Gates'!I814</x:f>
        <x:v>PASS</x:v>
      </x:c>
      <x:c r="F854" t="str">
        <x:f>IF('Release Gates'!C814="PLANNING","PASS",IF('Release Gates'!C814="PHYSICAL","OPEN","BLOCKED"))</x:f>
        <x:v>PASS</x:v>
      </x:c>
      <x:c r="G854" t="str">
        <x:v>equals</x:v>
      </x:c>
      <x:c r="H854" t="str">
        <x:f>IF(E854=F854,"PASS","FAIL")</x:f>
        <x:v>PASS</x:v>
      </x:c>
    </x:row>
    <x:row r="855">
      <x:c r="B855" t="str">
        <x:v>A-00809</x:v>
      </x:c>
      <x:c r="C855" t="str">
        <x:v>GATE</x:v>
      </x:c>
      <x:c r="D855" t="str">
        <x:v>release state mirrors governing ledger</x:v>
      </x:c>
      <x:c r="E855" t="str">
        <x:f>'Release Gates'!I815</x:f>
        <x:v>PASS</x:v>
      </x:c>
      <x:c r="F855" t="str">
        <x:f>IF('Release Gates'!C815="PLANNING","PASS",IF('Release Gates'!C815="PHYSICAL","OPEN","BLOCKED"))</x:f>
        <x:v>PASS</x:v>
      </x:c>
      <x:c r="G855" t="str">
        <x:v>equals</x:v>
      </x:c>
      <x:c r="H855" t="str">
        <x:f>IF(E855=F855,"PASS","FAIL")</x:f>
        <x:v>PASS</x:v>
      </x:c>
    </x:row>
    <x:row r="856">
      <x:c r="B856" t="str">
        <x:v>A-00810</x:v>
      </x:c>
      <x:c r="C856" t="str">
        <x:v>GATE</x:v>
      </x:c>
      <x:c r="D856" t="str">
        <x:v>release state mirrors governing ledger</x:v>
      </x:c>
      <x:c r="E856" t="str">
        <x:f>'Release Gates'!I816</x:f>
        <x:v>PASS</x:v>
      </x:c>
      <x:c r="F856" t="str">
        <x:f>IF('Release Gates'!C816="PLANNING","PASS",IF('Release Gates'!C816="PHYSICAL","OPEN","BLOCKED"))</x:f>
        <x:v>PASS</x:v>
      </x:c>
      <x:c r="G856" t="str">
        <x:v>equals</x:v>
      </x:c>
      <x:c r="H856" t="str">
        <x:f>IF(E856=F856,"PASS","FAIL")</x:f>
        <x:v>PASS</x:v>
      </x:c>
    </x:row>
    <x:row r="857">
      <x:c r="B857" t="str">
        <x:v>A-00811</x:v>
      </x:c>
      <x:c r="C857" t="str">
        <x:v>GATE</x:v>
      </x:c>
      <x:c r="D857" t="str">
        <x:v>release state mirrors governing ledger</x:v>
      </x:c>
      <x:c r="E857" t="str">
        <x:f>'Release Gates'!I817</x:f>
        <x:v>PASS</x:v>
      </x:c>
      <x:c r="F857" t="str">
        <x:f>IF('Release Gates'!C817="PLANNING","PASS",IF('Release Gates'!C817="PHYSICAL","OPEN","BLOCKED"))</x:f>
        <x:v>PASS</x:v>
      </x:c>
      <x:c r="G857" t="str">
        <x:v>equals</x:v>
      </x:c>
      <x:c r="H857" t="str">
        <x:f>IF(E857=F857,"PASS","FAIL")</x:f>
        <x:v>PASS</x:v>
      </x:c>
    </x:row>
    <x:row r="858">
      <x:c r="B858" t="str">
        <x:v>A-00812</x:v>
      </x:c>
      <x:c r="C858" t="str">
        <x:v>GATE</x:v>
      </x:c>
      <x:c r="D858" t="str">
        <x:v>release state mirrors governing ledger</x:v>
      </x:c>
      <x:c r="E858" t="str">
        <x:f>'Release Gates'!I818</x:f>
        <x:v>PASS</x:v>
      </x:c>
      <x:c r="F858" t="str">
        <x:f>IF('Release Gates'!C818="PLANNING","PASS",IF('Release Gates'!C818="PHYSICAL","OPEN","BLOCKED"))</x:f>
        <x:v>PASS</x:v>
      </x:c>
      <x:c r="G858" t="str">
        <x:v>equals</x:v>
      </x:c>
      <x:c r="H858" t="str">
        <x:f>IF(E858=F858,"PASS","FAIL")</x:f>
        <x:v>PASS</x:v>
      </x:c>
    </x:row>
    <x:row r="859">
      <x:c r="B859" t="str">
        <x:v>A-00813</x:v>
      </x:c>
      <x:c r="C859" t="str">
        <x:v>GATE</x:v>
      </x:c>
      <x:c r="D859" t="str">
        <x:v>release state mirrors governing ledger</x:v>
      </x:c>
      <x:c r="E859" t="str">
        <x:f>'Release Gates'!I819</x:f>
        <x:v>PASS</x:v>
      </x:c>
      <x:c r="F859" t="str">
        <x:f>IF('Release Gates'!C819="PLANNING","PASS",IF('Release Gates'!C819="PHYSICAL","OPEN","BLOCKED"))</x:f>
        <x:v>PASS</x:v>
      </x:c>
      <x:c r="G859" t="str">
        <x:v>equals</x:v>
      </x:c>
      <x:c r="H859" t="str">
        <x:f>IF(E859=F859,"PASS","FAIL")</x:f>
        <x:v>PASS</x:v>
      </x:c>
    </x:row>
    <x:row r="860">
      <x:c r="B860" t="str">
        <x:v>A-00814</x:v>
      </x:c>
      <x:c r="C860" t="str">
        <x:v>GATE</x:v>
      </x:c>
      <x:c r="D860" t="str">
        <x:v>release state mirrors governing ledger</x:v>
      </x:c>
      <x:c r="E860" t="str">
        <x:f>'Release Gates'!I820</x:f>
        <x:v>PASS</x:v>
      </x:c>
      <x:c r="F860" t="str">
        <x:f>IF('Release Gates'!C820="PLANNING","PASS",IF('Release Gates'!C820="PHYSICAL","OPEN","BLOCKED"))</x:f>
        <x:v>PASS</x:v>
      </x:c>
      <x:c r="G860" t="str">
        <x:v>equals</x:v>
      </x:c>
      <x:c r="H860" t="str">
        <x:f>IF(E860=F860,"PASS","FAIL")</x:f>
        <x:v>PASS</x:v>
      </x:c>
    </x:row>
    <x:row r="861">
      <x:c r="B861" t="str">
        <x:v>A-00815</x:v>
      </x:c>
      <x:c r="C861" t="str">
        <x:v>GATE</x:v>
      </x:c>
      <x:c r="D861" t="str">
        <x:v>release state mirrors governing ledger</x:v>
      </x:c>
      <x:c r="E861" t="str">
        <x:f>'Release Gates'!I821</x:f>
        <x:v>PASS</x:v>
      </x:c>
      <x:c r="F861" t="str">
        <x:f>IF('Release Gates'!C821="PLANNING","PASS",IF('Release Gates'!C821="PHYSICAL","OPEN","BLOCKED"))</x:f>
        <x:v>PASS</x:v>
      </x:c>
      <x:c r="G861" t="str">
        <x:v>equals</x:v>
      </x:c>
      <x:c r="H861" t="str">
        <x:f>IF(E861=F861,"PASS","FAIL")</x:f>
        <x:v>PASS</x:v>
      </x:c>
    </x:row>
    <x:row r="862">
      <x:c r="B862" t="str">
        <x:v>A-00816</x:v>
      </x:c>
      <x:c r="C862" t="str">
        <x:v>GATE</x:v>
      </x:c>
      <x:c r="D862" t="str">
        <x:v>release state mirrors governing ledger</x:v>
      </x:c>
      <x:c r="E862" t="str">
        <x:f>'Release Gates'!I822</x:f>
        <x:v>PASS</x:v>
      </x:c>
      <x:c r="F862" t="str">
        <x:f>IF('Release Gates'!C822="PLANNING","PASS",IF('Release Gates'!C822="PHYSICAL","OPEN","BLOCKED"))</x:f>
        <x:v>PASS</x:v>
      </x:c>
      <x:c r="G862" t="str">
        <x:v>equals</x:v>
      </x:c>
      <x:c r="H862" t="str">
        <x:f>IF(E862=F862,"PASS","FAIL")</x:f>
        <x:v>PASS</x:v>
      </x:c>
    </x:row>
    <x:row r="863">
      <x:c r="B863" t="str">
        <x:v>A-00817</x:v>
      </x:c>
      <x:c r="C863" t="str">
        <x:v>GATE</x:v>
      </x:c>
      <x:c r="D863" t="str">
        <x:v>release state mirrors governing ledger</x:v>
      </x:c>
      <x:c r="E863" t="str">
        <x:f>'Release Gates'!I823</x:f>
        <x:v>PASS</x:v>
      </x:c>
      <x:c r="F863" t="str">
        <x:f>IF('Release Gates'!C823="PLANNING","PASS",IF('Release Gates'!C823="PHYSICAL","OPEN","BLOCKED"))</x:f>
        <x:v>PASS</x:v>
      </x:c>
      <x:c r="G863" t="str">
        <x:v>equals</x:v>
      </x:c>
      <x:c r="H863" t="str">
        <x:f>IF(E863=F863,"PASS","FAIL")</x:f>
        <x:v>PASS</x:v>
      </x:c>
    </x:row>
    <x:row r="864">
      <x:c r="B864" t="str">
        <x:v>A-00818</x:v>
      </x:c>
      <x:c r="C864" t="str">
        <x:v>GATE</x:v>
      </x:c>
      <x:c r="D864" t="str">
        <x:v>release state mirrors governing ledger</x:v>
      </x:c>
      <x:c r="E864" t="str">
        <x:f>'Release Gates'!I824</x:f>
        <x:v>PASS</x:v>
      </x:c>
      <x:c r="F864" t="str">
        <x:f>IF('Release Gates'!C824="PLANNING","PASS",IF('Release Gates'!C824="PHYSICAL","OPEN","BLOCKED"))</x:f>
        <x:v>PASS</x:v>
      </x:c>
      <x:c r="G864" t="str">
        <x:v>equals</x:v>
      </x:c>
      <x:c r="H864" t="str">
        <x:f>IF(E864=F864,"PASS","FAIL")</x:f>
        <x:v>PASS</x:v>
      </x:c>
    </x:row>
    <x:row r="865">
      <x:c r="B865" t="str">
        <x:v>A-00819</x:v>
      </x:c>
      <x:c r="C865" t="str">
        <x:v>GATE</x:v>
      </x:c>
      <x:c r="D865" t="str">
        <x:v>release state mirrors governing ledger</x:v>
      </x:c>
      <x:c r="E865" t="str">
        <x:f>'Release Gates'!I825</x:f>
        <x:v>PASS</x:v>
      </x:c>
      <x:c r="F865" t="str">
        <x:f>IF('Release Gates'!C825="PLANNING","PASS",IF('Release Gates'!C825="PHYSICAL","OPEN","BLOCKED"))</x:f>
        <x:v>PASS</x:v>
      </x:c>
      <x:c r="G865" t="str">
        <x:v>equals</x:v>
      </x:c>
      <x:c r="H865" t="str">
        <x:f>IF(E865=F865,"PASS","FAIL")</x:f>
        <x:v>PASS</x:v>
      </x:c>
    </x:row>
    <x:row r="866">
      <x:c r="B866" t="str">
        <x:v>A-00820</x:v>
      </x:c>
      <x:c r="C866" t="str">
        <x:v>GATE</x:v>
      </x:c>
      <x:c r="D866" t="str">
        <x:v>release state mirrors governing ledger</x:v>
      </x:c>
      <x:c r="E866" t="str">
        <x:f>'Release Gates'!I826</x:f>
        <x:v>PASS</x:v>
      </x:c>
      <x:c r="F866" t="str">
        <x:f>IF('Release Gates'!C826="PLANNING","PASS",IF('Release Gates'!C826="PHYSICAL","OPEN","BLOCKED"))</x:f>
        <x:v>PASS</x:v>
      </x:c>
      <x:c r="G866" t="str">
        <x:v>equals</x:v>
      </x:c>
      <x:c r="H866" t="str">
        <x:f>IF(E866=F866,"PASS","FAIL")</x:f>
        <x:v>PASS</x:v>
      </x:c>
    </x:row>
    <x:row r="867">
      <x:c r="B867" t="str">
        <x:v>A-00821</x:v>
      </x:c>
      <x:c r="C867" t="str">
        <x:v>GATE</x:v>
      </x:c>
      <x:c r="D867" t="str">
        <x:v>release state mirrors governing ledger</x:v>
      </x:c>
      <x:c r="E867" t="str">
        <x:f>'Release Gates'!I827</x:f>
        <x:v>PASS</x:v>
      </x:c>
      <x:c r="F867" t="str">
        <x:f>IF('Release Gates'!C827="PLANNING","PASS",IF('Release Gates'!C827="PHYSICAL","OPEN","BLOCKED"))</x:f>
        <x:v>PASS</x:v>
      </x:c>
      <x:c r="G867" t="str">
        <x:v>equals</x:v>
      </x:c>
      <x:c r="H867" t="str">
        <x:f>IF(E867=F867,"PASS","FAIL")</x:f>
        <x:v>PASS</x:v>
      </x:c>
    </x:row>
    <x:row r="868">
      <x:c r="B868" t="str">
        <x:v>A-00822</x:v>
      </x:c>
      <x:c r="C868" t="str">
        <x:v>GATE</x:v>
      </x:c>
      <x:c r="D868" t="str">
        <x:v>release state mirrors governing ledger</x:v>
      </x:c>
      <x:c r="E868" t="str">
        <x:f>'Release Gates'!I828</x:f>
        <x:v>PASS</x:v>
      </x:c>
      <x:c r="F868" t="str">
        <x:f>IF('Release Gates'!C828="PLANNING","PASS",IF('Release Gates'!C828="PHYSICAL","OPEN","BLOCKED"))</x:f>
        <x:v>PASS</x:v>
      </x:c>
      <x:c r="G868" t="str">
        <x:v>equals</x:v>
      </x:c>
      <x:c r="H868" t="str">
        <x:f>IF(E868=F868,"PASS","FAIL")</x:f>
        <x:v>PASS</x:v>
      </x:c>
    </x:row>
    <x:row r="869">
      <x:c r="B869" t="str">
        <x:v>A-00823</x:v>
      </x:c>
      <x:c r="C869" t="str">
        <x:v>GATE</x:v>
      </x:c>
      <x:c r="D869" t="str">
        <x:v>release state mirrors governing ledger</x:v>
      </x:c>
      <x:c r="E869" t="str">
        <x:f>'Release Gates'!I829</x:f>
        <x:v>PASS</x:v>
      </x:c>
      <x:c r="F869" t="str">
        <x:f>IF('Release Gates'!C829="PLANNING","PASS",IF('Release Gates'!C829="PHYSICAL","OPEN","BLOCKED"))</x:f>
        <x:v>PASS</x:v>
      </x:c>
      <x:c r="G869" t="str">
        <x:v>equals</x:v>
      </x:c>
      <x:c r="H869" t="str">
        <x:f>IF(E869=F869,"PASS","FAIL")</x:f>
        <x:v>PASS</x:v>
      </x:c>
    </x:row>
    <x:row r="870">
      <x:c r="B870" t="str">
        <x:v>A-00824</x:v>
      </x:c>
      <x:c r="C870" t="str">
        <x:v>GATE</x:v>
      </x:c>
      <x:c r="D870" t="str">
        <x:v>release state mirrors governing ledger</x:v>
      </x:c>
      <x:c r="E870" t="str">
        <x:f>'Release Gates'!I830</x:f>
        <x:v>PASS</x:v>
      </x:c>
      <x:c r="F870" t="str">
        <x:f>IF('Release Gates'!C830="PLANNING","PASS",IF('Release Gates'!C830="PHYSICAL","OPEN","BLOCKED"))</x:f>
        <x:v>PASS</x:v>
      </x:c>
      <x:c r="G870" t="str">
        <x:v>equals</x:v>
      </x:c>
      <x:c r="H870" t="str">
        <x:f>IF(E870=F870,"PASS","FAIL")</x:f>
        <x:v>PASS</x:v>
      </x:c>
    </x:row>
    <x:row r="871">
      <x:c r="B871" t="str">
        <x:v>A-00825</x:v>
      </x:c>
      <x:c r="C871" t="str">
        <x:v>GATE</x:v>
      </x:c>
      <x:c r="D871" t="str">
        <x:v>release state mirrors governing ledger</x:v>
      </x:c>
      <x:c r="E871" t="str">
        <x:f>'Release Gates'!I831</x:f>
        <x:v>PASS</x:v>
      </x:c>
      <x:c r="F871" t="str">
        <x:f>IF('Release Gates'!C831="PLANNING","PASS",IF('Release Gates'!C831="PHYSICAL","OPEN","BLOCKED"))</x:f>
        <x:v>PASS</x:v>
      </x:c>
      <x:c r="G871" t="str">
        <x:v>equals</x:v>
      </x:c>
      <x:c r="H871" t="str">
        <x:f>IF(E871=F871,"PASS","FAIL")</x:f>
        <x:v>PASS</x:v>
      </x:c>
    </x:row>
    <x:row r="872">
      <x:c r="B872" t="str">
        <x:v>A-00826</x:v>
      </x:c>
      <x:c r="C872" t="str">
        <x:v>GATE</x:v>
      </x:c>
      <x:c r="D872" t="str">
        <x:v>release state mirrors governing ledger</x:v>
      </x:c>
      <x:c r="E872" t="str">
        <x:f>'Release Gates'!I832</x:f>
        <x:v>PASS</x:v>
      </x:c>
      <x:c r="F872" t="str">
        <x:f>IF('Release Gates'!C832="PLANNING","PASS",IF('Release Gates'!C832="PHYSICAL","OPEN","BLOCKED"))</x:f>
        <x:v>PASS</x:v>
      </x:c>
      <x:c r="G872" t="str">
        <x:v>equals</x:v>
      </x:c>
      <x:c r="H872" t="str">
        <x:f>IF(E872=F872,"PASS","FAIL")</x:f>
        <x:v>PASS</x:v>
      </x:c>
    </x:row>
    <x:row r="873">
      <x:c r="B873" t="str">
        <x:v>A-00827</x:v>
      </x:c>
      <x:c r="C873" t="str">
        <x:v>GATE</x:v>
      </x:c>
      <x:c r="D873" t="str">
        <x:v>release state mirrors governing ledger</x:v>
      </x:c>
      <x:c r="E873" t="str">
        <x:f>'Release Gates'!I833</x:f>
        <x:v>PASS</x:v>
      </x:c>
      <x:c r="F873" t="str">
        <x:f>IF('Release Gates'!C833="PLANNING","PASS",IF('Release Gates'!C833="PHYSICAL","OPEN","BLOCKED"))</x:f>
        <x:v>PASS</x:v>
      </x:c>
      <x:c r="G873" t="str">
        <x:v>equals</x:v>
      </x:c>
      <x:c r="H873" t="str">
        <x:f>IF(E873=F873,"PASS","FAIL")</x:f>
        <x:v>PASS</x:v>
      </x:c>
    </x:row>
    <x:row r="874">
      <x:c r="B874" t="str">
        <x:v>A-00828</x:v>
      </x:c>
      <x:c r="C874" t="str">
        <x:v>GATE</x:v>
      </x:c>
      <x:c r="D874" t="str">
        <x:v>release state mirrors governing ledger</x:v>
      </x:c>
      <x:c r="E874" t="str">
        <x:f>'Release Gates'!I834</x:f>
        <x:v>PASS</x:v>
      </x:c>
      <x:c r="F874" t="str">
        <x:f>IF('Release Gates'!C834="PLANNING","PASS",IF('Release Gates'!C834="PHYSICAL","OPEN","BLOCKED"))</x:f>
        <x:v>PASS</x:v>
      </x:c>
      <x:c r="G874" t="str">
        <x:v>equals</x:v>
      </x:c>
      <x:c r="H874" t="str">
        <x:f>IF(E874=F874,"PASS","FAIL")</x:f>
        <x:v>PASS</x:v>
      </x:c>
    </x:row>
    <x:row r="875">
      <x:c r="B875" t="str">
        <x:v>A-00829</x:v>
      </x:c>
      <x:c r="C875" t="str">
        <x:v>GATE</x:v>
      </x:c>
      <x:c r="D875" t="str">
        <x:v>release state mirrors governing ledger</x:v>
      </x:c>
      <x:c r="E875" t="str">
        <x:f>'Release Gates'!I835</x:f>
        <x:v>PASS</x:v>
      </x:c>
      <x:c r="F875" t="str">
        <x:f>IF('Release Gates'!C835="PLANNING","PASS",IF('Release Gates'!C835="PHYSICAL","OPEN","BLOCKED"))</x:f>
        <x:v>PASS</x:v>
      </x:c>
      <x:c r="G875" t="str">
        <x:v>equals</x:v>
      </x:c>
      <x:c r="H875" t="str">
        <x:f>IF(E875=F875,"PASS","FAIL")</x:f>
        <x:v>PASS</x:v>
      </x:c>
    </x:row>
    <x:row r="876">
      <x:c r="B876" t="str">
        <x:v>A-00830</x:v>
      </x:c>
      <x:c r="C876" t="str">
        <x:v>GATE</x:v>
      </x:c>
      <x:c r="D876" t="str">
        <x:v>release state mirrors governing ledger</x:v>
      </x:c>
      <x:c r="E876" t="str">
        <x:f>'Release Gates'!I836</x:f>
        <x:v>PASS</x:v>
      </x:c>
      <x:c r="F876" t="str">
        <x:f>IF('Release Gates'!C836="PLANNING","PASS",IF('Release Gates'!C836="PHYSICAL","OPEN","BLOCKED"))</x:f>
        <x:v>PASS</x:v>
      </x:c>
      <x:c r="G876" t="str">
        <x:v>equals</x:v>
      </x:c>
      <x:c r="H876" t="str">
        <x:f>IF(E876=F876,"PASS","FAIL")</x:f>
        <x:v>PASS</x:v>
      </x:c>
    </x:row>
    <x:row r="877">
      <x:c r="B877" t="str">
        <x:v>A-00831</x:v>
      </x:c>
      <x:c r="C877" t="str">
        <x:v>GATE</x:v>
      </x:c>
      <x:c r="D877" t="str">
        <x:v>release state mirrors governing ledger</x:v>
      </x:c>
      <x:c r="E877" t="str">
        <x:f>'Release Gates'!I837</x:f>
        <x:v>PASS</x:v>
      </x:c>
      <x:c r="F877" t="str">
        <x:f>IF('Release Gates'!C837="PLANNING","PASS",IF('Release Gates'!C837="PHYSICAL","OPEN","BLOCKED"))</x:f>
        <x:v>PASS</x:v>
      </x:c>
      <x:c r="G877" t="str">
        <x:v>equals</x:v>
      </x:c>
      <x:c r="H877" t="str">
        <x:f>IF(E877=F877,"PASS","FAIL")</x:f>
        <x:v>PASS</x:v>
      </x:c>
    </x:row>
    <x:row r="878">
      <x:c r="B878" t="str">
        <x:v>A-00832</x:v>
      </x:c>
      <x:c r="C878" t="str">
        <x:v>GATE</x:v>
      </x:c>
      <x:c r="D878" t="str">
        <x:v>release state mirrors governing ledger</x:v>
      </x:c>
      <x:c r="E878" t="str">
        <x:f>'Release Gates'!I838</x:f>
        <x:v>PASS</x:v>
      </x:c>
      <x:c r="F878" t="str">
        <x:f>IF('Release Gates'!C838="PLANNING","PASS",IF('Release Gates'!C838="PHYSICAL","OPEN","BLOCKED"))</x:f>
        <x:v>PASS</x:v>
      </x:c>
      <x:c r="G878" t="str">
        <x:v>equals</x:v>
      </x:c>
      <x:c r="H878" t="str">
        <x:f>IF(E878=F878,"PASS","FAIL")</x:f>
        <x:v>PASS</x:v>
      </x:c>
    </x:row>
    <x:row r="879">
      <x:c r="B879" t="str">
        <x:v>A-00833</x:v>
      </x:c>
      <x:c r="C879" t="str">
        <x:v>GATE</x:v>
      </x:c>
      <x:c r="D879" t="str">
        <x:v>release state mirrors governing ledger</x:v>
      </x:c>
      <x:c r="E879" t="str">
        <x:f>'Release Gates'!I839</x:f>
        <x:v>PASS</x:v>
      </x:c>
      <x:c r="F879" t="str">
        <x:f>IF('Release Gates'!C839="PLANNING","PASS",IF('Release Gates'!C839="PHYSICAL","OPEN","BLOCKED"))</x:f>
        <x:v>PASS</x:v>
      </x:c>
      <x:c r="G879" t="str">
        <x:v>equals</x:v>
      </x:c>
      <x:c r="H879" t="str">
        <x:f>IF(E879=F879,"PASS","FAIL")</x:f>
        <x:v>PASS</x:v>
      </x:c>
    </x:row>
    <x:row r="880">
      <x:c r="B880" t="str">
        <x:v>A-00834</x:v>
      </x:c>
      <x:c r="C880" t="str">
        <x:v>GATE</x:v>
      </x:c>
      <x:c r="D880" t="str">
        <x:v>release state mirrors governing ledger</x:v>
      </x:c>
      <x:c r="E880" t="str">
        <x:f>'Release Gates'!I840</x:f>
        <x:v>PASS</x:v>
      </x:c>
      <x:c r="F880" t="str">
        <x:f>IF('Release Gates'!C840="PLANNING","PASS",IF('Release Gates'!C840="PHYSICAL","OPEN","BLOCKED"))</x:f>
        <x:v>PASS</x:v>
      </x:c>
      <x:c r="G880" t="str">
        <x:v>equals</x:v>
      </x:c>
      <x:c r="H880" t="str">
        <x:f>IF(E880=F880,"PASS","FAIL")</x:f>
        <x:v>PASS</x:v>
      </x:c>
    </x:row>
    <x:row r="881">
      <x:c r="B881" t="str">
        <x:v>A-00835</x:v>
      </x:c>
      <x:c r="C881" t="str">
        <x:v>GATE</x:v>
      </x:c>
      <x:c r="D881" t="str">
        <x:v>release state mirrors governing ledger</x:v>
      </x:c>
      <x:c r="E881" t="str">
        <x:f>'Release Gates'!I841</x:f>
        <x:v>PASS</x:v>
      </x:c>
      <x:c r="F881" t="str">
        <x:f>IF('Release Gates'!C841="PLANNING","PASS",IF('Release Gates'!C841="PHYSICAL","OPEN","BLOCKED"))</x:f>
        <x:v>PASS</x:v>
      </x:c>
      <x:c r="G881" t="str">
        <x:v>equals</x:v>
      </x:c>
      <x:c r="H881" t="str">
        <x:f>IF(E881=F881,"PASS","FAIL")</x:f>
        <x:v>PASS</x:v>
      </x:c>
    </x:row>
    <x:row r="882">
      <x:c r="B882" t="str">
        <x:v>A-00836</x:v>
      </x:c>
      <x:c r="C882" t="str">
        <x:v>GATE</x:v>
      </x:c>
      <x:c r="D882" t="str">
        <x:v>release state mirrors governing ledger</x:v>
      </x:c>
      <x:c r="E882" t="str">
        <x:f>'Release Gates'!I842</x:f>
        <x:v>PASS</x:v>
      </x:c>
      <x:c r="F882" t="str">
        <x:f>IF('Release Gates'!C842="PLANNING","PASS",IF('Release Gates'!C842="PHYSICAL","OPEN","BLOCKED"))</x:f>
        <x:v>PASS</x:v>
      </x:c>
      <x:c r="G882" t="str">
        <x:v>equals</x:v>
      </x:c>
      <x:c r="H882" t="str">
        <x:f>IF(E882=F882,"PASS","FAIL")</x:f>
        <x:v>PASS</x:v>
      </x:c>
    </x:row>
    <x:row r="883">
      <x:c r="B883" t="str">
        <x:v>A-00837</x:v>
      </x:c>
      <x:c r="C883" t="str">
        <x:v>GATE</x:v>
      </x:c>
      <x:c r="D883" t="str">
        <x:v>release state mirrors governing ledger</x:v>
      </x:c>
      <x:c r="E883" t="str">
        <x:f>'Release Gates'!I843</x:f>
        <x:v>PASS</x:v>
      </x:c>
      <x:c r="F883" t="str">
        <x:f>IF('Release Gates'!C843="PLANNING","PASS",IF('Release Gates'!C843="PHYSICAL","OPEN","BLOCKED"))</x:f>
        <x:v>PASS</x:v>
      </x:c>
      <x:c r="G883" t="str">
        <x:v>equals</x:v>
      </x:c>
      <x:c r="H883" t="str">
        <x:f>IF(E883=F883,"PASS","FAIL")</x:f>
        <x:v>PASS</x:v>
      </x:c>
    </x:row>
    <x:row r="884">
      <x:c r="B884" t="str">
        <x:v>A-00838</x:v>
      </x:c>
      <x:c r="C884" t="str">
        <x:v>GATE</x:v>
      </x:c>
      <x:c r="D884" t="str">
        <x:v>release state mirrors governing ledger</x:v>
      </x:c>
      <x:c r="E884" t="str">
        <x:f>'Release Gates'!I844</x:f>
        <x:v>PASS</x:v>
      </x:c>
      <x:c r="F884" t="str">
        <x:f>IF('Release Gates'!C844="PLANNING","PASS",IF('Release Gates'!C844="PHYSICAL","OPEN","BLOCKED"))</x:f>
        <x:v>PASS</x:v>
      </x:c>
      <x:c r="G884" t="str">
        <x:v>equals</x:v>
      </x:c>
      <x:c r="H884" t="str">
        <x:f>IF(E884=F884,"PASS","FAIL")</x:f>
        <x:v>PASS</x:v>
      </x:c>
    </x:row>
    <x:row r="885">
      <x:c r="B885" t="str">
        <x:v>A-00839</x:v>
      </x:c>
      <x:c r="C885" t="str">
        <x:v>GATE</x:v>
      </x:c>
      <x:c r="D885" t="str">
        <x:v>release state mirrors governing ledger</x:v>
      </x:c>
      <x:c r="E885" t="str">
        <x:f>'Release Gates'!I845</x:f>
        <x:v>PASS</x:v>
      </x:c>
      <x:c r="F885" t="str">
        <x:f>IF('Release Gates'!C845="PLANNING","PASS",IF('Release Gates'!C845="PHYSICAL","OPEN","BLOCKED"))</x:f>
        <x:v>PASS</x:v>
      </x:c>
      <x:c r="G885" t="str">
        <x:v>equals</x:v>
      </x:c>
      <x:c r="H885" t="str">
        <x:f>IF(E885=F885,"PASS","FAIL")</x:f>
        <x:v>PASS</x:v>
      </x:c>
    </x:row>
    <x:row r="886">
      <x:c r="B886" t="str">
        <x:v>A-00840</x:v>
      </x:c>
      <x:c r="C886" t="str">
        <x:v>GATE</x:v>
      </x:c>
      <x:c r="D886" t="str">
        <x:v>release state mirrors governing ledger</x:v>
      </x:c>
      <x:c r="E886" t="str">
        <x:f>'Release Gates'!I846</x:f>
        <x:v>PASS</x:v>
      </x:c>
      <x:c r="F886" t="str">
        <x:f>IF('Release Gates'!C846="PLANNING","PASS",IF('Release Gates'!C846="PHYSICAL","OPEN","BLOCKED"))</x:f>
        <x:v>PASS</x:v>
      </x:c>
      <x:c r="G886" t="str">
        <x:v>equals</x:v>
      </x:c>
      <x:c r="H886" t="str">
        <x:f>IF(E886=F886,"PASS","FAIL")</x:f>
        <x:v>PASS</x:v>
      </x:c>
    </x:row>
    <x:row r="887">
      <x:c r="B887" t="str">
        <x:v>A-00841</x:v>
      </x:c>
      <x:c r="C887" t="str">
        <x:v>GATE</x:v>
      </x:c>
      <x:c r="D887" t="str">
        <x:v>release state mirrors governing ledger</x:v>
      </x:c>
      <x:c r="E887" t="str">
        <x:f>'Release Gates'!I847</x:f>
        <x:v>PASS</x:v>
      </x:c>
      <x:c r="F887" t="str">
        <x:f>IF('Release Gates'!C847="PLANNING","PASS",IF('Release Gates'!C847="PHYSICAL","OPEN","BLOCKED"))</x:f>
        <x:v>PASS</x:v>
      </x:c>
      <x:c r="G887" t="str">
        <x:v>equals</x:v>
      </x:c>
      <x:c r="H887" t="str">
        <x:f>IF(E887=F887,"PASS","FAIL")</x:f>
        <x:v>PASS</x:v>
      </x:c>
    </x:row>
    <x:row r="888">
      <x:c r="B888" t="str">
        <x:v>A-00842</x:v>
      </x:c>
      <x:c r="C888" t="str">
        <x:v>GATE</x:v>
      </x:c>
      <x:c r="D888" t="str">
        <x:v>release state mirrors governing ledger</x:v>
      </x:c>
      <x:c r="E888" t="str">
        <x:f>'Release Gates'!I848</x:f>
        <x:v>PASS</x:v>
      </x:c>
      <x:c r="F888" t="str">
        <x:f>IF('Release Gates'!C848="PLANNING","PASS",IF('Release Gates'!C848="PHYSICAL","OPEN","BLOCKED"))</x:f>
        <x:v>PASS</x:v>
      </x:c>
      <x:c r="G888" t="str">
        <x:v>equals</x:v>
      </x:c>
      <x:c r="H888" t="str">
        <x:f>IF(E888=F888,"PASS","FAIL")</x:f>
        <x:v>PASS</x:v>
      </x:c>
    </x:row>
    <x:row r="889">
      <x:c r="B889" t="str">
        <x:v>A-00843</x:v>
      </x:c>
      <x:c r="C889" t="str">
        <x:v>GATE</x:v>
      </x:c>
      <x:c r="D889" t="str">
        <x:v>release state mirrors governing ledger</x:v>
      </x:c>
      <x:c r="E889" t="str">
        <x:f>'Release Gates'!I849</x:f>
        <x:v>PASS</x:v>
      </x:c>
      <x:c r="F889" t="str">
        <x:f>IF('Release Gates'!C849="PLANNING","PASS",IF('Release Gates'!C849="PHYSICAL","OPEN","BLOCKED"))</x:f>
        <x:v>PASS</x:v>
      </x:c>
      <x:c r="G889" t="str">
        <x:v>equals</x:v>
      </x:c>
      <x:c r="H889" t="str">
        <x:f>IF(E889=F889,"PASS","FAIL")</x:f>
        <x:v>PASS</x:v>
      </x:c>
    </x:row>
    <x:row r="890">
      <x:c r="B890" t="str">
        <x:v>A-00844</x:v>
      </x:c>
      <x:c r="C890" t="str">
        <x:v>GATE</x:v>
      </x:c>
      <x:c r="D890" t="str">
        <x:v>release state mirrors governing ledger</x:v>
      </x:c>
      <x:c r="E890" t="str">
        <x:f>'Release Gates'!I850</x:f>
        <x:v>PASS</x:v>
      </x:c>
      <x:c r="F890" t="str">
        <x:f>IF('Release Gates'!C850="PLANNING","PASS",IF('Release Gates'!C850="PHYSICAL","OPEN","BLOCKED"))</x:f>
        <x:v>PASS</x:v>
      </x:c>
      <x:c r="G890" t="str">
        <x:v>equals</x:v>
      </x:c>
      <x:c r="H890" t="str">
        <x:f>IF(E890=F890,"PASS","FAIL")</x:f>
        <x:v>PASS</x:v>
      </x:c>
    </x:row>
    <x:row r="891">
      <x:c r="B891" t="str">
        <x:v>A-00845</x:v>
      </x:c>
      <x:c r="C891" t="str">
        <x:v>GATE</x:v>
      </x:c>
      <x:c r="D891" t="str">
        <x:v>release state mirrors governing ledger</x:v>
      </x:c>
      <x:c r="E891" t="str">
        <x:f>'Release Gates'!I851</x:f>
        <x:v>PASS</x:v>
      </x:c>
      <x:c r="F891" t="str">
        <x:f>IF('Release Gates'!C851="PLANNING","PASS",IF('Release Gates'!C851="PHYSICAL","OPEN","BLOCKED"))</x:f>
        <x:v>PASS</x:v>
      </x:c>
      <x:c r="G891" t="str">
        <x:v>equals</x:v>
      </x:c>
      <x:c r="H891" t="str">
        <x:f>IF(E891=F891,"PASS","FAIL")</x:f>
        <x:v>PASS</x:v>
      </x:c>
    </x:row>
    <x:row r="892">
      <x:c r="B892" t="str">
        <x:v>A-00846</x:v>
      </x:c>
      <x:c r="C892" t="str">
        <x:v>GATE</x:v>
      </x:c>
      <x:c r="D892" t="str">
        <x:v>release state mirrors governing ledger</x:v>
      </x:c>
      <x:c r="E892" t="str">
        <x:f>'Release Gates'!I852</x:f>
        <x:v>PASS</x:v>
      </x:c>
      <x:c r="F892" t="str">
        <x:f>IF('Release Gates'!C852="PLANNING","PASS",IF('Release Gates'!C852="PHYSICAL","OPEN","BLOCKED"))</x:f>
        <x:v>PASS</x:v>
      </x:c>
      <x:c r="G892" t="str">
        <x:v>equals</x:v>
      </x:c>
      <x:c r="H892" t="str">
        <x:f>IF(E892=F892,"PASS","FAIL")</x:f>
        <x:v>PASS</x:v>
      </x:c>
    </x:row>
    <x:row r="893">
      <x:c r="B893" t="str">
        <x:v>A-00847</x:v>
      </x:c>
      <x:c r="C893" t="str">
        <x:v>GATE</x:v>
      </x:c>
      <x:c r="D893" t="str">
        <x:v>release state mirrors governing ledger</x:v>
      </x:c>
      <x:c r="E893" t="str">
        <x:f>'Release Gates'!I853</x:f>
        <x:v>PASS</x:v>
      </x:c>
      <x:c r="F893" t="str">
        <x:f>IF('Release Gates'!C853="PLANNING","PASS",IF('Release Gates'!C853="PHYSICAL","OPEN","BLOCKED"))</x:f>
        <x:v>PASS</x:v>
      </x:c>
      <x:c r="G893" t="str">
        <x:v>equals</x:v>
      </x:c>
      <x:c r="H893" t="str">
        <x:f>IF(E893=F893,"PASS","FAIL")</x:f>
        <x:v>PASS</x:v>
      </x:c>
    </x:row>
    <x:row r="894">
      <x:c r="B894" t="str">
        <x:v>A-00848</x:v>
      </x:c>
      <x:c r="C894" t="str">
        <x:v>GATE</x:v>
      </x:c>
      <x:c r="D894" t="str">
        <x:v>release state mirrors governing ledger</x:v>
      </x:c>
      <x:c r="E894" t="str">
        <x:f>'Release Gates'!I854</x:f>
        <x:v>PASS</x:v>
      </x:c>
      <x:c r="F894" t="str">
        <x:f>IF('Release Gates'!C854="PLANNING","PASS",IF('Release Gates'!C854="PHYSICAL","OPEN","BLOCKED"))</x:f>
        <x:v>PASS</x:v>
      </x:c>
      <x:c r="G894" t="str">
        <x:v>equals</x:v>
      </x:c>
      <x:c r="H894" t="str">
        <x:f>IF(E894=F894,"PASS","FAIL")</x:f>
        <x:v>PASS</x:v>
      </x:c>
    </x:row>
    <x:row r="895">
      <x:c r="B895" t="str">
        <x:v>A-00849</x:v>
      </x:c>
      <x:c r="C895" t="str">
        <x:v>GATE</x:v>
      </x:c>
      <x:c r="D895" t="str">
        <x:v>release state mirrors governing ledger</x:v>
      </x:c>
      <x:c r="E895" t="str">
        <x:f>'Release Gates'!I855</x:f>
        <x:v>PASS</x:v>
      </x:c>
      <x:c r="F895" t="str">
        <x:f>IF('Release Gates'!C855="PLANNING","PASS",IF('Release Gates'!C855="PHYSICAL","OPEN","BLOCKED"))</x:f>
        <x:v>PASS</x:v>
      </x:c>
      <x:c r="G895" t="str">
        <x:v>equals</x:v>
      </x:c>
      <x:c r="H895" t="str">
        <x:f>IF(E895=F895,"PASS","FAIL")</x:f>
        <x:v>PASS</x:v>
      </x:c>
    </x:row>
    <x:row r="896">
      <x:c r="B896" t="str">
        <x:v>A-00850</x:v>
      </x:c>
      <x:c r="C896" t="str">
        <x:v>GATE</x:v>
      </x:c>
      <x:c r="D896" t="str">
        <x:v>release state mirrors governing ledger</x:v>
      </x:c>
      <x:c r="E896" t="str">
        <x:f>'Release Gates'!I856</x:f>
        <x:v>PASS</x:v>
      </x:c>
      <x:c r="F896" t="str">
        <x:f>IF('Release Gates'!C856="PLANNING","PASS",IF('Release Gates'!C856="PHYSICAL","OPEN","BLOCKED"))</x:f>
        <x:v>PASS</x:v>
      </x:c>
      <x:c r="G896" t="str">
        <x:v>equals</x:v>
      </x:c>
      <x:c r="H896" t="str">
        <x:f>IF(E896=F896,"PASS","FAIL")</x:f>
        <x:v>PASS</x:v>
      </x:c>
    </x:row>
    <x:row r="897">
      <x:c r="B897" t="str">
        <x:v>A-00851</x:v>
      </x:c>
      <x:c r="C897" t="str">
        <x:v>GATE</x:v>
      </x:c>
      <x:c r="D897" t="str">
        <x:v>release state mirrors governing ledger</x:v>
      </x:c>
      <x:c r="E897" t="str">
        <x:f>'Release Gates'!I857</x:f>
        <x:v>PASS</x:v>
      </x:c>
      <x:c r="F897" t="str">
        <x:f>IF('Release Gates'!C857="PLANNING","PASS",IF('Release Gates'!C857="PHYSICAL","OPEN","BLOCKED"))</x:f>
        <x:v>PASS</x:v>
      </x:c>
      <x:c r="G897" t="str">
        <x:v>equals</x:v>
      </x:c>
      <x:c r="H897" t="str">
        <x:f>IF(E897=F897,"PASS","FAIL")</x:f>
        <x:v>PASS</x:v>
      </x:c>
    </x:row>
    <x:row r="898">
      <x:c r="B898" t="str">
        <x:v>A-00852</x:v>
      </x:c>
      <x:c r="C898" t="str">
        <x:v>GATE</x:v>
      </x:c>
      <x:c r="D898" t="str">
        <x:v>release state mirrors governing ledger</x:v>
      </x:c>
      <x:c r="E898" t="str">
        <x:f>'Release Gates'!I858</x:f>
        <x:v>PASS</x:v>
      </x:c>
      <x:c r="F898" t="str">
        <x:f>IF('Release Gates'!C858="PLANNING","PASS",IF('Release Gates'!C858="PHYSICAL","OPEN","BLOCKED"))</x:f>
        <x:v>PASS</x:v>
      </x:c>
      <x:c r="G898" t="str">
        <x:v>equals</x:v>
      </x:c>
      <x:c r="H898" t="str">
        <x:f>IF(E898=F898,"PASS","FAIL")</x:f>
        <x:v>PASS</x:v>
      </x:c>
    </x:row>
    <x:row r="899">
      <x:c r="B899" t="str">
        <x:v>A-00853</x:v>
      </x:c>
      <x:c r="C899" t="str">
        <x:v>GATE</x:v>
      </x:c>
      <x:c r="D899" t="str">
        <x:v>release state mirrors governing ledger</x:v>
      </x:c>
      <x:c r="E899" t="str">
        <x:f>'Release Gates'!I859</x:f>
        <x:v>PASS</x:v>
      </x:c>
      <x:c r="F899" t="str">
        <x:f>IF('Release Gates'!C859="PLANNING","PASS",IF('Release Gates'!C859="PHYSICAL","OPEN","BLOCKED"))</x:f>
        <x:v>PASS</x:v>
      </x:c>
      <x:c r="G899" t="str">
        <x:v>equals</x:v>
      </x:c>
      <x:c r="H899" t="str">
        <x:f>IF(E899=F899,"PASS","FAIL")</x:f>
        <x:v>PASS</x:v>
      </x:c>
    </x:row>
    <x:row r="900">
      <x:c r="B900" t="str">
        <x:v>A-00854</x:v>
      </x:c>
      <x:c r="C900" t="str">
        <x:v>GATE</x:v>
      </x:c>
      <x:c r="D900" t="str">
        <x:v>release state mirrors governing ledger</x:v>
      </x:c>
      <x:c r="E900" t="str">
        <x:f>'Release Gates'!I860</x:f>
        <x:v>PASS</x:v>
      </x:c>
      <x:c r="F900" t="str">
        <x:f>IF('Release Gates'!C860="PLANNING","PASS",IF('Release Gates'!C860="PHYSICAL","OPEN","BLOCKED"))</x:f>
        <x:v>PASS</x:v>
      </x:c>
      <x:c r="G900" t="str">
        <x:v>equals</x:v>
      </x:c>
      <x:c r="H900" t="str">
        <x:f>IF(E900=F900,"PASS","FAIL")</x:f>
        <x:v>PASS</x:v>
      </x:c>
    </x:row>
    <x:row r="901">
      <x:c r="B901" t="str">
        <x:v>A-00855</x:v>
      </x:c>
      <x:c r="C901" t="str">
        <x:v>GATE</x:v>
      </x:c>
      <x:c r="D901" t="str">
        <x:v>release state mirrors governing ledger</x:v>
      </x:c>
      <x:c r="E901" t="str">
        <x:f>'Release Gates'!I861</x:f>
        <x:v>PASS</x:v>
      </x:c>
      <x:c r="F901" t="str">
        <x:f>IF('Release Gates'!C861="PLANNING","PASS",IF('Release Gates'!C861="PHYSICAL","OPEN","BLOCKED"))</x:f>
        <x:v>PASS</x:v>
      </x:c>
      <x:c r="G901" t="str">
        <x:v>equals</x:v>
      </x:c>
      <x:c r="H901" t="str">
        <x:f>IF(E901=F901,"PASS","FAIL")</x:f>
        <x:v>PASS</x:v>
      </x:c>
    </x:row>
    <x:row r="902">
      <x:c r="B902" t="str">
        <x:v>A-00856</x:v>
      </x:c>
      <x:c r="C902" t="str">
        <x:v>GATE</x:v>
      </x:c>
      <x:c r="D902" t="str">
        <x:v>release state mirrors governing ledger</x:v>
      </x:c>
      <x:c r="E902" t="str">
        <x:f>'Release Gates'!I862</x:f>
        <x:v>PASS</x:v>
      </x:c>
      <x:c r="F902" t="str">
        <x:f>IF('Release Gates'!C862="PLANNING","PASS",IF('Release Gates'!C862="PHYSICAL","OPEN","BLOCKED"))</x:f>
        <x:v>PASS</x:v>
      </x:c>
      <x:c r="G902" t="str">
        <x:v>equals</x:v>
      </x:c>
      <x:c r="H902" t="str">
        <x:f>IF(E902=F902,"PASS","FAIL")</x:f>
        <x:v>PASS</x:v>
      </x:c>
    </x:row>
    <x:row r="903">
      <x:c r="B903" t="str">
        <x:v>A-00857</x:v>
      </x:c>
      <x:c r="C903" t="str">
        <x:v>GATE</x:v>
      </x:c>
      <x:c r="D903" t="str">
        <x:v>release state mirrors governing ledger</x:v>
      </x:c>
      <x:c r="E903" t="str">
        <x:f>'Release Gates'!I863</x:f>
        <x:v>PASS</x:v>
      </x:c>
      <x:c r="F903" t="str">
        <x:f>IF('Release Gates'!C863="PLANNING","PASS",IF('Release Gates'!C863="PHYSICAL","OPEN","BLOCKED"))</x:f>
        <x:v>PASS</x:v>
      </x:c>
      <x:c r="G903" t="str">
        <x:v>equals</x:v>
      </x:c>
      <x:c r="H903" t="str">
        <x:f>IF(E903=F903,"PASS","FAIL")</x:f>
        <x:v>PASS</x:v>
      </x:c>
    </x:row>
    <x:row r="904">
      <x:c r="B904" t="str">
        <x:v>A-00858</x:v>
      </x:c>
      <x:c r="C904" t="str">
        <x:v>GATE</x:v>
      </x:c>
      <x:c r="D904" t="str">
        <x:v>release state mirrors governing ledger</x:v>
      </x:c>
      <x:c r="E904" t="str">
        <x:f>'Release Gates'!I864</x:f>
        <x:v>PASS</x:v>
      </x:c>
      <x:c r="F904" t="str">
        <x:f>IF('Release Gates'!C864="PLANNING","PASS",IF('Release Gates'!C864="PHYSICAL","OPEN","BLOCKED"))</x:f>
        <x:v>PASS</x:v>
      </x:c>
      <x:c r="G904" t="str">
        <x:v>equals</x:v>
      </x:c>
      <x:c r="H904" t="str">
        <x:f>IF(E904=F904,"PASS","FAIL")</x:f>
        <x:v>PASS</x:v>
      </x:c>
    </x:row>
    <x:row r="905">
      <x:c r="B905" t="str">
        <x:v>A-00859</x:v>
      </x:c>
      <x:c r="C905" t="str">
        <x:v>GATE</x:v>
      </x:c>
      <x:c r="D905" t="str">
        <x:v>release state mirrors governing ledger</x:v>
      </x:c>
      <x:c r="E905" t="str">
        <x:f>'Release Gates'!I865</x:f>
        <x:v>PASS</x:v>
      </x:c>
      <x:c r="F905" t="str">
        <x:f>IF('Release Gates'!C865="PLANNING","PASS",IF('Release Gates'!C865="PHYSICAL","OPEN","BLOCKED"))</x:f>
        <x:v>PASS</x:v>
      </x:c>
      <x:c r="G905" t="str">
        <x:v>equals</x:v>
      </x:c>
      <x:c r="H905" t="str">
        <x:f>IF(E905=F905,"PASS","FAIL")</x:f>
        <x:v>PASS</x:v>
      </x:c>
    </x:row>
    <x:row r="906">
      <x:c r="B906" t="str">
        <x:v>A-00860</x:v>
      </x:c>
      <x:c r="C906" t="str">
        <x:v>GATE</x:v>
      </x:c>
      <x:c r="D906" t="str">
        <x:v>release state mirrors governing ledger</x:v>
      </x:c>
      <x:c r="E906" t="str">
        <x:f>'Release Gates'!I866</x:f>
        <x:v>PASS</x:v>
      </x:c>
      <x:c r="F906" t="str">
        <x:f>IF('Release Gates'!C866="PLANNING","PASS",IF('Release Gates'!C866="PHYSICAL","OPEN","BLOCKED"))</x:f>
        <x:v>PASS</x:v>
      </x:c>
      <x:c r="G906" t="str">
        <x:v>equals</x:v>
      </x:c>
      <x:c r="H906" t="str">
        <x:f>IF(E906=F906,"PASS","FAIL")</x:f>
        <x:v>PASS</x:v>
      </x:c>
    </x:row>
    <x:row r="907">
      <x:c r="B907" t="str">
        <x:v>A-00861</x:v>
      </x:c>
      <x:c r="C907" t="str">
        <x:v>GATE</x:v>
      </x:c>
      <x:c r="D907" t="str">
        <x:v>release state mirrors governing ledger</x:v>
      </x:c>
      <x:c r="E907" t="str">
        <x:f>'Release Gates'!I867</x:f>
        <x:v>PASS</x:v>
      </x:c>
      <x:c r="F907" t="str">
        <x:f>IF('Release Gates'!C867="PLANNING","PASS",IF('Release Gates'!C867="PHYSICAL","OPEN","BLOCKED"))</x:f>
        <x:v>PASS</x:v>
      </x:c>
      <x:c r="G907" t="str">
        <x:v>equals</x:v>
      </x:c>
      <x:c r="H907" t="str">
        <x:f>IF(E907=F907,"PASS","FAIL")</x:f>
        <x:v>PASS</x:v>
      </x:c>
    </x:row>
    <x:row r="908">
      <x:c r="B908" t="str">
        <x:v>A-00862</x:v>
      </x:c>
      <x:c r="C908" t="str">
        <x:v>GATE</x:v>
      </x:c>
      <x:c r="D908" t="str">
        <x:v>release state mirrors governing ledger</x:v>
      </x:c>
      <x:c r="E908" t="str">
        <x:f>'Release Gates'!I868</x:f>
        <x:v>PASS</x:v>
      </x:c>
      <x:c r="F908" t="str">
        <x:f>IF('Release Gates'!C868="PLANNING","PASS",IF('Release Gates'!C868="PHYSICAL","OPEN","BLOCKED"))</x:f>
        <x:v>PASS</x:v>
      </x:c>
      <x:c r="G908" t="str">
        <x:v>equals</x:v>
      </x:c>
      <x:c r="H908" t="str">
        <x:f>IF(E908=F908,"PASS","FAIL")</x:f>
        <x:v>PASS</x:v>
      </x:c>
    </x:row>
    <x:row r="909">
      <x:c r="B909" t="str">
        <x:v>A-00863</x:v>
      </x:c>
      <x:c r="C909" t="str">
        <x:v>GATE</x:v>
      </x:c>
      <x:c r="D909" t="str">
        <x:v>release state mirrors governing ledger</x:v>
      </x:c>
      <x:c r="E909" t="str">
        <x:f>'Release Gates'!I869</x:f>
        <x:v>PASS</x:v>
      </x:c>
      <x:c r="F909" t="str">
        <x:f>IF('Release Gates'!C869="PLANNING","PASS",IF('Release Gates'!C869="PHYSICAL","OPEN","BLOCKED"))</x:f>
        <x:v>PASS</x:v>
      </x:c>
      <x:c r="G909" t="str">
        <x:v>equals</x:v>
      </x:c>
      <x:c r="H909" t="str">
        <x:f>IF(E909=F909,"PASS","FAIL")</x:f>
        <x:v>PASS</x:v>
      </x:c>
    </x:row>
    <x:row r="910">
      <x:c r="B910" t="str">
        <x:v>A-00864</x:v>
      </x:c>
      <x:c r="C910" t="str">
        <x:v>GATE</x:v>
      </x:c>
      <x:c r="D910" t="str">
        <x:v>release state mirrors governing ledger</x:v>
      </x:c>
      <x:c r="E910" t="str">
        <x:f>'Release Gates'!I870</x:f>
        <x:v>PASS</x:v>
      </x:c>
      <x:c r="F910" t="str">
        <x:f>IF('Release Gates'!C870="PLANNING","PASS",IF('Release Gates'!C870="PHYSICAL","OPEN","BLOCKED"))</x:f>
        <x:v>PASS</x:v>
      </x:c>
      <x:c r="G910" t="str">
        <x:v>equals</x:v>
      </x:c>
      <x:c r="H910" t="str">
        <x:f>IF(E910=F910,"PASS","FAIL")</x:f>
        <x:v>PASS</x:v>
      </x:c>
    </x:row>
    <x:row r="911">
      <x:c r="B911" t="str">
        <x:v>A-00865</x:v>
      </x:c>
      <x:c r="C911" t="str">
        <x:v>GATE</x:v>
      </x:c>
      <x:c r="D911" t="str">
        <x:v>release state mirrors governing ledger</x:v>
      </x:c>
      <x:c r="E911" t="str">
        <x:f>'Release Gates'!I871</x:f>
        <x:v>PASS</x:v>
      </x:c>
      <x:c r="F911" t="str">
        <x:f>IF('Release Gates'!C871="PLANNING","PASS",IF('Release Gates'!C871="PHYSICAL","OPEN","BLOCKED"))</x:f>
        <x:v>PASS</x:v>
      </x:c>
      <x:c r="G911" t="str">
        <x:v>equals</x:v>
      </x:c>
      <x:c r="H911" t="str">
        <x:f>IF(E911=F911,"PASS","FAIL")</x:f>
        <x:v>PASS</x:v>
      </x:c>
    </x:row>
    <x:row r="912">
      <x:c r="B912" t="str">
        <x:v>A-00866</x:v>
      </x:c>
      <x:c r="C912" t="str">
        <x:v>GATE</x:v>
      </x:c>
      <x:c r="D912" t="str">
        <x:v>release state mirrors governing ledger</x:v>
      </x:c>
      <x:c r="E912" t="str">
        <x:f>'Release Gates'!I872</x:f>
        <x:v>PASS</x:v>
      </x:c>
      <x:c r="F912" t="str">
        <x:f>IF('Release Gates'!C872="PLANNING","PASS",IF('Release Gates'!C872="PHYSICAL","OPEN","BLOCKED"))</x:f>
        <x:v>PASS</x:v>
      </x:c>
      <x:c r="G912" t="str">
        <x:v>equals</x:v>
      </x:c>
      <x:c r="H912" t="str">
        <x:f>IF(E912=F912,"PASS","FAIL")</x:f>
        <x:v>PASS</x:v>
      </x:c>
    </x:row>
    <x:row r="913">
      <x:c r="B913" t="str">
        <x:v>A-00867</x:v>
      </x:c>
      <x:c r="C913" t="str">
        <x:v>GATE</x:v>
      </x:c>
      <x:c r="D913" t="str">
        <x:v>release state mirrors governing ledger</x:v>
      </x:c>
      <x:c r="E913" t="str">
        <x:f>'Release Gates'!I873</x:f>
        <x:v>PASS</x:v>
      </x:c>
      <x:c r="F913" t="str">
        <x:f>IF('Release Gates'!C873="PLANNING","PASS",IF('Release Gates'!C873="PHYSICAL","OPEN","BLOCKED"))</x:f>
        <x:v>PASS</x:v>
      </x:c>
      <x:c r="G913" t="str">
        <x:v>equals</x:v>
      </x:c>
      <x:c r="H913" t="str">
        <x:f>IF(E913=F913,"PASS","FAIL")</x:f>
        <x:v>PASS</x:v>
      </x:c>
    </x:row>
    <x:row r="914">
      <x:c r="B914" t="str">
        <x:v>A-00868</x:v>
      </x:c>
      <x:c r="C914" t="str">
        <x:v>GATE</x:v>
      </x:c>
      <x:c r="D914" t="str">
        <x:v>release state mirrors governing ledger</x:v>
      </x:c>
      <x:c r="E914" t="str">
        <x:f>'Release Gates'!I874</x:f>
        <x:v>PASS</x:v>
      </x:c>
      <x:c r="F914" t="str">
        <x:f>IF('Release Gates'!C874="PLANNING","PASS",IF('Release Gates'!C874="PHYSICAL","OPEN","BLOCKED"))</x:f>
        <x:v>PASS</x:v>
      </x:c>
      <x:c r="G914" t="str">
        <x:v>equals</x:v>
      </x:c>
      <x:c r="H914" t="str">
        <x:f>IF(E914=F914,"PASS","FAIL")</x:f>
        <x:v>PASS</x:v>
      </x:c>
    </x:row>
    <x:row r="915">
      <x:c r="B915" t="str">
        <x:v>A-00869</x:v>
      </x:c>
      <x:c r="C915" t="str">
        <x:v>GATE</x:v>
      </x:c>
      <x:c r="D915" t="str">
        <x:v>release state mirrors governing ledger</x:v>
      </x:c>
      <x:c r="E915" t="str">
        <x:f>'Release Gates'!I875</x:f>
        <x:v>PASS</x:v>
      </x:c>
      <x:c r="F915" t="str">
        <x:f>IF('Release Gates'!C875="PLANNING","PASS",IF('Release Gates'!C875="PHYSICAL","OPEN","BLOCKED"))</x:f>
        <x:v>PASS</x:v>
      </x:c>
      <x:c r="G915" t="str">
        <x:v>equals</x:v>
      </x:c>
      <x:c r="H915" t="str">
        <x:f>IF(E915=F915,"PASS","FAIL")</x:f>
        <x:v>PASS</x:v>
      </x:c>
    </x:row>
    <x:row r="916">
      <x:c r="B916" t="str">
        <x:v>A-00870</x:v>
      </x:c>
      <x:c r="C916" t="str">
        <x:v>GATE</x:v>
      </x:c>
      <x:c r="D916" t="str">
        <x:v>release state mirrors governing ledger</x:v>
      </x:c>
      <x:c r="E916" t="str">
        <x:f>'Release Gates'!I876</x:f>
        <x:v>PASS</x:v>
      </x:c>
      <x:c r="F916" t="str">
        <x:f>IF('Release Gates'!C876="PLANNING","PASS",IF('Release Gates'!C876="PHYSICAL","OPEN","BLOCKED"))</x:f>
        <x:v>PASS</x:v>
      </x:c>
      <x:c r="G916" t="str">
        <x:v>equals</x:v>
      </x:c>
      <x:c r="H916" t="str">
        <x:f>IF(E916=F916,"PASS","FAIL")</x:f>
        <x:v>PASS</x:v>
      </x:c>
    </x:row>
    <x:row r="917">
      <x:c r="B917" t="str">
        <x:v>A-00871</x:v>
      </x:c>
      <x:c r="C917" t="str">
        <x:v>GATE</x:v>
      </x:c>
      <x:c r="D917" t="str">
        <x:v>release state mirrors governing ledger</x:v>
      </x:c>
      <x:c r="E917" t="str">
        <x:f>'Release Gates'!I877</x:f>
        <x:v>PASS</x:v>
      </x:c>
      <x:c r="F917" t="str">
        <x:f>IF('Release Gates'!C877="PLANNING","PASS",IF('Release Gates'!C877="PHYSICAL","OPEN","BLOCKED"))</x:f>
        <x:v>PASS</x:v>
      </x:c>
      <x:c r="G917" t="str">
        <x:v>equals</x:v>
      </x:c>
      <x:c r="H917" t="str">
        <x:f>IF(E917=F917,"PASS","FAIL")</x:f>
        <x:v>PASS</x:v>
      </x:c>
    </x:row>
    <x:row r="918">
      <x:c r="B918" t="str">
        <x:v>A-00872</x:v>
      </x:c>
      <x:c r="C918" t="str">
        <x:v>GATE</x:v>
      </x:c>
      <x:c r="D918" t="str">
        <x:v>release state mirrors governing ledger</x:v>
      </x:c>
      <x:c r="E918" t="str">
        <x:f>'Release Gates'!I878</x:f>
        <x:v>PASS</x:v>
      </x:c>
      <x:c r="F918" t="str">
        <x:f>IF('Release Gates'!C878="PLANNING","PASS",IF('Release Gates'!C878="PHYSICAL","OPEN","BLOCKED"))</x:f>
        <x:v>PASS</x:v>
      </x:c>
      <x:c r="G918" t="str">
        <x:v>equals</x:v>
      </x:c>
      <x:c r="H918" t="str">
        <x:f>IF(E918=F918,"PASS","FAIL")</x:f>
        <x:v>PASS</x:v>
      </x:c>
    </x:row>
    <x:row r="919">
      <x:c r="B919" t="str">
        <x:v>A-00873</x:v>
      </x:c>
      <x:c r="C919" t="str">
        <x:v>GATE</x:v>
      </x:c>
      <x:c r="D919" t="str">
        <x:v>release state mirrors governing ledger</x:v>
      </x:c>
      <x:c r="E919" t="str">
        <x:f>'Release Gates'!I879</x:f>
        <x:v>PASS</x:v>
      </x:c>
      <x:c r="F919" t="str">
        <x:f>IF('Release Gates'!C879="PLANNING","PASS",IF('Release Gates'!C879="PHYSICAL","OPEN","BLOCKED"))</x:f>
        <x:v>PASS</x:v>
      </x:c>
      <x:c r="G919" t="str">
        <x:v>equals</x:v>
      </x:c>
      <x:c r="H919" t="str">
        <x:f>IF(E919=F919,"PASS","FAIL")</x:f>
        <x:v>PASS</x:v>
      </x:c>
    </x:row>
    <x:row r="920">
      <x:c r="B920" t="str">
        <x:v>A-00874</x:v>
      </x:c>
      <x:c r="C920" t="str">
        <x:v>GATE</x:v>
      </x:c>
      <x:c r="D920" t="str">
        <x:v>release state mirrors governing ledger</x:v>
      </x:c>
      <x:c r="E920" t="str">
        <x:f>'Release Gates'!I880</x:f>
        <x:v>PASS</x:v>
      </x:c>
      <x:c r="F920" t="str">
        <x:f>IF('Release Gates'!C880="PLANNING","PASS",IF('Release Gates'!C880="PHYSICAL","OPEN","BLOCKED"))</x:f>
        <x:v>PASS</x:v>
      </x:c>
      <x:c r="G920" t="str">
        <x:v>equals</x:v>
      </x:c>
      <x:c r="H920" t="str">
        <x:f>IF(E920=F920,"PASS","FAIL")</x:f>
        <x:v>PASS</x:v>
      </x:c>
    </x:row>
    <x:row r="921">
      <x:c r="B921" t="str">
        <x:v>A-00875</x:v>
      </x:c>
      <x:c r="C921" t="str">
        <x:v>GATE</x:v>
      </x:c>
      <x:c r="D921" t="str">
        <x:v>release state mirrors governing ledger</x:v>
      </x:c>
      <x:c r="E921" t="str">
        <x:f>'Release Gates'!I881</x:f>
        <x:v>PASS</x:v>
      </x:c>
      <x:c r="F921" t="str">
        <x:f>IF('Release Gates'!C881="PLANNING","PASS",IF('Release Gates'!C881="PHYSICAL","OPEN","BLOCKED"))</x:f>
        <x:v>PASS</x:v>
      </x:c>
      <x:c r="G921" t="str">
        <x:v>equals</x:v>
      </x:c>
      <x:c r="H921" t="str">
        <x:f>IF(E921=F921,"PASS","FAIL")</x:f>
        <x:v>PASS</x:v>
      </x:c>
    </x:row>
    <x:row r="922">
      <x:c r="B922" t="str">
        <x:v>A-00876</x:v>
      </x:c>
      <x:c r="C922" t="str">
        <x:v>GATE</x:v>
      </x:c>
      <x:c r="D922" t="str">
        <x:v>release state mirrors governing ledger</x:v>
      </x:c>
      <x:c r="E922" t="str">
        <x:f>'Release Gates'!I882</x:f>
        <x:v>PASS</x:v>
      </x:c>
      <x:c r="F922" t="str">
        <x:f>IF('Release Gates'!C882="PLANNING","PASS",IF('Release Gates'!C882="PHYSICAL","OPEN","BLOCKED"))</x:f>
        <x:v>PASS</x:v>
      </x:c>
      <x:c r="G922" t="str">
        <x:v>equals</x:v>
      </x:c>
      <x:c r="H922" t="str">
        <x:f>IF(E922=F922,"PASS","FAIL")</x:f>
        <x:v>PASS</x:v>
      </x:c>
    </x:row>
    <x:row r="923">
      <x:c r="B923" t="str">
        <x:v>A-00877</x:v>
      </x:c>
      <x:c r="C923" t="str">
        <x:v>GATE</x:v>
      </x:c>
      <x:c r="D923" t="str">
        <x:v>release state mirrors governing ledger</x:v>
      </x:c>
      <x:c r="E923" t="str">
        <x:f>'Release Gates'!I883</x:f>
        <x:v>PASS</x:v>
      </x:c>
      <x:c r="F923" t="str">
        <x:f>IF('Release Gates'!C883="PLANNING","PASS",IF('Release Gates'!C883="PHYSICAL","OPEN","BLOCKED"))</x:f>
        <x:v>PASS</x:v>
      </x:c>
      <x:c r="G923" t="str">
        <x:v>equals</x:v>
      </x:c>
      <x:c r="H923" t="str">
        <x:f>IF(E923=F923,"PASS","FAIL")</x:f>
        <x:v>PASS</x:v>
      </x:c>
    </x:row>
    <x:row r="924">
      <x:c r="B924" t="str">
        <x:v>A-00878</x:v>
      </x:c>
      <x:c r="C924" t="str">
        <x:v>GATE</x:v>
      </x:c>
      <x:c r="D924" t="str">
        <x:v>release state mirrors governing ledger</x:v>
      </x:c>
      <x:c r="E924" t="str">
        <x:f>'Release Gates'!I884</x:f>
        <x:v>PASS</x:v>
      </x:c>
      <x:c r="F924" t="str">
        <x:f>IF('Release Gates'!C884="PLANNING","PASS",IF('Release Gates'!C884="PHYSICAL","OPEN","BLOCKED"))</x:f>
        <x:v>PASS</x:v>
      </x:c>
      <x:c r="G924" t="str">
        <x:v>equals</x:v>
      </x:c>
      <x:c r="H924" t="str">
        <x:f>IF(E924=F924,"PASS","FAIL")</x:f>
        <x:v>PASS</x:v>
      </x:c>
    </x:row>
    <x:row r="925">
      <x:c r="B925" t="str">
        <x:v>A-00879</x:v>
      </x:c>
      <x:c r="C925" t="str">
        <x:v>GATE</x:v>
      </x:c>
      <x:c r="D925" t="str">
        <x:v>release state mirrors governing ledger</x:v>
      </x:c>
      <x:c r="E925" t="str">
        <x:f>'Release Gates'!I885</x:f>
        <x:v>PASS</x:v>
      </x:c>
      <x:c r="F925" t="str">
        <x:f>IF('Release Gates'!C885="PLANNING","PASS",IF('Release Gates'!C885="PHYSICAL","OPEN","BLOCKED"))</x:f>
        <x:v>PASS</x:v>
      </x:c>
      <x:c r="G925" t="str">
        <x:v>equals</x:v>
      </x:c>
      <x:c r="H925" t="str">
        <x:f>IF(E925=F925,"PASS","FAIL")</x:f>
        <x:v>PASS</x:v>
      </x:c>
    </x:row>
    <x:row r="926">
      <x:c r="B926" t="str">
        <x:v>A-00880</x:v>
      </x:c>
      <x:c r="C926" t="str">
        <x:v>GATE</x:v>
      </x:c>
      <x:c r="D926" t="str">
        <x:v>release state mirrors governing ledger</x:v>
      </x:c>
      <x:c r="E926" t="str">
        <x:f>'Release Gates'!I886</x:f>
        <x:v>PASS</x:v>
      </x:c>
      <x:c r="F926" t="str">
        <x:f>IF('Release Gates'!C886="PLANNING","PASS",IF('Release Gates'!C886="PHYSICAL","OPEN","BLOCKED"))</x:f>
        <x:v>PASS</x:v>
      </x:c>
      <x:c r="G926" t="str">
        <x:v>equals</x:v>
      </x:c>
      <x:c r="H926" t="str">
        <x:f>IF(E926=F926,"PASS","FAIL")</x:f>
        <x:v>PASS</x:v>
      </x:c>
    </x:row>
    <x:row r="927">
      <x:c r="B927" t="str">
        <x:v>A-00881</x:v>
      </x:c>
      <x:c r="C927" t="str">
        <x:v>GATE</x:v>
      </x:c>
      <x:c r="D927" t="str">
        <x:v>release state mirrors governing ledger</x:v>
      </x:c>
      <x:c r="E927" t="str">
        <x:f>'Release Gates'!I887</x:f>
        <x:v>PASS</x:v>
      </x:c>
      <x:c r="F927" t="str">
        <x:f>IF('Release Gates'!C887="PLANNING","PASS",IF('Release Gates'!C887="PHYSICAL","OPEN","BLOCKED"))</x:f>
        <x:v>PASS</x:v>
      </x:c>
      <x:c r="G927" t="str">
        <x:v>equals</x:v>
      </x:c>
      <x:c r="H927" t="str">
        <x:f>IF(E927=F927,"PASS","FAIL")</x:f>
        <x:v>PASS</x:v>
      </x:c>
    </x:row>
    <x:row r="928">
      <x:c r="B928" t="str">
        <x:v>A-00882</x:v>
      </x:c>
      <x:c r="C928" t="str">
        <x:v>GATE</x:v>
      </x:c>
      <x:c r="D928" t="str">
        <x:v>release state mirrors governing ledger</x:v>
      </x:c>
      <x:c r="E928" t="str">
        <x:f>'Release Gates'!I888</x:f>
        <x:v>PASS</x:v>
      </x:c>
      <x:c r="F928" t="str">
        <x:f>IF('Release Gates'!C888="PLANNING","PASS",IF('Release Gates'!C888="PHYSICAL","OPEN","BLOCKED"))</x:f>
        <x:v>PASS</x:v>
      </x:c>
      <x:c r="G928" t="str">
        <x:v>equals</x:v>
      </x:c>
      <x:c r="H928" t="str">
        <x:f>IF(E928=F928,"PASS","FAIL")</x:f>
        <x:v>PASS</x:v>
      </x:c>
    </x:row>
    <x:row r="929">
      <x:c r="B929" t="str">
        <x:v>A-00883</x:v>
      </x:c>
      <x:c r="C929" t="str">
        <x:v>GATE</x:v>
      </x:c>
      <x:c r="D929" t="str">
        <x:v>release state mirrors governing ledger</x:v>
      </x:c>
      <x:c r="E929" t="str">
        <x:f>'Release Gates'!I889</x:f>
        <x:v>PASS</x:v>
      </x:c>
      <x:c r="F929" t="str">
        <x:f>IF('Release Gates'!C889="PLANNING","PASS",IF('Release Gates'!C889="PHYSICAL","OPEN","BLOCKED"))</x:f>
        <x:v>PASS</x:v>
      </x:c>
      <x:c r="G929" t="str">
        <x:v>equals</x:v>
      </x:c>
      <x:c r="H929" t="str">
        <x:f>IF(E929=F929,"PASS","FAIL")</x:f>
        <x:v>PASS</x:v>
      </x:c>
    </x:row>
    <x:row r="930">
      <x:c r="B930" t="str">
        <x:v>A-00884</x:v>
      </x:c>
      <x:c r="C930" t="str">
        <x:v>GATE</x:v>
      </x:c>
      <x:c r="D930" t="str">
        <x:v>release state mirrors governing ledger</x:v>
      </x:c>
      <x:c r="E930" t="str">
        <x:f>'Release Gates'!I890</x:f>
        <x:v>PASS</x:v>
      </x:c>
      <x:c r="F930" t="str">
        <x:f>IF('Release Gates'!C890="PLANNING","PASS",IF('Release Gates'!C890="PHYSICAL","OPEN","BLOCKED"))</x:f>
        <x:v>PASS</x:v>
      </x:c>
      <x:c r="G930" t="str">
        <x:v>equals</x:v>
      </x:c>
      <x:c r="H930" t="str">
        <x:f>IF(E930=F930,"PASS","FAIL")</x:f>
        <x:v>PASS</x:v>
      </x:c>
    </x:row>
    <x:row r="931">
      <x:c r="B931" t="str">
        <x:v>A-00885</x:v>
      </x:c>
      <x:c r="C931" t="str">
        <x:v>GATE</x:v>
      </x:c>
      <x:c r="D931" t="str">
        <x:v>release state mirrors governing ledger</x:v>
      </x:c>
      <x:c r="E931" t="str">
        <x:f>'Release Gates'!I891</x:f>
        <x:v>PASS</x:v>
      </x:c>
      <x:c r="F931" t="str">
        <x:f>IF('Release Gates'!C891="PLANNING","PASS",IF('Release Gates'!C891="PHYSICAL","OPEN","BLOCKED"))</x:f>
        <x:v>PASS</x:v>
      </x:c>
      <x:c r="G931" t="str">
        <x:v>equals</x:v>
      </x:c>
      <x:c r="H931" t="str">
        <x:f>IF(E931=F931,"PASS","FAIL")</x:f>
        <x:v>PASS</x:v>
      </x:c>
    </x:row>
    <x:row r="932">
      <x:c r="B932" t="str">
        <x:v>A-00886</x:v>
      </x:c>
      <x:c r="C932" t="str">
        <x:v>GATE</x:v>
      </x:c>
      <x:c r="D932" t="str">
        <x:v>release state mirrors governing ledger</x:v>
      </x:c>
      <x:c r="E932" t="str">
        <x:f>'Release Gates'!I892</x:f>
        <x:v>PASS</x:v>
      </x:c>
      <x:c r="F932" t="str">
        <x:f>IF('Release Gates'!C892="PLANNING","PASS",IF('Release Gates'!C892="PHYSICAL","OPEN","BLOCKED"))</x:f>
        <x:v>PASS</x:v>
      </x:c>
      <x:c r="G932" t="str">
        <x:v>equals</x:v>
      </x:c>
      <x:c r="H932" t="str">
        <x:f>IF(E932=F932,"PASS","FAIL")</x:f>
        <x:v>PASS</x:v>
      </x:c>
    </x:row>
    <x:row r="933">
      <x:c r="B933" t="str">
        <x:v>A-00887</x:v>
      </x:c>
      <x:c r="C933" t="str">
        <x:v>GATE</x:v>
      </x:c>
      <x:c r="D933" t="str">
        <x:v>release state mirrors governing ledger</x:v>
      </x:c>
      <x:c r="E933" t="str">
        <x:f>'Release Gates'!I893</x:f>
        <x:v>PASS</x:v>
      </x:c>
      <x:c r="F933" t="str">
        <x:f>IF('Release Gates'!C893="PLANNING","PASS",IF('Release Gates'!C893="PHYSICAL","OPEN","BLOCKED"))</x:f>
        <x:v>PASS</x:v>
      </x:c>
      <x:c r="G933" t="str">
        <x:v>equals</x:v>
      </x:c>
      <x:c r="H933" t="str">
        <x:f>IF(E933=F933,"PASS","FAIL")</x:f>
        <x:v>PASS</x:v>
      </x:c>
    </x:row>
    <x:row r="934">
      <x:c r="B934" t="str">
        <x:v>A-00888</x:v>
      </x:c>
      <x:c r="C934" t="str">
        <x:v>GATE</x:v>
      </x:c>
      <x:c r="D934" t="str">
        <x:v>release state mirrors governing ledger</x:v>
      </x:c>
      <x:c r="E934" t="str">
        <x:f>'Release Gates'!I894</x:f>
        <x:v>PASS</x:v>
      </x:c>
      <x:c r="F934" t="str">
        <x:f>IF('Release Gates'!C894="PLANNING","PASS",IF('Release Gates'!C894="PHYSICAL","OPEN","BLOCKED"))</x:f>
        <x:v>PASS</x:v>
      </x:c>
      <x:c r="G934" t="str">
        <x:v>equals</x:v>
      </x:c>
      <x:c r="H934" t="str">
        <x:f>IF(E934=F934,"PASS","FAIL")</x:f>
        <x:v>PASS</x:v>
      </x:c>
    </x:row>
    <x:row r="935">
      <x:c r="B935" t="str">
        <x:v>A-00889</x:v>
      </x:c>
      <x:c r="C935" t="str">
        <x:v>GATE</x:v>
      </x:c>
      <x:c r="D935" t="str">
        <x:v>release state mirrors governing ledger</x:v>
      </x:c>
      <x:c r="E935" t="str">
        <x:f>'Release Gates'!I895</x:f>
        <x:v>PASS</x:v>
      </x:c>
      <x:c r="F935" t="str">
        <x:f>IF('Release Gates'!C895="PLANNING","PASS",IF('Release Gates'!C895="PHYSICAL","OPEN","BLOCKED"))</x:f>
        <x:v>PASS</x:v>
      </x:c>
      <x:c r="G935" t="str">
        <x:v>equals</x:v>
      </x:c>
      <x:c r="H935" t="str">
        <x:f>IF(E935=F935,"PASS","FAIL")</x:f>
        <x:v>PASS</x:v>
      </x:c>
    </x:row>
    <x:row r="936">
      <x:c r="B936" t="str">
        <x:v>A-00890</x:v>
      </x:c>
      <x:c r="C936" t="str">
        <x:v>GATE</x:v>
      </x:c>
      <x:c r="D936" t="str">
        <x:v>release state mirrors governing ledger</x:v>
      </x:c>
      <x:c r="E936" t="str">
        <x:f>'Release Gates'!I896</x:f>
        <x:v>PASS</x:v>
      </x:c>
      <x:c r="F936" t="str">
        <x:f>IF('Release Gates'!C896="PLANNING","PASS",IF('Release Gates'!C896="PHYSICAL","OPEN","BLOCKED"))</x:f>
        <x:v>PASS</x:v>
      </x:c>
      <x:c r="G936" t="str">
        <x:v>equals</x:v>
      </x:c>
      <x:c r="H936" t="str">
        <x:f>IF(E936=F936,"PASS","FAIL")</x:f>
        <x:v>PASS</x:v>
      </x:c>
    </x:row>
    <x:row r="937">
      <x:c r="B937" t="str">
        <x:v>A-00891</x:v>
      </x:c>
      <x:c r="C937" t="str">
        <x:v>GATE</x:v>
      </x:c>
      <x:c r="D937" t="str">
        <x:v>release state mirrors governing ledger</x:v>
      </x:c>
      <x:c r="E937" t="str">
        <x:f>'Release Gates'!I897</x:f>
        <x:v>PASS</x:v>
      </x:c>
      <x:c r="F937" t="str">
        <x:f>IF('Release Gates'!C897="PLANNING","PASS",IF('Release Gates'!C897="PHYSICAL","OPEN","BLOCKED"))</x:f>
        <x:v>PASS</x:v>
      </x:c>
      <x:c r="G937" t="str">
        <x:v>equals</x:v>
      </x:c>
      <x:c r="H937" t="str">
        <x:f>IF(E937=F937,"PASS","FAIL")</x:f>
        <x:v>PASS</x:v>
      </x:c>
    </x:row>
    <x:row r="938">
      <x:c r="B938" t="str">
        <x:v>A-00892</x:v>
      </x:c>
      <x:c r="C938" t="str">
        <x:v>GATE</x:v>
      </x:c>
      <x:c r="D938" t="str">
        <x:v>release state mirrors governing ledger</x:v>
      </x:c>
      <x:c r="E938" t="str">
        <x:f>'Release Gates'!I898</x:f>
        <x:v>PASS</x:v>
      </x:c>
      <x:c r="F938" t="str">
        <x:f>IF('Release Gates'!C898="PLANNING","PASS",IF('Release Gates'!C898="PHYSICAL","OPEN","BLOCKED"))</x:f>
        <x:v>PASS</x:v>
      </x:c>
      <x:c r="G938" t="str">
        <x:v>equals</x:v>
      </x:c>
      <x:c r="H938" t="str">
        <x:f>IF(E938=F938,"PASS","FAIL")</x:f>
        <x:v>PASS</x:v>
      </x:c>
    </x:row>
    <x:row r="939">
      <x:c r="B939" t="str">
        <x:v>A-00893</x:v>
      </x:c>
      <x:c r="C939" t="str">
        <x:v>GATE</x:v>
      </x:c>
      <x:c r="D939" t="str">
        <x:v>release state mirrors governing ledger</x:v>
      </x:c>
      <x:c r="E939" t="str">
        <x:f>'Release Gates'!I899</x:f>
        <x:v>PASS</x:v>
      </x:c>
      <x:c r="F939" t="str">
        <x:f>IF('Release Gates'!C899="PLANNING","PASS",IF('Release Gates'!C899="PHYSICAL","OPEN","BLOCKED"))</x:f>
        <x:v>PASS</x:v>
      </x:c>
      <x:c r="G939" t="str">
        <x:v>equals</x:v>
      </x:c>
      <x:c r="H939" t="str">
        <x:f>IF(E939=F939,"PASS","FAIL")</x:f>
        <x:v>PASS</x:v>
      </x:c>
    </x:row>
    <x:row r="940">
      <x:c r="B940" t="str">
        <x:v>A-00894</x:v>
      </x:c>
      <x:c r="C940" t="str">
        <x:v>GATE</x:v>
      </x:c>
      <x:c r="D940" t="str">
        <x:v>release state mirrors governing ledger</x:v>
      </x:c>
      <x:c r="E940" t="str">
        <x:f>'Release Gates'!I900</x:f>
        <x:v>PASS</x:v>
      </x:c>
      <x:c r="F940" t="str">
        <x:f>IF('Release Gates'!C900="PLANNING","PASS",IF('Release Gates'!C900="PHYSICAL","OPEN","BLOCKED"))</x:f>
        <x:v>PASS</x:v>
      </x:c>
      <x:c r="G940" t="str">
        <x:v>equals</x:v>
      </x:c>
      <x:c r="H940" t="str">
        <x:f>IF(E940=F940,"PASS","FAIL")</x:f>
        <x:v>PASS</x:v>
      </x:c>
    </x:row>
    <x:row r="941">
      <x:c r="B941" t="str">
        <x:v>A-00895</x:v>
      </x:c>
      <x:c r="C941" t="str">
        <x:v>GATE</x:v>
      </x:c>
      <x:c r="D941" t="str">
        <x:v>release state mirrors governing ledger</x:v>
      </x:c>
      <x:c r="E941" t="str">
        <x:f>'Release Gates'!I901</x:f>
        <x:v>PASS</x:v>
      </x:c>
      <x:c r="F941" t="str">
        <x:f>IF('Release Gates'!C901="PLANNING","PASS",IF('Release Gates'!C901="PHYSICAL","OPEN","BLOCKED"))</x:f>
        <x:v>PASS</x:v>
      </x:c>
      <x:c r="G941" t="str">
        <x:v>equals</x:v>
      </x:c>
      <x:c r="H941" t="str">
        <x:f>IF(E941=F941,"PASS","FAIL")</x:f>
        <x:v>PASS</x:v>
      </x:c>
    </x:row>
    <x:row r="942">
      <x:c r="B942" t="str">
        <x:v>A-00896</x:v>
      </x:c>
      <x:c r="C942" t="str">
        <x:v>GATE</x:v>
      </x:c>
      <x:c r="D942" t="str">
        <x:v>release state mirrors governing ledger</x:v>
      </x:c>
      <x:c r="E942" t="str">
        <x:f>'Release Gates'!I902</x:f>
        <x:v>PASS</x:v>
      </x:c>
      <x:c r="F942" t="str">
        <x:f>IF('Release Gates'!C902="PLANNING","PASS",IF('Release Gates'!C902="PHYSICAL","OPEN","BLOCKED"))</x:f>
        <x:v>PASS</x:v>
      </x:c>
      <x:c r="G942" t="str">
        <x:v>equals</x:v>
      </x:c>
      <x:c r="H942" t="str">
        <x:f>IF(E942=F942,"PASS","FAIL")</x:f>
        <x:v>PASS</x:v>
      </x:c>
    </x:row>
    <x:row r="943">
      <x:c r="B943" t="str">
        <x:v>A-00897</x:v>
      </x:c>
      <x:c r="C943" t="str">
        <x:v>GATE</x:v>
      </x:c>
      <x:c r="D943" t="str">
        <x:v>release state mirrors governing ledger</x:v>
      </x:c>
      <x:c r="E943" t="str">
        <x:f>'Release Gates'!I903</x:f>
        <x:v>PASS</x:v>
      </x:c>
      <x:c r="F943" t="str">
        <x:f>IF('Release Gates'!C903="PLANNING","PASS",IF('Release Gates'!C903="PHYSICAL","OPEN","BLOCKED"))</x:f>
        <x:v>PASS</x:v>
      </x:c>
      <x:c r="G943" t="str">
        <x:v>equals</x:v>
      </x:c>
      <x:c r="H943" t="str">
        <x:f>IF(E943=F943,"PASS","FAIL")</x:f>
        <x:v>PASS</x:v>
      </x:c>
    </x:row>
    <x:row r="944">
      <x:c r="B944" t="str">
        <x:v>A-00898</x:v>
      </x:c>
      <x:c r="C944" t="str">
        <x:v>GATE</x:v>
      </x:c>
      <x:c r="D944" t="str">
        <x:v>release state mirrors governing ledger</x:v>
      </x:c>
      <x:c r="E944" t="str">
        <x:f>'Release Gates'!I904</x:f>
        <x:v>PASS</x:v>
      </x:c>
      <x:c r="F944" t="str">
        <x:f>IF('Release Gates'!C904="PLANNING","PASS",IF('Release Gates'!C904="PHYSICAL","OPEN","BLOCKED"))</x:f>
        <x:v>PASS</x:v>
      </x:c>
      <x:c r="G944" t="str">
        <x:v>equals</x:v>
      </x:c>
      <x:c r="H944" t="str">
        <x:f>IF(E944=F944,"PASS","FAIL")</x:f>
        <x:v>PASS</x:v>
      </x:c>
    </x:row>
    <x:row r="945">
      <x:c r="B945" t="str">
        <x:v>A-00899</x:v>
      </x:c>
      <x:c r="C945" t="str">
        <x:v>GATE</x:v>
      </x:c>
      <x:c r="D945" t="str">
        <x:v>release state mirrors governing ledger</x:v>
      </x:c>
      <x:c r="E945" t="str">
        <x:f>'Release Gates'!I905</x:f>
        <x:v>PASS</x:v>
      </x:c>
      <x:c r="F945" t="str">
        <x:f>IF('Release Gates'!C905="PLANNING","PASS",IF('Release Gates'!C905="PHYSICAL","OPEN","BLOCKED"))</x:f>
        <x:v>PASS</x:v>
      </x:c>
      <x:c r="G945" t="str">
        <x:v>equals</x:v>
      </x:c>
      <x:c r="H945" t="str">
        <x:f>IF(E945=F945,"PASS","FAIL")</x:f>
        <x:v>PASS</x:v>
      </x:c>
    </x:row>
    <x:row r="946">
      <x:c r="B946" t="str">
        <x:v>A-00900</x:v>
      </x:c>
      <x:c r="C946" t="str">
        <x:v>GATE</x:v>
      </x:c>
      <x:c r="D946" t="str">
        <x:v>release state mirrors governing ledger</x:v>
      </x:c>
      <x:c r="E946" t="str">
        <x:f>'Release Gates'!I906</x:f>
        <x:v>PASS</x:v>
      </x:c>
      <x:c r="F946" t="str">
        <x:f>IF('Release Gates'!C906="PLANNING","PASS",IF('Release Gates'!C906="PHYSICAL","OPEN","BLOCKED"))</x:f>
        <x:v>PASS</x:v>
      </x:c>
      <x:c r="G946" t="str">
        <x:v>equals</x:v>
      </x:c>
      <x:c r="H946" t="str">
        <x:f>IF(E946=F946,"PASS","FAIL")</x:f>
        <x:v>PASS</x:v>
      </x:c>
    </x:row>
    <x:row r="947">
      <x:c r="B947" t="str">
        <x:v>A-00901</x:v>
      </x:c>
      <x:c r="C947" t="str">
        <x:v>GATE</x:v>
      </x:c>
      <x:c r="D947" t="str">
        <x:v>release state mirrors governing ledger</x:v>
      </x:c>
      <x:c r="E947" t="str">
        <x:f>'Release Gates'!I907</x:f>
        <x:v>PASS</x:v>
      </x:c>
      <x:c r="F947" t="str">
        <x:f>IF('Release Gates'!C907="PLANNING","PASS",IF('Release Gates'!C907="PHYSICAL","OPEN","BLOCKED"))</x:f>
        <x:v>PASS</x:v>
      </x:c>
      <x:c r="G947" t="str">
        <x:v>equals</x:v>
      </x:c>
      <x:c r="H947" t="str">
        <x:f>IF(E947=F947,"PASS","FAIL")</x:f>
        <x:v>PASS</x:v>
      </x:c>
    </x:row>
    <x:row r="948">
      <x:c r="B948" t="str">
        <x:v>A-00902</x:v>
      </x:c>
      <x:c r="C948" t="str">
        <x:v>GATE</x:v>
      </x:c>
      <x:c r="D948" t="str">
        <x:v>release state mirrors governing ledger</x:v>
      </x:c>
      <x:c r="E948" t="str">
        <x:f>'Release Gates'!I908</x:f>
        <x:v>PASS</x:v>
      </x:c>
      <x:c r="F948" t="str">
        <x:f>IF('Release Gates'!C908="PLANNING","PASS",IF('Release Gates'!C908="PHYSICAL","OPEN","BLOCKED"))</x:f>
        <x:v>PASS</x:v>
      </x:c>
      <x:c r="G948" t="str">
        <x:v>equals</x:v>
      </x:c>
      <x:c r="H948" t="str">
        <x:f>IF(E948=F948,"PASS","FAIL")</x:f>
        <x:v>PASS</x:v>
      </x:c>
    </x:row>
    <x:row r="949">
      <x:c r="B949" t="str">
        <x:v>A-00903</x:v>
      </x:c>
      <x:c r="C949" t="str">
        <x:v>GATE</x:v>
      </x:c>
      <x:c r="D949" t="str">
        <x:v>release state mirrors governing ledger</x:v>
      </x:c>
      <x:c r="E949" t="str">
        <x:f>'Release Gates'!I909</x:f>
        <x:v>PASS</x:v>
      </x:c>
      <x:c r="F949" t="str">
        <x:f>IF('Release Gates'!C909="PLANNING","PASS",IF('Release Gates'!C909="PHYSICAL","OPEN","BLOCKED"))</x:f>
        <x:v>PASS</x:v>
      </x:c>
      <x:c r="G949" t="str">
        <x:v>equals</x:v>
      </x:c>
      <x:c r="H949" t="str">
        <x:f>IF(E949=F949,"PASS","FAIL")</x:f>
        <x:v>PASS</x:v>
      </x:c>
    </x:row>
    <x:row r="950">
      <x:c r="B950" t="str">
        <x:v>A-00904</x:v>
      </x:c>
      <x:c r="C950" t="str">
        <x:v>GATE</x:v>
      </x:c>
      <x:c r="D950" t="str">
        <x:v>release state mirrors governing ledger</x:v>
      </x:c>
      <x:c r="E950" t="str">
        <x:f>'Release Gates'!I910</x:f>
        <x:v>PASS</x:v>
      </x:c>
      <x:c r="F950" t="str">
        <x:f>IF('Release Gates'!C910="PLANNING","PASS",IF('Release Gates'!C910="PHYSICAL","OPEN","BLOCKED"))</x:f>
        <x:v>PASS</x:v>
      </x:c>
      <x:c r="G950" t="str">
        <x:v>equals</x:v>
      </x:c>
      <x:c r="H950" t="str">
        <x:f>IF(E950=F950,"PASS","FAIL")</x:f>
        <x:v>PASS</x:v>
      </x:c>
    </x:row>
    <x:row r="951">
      <x:c r="B951" t="str">
        <x:v>A-00905</x:v>
      </x:c>
      <x:c r="C951" t="str">
        <x:v>GATE</x:v>
      </x:c>
      <x:c r="D951" t="str">
        <x:v>release state mirrors governing ledger</x:v>
      </x:c>
      <x:c r="E951" t="str">
        <x:f>'Release Gates'!I911</x:f>
        <x:v>PASS</x:v>
      </x:c>
      <x:c r="F951" t="str">
        <x:f>IF('Release Gates'!C911="PLANNING","PASS",IF('Release Gates'!C911="PHYSICAL","OPEN","BLOCKED"))</x:f>
        <x:v>PASS</x:v>
      </x:c>
      <x:c r="G951" t="str">
        <x:v>equals</x:v>
      </x:c>
      <x:c r="H951" t="str">
        <x:f>IF(E951=F951,"PASS","FAIL")</x:f>
        <x:v>PASS</x:v>
      </x:c>
    </x:row>
    <x:row r="952">
      <x:c r="B952" t="str">
        <x:v>A-00906</x:v>
      </x:c>
      <x:c r="C952" t="str">
        <x:v>GATE</x:v>
      </x:c>
      <x:c r="D952" t="str">
        <x:v>release state mirrors governing ledger</x:v>
      </x:c>
      <x:c r="E952" t="str">
        <x:f>'Release Gates'!I912</x:f>
        <x:v>PASS</x:v>
      </x:c>
      <x:c r="F952" t="str">
        <x:f>IF('Release Gates'!C912="PLANNING","PASS",IF('Release Gates'!C912="PHYSICAL","OPEN","BLOCKED"))</x:f>
        <x:v>PASS</x:v>
      </x:c>
      <x:c r="G952" t="str">
        <x:v>equals</x:v>
      </x:c>
      <x:c r="H952" t="str">
        <x:f>IF(E952=F952,"PASS","FAIL")</x:f>
        <x:v>PASS</x:v>
      </x:c>
    </x:row>
    <x:row r="953">
      <x:c r="B953" t="str">
        <x:v>A-00907</x:v>
      </x:c>
      <x:c r="C953" t="str">
        <x:v>GATE</x:v>
      </x:c>
      <x:c r="D953" t="str">
        <x:v>release state mirrors governing ledger</x:v>
      </x:c>
      <x:c r="E953" t="str">
        <x:f>'Release Gates'!I913</x:f>
        <x:v>PASS</x:v>
      </x:c>
      <x:c r="F953" t="str">
        <x:f>IF('Release Gates'!C913="PLANNING","PASS",IF('Release Gates'!C913="PHYSICAL","OPEN","BLOCKED"))</x:f>
        <x:v>PASS</x:v>
      </x:c>
      <x:c r="G953" t="str">
        <x:v>equals</x:v>
      </x:c>
      <x:c r="H953" t="str">
        <x:f>IF(E953=F953,"PASS","FAIL")</x:f>
        <x:v>PASS</x:v>
      </x:c>
    </x:row>
    <x:row r="954">
      <x:c r="B954" t="str">
        <x:v>A-00908</x:v>
      </x:c>
      <x:c r="C954" t="str">
        <x:v>GATE</x:v>
      </x:c>
      <x:c r="D954" t="str">
        <x:v>release state mirrors governing ledger</x:v>
      </x:c>
      <x:c r="E954" t="str">
        <x:f>'Release Gates'!I914</x:f>
        <x:v>PASS</x:v>
      </x:c>
      <x:c r="F954" t="str">
        <x:f>IF('Release Gates'!C914="PLANNING","PASS",IF('Release Gates'!C914="PHYSICAL","OPEN","BLOCKED"))</x:f>
        <x:v>PASS</x:v>
      </x:c>
      <x:c r="G954" t="str">
        <x:v>equals</x:v>
      </x:c>
      <x:c r="H954" t="str">
        <x:f>IF(E954=F954,"PASS","FAIL")</x:f>
        <x:v>PASS</x:v>
      </x:c>
    </x:row>
    <x:row r="955">
      <x:c r="B955" t="str">
        <x:v>A-00909</x:v>
      </x:c>
      <x:c r="C955" t="str">
        <x:v>GATE</x:v>
      </x:c>
      <x:c r="D955" t="str">
        <x:v>release state mirrors governing ledger</x:v>
      </x:c>
      <x:c r="E955" t="str">
        <x:f>'Release Gates'!I915</x:f>
        <x:v>PASS</x:v>
      </x:c>
      <x:c r="F955" t="str">
        <x:f>IF('Release Gates'!C915="PLANNING","PASS",IF('Release Gates'!C915="PHYSICAL","OPEN","BLOCKED"))</x:f>
        <x:v>PASS</x:v>
      </x:c>
      <x:c r="G955" t="str">
        <x:v>equals</x:v>
      </x:c>
      <x:c r="H955" t="str">
        <x:f>IF(E955=F955,"PASS","FAIL")</x:f>
        <x:v>PASS</x:v>
      </x:c>
    </x:row>
    <x:row r="956">
      <x:c r="B956" t="str">
        <x:v>A-00910</x:v>
      </x:c>
      <x:c r="C956" t="str">
        <x:v>GATE</x:v>
      </x:c>
      <x:c r="D956" t="str">
        <x:v>release state mirrors governing ledger</x:v>
      </x:c>
      <x:c r="E956" t="str">
        <x:f>'Release Gates'!I916</x:f>
        <x:v>PASS</x:v>
      </x:c>
      <x:c r="F956" t="str">
        <x:f>IF('Release Gates'!C916="PLANNING","PASS",IF('Release Gates'!C916="PHYSICAL","OPEN","BLOCKED"))</x:f>
        <x:v>PASS</x:v>
      </x:c>
      <x:c r="G956" t="str">
        <x:v>equals</x:v>
      </x:c>
      <x:c r="H956" t="str">
        <x:f>IF(E956=F956,"PASS","FAIL")</x:f>
        <x:v>PASS</x:v>
      </x:c>
    </x:row>
    <x:row r="957">
      <x:c r="B957" t="str">
        <x:v>A-00911</x:v>
      </x:c>
      <x:c r="C957" t="str">
        <x:v>GATE</x:v>
      </x:c>
      <x:c r="D957" t="str">
        <x:v>release state mirrors governing ledger</x:v>
      </x:c>
      <x:c r="E957" t="str">
        <x:f>'Release Gates'!I917</x:f>
        <x:v>PASS</x:v>
      </x:c>
      <x:c r="F957" t="str">
        <x:f>IF('Release Gates'!C917="PLANNING","PASS",IF('Release Gates'!C917="PHYSICAL","OPEN","BLOCKED"))</x:f>
        <x:v>PASS</x:v>
      </x:c>
      <x:c r="G957" t="str">
        <x:v>equals</x:v>
      </x:c>
      <x:c r="H957" t="str">
        <x:f>IF(E957=F957,"PASS","FAIL")</x:f>
        <x:v>PASS</x:v>
      </x:c>
    </x:row>
    <x:row r="958">
      <x:c r="B958" t="str">
        <x:v>A-00912</x:v>
      </x:c>
      <x:c r="C958" t="str">
        <x:v>GATE</x:v>
      </x:c>
      <x:c r="D958" t="str">
        <x:v>release state mirrors governing ledger</x:v>
      </x:c>
      <x:c r="E958" t="str">
        <x:f>'Release Gates'!I918</x:f>
        <x:v>PASS</x:v>
      </x:c>
      <x:c r="F958" t="str">
        <x:f>IF('Release Gates'!C918="PLANNING","PASS",IF('Release Gates'!C918="PHYSICAL","OPEN","BLOCKED"))</x:f>
        <x:v>PASS</x:v>
      </x:c>
      <x:c r="G958" t="str">
        <x:v>equals</x:v>
      </x:c>
      <x:c r="H958" t="str">
        <x:f>IF(E958=F958,"PASS","FAIL")</x:f>
        <x:v>PASS</x:v>
      </x:c>
    </x:row>
    <x:row r="959">
      <x:c r="B959" t="str">
        <x:v>A-00913</x:v>
      </x:c>
      <x:c r="C959" t="str">
        <x:v>GATE</x:v>
      </x:c>
      <x:c r="D959" t="str">
        <x:v>release state mirrors governing ledger</x:v>
      </x:c>
      <x:c r="E959" t="str">
        <x:f>'Release Gates'!I919</x:f>
        <x:v>PASS</x:v>
      </x:c>
      <x:c r="F959" t="str">
        <x:f>IF('Release Gates'!C919="PLANNING","PASS",IF('Release Gates'!C919="PHYSICAL","OPEN","BLOCKED"))</x:f>
        <x:v>PASS</x:v>
      </x:c>
      <x:c r="G959" t="str">
        <x:v>equals</x:v>
      </x:c>
      <x:c r="H959" t="str">
        <x:f>IF(E959=F959,"PASS","FAIL")</x:f>
        <x:v>PASS</x:v>
      </x:c>
    </x:row>
    <x:row r="960">
      <x:c r="B960" t="str">
        <x:v>A-00914</x:v>
      </x:c>
      <x:c r="C960" t="str">
        <x:v>GATE</x:v>
      </x:c>
      <x:c r="D960" t="str">
        <x:v>release state mirrors governing ledger</x:v>
      </x:c>
      <x:c r="E960" t="str">
        <x:f>'Release Gates'!I920</x:f>
        <x:v>PASS</x:v>
      </x:c>
      <x:c r="F960" t="str">
        <x:f>IF('Release Gates'!C920="PLANNING","PASS",IF('Release Gates'!C920="PHYSICAL","OPEN","BLOCKED"))</x:f>
        <x:v>PASS</x:v>
      </x:c>
      <x:c r="G960" t="str">
        <x:v>equals</x:v>
      </x:c>
      <x:c r="H960" t="str">
        <x:f>IF(E960=F960,"PASS","FAIL")</x:f>
        <x:v>PASS</x:v>
      </x:c>
    </x:row>
    <x:row r="961">
      <x:c r="B961" t="str">
        <x:v>A-00915</x:v>
      </x:c>
      <x:c r="C961" t="str">
        <x:v>GATE</x:v>
      </x:c>
      <x:c r="D961" t="str">
        <x:v>release state mirrors governing ledger</x:v>
      </x:c>
      <x:c r="E961" t="str">
        <x:f>'Release Gates'!I921</x:f>
        <x:v>PASS</x:v>
      </x:c>
      <x:c r="F961" t="str">
        <x:f>IF('Release Gates'!C921="PLANNING","PASS",IF('Release Gates'!C921="PHYSICAL","OPEN","BLOCKED"))</x:f>
        <x:v>PASS</x:v>
      </x:c>
      <x:c r="G961" t="str">
        <x:v>equals</x:v>
      </x:c>
      <x:c r="H961" t="str">
        <x:f>IF(E961=F961,"PASS","FAIL")</x:f>
        <x:v>PASS</x:v>
      </x:c>
    </x:row>
    <x:row r="962">
      <x:c r="B962" t="str">
        <x:v>A-00916</x:v>
      </x:c>
      <x:c r="C962" t="str">
        <x:v>GATE</x:v>
      </x:c>
      <x:c r="D962" t="str">
        <x:v>release state mirrors governing ledger</x:v>
      </x:c>
      <x:c r="E962" t="str">
        <x:f>'Release Gates'!I922</x:f>
        <x:v>PASS</x:v>
      </x:c>
      <x:c r="F962" t="str">
        <x:f>IF('Release Gates'!C922="PLANNING","PASS",IF('Release Gates'!C922="PHYSICAL","OPEN","BLOCKED"))</x:f>
        <x:v>PASS</x:v>
      </x:c>
      <x:c r="G962" t="str">
        <x:v>equals</x:v>
      </x:c>
      <x:c r="H962" t="str">
        <x:f>IF(E962=F962,"PASS","FAIL")</x:f>
        <x:v>PASS</x:v>
      </x:c>
    </x:row>
    <x:row r="963">
      <x:c r="B963" t="str">
        <x:v>A-00917</x:v>
      </x:c>
      <x:c r="C963" t="str">
        <x:v>GATE</x:v>
      </x:c>
      <x:c r="D963" t="str">
        <x:v>release state mirrors governing ledger</x:v>
      </x:c>
      <x:c r="E963" t="str">
        <x:f>'Release Gates'!I923</x:f>
        <x:v>PASS</x:v>
      </x:c>
      <x:c r="F963" t="str">
        <x:f>IF('Release Gates'!C923="PLANNING","PASS",IF('Release Gates'!C923="PHYSICAL","OPEN","BLOCKED"))</x:f>
        <x:v>PASS</x:v>
      </x:c>
      <x:c r="G963" t="str">
        <x:v>equals</x:v>
      </x:c>
      <x:c r="H963" t="str">
        <x:f>IF(E963=F963,"PASS","FAIL")</x:f>
        <x:v>PASS</x:v>
      </x:c>
    </x:row>
    <x:row r="964">
      <x:c r="B964" t="str">
        <x:v>A-00918</x:v>
      </x:c>
      <x:c r="C964" t="str">
        <x:v>GATE</x:v>
      </x:c>
      <x:c r="D964" t="str">
        <x:v>release state mirrors governing ledger</x:v>
      </x:c>
      <x:c r="E964" t="str">
        <x:f>'Release Gates'!I924</x:f>
        <x:v>PASS</x:v>
      </x:c>
      <x:c r="F964" t="str">
        <x:f>IF('Release Gates'!C924="PLANNING","PASS",IF('Release Gates'!C924="PHYSICAL","OPEN","BLOCKED"))</x:f>
        <x:v>PASS</x:v>
      </x:c>
      <x:c r="G964" t="str">
        <x:v>equals</x:v>
      </x:c>
      <x:c r="H964" t="str">
        <x:f>IF(E964=F964,"PASS","FAIL")</x:f>
        <x:v>PASS</x:v>
      </x:c>
    </x:row>
    <x:row r="965">
      <x:c r="B965" t="str">
        <x:v>A-00919</x:v>
      </x:c>
      <x:c r="C965" t="str">
        <x:v>GATE</x:v>
      </x:c>
      <x:c r="D965" t="str">
        <x:v>release state mirrors governing ledger</x:v>
      </x:c>
      <x:c r="E965" t="str">
        <x:f>'Release Gates'!I925</x:f>
        <x:v>PASS</x:v>
      </x:c>
      <x:c r="F965" t="str">
        <x:f>IF('Release Gates'!C925="PLANNING","PASS",IF('Release Gates'!C925="PHYSICAL","OPEN","BLOCKED"))</x:f>
        <x:v>PASS</x:v>
      </x:c>
      <x:c r="G965" t="str">
        <x:v>equals</x:v>
      </x:c>
      <x:c r="H965" t="str">
        <x:f>IF(E965=F965,"PASS","FAIL")</x:f>
        <x:v>PASS</x:v>
      </x:c>
    </x:row>
    <x:row r="966">
      <x:c r="B966" t="str">
        <x:v>A-00920</x:v>
      </x:c>
      <x:c r="C966" t="str">
        <x:v>GATE</x:v>
      </x:c>
      <x:c r="D966" t="str">
        <x:v>release state mirrors governing ledger</x:v>
      </x:c>
      <x:c r="E966" t="str">
        <x:f>'Release Gates'!I926</x:f>
        <x:v>PASS</x:v>
      </x:c>
      <x:c r="F966" t="str">
        <x:f>IF('Release Gates'!C926="PLANNING","PASS",IF('Release Gates'!C926="PHYSICAL","OPEN","BLOCKED"))</x:f>
        <x:v>PASS</x:v>
      </x:c>
      <x:c r="G966" t="str">
        <x:v>equals</x:v>
      </x:c>
      <x:c r="H966" t="str">
        <x:f>IF(E966=F966,"PASS","FAIL")</x:f>
        <x:v>PASS</x:v>
      </x:c>
    </x:row>
    <x:row r="967">
      <x:c r="B967" t="str">
        <x:v>A-00921</x:v>
      </x:c>
      <x:c r="C967" t="str">
        <x:v>GATE</x:v>
      </x:c>
      <x:c r="D967" t="str">
        <x:v>release state mirrors governing ledger</x:v>
      </x:c>
      <x:c r="E967" t="str">
        <x:f>'Release Gates'!I927</x:f>
        <x:v>PASS</x:v>
      </x:c>
      <x:c r="F967" t="str">
        <x:f>IF('Release Gates'!C927="PLANNING","PASS",IF('Release Gates'!C927="PHYSICAL","OPEN","BLOCKED"))</x:f>
        <x:v>PASS</x:v>
      </x:c>
      <x:c r="G967" t="str">
        <x:v>equals</x:v>
      </x:c>
      <x:c r="H967" t="str">
        <x:f>IF(E967=F967,"PASS","FAIL")</x:f>
        <x:v>PASS</x:v>
      </x:c>
    </x:row>
    <x:row r="968">
      <x:c r="B968" t="str">
        <x:v>A-00922</x:v>
      </x:c>
      <x:c r="C968" t="str">
        <x:v>GATE</x:v>
      </x:c>
      <x:c r="D968" t="str">
        <x:v>release state mirrors governing ledger</x:v>
      </x:c>
      <x:c r="E968" t="str">
        <x:f>'Release Gates'!I928</x:f>
        <x:v>PASS</x:v>
      </x:c>
      <x:c r="F968" t="str">
        <x:f>IF('Release Gates'!C928="PLANNING","PASS",IF('Release Gates'!C928="PHYSICAL","OPEN","BLOCKED"))</x:f>
        <x:v>PASS</x:v>
      </x:c>
      <x:c r="G968" t="str">
        <x:v>equals</x:v>
      </x:c>
      <x:c r="H968" t="str">
        <x:f>IF(E968=F968,"PASS","FAIL")</x:f>
        <x:v>PASS</x:v>
      </x:c>
    </x:row>
    <x:row r="969">
      <x:c r="B969" t="str">
        <x:v>A-00923</x:v>
      </x:c>
      <x:c r="C969" t="str">
        <x:v>GATE</x:v>
      </x:c>
      <x:c r="D969" t="str">
        <x:v>release state mirrors governing ledger</x:v>
      </x:c>
      <x:c r="E969" t="str">
        <x:f>'Release Gates'!I929</x:f>
        <x:v>PASS</x:v>
      </x:c>
      <x:c r="F969" t="str">
        <x:f>IF('Release Gates'!C929="PLANNING","PASS",IF('Release Gates'!C929="PHYSICAL","OPEN","BLOCKED"))</x:f>
        <x:v>PASS</x:v>
      </x:c>
      <x:c r="G969" t="str">
        <x:v>equals</x:v>
      </x:c>
      <x:c r="H969" t="str">
        <x:f>IF(E969=F969,"PASS","FAIL")</x:f>
        <x:v>PASS</x:v>
      </x:c>
    </x:row>
    <x:row r="970">
      <x:c r="B970" t="str">
        <x:v>A-00924</x:v>
      </x:c>
      <x:c r="C970" t="str">
        <x:v>GATE</x:v>
      </x:c>
      <x:c r="D970" t="str">
        <x:v>release state mirrors governing ledger</x:v>
      </x:c>
      <x:c r="E970" t="str">
        <x:f>'Release Gates'!I930</x:f>
        <x:v>PASS</x:v>
      </x:c>
      <x:c r="F970" t="str">
        <x:f>IF('Release Gates'!C930="PLANNING","PASS",IF('Release Gates'!C930="PHYSICAL","OPEN","BLOCKED"))</x:f>
        <x:v>PASS</x:v>
      </x:c>
      <x:c r="G970" t="str">
        <x:v>equals</x:v>
      </x:c>
      <x:c r="H970" t="str">
        <x:f>IF(E970=F970,"PASS","FAIL")</x:f>
        <x:v>PASS</x:v>
      </x:c>
    </x:row>
    <x:row r="971">
      <x:c r="B971" t="str">
        <x:v>A-00925</x:v>
      </x:c>
      <x:c r="C971" t="str">
        <x:v>GATE</x:v>
      </x:c>
      <x:c r="D971" t="str">
        <x:v>release state mirrors governing ledger</x:v>
      </x:c>
      <x:c r="E971" t="str">
        <x:f>'Release Gates'!I931</x:f>
        <x:v>PASS</x:v>
      </x:c>
      <x:c r="F971" t="str">
        <x:f>IF('Release Gates'!C931="PLANNING","PASS",IF('Release Gates'!C931="PHYSICAL","OPEN","BLOCKED"))</x:f>
        <x:v>PASS</x:v>
      </x:c>
      <x:c r="G971" t="str">
        <x:v>equals</x:v>
      </x:c>
      <x:c r="H971" t="str">
        <x:f>IF(E971=F971,"PASS","FAIL")</x:f>
        <x:v>PASS</x:v>
      </x:c>
    </x:row>
    <x:row r="972">
      <x:c r="B972" t="str">
        <x:v>A-00926</x:v>
      </x:c>
      <x:c r="C972" t="str">
        <x:v>GATE</x:v>
      </x:c>
      <x:c r="D972" t="str">
        <x:v>release state mirrors governing ledger</x:v>
      </x:c>
      <x:c r="E972" t="str">
        <x:f>'Release Gates'!I932</x:f>
        <x:v>PASS</x:v>
      </x:c>
      <x:c r="F972" t="str">
        <x:f>IF('Release Gates'!C932="PLANNING","PASS",IF('Release Gates'!C932="PHYSICAL","OPEN","BLOCKED"))</x:f>
        <x:v>PASS</x:v>
      </x:c>
      <x:c r="G972" t="str">
        <x:v>equals</x:v>
      </x:c>
      <x:c r="H972" t="str">
        <x:f>IF(E972=F972,"PASS","FAIL")</x:f>
        <x:v>PASS</x:v>
      </x:c>
    </x:row>
    <x:row r="973">
      <x:c r="B973" t="str">
        <x:v>A-00927</x:v>
      </x:c>
      <x:c r="C973" t="str">
        <x:v>GATE</x:v>
      </x:c>
      <x:c r="D973" t="str">
        <x:v>release state mirrors governing ledger</x:v>
      </x:c>
      <x:c r="E973" t="str">
        <x:f>'Release Gates'!I933</x:f>
        <x:v>PASS</x:v>
      </x:c>
      <x:c r="F973" t="str">
        <x:f>IF('Release Gates'!C933="PLANNING","PASS",IF('Release Gates'!C933="PHYSICAL","OPEN","BLOCKED"))</x:f>
        <x:v>PASS</x:v>
      </x:c>
      <x:c r="G973" t="str">
        <x:v>equals</x:v>
      </x:c>
      <x:c r="H973" t="str">
        <x:f>IF(E973=F973,"PASS","FAIL")</x:f>
        <x:v>PASS</x:v>
      </x:c>
    </x:row>
    <x:row r="974">
      <x:c r="B974" t="str">
        <x:v>A-00928</x:v>
      </x:c>
      <x:c r="C974" t="str">
        <x:v>GATE</x:v>
      </x:c>
      <x:c r="D974" t="str">
        <x:v>release state mirrors governing ledger</x:v>
      </x:c>
      <x:c r="E974" t="str">
        <x:f>'Release Gates'!I934</x:f>
        <x:v>PASS</x:v>
      </x:c>
      <x:c r="F974" t="str">
        <x:f>IF('Release Gates'!C934="PLANNING","PASS",IF('Release Gates'!C934="PHYSICAL","OPEN","BLOCKED"))</x:f>
        <x:v>PASS</x:v>
      </x:c>
      <x:c r="G974" t="str">
        <x:v>equals</x:v>
      </x:c>
      <x:c r="H974" t="str">
        <x:f>IF(E974=F974,"PASS","FAIL")</x:f>
        <x:v>PASS</x:v>
      </x:c>
    </x:row>
    <x:row r="975">
      <x:c r="B975" t="str">
        <x:v>A-00929</x:v>
      </x:c>
      <x:c r="C975" t="str">
        <x:v>GATE</x:v>
      </x:c>
      <x:c r="D975" t="str">
        <x:v>release state mirrors governing ledger</x:v>
      </x:c>
      <x:c r="E975" t="str">
        <x:f>'Release Gates'!I935</x:f>
        <x:v>PASS</x:v>
      </x:c>
      <x:c r="F975" t="str">
        <x:f>IF('Release Gates'!C935="PLANNING","PASS",IF('Release Gates'!C935="PHYSICAL","OPEN","BLOCKED"))</x:f>
        <x:v>PASS</x:v>
      </x:c>
      <x:c r="G975" t="str">
        <x:v>equals</x:v>
      </x:c>
      <x:c r="H975" t="str">
        <x:f>IF(E975=F975,"PASS","FAIL")</x:f>
        <x:v>PASS</x:v>
      </x:c>
    </x:row>
    <x:row r="976">
      <x:c r="B976" t="str">
        <x:v>A-00930</x:v>
      </x:c>
      <x:c r="C976" t="str">
        <x:v>GATE</x:v>
      </x:c>
      <x:c r="D976" t="str">
        <x:v>release state mirrors governing ledger</x:v>
      </x:c>
      <x:c r="E976" t="str">
        <x:f>'Release Gates'!I936</x:f>
        <x:v>PASS</x:v>
      </x:c>
      <x:c r="F976" t="str">
        <x:f>IF('Release Gates'!C936="PLANNING","PASS",IF('Release Gates'!C936="PHYSICAL","OPEN","BLOCKED"))</x:f>
        <x:v>PASS</x:v>
      </x:c>
      <x:c r="G976" t="str">
        <x:v>equals</x:v>
      </x:c>
      <x:c r="H976" t="str">
        <x:f>IF(E976=F976,"PASS","FAIL")</x:f>
        <x:v>PASS</x:v>
      </x:c>
    </x:row>
    <x:row r="977">
      <x:c r="B977" t="str">
        <x:v>A-00931</x:v>
      </x:c>
      <x:c r="C977" t="str">
        <x:v>GATE</x:v>
      </x:c>
      <x:c r="D977" t="str">
        <x:v>release state mirrors governing ledger</x:v>
      </x:c>
      <x:c r="E977" t="str">
        <x:f>'Release Gates'!I937</x:f>
        <x:v>PASS</x:v>
      </x:c>
      <x:c r="F977" t="str">
        <x:f>IF('Release Gates'!C937="PLANNING","PASS",IF('Release Gates'!C937="PHYSICAL","OPEN","BLOCKED"))</x:f>
        <x:v>PASS</x:v>
      </x:c>
      <x:c r="G977" t="str">
        <x:v>equals</x:v>
      </x:c>
      <x:c r="H977" t="str">
        <x:f>IF(E977=F977,"PASS","FAIL")</x:f>
        <x:v>PASS</x:v>
      </x:c>
    </x:row>
    <x:row r="978">
      <x:c r="B978" t="str">
        <x:v>A-00932</x:v>
      </x:c>
      <x:c r="C978" t="str">
        <x:v>GATE</x:v>
      </x:c>
      <x:c r="D978" t="str">
        <x:v>release state mirrors governing ledger</x:v>
      </x:c>
      <x:c r="E978" t="str">
        <x:f>'Release Gates'!I938</x:f>
        <x:v>PASS</x:v>
      </x:c>
      <x:c r="F978" t="str">
        <x:f>IF('Release Gates'!C938="PLANNING","PASS",IF('Release Gates'!C938="PHYSICAL","OPEN","BLOCKED"))</x:f>
        <x:v>PASS</x:v>
      </x:c>
      <x:c r="G978" t="str">
        <x:v>equals</x:v>
      </x:c>
      <x:c r="H978" t="str">
        <x:f>IF(E978=F978,"PASS","FAIL")</x:f>
        <x:v>PASS</x:v>
      </x:c>
    </x:row>
    <x:row r="979">
      <x:c r="B979" t="str">
        <x:v>A-00933</x:v>
      </x:c>
      <x:c r="C979" t="str">
        <x:v>GATE</x:v>
      </x:c>
      <x:c r="D979" t="str">
        <x:v>release state mirrors governing ledger</x:v>
      </x:c>
      <x:c r="E979" t="str">
        <x:f>'Release Gates'!I939</x:f>
        <x:v>PASS</x:v>
      </x:c>
      <x:c r="F979" t="str">
        <x:f>IF('Release Gates'!C939="PLANNING","PASS",IF('Release Gates'!C939="PHYSICAL","OPEN","BLOCKED"))</x:f>
        <x:v>PASS</x:v>
      </x:c>
      <x:c r="G979" t="str">
        <x:v>equals</x:v>
      </x:c>
      <x:c r="H979" t="str">
        <x:f>IF(E979=F979,"PASS","FAIL")</x:f>
        <x:v>PASS</x:v>
      </x:c>
    </x:row>
    <x:row r="980">
      <x:c r="B980" t="str">
        <x:v>A-00934</x:v>
      </x:c>
      <x:c r="C980" t="str">
        <x:v>GATE</x:v>
      </x:c>
      <x:c r="D980" t="str">
        <x:v>release state mirrors governing ledger</x:v>
      </x:c>
      <x:c r="E980" t="str">
        <x:f>'Release Gates'!I940</x:f>
        <x:v>PASS</x:v>
      </x:c>
      <x:c r="F980" t="str">
        <x:f>IF('Release Gates'!C940="PLANNING","PASS",IF('Release Gates'!C940="PHYSICAL","OPEN","BLOCKED"))</x:f>
        <x:v>PASS</x:v>
      </x:c>
      <x:c r="G980" t="str">
        <x:v>equals</x:v>
      </x:c>
      <x:c r="H980" t="str">
        <x:f>IF(E980=F980,"PASS","FAIL")</x:f>
        <x:v>PASS</x:v>
      </x:c>
    </x:row>
    <x:row r="981">
      <x:c r="B981" t="str">
        <x:v>A-00935</x:v>
      </x:c>
      <x:c r="C981" t="str">
        <x:v>GATE</x:v>
      </x:c>
      <x:c r="D981" t="str">
        <x:v>release state mirrors governing ledger</x:v>
      </x:c>
      <x:c r="E981" t="str">
        <x:f>'Release Gates'!I941</x:f>
        <x:v>PASS</x:v>
      </x:c>
      <x:c r="F981" t="str">
        <x:f>IF('Release Gates'!C941="PLANNING","PASS",IF('Release Gates'!C941="PHYSICAL","OPEN","BLOCKED"))</x:f>
        <x:v>PASS</x:v>
      </x:c>
      <x:c r="G981" t="str">
        <x:v>equals</x:v>
      </x:c>
      <x:c r="H981" t="str">
        <x:f>IF(E981=F981,"PASS","FAIL")</x:f>
        <x:v>PASS</x:v>
      </x:c>
    </x:row>
    <x:row r="982">
      <x:c r="B982" t="str">
        <x:v>A-00936</x:v>
      </x:c>
      <x:c r="C982" t="str">
        <x:v>GATE</x:v>
      </x:c>
      <x:c r="D982" t="str">
        <x:v>release state mirrors governing ledger</x:v>
      </x:c>
      <x:c r="E982" t="str">
        <x:f>'Release Gates'!I942</x:f>
        <x:v>PASS</x:v>
      </x:c>
      <x:c r="F982" t="str">
        <x:f>IF('Release Gates'!C942="PLANNING","PASS",IF('Release Gates'!C942="PHYSICAL","OPEN","BLOCKED"))</x:f>
        <x:v>PASS</x:v>
      </x:c>
      <x:c r="G982" t="str">
        <x:v>equals</x:v>
      </x:c>
      <x:c r="H982" t="str">
        <x:f>IF(E982=F982,"PASS","FAIL")</x:f>
        <x:v>PASS</x:v>
      </x:c>
    </x:row>
    <x:row r="983">
      <x:c r="B983" t="str">
        <x:v>A-00937</x:v>
      </x:c>
      <x:c r="C983" t="str">
        <x:v>GATE</x:v>
      </x:c>
      <x:c r="D983" t="str">
        <x:v>release state mirrors governing ledger</x:v>
      </x:c>
      <x:c r="E983" t="str">
        <x:f>'Release Gates'!I943</x:f>
        <x:v>PASS</x:v>
      </x:c>
      <x:c r="F983" t="str">
        <x:f>IF('Release Gates'!C943="PLANNING","PASS",IF('Release Gates'!C943="PHYSICAL","OPEN","BLOCKED"))</x:f>
        <x:v>PASS</x:v>
      </x:c>
      <x:c r="G983" t="str">
        <x:v>equals</x:v>
      </x:c>
      <x:c r="H983" t="str">
        <x:f>IF(E983=F983,"PASS","FAIL")</x:f>
        <x:v>PASS</x:v>
      </x:c>
    </x:row>
    <x:row r="984">
      <x:c r="B984" t="str">
        <x:v>A-00938</x:v>
      </x:c>
      <x:c r="C984" t="str">
        <x:v>GATE</x:v>
      </x:c>
      <x:c r="D984" t="str">
        <x:v>release state mirrors governing ledger</x:v>
      </x:c>
      <x:c r="E984" t="str">
        <x:f>'Release Gates'!I944</x:f>
        <x:v>PASS</x:v>
      </x:c>
      <x:c r="F984" t="str">
        <x:f>IF('Release Gates'!C944="PLANNING","PASS",IF('Release Gates'!C944="PHYSICAL","OPEN","BLOCKED"))</x:f>
        <x:v>PASS</x:v>
      </x:c>
      <x:c r="G984" t="str">
        <x:v>equals</x:v>
      </x:c>
      <x:c r="H984" t="str">
        <x:f>IF(E984=F984,"PASS","FAIL")</x:f>
        <x:v>PASS</x:v>
      </x:c>
    </x:row>
    <x:row r="985">
      <x:c r="B985" t="str">
        <x:v>A-00939</x:v>
      </x:c>
      <x:c r="C985" t="str">
        <x:v>GATE</x:v>
      </x:c>
      <x:c r="D985" t="str">
        <x:v>release state mirrors governing ledger</x:v>
      </x:c>
      <x:c r="E985" t="str">
        <x:f>'Release Gates'!I945</x:f>
        <x:v>PASS</x:v>
      </x:c>
      <x:c r="F985" t="str">
        <x:f>IF('Release Gates'!C945="PLANNING","PASS",IF('Release Gates'!C945="PHYSICAL","OPEN","BLOCKED"))</x:f>
        <x:v>PASS</x:v>
      </x:c>
      <x:c r="G985" t="str">
        <x:v>equals</x:v>
      </x:c>
      <x:c r="H985" t="str">
        <x:f>IF(E985=F985,"PASS","FAIL")</x:f>
        <x:v>PASS</x:v>
      </x:c>
    </x:row>
    <x:row r="986">
      <x:c r="B986" t="str">
        <x:v>A-00940</x:v>
      </x:c>
      <x:c r="C986" t="str">
        <x:v>GATE</x:v>
      </x:c>
      <x:c r="D986" t="str">
        <x:v>release state mirrors governing ledger</x:v>
      </x:c>
      <x:c r="E986" t="str">
        <x:f>'Release Gates'!I946</x:f>
        <x:v>PASS</x:v>
      </x:c>
      <x:c r="F986" t="str">
        <x:f>IF('Release Gates'!C946="PLANNING","PASS",IF('Release Gates'!C946="PHYSICAL","OPEN","BLOCKED"))</x:f>
        <x:v>PASS</x:v>
      </x:c>
      <x:c r="G986" t="str">
        <x:v>equals</x:v>
      </x:c>
      <x:c r="H986" t="str">
        <x:f>IF(E986=F986,"PASS","FAIL")</x:f>
        <x:v>PASS</x:v>
      </x:c>
    </x:row>
    <x:row r="987">
      <x:c r="B987" t="str">
        <x:v>A-00941</x:v>
      </x:c>
      <x:c r="C987" t="str">
        <x:v>GATE</x:v>
      </x:c>
      <x:c r="D987" t="str">
        <x:v>release state mirrors governing ledger</x:v>
      </x:c>
      <x:c r="E987" t="str">
        <x:f>'Release Gates'!I947</x:f>
        <x:v>PASS</x:v>
      </x:c>
      <x:c r="F987" t="str">
        <x:f>IF('Release Gates'!C947="PLANNING","PASS",IF('Release Gates'!C947="PHYSICAL","OPEN","BLOCKED"))</x:f>
        <x:v>PASS</x:v>
      </x:c>
      <x:c r="G987" t="str">
        <x:v>equals</x:v>
      </x:c>
      <x:c r="H987" t="str">
        <x:f>IF(E987=F987,"PASS","FAIL")</x:f>
        <x:v>PASS</x:v>
      </x:c>
    </x:row>
    <x:row r="988">
      <x:c r="B988" t="str">
        <x:v>A-00942</x:v>
      </x:c>
      <x:c r="C988" t="str">
        <x:v>GATE</x:v>
      </x:c>
      <x:c r="D988" t="str">
        <x:v>release state mirrors governing ledger</x:v>
      </x:c>
      <x:c r="E988" t="str">
        <x:f>'Release Gates'!I948</x:f>
        <x:v>PASS</x:v>
      </x:c>
      <x:c r="F988" t="str">
        <x:f>IF('Release Gates'!C948="PLANNING","PASS",IF('Release Gates'!C948="PHYSICAL","OPEN","BLOCKED"))</x:f>
        <x:v>PASS</x:v>
      </x:c>
      <x:c r="G988" t="str">
        <x:v>equals</x:v>
      </x:c>
      <x:c r="H988" t="str">
        <x:f>IF(E988=F988,"PASS","FAIL")</x:f>
        <x:v>PASS</x:v>
      </x:c>
    </x:row>
    <x:row r="989">
      <x:c r="B989" t="str">
        <x:v>A-00943</x:v>
      </x:c>
      <x:c r="C989" t="str">
        <x:v>GATE</x:v>
      </x:c>
      <x:c r="D989" t="str">
        <x:v>release state mirrors governing ledger</x:v>
      </x:c>
      <x:c r="E989" t="str">
        <x:f>'Release Gates'!I949</x:f>
        <x:v>PASS</x:v>
      </x:c>
      <x:c r="F989" t="str">
        <x:f>IF('Release Gates'!C949="PLANNING","PASS",IF('Release Gates'!C949="PHYSICAL","OPEN","BLOCKED"))</x:f>
        <x:v>PASS</x:v>
      </x:c>
      <x:c r="G989" t="str">
        <x:v>equals</x:v>
      </x:c>
      <x:c r="H989" t="str">
        <x:f>IF(E989=F989,"PASS","FAIL")</x:f>
        <x:v>PASS</x:v>
      </x:c>
    </x:row>
    <x:row r="990">
      <x:c r="B990" t="str">
        <x:v>A-00944</x:v>
      </x:c>
      <x:c r="C990" t="str">
        <x:v>GATE</x:v>
      </x:c>
      <x:c r="D990" t="str">
        <x:v>release state mirrors governing ledger</x:v>
      </x:c>
      <x:c r="E990" t="str">
        <x:f>'Release Gates'!I950</x:f>
        <x:v>PASS</x:v>
      </x:c>
      <x:c r="F990" t="str">
        <x:f>IF('Release Gates'!C950="PLANNING","PASS",IF('Release Gates'!C950="PHYSICAL","OPEN","BLOCKED"))</x:f>
        <x:v>PASS</x:v>
      </x:c>
      <x:c r="G990" t="str">
        <x:v>equals</x:v>
      </x:c>
      <x:c r="H990" t="str">
        <x:f>IF(E990=F990,"PASS","FAIL")</x:f>
        <x:v>PASS</x:v>
      </x:c>
    </x:row>
    <x:row r="991">
      <x:c r="B991" t="str">
        <x:v>A-00945</x:v>
      </x:c>
      <x:c r="C991" t="str">
        <x:v>GATE</x:v>
      </x:c>
      <x:c r="D991" t="str">
        <x:v>release state mirrors governing ledger</x:v>
      </x:c>
      <x:c r="E991" t="str">
        <x:f>'Release Gates'!I951</x:f>
        <x:v>PASS</x:v>
      </x:c>
      <x:c r="F991" t="str">
        <x:f>IF('Release Gates'!C951="PLANNING","PASS",IF('Release Gates'!C951="PHYSICAL","OPEN","BLOCKED"))</x:f>
        <x:v>PASS</x:v>
      </x:c>
      <x:c r="G991" t="str">
        <x:v>equals</x:v>
      </x:c>
      <x:c r="H991" t="str">
        <x:f>IF(E991=F991,"PASS","FAIL")</x:f>
        <x:v>PASS</x:v>
      </x:c>
    </x:row>
    <x:row r="992">
      <x:c r="B992" t="str">
        <x:v>A-00946</x:v>
      </x:c>
      <x:c r="C992" t="str">
        <x:v>GATE</x:v>
      </x:c>
      <x:c r="D992" t="str">
        <x:v>release state mirrors governing ledger</x:v>
      </x:c>
      <x:c r="E992" t="str">
        <x:f>'Release Gates'!I952</x:f>
        <x:v>PASS</x:v>
      </x:c>
      <x:c r="F992" t="str">
        <x:f>IF('Release Gates'!C952="PLANNING","PASS",IF('Release Gates'!C952="PHYSICAL","OPEN","BLOCKED"))</x:f>
        <x:v>PASS</x:v>
      </x:c>
      <x:c r="G992" t="str">
        <x:v>equals</x:v>
      </x:c>
      <x:c r="H992" t="str">
        <x:f>IF(E992=F992,"PASS","FAIL")</x:f>
        <x:v>PASS</x:v>
      </x:c>
    </x:row>
    <x:row r="993">
      <x:c r="B993" t="str">
        <x:v>A-00947</x:v>
      </x:c>
      <x:c r="C993" t="str">
        <x:v>GATE</x:v>
      </x:c>
      <x:c r="D993" t="str">
        <x:v>release state mirrors governing ledger</x:v>
      </x:c>
      <x:c r="E993" t="str">
        <x:f>'Release Gates'!I953</x:f>
        <x:v>PASS</x:v>
      </x:c>
      <x:c r="F993" t="str">
        <x:f>IF('Release Gates'!C953="PLANNING","PASS",IF('Release Gates'!C953="PHYSICAL","OPEN","BLOCKED"))</x:f>
        <x:v>PASS</x:v>
      </x:c>
      <x:c r="G993" t="str">
        <x:v>equals</x:v>
      </x:c>
      <x:c r="H993" t="str">
        <x:f>IF(E993=F993,"PASS","FAIL")</x:f>
        <x:v>PASS</x:v>
      </x:c>
    </x:row>
    <x:row r="994">
      <x:c r="B994" t="str">
        <x:v>A-00948</x:v>
      </x:c>
      <x:c r="C994" t="str">
        <x:v>GATE</x:v>
      </x:c>
      <x:c r="D994" t="str">
        <x:v>release state mirrors governing ledger</x:v>
      </x:c>
      <x:c r="E994" t="str">
        <x:f>'Release Gates'!I954</x:f>
        <x:v>PASS</x:v>
      </x:c>
      <x:c r="F994" t="str">
        <x:f>IF('Release Gates'!C954="PLANNING","PASS",IF('Release Gates'!C954="PHYSICAL","OPEN","BLOCKED"))</x:f>
        <x:v>PASS</x:v>
      </x:c>
      <x:c r="G994" t="str">
        <x:v>equals</x:v>
      </x:c>
      <x:c r="H994" t="str">
        <x:f>IF(E994=F994,"PASS","FAIL")</x:f>
        <x:v>PASS</x:v>
      </x:c>
    </x:row>
    <x:row r="995">
      <x:c r="B995" t="str">
        <x:v>A-00949</x:v>
      </x:c>
      <x:c r="C995" t="str">
        <x:v>GATE</x:v>
      </x:c>
      <x:c r="D995" t="str">
        <x:v>release state mirrors governing ledger</x:v>
      </x:c>
      <x:c r="E995" t="str">
        <x:f>'Release Gates'!I955</x:f>
        <x:v>PASS</x:v>
      </x:c>
      <x:c r="F995" t="str">
        <x:f>IF('Release Gates'!C955="PLANNING","PASS",IF('Release Gates'!C955="PHYSICAL","OPEN","BLOCKED"))</x:f>
        <x:v>PASS</x:v>
      </x:c>
      <x:c r="G995" t="str">
        <x:v>equals</x:v>
      </x:c>
      <x:c r="H995" t="str">
        <x:f>IF(E995=F995,"PASS","FAIL")</x:f>
        <x:v>PASS</x:v>
      </x:c>
    </x:row>
    <x:row r="996">
      <x:c r="B996" t="str">
        <x:v>A-00950</x:v>
      </x:c>
      <x:c r="C996" t="str">
        <x:v>GATE</x:v>
      </x:c>
      <x:c r="D996" t="str">
        <x:v>release state mirrors governing ledger</x:v>
      </x:c>
      <x:c r="E996" t="str">
        <x:f>'Release Gates'!I956</x:f>
        <x:v>PASS</x:v>
      </x:c>
      <x:c r="F996" t="str">
        <x:f>IF('Release Gates'!C956="PLANNING","PASS",IF('Release Gates'!C956="PHYSICAL","OPEN","BLOCKED"))</x:f>
        <x:v>PASS</x:v>
      </x:c>
      <x:c r="G996" t="str">
        <x:v>equals</x:v>
      </x:c>
      <x:c r="H996" t="str">
        <x:f>IF(E996=F996,"PASS","FAIL")</x:f>
        <x:v>PASS</x:v>
      </x:c>
    </x:row>
    <x:row r="997">
      <x:c r="B997" t="str">
        <x:v>A-00951</x:v>
      </x:c>
      <x:c r="C997" t="str">
        <x:v>GATE</x:v>
      </x:c>
      <x:c r="D997" t="str">
        <x:v>release state mirrors governing ledger</x:v>
      </x:c>
      <x:c r="E997" t="str">
        <x:f>'Release Gates'!I957</x:f>
        <x:v>PASS</x:v>
      </x:c>
      <x:c r="F997" t="str">
        <x:f>IF('Release Gates'!C957="PLANNING","PASS",IF('Release Gates'!C957="PHYSICAL","OPEN","BLOCKED"))</x:f>
        <x:v>PASS</x:v>
      </x:c>
      <x:c r="G997" t="str">
        <x:v>equals</x:v>
      </x:c>
      <x:c r="H997" t="str">
        <x:f>IF(E997=F997,"PASS","FAIL")</x:f>
        <x:v>PASS</x:v>
      </x:c>
    </x:row>
    <x:row r="998">
      <x:c r="B998" t="str">
        <x:v>A-00952</x:v>
      </x:c>
      <x:c r="C998" t="str">
        <x:v>GATE</x:v>
      </x:c>
      <x:c r="D998" t="str">
        <x:v>release state mirrors governing ledger</x:v>
      </x:c>
      <x:c r="E998" t="str">
        <x:f>'Release Gates'!I958</x:f>
        <x:v>PASS</x:v>
      </x:c>
      <x:c r="F998" t="str">
        <x:f>IF('Release Gates'!C958="PLANNING","PASS",IF('Release Gates'!C958="PHYSICAL","OPEN","BLOCKED"))</x:f>
        <x:v>PASS</x:v>
      </x:c>
      <x:c r="G998" t="str">
        <x:v>equals</x:v>
      </x:c>
      <x:c r="H998" t="str">
        <x:f>IF(E998=F998,"PASS","FAIL")</x:f>
        <x:v>PASS</x:v>
      </x:c>
    </x:row>
    <x:row r="999">
      <x:c r="B999" t="str">
        <x:v>A-00953</x:v>
      </x:c>
      <x:c r="C999" t="str">
        <x:v>GATE</x:v>
      </x:c>
      <x:c r="D999" t="str">
        <x:v>release state mirrors governing ledger</x:v>
      </x:c>
      <x:c r="E999" t="str">
        <x:f>'Release Gates'!I959</x:f>
        <x:v>PASS</x:v>
      </x:c>
      <x:c r="F999" t="str">
        <x:f>IF('Release Gates'!C959="PLANNING","PASS",IF('Release Gates'!C959="PHYSICAL","OPEN","BLOCKED"))</x:f>
        <x:v>PASS</x:v>
      </x:c>
      <x:c r="G999" t="str">
        <x:v>equals</x:v>
      </x:c>
      <x:c r="H999" t="str">
        <x:f>IF(E999=F999,"PASS","FAIL")</x:f>
        <x:v>PASS</x:v>
      </x:c>
    </x:row>
    <x:row r="1000">
      <x:c r="B1000" t="str">
        <x:v>A-00954</x:v>
      </x:c>
      <x:c r="C1000" t="str">
        <x:v>GATE</x:v>
      </x:c>
      <x:c r="D1000" t="str">
        <x:v>release state mirrors governing ledger</x:v>
      </x:c>
      <x:c r="E1000" t="str">
        <x:f>'Release Gates'!I960</x:f>
        <x:v>PASS</x:v>
      </x:c>
      <x:c r="F1000" t="str">
        <x:f>IF('Release Gates'!C960="PLANNING","PASS",IF('Release Gates'!C960="PHYSICAL","OPEN","BLOCKED"))</x:f>
        <x:v>PASS</x:v>
      </x:c>
      <x:c r="G1000" t="str">
        <x:v>equals</x:v>
      </x:c>
      <x:c r="H1000" t="str">
        <x:f>IF(E1000=F1000,"PASS","FAIL")</x:f>
        <x:v>PASS</x:v>
      </x:c>
    </x:row>
    <x:row r="1001">
      <x:c r="B1001" t="str">
        <x:v>A-00955</x:v>
      </x:c>
      <x:c r="C1001" t="str">
        <x:v>GATE</x:v>
      </x:c>
      <x:c r="D1001" t="str">
        <x:v>release state mirrors governing ledger</x:v>
      </x:c>
      <x:c r="E1001" t="str">
        <x:f>'Release Gates'!I961</x:f>
        <x:v>PASS</x:v>
      </x:c>
      <x:c r="F1001" t="str">
        <x:f>IF('Release Gates'!C961="PLANNING","PASS",IF('Release Gates'!C961="PHYSICAL","OPEN","BLOCKED"))</x:f>
        <x:v>PASS</x:v>
      </x:c>
      <x:c r="G1001" t="str">
        <x:v>equals</x:v>
      </x:c>
      <x:c r="H1001" t="str">
        <x:f>IF(E1001=F1001,"PASS","FAIL")</x:f>
        <x:v>PASS</x:v>
      </x:c>
    </x:row>
    <x:row r="1002">
      <x:c r="B1002" t="str">
        <x:v>A-00956</x:v>
      </x:c>
      <x:c r="C1002" t="str">
        <x:v>GATE</x:v>
      </x:c>
      <x:c r="D1002" t="str">
        <x:v>release state mirrors governing ledger</x:v>
      </x:c>
      <x:c r="E1002" t="str">
        <x:f>'Release Gates'!I962</x:f>
        <x:v>PASS</x:v>
      </x:c>
      <x:c r="F1002" t="str">
        <x:f>IF('Release Gates'!C962="PLANNING","PASS",IF('Release Gates'!C962="PHYSICAL","OPEN","BLOCKED"))</x:f>
        <x:v>PASS</x:v>
      </x:c>
      <x:c r="G1002" t="str">
        <x:v>equals</x:v>
      </x:c>
      <x:c r="H1002" t="str">
        <x:f>IF(E1002=F1002,"PASS","FAIL")</x:f>
        <x:v>PASS</x:v>
      </x:c>
    </x:row>
    <x:row r="1003">
      <x:c r="B1003" t="str">
        <x:v>A-00957</x:v>
      </x:c>
      <x:c r="C1003" t="str">
        <x:v>GATE</x:v>
      </x:c>
      <x:c r="D1003" t="str">
        <x:v>release state mirrors governing ledger</x:v>
      </x:c>
      <x:c r="E1003" t="str">
        <x:f>'Release Gates'!I963</x:f>
        <x:v>PASS</x:v>
      </x:c>
      <x:c r="F1003" t="str">
        <x:f>IF('Release Gates'!C963="PLANNING","PASS",IF('Release Gates'!C963="PHYSICAL","OPEN","BLOCKED"))</x:f>
        <x:v>PASS</x:v>
      </x:c>
      <x:c r="G1003" t="str">
        <x:v>equals</x:v>
      </x:c>
      <x:c r="H1003" t="str">
        <x:f>IF(E1003=F1003,"PASS","FAIL")</x:f>
        <x:v>PASS</x:v>
      </x:c>
    </x:row>
    <x:row r="1004">
      <x:c r="B1004" t="str">
        <x:v>A-00958</x:v>
      </x:c>
      <x:c r="C1004" t="str">
        <x:v>GATE</x:v>
      </x:c>
      <x:c r="D1004" t="str">
        <x:v>release state mirrors governing ledger</x:v>
      </x:c>
      <x:c r="E1004" t="str">
        <x:f>'Release Gates'!I964</x:f>
        <x:v>PASS</x:v>
      </x:c>
      <x:c r="F1004" t="str">
        <x:f>IF('Release Gates'!C964="PLANNING","PASS",IF('Release Gates'!C964="PHYSICAL","OPEN","BLOCKED"))</x:f>
        <x:v>PASS</x:v>
      </x:c>
      <x:c r="G1004" t="str">
        <x:v>equals</x:v>
      </x:c>
      <x:c r="H1004" t="str">
        <x:f>IF(E1004=F1004,"PASS","FAIL")</x:f>
        <x:v>PASS</x:v>
      </x:c>
    </x:row>
    <x:row r="1005">
      <x:c r="B1005" t="str">
        <x:v>A-00959</x:v>
      </x:c>
      <x:c r="C1005" t="str">
        <x:v>GATE</x:v>
      </x:c>
      <x:c r="D1005" t="str">
        <x:v>release state mirrors governing ledger</x:v>
      </x:c>
      <x:c r="E1005" t="str">
        <x:f>'Release Gates'!I965</x:f>
        <x:v>PASS</x:v>
      </x:c>
      <x:c r="F1005" t="str">
        <x:f>IF('Release Gates'!C965="PLANNING","PASS",IF('Release Gates'!C965="PHYSICAL","OPEN","BLOCKED"))</x:f>
        <x:v>PASS</x:v>
      </x:c>
      <x:c r="G1005" t="str">
        <x:v>equals</x:v>
      </x:c>
      <x:c r="H1005" t="str">
        <x:f>IF(E1005=F1005,"PASS","FAIL")</x:f>
        <x:v>PASS</x:v>
      </x:c>
    </x:row>
    <x:row r="1006">
      <x:c r="B1006" t="str">
        <x:v>A-00960</x:v>
      </x:c>
      <x:c r="C1006" t="str">
        <x:v>GATE</x:v>
      </x:c>
      <x:c r="D1006" t="str">
        <x:v>release state mirrors governing ledger</x:v>
      </x:c>
      <x:c r="E1006" t="str">
        <x:f>'Release Gates'!I966</x:f>
        <x:v>PASS</x:v>
      </x:c>
      <x:c r="F1006" t="str">
        <x:f>IF('Release Gates'!C966="PLANNING","PASS",IF('Release Gates'!C966="PHYSICAL","OPEN","BLOCKED"))</x:f>
        <x:v>PASS</x:v>
      </x:c>
      <x:c r="G1006" t="str">
        <x:v>equals</x:v>
      </x:c>
      <x:c r="H1006" t="str">
        <x:f>IF(E1006=F1006,"PASS","FAIL")</x:f>
        <x:v>PASS</x:v>
      </x:c>
    </x:row>
    <x:row r="1007">
      <x:c r="B1007" t="str">
        <x:v>A-00961</x:v>
      </x:c>
      <x:c r="C1007" t="str">
        <x:v>GATE</x:v>
      </x:c>
      <x:c r="D1007" t="str">
        <x:v>release state mirrors governing ledger</x:v>
      </x:c>
      <x:c r="E1007" t="str">
        <x:f>'Release Gates'!I967</x:f>
        <x:v>PASS</x:v>
      </x:c>
      <x:c r="F1007" t="str">
        <x:f>IF('Release Gates'!C967="PLANNING","PASS",IF('Release Gates'!C967="PHYSICAL","OPEN","BLOCKED"))</x:f>
        <x:v>PASS</x:v>
      </x:c>
      <x:c r="G1007" t="str">
        <x:v>equals</x:v>
      </x:c>
      <x:c r="H1007" t="str">
        <x:f>IF(E1007=F1007,"PASS","FAIL")</x:f>
        <x:v>PASS</x:v>
      </x:c>
    </x:row>
    <x:row r="1008">
      <x:c r="B1008" t="str">
        <x:v>A-00962</x:v>
      </x:c>
      <x:c r="C1008" t="str">
        <x:v>GATE</x:v>
      </x:c>
      <x:c r="D1008" t="str">
        <x:v>release state mirrors governing ledger</x:v>
      </x:c>
      <x:c r="E1008" t="str">
        <x:f>'Release Gates'!I968</x:f>
        <x:v>PASS</x:v>
      </x:c>
      <x:c r="F1008" t="str">
        <x:f>IF('Release Gates'!C968="PLANNING","PASS",IF('Release Gates'!C968="PHYSICAL","OPEN","BLOCKED"))</x:f>
        <x:v>PASS</x:v>
      </x:c>
      <x:c r="G1008" t="str">
        <x:v>equals</x:v>
      </x:c>
      <x:c r="H1008" t="str">
        <x:f>IF(E1008=F1008,"PASS","FAIL")</x:f>
        <x:v>PASS</x:v>
      </x:c>
    </x:row>
    <x:row r="1009">
      <x:c r="B1009" t="str">
        <x:v>A-00963</x:v>
      </x:c>
      <x:c r="C1009" t="str">
        <x:v>GATE</x:v>
      </x:c>
      <x:c r="D1009" t="str">
        <x:v>release state mirrors governing ledger</x:v>
      </x:c>
      <x:c r="E1009" t="str">
        <x:f>'Release Gates'!I969</x:f>
        <x:v>PASS</x:v>
      </x:c>
      <x:c r="F1009" t="str">
        <x:f>IF('Release Gates'!C969="PLANNING","PASS",IF('Release Gates'!C969="PHYSICAL","OPEN","BLOCKED"))</x:f>
        <x:v>PASS</x:v>
      </x:c>
      <x:c r="G1009" t="str">
        <x:v>equals</x:v>
      </x:c>
      <x:c r="H1009" t="str">
        <x:f>IF(E1009=F1009,"PASS","FAIL")</x:f>
        <x:v>PASS</x:v>
      </x:c>
    </x:row>
    <x:row r="1010">
      <x:c r="B1010" t="str">
        <x:v>A-00964</x:v>
      </x:c>
      <x:c r="C1010" t="str">
        <x:v>GATE</x:v>
      </x:c>
      <x:c r="D1010" t="str">
        <x:v>release state mirrors governing ledger</x:v>
      </x:c>
      <x:c r="E1010" t="str">
        <x:f>'Release Gates'!I970</x:f>
        <x:v>PASS</x:v>
      </x:c>
      <x:c r="F1010" t="str">
        <x:f>IF('Release Gates'!C970="PLANNING","PASS",IF('Release Gates'!C970="PHYSICAL","OPEN","BLOCKED"))</x:f>
        <x:v>PASS</x:v>
      </x:c>
      <x:c r="G1010" t="str">
        <x:v>equals</x:v>
      </x:c>
      <x:c r="H1010" t="str">
        <x:f>IF(E1010=F1010,"PASS","FAIL")</x:f>
        <x:v>PASS</x:v>
      </x:c>
    </x:row>
    <x:row r="1011">
      <x:c r="B1011" t="str">
        <x:v>A-00965</x:v>
      </x:c>
      <x:c r="C1011" t="str">
        <x:v>GATE</x:v>
      </x:c>
      <x:c r="D1011" t="str">
        <x:v>release state mirrors governing ledger</x:v>
      </x:c>
      <x:c r="E1011" t="str">
        <x:f>'Release Gates'!I971</x:f>
        <x:v>PASS</x:v>
      </x:c>
      <x:c r="F1011" t="str">
        <x:f>IF('Release Gates'!C971="PLANNING","PASS",IF('Release Gates'!C971="PHYSICAL","OPEN","BLOCKED"))</x:f>
        <x:v>PASS</x:v>
      </x:c>
      <x:c r="G1011" t="str">
        <x:v>equals</x:v>
      </x:c>
      <x:c r="H1011" t="str">
        <x:f>IF(E1011=F1011,"PASS","FAIL")</x:f>
        <x:v>PASS</x:v>
      </x:c>
    </x:row>
    <x:row r="1012">
      <x:c r="B1012" t="str">
        <x:v>A-00966</x:v>
      </x:c>
      <x:c r="C1012" t="str">
        <x:v>GATE</x:v>
      </x:c>
      <x:c r="D1012" t="str">
        <x:v>release state mirrors governing ledger</x:v>
      </x:c>
      <x:c r="E1012" t="str">
        <x:f>'Release Gates'!I972</x:f>
        <x:v>PASS</x:v>
      </x:c>
      <x:c r="F1012" t="str">
        <x:f>IF('Release Gates'!C972="PLANNING","PASS",IF('Release Gates'!C972="PHYSICAL","OPEN","BLOCKED"))</x:f>
        <x:v>PASS</x:v>
      </x:c>
      <x:c r="G1012" t="str">
        <x:v>equals</x:v>
      </x:c>
      <x:c r="H1012" t="str">
        <x:f>IF(E1012=F1012,"PASS","FAIL")</x:f>
        <x:v>PASS</x:v>
      </x:c>
    </x:row>
    <x:row r="1013">
      <x:c r="B1013" t="str">
        <x:v>A-00967</x:v>
      </x:c>
      <x:c r="C1013" t="str">
        <x:v>GATE</x:v>
      </x:c>
      <x:c r="D1013" t="str">
        <x:v>release state mirrors governing ledger</x:v>
      </x:c>
      <x:c r="E1013" t="str">
        <x:f>'Release Gates'!I973</x:f>
        <x:v>PASS</x:v>
      </x:c>
      <x:c r="F1013" t="str">
        <x:f>IF('Release Gates'!C973="PLANNING","PASS",IF('Release Gates'!C973="PHYSICAL","OPEN","BLOCKED"))</x:f>
        <x:v>PASS</x:v>
      </x:c>
      <x:c r="G1013" t="str">
        <x:v>equals</x:v>
      </x:c>
      <x:c r="H1013" t="str">
        <x:f>IF(E1013=F1013,"PASS","FAIL")</x:f>
        <x:v>PASS</x:v>
      </x:c>
    </x:row>
    <x:row r="1014">
      <x:c r="B1014" t="str">
        <x:v>A-00968</x:v>
      </x:c>
      <x:c r="C1014" t="str">
        <x:v>GATE</x:v>
      </x:c>
      <x:c r="D1014" t="str">
        <x:v>release state mirrors governing ledger</x:v>
      </x:c>
      <x:c r="E1014" t="str">
        <x:f>'Release Gates'!I974</x:f>
        <x:v>PASS</x:v>
      </x:c>
      <x:c r="F1014" t="str">
        <x:f>IF('Release Gates'!C974="PLANNING","PASS",IF('Release Gates'!C974="PHYSICAL","OPEN","BLOCKED"))</x:f>
        <x:v>PASS</x:v>
      </x:c>
      <x:c r="G1014" t="str">
        <x:v>equals</x:v>
      </x:c>
      <x:c r="H1014" t="str">
        <x:f>IF(E1014=F1014,"PASS","FAIL")</x:f>
        <x:v>PASS</x:v>
      </x:c>
    </x:row>
    <x:row r="1015">
      <x:c r="B1015" t="str">
        <x:v>A-00969</x:v>
      </x:c>
      <x:c r="C1015" t="str">
        <x:v>GATE</x:v>
      </x:c>
      <x:c r="D1015" t="str">
        <x:v>release state mirrors governing ledger</x:v>
      </x:c>
      <x:c r="E1015" t="str">
        <x:f>'Release Gates'!I975</x:f>
        <x:v>PASS</x:v>
      </x:c>
      <x:c r="F1015" t="str">
        <x:f>IF('Release Gates'!C975="PLANNING","PASS",IF('Release Gates'!C975="PHYSICAL","OPEN","BLOCKED"))</x:f>
        <x:v>PASS</x:v>
      </x:c>
      <x:c r="G1015" t="str">
        <x:v>equals</x:v>
      </x:c>
      <x:c r="H1015" t="str">
        <x:f>IF(E1015=F1015,"PASS","FAIL")</x:f>
        <x:v>PASS</x:v>
      </x:c>
    </x:row>
    <x:row r="1016">
      <x:c r="B1016" t="str">
        <x:v>A-00970</x:v>
      </x:c>
      <x:c r="C1016" t="str">
        <x:v>GATE</x:v>
      </x:c>
      <x:c r="D1016" t="str">
        <x:v>release state mirrors governing ledger</x:v>
      </x:c>
      <x:c r="E1016" t="str">
        <x:f>'Release Gates'!I976</x:f>
        <x:v>PASS</x:v>
      </x:c>
      <x:c r="F1016" t="str">
        <x:f>IF('Release Gates'!C976="PLANNING","PASS",IF('Release Gates'!C976="PHYSICAL","OPEN","BLOCKED"))</x:f>
        <x:v>PASS</x:v>
      </x:c>
      <x:c r="G1016" t="str">
        <x:v>equals</x:v>
      </x:c>
      <x:c r="H1016" t="str">
        <x:f>IF(E1016=F1016,"PASS","FAIL")</x:f>
        <x:v>PASS</x:v>
      </x:c>
    </x:row>
    <x:row r="1017">
      <x:c r="B1017" t="str">
        <x:v>A-00971</x:v>
      </x:c>
      <x:c r="C1017" t="str">
        <x:v>GATE</x:v>
      </x:c>
      <x:c r="D1017" t="str">
        <x:v>release state mirrors governing ledger</x:v>
      </x:c>
      <x:c r="E1017" t="str">
        <x:f>'Release Gates'!I977</x:f>
        <x:v>PASS</x:v>
      </x:c>
      <x:c r="F1017" t="str">
        <x:f>IF('Release Gates'!C977="PLANNING","PASS",IF('Release Gates'!C977="PHYSICAL","OPEN","BLOCKED"))</x:f>
        <x:v>PASS</x:v>
      </x:c>
      <x:c r="G1017" t="str">
        <x:v>equals</x:v>
      </x:c>
      <x:c r="H1017" t="str">
        <x:f>IF(E1017=F1017,"PASS","FAIL")</x:f>
        <x:v>PASS</x:v>
      </x:c>
    </x:row>
    <x:row r="1018">
      <x:c r="B1018" t="str">
        <x:v>A-00972</x:v>
      </x:c>
      <x:c r="C1018" t="str">
        <x:v>GATE</x:v>
      </x:c>
      <x:c r="D1018" t="str">
        <x:v>release state mirrors governing ledger</x:v>
      </x:c>
      <x:c r="E1018" t="str">
        <x:f>'Release Gates'!I978</x:f>
        <x:v>PASS</x:v>
      </x:c>
      <x:c r="F1018" t="str">
        <x:f>IF('Release Gates'!C978="PLANNING","PASS",IF('Release Gates'!C978="PHYSICAL","OPEN","BLOCKED"))</x:f>
        <x:v>PASS</x:v>
      </x:c>
      <x:c r="G1018" t="str">
        <x:v>equals</x:v>
      </x:c>
      <x:c r="H1018" t="str">
        <x:f>IF(E1018=F1018,"PASS","FAIL")</x:f>
        <x:v>PASS</x:v>
      </x:c>
    </x:row>
    <x:row r="1019">
      <x:c r="B1019" t="str">
        <x:v>A-00973</x:v>
      </x:c>
      <x:c r="C1019" t="str">
        <x:v>GATE</x:v>
      </x:c>
      <x:c r="D1019" t="str">
        <x:v>release state mirrors governing ledger</x:v>
      </x:c>
      <x:c r="E1019" t="str">
        <x:f>'Release Gates'!I979</x:f>
        <x:v>PASS</x:v>
      </x:c>
      <x:c r="F1019" t="str">
        <x:f>IF('Release Gates'!C979="PLANNING","PASS",IF('Release Gates'!C979="PHYSICAL","OPEN","BLOCKED"))</x:f>
        <x:v>PASS</x:v>
      </x:c>
      <x:c r="G1019" t="str">
        <x:v>equals</x:v>
      </x:c>
      <x:c r="H1019" t="str">
        <x:f>IF(E1019=F1019,"PASS","FAIL")</x:f>
        <x:v>PASS</x:v>
      </x:c>
    </x:row>
    <x:row r="1020">
      <x:c r="B1020" t="str">
        <x:v>A-00974</x:v>
      </x:c>
      <x:c r="C1020" t="str">
        <x:v>GATE</x:v>
      </x:c>
      <x:c r="D1020" t="str">
        <x:v>release state mirrors governing ledger</x:v>
      </x:c>
      <x:c r="E1020" t="str">
        <x:f>'Release Gates'!I980</x:f>
        <x:v>PASS</x:v>
      </x:c>
      <x:c r="F1020" t="str">
        <x:f>IF('Release Gates'!C980="PLANNING","PASS",IF('Release Gates'!C980="PHYSICAL","OPEN","BLOCKED"))</x:f>
        <x:v>PASS</x:v>
      </x:c>
      <x:c r="G1020" t="str">
        <x:v>equals</x:v>
      </x:c>
      <x:c r="H1020" t="str">
        <x:f>IF(E1020=F1020,"PASS","FAIL")</x:f>
        <x:v>PASS</x:v>
      </x:c>
    </x:row>
    <x:row r="1021">
      <x:c r="B1021" t="str">
        <x:v>A-00975</x:v>
      </x:c>
      <x:c r="C1021" t="str">
        <x:v>GATE</x:v>
      </x:c>
      <x:c r="D1021" t="str">
        <x:v>release state mirrors governing ledger</x:v>
      </x:c>
      <x:c r="E1021" t="str">
        <x:f>'Release Gates'!I981</x:f>
        <x:v>PASS</x:v>
      </x:c>
      <x:c r="F1021" t="str">
        <x:f>IF('Release Gates'!C981="PLANNING","PASS",IF('Release Gates'!C981="PHYSICAL","OPEN","BLOCKED"))</x:f>
        <x:v>PASS</x:v>
      </x:c>
      <x:c r="G1021" t="str">
        <x:v>equals</x:v>
      </x:c>
      <x:c r="H1021" t="str">
        <x:f>IF(E1021=F1021,"PASS","FAIL")</x:f>
        <x:v>PASS</x:v>
      </x:c>
    </x:row>
    <x:row r="1022">
      <x:c r="B1022" t="str">
        <x:v>A-00976</x:v>
      </x:c>
      <x:c r="C1022" t="str">
        <x:v>GATE</x:v>
      </x:c>
      <x:c r="D1022" t="str">
        <x:v>release state mirrors governing ledger</x:v>
      </x:c>
      <x:c r="E1022" t="str">
        <x:f>'Release Gates'!I982</x:f>
        <x:v>PASS</x:v>
      </x:c>
      <x:c r="F1022" t="str">
        <x:f>IF('Release Gates'!C982="PLANNING","PASS",IF('Release Gates'!C982="PHYSICAL","OPEN","BLOCKED"))</x:f>
        <x:v>PASS</x:v>
      </x:c>
      <x:c r="G1022" t="str">
        <x:v>equals</x:v>
      </x:c>
      <x:c r="H1022" t="str">
        <x:f>IF(E1022=F1022,"PASS","FAIL")</x:f>
        <x:v>PASS</x:v>
      </x:c>
    </x:row>
    <x:row r="1023">
      <x:c r="B1023" t="str">
        <x:v>A-00977</x:v>
      </x:c>
      <x:c r="C1023" t="str">
        <x:v>GATE</x:v>
      </x:c>
      <x:c r="D1023" t="str">
        <x:v>release state mirrors governing ledger</x:v>
      </x:c>
      <x:c r="E1023" t="str">
        <x:f>'Release Gates'!I983</x:f>
        <x:v>PASS</x:v>
      </x:c>
      <x:c r="F1023" t="str">
        <x:f>IF('Release Gates'!C983="PLANNING","PASS",IF('Release Gates'!C983="PHYSICAL","OPEN","BLOCKED"))</x:f>
        <x:v>PASS</x:v>
      </x:c>
      <x:c r="G1023" t="str">
        <x:v>equals</x:v>
      </x:c>
      <x:c r="H1023" t="str">
        <x:f>IF(E1023=F1023,"PASS","FAIL")</x:f>
        <x:v>PASS</x:v>
      </x:c>
    </x:row>
    <x:row r="1024">
      <x:c r="B1024" t="str">
        <x:v>A-00978</x:v>
      </x:c>
      <x:c r="C1024" t="str">
        <x:v>GATE</x:v>
      </x:c>
      <x:c r="D1024" t="str">
        <x:v>release state mirrors governing ledger</x:v>
      </x:c>
      <x:c r="E1024" t="str">
        <x:f>'Release Gates'!I984</x:f>
        <x:v>PASS</x:v>
      </x:c>
      <x:c r="F1024" t="str">
        <x:f>IF('Release Gates'!C984="PLANNING","PASS",IF('Release Gates'!C984="PHYSICAL","OPEN","BLOCKED"))</x:f>
        <x:v>PASS</x:v>
      </x:c>
      <x:c r="G1024" t="str">
        <x:v>equals</x:v>
      </x:c>
      <x:c r="H1024" t="str">
        <x:f>IF(E1024=F1024,"PASS","FAIL")</x:f>
        <x:v>PASS</x:v>
      </x:c>
    </x:row>
    <x:row r="1025">
      <x:c r="B1025" t="str">
        <x:v>A-00979</x:v>
      </x:c>
      <x:c r="C1025" t="str">
        <x:v>GATE</x:v>
      </x:c>
      <x:c r="D1025" t="str">
        <x:v>release state mirrors governing ledger</x:v>
      </x:c>
      <x:c r="E1025" t="str">
        <x:f>'Release Gates'!I985</x:f>
        <x:v>PASS</x:v>
      </x:c>
      <x:c r="F1025" t="str">
        <x:f>IF('Release Gates'!C985="PLANNING","PASS",IF('Release Gates'!C985="PHYSICAL","OPEN","BLOCKED"))</x:f>
        <x:v>PASS</x:v>
      </x:c>
      <x:c r="G1025" t="str">
        <x:v>equals</x:v>
      </x:c>
      <x:c r="H1025" t="str">
        <x:f>IF(E1025=F1025,"PASS","FAIL")</x:f>
        <x:v>PASS</x:v>
      </x:c>
    </x:row>
    <x:row r="1026">
      <x:c r="B1026" t="str">
        <x:v>A-00980</x:v>
      </x:c>
      <x:c r="C1026" t="str">
        <x:v>GATE</x:v>
      </x:c>
      <x:c r="D1026" t="str">
        <x:v>release state mirrors governing ledger</x:v>
      </x:c>
      <x:c r="E1026" t="str">
        <x:f>'Release Gates'!I986</x:f>
        <x:v>PASS</x:v>
      </x:c>
      <x:c r="F1026" t="str">
        <x:f>IF('Release Gates'!C986="PLANNING","PASS",IF('Release Gates'!C986="PHYSICAL","OPEN","BLOCKED"))</x:f>
        <x:v>PASS</x:v>
      </x:c>
      <x:c r="G1026" t="str">
        <x:v>equals</x:v>
      </x:c>
      <x:c r="H1026" t="str">
        <x:f>IF(E1026=F1026,"PASS","FAIL")</x:f>
        <x:v>PASS</x:v>
      </x:c>
    </x:row>
    <x:row r="1027">
      <x:c r="B1027" t="str">
        <x:v>A-00981</x:v>
      </x:c>
      <x:c r="C1027" t="str">
        <x:v>GATE</x:v>
      </x:c>
      <x:c r="D1027" t="str">
        <x:v>release state mirrors governing ledger</x:v>
      </x:c>
      <x:c r="E1027" t="str">
        <x:f>'Release Gates'!I987</x:f>
        <x:v>PASS</x:v>
      </x:c>
      <x:c r="F1027" t="str">
        <x:f>IF('Release Gates'!C987="PLANNING","PASS",IF('Release Gates'!C987="PHYSICAL","OPEN","BLOCKED"))</x:f>
        <x:v>PASS</x:v>
      </x:c>
      <x:c r="G1027" t="str">
        <x:v>equals</x:v>
      </x:c>
      <x:c r="H1027" t="str">
        <x:f>IF(E1027=F1027,"PASS","FAIL")</x:f>
        <x:v>PASS</x:v>
      </x:c>
    </x:row>
    <x:row r="1028">
      <x:c r="B1028" t="str">
        <x:v>A-00982</x:v>
      </x:c>
      <x:c r="C1028" t="str">
        <x:v>GATE</x:v>
      </x:c>
      <x:c r="D1028" t="str">
        <x:v>release state mirrors governing ledger</x:v>
      </x:c>
      <x:c r="E1028" t="str">
        <x:f>'Release Gates'!I988</x:f>
        <x:v>PASS</x:v>
      </x:c>
      <x:c r="F1028" t="str">
        <x:f>IF('Release Gates'!C988="PLANNING","PASS",IF('Release Gates'!C988="PHYSICAL","OPEN","BLOCKED"))</x:f>
        <x:v>PASS</x:v>
      </x:c>
      <x:c r="G1028" t="str">
        <x:v>equals</x:v>
      </x:c>
      <x:c r="H1028" t="str">
        <x:f>IF(E1028=F1028,"PASS","FAIL")</x:f>
        <x:v>PASS</x:v>
      </x:c>
    </x:row>
    <x:row r="1029">
      <x:c r="B1029" t="str">
        <x:v>A-00983</x:v>
      </x:c>
      <x:c r="C1029" t="str">
        <x:v>GATE</x:v>
      </x:c>
      <x:c r="D1029" t="str">
        <x:v>release state mirrors governing ledger</x:v>
      </x:c>
      <x:c r="E1029" t="str">
        <x:f>'Release Gates'!I989</x:f>
        <x:v>PASS</x:v>
      </x:c>
      <x:c r="F1029" t="str">
        <x:f>IF('Release Gates'!C989="PLANNING","PASS",IF('Release Gates'!C989="PHYSICAL","OPEN","BLOCKED"))</x:f>
        <x:v>PASS</x:v>
      </x:c>
      <x:c r="G1029" t="str">
        <x:v>equals</x:v>
      </x:c>
      <x:c r="H1029" t="str">
        <x:f>IF(E1029=F1029,"PASS","FAIL")</x:f>
        <x:v>PASS</x:v>
      </x:c>
    </x:row>
    <x:row r="1030">
      <x:c r="B1030" t="str">
        <x:v>A-00984</x:v>
      </x:c>
      <x:c r="C1030" t="str">
        <x:v>GATE</x:v>
      </x:c>
      <x:c r="D1030" t="str">
        <x:v>release state mirrors governing ledger</x:v>
      </x:c>
      <x:c r="E1030" t="str">
        <x:f>'Release Gates'!I990</x:f>
        <x:v>PASS</x:v>
      </x:c>
      <x:c r="F1030" t="str">
        <x:f>IF('Release Gates'!C990="PLANNING","PASS",IF('Release Gates'!C990="PHYSICAL","OPEN","BLOCKED"))</x:f>
        <x:v>PASS</x:v>
      </x:c>
      <x:c r="G1030" t="str">
        <x:v>equals</x:v>
      </x:c>
      <x:c r="H1030" t="str">
        <x:f>IF(E1030=F1030,"PASS","FAIL")</x:f>
        <x:v>PASS</x:v>
      </x:c>
    </x:row>
    <x:row r="1031">
      <x:c r="B1031" t="str">
        <x:v>A-00985</x:v>
      </x:c>
      <x:c r="C1031" t="str">
        <x:v>GATE</x:v>
      </x:c>
      <x:c r="D1031" t="str">
        <x:v>release state mirrors governing ledger</x:v>
      </x:c>
      <x:c r="E1031" t="str">
        <x:f>'Release Gates'!I991</x:f>
        <x:v>PASS</x:v>
      </x:c>
      <x:c r="F1031" t="str">
        <x:f>IF('Release Gates'!C991="PLANNING","PASS",IF('Release Gates'!C991="PHYSICAL","OPEN","BLOCKED"))</x:f>
        <x:v>PASS</x:v>
      </x:c>
      <x:c r="G1031" t="str">
        <x:v>equals</x:v>
      </x:c>
      <x:c r="H1031" t="str">
        <x:f>IF(E1031=F1031,"PASS","FAIL")</x:f>
        <x:v>PASS</x:v>
      </x:c>
    </x:row>
    <x:row r="1032">
      <x:c r="B1032" t="str">
        <x:v>A-00986</x:v>
      </x:c>
      <x:c r="C1032" t="str">
        <x:v>GATE</x:v>
      </x:c>
      <x:c r="D1032" t="str">
        <x:v>release state mirrors governing ledger</x:v>
      </x:c>
      <x:c r="E1032" t="str">
        <x:f>'Release Gates'!I992</x:f>
        <x:v>PASS</x:v>
      </x:c>
      <x:c r="F1032" t="str">
        <x:f>IF('Release Gates'!C992="PLANNING","PASS",IF('Release Gates'!C992="PHYSICAL","OPEN","BLOCKED"))</x:f>
        <x:v>PASS</x:v>
      </x:c>
      <x:c r="G1032" t="str">
        <x:v>equals</x:v>
      </x:c>
      <x:c r="H1032" t="str">
        <x:f>IF(E1032=F1032,"PASS","FAIL")</x:f>
        <x:v>PASS</x:v>
      </x:c>
    </x:row>
    <x:row r="1033">
      <x:c r="B1033" t="str">
        <x:v>A-00987</x:v>
      </x:c>
      <x:c r="C1033" t="str">
        <x:v>GATE</x:v>
      </x:c>
      <x:c r="D1033" t="str">
        <x:v>release state mirrors governing ledger</x:v>
      </x:c>
      <x:c r="E1033" t="str">
        <x:f>'Release Gates'!I993</x:f>
        <x:v>PASS</x:v>
      </x:c>
      <x:c r="F1033" t="str">
        <x:f>IF('Release Gates'!C993="PLANNING","PASS",IF('Release Gates'!C993="PHYSICAL","OPEN","BLOCKED"))</x:f>
        <x:v>PASS</x:v>
      </x:c>
      <x:c r="G1033" t="str">
        <x:v>equals</x:v>
      </x:c>
      <x:c r="H1033" t="str">
        <x:f>IF(E1033=F1033,"PASS","FAIL")</x:f>
        <x:v>PASS</x:v>
      </x:c>
    </x:row>
    <x:row r="1034">
      <x:c r="B1034" t="str">
        <x:v>A-00988</x:v>
      </x:c>
      <x:c r="C1034" t="str">
        <x:v>GATE</x:v>
      </x:c>
      <x:c r="D1034" t="str">
        <x:v>release state mirrors governing ledger</x:v>
      </x:c>
      <x:c r="E1034" t="str">
        <x:f>'Release Gates'!I994</x:f>
        <x:v>PASS</x:v>
      </x:c>
      <x:c r="F1034" t="str">
        <x:f>IF('Release Gates'!C994="PLANNING","PASS",IF('Release Gates'!C994="PHYSICAL","OPEN","BLOCKED"))</x:f>
        <x:v>PASS</x:v>
      </x:c>
      <x:c r="G1034" t="str">
        <x:v>equals</x:v>
      </x:c>
      <x:c r="H1034" t="str">
        <x:f>IF(E1034=F1034,"PASS","FAIL")</x:f>
        <x:v>PASS</x:v>
      </x:c>
    </x:row>
    <x:row r="1035">
      <x:c r="B1035" t="str">
        <x:v>A-00989</x:v>
      </x:c>
      <x:c r="C1035" t="str">
        <x:v>GATE</x:v>
      </x:c>
      <x:c r="D1035" t="str">
        <x:v>release state mirrors governing ledger</x:v>
      </x:c>
      <x:c r="E1035" t="str">
        <x:f>'Release Gates'!I995</x:f>
        <x:v>PASS</x:v>
      </x:c>
      <x:c r="F1035" t="str">
        <x:f>IF('Release Gates'!C995="PLANNING","PASS",IF('Release Gates'!C995="PHYSICAL","OPEN","BLOCKED"))</x:f>
        <x:v>PASS</x:v>
      </x:c>
      <x:c r="G1035" t="str">
        <x:v>equals</x:v>
      </x:c>
      <x:c r="H1035" t="str">
        <x:f>IF(E1035=F1035,"PASS","FAIL")</x:f>
        <x:v>PASS</x:v>
      </x:c>
    </x:row>
    <x:row r="1036">
      <x:c r="B1036" t="str">
        <x:v>A-00990</x:v>
      </x:c>
      <x:c r="C1036" t="str">
        <x:v>GATE</x:v>
      </x:c>
      <x:c r="D1036" t="str">
        <x:v>release state mirrors governing ledger</x:v>
      </x:c>
      <x:c r="E1036" t="str">
        <x:f>'Release Gates'!I996</x:f>
        <x:v>PASS</x:v>
      </x:c>
      <x:c r="F1036" t="str">
        <x:f>IF('Release Gates'!C996="PLANNING","PASS",IF('Release Gates'!C996="PHYSICAL","OPEN","BLOCKED"))</x:f>
        <x:v>PASS</x:v>
      </x:c>
      <x:c r="G1036" t="str">
        <x:v>equals</x:v>
      </x:c>
      <x:c r="H1036" t="str">
        <x:f>IF(E1036=F1036,"PASS","FAIL")</x:f>
        <x:v>PASS</x:v>
      </x:c>
    </x:row>
    <x:row r="1037">
      <x:c r="B1037" t="str">
        <x:v>A-00991</x:v>
      </x:c>
      <x:c r="C1037" t="str">
        <x:v>GATE</x:v>
      </x:c>
      <x:c r="D1037" t="str">
        <x:v>release state mirrors governing ledger</x:v>
      </x:c>
      <x:c r="E1037" t="str">
        <x:f>'Release Gates'!I997</x:f>
        <x:v>PASS</x:v>
      </x:c>
      <x:c r="F1037" t="str">
        <x:f>IF('Release Gates'!C997="PLANNING","PASS",IF('Release Gates'!C997="PHYSICAL","OPEN","BLOCKED"))</x:f>
        <x:v>PASS</x:v>
      </x:c>
      <x:c r="G1037" t="str">
        <x:v>equals</x:v>
      </x:c>
      <x:c r="H1037" t="str">
        <x:f>IF(E1037=F1037,"PASS","FAIL")</x:f>
        <x:v>PASS</x:v>
      </x:c>
    </x:row>
    <x:row r="1038">
      <x:c r="B1038" t="str">
        <x:v>A-00992</x:v>
      </x:c>
      <x:c r="C1038" t="str">
        <x:v>GATE</x:v>
      </x:c>
      <x:c r="D1038" t="str">
        <x:v>release state mirrors governing ledger</x:v>
      </x:c>
      <x:c r="E1038" t="str">
        <x:f>'Release Gates'!I998</x:f>
        <x:v>PASS</x:v>
      </x:c>
      <x:c r="F1038" t="str">
        <x:f>IF('Release Gates'!C998="PLANNING","PASS",IF('Release Gates'!C998="PHYSICAL","OPEN","BLOCKED"))</x:f>
        <x:v>PASS</x:v>
      </x:c>
      <x:c r="G1038" t="str">
        <x:v>equals</x:v>
      </x:c>
      <x:c r="H1038" t="str">
        <x:f>IF(E1038=F1038,"PASS","FAIL")</x:f>
        <x:v>PASS</x:v>
      </x:c>
    </x:row>
    <x:row r="1039">
      <x:c r="B1039" t="str">
        <x:v>A-00993</x:v>
      </x:c>
      <x:c r="C1039" t="str">
        <x:v>GATE</x:v>
      </x:c>
      <x:c r="D1039" t="str">
        <x:v>release state mirrors governing ledger</x:v>
      </x:c>
      <x:c r="E1039" t="str">
        <x:f>'Release Gates'!I999</x:f>
        <x:v>PASS</x:v>
      </x:c>
      <x:c r="F1039" t="str">
        <x:f>IF('Release Gates'!C999="PLANNING","PASS",IF('Release Gates'!C999="PHYSICAL","OPEN","BLOCKED"))</x:f>
        <x:v>PASS</x:v>
      </x:c>
      <x:c r="G1039" t="str">
        <x:v>equals</x:v>
      </x:c>
      <x:c r="H1039" t="str">
        <x:f>IF(E1039=F1039,"PASS","FAIL")</x:f>
        <x:v>PASS</x:v>
      </x:c>
    </x:row>
    <x:row r="1040">
      <x:c r="B1040" t="str">
        <x:v>A-00994</x:v>
      </x:c>
      <x:c r="C1040" t="str">
        <x:v>GATE</x:v>
      </x:c>
      <x:c r="D1040" t="str">
        <x:v>release state mirrors governing ledger</x:v>
      </x:c>
      <x:c r="E1040" t="str">
        <x:f>'Release Gates'!I1000</x:f>
        <x:v>PASS</x:v>
      </x:c>
      <x:c r="F1040" t="str">
        <x:f>IF('Release Gates'!C1000="PLANNING","PASS",IF('Release Gates'!C1000="PHYSICAL","OPEN","BLOCKED"))</x:f>
        <x:v>PASS</x:v>
      </x:c>
      <x:c r="G1040" t="str">
        <x:v>equals</x:v>
      </x:c>
      <x:c r="H1040" t="str">
        <x:f>IF(E1040=F1040,"PASS","FAIL")</x:f>
        <x:v>PASS</x:v>
      </x:c>
    </x:row>
    <x:row r="1041">
      <x:c r="B1041" t="str">
        <x:v>A-00995</x:v>
      </x:c>
      <x:c r="C1041" t="str">
        <x:v>GATE</x:v>
      </x:c>
      <x:c r="D1041" t="str">
        <x:v>release state mirrors governing ledger</x:v>
      </x:c>
      <x:c r="E1041" t="str">
        <x:f>'Release Gates'!I1001</x:f>
        <x:v>PASS</x:v>
      </x:c>
      <x:c r="F1041" t="str">
        <x:f>IF('Release Gates'!C1001="PLANNING","PASS",IF('Release Gates'!C1001="PHYSICAL","OPEN","BLOCKED"))</x:f>
        <x:v>PASS</x:v>
      </x:c>
      <x:c r="G1041" t="str">
        <x:v>equals</x:v>
      </x:c>
      <x:c r="H1041" t="str">
        <x:f>IF(E1041=F1041,"PASS","FAIL")</x:f>
        <x:v>PASS</x:v>
      </x:c>
    </x:row>
    <x:row r="1042">
      <x:c r="B1042" t="str">
        <x:v>A-00996</x:v>
      </x:c>
      <x:c r="C1042" t="str">
        <x:v>GATE</x:v>
      </x:c>
      <x:c r="D1042" t="str">
        <x:v>release state mirrors governing ledger</x:v>
      </x:c>
      <x:c r="E1042" t="str">
        <x:f>'Release Gates'!I1002</x:f>
        <x:v>PASS</x:v>
      </x:c>
      <x:c r="F1042" t="str">
        <x:f>IF('Release Gates'!C1002="PLANNING","PASS",IF('Release Gates'!C1002="PHYSICAL","OPEN","BLOCKED"))</x:f>
        <x:v>PASS</x:v>
      </x:c>
      <x:c r="G1042" t="str">
        <x:v>equals</x:v>
      </x:c>
      <x:c r="H1042" t="str">
        <x:f>IF(E1042=F1042,"PASS","FAIL")</x:f>
        <x:v>PASS</x:v>
      </x:c>
    </x:row>
    <x:row r="1043">
      <x:c r="B1043" t="str">
        <x:v>A-00997</x:v>
      </x:c>
      <x:c r="C1043" t="str">
        <x:v>GATE</x:v>
      </x:c>
      <x:c r="D1043" t="str">
        <x:v>release state mirrors governing ledger</x:v>
      </x:c>
      <x:c r="E1043" t="str">
        <x:f>'Release Gates'!I1003</x:f>
        <x:v>PASS</x:v>
      </x:c>
      <x:c r="F1043" t="str">
        <x:f>IF('Release Gates'!C1003="PLANNING","PASS",IF('Release Gates'!C1003="PHYSICAL","OPEN","BLOCKED"))</x:f>
        <x:v>PASS</x:v>
      </x:c>
      <x:c r="G1043" t="str">
        <x:v>equals</x:v>
      </x:c>
      <x:c r="H1043" t="str">
        <x:f>IF(E1043=F1043,"PASS","FAIL")</x:f>
        <x:v>PASS</x:v>
      </x:c>
    </x:row>
    <x:row r="1044">
      <x:c r="B1044" t="str">
        <x:v>A-00998</x:v>
      </x:c>
      <x:c r="C1044" t="str">
        <x:v>GATE</x:v>
      </x:c>
      <x:c r="D1044" t="str">
        <x:v>release state mirrors governing ledger</x:v>
      </x:c>
      <x:c r="E1044" t="str">
        <x:f>'Release Gates'!I1004</x:f>
        <x:v>PASS</x:v>
      </x:c>
      <x:c r="F1044" t="str">
        <x:f>IF('Release Gates'!C1004="PLANNING","PASS",IF('Release Gates'!C1004="PHYSICAL","OPEN","BLOCKED"))</x:f>
        <x:v>PASS</x:v>
      </x:c>
      <x:c r="G1044" t="str">
        <x:v>equals</x:v>
      </x:c>
      <x:c r="H1044" t="str">
        <x:f>IF(E1044=F1044,"PASS","FAIL")</x:f>
        <x:v>PASS</x:v>
      </x:c>
    </x:row>
    <x:row r="1045">
      <x:c r="B1045" t="str">
        <x:v>A-00999</x:v>
      </x:c>
      <x:c r="C1045" t="str">
        <x:v>GATE</x:v>
      </x:c>
      <x:c r="D1045" t="str">
        <x:v>release state mirrors governing ledger</x:v>
      </x:c>
      <x:c r="E1045" t="str">
        <x:f>'Release Gates'!I1005</x:f>
        <x:v>PASS</x:v>
      </x:c>
      <x:c r="F1045" t="str">
        <x:f>IF('Release Gates'!C1005="PLANNING","PASS",IF('Release Gates'!C1005="PHYSICAL","OPEN","BLOCKED"))</x:f>
        <x:v>PASS</x:v>
      </x:c>
      <x:c r="G1045" t="str">
        <x:v>equals</x:v>
      </x:c>
      <x:c r="H1045" t="str">
        <x:f>IF(E1045=F1045,"PASS","FAIL")</x:f>
        <x:v>PASS</x:v>
      </x:c>
    </x:row>
    <x:row r="1046">
      <x:c r="B1046" t="str">
        <x:v>A-01000</x:v>
      </x:c>
      <x:c r="C1046" t="str">
        <x:v>GATE</x:v>
      </x:c>
      <x:c r="D1046" t="str">
        <x:v>release state mirrors governing ledger</x:v>
      </x:c>
      <x:c r="E1046" t="str">
        <x:f>'Release Gates'!I1006</x:f>
        <x:v>PASS</x:v>
      </x:c>
      <x:c r="F1046" t="str">
        <x:f>IF('Release Gates'!C1006="PLANNING","PASS",IF('Release Gates'!C1006="PHYSICAL","OPEN","BLOCKED"))</x:f>
        <x:v>PASS</x:v>
      </x:c>
      <x:c r="G1046" t="str">
        <x:v>equals</x:v>
      </x:c>
      <x:c r="H1046" t="str">
        <x:f>IF(E1046=F1046,"PASS","FAIL")</x:f>
        <x:v>PASS</x:v>
      </x:c>
    </x:row>
    <x:row r="1047">
      <x:c r="B1047" t="str">
        <x:v>A-01001</x:v>
      </x:c>
      <x:c r="C1047" t="str">
        <x:v>GATE</x:v>
      </x:c>
      <x:c r="D1047" t="str">
        <x:v>release state mirrors governing ledger</x:v>
      </x:c>
      <x:c r="E1047" t="str">
        <x:f>'Release Gates'!I1007</x:f>
        <x:v>PASS</x:v>
      </x:c>
      <x:c r="F1047" t="str">
        <x:f>IF('Release Gates'!C1007="PLANNING","PASS",IF('Release Gates'!C1007="PHYSICAL","OPEN","BLOCKED"))</x:f>
        <x:v>PASS</x:v>
      </x:c>
      <x:c r="G1047" t="str">
        <x:v>equals</x:v>
      </x:c>
      <x:c r="H1047" t="str">
        <x:f>IF(E1047=F1047,"PASS","FAIL")</x:f>
        <x:v>PASS</x:v>
      </x:c>
    </x:row>
    <x:row r="1048">
      <x:c r="B1048" t="str">
        <x:v>A-01002</x:v>
      </x:c>
      <x:c r="C1048" t="str">
        <x:v>GATE</x:v>
      </x:c>
      <x:c r="D1048" t="str">
        <x:v>release state mirrors governing ledger</x:v>
      </x:c>
      <x:c r="E1048" t="str">
        <x:f>'Release Gates'!I1008</x:f>
        <x:v>PASS</x:v>
      </x:c>
      <x:c r="F1048" t="str">
        <x:f>IF('Release Gates'!C1008="PLANNING","PASS",IF('Release Gates'!C1008="PHYSICAL","OPEN","BLOCKED"))</x:f>
        <x:v>PASS</x:v>
      </x:c>
      <x:c r="G1048" t="str">
        <x:v>equals</x:v>
      </x:c>
      <x:c r="H1048" t="str">
        <x:f>IF(E1048=F1048,"PASS","FAIL")</x:f>
        <x:v>PASS</x:v>
      </x:c>
    </x:row>
    <x:row r="1049">
      <x:c r="B1049" t="str">
        <x:v>A-01003</x:v>
      </x:c>
      <x:c r="C1049" t="str">
        <x:v>GATE</x:v>
      </x:c>
      <x:c r="D1049" t="str">
        <x:v>release state mirrors governing ledger</x:v>
      </x:c>
      <x:c r="E1049" t="str">
        <x:f>'Release Gates'!I1009</x:f>
        <x:v>PASS</x:v>
      </x:c>
      <x:c r="F1049" t="str">
        <x:f>IF('Release Gates'!C1009="PLANNING","PASS",IF('Release Gates'!C1009="PHYSICAL","OPEN","BLOCKED"))</x:f>
        <x:v>PASS</x:v>
      </x:c>
      <x:c r="G1049" t="str">
        <x:v>equals</x:v>
      </x:c>
      <x:c r="H1049" t="str">
        <x:f>IF(E1049=F1049,"PASS","FAIL")</x:f>
        <x:v>PASS</x:v>
      </x:c>
    </x:row>
    <x:row r="1050">
      <x:c r="B1050" t="str">
        <x:v>A-01004</x:v>
      </x:c>
      <x:c r="C1050" t="str">
        <x:v>GATE</x:v>
      </x:c>
      <x:c r="D1050" t="str">
        <x:v>release state mirrors governing ledger</x:v>
      </x:c>
      <x:c r="E1050" t="str">
        <x:f>'Release Gates'!I1010</x:f>
        <x:v>PASS</x:v>
      </x:c>
      <x:c r="F1050" t="str">
        <x:f>IF('Release Gates'!C1010="PLANNING","PASS",IF('Release Gates'!C1010="PHYSICAL","OPEN","BLOCKED"))</x:f>
        <x:v>PASS</x:v>
      </x:c>
      <x:c r="G1050" t="str">
        <x:v>equals</x:v>
      </x:c>
      <x:c r="H1050" t="str">
        <x:f>IF(E1050=F1050,"PASS","FAIL")</x:f>
        <x:v>PASS</x:v>
      </x:c>
    </x:row>
    <x:row r="1051">
      <x:c r="B1051" t="str">
        <x:v>A-01005</x:v>
      </x:c>
      <x:c r="C1051" t="str">
        <x:v>GATE</x:v>
      </x:c>
      <x:c r="D1051" t="str">
        <x:v>release state mirrors governing ledger</x:v>
      </x:c>
      <x:c r="E1051" t="str">
        <x:f>'Release Gates'!I1011</x:f>
        <x:v>PASS</x:v>
      </x:c>
      <x:c r="F1051" t="str">
        <x:f>IF('Release Gates'!C1011="PLANNING","PASS",IF('Release Gates'!C1011="PHYSICAL","OPEN","BLOCKED"))</x:f>
        <x:v>PASS</x:v>
      </x:c>
      <x:c r="G1051" t="str">
        <x:v>equals</x:v>
      </x:c>
      <x:c r="H1051" t="str">
        <x:f>IF(E1051=F1051,"PASS","FAIL")</x:f>
        <x:v>PASS</x:v>
      </x:c>
    </x:row>
    <x:row r="1052">
      <x:c r="B1052" t="str">
        <x:v>A-01006</x:v>
      </x:c>
      <x:c r="C1052" t="str">
        <x:v>GATE</x:v>
      </x:c>
      <x:c r="D1052" t="str">
        <x:v>release state mirrors governing ledger</x:v>
      </x:c>
      <x:c r="E1052" t="str">
        <x:f>'Release Gates'!I1012</x:f>
        <x:v>PASS</x:v>
      </x:c>
      <x:c r="F1052" t="str">
        <x:f>IF('Release Gates'!C1012="PLANNING","PASS",IF('Release Gates'!C1012="PHYSICAL","OPEN","BLOCKED"))</x:f>
        <x:v>PASS</x:v>
      </x:c>
      <x:c r="G1052" t="str">
        <x:v>equals</x:v>
      </x:c>
      <x:c r="H1052" t="str">
        <x:f>IF(E1052=F1052,"PASS","FAIL")</x:f>
        <x:v>PASS</x:v>
      </x:c>
    </x:row>
    <x:row r="1053">
      <x:c r="B1053" t="str">
        <x:v>A-01007</x:v>
      </x:c>
      <x:c r="C1053" t="str">
        <x:v>GATE</x:v>
      </x:c>
      <x:c r="D1053" t="str">
        <x:v>release state mirrors governing ledger</x:v>
      </x:c>
      <x:c r="E1053" t="str">
        <x:f>'Release Gates'!I1013</x:f>
        <x:v>PASS</x:v>
      </x:c>
      <x:c r="F1053" t="str">
        <x:f>IF('Release Gates'!C1013="PLANNING","PASS",IF('Release Gates'!C1013="PHYSICAL","OPEN","BLOCKED"))</x:f>
        <x:v>PASS</x:v>
      </x:c>
      <x:c r="G1053" t="str">
        <x:v>equals</x:v>
      </x:c>
      <x:c r="H1053" t="str">
        <x:f>IF(E1053=F1053,"PASS","FAIL")</x:f>
        <x:v>PASS</x:v>
      </x:c>
    </x:row>
    <x:row r="1054">
      <x:c r="B1054" t="str">
        <x:v>A-01008</x:v>
      </x:c>
      <x:c r="C1054" t="str">
        <x:v>GATE</x:v>
      </x:c>
      <x:c r="D1054" t="str">
        <x:v>release state mirrors governing ledger</x:v>
      </x:c>
      <x:c r="E1054" t="str">
        <x:f>'Release Gates'!I1014</x:f>
        <x:v>PASS</x:v>
      </x:c>
      <x:c r="F1054" t="str">
        <x:f>IF('Release Gates'!C1014="PLANNING","PASS",IF('Release Gates'!C1014="PHYSICAL","OPEN","BLOCKED"))</x:f>
        <x:v>PASS</x:v>
      </x:c>
      <x:c r="G1054" t="str">
        <x:v>equals</x:v>
      </x:c>
      <x:c r="H1054" t="str">
        <x:f>IF(E1054=F1054,"PASS","FAIL")</x:f>
        <x:v>PASS</x:v>
      </x:c>
    </x:row>
    <x:row r="1055">
      <x:c r="B1055" t="str">
        <x:v>A-01009</x:v>
      </x:c>
      <x:c r="C1055" t="str">
        <x:v>GATE</x:v>
      </x:c>
      <x:c r="D1055" t="str">
        <x:v>release state mirrors governing ledger</x:v>
      </x:c>
      <x:c r="E1055" t="str">
        <x:f>'Release Gates'!I1015</x:f>
        <x:v>PASS</x:v>
      </x:c>
      <x:c r="F1055" t="str">
        <x:f>IF('Release Gates'!C1015="PLANNING","PASS",IF('Release Gates'!C1015="PHYSICAL","OPEN","BLOCKED"))</x:f>
        <x:v>PASS</x:v>
      </x:c>
      <x:c r="G1055" t="str">
        <x:v>equals</x:v>
      </x:c>
      <x:c r="H1055" t="str">
        <x:f>IF(E1055=F1055,"PASS","FAIL")</x:f>
        <x:v>PASS</x:v>
      </x:c>
    </x:row>
    <x:row r="1056">
      <x:c r="B1056" t="str">
        <x:v>A-01010</x:v>
      </x:c>
      <x:c r="C1056" t="str">
        <x:v>GATE</x:v>
      </x:c>
      <x:c r="D1056" t="str">
        <x:v>release state mirrors governing ledger</x:v>
      </x:c>
      <x:c r="E1056" t="str">
        <x:f>'Release Gates'!I1016</x:f>
        <x:v>PASS</x:v>
      </x:c>
      <x:c r="F1056" t="str">
        <x:f>IF('Release Gates'!C1016="PLANNING","PASS",IF('Release Gates'!C1016="PHYSICAL","OPEN","BLOCKED"))</x:f>
        <x:v>PASS</x:v>
      </x:c>
      <x:c r="G1056" t="str">
        <x:v>equals</x:v>
      </x:c>
      <x:c r="H1056" t="str">
        <x:f>IF(E1056=F1056,"PASS","FAIL")</x:f>
        <x:v>PASS</x:v>
      </x:c>
    </x:row>
    <x:row r="1057">
      <x:c r="B1057" t="str">
        <x:v>A-01011</x:v>
      </x:c>
      <x:c r="C1057" t="str">
        <x:v>GATE</x:v>
      </x:c>
      <x:c r="D1057" t="str">
        <x:v>release state mirrors governing ledger</x:v>
      </x:c>
      <x:c r="E1057" t="str">
        <x:f>'Release Gates'!I1017</x:f>
        <x:v>PASS</x:v>
      </x:c>
      <x:c r="F1057" t="str">
        <x:f>IF('Release Gates'!C1017="PLANNING","PASS",IF('Release Gates'!C1017="PHYSICAL","OPEN","BLOCKED"))</x:f>
        <x:v>PASS</x:v>
      </x:c>
      <x:c r="G1057" t="str">
        <x:v>equals</x:v>
      </x:c>
      <x:c r="H1057" t="str">
        <x:f>IF(E1057=F1057,"PASS","FAIL")</x:f>
        <x:v>PASS</x:v>
      </x:c>
    </x:row>
    <x:row r="1058">
      <x:c r="B1058" t="str">
        <x:v>A-01012</x:v>
      </x:c>
      <x:c r="C1058" t="str">
        <x:v>GATE</x:v>
      </x:c>
      <x:c r="D1058" t="str">
        <x:v>release state mirrors governing ledger</x:v>
      </x:c>
      <x:c r="E1058" t="str">
        <x:f>'Release Gates'!I1018</x:f>
        <x:v>PASS</x:v>
      </x:c>
      <x:c r="F1058" t="str">
        <x:f>IF('Release Gates'!C1018="PLANNING","PASS",IF('Release Gates'!C1018="PHYSICAL","OPEN","BLOCKED"))</x:f>
        <x:v>PASS</x:v>
      </x:c>
      <x:c r="G1058" t="str">
        <x:v>equals</x:v>
      </x:c>
      <x:c r="H1058" t="str">
        <x:f>IF(E1058=F1058,"PASS","FAIL")</x:f>
        <x:v>PASS</x:v>
      </x:c>
    </x:row>
    <x:row r="1059">
      <x:c r="B1059" t="str">
        <x:v>A-01013</x:v>
      </x:c>
      <x:c r="C1059" t="str">
        <x:v>GATE</x:v>
      </x:c>
      <x:c r="D1059" t="str">
        <x:v>release state mirrors governing ledger</x:v>
      </x:c>
      <x:c r="E1059" t="str">
        <x:f>'Release Gates'!I1019</x:f>
        <x:v>PASS</x:v>
      </x:c>
      <x:c r="F1059" t="str">
        <x:f>IF('Release Gates'!C1019="PLANNING","PASS",IF('Release Gates'!C1019="PHYSICAL","OPEN","BLOCKED"))</x:f>
        <x:v>PASS</x:v>
      </x:c>
      <x:c r="G1059" t="str">
        <x:v>equals</x:v>
      </x:c>
      <x:c r="H1059" t="str">
        <x:f>IF(E1059=F1059,"PASS","FAIL")</x:f>
        <x:v>PASS</x:v>
      </x:c>
    </x:row>
    <x:row r="1060">
      <x:c r="B1060" t="str">
        <x:v>A-01014</x:v>
      </x:c>
      <x:c r="C1060" t="str">
        <x:v>GATE</x:v>
      </x:c>
      <x:c r="D1060" t="str">
        <x:v>release state mirrors governing ledger</x:v>
      </x:c>
      <x:c r="E1060" t="str">
        <x:f>'Release Gates'!I1020</x:f>
        <x:v>PASS</x:v>
      </x:c>
      <x:c r="F1060" t="str">
        <x:f>IF('Release Gates'!C1020="PLANNING","PASS",IF('Release Gates'!C1020="PHYSICAL","OPEN","BLOCKED"))</x:f>
        <x:v>PASS</x:v>
      </x:c>
      <x:c r="G1060" t="str">
        <x:v>equals</x:v>
      </x:c>
      <x:c r="H1060" t="str">
        <x:f>IF(E1060=F1060,"PASS","FAIL")</x:f>
        <x:v>PASS</x:v>
      </x:c>
    </x:row>
    <x:row r="1061">
      <x:c r="B1061" t="str">
        <x:v>A-01015</x:v>
      </x:c>
      <x:c r="C1061" t="str">
        <x:v>GATE</x:v>
      </x:c>
      <x:c r="D1061" t="str">
        <x:v>release state mirrors governing ledger</x:v>
      </x:c>
      <x:c r="E1061" t="str">
        <x:f>'Release Gates'!I1021</x:f>
        <x:v>PASS</x:v>
      </x:c>
      <x:c r="F1061" t="str">
        <x:f>IF('Release Gates'!C1021="PLANNING","PASS",IF('Release Gates'!C1021="PHYSICAL","OPEN","BLOCKED"))</x:f>
        <x:v>PASS</x:v>
      </x:c>
      <x:c r="G1061" t="str">
        <x:v>equals</x:v>
      </x:c>
      <x:c r="H1061" t="str">
        <x:f>IF(E1061=F1061,"PASS","FAIL")</x:f>
        <x:v>PASS</x:v>
      </x:c>
    </x:row>
    <x:row r="1062">
      <x:c r="B1062" t="str">
        <x:v>A-01016</x:v>
      </x:c>
      <x:c r="C1062" t="str">
        <x:v>GATE</x:v>
      </x:c>
      <x:c r="D1062" t="str">
        <x:v>release state mirrors governing ledger</x:v>
      </x:c>
      <x:c r="E1062" t="str">
        <x:f>'Release Gates'!I1022</x:f>
        <x:v>PASS</x:v>
      </x:c>
      <x:c r="F1062" t="str">
        <x:f>IF('Release Gates'!C1022="PLANNING","PASS",IF('Release Gates'!C1022="PHYSICAL","OPEN","BLOCKED"))</x:f>
        <x:v>PASS</x:v>
      </x:c>
      <x:c r="G1062" t="str">
        <x:v>equals</x:v>
      </x:c>
      <x:c r="H1062" t="str">
        <x:f>IF(E1062=F1062,"PASS","FAIL")</x:f>
        <x:v>PASS</x:v>
      </x:c>
    </x:row>
    <x:row r="1063">
      <x:c r="B1063" t="str">
        <x:v>A-01017</x:v>
      </x:c>
      <x:c r="C1063" t="str">
        <x:v>GATE</x:v>
      </x:c>
      <x:c r="D1063" t="str">
        <x:v>release state mirrors governing ledger</x:v>
      </x:c>
      <x:c r="E1063" t="str">
        <x:f>'Release Gates'!I1023</x:f>
        <x:v>PASS</x:v>
      </x:c>
      <x:c r="F1063" t="str">
        <x:f>IF('Release Gates'!C1023="PLANNING","PASS",IF('Release Gates'!C1023="PHYSICAL","OPEN","BLOCKED"))</x:f>
        <x:v>PASS</x:v>
      </x:c>
      <x:c r="G1063" t="str">
        <x:v>equals</x:v>
      </x:c>
      <x:c r="H1063" t="str">
        <x:f>IF(E1063=F1063,"PASS","FAIL")</x:f>
        <x:v>PASS</x:v>
      </x:c>
    </x:row>
    <x:row r="1064">
      <x:c r="B1064" t="str">
        <x:v>A-01018</x:v>
      </x:c>
      <x:c r="C1064" t="str">
        <x:v>GATE</x:v>
      </x:c>
      <x:c r="D1064" t="str">
        <x:v>release state mirrors governing ledger</x:v>
      </x:c>
      <x:c r="E1064" t="str">
        <x:f>'Release Gates'!I1024</x:f>
        <x:v>PASS</x:v>
      </x:c>
      <x:c r="F1064" t="str">
        <x:f>IF('Release Gates'!C1024="PLANNING","PASS",IF('Release Gates'!C1024="PHYSICAL","OPEN","BLOCKED"))</x:f>
        <x:v>PASS</x:v>
      </x:c>
      <x:c r="G1064" t="str">
        <x:v>equals</x:v>
      </x:c>
      <x:c r="H1064" t="str">
        <x:f>IF(E1064=F1064,"PASS","FAIL")</x:f>
        <x:v>PASS</x:v>
      </x:c>
    </x:row>
    <x:row r="1065">
      <x:c r="B1065" t="str">
        <x:v>A-01019</x:v>
      </x:c>
      <x:c r="C1065" t="str">
        <x:v>GATE</x:v>
      </x:c>
      <x:c r="D1065" t="str">
        <x:v>release state mirrors governing ledger</x:v>
      </x:c>
      <x:c r="E1065" t="str">
        <x:f>'Release Gates'!I1025</x:f>
        <x:v>PASS</x:v>
      </x:c>
      <x:c r="F1065" t="str">
        <x:f>IF('Release Gates'!C1025="PLANNING","PASS",IF('Release Gates'!C1025="PHYSICAL","OPEN","BLOCKED"))</x:f>
        <x:v>PASS</x:v>
      </x:c>
      <x:c r="G1065" t="str">
        <x:v>equals</x:v>
      </x:c>
      <x:c r="H1065" t="str">
        <x:f>IF(E1065=F1065,"PASS","FAIL")</x:f>
        <x:v>PASS</x:v>
      </x:c>
    </x:row>
    <x:row r="1066">
      <x:c r="B1066" t="str">
        <x:v>A-01020</x:v>
      </x:c>
      <x:c r="C1066" t="str">
        <x:v>GATE</x:v>
      </x:c>
      <x:c r="D1066" t="str">
        <x:v>release state mirrors governing ledger</x:v>
      </x:c>
      <x:c r="E1066" t="str">
        <x:f>'Release Gates'!I1026</x:f>
        <x:v>PASS</x:v>
      </x:c>
      <x:c r="F1066" t="str">
        <x:f>IF('Release Gates'!C1026="PLANNING","PASS",IF('Release Gates'!C1026="PHYSICAL","OPEN","BLOCKED"))</x:f>
        <x:v>PASS</x:v>
      </x:c>
      <x:c r="G1066" t="str">
        <x:v>equals</x:v>
      </x:c>
      <x:c r="H1066" t="str">
        <x:f>IF(E1066=F1066,"PASS","FAIL")</x:f>
        <x:v>PASS</x:v>
      </x:c>
    </x:row>
    <x:row r="1067">
      <x:c r="B1067" t="str">
        <x:v>A-01021</x:v>
      </x:c>
      <x:c r="C1067" t="str">
        <x:v>GATE</x:v>
      </x:c>
      <x:c r="D1067" t="str">
        <x:v>release state mirrors governing ledger</x:v>
      </x:c>
      <x:c r="E1067" t="str">
        <x:f>'Release Gates'!I1027</x:f>
        <x:v>PASS</x:v>
      </x:c>
      <x:c r="F1067" t="str">
        <x:f>IF('Release Gates'!C1027="PLANNING","PASS",IF('Release Gates'!C1027="PHYSICAL","OPEN","BLOCKED"))</x:f>
        <x:v>PASS</x:v>
      </x:c>
      <x:c r="G1067" t="str">
        <x:v>equals</x:v>
      </x:c>
      <x:c r="H1067" t="str">
        <x:f>IF(E1067=F1067,"PASS","FAIL")</x:f>
        <x:v>PASS</x:v>
      </x:c>
    </x:row>
    <x:row r="1068">
      <x:c r="B1068" t="str">
        <x:v>A-01022</x:v>
      </x:c>
      <x:c r="C1068" t="str">
        <x:v>GATE</x:v>
      </x:c>
      <x:c r="D1068" t="str">
        <x:v>release state mirrors governing ledger</x:v>
      </x:c>
      <x:c r="E1068" t="str">
        <x:f>'Release Gates'!I1028</x:f>
        <x:v>PASS</x:v>
      </x:c>
      <x:c r="F1068" t="str">
        <x:f>IF('Release Gates'!C1028="PLANNING","PASS",IF('Release Gates'!C1028="PHYSICAL","OPEN","BLOCKED"))</x:f>
        <x:v>PASS</x:v>
      </x:c>
      <x:c r="G1068" t="str">
        <x:v>equals</x:v>
      </x:c>
      <x:c r="H1068" t="str">
        <x:f>IF(E1068=F1068,"PASS","FAIL")</x:f>
        <x:v>PASS</x:v>
      </x:c>
    </x:row>
    <x:row r="1069">
      <x:c r="B1069" t="str">
        <x:v>A-01023</x:v>
      </x:c>
      <x:c r="C1069" t="str">
        <x:v>GATE</x:v>
      </x:c>
      <x:c r="D1069" t="str">
        <x:v>release state mirrors governing ledger</x:v>
      </x:c>
      <x:c r="E1069" t="str">
        <x:f>'Release Gates'!I1029</x:f>
        <x:v>PASS</x:v>
      </x:c>
      <x:c r="F1069" t="str">
        <x:f>IF('Release Gates'!C1029="PLANNING","PASS",IF('Release Gates'!C1029="PHYSICAL","OPEN","BLOCKED"))</x:f>
        <x:v>PASS</x:v>
      </x:c>
      <x:c r="G1069" t="str">
        <x:v>equals</x:v>
      </x:c>
      <x:c r="H1069" t="str">
        <x:f>IF(E1069=F1069,"PASS","FAIL")</x:f>
        <x:v>PASS</x:v>
      </x:c>
    </x:row>
    <x:row r="1070">
      <x:c r="B1070" t="str">
        <x:v>A-01024</x:v>
      </x:c>
      <x:c r="C1070" t="str">
        <x:v>GATE</x:v>
      </x:c>
      <x:c r="D1070" t="str">
        <x:v>release state mirrors governing ledger</x:v>
      </x:c>
      <x:c r="E1070" t="str">
        <x:f>'Release Gates'!I1030</x:f>
        <x:v>PASS</x:v>
      </x:c>
      <x:c r="F1070" t="str">
        <x:f>IF('Release Gates'!C1030="PLANNING","PASS",IF('Release Gates'!C1030="PHYSICAL","OPEN","BLOCKED"))</x:f>
        <x:v>PASS</x:v>
      </x:c>
      <x:c r="G1070" t="str">
        <x:v>equals</x:v>
      </x:c>
      <x:c r="H1070" t="str">
        <x:f>IF(E1070=F1070,"PASS","FAIL")</x:f>
        <x:v>PASS</x:v>
      </x:c>
    </x:row>
    <x:row r="1071">
      <x:c r="B1071" t="str">
        <x:v>A-01025</x:v>
      </x:c>
      <x:c r="C1071" t="str">
        <x:v>GATE</x:v>
      </x:c>
      <x:c r="D1071" t="str">
        <x:v>release state mirrors governing ledger</x:v>
      </x:c>
      <x:c r="E1071" t="str">
        <x:f>'Release Gates'!I1031</x:f>
        <x:v>PASS</x:v>
      </x:c>
      <x:c r="F1071" t="str">
        <x:f>IF('Release Gates'!C1031="PLANNING","PASS",IF('Release Gates'!C1031="PHYSICAL","OPEN","BLOCKED"))</x:f>
        <x:v>PASS</x:v>
      </x:c>
      <x:c r="G1071" t="str">
        <x:v>equals</x:v>
      </x:c>
      <x:c r="H1071" t="str">
        <x:f>IF(E1071=F1071,"PASS","FAIL")</x:f>
        <x:v>PASS</x:v>
      </x:c>
    </x:row>
    <x:row r="1072">
      <x:c r="B1072" t="str">
        <x:v>A-01026</x:v>
      </x:c>
      <x:c r="C1072" t="str">
        <x:v>GATE</x:v>
      </x:c>
      <x:c r="D1072" t="str">
        <x:v>release state mirrors governing ledger</x:v>
      </x:c>
      <x:c r="E1072" t="str">
        <x:f>'Release Gates'!I1032</x:f>
        <x:v>PASS</x:v>
      </x:c>
      <x:c r="F1072" t="str">
        <x:f>IF('Release Gates'!C1032="PLANNING","PASS",IF('Release Gates'!C1032="PHYSICAL","OPEN","BLOCKED"))</x:f>
        <x:v>PASS</x:v>
      </x:c>
      <x:c r="G1072" t="str">
        <x:v>equals</x:v>
      </x:c>
      <x:c r="H1072" t="str">
        <x:f>IF(E1072=F1072,"PASS","FAIL")</x:f>
        <x:v>PASS</x:v>
      </x:c>
    </x:row>
    <x:row r="1073">
      <x:c r="B1073" t="str">
        <x:v>A-01027</x:v>
      </x:c>
      <x:c r="C1073" t="str">
        <x:v>GATE</x:v>
      </x:c>
      <x:c r="D1073" t="str">
        <x:v>release state mirrors governing ledger</x:v>
      </x:c>
      <x:c r="E1073" t="str">
        <x:f>'Release Gates'!I1033</x:f>
        <x:v>PASS</x:v>
      </x:c>
      <x:c r="F1073" t="str">
        <x:f>IF('Release Gates'!C1033="PLANNING","PASS",IF('Release Gates'!C1033="PHYSICAL","OPEN","BLOCKED"))</x:f>
        <x:v>PASS</x:v>
      </x:c>
      <x:c r="G1073" t="str">
        <x:v>equals</x:v>
      </x:c>
      <x:c r="H1073" t="str">
        <x:f>IF(E1073=F1073,"PASS","FAIL")</x:f>
        <x:v>PASS</x:v>
      </x:c>
    </x:row>
    <x:row r="1074">
      <x:c r="B1074" t="str">
        <x:v>A-01028</x:v>
      </x:c>
      <x:c r="C1074" t="str">
        <x:v>GATE</x:v>
      </x:c>
      <x:c r="D1074" t="str">
        <x:v>release state mirrors governing ledger</x:v>
      </x:c>
      <x:c r="E1074" t="str">
        <x:f>'Release Gates'!I1034</x:f>
        <x:v>PASS</x:v>
      </x:c>
      <x:c r="F1074" t="str">
        <x:f>IF('Release Gates'!C1034="PLANNING","PASS",IF('Release Gates'!C1034="PHYSICAL","OPEN","BLOCKED"))</x:f>
        <x:v>PASS</x:v>
      </x:c>
      <x:c r="G1074" t="str">
        <x:v>equals</x:v>
      </x:c>
      <x:c r="H1074" t="str">
        <x:f>IF(E1074=F1074,"PASS","FAIL")</x:f>
        <x:v>PASS</x:v>
      </x:c>
    </x:row>
    <x:row r="1075">
      <x:c r="B1075" t="str">
        <x:v>A-01029</x:v>
      </x:c>
      <x:c r="C1075" t="str">
        <x:v>GATE</x:v>
      </x:c>
      <x:c r="D1075" t="str">
        <x:v>release state mirrors governing ledger</x:v>
      </x:c>
      <x:c r="E1075" t="str">
        <x:f>'Release Gates'!I1035</x:f>
        <x:v>PASS</x:v>
      </x:c>
      <x:c r="F1075" t="str">
        <x:f>IF('Release Gates'!C1035="PLANNING","PASS",IF('Release Gates'!C1035="PHYSICAL","OPEN","BLOCKED"))</x:f>
        <x:v>PASS</x:v>
      </x:c>
      <x:c r="G1075" t="str">
        <x:v>equals</x:v>
      </x:c>
      <x:c r="H1075" t="str">
        <x:f>IF(E1075=F1075,"PASS","FAIL")</x:f>
        <x:v>PASS</x:v>
      </x:c>
    </x:row>
    <x:row r="1076">
      <x:c r="B1076" t="str">
        <x:v>A-01030</x:v>
      </x:c>
      <x:c r="C1076" t="str">
        <x:v>GATE</x:v>
      </x:c>
      <x:c r="D1076" t="str">
        <x:v>release state mirrors governing ledger</x:v>
      </x:c>
      <x:c r="E1076" t="str">
        <x:f>'Release Gates'!I1036</x:f>
        <x:v>PASS</x:v>
      </x:c>
      <x:c r="F1076" t="str">
        <x:f>IF('Release Gates'!C1036="PLANNING","PASS",IF('Release Gates'!C1036="PHYSICAL","OPEN","BLOCKED"))</x:f>
        <x:v>PASS</x:v>
      </x:c>
      <x:c r="G1076" t="str">
        <x:v>equals</x:v>
      </x:c>
      <x:c r="H1076" t="str">
        <x:f>IF(E1076=F1076,"PASS","FAIL")</x:f>
        <x:v>PASS</x:v>
      </x:c>
    </x:row>
    <x:row r="1077">
      <x:c r="B1077" t="str">
        <x:v>A-01031</x:v>
      </x:c>
      <x:c r="C1077" t="str">
        <x:v>GATE</x:v>
      </x:c>
      <x:c r="D1077" t="str">
        <x:v>release state mirrors governing ledger</x:v>
      </x:c>
      <x:c r="E1077" t="str">
        <x:f>'Release Gates'!I1037</x:f>
        <x:v>PASS</x:v>
      </x:c>
      <x:c r="F1077" t="str">
        <x:f>IF('Release Gates'!C1037="PLANNING","PASS",IF('Release Gates'!C1037="PHYSICAL","OPEN","BLOCKED"))</x:f>
        <x:v>PASS</x:v>
      </x:c>
      <x:c r="G1077" t="str">
        <x:v>equals</x:v>
      </x:c>
      <x:c r="H1077" t="str">
        <x:f>IF(E1077=F1077,"PASS","FAIL")</x:f>
        <x:v>PASS</x:v>
      </x:c>
    </x:row>
    <x:row r="1078">
      <x:c r="B1078" t="str">
        <x:v>A-01032</x:v>
      </x:c>
      <x:c r="C1078" t="str">
        <x:v>GATE</x:v>
      </x:c>
      <x:c r="D1078" t="str">
        <x:v>release state mirrors governing ledger</x:v>
      </x:c>
      <x:c r="E1078" t="str">
        <x:f>'Release Gates'!I1038</x:f>
        <x:v>PASS</x:v>
      </x:c>
      <x:c r="F1078" t="str">
        <x:f>IF('Release Gates'!C1038="PLANNING","PASS",IF('Release Gates'!C1038="PHYSICAL","OPEN","BLOCKED"))</x:f>
        <x:v>PASS</x:v>
      </x:c>
      <x:c r="G1078" t="str">
        <x:v>equals</x:v>
      </x:c>
      <x:c r="H1078" t="str">
        <x:f>IF(E1078=F1078,"PASS","FAIL")</x:f>
        <x:v>PASS</x:v>
      </x:c>
    </x:row>
    <x:row r="1079">
      <x:c r="B1079" t="str">
        <x:v>A-01033</x:v>
      </x:c>
      <x:c r="C1079" t="str">
        <x:v>GATE</x:v>
      </x:c>
      <x:c r="D1079" t="str">
        <x:v>release state mirrors governing ledger</x:v>
      </x:c>
      <x:c r="E1079" t="str">
        <x:f>'Release Gates'!I1039</x:f>
        <x:v>PASS</x:v>
      </x:c>
      <x:c r="F1079" t="str">
        <x:f>IF('Release Gates'!C1039="PLANNING","PASS",IF('Release Gates'!C1039="PHYSICAL","OPEN","BLOCKED"))</x:f>
        <x:v>PASS</x:v>
      </x:c>
      <x:c r="G1079" t="str">
        <x:v>equals</x:v>
      </x:c>
      <x:c r="H1079" t="str">
        <x:f>IF(E1079=F1079,"PASS","FAIL")</x:f>
        <x:v>PASS</x:v>
      </x:c>
    </x:row>
    <x:row r="1080">
      <x:c r="B1080" t="str">
        <x:v>A-01034</x:v>
      </x:c>
      <x:c r="C1080" t="str">
        <x:v>GATE</x:v>
      </x:c>
      <x:c r="D1080" t="str">
        <x:v>release state mirrors governing ledger</x:v>
      </x:c>
      <x:c r="E1080" t="str">
        <x:f>'Release Gates'!I1040</x:f>
        <x:v>PASS</x:v>
      </x:c>
      <x:c r="F1080" t="str">
        <x:f>IF('Release Gates'!C1040="PLANNING","PASS",IF('Release Gates'!C1040="PHYSICAL","OPEN","BLOCKED"))</x:f>
        <x:v>PASS</x:v>
      </x:c>
      <x:c r="G1080" t="str">
        <x:v>equals</x:v>
      </x:c>
      <x:c r="H1080" t="str">
        <x:f>IF(E1080=F1080,"PASS","FAIL")</x:f>
        <x:v>PASS</x:v>
      </x:c>
    </x:row>
    <x:row r="1081">
      <x:c r="B1081" t="str">
        <x:v>A-01035</x:v>
      </x:c>
      <x:c r="C1081" t="str">
        <x:v>GATE</x:v>
      </x:c>
      <x:c r="D1081" t="str">
        <x:v>release state mirrors governing ledger</x:v>
      </x:c>
      <x:c r="E1081" t="str">
        <x:f>'Release Gates'!I1041</x:f>
        <x:v>PASS</x:v>
      </x:c>
      <x:c r="F1081" t="str">
        <x:f>IF('Release Gates'!C1041="PLANNING","PASS",IF('Release Gates'!C1041="PHYSICAL","OPEN","BLOCKED"))</x:f>
        <x:v>PASS</x:v>
      </x:c>
      <x:c r="G1081" t="str">
        <x:v>equals</x:v>
      </x:c>
      <x:c r="H1081" t="str">
        <x:f>IF(E1081=F1081,"PASS","FAIL")</x:f>
        <x:v>PASS</x:v>
      </x:c>
    </x:row>
    <x:row r="1082">
      <x:c r="B1082" t="str">
        <x:v>A-01036</x:v>
      </x:c>
      <x:c r="C1082" t="str">
        <x:v>GATE</x:v>
      </x:c>
      <x:c r="D1082" t="str">
        <x:v>release state mirrors governing ledger</x:v>
      </x:c>
      <x:c r="E1082" t="str">
        <x:f>'Release Gates'!I1042</x:f>
        <x:v>PASS</x:v>
      </x:c>
      <x:c r="F1082" t="str">
        <x:f>IF('Release Gates'!C1042="PLANNING","PASS",IF('Release Gates'!C1042="PHYSICAL","OPEN","BLOCKED"))</x:f>
        <x:v>PASS</x:v>
      </x:c>
      <x:c r="G1082" t="str">
        <x:v>equals</x:v>
      </x:c>
      <x:c r="H1082" t="str">
        <x:f>IF(E1082=F1082,"PASS","FAIL")</x:f>
        <x:v>PASS</x:v>
      </x:c>
    </x:row>
    <x:row r="1083">
      <x:c r="B1083" t="str">
        <x:v>A-01037</x:v>
      </x:c>
      <x:c r="C1083" t="str">
        <x:v>GATE</x:v>
      </x:c>
      <x:c r="D1083" t="str">
        <x:v>release state mirrors governing ledger</x:v>
      </x:c>
      <x:c r="E1083" t="str">
        <x:f>'Release Gates'!I1043</x:f>
        <x:v>PASS</x:v>
      </x:c>
      <x:c r="F1083" t="str">
        <x:f>IF('Release Gates'!C1043="PLANNING","PASS",IF('Release Gates'!C1043="PHYSICAL","OPEN","BLOCKED"))</x:f>
        <x:v>PASS</x:v>
      </x:c>
      <x:c r="G1083" t="str">
        <x:v>equals</x:v>
      </x:c>
      <x:c r="H1083" t="str">
        <x:f>IF(E1083=F1083,"PASS","FAIL")</x:f>
        <x:v>PASS</x:v>
      </x:c>
    </x:row>
    <x:row r="1084">
      <x:c r="B1084" t="str">
        <x:v>A-01038</x:v>
      </x:c>
      <x:c r="C1084" t="str">
        <x:v>GATE</x:v>
      </x:c>
      <x:c r="D1084" t="str">
        <x:v>release state mirrors governing ledger</x:v>
      </x:c>
      <x:c r="E1084" t="str">
        <x:f>'Release Gates'!I1044</x:f>
        <x:v>PASS</x:v>
      </x:c>
      <x:c r="F1084" t="str">
        <x:f>IF('Release Gates'!C1044="PLANNING","PASS",IF('Release Gates'!C1044="PHYSICAL","OPEN","BLOCKED"))</x:f>
        <x:v>PASS</x:v>
      </x:c>
      <x:c r="G1084" t="str">
        <x:v>equals</x:v>
      </x:c>
      <x:c r="H1084" t="str">
        <x:f>IF(E1084=F1084,"PASS","FAIL")</x:f>
        <x:v>PASS</x:v>
      </x:c>
    </x:row>
    <x:row r="1085">
      <x:c r="B1085" t="str">
        <x:v>A-01039</x:v>
      </x:c>
      <x:c r="C1085" t="str">
        <x:v>GATE</x:v>
      </x:c>
      <x:c r="D1085" t="str">
        <x:v>release state mirrors governing ledger</x:v>
      </x:c>
      <x:c r="E1085" t="str">
        <x:f>'Release Gates'!I1045</x:f>
        <x:v>PASS</x:v>
      </x:c>
      <x:c r="F1085" t="str">
        <x:f>IF('Release Gates'!C1045="PLANNING","PASS",IF('Release Gates'!C1045="PHYSICAL","OPEN","BLOCKED"))</x:f>
        <x:v>PASS</x:v>
      </x:c>
      <x:c r="G1085" t="str">
        <x:v>equals</x:v>
      </x:c>
      <x:c r="H1085" t="str">
        <x:f>IF(E1085=F1085,"PASS","FAIL")</x:f>
        <x:v>PASS</x:v>
      </x:c>
    </x:row>
    <x:row r="1086">
      <x:c r="B1086" t="str">
        <x:v>A-01040</x:v>
      </x:c>
      <x:c r="C1086" t="str">
        <x:v>GATE</x:v>
      </x:c>
      <x:c r="D1086" t="str">
        <x:v>release state mirrors governing ledger</x:v>
      </x:c>
      <x:c r="E1086" t="str">
        <x:f>'Release Gates'!I1046</x:f>
        <x:v>PASS</x:v>
      </x:c>
      <x:c r="F1086" t="str">
        <x:f>IF('Release Gates'!C1046="PLANNING","PASS",IF('Release Gates'!C1046="PHYSICAL","OPEN","BLOCKED"))</x:f>
        <x:v>PASS</x:v>
      </x:c>
      <x:c r="G1086" t="str">
        <x:v>equals</x:v>
      </x:c>
      <x:c r="H1086" t="str">
        <x:f>IF(E1086=F1086,"PASS","FAIL")</x:f>
        <x:v>PASS</x:v>
      </x:c>
    </x:row>
    <x:row r="1087">
      <x:c r="B1087" t="str">
        <x:v>A-01041</x:v>
      </x:c>
      <x:c r="C1087" t="str">
        <x:v>GATE</x:v>
      </x:c>
      <x:c r="D1087" t="str">
        <x:v>release state mirrors governing ledger</x:v>
      </x:c>
      <x:c r="E1087" t="str">
        <x:f>'Release Gates'!I1047</x:f>
        <x:v>PASS</x:v>
      </x:c>
      <x:c r="F1087" t="str">
        <x:f>IF('Release Gates'!C1047="PLANNING","PASS",IF('Release Gates'!C1047="PHYSICAL","OPEN","BLOCKED"))</x:f>
        <x:v>PASS</x:v>
      </x:c>
      <x:c r="G1087" t="str">
        <x:v>equals</x:v>
      </x:c>
      <x:c r="H1087" t="str">
        <x:f>IF(E1087=F1087,"PASS","FAIL")</x:f>
        <x:v>PASS</x:v>
      </x:c>
    </x:row>
    <x:row r="1088">
      <x:c r="B1088" t="str">
        <x:v>A-01042</x:v>
      </x:c>
      <x:c r="C1088" t="str">
        <x:v>GATE</x:v>
      </x:c>
      <x:c r="D1088" t="str">
        <x:v>release state mirrors governing ledger</x:v>
      </x:c>
      <x:c r="E1088" t="str">
        <x:f>'Release Gates'!I1048</x:f>
        <x:v>PASS</x:v>
      </x:c>
      <x:c r="F1088" t="str">
        <x:f>IF('Release Gates'!C1048="PLANNING","PASS",IF('Release Gates'!C1048="PHYSICAL","OPEN","BLOCKED"))</x:f>
        <x:v>PASS</x:v>
      </x:c>
      <x:c r="G1088" t="str">
        <x:v>equals</x:v>
      </x:c>
      <x:c r="H1088" t="str">
        <x:f>IF(E1088=F1088,"PASS","FAIL")</x:f>
        <x:v>PASS</x:v>
      </x:c>
    </x:row>
    <x:row r="1089">
      <x:c r="B1089" t="str">
        <x:v>A-01043</x:v>
      </x:c>
      <x:c r="C1089" t="str">
        <x:v>GATE</x:v>
      </x:c>
      <x:c r="D1089" t="str">
        <x:v>release state mirrors governing ledger</x:v>
      </x:c>
      <x:c r="E1089" t="str">
        <x:f>'Release Gates'!I1049</x:f>
        <x:v>PASS</x:v>
      </x:c>
      <x:c r="F1089" t="str">
        <x:f>IF('Release Gates'!C1049="PLANNING","PASS",IF('Release Gates'!C1049="PHYSICAL","OPEN","BLOCKED"))</x:f>
        <x:v>PASS</x:v>
      </x:c>
      <x:c r="G1089" t="str">
        <x:v>equals</x:v>
      </x:c>
      <x:c r="H1089" t="str">
        <x:f>IF(E1089=F1089,"PASS","FAIL")</x:f>
        <x:v>PASS</x:v>
      </x:c>
    </x:row>
    <x:row r="1090">
      <x:c r="B1090" t="str">
        <x:v>A-01044</x:v>
      </x:c>
      <x:c r="C1090" t="str">
        <x:v>GATE</x:v>
      </x:c>
      <x:c r="D1090" t="str">
        <x:v>release state mirrors governing ledger</x:v>
      </x:c>
      <x:c r="E1090" t="str">
        <x:f>'Release Gates'!I1050</x:f>
        <x:v>PASS</x:v>
      </x:c>
      <x:c r="F1090" t="str">
        <x:f>IF('Release Gates'!C1050="PLANNING","PASS",IF('Release Gates'!C1050="PHYSICAL","OPEN","BLOCKED"))</x:f>
        <x:v>PASS</x:v>
      </x:c>
      <x:c r="G1090" t="str">
        <x:v>equals</x:v>
      </x:c>
      <x:c r="H1090" t="str">
        <x:f>IF(E1090=F1090,"PASS","FAIL")</x:f>
        <x:v>PASS</x:v>
      </x:c>
    </x:row>
    <x:row r="1091">
      <x:c r="B1091" t="str">
        <x:v>A-01045</x:v>
      </x:c>
      <x:c r="C1091" t="str">
        <x:v>GATE</x:v>
      </x:c>
      <x:c r="D1091" t="str">
        <x:v>release state mirrors governing ledger</x:v>
      </x:c>
      <x:c r="E1091" t="str">
        <x:f>'Release Gates'!I1051</x:f>
        <x:v>PASS</x:v>
      </x:c>
      <x:c r="F1091" t="str">
        <x:f>IF('Release Gates'!C1051="PLANNING","PASS",IF('Release Gates'!C1051="PHYSICAL","OPEN","BLOCKED"))</x:f>
        <x:v>PASS</x:v>
      </x:c>
      <x:c r="G1091" t="str">
        <x:v>equals</x:v>
      </x:c>
      <x:c r="H1091" t="str">
        <x:f>IF(E1091=F1091,"PASS","FAIL")</x:f>
        <x:v>PASS</x:v>
      </x:c>
    </x:row>
    <x:row r="1092">
      <x:c r="B1092" t="str">
        <x:v>A-01046</x:v>
      </x:c>
      <x:c r="C1092" t="str">
        <x:v>GATE</x:v>
      </x:c>
      <x:c r="D1092" t="str">
        <x:v>release state mirrors governing ledger</x:v>
      </x:c>
      <x:c r="E1092" t="str">
        <x:f>'Release Gates'!I1052</x:f>
        <x:v>PASS</x:v>
      </x:c>
      <x:c r="F1092" t="str">
        <x:f>IF('Release Gates'!C1052="PLANNING","PASS",IF('Release Gates'!C1052="PHYSICAL","OPEN","BLOCKED"))</x:f>
        <x:v>PASS</x:v>
      </x:c>
      <x:c r="G1092" t="str">
        <x:v>equals</x:v>
      </x:c>
      <x:c r="H1092" t="str">
        <x:f>IF(E1092=F1092,"PASS","FAIL")</x:f>
        <x:v>PASS</x:v>
      </x:c>
    </x:row>
    <x:row r="1093">
      <x:c r="B1093" t="str">
        <x:v>A-01047</x:v>
      </x:c>
      <x:c r="C1093" t="str">
        <x:v>GATE</x:v>
      </x:c>
      <x:c r="D1093" t="str">
        <x:v>release state mirrors governing ledger</x:v>
      </x:c>
      <x:c r="E1093" t="str">
        <x:f>'Release Gates'!I1053</x:f>
        <x:v>PASS</x:v>
      </x:c>
      <x:c r="F1093" t="str">
        <x:f>IF('Release Gates'!C1053="PLANNING","PASS",IF('Release Gates'!C1053="PHYSICAL","OPEN","BLOCKED"))</x:f>
        <x:v>PASS</x:v>
      </x:c>
      <x:c r="G1093" t="str">
        <x:v>equals</x:v>
      </x:c>
      <x:c r="H1093" t="str">
        <x:f>IF(E1093=F1093,"PASS","FAIL")</x:f>
        <x:v>PASS</x:v>
      </x:c>
    </x:row>
    <x:row r="1094">
      <x:c r="B1094" t="str">
        <x:v>A-01048</x:v>
      </x:c>
      <x:c r="C1094" t="str">
        <x:v>GATE</x:v>
      </x:c>
      <x:c r="D1094" t="str">
        <x:v>release state mirrors governing ledger</x:v>
      </x:c>
      <x:c r="E1094" t="str">
        <x:f>'Release Gates'!I1054</x:f>
        <x:v>PASS</x:v>
      </x:c>
      <x:c r="F1094" t="str">
        <x:f>IF('Release Gates'!C1054="PLANNING","PASS",IF('Release Gates'!C1054="PHYSICAL","OPEN","BLOCKED"))</x:f>
        <x:v>PASS</x:v>
      </x:c>
      <x:c r="G1094" t="str">
        <x:v>equals</x:v>
      </x:c>
      <x:c r="H1094" t="str">
        <x:f>IF(E1094=F1094,"PASS","FAIL")</x:f>
        <x:v>PASS</x:v>
      </x:c>
    </x:row>
    <x:row r="1095">
      <x:c r="B1095" t="str">
        <x:v>A-01049</x:v>
      </x:c>
      <x:c r="C1095" t="str">
        <x:v>GATE</x:v>
      </x:c>
      <x:c r="D1095" t="str">
        <x:v>release state mirrors governing ledger</x:v>
      </x:c>
      <x:c r="E1095" t="str">
        <x:f>'Release Gates'!I1055</x:f>
        <x:v>PASS</x:v>
      </x:c>
      <x:c r="F1095" t="str">
        <x:f>IF('Release Gates'!C1055="PLANNING","PASS",IF('Release Gates'!C1055="PHYSICAL","OPEN","BLOCKED"))</x:f>
        <x:v>PASS</x:v>
      </x:c>
      <x:c r="G1095" t="str">
        <x:v>equals</x:v>
      </x:c>
      <x:c r="H1095" t="str">
        <x:f>IF(E1095=F1095,"PASS","FAIL")</x:f>
        <x:v>PASS</x:v>
      </x:c>
    </x:row>
    <x:row r="1096">
      <x:c r="B1096" t="str">
        <x:v>A-01050</x:v>
      </x:c>
      <x:c r="C1096" t="str">
        <x:v>GATE</x:v>
      </x:c>
      <x:c r="D1096" t="str">
        <x:v>release state mirrors governing ledger</x:v>
      </x:c>
      <x:c r="E1096" t="str">
        <x:f>'Release Gates'!I1056</x:f>
        <x:v>PASS</x:v>
      </x:c>
      <x:c r="F1096" t="str">
        <x:f>IF('Release Gates'!C1056="PLANNING","PASS",IF('Release Gates'!C1056="PHYSICAL","OPEN","BLOCKED"))</x:f>
        <x:v>PASS</x:v>
      </x:c>
      <x:c r="G1096" t="str">
        <x:v>equals</x:v>
      </x:c>
      <x:c r="H1096" t="str">
        <x:f>IF(E1096=F1096,"PASS","FAIL")</x:f>
        <x:v>PASS</x:v>
      </x:c>
    </x:row>
    <x:row r="1097">
      <x:c r="B1097" t="str">
        <x:v>A-01051</x:v>
      </x:c>
      <x:c r="C1097" t="str">
        <x:v>GATE</x:v>
      </x:c>
      <x:c r="D1097" t="str">
        <x:v>release state mirrors governing ledger</x:v>
      </x:c>
      <x:c r="E1097" t="str">
        <x:f>'Release Gates'!I1057</x:f>
        <x:v>PASS</x:v>
      </x:c>
      <x:c r="F1097" t="str">
        <x:f>IF('Release Gates'!C1057="PLANNING","PASS",IF('Release Gates'!C1057="PHYSICAL","OPEN","BLOCKED"))</x:f>
        <x:v>PASS</x:v>
      </x:c>
      <x:c r="G1097" t="str">
        <x:v>equals</x:v>
      </x:c>
      <x:c r="H1097" t="str">
        <x:f>IF(E1097=F1097,"PASS","FAIL")</x:f>
        <x:v>PASS</x:v>
      </x:c>
    </x:row>
    <x:row r="1098">
      <x:c r="B1098" t="str">
        <x:v>A-01052</x:v>
      </x:c>
      <x:c r="C1098" t="str">
        <x:v>GATE</x:v>
      </x:c>
      <x:c r="D1098" t="str">
        <x:v>release state mirrors governing ledger</x:v>
      </x:c>
      <x:c r="E1098" t="str">
        <x:f>'Release Gates'!I1058</x:f>
        <x:v>PASS</x:v>
      </x:c>
      <x:c r="F1098" t="str">
        <x:f>IF('Release Gates'!C1058="PLANNING","PASS",IF('Release Gates'!C1058="PHYSICAL","OPEN","BLOCKED"))</x:f>
        <x:v>PASS</x:v>
      </x:c>
      <x:c r="G1098" t="str">
        <x:v>equals</x:v>
      </x:c>
      <x:c r="H1098" t="str">
        <x:f>IF(E1098=F1098,"PASS","FAIL")</x:f>
        <x:v>PASS</x:v>
      </x:c>
    </x:row>
    <x:row r="1099">
      <x:c r="B1099" t="str">
        <x:v>A-01053</x:v>
      </x:c>
      <x:c r="C1099" t="str">
        <x:v>GATE</x:v>
      </x:c>
      <x:c r="D1099" t="str">
        <x:v>release state mirrors governing ledger</x:v>
      </x:c>
      <x:c r="E1099" t="str">
        <x:f>'Release Gates'!I1059</x:f>
        <x:v>PASS</x:v>
      </x:c>
      <x:c r="F1099" t="str">
        <x:f>IF('Release Gates'!C1059="PLANNING","PASS",IF('Release Gates'!C1059="PHYSICAL","OPEN","BLOCKED"))</x:f>
        <x:v>PASS</x:v>
      </x:c>
      <x:c r="G1099" t="str">
        <x:v>equals</x:v>
      </x:c>
      <x:c r="H1099" t="str">
        <x:f>IF(E1099=F1099,"PASS","FAIL")</x:f>
        <x:v>PASS</x:v>
      </x:c>
    </x:row>
    <x:row r="1100">
      <x:c r="B1100" t="str">
        <x:v>A-01054</x:v>
      </x:c>
      <x:c r="C1100" t="str">
        <x:v>GATE</x:v>
      </x:c>
      <x:c r="D1100" t="str">
        <x:v>release state mirrors governing ledger</x:v>
      </x:c>
      <x:c r="E1100" t="str">
        <x:f>'Release Gates'!I1060</x:f>
        <x:v>PASS</x:v>
      </x:c>
      <x:c r="F1100" t="str">
        <x:f>IF('Release Gates'!C1060="PLANNING","PASS",IF('Release Gates'!C1060="PHYSICAL","OPEN","BLOCKED"))</x:f>
        <x:v>PASS</x:v>
      </x:c>
      <x:c r="G1100" t="str">
        <x:v>equals</x:v>
      </x:c>
      <x:c r="H1100" t="str">
        <x:f>IF(E1100=F1100,"PASS","FAIL")</x:f>
        <x:v>PASS</x:v>
      </x:c>
    </x:row>
    <x:row r="1101">
      <x:c r="B1101" t="str">
        <x:v>A-01055</x:v>
      </x:c>
      <x:c r="C1101" t="str">
        <x:v>GATE</x:v>
      </x:c>
      <x:c r="D1101" t="str">
        <x:v>release state mirrors governing ledger</x:v>
      </x:c>
      <x:c r="E1101" t="str">
        <x:f>'Release Gates'!I1061</x:f>
        <x:v>PASS</x:v>
      </x:c>
      <x:c r="F1101" t="str">
        <x:f>IF('Release Gates'!C1061="PLANNING","PASS",IF('Release Gates'!C1061="PHYSICAL","OPEN","BLOCKED"))</x:f>
        <x:v>PASS</x:v>
      </x:c>
      <x:c r="G1101" t="str">
        <x:v>equals</x:v>
      </x:c>
      <x:c r="H1101" t="str">
        <x:f>IF(E1101=F1101,"PASS","FAIL")</x:f>
        <x:v>PASS</x:v>
      </x:c>
    </x:row>
    <x:row r="1102">
      <x:c r="B1102" t="str">
        <x:v>A-01056</x:v>
      </x:c>
      <x:c r="C1102" t="str">
        <x:v>GATE</x:v>
      </x:c>
      <x:c r="D1102" t="str">
        <x:v>release state mirrors governing ledger</x:v>
      </x:c>
      <x:c r="E1102" t="str">
        <x:f>'Release Gates'!I1062</x:f>
        <x:v>PASS</x:v>
      </x:c>
      <x:c r="F1102" t="str">
        <x:f>IF('Release Gates'!C1062="PLANNING","PASS",IF('Release Gates'!C1062="PHYSICAL","OPEN","BLOCKED"))</x:f>
        <x:v>PASS</x:v>
      </x:c>
      <x:c r="G1102" t="str">
        <x:v>equals</x:v>
      </x:c>
      <x:c r="H1102" t="str">
        <x:f>IF(E1102=F1102,"PASS","FAIL")</x:f>
        <x:v>PASS</x:v>
      </x:c>
    </x:row>
    <x:row r="1103">
      <x:c r="B1103" t="str">
        <x:v>A-01057</x:v>
      </x:c>
      <x:c r="C1103" t="str">
        <x:v>GATE</x:v>
      </x:c>
      <x:c r="D1103" t="str">
        <x:v>release state mirrors governing ledger</x:v>
      </x:c>
      <x:c r="E1103" t="str">
        <x:f>'Release Gates'!I1063</x:f>
        <x:v>PASS</x:v>
      </x:c>
      <x:c r="F1103" t="str">
        <x:f>IF('Release Gates'!C1063="PLANNING","PASS",IF('Release Gates'!C1063="PHYSICAL","OPEN","BLOCKED"))</x:f>
        <x:v>PASS</x:v>
      </x:c>
      <x:c r="G1103" t="str">
        <x:v>equals</x:v>
      </x:c>
      <x:c r="H1103" t="str">
        <x:f>IF(E1103=F1103,"PASS","FAIL")</x:f>
        <x:v>PASS</x:v>
      </x:c>
    </x:row>
    <x:row r="1104">
      <x:c r="B1104" t="str">
        <x:v>A-01058</x:v>
      </x:c>
      <x:c r="C1104" t="str">
        <x:v>GATE</x:v>
      </x:c>
      <x:c r="D1104" t="str">
        <x:v>release state mirrors governing ledger</x:v>
      </x:c>
      <x:c r="E1104" t="str">
        <x:f>'Release Gates'!I1064</x:f>
        <x:v>PASS</x:v>
      </x:c>
      <x:c r="F1104" t="str">
        <x:f>IF('Release Gates'!C1064="PLANNING","PASS",IF('Release Gates'!C1064="PHYSICAL","OPEN","BLOCKED"))</x:f>
        <x:v>PASS</x:v>
      </x:c>
      <x:c r="G1104" t="str">
        <x:v>equals</x:v>
      </x:c>
      <x:c r="H1104" t="str">
        <x:f>IF(E1104=F1104,"PASS","FAIL")</x:f>
        <x:v>PASS</x:v>
      </x:c>
    </x:row>
    <x:row r="1105">
      <x:c r="B1105" t="str">
        <x:v>A-01059</x:v>
      </x:c>
      <x:c r="C1105" t="str">
        <x:v>GATE</x:v>
      </x:c>
      <x:c r="D1105" t="str">
        <x:v>release state mirrors governing ledger</x:v>
      </x:c>
      <x:c r="E1105" t="str">
        <x:f>'Release Gates'!I1065</x:f>
        <x:v>PASS</x:v>
      </x:c>
      <x:c r="F1105" t="str">
        <x:f>IF('Release Gates'!C1065="PLANNING","PASS",IF('Release Gates'!C1065="PHYSICAL","OPEN","BLOCKED"))</x:f>
        <x:v>PASS</x:v>
      </x:c>
      <x:c r="G1105" t="str">
        <x:v>equals</x:v>
      </x:c>
      <x:c r="H1105" t="str">
        <x:f>IF(E1105=F1105,"PASS","FAIL")</x:f>
        <x:v>PASS</x:v>
      </x:c>
    </x:row>
    <x:row r="1106">
      <x:c r="B1106" t="str">
        <x:v>A-01060</x:v>
      </x:c>
      <x:c r="C1106" t="str">
        <x:v>GATE</x:v>
      </x:c>
      <x:c r="D1106" t="str">
        <x:v>release state mirrors governing ledger</x:v>
      </x:c>
      <x:c r="E1106" t="str">
        <x:f>'Release Gates'!I1066</x:f>
        <x:v>PASS</x:v>
      </x:c>
      <x:c r="F1106" t="str">
        <x:f>IF('Release Gates'!C1066="PLANNING","PASS",IF('Release Gates'!C1066="PHYSICAL","OPEN","BLOCKED"))</x:f>
        <x:v>PASS</x:v>
      </x:c>
      <x:c r="G1106" t="str">
        <x:v>equals</x:v>
      </x:c>
      <x:c r="H1106" t="str">
        <x:f>IF(E1106=F1106,"PASS","FAIL")</x:f>
        <x:v>PASS</x:v>
      </x:c>
    </x:row>
    <x:row r="1107">
      <x:c r="B1107" t="str">
        <x:v>A-01061</x:v>
      </x:c>
      <x:c r="C1107" t="str">
        <x:v>GATE</x:v>
      </x:c>
      <x:c r="D1107" t="str">
        <x:v>release state mirrors governing ledger</x:v>
      </x:c>
      <x:c r="E1107" t="str">
        <x:f>'Release Gates'!I1067</x:f>
        <x:v>PASS</x:v>
      </x:c>
      <x:c r="F1107" t="str">
        <x:f>IF('Release Gates'!C1067="PLANNING","PASS",IF('Release Gates'!C1067="PHYSICAL","OPEN","BLOCKED"))</x:f>
        <x:v>PASS</x:v>
      </x:c>
      <x:c r="G1107" t="str">
        <x:v>equals</x:v>
      </x:c>
      <x:c r="H1107" t="str">
        <x:f>IF(E1107=F1107,"PASS","FAIL")</x:f>
        <x:v>PASS</x:v>
      </x:c>
    </x:row>
    <x:row r="1108">
      <x:c r="B1108" t="str">
        <x:v>A-01062</x:v>
      </x:c>
      <x:c r="C1108" t="str">
        <x:v>GATE</x:v>
      </x:c>
      <x:c r="D1108" t="str">
        <x:v>release state mirrors governing ledger</x:v>
      </x:c>
      <x:c r="E1108" t="str">
        <x:f>'Release Gates'!I1068</x:f>
        <x:v>PASS</x:v>
      </x:c>
      <x:c r="F1108" t="str">
        <x:f>IF('Release Gates'!C1068="PLANNING","PASS",IF('Release Gates'!C1068="PHYSICAL","OPEN","BLOCKED"))</x:f>
        <x:v>PASS</x:v>
      </x:c>
      <x:c r="G1108" t="str">
        <x:v>equals</x:v>
      </x:c>
      <x:c r="H1108" t="str">
        <x:f>IF(E1108=F1108,"PASS","FAIL")</x:f>
        <x:v>PASS</x:v>
      </x:c>
    </x:row>
    <x:row r="1109">
      <x:c r="B1109" t="str">
        <x:v>A-01063</x:v>
      </x:c>
      <x:c r="C1109" t="str">
        <x:v>GATE</x:v>
      </x:c>
      <x:c r="D1109" t="str">
        <x:v>release state mirrors governing ledger</x:v>
      </x:c>
      <x:c r="E1109" t="str">
        <x:f>'Release Gates'!I1069</x:f>
        <x:v>PASS</x:v>
      </x:c>
      <x:c r="F1109" t="str">
        <x:f>IF('Release Gates'!C1069="PLANNING","PASS",IF('Release Gates'!C1069="PHYSICAL","OPEN","BLOCKED"))</x:f>
        <x:v>PASS</x:v>
      </x:c>
      <x:c r="G1109" t="str">
        <x:v>equals</x:v>
      </x:c>
      <x:c r="H1109" t="str">
        <x:f>IF(E1109=F1109,"PASS","FAIL")</x:f>
        <x:v>PASS</x:v>
      </x:c>
    </x:row>
    <x:row r="1110">
      <x:c r="B1110" t="str">
        <x:v>A-01064</x:v>
      </x:c>
      <x:c r="C1110" t="str">
        <x:v>GATE</x:v>
      </x:c>
      <x:c r="D1110" t="str">
        <x:v>release state mirrors governing ledger</x:v>
      </x:c>
      <x:c r="E1110" t="str">
        <x:f>'Release Gates'!I1070</x:f>
        <x:v>PASS</x:v>
      </x:c>
      <x:c r="F1110" t="str">
        <x:f>IF('Release Gates'!C1070="PLANNING","PASS",IF('Release Gates'!C1070="PHYSICAL","OPEN","BLOCKED"))</x:f>
        <x:v>PASS</x:v>
      </x:c>
      <x:c r="G1110" t="str">
        <x:v>equals</x:v>
      </x:c>
      <x:c r="H1110" t="str">
        <x:f>IF(E1110=F1110,"PASS","FAIL")</x:f>
        <x:v>PASS</x:v>
      </x:c>
    </x:row>
    <x:row r="1111">
      <x:c r="B1111" t="str">
        <x:v>A-01065</x:v>
      </x:c>
      <x:c r="C1111" t="str">
        <x:v>GATE</x:v>
      </x:c>
      <x:c r="D1111" t="str">
        <x:v>release state mirrors governing ledger</x:v>
      </x:c>
      <x:c r="E1111" t="str">
        <x:f>'Release Gates'!I1071</x:f>
        <x:v>PASS</x:v>
      </x:c>
      <x:c r="F1111" t="str">
        <x:f>IF('Release Gates'!C1071="PLANNING","PASS",IF('Release Gates'!C1071="PHYSICAL","OPEN","BLOCKED"))</x:f>
        <x:v>PASS</x:v>
      </x:c>
      <x:c r="G1111" t="str">
        <x:v>equals</x:v>
      </x:c>
      <x:c r="H1111" t="str">
        <x:f>IF(E1111=F1111,"PASS","FAIL")</x:f>
        <x:v>PASS</x:v>
      </x:c>
    </x:row>
    <x:row r="1112">
      <x:c r="B1112" t="str">
        <x:v>A-01066</x:v>
      </x:c>
      <x:c r="C1112" t="str">
        <x:v>GATE</x:v>
      </x:c>
      <x:c r="D1112" t="str">
        <x:v>release state mirrors governing ledger</x:v>
      </x:c>
      <x:c r="E1112" t="str">
        <x:f>'Release Gates'!I1072</x:f>
        <x:v>PASS</x:v>
      </x:c>
      <x:c r="F1112" t="str">
        <x:f>IF('Release Gates'!C1072="PLANNING","PASS",IF('Release Gates'!C1072="PHYSICAL","OPEN","BLOCKED"))</x:f>
        <x:v>PASS</x:v>
      </x:c>
      <x:c r="G1112" t="str">
        <x:v>equals</x:v>
      </x:c>
      <x:c r="H1112" t="str">
        <x:f>IF(E1112=F1112,"PASS","FAIL")</x:f>
        <x:v>PASS</x:v>
      </x:c>
    </x:row>
    <x:row r="1113">
      <x:c r="B1113" t="str">
        <x:v>A-01067</x:v>
      </x:c>
      <x:c r="C1113" t="str">
        <x:v>GATE</x:v>
      </x:c>
      <x:c r="D1113" t="str">
        <x:v>release state mirrors governing ledger</x:v>
      </x:c>
      <x:c r="E1113" t="str">
        <x:f>'Release Gates'!I1073</x:f>
        <x:v>PASS</x:v>
      </x:c>
      <x:c r="F1113" t="str">
        <x:f>IF('Release Gates'!C1073="PLANNING","PASS",IF('Release Gates'!C1073="PHYSICAL","OPEN","BLOCKED"))</x:f>
        <x:v>PASS</x:v>
      </x:c>
      <x:c r="G1113" t="str">
        <x:v>equals</x:v>
      </x:c>
      <x:c r="H1113" t="str">
        <x:f>IF(E1113=F1113,"PASS","FAIL")</x:f>
        <x:v>PASS</x:v>
      </x:c>
    </x:row>
    <x:row r="1114">
      <x:c r="B1114" t="str">
        <x:v>A-01068</x:v>
      </x:c>
      <x:c r="C1114" t="str">
        <x:v>GATE</x:v>
      </x:c>
      <x:c r="D1114" t="str">
        <x:v>release state mirrors governing ledger</x:v>
      </x:c>
      <x:c r="E1114" t="str">
        <x:f>'Release Gates'!I1074</x:f>
        <x:v>PASS</x:v>
      </x:c>
      <x:c r="F1114" t="str">
        <x:f>IF('Release Gates'!C1074="PLANNING","PASS",IF('Release Gates'!C1074="PHYSICAL","OPEN","BLOCKED"))</x:f>
        <x:v>PASS</x:v>
      </x:c>
      <x:c r="G1114" t="str">
        <x:v>equals</x:v>
      </x:c>
      <x:c r="H1114" t="str">
        <x:f>IF(E1114=F1114,"PASS","FAIL")</x:f>
        <x:v>PASS</x:v>
      </x:c>
    </x:row>
    <x:row r="1115">
      <x:c r="B1115" t="str">
        <x:v>A-01069</x:v>
      </x:c>
      <x:c r="C1115" t="str">
        <x:v>GATE</x:v>
      </x:c>
      <x:c r="D1115" t="str">
        <x:v>release state mirrors governing ledger</x:v>
      </x:c>
      <x:c r="E1115" t="str">
        <x:f>'Release Gates'!I1075</x:f>
        <x:v>PASS</x:v>
      </x:c>
      <x:c r="F1115" t="str">
        <x:f>IF('Release Gates'!C1075="PLANNING","PASS",IF('Release Gates'!C1075="PHYSICAL","OPEN","BLOCKED"))</x:f>
        <x:v>PASS</x:v>
      </x:c>
      <x:c r="G1115" t="str">
        <x:v>equals</x:v>
      </x:c>
      <x:c r="H1115" t="str">
        <x:f>IF(E1115=F1115,"PASS","FAIL")</x:f>
        <x:v>PASS</x:v>
      </x:c>
    </x:row>
    <x:row r="1116">
      <x:c r="B1116" t="str">
        <x:v>A-01070</x:v>
      </x:c>
      <x:c r="C1116" t="str">
        <x:v>GATE</x:v>
      </x:c>
      <x:c r="D1116" t="str">
        <x:v>release state mirrors governing ledger</x:v>
      </x:c>
      <x:c r="E1116" t="str">
        <x:f>'Release Gates'!I1076</x:f>
        <x:v>PASS</x:v>
      </x:c>
      <x:c r="F1116" t="str">
        <x:f>IF('Release Gates'!C1076="PLANNING","PASS",IF('Release Gates'!C1076="PHYSICAL","OPEN","BLOCKED"))</x:f>
        <x:v>PASS</x:v>
      </x:c>
      <x:c r="G1116" t="str">
        <x:v>equals</x:v>
      </x:c>
      <x:c r="H1116" t="str">
        <x:f>IF(E1116=F1116,"PASS","FAIL")</x:f>
        <x:v>PASS</x:v>
      </x:c>
    </x:row>
    <x:row r="1117">
      <x:c r="B1117" t="str">
        <x:v>A-01071</x:v>
      </x:c>
      <x:c r="C1117" t="str">
        <x:v>GATE</x:v>
      </x:c>
      <x:c r="D1117" t="str">
        <x:v>release state mirrors governing ledger</x:v>
      </x:c>
      <x:c r="E1117" t="str">
        <x:f>'Release Gates'!I1077</x:f>
        <x:v>PASS</x:v>
      </x:c>
      <x:c r="F1117" t="str">
        <x:f>IF('Release Gates'!C1077="PLANNING","PASS",IF('Release Gates'!C1077="PHYSICAL","OPEN","BLOCKED"))</x:f>
        <x:v>PASS</x:v>
      </x:c>
      <x:c r="G1117" t="str">
        <x:v>equals</x:v>
      </x:c>
      <x:c r="H1117" t="str">
        <x:f>IF(E1117=F1117,"PASS","FAIL")</x:f>
        <x:v>PASS</x:v>
      </x:c>
    </x:row>
    <x:row r="1118">
      <x:c r="B1118" t="str">
        <x:v>A-01072</x:v>
      </x:c>
      <x:c r="C1118" t="str">
        <x:v>GATE</x:v>
      </x:c>
      <x:c r="D1118" t="str">
        <x:v>release state mirrors governing ledger</x:v>
      </x:c>
      <x:c r="E1118" t="str">
        <x:f>'Release Gates'!I1078</x:f>
        <x:v>PASS</x:v>
      </x:c>
      <x:c r="F1118" t="str">
        <x:f>IF('Release Gates'!C1078="PLANNING","PASS",IF('Release Gates'!C1078="PHYSICAL","OPEN","BLOCKED"))</x:f>
        <x:v>PASS</x:v>
      </x:c>
      <x:c r="G1118" t="str">
        <x:v>equals</x:v>
      </x:c>
      <x:c r="H1118" t="str">
        <x:f>IF(E1118=F1118,"PASS","FAIL")</x:f>
        <x:v>PASS</x:v>
      </x:c>
    </x:row>
    <x:row r="1119">
      <x:c r="B1119" t="str">
        <x:v>A-01073</x:v>
      </x:c>
      <x:c r="C1119" t="str">
        <x:v>GATE</x:v>
      </x:c>
      <x:c r="D1119" t="str">
        <x:v>release state mirrors governing ledger</x:v>
      </x:c>
      <x:c r="E1119" t="str">
        <x:f>'Release Gates'!I1079</x:f>
        <x:v>PASS</x:v>
      </x:c>
      <x:c r="F1119" t="str">
        <x:f>IF('Release Gates'!C1079="PLANNING","PASS",IF('Release Gates'!C1079="PHYSICAL","OPEN","BLOCKED"))</x:f>
        <x:v>PASS</x:v>
      </x:c>
      <x:c r="G1119" t="str">
        <x:v>equals</x:v>
      </x:c>
      <x:c r="H1119" t="str">
        <x:f>IF(E1119=F1119,"PASS","FAIL")</x:f>
        <x:v>PASS</x:v>
      </x:c>
    </x:row>
    <x:row r="1120">
      <x:c r="B1120" t="str">
        <x:v>A-01074</x:v>
      </x:c>
      <x:c r="C1120" t="str">
        <x:v>GATE</x:v>
      </x:c>
      <x:c r="D1120" t="str">
        <x:v>release state mirrors governing ledger</x:v>
      </x:c>
      <x:c r="E1120" t="str">
        <x:f>'Release Gates'!I1080</x:f>
        <x:v>PASS</x:v>
      </x:c>
      <x:c r="F1120" t="str">
        <x:f>IF('Release Gates'!C1080="PLANNING","PASS",IF('Release Gates'!C1080="PHYSICAL","OPEN","BLOCKED"))</x:f>
        <x:v>PASS</x:v>
      </x:c>
      <x:c r="G1120" t="str">
        <x:v>equals</x:v>
      </x:c>
      <x:c r="H1120" t="str">
        <x:f>IF(E1120=F1120,"PASS","FAIL")</x:f>
        <x:v>PASS</x:v>
      </x:c>
    </x:row>
    <x:row r="1121">
      <x:c r="B1121" t="str">
        <x:v>A-01075</x:v>
      </x:c>
      <x:c r="C1121" t="str">
        <x:v>GATE</x:v>
      </x:c>
      <x:c r="D1121" t="str">
        <x:v>release state mirrors governing ledger</x:v>
      </x:c>
      <x:c r="E1121" t="str">
        <x:f>'Release Gates'!I1081</x:f>
        <x:v>PASS</x:v>
      </x:c>
      <x:c r="F1121" t="str">
        <x:f>IF('Release Gates'!C1081="PLANNING","PASS",IF('Release Gates'!C1081="PHYSICAL","OPEN","BLOCKED"))</x:f>
        <x:v>PASS</x:v>
      </x:c>
      <x:c r="G1121" t="str">
        <x:v>equals</x:v>
      </x:c>
      <x:c r="H1121" t="str">
        <x:f>IF(E1121=F1121,"PASS","FAIL")</x:f>
        <x:v>PASS</x:v>
      </x:c>
    </x:row>
    <x:row r="1122">
      <x:c r="B1122" t="str">
        <x:v>A-01076</x:v>
      </x:c>
      <x:c r="C1122" t="str">
        <x:v>GATE</x:v>
      </x:c>
      <x:c r="D1122" t="str">
        <x:v>release state mirrors governing ledger</x:v>
      </x:c>
      <x:c r="E1122" t="str">
        <x:f>'Release Gates'!I1082</x:f>
        <x:v>PASS</x:v>
      </x:c>
      <x:c r="F1122" t="str">
        <x:f>IF('Release Gates'!C1082="PLANNING","PASS",IF('Release Gates'!C1082="PHYSICAL","OPEN","BLOCKED"))</x:f>
        <x:v>PASS</x:v>
      </x:c>
      <x:c r="G1122" t="str">
        <x:v>equals</x:v>
      </x:c>
      <x:c r="H1122" t="str">
        <x:f>IF(E1122=F1122,"PASS","FAIL")</x:f>
        <x:v>PASS</x:v>
      </x:c>
    </x:row>
    <x:row r="1123">
      <x:c r="B1123" t="str">
        <x:v>A-01077</x:v>
      </x:c>
      <x:c r="C1123" t="str">
        <x:v>GATE</x:v>
      </x:c>
      <x:c r="D1123" t="str">
        <x:v>release state mirrors governing ledger</x:v>
      </x:c>
      <x:c r="E1123" t="str">
        <x:f>'Release Gates'!I1083</x:f>
        <x:v>PASS</x:v>
      </x:c>
      <x:c r="F1123" t="str">
        <x:f>IF('Release Gates'!C1083="PLANNING","PASS",IF('Release Gates'!C1083="PHYSICAL","OPEN","BLOCKED"))</x:f>
        <x:v>PASS</x:v>
      </x:c>
      <x:c r="G1123" t="str">
        <x:v>equals</x:v>
      </x:c>
      <x:c r="H1123" t="str">
        <x:f>IF(E1123=F1123,"PASS","FAIL")</x:f>
        <x:v>PASS</x:v>
      </x:c>
    </x:row>
    <x:row r="1124">
      <x:c r="B1124" t="str">
        <x:v>A-01078</x:v>
      </x:c>
      <x:c r="C1124" t="str">
        <x:v>GATE</x:v>
      </x:c>
      <x:c r="D1124" t="str">
        <x:v>release state mirrors governing ledger</x:v>
      </x:c>
      <x:c r="E1124" t="str">
        <x:f>'Release Gates'!I1084</x:f>
        <x:v>PASS</x:v>
      </x:c>
      <x:c r="F1124" t="str">
        <x:f>IF('Release Gates'!C1084="PLANNING","PASS",IF('Release Gates'!C1084="PHYSICAL","OPEN","BLOCKED"))</x:f>
        <x:v>PASS</x:v>
      </x:c>
      <x:c r="G1124" t="str">
        <x:v>equals</x:v>
      </x:c>
      <x:c r="H1124" t="str">
        <x:f>IF(E1124=F1124,"PASS","FAIL")</x:f>
        <x:v>PASS</x:v>
      </x:c>
    </x:row>
    <x:row r="1125">
      <x:c r="B1125" t="str">
        <x:v>A-01079</x:v>
      </x:c>
      <x:c r="C1125" t="str">
        <x:v>GATE</x:v>
      </x:c>
      <x:c r="D1125" t="str">
        <x:v>release state mirrors governing ledger</x:v>
      </x:c>
      <x:c r="E1125" t="str">
        <x:f>'Release Gates'!I1085</x:f>
        <x:v>PASS</x:v>
      </x:c>
      <x:c r="F1125" t="str">
        <x:f>IF('Release Gates'!C1085="PLANNING","PASS",IF('Release Gates'!C1085="PHYSICAL","OPEN","BLOCKED"))</x:f>
        <x:v>PASS</x:v>
      </x:c>
      <x:c r="G1125" t="str">
        <x:v>equals</x:v>
      </x:c>
      <x:c r="H1125" t="str">
        <x:f>IF(E1125=F1125,"PASS","FAIL")</x:f>
        <x:v>PASS</x:v>
      </x:c>
    </x:row>
    <x:row r="1126">
      <x:c r="B1126" t="str">
        <x:v>A-01080</x:v>
      </x:c>
      <x:c r="C1126" t="str">
        <x:v>GATE</x:v>
      </x:c>
      <x:c r="D1126" t="str">
        <x:v>release state mirrors governing ledger</x:v>
      </x:c>
      <x:c r="E1126" t="str">
        <x:f>'Release Gates'!I1086</x:f>
        <x:v>PASS</x:v>
      </x:c>
      <x:c r="F1126" t="str">
        <x:f>IF('Release Gates'!C1086="PLANNING","PASS",IF('Release Gates'!C1086="PHYSICAL","OPEN","BLOCKED"))</x:f>
        <x:v>PASS</x:v>
      </x:c>
      <x:c r="G1126" t="str">
        <x:v>equals</x:v>
      </x:c>
      <x:c r="H1126" t="str">
        <x:f>IF(E1126=F1126,"PASS","FAIL")</x:f>
        <x:v>PASS</x:v>
      </x:c>
    </x:row>
    <x:row r="1127">
      <x:c r="B1127" t="str">
        <x:v>A-01081</x:v>
      </x:c>
      <x:c r="C1127" t="str">
        <x:v>GATE</x:v>
      </x:c>
      <x:c r="D1127" t="str">
        <x:v>release state mirrors governing ledger</x:v>
      </x:c>
      <x:c r="E1127" t="str">
        <x:f>'Release Gates'!I1087</x:f>
        <x:v>PASS</x:v>
      </x:c>
      <x:c r="F1127" t="str">
        <x:f>IF('Release Gates'!C1087="PLANNING","PASS",IF('Release Gates'!C1087="PHYSICAL","OPEN","BLOCKED"))</x:f>
        <x:v>PASS</x:v>
      </x:c>
      <x:c r="G1127" t="str">
        <x:v>equals</x:v>
      </x:c>
      <x:c r="H1127" t="str">
        <x:f>IF(E1127=F1127,"PASS","FAIL")</x:f>
        <x:v>PASS</x:v>
      </x:c>
    </x:row>
    <x:row r="1128">
      <x:c r="B1128" t="str">
        <x:v>A-01082</x:v>
      </x:c>
      <x:c r="C1128" t="str">
        <x:v>GATE</x:v>
      </x:c>
      <x:c r="D1128" t="str">
        <x:v>release state mirrors governing ledger</x:v>
      </x:c>
      <x:c r="E1128" t="str">
        <x:f>'Release Gates'!I1088</x:f>
        <x:v>PASS</x:v>
      </x:c>
      <x:c r="F1128" t="str">
        <x:f>IF('Release Gates'!C1088="PLANNING","PASS",IF('Release Gates'!C1088="PHYSICAL","OPEN","BLOCKED"))</x:f>
        <x:v>PASS</x:v>
      </x:c>
      <x:c r="G1128" t="str">
        <x:v>equals</x:v>
      </x:c>
      <x:c r="H1128" t="str">
        <x:f>IF(E1128=F1128,"PASS","FAIL")</x:f>
        <x:v>PASS</x:v>
      </x:c>
    </x:row>
    <x:row r="1129">
      <x:c r="B1129" t="str">
        <x:v>A-01083</x:v>
      </x:c>
      <x:c r="C1129" t="str">
        <x:v>GATE</x:v>
      </x:c>
      <x:c r="D1129" t="str">
        <x:v>release state mirrors governing ledger</x:v>
      </x:c>
      <x:c r="E1129" t="str">
        <x:f>'Release Gates'!I1089</x:f>
        <x:v>PASS</x:v>
      </x:c>
      <x:c r="F1129" t="str">
        <x:f>IF('Release Gates'!C1089="PLANNING","PASS",IF('Release Gates'!C1089="PHYSICAL","OPEN","BLOCKED"))</x:f>
        <x:v>PASS</x:v>
      </x:c>
      <x:c r="G1129" t="str">
        <x:v>equals</x:v>
      </x:c>
      <x:c r="H1129" t="str">
        <x:f>IF(E1129=F1129,"PASS","FAIL")</x:f>
        <x:v>PASS</x:v>
      </x:c>
    </x:row>
    <x:row r="1130">
      <x:c r="B1130" t="str">
        <x:v>A-01084</x:v>
      </x:c>
      <x:c r="C1130" t="str">
        <x:v>GATE</x:v>
      </x:c>
      <x:c r="D1130" t="str">
        <x:v>release state mirrors governing ledger</x:v>
      </x:c>
      <x:c r="E1130" t="str">
        <x:f>'Release Gates'!I1090</x:f>
        <x:v>PASS</x:v>
      </x:c>
      <x:c r="F1130" t="str">
        <x:f>IF('Release Gates'!C1090="PLANNING","PASS",IF('Release Gates'!C1090="PHYSICAL","OPEN","BLOCKED"))</x:f>
        <x:v>PASS</x:v>
      </x:c>
      <x:c r="G1130" t="str">
        <x:v>equals</x:v>
      </x:c>
      <x:c r="H1130" t="str">
        <x:f>IF(E1130=F1130,"PASS","FAIL")</x:f>
        <x:v>PASS</x:v>
      </x:c>
    </x:row>
    <x:row r="1131">
      <x:c r="B1131" t="str">
        <x:v>A-01085</x:v>
      </x:c>
      <x:c r="C1131" t="str">
        <x:v>GATE</x:v>
      </x:c>
      <x:c r="D1131" t="str">
        <x:v>release state mirrors governing ledger</x:v>
      </x:c>
      <x:c r="E1131" t="str">
        <x:f>'Release Gates'!I1091</x:f>
        <x:v>PASS</x:v>
      </x:c>
      <x:c r="F1131" t="str">
        <x:f>IF('Release Gates'!C1091="PLANNING","PASS",IF('Release Gates'!C1091="PHYSICAL","OPEN","BLOCKED"))</x:f>
        <x:v>PASS</x:v>
      </x:c>
      <x:c r="G1131" t="str">
        <x:v>equals</x:v>
      </x:c>
      <x:c r="H1131" t="str">
        <x:f>IF(E1131=F1131,"PASS","FAIL")</x:f>
        <x:v>PASS</x:v>
      </x:c>
    </x:row>
    <x:row r="1132">
      <x:c r="B1132" t="str">
        <x:v>A-01086</x:v>
      </x:c>
      <x:c r="C1132" t="str">
        <x:v>GATE</x:v>
      </x:c>
      <x:c r="D1132" t="str">
        <x:v>release state mirrors governing ledger</x:v>
      </x:c>
      <x:c r="E1132" t="str">
        <x:f>'Release Gates'!I1092</x:f>
        <x:v>PASS</x:v>
      </x:c>
      <x:c r="F1132" t="str">
        <x:f>IF('Release Gates'!C1092="PLANNING","PASS",IF('Release Gates'!C1092="PHYSICAL","OPEN","BLOCKED"))</x:f>
        <x:v>PASS</x:v>
      </x:c>
      <x:c r="G1132" t="str">
        <x:v>equals</x:v>
      </x:c>
      <x:c r="H1132" t="str">
        <x:f>IF(E1132=F1132,"PASS","FAIL")</x:f>
        <x:v>PASS</x:v>
      </x:c>
    </x:row>
    <x:row r="1133">
      <x:c r="B1133" t="str">
        <x:v>A-01087</x:v>
      </x:c>
      <x:c r="C1133" t="str">
        <x:v>GATE</x:v>
      </x:c>
      <x:c r="D1133" t="str">
        <x:v>release state mirrors governing ledger</x:v>
      </x:c>
      <x:c r="E1133" t="str">
        <x:f>'Release Gates'!I1093</x:f>
        <x:v>PASS</x:v>
      </x:c>
      <x:c r="F1133" t="str">
        <x:f>IF('Release Gates'!C1093="PLANNING","PASS",IF('Release Gates'!C1093="PHYSICAL","OPEN","BLOCKED"))</x:f>
        <x:v>PASS</x:v>
      </x:c>
      <x:c r="G1133" t="str">
        <x:v>equals</x:v>
      </x:c>
      <x:c r="H1133" t="str">
        <x:f>IF(E1133=F1133,"PASS","FAIL")</x:f>
        <x:v>PASS</x:v>
      </x:c>
    </x:row>
    <x:row r="1134">
      <x:c r="B1134" t="str">
        <x:v>A-01088</x:v>
      </x:c>
      <x:c r="C1134" t="str">
        <x:v>GATE</x:v>
      </x:c>
      <x:c r="D1134" t="str">
        <x:v>release state mirrors governing ledger</x:v>
      </x:c>
      <x:c r="E1134" t="str">
        <x:f>'Release Gates'!I1094</x:f>
        <x:v>PASS</x:v>
      </x:c>
      <x:c r="F1134" t="str">
        <x:f>IF('Release Gates'!C1094="PLANNING","PASS",IF('Release Gates'!C1094="PHYSICAL","OPEN","BLOCKED"))</x:f>
        <x:v>PASS</x:v>
      </x:c>
      <x:c r="G1134" t="str">
        <x:v>equals</x:v>
      </x:c>
      <x:c r="H1134" t="str">
        <x:f>IF(E1134=F1134,"PASS","FAIL")</x:f>
        <x:v>PASS</x:v>
      </x:c>
    </x:row>
    <x:row r="1135">
      <x:c r="B1135" t="str">
        <x:v>A-01089</x:v>
      </x:c>
      <x:c r="C1135" t="str">
        <x:v>GATE</x:v>
      </x:c>
      <x:c r="D1135" t="str">
        <x:v>release state mirrors governing ledger</x:v>
      </x:c>
      <x:c r="E1135" t="str">
        <x:f>'Release Gates'!I1095</x:f>
        <x:v>PASS</x:v>
      </x:c>
      <x:c r="F1135" t="str">
        <x:f>IF('Release Gates'!C1095="PLANNING","PASS",IF('Release Gates'!C1095="PHYSICAL","OPEN","BLOCKED"))</x:f>
        <x:v>PASS</x:v>
      </x:c>
      <x:c r="G1135" t="str">
        <x:v>equals</x:v>
      </x:c>
      <x:c r="H1135" t="str">
        <x:f>IF(E1135=F1135,"PASS","FAIL")</x:f>
        <x:v>PASS</x:v>
      </x:c>
    </x:row>
    <x:row r="1136">
      <x:c r="B1136" t="str">
        <x:v>A-01090</x:v>
      </x:c>
      <x:c r="C1136" t="str">
        <x:v>GATE</x:v>
      </x:c>
      <x:c r="D1136" t="str">
        <x:v>release state mirrors governing ledger</x:v>
      </x:c>
      <x:c r="E1136" t="str">
        <x:f>'Release Gates'!I1096</x:f>
        <x:v>PASS</x:v>
      </x:c>
      <x:c r="F1136" t="str">
        <x:f>IF('Release Gates'!C1096="PLANNING","PASS",IF('Release Gates'!C1096="PHYSICAL","OPEN","BLOCKED"))</x:f>
        <x:v>PASS</x:v>
      </x:c>
      <x:c r="G1136" t="str">
        <x:v>equals</x:v>
      </x:c>
      <x:c r="H1136" t="str">
        <x:f>IF(E1136=F1136,"PASS","FAIL")</x:f>
        <x:v>PASS</x:v>
      </x:c>
    </x:row>
    <x:row r="1137">
      <x:c r="B1137" t="str">
        <x:v>A-01091</x:v>
      </x:c>
      <x:c r="C1137" t="str">
        <x:v>GATE</x:v>
      </x:c>
      <x:c r="D1137" t="str">
        <x:v>release state mirrors governing ledger</x:v>
      </x:c>
      <x:c r="E1137" t="str">
        <x:f>'Release Gates'!I1097</x:f>
        <x:v>PASS</x:v>
      </x:c>
      <x:c r="F1137" t="str">
        <x:f>IF('Release Gates'!C1097="PLANNING","PASS",IF('Release Gates'!C1097="PHYSICAL","OPEN","BLOCKED"))</x:f>
        <x:v>PASS</x:v>
      </x:c>
      <x:c r="G1137" t="str">
        <x:v>equals</x:v>
      </x:c>
      <x:c r="H1137" t="str">
        <x:f>IF(E1137=F1137,"PASS","FAIL")</x:f>
        <x:v>PASS</x:v>
      </x:c>
    </x:row>
    <x:row r="1138">
      <x:c r="B1138" t="str">
        <x:v>A-01092</x:v>
      </x:c>
      <x:c r="C1138" t="str">
        <x:v>GATE</x:v>
      </x:c>
      <x:c r="D1138" t="str">
        <x:v>release state mirrors governing ledger</x:v>
      </x:c>
      <x:c r="E1138" t="str">
        <x:f>'Release Gates'!I1098</x:f>
        <x:v>PASS</x:v>
      </x:c>
      <x:c r="F1138" t="str">
        <x:f>IF('Release Gates'!C1098="PLANNING","PASS",IF('Release Gates'!C1098="PHYSICAL","OPEN","BLOCKED"))</x:f>
        <x:v>PASS</x:v>
      </x:c>
      <x:c r="G1138" t="str">
        <x:v>equals</x:v>
      </x:c>
      <x:c r="H1138" t="str">
        <x:f>IF(E1138=F1138,"PASS","FAIL")</x:f>
        <x:v>PASS</x:v>
      </x:c>
    </x:row>
    <x:row r="1139">
      <x:c r="B1139" t="str">
        <x:v>A-01093</x:v>
      </x:c>
      <x:c r="C1139" t="str">
        <x:v>GATE</x:v>
      </x:c>
      <x:c r="D1139" t="str">
        <x:v>release state mirrors governing ledger</x:v>
      </x:c>
      <x:c r="E1139" t="str">
        <x:f>'Release Gates'!I1099</x:f>
        <x:v>PASS</x:v>
      </x:c>
      <x:c r="F1139" t="str">
        <x:f>IF('Release Gates'!C1099="PLANNING","PASS",IF('Release Gates'!C1099="PHYSICAL","OPEN","BLOCKED"))</x:f>
        <x:v>PASS</x:v>
      </x:c>
      <x:c r="G1139" t="str">
        <x:v>equals</x:v>
      </x:c>
      <x:c r="H1139" t="str">
        <x:f>IF(E1139=F1139,"PASS","FAIL")</x:f>
        <x:v>PASS</x:v>
      </x:c>
    </x:row>
    <x:row r="1140">
      <x:c r="B1140" t="str">
        <x:v>A-01094</x:v>
      </x:c>
      <x:c r="C1140" t="str">
        <x:v>GATE</x:v>
      </x:c>
      <x:c r="D1140" t="str">
        <x:v>release state mirrors governing ledger</x:v>
      </x:c>
      <x:c r="E1140" t="str">
        <x:f>'Release Gates'!I1100</x:f>
        <x:v>PASS</x:v>
      </x:c>
      <x:c r="F1140" t="str">
        <x:f>IF('Release Gates'!C1100="PLANNING","PASS",IF('Release Gates'!C1100="PHYSICAL","OPEN","BLOCKED"))</x:f>
        <x:v>PASS</x:v>
      </x:c>
      <x:c r="G1140" t="str">
        <x:v>equals</x:v>
      </x:c>
      <x:c r="H1140" t="str">
        <x:f>IF(E1140=F1140,"PASS","FAIL")</x:f>
        <x:v>PASS</x:v>
      </x:c>
    </x:row>
    <x:row r="1141">
      <x:c r="B1141" t="str">
        <x:v>A-01095</x:v>
      </x:c>
      <x:c r="C1141" t="str">
        <x:v>GATE</x:v>
      </x:c>
      <x:c r="D1141" t="str">
        <x:v>release state mirrors governing ledger</x:v>
      </x:c>
      <x:c r="E1141" t="str">
        <x:f>'Release Gates'!I1101</x:f>
        <x:v>PASS</x:v>
      </x:c>
      <x:c r="F1141" t="str">
        <x:f>IF('Release Gates'!C1101="PLANNING","PASS",IF('Release Gates'!C1101="PHYSICAL","OPEN","BLOCKED"))</x:f>
        <x:v>PASS</x:v>
      </x:c>
      <x:c r="G1141" t="str">
        <x:v>equals</x:v>
      </x:c>
      <x:c r="H1141" t="str">
        <x:f>IF(E1141=F1141,"PASS","FAIL")</x:f>
        <x:v>PASS</x:v>
      </x:c>
    </x:row>
    <x:row r="1142">
      <x:c r="B1142" t="str">
        <x:v>A-01096</x:v>
      </x:c>
      <x:c r="C1142" t="str">
        <x:v>GATE</x:v>
      </x:c>
      <x:c r="D1142" t="str">
        <x:v>release state mirrors governing ledger</x:v>
      </x:c>
      <x:c r="E1142" t="str">
        <x:f>'Release Gates'!I1102</x:f>
        <x:v>PASS</x:v>
      </x:c>
      <x:c r="F1142" t="str">
        <x:f>IF('Release Gates'!C1102="PLANNING","PASS",IF('Release Gates'!C1102="PHYSICAL","OPEN","BLOCKED"))</x:f>
        <x:v>PASS</x:v>
      </x:c>
      <x:c r="G1142" t="str">
        <x:v>equals</x:v>
      </x:c>
      <x:c r="H1142" t="str">
        <x:f>IF(E1142=F1142,"PASS","FAIL")</x:f>
        <x:v>PASS</x:v>
      </x:c>
    </x:row>
    <x:row r="1143">
      <x:c r="B1143" t="str">
        <x:v>A-01097</x:v>
      </x:c>
      <x:c r="C1143" t="str">
        <x:v>GATE</x:v>
      </x:c>
      <x:c r="D1143" t="str">
        <x:v>release state mirrors governing ledger</x:v>
      </x:c>
      <x:c r="E1143" t="str">
        <x:f>'Release Gates'!I1103</x:f>
        <x:v>PASS</x:v>
      </x:c>
      <x:c r="F1143" t="str">
        <x:f>IF('Release Gates'!C1103="PLANNING","PASS",IF('Release Gates'!C1103="PHYSICAL","OPEN","BLOCKED"))</x:f>
        <x:v>PASS</x:v>
      </x:c>
      <x:c r="G1143" t="str">
        <x:v>equals</x:v>
      </x:c>
      <x:c r="H1143" t="str">
        <x:f>IF(E1143=F1143,"PASS","FAIL")</x:f>
        <x:v>PASS</x:v>
      </x:c>
    </x:row>
    <x:row r="1144">
      <x:c r="B1144" t="str">
        <x:v>A-01098</x:v>
      </x:c>
      <x:c r="C1144" t="str">
        <x:v>GATE</x:v>
      </x:c>
      <x:c r="D1144" t="str">
        <x:v>release state mirrors governing ledger</x:v>
      </x:c>
      <x:c r="E1144" t="str">
        <x:f>'Release Gates'!I1104</x:f>
        <x:v>PASS</x:v>
      </x:c>
      <x:c r="F1144" t="str">
        <x:f>IF('Release Gates'!C1104="PLANNING","PASS",IF('Release Gates'!C1104="PHYSICAL","OPEN","BLOCKED"))</x:f>
        <x:v>PASS</x:v>
      </x:c>
      <x:c r="G1144" t="str">
        <x:v>equals</x:v>
      </x:c>
      <x:c r="H1144" t="str">
        <x:f>IF(E1144=F1144,"PASS","FAIL")</x:f>
        <x:v>PASS</x:v>
      </x:c>
    </x:row>
    <x:row r="1145">
      <x:c r="B1145" t="str">
        <x:v>A-01099</x:v>
      </x:c>
      <x:c r="C1145" t="str">
        <x:v>GATE</x:v>
      </x:c>
      <x:c r="D1145" t="str">
        <x:v>release state mirrors governing ledger</x:v>
      </x:c>
      <x:c r="E1145" t="str">
        <x:f>'Release Gates'!I1105</x:f>
        <x:v>PASS</x:v>
      </x:c>
      <x:c r="F1145" t="str">
        <x:f>IF('Release Gates'!C1105="PLANNING","PASS",IF('Release Gates'!C1105="PHYSICAL","OPEN","BLOCKED"))</x:f>
        <x:v>PASS</x:v>
      </x:c>
      <x:c r="G1145" t="str">
        <x:v>equals</x:v>
      </x:c>
      <x:c r="H1145" t="str">
        <x:f>IF(E1145=F1145,"PASS","FAIL")</x:f>
        <x:v>PASS</x:v>
      </x:c>
    </x:row>
    <x:row r="1146">
      <x:c r="B1146" t="str">
        <x:v>A-01100</x:v>
      </x:c>
      <x:c r="C1146" t="str">
        <x:v>GATE</x:v>
      </x:c>
      <x:c r="D1146" t="str">
        <x:v>release state mirrors governing ledger</x:v>
      </x:c>
      <x:c r="E1146" t="str">
        <x:f>'Release Gates'!I1106</x:f>
        <x:v>PASS</x:v>
      </x:c>
      <x:c r="F1146" t="str">
        <x:f>IF('Release Gates'!C1106="PLANNING","PASS",IF('Release Gates'!C1106="PHYSICAL","OPEN","BLOCKED"))</x:f>
        <x:v>PASS</x:v>
      </x:c>
      <x:c r="G1146" t="str">
        <x:v>equals</x:v>
      </x:c>
      <x:c r="H1146" t="str">
        <x:f>IF(E1146=F1146,"PASS","FAIL")</x:f>
        <x:v>PASS</x:v>
      </x:c>
    </x:row>
    <x:row r="1147">
      <x:c r="B1147" t="str">
        <x:v>A-01101</x:v>
      </x:c>
      <x:c r="C1147" t="str">
        <x:v>GATE</x:v>
      </x:c>
      <x:c r="D1147" t="str">
        <x:v>release state mirrors governing ledger</x:v>
      </x:c>
      <x:c r="E1147" t="str">
        <x:f>'Release Gates'!I1107</x:f>
        <x:v>PASS</x:v>
      </x:c>
      <x:c r="F1147" t="str">
        <x:f>IF('Release Gates'!C1107="PLANNING","PASS",IF('Release Gates'!C1107="PHYSICAL","OPEN","BLOCKED"))</x:f>
        <x:v>PASS</x:v>
      </x:c>
      <x:c r="G1147" t="str">
        <x:v>equals</x:v>
      </x:c>
      <x:c r="H1147" t="str">
        <x:f>IF(E1147=F1147,"PASS","FAIL")</x:f>
        <x:v>PASS</x:v>
      </x:c>
    </x:row>
    <x:row r="1148">
      <x:c r="B1148" t="str">
        <x:v>A-01102</x:v>
      </x:c>
      <x:c r="C1148" t="str">
        <x:v>GATE</x:v>
      </x:c>
      <x:c r="D1148" t="str">
        <x:v>release state mirrors governing ledger</x:v>
      </x:c>
      <x:c r="E1148" t="str">
        <x:f>'Release Gates'!I1108</x:f>
        <x:v>PASS</x:v>
      </x:c>
      <x:c r="F1148" t="str">
        <x:f>IF('Release Gates'!C1108="PLANNING","PASS",IF('Release Gates'!C1108="PHYSICAL","OPEN","BLOCKED"))</x:f>
        <x:v>PASS</x:v>
      </x:c>
      <x:c r="G1148" t="str">
        <x:v>equals</x:v>
      </x:c>
      <x:c r="H1148" t="str">
        <x:f>IF(E1148=F1148,"PASS","FAIL")</x:f>
        <x:v>PASS</x:v>
      </x:c>
    </x:row>
    <x:row r="1149">
      <x:c r="B1149" t="str">
        <x:v>A-01103</x:v>
      </x:c>
      <x:c r="C1149" t="str">
        <x:v>GATE</x:v>
      </x:c>
      <x:c r="D1149" t="str">
        <x:v>release state mirrors governing ledger</x:v>
      </x:c>
      <x:c r="E1149" t="str">
        <x:f>'Release Gates'!I1109</x:f>
        <x:v>PASS</x:v>
      </x:c>
      <x:c r="F1149" t="str">
        <x:f>IF('Release Gates'!C1109="PLANNING","PASS",IF('Release Gates'!C1109="PHYSICAL","OPEN","BLOCKED"))</x:f>
        <x:v>PASS</x:v>
      </x:c>
      <x:c r="G1149" t="str">
        <x:v>equals</x:v>
      </x:c>
      <x:c r="H1149" t="str">
        <x:f>IF(E1149=F1149,"PASS","FAIL")</x:f>
        <x:v>PASS</x:v>
      </x:c>
    </x:row>
    <x:row r="1150">
      <x:c r="B1150" t="str">
        <x:v>A-01104</x:v>
      </x:c>
      <x:c r="C1150" t="str">
        <x:v>GATE</x:v>
      </x:c>
      <x:c r="D1150" t="str">
        <x:v>release state mirrors governing ledger</x:v>
      </x:c>
      <x:c r="E1150" t="str">
        <x:f>'Release Gates'!I1110</x:f>
        <x:v>PASS</x:v>
      </x:c>
      <x:c r="F1150" t="str">
        <x:f>IF('Release Gates'!C1110="PLANNING","PASS",IF('Release Gates'!C1110="PHYSICAL","OPEN","BLOCKED"))</x:f>
        <x:v>PASS</x:v>
      </x:c>
      <x:c r="G1150" t="str">
        <x:v>equals</x:v>
      </x:c>
      <x:c r="H1150" t="str">
        <x:f>IF(E1150=F1150,"PASS","FAIL")</x:f>
        <x:v>PASS</x:v>
      </x:c>
    </x:row>
    <x:row r="1151">
      <x:c r="B1151" t="str">
        <x:v>A-01105</x:v>
      </x:c>
      <x:c r="C1151" t="str">
        <x:v>GATE</x:v>
      </x:c>
      <x:c r="D1151" t="str">
        <x:v>release state mirrors governing ledger</x:v>
      </x:c>
      <x:c r="E1151" t="str">
        <x:f>'Release Gates'!I1111</x:f>
        <x:v>PASS</x:v>
      </x:c>
      <x:c r="F1151" t="str">
        <x:f>IF('Release Gates'!C1111="PLANNING","PASS",IF('Release Gates'!C1111="PHYSICAL","OPEN","BLOCKED"))</x:f>
        <x:v>PASS</x:v>
      </x:c>
      <x:c r="G1151" t="str">
        <x:v>equals</x:v>
      </x:c>
      <x:c r="H1151" t="str">
        <x:f>IF(E1151=F1151,"PASS","FAIL")</x:f>
        <x:v>PASS</x:v>
      </x:c>
    </x:row>
    <x:row r="1152">
      <x:c r="B1152" t="str">
        <x:v>A-01106</x:v>
      </x:c>
      <x:c r="C1152" t="str">
        <x:v>GATE</x:v>
      </x:c>
      <x:c r="D1152" t="str">
        <x:v>release state mirrors governing ledger</x:v>
      </x:c>
      <x:c r="E1152" t="str">
        <x:f>'Release Gates'!I1112</x:f>
        <x:v>PASS</x:v>
      </x:c>
      <x:c r="F1152" t="str">
        <x:f>IF('Release Gates'!C1112="PLANNING","PASS",IF('Release Gates'!C1112="PHYSICAL","OPEN","BLOCKED"))</x:f>
        <x:v>PASS</x:v>
      </x:c>
      <x:c r="G1152" t="str">
        <x:v>equals</x:v>
      </x:c>
      <x:c r="H1152" t="str">
        <x:f>IF(E1152=F1152,"PASS","FAIL")</x:f>
        <x:v>PASS</x:v>
      </x:c>
    </x:row>
    <x:row r="1153">
      <x:c r="B1153" t="str">
        <x:v>A-01107</x:v>
      </x:c>
      <x:c r="C1153" t="str">
        <x:v>GATE</x:v>
      </x:c>
      <x:c r="D1153" t="str">
        <x:v>release state mirrors governing ledger</x:v>
      </x:c>
      <x:c r="E1153" t="str">
        <x:f>'Release Gates'!I1113</x:f>
        <x:v>PASS</x:v>
      </x:c>
      <x:c r="F1153" t="str">
        <x:f>IF('Release Gates'!C1113="PLANNING","PASS",IF('Release Gates'!C1113="PHYSICAL","OPEN","BLOCKED"))</x:f>
        <x:v>PASS</x:v>
      </x:c>
      <x:c r="G1153" t="str">
        <x:v>equals</x:v>
      </x:c>
      <x:c r="H1153" t="str">
        <x:f>IF(E1153=F1153,"PASS","FAIL")</x:f>
        <x:v>PASS</x:v>
      </x:c>
    </x:row>
    <x:row r="1154">
      <x:c r="B1154" t="str">
        <x:v>A-01108</x:v>
      </x:c>
      <x:c r="C1154" t="str">
        <x:v>GATE</x:v>
      </x:c>
      <x:c r="D1154" t="str">
        <x:v>release state mirrors governing ledger</x:v>
      </x:c>
      <x:c r="E1154" t="str">
        <x:f>'Release Gates'!I1114</x:f>
        <x:v>PASS</x:v>
      </x:c>
      <x:c r="F1154" t="str">
        <x:f>IF('Release Gates'!C1114="PLANNING","PASS",IF('Release Gates'!C1114="PHYSICAL","OPEN","BLOCKED"))</x:f>
        <x:v>PASS</x:v>
      </x:c>
      <x:c r="G1154" t="str">
        <x:v>equals</x:v>
      </x:c>
      <x:c r="H1154" t="str">
        <x:f>IF(E1154=F1154,"PASS","FAIL")</x:f>
        <x:v>PASS</x:v>
      </x:c>
    </x:row>
    <x:row r="1155">
      <x:c r="B1155" t="str">
        <x:v>A-01109</x:v>
      </x:c>
      <x:c r="C1155" t="str">
        <x:v>GATE</x:v>
      </x:c>
      <x:c r="D1155" t="str">
        <x:v>release state mirrors governing ledger</x:v>
      </x:c>
      <x:c r="E1155" t="str">
        <x:f>'Release Gates'!I1115</x:f>
        <x:v>PASS</x:v>
      </x:c>
      <x:c r="F1155" t="str">
        <x:f>IF('Release Gates'!C1115="PLANNING","PASS",IF('Release Gates'!C1115="PHYSICAL","OPEN","BLOCKED"))</x:f>
        <x:v>PASS</x:v>
      </x:c>
      <x:c r="G1155" t="str">
        <x:v>equals</x:v>
      </x:c>
      <x:c r="H1155" t="str">
        <x:f>IF(E1155=F1155,"PASS","FAIL")</x:f>
        <x:v>PASS</x:v>
      </x:c>
    </x:row>
    <x:row r="1156">
      <x:c r="B1156" t="str">
        <x:v>A-01110</x:v>
      </x:c>
      <x:c r="C1156" t="str">
        <x:v>GATE</x:v>
      </x:c>
      <x:c r="D1156" t="str">
        <x:v>release state mirrors governing ledger</x:v>
      </x:c>
      <x:c r="E1156" t="str">
        <x:f>'Release Gates'!I1116</x:f>
        <x:v>PASS</x:v>
      </x:c>
      <x:c r="F1156" t="str">
        <x:f>IF('Release Gates'!C1116="PLANNING","PASS",IF('Release Gates'!C1116="PHYSICAL","OPEN","BLOCKED"))</x:f>
        <x:v>PASS</x:v>
      </x:c>
      <x:c r="G1156" t="str">
        <x:v>equals</x:v>
      </x:c>
      <x:c r="H1156" t="str">
        <x:f>IF(E1156=F1156,"PASS","FAIL")</x:f>
        <x:v>PASS</x:v>
      </x:c>
    </x:row>
    <x:row r="1157">
      <x:c r="B1157" t="str">
        <x:v>A-01111</x:v>
      </x:c>
      <x:c r="C1157" t="str">
        <x:v>GATE</x:v>
      </x:c>
      <x:c r="D1157" t="str">
        <x:v>release state mirrors governing ledger</x:v>
      </x:c>
      <x:c r="E1157" t="str">
        <x:f>'Release Gates'!I1117</x:f>
        <x:v>PASS</x:v>
      </x:c>
      <x:c r="F1157" t="str">
        <x:f>IF('Release Gates'!C1117="PLANNING","PASS",IF('Release Gates'!C1117="PHYSICAL","OPEN","BLOCKED"))</x:f>
        <x:v>PASS</x:v>
      </x:c>
      <x:c r="G1157" t="str">
        <x:v>equals</x:v>
      </x:c>
      <x:c r="H1157" t="str">
        <x:f>IF(E1157=F1157,"PASS","FAIL")</x:f>
        <x:v>PASS</x:v>
      </x:c>
    </x:row>
    <x:row r="1158">
      <x:c r="B1158" t="str">
        <x:v>A-01112</x:v>
      </x:c>
      <x:c r="C1158" t="str">
        <x:v>GATE</x:v>
      </x:c>
      <x:c r="D1158" t="str">
        <x:v>release state mirrors governing ledger</x:v>
      </x:c>
      <x:c r="E1158" t="str">
        <x:f>'Release Gates'!I1118</x:f>
        <x:v>PASS</x:v>
      </x:c>
      <x:c r="F1158" t="str">
        <x:f>IF('Release Gates'!C1118="PLANNING","PASS",IF('Release Gates'!C1118="PHYSICAL","OPEN","BLOCKED"))</x:f>
        <x:v>PASS</x:v>
      </x:c>
      <x:c r="G1158" t="str">
        <x:v>equals</x:v>
      </x:c>
      <x:c r="H1158" t="str">
        <x:f>IF(E1158=F1158,"PASS","FAIL")</x:f>
        <x:v>PASS</x:v>
      </x:c>
    </x:row>
    <x:row r="1159">
      <x:c r="B1159" t="str">
        <x:v>A-01113</x:v>
      </x:c>
      <x:c r="C1159" t="str">
        <x:v>GATE</x:v>
      </x:c>
      <x:c r="D1159" t="str">
        <x:v>release state mirrors governing ledger</x:v>
      </x:c>
      <x:c r="E1159" t="str">
        <x:f>'Release Gates'!I1119</x:f>
        <x:v>PASS</x:v>
      </x:c>
      <x:c r="F1159" t="str">
        <x:f>IF('Release Gates'!C1119="PLANNING","PASS",IF('Release Gates'!C1119="PHYSICAL","OPEN","BLOCKED"))</x:f>
        <x:v>PASS</x:v>
      </x:c>
      <x:c r="G1159" t="str">
        <x:v>equals</x:v>
      </x:c>
      <x:c r="H1159" t="str">
        <x:f>IF(E1159=F1159,"PASS","FAIL")</x:f>
        <x:v>PASS</x:v>
      </x:c>
    </x:row>
    <x:row r="1160">
      <x:c r="B1160" t="str">
        <x:v>A-01114</x:v>
      </x:c>
      <x:c r="C1160" t="str">
        <x:v>GATE</x:v>
      </x:c>
      <x:c r="D1160" t="str">
        <x:v>release state mirrors governing ledger</x:v>
      </x:c>
      <x:c r="E1160" t="str">
        <x:f>'Release Gates'!I1120</x:f>
        <x:v>PASS</x:v>
      </x:c>
      <x:c r="F1160" t="str">
        <x:f>IF('Release Gates'!C1120="PLANNING","PASS",IF('Release Gates'!C1120="PHYSICAL","OPEN","BLOCKED"))</x:f>
        <x:v>PASS</x:v>
      </x:c>
      <x:c r="G1160" t="str">
        <x:v>equals</x:v>
      </x:c>
      <x:c r="H1160" t="str">
        <x:f>IF(E1160=F1160,"PASS","FAIL")</x:f>
        <x:v>PASS</x:v>
      </x:c>
    </x:row>
    <x:row r="1161">
      <x:c r="B1161" t="str">
        <x:v>A-01115</x:v>
      </x:c>
      <x:c r="C1161" t="str">
        <x:v>GATE</x:v>
      </x:c>
      <x:c r="D1161" t="str">
        <x:v>release state mirrors governing ledger</x:v>
      </x:c>
      <x:c r="E1161" t="str">
        <x:f>'Release Gates'!I1121</x:f>
        <x:v>PASS</x:v>
      </x:c>
      <x:c r="F1161" t="str">
        <x:f>IF('Release Gates'!C1121="PLANNING","PASS",IF('Release Gates'!C1121="PHYSICAL","OPEN","BLOCKED"))</x:f>
        <x:v>PASS</x:v>
      </x:c>
      <x:c r="G1161" t="str">
        <x:v>equals</x:v>
      </x:c>
      <x:c r="H1161" t="str">
        <x:f>IF(E1161=F1161,"PASS","FAIL")</x:f>
        <x:v>PASS</x:v>
      </x:c>
    </x:row>
    <x:row r="1162">
      <x:c r="B1162" t="str">
        <x:v>A-01116</x:v>
      </x:c>
      <x:c r="C1162" t="str">
        <x:v>GATE</x:v>
      </x:c>
      <x:c r="D1162" t="str">
        <x:v>release state mirrors governing ledger</x:v>
      </x:c>
      <x:c r="E1162" t="str">
        <x:f>'Release Gates'!I1122</x:f>
        <x:v>PASS</x:v>
      </x:c>
      <x:c r="F1162" t="str">
        <x:f>IF('Release Gates'!C1122="PLANNING","PASS",IF('Release Gates'!C1122="PHYSICAL","OPEN","BLOCKED"))</x:f>
        <x:v>PASS</x:v>
      </x:c>
      <x:c r="G1162" t="str">
        <x:v>equals</x:v>
      </x:c>
      <x:c r="H1162" t="str">
        <x:f>IF(E1162=F1162,"PASS","FAIL")</x:f>
        <x:v>PASS</x:v>
      </x:c>
    </x:row>
    <x:row r="1163">
      <x:c r="B1163" t="str">
        <x:v>A-01117</x:v>
      </x:c>
      <x:c r="C1163" t="str">
        <x:v>GATE</x:v>
      </x:c>
      <x:c r="D1163" t="str">
        <x:v>release state mirrors governing ledger</x:v>
      </x:c>
      <x:c r="E1163" t="str">
        <x:f>'Release Gates'!I1123</x:f>
        <x:v>PASS</x:v>
      </x:c>
      <x:c r="F1163" t="str">
        <x:f>IF('Release Gates'!C1123="PLANNING","PASS",IF('Release Gates'!C1123="PHYSICAL","OPEN","BLOCKED"))</x:f>
        <x:v>PASS</x:v>
      </x:c>
      <x:c r="G1163" t="str">
        <x:v>equals</x:v>
      </x:c>
      <x:c r="H1163" t="str">
        <x:f>IF(E1163=F1163,"PASS","FAIL")</x:f>
        <x:v>PASS</x:v>
      </x:c>
    </x:row>
    <x:row r="1164">
      <x:c r="B1164" t="str">
        <x:v>A-01118</x:v>
      </x:c>
      <x:c r="C1164" t="str">
        <x:v>GATE</x:v>
      </x:c>
      <x:c r="D1164" t="str">
        <x:v>release state mirrors governing ledger</x:v>
      </x:c>
      <x:c r="E1164" t="str">
        <x:f>'Release Gates'!I1124</x:f>
        <x:v>PASS</x:v>
      </x:c>
      <x:c r="F1164" t="str">
        <x:f>IF('Release Gates'!C1124="PLANNING","PASS",IF('Release Gates'!C1124="PHYSICAL","OPEN","BLOCKED"))</x:f>
        <x:v>PASS</x:v>
      </x:c>
      <x:c r="G1164" t="str">
        <x:v>equals</x:v>
      </x:c>
      <x:c r="H1164" t="str">
        <x:f>IF(E1164=F1164,"PASS","FAIL")</x:f>
        <x:v>PASS</x:v>
      </x:c>
    </x:row>
    <x:row r="1165">
      <x:c r="B1165" t="str">
        <x:v>A-01119</x:v>
      </x:c>
      <x:c r="C1165" t="str">
        <x:v>GATE</x:v>
      </x:c>
      <x:c r="D1165" t="str">
        <x:v>release state mirrors governing ledger</x:v>
      </x:c>
      <x:c r="E1165" t="str">
        <x:f>'Release Gates'!I1125</x:f>
        <x:v>PASS</x:v>
      </x:c>
      <x:c r="F1165" t="str">
        <x:f>IF('Release Gates'!C1125="PLANNING","PASS",IF('Release Gates'!C1125="PHYSICAL","OPEN","BLOCKED"))</x:f>
        <x:v>PASS</x:v>
      </x:c>
      <x:c r="G1165" t="str">
        <x:v>equals</x:v>
      </x:c>
      <x:c r="H1165" t="str">
        <x:f>IF(E1165=F1165,"PASS","FAIL")</x:f>
        <x:v>PASS</x:v>
      </x:c>
    </x:row>
    <x:row r="1166">
      <x:c r="B1166" t="str">
        <x:v>A-01120</x:v>
      </x:c>
      <x:c r="C1166" t="str">
        <x:v>GATE</x:v>
      </x:c>
      <x:c r="D1166" t="str">
        <x:v>release state mirrors governing ledger</x:v>
      </x:c>
      <x:c r="E1166" t="str">
        <x:f>'Release Gates'!I1126</x:f>
        <x:v>PASS</x:v>
      </x:c>
      <x:c r="F1166" t="str">
        <x:f>IF('Release Gates'!C1126="PLANNING","PASS",IF('Release Gates'!C1126="PHYSICAL","OPEN","BLOCKED"))</x:f>
        <x:v>PASS</x:v>
      </x:c>
      <x:c r="G1166" t="str">
        <x:v>equals</x:v>
      </x:c>
      <x:c r="H1166" t="str">
        <x:f>IF(E1166=F1166,"PASS","FAIL")</x:f>
        <x:v>PASS</x:v>
      </x:c>
    </x:row>
    <x:row r="1167">
      <x:c r="B1167" t="str">
        <x:v>A-01121</x:v>
      </x:c>
      <x:c r="C1167" t="str">
        <x:v>GATE</x:v>
      </x:c>
      <x:c r="D1167" t="str">
        <x:v>release state mirrors governing ledger</x:v>
      </x:c>
      <x:c r="E1167" t="str">
        <x:f>'Release Gates'!I1127</x:f>
        <x:v>PASS</x:v>
      </x:c>
      <x:c r="F1167" t="str">
        <x:f>IF('Release Gates'!C1127="PLANNING","PASS",IF('Release Gates'!C1127="PHYSICAL","OPEN","BLOCKED"))</x:f>
        <x:v>PASS</x:v>
      </x:c>
      <x:c r="G1167" t="str">
        <x:v>equals</x:v>
      </x:c>
      <x:c r="H1167" t="str">
        <x:f>IF(E1167=F1167,"PASS","FAIL")</x:f>
        <x:v>PASS</x:v>
      </x:c>
    </x:row>
    <x:row r="1168">
      <x:c r="B1168" t="str">
        <x:v>A-01122</x:v>
      </x:c>
      <x:c r="C1168" t="str">
        <x:v>GATE</x:v>
      </x:c>
      <x:c r="D1168" t="str">
        <x:v>release state mirrors governing ledger</x:v>
      </x:c>
      <x:c r="E1168" t="str">
        <x:f>'Release Gates'!I1128</x:f>
        <x:v>PASS</x:v>
      </x:c>
      <x:c r="F1168" t="str">
        <x:f>IF('Release Gates'!C1128="PLANNING","PASS",IF('Release Gates'!C1128="PHYSICAL","OPEN","BLOCKED"))</x:f>
        <x:v>PASS</x:v>
      </x:c>
      <x:c r="G1168" t="str">
        <x:v>equals</x:v>
      </x:c>
      <x:c r="H1168" t="str">
        <x:f>IF(E1168=F1168,"PASS","FAIL")</x:f>
        <x:v>PASS</x:v>
      </x:c>
    </x:row>
    <x:row r="1169">
      <x:c r="B1169" t="str">
        <x:v>A-01123</x:v>
      </x:c>
      <x:c r="C1169" t="str">
        <x:v>GATE</x:v>
      </x:c>
      <x:c r="D1169" t="str">
        <x:v>release state mirrors governing ledger</x:v>
      </x:c>
      <x:c r="E1169" t="str">
        <x:f>'Release Gates'!I1129</x:f>
        <x:v>PASS</x:v>
      </x:c>
      <x:c r="F1169" t="str">
        <x:f>IF('Release Gates'!C1129="PLANNING","PASS",IF('Release Gates'!C1129="PHYSICAL","OPEN","BLOCKED"))</x:f>
        <x:v>PASS</x:v>
      </x:c>
      <x:c r="G1169" t="str">
        <x:v>equals</x:v>
      </x:c>
      <x:c r="H1169" t="str">
        <x:f>IF(E1169=F1169,"PASS","FAIL")</x:f>
        <x:v>PASS</x:v>
      </x:c>
    </x:row>
    <x:row r="1170">
      <x:c r="B1170" t="str">
        <x:v>A-01124</x:v>
      </x:c>
      <x:c r="C1170" t="str">
        <x:v>GATE</x:v>
      </x:c>
      <x:c r="D1170" t="str">
        <x:v>release state mirrors governing ledger</x:v>
      </x:c>
      <x:c r="E1170" t="str">
        <x:f>'Release Gates'!I1130</x:f>
        <x:v>PASS</x:v>
      </x:c>
      <x:c r="F1170" t="str">
        <x:f>IF('Release Gates'!C1130="PLANNING","PASS",IF('Release Gates'!C1130="PHYSICAL","OPEN","BLOCKED"))</x:f>
        <x:v>PASS</x:v>
      </x:c>
      <x:c r="G1170" t="str">
        <x:v>equals</x:v>
      </x:c>
      <x:c r="H1170" t="str">
        <x:f>IF(E1170=F1170,"PASS","FAIL")</x:f>
        <x:v>PASS</x:v>
      </x:c>
    </x:row>
    <x:row r="1171">
      <x:c r="B1171" t="str">
        <x:v>A-01125</x:v>
      </x:c>
      <x:c r="C1171" t="str">
        <x:v>GATE</x:v>
      </x:c>
      <x:c r="D1171" t="str">
        <x:v>release state mirrors governing ledger</x:v>
      </x:c>
      <x:c r="E1171" t="str">
        <x:f>'Release Gates'!I1131</x:f>
        <x:v>PASS</x:v>
      </x:c>
      <x:c r="F1171" t="str">
        <x:f>IF('Release Gates'!C1131="PLANNING","PASS",IF('Release Gates'!C1131="PHYSICAL","OPEN","BLOCKED"))</x:f>
        <x:v>PASS</x:v>
      </x:c>
      <x:c r="G1171" t="str">
        <x:v>equals</x:v>
      </x:c>
      <x:c r="H1171" t="str">
        <x:f>IF(E1171=F1171,"PASS","FAIL")</x:f>
        <x:v>PASS</x:v>
      </x:c>
    </x:row>
    <x:row r="1172">
      <x:c r="B1172" t="str">
        <x:v>A-01126</x:v>
      </x:c>
      <x:c r="C1172" t="str">
        <x:v>GATE</x:v>
      </x:c>
      <x:c r="D1172" t="str">
        <x:v>release state mirrors governing ledger</x:v>
      </x:c>
      <x:c r="E1172" t="str">
        <x:f>'Release Gates'!I1132</x:f>
        <x:v>PASS</x:v>
      </x:c>
      <x:c r="F1172" t="str">
        <x:f>IF('Release Gates'!C1132="PLANNING","PASS",IF('Release Gates'!C1132="PHYSICAL","OPEN","BLOCKED"))</x:f>
        <x:v>PASS</x:v>
      </x:c>
      <x:c r="G1172" t="str">
        <x:v>equals</x:v>
      </x:c>
      <x:c r="H1172" t="str">
        <x:f>IF(E1172=F1172,"PASS","FAIL")</x:f>
        <x:v>PASS</x:v>
      </x:c>
    </x:row>
    <x:row r="1173">
      <x:c r="B1173" t="str">
        <x:v>A-01127</x:v>
      </x:c>
      <x:c r="C1173" t="str">
        <x:v>GATE</x:v>
      </x:c>
      <x:c r="D1173" t="str">
        <x:v>release state mirrors governing ledger</x:v>
      </x:c>
      <x:c r="E1173" t="str">
        <x:f>'Release Gates'!I1133</x:f>
        <x:v>PASS</x:v>
      </x:c>
      <x:c r="F1173" t="str">
        <x:f>IF('Release Gates'!C1133="PLANNING","PASS",IF('Release Gates'!C1133="PHYSICAL","OPEN","BLOCKED"))</x:f>
        <x:v>PASS</x:v>
      </x:c>
      <x:c r="G1173" t="str">
        <x:v>equals</x:v>
      </x:c>
      <x:c r="H1173" t="str">
        <x:f>IF(E1173=F1173,"PASS","FAIL")</x:f>
        <x:v>PASS</x:v>
      </x:c>
    </x:row>
    <x:row r="1174">
      <x:c r="B1174" t="str">
        <x:v>A-01128</x:v>
      </x:c>
      <x:c r="C1174" t="str">
        <x:v>GATE</x:v>
      </x:c>
      <x:c r="D1174" t="str">
        <x:v>release state mirrors governing ledger</x:v>
      </x:c>
      <x:c r="E1174" t="str">
        <x:f>'Release Gates'!I1134</x:f>
        <x:v>PASS</x:v>
      </x:c>
      <x:c r="F1174" t="str">
        <x:f>IF('Release Gates'!C1134="PLANNING","PASS",IF('Release Gates'!C1134="PHYSICAL","OPEN","BLOCKED"))</x:f>
        <x:v>PASS</x:v>
      </x:c>
      <x:c r="G1174" t="str">
        <x:v>equals</x:v>
      </x:c>
      <x:c r="H1174" t="str">
        <x:f>IF(E1174=F1174,"PASS","FAIL")</x:f>
        <x:v>PASS</x:v>
      </x:c>
    </x:row>
    <x:row r="1175">
      <x:c r="B1175" t="str">
        <x:v>A-01129</x:v>
      </x:c>
      <x:c r="C1175" t="str">
        <x:v>GATE</x:v>
      </x:c>
      <x:c r="D1175" t="str">
        <x:v>release state mirrors governing ledger</x:v>
      </x:c>
      <x:c r="E1175" t="str">
        <x:f>'Release Gates'!I1135</x:f>
        <x:v>PASS</x:v>
      </x:c>
      <x:c r="F1175" t="str">
        <x:f>IF('Release Gates'!C1135="PLANNING","PASS",IF('Release Gates'!C1135="PHYSICAL","OPEN","BLOCKED"))</x:f>
        <x:v>PASS</x:v>
      </x:c>
      <x:c r="G1175" t="str">
        <x:v>equals</x:v>
      </x:c>
      <x:c r="H1175" t="str">
        <x:f>IF(E1175=F1175,"PASS","FAIL")</x:f>
        <x:v>PASS</x:v>
      </x:c>
    </x:row>
    <x:row r="1176">
      <x:c r="B1176" t="str">
        <x:v>A-01130</x:v>
      </x:c>
      <x:c r="C1176" t="str">
        <x:v>GATE</x:v>
      </x:c>
      <x:c r="D1176" t="str">
        <x:v>release state mirrors governing ledger</x:v>
      </x:c>
      <x:c r="E1176" t="str">
        <x:f>'Release Gates'!I1136</x:f>
        <x:v>PASS</x:v>
      </x:c>
      <x:c r="F1176" t="str">
        <x:f>IF('Release Gates'!C1136="PLANNING","PASS",IF('Release Gates'!C1136="PHYSICAL","OPEN","BLOCKED"))</x:f>
        <x:v>PASS</x:v>
      </x:c>
      <x:c r="G1176" t="str">
        <x:v>equals</x:v>
      </x:c>
      <x:c r="H1176" t="str">
        <x:f>IF(E1176=F1176,"PASS","FAIL")</x:f>
        <x:v>PASS</x:v>
      </x:c>
    </x:row>
    <x:row r="1177">
      <x:c r="B1177" t="str">
        <x:v>A-01131</x:v>
      </x:c>
      <x:c r="C1177" t="str">
        <x:v>GATE</x:v>
      </x:c>
      <x:c r="D1177" t="str">
        <x:v>release state mirrors governing ledger</x:v>
      </x:c>
      <x:c r="E1177" t="str">
        <x:f>'Release Gates'!I1137</x:f>
        <x:v>PASS</x:v>
      </x:c>
      <x:c r="F1177" t="str">
        <x:f>IF('Release Gates'!C1137="PLANNING","PASS",IF('Release Gates'!C1137="PHYSICAL","OPEN","BLOCKED"))</x:f>
        <x:v>PASS</x:v>
      </x:c>
      <x:c r="G1177" t="str">
        <x:v>equals</x:v>
      </x:c>
      <x:c r="H1177" t="str">
        <x:f>IF(E1177=F1177,"PASS","FAIL")</x:f>
        <x:v>PASS</x:v>
      </x:c>
    </x:row>
    <x:row r="1178">
      <x:c r="B1178" t="str">
        <x:v>A-01132</x:v>
      </x:c>
      <x:c r="C1178" t="str">
        <x:v>GATE</x:v>
      </x:c>
      <x:c r="D1178" t="str">
        <x:v>release state mirrors governing ledger</x:v>
      </x:c>
      <x:c r="E1178" t="str">
        <x:f>'Release Gates'!I1138</x:f>
        <x:v>PASS</x:v>
      </x:c>
      <x:c r="F1178" t="str">
        <x:f>IF('Release Gates'!C1138="PLANNING","PASS",IF('Release Gates'!C1138="PHYSICAL","OPEN","BLOCKED"))</x:f>
        <x:v>PASS</x:v>
      </x:c>
      <x:c r="G1178" t="str">
        <x:v>equals</x:v>
      </x:c>
      <x:c r="H1178" t="str">
        <x:f>IF(E1178=F1178,"PASS","FAIL")</x:f>
        <x:v>PASS</x:v>
      </x:c>
    </x:row>
    <x:row r="1179">
      <x:c r="B1179" t="str">
        <x:v>A-01133</x:v>
      </x:c>
      <x:c r="C1179" t="str">
        <x:v>GATE</x:v>
      </x:c>
      <x:c r="D1179" t="str">
        <x:v>release state mirrors governing ledger</x:v>
      </x:c>
      <x:c r="E1179" t="str">
        <x:f>'Release Gates'!I1139</x:f>
        <x:v>PASS</x:v>
      </x:c>
      <x:c r="F1179" t="str">
        <x:f>IF('Release Gates'!C1139="PLANNING","PASS",IF('Release Gates'!C1139="PHYSICAL","OPEN","BLOCKED"))</x:f>
        <x:v>PASS</x:v>
      </x:c>
      <x:c r="G1179" t="str">
        <x:v>equals</x:v>
      </x:c>
      <x:c r="H1179" t="str">
        <x:f>IF(E1179=F1179,"PASS","FAIL")</x:f>
        <x:v>PASS</x:v>
      </x:c>
    </x:row>
    <x:row r="1180">
      <x:c r="B1180" t="str">
        <x:v>A-01134</x:v>
      </x:c>
      <x:c r="C1180" t="str">
        <x:v>GATE</x:v>
      </x:c>
      <x:c r="D1180" t="str">
        <x:v>release state mirrors governing ledger</x:v>
      </x:c>
      <x:c r="E1180" t="str">
        <x:f>'Release Gates'!I1140</x:f>
        <x:v>PASS</x:v>
      </x:c>
      <x:c r="F1180" t="str">
        <x:f>IF('Release Gates'!C1140="PLANNING","PASS",IF('Release Gates'!C1140="PHYSICAL","OPEN","BLOCKED"))</x:f>
        <x:v>PASS</x:v>
      </x:c>
      <x:c r="G1180" t="str">
        <x:v>equals</x:v>
      </x:c>
      <x:c r="H1180" t="str">
        <x:f>IF(E1180=F1180,"PASS","FAIL")</x:f>
        <x:v>PASS</x:v>
      </x:c>
    </x:row>
    <x:row r="1181">
      <x:c r="B1181" t="str">
        <x:v>A-01135</x:v>
      </x:c>
      <x:c r="C1181" t="str">
        <x:v>GATE</x:v>
      </x:c>
      <x:c r="D1181" t="str">
        <x:v>release state mirrors governing ledger</x:v>
      </x:c>
      <x:c r="E1181" t="str">
        <x:f>'Release Gates'!I1141</x:f>
        <x:v>PASS</x:v>
      </x:c>
      <x:c r="F1181" t="str">
        <x:f>IF('Release Gates'!C1141="PLANNING","PASS",IF('Release Gates'!C1141="PHYSICAL","OPEN","BLOCKED"))</x:f>
        <x:v>PASS</x:v>
      </x:c>
      <x:c r="G1181" t="str">
        <x:v>equals</x:v>
      </x:c>
      <x:c r="H1181" t="str">
        <x:f>IF(E1181=F1181,"PASS","FAIL")</x:f>
        <x:v>PASS</x:v>
      </x:c>
    </x:row>
    <x:row r="1182">
      <x:c r="B1182" t="str">
        <x:v>A-01136</x:v>
      </x:c>
      <x:c r="C1182" t="str">
        <x:v>GATE</x:v>
      </x:c>
      <x:c r="D1182" t="str">
        <x:v>release state mirrors governing ledger</x:v>
      </x:c>
      <x:c r="E1182" t="str">
        <x:f>'Release Gates'!I1142</x:f>
        <x:v>PASS</x:v>
      </x:c>
      <x:c r="F1182" t="str">
        <x:f>IF('Release Gates'!C1142="PLANNING","PASS",IF('Release Gates'!C1142="PHYSICAL","OPEN","BLOCKED"))</x:f>
        <x:v>PASS</x:v>
      </x:c>
      <x:c r="G1182" t="str">
        <x:v>equals</x:v>
      </x:c>
      <x:c r="H1182" t="str">
        <x:f>IF(E1182=F1182,"PASS","FAIL")</x:f>
        <x:v>PASS</x:v>
      </x:c>
    </x:row>
    <x:row r="1183">
      <x:c r="B1183" t="str">
        <x:v>A-01137</x:v>
      </x:c>
      <x:c r="C1183" t="str">
        <x:v>GATE</x:v>
      </x:c>
      <x:c r="D1183" t="str">
        <x:v>release state mirrors governing ledger</x:v>
      </x:c>
      <x:c r="E1183" t="str">
        <x:f>'Release Gates'!I1143</x:f>
        <x:v>PASS</x:v>
      </x:c>
      <x:c r="F1183" t="str">
        <x:f>IF('Release Gates'!C1143="PLANNING","PASS",IF('Release Gates'!C1143="PHYSICAL","OPEN","BLOCKED"))</x:f>
        <x:v>PASS</x:v>
      </x:c>
      <x:c r="G1183" t="str">
        <x:v>equals</x:v>
      </x:c>
      <x:c r="H1183" t="str">
        <x:f>IF(E1183=F1183,"PASS","FAIL")</x:f>
        <x:v>PASS</x:v>
      </x:c>
    </x:row>
    <x:row r="1184">
      <x:c r="B1184" t="str">
        <x:v>A-01138</x:v>
      </x:c>
      <x:c r="C1184" t="str">
        <x:v>GATE</x:v>
      </x:c>
      <x:c r="D1184" t="str">
        <x:v>release state mirrors governing ledger</x:v>
      </x:c>
      <x:c r="E1184" t="str">
        <x:f>'Release Gates'!I1144</x:f>
        <x:v>PASS</x:v>
      </x:c>
      <x:c r="F1184" t="str">
        <x:f>IF('Release Gates'!C1144="PLANNING","PASS",IF('Release Gates'!C1144="PHYSICAL","OPEN","BLOCKED"))</x:f>
        <x:v>PASS</x:v>
      </x:c>
      <x:c r="G1184" t="str">
        <x:v>equals</x:v>
      </x:c>
      <x:c r="H1184" t="str">
        <x:f>IF(E1184=F1184,"PASS","FAIL")</x:f>
        <x:v>PASS</x:v>
      </x:c>
    </x:row>
    <x:row r="1185">
      <x:c r="B1185" t="str">
        <x:v>A-01139</x:v>
      </x:c>
      <x:c r="C1185" t="str">
        <x:v>GATE</x:v>
      </x:c>
      <x:c r="D1185" t="str">
        <x:v>release state mirrors governing ledger</x:v>
      </x:c>
      <x:c r="E1185" t="str">
        <x:f>'Release Gates'!I1145</x:f>
        <x:v>PASS</x:v>
      </x:c>
      <x:c r="F1185" t="str">
        <x:f>IF('Release Gates'!C1145="PLANNING","PASS",IF('Release Gates'!C1145="PHYSICAL","OPEN","BLOCKED"))</x:f>
        <x:v>PASS</x:v>
      </x:c>
      <x:c r="G1185" t="str">
        <x:v>equals</x:v>
      </x:c>
      <x:c r="H1185" t="str">
        <x:f>IF(E1185=F1185,"PASS","FAIL")</x:f>
        <x:v>PASS</x:v>
      </x:c>
    </x:row>
    <x:row r="1186">
      <x:c r="B1186" t="str">
        <x:v>A-01140</x:v>
      </x:c>
      <x:c r="C1186" t="str">
        <x:v>GATE</x:v>
      </x:c>
      <x:c r="D1186" t="str">
        <x:v>release state mirrors governing ledger</x:v>
      </x:c>
      <x:c r="E1186" t="str">
        <x:f>'Release Gates'!I1146</x:f>
        <x:v>PASS</x:v>
      </x:c>
      <x:c r="F1186" t="str">
        <x:f>IF('Release Gates'!C1146="PLANNING","PASS",IF('Release Gates'!C1146="PHYSICAL","OPEN","BLOCKED"))</x:f>
        <x:v>PASS</x:v>
      </x:c>
      <x:c r="G1186" t="str">
        <x:v>equals</x:v>
      </x:c>
      <x:c r="H1186" t="str">
        <x:f>IF(E1186=F1186,"PASS","FAIL")</x:f>
        <x:v>PASS</x:v>
      </x:c>
    </x:row>
    <x:row r="1187">
      <x:c r="B1187" t="str">
        <x:v>A-01141</x:v>
      </x:c>
      <x:c r="C1187" t="str">
        <x:v>GATE</x:v>
      </x:c>
      <x:c r="D1187" t="str">
        <x:v>release state mirrors governing ledger</x:v>
      </x:c>
      <x:c r="E1187" t="str">
        <x:f>'Release Gates'!I1147</x:f>
        <x:v>PASS</x:v>
      </x:c>
      <x:c r="F1187" t="str">
        <x:f>IF('Release Gates'!C1147="PLANNING","PASS",IF('Release Gates'!C1147="PHYSICAL","OPEN","BLOCKED"))</x:f>
        <x:v>PASS</x:v>
      </x:c>
      <x:c r="G1187" t="str">
        <x:v>equals</x:v>
      </x:c>
      <x:c r="H1187" t="str">
        <x:f>IF(E1187=F1187,"PASS","FAIL")</x:f>
        <x:v>PASS</x:v>
      </x:c>
    </x:row>
    <x:row r="1188">
      <x:c r="B1188" t="str">
        <x:v>A-01142</x:v>
      </x:c>
      <x:c r="C1188" t="str">
        <x:v>GATE</x:v>
      </x:c>
      <x:c r="D1188" t="str">
        <x:v>release state mirrors governing ledger</x:v>
      </x:c>
      <x:c r="E1188" t="str">
        <x:f>'Release Gates'!I1148</x:f>
        <x:v>PASS</x:v>
      </x:c>
      <x:c r="F1188" t="str">
        <x:f>IF('Release Gates'!C1148="PLANNING","PASS",IF('Release Gates'!C1148="PHYSICAL","OPEN","BLOCKED"))</x:f>
        <x:v>PASS</x:v>
      </x:c>
      <x:c r="G1188" t="str">
        <x:v>equals</x:v>
      </x:c>
      <x:c r="H1188" t="str">
        <x:f>IF(E1188=F1188,"PASS","FAIL")</x:f>
        <x:v>PASS</x:v>
      </x:c>
    </x:row>
    <x:row r="1189">
      <x:c r="B1189" t="str">
        <x:v>A-01143</x:v>
      </x:c>
      <x:c r="C1189" t="str">
        <x:v>GATE</x:v>
      </x:c>
      <x:c r="D1189" t="str">
        <x:v>release state mirrors governing ledger</x:v>
      </x:c>
      <x:c r="E1189" t="str">
        <x:f>'Release Gates'!I1149</x:f>
        <x:v>PASS</x:v>
      </x:c>
      <x:c r="F1189" t="str">
        <x:f>IF('Release Gates'!C1149="PLANNING","PASS",IF('Release Gates'!C1149="PHYSICAL","OPEN","BLOCKED"))</x:f>
        <x:v>PASS</x:v>
      </x:c>
      <x:c r="G1189" t="str">
        <x:v>equals</x:v>
      </x:c>
      <x:c r="H1189" t="str">
        <x:f>IF(E1189=F1189,"PASS","FAIL")</x:f>
        <x:v>PASS</x:v>
      </x:c>
    </x:row>
    <x:row r="1190">
      <x:c r="B1190" t="str">
        <x:v>A-01144</x:v>
      </x:c>
      <x:c r="C1190" t="str">
        <x:v>GATE</x:v>
      </x:c>
      <x:c r="D1190" t="str">
        <x:v>release state mirrors governing ledger</x:v>
      </x:c>
      <x:c r="E1190" t="str">
        <x:f>'Release Gates'!I1150</x:f>
        <x:v>PASS</x:v>
      </x:c>
      <x:c r="F1190" t="str">
        <x:f>IF('Release Gates'!C1150="PLANNING","PASS",IF('Release Gates'!C1150="PHYSICAL","OPEN","BLOCKED"))</x:f>
        <x:v>PASS</x:v>
      </x:c>
      <x:c r="G1190" t="str">
        <x:v>equals</x:v>
      </x:c>
      <x:c r="H1190" t="str">
        <x:f>IF(E1190=F1190,"PASS","FAIL")</x:f>
        <x:v>PASS</x:v>
      </x:c>
    </x:row>
    <x:row r="1191">
      <x:c r="B1191" t="str">
        <x:v>A-01145</x:v>
      </x:c>
      <x:c r="C1191" t="str">
        <x:v>GATE</x:v>
      </x:c>
      <x:c r="D1191" t="str">
        <x:v>release state mirrors governing ledger</x:v>
      </x:c>
      <x:c r="E1191" t="str">
        <x:f>'Release Gates'!I1151</x:f>
        <x:v>PASS</x:v>
      </x:c>
      <x:c r="F1191" t="str">
        <x:f>IF('Release Gates'!C1151="PLANNING","PASS",IF('Release Gates'!C1151="PHYSICAL","OPEN","BLOCKED"))</x:f>
        <x:v>PASS</x:v>
      </x:c>
      <x:c r="G1191" t="str">
        <x:v>equals</x:v>
      </x:c>
      <x:c r="H1191" t="str">
        <x:f>IF(E1191=F1191,"PASS","FAIL")</x:f>
        <x:v>PASS</x:v>
      </x:c>
    </x:row>
    <x:row r="1192">
      <x:c r="B1192" t="str">
        <x:v>A-01146</x:v>
      </x:c>
      <x:c r="C1192" t="str">
        <x:v>GATE</x:v>
      </x:c>
      <x:c r="D1192" t="str">
        <x:v>release state mirrors governing ledger</x:v>
      </x:c>
      <x:c r="E1192" t="str">
        <x:f>'Release Gates'!I1152</x:f>
        <x:v>PASS</x:v>
      </x:c>
      <x:c r="F1192" t="str">
        <x:f>IF('Release Gates'!C1152="PLANNING","PASS",IF('Release Gates'!C1152="PHYSICAL","OPEN","BLOCKED"))</x:f>
        <x:v>PASS</x:v>
      </x:c>
      <x:c r="G1192" t="str">
        <x:v>equals</x:v>
      </x:c>
      <x:c r="H1192" t="str">
        <x:f>IF(E1192=F1192,"PASS","FAIL")</x:f>
        <x:v>PASS</x:v>
      </x:c>
    </x:row>
    <x:row r="1193">
      <x:c r="B1193" t="str">
        <x:v>A-01147</x:v>
      </x:c>
      <x:c r="C1193" t="str">
        <x:v>GATE</x:v>
      </x:c>
      <x:c r="D1193" t="str">
        <x:v>release state mirrors governing ledger</x:v>
      </x:c>
      <x:c r="E1193" t="str">
        <x:f>'Release Gates'!I1153</x:f>
        <x:v>PASS</x:v>
      </x:c>
      <x:c r="F1193" t="str">
        <x:f>IF('Release Gates'!C1153="PLANNING","PASS",IF('Release Gates'!C1153="PHYSICAL","OPEN","BLOCKED"))</x:f>
        <x:v>PASS</x:v>
      </x:c>
      <x:c r="G1193" t="str">
        <x:v>equals</x:v>
      </x:c>
      <x:c r="H1193" t="str">
        <x:f>IF(E1193=F1193,"PASS","FAIL")</x:f>
        <x:v>PASS</x:v>
      </x:c>
    </x:row>
    <x:row r="1194">
      <x:c r="B1194" t="str">
        <x:v>A-01148</x:v>
      </x:c>
      <x:c r="C1194" t="str">
        <x:v>GATE</x:v>
      </x:c>
      <x:c r="D1194" t="str">
        <x:v>release state mirrors governing ledger</x:v>
      </x:c>
      <x:c r="E1194" t="str">
        <x:f>'Release Gates'!I1154</x:f>
        <x:v>PASS</x:v>
      </x:c>
      <x:c r="F1194" t="str">
        <x:f>IF('Release Gates'!C1154="PLANNING","PASS",IF('Release Gates'!C1154="PHYSICAL","OPEN","BLOCKED"))</x:f>
        <x:v>PASS</x:v>
      </x:c>
      <x:c r="G1194" t="str">
        <x:v>equals</x:v>
      </x:c>
      <x:c r="H1194" t="str">
        <x:f>IF(E1194=F1194,"PASS","FAIL")</x:f>
        <x:v>PASS</x:v>
      </x:c>
    </x:row>
    <x:row r="1195">
      <x:c r="B1195" t="str">
        <x:v>A-01149</x:v>
      </x:c>
      <x:c r="C1195" t="str">
        <x:v>GATE</x:v>
      </x:c>
      <x:c r="D1195" t="str">
        <x:v>release state mirrors governing ledger</x:v>
      </x:c>
      <x:c r="E1195" t="str">
        <x:f>'Release Gates'!I1155</x:f>
        <x:v>PASS</x:v>
      </x:c>
      <x:c r="F1195" t="str">
        <x:f>IF('Release Gates'!C1155="PLANNING","PASS",IF('Release Gates'!C1155="PHYSICAL","OPEN","BLOCKED"))</x:f>
        <x:v>PASS</x:v>
      </x:c>
      <x:c r="G1195" t="str">
        <x:v>equals</x:v>
      </x:c>
      <x:c r="H1195" t="str">
        <x:f>IF(E1195=F1195,"PASS","FAIL")</x:f>
        <x:v>PASS</x:v>
      </x:c>
    </x:row>
    <x:row r="1196">
      <x:c r="B1196" t="str">
        <x:v>A-01150</x:v>
      </x:c>
      <x:c r="C1196" t="str">
        <x:v>GATE</x:v>
      </x:c>
      <x:c r="D1196" t="str">
        <x:v>release state mirrors governing ledger</x:v>
      </x:c>
      <x:c r="E1196" t="str">
        <x:f>'Release Gates'!I1156</x:f>
        <x:v>PASS</x:v>
      </x:c>
      <x:c r="F1196" t="str">
        <x:f>IF('Release Gates'!C1156="PLANNING","PASS",IF('Release Gates'!C1156="PHYSICAL","OPEN","BLOCKED"))</x:f>
        <x:v>PASS</x:v>
      </x:c>
      <x:c r="G1196" t="str">
        <x:v>equals</x:v>
      </x:c>
      <x:c r="H1196" t="str">
        <x:f>IF(E1196=F1196,"PASS","FAIL")</x:f>
        <x:v>PASS</x:v>
      </x:c>
    </x:row>
    <x:row r="1197">
      <x:c r="B1197" t="str">
        <x:v>A-01151</x:v>
      </x:c>
      <x:c r="C1197" t="str">
        <x:v>GATE</x:v>
      </x:c>
      <x:c r="D1197" t="str">
        <x:v>release state mirrors governing ledger</x:v>
      </x:c>
      <x:c r="E1197" t="str">
        <x:f>'Release Gates'!I1157</x:f>
        <x:v>PASS</x:v>
      </x:c>
      <x:c r="F1197" t="str">
        <x:f>IF('Release Gates'!C1157="PLANNING","PASS",IF('Release Gates'!C1157="PHYSICAL","OPEN","BLOCKED"))</x:f>
        <x:v>PASS</x:v>
      </x:c>
      <x:c r="G1197" t="str">
        <x:v>equals</x:v>
      </x:c>
      <x:c r="H1197" t="str">
        <x:f>IF(E1197=F1197,"PASS","FAIL")</x:f>
        <x:v>PASS</x:v>
      </x:c>
    </x:row>
    <x:row r="1198">
      <x:c r="B1198" t="str">
        <x:v>A-01152</x:v>
      </x:c>
      <x:c r="C1198" t="str">
        <x:v>GATE</x:v>
      </x:c>
      <x:c r="D1198" t="str">
        <x:v>release state mirrors governing ledger</x:v>
      </x:c>
      <x:c r="E1198" t="str">
        <x:f>'Release Gates'!I1158</x:f>
        <x:v>PASS</x:v>
      </x:c>
      <x:c r="F1198" t="str">
        <x:f>IF('Release Gates'!C1158="PLANNING","PASS",IF('Release Gates'!C1158="PHYSICAL","OPEN","BLOCKED"))</x:f>
        <x:v>PASS</x:v>
      </x:c>
      <x:c r="G1198" t="str">
        <x:v>equals</x:v>
      </x:c>
      <x:c r="H1198" t="str">
        <x:f>IF(E1198=F1198,"PASS","FAIL")</x:f>
        <x:v>PASS</x:v>
      </x:c>
    </x:row>
    <x:row r="1199">
      <x:c r="B1199" t="str">
        <x:v>A-01153</x:v>
      </x:c>
      <x:c r="C1199" t="str">
        <x:v>GATE</x:v>
      </x:c>
      <x:c r="D1199" t="str">
        <x:v>release state mirrors governing ledger</x:v>
      </x:c>
      <x:c r="E1199" t="str">
        <x:f>'Release Gates'!I1159</x:f>
        <x:v>PASS</x:v>
      </x:c>
      <x:c r="F1199" t="str">
        <x:f>IF('Release Gates'!C1159="PLANNING","PASS",IF('Release Gates'!C1159="PHYSICAL","OPEN","BLOCKED"))</x:f>
        <x:v>PASS</x:v>
      </x:c>
      <x:c r="G1199" t="str">
        <x:v>equals</x:v>
      </x:c>
      <x:c r="H1199" t="str">
        <x:f>IF(E1199=F1199,"PASS","FAIL")</x:f>
        <x:v>PASS</x:v>
      </x:c>
    </x:row>
    <x:row r="1200">
      <x:c r="B1200" t="str">
        <x:v>A-01154</x:v>
      </x:c>
      <x:c r="C1200" t="str">
        <x:v>GATE</x:v>
      </x:c>
      <x:c r="D1200" t="str">
        <x:v>release state mirrors governing ledger</x:v>
      </x:c>
      <x:c r="E1200" t="str">
        <x:f>'Release Gates'!I1160</x:f>
        <x:v>PASS</x:v>
      </x:c>
      <x:c r="F1200" t="str">
        <x:f>IF('Release Gates'!C1160="PLANNING","PASS",IF('Release Gates'!C1160="PHYSICAL","OPEN","BLOCKED"))</x:f>
        <x:v>PASS</x:v>
      </x:c>
      <x:c r="G1200" t="str">
        <x:v>equals</x:v>
      </x:c>
      <x:c r="H1200" t="str">
        <x:f>IF(E1200=F1200,"PASS","FAIL")</x:f>
        <x:v>PASS</x:v>
      </x:c>
    </x:row>
    <x:row r="1201">
      <x:c r="B1201" t="str">
        <x:v>A-01155</x:v>
      </x:c>
      <x:c r="C1201" t="str">
        <x:v>GATE</x:v>
      </x:c>
      <x:c r="D1201" t="str">
        <x:v>release state mirrors governing ledger</x:v>
      </x:c>
      <x:c r="E1201" t="str">
        <x:f>'Release Gates'!I1161</x:f>
        <x:v>PASS</x:v>
      </x:c>
      <x:c r="F1201" t="str">
        <x:f>IF('Release Gates'!C1161="PLANNING","PASS",IF('Release Gates'!C1161="PHYSICAL","OPEN","BLOCKED"))</x:f>
        <x:v>PASS</x:v>
      </x:c>
      <x:c r="G1201" t="str">
        <x:v>equals</x:v>
      </x:c>
      <x:c r="H1201" t="str">
        <x:f>IF(E1201=F1201,"PASS","FAIL")</x:f>
        <x:v>PASS</x:v>
      </x:c>
    </x:row>
    <x:row r="1202">
      <x:c r="B1202" t="str">
        <x:v>A-01156</x:v>
      </x:c>
      <x:c r="C1202" t="str">
        <x:v>GATE</x:v>
      </x:c>
      <x:c r="D1202" t="str">
        <x:v>release state mirrors governing ledger</x:v>
      </x:c>
      <x:c r="E1202" t="str">
        <x:f>'Release Gates'!I1162</x:f>
        <x:v>PASS</x:v>
      </x:c>
      <x:c r="F1202" t="str">
        <x:f>IF('Release Gates'!C1162="PLANNING","PASS",IF('Release Gates'!C1162="PHYSICAL","OPEN","BLOCKED"))</x:f>
        <x:v>PASS</x:v>
      </x:c>
      <x:c r="G1202" t="str">
        <x:v>equals</x:v>
      </x:c>
      <x:c r="H1202" t="str">
        <x:f>IF(E1202=F1202,"PASS","FAIL")</x:f>
        <x:v>PASS</x:v>
      </x:c>
    </x:row>
    <x:row r="1203">
      <x:c r="B1203" t="str">
        <x:v>A-01157</x:v>
      </x:c>
      <x:c r="C1203" t="str">
        <x:v>GATE</x:v>
      </x:c>
      <x:c r="D1203" t="str">
        <x:v>release state mirrors governing ledger</x:v>
      </x:c>
      <x:c r="E1203" t="str">
        <x:f>'Release Gates'!I1163</x:f>
        <x:v>PASS</x:v>
      </x:c>
      <x:c r="F1203" t="str">
        <x:f>IF('Release Gates'!C1163="PLANNING","PASS",IF('Release Gates'!C1163="PHYSICAL","OPEN","BLOCKED"))</x:f>
        <x:v>PASS</x:v>
      </x:c>
      <x:c r="G1203" t="str">
        <x:v>equals</x:v>
      </x:c>
      <x:c r="H1203" t="str">
        <x:f>IF(E1203=F1203,"PASS","FAIL")</x:f>
        <x:v>PASS</x:v>
      </x:c>
    </x:row>
    <x:row r="1204">
      <x:c r="B1204" t="str">
        <x:v>A-01158</x:v>
      </x:c>
      <x:c r="C1204" t="str">
        <x:v>GATE</x:v>
      </x:c>
      <x:c r="D1204" t="str">
        <x:v>release state mirrors governing ledger</x:v>
      </x:c>
      <x:c r="E1204" t="str">
        <x:f>'Release Gates'!I1164</x:f>
        <x:v>PASS</x:v>
      </x:c>
      <x:c r="F1204" t="str">
        <x:f>IF('Release Gates'!C1164="PLANNING","PASS",IF('Release Gates'!C1164="PHYSICAL","OPEN","BLOCKED"))</x:f>
        <x:v>PASS</x:v>
      </x:c>
      <x:c r="G1204" t="str">
        <x:v>equals</x:v>
      </x:c>
      <x:c r="H1204" t="str">
        <x:f>IF(E1204=F1204,"PASS","FAIL")</x:f>
        <x:v>PASS</x:v>
      </x:c>
    </x:row>
    <x:row r="1205">
      <x:c r="B1205" t="str">
        <x:v>A-01159</x:v>
      </x:c>
      <x:c r="C1205" t="str">
        <x:v>GATE</x:v>
      </x:c>
      <x:c r="D1205" t="str">
        <x:v>release state mirrors governing ledger</x:v>
      </x:c>
      <x:c r="E1205" t="str">
        <x:f>'Release Gates'!I1165</x:f>
        <x:v>PASS</x:v>
      </x:c>
      <x:c r="F1205" t="str">
        <x:f>IF('Release Gates'!C1165="PLANNING","PASS",IF('Release Gates'!C1165="PHYSICAL","OPEN","BLOCKED"))</x:f>
        <x:v>PASS</x:v>
      </x:c>
      <x:c r="G1205" t="str">
        <x:v>equals</x:v>
      </x:c>
      <x:c r="H1205" t="str">
        <x:f>IF(E1205=F1205,"PASS","FAIL")</x:f>
        <x:v>PASS</x:v>
      </x:c>
    </x:row>
    <x:row r="1206">
      <x:c r="B1206" t="str">
        <x:v>A-01160</x:v>
      </x:c>
      <x:c r="C1206" t="str">
        <x:v>GATE</x:v>
      </x:c>
      <x:c r="D1206" t="str">
        <x:v>release state mirrors governing ledger</x:v>
      </x:c>
      <x:c r="E1206" t="str">
        <x:f>'Release Gates'!I1166</x:f>
        <x:v>PASS</x:v>
      </x:c>
      <x:c r="F1206" t="str">
        <x:f>IF('Release Gates'!C1166="PLANNING","PASS",IF('Release Gates'!C1166="PHYSICAL","OPEN","BLOCKED"))</x:f>
        <x:v>PASS</x:v>
      </x:c>
      <x:c r="G1206" t="str">
        <x:v>equals</x:v>
      </x:c>
      <x:c r="H1206" t="str">
        <x:f>IF(E1206=F1206,"PASS","FAIL")</x:f>
        <x:v>PASS</x:v>
      </x:c>
    </x:row>
    <x:row r="1207">
      <x:c r="B1207" t="str">
        <x:v>A-01161</x:v>
      </x:c>
      <x:c r="C1207" t="str">
        <x:v>GATE</x:v>
      </x:c>
      <x:c r="D1207" t="str">
        <x:v>release state mirrors governing ledger</x:v>
      </x:c>
      <x:c r="E1207" t="str">
        <x:f>'Release Gates'!I1167</x:f>
        <x:v>PASS</x:v>
      </x:c>
      <x:c r="F1207" t="str">
        <x:f>IF('Release Gates'!C1167="PLANNING","PASS",IF('Release Gates'!C1167="PHYSICAL","OPEN","BLOCKED"))</x:f>
        <x:v>PASS</x:v>
      </x:c>
      <x:c r="G1207" t="str">
        <x:v>equals</x:v>
      </x:c>
      <x:c r="H1207" t="str">
        <x:f>IF(E1207=F1207,"PASS","FAIL")</x:f>
        <x:v>PASS</x:v>
      </x:c>
    </x:row>
    <x:row r="1208">
      <x:c r="B1208" t="str">
        <x:v>A-01162</x:v>
      </x:c>
      <x:c r="C1208" t="str">
        <x:v>GATE</x:v>
      </x:c>
      <x:c r="D1208" t="str">
        <x:v>release state mirrors governing ledger</x:v>
      </x:c>
      <x:c r="E1208" t="str">
        <x:f>'Release Gates'!I1168</x:f>
        <x:v>PASS</x:v>
      </x:c>
      <x:c r="F1208" t="str">
        <x:f>IF('Release Gates'!C1168="PLANNING","PASS",IF('Release Gates'!C1168="PHYSICAL","OPEN","BLOCKED"))</x:f>
        <x:v>PASS</x:v>
      </x:c>
      <x:c r="G1208" t="str">
        <x:v>equals</x:v>
      </x:c>
      <x:c r="H1208" t="str">
        <x:f>IF(E1208=F1208,"PASS","FAIL")</x:f>
        <x:v>PASS</x:v>
      </x:c>
    </x:row>
    <x:row r="1209">
      <x:c r="B1209" t="str">
        <x:v>A-01163</x:v>
      </x:c>
      <x:c r="C1209" t="str">
        <x:v>GATE</x:v>
      </x:c>
      <x:c r="D1209" t="str">
        <x:v>release state mirrors governing ledger</x:v>
      </x:c>
      <x:c r="E1209" t="str">
        <x:f>'Release Gates'!I1169</x:f>
        <x:v>PASS</x:v>
      </x:c>
      <x:c r="F1209" t="str">
        <x:f>IF('Release Gates'!C1169="PLANNING","PASS",IF('Release Gates'!C1169="PHYSICAL","OPEN","BLOCKED"))</x:f>
        <x:v>PASS</x:v>
      </x:c>
      <x:c r="G1209" t="str">
        <x:v>equals</x:v>
      </x:c>
      <x:c r="H1209" t="str">
        <x:f>IF(E1209=F1209,"PASS","FAIL")</x:f>
        <x:v>PASS</x:v>
      </x:c>
    </x:row>
    <x:row r="1210">
      <x:c r="B1210" t="str">
        <x:v>A-01164</x:v>
      </x:c>
      <x:c r="C1210" t="str">
        <x:v>GATE</x:v>
      </x:c>
      <x:c r="D1210" t="str">
        <x:v>release state mirrors governing ledger</x:v>
      </x:c>
      <x:c r="E1210" t="str">
        <x:f>'Release Gates'!I1170</x:f>
        <x:v>PASS</x:v>
      </x:c>
      <x:c r="F1210" t="str">
        <x:f>IF('Release Gates'!C1170="PLANNING","PASS",IF('Release Gates'!C1170="PHYSICAL","OPEN","BLOCKED"))</x:f>
        <x:v>PASS</x:v>
      </x:c>
      <x:c r="G1210" t="str">
        <x:v>equals</x:v>
      </x:c>
      <x:c r="H1210" t="str">
        <x:f>IF(E1210=F1210,"PASS","FAIL")</x:f>
        <x:v>PASS</x:v>
      </x:c>
    </x:row>
    <x:row r="1211">
      <x:c r="B1211" t="str">
        <x:v>A-01165</x:v>
      </x:c>
      <x:c r="C1211" t="str">
        <x:v>GATE</x:v>
      </x:c>
      <x:c r="D1211" t="str">
        <x:v>release state mirrors governing ledger</x:v>
      </x:c>
      <x:c r="E1211" t="str">
        <x:f>'Release Gates'!I1171</x:f>
        <x:v>PASS</x:v>
      </x:c>
      <x:c r="F1211" t="str">
        <x:f>IF('Release Gates'!C1171="PLANNING","PASS",IF('Release Gates'!C1171="PHYSICAL","OPEN","BLOCKED"))</x:f>
        <x:v>PASS</x:v>
      </x:c>
      <x:c r="G1211" t="str">
        <x:v>equals</x:v>
      </x:c>
      <x:c r="H1211" t="str">
        <x:f>IF(E1211=F1211,"PASS","FAIL")</x:f>
        <x:v>PASS</x:v>
      </x:c>
    </x:row>
    <x:row r="1212">
      <x:c r="B1212" t="str">
        <x:v>A-01166</x:v>
      </x:c>
      <x:c r="C1212" t="str">
        <x:v>GATE</x:v>
      </x:c>
      <x:c r="D1212" t="str">
        <x:v>release state mirrors governing ledger</x:v>
      </x:c>
      <x:c r="E1212" t="str">
        <x:f>'Release Gates'!I1172</x:f>
        <x:v>PASS</x:v>
      </x:c>
      <x:c r="F1212" t="str">
        <x:f>IF('Release Gates'!C1172="PLANNING","PASS",IF('Release Gates'!C1172="PHYSICAL","OPEN","BLOCKED"))</x:f>
        <x:v>PASS</x:v>
      </x:c>
      <x:c r="G1212" t="str">
        <x:v>equals</x:v>
      </x:c>
      <x:c r="H1212" t="str">
        <x:f>IF(E1212=F1212,"PASS","FAIL")</x:f>
        <x:v>PASS</x:v>
      </x:c>
    </x:row>
    <x:row r="1213">
      <x:c r="B1213" t="str">
        <x:v>A-01167</x:v>
      </x:c>
      <x:c r="C1213" t="str">
        <x:v>GATE</x:v>
      </x:c>
      <x:c r="D1213" t="str">
        <x:v>release state mirrors governing ledger</x:v>
      </x:c>
      <x:c r="E1213" t="str">
        <x:f>'Release Gates'!I1173</x:f>
        <x:v>PASS</x:v>
      </x:c>
      <x:c r="F1213" t="str">
        <x:f>IF('Release Gates'!C1173="PLANNING","PASS",IF('Release Gates'!C1173="PHYSICAL","OPEN","BLOCKED"))</x:f>
        <x:v>PASS</x:v>
      </x:c>
      <x:c r="G1213" t="str">
        <x:v>equals</x:v>
      </x:c>
      <x:c r="H1213" t="str">
        <x:f>IF(E1213=F1213,"PASS","FAIL")</x:f>
        <x:v>PASS</x:v>
      </x:c>
    </x:row>
    <x:row r="1214">
      <x:c r="B1214" t="str">
        <x:v>A-01168</x:v>
      </x:c>
      <x:c r="C1214" t="str">
        <x:v>GATE</x:v>
      </x:c>
      <x:c r="D1214" t="str">
        <x:v>release state mirrors governing ledger</x:v>
      </x:c>
      <x:c r="E1214" t="str">
        <x:f>'Release Gates'!I1174</x:f>
        <x:v>PASS</x:v>
      </x:c>
      <x:c r="F1214" t="str">
        <x:f>IF('Release Gates'!C1174="PLANNING","PASS",IF('Release Gates'!C1174="PHYSICAL","OPEN","BLOCKED"))</x:f>
        <x:v>PASS</x:v>
      </x:c>
      <x:c r="G1214" t="str">
        <x:v>equals</x:v>
      </x:c>
      <x:c r="H1214" t="str">
        <x:f>IF(E1214=F1214,"PASS","FAIL")</x:f>
        <x:v>PASS</x:v>
      </x:c>
    </x:row>
    <x:row r="1215">
      <x:c r="B1215" t="str">
        <x:v>A-01169</x:v>
      </x:c>
      <x:c r="C1215" t="str">
        <x:v>GATE</x:v>
      </x:c>
      <x:c r="D1215" t="str">
        <x:v>release state mirrors governing ledger</x:v>
      </x:c>
      <x:c r="E1215" t="str">
        <x:f>'Release Gates'!I1175</x:f>
        <x:v>PASS</x:v>
      </x:c>
      <x:c r="F1215" t="str">
        <x:f>IF('Release Gates'!C1175="PLANNING","PASS",IF('Release Gates'!C1175="PHYSICAL","OPEN","BLOCKED"))</x:f>
        <x:v>PASS</x:v>
      </x:c>
      <x:c r="G1215" t="str">
        <x:v>equals</x:v>
      </x:c>
      <x:c r="H1215" t="str">
        <x:f>IF(E1215=F1215,"PASS","FAIL")</x:f>
        <x:v>PASS</x:v>
      </x:c>
    </x:row>
    <x:row r="1216">
      <x:c r="B1216" t="str">
        <x:v>A-01170</x:v>
      </x:c>
      <x:c r="C1216" t="str">
        <x:v>GATE</x:v>
      </x:c>
      <x:c r="D1216" t="str">
        <x:v>release state mirrors governing ledger</x:v>
      </x:c>
      <x:c r="E1216" t="str">
        <x:f>'Release Gates'!I1176</x:f>
        <x:v>PASS</x:v>
      </x:c>
      <x:c r="F1216" t="str">
        <x:f>IF('Release Gates'!C1176="PLANNING","PASS",IF('Release Gates'!C1176="PHYSICAL","OPEN","BLOCKED"))</x:f>
        <x:v>PASS</x:v>
      </x:c>
      <x:c r="G1216" t="str">
        <x:v>equals</x:v>
      </x:c>
      <x:c r="H1216" t="str">
        <x:f>IF(E1216=F1216,"PASS","FAIL")</x:f>
        <x:v>PASS</x:v>
      </x:c>
    </x:row>
    <x:row r="1217">
      <x:c r="B1217" t="str">
        <x:v>A-01171</x:v>
      </x:c>
      <x:c r="C1217" t="str">
        <x:v>GATE</x:v>
      </x:c>
      <x:c r="D1217" t="str">
        <x:v>release state mirrors governing ledger</x:v>
      </x:c>
      <x:c r="E1217" t="str">
        <x:f>'Release Gates'!I1177</x:f>
        <x:v>PASS</x:v>
      </x:c>
      <x:c r="F1217" t="str">
        <x:f>IF('Release Gates'!C1177="PLANNING","PASS",IF('Release Gates'!C1177="PHYSICAL","OPEN","BLOCKED"))</x:f>
        <x:v>PASS</x:v>
      </x:c>
      <x:c r="G1217" t="str">
        <x:v>equals</x:v>
      </x:c>
      <x:c r="H1217" t="str">
        <x:f>IF(E1217=F1217,"PASS","FAIL")</x:f>
        <x:v>PASS</x:v>
      </x:c>
    </x:row>
    <x:row r="1218">
      <x:c r="B1218" t="str">
        <x:v>A-01172</x:v>
      </x:c>
      <x:c r="C1218" t="str">
        <x:v>GATE</x:v>
      </x:c>
      <x:c r="D1218" t="str">
        <x:v>release state mirrors governing ledger</x:v>
      </x:c>
      <x:c r="E1218" t="str">
        <x:f>'Release Gates'!I1178</x:f>
        <x:v>PASS</x:v>
      </x:c>
      <x:c r="F1218" t="str">
        <x:f>IF('Release Gates'!C1178="PLANNING","PASS",IF('Release Gates'!C1178="PHYSICAL","OPEN","BLOCKED"))</x:f>
        <x:v>PASS</x:v>
      </x:c>
      <x:c r="G1218" t="str">
        <x:v>equals</x:v>
      </x:c>
      <x:c r="H1218" t="str">
        <x:f>IF(E1218=F1218,"PASS","FAIL")</x:f>
        <x:v>PASS</x:v>
      </x:c>
    </x:row>
    <x:row r="1219">
      <x:c r="B1219" t="str">
        <x:v>A-01173</x:v>
      </x:c>
      <x:c r="C1219" t="str">
        <x:v>GATE</x:v>
      </x:c>
      <x:c r="D1219" t="str">
        <x:v>release state mirrors governing ledger</x:v>
      </x:c>
      <x:c r="E1219" t="str">
        <x:f>'Release Gates'!I1179</x:f>
        <x:v>PASS</x:v>
      </x:c>
      <x:c r="F1219" t="str">
        <x:f>IF('Release Gates'!C1179="PLANNING","PASS",IF('Release Gates'!C1179="PHYSICAL","OPEN","BLOCKED"))</x:f>
        <x:v>PASS</x:v>
      </x:c>
      <x:c r="G1219" t="str">
        <x:v>equals</x:v>
      </x:c>
      <x:c r="H1219" t="str">
        <x:f>IF(E1219=F1219,"PASS","FAIL")</x:f>
        <x:v>PASS</x:v>
      </x:c>
    </x:row>
    <x:row r="1220">
      <x:c r="B1220" t="str">
        <x:v>A-01174</x:v>
      </x:c>
      <x:c r="C1220" t="str">
        <x:v>GATE</x:v>
      </x:c>
      <x:c r="D1220" t="str">
        <x:v>release state mirrors governing ledger</x:v>
      </x:c>
      <x:c r="E1220" t="str">
        <x:f>'Release Gates'!I1180</x:f>
        <x:v>PASS</x:v>
      </x:c>
      <x:c r="F1220" t="str">
        <x:f>IF('Release Gates'!C1180="PLANNING","PASS",IF('Release Gates'!C1180="PHYSICAL","OPEN","BLOCKED"))</x:f>
        <x:v>PASS</x:v>
      </x:c>
      <x:c r="G1220" t="str">
        <x:v>equals</x:v>
      </x:c>
      <x:c r="H1220" t="str">
        <x:f>IF(E1220=F1220,"PASS","FAIL")</x:f>
        <x:v>PASS</x:v>
      </x:c>
    </x:row>
    <x:row r="1221">
      <x:c r="B1221" t="str">
        <x:v>A-01175</x:v>
      </x:c>
      <x:c r="C1221" t="str">
        <x:v>GATE</x:v>
      </x:c>
      <x:c r="D1221" t="str">
        <x:v>release state mirrors governing ledger</x:v>
      </x:c>
      <x:c r="E1221" t="str">
        <x:f>'Release Gates'!I1181</x:f>
        <x:v>PASS</x:v>
      </x:c>
      <x:c r="F1221" t="str">
        <x:f>IF('Release Gates'!C1181="PLANNING","PASS",IF('Release Gates'!C1181="PHYSICAL","OPEN","BLOCKED"))</x:f>
        <x:v>PASS</x:v>
      </x:c>
      <x:c r="G1221" t="str">
        <x:v>equals</x:v>
      </x:c>
      <x:c r="H1221" t="str">
        <x:f>IF(E1221=F1221,"PASS","FAIL")</x:f>
        <x:v>PASS</x:v>
      </x:c>
    </x:row>
    <x:row r="1222">
      <x:c r="B1222" t="str">
        <x:v>A-01176</x:v>
      </x:c>
      <x:c r="C1222" t="str">
        <x:v>GATE</x:v>
      </x:c>
      <x:c r="D1222" t="str">
        <x:v>release state mirrors governing ledger</x:v>
      </x:c>
      <x:c r="E1222" t="str">
        <x:f>'Release Gates'!I1182</x:f>
        <x:v>PASS</x:v>
      </x:c>
      <x:c r="F1222" t="str">
        <x:f>IF('Release Gates'!C1182="PLANNING","PASS",IF('Release Gates'!C1182="PHYSICAL","OPEN","BLOCKED"))</x:f>
        <x:v>PASS</x:v>
      </x:c>
      <x:c r="G1222" t="str">
        <x:v>equals</x:v>
      </x:c>
      <x:c r="H1222" t="str">
        <x:f>IF(E1222=F1222,"PASS","FAIL")</x:f>
        <x:v>PASS</x:v>
      </x:c>
    </x:row>
    <x:row r="1223">
      <x:c r="B1223" t="str">
        <x:v>A-01177</x:v>
      </x:c>
      <x:c r="C1223" t="str">
        <x:v>GATE</x:v>
      </x:c>
      <x:c r="D1223" t="str">
        <x:v>release state mirrors governing ledger</x:v>
      </x:c>
      <x:c r="E1223" t="str">
        <x:f>'Release Gates'!I1183</x:f>
        <x:v>PASS</x:v>
      </x:c>
      <x:c r="F1223" t="str">
        <x:f>IF('Release Gates'!C1183="PLANNING","PASS",IF('Release Gates'!C1183="PHYSICAL","OPEN","BLOCKED"))</x:f>
        <x:v>PASS</x:v>
      </x:c>
      <x:c r="G1223" t="str">
        <x:v>equals</x:v>
      </x:c>
      <x:c r="H1223" t="str">
        <x:f>IF(E1223=F1223,"PASS","FAIL")</x:f>
        <x:v>PASS</x:v>
      </x:c>
    </x:row>
    <x:row r="1224">
      <x:c r="B1224" t="str">
        <x:v>A-01178</x:v>
      </x:c>
      <x:c r="C1224" t="str">
        <x:v>GATE</x:v>
      </x:c>
      <x:c r="D1224" t="str">
        <x:v>release state mirrors governing ledger</x:v>
      </x:c>
      <x:c r="E1224" t="str">
        <x:f>'Release Gates'!I1184</x:f>
        <x:v>PASS</x:v>
      </x:c>
      <x:c r="F1224" t="str">
        <x:f>IF('Release Gates'!C1184="PLANNING","PASS",IF('Release Gates'!C1184="PHYSICAL","OPEN","BLOCKED"))</x:f>
        <x:v>PASS</x:v>
      </x:c>
      <x:c r="G1224" t="str">
        <x:v>equals</x:v>
      </x:c>
      <x:c r="H1224" t="str">
        <x:f>IF(E1224=F1224,"PASS","FAIL")</x:f>
        <x:v>PASS</x:v>
      </x:c>
    </x:row>
    <x:row r="1225">
      <x:c r="B1225" t="str">
        <x:v>A-01179</x:v>
      </x:c>
      <x:c r="C1225" t="str">
        <x:v>GATE</x:v>
      </x:c>
      <x:c r="D1225" t="str">
        <x:v>release state mirrors governing ledger</x:v>
      </x:c>
      <x:c r="E1225" t="str">
        <x:f>'Release Gates'!I1185</x:f>
        <x:v>PASS</x:v>
      </x:c>
      <x:c r="F1225" t="str">
        <x:f>IF('Release Gates'!C1185="PLANNING","PASS",IF('Release Gates'!C1185="PHYSICAL","OPEN","BLOCKED"))</x:f>
        <x:v>PASS</x:v>
      </x:c>
      <x:c r="G1225" t="str">
        <x:v>equals</x:v>
      </x:c>
      <x:c r="H1225" t="str">
        <x:f>IF(E1225=F1225,"PASS","FAIL")</x:f>
        <x:v>PASS</x:v>
      </x:c>
    </x:row>
    <x:row r="1226">
      <x:c r="B1226" t="str">
        <x:v>A-01180</x:v>
      </x:c>
      <x:c r="C1226" t="str">
        <x:v>GATE</x:v>
      </x:c>
      <x:c r="D1226" t="str">
        <x:v>release state mirrors governing ledger</x:v>
      </x:c>
      <x:c r="E1226" t="str">
        <x:f>'Release Gates'!I1186</x:f>
        <x:v>PASS</x:v>
      </x:c>
      <x:c r="F1226" t="str">
        <x:f>IF('Release Gates'!C1186="PLANNING","PASS",IF('Release Gates'!C1186="PHYSICAL","OPEN","BLOCKED"))</x:f>
        <x:v>PASS</x:v>
      </x:c>
      <x:c r="G1226" t="str">
        <x:v>equals</x:v>
      </x:c>
      <x:c r="H1226" t="str">
        <x:f>IF(E1226=F1226,"PASS","FAIL")</x:f>
        <x:v>PASS</x:v>
      </x:c>
    </x:row>
    <x:row r="1227">
      <x:c r="B1227" t="str">
        <x:v>A-01181</x:v>
      </x:c>
      <x:c r="C1227" t="str">
        <x:v>GATE</x:v>
      </x:c>
      <x:c r="D1227" t="str">
        <x:v>release state mirrors governing ledger</x:v>
      </x:c>
      <x:c r="E1227" t="str">
        <x:f>'Release Gates'!I1187</x:f>
        <x:v>PASS</x:v>
      </x:c>
      <x:c r="F1227" t="str">
        <x:f>IF('Release Gates'!C1187="PLANNING","PASS",IF('Release Gates'!C1187="PHYSICAL","OPEN","BLOCKED"))</x:f>
        <x:v>PASS</x:v>
      </x:c>
      <x:c r="G1227" t="str">
        <x:v>equals</x:v>
      </x:c>
      <x:c r="H1227" t="str">
        <x:f>IF(E1227=F1227,"PASS","FAIL")</x:f>
        <x:v>PASS</x:v>
      </x:c>
    </x:row>
    <x:row r="1228">
      <x:c r="B1228" t="str">
        <x:v>A-01182</x:v>
      </x:c>
      <x:c r="C1228" t="str">
        <x:v>GATE</x:v>
      </x:c>
      <x:c r="D1228" t="str">
        <x:v>release state mirrors governing ledger</x:v>
      </x:c>
      <x:c r="E1228" t="str">
        <x:f>'Release Gates'!I1188</x:f>
        <x:v>PASS</x:v>
      </x:c>
      <x:c r="F1228" t="str">
        <x:f>IF('Release Gates'!C1188="PLANNING","PASS",IF('Release Gates'!C1188="PHYSICAL","OPEN","BLOCKED"))</x:f>
        <x:v>PASS</x:v>
      </x:c>
      <x:c r="G1228" t="str">
        <x:v>equals</x:v>
      </x:c>
      <x:c r="H1228" t="str">
        <x:f>IF(E1228=F1228,"PASS","FAIL")</x:f>
        <x:v>PASS</x:v>
      </x:c>
    </x:row>
    <x:row r="1229">
      <x:c r="B1229" t="str">
        <x:v>A-01183</x:v>
      </x:c>
      <x:c r="C1229" t="str">
        <x:v>GATE</x:v>
      </x:c>
      <x:c r="D1229" t="str">
        <x:v>release state mirrors governing ledger</x:v>
      </x:c>
      <x:c r="E1229" t="str">
        <x:f>'Release Gates'!I1189</x:f>
        <x:v>PASS</x:v>
      </x:c>
      <x:c r="F1229" t="str">
        <x:f>IF('Release Gates'!C1189="PLANNING","PASS",IF('Release Gates'!C1189="PHYSICAL","OPEN","BLOCKED"))</x:f>
        <x:v>PASS</x:v>
      </x:c>
      <x:c r="G1229" t="str">
        <x:v>equals</x:v>
      </x:c>
      <x:c r="H1229" t="str">
        <x:f>IF(E1229=F1229,"PASS","FAIL")</x:f>
        <x:v>PASS</x:v>
      </x:c>
    </x:row>
    <x:row r="1230">
      <x:c r="B1230" t="str">
        <x:v>A-01184</x:v>
      </x:c>
      <x:c r="C1230" t="str">
        <x:v>GATE</x:v>
      </x:c>
      <x:c r="D1230" t="str">
        <x:v>release state mirrors governing ledger</x:v>
      </x:c>
      <x:c r="E1230" t="str">
        <x:f>'Release Gates'!I1190</x:f>
        <x:v>PASS</x:v>
      </x:c>
      <x:c r="F1230" t="str">
        <x:f>IF('Release Gates'!C1190="PLANNING","PASS",IF('Release Gates'!C1190="PHYSICAL","OPEN","BLOCKED"))</x:f>
        <x:v>PASS</x:v>
      </x:c>
      <x:c r="G1230" t="str">
        <x:v>equals</x:v>
      </x:c>
      <x:c r="H1230" t="str">
        <x:f>IF(E1230=F1230,"PASS","FAIL")</x:f>
        <x:v>PASS</x:v>
      </x:c>
    </x:row>
    <x:row r="1231">
      <x:c r="B1231" t="str">
        <x:v>A-01185</x:v>
      </x:c>
      <x:c r="C1231" t="str">
        <x:v>GATE</x:v>
      </x:c>
      <x:c r="D1231" t="str">
        <x:v>release state mirrors governing ledger</x:v>
      </x:c>
      <x:c r="E1231" t="str">
        <x:f>'Release Gates'!I1191</x:f>
        <x:v>PASS</x:v>
      </x:c>
      <x:c r="F1231" t="str">
        <x:f>IF('Release Gates'!C1191="PLANNING","PASS",IF('Release Gates'!C1191="PHYSICAL","OPEN","BLOCKED"))</x:f>
        <x:v>PASS</x:v>
      </x:c>
      <x:c r="G1231" t="str">
        <x:v>equals</x:v>
      </x:c>
      <x:c r="H1231" t="str">
        <x:f>IF(E1231=F1231,"PASS","FAIL")</x:f>
        <x:v>PASS</x:v>
      </x:c>
    </x:row>
    <x:row r="1232">
      <x:c r="B1232" t="str">
        <x:v>A-01186</x:v>
      </x:c>
      <x:c r="C1232" t="str">
        <x:v>GATE</x:v>
      </x:c>
      <x:c r="D1232" t="str">
        <x:v>release state mirrors governing ledger</x:v>
      </x:c>
      <x:c r="E1232" t="str">
        <x:f>'Release Gates'!I1192</x:f>
        <x:v>PASS</x:v>
      </x:c>
      <x:c r="F1232" t="str">
        <x:f>IF('Release Gates'!C1192="PLANNING","PASS",IF('Release Gates'!C1192="PHYSICAL","OPEN","BLOCKED"))</x:f>
        <x:v>PASS</x:v>
      </x:c>
      <x:c r="G1232" t="str">
        <x:v>equals</x:v>
      </x:c>
      <x:c r="H1232" t="str">
        <x:f>IF(E1232=F1232,"PASS","FAIL")</x:f>
        <x:v>PASS</x:v>
      </x:c>
    </x:row>
    <x:row r="1233">
      <x:c r="B1233" t="str">
        <x:v>A-01187</x:v>
      </x:c>
      <x:c r="C1233" t="str">
        <x:v>GATE</x:v>
      </x:c>
      <x:c r="D1233" t="str">
        <x:v>release state mirrors governing ledger</x:v>
      </x:c>
      <x:c r="E1233" t="str">
        <x:f>'Release Gates'!I1193</x:f>
        <x:v>PASS</x:v>
      </x:c>
      <x:c r="F1233" t="str">
        <x:f>IF('Release Gates'!C1193="PLANNING","PASS",IF('Release Gates'!C1193="PHYSICAL","OPEN","BLOCKED"))</x:f>
        <x:v>PASS</x:v>
      </x:c>
      <x:c r="G1233" t="str">
        <x:v>equals</x:v>
      </x:c>
      <x:c r="H1233" t="str">
        <x:f>IF(E1233=F1233,"PASS","FAIL")</x:f>
        <x:v>PASS</x:v>
      </x:c>
    </x:row>
    <x:row r="1234">
      <x:c r="B1234" t="str">
        <x:v>A-01188</x:v>
      </x:c>
      <x:c r="C1234" t="str">
        <x:v>GATE</x:v>
      </x:c>
      <x:c r="D1234" t="str">
        <x:v>release state mirrors governing ledger</x:v>
      </x:c>
      <x:c r="E1234" t="str">
        <x:f>'Release Gates'!I1194</x:f>
        <x:v>PASS</x:v>
      </x:c>
      <x:c r="F1234" t="str">
        <x:f>IF('Release Gates'!C1194="PLANNING","PASS",IF('Release Gates'!C1194="PHYSICAL","OPEN","BLOCKED"))</x:f>
        <x:v>PASS</x:v>
      </x:c>
      <x:c r="G1234" t="str">
        <x:v>equals</x:v>
      </x:c>
      <x:c r="H1234" t="str">
        <x:f>IF(E1234=F1234,"PASS","FAIL")</x:f>
        <x:v>PASS</x:v>
      </x:c>
    </x:row>
    <x:row r="1235">
      <x:c r="B1235" t="str">
        <x:v>A-01189</x:v>
      </x:c>
      <x:c r="C1235" t="str">
        <x:v>GATE</x:v>
      </x:c>
      <x:c r="D1235" t="str">
        <x:v>release state mirrors governing ledger</x:v>
      </x:c>
      <x:c r="E1235" t="str">
        <x:f>'Release Gates'!I1195</x:f>
        <x:v>PASS</x:v>
      </x:c>
      <x:c r="F1235" t="str">
        <x:f>IF('Release Gates'!C1195="PLANNING","PASS",IF('Release Gates'!C1195="PHYSICAL","OPEN","BLOCKED"))</x:f>
        <x:v>PASS</x:v>
      </x:c>
      <x:c r="G1235" t="str">
        <x:v>equals</x:v>
      </x:c>
      <x:c r="H1235" t="str">
        <x:f>IF(E1235=F1235,"PASS","FAIL")</x:f>
        <x:v>PASS</x:v>
      </x:c>
    </x:row>
    <x:row r="1236">
      <x:c r="B1236" t="str">
        <x:v>A-01190</x:v>
      </x:c>
      <x:c r="C1236" t="str">
        <x:v>GATE</x:v>
      </x:c>
      <x:c r="D1236" t="str">
        <x:v>release state mirrors governing ledger</x:v>
      </x:c>
      <x:c r="E1236" t="str">
        <x:f>'Release Gates'!I1196</x:f>
        <x:v>PASS</x:v>
      </x:c>
      <x:c r="F1236" t="str">
        <x:f>IF('Release Gates'!C1196="PLANNING","PASS",IF('Release Gates'!C1196="PHYSICAL","OPEN","BLOCKED"))</x:f>
        <x:v>PASS</x:v>
      </x:c>
      <x:c r="G1236" t="str">
        <x:v>equals</x:v>
      </x:c>
      <x:c r="H1236" t="str">
        <x:f>IF(E1236=F1236,"PASS","FAIL")</x:f>
        <x:v>PASS</x:v>
      </x:c>
    </x:row>
    <x:row r="1237">
      <x:c r="B1237" t="str">
        <x:v>A-01191</x:v>
      </x:c>
      <x:c r="C1237" t="str">
        <x:v>GATE</x:v>
      </x:c>
      <x:c r="D1237" t="str">
        <x:v>release state mirrors governing ledger</x:v>
      </x:c>
      <x:c r="E1237" t="str">
        <x:f>'Release Gates'!I1197</x:f>
        <x:v>PASS</x:v>
      </x:c>
      <x:c r="F1237" t="str">
        <x:f>IF('Release Gates'!C1197="PLANNING","PASS",IF('Release Gates'!C1197="PHYSICAL","OPEN","BLOCKED"))</x:f>
        <x:v>PASS</x:v>
      </x:c>
      <x:c r="G1237" t="str">
        <x:v>equals</x:v>
      </x:c>
      <x:c r="H1237" t="str">
        <x:f>IF(E1237=F1237,"PASS","FAIL")</x:f>
        <x:v>PASS</x:v>
      </x:c>
    </x:row>
    <x:row r="1238">
      <x:c r="B1238" t="str">
        <x:v>A-01192</x:v>
      </x:c>
      <x:c r="C1238" t="str">
        <x:v>GATE</x:v>
      </x:c>
      <x:c r="D1238" t="str">
        <x:v>release state mirrors governing ledger</x:v>
      </x:c>
      <x:c r="E1238" t="str">
        <x:f>'Release Gates'!I1198</x:f>
        <x:v>PASS</x:v>
      </x:c>
      <x:c r="F1238" t="str">
        <x:f>IF('Release Gates'!C1198="PLANNING","PASS",IF('Release Gates'!C1198="PHYSICAL","OPEN","BLOCKED"))</x:f>
        <x:v>PASS</x:v>
      </x:c>
      <x:c r="G1238" t="str">
        <x:v>equals</x:v>
      </x:c>
      <x:c r="H1238" t="str">
        <x:f>IF(E1238=F1238,"PASS","FAIL")</x:f>
        <x:v>PASS</x:v>
      </x:c>
    </x:row>
    <x:row r="1239">
      <x:c r="B1239" t="str">
        <x:v>A-01193</x:v>
      </x:c>
      <x:c r="C1239" t="str">
        <x:v>GATE</x:v>
      </x:c>
      <x:c r="D1239" t="str">
        <x:v>release state mirrors governing ledger</x:v>
      </x:c>
      <x:c r="E1239" t="str">
        <x:f>'Release Gates'!I1199</x:f>
        <x:v>PASS</x:v>
      </x:c>
      <x:c r="F1239" t="str">
        <x:f>IF('Release Gates'!C1199="PLANNING","PASS",IF('Release Gates'!C1199="PHYSICAL","OPEN","BLOCKED"))</x:f>
        <x:v>PASS</x:v>
      </x:c>
      <x:c r="G1239" t="str">
        <x:v>equals</x:v>
      </x:c>
      <x:c r="H1239" t="str">
        <x:f>IF(E1239=F1239,"PASS","FAIL")</x:f>
        <x:v>PASS</x:v>
      </x:c>
    </x:row>
    <x:row r="1240">
      <x:c r="B1240" t="str">
        <x:v>A-01194</x:v>
      </x:c>
      <x:c r="C1240" t="str">
        <x:v>GATE</x:v>
      </x:c>
      <x:c r="D1240" t="str">
        <x:v>release state mirrors governing ledger</x:v>
      </x:c>
      <x:c r="E1240" t="str">
        <x:f>'Release Gates'!I1200</x:f>
        <x:v>PASS</x:v>
      </x:c>
      <x:c r="F1240" t="str">
        <x:f>IF('Release Gates'!C1200="PLANNING","PASS",IF('Release Gates'!C1200="PHYSICAL","OPEN","BLOCKED"))</x:f>
        <x:v>PASS</x:v>
      </x:c>
      <x:c r="G1240" t="str">
        <x:v>equals</x:v>
      </x:c>
      <x:c r="H1240" t="str">
        <x:f>IF(E1240=F1240,"PASS","FAIL")</x:f>
        <x:v>PASS</x:v>
      </x:c>
    </x:row>
    <x:row r="1241">
      <x:c r="B1241" t="str">
        <x:v>A-01195</x:v>
      </x:c>
      <x:c r="C1241" t="str">
        <x:v>GATE</x:v>
      </x:c>
      <x:c r="D1241" t="str">
        <x:v>release state mirrors governing ledger</x:v>
      </x:c>
      <x:c r="E1241" t="str">
        <x:f>'Release Gates'!I1201</x:f>
        <x:v>PASS</x:v>
      </x:c>
      <x:c r="F1241" t="str">
        <x:f>IF('Release Gates'!C1201="PLANNING","PASS",IF('Release Gates'!C1201="PHYSICAL","OPEN","BLOCKED"))</x:f>
        <x:v>PASS</x:v>
      </x:c>
      <x:c r="G1241" t="str">
        <x:v>equals</x:v>
      </x:c>
      <x:c r="H1241" t="str">
        <x:f>IF(E1241=F1241,"PASS","FAIL")</x:f>
        <x:v>PASS</x:v>
      </x:c>
    </x:row>
    <x:row r="1242">
      <x:c r="B1242" t="str">
        <x:v>A-01196</x:v>
      </x:c>
      <x:c r="C1242" t="str">
        <x:v>GATE</x:v>
      </x:c>
      <x:c r="D1242" t="str">
        <x:v>release state mirrors governing ledger</x:v>
      </x:c>
      <x:c r="E1242" t="str">
        <x:f>'Release Gates'!I1202</x:f>
        <x:v>PASS</x:v>
      </x:c>
      <x:c r="F1242" t="str">
        <x:f>IF('Release Gates'!C1202="PLANNING","PASS",IF('Release Gates'!C1202="PHYSICAL","OPEN","BLOCKED"))</x:f>
        <x:v>PASS</x:v>
      </x:c>
      <x:c r="G1242" t="str">
        <x:v>equals</x:v>
      </x:c>
      <x:c r="H1242" t="str">
        <x:f>IF(E1242=F1242,"PASS","FAIL")</x:f>
        <x:v>PASS</x:v>
      </x:c>
    </x:row>
    <x:row r="1243">
      <x:c r="B1243" t="str">
        <x:v>A-01197</x:v>
      </x:c>
      <x:c r="C1243" t="str">
        <x:v>GATE</x:v>
      </x:c>
      <x:c r="D1243" t="str">
        <x:v>release state mirrors governing ledger</x:v>
      </x:c>
      <x:c r="E1243" t="str">
        <x:f>'Release Gates'!I1203</x:f>
        <x:v>PASS</x:v>
      </x:c>
      <x:c r="F1243" t="str">
        <x:f>IF('Release Gates'!C1203="PLANNING","PASS",IF('Release Gates'!C1203="PHYSICAL","OPEN","BLOCKED"))</x:f>
        <x:v>PASS</x:v>
      </x:c>
      <x:c r="G1243" t="str">
        <x:v>equals</x:v>
      </x:c>
      <x:c r="H1243" t="str">
        <x:f>IF(E1243=F1243,"PASS","FAIL")</x:f>
        <x:v>PASS</x:v>
      </x:c>
    </x:row>
    <x:row r="1244">
      <x:c r="B1244" t="str">
        <x:v>A-01198</x:v>
      </x:c>
      <x:c r="C1244" t="str">
        <x:v>GATE</x:v>
      </x:c>
      <x:c r="D1244" t="str">
        <x:v>release state mirrors governing ledger</x:v>
      </x:c>
      <x:c r="E1244" t="str">
        <x:f>'Release Gates'!I1204</x:f>
        <x:v>PASS</x:v>
      </x:c>
      <x:c r="F1244" t="str">
        <x:f>IF('Release Gates'!C1204="PLANNING","PASS",IF('Release Gates'!C1204="PHYSICAL","OPEN","BLOCKED"))</x:f>
        <x:v>PASS</x:v>
      </x:c>
      <x:c r="G1244" t="str">
        <x:v>equals</x:v>
      </x:c>
      <x:c r="H1244" t="str">
        <x:f>IF(E1244=F1244,"PASS","FAIL")</x:f>
        <x:v>PASS</x:v>
      </x:c>
    </x:row>
    <x:row r="1245">
      <x:c r="B1245" t="str">
        <x:v>A-01199</x:v>
      </x:c>
      <x:c r="C1245" t="str">
        <x:v>GATE</x:v>
      </x:c>
      <x:c r="D1245" t="str">
        <x:v>release state mirrors governing ledger</x:v>
      </x:c>
      <x:c r="E1245" t="str">
        <x:f>'Release Gates'!I1205</x:f>
        <x:v>PASS</x:v>
      </x:c>
      <x:c r="F1245" t="str">
        <x:f>IF('Release Gates'!C1205="PLANNING","PASS",IF('Release Gates'!C1205="PHYSICAL","OPEN","BLOCKED"))</x:f>
        <x:v>PASS</x:v>
      </x:c>
      <x:c r="G1245" t="str">
        <x:v>equals</x:v>
      </x:c>
      <x:c r="H1245" t="str">
        <x:f>IF(E1245=F1245,"PASS","FAIL")</x:f>
        <x:v>PASS</x:v>
      </x:c>
    </x:row>
    <x:row r="1246">
      <x:c r="B1246" t="str">
        <x:v>A-01200</x:v>
      </x:c>
      <x:c r="C1246" t="str">
        <x:v>GATE</x:v>
      </x:c>
      <x:c r="D1246" t="str">
        <x:v>release state mirrors governing ledger</x:v>
      </x:c>
      <x:c r="E1246" t="str">
        <x:f>'Release Gates'!I1206</x:f>
        <x:v>PASS</x:v>
      </x:c>
      <x:c r="F1246" t="str">
        <x:f>IF('Release Gates'!C1206="PLANNING","PASS",IF('Release Gates'!C1206="PHYSICAL","OPEN","BLOCKED"))</x:f>
        <x:v>PASS</x:v>
      </x:c>
      <x:c r="G1246" t="str">
        <x:v>equals</x:v>
      </x:c>
      <x:c r="H1246" t="str">
        <x:f>IF(E1246=F1246,"PASS","FAIL")</x:f>
        <x:v>PASS</x:v>
      </x:c>
    </x:row>
    <x:row r="1247">
      <x:c r="B1247" t="str">
        <x:v>A-01201</x:v>
      </x:c>
      <x:c r="C1247" t="str">
        <x:v>GATE</x:v>
      </x:c>
      <x:c r="D1247" t="str">
        <x:v>release state mirrors governing ledger</x:v>
      </x:c>
      <x:c r="E1247" t="str">
        <x:f>'Release Gates'!I1207</x:f>
        <x:v>PASS</x:v>
      </x:c>
      <x:c r="F1247" t="str">
        <x:f>IF('Release Gates'!C1207="PLANNING","PASS",IF('Release Gates'!C1207="PHYSICAL","OPEN","BLOCKED"))</x:f>
        <x:v>PASS</x:v>
      </x:c>
      <x:c r="G1247" t="str">
        <x:v>equals</x:v>
      </x:c>
      <x:c r="H1247" t="str">
        <x:f>IF(E1247=F1247,"PASS","FAIL")</x:f>
        <x:v>PASS</x:v>
      </x:c>
    </x:row>
    <x:row r="1248">
      <x:c r="B1248" t="str">
        <x:v>A-01202</x:v>
      </x:c>
      <x:c r="C1248" t="str">
        <x:v>GATE</x:v>
      </x:c>
      <x:c r="D1248" t="str">
        <x:v>release state mirrors governing ledger</x:v>
      </x:c>
      <x:c r="E1248" t="str">
        <x:f>'Release Gates'!I1208</x:f>
        <x:v>PASS</x:v>
      </x:c>
      <x:c r="F1248" t="str">
        <x:f>IF('Release Gates'!C1208="PLANNING","PASS",IF('Release Gates'!C1208="PHYSICAL","OPEN","BLOCKED"))</x:f>
        <x:v>PASS</x:v>
      </x:c>
      <x:c r="G1248" t="str">
        <x:v>equals</x:v>
      </x:c>
      <x:c r="H1248" t="str">
        <x:f>IF(E1248=F1248,"PASS","FAIL")</x:f>
        <x:v>PASS</x:v>
      </x:c>
    </x:row>
    <x:row r="1249">
      <x:c r="B1249" t="str">
        <x:v>A-01203</x:v>
      </x:c>
      <x:c r="C1249" t="str">
        <x:v>GATE</x:v>
      </x:c>
      <x:c r="D1249" t="str">
        <x:v>release state mirrors governing ledger</x:v>
      </x:c>
      <x:c r="E1249" t="str">
        <x:f>'Release Gates'!I1209</x:f>
        <x:v>PASS</x:v>
      </x:c>
      <x:c r="F1249" t="str">
        <x:f>IF('Release Gates'!C1209="PLANNING","PASS",IF('Release Gates'!C1209="PHYSICAL","OPEN","BLOCKED"))</x:f>
        <x:v>PASS</x:v>
      </x:c>
      <x:c r="G1249" t="str">
        <x:v>equals</x:v>
      </x:c>
      <x:c r="H1249" t="str">
        <x:f>IF(E1249=F1249,"PASS","FAIL")</x:f>
        <x:v>PASS</x:v>
      </x:c>
    </x:row>
    <x:row r="1250">
      <x:c r="B1250" t="str">
        <x:v>A-01204</x:v>
      </x:c>
      <x:c r="C1250" t="str">
        <x:v>GATE</x:v>
      </x:c>
      <x:c r="D1250" t="str">
        <x:v>release state mirrors governing ledger</x:v>
      </x:c>
      <x:c r="E1250" t="str">
        <x:f>'Release Gates'!I1210</x:f>
        <x:v>PASS</x:v>
      </x:c>
      <x:c r="F1250" t="str">
        <x:f>IF('Release Gates'!C1210="PLANNING","PASS",IF('Release Gates'!C1210="PHYSICAL","OPEN","BLOCKED"))</x:f>
        <x:v>PASS</x:v>
      </x:c>
      <x:c r="G1250" t="str">
        <x:v>equals</x:v>
      </x:c>
      <x:c r="H1250" t="str">
        <x:f>IF(E1250=F1250,"PASS","FAIL")</x:f>
        <x:v>PASS</x:v>
      </x:c>
    </x:row>
    <x:row r="1251">
      <x:c r="B1251" t="str">
        <x:v>A-01205</x:v>
      </x:c>
      <x:c r="C1251" t="str">
        <x:v>GATE</x:v>
      </x:c>
      <x:c r="D1251" t="str">
        <x:v>release state mirrors governing ledger</x:v>
      </x:c>
      <x:c r="E1251" t="str">
        <x:f>'Release Gates'!I1211</x:f>
        <x:v>PASS</x:v>
      </x:c>
      <x:c r="F1251" t="str">
        <x:f>IF('Release Gates'!C1211="PLANNING","PASS",IF('Release Gates'!C1211="PHYSICAL","OPEN","BLOCKED"))</x:f>
        <x:v>PASS</x:v>
      </x:c>
      <x:c r="G1251" t="str">
        <x:v>equals</x:v>
      </x:c>
      <x:c r="H1251" t="str">
        <x:f>IF(E1251=F1251,"PASS","FAIL")</x:f>
        <x:v>PASS</x:v>
      </x:c>
    </x:row>
    <x:row r="1252">
      <x:c r="B1252" t="str">
        <x:v>A-01206</x:v>
      </x:c>
      <x:c r="C1252" t="str">
        <x:v>GATE</x:v>
      </x:c>
      <x:c r="D1252" t="str">
        <x:v>release state mirrors governing ledger</x:v>
      </x:c>
      <x:c r="E1252" t="str">
        <x:f>'Release Gates'!I1212</x:f>
        <x:v>PASS</x:v>
      </x:c>
      <x:c r="F1252" t="str">
        <x:f>IF('Release Gates'!C1212="PLANNING","PASS",IF('Release Gates'!C1212="PHYSICAL","OPEN","BLOCKED"))</x:f>
        <x:v>PASS</x:v>
      </x:c>
      <x:c r="G1252" t="str">
        <x:v>equals</x:v>
      </x:c>
      <x:c r="H1252" t="str">
        <x:f>IF(E1252=F1252,"PASS","FAIL")</x:f>
        <x:v>PASS</x:v>
      </x:c>
    </x:row>
    <x:row r="1253">
      <x:c r="B1253" t="str">
        <x:v>A-01207</x:v>
      </x:c>
      <x:c r="C1253" t="str">
        <x:v>GATE</x:v>
      </x:c>
      <x:c r="D1253" t="str">
        <x:v>release state mirrors governing ledger</x:v>
      </x:c>
      <x:c r="E1253" t="str">
        <x:f>'Release Gates'!I1213</x:f>
        <x:v>PASS</x:v>
      </x:c>
      <x:c r="F1253" t="str">
        <x:f>IF('Release Gates'!C1213="PLANNING","PASS",IF('Release Gates'!C1213="PHYSICAL","OPEN","BLOCKED"))</x:f>
        <x:v>PASS</x:v>
      </x:c>
      <x:c r="G1253" t="str">
        <x:v>equals</x:v>
      </x:c>
      <x:c r="H1253" t="str">
        <x:f>IF(E1253=F1253,"PASS","FAIL")</x:f>
        <x:v>PASS</x:v>
      </x:c>
    </x:row>
    <x:row r="1254">
      <x:c r="B1254" t="str">
        <x:v>A-01208</x:v>
      </x:c>
      <x:c r="C1254" t="str">
        <x:v>GATE</x:v>
      </x:c>
      <x:c r="D1254" t="str">
        <x:v>release state mirrors governing ledger</x:v>
      </x:c>
      <x:c r="E1254" t="str">
        <x:f>'Release Gates'!I1214</x:f>
        <x:v>PASS</x:v>
      </x:c>
      <x:c r="F1254" t="str">
        <x:f>IF('Release Gates'!C1214="PLANNING","PASS",IF('Release Gates'!C1214="PHYSICAL","OPEN","BLOCKED"))</x:f>
        <x:v>PASS</x:v>
      </x:c>
      <x:c r="G1254" t="str">
        <x:v>equals</x:v>
      </x:c>
      <x:c r="H1254" t="str">
        <x:f>IF(E1254=F1254,"PASS","FAIL")</x:f>
        <x:v>PASS</x:v>
      </x:c>
    </x:row>
    <x:row r="1255">
      <x:c r="B1255" t="str">
        <x:v>A-01209</x:v>
      </x:c>
      <x:c r="C1255" t="str">
        <x:v>GATE</x:v>
      </x:c>
      <x:c r="D1255" t="str">
        <x:v>release state mirrors governing ledger</x:v>
      </x:c>
      <x:c r="E1255" t="str">
        <x:f>'Release Gates'!I1215</x:f>
        <x:v>PASS</x:v>
      </x:c>
      <x:c r="F1255" t="str">
        <x:f>IF('Release Gates'!C1215="PLANNING","PASS",IF('Release Gates'!C1215="PHYSICAL","OPEN","BLOCKED"))</x:f>
        <x:v>PASS</x:v>
      </x:c>
      <x:c r="G1255" t="str">
        <x:v>equals</x:v>
      </x:c>
      <x:c r="H1255" t="str">
        <x:f>IF(E1255=F1255,"PASS","FAIL")</x:f>
        <x:v>PASS</x:v>
      </x:c>
    </x:row>
    <x:row r="1256">
      <x:c r="B1256" t="str">
        <x:v>A-01210</x:v>
      </x:c>
      <x:c r="C1256" t="str">
        <x:v>GATE</x:v>
      </x:c>
      <x:c r="D1256" t="str">
        <x:v>release state mirrors governing ledger</x:v>
      </x:c>
      <x:c r="E1256" t="str">
        <x:f>'Release Gates'!I1216</x:f>
        <x:v>PASS</x:v>
      </x:c>
      <x:c r="F1256" t="str">
        <x:f>IF('Release Gates'!C1216="PLANNING","PASS",IF('Release Gates'!C1216="PHYSICAL","OPEN","BLOCKED"))</x:f>
        <x:v>PASS</x:v>
      </x:c>
      <x:c r="G1256" t="str">
        <x:v>equals</x:v>
      </x:c>
      <x:c r="H1256" t="str">
        <x:f>IF(E1256=F1256,"PASS","FAIL")</x:f>
        <x:v>PASS</x:v>
      </x:c>
    </x:row>
    <x:row r="1257">
      <x:c r="B1257" t="str">
        <x:v>A-01211</x:v>
      </x:c>
      <x:c r="C1257" t="str">
        <x:v>GATE</x:v>
      </x:c>
      <x:c r="D1257" t="str">
        <x:v>release state mirrors governing ledger</x:v>
      </x:c>
      <x:c r="E1257" t="str">
        <x:f>'Release Gates'!I1217</x:f>
        <x:v>PASS</x:v>
      </x:c>
      <x:c r="F1257" t="str">
        <x:f>IF('Release Gates'!C1217="PLANNING","PASS",IF('Release Gates'!C1217="PHYSICAL","OPEN","BLOCKED"))</x:f>
        <x:v>PASS</x:v>
      </x:c>
      <x:c r="G1257" t="str">
        <x:v>equals</x:v>
      </x:c>
      <x:c r="H1257" t="str">
        <x:f>IF(E1257=F1257,"PASS","FAIL")</x:f>
        <x:v>PASS</x:v>
      </x:c>
    </x:row>
    <x:row r="1258">
      <x:c r="B1258" t="str">
        <x:v>A-01212</x:v>
      </x:c>
      <x:c r="C1258" t="str">
        <x:v>GATE</x:v>
      </x:c>
      <x:c r="D1258" t="str">
        <x:v>release state mirrors governing ledger</x:v>
      </x:c>
      <x:c r="E1258" t="str">
        <x:f>'Release Gates'!I1218</x:f>
        <x:v>PASS</x:v>
      </x:c>
      <x:c r="F1258" t="str">
        <x:f>IF('Release Gates'!C1218="PLANNING","PASS",IF('Release Gates'!C1218="PHYSICAL","OPEN","BLOCKED"))</x:f>
        <x:v>PASS</x:v>
      </x:c>
      <x:c r="G1258" t="str">
        <x:v>equals</x:v>
      </x:c>
      <x:c r="H1258" t="str">
        <x:f>IF(E1258=F1258,"PASS","FAIL")</x:f>
        <x:v>PASS</x:v>
      </x:c>
    </x:row>
    <x:row r="1259">
      <x:c r="B1259" t="str">
        <x:v>A-01213</x:v>
      </x:c>
      <x:c r="C1259" t="str">
        <x:v>GATE</x:v>
      </x:c>
      <x:c r="D1259" t="str">
        <x:v>release state mirrors governing ledger</x:v>
      </x:c>
      <x:c r="E1259" t="str">
        <x:f>'Release Gates'!I1219</x:f>
        <x:v>PASS</x:v>
      </x:c>
      <x:c r="F1259" t="str">
        <x:f>IF('Release Gates'!C1219="PLANNING","PASS",IF('Release Gates'!C1219="PHYSICAL","OPEN","BLOCKED"))</x:f>
        <x:v>PASS</x:v>
      </x:c>
      <x:c r="G1259" t="str">
        <x:v>equals</x:v>
      </x:c>
      <x:c r="H1259" t="str">
        <x:f>IF(E1259=F1259,"PASS","FAIL")</x:f>
        <x:v>PASS</x:v>
      </x:c>
    </x:row>
    <x:row r="1260">
      <x:c r="B1260" t="str">
        <x:v>A-01214</x:v>
      </x:c>
      <x:c r="C1260" t="str">
        <x:v>GATE</x:v>
      </x:c>
      <x:c r="D1260" t="str">
        <x:v>release state mirrors governing ledger</x:v>
      </x:c>
      <x:c r="E1260" t="str">
        <x:f>'Release Gates'!I1220</x:f>
        <x:v>PASS</x:v>
      </x:c>
      <x:c r="F1260" t="str">
        <x:f>IF('Release Gates'!C1220="PLANNING","PASS",IF('Release Gates'!C1220="PHYSICAL","OPEN","BLOCKED"))</x:f>
        <x:v>PASS</x:v>
      </x:c>
      <x:c r="G1260" t="str">
        <x:v>equals</x:v>
      </x:c>
      <x:c r="H1260" t="str">
        <x:f>IF(E1260=F1260,"PASS","FAIL")</x:f>
        <x:v>PASS</x:v>
      </x:c>
    </x:row>
    <x:row r="1261">
      <x:c r="B1261" t="str">
        <x:v>A-01215</x:v>
      </x:c>
      <x:c r="C1261" t="str">
        <x:v>GATE</x:v>
      </x:c>
      <x:c r="D1261" t="str">
        <x:v>release state mirrors governing ledger</x:v>
      </x:c>
      <x:c r="E1261" t="str">
        <x:f>'Release Gates'!I1221</x:f>
        <x:v>PASS</x:v>
      </x:c>
      <x:c r="F1261" t="str">
        <x:f>IF('Release Gates'!C1221="PLANNING","PASS",IF('Release Gates'!C1221="PHYSICAL","OPEN","BLOCKED"))</x:f>
        <x:v>PASS</x:v>
      </x:c>
      <x:c r="G1261" t="str">
        <x:v>equals</x:v>
      </x:c>
      <x:c r="H1261" t="str">
        <x:f>IF(E1261=F1261,"PASS","FAIL")</x:f>
        <x:v>PASS</x:v>
      </x:c>
    </x:row>
    <x:row r="1262">
      <x:c r="B1262" t="str">
        <x:v>A-01216</x:v>
      </x:c>
      <x:c r="C1262" t="str">
        <x:v>GATE</x:v>
      </x:c>
      <x:c r="D1262" t="str">
        <x:v>release state mirrors governing ledger</x:v>
      </x:c>
      <x:c r="E1262" t="str">
        <x:f>'Release Gates'!I1222</x:f>
        <x:v>PASS</x:v>
      </x:c>
      <x:c r="F1262" t="str">
        <x:f>IF('Release Gates'!C1222="PLANNING","PASS",IF('Release Gates'!C1222="PHYSICAL","OPEN","BLOCKED"))</x:f>
        <x:v>PASS</x:v>
      </x:c>
      <x:c r="G1262" t="str">
        <x:v>equals</x:v>
      </x:c>
      <x:c r="H1262" t="str">
        <x:f>IF(E1262=F1262,"PASS","FAIL")</x:f>
        <x:v>PASS</x:v>
      </x:c>
    </x:row>
    <x:row r="1263">
      <x:c r="B1263" t="str">
        <x:v>A-01217</x:v>
      </x:c>
      <x:c r="C1263" t="str">
        <x:v>GATE</x:v>
      </x:c>
      <x:c r="D1263" t="str">
        <x:v>release state mirrors governing ledger</x:v>
      </x:c>
      <x:c r="E1263" t="str">
        <x:f>'Release Gates'!I1223</x:f>
        <x:v>PASS</x:v>
      </x:c>
      <x:c r="F1263" t="str">
        <x:f>IF('Release Gates'!C1223="PLANNING","PASS",IF('Release Gates'!C1223="PHYSICAL","OPEN","BLOCKED"))</x:f>
        <x:v>PASS</x:v>
      </x:c>
      <x:c r="G1263" t="str">
        <x:v>equals</x:v>
      </x:c>
      <x:c r="H1263" t="str">
        <x:f>IF(E1263=F1263,"PASS","FAIL")</x:f>
        <x:v>PASS</x:v>
      </x:c>
    </x:row>
    <x:row r="1264">
      <x:c r="B1264" t="str">
        <x:v>A-01218</x:v>
      </x:c>
      <x:c r="C1264" t="str">
        <x:v>GATE</x:v>
      </x:c>
      <x:c r="D1264" t="str">
        <x:v>release state mirrors governing ledger</x:v>
      </x:c>
      <x:c r="E1264" t="str">
        <x:f>'Release Gates'!I1224</x:f>
        <x:v>PASS</x:v>
      </x:c>
      <x:c r="F1264" t="str">
        <x:f>IF('Release Gates'!C1224="PLANNING","PASS",IF('Release Gates'!C1224="PHYSICAL","OPEN","BLOCKED"))</x:f>
        <x:v>PASS</x:v>
      </x:c>
      <x:c r="G1264" t="str">
        <x:v>equals</x:v>
      </x:c>
      <x:c r="H1264" t="str">
        <x:f>IF(E1264=F1264,"PASS","FAIL")</x:f>
        <x:v>PASS</x:v>
      </x:c>
    </x:row>
    <x:row r="1265">
      <x:c r="B1265" t="str">
        <x:v>A-01219</x:v>
      </x:c>
      <x:c r="C1265" t="str">
        <x:v>GATE</x:v>
      </x:c>
      <x:c r="D1265" t="str">
        <x:v>release state mirrors governing ledger</x:v>
      </x:c>
      <x:c r="E1265" t="str">
        <x:f>'Release Gates'!I1225</x:f>
        <x:v>PASS</x:v>
      </x:c>
      <x:c r="F1265" t="str">
        <x:f>IF('Release Gates'!C1225="PLANNING","PASS",IF('Release Gates'!C1225="PHYSICAL","OPEN","BLOCKED"))</x:f>
        <x:v>PASS</x:v>
      </x:c>
      <x:c r="G1265" t="str">
        <x:v>equals</x:v>
      </x:c>
      <x:c r="H1265" t="str">
        <x:f>IF(E1265=F1265,"PASS","FAIL")</x:f>
        <x:v>PASS</x:v>
      </x:c>
    </x:row>
    <x:row r="1266">
      <x:c r="B1266" t="str">
        <x:v>A-01220</x:v>
      </x:c>
      <x:c r="C1266" t="str">
        <x:v>GATE</x:v>
      </x:c>
      <x:c r="D1266" t="str">
        <x:v>release state mirrors governing ledger</x:v>
      </x:c>
      <x:c r="E1266" t="str">
        <x:f>'Release Gates'!I1226</x:f>
        <x:v>PASS</x:v>
      </x:c>
      <x:c r="F1266" t="str">
        <x:f>IF('Release Gates'!C1226="PLANNING","PASS",IF('Release Gates'!C1226="PHYSICAL","OPEN","BLOCKED"))</x:f>
        <x:v>PASS</x:v>
      </x:c>
      <x:c r="G1266" t="str">
        <x:v>equals</x:v>
      </x:c>
      <x:c r="H1266" t="str">
        <x:f>IF(E1266=F1266,"PASS","FAIL")</x:f>
        <x:v>PASS</x:v>
      </x:c>
    </x:row>
    <x:row r="1267">
      <x:c r="B1267" t="str">
        <x:v>A-01221</x:v>
      </x:c>
      <x:c r="C1267" t="str">
        <x:v>GATE</x:v>
      </x:c>
      <x:c r="D1267" t="str">
        <x:v>release state mirrors governing ledger</x:v>
      </x:c>
      <x:c r="E1267" t="str">
        <x:f>'Release Gates'!I1227</x:f>
        <x:v>PASS</x:v>
      </x:c>
      <x:c r="F1267" t="str">
        <x:f>IF('Release Gates'!C1227="PLANNING","PASS",IF('Release Gates'!C1227="PHYSICAL","OPEN","BLOCKED"))</x:f>
        <x:v>PASS</x:v>
      </x:c>
      <x:c r="G1267" t="str">
        <x:v>equals</x:v>
      </x:c>
      <x:c r="H1267" t="str">
        <x:f>IF(E1267=F1267,"PASS","FAIL")</x:f>
        <x:v>PASS</x:v>
      </x:c>
    </x:row>
    <x:row r="1268">
      <x:c r="B1268" t="str">
        <x:v>A-01222</x:v>
      </x:c>
      <x:c r="C1268" t="str">
        <x:v>GATE</x:v>
      </x:c>
      <x:c r="D1268" t="str">
        <x:v>release state mirrors governing ledger</x:v>
      </x:c>
      <x:c r="E1268" t="str">
        <x:f>'Release Gates'!I1228</x:f>
        <x:v>PASS</x:v>
      </x:c>
      <x:c r="F1268" t="str">
        <x:f>IF('Release Gates'!C1228="PLANNING","PASS",IF('Release Gates'!C1228="PHYSICAL","OPEN","BLOCKED"))</x:f>
        <x:v>PASS</x:v>
      </x:c>
      <x:c r="G1268" t="str">
        <x:v>equals</x:v>
      </x:c>
      <x:c r="H1268" t="str">
        <x:f>IF(E1268=F1268,"PASS","FAIL")</x:f>
        <x:v>PASS</x:v>
      </x:c>
    </x:row>
    <x:row r="1269">
      <x:c r="B1269" t="str">
        <x:v>A-01223</x:v>
      </x:c>
      <x:c r="C1269" t="str">
        <x:v>GATE</x:v>
      </x:c>
      <x:c r="D1269" t="str">
        <x:v>release state mirrors governing ledger</x:v>
      </x:c>
      <x:c r="E1269" t="str">
        <x:f>'Release Gates'!I1229</x:f>
        <x:v>PASS</x:v>
      </x:c>
      <x:c r="F1269" t="str">
        <x:f>IF('Release Gates'!C1229="PLANNING","PASS",IF('Release Gates'!C1229="PHYSICAL","OPEN","BLOCKED"))</x:f>
        <x:v>PASS</x:v>
      </x:c>
      <x:c r="G1269" t="str">
        <x:v>equals</x:v>
      </x:c>
      <x:c r="H1269" t="str">
        <x:f>IF(E1269=F1269,"PASS","FAIL")</x:f>
        <x:v>PASS</x:v>
      </x:c>
    </x:row>
    <x:row r="1270">
      <x:c r="B1270" t="str">
        <x:v>A-01224</x:v>
      </x:c>
      <x:c r="C1270" t="str">
        <x:v>GATE</x:v>
      </x:c>
      <x:c r="D1270" t="str">
        <x:v>release state mirrors governing ledger</x:v>
      </x:c>
      <x:c r="E1270" t="str">
        <x:f>'Release Gates'!I1230</x:f>
        <x:v>PASS</x:v>
      </x:c>
      <x:c r="F1270" t="str">
        <x:f>IF('Release Gates'!C1230="PLANNING","PASS",IF('Release Gates'!C1230="PHYSICAL","OPEN","BLOCKED"))</x:f>
        <x:v>PASS</x:v>
      </x:c>
      <x:c r="G1270" t="str">
        <x:v>equals</x:v>
      </x:c>
      <x:c r="H1270" t="str">
        <x:f>IF(E1270=F1270,"PASS","FAIL")</x:f>
        <x:v>PASS</x:v>
      </x:c>
    </x:row>
    <x:row r="1271">
      <x:c r="B1271" t="str">
        <x:v>A-01225</x:v>
      </x:c>
      <x:c r="C1271" t="str">
        <x:v>GATE</x:v>
      </x:c>
      <x:c r="D1271" t="str">
        <x:v>release state mirrors governing ledger</x:v>
      </x:c>
      <x:c r="E1271" t="str">
        <x:f>'Release Gates'!I1231</x:f>
        <x:v>PASS</x:v>
      </x:c>
      <x:c r="F1271" t="str">
        <x:f>IF('Release Gates'!C1231="PLANNING","PASS",IF('Release Gates'!C1231="PHYSICAL","OPEN","BLOCKED"))</x:f>
        <x:v>PASS</x:v>
      </x:c>
      <x:c r="G1271" t="str">
        <x:v>equals</x:v>
      </x:c>
      <x:c r="H1271" t="str">
        <x:f>IF(E1271=F1271,"PASS","FAIL")</x:f>
        <x:v>PASS</x:v>
      </x:c>
    </x:row>
    <x:row r="1272">
      <x:c r="B1272" t="str">
        <x:v>A-01226</x:v>
      </x:c>
      <x:c r="C1272" t="str">
        <x:v>GATE</x:v>
      </x:c>
      <x:c r="D1272" t="str">
        <x:v>release state mirrors governing ledger</x:v>
      </x:c>
      <x:c r="E1272" t="str">
        <x:f>'Release Gates'!I1232</x:f>
        <x:v>PASS</x:v>
      </x:c>
      <x:c r="F1272" t="str">
        <x:f>IF('Release Gates'!C1232="PLANNING","PASS",IF('Release Gates'!C1232="PHYSICAL","OPEN","BLOCKED"))</x:f>
        <x:v>PASS</x:v>
      </x:c>
      <x:c r="G1272" t="str">
        <x:v>equals</x:v>
      </x:c>
      <x:c r="H1272" t="str">
        <x:f>IF(E1272=F1272,"PASS","FAIL")</x:f>
        <x:v>PASS</x:v>
      </x:c>
    </x:row>
    <x:row r="1273">
      <x:c r="B1273" t="str">
        <x:v>A-01227</x:v>
      </x:c>
      <x:c r="C1273" t="str">
        <x:v>GATE</x:v>
      </x:c>
      <x:c r="D1273" t="str">
        <x:v>release state mirrors governing ledger</x:v>
      </x:c>
      <x:c r="E1273" t="str">
        <x:f>'Release Gates'!I1233</x:f>
        <x:v>PASS</x:v>
      </x:c>
      <x:c r="F1273" t="str">
        <x:f>IF('Release Gates'!C1233="PLANNING","PASS",IF('Release Gates'!C1233="PHYSICAL","OPEN","BLOCKED"))</x:f>
        <x:v>PASS</x:v>
      </x:c>
      <x:c r="G1273" t="str">
        <x:v>equals</x:v>
      </x:c>
      <x:c r="H1273" t="str">
        <x:f>IF(E1273=F1273,"PASS","FAIL")</x:f>
        <x:v>PASS</x:v>
      </x:c>
    </x:row>
    <x:row r="1274">
      <x:c r="B1274" t="str">
        <x:v>A-01228</x:v>
      </x:c>
      <x:c r="C1274" t="str">
        <x:v>GATE</x:v>
      </x:c>
      <x:c r="D1274" t="str">
        <x:v>release state mirrors governing ledger</x:v>
      </x:c>
      <x:c r="E1274" t="str">
        <x:f>'Release Gates'!I1234</x:f>
        <x:v>PASS</x:v>
      </x:c>
      <x:c r="F1274" t="str">
        <x:f>IF('Release Gates'!C1234="PLANNING","PASS",IF('Release Gates'!C1234="PHYSICAL","OPEN","BLOCKED"))</x:f>
        <x:v>PASS</x:v>
      </x:c>
      <x:c r="G1274" t="str">
        <x:v>equals</x:v>
      </x:c>
      <x:c r="H1274" t="str">
        <x:f>IF(E1274=F1274,"PASS","FAIL")</x:f>
        <x:v>PASS</x:v>
      </x:c>
    </x:row>
    <x:row r="1275">
      <x:c r="B1275" t="str">
        <x:v>A-01229</x:v>
      </x:c>
      <x:c r="C1275" t="str">
        <x:v>GATE</x:v>
      </x:c>
      <x:c r="D1275" t="str">
        <x:v>release state mirrors governing ledger</x:v>
      </x:c>
      <x:c r="E1275" t="str">
        <x:f>'Release Gates'!I1235</x:f>
        <x:v>PASS</x:v>
      </x:c>
      <x:c r="F1275" t="str">
        <x:f>IF('Release Gates'!C1235="PLANNING","PASS",IF('Release Gates'!C1235="PHYSICAL","OPEN","BLOCKED"))</x:f>
        <x:v>PASS</x:v>
      </x:c>
      <x:c r="G1275" t="str">
        <x:v>equals</x:v>
      </x:c>
      <x:c r="H1275" t="str">
        <x:f>IF(E1275=F1275,"PASS","FAIL")</x:f>
        <x:v>PASS</x:v>
      </x:c>
    </x:row>
    <x:row r="1276">
      <x:c r="B1276" t="str">
        <x:v>A-01230</x:v>
      </x:c>
      <x:c r="C1276" t="str">
        <x:v>GATE</x:v>
      </x:c>
      <x:c r="D1276" t="str">
        <x:v>release state mirrors governing ledger</x:v>
      </x:c>
      <x:c r="E1276" t="str">
        <x:f>'Release Gates'!I1236</x:f>
        <x:v>PASS</x:v>
      </x:c>
      <x:c r="F1276" t="str">
        <x:f>IF('Release Gates'!C1236="PLANNING","PASS",IF('Release Gates'!C1236="PHYSICAL","OPEN","BLOCKED"))</x:f>
        <x:v>PASS</x:v>
      </x:c>
      <x:c r="G1276" t="str">
        <x:v>equals</x:v>
      </x:c>
      <x:c r="H1276" t="str">
        <x:f>IF(E1276=F1276,"PASS","FAIL")</x:f>
        <x:v>PASS</x:v>
      </x:c>
    </x:row>
    <x:row r="1277">
      <x:c r="B1277" t="str">
        <x:v>A-01231</x:v>
      </x:c>
      <x:c r="C1277" t="str">
        <x:v>GATE</x:v>
      </x:c>
      <x:c r="D1277" t="str">
        <x:v>release state mirrors governing ledger</x:v>
      </x:c>
      <x:c r="E1277" t="str">
        <x:f>'Release Gates'!I1237</x:f>
        <x:v>PASS</x:v>
      </x:c>
      <x:c r="F1277" t="str">
        <x:f>IF('Release Gates'!C1237="PLANNING","PASS",IF('Release Gates'!C1237="PHYSICAL","OPEN","BLOCKED"))</x:f>
        <x:v>PASS</x:v>
      </x:c>
      <x:c r="G1277" t="str">
        <x:v>equals</x:v>
      </x:c>
      <x:c r="H1277" t="str">
        <x:f>IF(E1277=F1277,"PASS","FAIL")</x:f>
        <x:v>PASS</x:v>
      </x:c>
    </x:row>
    <x:row r="1278">
      <x:c r="B1278" t="str">
        <x:v>A-01232</x:v>
      </x:c>
      <x:c r="C1278" t="str">
        <x:v>GATE</x:v>
      </x:c>
      <x:c r="D1278" t="str">
        <x:v>release state mirrors governing ledger</x:v>
      </x:c>
      <x:c r="E1278" t="str">
        <x:f>'Release Gates'!I1238</x:f>
        <x:v>PASS</x:v>
      </x:c>
      <x:c r="F1278" t="str">
        <x:f>IF('Release Gates'!C1238="PLANNING","PASS",IF('Release Gates'!C1238="PHYSICAL","OPEN","BLOCKED"))</x:f>
        <x:v>PASS</x:v>
      </x:c>
      <x:c r="G1278" t="str">
        <x:v>equals</x:v>
      </x:c>
      <x:c r="H1278" t="str">
        <x:f>IF(E1278=F1278,"PASS","FAIL")</x:f>
        <x:v>PASS</x:v>
      </x:c>
    </x:row>
    <x:row r="1279">
      <x:c r="B1279" t="str">
        <x:v>A-01233</x:v>
      </x:c>
      <x:c r="C1279" t="str">
        <x:v>GATE</x:v>
      </x:c>
      <x:c r="D1279" t="str">
        <x:v>release state mirrors governing ledger</x:v>
      </x:c>
      <x:c r="E1279" t="str">
        <x:f>'Release Gates'!I1239</x:f>
        <x:v>PASS</x:v>
      </x:c>
      <x:c r="F1279" t="str">
        <x:f>IF('Release Gates'!C1239="PLANNING","PASS",IF('Release Gates'!C1239="PHYSICAL","OPEN","BLOCKED"))</x:f>
        <x:v>PASS</x:v>
      </x:c>
      <x:c r="G1279" t="str">
        <x:v>equals</x:v>
      </x:c>
      <x:c r="H1279" t="str">
        <x:f>IF(E1279=F1279,"PASS","FAIL")</x:f>
        <x:v>PASS</x:v>
      </x:c>
    </x:row>
    <x:row r="1280">
      <x:c r="B1280" t="str">
        <x:v>A-01234</x:v>
      </x:c>
      <x:c r="C1280" t="str">
        <x:v>GATE</x:v>
      </x:c>
      <x:c r="D1280" t="str">
        <x:v>release state mirrors governing ledger</x:v>
      </x:c>
      <x:c r="E1280" t="str">
        <x:f>'Release Gates'!I1240</x:f>
        <x:v>PASS</x:v>
      </x:c>
      <x:c r="F1280" t="str">
        <x:f>IF('Release Gates'!C1240="PLANNING","PASS",IF('Release Gates'!C1240="PHYSICAL","OPEN","BLOCKED"))</x:f>
        <x:v>PASS</x:v>
      </x:c>
      <x:c r="G1280" t="str">
        <x:v>equals</x:v>
      </x:c>
      <x:c r="H1280" t="str">
        <x:f>IF(E1280=F1280,"PASS","FAIL")</x:f>
        <x:v>PASS</x:v>
      </x:c>
    </x:row>
    <x:row r="1281">
      <x:c r="B1281" t="str">
        <x:v>A-01235</x:v>
      </x:c>
      <x:c r="C1281" t="str">
        <x:v>GATE</x:v>
      </x:c>
      <x:c r="D1281" t="str">
        <x:v>release state mirrors governing ledger</x:v>
      </x:c>
      <x:c r="E1281" t="str">
        <x:f>'Release Gates'!I1241</x:f>
        <x:v>PASS</x:v>
      </x:c>
      <x:c r="F1281" t="str">
        <x:f>IF('Release Gates'!C1241="PLANNING","PASS",IF('Release Gates'!C1241="PHYSICAL","OPEN","BLOCKED"))</x:f>
        <x:v>PASS</x:v>
      </x:c>
      <x:c r="G1281" t="str">
        <x:v>equals</x:v>
      </x:c>
      <x:c r="H1281" t="str">
        <x:f>IF(E1281=F1281,"PASS","FAIL")</x:f>
        <x:v>PASS</x:v>
      </x:c>
    </x:row>
    <x:row r="1282">
      <x:c r="B1282" t="str">
        <x:v>A-01236</x:v>
      </x:c>
      <x:c r="C1282" t="str">
        <x:v>GATE</x:v>
      </x:c>
      <x:c r="D1282" t="str">
        <x:v>release state mirrors governing ledger</x:v>
      </x:c>
      <x:c r="E1282" t="str">
        <x:f>'Release Gates'!I1242</x:f>
        <x:v>PASS</x:v>
      </x:c>
      <x:c r="F1282" t="str">
        <x:f>IF('Release Gates'!C1242="PLANNING","PASS",IF('Release Gates'!C1242="PHYSICAL","OPEN","BLOCKED"))</x:f>
        <x:v>PASS</x:v>
      </x:c>
      <x:c r="G1282" t="str">
        <x:v>equals</x:v>
      </x:c>
      <x:c r="H1282" t="str">
        <x:f>IF(E1282=F1282,"PASS","FAIL")</x:f>
        <x:v>PASS</x:v>
      </x:c>
    </x:row>
    <x:row r="1283">
      <x:c r="B1283" t="str">
        <x:v>A-01237</x:v>
      </x:c>
      <x:c r="C1283" t="str">
        <x:v>GATE</x:v>
      </x:c>
      <x:c r="D1283" t="str">
        <x:v>release state mirrors governing ledger</x:v>
      </x:c>
      <x:c r="E1283" t="str">
        <x:f>'Release Gates'!I1243</x:f>
        <x:v>PASS</x:v>
      </x:c>
      <x:c r="F1283" t="str">
        <x:f>IF('Release Gates'!C1243="PLANNING","PASS",IF('Release Gates'!C1243="PHYSICAL","OPEN","BLOCKED"))</x:f>
        <x:v>PASS</x:v>
      </x:c>
      <x:c r="G1283" t="str">
        <x:v>equals</x:v>
      </x:c>
      <x:c r="H1283" t="str">
        <x:f>IF(E1283=F1283,"PASS","FAIL")</x:f>
        <x:v>PASS</x:v>
      </x:c>
    </x:row>
    <x:row r="1284">
      <x:c r="B1284" t="str">
        <x:v>A-01238</x:v>
      </x:c>
      <x:c r="C1284" t="str">
        <x:v>GATE</x:v>
      </x:c>
      <x:c r="D1284" t="str">
        <x:v>release state mirrors governing ledger</x:v>
      </x:c>
      <x:c r="E1284" t="str">
        <x:f>'Release Gates'!I1244</x:f>
        <x:v>PASS</x:v>
      </x:c>
      <x:c r="F1284" t="str">
        <x:f>IF('Release Gates'!C1244="PLANNING","PASS",IF('Release Gates'!C1244="PHYSICAL","OPEN","BLOCKED"))</x:f>
        <x:v>PASS</x:v>
      </x:c>
      <x:c r="G1284" t="str">
        <x:v>equals</x:v>
      </x:c>
      <x:c r="H1284" t="str">
        <x:f>IF(E1284=F1284,"PASS","FAIL")</x:f>
        <x:v>PASS</x:v>
      </x:c>
    </x:row>
    <x:row r="1285">
      <x:c r="B1285" t="str">
        <x:v>A-01239</x:v>
      </x:c>
      <x:c r="C1285" t="str">
        <x:v>GATE</x:v>
      </x:c>
      <x:c r="D1285" t="str">
        <x:v>release state mirrors governing ledger</x:v>
      </x:c>
      <x:c r="E1285" t="str">
        <x:f>'Release Gates'!I1245</x:f>
        <x:v>PASS</x:v>
      </x:c>
      <x:c r="F1285" t="str">
        <x:f>IF('Release Gates'!C1245="PLANNING","PASS",IF('Release Gates'!C1245="PHYSICAL","OPEN","BLOCKED"))</x:f>
        <x:v>PASS</x:v>
      </x:c>
      <x:c r="G1285" t="str">
        <x:v>equals</x:v>
      </x:c>
      <x:c r="H1285" t="str">
        <x:f>IF(E1285=F1285,"PASS","FAIL")</x:f>
        <x:v>PASS</x:v>
      </x:c>
    </x:row>
    <x:row r="1286">
      <x:c r="B1286" t="str">
        <x:v>A-01240</x:v>
      </x:c>
      <x:c r="C1286" t="str">
        <x:v>GATE</x:v>
      </x:c>
      <x:c r="D1286" t="str">
        <x:v>release state mirrors governing ledger</x:v>
      </x:c>
      <x:c r="E1286" t="str">
        <x:f>'Release Gates'!I1246</x:f>
        <x:v>PASS</x:v>
      </x:c>
      <x:c r="F1286" t="str">
        <x:f>IF('Release Gates'!C1246="PLANNING","PASS",IF('Release Gates'!C1246="PHYSICAL","OPEN","BLOCKED"))</x:f>
        <x:v>PASS</x:v>
      </x:c>
      <x:c r="G1286" t="str">
        <x:v>equals</x:v>
      </x:c>
      <x:c r="H1286" t="str">
        <x:f>IF(E1286=F1286,"PASS","FAIL")</x:f>
        <x:v>PASS</x:v>
      </x:c>
    </x:row>
    <x:row r="1287">
      <x:c r="B1287" t="str">
        <x:v>A-01241</x:v>
      </x:c>
      <x:c r="C1287" t="str">
        <x:v>GATE</x:v>
      </x:c>
      <x:c r="D1287" t="str">
        <x:v>release state mirrors governing ledger</x:v>
      </x:c>
      <x:c r="E1287" t="str">
        <x:f>'Release Gates'!I1247</x:f>
        <x:v>PASS</x:v>
      </x:c>
      <x:c r="F1287" t="str">
        <x:f>IF('Release Gates'!C1247="PLANNING","PASS",IF('Release Gates'!C1247="PHYSICAL","OPEN","BLOCKED"))</x:f>
        <x:v>PASS</x:v>
      </x:c>
      <x:c r="G1287" t="str">
        <x:v>equals</x:v>
      </x:c>
      <x:c r="H1287" t="str">
        <x:f>IF(E1287=F1287,"PASS","FAIL")</x:f>
        <x:v>PASS</x:v>
      </x:c>
    </x:row>
    <x:row r="1288">
      <x:c r="B1288" t="str">
        <x:v>A-01242</x:v>
      </x:c>
      <x:c r="C1288" t="str">
        <x:v>GATE</x:v>
      </x:c>
      <x:c r="D1288" t="str">
        <x:v>release state mirrors governing ledger</x:v>
      </x:c>
      <x:c r="E1288" t="str">
        <x:f>'Release Gates'!I1248</x:f>
        <x:v>PASS</x:v>
      </x:c>
      <x:c r="F1288" t="str">
        <x:f>IF('Release Gates'!C1248="PLANNING","PASS",IF('Release Gates'!C1248="PHYSICAL","OPEN","BLOCKED"))</x:f>
        <x:v>PASS</x:v>
      </x:c>
      <x:c r="G1288" t="str">
        <x:v>equals</x:v>
      </x:c>
      <x:c r="H1288" t="str">
        <x:f>IF(E1288=F1288,"PASS","FAIL")</x:f>
        <x:v>PASS</x:v>
      </x:c>
    </x:row>
    <x:row r="1289">
      <x:c r="B1289" t="str">
        <x:v>A-01243</x:v>
      </x:c>
      <x:c r="C1289" t="str">
        <x:v>GATE</x:v>
      </x:c>
      <x:c r="D1289" t="str">
        <x:v>release state mirrors governing ledger</x:v>
      </x:c>
      <x:c r="E1289" t="str">
        <x:f>'Release Gates'!I1249</x:f>
        <x:v>PASS</x:v>
      </x:c>
      <x:c r="F1289" t="str">
        <x:f>IF('Release Gates'!C1249="PLANNING","PASS",IF('Release Gates'!C1249="PHYSICAL","OPEN","BLOCKED"))</x:f>
        <x:v>PASS</x:v>
      </x:c>
      <x:c r="G1289" t="str">
        <x:v>equals</x:v>
      </x:c>
      <x:c r="H1289" t="str">
        <x:f>IF(E1289=F1289,"PASS","FAIL")</x:f>
        <x:v>PASS</x:v>
      </x:c>
    </x:row>
    <x:row r="1290">
      <x:c r="B1290" t="str">
        <x:v>A-01244</x:v>
      </x:c>
      <x:c r="C1290" t="str">
        <x:v>GATE</x:v>
      </x:c>
      <x:c r="D1290" t="str">
        <x:v>release state mirrors governing ledger</x:v>
      </x:c>
      <x:c r="E1290" t="str">
        <x:f>'Release Gates'!I1250</x:f>
        <x:v>PASS</x:v>
      </x:c>
      <x:c r="F1290" t="str">
        <x:f>IF('Release Gates'!C1250="PLANNING","PASS",IF('Release Gates'!C1250="PHYSICAL","OPEN","BLOCKED"))</x:f>
        <x:v>PASS</x:v>
      </x:c>
      <x:c r="G1290" t="str">
        <x:v>equals</x:v>
      </x:c>
      <x:c r="H1290" t="str">
        <x:f>IF(E1290=F1290,"PASS","FAIL")</x:f>
        <x:v>PASS</x:v>
      </x:c>
    </x:row>
    <x:row r="1291">
      <x:c r="B1291" t="str">
        <x:v>A-01245</x:v>
      </x:c>
      <x:c r="C1291" t="str">
        <x:v>GATE</x:v>
      </x:c>
      <x:c r="D1291" t="str">
        <x:v>release state mirrors governing ledger</x:v>
      </x:c>
      <x:c r="E1291" t="str">
        <x:f>'Release Gates'!I1251</x:f>
        <x:v>PASS</x:v>
      </x:c>
      <x:c r="F1291" t="str">
        <x:f>IF('Release Gates'!C1251="PLANNING","PASS",IF('Release Gates'!C1251="PHYSICAL","OPEN","BLOCKED"))</x:f>
        <x:v>PASS</x:v>
      </x:c>
      <x:c r="G1291" t="str">
        <x:v>equals</x:v>
      </x:c>
      <x:c r="H1291" t="str">
        <x:f>IF(E1291=F1291,"PASS","FAIL")</x:f>
        <x:v>PASS</x:v>
      </x:c>
    </x:row>
    <x:row r="1292">
      <x:c r="B1292" t="str">
        <x:v>A-01246</x:v>
      </x:c>
      <x:c r="C1292" t="str">
        <x:v>GATE</x:v>
      </x:c>
      <x:c r="D1292" t="str">
        <x:v>release state mirrors governing ledger</x:v>
      </x:c>
      <x:c r="E1292" t="str">
        <x:f>'Release Gates'!I1252</x:f>
        <x:v>PASS</x:v>
      </x:c>
      <x:c r="F1292" t="str">
        <x:f>IF('Release Gates'!C1252="PLANNING","PASS",IF('Release Gates'!C1252="PHYSICAL","OPEN","BLOCKED"))</x:f>
        <x:v>PASS</x:v>
      </x:c>
      <x:c r="G1292" t="str">
        <x:v>equals</x:v>
      </x:c>
      <x:c r="H1292" t="str">
        <x:f>IF(E1292=F1292,"PASS","FAIL")</x:f>
        <x:v>PASS</x:v>
      </x:c>
    </x:row>
    <x:row r="1293">
      <x:c r="B1293" t="str">
        <x:v>A-01247</x:v>
      </x:c>
      <x:c r="C1293" t="str">
        <x:v>GATE</x:v>
      </x:c>
      <x:c r="D1293" t="str">
        <x:v>release state mirrors governing ledger</x:v>
      </x:c>
      <x:c r="E1293" t="str">
        <x:f>'Release Gates'!I1253</x:f>
        <x:v>PASS</x:v>
      </x:c>
      <x:c r="F1293" t="str">
        <x:f>IF('Release Gates'!C1253="PLANNING","PASS",IF('Release Gates'!C1253="PHYSICAL","OPEN","BLOCKED"))</x:f>
        <x:v>PASS</x:v>
      </x:c>
      <x:c r="G1293" t="str">
        <x:v>equals</x:v>
      </x:c>
      <x:c r="H1293" t="str">
        <x:f>IF(E1293=F1293,"PASS","FAIL")</x:f>
        <x:v>PASS</x:v>
      </x:c>
    </x:row>
    <x:row r="1294">
      <x:c r="B1294" t="str">
        <x:v>A-01248</x:v>
      </x:c>
      <x:c r="C1294" t="str">
        <x:v>GATE</x:v>
      </x:c>
      <x:c r="D1294" t="str">
        <x:v>release state mirrors governing ledger</x:v>
      </x:c>
      <x:c r="E1294" t="str">
        <x:f>'Release Gates'!I1254</x:f>
        <x:v>PASS</x:v>
      </x:c>
      <x:c r="F1294" t="str">
        <x:f>IF('Release Gates'!C1254="PLANNING","PASS",IF('Release Gates'!C1254="PHYSICAL","OPEN","BLOCKED"))</x:f>
        <x:v>PASS</x:v>
      </x:c>
      <x:c r="G1294" t="str">
        <x:v>equals</x:v>
      </x:c>
      <x:c r="H1294" t="str">
        <x:f>IF(E1294=F1294,"PASS","FAIL")</x:f>
        <x:v>PASS</x:v>
      </x:c>
    </x:row>
    <x:row r="1295">
      <x:c r="B1295" t="str">
        <x:v>A-01249</x:v>
      </x:c>
      <x:c r="C1295" t="str">
        <x:v>GATE</x:v>
      </x:c>
      <x:c r="D1295" t="str">
        <x:v>release state mirrors governing ledger</x:v>
      </x:c>
      <x:c r="E1295" t="str">
        <x:f>'Release Gates'!I1255</x:f>
        <x:v>PASS</x:v>
      </x:c>
      <x:c r="F1295" t="str">
        <x:f>IF('Release Gates'!C1255="PLANNING","PASS",IF('Release Gates'!C1255="PHYSICAL","OPEN","BLOCKED"))</x:f>
        <x:v>PASS</x:v>
      </x:c>
      <x:c r="G1295" t="str">
        <x:v>equals</x:v>
      </x:c>
      <x:c r="H1295" t="str">
        <x:f>IF(E1295=F1295,"PASS","FAIL")</x:f>
        <x:v>PASS</x:v>
      </x:c>
    </x:row>
    <x:row r="1296">
      <x:c r="B1296" t="str">
        <x:v>A-01250</x:v>
      </x:c>
      <x:c r="C1296" t="str">
        <x:v>GATE</x:v>
      </x:c>
      <x:c r="D1296" t="str">
        <x:v>release state mirrors governing ledger</x:v>
      </x:c>
      <x:c r="E1296" t="str">
        <x:f>'Release Gates'!I1256</x:f>
        <x:v>PASS</x:v>
      </x:c>
      <x:c r="F1296" t="str">
        <x:f>IF('Release Gates'!C1256="PLANNING","PASS",IF('Release Gates'!C1256="PHYSICAL","OPEN","BLOCKED"))</x:f>
        <x:v>PASS</x:v>
      </x:c>
      <x:c r="G1296" t="str">
        <x:v>equals</x:v>
      </x:c>
      <x:c r="H1296" t="str">
        <x:f>IF(E1296=F1296,"PASS","FAIL")</x:f>
        <x:v>PASS</x:v>
      </x:c>
    </x:row>
    <x:row r="1297">
      <x:c r="B1297" t="str">
        <x:v>A-01251</x:v>
      </x:c>
      <x:c r="C1297" t="str">
        <x:v>GATE</x:v>
      </x:c>
      <x:c r="D1297" t="str">
        <x:v>release state mirrors governing ledger</x:v>
      </x:c>
      <x:c r="E1297" t="str">
        <x:f>'Release Gates'!I1257</x:f>
        <x:v>PASS</x:v>
      </x:c>
      <x:c r="F1297" t="str">
        <x:f>IF('Release Gates'!C1257="PLANNING","PASS",IF('Release Gates'!C1257="PHYSICAL","OPEN","BLOCKED"))</x:f>
        <x:v>PASS</x:v>
      </x:c>
      <x:c r="G1297" t="str">
        <x:v>equals</x:v>
      </x:c>
      <x:c r="H1297" t="str">
        <x:f>IF(E1297=F1297,"PASS","FAIL")</x:f>
        <x:v>PASS</x:v>
      </x:c>
    </x:row>
    <x:row r="1298">
      <x:c r="B1298" t="str">
        <x:v>A-01252</x:v>
      </x:c>
      <x:c r="C1298" t="str">
        <x:v>GATE</x:v>
      </x:c>
      <x:c r="D1298" t="str">
        <x:v>release state mirrors governing ledger</x:v>
      </x:c>
      <x:c r="E1298" t="str">
        <x:f>'Release Gates'!I1258</x:f>
        <x:v>PASS</x:v>
      </x:c>
      <x:c r="F1298" t="str">
        <x:f>IF('Release Gates'!C1258="PLANNING","PASS",IF('Release Gates'!C1258="PHYSICAL","OPEN","BLOCKED"))</x:f>
        <x:v>PASS</x:v>
      </x:c>
      <x:c r="G1298" t="str">
        <x:v>equals</x:v>
      </x:c>
      <x:c r="H1298" t="str">
        <x:f>IF(E1298=F1298,"PASS","FAIL")</x:f>
        <x:v>PASS</x:v>
      </x:c>
    </x:row>
    <x:row r="1299">
      <x:c r="B1299" t="str">
        <x:v>A-01253</x:v>
      </x:c>
      <x:c r="C1299" t="str">
        <x:v>GATE</x:v>
      </x:c>
      <x:c r="D1299" t="str">
        <x:v>release state mirrors governing ledger</x:v>
      </x:c>
      <x:c r="E1299" t="str">
        <x:f>'Release Gates'!I1259</x:f>
        <x:v>PASS</x:v>
      </x:c>
      <x:c r="F1299" t="str">
        <x:f>IF('Release Gates'!C1259="PLANNING","PASS",IF('Release Gates'!C1259="PHYSICAL","OPEN","BLOCKED"))</x:f>
        <x:v>PASS</x:v>
      </x:c>
      <x:c r="G1299" t="str">
        <x:v>equals</x:v>
      </x:c>
      <x:c r="H1299" t="str">
        <x:f>IF(E1299=F1299,"PASS","FAIL")</x:f>
        <x:v>PASS</x:v>
      </x:c>
    </x:row>
    <x:row r="1300">
      <x:c r="B1300" t="str">
        <x:v>A-01254</x:v>
      </x:c>
      <x:c r="C1300" t="str">
        <x:v>GATE</x:v>
      </x:c>
      <x:c r="D1300" t="str">
        <x:v>release state mirrors governing ledger</x:v>
      </x:c>
      <x:c r="E1300" t="str">
        <x:f>'Release Gates'!I1260</x:f>
        <x:v>PASS</x:v>
      </x:c>
      <x:c r="F1300" t="str">
        <x:f>IF('Release Gates'!C1260="PLANNING","PASS",IF('Release Gates'!C1260="PHYSICAL","OPEN","BLOCKED"))</x:f>
        <x:v>PASS</x:v>
      </x:c>
      <x:c r="G1300" t="str">
        <x:v>equals</x:v>
      </x:c>
      <x:c r="H1300" t="str">
        <x:f>IF(E1300=F1300,"PASS","FAIL")</x:f>
        <x:v>PASS</x:v>
      </x:c>
    </x:row>
    <x:row r="1301">
      <x:c r="B1301" t="str">
        <x:v>A-01255</x:v>
      </x:c>
      <x:c r="C1301" t="str">
        <x:v>GATE</x:v>
      </x:c>
      <x:c r="D1301" t="str">
        <x:v>release state mirrors governing ledger</x:v>
      </x:c>
      <x:c r="E1301" t="str">
        <x:f>'Release Gates'!I1261</x:f>
        <x:v>PASS</x:v>
      </x:c>
      <x:c r="F1301" t="str">
        <x:f>IF('Release Gates'!C1261="PLANNING","PASS",IF('Release Gates'!C1261="PHYSICAL","OPEN","BLOCKED"))</x:f>
        <x:v>PASS</x:v>
      </x:c>
      <x:c r="G1301" t="str">
        <x:v>equals</x:v>
      </x:c>
      <x:c r="H1301" t="str">
        <x:f>IF(E1301=F1301,"PASS","FAIL")</x:f>
        <x:v>PASS</x:v>
      </x:c>
    </x:row>
    <x:row r="1302">
      <x:c r="B1302" t="str">
        <x:v>A-01256</x:v>
      </x:c>
      <x:c r="C1302" t="str">
        <x:v>GATE</x:v>
      </x:c>
      <x:c r="D1302" t="str">
        <x:v>release state mirrors governing ledger</x:v>
      </x:c>
      <x:c r="E1302" t="str">
        <x:f>'Release Gates'!I1262</x:f>
        <x:v>PASS</x:v>
      </x:c>
      <x:c r="F1302" t="str">
        <x:f>IF('Release Gates'!C1262="PLANNING","PASS",IF('Release Gates'!C1262="PHYSICAL","OPEN","BLOCKED"))</x:f>
        <x:v>PASS</x:v>
      </x:c>
      <x:c r="G1302" t="str">
        <x:v>equals</x:v>
      </x:c>
      <x:c r="H1302" t="str">
        <x:f>IF(E1302=F1302,"PASS","FAIL")</x:f>
        <x:v>PASS</x:v>
      </x:c>
    </x:row>
    <x:row r="1303">
      <x:c r="B1303" t="str">
        <x:v>A-01257</x:v>
      </x:c>
      <x:c r="C1303" t="str">
        <x:v>GATE</x:v>
      </x:c>
      <x:c r="D1303" t="str">
        <x:v>release state mirrors governing ledger</x:v>
      </x:c>
      <x:c r="E1303" t="str">
        <x:f>'Release Gates'!I1263</x:f>
        <x:v>PASS</x:v>
      </x:c>
      <x:c r="F1303" t="str">
        <x:f>IF('Release Gates'!C1263="PLANNING","PASS",IF('Release Gates'!C1263="PHYSICAL","OPEN","BLOCKED"))</x:f>
        <x:v>PASS</x:v>
      </x:c>
      <x:c r="G1303" t="str">
        <x:v>equals</x:v>
      </x:c>
      <x:c r="H1303" t="str">
        <x:f>IF(E1303=F1303,"PASS","FAIL")</x:f>
        <x:v>PASS</x:v>
      </x:c>
    </x:row>
    <x:row r="1304">
      <x:c r="B1304" t="str">
        <x:v>A-01258</x:v>
      </x:c>
      <x:c r="C1304" t="str">
        <x:v>GATE</x:v>
      </x:c>
      <x:c r="D1304" t="str">
        <x:v>release state mirrors governing ledger</x:v>
      </x:c>
      <x:c r="E1304" t="str">
        <x:f>'Release Gates'!I1264</x:f>
        <x:v>PASS</x:v>
      </x:c>
      <x:c r="F1304" t="str">
        <x:f>IF('Release Gates'!C1264="PLANNING","PASS",IF('Release Gates'!C1264="PHYSICAL","OPEN","BLOCKED"))</x:f>
        <x:v>PASS</x:v>
      </x:c>
      <x:c r="G1304" t="str">
        <x:v>equals</x:v>
      </x:c>
      <x:c r="H1304" t="str">
        <x:f>IF(E1304=F1304,"PASS","FAIL")</x:f>
        <x:v>PASS</x:v>
      </x:c>
    </x:row>
    <x:row r="1305">
      <x:c r="B1305" t="str">
        <x:v>A-01259</x:v>
      </x:c>
      <x:c r="C1305" t="str">
        <x:v>GATE</x:v>
      </x:c>
      <x:c r="D1305" t="str">
        <x:v>release state mirrors governing ledger</x:v>
      </x:c>
      <x:c r="E1305" t="str">
        <x:f>'Release Gates'!I1265</x:f>
        <x:v>PASS</x:v>
      </x:c>
      <x:c r="F1305" t="str">
        <x:f>IF('Release Gates'!C1265="PLANNING","PASS",IF('Release Gates'!C1265="PHYSICAL","OPEN","BLOCKED"))</x:f>
        <x:v>PASS</x:v>
      </x:c>
      <x:c r="G1305" t="str">
        <x:v>equals</x:v>
      </x:c>
      <x:c r="H1305" t="str">
        <x:f>IF(E1305=F1305,"PASS","FAIL")</x:f>
        <x:v>PASS</x:v>
      </x:c>
    </x:row>
    <x:row r="1306">
      <x:c r="B1306" t="str">
        <x:v>A-01260</x:v>
      </x:c>
      <x:c r="C1306" t="str">
        <x:v>GATE</x:v>
      </x:c>
      <x:c r="D1306" t="str">
        <x:v>release state mirrors governing ledger</x:v>
      </x:c>
      <x:c r="E1306" t="str">
        <x:f>'Release Gates'!I1266</x:f>
        <x:v>PASS</x:v>
      </x:c>
      <x:c r="F1306" t="str">
        <x:f>IF('Release Gates'!C1266="PLANNING","PASS",IF('Release Gates'!C1266="PHYSICAL","OPEN","BLOCKED"))</x:f>
        <x:v>PASS</x:v>
      </x:c>
      <x:c r="G1306" t="str">
        <x:v>equals</x:v>
      </x:c>
      <x:c r="H1306" t="str">
        <x:f>IF(E1306=F1306,"PASS","FAIL")</x:f>
        <x:v>PASS</x:v>
      </x:c>
    </x:row>
    <x:row r="1307">
      <x:c r="B1307" t="str">
        <x:v>A-01261</x:v>
      </x:c>
      <x:c r="C1307" t="str">
        <x:v>GATE</x:v>
      </x:c>
      <x:c r="D1307" t="str">
        <x:v>release state mirrors governing ledger</x:v>
      </x:c>
      <x:c r="E1307" t="str">
        <x:f>'Release Gates'!I1267</x:f>
        <x:v>PASS</x:v>
      </x:c>
      <x:c r="F1307" t="str">
        <x:f>IF('Release Gates'!C1267="PLANNING","PASS",IF('Release Gates'!C1267="PHYSICAL","OPEN","BLOCKED"))</x:f>
        <x:v>PASS</x:v>
      </x:c>
      <x:c r="G1307" t="str">
        <x:v>equals</x:v>
      </x:c>
      <x:c r="H1307" t="str">
        <x:f>IF(E1307=F1307,"PASS","FAIL")</x:f>
        <x:v>PASS</x:v>
      </x:c>
    </x:row>
    <x:row r="1308">
      <x:c r="B1308" t="str">
        <x:v>A-01262</x:v>
      </x:c>
      <x:c r="C1308" t="str">
        <x:v>GATE</x:v>
      </x:c>
      <x:c r="D1308" t="str">
        <x:v>release state mirrors governing ledger</x:v>
      </x:c>
      <x:c r="E1308" t="str">
        <x:f>'Release Gates'!I1268</x:f>
        <x:v>PASS</x:v>
      </x:c>
      <x:c r="F1308" t="str">
        <x:f>IF('Release Gates'!C1268="PLANNING","PASS",IF('Release Gates'!C1268="PHYSICAL","OPEN","BLOCKED"))</x:f>
        <x:v>PASS</x:v>
      </x:c>
      <x:c r="G1308" t="str">
        <x:v>equals</x:v>
      </x:c>
      <x:c r="H1308" t="str">
        <x:f>IF(E1308=F1308,"PASS","FAIL")</x:f>
        <x:v>PASS</x:v>
      </x:c>
    </x:row>
    <x:row r="1309">
      <x:c r="B1309" t="str">
        <x:v>A-01263</x:v>
      </x:c>
      <x:c r="C1309" t="str">
        <x:v>GATE</x:v>
      </x:c>
      <x:c r="D1309" t="str">
        <x:v>release state mirrors governing ledger</x:v>
      </x:c>
      <x:c r="E1309" t="str">
        <x:f>'Release Gates'!I1269</x:f>
        <x:v>PASS</x:v>
      </x:c>
      <x:c r="F1309" t="str">
        <x:f>IF('Release Gates'!C1269="PLANNING","PASS",IF('Release Gates'!C1269="PHYSICAL","OPEN","BLOCKED"))</x:f>
        <x:v>PASS</x:v>
      </x:c>
      <x:c r="G1309" t="str">
        <x:v>equals</x:v>
      </x:c>
      <x:c r="H1309" t="str">
        <x:f>IF(E1309=F1309,"PASS","FAIL")</x:f>
        <x:v>PASS</x:v>
      </x:c>
    </x:row>
    <x:row r="1310">
      <x:c r="B1310" t="str">
        <x:v>A-01264</x:v>
      </x:c>
      <x:c r="C1310" t="str">
        <x:v>GATE</x:v>
      </x:c>
      <x:c r="D1310" t="str">
        <x:v>release state mirrors governing ledger</x:v>
      </x:c>
      <x:c r="E1310" t="str">
        <x:f>'Release Gates'!I1270</x:f>
        <x:v>PASS</x:v>
      </x:c>
      <x:c r="F1310" t="str">
        <x:f>IF('Release Gates'!C1270="PLANNING","PASS",IF('Release Gates'!C1270="PHYSICAL","OPEN","BLOCKED"))</x:f>
        <x:v>PASS</x:v>
      </x:c>
      <x:c r="G1310" t="str">
        <x:v>equals</x:v>
      </x:c>
      <x:c r="H1310" t="str">
        <x:f>IF(E1310=F1310,"PASS","FAIL")</x:f>
        <x:v>PASS</x:v>
      </x:c>
    </x:row>
    <x:row r="1311">
      <x:c r="B1311" t="str">
        <x:v>A-01265</x:v>
      </x:c>
      <x:c r="C1311" t="str">
        <x:v>GATE</x:v>
      </x:c>
      <x:c r="D1311" t="str">
        <x:v>release state mirrors governing ledger</x:v>
      </x:c>
      <x:c r="E1311" t="str">
        <x:f>'Release Gates'!I1271</x:f>
        <x:v>PASS</x:v>
      </x:c>
      <x:c r="F1311" t="str">
        <x:f>IF('Release Gates'!C1271="PLANNING","PASS",IF('Release Gates'!C1271="PHYSICAL","OPEN","BLOCKED"))</x:f>
        <x:v>PASS</x:v>
      </x:c>
      <x:c r="G1311" t="str">
        <x:v>equals</x:v>
      </x:c>
      <x:c r="H1311" t="str">
        <x:f>IF(E1311=F1311,"PASS","FAIL")</x:f>
        <x:v>PASS</x:v>
      </x:c>
    </x:row>
    <x:row r="1312">
      <x:c r="B1312" t="str">
        <x:v>A-01266</x:v>
      </x:c>
      <x:c r="C1312" t="str">
        <x:v>GATE</x:v>
      </x:c>
      <x:c r="D1312" t="str">
        <x:v>release state mirrors governing ledger</x:v>
      </x:c>
      <x:c r="E1312" t="str">
        <x:f>'Release Gates'!I1272</x:f>
        <x:v>PASS</x:v>
      </x:c>
      <x:c r="F1312" t="str">
        <x:f>IF('Release Gates'!C1272="PLANNING","PASS",IF('Release Gates'!C1272="PHYSICAL","OPEN","BLOCKED"))</x:f>
        <x:v>PASS</x:v>
      </x:c>
      <x:c r="G1312" t="str">
        <x:v>equals</x:v>
      </x:c>
      <x:c r="H1312" t="str">
        <x:f>IF(E1312=F1312,"PASS","FAIL")</x:f>
        <x:v>PASS</x:v>
      </x:c>
    </x:row>
    <x:row r="1313">
      <x:c r="B1313" t="str">
        <x:v>A-01267</x:v>
      </x:c>
      <x:c r="C1313" t="str">
        <x:v>GATE</x:v>
      </x:c>
      <x:c r="D1313" t="str">
        <x:v>release state mirrors governing ledger</x:v>
      </x:c>
      <x:c r="E1313" t="str">
        <x:f>'Release Gates'!I1273</x:f>
        <x:v>PASS</x:v>
      </x:c>
      <x:c r="F1313" t="str">
        <x:f>IF('Release Gates'!C1273="PLANNING","PASS",IF('Release Gates'!C1273="PHYSICAL","OPEN","BLOCKED"))</x:f>
        <x:v>PASS</x:v>
      </x:c>
      <x:c r="G1313" t="str">
        <x:v>equals</x:v>
      </x:c>
      <x:c r="H1313" t="str">
        <x:f>IF(E1313=F1313,"PASS","FAIL")</x:f>
        <x:v>PASS</x:v>
      </x:c>
    </x:row>
    <x:row r="1314">
      <x:c r="B1314" t="str">
        <x:v>A-01268</x:v>
      </x:c>
      <x:c r="C1314" t="str">
        <x:v>GATE</x:v>
      </x:c>
      <x:c r="D1314" t="str">
        <x:v>release state mirrors governing ledger</x:v>
      </x:c>
      <x:c r="E1314" t="str">
        <x:f>'Release Gates'!I1274</x:f>
        <x:v>PASS</x:v>
      </x:c>
      <x:c r="F1314" t="str">
        <x:f>IF('Release Gates'!C1274="PLANNING","PASS",IF('Release Gates'!C1274="PHYSICAL","OPEN","BLOCKED"))</x:f>
        <x:v>PASS</x:v>
      </x:c>
      <x:c r="G1314" t="str">
        <x:v>equals</x:v>
      </x:c>
      <x:c r="H1314" t="str">
        <x:f>IF(E1314=F1314,"PASS","FAIL")</x:f>
        <x:v>PASS</x:v>
      </x:c>
    </x:row>
    <x:row r="1315">
      <x:c r="B1315" t="str">
        <x:v>A-01269</x:v>
      </x:c>
      <x:c r="C1315" t="str">
        <x:v>GATE</x:v>
      </x:c>
      <x:c r="D1315" t="str">
        <x:v>release state mirrors governing ledger</x:v>
      </x:c>
      <x:c r="E1315" t="str">
        <x:f>'Release Gates'!I1275</x:f>
        <x:v>PASS</x:v>
      </x:c>
      <x:c r="F1315" t="str">
        <x:f>IF('Release Gates'!C1275="PLANNING","PASS",IF('Release Gates'!C1275="PHYSICAL","OPEN","BLOCKED"))</x:f>
        <x:v>PASS</x:v>
      </x:c>
      <x:c r="G1315" t="str">
        <x:v>equals</x:v>
      </x:c>
      <x:c r="H1315" t="str">
        <x:f>IF(E1315=F1315,"PASS","FAIL")</x:f>
        <x:v>PASS</x:v>
      </x:c>
    </x:row>
    <x:row r="1316">
      <x:c r="B1316" t="str">
        <x:v>A-01270</x:v>
      </x:c>
      <x:c r="C1316" t="str">
        <x:v>GATE</x:v>
      </x:c>
      <x:c r="D1316" t="str">
        <x:v>release state mirrors governing ledger</x:v>
      </x:c>
      <x:c r="E1316" t="str">
        <x:f>'Release Gates'!I1276</x:f>
        <x:v>PASS</x:v>
      </x:c>
      <x:c r="F1316" t="str">
        <x:f>IF('Release Gates'!C1276="PLANNING","PASS",IF('Release Gates'!C1276="PHYSICAL","OPEN","BLOCKED"))</x:f>
        <x:v>PASS</x:v>
      </x:c>
      <x:c r="G1316" t="str">
        <x:v>equals</x:v>
      </x:c>
      <x:c r="H1316" t="str">
        <x:f>IF(E1316=F1316,"PASS","FAIL")</x:f>
        <x:v>PASS</x:v>
      </x:c>
    </x:row>
    <x:row r="1317">
      <x:c r="B1317" t="str">
        <x:v>A-01271</x:v>
      </x:c>
      <x:c r="C1317" t="str">
        <x:v>GATE</x:v>
      </x:c>
      <x:c r="D1317" t="str">
        <x:v>release state mirrors governing ledger</x:v>
      </x:c>
      <x:c r="E1317" t="str">
        <x:f>'Release Gates'!I1277</x:f>
        <x:v>PASS</x:v>
      </x:c>
      <x:c r="F1317" t="str">
        <x:f>IF('Release Gates'!C1277="PLANNING","PASS",IF('Release Gates'!C1277="PHYSICAL","OPEN","BLOCKED"))</x:f>
        <x:v>PASS</x:v>
      </x:c>
      <x:c r="G1317" t="str">
        <x:v>equals</x:v>
      </x:c>
      <x:c r="H1317" t="str">
        <x:f>IF(E1317=F1317,"PASS","FAIL")</x:f>
        <x:v>PASS</x:v>
      </x:c>
    </x:row>
    <x:row r="1318">
      <x:c r="B1318" t="str">
        <x:v>A-01272</x:v>
      </x:c>
      <x:c r="C1318" t="str">
        <x:v>GATE</x:v>
      </x:c>
      <x:c r="D1318" t="str">
        <x:v>release state mirrors governing ledger</x:v>
      </x:c>
      <x:c r="E1318" t="str">
        <x:f>'Release Gates'!I1278</x:f>
        <x:v>PASS</x:v>
      </x:c>
      <x:c r="F1318" t="str">
        <x:f>IF('Release Gates'!C1278="PLANNING","PASS",IF('Release Gates'!C1278="PHYSICAL","OPEN","BLOCKED"))</x:f>
        <x:v>PASS</x:v>
      </x:c>
      <x:c r="G1318" t="str">
        <x:v>equals</x:v>
      </x:c>
      <x:c r="H1318" t="str">
        <x:f>IF(E1318=F1318,"PASS","FAIL")</x:f>
        <x:v>PASS</x:v>
      </x:c>
    </x:row>
    <x:row r="1319">
      <x:c r="B1319" t="str">
        <x:v>A-01273</x:v>
      </x:c>
      <x:c r="C1319" t="str">
        <x:v>GATE</x:v>
      </x:c>
      <x:c r="D1319" t="str">
        <x:v>release state mirrors governing ledger</x:v>
      </x:c>
      <x:c r="E1319" t="str">
        <x:f>'Release Gates'!I1279</x:f>
        <x:v>PASS</x:v>
      </x:c>
      <x:c r="F1319" t="str">
        <x:f>IF('Release Gates'!C1279="PLANNING","PASS",IF('Release Gates'!C1279="PHYSICAL","OPEN","BLOCKED"))</x:f>
        <x:v>PASS</x:v>
      </x:c>
      <x:c r="G1319" t="str">
        <x:v>equals</x:v>
      </x:c>
      <x:c r="H1319" t="str">
        <x:f>IF(E1319=F1319,"PASS","FAIL")</x:f>
        <x:v>PASS</x:v>
      </x:c>
    </x:row>
    <x:row r="1320">
      <x:c r="B1320" t="str">
        <x:v>A-01274</x:v>
      </x:c>
      <x:c r="C1320" t="str">
        <x:v>GATE</x:v>
      </x:c>
      <x:c r="D1320" t="str">
        <x:v>release state mirrors governing ledger</x:v>
      </x:c>
      <x:c r="E1320" t="str">
        <x:f>'Release Gates'!I1280</x:f>
        <x:v>PASS</x:v>
      </x:c>
      <x:c r="F1320" t="str">
        <x:f>IF('Release Gates'!C1280="PLANNING","PASS",IF('Release Gates'!C1280="PHYSICAL","OPEN","BLOCKED"))</x:f>
        <x:v>PASS</x:v>
      </x:c>
      <x:c r="G1320" t="str">
        <x:v>equals</x:v>
      </x:c>
      <x:c r="H1320" t="str">
        <x:f>IF(E1320=F1320,"PASS","FAIL")</x:f>
        <x:v>PASS</x:v>
      </x:c>
    </x:row>
    <x:row r="1321">
      <x:c r="B1321" t="str">
        <x:v>A-01275</x:v>
      </x:c>
      <x:c r="C1321" t="str">
        <x:v>GATE</x:v>
      </x:c>
      <x:c r="D1321" t="str">
        <x:v>release state mirrors governing ledger</x:v>
      </x:c>
      <x:c r="E1321" t="str">
        <x:f>'Release Gates'!I1281</x:f>
        <x:v>PASS</x:v>
      </x:c>
      <x:c r="F1321" t="str">
        <x:f>IF('Release Gates'!C1281="PLANNING","PASS",IF('Release Gates'!C1281="PHYSICAL","OPEN","BLOCKED"))</x:f>
        <x:v>PASS</x:v>
      </x:c>
      <x:c r="G1321" t="str">
        <x:v>equals</x:v>
      </x:c>
      <x:c r="H1321" t="str">
        <x:f>IF(E1321=F1321,"PASS","FAIL")</x:f>
        <x:v>PASS</x:v>
      </x:c>
    </x:row>
    <x:row r="1322">
      <x:c r="B1322" t="str">
        <x:v>A-01276</x:v>
      </x:c>
      <x:c r="C1322" t="str">
        <x:v>GATE</x:v>
      </x:c>
      <x:c r="D1322" t="str">
        <x:v>release state mirrors governing ledger</x:v>
      </x:c>
      <x:c r="E1322" t="str">
        <x:f>'Release Gates'!I1282</x:f>
        <x:v>PASS</x:v>
      </x:c>
      <x:c r="F1322" t="str">
        <x:f>IF('Release Gates'!C1282="PLANNING","PASS",IF('Release Gates'!C1282="PHYSICAL","OPEN","BLOCKED"))</x:f>
        <x:v>PASS</x:v>
      </x:c>
      <x:c r="G1322" t="str">
        <x:v>equals</x:v>
      </x:c>
      <x:c r="H1322" t="str">
        <x:f>IF(E1322=F1322,"PASS","FAIL")</x:f>
        <x:v>PASS</x:v>
      </x:c>
    </x:row>
    <x:row r="1323">
      <x:c r="B1323" t="str">
        <x:v>A-01277</x:v>
      </x:c>
      <x:c r="C1323" t="str">
        <x:v>GATE</x:v>
      </x:c>
      <x:c r="D1323" t="str">
        <x:v>release state mirrors governing ledger</x:v>
      </x:c>
      <x:c r="E1323" t="str">
        <x:f>'Release Gates'!I1283</x:f>
        <x:v>PASS</x:v>
      </x:c>
      <x:c r="F1323" t="str">
        <x:f>IF('Release Gates'!C1283="PLANNING","PASS",IF('Release Gates'!C1283="PHYSICAL","OPEN","BLOCKED"))</x:f>
        <x:v>PASS</x:v>
      </x:c>
      <x:c r="G1323" t="str">
        <x:v>equals</x:v>
      </x:c>
      <x:c r="H1323" t="str">
        <x:f>IF(E1323=F1323,"PASS","FAIL")</x:f>
        <x:v>PASS</x:v>
      </x:c>
    </x:row>
    <x:row r="1324">
      <x:c r="B1324" t="str">
        <x:v>A-01278</x:v>
      </x:c>
      <x:c r="C1324" t="str">
        <x:v>GATE</x:v>
      </x:c>
      <x:c r="D1324" t="str">
        <x:v>release state mirrors governing ledger</x:v>
      </x:c>
      <x:c r="E1324" t="str">
        <x:f>'Release Gates'!I1284</x:f>
        <x:v>PASS</x:v>
      </x:c>
      <x:c r="F1324" t="str">
        <x:f>IF('Release Gates'!C1284="PLANNING","PASS",IF('Release Gates'!C1284="PHYSICAL","OPEN","BLOCKED"))</x:f>
        <x:v>PASS</x:v>
      </x:c>
      <x:c r="G1324" t="str">
        <x:v>equals</x:v>
      </x:c>
      <x:c r="H1324" t="str">
        <x:f>IF(E1324=F1324,"PASS","FAIL")</x:f>
        <x:v>PASS</x:v>
      </x:c>
    </x:row>
    <x:row r="1325">
      <x:c r="B1325" t="str">
        <x:v>A-01279</x:v>
      </x:c>
      <x:c r="C1325" t="str">
        <x:v>GATE</x:v>
      </x:c>
      <x:c r="D1325" t="str">
        <x:v>release state mirrors governing ledger</x:v>
      </x:c>
      <x:c r="E1325" t="str">
        <x:f>'Release Gates'!I1285</x:f>
        <x:v>PASS</x:v>
      </x:c>
      <x:c r="F1325" t="str">
        <x:f>IF('Release Gates'!C1285="PLANNING","PASS",IF('Release Gates'!C1285="PHYSICAL","OPEN","BLOCKED"))</x:f>
        <x:v>PASS</x:v>
      </x:c>
      <x:c r="G1325" t="str">
        <x:v>equals</x:v>
      </x:c>
      <x:c r="H1325" t="str">
        <x:f>IF(E1325=F1325,"PASS","FAIL")</x:f>
        <x:v>PASS</x:v>
      </x:c>
    </x:row>
    <x:row r="1326">
      <x:c r="B1326" t="str">
        <x:v>A-01280</x:v>
      </x:c>
      <x:c r="C1326" t="str">
        <x:v>GATE</x:v>
      </x:c>
      <x:c r="D1326" t="str">
        <x:v>release state mirrors governing ledger</x:v>
      </x:c>
      <x:c r="E1326" t="str">
        <x:f>'Release Gates'!I1286</x:f>
        <x:v>PASS</x:v>
      </x:c>
      <x:c r="F1326" t="str">
        <x:f>IF('Release Gates'!C1286="PLANNING","PASS",IF('Release Gates'!C1286="PHYSICAL","OPEN","BLOCKED"))</x:f>
        <x:v>PASS</x:v>
      </x:c>
      <x:c r="G1326" t="str">
        <x:v>equals</x:v>
      </x:c>
      <x:c r="H1326" t="str">
        <x:f>IF(E1326=F1326,"PASS","FAIL")</x:f>
        <x:v>PASS</x:v>
      </x:c>
    </x:row>
    <x:row r="1327">
      <x:c r="B1327" t="str">
        <x:v>A-01281</x:v>
      </x:c>
      <x:c r="C1327" t="str">
        <x:v>GATE</x:v>
      </x:c>
      <x:c r="D1327" t="str">
        <x:v>release state mirrors governing ledger</x:v>
      </x:c>
      <x:c r="E1327" t="str">
        <x:f>'Release Gates'!I1287</x:f>
        <x:v>PASS</x:v>
      </x:c>
      <x:c r="F1327" t="str">
        <x:f>IF('Release Gates'!C1287="PLANNING","PASS",IF('Release Gates'!C1287="PHYSICAL","OPEN","BLOCKED"))</x:f>
        <x:v>PASS</x:v>
      </x:c>
      <x:c r="G1327" t="str">
        <x:v>equals</x:v>
      </x:c>
      <x:c r="H1327" t="str">
        <x:f>IF(E1327=F1327,"PASS","FAIL")</x:f>
        <x:v>PASS</x:v>
      </x:c>
    </x:row>
    <x:row r="1328">
      <x:c r="B1328" t="str">
        <x:v>A-01282</x:v>
      </x:c>
      <x:c r="C1328" t="str">
        <x:v>GATE</x:v>
      </x:c>
      <x:c r="D1328" t="str">
        <x:v>release state mirrors governing ledger</x:v>
      </x:c>
      <x:c r="E1328" t="str">
        <x:f>'Release Gates'!I1288</x:f>
        <x:v>PASS</x:v>
      </x:c>
      <x:c r="F1328" t="str">
        <x:f>IF('Release Gates'!C1288="PLANNING","PASS",IF('Release Gates'!C1288="PHYSICAL","OPEN","BLOCKED"))</x:f>
        <x:v>PASS</x:v>
      </x:c>
      <x:c r="G1328" t="str">
        <x:v>equals</x:v>
      </x:c>
      <x:c r="H1328" t="str">
        <x:f>IF(E1328=F1328,"PASS","FAIL")</x:f>
        <x:v>PASS</x:v>
      </x:c>
    </x:row>
    <x:row r="1329">
      <x:c r="B1329" t="str">
        <x:v>A-01283</x:v>
      </x:c>
      <x:c r="C1329" t="str">
        <x:v>GATE</x:v>
      </x:c>
      <x:c r="D1329" t="str">
        <x:v>release state mirrors governing ledger</x:v>
      </x:c>
      <x:c r="E1329" t="str">
        <x:f>'Release Gates'!I1289</x:f>
        <x:v>PASS</x:v>
      </x:c>
      <x:c r="F1329" t="str">
        <x:f>IF('Release Gates'!C1289="PLANNING","PASS",IF('Release Gates'!C1289="PHYSICAL","OPEN","BLOCKED"))</x:f>
        <x:v>PASS</x:v>
      </x:c>
      <x:c r="G1329" t="str">
        <x:v>equals</x:v>
      </x:c>
      <x:c r="H1329" t="str">
        <x:f>IF(E1329=F1329,"PASS","FAIL")</x:f>
        <x:v>PASS</x:v>
      </x:c>
    </x:row>
    <x:row r="1330">
      <x:c r="B1330" t="str">
        <x:v>A-01284</x:v>
      </x:c>
      <x:c r="C1330" t="str">
        <x:v>GATE</x:v>
      </x:c>
      <x:c r="D1330" t="str">
        <x:v>release state mirrors governing ledger</x:v>
      </x:c>
      <x:c r="E1330" t="str">
        <x:f>'Release Gates'!I1290</x:f>
        <x:v>PASS</x:v>
      </x:c>
      <x:c r="F1330" t="str">
        <x:f>IF('Release Gates'!C1290="PLANNING","PASS",IF('Release Gates'!C1290="PHYSICAL","OPEN","BLOCKED"))</x:f>
        <x:v>PASS</x:v>
      </x:c>
      <x:c r="G1330" t="str">
        <x:v>equals</x:v>
      </x:c>
      <x:c r="H1330" t="str">
        <x:f>IF(E1330=F1330,"PASS","FAIL")</x:f>
        <x:v>PASS</x:v>
      </x:c>
    </x:row>
    <x:row r="1331">
      <x:c r="B1331" t="str">
        <x:v>A-01285</x:v>
      </x:c>
      <x:c r="C1331" t="str">
        <x:v>GATE</x:v>
      </x:c>
      <x:c r="D1331" t="str">
        <x:v>release state mirrors governing ledger</x:v>
      </x:c>
      <x:c r="E1331" t="str">
        <x:f>'Release Gates'!I1291</x:f>
        <x:v>PASS</x:v>
      </x:c>
      <x:c r="F1331" t="str">
        <x:f>IF('Release Gates'!C1291="PLANNING","PASS",IF('Release Gates'!C1291="PHYSICAL","OPEN","BLOCKED"))</x:f>
        <x:v>PASS</x:v>
      </x:c>
      <x:c r="G1331" t="str">
        <x:v>equals</x:v>
      </x:c>
      <x:c r="H1331" t="str">
        <x:f>IF(E1331=F1331,"PASS","FAIL")</x:f>
        <x:v>PASS</x:v>
      </x:c>
    </x:row>
    <x:row r="1332">
      <x:c r="B1332" t="str">
        <x:v>A-01286</x:v>
      </x:c>
      <x:c r="C1332" t="str">
        <x:v>GATE</x:v>
      </x:c>
      <x:c r="D1332" t="str">
        <x:v>release state mirrors governing ledger</x:v>
      </x:c>
      <x:c r="E1332" t="str">
        <x:f>'Release Gates'!I1292</x:f>
        <x:v>PASS</x:v>
      </x:c>
      <x:c r="F1332" t="str">
        <x:f>IF('Release Gates'!C1292="PLANNING","PASS",IF('Release Gates'!C1292="PHYSICAL","OPEN","BLOCKED"))</x:f>
        <x:v>PASS</x:v>
      </x:c>
      <x:c r="G1332" t="str">
        <x:v>equals</x:v>
      </x:c>
      <x:c r="H1332" t="str">
        <x:f>IF(E1332=F1332,"PASS","FAIL")</x:f>
        <x:v>PASS</x:v>
      </x:c>
    </x:row>
    <x:row r="1333">
      <x:c r="B1333" t="str">
        <x:v>A-01287</x:v>
      </x:c>
      <x:c r="C1333" t="str">
        <x:v>GATE</x:v>
      </x:c>
      <x:c r="D1333" t="str">
        <x:v>release state mirrors governing ledger</x:v>
      </x:c>
      <x:c r="E1333" t="str">
        <x:f>'Release Gates'!I1293</x:f>
        <x:v>PASS</x:v>
      </x:c>
      <x:c r="F1333" t="str">
        <x:f>IF('Release Gates'!C1293="PLANNING","PASS",IF('Release Gates'!C1293="PHYSICAL","OPEN","BLOCKED"))</x:f>
        <x:v>PASS</x:v>
      </x:c>
      <x:c r="G1333" t="str">
        <x:v>equals</x:v>
      </x:c>
      <x:c r="H1333" t="str">
        <x:f>IF(E1333=F1333,"PASS","FAIL")</x:f>
        <x:v>PASS</x:v>
      </x:c>
    </x:row>
    <x:row r="1334">
      <x:c r="B1334" t="str">
        <x:v>A-01288</x:v>
      </x:c>
      <x:c r="C1334" t="str">
        <x:v>GATE</x:v>
      </x:c>
      <x:c r="D1334" t="str">
        <x:v>release state mirrors governing ledger</x:v>
      </x:c>
      <x:c r="E1334" t="str">
        <x:f>'Release Gates'!I1294</x:f>
        <x:v>PASS</x:v>
      </x:c>
      <x:c r="F1334" t="str">
        <x:f>IF('Release Gates'!C1294="PLANNING","PASS",IF('Release Gates'!C1294="PHYSICAL","OPEN","BLOCKED"))</x:f>
        <x:v>PASS</x:v>
      </x:c>
      <x:c r="G1334" t="str">
        <x:v>equals</x:v>
      </x:c>
      <x:c r="H1334" t="str">
        <x:f>IF(E1334=F1334,"PASS","FAIL")</x:f>
        <x:v>PASS</x:v>
      </x:c>
    </x:row>
    <x:row r="1335">
      <x:c r="B1335" t="str">
        <x:v>A-01289</x:v>
      </x:c>
      <x:c r="C1335" t="str">
        <x:v>GATE</x:v>
      </x:c>
      <x:c r="D1335" t="str">
        <x:v>release state mirrors governing ledger</x:v>
      </x:c>
      <x:c r="E1335" t="str">
        <x:f>'Release Gates'!I1295</x:f>
        <x:v>PASS</x:v>
      </x:c>
      <x:c r="F1335" t="str">
        <x:f>IF('Release Gates'!C1295="PLANNING","PASS",IF('Release Gates'!C1295="PHYSICAL","OPEN","BLOCKED"))</x:f>
        <x:v>PASS</x:v>
      </x:c>
      <x:c r="G1335" t="str">
        <x:v>equals</x:v>
      </x:c>
      <x:c r="H1335" t="str">
        <x:f>IF(E1335=F1335,"PASS","FAIL")</x:f>
        <x:v>PASS</x:v>
      </x:c>
    </x:row>
    <x:row r="1336">
      <x:c r="B1336" t="str">
        <x:v>A-01290</x:v>
      </x:c>
      <x:c r="C1336" t="str">
        <x:v>GATE</x:v>
      </x:c>
      <x:c r="D1336" t="str">
        <x:v>release state mirrors governing ledger</x:v>
      </x:c>
      <x:c r="E1336" t="str">
        <x:f>'Release Gates'!I1296</x:f>
        <x:v>PASS</x:v>
      </x:c>
      <x:c r="F1336" t="str">
        <x:f>IF('Release Gates'!C1296="PLANNING","PASS",IF('Release Gates'!C1296="PHYSICAL","OPEN","BLOCKED"))</x:f>
        <x:v>PASS</x:v>
      </x:c>
      <x:c r="G1336" t="str">
        <x:v>equals</x:v>
      </x:c>
      <x:c r="H1336" t="str">
        <x:f>IF(E1336=F1336,"PASS","FAIL")</x:f>
        <x:v>PASS</x:v>
      </x:c>
    </x:row>
    <x:row r="1337">
      <x:c r="B1337" t="str">
        <x:v>A-01291</x:v>
      </x:c>
      <x:c r="C1337" t="str">
        <x:v>GATE</x:v>
      </x:c>
      <x:c r="D1337" t="str">
        <x:v>release state mirrors governing ledger</x:v>
      </x:c>
      <x:c r="E1337" t="str">
        <x:f>'Release Gates'!I1297</x:f>
        <x:v>PASS</x:v>
      </x:c>
      <x:c r="F1337" t="str">
        <x:f>IF('Release Gates'!C1297="PLANNING","PASS",IF('Release Gates'!C1297="PHYSICAL","OPEN","BLOCKED"))</x:f>
        <x:v>PASS</x:v>
      </x:c>
      <x:c r="G1337" t="str">
        <x:v>equals</x:v>
      </x:c>
      <x:c r="H1337" t="str">
        <x:f>IF(E1337=F1337,"PASS","FAIL")</x:f>
        <x:v>PASS</x:v>
      </x:c>
    </x:row>
    <x:row r="1338">
      <x:c r="B1338" t="str">
        <x:v>A-01292</x:v>
      </x:c>
      <x:c r="C1338" t="str">
        <x:v>GATE</x:v>
      </x:c>
      <x:c r="D1338" t="str">
        <x:v>release state mirrors governing ledger</x:v>
      </x:c>
      <x:c r="E1338" t="str">
        <x:f>'Release Gates'!I1298</x:f>
        <x:v>PASS</x:v>
      </x:c>
      <x:c r="F1338" t="str">
        <x:f>IF('Release Gates'!C1298="PLANNING","PASS",IF('Release Gates'!C1298="PHYSICAL","OPEN","BLOCKED"))</x:f>
        <x:v>PASS</x:v>
      </x:c>
      <x:c r="G1338" t="str">
        <x:v>equals</x:v>
      </x:c>
      <x:c r="H1338" t="str">
        <x:f>IF(E1338=F1338,"PASS","FAIL")</x:f>
        <x:v>PASS</x:v>
      </x:c>
    </x:row>
    <x:row r="1339">
      <x:c r="B1339" t="str">
        <x:v>A-01293</x:v>
      </x:c>
      <x:c r="C1339" t="str">
        <x:v>GATE</x:v>
      </x:c>
      <x:c r="D1339" t="str">
        <x:v>release state mirrors governing ledger</x:v>
      </x:c>
      <x:c r="E1339" t="str">
        <x:f>'Release Gates'!I1299</x:f>
        <x:v>PASS</x:v>
      </x:c>
      <x:c r="F1339" t="str">
        <x:f>IF('Release Gates'!C1299="PLANNING","PASS",IF('Release Gates'!C1299="PHYSICAL","OPEN","BLOCKED"))</x:f>
        <x:v>PASS</x:v>
      </x:c>
      <x:c r="G1339" t="str">
        <x:v>equals</x:v>
      </x:c>
      <x:c r="H1339" t="str">
        <x:f>IF(E1339=F1339,"PASS","FAIL")</x:f>
        <x:v>PASS</x:v>
      </x:c>
    </x:row>
    <x:row r="1340">
      <x:c r="B1340" t="str">
        <x:v>A-01294</x:v>
      </x:c>
      <x:c r="C1340" t="str">
        <x:v>GATE</x:v>
      </x:c>
      <x:c r="D1340" t="str">
        <x:v>release state mirrors governing ledger</x:v>
      </x:c>
      <x:c r="E1340" t="str">
        <x:f>'Release Gates'!I1300</x:f>
        <x:v>PASS</x:v>
      </x:c>
      <x:c r="F1340" t="str">
        <x:f>IF('Release Gates'!C1300="PLANNING","PASS",IF('Release Gates'!C1300="PHYSICAL","OPEN","BLOCKED"))</x:f>
        <x:v>PASS</x:v>
      </x:c>
      <x:c r="G1340" t="str">
        <x:v>equals</x:v>
      </x:c>
      <x:c r="H1340" t="str">
        <x:f>IF(E1340=F1340,"PASS","FAIL")</x:f>
        <x:v>PASS</x:v>
      </x:c>
    </x:row>
    <x:row r="1341">
      <x:c r="B1341" t="str">
        <x:v>A-01295</x:v>
      </x:c>
      <x:c r="C1341" t="str">
        <x:v>GATE</x:v>
      </x:c>
      <x:c r="D1341" t="str">
        <x:v>release state mirrors governing ledger</x:v>
      </x:c>
      <x:c r="E1341" t="str">
        <x:f>'Release Gates'!I1301</x:f>
        <x:v>PASS</x:v>
      </x:c>
      <x:c r="F1341" t="str">
        <x:f>IF('Release Gates'!C1301="PLANNING","PASS",IF('Release Gates'!C1301="PHYSICAL","OPEN","BLOCKED"))</x:f>
        <x:v>PASS</x:v>
      </x:c>
      <x:c r="G1341" t="str">
        <x:v>equals</x:v>
      </x:c>
      <x:c r="H1341" t="str">
        <x:f>IF(E1341=F1341,"PASS","FAIL")</x:f>
        <x:v>PASS</x:v>
      </x:c>
    </x:row>
    <x:row r="1342">
      <x:c r="B1342" t="str">
        <x:v>A-01296</x:v>
      </x:c>
      <x:c r="C1342" t="str">
        <x:v>GATE</x:v>
      </x:c>
      <x:c r="D1342" t="str">
        <x:v>release state mirrors governing ledger</x:v>
      </x:c>
      <x:c r="E1342" t="str">
        <x:f>'Release Gates'!I1302</x:f>
        <x:v>PASS</x:v>
      </x:c>
      <x:c r="F1342" t="str">
        <x:f>IF('Release Gates'!C1302="PLANNING","PASS",IF('Release Gates'!C1302="PHYSICAL","OPEN","BLOCKED"))</x:f>
        <x:v>PASS</x:v>
      </x:c>
      <x:c r="G1342" t="str">
        <x:v>equals</x:v>
      </x:c>
      <x:c r="H1342" t="str">
        <x:f>IF(E1342=F1342,"PASS","FAIL")</x:f>
        <x:v>PASS</x:v>
      </x:c>
    </x:row>
    <x:row r="1343">
      <x:c r="B1343" t="str">
        <x:v>A-01297</x:v>
      </x:c>
      <x:c r="C1343" t="str">
        <x:v>GATE</x:v>
      </x:c>
      <x:c r="D1343" t="str">
        <x:v>release state mirrors governing ledger</x:v>
      </x:c>
      <x:c r="E1343" t="str">
        <x:f>'Release Gates'!I1303</x:f>
        <x:v>PASS</x:v>
      </x:c>
      <x:c r="F1343" t="str">
        <x:f>IF('Release Gates'!C1303="PLANNING","PASS",IF('Release Gates'!C1303="PHYSICAL","OPEN","BLOCKED"))</x:f>
        <x:v>PASS</x:v>
      </x:c>
      <x:c r="G1343" t="str">
        <x:v>equals</x:v>
      </x:c>
      <x:c r="H1343" t="str">
        <x:f>IF(E1343=F1343,"PASS","FAIL")</x:f>
        <x:v>PASS</x:v>
      </x:c>
    </x:row>
    <x:row r="1344">
      <x:c r="B1344" t="str">
        <x:v>A-01298</x:v>
      </x:c>
      <x:c r="C1344" t="str">
        <x:v>GATE</x:v>
      </x:c>
      <x:c r="D1344" t="str">
        <x:v>release state mirrors governing ledger</x:v>
      </x:c>
      <x:c r="E1344" t="str">
        <x:f>'Release Gates'!I1304</x:f>
        <x:v>PASS</x:v>
      </x:c>
      <x:c r="F1344" t="str">
        <x:f>IF('Release Gates'!C1304="PLANNING","PASS",IF('Release Gates'!C1304="PHYSICAL","OPEN","BLOCKED"))</x:f>
        <x:v>PASS</x:v>
      </x:c>
      <x:c r="G1344" t="str">
        <x:v>equals</x:v>
      </x:c>
      <x:c r="H1344" t="str">
        <x:f>IF(E1344=F1344,"PASS","FAIL")</x:f>
        <x:v>PASS</x:v>
      </x:c>
    </x:row>
    <x:row r="1345">
      <x:c r="B1345" t="str">
        <x:v>A-01299</x:v>
      </x:c>
      <x:c r="C1345" t="str">
        <x:v>GATE</x:v>
      </x:c>
      <x:c r="D1345" t="str">
        <x:v>release state mirrors governing ledger</x:v>
      </x:c>
      <x:c r="E1345" t="str">
        <x:f>'Release Gates'!I1305</x:f>
        <x:v>PASS</x:v>
      </x:c>
      <x:c r="F1345" t="str">
        <x:f>IF('Release Gates'!C1305="PLANNING","PASS",IF('Release Gates'!C1305="PHYSICAL","OPEN","BLOCKED"))</x:f>
        <x:v>PASS</x:v>
      </x:c>
      <x:c r="G1345" t="str">
        <x:v>equals</x:v>
      </x:c>
      <x:c r="H1345" t="str">
        <x:f>IF(E1345=F1345,"PASS","FAIL")</x:f>
        <x:v>PASS</x:v>
      </x:c>
    </x:row>
    <x:row r="1346">
      <x:c r="B1346" t="str">
        <x:v>A-01300</x:v>
      </x:c>
      <x:c r="C1346" t="str">
        <x:v>GATE</x:v>
      </x:c>
      <x:c r="D1346" t="str">
        <x:v>release state mirrors governing ledger</x:v>
      </x:c>
      <x:c r="E1346" t="str">
        <x:f>'Release Gates'!I1306</x:f>
        <x:v>PASS</x:v>
      </x:c>
      <x:c r="F1346" t="str">
        <x:f>IF('Release Gates'!C1306="PLANNING","PASS",IF('Release Gates'!C1306="PHYSICAL","OPEN","BLOCKED"))</x:f>
        <x:v>PASS</x:v>
      </x:c>
      <x:c r="G1346" t="str">
        <x:v>equals</x:v>
      </x:c>
      <x:c r="H1346" t="str">
        <x:f>IF(E1346=F1346,"PASS","FAIL")</x:f>
        <x:v>PASS</x:v>
      </x:c>
    </x:row>
    <x:row r="1347">
      <x:c r="B1347" t="str">
        <x:v>A-01301</x:v>
      </x:c>
      <x:c r="C1347" t="str">
        <x:v>GATE</x:v>
      </x:c>
      <x:c r="D1347" t="str">
        <x:v>release state mirrors governing ledger</x:v>
      </x:c>
      <x:c r="E1347" t="str">
        <x:f>'Release Gates'!I1307</x:f>
        <x:v>PASS</x:v>
      </x:c>
      <x:c r="F1347" t="str">
        <x:f>IF('Release Gates'!C1307="PLANNING","PASS",IF('Release Gates'!C1307="PHYSICAL","OPEN","BLOCKED"))</x:f>
        <x:v>PASS</x:v>
      </x:c>
      <x:c r="G1347" t="str">
        <x:v>equals</x:v>
      </x:c>
      <x:c r="H1347" t="str">
        <x:f>IF(E1347=F1347,"PASS","FAIL")</x:f>
        <x:v>PASS</x:v>
      </x:c>
    </x:row>
    <x:row r="1348">
      <x:c r="B1348" t="str">
        <x:v>A-01302</x:v>
      </x:c>
      <x:c r="C1348" t="str">
        <x:v>GATE</x:v>
      </x:c>
      <x:c r="D1348" t="str">
        <x:v>release state mirrors governing ledger</x:v>
      </x:c>
      <x:c r="E1348" t="str">
        <x:f>'Release Gates'!I1308</x:f>
        <x:v>PASS</x:v>
      </x:c>
      <x:c r="F1348" t="str">
        <x:f>IF('Release Gates'!C1308="PLANNING","PASS",IF('Release Gates'!C1308="PHYSICAL","OPEN","BLOCKED"))</x:f>
        <x:v>PASS</x:v>
      </x:c>
      <x:c r="G1348" t="str">
        <x:v>equals</x:v>
      </x:c>
      <x:c r="H1348" t="str">
        <x:f>IF(E1348=F1348,"PASS","FAIL")</x:f>
        <x:v>PASS</x:v>
      </x:c>
    </x:row>
    <x:row r="1349">
      <x:c r="B1349" t="str">
        <x:v>A-01303</x:v>
      </x:c>
      <x:c r="C1349" t="str">
        <x:v>GATE</x:v>
      </x:c>
      <x:c r="D1349" t="str">
        <x:v>release state mirrors governing ledger</x:v>
      </x:c>
      <x:c r="E1349" t="str">
        <x:f>'Release Gates'!I1309</x:f>
        <x:v>PASS</x:v>
      </x:c>
      <x:c r="F1349" t="str">
        <x:f>IF('Release Gates'!C1309="PLANNING","PASS",IF('Release Gates'!C1309="PHYSICAL","OPEN","BLOCKED"))</x:f>
        <x:v>PASS</x:v>
      </x:c>
      <x:c r="G1349" t="str">
        <x:v>equals</x:v>
      </x:c>
      <x:c r="H1349" t="str">
        <x:f>IF(E1349=F1349,"PASS","FAIL")</x:f>
        <x:v>PASS</x:v>
      </x:c>
    </x:row>
    <x:row r="1350">
      <x:c r="B1350" t="str">
        <x:v>A-01304</x:v>
      </x:c>
      <x:c r="C1350" t="str">
        <x:v>GATE</x:v>
      </x:c>
      <x:c r="D1350" t="str">
        <x:v>release state mirrors governing ledger</x:v>
      </x:c>
      <x:c r="E1350" t="str">
        <x:f>'Release Gates'!I1310</x:f>
        <x:v>PASS</x:v>
      </x:c>
      <x:c r="F1350" t="str">
        <x:f>IF('Release Gates'!C1310="PLANNING","PASS",IF('Release Gates'!C1310="PHYSICAL","OPEN","BLOCKED"))</x:f>
        <x:v>PASS</x:v>
      </x:c>
      <x:c r="G1350" t="str">
        <x:v>equals</x:v>
      </x:c>
      <x:c r="H1350" t="str">
        <x:f>IF(E1350=F1350,"PASS","FAIL")</x:f>
        <x:v>PASS</x:v>
      </x:c>
    </x:row>
    <x:row r="1351">
      <x:c r="B1351" t="str">
        <x:v>A-01305</x:v>
      </x:c>
      <x:c r="C1351" t="str">
        <x:v>GATE</x:v>
      </x:c>
      <x:c r="D1351" t="str">
        <x:v>release state mirrors governing ledger</x:v>
      </x:c>
      <x:c r="E1351" t="str">
        <x:f>'Release Gates'!I1311</x:f>
        <x:v>PASS</x:v>
      </x:c>
      <x:c r="F1351" t="str">
        <x:f>IF('Release Gates'!C1311="PLANNING","PASS",IF('Release Gates'!C1311="PHYSICAL","OPEN","BLOCKED"))</x:f>
        <x:v>PASS</x:v>
      </x:c>
      <x:c r="G1351" t="str">
        <x:v>equals</x:v>
      </x:c>
      <x:c r="H1351" t="str">
        <x:f>IF(E1351=F1351,"PASS","FAIL")</x:f>
        <x:v>PASS</x:v>
      </x:c>
    </x:row>
    <x:row r="1352">
      <x:c r="B1352" t="str">
        <x:v>A-01306</x:v>
      </x:c>
      <x:c r="C1352" t="str">
        <x:v>GATE</x:v>
      </x:c>
      <x:c r="D1352" t="str">
        <x:v>release state mirrors governing ledger</x:v>
      </x:c>
      <x:c r="E1352" t="str">
        <x:f>'Release Gates'!I1312</x:f>
        <x:v>PASS</x:v>
      </x:c>
      <x:c r="F1352" t="str">
        <x:f>IF('Release Gates'!C1312="PLANNING","PASS",IF('Release Gates'!C1312="PHYSICAL","OPEN","BLOCKED"))</x:f>
        <x:v>PASS</x:v>
      </x:c>
      <x:c r="G1352" t="str">
        <x:v>equals</x:v>
      </x:c>
      <x:c r="H1352" t="str">
        <x:f>IF(E1352=F1352,"PASS","FAIL")</x:f>
        <x:v>PASS</x:v>
      </x:c>
    </x:row>
    <x:row r="1353">
      <x:c r="B1353" t="str">
        <x:v>A-01307</x:v>
      </x:c>
      <x:c r="C1353" t="str">
        <x:v>GATE</x:v>
      </x:c>
      <x:c r="D1353" t="str">
        <x:v>release state mirrors governing ledger</x:v>
      </x:c>
      <x:c r="E1353" t="str">
        <x:f>'Release Gates'!I1313</x:f>
        <x:v>PASS</x:v>
      </x:c>
      <x:c r="F1353" t="str">
        <x:f>IF('Release Gates'!C1313="PLANNING","PASS",IF('Release Gates'!C1313="PHYSICAL","OPEN","BLOCKED"))</x:f>
        <x:v>PASS</x:v>
      </x:c>
      <x:c r="G1353" t="str">
        <x:v>equals</x:v>
      </x:c>
      <x:c r="H1353" t="str">
        <x:f>IF(E1353=F1353,"PASS","FAIL")</x:f>
        <x:v>PASS</x:v>
      </x:c>
    </x:row>
    <x:row r="1354">
      <x:c r="B1354" t="str">
        <x:v>A-01308</x:v>
      </x:c>
      <x:c r="C1354" t="str">
        <x:v>GATE</x:v>
      </x:c>
      <x:c r="D1354" t="str">
        <x:v>release state mirrors governing ledger</x:v>
      </x:c>
      <x:c r="E1354" t="str">
        <x:f>'Release Gates'!I1314</x:f>
        <x:v>PASS</x:v>
      </x:c>
      <x:c r="F1354" t="str">
        <x:f>IF('Release Gates'!C1314="PLANNING","PASS",IF('Release Gates'!C1314="PHYSICAL","OPEN","BLOCKED"))</x:f>
        <x:v>PASS</x:v>
      </x:c>
      <x:c r="G1354" t="str">
        <x:v>equals</x:v>
      </x:c>
      <x:c r="H1354" t="str">
        <x:f>IF(E1354=F1354,"PASS","FAIL")</x:f>
        <x:v>PASS</x:v>
      </x:c>
    </x:row>
    <x:row r="1355">
      <x:c r="B1355" t="str">
        <x:v>A-01309</x:v>
      </x:c>
      <x:c r="C1355" t="str">
        <x:v>GATE</x:v>
      </x:c>
      <x:c r="D1355" t="str">
        <x:v>release state mirrors governing ledger</x:v>
      </x:c>
      <x:c r="E1355" t="str">
        <x:f>'Release Gates'!I1315</x:f>
        <x:v>PASS</x:v>
      </x:c>
      <x:c r="F1355" t="str">
        <x:f>IF('Release Gates'!C1315="PLANNING","PASS",IF('Release Gates'!C1315="PHYSICAL","OPEN","BLOCKED"))</x:f>
        <x:v>PASS</x:v>
      </x:c>
      <x:c r="G1355" t="str">
        <x:v>equals</x:v>
      </x:c>
      <x:c r="H1355" t="str">
        <x:f>IF(E1355=F1355,"PASS","FAIL")</x:f>
        <x:v>PASS</x:v>
      </x:c>
    </x:row>
    <x:row r="1356">
      <x:c r="B1356" t="str">
        <x:v>A-01310</x:v>
      </x:c>
      <x:c r="C1356" t="str">
        <x:v>GATE</x:v>
      </x:c>
      <x:c r="D1356" t="str">
        <x:v>release state mirrors governing ledger</x:v>
      </x:c>
      <x:c r="E1356" t="str">
        <x:f>'Release Gates'!I1316</x:f>
        <x:v>PASS</x:v>
      </x:c>
      <x:c r="F1356" t="str">
        <x:f>IF('Release Gates'!C1316="PLANNING","PASS",IF('Release Gates'!C1316="PHYSICAL","OPEN","BLOCKED"))</x:f>
        <x:v>PASS</x:v>
      </x:c>
      <x:c r="G1356" t="str">
        <x:v>equals</x:v>
      </x:c>
      <x:c r="H1356" t="str">
        <x:f>IF(E1356=F1356,"PASS","FAIL")</x:f>
        <x:v>PASS</x:v>
      </x:c>
    </x:row>
    <x:row r="1357">
      <x:c r="B1357" t="str">
        <x:v>A-01311</x:v>
      </x:c>
      <x:c r="C1357" t="str">
        <x:v>GATE</x:v>
      </x:c>
      <x:c r="D1357" t="str">
        <x:v>release state mirrors governing ledger</x:v>
      </x:c>
      <x:c r="E1357" t="str">
        <x:f>'Release Gates'!I1317</x:f>
        <x:v>PASS</x:v>
      </x:c>
      <x:c r="F1357" t="str">
        <x:f>IF('Release Gates'!C1317="PLANNING","PASS",IF('Release Gates'!C1317="PHYSICAL","OPEN","BLOCKED"))</x:f>
        <x:v>PASS</x:v>
      </x:c>
      <x:c r="G1357" t="str">
        <x:v>equals</x:v>
      </x:c>
      <x:c r="H1357" t="str">
        <x:f>IF(E1357=F1357,"PASS","FAIL")</x:f>
        <x:v>PASS</x:v>
      </x:c>
    </x:row>
    <x:row r="1358">
      <x:c r="B1358" t="str">
        <x:v>A-01312</x:v>
      </x:c>
      <x:c r="C1358" t="str">
        <x:v>GATE</x:v>
      </x:c>
      <x:c r="D1358" t="str">
        <x:v>release state mirrors governing ledger</x:v>
      </x:c>
      <x:c r="E1358" t="str">
        <x:f>'Release Gates'!I1318</x:f>
        <x:v>PASS</x:v>
      </x:c>
      <x:c r="F1358" t="str">
        <x:f>IF('Release Gates'!C1318="PLANNING","PASS",IF('Release Gates'!C1318="PHYSICAL","OPEN","BLOCKED"))</x:f>
        <x:v>PASS</x:v>
      </x:c>
      <x:c r="G1358" t="str">
        <x:v>equals</x:v>
      </x:c>
      <x:c r="H1358" t="str">
        <x:f>IF(E1358=F1358,"PASS","FAIL")</x:f>
        <x:v>PASS</x:v>
      </x:c>
    </x:row>
    <x:row r="1359">
      <x:c r="B1359" t="str">
        <x:v>A-01313</x:v>
      </x:c>
      <x:c r="C1359" t="str">
        <x:v>GATE</x:v>
      </x:c>
      <x:c r="D1359" t="str">
        <x:v>release state mirrors governing ledger</x:v>
      </x:c>
      <x:c r="E1359" t="str">
        <x:f>'Release Gates'!I1319</x:f>
        <x:v>PASS</x:v>
      </x:c>
      <x:c r="F1359" t="str">
        <x:f>IF('Release Gates'!C1319="PLANNING","PASS",IF('Release Gates'!C1319="PHYSICAL","OPEN","BLOCKED"))</x:f>
        <x:v>PASS</x:v>
      </x:c>
      <x:c r="G1359" t="str">
        <x:v>equals</x:v>
      </x:c>
      <x:c r="H1359" t="str">
        <x:f>IF(E1359=F1359,"PASS","FAIL")</x:f>
        <x:v>PASS</x:v>
      </x:c>
    </x:row>
    <x:row r="1360">
      <x:c r="B1360" t="str">
        <x:v>A-01314</x:v>
      </x:c>
      <x:c r="C1360" t="str">
        <x:v>GATE</x:v>
      </x:c>
      <x:c r="D1360" t="str">
        <x:v>release state mirrors governing ledger</x:v>
      </x:c>
      <x:c r="E1360" t="str">
        <x:f>'Release Gates'!I1320</x:f>
        <x:v>PASS</x:v>
      </x:c>
      <x:c r="F1360" t="str">
        <x:f>IF('Release Gates'!C1320="PLANNING","PASS",IF('Release Gates'!C1320="PHYSICAL","OPEN","BLOCKED"))</x:f>
        <x:v>PASS</x:v>
      </x:c>
      <x:c r="G1360" t="str">
        <x:v>equals</x:v>
      </x:c>
      <x:c r="H1360" t="str">
        <x:f>IF(E1360=F1360,"PASS","FAIL")</x:f>
        <x:v>PASS</x:v>
      </x:c>
    </x:row>
    <x:row r="1361">
      <x:c r="B1361" t="str">
        <x:v>A-01315</x:v>
      </x:c>
      <x:c r="C1361" t="str">
        <x:v>GATE</x:v>
      </x:c>
      <x:c r="D1361" t="str">
        <x:v>release state mirrors governing ledger</x:v>
      </x:c>
      <x:c r="E1361" t="str">
        <x:f>'Release Gates'!I1321</x:f>
        <x:v>PASS</x:v>
      </x:c>
      <x:c r="F1361" t="str">
        <x:f>IF('Release Gates'!C1321="PLANNING","PASS",IF('Release Gates'!C1321="PHYSICAL","OPEN","BLOCKED"))</x:f>
        <x:v>PASS</x:v>
      </x:c>
      <x:c r="G1361" t="str">
        <x:v>equals</x:v>
      </x:c>
      <x:c r="H1361" t="str">
        <x:f>IF(E1361=F1361,"PASS","FAIL")</x:f>
        <x:v>PASS</x:v>
      </x:c>
    </x:row>
    <x:row r="1362">
      <x:c r="B1362" t="str">
        <x:v>A-01316</x:v>
      </x:c>
      <x:c r="C1362" t="str">
        <x:v>GATE</x:v>
      </x:c>
      <x:c r="D1362" t="str">
        <x:v>release state mirrors governing ledger</x:v>
      </x:c>
      <x:c r="E1362" t="str">
        <x:f>'Release Gates'!I1322</x:f>
        <x:v>PASS</x:v>
      </x:c>
      <x:c r="F1362" t="str">
        <x:f>IF('Release Gates'!C1322="PLANNING","PASS",IF('Release Gates'!C1322="PHYSICAL","OPEN","BLOCKED"))</x:f>
        <x:v>PASS</x:v>
      </x:c>
      <x:c r="G1362" t="str">
        <x:v>equals</x:v>
      </x:c>
      <x:c r="H1362" t="str">
        <x:f>IF(E1362=F1362,"PASS","FAIL")</x:f>
        <x:v>PASS</x:v>
      </x:c>
    </x:row>
    <x:row r="1363">
      <x:c r="B1363" t="str">
        <x:v>A-01317</x:v>
      </x:c>
      <x:c r="C1363" t="str">
        <x:v>GATE</x:v>
      </x:c>
      <x:c r="D1363" t="str">
        <x:v>release state mirrors governing ledger</x:v>
      </x:c>
      <x:c r="E1363" t="str">
        <x:f>'Release Gates'!I1323</x:f>
        <x:v>PASS</x:v>
      </x:c>
      <x:c r="F1363" t="str">
        <x:f>IF('Release Gates'!C1323="PLANNING","PASS",IF('Release Gates'!C1323="PHYSICAL","OPEN","BLOCKED"))</x:f>
        <x:v>PASS</x:v>
      </x:c>
      <x:c r="G1363" t="str">
        <x:v>equals</x:v>
      </x:c>
      <x:c r="H1363" t="str">
        <x:f>IF(E1363=F1363,"PASS","FAIL")</x:f>
        <x:v>PASS</x:v>
      </x:c>
    </x:row>
    <x:row r="1364">
      <x:c r="B1364" t="str">
        <x:v>A-01318</x:v>
      </x:c>
      <x:c r="C1364" t="str">
        <x:v>GATE</x:v>
      </x:c>
      <x:c r="D1364" t="str">
        <x:v>release state mirrors governing ledger</x:v>
      </x:c>
      <x:c r="E1364" t="str">
        <x:f>'Release Gates'!I1324</x:f>
        <x:v>PASS</x:v>
      </x:c>
      <x:c r="F1364" t="str">
        <x:f>IF('Release Gates'!C1324="PLANNING","PASS",IF('Release Gates'!C1324="PHYSICAL","OPEN","BLOCKED"))</x:f>
        <x:v>PASS</x:v>
      </x:c>
      <x:c r="G1364" t="str">
        <x:v>equals</x:v>
      </x:c>
      <x:c r="H1364" t="str">
        <x:f>IF(E1364=F1364,"PASS","FAIL")</x:f>
        <x:v>PASS</x:v>
      </x:c>
    </x:row>
    <x:row r="1365">
      <x:c r="B1365" t="str">
        <x:v>A-01319</x:v>
      </x:c>
      <x:c r="C1365" t="str">
        <x:v>GATE</x:v>
      </x:c>
      <x:c r="D1365" t="str">
        <x:v>release state mirrors governing ledger</x:v>
      </x:c>
      <x:c r="E1365" t="str">
        <x:f>'Release Gates'!I1325</x:f>
        <x:v>PASS</x:v>
      </x:c>
      <x:c r="F1365" t="str">
        <x:f>IF('Release Gates'!C1325="PLANNING","PASS",IF('Release Gates'!C1325="PHYSICAL","OPEN","BLOCKED"))</x:f>
        <x:v>PASS</x:v>
      </x:c>
      <x:c r="G1365" t="str">
        <x:v>equals</x:v>
      </x:c>
      <x:c r="H1365" t="str">
        <x:f>IF(E1365=F1365,"PASS","FAIL")</x:f>
        <x:v>PASS</x:v>
      </x:c>
    </x:row>
    <x:row r="1366">
      <x:c r="B1366" t="str">
        <x:v>A-01320</x:v>
      </x:c>
      <x:c r="C1366" t="str">
        <x:v>GATE</x:v>
      </x:c>
      <x:c r="D1366" t="str">
        <x:v>release state mirrors governing ledger</x:v>
      </x:c>
      <x:c r="E1366" t="str">
        <x:f>'Release Gates'!I1326</x:f>
        <x:v>PASS</x:v>
      </x:c>
      <x:c r="F1366" t="str">
        <x:f>IF('Release Gates'!C1326="PLANNING","PASS",IF('Release Gates'!C1326="PHYSICAL","OPEN","BLOCKED"))</x:f>
        <x:v>PASS</x:v>
      </x:c>
      <x:c r="G1366" t="str">
        <x:v>equals</x:v>
      </x:c>
      <x:c r="H1366" t="str">
        <x:f>IF(E1366=F1366,"PASS","FAIL")</x:f>
        <x:v>PASS</x:v>
      </x:c>
    </x:row>
    <x:row r="1367">
      <x:c r="B1367" t="str">
        <x:v>A-01321</x:v>
      </x:c>
      <x:c r="C1367" t="str">
        <x:v>GATE</x:v>
      </x:c>
      <x:c r="D1367" t="str">
        <x:v>release state mirrors governing ledger</x:v>
      </x:c>
      <x:c r="E1367" t="str">
        <x:f>'Release Gates'!I1327</x:f>
        <x:v>PASS</x:v>
      </x:c>
      <x:c r="F1367" t="str">
        <x:f>IF('Release Gates'!C1327="PLANNING","PASS",IF('Release Gates'!C1327="PHYSICAL","OPEN","BLOCKED"))</x:f>
        <x:v>PASS</x:v>
      </x:c>
      <x:c r="G1367" t="str">
        <x:v>equals</x:v>
      </x:c>
      <x:c r="H1367" t="str">
        <x:f>IF(E1367=F1367,"PASS","FAIL")</x:f>
        <x:v>PASS</x:v>
      </x:c>
    </x:row>
    <x:row r="1368">
      <x:c r="B1368" t="str">
        <x:v>A-01322</x:v>
      </x:c>
      <x:c r="C1368" t="str">
        <x:v>GATE</x:v>
      </x:c>
      <x:c r="D1368" t="str">
        <x:v>release state mirrors governing ledger</x:v>
      </x:c>
      <x:c r="E1368" t="str">
        <x:f>'Release Gates'!I1328</x:f>
        <x:v>PASS</x:v>
      </x:c>
      <x:c r="F1368" t="str">
        <x:f>IF('Release Gates'!C1328="PLANNING","PASS",IF('Release Gates'!C1328="PHYSICAL","OPEN","BLOCKED"))</x:f>
        <x:v>PASS</x:v>
      </x:c>
      <x:c r="G1368" t="str">
        <x:v>equals</x:v>
      </x:c>
      <x:c r="H1368" t="str">
        <x:f>IF(E1368=F1368,"PASS","FAIL")</x:f>
        <x:v>PASS</x:v>
      </x:c>
    </x:row>
    <x:row r="1369">
      <x:c r="B1369" t="str">
        <x:v>A-01323</x:v>
      </x:c>
      <x:c r="C1369" t="str">
        <x:v>GATE</x:v>
      </x:c>
      <x:c r="D1369" t="str">
        <x:v>release state mirrors governing ledger</x:v>
      </x:c>
      <x:c r="E1369" t="str">
        <x:f>'Release Gates'!I1329</x:f>
        <x:v>PASS</x:v>
      </x:c>
      <x:c r="F1369" t="str">
        <x:f>IF('Release Gates'!C1329="PLANNING","PASS",IF('Release Gates'!C1329="PHYSICAL","OPEN","BLOCKED"))</x:f>
        <x:v>PASS</x:v>
      </x:c>
      <x:c r="G1369" t="str">
        <x:v>equals</x:v>
      </x:c>
      <x:c r="H1369" t="str">
        <x:f>IF(E1369=F1369,"PASS","FAIL")</x:f>
        <x:v>PASS</x:v>
      </x:c>
    </x:row>
    <x:row r="1370">
      <x:c r="B1370" t="str">
        <x:v>A-01324</x:v>
      </x:c>
      <x:c r="C1370" t="str">
        <x:v>GATE</x:v>
      </x:c>
      <x:c r="D1370" t="str">
        <x:v>release state mirrors governing ledger</x:v>
      </x:c>
      <x:c r="E1370" t="str">
        <x:f>'Release Gates'!I1330</x:f>
        <x:v>PASS</x:v>
      </x:c>
      <x:c r="F1370" t="str">
        <x:f>IF('Release Gates'!C1330="PLANNING","PASS",IF('Release Gates'!C1330="PHYSICAL","OPEN","BLOCKED"))</x:f>
        <x:v>PASS</x:v>
      </x:c>
      <x:c r="G1370" t="str">
        <x:v>equals</x:v>
      </x:c>
      <x:c r="H1370" t="str">
        <x:f>IF(E1370=F1370,"PASS","FAIL")</x:f>
        <x:v>PASS</x:v>
      </x:c>
    </x:row>
    <x:row r="1371">
      <x:c r="B1371" t="str">
        <x:v>A-01325</x:v>
      </x:c>
      <x:c r="C1371" t="str">
        <x:v>GATE</x:v>
      </x:c>
      <x:c r="D1371" t="str">
        <x:v>release state mirrors governing ledger</x:v>
      </x:c>
      <x:c r="E1371" t="str">
        <x:f>'Release Gates'!I1331</x:f>
        <x:v>PASS</x:v>
      </x:c>
      <x:c r="F1371" t="str">
        <x:f>IF('Release Gates'!C1331="PLANNING","PASS",IF('Release Gates'!C1331="PHYSICAL","OPEN","BLOCKED"))</x:f>
        <x:v>PASS</x:v>
      </x:c>
      <x:c r="G1371" t="str">
        <x:v>equals</x:v>
      </x:c>
      <x:c r="H1371" t="str">
        <x:f>IF(E1371=F1371,"PASS","FAIL")</x:f>
        <x:v>PASS</x:v>
      </x:c>
    </x:row>
    <x:row r="1372">
      <x:c r="B1372" t="str">
        <x:v>A-01326</x:v>
      </x:c>
      <x:c r="C1372" t="str">
        <x:v>GATE</x:v>
      </x:c>
      <x:c r="D1372" t="str">
        <x:v>release state mirrors governing ledger</x:v>
      </x:c>
      <x:c r="E1372" t="str">
        <x:f>'Release Gates'!I1332</x:f>
        <x:v>PASS</x:v>
      </x:c>
      <x:c r="F1372" t="str">
        <x:f>IF('Release Gates'!C1332="PLANNING","PASS",IF('Release Gates'!C1332="PHYSICAL","OPEN","BLOCKED"))</x:f>
        <x:v>PASS</x:v>
      </x:c>
      <x:c r="G1372" t="str">
        <x:v>equals</x:v>
      </x:c>
      <x:c r="H1372" t="str">
        <x:f>IF(E1372=F1372,"PASS","FAIL")</x:f>
        <x:v>PASS</x:v>
      </x:c>
    </x:row>
    <x:row r="1373">
      <x:c r="B1373" t="str">
        <x:v>A-01327</x:v>
      </x:c>
      <x:c r="C1373" t="str">
        <x:v>GATE</x:v>
      </x:c>
      <x:c r="D1373" t="str">
        <x:v>release state mirrors governing ledger</x:v>
      </x:c>
      <x:c r="E1373" t="str">
        <x:f>'Release Gates'!I1333</x:f>
        <x:v>PASS</x:v>
      </x:c>
      <x:c r="F1373" t="str">
        <x:f>IF('Release Gates'!C1333="PLANNING","PASS",IF('Release Gates'!C1333="PHYSICAL","OPEN","BLOCKED"))</x:f>
        <x:v>PASS</x:v>
      </x:c>
      <x:c r="G1373" t="str">
        <x:v>equals</x:v>
      </x:c>
      <x:c r="H1373" t="str">
        <x:f>IF(E1373=F1373,"PASS","FAIL")</x:f>
        <x:v>PASS</x:v>
      </x:c>
    </x:row>
    <x:row r="1374">
      <x:c r="B1374" t="str">
        <x:v>A-01328</x:v>
      </x:c>
      <x:c r="C1374" t="str">
        <x:v>GATE</x:v>
      </x:c>
      <x:c r="D1374" t="str">
        <x:v>release state mirrors governing ledger</x:v>
      </x:c>
      <x:c r="E1374" t="str">
        <x:f>'Release Gates'!I1334</x:f>
        <x:v>PASS</x:v>
      </x:c>
      <x:c r="F1374" t="str">
        <x:f>IF('Release Gates'!C1334="PLANNING","PASS",IF('Release Gates'!C1334="PHYSICAL","OPEN","BLOCKED"))</x:f>
        <x:v>PASS</x:v>
      </x:c>
      <x:c r="G1374" t="str">
        <x:v>equals</x:v>
      </x:c>
      <x:c r="H1374" t="str">
        <x:f>IF(E1374=F1374,"PASS","FAIL")</x:f>
        <x:v>PASS</x:v>
      </x:c>
    </x:row>
    <x:row r="1375">
      <x:c r="B1375" t="str">
        <x:v>A-01329</x:v>
      </x:c>
      <x:c r="C1375" t="str">
        <x:v>GATE</x:v>
      </x:c>
      <x:c r="D1375" t="str">
        <x:v>release state mirrors governing ledger</x:v>
      </x:c>
      <x:c r="E1375" t="str">
        <x:f>'Release Gates'!I1335</x:f>
        <x:v>PASS</x:v>
      </x:c>
      <x:c r="F1375" t="str">
        <x:f>IF('Release Gates'!C1335="PLANNING","PASS",IF('Release Gates'!C1335="PHYSICAL","OPEN","BLOCKED"))</x:f>
        <x:v>PASS</x:v>
      </x:c>
      <x:c r="G1375" t="str">
        <x:v>equals</x:v>
      </x:c>
      <x:c r="H1375" t="str">
        <x:f>IF(E1375=F1375,"PASS","FAIL")</x:f>
        <x:v>PASS</x:v>
      </x:c>
    </x:row>
    <x:row r="1376">
      <x:c r="B1376" t="str">
        <x:v>A-01330</x:v>
      </x:c>
      <x:c r="C1376" t="str">
        <x:v>GATE</x:v>
      </x:c>
      <x:c r="D1376" t="str">
        <x:v>release state mirrors governing ledger</x:v>
      </x:c>
      <x:c r="E1376" t="str">
        <x:f>'Release Gates'!I1336</x:f>
        <x:v>PASS</x:v>
      </x:c>
      <x:c r="F1376" t="str">
        <x:f>IF('Release Gates'!C1336="PLANNING","PASS",IF('Release Gates'!C1336="PHYSICAL","OPEN","BLOCKED"))</x:f>
        <x:v>PASS</x:v>
      </x:c>
      <x:c r="G1376" t="str">
        <x:v>equals</x:v>
      </x:c>
      <x:c r="H1376" t="str">
        <x:f>IF(E1376=F1376,"PASS","FAIL")</x:f>
        <x:v>PASS</x:v>
      </x:c>
    </x:row>
    <x:row r="1377">
      <x:c r="B1377" t="str">
        <x:v>A-01331</x:v>
      </x:c>
      <x:c r="C1377" t="str">
        <x:v>GATE</x:v>
      </x:c>
      <x:c r="D1377" t="str">
        <x:v>release state mirrors governing ledger</x:v>
      </x:c>
      <x:c r="E1377" t="str">
        <x:f>'Release Gates'!I1337</x:f>
        <x:v>PASS</x:v>
      </x:c>
      <x:c r="F1377" t="str">
        <x:f>IF('Release Gates'!C1337="PLANNING","PASS",IF('Release Gates'!C1337="PHYSICAL","OPEN","BLOCKED"))</x:f>
        <x:v>PASS</x:v>
      </x:c>
      <x:c r="G1377" t="str">
        <x:v>equals</x:v>
      </x:c>
      <x:c r="H1377" t="str">
        <x:f>IF(E1377=F1377,"PASS","FAIL")</x:f>
        <x:v>PASS</x:v>
      </x:c>
    </x:row>
    <x:row r="1378">
      <x:c r="B1378" t="str">
        <x:v>A-01332</x:v>
      </x:c>
      <x:c r="C1378" t="str">
        <x:v>GATE</x:v>
      </x:c>
      <x:c r="D1378" t="str">
        <x:v>release state mirrors governing ledger</x:v>
      </x:c>
      <x:c r="E1378" t="str">
        <x:f>'Release Gates'!I1338</x:f>
        <x:v>PASS</x:v>
      </x:c>
      <x:c r="F1378" t="str">
        <x:f>IF('Release Gates'!C1338="PLANNING","PASS",IF('Release Gates'!C1338="PHYSICAL","OPEN","BLOCKED"))</x:f>
        <x:v>PASS</x:v>
      </x:c>
      <x:c r="G1378" t="str">
        <x:v>equals</x:v>
      </x:c>
      <x:c r="H1378" t="str">
        <x:f>IF(E1378=F1378,"PASS","FAIL")</x:f>
        <x:v>PASS</x:v>
      </x:c>
    </x:row>
    <x:row r="1379">
      <x:c r="B1379" t="str">
        <x:v>A-01333</x:v>
      </x:c>
      <x:c r="C1379" t="str">
        <x:v>GATE</x:v>
      </x:c>
      <x:c r="D1379" t="str">
        <x:v>release state mirrors governing ledger</x:v>
      </x:c>
      <x:c r="E1379" t="str">
        <x:f>'Release Gates'!I1339</x:f>
        <x:v>PASS</x:v>
      </x:c>
      <x:c r="F1379" t="str">
        <x:f>IF('Release Gates'!C1339="PLANNING","PASS",IF('Release Gates'!C1339="PHYSICAL","OPEN","BLOCKED"))</x:f>
        <x:v>PASS</x:v>
      </x:c>
      <x:c r="G1379" t="str">
        <x:v>equals</x:v>
      </x:c>
      <x:c r="H1379" t="str">
        <x:f>IF(E1379=F1379,"PASS","FAIL")</x:f>
        <x:v>PASS</x:v>
      </x:c>
    </x:row>
    <x:row r="1380">
      <x:c r="B1380" t="str">
        <x:v>A-01334</x:v>
      </x:c>
      <x:c r="C1380" t="str">
        <x:v>GATE</x:v>
      </x:c>
      <x:c r="D1380" t="str">
        <x:v>release state mirrors governing ledger</x:v>
      </x:c>
      <x:c r="E1380" t="str">
        <x:f>'Release Gates'!I1340</x:f>
        <x:v>PASS</x:v>
      </x:c>
      <x:c r="F1380" t="str">
        <x:f>IF('Release Gates'!C1340="PLANNING","PASS",IF('Release Gates'!C1340="PHYSICAL","OPEN","BLOCKED"))</x:f>
        <x:v>PASS</x:v>
      </x:c>
      <x:c r="G1380" t="str">
        <x:v>equals</x:v>
      </x:c>
      <x:c r="H1380" t="str">
        <x:f>IF(E1380=F1380,"PASS","FAIL")</x:f>
        <x:v>PASS</x:v>
      </x:c>
    </x:row>
    <x:row r="1381">
      <x:c r="B1381" t="str">
        <x:v>A-01335</x:v>
      </x:c>
      <x:c r="C1381" t="str">
        <x:v>GATE</x:v>
      </x:c>
      <x:c r="D1381" t="str">
        <x:v>release state mirrors governing ledger</x:v>
      </x:c>
      <x:c r="E1381" t="str">
        <x:f>'Release Gates'!I1341</x:f>
        <x:v>PASS</x:v>
      </x:c>
      <x:c r="F1381" t="str">
        <x:f>IF('Release Gates'!C1341="PLANNING","PASS",IF('Release Gates'!C1341="PHYSICAL","OPEN","BLOCKED"))</x:f>
        <x:v>PASS</x:v>
      </x:c>
      <x:c r="G1381" t="str">
        <x:v>equals</x:v>
      </x:c>
      <x:c r="H1381" t="str">
        <x:f>IF(E1381=F1381,"PASS","FAIL")</x:f>
        <x:v>PASS</x:v>
      </x:c>
    </x:row>
    <x:row r="1382">
      <x:c r="B1382" t="str">
        <x:v>A-01336</x:v>
      </x:c>
      <x:c r="C1382" t="str">
        <x:v>GATE</x:v>
      </x:c>
      <x:c r="D1382" t="str">
        <x:v>release state mirrors governing ledger</x:v>
      </x:c>
      <x:c r="E1382" t="str">
        <x:f>'Release Gates'!I1342</x:f>
        <x:v>PASS</x:v>
      </x:c>
      <x:c r="F1382" t="str">
        <x:f>IF('Release Gates'!C1342="PLANNING","PASS",IF('Release Gates'!C1342="PHYSICAL","OPEN","BLOCKED"))</x:f>
        <x:v>PASS</x:v>
      </x:c>
      <x:c r="G1382" t="str">
        <x:v>equals</x:v>
      </x:c>
      <x:c r="H1382" t="str">
        <x:f>IF(E1382=F1382,"PASS","FAIL")</x:f>
        <x:v>PASS</x:v>
      </x:c>
    </x:row>
    <x:row r="1383">
      <x:c r="B1383" t="str">
        <x:v>A-01337</x:v>
      </x:c>
      <x:c r="C1383" t="str">
        <x:v>GATE</x:v>
      </x:c>
      <x:c r="D1383" t="str">
        <x:v>release state mirrors governing ledger</x:v>
      </x:c>
      <x:c r="E1383" t="str">
        <x:f>'Release Gates'!I1343</x:f>
        <x:v>PASS</x:v>
      </x:c>
      <x:c r="F1383" t="str">
        <x:f>IF('Release Gates'!C1343="PLANNING","PASS",IF('Release Gates'!C1343="PHYSICAL","OPEN","BLOCKED"))</x:f>
        <x:v>PASS</x:v>
      </x:c>
      <x:c r="G1383" t="str">
        <x:v>equals</x:v>
      </x:c>
      <x:c r="H1383" t="str">
        <x:f>IF(E1383=F1383,"PASS","FAIL")</x:f>
        <x:v>PASS</x:v>
      </x:c>
    </x:row>
    <x:row r="1384">
      <x:c r="B1384" t="str">
        <x:v>A-01338</x:v>
      </x:c>
      <x:c r="C1384" t="str">
        <x:v>GATE</x:v>
      </x:c>
      <x:c r="D1384" t="str">
        <x:v>release state mirrors governing ledger</x:v>
      </x:c>
      <x:c r="E1384" t="str">
        <x:f>'Release Gates'!I1344</x:f>
        <x:v>PASS</x:v>
      </x:c>
      <x:c r="F1384" t="str">
        <x:f>IF('Release Gates'!C1344="PLANNING","PASS",IF('Release Gates'!C1344="PHYSICAL","OPEN","BLOCKED"))</x:f>
        <x:v>PASS</x:v>
      </x:c>
      <x:c r="G1384" t="str">
        <x:v>equals</x:v>
      </x:c>
      <x:c r="H1384" t="str">
        <x:f>IF(E1384=F1384,"PASS","FAIL")</x:f>
        <x:v>PASS</x:v>
      </x:c>
    </x:row>
    <x:row r="1385">
      <x:c r="B1385" t="str">
        <x:v>A-01339</x:v>
      </x:c>
      <x:c r="C1385" t="str">
        <x:v>GATE</x:v>
      </x:c>
      <x:c r="D1385" t="str">
        <x:v>release state mirrors governing ledger</x:v>
      </x:c>
      <x:c r="E1385" t="str">
        <x:f>'Release Gates'!I1345</x:f>
        <x:v>PASS</x:v>
      </x:c>
      <x:c r="F1385" t="str">
        <x:f>IF('Release Gates'!C1345="PLANNING","PASS",IF('Release Gates'!C1345="PHYSICAL","OPEN","BLOCKED"))</x:f>
        <x:v>PASS</x:v>
      </x:c>
      <x:c r="G1385" t="str">
        <x:v>equals</x:v>
      </x:c>
      <x:c r="H1385" t="str">
        <x:f>IF(E1385=F1385,"PASS","FAIL")</x:f>
        <x:v>PASS</x:v>
      </x:c>
    </x:row>
    <x:row r="1386">
      <x:c r="B1386" t="str">
        <x:v>A-01340</x:v>
      </x:c>
      <x:c r="C1386" t="str">
        <x:v>GATE</x:v>
      </x:c>
      <x:c r="D1386" t="str">
        <x:v>release state mirrors governing ledger</x:v>
      </x:c>
      <x:c r="E1386" t="str">
        <x:f>'Release Gates'!I1346</x:f>
        <x:v>PASS</x:v>
      </x:c>
      <x:c r="F1386" t="str">
        <x:f>IF('Release Gates'!C1346="PLANNING","PASS",IF('Release Gates'!C1346="PHYSICAL","OPEN","BLOCKED"))</x:f>
        <x:v>PASS</x:v>
      </x:c>
      <x:c r="G1386" t="str">
        <x:v>equals</x:v>
      </x:c>
      <x:c r="H1386" t="str">
        <x:f>IF(E1386=F1386,"PASS","FAIL")</x:f>
        <x:v>PASS</x:v>
      </x:c>
    </x:row>
    <x:row r="1387">
      <x:c r="B1387" t="str">
        <x:v>A-01341</x:v>
      </x:c>
      <x:c r="C1387" t="str">
        <x:v>GATE</x:v>
      </x:c>
      <x:c r="D1387" t="str">
        <x:v>release state mirrors governing ledger</x:v>
      </x:c>
      <x:c r="E1387" t="str">
        <x:f>'Release Gates'!I1347</x:f>
        <x:v>PASS</x:v>
      </x:c>
      <x:c r="F1387" t="str">
        <x:f>IF('Release Gates'!C1347="PLANNING","PASS",IF('Release Gates'!C1347="PHYSICAL","OPEN","BLOCKED"))</x:f>
        <x:v>PASS</x:v>
      </x:c>
      <x:c r="G1387" t="str">
        <x:v>equals</x:v>
      </x:c>
      <x:c r="H1387" t="str">
        <x:f>IF(E1387=F1387,"PASS","FAIL")</x:f>
        <x:v>PASS</x:v>
      </x:c>
    </x:row>
    <x:row r="1388">
      <x:c r="B1388" t="str">
        <x:v>A-01342</x:v>
      </x:c>
      <x:c r="C1388" t="str">
        <x:v>GATE</x:v>
      </x:c>
      <x:c r="D1388" t="str">
        <x:v>release state mirrors governing ledger</x:v>
      </x:c>
      <x:c r="E1388" t="str">
        <x:f>'Release Gates'!I1348</x:f>
        <x:v>PASS</x:v>
      </x:c>
      <x:c r="F1388" t="str">
        <x:f>IF('Release Gates'!C1348="PLANNING","PASS",IF('Release Gates'!C1348="PHYSICAL","OPEN","BLOCKED"))</x:f>
        <x:v>PASS</x:v>
      </x:c>
      <x:c r="G1388" t="str">
        <x:v>equals</x:v>
      </x:c>
      <x:c r="H1388" t="str">
        <x:f>IF(E1388=F1388,"PASS","FAIL")</x:f>
        <x:v>PASS</x:v>
      </x:c>
    </x:row>
    <x:row r="1389">
      <x:c r="B1389" t="str">
        <x:v>A-01343</x:v>
      </x:c>
      <x:c r="C1389" t="str">
        <x:v>GATE</x:v>
      </x:c>
      <x:c r="D1389" t="str">
        <x:v>release state mirrors governing ledger</x:v>
      </x:c>
      <x:c r="E1389" t="str">
        <x:f>'Release Gates'!I1349</x:f>
        <x:v>PASS</x:v>
      </x:c>
      <x:c r="F1389" t="str">
        <x:f>IF('Release Gates'!C1349="PLANNING","PASS",IF('Release Gates'!C1349="PHYSICAL","OPEN","BLOCKED"))</x:f>
        <x:v>PASS</x:v>
      </x:c>
      <x:c r="G1389" t="str">
        <x:v>equals</x:v>
      </x:c>
      <x:c r="H1389" t="str">
        <x:f>IF(E1389=F1389,"PASS","FAIL")</x:f>
        <x:v>PASS</x:v>
      </x:c>
    </x:row>
    <x:row r="1390">
      <x:c r="B1390" t="str">
        <x:v>A-01344</x:v>
      </x:c>
      <x:c r="C1390" t="str">
        <x:v>GATE</x:v>
      </x:c>
      <x:c r="D1390" t="str">
        <x:v>release state mirrors governing ledger</x:v>
      </x:c>
      <x:c r="E1390" t="str">
        <x:f>'Release Gates'!I1350</x:f>
        <x:v>PASS</x:v>
      </x:c>
      <x:c r="F1390" t="str">
        <x:f>IF('Release Gates'!C1350="PLANNING","PASS",IF('Release Gates'!C1350="PHYSICAL","OPEN","BLOCKED"))</x:f>
        <x:v>PASS</x:v>
      </x:c>
      <x:c r="G1390" t="str">
        <x:v>equals</x:v>
      </x:c>
      <x:c r="H1390" t="str">
        <x:f>IF(E1390=F1390,"PASS","FAIL")</x:f>
        <x:v>PASS</x:v>
      </x:c>
    </x:row>
    <x:row r="1391">
      <x:c r="B1391" t="str">
        <x:v>A-01345</x:v>
      </x:c>
      <x:c r="C1391" t="str">
        <x:v>GATE</x:v>
      </x:c>
      <x:c r="D1391" t="str">
        <x:v>release state mirrors governing ledger</x:v>
      </x:c>
      <x:c r="E1391" t="str">
        <x:f>'Release Gates'!I1351</x:f>
        <x:v>PASS</x:v>
      </x:c>
      <x:c r="F1391" t="str">
        <x:f>IF('Release Gates'!C1351="PLANNING","PASS",IF('Release Gates'!C1351="PHYSICAL","OPEN","BLOCKED"))</x:f>
        <x:v>PASS</x:v>
      </x:c>
      <x:c r="G1391" t="str">
        <x:v>equals</x:v>
      </x:c>
      <x:c r="H1391" t="str">
        <x:f>IF(E1391=F1391,"PASS","FAIL")</x:f>
        <x:v>PASS</x:v>
      </x:c>
    </x:row>
    <x:row r="1392">
      <x:c r="B1392" t="str">
        <x:v>A-01346</x:v>
      </x:c>
      <x:c r="C1392" t="str">
        <x:v>GATE</x:v>
      </x:c>
      <x:c r="D1392" t="str">
        <x:v>release state mirrors governing ledger</x:v>
      </x:c>
      <x:c r="E1392" t="str">
        <x:f>'Release Gates'!I1352</x:f>
        <x:v>PASS</x:v>
      </x:c>
      <x:c r="F1392" t="str">
        <x:f>IF('Release Gates'!C1352="PLANNING","PASS",IF('Release Gates'!C1352="PHYSICAL","OPEN","BLOCKED"))</x:f>
        <x:v>PASS</x:v>
      </x:c>
      <x:c r="G1392" t="str">
        <x:v>equals</x:v>
      </x:c>
      <x:c r="H1392" t="str">
        <x:f>IF(E1392=F1392,"PASS","FAIL")</x:f>
        <x:v>PASS</x:v>
      </x:c>
    </x:row>
    <x:row r="1393">
      <x:c r="B1393" t="str">
        <x:v>A-01347</x:v>
      </x:c>
      <x:c r="C1393" t="str">
        <x:v>GATE</x:v>
      </x:c>
      <x:c r="D1393" t="str">
        <x:v>release state mirrors governing ledger</x:v>
      </x:c>
      <x:c r="E1393" t="str">
        <x:f>'Release Gates'!I1353</x:f>
        <x:v>PASS</x:v>
      </x:c>
      <x:c r="F1393" t="str">
        <x:f>IF('Release Gates'!C1353="PLANNING","PASS",IF('Release Gates'!C1353="PHYSICAL","OPEN","BLOCKED"))</x:f>
        <x:v>PASS</x:v>
      </x:c>
      <x:c r="G1393" t="str">
        <x:v>equals</x:v>
      </x:c>
      <x:c r="H1393" t="str">
        <x:f>IF(E1393=F1393,"PASS","FAIL")</x:f>
        <x:v>PASS</x:v>
      </x:c>
    </x:row>
    <x:row r="1394">
      <x:c r="B1394" t="str">
        <x:v>A-01348</x:v>
      </x:c>
      <x:c r="C1394" t="str">
        <x:v>GATE</x:v>
      </x:c>
      <x:c r="D1394" t="str">
        <x:v>release state mirrors governing ledger</x:v>
      </x:c>
      <x:c r="E1394" t="str">
        <x:f>'Release Gates'!I1354</x:f>
        <x:v>PASS</x:v>
      </x:c>
      <x:c r="F1394" t="str">
        <x:f>IF('Release Gates'!C1354="PLANNING","PASS",IF('Release Gates'!C1354="PHYSICAL","OPEN","BLOCKED"))</x:f>
        <x:v>PASS</x:v>
      </x:c>
      <x:c r="G1394" t="str">
        <x:v>equals</x:v>
      </x:c>
      <x:c r="H1394" t="str">
        <x:f>IF(E1394=F1394,"PASS","FAIL")</x:f>
        <x:v>PASS</x:v>
      </x:c>
    </x:row>
    <x:row r="1395">
      <x:c r="B1395" t="str">
        <x:v>A-01349</x:v>
      </x:c>
      <x:c r="C1395" t="str">
        <x:v>GATE</x:v>
      </x:c>
      <x:c r="D1395" t="str">
        <x:v>release state mirrors governing ledger</x:v>
      </x:c>
      <x:c r="E1395" t="str">
        <x:f>'Release Gates'!I1355</x:f>
        <x:v>PASS</x:v>
      </x:c>
      <x:c r="F1395" t="str">
        <x:f>IF('Release Gates'!C1355="PLANNING","PASS",IF('Release Gates'!C1355="PHYSICAL","OPEN","BLOCKED"))</x:f>
        <x:v>PASS</x:v>
      </x:c>
      <x:c r="G1395" t="str">
        <x:v>equals</x:v>
      </x:c>
      <x:c r="H1395" t="str">
        <x:f>IF(E1395=F1395,"PASS","FAIL")</x:f>
        <x:v>PASS</x:v>
      </x:c>
    </x:row>
    <x:row r="1396">
      <x:c r="B1396" t="str">
        <x:v>A-01350</x:v>
      </x:c>
      <x:c r="C1396" t="str">
        <x:v>GATE</x:v>
      </x:c>
      <x:c r="D1396" t="str">
        <x:v>release state mirrors governing ledger</x:v>
      </x:c>
      <x:c r="E1396" t="str">
        <x:f>'Release Gates'!I1356</x:f>
        <x:v>PASS</x:v>
      </x:c>
      <x:c r="F1396" t="str">
        <x:f>IF('Release Gates'!C1356="PLANNING","PASS",IF('Release Gates'!C1356="PHYSICAL","OPEN","BLOCKED"))</x:f>
        <x:v>PASS</x:v>
      </x:c>
      <x:c r="G1396" t="str">
        <x:v>equals</x:v>
      </x:c>
      <x:c r="H1396" t="str">
        <x:f>IF(E1396=F1396,"PASS","FAIL")</x:f>
        <x:v>PASS</x:v>
      </x:c>
    </x:row>
    <x:row r="1397">
      <x:c r="B1397" t="str">
        <x:v>A-01351</x:v>
      </x:c>
      <x:c r="C1397" t="str">
        <x:v>GATE</x:v>
      </x:c>
      <x:c r="D1397" t="str">
        <x:v>release state mirrors governing ledger</x:v>
      </x:c>
      <x:c r="E1397" t="str">
        <x:f>'Release Gates'!I1357</x:f>
        <x:v>PASS</x:v>
      </x:c>
      <x:c r="F1397" t="str">
        <x:f>IF('Release Gates'!C1357="PLANNING","PASS",IF('Release Gates'!C1357="PHYSICAL","OPEN","BLOCKED"))</x:f>
        <x:v>PASS</x:v>
      </x:c>
      <x:c r="G1397" t="str">
        <x:v>equals</x:v>
      </x:c>
      <x:c r="H1397" t="str">
        <x:f>IF(E1397=F1397,"PASS","FAIL")</x:f>
        <x:v>PASS</x:v>
      </x:c>
    </x:row>
    <x:row r="1398">
      <x:c r="B1398" t="str">
        <x:v>A-01352</x:v>
      </x:c>
      <x:c r="C1398" t="str">
        <x:v>GATE</x:v>
      </x:c>
      <x:c r="D1398" t="str">
        <x:v>release state mirrors governing ledger</x:v>
      </x:c>
      <x:c r="E1398" t="str">
        <x:f>'Release Gates'!I1358</x:f>
        <x:v>PASS</x:v>
      </x:c>
      <x:c r="F1398" t="str">
        <x:f>IF('Release Gates'!C1358="PLANNING","PASS",IF('Release Gates'!C1358="PHYSICAL","OPEN","BLOCKED"))</x:f>
        <x:v>PASS</x:v>
      </x:c>
      <x:c r="G1398" t="str">
        <x:v>equals</x:v>
      </x:c>
      <x:c r="H1398" t="str">
        <x:f>IF(E1398=F1398,"PASS","FAIL")</x:f>
        <x:v>PASS</x:v>
      </x:c>
    </x:row>
    <x:row r="1399">
      <x:c r="B1399" t="str">
        <x:v>A-01353</x:v>
      </x:c>
      <x:c r="C1399" t="str">
        <x:v>GATE</x:v>
      </x:c>
      <x:c r="D1399" t="str">
        <x:v>release state mirrors governing ledger</x:v>
      </x:c>
      <x:c r="E1399" t="str">
        <x:f>'Release Gates'!I1359</x:f>
        <x:v>PASS</x:v>
      </x:c>
      <x:c r="F1399" t="str">
        <x:f>IF('Release Gates'!C1359="PLANNING","PASS",IF('Release Gates'!C1359="PHYSICAL","OPEN","BLOCKED"))</x:f>
        <x:v>PASS</x:v>
      </x:c>
      <x:c r="G1399" t="str">
        <x:v>equals</x:v>
      </x:c>
      <x:c r="H1399" t="str">
        <x:f>IF(E1399=F1399,"PASS","FAIL")</x:f>
        <x:v>PASS</x:v>
      </x:c>
    </x:row>
    <x:row r="1400">
      <x:c r="B1400" t="str">
        <x:v>A-01354</x:v>
      </x:c>
      <x:c r="C1400" t="str">
        <x:v>GATE</x:v>
      </x:c>
      <x:c r="D1400" t="str">
        <x:v>release state mirrors governing ledger</x:v>
      </x:c>
      <x:c r="E1400" t="str">
        <x:f>'Release Gates'!I1360</x:f>
        <x:v>PASS</x:v>
      </x:c>
      <x:c r="F1400" t="str">
        <x:f>IF('Release Gates'!C1360="PLANNING","PASS",IF('Release Gates'!C1360="PHYSICAL","OPEN","BLOCKED"))</x:f>
        <x:v>PASS</x:v>
      </x:c>
      <x:c r="G1400" t="str">
        <x:v>equals</x:v>
      </x:c>
      <x:c r="H1400" t="str">
        <x:f>IF(E1400=F1400,"PASS","FAIL")</x:f>
        <x:v>PASS</x:v>
      </x:c>
    </x:row>
    <x:row r="1401">
      <x:c r="B1401" t="str">
        <x:v>A-01355</x:v>
      </x:c>
      <x:c r="C1401" t="str">
        <x:v>GATE</x:v>
      </x:c>
      <x:c r="D1401" t="str">
        <x:v>release state mirrors governing ledger</x:v>
      </x:c>
      <x:c r="E1401" t="str">
        <x:f>'Release Gates'!I1361</x:f>
        <x:v>PASS</x:v>
      </x:c>
      <x:c r="F1401" t="str">
        <x:f>IF('Release Gates'!C1361="PLANNING","PASS",IF('Release Gates'!C1361="PHYSICAL","OPEN","BLOCKED"))</x:f>
        <x:v>PASS</x:v>
      </x:c>
      <x:c r="G1401" t="str">
        <x:v>equals</x:v>
      </x:c>
      <x:c r="H1401" t="str">
        <x:f>IF(E1401=F1401,"PASS","FAIL")</x:f>
        <x:v>PASS</x:v>
      </x:c>
    </x:row>
    <x:row r="1402">
      <x:c r="B1402" t="str">
        <x:v>A-01356</x:v>
      </x:c>
      <x:c r="C1402" t="str">
        <x:v>GATE</x:v>
      </x:c>
      <x:c r="D1402" t="str">
        <x:v>release state mirrors governing ledger</x:v>
      </x:c>
      <x:c r="E1402" t="str">
        <x:f>'Release Gates'!I1362</x:f>
        <x:v>PASS</x:v>
      </x:c>
      <x:c r="F1402" t="str">
        <x:f>IF('Release Gates'!C1362="PLANNING","PASS",IF('Release Gates'!C1362="PHYSICAL","OPEN","BLOCKED"))</x:f>
        <x:v>PASS</x:v>
      </x:c>
      <x:c r="G1402" t="str">
        <x:v>equals</x:v>
      </x:c>
      <x:c r="H1402" t="str">
        <x:f>IF(E1402=F1402,"PASS","FAIL")</x:f>
        <x:v>PASS</x:v>
      </x:c>
    </x:row>
    <x:row r="1403">
      <x:c r="B1403" t="str">
        <x:v>A-01357</x:v>
      </x:c>
      <x:c r="C1403" t="str">
        <x:v>GATE</x:v>
      </x:c>
      <x:c r="D1403" t="str">
        <x:v>release state mirrors governing ledger</x:v>
      </x:c>
      <x:c r="E1403" t="str">
        <x:f>'Release Gates'!I1363</x:f>
        <x:v>PASS</x:v>
      </x:c>
      <x:c r="F1403" t="str">
        <x:f>IF('Release Gates'!C1363="PLANNING","PASS",IF('Release Gates'!C1363="PHYSICAL","OPEN","BLOCKED"))</x:f>
        <x:v>PASS</x:v>
      </x:c>
      <x:c r="G1403" t="str">
        <x:v>equals</x:v>
      </x:c>
      <x:c r="H1403" t="str">
        <x:f>IF(E1403=F1403,"PASS","FAIL")</x:f>
        <x:v>PASS</x:v>
      </x:c>
    </x:row>
    <x:row r="1404">
      <x:c r="B1404" t="str">
        <x:v>A-01358</x:v>
      </x:c>
      <x:c r="C1404" t="str">
        <x:v>GATE</x:v>
      </x:c>
      <x:c r="D1404" t="str">
        <x:v>release state mirrors governing ledger</x:v>
      </x:c>
      <x:c r="E1404" t="str">
        <x:f>'Release Gates'!I1364</x:f>
        <x:v>PASS</x:v>
      </x:c>
      <x:c r="F1404" t="str">
        <x:f>IF('Release Gates'!C1364="PLANNING","PASS",IF('Release Gates'!C1364="PHYSICAL","OPEN","BLOCKED"))</x:f>
        <x:v>PASS</x:v>
      </x:c>
      <x:c r="G1404" t="str">
        <x:v>equals</x:v>
      </x:c>
      <x:c r="H1404" t="str">
        <x:f>IF(E1404=F1404,"PASS","FAIL")</x:f>
        <x:v>PASS</x:v>
      </x:c>
    </x:row>
    <x:row r="1405">
      <x:c r="B1405" t="str">
        <x:v>A-01359</x:v>
      </x:c>
      <x:c r="C1405" t="str">
        <x:v>GATE</x:v>
      </x:c>
      <x:c r="D1405" t="str">
        <x:v>release state mirrors governing ledger</x:v>
      </x:c>
      <x:c r="E1405" t="str">
        <x:f>'Release Gates'!I1365</x:f>
        <x:v>PASS</x:v>
      </x:c>
      <x:c r="F1405" t="str">
        <x:f>IF('Release Gates'!C1365="PLANNING","PASS",IF('Release Gates'!C1365="PHYSICAL","OPEN","BLOCKED"))</x:f>
        <x:v>PASS</x:v>
      </x:c>
      <x:c r="G1405" t="str">
        <x:v>equals</x:v>
      </x:c>
      <x:c r="H1405" t="str">
        <x:f>IF(E1405=F1405,"PASS","FAIL")</x:f>
        <x:v>PASS</x:v>
      </x:c>
    </x:row>
    <x:row r="1406">
      <x:c r="B1406" t="str">
        <x:v>A-01360</x:v>
      </x:c>
      <x:c r="C1406" t="str">
        <x:v>GATE</x:v>
      </x:c>
      <x:c r="D1406" t="str">
        <x:v>release state mirrors governing ledger</x:v>
      </x:c>
      <x:c r="E1406" t="str">
        <x:f>'Release Gates'!I1366</x:f>
        <x:v>PASS</x:v>
      </x:c>
      <x:c r="F1406" t="str">
        <x:f>IF('Release Gates'!C1366="PLANNING","PASS",IF('Release Gates'!C1366="PHYSICAL","OPEN","BLOCKED"))</x:f>
        <x:v>PASS</x:v>
      </x:c>
      <x:c r="G1406" t="str">
        <x:v>equals</x:v>
      </x:c>
      <x:c r="H1406" t="str">
        <x:f>IF(E1406=F1406,"PASS","FAIL")</x:f>
        <x:v>PASS</x:v>
      </x:c>
    </x:row>
    <x:row r="1407">
      <x:c r="B1407" t="str">
        <x:v>A-01361</x:v>
      </x:c>
      <x:c r="C1407" t="str">
        <x:v>GATE</x:v>
      </x:c>
      <x:c r="D1407" t="str">
        <x:v>release state mirrors governing ledger</x:v>
      </x:c>
      <x:c r="E1407" t="str">
        <x:f>'Release Gates'!I1367</x:f>
        <x:v>PASS</x:v>
      </x:c>
      <x:c r="F1407" t="str">
        <x:f>IF('Release Gates'!C1367="PLANNING","PASS",IF('Release Gates'!C1367="PHYSICAL","OPEN","BLOCKED"))</x:f>
        <x:v>PASS</x:v>
      </x:c>
      <x:c r="G1407" t="str">
        <x:v>equals</x:v>
      </x:c>
      <x:c r="H1407" t="str">
        <x:f>IF(E1407=F1407,"PASS","FAIL")</x:f>
        <x:v>PASS</x:v>
      </x:c>
    </x:row>
    <x:row r="1408">
      <x:c r="B1408" t="str">
        <x:v>A-01362</x:v>
      </x:c>
      <x:c r="C1408" t="str">
        <x:v>GATE</x:v>
      </x:c>
      <x:c r="D1408" t="str">
        <x:v>release state mirrors governing ledger</x:v>
      </x:c>
      <x:c r="E1408" t="str">
        <x:f>'Release Gates'!I1368</x:f>
        <x:v>PASS</x:v>
      </x:c>
      <x:c r="F1408" t="str">
        <x:f>IF('Release Gates'!C1368="PLANNING","PASS",IF('Release Gates'!C1368="PHYSICAL","OPEN","BLOCKED"))</x:f>
        <x:v>PASS</x:v>
      </x:c>
      <x:c r="G1408" t="str">
        <x:v>equals</x:v>
      </x:c>
      <x:c r="H1408" t="str">
        <x:f>IF(E1408=F1408,"PASS","FAIL")</x:f>
        <x:v>PASS</x:v>
      </x:c>
    </x:row>
    <x:row r="1409">
      <x:c r="B1409" t="str">
        <x:v>A-01363</x:v>
      </x:c>
      <x:c r="C1409" t="str">
        <x:v>GATE</x:v>
      </x:c>
      <x:c r="D1409" t="str">
        <x:v>release state mirrors governing ledger</x:v>
      </x:c>
      <x:c r="E1409" t="str">
        <x:f>'Release Gates'!I1369</x:f>
        <x:v>PASS</x:v>
      </x:c>
      <x:c r="F1409" t="str">
        <x:f>IF('Release Gates'!C1369="PLANNING","PASS",IF('Release Gates'!C1369="PHYSICAL","OPEN","BLOCKED"))</x:f>
        <x:v>PASS</x:v>
      </x:c>
      <x:c r="G1409" t="str">
        <x:v>equals</x:v>
      </x:c>
      <x:c r="H1409" t="str">
        <x:f>IF(E1409=F1409,"PASS","FAIL")</x:f>
        <x:v>PASS</x:v>
      </x:c>
    </x:row>
    <x:row r="1410">
      <x:c r="B1410" t="str">
        <x:v>A-01364</x:v>
      </x:c>
      <x:c r="C1410" t="str">
        <x:v>GATE</x:v>
      </x:c>
      <x:c r="D1410" t="str">
        <x:v>release state mirrors governing ledger</x:v>
      </x:c>
      <x:c r="E1410" t="str">
        <x:f>'Release Gates'!I1370</x:f>
        <x:v>PASS</x:v>
      </x:c>
      <x:c r="F1410" t="str">
        <x:f>IF('Release Gates'!C1370="PLANNING","PASS",IF('Release Gates'!C1370="PHYSICAL","OPEN","BLOCKED"))</x:f>
        <x:v>PASS</x:v>
      </x:c>
      <x:c r="G1410" t="str">
        <x:v>equals</x:v>
      </x:c>
      <x:c r="H1410" t="str">
        <x:f>IF(E1410=F1410,"PASS","FAIL")</x:f>
        <x:v>PASS</x:v>
      </x:c>
    </x:row>
    <x:row r="1411">
      <x:c r="B1411" t="str">
        <x:v>A-01365</x:v>
      </x:c>
      <x:c r="C1411" t="str">
        <x:v>GATE</x:v>
      </x:c>
      <x:c r="D1411" t="str">
        <x:v>release state mirrors governing ledger</x:v>
      </x:c>
      <x:c r="E1411" t="str">
        <x:f>'Release Gates'!I1371</x:f>
        <x:v>PASS</x:v>
      </x:c>
      <x:c r="F1411" t="str">
        <x:f>IF('Release Gates'!C1371="PLANNING","PASS",IF('Release Gates'!C1371="PHYSICAL","OPEN","BLOCKED"))</x:f>
        <x:v>PASS</x:v>
      </x:c>
      <x:c r="G1411" t="str">
        <x:v>equals</x:v>
      </x:c>
      <x:c r="H1411" t="str">
        <x:f>IF(E1411=F1411,"PASS","FAIL")</x:f>
        <x:v>PASS</x:v>
      </x:c>
    </x:row>
    <x:row r="1412">
      <x:c r="B1412" t="str">
        <x:v>A-01366</x:v>
      </x:c>
      <x:c r="C1412" t="str">
        <x:v>GATE</x:v>
      </x:c>
      <x:c r="D1412" t="str">
        <x:v>release state mirrors governing ledger</x:v>
      </x:c>
      <x:c r="E1412" t="str">
        <x:f>'Release Gates'!I1372</x:f>
        <x:v>PASS</x:v>
      </x:c>
      <x:c r="F1412" t="str">
        <x:f>IF('Release Gates'!C1372="PLANNING","PASS",IF('Release Gates'!C1372="PHYSICAL","OPEN","BLOCKED"))</x:f>
        <x:v>PASS</x:v>
      </x:c>
      <x:c r="G1412" t="str">
        <x:v>equals</x:v>
      </x:c>
      <x:c r="H1412" t="str">
        <x:f>IF(E1412=F1412,"PASS","FAIL")</x:f>
        <x:v>PASS</x:v>
      </x:c>
    </x:row>
    <x:row r="1413">
      <x:c r="B1413" t="str">
        <x:v>A-01367</x:v>
      </x:c>
      <x:c r="C1413" t="str">
        <x:v>GATE</x:v>
      </x:c>
      <x:c r="D1413" t="str">
        <x:v>release state mirrors governing ledger</x:v>
      </x:c>
      <x:c r="E1413" t="str">
        <x:f>'Release Gates'!I1373</x:f>
        <x:v>PASS</x:v>
      </x:c>
      <x:c r="F1413" t="str">
        <x:f>IF('Release Gates'!C1373="PLANNING","PASS",IF('Release Gates'!C1373="PHYSICAL","OPEN","BLOCKED"))</x:f>
        <x:v>PASS</x:v>
      </x:c>
      <x:c r="G1413" t="str">
        <x:v>equals</x:v>
      </x:c>
      <x:c r="H1413" t="str">
        <x:f>IF(E1413=F1413,"PASS","FAIL")</x:f>
        <x:v>PASS</x:v>
      </x:c>
    </x:row>
    <x:row r="1414">
      <x:c r="B1414" t="str">
        <x:v>A-01368</x:v>
      </x:c>
      <x:c r="C1414" t="str">
        <x:v>GATE</x:v>
      </x:c>
      <x:c r="D1414" t="str">
        <x:v>release state mirrors governing ledger</x:v>
      </x:c>
      <x:c r="E1414" t="str">
        <x:f>'Release Gates'!I1374</x:f>
        <x:v>PASS</x:v>
      </x:c>
      <x:c r="F1414" t="str">
        <x:f>IF('Release Gates'!C1374="PLANNING","PASS",IF('Release Gates'!C1374="PHYSICAL","OPEN","BLOCKED"))</x:f>
        <x:v>PASS</x:v>
      </x:c>
      <x:c r="G1414" t="str">
        <x:v>equals</x:v>
      </x:c>
      <x:c r="H1414" t="str">
        <x:f>IF(E1414=F1414,"PASS","FAIL")</x:f>
        <x:v>PASS</x:v>
      </x:c>
    </x:row>
    <x:row r="1415">
      <x:c r="B1415" t="str">
        <x:v>A-01369</x:v>
      </x:c>
      <x:c r="C1415" t="str">
        <x:v>GATE</x:v>
      </x:c>
      <x:c r="D1415" t="str">
        <x:v>release state mirrors governing ledger</x:v>
      </x:c>
      <x:c r="E1415" t="str">
        <x:f>'Release Gates'!I1375</x:f>
        <x:v>PASS</x:v>
      </x:c>
      <x:c r="F1415" t="str">
        <x:f>IF('Release Gates'!C1375="PLANNING","PASS",IF('Release Gates'!C1375="PHYSICAL","OPEN","BLOCKED"))</x:f>
        <x:v>PASS</x:v>
      </x:c>
      <x:c r="G1415" t="str">
        <x:v>equals</x:v>
      </x:c>
      <x:c r="H1415" t="str">
        <x:f>IF(E1415=F1415,"PASS","FAIL")</x:f>
        <x:v>PASS</x:v>
      </x:c>
    </x:row>
    <x:row r="1416">
      <x:c r="B1416" t="str">
        <x:v>A-01370</x:v>
      </x:c>
      <x:c r="C1416" t="str">
        <x:v>GATE</x:v>
      </x:c>
      <x:c r="D1416" t="str">
        <x:v>release state mirrors governing ledger</x:v>
      </x:c>
      <x:c r="E1416" t="str">
        <x:f>'Release Gates'!I1376</x:f>
        <x:v>PASS</x:v>
      </x:c>
      <x:c r="F1416" t="str">
        <x:f>IF('Release Gates'!C1376="PLANNING","PASS",IF('Release Gates'!C1376="PHYSICAL","OPEN","BLOCKED"))</x:f>
        <x:v>PASS</x:v>
      </x:c>
      <x:c r="G1416" t="str">
        <x:v>equals</x:v>
      </x:c>
      <x:c r="H1416" t="str">
        <x:f>IF(E1416=F1416,"PASS","FAIL")</x:f>
        <x:v>PASS</x:v>
      </x:c>
    </x:row>
    <x:row r="1417">
      <x:c r="B1417" t="str">
        <x:v>A-01371</x:v>
      </x:c>
      <x:c r="C1417" t="str">
        <x:v>GATE</x:v>
      </x:c>
      <x:c r="D1417" t="str">
        <x:v>release state mirrors governing ledger</x:v>
      </x:c>
      <x:c r="E1417" t="str">
        <x:f>'Release Gates'!I1377</x:f>
        <x:v>PASS</x:v>
      </x:c>
      <x:c r="F1417" t="str">
        <x:f>IF('Release Gates'!C1377="PLANNING","PASS",IF('Release Gates'!C1377="PHYSICAL","OPEN","BLOCKED"))</x:f>
        <x:v>PASS</x:v>
      </x:c>
      <x:c r="G1417" t="str">
        <x:v>equals</x:v>
      </x:c>
      <x:c r="H1417" t="str">
        <x:f>IF(E1417=F1417,"PASS","FAIL")</x:f>
        <x:v>PASS</x:v>
      </x:c>
    </x:row>
    <x:row r="1418">
      <x:c r="B1418" t="str">
        <x:v>A-01372</x:v>
      </x:c>
      <x:c r="C1418" t="str">
        <x:v>GATE</x:v>
      </x:c>
      <x:c r="D1418" t="str">
        <x:v>release state mirrors governing ledger</x:v>
      </x:c>
      <x:c r="E1418" t="str">
        <x:f>'Release Gates'!I1378</x:f>
        <x:v>PASS</x:v>
      </x:c>
      <x:c r="F1418" t="str">
        <x:f>IF('Release Gates'!C1378="PLANNING","PASS",IF('Release Gates'!C1378="PHYSICAL","OPEN","BLOCKED"))</x:f>
        <x:v>PASS</x:v>
      </x:c>
      <x:c r="G1418" t="str">
        <x:v>equals</x:v>
      </x:c>
      <x:c r="H1418" t="str">
        <x:f>IF(E1418=F1418,"PASS","FAIL")</x:f>
        <x:v>PASS</x:v>
      </x:c>
    </x:row>
    <x:row r="1419">
      <x:c r="B1419" t="str">
        <x:v>A-01373</x:v>
      </x:c>
      <x:c r="C1419" t="str">
        <x:v>GATE</x:v>
      </x:c>
      <x:c r="D1419" t="str">
        <x:v>release state mirrors governing ledger</x:v>
      </x:c>
      <x:c r="E1419" t="str">
        <x:f>'Release Gates'!I1379</x:f>
        <x:v>PASS</x:v>
      </x:c>
      <x:c r="F1419" t="str">
        <x:f>IF('Release Gates'!C1379="PLANNING","PASS",IF('Release Gates'!C1379="PHYSICAL","OPEN","BLOCKED"))</x:f>
        <x:v>PASS</x:v>
      </x:c>
      <x:c r="G1419" t="str">
        <x:v>equals</x:v>
      </x:c>
      <x:c r="H1419" t="str">
        <x:f>IF(E1419=F1419,"PASS","FAIL")</x:f>
        <x:v>PASS</x:v>
      </x:c>
    </x:row>
    <x:row r="1420">
      <x:c r="B1420" t="str">
        <x:v>A-01374</x:v>
      </x:c>
      <x:c r="C1420" t="str">
        <x:v>GATE</x:v>
      </x:c>
      <x:c r="D1420" t="str">
        <x:v>release state mirrors governing ledger</x:v>
      </x:c>
      <x:c r="E1420" t="str">
        <x:f>'Release Gates'!I1380</x:f>
        <x:v>PASS</x:v>
      </x:c>
      <x:c r="F1420" t="str">
        <x:f>IF('Release Gates'!C1380="PLANNING","PASS",IF('Release Gates'!C1380="PHYSICAL","OPEN","BLOCKED"))</x:f>
        <x:v>PASS</x:v>
      </x:c>
      <x:c r="G1420" t="str">
        <x:v>equals</x:v>
      </x:c>
      <x:c r="H1420" t="str">
        <x:f>IF(E1420=F1420,"PASS","FAIL")</x:f>
        <x:v>PASS</x:v>
      </x:c>
    </x:row>
    <x:row r="1421">
      <x:c r="B1421" t="str">
        <x:v>A-01375</x:v>
      </x:c>
      <x:c r="C1421" t="str">
        <x:v>GATE</x:v>
      </x:c>
      <x:c r="D1421" t="str">
        <x:v>release state mirrors governing ledger</x:v>
      </x:c>
      <x:c r="E1421" t="str">
        <x:f>'Release Gates'!I1381</x:f>
        <x:v>PASS</x:v>
      </x:c>
      <x:c r="F1421" t="str">
        <x:f>IF('Release Gates'!C1381="PLANNING","PASS",IF('Release Gates'!C1381="PHYSICAL","OPEN","BLOCKED"))</x:f>
        <x:v>PASS</x:v>
      </x:c>
      <x:c r="G1421" t="str">
        <x:v>equals</x:v>
      </x:c>
      <x:c r="H1421" t="str">
        <x:f>IF(E1421=F1421,"PASS","FAIL")</x:f>
        <x:v>PASS</x:v>
      </x:c>
    </x:row>
    <x:row r="1422">
      <x:c r="B1422" t="str">
        <x:v>A-01376</x:v>
      </x:c>
      <x:c r="C1422" t="str">
        <x:v>GATE</x:v>
      </x:c>
      <x:c r="D1422" t="str">
        <x:v>release state mirrors governing ledger</x:v>
      </x:c>
      <x:c r="E1422" t="str">
        <x:f>'Release Gates'!I1382</x:f>
        <x:v>PASS</x:v>
      </x:c>
      <x:c r="F1422" t="str">
        <x:f>IF('Release Gates'!C1382="PLANNING","PASS",IF('Release Gates'!C1382="PHYSICAL","OPEN","BLOCKED"))</x:f>
        <x:v>PASS</x:v>
      </x:c>
      <x:c r="G1422" t="str">
        <x:v>equals</x:v>
      </x:c>
      <x:c r="H1422" t="str">
        <x:f>IF(E1422=F1422,"PASS","FAIL")</x:f>
        <x:v>PASS</x:v>
      </x:c>
    </x:row>
    <x:row r="1423">
      <x:c r="B1423" t="str">
        <x:v>A-01377</x:v>
      </x:c>
      <x:c r="C1423" t="str">
        <x:v>GATE</x:v>
      </x:c>
      <x:c r="D1423" t="str">
        <x:v>release state mirrors governing ledger</x:v>
      </x:c>
      <x:c r="E1423" t="str">
        <x:f>'Release Gates'!I1383</x:f>
        <x:v>PASS</x:v>
      </x:c>
      <x:c r="F1423" t="str">
        <x:f>IF('Release Gates'!C1383="PLANNING","PASS",IF('Release Gates'!C1383="PHYSICAL","OPEN","BLOCKED"))</x:f>
        <x:v>PASS</x:v>
      </x:c>
      <x:c r="G1423" t="str">
        <x:v>equals</x:v>
      </x:c>
      <x:c r="H1423" t="str">
        <x:f>IF(E1423=F1423,"PASS","FAIL")</x:f>
        <x:v>PASS</x:v>
      </x:c>
    </x:row>
    <x:row r="1424">
      <x:c r="B1424" t="str">
        <x:v>A-01378</x:v>
      </x:c>
      <x:c r="C1424" t="str">
        <x:v>GATE</x:v>
      </x:c>
      <x:c r="D1424" t="str">
        <x:v>release state mirrors governing ledger</x:v>
      </x:c>
      <x:c r="E1424" t="str">
        <x:f>'Release Gates'!I1384</x:f>
        <x:v>PASS</x:v>
      </x:c>
      <x:c r="F1424" t="str">
        <x:f>IF('Release Gates'!C1384="PLANNING","PASS",IF('Release Gates'!C1384="PHYSICAL","OPEN","BLOCKED"))</x:f>
        <x:v>PASS</x:v>
      </x:c>
      <x:c r="G1424" t="str">
        <x:v>equals</x:v>
      </x:c>
      <x:c r="H1424" t="str">
        <x:f>IF(E1424=F1424,"PASS","FAIL")</x:f>
        <x:v>PASS</x:v>
      </x:c>
    </x:row>
    <x:row r="1425">
      <x:c r="B1425" t="str">
        <x:v>A-01379</x:v>
      </x:c>
      <x:c r="C1425" t="str">
        <x:v>GATE</x:v>
      </x:c>
      <x:c r="D1425" t="str">
        <x:v>release state mirrors governing ledger</x:v>
      </x:c>
      <x:c r="E1425" t="str">
        <x:f>'Release Gates'!I1385</x:f>
        <x:v>PASS</x:v>
      </x:c>
      <x:c r="F1425" t="str">
        <x:f>IF('Release Gates'!C1385="PLANNING","PASS",IF('Release Gates'!C1385="PHYSICAL","OPEN","BLOCKED"))</x:f>
        <x:v>PASS</x:v>
      </x:c>
      <x:c r="G1425" t="str">
        <x:v>equals</x:v>
      </x:c>
      <x:c r="H1425" t="str">
        <x:f>IF(E1425=F1425,"PASS","FAIL")</x:f>
        <x:v>PASS</x:v>
      </x:c>
    </x:row>
    <x:row r="1426">
      <x:c r="B1426" t="str">
        <x:v>A-01380</x:v>
      </x:c>
      <x:c r="C1426" t="str">
        <x:v>GATE</x:v>
      </x:c>
      <x:c r="D1426" t="str">
        <x:v>release state mirrors governing ledger</x:v>
      </x:c>
      <x:c r="E1426" t="str">
        <x:f>'Release Gates'!I1386</x:f>
        <x:v>PASS</x:v>
      </x:c>
      <x:c r="F1426" t="str">
        <x:f>IF('Release Gates'!C1386="PLANNING","PASS",IF('Release Gates'!C1386="PHYSICAL","OPEN","BLOCKED"))</x:f>
        <x:v>PASS</x:v>
      </x:c>
      <x:c r="G1426" t="str">
        <x:v>equals</x:v>
      </x:c>
      <x:c r="H1426" t="str">
        <x:f>IF(E1426=F1426,"PASS","FAIL")</x:f>
        <x:v>PASS</x:v>
      </x:c>
    </x:row>
    <x:row r="1427">
      <x:c r="B1427" t="str">
        <x:v>A-01381</x:v>
      </x:c>
      <x:c r="C1427" t="str">
        <x:v>GATE</x:v>
      </x:c>
      <x:c r="D1427" t="str">
        <x:v>release state mirrors governing ledger</x:v>
      </x:c>
      <x:c r="E1427" t="str">
        <x:f>'Release Gates'!I1387</x:f>
        <x:v>PASS</x:v>
      </x:c>
      <x:c r="F1427" t="str">
        <x:f>IF('Release Gates'!C1387="PLANNING","PASS",IF('Release Gates'!C1387="PHYSICAL","OPEN","BLOCKED"))</x:f>
        <x:v>PASS</x:v>
      </x:c>
      <x:c r="G1427" t="str">
        <x:v>equals</x:v>
      </x:c>
      <x:c r="H1427" t="str">
        <x:f>IF(E1427=F1427,"PASS","FAIL")</x:f>
        <x:v>PASS</x:v>
      </x:c>
    </x:row>
    <x:row r="1428">
      <x:c r="B1428" t="str">
        <x:v>A-01382</x:v>
      </x:c>
      <x:c r="C1428" t="str">
        <x:v>GATE</x:v>
      </x:c>
      <x:c r="D1428" t="str">
        <x:v>release state mirrors governing ledger</x:v>
      </x:c>
      <x:c r="E1428" t="str">
        <x:f>'Release Gates'!I1388</x:f>
        <x:v>PASS</x:v>
      </x:c>
      <x:c r="F1428" t="str">
        <x:f>IF('Release Gates'!C1388="PLANNING","PASS",IF('Release Gates'!C1388="PHYSICAL","OPEN","BLOCKED"))</x:f>
        <x:v>PASS</x:v>
      </x:c>
      <x:c r="G1428" t="str">
        <x:v>equals</x:v>
      </x:c>
      <x:c r="H1428" t="str">
        <x:f>IF(E1428=F1428,"PASS","FAIL")</x:f>
        <x:v>PASS</x:v>
      </x:c>
    </x:row>
    <x:row r="1429">
      <x:c r="B1429" t="str">
        <x:v>A-01383</x:v>
      </x:c>
      <x:c r="C1429" t="str">
        <x:v>GATE</x:v>
      </x:c>
      <x:c r="D1429" t="str">
        <x:v>release state mirrors governing ledger</x:v>
      </x:c>
      <x:c r="E1429" t="str">
        <x:f>'Release Gates'!I1389</x:f>
        <x:v>PASS</x:v>
      </x:c>
      <x:c r="F1429" t="str">
        <x:f>IF('Release Gates'!C1389="PLANNING","PASS",IF('Release Gates'!C1389="PHYSICAL","OPEN","BLOCKED"))</x:f>
        <x:v>PASS</x:v>
      </x:c>
      <x:c r="G1429" t="str">
        <x:v>equals</x:v>
      </x:c>
      <x:c r="H1429" t="str">
        <x:f>IF(E1429=F1429,"PASS","FAIL")</x:f>
        <x:v>PASS</x:v>
      </x:c>
    </x:row>
    <x:row r="1430">
      <x:c r="B1430" t="str">
        <x:v>A-01384</x:v>
      </x:c>
      <x:c r="C1430" t="str">
        <x:v>GATE</x:v>
      </x:c>
      <x:c r="D1430" t="str">
        <x:v>release state mirrors governing ledger</x:v>
      </x:c>
      <x:c r="E1430" t="str">
        <x:f>'Release Gates'!I1390</x:f>
        <x:v>PASS</x:v>
      </x:c>
      <x:c r="F1430" t="str">
        <x:f>IF('Release Gates'!C1390="PLANNING","PASS",IF('Release Gates'!C1390="PHYSICAL","OPEN","BLOCKED"))</x:f>
        <x:v>PASS</x:v>
      </x:c>
      <x:c r="G1430" t="str">
        <x:v>equals</x:v>
      </x:c>
      <x:c r="H1430" t="str">
        <x:f>IF(E1430=F1430,"PASS","FAIL")</x:f>
        <x:v>PASS</x:v>
      </x:c>
    </x:row>
    <x:row r="1431">
      <x:c r="B1431" t="str">
        <x:v>A-01385</x:v>
      </x:c>
      <x:c r="C1431" t="str">
        <x:v>GATE</x:v>
      </x:c>
      <x:c r="D1431" t="str">
        <x:v>release state mirrors governing ledger</x:v>
      </x:c>
      <x:c r="E1431" t="str">
        <x:f>'Release Gates'!I1391</x:f>
        <x:v>PASS</x:v>
      </x:c>
      <x:c r="F1431" t="str">
        <x:f>IF('Release Gates'!C1391="PLANNING","PASS",IF('Release Gates'!C1391="PHYSICAL","OPEN","BLOCKED"))</x:f>
        <x:v>PASS</x:v>
      </x:c>
      <x:c r="G1431" t="str">
        <x:v>equals</x:v>
      </x:c>
      <x:c r="H1431" t="str">
        <x:f>IF(E1431=F1431,"PASS","FAIL")</x:f>
        <x:v>PASS</x:v>
      </x:c>
    </x:row>
    <x:row r="1432">
      <x:c r="B1432" t="str">
        <x:v>A-01386</x:v>
      </x:c>
      <x:c r="C1432" t="str">
        <x:v>GATE</x:v>
      </x:c>
      <x:c r="D1432" t="str">
        <x:v>release state mirrors governing ledger</x:v>
      </x:c>
      <x:c r="E1432" t="str">
        <x:f>'Release Gates'!I1392</x:f>
        <x:v>PASS</x:v>
      </x:c>
      <x:c r="F1432" t="str">
        <x:f>IF('Release Gates'!C1392="PLANNING","PASS",IF('Release Gates'!C1392="PHYSICAL","OPEN","BLOCKED"))</x:f>
        <x:v>PASS</x:v>
      </x:c>
      <x:c r="G1432" t="str">
        <x:v>equals</x:v>
      </x:c>
      <x:c r="H1432" t="str">
        <x:f>IF(E1432=F1432,"PASS","FAIL")</x:f>
        <x:v>PASS</x:v>
      </x:c>
    </x:row>
    <x:row r="1433">
      <x:c r="B1433" t="str">
        <x:v>A-01387</x:v>
      </x:c>
      <x:c r="C1433" t="str">
        <x:v>GATE</x:v>
      </x:c>
      <x:c r="D1433" t="str">
        <x:v>release state mirrors governing ledger</x:v>
      </x:c>
      <x:c r="E1433" t="str">
        <x:f>'Release Gates'!I1393</x:f>
        <x:v>PASS</x:v>
      </x:c>
      <x:c r="F1433" t="str">
        <x:f>IF('Release Gates'!C1393="PLANNING","PASS",IF('Release Gates'!C1393="PHYSICAL","OPEN","BLOCKED"))</x:f>
        <x:v>PASS</x:v>
      </x:c>
      <x:c r="G1433" t="str">
        <x:v>equals</x:v>
      </x:c>
      <x:c r="H1433" t="str">
        <x:f>IF(E1433=F1433,"PASS","FAIL")</x:f>
        <x:v>PASS</x:v>
      </x:c>
    </x:row>
    <x:row r="1434">
      <x:c r="B1434" t="str">
        <x:v>A-01388</x:v>
      </x:c>
      <x:c r="C1434" t="str">
        <x:v>GATE</x:v>
      </x:c>
      <x:c r="D1434" t="str">
        <x:v>release state mirrors governing ledger</x:v>
      </x:c>
      <x:c r="E1434" t="str">
        <x:f>'Release Gates'!I1394</x:f>
        <x:v>PASS</x:v>
      </x:c>
      <x:c r="F1434" t="str">
        <x:f>IF('Release Gates'!C1394="PLANNING","PASS",IF('Release Gates'!C1394="PHYSICAL","OPEN","BLOCKED"))</x:f>
        <x:v>PASS</x:v>
      </x:c>
      <x:c r="G1434" t="str">
        <x:v>equals</x:v>
      </x:c>
      <x:c r="H1434" t="str">
        <x:f>IF(E1434=F1434,"PASS","FAIL")</x:f>
        <x:v>PASS</x:v>
      </x:c>
    </x:row>
    <x:row r="1435">
      <x:c r="B1435" t="str">
        <x:v>A-01389</x:v>
      </x:c>
      <x:c r="C1435" t="str">
        <x:v>GATE</x:v>
      </x:c>
      <x:c r="D1435" t="str">
        <x:v>release state mirrors governing ledger</x:v>
      </x:c>
      <x:c r="E1435" t="str">
        <x:f>'Release Gates'!I1395</x:f>
        <x:v>PASS</x:v>
      </x:c>
      <x:c r="F1435" t="str">
        <x:f>IF('Release Gates'!C1395="PLANNING","PASS",IF('Release Gates'!C1395="PHYSICAL","OPEN","BLOCKED"))</x:f>
        <x:v>PASS</x:v>
      </x:c>
      <x:c r="G1435" t="str">
        <x:v>equals</x:v>
      </x:c>
      <x:c r="H1435" t="str">
        <x:f>IF(E1435=F1435,"PASS","FAIL")</x:f>
        <x:v>PASS</x:v>
      </x:c>
    </x:row>
    <x:row r="1436">
      <x:c r="B1436" t="str">
        <x:v>A-01390</x:v>
      </x:c>
      <x:c r="C1436" t="str">
        <x:v>GATE</x:v>
      </x:c>
      <x:c r="D1436" t="str">
        <x:v>release state mirrors governing ledger</x:v>
      </x:c>
      <x:c r="E1436" t="str">
        <x:f>'Release Gates'!I1396</x:f>
        <x:v>PASS</x:v>
      </x:c>
      <x:c r="F1436" t="str">
        <x:f>IF('Release Gates'!C1396="PLANNING","PASS",IF('Release Gates'!C1396="PHYSICAL","OPEN","BLOCKED"))</x:f>
        <x:v>PASS</x:v>
      </x:c>
      <x:c r="G1436" t="str">
        <x:v>equals</x:v>
      </x:c>
      <x:c r="H1436" t="str">
        <x:f>IF(E1436=F1436,"PASS","FAIL")</x:f>
        <x:v>PASS</x:v>
      </x:c>
    </x:row>
    <x:row r="1437">
      <x:c r="B1437" t="str">
        <x:v>A-01391</x:v>
      </x:c>
      <x:c r="C1437" t="str">
        <x:v>GATE</x:v>
      </x:c>
      <x:c r="D1437" t="str">
        <x:v>release state mirrors governing ledger</x:v>
      </x:c>
      <x:c r="E1437" t="str">
        <x:f>'Release Gates'!I1397</x:f>
        <x:v>PASS</x:v>
      </x:c>
      <x:c r="F1437" t="str">
        <x:f>IF('Release Gates'!C1397="PLANNING","PASS",IF('Release Gates'!C1397="PHYSICAL","OPEN","BLOCKED"))</x:f>
        <x:v>PASS</x:v>
      </x:c>
      <x:c r="G1437" t="str">
        <x:v>equals</x:v>
      </x:c>
      <x:c r="H1437" t="str">
        <x:f>IF(E1437=F1437,"PASS","FAIL")</x:f>
        <x:v>PASS</x:v>
      </x:c>
    </x:row>
    <x:row r="1438">
      <x:c r="B1438" t="str">
        <x:v>A-01392</x:v>
      </x:c>
      <x:c r="C1438" t="str">
        <x:v>GATE</x:v>
      </x:c>
      <x:c r="D1438" t="str">
        <x:v>release state mirrors governing ledger</x:v>
      </x:c>
      <x:c r="E1438" t="str">
        <x:f>'Release Gates'!I1398</x:f>
        <x:v>PASS</x:v>
      </x:c>
      <x:c r="F1438" t="str">
        <x:f>IF('Release Gates'!C1398="PLANNING","PASS",IF('Release Gates'!C1398="PHYSICAL","OPEN","BLOCKED"))</x:f>
        <x:v>PASS</x:v>
      </x:c>
      <x:c r="G1438" t="str">
        <x:v>equals</x:v>
      </x:c>
      <x:c r="H1438" t="str">
        <x:f>IF(E1438=F1438,"PASS","FAIL")</x:f>
        <x:v>PASS</x:v>
      </x:c>
    </x:row>
    <x:row r="1439">
      <x:c r="B1439" t="str">
        <x:v>A-01393</x:v>
      </x:c>
      <x:c r="C1439" t="str">
        <x:v>GATE</x:v>
      </x:c>
      <x:c r="D1439" t="str">
        <x:v>release state mirrors governing ledger</x:v>
      </x:c>
      <x:c r="E1439" t="str">
        <x:f>'Release Gates'!I1399</x:f>
        <x:v>PASS</x:v>
      </x:c>
      <x:c r="F1439" t="str">
        <x:f>IF('Release Gates'!C1399="PLANNING","PASS",IF('Release Gates'!C1399="PHYSICAL","OPEN","BLOCKED"))</x:f>
        <x:v>PASS</x:v>
      </x:c>
      <x:c r="G1439" t="str">
        <x:v>equals</x:v>
      </x:c>
      <x:c r="H1439" t="str">
        <x:f>IF(E1439=F1439,"PASS","FAIL")</x:f>
        <x:v>PASS</x:v>
      </x:c>
    </x:row>
    <x:row r="1440">
      <x:c r="B1440" t="str">
        <x:v>A-01394</x:v>
      </x:c>
      <x:c r="C1440" t="str">
        <x:v>GATE</x:v>
      </x:c>
      <x:c r="D1440" t="str">
        <x:v>release state mirrors governing ledger</x:v>
      </x:c>
      <x:c r="E1440" t="str">
        <x:f>'Release Gates'!I1400</x:f>
        <x:v>PASS</x:v>
      </x:c>
      <x:c r="F1440" t="str">
        <x:f>IF('Release Gates'!C1400="PLANNING","PASS",IF('Release Gates'!C1400="PHYSICAL","OPEN","BLOCKED"))</x:f>
        <x:v>PASS</x:v>
      </x:c>
      <x:c r="G1440" t="str">
        <x:v>equals</x:v>
      </x:c>
      <x:c r="H1440" t="str">
        <x:f>IF(E1440=F1440,"PASS","FAIL")</x:f>
        <x:v>PASS</x:v>
      </x:c>
    </x:row>
    <x:row r="1441">
      <x:c r="B1441" t="str">
        <x:v>A-01395</x:v>
      </x:c>
      <x:c r="C1441" t="str">
        <x:v>GATE</x:v>
      </x:c>
      <x:c r="D1441" t="str">
        <x:v>release state mirrors governing ledger</x:v>
      </x:c>
      <x:c r="E1441" t="str">
        <x:f>'Release Gates'!I1401</x:f>
        <x:v>PASS</x:v>
      </x:c>
      <x:c r="F1441" t="str">
        <x:f>IF('Release Gates'!C1401="PLANNING","PASS",IF('Release Gates'!C1401="PHYSICAL","OPEN","BLOCKED"))</x:f>
        <x:v>PASS</x:v>
      </x:c>
      <x:c r="G1441" t="str">
        <x:v>equals</x:v>
      </x:c>
      <x:c r="H1441" t="str">
        <x:f>IF(E1441=F1441,"PASS","FAIL")</x:f>
        <x:v>PASS</x:v>
      </x:c>
    </x:row>
    <x:row r="1442">
      <x:c r="B1442" t="str">
        <x:v>A-01396</x:v>
      </x:c>
      <x:c r="C1442" t="str">
        <x:v>GATE</x:v>
      </x:c>
      <x:c r="D1442" t="str">
        <x:v>release state mirrors governing ledger</x:v>
      </x:c>
      <x:c r="E1442" t="str">
        <x:f>'Release Gates'!I1402</x:f>
        <x:v>PASS</x:v>
      </x:c>
      <x:c r="F1442" t="str">
        <x:f>IF('Release Gates'!C1402="PLANNING","PASS",IF('Release Gates'!C1402="PHYSICAL","OPEN","BLOCKED"))</x:f>
        <x:v>PASS</x:v>
      </x:c>
      <x:c r="G1442" t="str">
        <x:v>equals</x:v>
      </x:c>
      <x:c r="H1442" t="str">
        <x:f>IF(E1442=F1442,"PASS","FAIL")</x:f>
        <x:v>PASS</x:v>
      </x:c>
    </x:row>
    <x:row r="1443">
      <x:c r="B1443" t="str">
        <x:v>A-01397</x:v>
      </x:c>
      <x:c r="C1443" t="str">
        <x:v>GATE</x:v>
      </x:c>
      <x:c r="D1443" t="str">
        <x:v>release state mirrors governing ledger</x:v>
      </x:c>
      <x:c r="E1443" t="str">
        <x:f>'Release Gates'!I1403</x:f>
        <x:v>PASS</x:v>
      </x:c>
      <x:c r="F1443" t="str">
        <x:f>IF('Release Gates'!C1403="PLANNING","PASS",IF('Release Gates'!C1403="PHYSICAL","OPEN","BLOCKED"))</x:f>
        <x:v>PASS</x:v>
      </x:c>
      <x:c r="G1443" t="str">
        <x:v>equals</x:v>
      </x:c>
      <x:c r="H1443" t="str">
        <x:f>IF(E1443=F1443,"PASS","FAIL")</x:f>
        <x:v>PASS</x:v>
      </x:c>
    </x:row>
    <x:row r="1444">
      <x:c r="B1444" t="str">
        <x:v>A-01398</x:v>
      </x:c>
      <x:c r="C1444" t="str">
        <x:v>GATE</x:v>
      </x:c>
      <x:c r="D1444" t="str">
        <x:v>release state mirrors governing ledger</x:v>
      </x:c>
      <x:c r="E1444" t="str">
        <x:f>'Release Gates'!I1404</x:f>
        <x:v>PASS</x:v>
      </x:c>
      <x:c r="F1444" t="str">
        <x:f>IF('Release Gates'!C1404="PLANNING","PASS",IF('Release Gates'!C1404="PHYSICAL","OPEN","BLOCKED"))</x:f>
        <x:v>PASS</x:v>
      </x:c>
      <x:c r="G1444" t="str">
        <x:v>equals</x:v>
      </x:c>
      <x:c r="H1444" t="str">
        <x:f>IF(E1444=F1444,"PASS","FAIL")</x:f>
        <x:v>PASS</x:v>
      </x:c>
    </x:row>
    <x:row r="1445">
      <x:c r="B1445" t="str">
        <x:v>A-01399</x:v>
      </x:c>
      <x:c r="C1445" t="str">
        <x:v>GATE</x:v>
      </x:c>
      <x:c r="D1445" t="str">
        <x:v>release state mirrors governing ledger</x:v>
      </x:c>
      <x:c r="E1445" t="str">
        <x:f>'Release Gates'!I1405</x:f>
        <x:v>PASS</x:v>
      </x:c>
      <x:c r="F1445" t="str">
        <x:f>IF('Release Gates'!C1405="PLANNING","PASS",IF('Release Gates'!C1405="PHYSICAL","OPEN","BLOCKED"))</x:f>
        <x:v>PASS</x:v>
      </x:c>
      <x:c r="G1445" t="str">
        <x:v>equals</x:v>
      </x:c>
      <x:c r="H1445" t="str">
        <x:f>IF(E1445=F1445,"PASS","FAIL")</x:f>
        <x:v>PASS</x:v>
      </x:c>
    </x:row>
    <x:row r="1446">
      <x:c r="B1446" t="str">
        <x:v>A-01400</x:v>
      </x:c>
      <x:c r="C1446" t="str">
        <x:v>GATE</x:v>
      </x:c>
      <x:c r="D1446" t="str">
        <x:v>release state mirrors governing ledger</x:v>
      </x:c>
      <x:c r="E1446" t="str">
        <x:f>'Release Gates'!I1406</x:f>
        <x:v>PASS</x:v>
      </x:c>
      <x:c r="F1446" t="str">
        <x:f>IF('Release Gates'!C1406="PLANNING","PASS",IF('Release Gates'!C1406="PHYSICAL","OPEN","BLOCKED"))</x:f>
        <x:v>PASS</x:v>
      </x:c>
      <x:c r="G1446" t="str">
        <x:v>equals</x:v>
      </x:c>
      <x:c r="H1446" t="str">
        <x:f>IF(E1446=F1446,"PASS","FAIL")</x:f>
        <x:v>PASS</x:v>
      </x:c>
    </x:row>
    <x:row r="1447">
      <x:c r="B1447" t="str">
        <x:v>A-01401</x:v>
      </x:c>
      <x:c r="C1447" t="str">
        <x:v>GATE</x:v>
      </x:c>
      <x:c r="D1447" t="str">
        <x:v>release state mirrors governing ledger</x:v>
      </x:c>
      <x:c r="E1447" t="str">
        <x:f>'Release Gates'!I1407</x:f>
        <x:v>PASS</x:v>
      </x:c>
      <x:c r="F1447" t="str">
        <x:f>IF('Release Gates'!C1407="PLANNING","PASS",IF('Release Gates'!C1407="PHYSICAL","OPEN","BLOCKED"))</x:f>
        <x:v>PASS</x:v>
      </x:c>
      <x:c r="G1447" t="str">
        <x:v>equals</x:v>
      </x:c>
      <x:c r="H1447" t="str">
        <x:f>IF(E1447=F1447,"PASS","FAIL")</x:f>
        <x:v>PASS</x:v>
      </x:c>
    </x:row>
    <x:row r="1448">
      <x:c r="B1448" t="str">
        <x:v>A-01402</x:v>
      </x:c>
      <x:c r="C1448" t="str">
        <x:v>GATE</x:v>
      </x:c>
      <x:c r="D1448" t="str">
        <x:v>release state mirrors governing ledger</x:v>
      </x:c>
      <x:c r="E1448" t="str">
        <x:f>'Release Gates'!I1408</x:f>
        <x:v>PASS</x:v>
      </x:c>
      <x:c r="F1448" t="str">
        <x:f>IF('Release Gates'!C1408="PLANNING","PASS",IF('Release Gates'!C1408="PHYSICAL","OPEN","BLOCKED"))</x:f>
        <x:v>PASS</x:v>
      </x:c>
      <x:c r="G1448" t="str">
        <x:v>equals</x:v>
      </x:c>
      <x:c r="H1448" t="str">
        <x:f>IF(E1448=F1448,"PASS","FAIL")</x:f>
        <x:v>PASS</x:v>
      </x:c>
    </x:row>
    <x:row r="1449">
      <x:c r="B1449" t="str">
        <x:v>A-01403</x:v>
      </x:c>
      <x:c r="C1449" t="str">
        <x:v>GATE</x:v>
      </x:c>
      <x:c r="D1449" t="str">
        <x:v>release state mirrors governing ledger</x:v>
      </x:c>
      <x:c r="E1449" t="str">
        <x:f>'Release Gates'!I1409</x:f>
        <x:v>PASS</x:v>
      </x:c>
      <x:c r="F1449" t="str">
        <x:f>IF('Release Gates'!C1409="PLANNING","PASS",IF('Release Gates'!C1409="PHYSICAL","OPEN","BLOCKED"))</x:f>
        <x:v>PASS</x:v>
      </x:c>
      <x:c r="G1449" t="str">
        <x:v>equals</x:v>
      </x:c>
      <x:c r="H1449" t="str">
        <x:f>IF(E1449=F1449,"PASS","FAIL")</x:f>
        <x:v>PASS</x:v>
      </x:c>
    </x:row>
    <x:row r="1450">
      <x:c r="B1450" t="str">
        <x:v>A-01404</x:v>
      </x:c>
      <x:c r="C1450" t="str">
        <x:v>GATE</x:v>
      </x:c>
      <x:c r="D1450" t="str">
        <x:v>release state mirrors governing ledger</x:v>
      </x:c>
      <x:c r="E1450" t="str">
        <x:f>'Release Gates'!I1410</x:f>
        <x:v>PASS</x:v>
      </x:c>
      <x:c r="F1450" t="str">
        <x:f>IF('Release Gates'!C1410="PLANNING","PASS",IF('Release Gates'!C1410="PHYSICAL","OPEN","BLOCKED"))</x:f>
        <x:v>PASS</x:v>
      </x:c>
      <x:c r="G1450" t="str">
        <x:v>equals</x:v>
      </x:c>
      <x:c r="H1450" t="str">
        <x:f>IF(E1450=F1450,"PASS","FAIL")</x:f>
        <x:v>PASS</x:v>
      </x:c>
    </x:row>
    <x:row r="1451">
      <x:c r="B1451" t="str">
        <x:v>A-01405</x:v>
      </x:c>
      <x:c r="C1451" t="str">
        <x:v>GATE</x:v>
      </x:c>
      <x:c r="D1451" t="str">
        <x:v>release state mirrors governing ledger</x:v>
      </x:c>
      <x:c r="E1451" t="str">
        <x:f>'Release Gates'!I1411</x:f>
        <x:v>PASS</x:v>
      </x:c>
      <x:c r="F1451" t="str">
        <x:f>IF('Release Gates'!C1411="PLANNING","PASS",IF('Release Gates'!C1411="PHYSICAL","OPEN","BLOCKED"))</x:f>
        <x:v>PASS</x:v>
      </x:c>
      <x:c r="G1451" t="str">
        <x:v>equals</x:v>
      </x:c>
      <x:c r="H1451" t="str">
        <x:f>IF(E1451=F1451,"PASS","FAIL")</x:f>
        <x:v>PASS</x:v>
      </x:c>
    </x:row>
    <x:row r="1452">
      <x:c r="B1452" t="str">
        <x:v>A-01406</x:v>
      </x:c>
      <x:c r="C1452" t="str">
        <x:v>GATE</x:v>
      </x:c>
      <x:c r="D1452" t="str">
        <x:v>release state mirrors governing ledger</x:v>
      </x:c>
      <x:c r="E1452" t="str">
        <x:f>'Release Gates'!I1412</x:f>
        <x:v>PASS</x:v>
      </x:c>
      <x:c r="F1452" t="str">
        <x:f>IF('Release Gates'!C1412="PLANNING","PASS",IF('Release Gates'!C1412="PHYSICAL","OPEN","BLOCKED"))</x:f>
        <x:v>PASS</x:v>
      </x:c>
      <x:c r="G1452" t="str">
        <x:v>equals</x:v>
      </x:c>
      <x:c r="H1452" t="str">
        <x:f>IF(E1452=F1452,"PASS","FAIL")</x:f>
        <x:v>PASS</x:v>
      </x:c>
    </x:row>
    <x:row r="1453">
      <x:c r="B1453" t="str">
        <x:v>A-01407</x:v>
      </x:c>
      <x:c r="C1453" t="str">
        <x:v>GATE</x:v>
      </x:c>
      <x:c r="D1453" t="str">
        <x:v>release state mirrors governing ledger</x:v>
      </x:c>
      <x:c r="E1453" t="str">
        <x:f>'Release Gates'!I1413</x:f>
        <x:v>PASS</x:v>
      </x:c>
      <x:c r="F1453" t="str">
        <x:f>IF('Release Gates'!C1413="PLANNING","PASS",IF('Release Gates'!C1413="PHYSICAL","OPEN","BLOCKED"))</x:f>
        <x:v>PASS</x:v>
      </x:c>
      <x:c r="G1453" t="str">
        <x:v>equals</x:v>
      </x:c>
      <x:c r="H1453" t="str">
        <x:f>IF(E1453=F1453,"PASS","FAIL")</x:f>
        <x:v>PASS</x:v>
      </x:c>
    </x:row>
    <x:row r="1454">
      <x:c r="B1454" t="str">
        <x:v>A-01408</x:v>
      </x:c>
      <x:c r="C1454" t="str">
        <x:v>GATE</x:v>
      </x:c>
      <x:c r="D1454" t="str">
        <x:v>release state mirrors governing ledger</x:v>
      </x:c>
      <x:c r="E1454" t="str">
        <x:f>'Release Gates'!I1414</x:f>
        <x:v>PASS</x:v>
      </x:c>
      <x:c r="F1454" t="str">
        <x:f>IF('Release Gates'!C1414="PLANNING","PASS",IF('Release Gates'!C1414="PHYSICAL","OPEN","BLOCKED"))</x:f>
        <x:v>PASS</x:v>
      </x:c>
      <x:c r="G1454" t="str">
        <x:v>equals</x:v>
      </x:c>
      <x:c r="H1454" t="str">
        <x:f>IF(E1454=F1454,"PASS","FAIL")</x:f>
        <x:v>PASS</x:v>
      </x:c>
    </x:row>
    <x:row r="1455">
      <x:c r="B1455" t="str">
        <x:v>A-01409</x:v>
      </x:c>
      <x:c r="C1455" t="str">
        <x:v>GATE</x:v>
      </x:c>
      <x:c r="D1455" t="str">
        <x:v>release state mirrors governing ledger</x:v>
      </x:c>
      <x:c r="E1455" t="str">
        <x:f>'Release Gates'!I1415</x:f>
        <x:v>PASS</x:v>
      </x:c>
      <x:c r="F1455" t="str">
        <x:f>IF('Release Gates'!C1415="PLANNING","PASS",IF('Release Gates'!C1415="PHYSICAL","OPEN","BLOCKED"))</x:f>
        <x:v>PASS</x:v>
      </x:c>
      <x:c r="G1455" t="str">
        <x:v>equals</x:v>
      </x:c>
      <x:c r="H1455" t="str">
        <x:f>IF(E1455=F1455,"PASS","FAIL")</x:f>
        <x:v>PASS</x:v>
      </x:c>
    </x:row>
    <x:row r="1456">
      <x:c r="B1456" t="str">
        <x:v>A-01410</x:v>
      </x:c>
      <x:c r="C1456" t="str">
        <x:v>GATE</x:v>
      </x:c>
      <x:c r="D1456" t="str">
        <x:v>release state mirrors governing ledger</x:v>
      </x:c>
      <x:c r="E1456" t="str">
        <x:f>'Release Gates'!I1416</x:f>
        <x:v>PASS</x:v>
      </x:c>
      <x:c r="F1456" t="str">
        <x:f>IF('Release Gates'!C1416="PLANNING","PASS",IF('Release Gates'!C1416="PHYSICAL","OPEN","BLOCKED"))</x:f>
        <x:v>PASS</x:v>
      </x:c>
      <x:c r="G1456" t="str">
        <x:v>equals</x:v>
      </x:c>
      <x:c r="H1456" t="str">
        <x:f>IF(E1456=F1456,"PASS","FAIL")</x:f>
        <x:v>PASS</x:v>
      </x:c>
    </x:row>
    <x:row r="1457">
      <x:c r="B1457" t="str">
        <x:v>A-01411</x:v>
      </x:c>
      <x:c r="C1457" t="str">
        <x:v>GATE</x:v>
      </x:c>
      <x:c r="D1457" t="str">
        <x:v>release state mirrors governing ledger</x:v>
      </x:c>
      <x:c r="E1457" t="str">
        <x:f>'Release Gates'!I1417</x:f>
        <x:v>PASS</x:v>
      </x:c>
      <x:c r="F1457" t="str">
        <x:f>IF('Release Gates'!C1417="PLANNING","PASS",IF('Release Gates'!C1417="PHYSICAL","OPEN","BLOCKED"))</x:f>
        <x:v>PASS</x:v>
      </x:c>
      <x:c r="G1457" t="str">
        <x:v>equals</x:v>
      </x:c>
      <x:c r="H1457" t="str">
        <x:f>IF(E1457=F1457,"PASS","FAIL")</x:f>
        <x:v>PASS</x:v>
      </x:c>
    </x:row>
    <x:row r="1458">
      <x:c r="B1458" t="str">
        <x:v>A-01412</x:v>
      </x:c>
      <x:c r="C1458" t="str">
        <x:v>GATE</x:v>
      </x:c>
      <x:c r="D1458" t="str">
        <x:v>release state mirrors governing ledger</x:v>
      </x:c>
      <x:c r="E1458" t="str">
        <x:f>'Release Gates'!I1418</x:f>
        <x:v>PASS</x:v>
      </x:c>
      <x:c r="F1458" t="str">
        <x:f>IF('Release Gates'!C1418="PLANNING","PASS",IF('Release Gates'!C1418="PHYSICAL","OPEN","BLOCKED"))</x:f>
        <x:v>PASS</x:v>
      </x:c>
      <x:c r="G1458" t="str">
        <x:v>equals</x:v>
      </x:c>
      <x:c r="H1458" t="str">
        <x:f>IF(E1458=F1458,"PASS","FAIL")</x:f>
        <x:v>PASS</x:v>
      </x:c>
    </x:row>
    <x:row r="1459">
      <x:c r="B1459" t="str">
        <x:v>A-01413</x:v>
      </x:c>
      <x:c r="C1459" t="str">
        <x:v>GATE</x:v>
      </x:c>
      <x:c r="D1459" t="str">
        <x:v>release state mirrors governing ledger</x:v>
      </x:c>
      <x:c r="E1459" t="str">
        <x:f>'Release Gates'!I1419</x:f>
        <x:v>PASS</x:v>
      </x:c>
      <x:c r="F1459" t="str">
        <x:f>IF('Release Gates'!C1419="PLANNING","PASS",IF('Release Gates'!C1419="PHYSICAL","OPEN","BLOCKED"))</x:f>
        <x:v>PASS</x:v>
      </x:c>
      <x:c r="G1459" t="str">
        <x:v>equals</x:v>
      </x:c>
      <x:c r="H1459" t="str">
        <x:f>IF(E1459=F1459,"PASS","FAIL")</x:f>
        <x:v>PASS</x:v>
      </x:c>
    </x:row>
    <x:row r="1460">
      <x:c r="B1460" t="str">
        <x:v>A-01414</x:v>
      </x:c>
      <x:c r="C1460" t="str">
        <x:v>GATE</x:v>
      </x:c>
      <x:c r="D1460" t="str">
        <x:v>release state mirrors governing ledger</x:v>
      </x:c>
      <x:c r="E1460" t="str">
        <x:f>'Release Gates'!I1420</x:f>
        <x:v>PASS</x:v>
      </x:c>
      <x:c r="F1460" t="str">
        <x:f>IF('Release Gates'!C1420="PLANNING","PASS",IF('Release Gates'!C1420="PHYSICAL","OPEN","BLOCKED"))</x:f>
        <x:v>PASS</x:v>
      </x:c>
      <x:c r="G1460" t="str">
        <x:v>equals</x:v>
      </x:c>
      <x:c r="H1460" t="str">
        <x:f>IF(E1460=F1460,"PASS","FAIL")</x:f>
        <x:v>PASS</x:v>
      </x:c>
    </x:row>
    <x:row r="1461">
      <x:c r="B1461" t="str">
        <x:v>A-01415</x:v>
      </x:c>
      <x:c r="C1461" t="str">
        <x:v>GATE</x:v>
      </x:c>
      <x:c r="D1461" t="str">
        <x:v>release state mirrors governing ledger</x:v>
      </x:c>
      <x:c r="E1461" t="str">
        <x:f>'Release Gates'!I1421</x:f>
        <x:v>PASS</x:v>
      </x:c>
      <x:c r="F1461" t="str">
        <x:f>IF('Release Gates'!C1421="PLANNING","PASS",IF('Release Gates'!C1421="PHYSICAL","OPEN","BLOCKED"))</x:f>
        <x:v>PASS</x:v>
      </x:c>
      <x:c r="G1461" t="str">
        <x:v>equals</x:v>
      </x:c>
      <x:c r="H1461" t="str">
        <x:f>IF(E1461=F1461,"PASS","FAIL")</x:f>
        <x:v>PASS</x:v>
      </x:c>
    </x:row>
    <x:row r="1462">
      <x:c r="B1462" t="str">
        <x:v>A-01416</x:v>
      </x:c>
      <x:c r="C1462" t="str">
        <x:v>GATE</x:v>
      </x:c>
      <x:c r="D1462" t="str">
        <x:v>release state mirrors governing ledger</x:v>
      </x:c>
      <x:c r="E1462" t="str">
        <x:f>'Release Gates'!I1422</x:f>
        <x:v>PASS</x:v>
      </x:c>
      <x:c r="F1462" t="str">
        <x:f>IF('Release Gates'!C1422="PLANNING","PASS",IF('Release Gates'!C1422="PHYSICAL","OPEN","BLOCKED"))</x:f>
        <x:v>PASS</x:v>
      </x:c>
      <x:c r="G1462" t="str">
        <x:v>equals</x:v>
      </x:c>
      <x:c r="H1462" t="str">
        <x:f>IF(E1462=F1462,"PASS","FAIL")</x:f>
        <x:v>PASS</x:v>
      </x:c>
    </x:row>
    <x:row r="1463">
      <x:c r="B1463" t="str">
        <x:v>A-01417</x:v>
      </x:c>
      <x:c r="C1463" t="str">
        <x:v>GATE</x:v>
      </x:c>
      <x:c r="D1463" t="str">
        <x:v>release state mirrors governing ledger</x:v>
      </x:c>
      <x:c r="E1463" t="str">
        <x:f>'Release Gates'!I1423</x:f>
        <x:v>PASS</x:v>
      </x:c>
      <x:c r="F1463" t="str">
        <x:f>IF('Release Gates'!C1423="PLANNING","PASS",IF('Release Gates'!C1423="PHYSICAL","OPEN","BLOCKED"))</x:f>
        <x:v>PASS</x:v>
      </x:c>
      <x:c r="G1463" t="str">
        <x:v>equals</x:v>
      </x:c>
      <x:c r="H1463" t="str">
        <x:f>IF(E1463=F1463,"PASS","FAIL")</x:f>
        <x:v>PASS</x:v>
      </x:c>
    </x:row>
    <x:row r="1464">
      <x:c r="B1464" t="str">
        <x:v>A-01418</x:v>
      </x:c>
      <x:c r="C1464" t="str">
        <x:v>GATE</x:v>
      </x:c>
      <x:c r="D1464" t="str">
        <x:v>release state mirrors governing ledger</x:v>
      </x:c>
      <x:c r="E1464" t="str">
        <x:f>'Release Gates'!I1424</x:f>
        <x:v>PASS</x:v>
      </x:c>
      <x:c r="F1464" t="str">
        <x:f>IF('Release Gates'!C1424="PLANNING","PASS",IF('Release Gates'!C1424="PHYSICAL","OPEN","BLOCKED"))</x:f>
        <x:v>PASS</x:v>
      </x:c>
      <x:c r="G1464" t="str">
        <x:v>equals</x:v>
      </x:c>
      <x:c r="H1464" t="str">
        <x:f>IF(E1464=F1464,"PASS","FAIL")</x:f>
        <x:v>PASS</x:v>
      </x:c>
    </x:row>
    <x:row r="1465">
      <x:c r="B1465" t="str">
        <x:v>A-01419</x:v>
      </x:c>
      <x:c r="C1465" t="str">
        <x:v>GATE</x:v>
      </x:c>
      <x:c r="D1465" t="str">
        <x:v>release state mirrors governing ledger</x:v>
      </x:c>
      <x:c r="E1465" t="str">
        <x:f>'Release Gates'!I1425</x:f>
        <x:v>PASS</x:v>
      </x:c>
      <x:c r="F1465" t="str">
        <x:f>IF('Release Gates'!C1425="PLANNING","PASS",IF('Release Gates'!C1425="PHYSICAL","OPEN","BLOCKED"))</x:f>
        <x:v>PASS</x:v>
      </x:c>
      <x:c r="G1465" t="str">
        <x:v>equals</x:v>
      </x:c>
      <x:c r="H1465" t="str">
        <x:f>IF(E1465=F1465,"PASS","FAIL")</x:f>
        <x:v>PASS</x:v>
      </x:c>
    </x:row>
    <x:row r="1466">
      <x:c r="B1466" t="str">
        <x:v>A-01420</x:v>
      </x:c>
      <x:c r="C1466" t="str">
        <x:v>GATE</x:v>
      </x:c>
      <x:c r="D1466" t="str">
        <x:v>release state mirrors governing ledger</x:v>
      </x:c>
      <x:c r="E1466" t="str">
        <x:f>'Release Gates'!I1426</x:f>
        <x:v>PASS</x:v>
      </x:c>
      <x:c r="F1466" t="str">
        <x:f>IF('Release Gates'!C1426="PLANNING","PASS",IF('Release Gates'!C1426="PHYSICAL","OPEN","BLOCKED"))</x:f>
        <x:v>PASS</x:v>
      </x:c>
      <x:c r="G1466" t="str">
        <x:v>equals</x:v>
      </x:c>
      <x:c r="H1466" t="str">
        <x:f>IF(E1466=F1466,"PASS","FAIL")</x:f>
        <x:v>PASS</x:v>
      </x:c>
    </x:row>
    <x:row r="1467">
      <x:c r="B1467" t="str">
        <x:v>A-01421</x:v>
      </x:c>
      <x:c r="C1467" t="str">
        <x:v>GATE</x:v>
      </x:c>
      <x:c r="D1467" t="str">
        <x:v>release state mirrors governing ledger</x:v>
      </x:c>
      <x:c r="E1467" t="str">
        <x:f>'Release Gates'!I1427</x:f>
        <x:v>PASS</x:v>
      </x:c>
      <x:c r="F1467" t="str">
        <x:f>IF('Release Gates'!C1427="PLANNING","PASS",IF('Release Gates'!C1427="PHYSICAL","OPEN","BLOCKED"))</x:f>
        <x:v>PASS</x:v>
      </x:c>
      <x:c r="G1467" t="str">
        <x:v>equals</x:v>
      </x:c>
      <x:c r="H1467" t="str">
        <x:f>IF(E1467=F1467,"PASS","FAIL")</x:f>
        <x:v>PASS</x:v>
      </x:c>
    </x:row>
    <x:row r="1468">
      <x:c r="B1468" t="str">
        <x:v>A-01422</x:v>
      </x:c>
      <x:c r="C1468" t="str">
        <x:v>GATE</x:v>
      </x:c>
      <x:c r="D1468" t="str">
        <x:v>release state mirrors governing ledger</x:v>
      </x:c>
      <x:c r="E1468" t="str">
        <x:f>'Release Gates'!I1428</x:f>
        <x:v>PASS</x:v>
      </x:c>
      <x:c r="F1468" t="str">
        <x:f>IF('Release Gates'!C1428="PLANNING","PASS",IF('Release Gates'!C1428="PHYSICAL","OPEN","BLOCKED"))</x:f>
        <x:v>PASS</x:v>
      </x:c>
      <x:c r="G1468" t="str">
        <x:v>equals</x:v>
      </x:c>
      <x:c r="H1468" t="str">
        <x:f>IF(E1468=F1468,"PASS","FAIL")</x:f>
        <x:v>PASS</x:v>
      </x:c>
    </x:row>
    <x:row r="1469">
      <x:c r="B1469" t="str">
        <x:v>A-01423</x:v>
      </x:c>
      <x:c r="C1469" t="str">
        <x:v>GATE</x:v>
      </x:c>
      <x:c r="D1469" t="str">
        <x:v>release state mirrors governing ledger</x:v>
      </x:c>
      <x:c r="E1469" t="str">
        <x:f>'Release Gates'!I1429</x:f>
        <x:v>PASS</x:v>
      </x:c>
      <x:c r="F1469" t="str">
        <x:f>IF('Release Gates'!C1429="PLANNING","PASS",IF('Release Gates'!C1429="PHYSICAL","OPEN","BLOCKED"))</x:f>
        <x:v>PASS</x:v>
      </x:c>
      <x:c r="G1469" t="str">
        <x:v>equals</x:v>
      </x:c>
      <x:c r="H1469" t="str">
        <x:f>IF(E1469=F1469,"PASS","FAIL")</x:f>
        <x:v>PASS</x:v>
      </x:c>
    </x:row>
    <x:row r="1470">
      <x:c r="B1470" t="str">
        <x:v>A-01424</x:v>
      </x:c>
      <x:c r="C1470" t="str">
        <x:v>GATE</x:v>
      </x:c>
      <x:c r="D1470" t="str">
        <x:v>release state mirrors governing ledger</x:v>
      </x:c>
      <x:c r="E1470" t="str">
        <x:f>'Release Gates'!I1430</x:f>
        <x:v>PASS</x:v>
      </x:c>
      <x:c r="F1470" t="str">
        <x:f>IF('Release Gates'!C1430="PLANNING","PASS",IF('Release Gates'!C1430="PHYSICAL","OPEN","BLOCKED"))</x:f>
        <x:v>PASS</x:v>
      </x:c>
      <x:c r="G1470" t="str">
        <x:v>equals</x:v>
      </x:c>
      <x:c r="H1470" t="str">
        <x:f>IF(E1470=F1470,"PASS","FAIL")</x:f>
        <x:v>PASS</x:v>
      </x:c>
    </x:row>
    <x:row r="1471">
      <x:c r="B1471" t="str">
        <x:v>A-01425</x:v>
      </x:c>
      <x:c r="C1471" t="str">
        <x:v>GATE</x:v>
      </x:c>
      <x:c r="D1471" t="str">
        <x:v>release state mirrors governing ledger</x:v>
      </x:c>
      <x:c r="E1471" t="str">
        <x:f>'Release Gates'!I1431</x:f>
        <x:v>PASS</x:v>
      </x:c>
      <x:c r="F1471" t="str">
        <x:f>IF('Release Gates'!C1431="PLANNING","PASS",IF('Release Gates'!C1431="PHYSICAL","OPEN","BLOCKED"))</x:f>
        <x:v>PASS</x:v>
      </x:c>
      <x:c r="G1471" t="str">
        <x:v>equals</x:v>
      </x:c>
      <x:c r="H1471" t="str">
        <x:f>IF(E1471=F1471,"PASS","FAIL")</x:f>
        <x:v>PASS</x:v>
      </x:c>
    </x:row>
    <x:row r="1472">
      <x:c r="B1472" t="str">
        <x:v>A-01426</x:v>
      </x:c>
      <x:c r="C1472" t="str">
        <x:v>GATE</x:v>
      </x:c>
      <x:c r="D1472" t="str">
        <x:v>release state mirrors governing ledger</x:v>
      </x:c>
      <x:c r="E1472" t="str">
        <x:f>'Release Gates'!I1432</x:f>
        <x:v>PASS</x:v>
      </x:c>
      <x:c r="F1472" t="str">
        <x:f>IF('Release Gates'!C1432="PLANNING","PASS",IF('Release Gates'!C1432="PHYSICAL","OPEN","BLOCKED"))</x:f>
        <x:v>PASS</x:v>
      </x:c>
      <x:c r="G1472" t="str">
        <x:v>equals</x:v>
      </x:c>
      <x:c r="H1472" t="str">
        <x:f>IF(E1472=F1472,"PASS","FAIL")</x:f>
        <x:v>PASS</x:v>
      </x:c>
    </x:row>
    <x:row r="1473">
      <x:c r="B1473" t="str">
        <x:v>A-01427</x:v>
      </x:c>
      <x:c r="C1473" t="str">
        <x:v>GATE</x:v>
      </x:c>
      <x:c r="D1473" t="str">
        <x:v>release state mirrors governing ledger</x:v>
      </x:c>
      <x:c r="E1473" t="str">
        <x:f>'Release Gates'!I1433</x:f>
        <x:v>PASS</x:v>
      </x:c>
      <x:c r="F1473" t="str">
        <x:f>IF('Release Gates'!C1433="PLANNING","PASS",IF('Release Gates'!C1433="PHYSICAL","OPEN","BLOCKED"))</x:f>
        <x:v>PASS</x:v>
      </x:c>
      <x:c r="G1473" t="str">
        <x:v>equals</x:v>
      </x:c>
      <x:c r="H1473" t="str">
        <x:f>IF(E1473=F1473,"PASS","FAIL")</x:f>
        <x:v>PASS</x:v>
      </x:c>
    </x:row>
    <x:row r="1474">
      <x:c r="B1474" t="str">
        <x:v>A-01428</x:v>
      </x:c>
      <x:c r="C1474" t="str">
        <x:v>GATE</x:v>
      </x:c>
      <x:c r="D1474" t="str">
        <x:v>release state mirrors governing ledger</x:v>
      </x:c>
      <x:c r="E1474" t="str">
        <x:f>'Release Gates'!I1434</x:f>
        <x:v>PASS</x:v>
      </x:c>
      <x:c r="F1474" t="str">
        <x:f>IF('Release Gates'!C1434="PLANNING","PASS",IF('Release Gates'!C1434="PHYSICAL","OPEN","BLOCKED"))</x:f>
        <x:v>PASS</x:v>
      </x:c>
      <x:c r="G1474" t="str">
        <x:v>equals</x:v>
      </x:c>
      <x:c r="H1474" t="str">
        <x:f>IF(E1474=F1474,"PASS","FAIL")</x:f>
        <x:v>PASS</x:v>
      </x:c>
    </x:row>
    <x:row r="1475">
      <x:c r="B1475" t="str">
        <x:v>A-01429</x:v>
      </x:c>
      <x:c r="C1475" t="str">
        <x:v>GATE</x:v>
      </x:c>
      <x:c r="D1475" t="str">
        <x:v>release state mirrors governing ledger</x:v>
      </x:c>
      <x:c r="E1475" t="str">
        <x:f>'Release Gates'!I1435</x:f>
        <x:v>PASS</x:v>
      </x:c>
      <x:c r="F1475" t="str">
        <x:f>IF('Release Gates'!C1435="PLANNING","PASS",IF('Release Gates'!C1435="PHYSICAL","OPEN","BLOCKED"))</x:f>
        <x:v>PASS</x:v>
      </x:c>
      <x:c r="G1475" t="str">
        <x:v>equals</x:v>
      </x:c>
      <x:c r="H1475" t="str">
        <x:f>IF(E1475=F1475,"PASS","FAIL")</x:f>
        <x:v>PASS</x:v>
      </x:c>
    </x:row>
    <x:row r="1476">
      <x:c r="B1476" t="str">
        <x:v>A-01430</x:v>
      </x:c>
      <x:c r="C1476" t="str">
        <x:v>GATE</x:v>
      </x:c>
      <x:c r="D1476" t="str">
        <x:v>release state mirrors governing ledger</x:v>
      </x:c>
      <x:c r="E1476" t="str">
        <x:f>'Release Gates'!I1436</x:f>
        <x:v>PASS</x:v>
      </x:c>
      <x:c r="F1476" t="str">
        <x:f>IF('Release Gates'!C1436="PLANNING","PASS",IF('Release Gates'!C1436="PHYSICAL","OPEN","BLOCKED"))</x:f>
        <x:v>PASS</x:v>
      </x:c>
      <x:c r="G1476" t="str">
        <x:v>equals</x:v>
      </x:c>
      <x:c r="H1476" t="str">
        <x:f>IF(E1476=F1476,"PASS","FAIL")</x:f>
        <x:v>PASS</x:v>
      </x:c>
    </x:row>
    <x:row r="1477">
      <x:c r="B1477" t="str">
        <x:v>A-01431</x:v>
      </x:c>
      <x:c r="C1477" t="str">
        <x:v>GATE</x:v>
      </x:c>
      <x:c r="D1477" t="str">
        <x:v>release state mirrors governing ledger</x:v>
      </x:c>
      <x:c r="E1477" t="str">
        <x:f>'Release Gates'!I1437</x:f>
        <x:v>PASS</x:v>
      </x:c>
      <x:c r="F1477" t="str">
        <x:f>IF('Release Gates'!C1437="PLANNING","PASS",IF('Release Gates'!C1437="PHYSICAL","OPEN","BLOCKED"))</x:f>
        <x:v>PASS</x:v>
      </x:c>
      <x:c r="G1477" t="str">
        <x:v>equals</x:v>
      </x:c>
      <x:c r="H1477" t="str">
        <x:f>IF(E1477=F1477,"PASS","FAIL")</x:f>
        <x:v>PASS</x:v>
      </x:c>
    </x:row>
    <x:row r="1478">
      <x:c r="B1478" t="str">
        <x:v>A-01432</x:v>
      </x:c>
      <x:c r="C1478" t="str">
        <x:v>GATE</x:v>
      </x:c>
      <x:c r="D1478" t="str">
        <x:v>release state mirrors governing ledger</x:v>
      </x:c>
      <x:c r="E1478" t="str">
        <x:f>'Release Gates'!I1438</x:f>
        <x:v>PASS</x:v>
      </x:c>
      <x:c r="F1478" t="str">
        <x:f>IF('Release Gates'!C1438="PLANNING","PASS",IF('Release Gates'!C1438="PHYSICAL","OPEN","BLOCKED"))</x:f>
        <x:v>PASS</x:v>
      </x:c>
      <x:c r="G1478" t="str">
        <x:v>equals</x:v>
      </x:c>
      <x:c r="H1478" t="str">
        <x:f>IF(E1478=F1478,"PASS","FAIL")</x:f>
        <x:v>PASS</x:v>
      </x:c>
    </x:row>
    <x:row r="1479">
      <x:c r="B1479" t="str">
        <x:v>A-01433</x:v>
      </x:c>
      <x:c r="C1479" t="str">
        <x:v>GATE</x:v>
      </x:c>
      <x:c r="D1479" t="str">
        <x:v>release state mirrors governing ledger</x:v>
      </x:c>
      <x:c r="E1479" t="str">
        <x:f>'Release Gates'!I1439</x:f>
        <x:v>PASS</x:v>
      </x:c>
      <x:c r="F1479" t="str">
        <x:f>IF('Release Gates'!C1439="PLANNING","PASS",IF('Release Gates'!C1439="PHYSICAL","OPEN","BLOCKED"))</x:f>
        <x:v>PASS</x:v>
      </x:c>
      <x:c r="G1479" t="str">
        <x:v>equals</x:v>
      </x:c>
      <x:c r="H1479" t="str">
        <x:f>IF(E1479=F1479,"PASS","FAIL")</x:f>
        <x:v>PASS</x:v>
      </x:c>
    </x:row>
    <x:row r="1480">
      <x:c r="B1480" t="str">
        <x:v>A-01434</x:v>
      </x:c>
      <x:c r="C1480" t="str">
        <x:v>GATE</x:v>
      </x:c>
      <x:c r="D1480" t="str">
        <x:v>release state mirrors governing ledger</x:v>
      </x:c>
      <x:c r="E1480" t="str">
        <x:f>'Release Gates'!I1440</x:f>
        <x:v>PASS</x:v>
      </x:c>
      <x:c r="F1480" t="str">
        <x:f>IF('Release Gates'!C1440="PLANNING","PASS",IF('Release Gates'!C1440="PHYSICAL","OPEN","BLOCKED"))</x:f>
        <x:v>PASS</x:v>
      </x:c>
      <x:c r="G1480" t="str">
        <x:v>equals</x:v>
      </x:c>
      <x:c r="H1480" t="str">
        <x:f>IF(E1480=F1480,"PASS","FAIL")</x:f>
        <x:v>PASS</x:v>
      </x:c>
    </x:row>
    <x:row r="1481">
      <x:c r="B1481" t="str">
        <x:v>A-01435</x:v>
      </x:c>
      <x:c r="C1481" t="str">
        <x:v>GATE</x:v>
      </x:c>
      <x:c r="D1481" t="str">
        <x:v>release state mirrors governing ledger</x:v>
      </x:c>
      <x:c r="E1481" t="str">
        <x:f>'Release Gates'!I1441</x:f>
        <x:v>PASS</x:v>
      </x:c>
      <x:c r="F1481" t="str">
        <x:f>IF('Release Gates'!C1441="PLANNING","PASS",IF('Release Gates'!C1441="PHYSICAL","OPEN","BLOCKED"))</x:f>
        <x:v>PASS</x:v>
      </x:c>
      <x:c r="G1481" t="str">
        <x:v>equals</x:v>
      </x:c>
      <x:c r="H1481" t="str">
        <x:f>IF(E1481=F1481,"PASS","FAIL")</x:f>
        <x:v>PASS</x:v>
      </x:c>
    </x:row>
    <x:row r="1482">
      <x:c r="B1482" t="str">
        <x:v>A-01436</x:v>
      </x:c>
      <x:c r="C1482" t="str">
        <x:v>GATE</x:v>
      </x:c>
      <x:c r="D1482" t="str">
        <x:v>release state mirrors governing ledger</x:v>
      </x:c>
      <x:c r="E1482" t="str">
        <x:f>'Release Gates'!I1442</x:f>
        <x:v>PASS</x:v>
      </x:c>
      <x:c r="F1482" t="str">
        <x:f>IF('Release Gates'!C1442="PLANNING","PASS",IF('Release Gates'!C1442="PHYSICAL","OPEN","BLOCKED"))</x:f>
        <x:v>PASS</x:v>
      </x:c>
      <x:c r="G1482" t="str">
        <x:v>equals</x:v>
      </x:c>
      <x:c r="H1482" t="str">
        <x:f>IF(E1482=F1482,"PASS","FAIL")</x:f>
        <x:v>PASS</x:v>
      </x:c>
    </x:row>
    <x:row r="1483">
      <x:c r="B1483" t="str">
        <x:v>A-01437</x:v>
      </x:c>
      <x:c r="C1483" t="str">
        <x:v>GATE</x:v>
      </x:c>
      <x:c r="D1483" t="str">
        <x:v>release state mirrors governing ledger</x:v>
      </x:c>
      <x:c r="E1483" t="str">
        <x:f>'Release Gates'!I1443</x:f>
        <x:v>PASS</x:v>
      </x:c>
      <x:c r="F1483" t="str">
        <x:f>IF('Release Gates'!C1443="PLANNING","PASS",IF('Release Gates'!C1443="PHYSICAL","OPEN","BLOCKED"))</x:f>
        <x:v>PASS</x:v>
      </x:c>
      <x:c r="G1483" t="str">
        <x:v>equals</x:v>
      </x:c>
      <x:c r="H1483" t="str">
        <x:f>IF(E1483=F1483,"PASS","FAIL")</x:f>
        <x:v>PASS</x:v>
      </x:c>
    </x:row>
    <x:row r="1484">
      <x:c r="B1484" t="str">
        <x:v>A-01438</x:v>
      </x:c>
      <x:c r="C1484" t="str">
        <x:v>GATE</x:v>
      </x:c>
      <x:c r="D1484" t="str">
        <x:v>release state mirrors governing ledger</x:v>
      </x:c>
      <x:c r="E1484" t="str">
        <x:f>'Release Gates'!I1444</x:f>
        <x:v>PASS</x:v>
      </x:c>
      <x:c r="F1484" t="str">
        <x:f>IF('Release Gates'!C1444="PLANNING","PASS",IF('Release Gates'!C1444="PHYSICAL","OPEN","BLOCKED"))</x:f>
        <x:v>PASS</x:v>
      </x:c>
      <x:c r="G1484" t="str">
        <x:v>equals</x:v>
      </x:c>
      <x:c r="H1484" t="str">
        <x:f>IF(E1484=F1484,"PASS","FAIL")</x:f>
        <x:v>PASS</x:v>
      </x:c>
    </x:row>
    <x:row r="1485">
      <x:c r="B1485" t="str">
        <x:v>A-01439</x:v>
      </x:c>
      <x:c r="C1485" t="str">
        <x:v>GATE</x:v>
      </x:c>
      <x:c r="D1485" t="str">
        <x:v>release state mirrors governing ledger</x:v>
      </x:c>
      <x:c r="E1485" t="str">
        <x:f>'Release Gates'!I1445</x:f>
        <x:v>PASS</x:v>
      </x:c>
      <x:c r="F1485" t="str">
        <x:f>IF('Release Gates'!C1445="PLANNING","PASS",IF('Release Gates'!C1445="PHYSICAL","OPEN","BLOCKED"))</x:f>
        <x:v>PASS</x:v>
      </x:c>
      <x:c r="G1485" t="str">
        <x:v>equals</x:v>
      </x:c>
      <x:c r="H1485" t="str">
        <x:f>IF(E1485=F1485,"PASS","FAIL")</x:f>
        <x:v>PASS</x:v>
      </x:c>
    </x:row>
    <x:row r="1486">
      <x:c r="B1486" t="str">
        <x:v>A-01440</x:v>
      </x:c>
      <x:c r="C1486" t="str">
        <x:v>GATE</x:v>
      </x:c>
      <x:c r="D1486" t="str">
        <x:v>release state mirrors governing ledger</x:v>
      </x:c>
      <x:c r="E1486" t="str">
        <x:f>'Release Gates'!I1446</x:f>
        <x:v>PASS</x:v>
      </x:c>
      <x:c r="F1486" t="str">
        <x:f>IF('Release Gates'!C1446="PLANNING","PASS",IF('Release Gates'!C1446="PHYSICAL","OPEN","BLOCKED"))</x:f>
        <x:v>PASS</x:v>
      </x:c>
      <x:c r="G1486" t="str">
        <x:v>equals</x:v>
      </x:c>
      <x:c r="H1486" t="str">
        <x:f>IF(E1486=F1486,"PASS","FAIL")</x:f>
        <x:v>PASS</x:v>
      </x:c>
    </x:row>
    <x:row r="1487">
      <x:c r="B1487" t="str">
        <x:v>A-01441</x:v>
      </x:c>
      <x:c r="C1487" t="str">
        <x:v>GATE</x:v>
      </x:c>
      <x:c r="D1487" t="str">
        <x:v>release state mirrors governing ledger</x:v>
      </x:c>
      <x:c r="E1487" t="str">
        <x:f>'Release Gates'!I1447</x:f>
        <x:v>PASS</x:v>
      </x:c>
      <x:c r="F1487" t="str">
        <x:f>IF('Release Gates'!C1447="PLANNING","PASS",IF('Release Gates'!C1447="PHYSICAL","OPEN","BLOCKED"))</x:f>
        <x:v>PASS</x:v>
      </x:c>
      <x:c r="G1487" t="str">
        <x:v>equals</x:v>
      </x:c>
      <x:c r="H1487" t="str">
        <x:f>IF(E1487=F1487,"PASS","FAIL")</x:f>
        <x:v>PASS</x:v>
      </x:c>
    </x:row>
    <x:row r="1488">
      <x:c r="B1488" t="str">
        <x:v>A-01442</x:v>
      </x:c>
      <x:c r="C1488" t="str">
        <x:v>GATE</x:v>
      </x:c>
      <x:c r="D1488" t="str">
        <x:v>release state mirrors governing ledger</x:v>
      </x:c>
      <x:c r="E1488" t="str">
        <x:f>'Release Gates'!I1448</x:f>
        <x:v>PASS</x:v>
      </x:c>
      <x:c r="F1488" t="str">
        <x:f>IF('Release Gates'!C1448="PLANNING","PASS",IF('Release Gates'!C1448="PHYSICAL","OPEN","BLOCKED"))</x:f>
        <x:v>PASS</x:v>
      </x:c>
      <x:c r="G1488" t="str">
        <x:v>equals</x:v>
      </x:c>
      <x:c r="H1488" t="str">
        <x:f>IF(E1488=F1488,"PASS","FAIL")</x:f>
        <x:v>PASS</x:v>
      </x:c>
    </x:row>
    <x:row r="1489">
      <x:c r="B1489" t="str">
        <x:v>A-01443</x:v>
      </x:c>
      <x:c r="C1489" t="str">
        <x:v>GATE</x:v>
      </x:c>
      <x:c r="D1489" t="str">
        <x:v>release state mirrors governing ledger</x:v>
      </x:c>
      <x:c r="E1489" t="str">
        <x:f>'Release Gates'!I1449</x:f>
        <x:v>PASS</x:v>
      </x:c>
      <x:c r="F1489" t="str">
        <x:f>IF('Release Gates'!C1449="PLANNING","PASS",IF('Release Gates'!C1449="PHYSICAL","OPEN","BLOCKED"))</x:f>
        <x:v>PASS</x:v>
      </x:c>
      <x:c r="G1489" t="str">
        <x:v>equals</x:v>
      </x:c>
      <x:c r="H1489" t="str">
        <x:f>IF(E1489=F1489,"PASS","FAIL")</x:f>
        <x:v>PASS</x:v>
      </x:c>
    </x:row>
    <x:row r="1490">
      <x:c r="B1490" t="str">
        <x:v>A-01444</x:v>
      </x:c>
      <x:c r="C1490" t="str">
        <x:v>GATE</x:v>
      </x:c>
      <x:c r="D1490" t="str">
        <x:v>release state mirrors governing ledger</x:v>
      </x:c>
      <x:c r="E1490" t="str">
        <x:f>'Release Gates'!I1450</x:f>
        <x:v>PASS</x:v>
      </x:c>
      <x:c r="F1490" t="str">
        <x:f>IF('Release Gates'!C1450="PLANNING","PASS",IF('Release Gates'!C1450="PHYSICAL","OPEN","BLOCKED"))</x:f>
        <x:v>PASS</x:v>
      </x:c>
      <x:c r="G1490" t="str">
        <x:v>equals</x:v>
      </x:c>
      <x:c r="H1490" t="str">
        <x:f>IF(E1490=F1490,"PASS","FAIL")</x:f>
        <x:v>PASS</x:v>
      </x:c>
    </x:row>
    <x:row r="1491">
      <x:c r="B1491" t="str">
        <x:v>A-01445</x:v>
      </x:c>
      <x:c r="C1491" t="str">
        <x:v>GATE</x:v>
      </x:c>
      <x:c r="D1491" t="str">
        <x:v>release state mirrors governing ledger</x:v>
      </x:c>
      <x:c r="E1491" t="str">
        <x:f>'Release Gates'!I1451</x:f>
        <x:v>PASS</x:v>
      </x:c>
      <x:c r="F1491" t="str">
        <x:f>IF('Release Gates'!C1451="PLANNING","PASS",IF('Release Gates'!C1451="PHYSICAL","OPEN","BLOCKED"))</x:f>
        <x:v>PASS</x:v>
      </x:c>
      <x:c r="G1491" t="str">
        <x:v>equals</x:v>
      </x:c>
      <x:c r="H1491" t="str">
        <x:f>IF(E1491=F1491,"PASS","FAIL")</x:f>
        <x:v>PASS</x:v>
      </x:c>
    </x:row>
    <x:row r="1492">
      <x:c r="B1492" t="str">
        <x:v>A-01446</x:v>
      </x:c>
      <x:c r="C1492" t="str">
        <x:v>GATE</x:v>
      </x:c>
      <x:c r="D1492" t="str">
        <x:v>release state mirrors governing ledger</x:v>
      </x:c>
      <x:c r="E1492" t="str">
        <x:f>'Release Gates'!I1452</x:f>
        <x:v>PASS</x:v>
      </x:c>
      <x:c r="F1492" t="str">
        <x:f>IF('Release Gates'!C1452="PLANNING","PASS",IF('Release Gates'!C1452="PHYSICAL","OPEN","BLOCKED"))</x:f>
        <x:v>PASS</x:v>
      </x:c>
      <x:c r="G1492" t="str">
        <x:v>equals</x:v>
      </x:c>
      <x:c r="H1492" t="str">
        <x:f>IF(E1492=F1492,"PASS","FAIL")</x:f>
        <x:v>PASS</x:v>
      </x:c>
    </x:row>
    <x:row r="1493">
      <x:c r="B1493" t="str">
        <x:v>A-01447</x:v>
      </x:c>
      <x:c r="C1493" t="str">
        <x:v>GATE</x:v>
      </x:c>
      <x:c r="D1493" t="str">
        <x:v>release state mirrors governing ledger</x:v>
      </x:c>
      <x:c r="E1493" t="str">
        <x:f>'Release Gates'!I1453</x:f>
        <x:v>PASS</x:v>
      </x:c>
      <x:c r="F1493" t="str">
        <x:f>IF('Release Gates'!C1453="PLANNING","PASS",IF('Release Gates'!C1453="PHYSICAL","OPEN","BLOCKED"))</x:f>
        <x:v>PASS</x:v>
      </x:c>
      <x:c r="G1493" t="str">
        <x:v>equals</x:v>
      </x:c>
      <x:c r="H1493" t="str">
        <x:f>IF(E1493=F1493,"PASS","FAIL")</x:f>
        <x:v>PASS</x:v>
      </x:c>
    </x:row>
    <x:row r="1494">
      <x:c r="B1494" t="str">
        <x:v>A-01448</x:v>
      </x:c>
      <x:c r="C1494" t="str">
        <x:v>GATE</x:v>
      </x:c>
      <x:c r="D1494" t="str">
        <x:v>release state mirrors governing ledger</x:v>
      </x:c>
      <x:c r="E1494" t="str">
        <x:f>'Release Gates'!I1454</x:f>
        <x:v>PASS</x:v>
      </x:c>
      <x:c r="F1494" t="str">
        <x:f>IF('Release Gates'!C1454="PLANNING","PASS",IF('Release Gates'!C1454="PHYSICAL","OPEN","BLOCKED"))</x:f>
        <x:v>PASS</x:v>
      </x:c>
      <x:c r="G1494" t="str">
        <x:v>equals</x:v>
      </x:c>
      <x:c r="H1494" t="str">
        <x:f>IF(E1494=F1494,"PASS","FAIL")</x:f>
        <x:v>PASS</x:v>
      </x:c>
    </x:row>
    <x:row r="1495">
      <x:c r="B1495" t="str">
        <x:v>A-01449</x:v>
      </x:c>
      <x:c r="C1495" t="str">
        <x:v>GATE</x:v>
      </x:c>
      <x:c r="D1495" t="str">
        <x:v>release state mirrors governing ledger</x:v>
      </x:c>
      <x:c r="E1495" t="str">
        <x:f>'Release Gates'!I1455</x:f>
        <x:v>PASS</x:v>
      </x:c>
      <x:c r="F1495" t="str">
        <x:f>IF('Release Gates'!C1455="PLANNING","PASS",IF('Release Gates'!C1455="PHYSICAL","OPEN","BLOCKED"))</x:f>
        <x:v>PASS</x:v>
      </x:c>
      <x:c r="G1495" t="str">
        <x:v>equals</x:v>
      </x:c>
      <x:c r="H1495" t="str">
        <x:f>IF(E1495=F1495,"PASS","FAIL")</x:f>
        <x:v>PASS</x:v>
      </x:c>
    </x:row>
    <x:row r="1496">
      <x:c r="B1496" t="str">
        <x:v>A-01450</x:v>
      </x:c>
      <x:c r="C1496" t="str">
        <x:v>GATE</x:v>
      </x:c>
      <x:c r="D1496" t="str">
        <x:v>release state mirrors governing ledger</x:v>
      </x:c>
      <x:c r="E1496" t="str">
        <x:f>'Release Gates'!I1456</x:f>
        <x:v>PASS</x:v>
      </x:c>
      <x:c r="F1496" t="str">
        <x:f>IF('Release Gates'!C1456="PLANNING","PASS",IF('Release Gates'!C1456="PHYSICAL","OPEN","BLOCKED"))</x:f>
        <x:v>PASS</x:v>
      </x:c>
      <x:c r="G1496" t="str">
        <x:v>equals</x:v>
      </x:c>
      <x:c r="H1496" t="str">
        <x:f>IF(E1496=F1496,"PASS","FAIL")</x:f>
        <x:v>PASS</x:v>
      </x:c>
    </x:row>
    <x:row r="1497">
      <x:c r="B1497" t="str">
        <x:v>A-01451</x:v>
      </x:c>
      <x:c r="C1497" t="str">
        <x:v>GATE</x:v>
      </x:c>
      <x:c r="D1497" t="str">
        <x:v>release state mirrors governing ledger</x:v>
      </x:c>
      <x:c r="E1497" t="str">
        <x:f>'Release Gates'!I1457</x:f>
        <x:v>PASS</x:v>
      </x:c>
      <x:c r="F1497" t="str">
        <x:f>IF('Release Gates'!C1457="PLANNING","PASS",IF('Release Gates'!C1457="PHYSICAL","OPEN","BLOCKED"))</x:f>
        <x:v>PASS</x:v>
      </x:c>
      <x:c r="G1497" t="str">
        <x:v>equals</x:v>
      </x:c>
      <x:c r="H1497" t="str">
        <x:f>IF(E1497=F1497,"PASS","FAIL")</x:f>
        <x:v>PASS</x:v>
      </x:c>
    </x:row>
    <x:row r="1498">
      <x:c r="B1498" t="str">
        <x:v>A-01452</x:v>
      </x:c>
      <x:c r="C1498" t="str">
        <x:v>GATE</x:v>
      </x:c>
      <x:c r="D1498" t="str">
        <x:v>release state mirrors governing ledger</x:v>
      </x:c>
      <x:c r="E1498" t="str">
        <x:f>'Release Gates'!I1458</x:f>
        <x:v>PASS</x:v>
      </x:c>
      <x:c r="F1498" t="str">
        <x:f>IF('Release Gates'!C1458="PLANNING","PASS",IF('Release Gates'!C1458="PHYSICAL","OPEN","BLOCKED"))</x:f>
        <x:v>PASS</x:v>
      </x:c>
      <x:c r="G1498" t="str">
        <x:v>equals</x:v>
      </x:c>
      <x:c r="H1498" t="str">
        <x:f>IF(E1498=F1498,"PASS","FAIL")</x:f>
        <x:v>PASS</x:v>
      </x:c>
    </x:row>
    <x:row r="1499">
      <x:c r="B1499" t="str">
        <x:v>A-01453</x:v>
      </x:c>
      <x:c r="C1499" t="str">
        <x:v>GATE</x:v>
      </x:c>
      <x:c r="D1499" t="str">
        <x:v>release state mirrors governing ledger</x:v>
      </x:c>
      <x:c r="E1499" t="str">
        <x:f>'Release Gates'!I1459</x:f>
        <x:v>PASS</x:v>
      </x:c>
      <x:c r="F1499" t="str">
        <x:f>IF('Release Gates'!C1459="PLANNING","PASS",IF('Release Gates'!C1459="PHYSICAL","OPEN","BLOCKED"))</x:f>
        <x:v>PASS</x:v>
      </x:c>
      <x:c r="G1499" t="str">
        <x:v>equals</x:v>
      </x:c>
      <x:c r="H1499" t="str">
        <x:f>IF(E1499=F1499,"PASS","FAIL")</x:f>
        <x:v>PASS</x:v>
      </x:c>
    </x:row>
    <x:row r="1500">
      <x:c r="B1500" t="str">
        <x:v>A-01454</x:v>
      </x:c>
      <x:c r="C1500" t="str">
        <x:v>GATE</x:v>
      </x:c>
      <x:c r="D1500" t="str">
        <x:v>release state mirrors governing ledger</x:v>
      </x:c>
      <x:c r="E1500" t="str">
        <x:f>'Release Gates'!I1460</x:f>
        <x:v>PASS</x:v>
      </x:c>
      <x:c r="F1500" t="str">
        <x:f>IF('Release Gates'!C1460="PLANNING","PASS",IF('Release Gates'!C1460="PHYSICAL","OPEN","BLOCKED"))</x:f>
        <x:v>PASS</x:v>
      </x:c>
      <x:c r="G1500" t="str">
        <x:v>equals</x:v>
      </x:c>
      <x:c r="H1500" t="str">
        <x:f>IF(E1500=F1500,"PASS","FAIL")</x:f>
        <x:v>PASS</x:v>
      </x:c>
    </x:row>
    <x:row r="1501">
      <x:c r="B1501" t="str">
        <x:v>A-01455</x:v>
      </x:c>
      <x:c r="C1501" t="str">
        <x:v>GATE</x:v>
      </x:c>
      <x:c r="D1501" t="str">
        <x:v>release state mirrors governing ledger</x:v>
      </x:c>
      <x:c r="E1501" t="str">
        <x:f>'Release Gates'!I1461</x:f>
        <x:v>PASS</x:v>
      </x:c>
      <x:c r="F1501" t="str">
        <x:f>IF('Release Gates'!C1461="PLANNING","PASS",IF('Release Gates'!C1461="PHYSICAL","OPEN","BLOCKED"))</x:f>
        <x:v>PASS</x:v>
      </x:c>
      <x:c r="G1501" t="str">
        <x:v>equals</x:v>
      </x:c>
      <x:c r="H1501" t="str">
        <x:f>IF(E1501=F1501,"PASS","FAIL")</x:f>
        <x:v>PASS</x:v>
      </x:c>
    </x:row>
    <x:row r="1502">
      <x:c r="B1502" t="str">
        <x:v>A-01456</x:v>
      </x:c>
      <x:c r="C1502" t="str">
        <x:v>GATE</x:v>
      </x:c>
      <x:c r="D1502" t="str">
        <x:v>release state mirrors governing ledger</x:v>
      </x:c>
      <x:c r="E1502" t="str">
        <x:f>'Release Gates'!I1462</x:f>
        <x:v>PASS</x:v>
      </x:c>
      <x:c r="F1502" t="str">
        <x:f>IF('Release Gates'!C1462="PLANNING","PASS",IF('Release Gates'!C1462="PHYSICAL","OPEN","BLOCKED"))</x:f>
        <x:v>PASS</x:v>
      </x:c>
      <x:c r="G1502" t="str">
        <x:v>equals</x:v>
      </x:c>
      <x:c r="H1502" t="str">
        <x:f>IF(E1502=F1502,"PASS","FAIL")</x:f>
        <x:v>PASS</x:v>
      </x:c>
    </x:row>
    <x:row r="1503">
      <x:c r="B1503" t="str">
        <x:v>A-01457</x:v>
      </x:c>
      <x:c r="C1503" t="str">
        <x:v>GATE</x:v>
      </x:c>
      <x:c r="D1503" t="str">
        <x:v>release state mirrors governing ledger</x:v>
      </x:c>
      <x:c r="E1503" t="str">
        <x:f>'Release Gates'!I1463</x:f>
        <x:v>PASS</x:v>
      </x:c>
      <x:c r="F1503" t="str">
        <x:f>IF('Release Gates'!C1463="PLANNING","PASS",IF('Release Gates'!C1463="PHYSICAL","OPEN","BLOCKED"))</x:f>
        <x:v>PASS</x:v>
      </x:c>
      <x:c r="G1503" t="str">
        <x:v>equals</x:v>
      </x:c>
      <x:c r="H1503" t="str">
        <x:f>IF(E1503=F1503,"PASS","FAIL")</x:f>
        <x:v>PASS</x:v>
      </x:c>
    </x:row>
    <x:row r="1504">
      <x:c r="B1504" t="str">
        <x:v>A-01458</x:v>
      </x:c>
      <x:c r="C1504" t="str">
        <x:v>GATE</x:v>
      </x:c>
      <x:c r="D1504" t="str">
        <x:v>release state mirrors governing ledger</x:v>
      </x:c>
      <x:c r="E1504" t="str">
        <x:f>'Release Gates'!I1464</x:f>
        <x:v>PASS</x:v>
      </x:c>
      <x:c r="F1504" t="str">
        <x:f>IF('Release Gates'!C1464="PLANNING","PASS",IF('Release Gates'!C1464="PHYSICAL","OPEN","BLOCKED"))</x:f>
        <x:v>PASS</x:v>
      </x:c>
      <x:c r="G1504" t="str">
        <x:v>equals</x:v>
      </x:c>
      <x:c r="H1504" t="str">
        <x:f>IF(E1504=F1504,"PASS","FAIL")</x:f>
        <x:v>PASS</x:v>
      </x:c>
    </x:row>
    <x:row r="1505">
      <x:c r="B1505" t="str">
        <x:v>A-01459</x:v>
      </x:c>
      <x:c r="C1505" t="str">
        <x:v>GATE</x:v>
      </x:c>
      <x:c r="D1505" t="str">
        <x:v>release state mirrors governing ledger</x:v>
      </x:c>
      <x:c r="E1505" t="str">
        <x:f>'Release Gates'!I1465</x:f>
        <x:v>PASS</x:v>
      </x:c>
      <x:c r="F1505" t="str">
        <x:f>IF('Release Gates'!C1465="PLANNING","PASS",IF('Release Gates'!C1465="PHYSICAL","OPEN","BLOCKED"))</x:f>
        <x:v>PASS</x:v>
      </x:c>
      <x:c r="G1505" t="str">
        <x:v>equals</x:v>
      </x:c>
      <x:c r="H1505" t="str">
        <x:f>IF(E1505=F1505,"PASS","FAIL")</x:f>
        <x:v>PASS</x:v>
      </x:c>
    </x:row>
    <x:row r="1506">
      <x:c r="B1506" t="str">
        <x:v>A-01460</x:v>
      </x:c>
      <x:c r="C1506" t="str">
        <x:v>GATE</x:v>
      </x:c>
      <x:c r="D1506" t="str">
        <x:v>release state mirrors governing ledger</x:v>
      </x:c>
      <x:c r="E1506" t="str">
        <x:f>'Release Gates'!I1466</x:f>
        <x:v>PASS</x:v>
      </x:c>
      <x:c r="F1506" t="str">
        <x:f>IF('Release Gates'!C1466="PLANNING","PASS",IF('Release Gates'!C1466="PHYSICAL","OPEN","BLOCKED"))</x:f>
        <x:v>PASS</x:v>
      </x:c>
      <x:c r="G1506" t="str">
        <x:v>equals</x:v>
      </x:c>
      <x:c r="H1506" t="str">
        <x:f>IF(E1506=F1506,"PASS","FAIL")</x:f>
        <x:v>PASS</x:v>
      </x:c>
    </x:row>
    <x:row r="1507">
      <x:c r="B1507" t="str">
        <x:v>A-01461</x:v>
      </x:c>
      <x:c r="C1507" t="str">
        <x:v>GATE</x:v>
      </x:c>
      <x:c r="D1507" t="str">
        <x:v>release state mirrors governing ledger</x:v>
      </x:c>
      <x:c r="E1507" t="str">
        <x:f>'Release Gates'!I1467</x:f>
        <x:v>PASS</x:v>
      </x:c>
      <x:c r="F1507" t="str">
        <x:f>IF('Release Gates'!C1467="PLANNING","PASS",IF('Release Gates'!C1467="PHYSICAL","OPEN","BLOCKED"))</x:f>
        <x:v>PASS</x:v>
      </x:c>
      <x:c r="G1507" t="str">
        <x:v>equals</x:v>
      </x:c>
      <x:c r="H1507" t="str">
        <x:f>IF(E1507=F1507,"PASS","FAIL")</x:f>
        <x:v>PASS</x:v>
      </x:c>
    </x:row>
    <x:row r="1508">
      <x:c r="B1508" t="str">
        <x:v>A-01462</x:v>
      </x:c>
      <x:c r="C1508" t="str">
        <x:v>GATE</x:v>
      </x:c>
      <x:c r="D1508" t="str">
        <x:v>release state mirrors governing ledger</x:v>
      </x:c>
      <x:c r="E1508" t="str">
        <x:f>'Release Gates'!I1468</x:f>
        <x:v>PASS</x:v>
      </x:c>
      <x:c r="F1508" t="str">
        <x:f>IF('Release Gates'!C1468="PLANNING","PASS",IF('Release Gates'!C1468="PHYSICAL","OPEN","BLOCKED"))</x:f>
        <x:v>PASS</x:v>
      </x:c>
      <x:c r="G1508" t="str">
        <x:v>equals</x:v>
      </x:c>
      <x:c r="H1508" t="str">
        <x:f>IF(E1508=F1508,"PASS","FAIL")</x:f>
        <x:v>PASS</x:v>
      </x:c>
    </x:row>
    <x:row r="1509">
      <x:c r="B1509" t="str">
        <x:v>A-01463</x:v>
      </x:c>
      <x:c r="C1509" t="str">
        <x:v>GATE</x:v>
      </x:c>
      <x:c r="D1509" t="str">
        <x:v>release state mirrors governing ledger</x:v>
      </x:c>
      <x:c r="E1509" t="str">
        <x:f>'Release Gates'!I1469</x:f>
        <x:v>PASS</x:v>
      </x:c>
      <x:c r="F1509" t="str">
        <x:f>IF('Release Gates'!C1469="PLANNING","PASS",IF('Release Gates'!C1469="PHYSICAL","OPEN","BLOCKED"))</x:f>
        <x:v>PASS</x:v>
      </x:c>
      <x:c r="G1509" t="str">
        <x:v>equals</x:v>
      </x:c>
      <x:c r="H1509" t="str">
        <x:f>IF(E1509=F1509,"PASS","FAIL")</x:f>
        <x:v>PASS</x:v>
      </x:c>
    </x:row>
    <x:row r="1510">
      <x:c r="B1510" t="str">
        <x:v>A-01464</x:v>
      </x:c>
      <x:c r="C1510" t="str">
        <x:v>GATE</x:v>
      </x:c>
      <x:c r="D1510" t="str">
        <x:v>release state mirrors governing ledger</x:v>
      </x:c>
      <x:c r="E1510" t="str">
        <x:f>'Release Gates'!I1470</x:f>
        <x:v>PASS</x:v>
      </x:c>
      <x:c r="F1510" t="str">
        <x:f>IF('Release Gates'!C1470="PLANNING","PASS",IF('Release Gates'!C1470="PHYSICAL","OPEN","BLOCKED"))</x:f>
        <x:v>PASS</x:v>
      </x:c>
      <x:c r="G1510" t="str">
        <x:v>equals</x:v>
      </x:c>
      <x:c r="H1510" t="str">
        <x:f>IF(E1510=F1510,"PASS","FAIL")</x:f>
        <x:v>PASS</x:v>
      </x:c>
    </x:row>
    <x:row r="1511">
      <x:c r="B1511" t="str">
        <x:v>A-01465</x:v>
      </x:c>
      <x:c r="C1511" t="str">
        <x:v>GATE</x:v>
      </x:c>
      <x:c r="D1511" t="str">
        <x:v>release state mirrors governing ledger</x:v>
      </x:c>
      <x:c r="E1511" t="str">
        <x:f>'Release Gates'!I1471</x:f>
        <x:v>PASS</x:v>
      </x:c>
      <x:c r="F1511" t="str">
        <x:f>IF('Release Gates'!C1471="PLANNING","PASS",IF('Release Gates'!C1471="PHYSICAL","OPEN","BLOCKED"))</x:f>
        <x:v>PASS</x:v>
      </x:c>
      <x:c r="G1511" t="str">
        <x:v>equals</x:v>
      </x:c>
      <x:c r="H1511" t="str">
        <x:f>IF(E1511=F1511,"PASS","FAIL")</x:f>
        <x:v>PASS</x:v>
      </x:c>
    </x:row>
    <x:row r="1512">
      <x:c r="B1512" t="str">
        <x:v>A-01466</x:v>
      </x:c>
      <x:c r="C1512" t="str">
        <x:v>GATE</x:v>
      </x:c>
      <x:c r="D1512" t="str">
        <x:v>release state mirrors governing ledger</x:v>
      </x:c>
      <x:c r="E1512" t="str">
        <x:f>'Release Gates'!I1472</x:f>
        <x:v>PASS</x:v>
      </x:c>
      <x:c r="F1512" t="str">
        <x:f>IF('Release Gates'!C1472="PLANNING","PASS",IF('Release Gates'!C1472="PHYSICAL","OPEN","BLOCKED"))</x:f>
        <x:v>PASS</x:v>
      </x:c>
      <x:c r="G1512" t="str">
        <x:v>equals</x:v>
      </x:c>
      <x:c r="H1512" t="str">
        <x:f>IF(E1512=F1512,"PASS","FAIL")</x:f>
        <x:v>PASS</x:v>
      </x:c>
    </x:row>
    <x:row r="1513">
      <x:c r="B1513" t="str">
        <x:v>A-01467</x:v>
      </x:c>
      <x:c r="C1513" t="str">
        <x:v>GATE</x:v>
      </x:c>
      <x:c r="D1513" t="str">
        <x:v>release state mirrors governing ledger</x:v>
      </x:c>
      <x:c r="E1513" t="str">
        <x:f>'Release Gates'!I1473</x:f>
        <x:v>PASS</x:v>
      </x:c>
      <x:c r="F1513" t="str">
        <x:f>IF('Release Gates'!C1473="PLANNING","PASS",IF('Release Gates'!C1473="PHYSICAL","OPEN","BLOCKED"))</x:f>
        <x:v>PASS</x:v>
      </x:c>
      <x:c r="G1513" t="str">
        <x:v>equals</x:v>
      </x:c>
      <x:c r="H1513" t="str">
        <x:f>IF(E1513=F1513,"PASS","FAIL")</x:f>
        <x:v>PASS</x:v>
      </x:c>
    </x:row>
    <x:row r="1514">
      <x:c r="B1514" t="str">
        <x:v>A-01468</x:v>
      </x:c>
      <x:c r="C1514" t="str">
        <x:v>GATE</x:v>
      </x:c>
      <x:c r="D1514" t="str">
        <x:v>release state mirrors governing ledger</x:v>
      </x:c>
      <x:c r="E1514" t="str">
        <x:f>'Release Gates'!I1474</x:f>
        <x:v>PASS</x:v>
      </x:c>
      <x:c r="F1514" t="str">
        <x:f>IF('Release Gates'!C1474="PLANNING","PASS",IF('Release Gates'!C1474="PHYSICAL","OPEN","BLOCKED"))</x:f>
        <x:v>PASS</x:v>
      </x:c>
      <x:c r="G1514" t="str">
        <x:v>equals</x:v>
      </x:c>
      <x:c r="H1514" t="str">
        <x:f>IF(E1514=F1514,"PASS","FAIL")</x:f>
        <x:v>PASS</x:v>
      </x:c>
    </x:row>
    <x:row r="1515">
      <x:c r="B1515" t="str">
        <x:v>A-01469</x:v>
      </x:c>
      <x:c r="C1515" t="str">
        <x:v>GATE</x:v>
      </x:c>
      <x:c r="D1515" t="str">
        <x:v>release state mirrors governing ledger</x:v>
      </x:c>
      <x:c r="E1515" t="str">
        <x:f>'Release Gates'!I1475</x:f>
        <x:v>PASS</x:v>
      </x:c>
      <x:c r="F1515" t="str">
        <x:f>IF('Release Gates'!C1475="PLANNING","PASS",IF('Release Gates'!C1475="PHYSICAL","OPEN","BLOCKED"))</x:f>
        <x:v>PASS</x:v>
      </x:c>
      <x:c r="G1515" t="str">
        <x:v>equals</x:v>
      </x:c>
      <x:c r="H1515" t="str">
        <x:f>IF(E1515=F1515,"PASS","FAIL")</x:f>
        <x:v>PASS</x:v>
      </x:c>
    </x:row>
    <x:row r="1516">
      <x:c r="B1516" t="str">
        <x:v>A-01470</x:v>
      </x:c>
      <x:c r="C1516" t="str">
        <x:v>GATE</x:v>
      </x:c>
      <x:c r="D1516" t="str">
        <x:v>release state mirrors governing ledger</x:v>
      </x:c>
      <x:c r="E1516" t="str">
        <x:f>'Release Gates'!I1476</x:f>
        <x:v>PASS</x:v>
      </x:c>
      <x:c r="F1516" t="str">
        <x:f>IF('Release Gates'!C1476="PLANNING","PASS",IF('Release Gates'!C1476="PHYSICAL","OPEN","BLOCKED"))</x:f>
        <x:v>PASS</x:v>
      </x:c>
      <x:c r="G1516" t="str">
        <x:v>equals</x:v>
      </x:c>
      <x:c r="H1516" t="str">
        <x:f>IF(E1516=F1516,"PASS","FAIL")</x:f>
        <x:v>PASS</x:v>
      </x:c>
    </x:row>
    <x:row r="1517">
      <x:c r="B1517" t="str">
        <x:v>A-01471</x:v>
      </x:c>
      <x:c r="C1517" t="str">
        <x:v>GATE</x:v>
      </x:c>
      <x:c r="D1517" t="str">
        <x:v>release state mirrors governing ledger</x:v>
      </x:c>
      <x:c r="E1517" t="str">
        <x:f>'Release Gates'!I1477</x:f>
        <x:v>PASS</x:v>
      </x:c>
      <x:c r="F1517" t="str">
        <x:f>IF('Release Gates'!C1477="PLANNING","PASS",IF('Release Gates'!C1477="PHYSICAL","OPEN","BLOCKED"))</x:f>
        <x:v>PASS</x:v>
      </x:c>
      <x:c r="G1517" t="str">
        <x:v>equals</x:v>
      </x:c>
      <x:c r="H1517" t="str">
        <x:f>IF(E1517=F1517,"PASS","FAIL")</x:f>
        <x:v>PASS</x:v>
      </x:c>
    </x:row>
    <x:row r="1518">
      <x:c r="B1518" t="str">
        <x:v>A-01472</x:v>
      </x:c>
      <x:c r="C1518" t="str">
        <x:v>GATE</x:v>
      </x:c>
      <x:c r="D1518" t="str">
        <x:v>release state mirrors governing ledger</x:v>
      </x:c>
      <x:c r="E1518" t="str">
        <x:f>'Release Gates'!I1478</x:f>
        <x:v>PASS</x:v>
      </x:c>
      <x:c r="F1518" t="str">
        <x:f>IF('Release Gates'!C1478="PLANNING","PASS",IF('Release Gates'!C1478="PHYSICAL","OPEN","BLOCKED"))</x:f>
        <x:v>PASS</x:v>
      </x:c>
      <x:c r="G1518" t="str">
        <x:v>equals</x:v>
      </x:c>
      <x:c r="H1518" t="str">
        <x:f>IF(E1518=F1518,"PASS","FAIL")</x:f>
        <x:v>PASS</x:v>
      </x:c>
    </x:row>
    <x:row r="1519">
      <x:c r="B1519" t="str">
        <x:v>A-01473</x:v>
      </x:c>
      <x:c r="C1519" t="str">
        <x:v>GATE</x:v>
      </x:c>
      <x:c r="D1519" t="str">
        <x:v>release state mirrors governing ledger</x:v>
      </x:c>
      <x:c r="E1519" t="str">
        <x:f>'Release Gates'!I1479</x:f>
        <x:v>PASS</x:v>
      </x:c>
      <x:c r="F1519" t="str">
        <x:f>IF('Release Gates'!C1479="PLANNING","PASS",IF('Release Gates'!C1479="PHYSICAL","OPEN","BLOCKED"))</x:f>
        <x:v>PASS</x:v>
      </x:c>
      <x:c r="G1519" t="str">
        <x:v>equals</x:v>
      </x:c>
      <x:c r="H1519" t="str">
        <x:f>IF(E1519=F1519,"PASS","FAIL")</x:f>
        <x:v>PASS</x:v>
      </x:c>
    </x:row>
    <x:row r="1520">
      <x:c r="B1520" t="str">
        <x:v>A-01474</x:v>
      </x:c>
      <x:c r="C1520" t="str">
        <x:v>GATE</x:v>
      </x:c>
      <x:c r="D1520" t="str">
        <x:v>release state mirrors governing ledger</x:v>
      </x:c>
      <x:c r="E1520" t="str">
        <x:f>'Release Gates'!I1480</x:f>
        <x:v>PASS</x:v>
      </x:c>
      <x:c r="F1520" t="str">
        <x:f>IF('Release Gates'!C1480="PLANNING","PASS",IF('Release Gates'!C1480="PHYSICAL","OPEN","BLOCKED"))</x:f>
        <x:v>PASS</x:v>
      </x:c>
      <x:c r="G1520" t="str">
        <x:v>equals</x:v>
      </x:c>
      <x:c r="H1520" t="str">
        <x:f>IF(E1520=F1520,"PASS","FAIL")</x:f>
        <x:v>PASS</x:v>
      </x:c>
    </x:row>
    <x:row r="1521">
      <x:c r="B1521" t="str">
        <x:v>A-01475</x:v>
      </x:c>
      <x:c r="C1521" t="str">
        <x:v>GATE</x:v>
      </x:c>
      <x:c r="D1521" t="str">
        <x:v>release state mirrors governing ledger</x:v>
      </x:c>
      <x:c r="E1521" t="str">
        <x:f>'Release Gates'!I1481</x:f>
        <x:v>PASS</x:v>
      </x:c>
      <x:c r="F1521" t="str">
        <x:f>IF('Release Gates'!C1481="PLANNING","PASS",IF('Release Gates'!C1481="PHYSICAL","OPEN","BLOCKED"))</x:f>
        <x:v>PASS</x:v>
      </x:c>
      <x:c r="G1521" t="str">
        <x:v>equals</x:v>
      </x:c>
      <x:c r="H1521" t="str">
        <x:f>IF(E1521=F1521,"PASS","FAIL")</x:f>
        <x:v>PASS</x:v>
      </x:c>
    </x:row>
    <x:row r="1522">
      <x:c r="B1522" t="str">
        <x:v>A-01476</x:v>
      </x:c>
      <x:c r="C1522" t="str">
        <x:v>GATE</x:v>
      </x:c>
      <x:c r="D1522" t="str">
        <x:v>release state mirrors governing ledger</x:v>
      </x:c>
      <x:c r="E1522" t="str">
        <x:f>'Release Gates'!I1482</x:f>
        <x:v>PASS</x:v>
      </x:c>
      <x:c r="F1522" t="str">
        <x:f>IF('Release Gates'!C1482="PLANNING","PASS",IF('Release Gates'!C1482="PHYSICAL","OPEN","BLOCKED"))</x:f>
        <x:v>PASS</x:v>
      </x:c>
      <x:c r="G1522" t="str">
        <x:v>equals</x:v>
      </x:c>
      <x:c r="H1522" t="str">
        <x:f>IF(E1522=F1522,"PASS","FAIL")</x:f>
        <x:v>PASS</x:v>
      </x:c>
    </x:row>
    <x:row r="1523">
      <x:c r="B1523" t="str">
        <x:v>A-01477</x:v>
      </x:c>
      <x:c r="C1523" t="str">
        <x:v>GATE</x:v>
      </x:c>
      <x:c r="D1523" t="str">
        <x:v>release state mirrors governing ledger</x:v>
      </x:c>
      <x:c r="E1523" t="str">
        <x:f>'Release Gates'!I1483</x:f>
        <x:v>PASS</x:v>
      </x:c>
      <x:c r="F1523" t="str">
        <x:f>IF('Release Gates'!C1483="PLANNING","PASS",IF('Release Gates'!C1483="PHYSICAL","OPEN","BLOCKED"))</x:f>
        <x:v>PASS</x:v>
      </x:c>
      <x:c r="G1523" t="str">
        <x:v>equals</x:v>
      </x:c>
      <x:c r="H1523" t="str">
        <x:f>IF(E1523=F1523,"PASS","FAIL")</x:f>
        <x:v>PASS</x:v>
      </x:c>
    </x:row>
    <x:row r="1524">
      <x:c r="B1524" t="str">
        <x:v>A-01478</x:v>
      </x:c>
      <x:c r="C1524" t="str">
        <x:v>GATE</x:v>
      </x:c>
      <x:c r="D1524" t="str">
        <x:v>release state mirrors governing ledger</x:v>
      </x:c>
      <x:c r="E1524" t="str">
        <x:f>'Release Gates'!I1484</x:f>
        <x:v>PASS</x:v>
      </x:c>
      <x:c r="F1524" t="str">
        <x:f>IF('Release Gates'!C1484="PLANNING","PASS",IF('Release Gates'!C1484="PHYSICAL","OPEN","BLOCKED"))</x:f>
        <x:v>PASS</x:v>
      </x:c>
      <x:c r="G1524" t="str">
        <x:v>equals</x:v>
      </x:c>
      <x:c r="H1524" t="str">
        <x:f>IF(E1524=F1524,"PASS","FAIL")</x:f>
        <x:v>PASS</x:v>
      </x:c>
    </x:row>
    <x:row r="1525">
      <x:c r="B1525" t="str">
        <x:v>A-01479</x:v>
      </x:c>
      <x:c r="C1525" t="str">
        <x:v>GATE</x:v>
      </x:c>
      <x:c r="D1525" t="str">
        <x:v>release state mirrors governing ledger</x:v>
      </x:c>
      <x:c r="E1525" t="str">
        <x:f>'Release Gates'!I1485</x:f>
        <x:v>PASS</x:v>
      </x:c>
      <x:c r="F1525" t="str">
        <x:f>IF('Release Gates'!C1485="PLANNING","PASS",IF('Release Gates'!C1485="PHYSICAL","OPEN","BLOCKED"))</x:f>
        <x:v>PASS</x:v>
      </x:c>
      <x:c r="G1525" t="str">
        <x:v>equals</x:v>
      </x:c>
      <x:c r="H1525" t="str">
        <x:f>IF(E1525=F1525,"PASS","FAIL")</x:f>
        <x:v>PASS</x:v>
      </x:c>
    </x:row>
    <x:row r="1526">
      <x:c r="B1526" t="str">
        <x:v>A-01480</x:v>
      </x:c>
      <x:c r="C1526" t="str">
        <x:v>GATE</x:v>
      </x:c>
      <x:c r="D1526" t="str">
        <x:v>release state mirrors governing ledger</x:v>
      </x:c>
      <x:c r="E1526" t="str">
        <x:f>'Release Gates'!I1486</x:f>
        <x:v>PASS</x:v>
      </x:c>
      <x:c r="F1526" t="str">
        <x:f>IF('Release Gates'!C1486="PLANNING","PASS",IF('Release Gates'!C1486="PHYSICAL","OPEN","BLOCKED"))</x:f>
        <x:v>PASS</x:v>
      </x:c>
      <x:c r="G1526" t="str">
        <x:v>equals</x:v>
      </x:c>
      <x:c r="H1526" t="str">
        <x:f>IF(E1526=F1526,"PASS","FAIL")</x:f>
        <x:v>PASS</x:v>
      </x:c>
    </x:row>
    <x:row r="1527">
      <x:c r="B1527" t="str">
        <x:v>A-01481</x:v>
      </x:c>
      <x:c r="C1527" t="str">
        <x:v>GATE</x:v>
      </x:c>
      <x:c r="D1527" t="str">
        <x:v>release state mirrors governing ledger</x:v>
      </x:c>
      <x:c r="E1527" t="str">
        <x:f>'Release Gates'!I1487</x:f>
        <x:v>PASS</x:v>
      </x:c>
      <x:c r="F1527" t="str">
        <x:f>IF('Release Gates'!C1487="PLANNING","PASS",IF('Release Gates'!C1487="PHYSICAL","OPEN","BLOCKED"))</x:f>
        <x:v>PASS</x:v>
      </x:c>
      <x:c r="G1527" t="str">
        <x:v>equals</x:v>
      </x:c>
      <x:c r="H1527" t="str">
        <x:f>IF(E1527=F1527,"PASS","FAIL")</x:f>
        <x:v>PASS</x:v>
      </x:c>
    </x:row>
    <x:row r="1528">
      <x:c r="B1528" t="str">
        <x:v>A-01482</x:v>
      </x:c>
      <x:c r="C1528" t="str">
        <x:v>GATE</x:v>
      </x:c>
      <x:c r="D1528" t="str">
        <x:v>release state mirrors governing ledger</x:v>
      </x:c>
      <x:c r="E1528" t="str">
        <x:f>'Release Gates'!I1488</x:f>
        <x:v>PASS</x:v>
      </x:c>
      <x:c r="F1528" t="str">
        <x:f>IF('Release Gates'!C1488="PLANNING","PASS",IF('Release Gates'!C1488="PHYSICAL","OPEN","BLOCKED"))</x:f>
        <x:v>PASS</x:v>
      </x:c>
      <x:c r="G1528" t="str">
        <x:v>equals</x:v>
      </x:c>
      <x:c r="H1528" t="str">
        <x:f>IF(E1528=F1528,"PASS","FAIL")</x:f>
        <x:v>PASS</x:v>
      </x:c>
    </x:row>
    <x:row r="1529">
      <x:c r="B1529" t="str">
        <x:v>A-01483</x:v>
      </x:c>
      <x:c r="C1529" t="str">
        <x:v>GATE</x:v>
      </x:c>
      <x:c r="D1529" t="str">
        <x:v>release state mirrors governing ledger</x:v>
      </x:c>
      <x:c r="E1529" t="str">
        <x:f>'Release Gates'!I1489</x:f>
        <x:v>PASS</x:v>
      </x:c>
      <x:c r="F1529" t="str">
        <x:f>IF('Release Gates'!C1489="PLANNING","PASS",IF('Release Gates'!C1489="PHYSICAL","OPEN","BLOCKED"))</x:f>
        <x:v>PASS</x:v>
      </x:c>
      <x:c r="G1529" t="str">
        <x:v>equals</x:v>
      </x:c>
      <x:c r="H1529" t="str">
        <x:f>IF(E1529=F1529,"PASS","FAIL")</x:f>
        <x:v>PASS</x:v>
      </x:c>
    </x:row>
    <x:row r="1530">
      <x:c r="B1530" t="str">
        <x:v>A-01484</x:v>
      </x:c>
      <x:c r="C1530" t="str">
        <x:v>GATE</x:v>
      </x:c>
      <x:c r="D1530" t="str">
        <x:v>release state mirrors governing ledger</x:v>
      </x:c>
      <x:c r="E1530" t="str">
        <x:f>'Release Gates'!I1490</x:f>
        <x:v>PASS</x:v>
      </x:c>
      <x:c r="F1530" t="str">
        <x:f>IF('Release Gates'!C1490="PLANNING","PASS",IF('Release Gates'!C1490="PHYSICAL","OPEN","BLOCKED"))</x:f>
        <x:v>PASS</x:v>
      </x:c>
      <x:c r="G1530" t="str">
        <x:v>equals</x:v>
      </x:c>
      <x:c r="H1530" t="str">
        <x:f>IF(E1530=F1530,"PASS","FAIL")</x:f>
        <x:v>PASS</x:v>
      </x:c>
    </x:row>
    <x:row r="1531">
      <x:c r="B1531" t="str">
        <x:v>A-01485</x:v>
      </x:c>
      <x:c r="C1531" t="str">
        <x:v>GATE</x:v>
      </x:c>
      <x:c r="D1531" t="str">
        <x:v>release state mirrors governing ledger</x:v>
      </x:c>
      <x:c r="E1531" t="str">
        <x:f>'Release Gates'!I1491</x:f>
        <x:v>PASS</x:v>
      </x:c>
      <x:c r="F1531" t="str">
        <x:f>IF('Release Gates'!C1491="PLANNING","PASS",IF('Release Gates'!C1491="PHYSICAL","OPEN","BLOCKED"))</x:f>
        <x:v>PASS</x:v>
      </x:c>
      <x:c r="G1531" t="str">
        <x:v>equals</x:v>
      </x:c>
      <x:c r="H1531" t="str">
        <x:f>IF(E1531=F1531,"PASS","FAIL")</x:f>
        <x:v>PASS</x:v>
      </x:c>
    </x:row>
    <x:row r="1532">
      <x:c r="B1532" t="str">
        <x:v>A-01486</x:v>
      </x:c>
      <x:c r="C1532" t="str">
        <x:v>GATE</x:v>
      </x:c>
      <x:c r="D1532" t="str">
        <x:v>release state mirrors governing ledger</x:v>
      </x:c>
      <x:c r="E1532" t="str">
        <x:f>'Release Gates'!I1492</x:f>
        <x:v>PASS</x:v>
      </x:c>
      <x:c r="F1532" t="str">
        <x:f>IF('Release Gates'!C1492="PLANNING","PASS",IF('Release Gates'!C1492="PHYSICAL","OPEN","BLOCKED"))</x:f>
        <x:v>PASS</x:v>
      </x:c>
      <x:c r="G1532" t="str">
        <x:v>equals</x:v>
      </x:c>
      <x:c r="H1532" t="str">
        <x:f>IF(E1532=F1532,"PASS","FAIL")</x:f>
        <x:v>PASS</x:v>
      </x:c>
    </x:row>
    <x:row r="1533">
      <x:c r="B1533" t="str">
        <x:v>A-01487</x:v>
      </x:c>
      <x:c r="C1533" t="str">
        <x:v>GATE</x:v>
      </x:c>
      <x:c r="D1533" t="str">
        <x:v>release state mirrors governing ledger</x:v>
      </x:c>
      <x:c r="E1533" t="str">
        <x:f>'Release Gates'!I1493</x:f>
        <x:v>PASS</x:v>
      </x:c>
      <x:c r="F1533" t="str">
        <x:f>IF('Release Gates'!C1493="PLANNING","PASS",IF('Release Gates'!C1493="PHYSICAL","OPEN","BLOCKED"))</x:f>
        <x:v>PASS</x:v>
      </x:c>
      <x:c r="G1533" t="str">
        <x:v>equals</x:v>
      </x:c>
      <x:c r="H1533" t="str">
        <x:f>IF(E1533=F1533,"PASS","FAIL")</x:f>
        <x:v>PASS</x:v>
      </x:c>
    </x:row>
    <x:row r="1534">
      <x:c r="B1534" t="str">
        <x:v>A-01488</x:v>
      </x:c>
      <x:c r="C1534" t="str">
        <x:v>GATE</x:v>
      </x:c>
      <x:c r="D1534" t="str">
        <x:v>release state mirrors governing ledger</x:v>
      </x:c>
      <x:c r="E1534" t="str">
        <x:f>'Release Gates'!I1494</x:f>
        <x:v>PASS</x:v>
      </x:c>
      <x:c r="F1534" t="str">
        <x:f>IF('Release Gates'!C1494="PLANNING","PASS",IF('Release Gates'!C1494="PHYSICAL","OPEN","BLOCKED"))</x:f>
        <x:v>PASS</x:v>
      </x:c>
      <x:c r="G1534" t="str">
        <x:v>equals</x:v>
      </x:c>
      <x:c r="H1534" t="str">
        <x:f>IF(E1534=F1534,"PASS","FAIL")</x:f>
        <x:v>PASS</x:v>
      </x:c>
    </x:row>
    <x:row r="1535">
      <x:c r="B1535" t="str">
        <x:v>A-01489</x:v>
      </x:c>
      <x:c r="C1535" t="str">
        <x:v>GATE</x:v>
      </x:c>
      <x:c r="D1535" t="str">
        <x:v>release state mirrors governing ledger</x:v>
      </x:c>
      <x:c r="E1535" t="str">
        <x:f>'Release Gates'!I1495</x:f>
        <x:v>PASS</x:v>
      </x:c>
      <x:c r="F1535" t="str">
        <x:f>IF('Release Gates'!C1495="PLANNING","PASS",IF('Release Gates'!C1495="PHYSICAL","OPEN","BLOCKED"))</x:f>
        <x:v>PASS</x:v>
      </x:c>
      <x:c r="G1535" t="str">
        <x:v>equals</x:v>
      </x:c>
      <x:c r="H1535" t="str">
        <x:f>IF(E1535=F1535,"PASS","FAIL")</x:f>
        <x:v>PASS</x:v>
      </x:c>
    </x:row>
    <x:row r="1536">
      <x:c r="B1536" t="str">
        <x:v>A-01490</x:v>
      </x:c>
      <x:c r="C1536" t="str">
        <x:v>GATE</x:v>
      </x:c>
      <x:c r="D1536" t="str">
        <x:v>release state mirrors governing ledger</x:v>
      </x:c>
      <x:c r="E1536" t="str">
        <x:f>'Release Gates'!I1496</x:f>
        <x:v>PASS</x:v>
      </x:c>
      <x:c r="F1536" t="str">
        <x:f>IF('Release Gates'!C1496="PLANNING","PASS",IF('Release Gates'!C1496="PHYSICAL","OPEN","BLOCKED"))</x:f>
        <x:v>PASS</x:v>
      </x:c>
      <x:c r="G1536" t="str">
        <x:v>equals</x:v>
      </x:c>
      <x:c r="H1536" t="str">
        <x:f>IF(E1536=F1536,"PASS","FAIL")</x:f>
        <x:v>PASS</x:v>
      </x:c>
    </x:row>
    <x:row r="1537">
      <x:c r="B1537" t="str">
        <x:v>A-01491</x:v>
      </x:c>
      <x:c r="C1537" t="str">
        <x:v>GATE</x:v>
      </x:c>
      <x:c r="D1537" t="str">
        <x:v>release state mirrors governing ledger</x:v>
      </x:c>
      <x:c r="E1537" t="str">
        <x:f>'Release Gates'!I1497</x:f>
        <x:v>PASS</x:v>
      </x:c>
      <x:c r="F1537" t="str">
        <x:f>IF('Release Gates'!C1497="PLANNING","PASS",IF('Release Gates'!C1497="PHYSICAL","OPEN","BLOCKED"))</x:f>
        <x:v>PASS</x:v>
      </x:c>
      <x:c r="G1537" t="str">
        <x:v>equals</x:v>
      </x:c>
      <x:c r="H1537" t="str">
        <x:f>IF(E1537=F1537,"PASS","FAIL")</x:f>
        <x:v>PASS</x:v>
      </x:c>
    </x:row>
    <x:row r="1538">
      <x:c r="B1538" t="str">
        <x:v>A-01492</x:v>
      </x:c>
      <x:c r="C1538" t="str">
        <x:v>GATE</x:v>
      </x:c>
      <x:c r="D1538" t="str">
        <x:v>release state mirrors governing ledger</x:v>
      </x:c>
      <x:c r="E1538" t="str">
        <x:f>'Release Gates'!I1498</x:f>
        <x:v>PASS</x:v>
      </x:c>
      <x:c r="F1538" t="str">
        <x:f>IF('Release Gates'!C1498="PLANNING","PASS",IF('Release Gates'!C1498="PHYSICAL","OPEN","BLOCKED"))</x:f>
        <x:v>PASS</x:v>
      </x:c>
      <x:c r="G1538" t="str">
        <x:v>equals</x:v>
      </x:c>
      <x:c r="H1538" t="str">
        <x:f>IF(E1538=F1538,"PASS","FAIL")</x:f>
        <x:v>PASS</x:v>
      </x:c>
    </x:row>
    <x:row r="1539">
      <x:c r="B1539" t="str">
        <x:v>A-01493</x:v>
      </x:c>
      <x:c r="C1539" t="str">
        <x:v>GATE</x:v>
      </x:c>
      <x:c r="D1539" t="str">
        <x:v>release state mirrors governing ledger</x:v>
      </x:c>
      <x:c r="E1539" t="str">
        <x:f>'Release Gates'!I1499</x:f>
        <x:v>PASS</x:v>
      </x:c>
      <x:c r="F1539" t="str">
        <x:f>IF('Release Gates'!C1499="PLANNING","PASS",IF('Release Gates'!C1499="PHYSICAL","OPEN","BLOCKED"))</x:f>
        <x:v>PASS</x:v>
      </x:c>
      <x:c r="G1539" t="str">
        <x:v>equals</x:v>
      </x:c>
      <x:c r="H1539" t="str">
        <x:f>IF(E1539=F1539,"PASS","FAIL")</x:f>
        <x:v>PASS</x:v>
      </x:c>
    </x:row>
    <x:row r="1540">
      <x:c r="B1540" t="str">
        <x:v>A-01494</x:v>
      </x:c>
      <x:c r="C1540" t="str">
        <x:v>GATE</x:v>
      </x:c>
      <x:c r="D1540" t="str">
        <x:v>release state mirrors governing ledger</x:v>
      </x:c>
      <x:c r="E1540" t="str">
        <x:f>'Release Gates'!I1500</x:f>
        <x:v>PASS</x:v>
      </x:c>
      <x:c r="F1540" t="str">
        <x:f>IF('Release Gates'!C1500="PLANNING","PASS",IF('Release Gates'!C1500="PHYSICAL","OPEN","BLOCKED"))</x:f>
        <x:v>PASS</x:v>
      </x:c>
      <x:c r="G1540" t="str">
        <x:v>equals</x:v>
      </x:c>
      <x:c r="H1540" t="str">
        <x:f>IF(E1540=F1540,"PASS","FAIL")</x:f>
        <x:v>PASS</x:v>
      </x:c>
    </x:row>
    <x:row r="1541">
      <x:c r="B1541" t="str">
        <x:v>A-01495</x:v>
      </x:c>
      <x:c r="C1541" t="str">
        <x:v>GATE</x:v>
      </x:c>
      <x:c r="D1541" t="str">
        <x:v>release state mirrors governing ledger</x:v>
      </x:c>
      <x:c r="E1541" t="str">
        <x:f>'Release Gates'!I1501</x:f>
        <x:v>PASS</x:v>
      </x:c>
      <x:c r="F1541" t="str">
        <x:f>IF('Release Gates'!C1501="PLANNING","PASS",IF('Release Gates'!C1501="PHYSICAL","OPEN","BLOCKED"))</x:f>
        <x:v>PASS</x:v>
      </x:c>
      <x:c r="G1541" t="str">
        <x:v>equals</x:v>
      </x:c>
      <x:c r="H1541" t="str">
        <x:f>IF(E1541=F1541,"PASS","FAIL")</x:f>
        <x:v>PASS</x:v>
      </x:c>
    </x:row>
    <x:row r="1542">
      <x:c r="B1542" t="str">
        <x:v>A-01496</x:v>
      </x:c>
      <x:c r="C1542" t="str">
        <x:v>GATE</x:v>
      </x:c>
      <x:c r="D1542" t="str">
        <x:v>release state mirrors governing ledger</x:v>
      </x:c>
      <x:c r="E1542" t="str">
        <x:f>'Release Gates'!I1502</x:f>
        <x:v>PASS</x:v>
      </x:c>
      <x:c r="F1542" t="str">
        <x:f>IF('Release Gates'!C1502="PLANNING","PASS",IF('Release Gates'!C1502="PHYSICAL","OPEN","BLOCKED"))</x:f>
        <x:v>PASS</x:v>
      </x:c>
      <x:c r="G1542" t="str">
        <x:v>equals</x:v>
      </x:c>
      <x:c r="H1542" t="str">
        <x:f>IF(E1542=F1542,"PASS","FAIL")</x:f>
        <x:v>PASS</x:v>
      </x:c>
    </x:row>
    <x:row r="1543">
      <x:c r="B1543" t="str">
        <x:v>A-01497</x:v>
      </x:c>
      <x:c r="C1543" t="str">
        <x:v>GATE</x:v>
      </x:c>
      <x:c r="D1543" t="str">
        <x:v>release state mirrors governing ledger</x:v>
      </x:c>
      <x:c r="E1543" t="str">
        <x:f>'Release Gates'!I1503</x:f>
        <x:v>PASS</x:v>
      </x:c>
      <x:c r="F1543" t="str">
        <x:f>IF('Release Gates'!C1503="PLANNING","PASS",IF('Release Gates'!C1503="PHYSICAL","OPEN","BLOCKED"))</x:f>
        <x:v>PASS</x:v>
      </x:c>
      <x:c r="G1543" t="str">
        <x:v>equals</x:v>
      </x:c>
      <x:c r="H1543" t="str">
        <x:f>IF(E1543=F1543,"PASS","FAIL")</x:f>
        <x:v>PASS</x:v>
      </x:c>
    </x:row>
    <x:row r="1544">
      <x:c r="B1544" t="str">
        <x:v>A-01498</x:v>
      </x:c>
      <x:c r="C1544" t="str">
        <x:v>GATE</x:v>
      </x:c>
      <x:c r="D1544" t="str">
        <x:v>release state mirrors governing ledger</x:v>
      </x:c>
      <x:c r="E1544" t="str">
        <x:f>'Release Gates'!I1504</x:f>
        <x:v>PASS</x:v>
      </x:c>
      <x:c r="F1544" t="str">
        <x:f>IF('Release Gates'!C1504="PLANNING","PASS",IF('Release Gates'!C1504="PHYSICAL","OPEN","BLOCKED"))</x:f>
        <x:v>PASS</x:v>
      </x:c>
      <x:c r="G1544" t="str">
        <x:v>equals</x:v>
      </x:c>
      <x:c r="H1544" t="str">
        <x:f>IF(E1544=F1544,"PASS","FAIL")</x:f>
        <x:v>PASS</x:v>
      </x:c>
    </x:row>
    <x:row r="1545">
      <x:c r="B1545" t="str">
        <x:v>A-01499</x:v>
      </x:c>
      <x:c r="C1545" t="str">
        <x:v>GATE</x:v>
      </x:c>
      <x:c r="D1545" t="str">
        <x:v>release state mirrors governing ledger</x:v>
      </x:c>
      <x:c r="E1545" t="str">
        <x:f>'Release Gates'!I1505</x:f>
        <x:v>PASS</x:v>
      </x:c>
      <x:c r="F1545" t="str">
        <x:f>IF('Release Gates'!C1505="PLANNING","PASS",IF('Release Gates'!C1505="PHYSICAL","OPEN","BLOCKED"))</x:f>
        <x:v>PASS</x:v>
      </x:c>
      <x:c r="G1545" t="str">
        <x:v>equals</x:v>
      </x:c>
      <x:c r="H1545" t="str">
        <x:f>IF(E1545=F1545,"PASS","FAIL")</x:f>
        <x:v>PASS</x:v>
      </x:c>
    </x:row>
    <x:row r="1546">
      <x:c r="B1546" t="str">
        <x:v>A-01500</x:v>
      </x:c>
      <x:c r="C1546" t="str">
        <x:v>GATE</x:v>
      </x:c>
      <x:c r="D1546" t="str">
        <x:v>release state mirrors governing ledger</x:v>
      </x:c>
      <x:c r="E1546" t="str">
        <x:f>'Release Gates'!I1506</x:f>
        <x:v>PASS</x:v>
      </x:c>
      <x:c r="F1546" t="str">
        <x:f>IF('Release Gates'!C1506="PLANNING","PASS",IF('Release Gates'!C1506="PHYSICAL","OPEN","BLOCKED"))</x:f>
        <x:v>PASS</x:v>
      </x:c>
      <x:c r="G1546" t="str">
        <x:v>equals</x:v>
      </x:c>
      <x:c r="H1546" t="str">
        <x:f>IF(E1546=F1546,"PASS","FAIL")</x:f>
        <x:v>PASS</x:v>
      </x:c>
    </x:row>
    <x:row r="1547">
      <x:c r="B1547" t="str">
        <x:v>A-01501</x:v>
      </x:c>
      <x:c r="C1547" t="str">
        <x:v>GATE</x:v>
      </x:c>
      <x:c r="D1547" t="str">
        <x:v>release state mirrors governing ledger</x:v>
      </x:c>
      <x:c r="E1547" t="str">
        <x:f>'Release Gates'!I1507</x:f>
        <x:v>PASS</x:v>
      </x:c>
      <x:c r="F1547" t="str">
        <x:f>IF('Release Gates'!C1507="PLANNING","PASS",IF('Release Gates'!C1507="PHYSICAL","OPEN","BLOCKED"))</x:f>
        <x:v>PASS</x:v>
      </x:c>
      <x:c r="G1547" t="str">
        <x:v>equals</x:v>
      </x:c>
      <x:c r="H1547" t="str">
        <x:f>IF(E1547=F1547,"PASS","FAIL")</x:f>
        <x:v>PASS</x:v>
      </x:c>
    </x:row>
    <x:row r="1548">
      <x:c r="B1548" t="str">
        <x:v>A-01502</x:v>
      </x:c>
      <x:c r="C1548" t="str">
        <x:v>GATE</x:v>
      </x:c>
      <x:c r="D1548" t="str">
        <x:v>release state mirrors governing ledger</x:v>
      </x:c>
      <x:c r="E1548" t="str">
        <x:f>'Release Gates'!I1508</x:f>
        <x:v>PASS</x:v>
      </x:c>
      <x:c r="F1548" t="str">
        <x:f>IF('Release Gates'!C1508="PLANNING","PASS",IF('Release Gates'!C1508="PHYSICAL","OPEN","BLOCKED"))</x:f>
        <x:v>PASS</x:v>
      </x:c>
      <x:c r="G1548" t="str">
        <x:v>equals</x:v>
      </x:c>
      <x:c r="H1548" t="str">
        <x:f>IF(E1548=F1548,"PASS","FAIL")</x:f>
        <x:v>PASS</x:v>
      </x:c>
    </x:row>
    <x:row r="1549">
      <x:c r="B1549" t="str">
        <x:v>A-01503</x:v>
      </x:c>
      <x:c r="C1549" t="str">
        <x:v>GATE</x:v>
      </x:c>
      <x:c r="D1549" t="str">
        <x:v>release state mirrors governing ledger</x:v>
      </x:c>
      <x:c r="E1549" t="str">
        <x:f>'Release Gates'!I1509</x:f>
        <x:v>PASS</x:v>
      </x:c>
      <x:c r="F1549" t="str">
        <x:f>IF('Release Gates'!C1509="PLANNING","PASS",IF('Release Gates'!C1509="PHYSICAL","OPEN","BLOCKED"))</x:f>
        <x:v>PASS</x:v>
      </x:c>
      <x:c r="G1549" t="str">
        <x:v>equals</x:v>
      </x:c>
      <x:c r="H1549" t="str">
        <x:f>IF(E1549=F1549,"PASS","FAIL")</x:f>
        <x:v>PASS</x:v>
      </x:c>
    </x:row>
    <x:row r="1550">
      <x:c r="B1550" t="str">
        <x:v>A-01504</x:v>
      </x:c>
      <x:c r="C1550" t="str">
        <x:v>GATE</x:v>
      </x:c>
      <x:c r="D1550" t="str">
        <x:v>release state mirrors governing ledger</x:v>
      </x:c>
      <x:c r="E1550" t="str">
        <x:f>'Release Gates'!I1510</x:f>
        <x:v>PASS</x:v>
      </x:c>
      <x:c r="F1550" t="str">
        <x:f>IF('Release Gates'!C1510="PLANNING","PASS",IF('Release Gates'!C1510="PHYSICAL","OPEN","BLOCKED"))</x:f>
        <x:v>PASS</x:v>
      </x:c>
      <x:c r="G1550" t="str">
        <x:v>equals</x:v>
      </x:c>
      <x:c r="H1550" t="str">
        <x:f>IF(E1550=F1550,"PASS","FAIL")</x:f>
        <x:v>PASS</x:v>
      </x:c>
    </x:row>
    <x:row r="1551">
      <x:c r="B1551" t="str">
        <x:v>A-01505</x:v>
      </x:c>
      <x:c r="C1551" t="str">
        <x:v>GATE</x:v>
      </x:c>
      <x:c r="D1551" t="str">
        <x:v>release state mirrors governing ledger</x:v>
      </x:c>
      <x:c r="E1551" t="str">
        <x:f>'Release Gates'!I1511</x:f>
        <x:v>PASS</x:v>
      </x:c>
      <x:c r="F1551" t="str">
        <x:f>IF('Release Gates'!C1511="PLANNING","PASS",IF('Release Gates'!C1511="PHYSICAL","OPEN","BLOCKED"))</x:f>
        <x:v>PASS</x:v>
      </x:c>
      <x:c r="G1551" t="str">
        <x:v>equals</x:v>
      </x:c>
      <x:c r="H1551" t="str">
        <x:f>IF(E1551=F1551,"PASS","FAIL")</x:f>
        <x:v>PASS</x:v>
      </x:c>
    </x:row>
    <x:row r="1552">
      <x:c r="B1552" t="str">
        <x:v>A-01506</x:v>
      </x:c>
      <x:c r="C1552" t="str">
        <x:v>GATE</x:v>
      </x:c>
      <x:c r="D1552" t="str">
        <x:v>release state mirrors governing ledger</x:v>
      </x:c>
      <x:c r="E1552" t="str">
        <x:f>'Release Gates'!I1512</x:f>
        <x:v>PASS</x:v>
      </x:c>
      <x:c r="F1552" t="str">
        <x:f>IF('Release Gates'!C1512="PLANNING","PASS",IF('Release Gates'!C1512="PHYSICAL","OPEN","BLOCKED"))</x:f>
        <x:v>PASS</x:v>
      </x:c>
      <x:c r="G1552" t="str">
        <x:v>equals</x:v>
      </x:c>
      <x:c r="H1552" t="str">
        <x:f>IF(E1552=F1552,"PASS","FAIL")</x:f>
        <x:v>PASS</x:v>
      </x:c>
    </x:row>
    <x:row r="1553">
      <x:c r="B1553" t="str">
        <x:v>A-01507</x:v>
      </x:c>
      <x:c r="C1553" t="str">
        <x:v>GATE</x:v>
      </x:c>
      <x:c r="D1553" t="str">
        <x:v>release state mirrors governing ledger</x:v>
      </x:c>
      <x:c r="E1553" t="str">
        <x:f>'Release Gates'!I1513</x:f>
        <x:v>PASS</x:v>
      </x:c>
      <x:c r="F1553" t="str">
        <x:f>IF('Release Gates'!C1513="PLANNING","PASS",IF('Release Gates'!C1513="PHYSICAL","OPEN","BLOCKED"))</x:f>
        <x:v>PASS</x:v>
      </x:c>
      <x:c r="G1553" t="str">
        <x:v>equals</x:v>
      </x:c>
      <x:c r="H1553" t="str">
        <x:f>IF(E1553=F1553,"PASS","FAIL")</x:f>
        <x:v>PASS</x:v>
      </x:c>
    </x:row>
    <x:row r="1554">
      <x:c r="B1554" t="str">
        <x:v>A-01508</x:v>
      </x:c>
      <x:c r="C1554" t="str">
        <x:v>GATE</x:v>
      </x:c>
      <x:c r="D1554" t="str">
        <x:v>release state mirrors governing ledger</x:v>
      </x:c>
      <x:c r="E1554" t="str">
        <x:f>'Release Gates'!I1514</x:f>
        <x:v>PASS</x:v>
      </x:c>
      <x:c r="F1554" t="str">
        <x:f>IF('Release Gates'!C1514="PLANNING","PASS",IF('Release Gates'!C1514="PHYSICAL","OPEN","BLOCKED"))</x:f>
        <x:v>PASS</x:v>
      </x:c>
      <x:c r="G1554" t="str">
        <x:v>equals</x:v>
      </x:c>
      <x:c r="H1554" t="str">
        <x:f>IF(E1554=F1554,"PASS","FAIL")</x:f>
        <x:v>PASS</x:v>
      </x:c>
    </x:row>
    <x:row r="1555">
      <x:c r="B1555" t="str">
        <x:v>A-01509</x:v>
      </x:c>
      <x:c r="C1555" t="str">
        <x:v>GATE</x:v>
      </x:c>
      <x:c r="D1555" t="str">
        <x:v>release state mirrors governing ledger</x:v>
      </x:c>
      <x:c r="E1555" t="str">
        <x:f>'Release Gates'!I1515</x:f>
        <x:v>PASS</x:v>
      </x:c>
      <x:c r="F1555" t="str">
        <x:f>IF('Release Gates'!C1515="PLANNING","PASS",IF('Release Gates'!C1515="PHYSICAL","OPEN","BLOCKED"))</x:f>
        <x:v>PASS</x:v>
      </x:c>
      <x:c r="G1555" t="str">
        <x:v>equals</x:v>
      </x:c>
      <x:c r="H1555" t="str">
        <x:f>IF(E1555=F1555,"PASS","FAIL")</x:f>
        <x:v>PASS</x:v>
      </x:c>
    </x:row>
    <x:row r="1556">
      <x:c r="B1556" t="str">
        <x:v>A-01510</x:v>
      </x:c>
      <x:c r="C1556" t="str">
        <x:v>GATE</x:v>
      </x:c>
      <x:c r="D1556" t="str">
        <x:v>release state mirrors governing ledger</x:v>
      </x:c>
      <x:c r="E1556" t="str">
        <x:f>'Release Gates'!I1516</x:f>
        <x:v>PASS</x:v>
      </x:c>
      <x:c r="F1556" t="str">
        <x:f>IF('Release Gates'!C1516="PLANNING","PASS",IF('Release Gates'!C1516="PHYSICAL","OPEN","BLOCKED"))</x:f>
        <x:v>PASS</x:v>
      </x:c>
      <x:c r="G1556" t="str">
        <x:v>equals</x:v>
      </x:c>
      <x:c r="H1556" t="str">
        <x:f>IF(E1556=F1556,"PASS","FAIL")</x:f>
        <x:v>PASS</x:v>
      </x:c>
    </x:row>
    <x:row r="1557">
      <x:c r="B1557" t="str">
        <x:v>A-01511</x:v>
      </x:c>
      <x:c r="C1557" t="str">
        <x:v>GATE</x:v>
      </x:c>
      <x:c r="D1557" t="str">
        <x:v>release state mirrors governing ledger</x:v>
      </x:c>
      <x:c r="E1557" t="str">
        <x:f>'Release Gates'!I1517</x:f>
        <x:v>PASS</x:v>
      </x:c>
      <x:c r="F1557" t="str">
        <x:f>IF('Release Gates'!C1517="PLANNING","PASS",IF('Release Gates'!C1517="PHYSICAL","OPEN","BLOCKED"))</x:f>
        <x:v>PASS</x:v>
      </x:c>
      <x:c r="G1557" t="str">
        <x:v>equals</x:v>
      </x:c>
      <x:c r="H1557" t="str">
        <x:f>IF(E1557=F1557,"PASS","FAIL")</x:f>
        <x:v>PASS</x:v>
      </x:c>
    </x:row>
    <x:row r="1558">
      <x:c r="B1558" t="str">
        <x:v>A-01512</x:v>
      </x:c>
      <x:c r="C1558" t="str">
        <x:v>GATE</x:v>
      </x:c>
      <x:c r="D1558" t="str">
        <x:v>release state mirrors governing ledger</x:v>
      </x:c>
      <x:c r="E1558" t="str">
        <x:f>'Release Gates'!I1518</x:f>
        <x:v>PASS</x:v>
      </x:c>
      <x:c r="F1558" t="str">
        <x:f>IF('Release Gates'!C1518="PLANNING","PASS",IF('Release Gates'!C1518="PHYSICAL","OPEN","BLOCKED"))</x:f>
        <x:v>PASS</x:v>
      </x:c>
      <x:c r="G1558" t="str">
        <x:v>equals</x:v>
      </x:c>
      <x:c r="H1558" t="str">
        <x:f>IF(E1558=F1558,"PASS","FAIL")</x:f>
        <x:v>PASS</x:v>
      </x:c>
    </x:row>
    <x:row r="1559">
      <x:c r="B1559" t="str">
        <x:v>A-01513</x:v>
      </x:c>
      <x:c r="C1559" t="str">
        <x:v>GATE</x:v>
      </x:c>
      <x:c r="D1559" t="str">
        <x:v>release state mirrors governing ledger</x:v>
      </x:c>
      <x:c r="E1559" t="str">
        <x:f>'Release Gates'!I1519</x:f>
        <x:v>PASS</x:v>
      </x:c>
      <x:c r="F1559" t="str">
        <x:f>IF('Release Gates'!C1519="PLANNING","PASS",IF('Release Gates'!C1519="PHYSICAL","OPEN","BLOCKED"))</x:f>
        <x:v>PASS</x:v>
      </x:c>
      <x:c r="G1559" t="str">
        <x:v>equals</x:v>
      </x:c>
      <x:c r="H1559" t="str">
        <x:f>IF(E1559=F1559,"PASS","FAIL")</x:f>
        <x:v>PASS</x:v>
      </x:c>
    </x:row>
    <x:row r="1560">
      <x:c r="B1560" t="str">
        <x:v>A-01514</x:v>
      </x:c>
      <x:c r="C1560" t="str">
        <x:v>GATE</x:v>
      </x:c>
      <x:c r="D1560" t="str">
        <x:v>release state mirrors governing ledger</x:v>
      </x:c>
      <x:c r="E1560" t="str">
        <x:f>'Release Gates'!I1520</x:f>
        <x:v>PASS</x:v>
      </x:c>
      <x:c r="F1560" t="str">
        <x:f>IF('Release Gates'!C1520="PLANNING","PASS",IF('Release Gates'!C1520="PHYSICAL","OPEN","BLOCKED"))</x:f>
        <x:v>PASS</x:v>
      </x:c>
      <x:c r="G1560" t="str">
        <x:v>equals</x:v>
      </x:c>
      <x:c r="H1560" t="str">
        <x:f>IF(E1560=F1560,"PASS","FAIL")</x:f>
        <x:v>PASS</x:v>
      </x:c>
    </x:row>
    <x:row r="1561">
      <x:c r="B1561" t="str">
        <x:v>A-01515</x:v>
      </x:c>
      <x:c r="C1561" t="str">
        <x:v>GATE</x:v>
      </x:c>
      <x:c r="D1561" t="str">
        <x:v>release state mirrors governing ledger</x:v>
      </x:c>
      <x:c r="E1561" t="str">
        <x:f>'Release Gates'!I1521</x:f>
        <x:v>PASS</x:v>
      </x:c>
      <x:c r="F1561" t="str">
        <x:f>IF('Release Gates'!C1521="PLANNING","PASS",IF('Release Gates'!C1521="PHYSICAL","OPEN","BLOCKED"))</x:f>
        <x:v>PASS</x:v>
      </x:c>
      <x:c r="G1561" t="str">
        <x:v>equals</x:v>
      </x:c>
      <x:c r="H1561" t="str">
        <x:f>IF(E1561=F1561,"PASS","FAIL")</x:f>
        <x:v>PASS</x:v>
      </x:c>
    </x:row>
    <x:row r="1562">
      <x:c r="B1562" t="str">
        <x:v>A-01516</x:v>
      </x:c>
      <x:c r="C1562" t="str">
        <x:v>GATE</x:v>
      </x:c>
      <x:c r="D1562" t="str">
        <x:v>release state mirrors governing ledger</x:v>
      </x:c>
      <x:c r="E1562" t="str">
        <x:f>'Release Gates'!I1522</x:f>
        <x:v>PASS</x:v>
      </x:c>
      <x:c r="F1562" t="str">
        <x:f>IF('Release Gates'!C1522="PLANNING","PASS",IF('Release Gates'!C1522="PHYSICAL","OPEN","BLOCKED"))</x:f>
        <x:v>PASS</x:v>
      </x:c>
      <x:c r="G1562" t="str">
        <x:v>equals</x:v>
      </x:c>
      <x:c r="H1562" t="str">
        <x:f>IF(E1562=F1562,"PASS","FAIL")</x:f>
        <x:v>PASS</x:v>
      </x:c>
    </x:row>
    <x:row r="1563">
      <x:c r="B1563" t="str">
        <x:v>A-01517</x:v>
      </x:c>
      <x:c r="C1563" t="str">
        <x:v>GATE</x:v>
      </x:c>
      <x:c r="D1563" t="str">
        <x:v>release state mirrors governing ledger</x:v>
      </x:c>
      <x:c r="E1563" t="str">
        <x:f>'Release Gates'!I1523</x:f>
        <x:v>PASS</x:v>
      </x:c>
      <x:c r="F1563" t="str">
        <x:f>IF('Release Gates'!C1523="PLANNING","PASS",IF('Release Gates'!C1523="PHYSICAL","OPEN","BLOCKED"))</x:f>
        <x:v>PASS</x:v>
      </x:c>
      <x:c r="G1563" t="str">
        <x:v>equals</x:v>
      </x:c>
      <x:c r="H1563" t="str">
        <x:f>IF(E1563=F1563,"PASS","FAIL")</x:f>
        <x:v>PASS</x:v>
      </x:c>
    </x:row>
    <x:row r="1564">
      <x:c r="B1564" t="str">
        <x:v>A-01518</x:v>
      </x:c>
      <x:c r="C1564" t="str">
        <x:v>GATE</x:v>
      </x:c>
      <x:c r="D1564" t="str">
        <x:v>release state mirrors governing ledger</x:v>
      </x:c>
      <x:c r="E1564" t="str">
        <x:f>'Release Gates'!I1524</x:f>
        <x:v>PASS</x:v>
      </x:c>
      <x:c r="F1564" t="str">
        <x:f>IF('Release Gates'!C1524="PLANNING","PASS",IF('Release Gates'!C1524="PHYSICAL","OPEN","BLOCKED"))</x:f>
        <x:v>PASS</x:v>
      </x:c>
      <x:c r="G1564" t="str">
        <x:v>equals</x:v>
      </x:c>
      <x:c r="H1564" t="str">
        <x:f>IF(E1564=F1564,"PASS","FAIL")</x:f>
        <x:v>PASS</x:v>
      </x:c>
    </x:row>
    <x:row r="1565">
      <x:c r="B1565" t="str">
        <x:v>A-01519</x:v>
      </x:c>
      <x:c r="C1565" t="str">
        <x:v>GATE</x:v>
      </x:c>
      <x:c r="D1565" t="str">
        <x:v>release state mirrors governing ledger</x:v>
      </x:c>
      <x:c r="E1565" t="str">
        <x:f>'Release Gates'!I1525</x:f>
        <x:v>PASS</x:v>
      </x:c>
      <x:c r="F1565" t="str">
        <x:f>IF('Release Gates'!C1525="PLANNING","PASS",IF('Release Gates'!C1525="PHYSICAL","OPEN","BLOCKED"))</x:f>
        <x:v>PASS</x:v>
      </x:c>
      <x:c r="G1565" t="str">
        <x:v>equals</x:v>
      </x:c>
      <x:c r="H1565" t="str">
        <x:f>IF(E1565=F1565,"PASS","FAIL")</x:f>
        <x:v>PASS</x:v>
      </x:c>
    </x:row>
    <x:row r="1566">
      <x:c r="B1566" t="str">
        <x:v>A-01520</x:v>
      </x:c>
      <x:c r="C1566" t="str">
        <x:v>GATE</x:v>
      </x:c>
      <x:c r="D1566" t="str">
        <x:v>release state mirrors governing ledger</x:v>
      </x:c>
      <x:c r="E1566" t="str">
        <x:f>'Release Gates'!I1526</x:f>
        <x:v>PASS</x:v>
      </x:c>
      <x:c r="F1566" t="str">
        <x:f>IF('Release Gates'!C1526="PLANNING","PASS",IF('Release Gates'!C1526="PHYSICAL","OPEN","BLOCKED"))</x:f>
        <x:v>PASS</x:v>
      </x:c>
      <x:c r="G1566" t="str">
        <x:v>equals</x:v>
      </x:c>
      <x:c r="H1566" t="str">
        <x:f>IF(E1566=F1566,"PASS","FAIL")</x:f>
        <x:v>PASS</x:v>
      </x:c>
    </x:row>
    <x:row r="1567">
      <x:c r="B1567" t="str">
        <x:v>A-01521</x:v>
      </x:c>
      <x:c r="C1567" t="str">
        <x:v>GATE</x:v>
      </x:c>
      <x:c r="D1567" t="str">
        <x:v>release state mirrors governing ledger</x:v>
      </x:c>
      <x:c r="E1567" t="str">
        <x:f>'Release Gates'!I1527</x:f>
        <x:v>PASS</x:v>
      </x:c>
      <x:c r="F1567" t="str">
        <x:f>IF('Release Gates'!C1527="PLANNING","PASS",IF('Release Gates'!C1527="PHYSICAL","OPEN","BLOCKED"))</x:f>
        <x:v>PASS</x:v>
      </x:c>
      <x:c r="G1567" t="str">
        <x:v>equals</x:v>
      </x:c>
      <x:c r="H1567" t="str">
        <x:f>IF(E1567=F1567,"PASS","FAIL")</x:f>
        <x:v>PASS</x:v>
      </x:c>
    </x:row>
    <x:row r="1568">
      <x:c r="B1568" t="str">
        <x:v>A-01522</x:v>
      </x:c>
      <x:c r="C1568" t="str">
        <x:v>GATE</x:v>
      </x:c>
      <x:c r="D1568" t="str">
        <x:v>release state mirrors governing ledger</x:v>
      </x:c>
      <x:c r="E1568" t="str">
        <x:f>'Release Gates'!I1528</x:f>
        <x:v>PASS</x:v>
      </x:c>
      <x:c r="F1568" t="str">
        <x:f>IF('Release Gates'!C1528="PLANNING","PASS",IF('Release Gates'!C1528="PHYSICAL","OPEN","BLOCKED"))</x:f>
        <x:v>PASS</x:v>
      </x:c>
      <x:c r="G1568" t="str">
        <x:v>equals</x:v>
      </x:c>
      <x:c r="H1568" t="str">
        <x:f>IF(E1568=F1568,"PASS","FAIL")</x:f>
        <x:v>PASS</x:v>
      </x:c>
    </x:row>
    <x:row r="1569">
      <x:c r="B1569" t="str">
        <x:v>A-01523</x:v>
      </x:c>
      <x:c r="C1569" t="str">
        <x:v>GATE</x:v>
      </x:c>
      <x:c r="D1569" t="str">
        <x:v>release state mirrors governing ledger</x:v>
      </x:c>
      <x:c r="E1569" t="str">
        <x:f>'Release Gates'!I1529</x:f>
        <x:v>PASS</x:v>
      </x:c>
      <x:c r="F1569" t="str">
        <x:f>IF('Release Gates'!C1529="PLANNING","PASS",IF('Release Gates'!C1529="PHYSICAL","OPEN","BLOCKED"))</x:f>
        <x:v>PASS</x:v>
      </x:c>
      <x:c r="G1569" t="str">
        <x:v>equals</x:v>
      </x:c>
      <x:c r="H1569" t="str">
        <x:f>IF(E1569=F1569,"PASS","FAIL")</x:f>
        <x:v>PASS</x:v>
      </x:c>
    </x:row>
    <x:row r="1570">
      <x:c r="B1570" t="str">
        <x:v>A-01524</x:v>
      </x:c>
      <x:c r="C1570" t="str">
        <x:v>GATE</x:v>
      </x:c>
      <x:c r="D1570" t="str">
        <x:v>release state mirrors governing ledger</x:v>
      </x:c>
      <x:c r="E1570" t="str">
        <x:f>'Release Gates'!I1530</x:f>
        <x:v>PASS</x:v>
      </x:c>
      <x:c r="F1570" t="str">
        <x:f>IF('Release Gates'!C1530="PLANNING","PASS",IF('Release Gates'!C1530="PHYSICAL","OPEN","BLOCKED"))</x:f>
        <x:v>PASS</x:v>
      </x:c>
      <x:c r="G1570" t="str">
        <x:v>equals</x:v>
      </x:c>
      <x:c r="H1570" t="str">
        <x:f>IF(E1570=F1570,"PASS","FAIL")</x:f>
        <x:v>PASS</x:v>
      </x:c>
    </x:row>
    <x:row r="1571">
      <x:c r="B1571" t="str">
        <x:v>A-01525</x:v>
      </x:c>
      <x:c r="C1571" t="str">
        <x:v>GATE</x:v>
      </x:c>
      <x:c r="D1571" t="str">
        <x:v>release state mirrors governing ledger</x:v>
      </x:c>
      <x:c r="E1571" t="str">
        <x:f>'Release Gates'!I1531</x:f>
        <x:v>PASS</x:v>
      </x:c>
      <x:c r="F1571" t="str">
        <x:f>IF('Release Gates'!C1531="PLANNING","PASS",IF('Release Gates'!C1531="PHYSICAL","OPEN","BLOCKED"))</x:f>
        <x:v>PASS</x:v>
      </x:c>
      <x:c r="G1571" t="str">
        <x:v>equals</x:v>
      </x:c>
      <x:c r="H1571" t="str">
        <x:f>IF(E1571=F1571,"PASS","FAIL")</x:f>
        <x:v>PASS</x:v>
      </x:c>
    </x:row>
    <x:row r="1572">
      <x:c r="B1572" t="str">
        <x:v>A-01526</x:v>
      </x:c>
      <x:c r="C1572" t="str">
        <x:v>GATE</x:v>
      </x:c>
      <x:c r="D1572" t="str">
        <x:v>release state mirrors governing ledger</x:v>
      </x:c>
      <x:c r="E1572" t="str">
        <x:f>'Release Gates'!I1532</x:f>
        <x:v>PASS</x:v>
      </x:c>
      <x:c r="F1572" t="str">
        <x:f>IF('Release Gates'!C1532="PLANNING","PASS",IF('Release Gates'!C1532="PHYSICAL","OPEN","BLOCKED"))</x:f>
        <x:v>PASS</x:v>
      </x:c>
      <x:c r="G1572" t="str">
        <x:v>equals</x:v>
      </x:c>
      <x:c r="H1572" t="str">
        <x:f>IF(E1572=F1572,"PASS","FAIL")</x:f>
        <x:v>PASS</x:v>
      </x:c>
    </x:row>
    <x:row r="1573">
      <x:c r="B1573" t="str">
        <x:v>A-01527</x:v>
      </x:c>
      <x:c r="C1573" t="str">
        <x:v>GATE</x:v>
      </x:c>
      <x:c r="D1573" t="str">
        <x:v>release state mirrors governing ledger</x:v>
      </x:c>
      <x:c r="E1573" t="str">
        <x:f>'Release Gates'!I1533</x:f>
        <x:v>PASS</x:v>
      </x:c>
      <x:c r="F1573" t="str">
        <x:f>IF('Release Gates'!C1533="PLANNING","PASS",IF('Release Gates'!C1533="PHYSICAL","OPEN","BLOCKED"))</x:f>
        <x:v>PASS</x:v>
      </x:c>
      <x:c r="G1573" t="str">
        <x:v>equals</x:v>
      </x:c>
      <x:c r="H1573" t="str">
        <x:f>IF(E1573=F1573,"PASS","FAIL")</x:f>
        <x:v>PASS</x:v>
      </x:c>
    </x:row>
    <x:row r="1574">
      <x:c r="B1574" t="str">
        <x:v>A-01528</x:v>
      </x:c>
      <x:c r="C1574" t="str">
        <x:v>GATE</x:v>
      </x:c>
      <x:c r="D1574" t="str">
        <x:v>release state mirrors governing ledger</x:v>
      </x:c>
      <x:c r="E1574" t="str">
        <x:f>'Release Gates'!I1534</x:f>
        <x:v>PASS</x:v>
      </x:c>
      <x:c r="F1574" t="str">
        <x:f>IF('Release Gates'!C1534="PLANNING","PASS",IF('Release Gates'!C1534="PHYSICAL","OPEN","BLOCKED"))</x:f>
        <x:v>PASS</x:v>
      </x:c>
      <x:c r="G1574" t="str">
        <x:v>equals</x:v>
      </x:c>
      <x:c r="H1574" t="str">
        <x:f>IF(E1574=F1574,"PASS","FAIL")</x:f>
        <x:v>PASS</x:v>
      </x:c>
    </x:row>
    <x:row r="1575">
      <x:c r="B1575" t="str">
        <x:v>A-01529</x:v>
      </x:c>
      <x:c r="C1575" t="str">
        <x:v>GATE</x:v>
      </x:c>
      <x:c r="D1575" t="str">
        <x:v>release state mirrors governing ledger</x:v>
      </x:c>
      <x:c r="E1575" t="str">
        <x:f>'Release Gates'!I1535</x:f>
        <x:v>PASS</x:v>
      </x:c>
      <x:c r="F1575" t="str">
        <x:f>IF('Release Gates'!C1535="PLANNING","PASS",IF('Release Gates'!C1535="PHYSICAL","OPEN","BLOCKED"))</x:f>
        <x:v>PASS</x:v>
      </x:c>
      <x:c r="G1575" t="str">
        <x:v>equals</x:v>
      </x:c>
      <x:c r="H1575" t="str">
        <x:f>IF(E1575=F1575,"PASS","FAIL")</x:f>
        <x:v>PASS</x:v>
      </x:c>
    </x:row>
    <x:row r="1576">
      <x:c r="B1576" t="str">
        <x:v>A-01530</x:v>
      </x:c>
      <x:c r="C1576" t="str">
        <x:v>GATE</x:v>
      </x:c>
      <x:c r="D1576" t="str">
        <x:v>release state mirrors governing ledger</x:v>
      </x:c>
      <x:c r="E1576" t="str">
        <x:f>'Release Gates'!I1536</x:f>
        <x:v>PASS</x:v>
      </x:c>
      <x:c r="F1576" t="str">
        <x:f>IF('Release Gates'!C1536="PLANNING","PASS",IF('Release Gates'!C1536="PHYSICAL","OPEN","BLOCKED"))</x:f>
        <x:v>PASS</x:v>
      </x:c>
      <x:c r="G1576" t="str">
        <x:v>equals</x:v>
      </x:c>
      <x:c r="H1576" t="str">
        <x:f>IF(E1576=F1576,"PASS","FAIL")</x:f>
        <x:v>PASS</x:v>
      </x:c>
    </x:row>
    <x:row r="1577">
      <x:c r="B1577" t="str">
        <x:v>A-01531</x:v>
      </x:c>
      <x:c r="C1577" t="str">
        <x:v>GATE</x:v>
      </x:c>
      <x:c r="D1577" t="str">
        <x:v>release state mirrors governing ledger</x:v>
      </x:c>
      <x:c r="E1577" t="str">
        <x:f>'Release Gates'!I1537</x:f>
        <x:v>PASS</x:v>
      </x:c>
      <x:c r="F1577" t="str">
        <x:f>IF('Release Gates'!C1537="PLANNING","PASS",IF('Release Gates'!C1537="PHYSICAL","OPEN","BLOCKED"))</x:f>
        <x:v>PASS</x:v>
      </x:c>
      <x:c r="G1577" t="str">
        <x:v>equals</x:v>
      </x:c>
      <x:c r="H1577" t="str">
        <x:f>IF(E1577=F1577,"PASS","FAIL")</x:f>
        <x:v>PASS</x:v>
      </x:c>
    </x:row>
    <x:row r="1578">
      <x:c r="B1578" t="str">
        <x:v>A-01532</x:v>
      </x:c>
      <x:c r="C1578" t="str">
        <x:v>GATE</x:v>
      </x:c>
      <x:c r="D1578" t="str">
        <x:v>release state mirrors governing ledger</x:v>
      </x:c>
      <x:c r="E1578" t="str">
        <x:f>'Release Gates'!I1538</x:f>
        <x:v>PASS</x:v>
      </x:c>
      <x:c r="F1578" t="str">
        <x:f>IF('Release Gates'!C1538="PLANNING","PASS",IF('Release Gates'!C1538="PHYSICAL","OPEN","BLOCKED"))</x:f>
        <x:v>PASS</x:v>
      </x:c>
      <x:c r="G1578" t="str">
        <x:v>equals</x:v>
      </x:c>
      <x:c r="H1578" t="str">
        <x:f>IF(E1578=F1578,"PASS","FAIL")</x:f>
        <x:v>PASS</x:v>
      </x:c>
    </x:row>
    <x:row r="1579">
      <x:c r="B1579" t="str">
        <x:v>A-01533</x:v>
      </x:c>
      <x:c r="C1579" t="str">
        <x:v>GATE</x:v>
      </x:c>
      <x:c r="D1579" t="str">
        <x:v>release state mirrors governing ledger</x:v>
      </x:c>
      <x:c r="E1579" t="str">
        <x:f>'Release Gates'!I1539</x:f>
        <x:v>PASS</x:v>
      </x:c>
      <x:c r="F1579" t="str">
        <x:f>IF('Release Gates'!C1539="PLANNING","PASS",IF('Release Gates'!C1539="PHYSICAL","OPEN","BLOCKED"))</x:f>
        <x:v>PASS</x:v>
      </x:c>
      <x:c r="G1579" t="str">
        <x:v>equals</x:v>
      </x:c>
      <x:c r="H1579" t="str">
        <x:f>IF(E1579=F1579,"PASS","FAIL")</x:f>
        <x:v>PASS</x:v>
      </x:c>
    </x:row>
    <x:row r="1580">
      <x:c r="B1580" t="str">
        <x:v>A-01534</x:v>
      </x:c>
      <x:c r="C1580" t="str">
        <x:v>GATE</x:v>
      </x:c>
      <x:c r="D1580" t="str">
        <x:v>release state mirrors governing ledger</x:v>
      </x:c>
      <x:c r="E1580" t="str">
        <x:f>'Release Gates'!I1540</x:f>
        <x:v>PASS</x:v>
      </x:c>
      <x:c r="F1580" t="str">
        <x:f>IF('Release Gates'!C1540="PLANNING","PASS",IF('Release Gates'!C1540="PHYSICAL","OPEN","BLOCKED"))</x:f>
        <x:v>PASS</x:v>
      </x:c>
      <x:c r="G1580" t="str">
        <x:v>equals</x:v>
      </x:c>
      <x:c r="H1580" t="str">
        <x:f>IF(E1580=F1580,"PASS","FAIL")</x:f>
        <x:v>PASS</x:v>
      </x:c>
    </x:row>
    <x:row r="1581">
      <x:c r="B1581" t="str">
        <x:v>A-01535</x:v>
      </x:c>
      <x:c r="C1581" t="str">
        <x:v>GATE</x:v>
      </x:c>
      <x:c r="D1581" t="str">
        <x:v>release state mirrors governing ledger</x:v>
      </x:c>
      <x:c r="E1581" t="str">
        <x:f>'Release Gates'!I1541</x:f>
        <x:v>PASS</x:v>
      </x:c>
      <x:c r="F1581" t="str">
        <x:f>IF('Release Gates'!C1541="PLANNING","PASS",IF('Release Gates'!C1541="PHYSICAL","OPEN","BLOCKED"))</x:f>
        <x:v>PASS</x:v>
      </x:c>
      <x:c r="G1581" t="str">
        <x:v>equals</x:v>
      </x:c>
      <x:c r="H1581" t="str">
        <x:f>IF(E1581=F1581,"PASS","FAIL")</x:f>
        <x:v>PASS</x:v>
      </x:c>
    </x:row>
    <x:row r="1582">
      <x:c r="B1582" t="str">
        <x:v>A-01536</x:v>
      </x:c>
      <x:c r="C1582" t="str">
        <x:v>GATE</x:v>
      </x:c>
      <x:c r="D1582" t="str">
        <x:v>release state mirrors governing ledger</x:v>
      </x:c>
      <x:c r="E1582" t="str">
        <x:f>'Release Gates'!I1542</x:f>
        <x:v>PASS</x:v>
      </x:c>
      <x:c r="F1582" t="str">
        <x:f>IF('Release Gates'!C1542="PLANNING","PASS",IF('Release Gates'!C1542="PHYSICAL","OPEN","BLOCKED"))</x:f>
        <x:v>PASS</x:v>
      </x:c>
      <x:c r="G1582" t="str">
        <x:v>equals</x:v>
      </x:c>
      <x:c r="H1582" t="str">
        <x:f>IF(E1582=F1582,"PASS","FAIL")</x:f>
        <x:v>PASS</x:v>
      </x:c>
    </x:row>
    <x:row r="1583">
      <x:c r="B1583" t="str">
        <x:v>A-01537</x:v>
      </x:c>
      <x:c r="C1583" t="str">
        <x:v>GATE</x:v>
      </x:c>
      <x:c r="D1583" t="str">
        <x:v>release state mirrors governing ledger</x:v>
      </x:c>
      <x:c r="E1583" t="str">
        <x:f>'Release Gates'!I1543</x:f>
        <x:v>PASS</x:v>
      </x:c>
      <x:c r="F1583" t="str">
        <x:f>IF('Release Gates'!C1543="PLANNING","PASS",IF('Release Gates'!C1543="PHYSICAL","OPEN","BLOCKED"))</x:f>
        <x:v>PASS</x:v>
      </x:c>
      <x:c r="G1583" t="str">
        <x:v>equals</x:v>
      </x:c>
      <x:c r="H1583" t="str">
        <x:f>IF(E1583=F1583,"PASS","FAIL")</x:f>
        <x:v>PASS</x:v>
      </x:c>
    </x:row>
    <x:row r="1584">
      <x:c r="B1584" t="str">
        <x:v>A-01538</x:v>
      </x:c>
      <x:c r="C1584" t="str">
        <x:v>GATE</x:v>
      </x:c>
      <x:c r="D1584" t="str">
        <x:v>release state mirrors governing ledger</x:v>
      </x:c>
      <x:c r="E1584" t="str">
        <x:f>'Release Gates'!I1544</x:f>
        <x:v>PASS</x:v>
      </x:c>
      <x:c r="F1584" t="str">
        <x:f>IF('Release Gates'!C1544="PLANNING","PASS",IF('Release Gates'!C1544="PHYSICAL","OPEN","BLOCKED"))</x:f>
        <x:v>PASS</x:v>
      </x:c>
      <x:c r="G1584" t="str">
        <x:v>equals</x:v>
      </x:c>
      <x:c r="H1584" t="str">
        <x:f>IF(E1584=F1584,"PASS","FAIL")</x:f>
        <x:v>PASS</x:v>
      </x:c>
    </x:row>
    <x:row r="1585">
      <x:c r="B1585" t="str">
        <x:v>A-01539</x:v>
      </x:c>
      <x:c r="C1585" t="str">
        <x:v>GATE</x:v>
      </x:c>
      <x:c r="D1585" t="str">
        <x:v>release state mirrors governing ledger</x:v>
      </x:c>
      <x:c r="E1585" t="str">
        <x:f>'Release Gates'!I1545</x:f>
        <x:v>PASS</x:v>
      </x:c>
      <x:c r="F1585" t="str">
        <x:f>IF('Release Gates'!C1545="PLANNING","PASS",IF('Release Gates'!C1545="PHYSICAL","OPEN","BLOCKED"))</x:f>
        <x:v>PASS</x:v>
      </x:c>
      <x:c r="G1585" t="str">
        <x:v>equals</x:v>
      </x:c>
      <x:c r="H1585" t="str">
        <x:f>IF(E1585=F1585,"PASS","FAIL")</x:f>
        <x:v>PASS</x:v>
      </x:c>
    </x:row>
    <x:row r="1586">
      <x:c r="B1586" t="str">
        <x:v>A-01540</x:v>
      </x:c>
      <x:c r="C1586" t="str">
        <x:v>GATE</x:v>
      </x:c>
      <x:c r="D1586" t="str">
        <x:v>release state mirrors governing ledger</x:v>
      </x:c>
      <x:c r="E1586" t="str">
        <x:f>'Release Gates'!I1546</x:f>
        <x:v>PASS</x:v>
      </x:c>
      <x:c r="F1586" t="str">
        <x:f>IF('Release Gates'!C1546="PLANNING","PASS",IF('Release Gates'!C1546="PHYSICAL","OPEN","BLOCKED"))</x:f>
        <x:v>PASS</x:v>
      </x:c>
      <x:c r="G1586" t="str">
        <x:v>equals</x:v>
      </x:c>
      <x:c r="H1586" t="str">
        <x:f>IF(E1586=F1586,"PASS","FAIL")</x:f>
        <x:v>PASS</x:v>
      </x:c>
    </x:row>
    <x:row r="1587">
      <x:c r="B1587" t="str">
        <x:v>A-01541</x:v>
      </x:c>
      <x:c r="C1587" t="str">
        <x:v>GATE</x:v>
      </x:c>
      <x:c r="D1587" t="str">
        <x:v>release state mirrors governing ledger</x:v>
      </x:c>
      <x:c r="E1587" t="str">
        <x:f>'Release Gates'!I1547</x:f>
        <x:v>PASS</x:v>
      </x:c>
      <x:c r="F1587" t="str">
        <x:f>IF('Release Gates'!C1547="PLANNING","PASS",IF('Release Gates'!C1547="PHYSICAL","OPEN","BLOCKED"))</x:f>
        <x:v>PASS</x:v>
      </x:c>
      <x:c r="G1587" t="str">
        <x:v>equals</x:v>
      </x:c>
      <x:c r="H1587" t="str">
        <x:f>IF(E1587=F1587,"PASS","FAIL")</x:f>
        <x:v>PASS</x:v>
      </x:c>
    </x:row>
    <x:row r="1588">
      <x:c r="B1588" t="str">
        <x:v>A-01542</x:v>
      </x:c>
      <x:c r="C1588" t="str">
        <x:v>GATE</x:v>
      </x:c>
      <x:c r="D1588" t="str">
        <x:v>release state mirrors governing ledger</x:v>
      </x:c>
      <x:c r="E1588" t="str">
        <x:f>'Release Gates'!I1548</x:f>
        <x:v>PASS</x:v>
      </x:c>
      <x:c r="F1588" t="str">
        <x:f>IF('Release Gates'!C1548="PLANNING","PASS",IF('Release Gates'!C1548="PHYSICAL","OPEN","BLOCKED"))</x:f>
        <x:v>PASS</x:v>
      </x:c>
      <x:c r="G1588" t="str">
        <x:v>equals</x:v>
      </x:c>
      <x:c r="H1588" t="str">
        <x:f>IF(E1588=F1588,"PASS","FAIL")</x:f>
        <x:v>PASS</x:v>
      </x:c>
    </x:row>
    <x:row r="1589">
      <x:c r="B1589" t="str">
        <x:v>A-01543</x:v>
      </x:c>
      <x:c r="C1589" t="str">
        <x:v>GATE</x:v>
      </x:c>
      <x:c r="D1589" t="str">
        <x:v>release state mirrors governing ledger</x:v>
      </x:c>
      <x:c r="E1589" t="str">
        <x:f>'Release Gates'!I1549</x:f>
        <x:v>PASS</x:v>
      </x:c>
      <x:c r="F1589" t="str">
        <x:f>IF('Release Gates'!C1549="PLANNING","PASS",IF('Release Gates'!C1549="PHYSICAL","OPEN","BLOCKED"))</x:f>
        <x:v>PASS</x:v>
      </x:c>
      <x:c r="G1589" t="str">
        <x:v>equals</x:v>
      </x:c>
      <x:c r="H1589" t="str">
        <x:f>IF(E1589=F1589,"PASS","FAIL")</x:f>
        <x:v>PASS</x:v>
      </x:c>
    </x:row>
    <x:row r="1590">
      <x:c r="B1590" t="str">
        <x:v>A-01544</x:v>
      </x:c>
      <x:c r="C1590" t="str">
        <x:v>GATE</x:v>
      </x:c>
      <x:c r="D1590" t="str">
        <x:v>release state mirrors governing ledger</x:v>
      </x:c>
      <x:c r="E1590" t="str">
        <x:f>'Release Gates'!I1550</x:f>
        <x:v>PASS</x:v>
      </x:c>
      <x:c r="F1590" t="str">
        <x:f>IF('Release Gates'!C1550="PLANNING","PASS",IF('Release Gates'!C1550="PHYSICAL","OPEN","BLOCKED"))</x:f>
        <x:v>PASS</x:v>
      </x:c>
      <x:c r="G1590" t="str">
        <x:v>equals</x:v>
      </x:c>
      <x:c r="H1590" t="str">
        <x:f>IF(E1590=F1590,"PASS","FAIL")</x:f>
        <x:v>PASS</x:v>
      </x:c>
    </x:row>
    <x:row r="1591">
      <x:c r="B1591" t="str">
        <x:v>A-01545</x:v>
      </x:c>
      <x:c r="C1591" t="str">
        <x:v>GATE</x:v>
      </x:c>
      <x:c r="D1591" t="str">
        <x:v>release state mirrors governing ledger</x:v>
      </x:c>
      <x:c r="E1591" t="str">
        <x:f>'Release Gates'!I1551</x:f>
        <x:v>PASS</x:v>
      </x:c>
      <x:c r="F1591" t="str">
        <x:f>IF('Release Gates'!C1551="PLANNING","PASS",IF('Release Gates'!C1551="PHYSICAL","OPEN","BLOCKED"))</x:f>
        <x:v>PASS</x:v>
      </x:c>
      <x:c r="G1591" t="str">
        <x:v>equals</x:v>
      </x:c>
      <x:c r="H1591" t="str">
        <x:f>IF(E1591=F1591,"PASS","FAIL")</x:f>
        <x:v>PASS</x:v>
      </x:c>
    </x:row>
    <x:row r="1592">
      <x:c r="B1592" t="str">
        <x:v>A-01546</x:v>
      </x:c>
      <x:c r="C1592" t="str">
        <x:v>GATE</x:v>
      </x:c>
      <x:c r="D1592" t="str">
        <x:v>release state mirrors governing ledger</x:v>
      </x:c>
      <x:c r="E1592" t="str">
        <x:f>'Release Gates'!I1552</x:f>
        <x:v>PASS</x:v>
      </x:c>
      <x:c r="F1592" t="str">
        <x:f>IF('Release Gates'!C1552="PLANNING","PASS",IF('Release Gates'!C1552="PHYSICAL","OPEN","BLOCKED"))</x:f>
        <x:v>PASS</x:v>
      </x:c>
      <x:c r="G1592" t="str">
        <x:v>equals</x:v>
      </x:c>
      <x:c r="H1592" t="str">
        <x:f>IF(E1592=F1592,"PASS","FAIL")</x:f>
        <x:v>PASS</x:v>
      </x:c>
    </x:row>
    <x:row r="1593">
      <x:c r="B1593" t="str">
        <x:v>A-01547</x:v>
      </x:c>
      <x:c r="C1593" t="str">
        <x:v>GATE</x:v>
      </x:c>
      <x:c r="D1593" t="str">
        <x:v>release state mirrors governing ledger</x:v>
      </x:c>
      <x:c r="E1593" t="str">
        <x:f>'Release Gates'!I1553</x:f>
        <x:v>PASS</x:v>
      </x:c>
      <x:c r="F1593" t="str">
        <x:f>IF('Release Gates'!C1553="PLANNING","PASS",IF('Release Gates'!C1553="PHYSICAL","OPEN","BLOCKED"))</x:f>
        <x:v>PASS</x:v>
      </x:c>
      <x:c r="G1593" t="str">
        <x:v>equals</x:v>
      </x:c>
      <x:c r="H1593" t="str">
        <x:f>IF(E1593=F1593,"PASS","FAIL")</x:f>
        <x:v>PASS</x:v>
      </x:c>
    </x:row>
    <x:row r="1594">
      <x:c r="B1594" t="str">
        <x:v>A-01548</x:v>
      </x:c>
      <x:c r="C1594" t="str">
        <x:v>GATE</x:v>
      </x:c>
      <x:c r="D1594" t="str">
        <x:v>release state mirrors governing ledger</x:v>
      </x:c>
      <x:c r="E1594" t="str">
        <x:f>'Release Gates'!I1554</x:f>
        <x:v>PASS</x:v>
      </x:c>
      <x:c r="F1594" t="str">
        <x:f>IF('Release Gates'!C1554="PLANNING","PASS",IF('Release Gates'!C1554="PHYSICAL","OPEN","BLOCKED"))</x:f>
        <x:v>PASS</x:v>
      </x:c>
      <x:c r="G1594" t="str">
        <x:v>equals</x:v>
      </x:c>
      <x:c r="H1594" t="str">
        <x:f>IF(E1594=F1594,"PASS","FAIL")</x:f>
        <x:v>PASS</x:v>
      </x:c>
    </x:row>
    <x:row r="1595">
      <x:c r="B1595" t="str">
        <x:v>A-01549</x:v>
      </x:c>
      <x:c r="C1595" t="str">
        <x:v>GATE</x:v>
      </x:c>
      <x:c r="D1595" t="str">
        <x:v>release state mirrors governing ledger</x:v>
      </x:c>
      <x:c r="E1595" t="str">
        <x:f>'Release Gates'!I1555</x:f>
        <x:v>PASS</x:v>
      </x:c>
      <x:c r="F1595" t="str">
        <x:f>IF('Release Gates'!C1555="PLANNING","PASS",IF('Release Gates'!C1555="PHYSICAL","OPEN","BLOCKED"))</x:f>
        <x:v>PASS</x:v>
      </x:c>
      <x:c r="G1595" t="str">
        <x:v>equals</x:v>
      </x:c>
      <x:c r="H1595" t="str">
        <x:f>IF(E1595=F1595,"PASS","FAIL")</x:f>
        <x:v>PASS</x:v>
      </x:c>
    </x:row>
    <x:row r="1596">
      <x:c r="B1596" t="str">
        <x:v>A-01550</x:v>
      </x:c>
      <x:c r="C1596" t="str">
        <x:v>GATE</x:v>
      </x:c>
      <x:c r="D1596" t="str">
        <x:v>release state mirrors governing ledger</x:v>
      </x:c>
      <x:c r="E1596" t="str">
        <x:f>'Release Gates'!I1556</x:f>
        <x:v>PASS</x:v>
      </x:c>
      <x:c r="F1596" t="str">
        <x:f>IF('Release Gates'!C1556="PLANNING","PASS",IF('Release Gates'!C1556="PHYSICAL","OPEN","BLOCKED"))</x:f>
        <x:v>PASS</x:v>
      </x:c>
      <x:c r="G1596" t="str">
        <x:v>equals</x:v>
      </x:c>
      <x:c r="H1596" t="str">
        <x:f>IF(E1596=F1596,"PASS","FAIL")</x:f>
        <x:v>PASS</x:v>
      </x:c>
    </x:row>
    <x:row r="1597">
      <x:c r="B1597" t="str">
        <x:v>A-01551</x:v>
      </x:c>
      <x:c r="C1597" t="str">
        <x:v>GATE</x:v>
      </x:c>
      <x:c r="D1597" t="str">
        <x:v>release state mirrors governing ledger</x:v>
      </x:c>
      <x:c r="E1597" t="str">
        <x:f>'Release Gates'!I1557</x:f>
        <x:v>PASS</x:v>
      </x:c>
      <x:c r="F1597" t="str">
        <x:f>IF('Release Gates'!C1557="PLANNING","PASS",IF('Release Gates'!C1557="PHYSICAL","OPEN","BLOCKED"))</x:f>
        <x:v>PASS</x:v>
      </x:c>
      <x:c r="G1597" t="str">
        <x:v>equals</x:v>
      </x:c>
      <x:c r="H1597" t="str">
        <x:f>IF(E1597=F1597,"PASS","FAIL")</x:f>
        <x:v>PASS</x:v>
      </x:c>
    </x:row>
    <x:row r="1598">
      <x:c r="B1598" t="str">
        <x:v>A-01552</x:v>
      </x:c>
      <x:c r="C1598" t="str">
        <x:v>GATE</x:v>
      </x:c>
      <x:c r="D1598" t="str">
        <x:v>release state mirrors governing ledger</x:v>
      </x:c>
      <x:c r="E1598" t="str">
        <x:f>'Release Gates'!I1558</x:f>
        <x:v>PASS</x:v>
      </x:c>
      <x:c r="F1598" t="str">
        <x:f>IF('Release Gates'!C1558="PLANNING","PASS",IF('Release Gates'!C1558="PHYSICAL","OPEN","BLOCKED"))</x:f>
        <x:v>PASS</x:v>
      </x:c>
      <x:c r="G1598" t="str">
        <x:v>equals</x:v>
      </x:c>
      <x:c r="H1598" t="str">
        <x:f>IF(E1598=F1598,"PASS","FAIL")</x:f>
        <x:v>PASS</x:v>
      </x:c>
    </x:row>
    <x:row r="1599">
      <x:c r="B1599" t="str">
        <x:v>A-01553</x:v>
      </x:c>
      <x:c r="C1599" t="str">
        <x:v>GATE</x:v>
      </x:c>
      <x:c r="D1599" t="str">
        <x:v>release state mirrors governing ledger</x:v>
      </x:c>
      <x:c r="E1599" t="str">
        <x:f>'Release Gates'!I1559</x:f>
        <x:v>PASS</x:v>
      </x:c>
      <x:c r="F1599" t="str">
        <x:f>IF('Release Gates'!C1559="PLANNING","PASS",IF('Release Gates'!C1559="PHYSICAL","OPEN","BLOCKED"))</x:f>
        <x:v>PASS</x:v>
      </x:c>
      <x:c r="G1599" t="str">
        <x:v>equals</x:v>
      </x:c>
      <x:c r="H1599" t="str">
        <x:f>IF(E1599=F1599,"PASS","FAIL")</x:f>
        <x:v>PASS</x:v>
      </x:c>
    </x:row>
    <x:row r="1600">
      <x:c r="B1600" t="str">
        <x:v>A-01554</x:v>
      </x:c>
      <x:c r="C1600" t="str">
        <x:v>GATE</x:v>
      </x:c>
      <x:c r="D1600" t="str">
        <x:v>release state mirrors governing ledger</x:v>
      </x:c>
      <x:c r="E1600" t="str">
        <x:f>'Release Gates'!I1560</x:f>
        <x:v>PASS</x:v>
      </x:c>
      <x:c r="F1600" t="str">
        <x:f>IF('Release Gates'!C1560="PLANNING","PASS",IF('Release Gates'!C1560="PHYSICAL","OPEN","BLOCKED"))</x:f>
        <x:v>PASS</x:v>
      </x:c>
      <x:c r="G1600" t="str">
        <x:v>equals</x:v>
      </x:c>
      <x:c r="H1600" t="str">
        <x:f>IF(E1600=F1600,"PASS","FAIL")</x:f>
        <x:v>PASS</x:v>
      </x:c>
    </x:row>
    <x:row r="1601">
      <x:c r="B1601" t="str">
        <x:v>A-01555</x:v>
      </x:c>
      <x:c r="C1601" t="str">
        <x:v>GATE</x:v>
      </x:c>
      <x:c r="D1601" t="str">
        <x:v>release state mirrors governing ledger</x:v>
      </x:c>
      <x:c r="E1601" t="str">
        <x:f>'Release Gates'!I1561</x:f>
        <x:v>PASS</x:v>
      </x:c>
      <x:c r="F1601" t="str">
        <x:f>IF('Release Gates'!C1561="PLANNING","PASS",IF('Release Gates'!C1561="PHYSICAL","OPEN","BLOCKED"))</x:f>
        <x:v>PASS</x:v>
      </x:c>
      <x:c r="G1601" t="str">
        <x:v>equals</x:v>
      </x:c>
      <x:c r="H1601" t="str">
        <x:f>IF(E1601=F1601,"PASS","FAIL")</x:f>
        <x:v>PASS</x:v>
      </x:c>
    </x:row>
    <x:row r="1602">
      <x:c r="B1602" t="str">
        <x:v>A-01556</x:v>
      </x:c>
      <x:c r="C1602" t="str">
        <x:v>GATE</x:v>
      </x:c>
      <x:c r="D1602" t="str">
        <x:v>release state mirrors governing ledger</x:v>
      </x:c>
      <x:c r="E1602" t="str">
        <x:f>'Release Gates'!I1562</x:f>
        <x:v>PASS</x:v>
      </x:c>
      <x:c r="F1602" t="str">
        <x:f>IF('Release Gates'!C1562="PLANNING","PASS",IF('Release Gates'!C1562="PHYSICAL","OPEN","BLOCKED"))</x:f>
        <x:v>PASS</x:v>
      </x:c>
      <x:c r="G1602" t="str">
        <x:v>equals</x:v>
      </x:c>
      <x:c r="H1602" t="str">
        <x:f>IF(E1602=F1602,"PASS","FAIL")</x:f>
        <x:v>PASS</x:v>
      </x:c>
    </x:row>
    <x:row r="1603">
      <x:c r="B1603" t="str">
        <x:v>A-01557</x:v>
      </x:c>
      <x:c r="C1603" t="str">
        <x:v>GATE</x:v>
      </x:c>
      <x:c r="D1603" t="str">
        <x:v>release state mirrors governing ledger</x:v>
      </x:c>
      <x:c r="E1603" t="str">
        <x:f>'Release Gates'!I1563</x:f>
        <x:v>PASS</x:v>
      </x:c>
      <x:c r="F1603" t="str">
        <x:f>IF('Release Gates'!C1563="PLANNING","PASS",IF('Release Gates'!C1563="PHYSICAL","OPEN","BLOCKED"))</x:f>
        <x:v>PASS</x:v>
      </x:c>
      <x:c r="G1603" t="str">
        <x:v>equals</x:v>
      </x:c>
      <x:c r="H1603" t="str">
        <x:f>IF(E1603=F1603,"PASS","FAIL")</x:f>
        <x:v>PASS</x:v>
      </x:c>
    </x:row>
    <x:row r="1604">
      <x:c r="B1604" t="str">
        <x:v>A-01558</x:v>
      </x:c>
      <x:c r="C1604" t="str">
        <x:v>GATE</x:v>
      </x:c>
      <x:c r="D1604" t="str">
        <x:v>release state mirrors governing ledger</x:v>
      </x:c>
      <x:c r="E1604" t="str">
        <x:f>'Release Gates'!I1564</x:f>
        <x:v>PASS</x:v>
      </x:c>
      <x:c r="F1604" t="str">
        <x:f>IF('Release Gates'!C1564="PLANNING","PASS",IF('Release Gates'!C1564="PHYSICAL","OPEN","BLOCKED"))</x:f>
        <x:v>PASS</x:v>
      </x:c>
      <x:c r="G1604" t="str">
        <x:v>equals</x:v>
      </x:c>
      <x:c r="H1604" t="str">
        <x:f>IF(E1604=F1604,"PASS","FAIL")</x:f>
        <x:v>PASS</x:v>
      </x:c>
    </x:row>
    <x:row r="1605">
      <x:c r="B1605" t="str">
        <x:v>A-01559</x:v>
      </x:c>
      <x:c r="C1605" t="str">
        <x:v>GATE</x:v>
      </x:c>
      <x:c r="D1605" t="str">
        <x:v>release state mirrors governing ledger</x:v>
      </x:c>
      <x:c r="E1605" t="str">
        <x:f>'Release Gates'!I1565</x:f>
        <x:v>PASS</x:v>
      </x:c>
      <x:c r="F1605" t="str">
        <x:f>IF('Release Gates'!C1565="PLANNING","PASS",IF('Release Gates'!C1565="PHYSICAL","OPEN","BLOCKED"))</x:f>
        <x:v>PASS</x:v>
      </x:c>
      <x:c r="G1605" t="str">
        <x:v>equals</x:v>
      </x:c>
      <x:c r="H1605" t="str">
        <x:f>IF(E1605=F1605,"PASS","FAIL")</x:f>
        <x:v>PASS</x:v>
      </x:c>
    </x:row>
    <x:row r="1606">
      <x:c r="B1606" t="str">
        <x:v>A-01560</x:v>
      </x:c>
      <x:c r="C1606" t="str">
        <x:v>GATE</x:v>
      </x:c>
      <x:c r="D1606" t="str">
        <x:v>release state mirrors governing ledger</x:v>
      </x:c>
      <x:c r="E1606" t="str">
        <x:f>'Release Gates'!I1566</x:f>
        <x:v>PASS</x:v>
      </x:c>
      <x:c r="F1606" t="str">
        <x:f>IF('Release Gates'!C1566="PLANNING","PASS",IF('Release Gates'!C1566="PHYSICAL","OPEN","BLOCKED"))</x:f>
        <x:v>PASS</x:v>
      </x:c>
      <x:c r="G1606" t="str">
        <x:v>equals</x:v>
      </x:c>
      <x:c r="H1606" t="str">
        <x:f>IF(E1606=F1606,"PASS","FAIL")</x:f>
        <x:v>PASS</x:v>
      </x:c>
    </x:row>
    <x:row r="1607">
      <x:c r="B1607" t="str">
        <x:v>A-01561</x:v>
      </x:c>
      <x:c r="C1607" t="str">
        <x:v>GATE</x:v>
      </x:c>
      <x:c r="D1607" t="str">
        <x:v>release state mirrors governing ledger</x:v>
      </x:c>
      <x:c r="E1607" t="str">
        <x:f>'Release Gates'!I1567</x:f>
        <x:v>PASS</x:v>
      </x:c>
      <x:c r="F1607" t="str">
        <x:f>IF('Release Gates'!C1567="PLANNING","PASS",IF('Release Gates'!C1567="PHYSICAL","OPEN","BLOCKED"))</x:f>
        <x:v>PASS</x:v>
      </x:c>
      <x:c r="G1607" t="str">
        <x:v>equals</x:v>
      </x:c>
      <x:c r="H1607" t="str">
        <x:f>IF(E1607=F1607,"PASS","FAIL")</x:f>
        <x:v>PASS</x:v>
      </x:c>
    </x:row>
    <x:row r="1608">
      <x:c r="B1608" t="str">
        <x:v>A-01562</x:v>
      </x:c>
      <x:c r="C1608" t="str">
        <x:v>GATE</x:v>
      </x:c>
      <x:c r="D1608" t="str">
        <x:v>release state mirrors governing ledger</x:v>
      </x:c>
      <x:c r="E1608" t="str">
        <x:f>'Release Gates'!I1568</x:f>
        <x:v>PASS</x:v>
      </x:c>
      <x:c r="F1608" t="str">
        <x:f>IF('Release Gates'!C1568="PLANNING","PASS",IF('Release Gates'!C1568="PHYSICAL","OPEN","BLOCKED"))</x:f>
        <x:v>PASS</x:v>
      </x:c>
      <x:c r="G1608" t="str">
        <x:v>equals</x:v>
      </x:c>
      <x:c r="H1608" t="str">
        <x:f>IF(E1608=F1608,"PASS","FAIL")</x:f>
        <x:v>PASS</x:v>
      </x:c>
    </x:row>
    <x:row r="1609">
      <x:c r="B1609" t="str">
        <x:v>A-01563</x:v>
      </x:c>
      <x:c r="C1609" t="str">
        <x:v>GATE</x:v>
      </x:c>
      <x:c r="D1609" t="str">
        <x:v>release state mirrors governing ledger</x:v>
      </x:c>
      <x:c r="E1609" t="str">
        <x:f>'Release Gates'!I1569</x:f>
        <x:v>PASS</x:v>
      </x:c>
      <x:c r="F1609" t="str">
        <x:f>IF('Release Gates'!C1569="PLANNING","PASS",IF('Release Gates'!C1569="PHYSICAL","OPEN","BLOCKED"))</x:f>
        <x:v>PASS</x:v>
      </x:c>
      <x:c r="G1609" t="str">
        <x:v>equals</x:v>
      </x:c>
      <x:c r="H1609" t="str">
        <x:f>IF(E1609=F1609,"PASS","FAIL")</x:f>
        <x:v>PASS</x:v>
      </x:c>
    </x:row>
    <x:row r="1610">
      <x:c r="B1610" t="str">
        <x:v>A-01564</x:v>
      </x:c>
      <x:c r="C1610" t="str">
        <x:v>GATE</x:v>
      </x:c>
      <x:c r="D1610" t="str">
        <x:v>release state mirrors governing ledger</x:v>
      </x:c>
      <x:c r="E1610" t="str">
        <x:f>'Release Gates'!I1570</x:f>
        <x:v>PASS</x:v>
      </x:c>
      <x:c r="F1610" t="str">
        <x:f>IF('Release Gates'!C1570="PLANNING","PASS",IF('Release Gates'!C1570="PHYSICAL","OPEN","BLOCKED"))</x:f>
        <x:v>PASS</x:v>
      </x:c>
      <x:c r="G1610" t="str">
        <x:v>equals</x:v>
      </x:c>
      <x:c r="H1610" t="str">
        <x:f>IF(E1610=F1610,"PASS","FAIL")</x:f>
        <x:v>PASS</x:v>
      </x:c>
    </x:row>
    <x:row r="1611">
      <x:c r="B1611" t="str">
        <x:v>A-01565</x:v>
      </x:c>
      <x:c r="C1611" t="str">
        <x:v>GATE</x:v>
      </x:c>
      <x:c r="D1611" t="str">
        <x:v>release state mirrors governing ledger</x:v>
      </x:c>
      <x:c r="E1611" t="str">
        <x:f>'Release Gates'!I1571</x:f>
        <x:v>PASS</x:v>
      </x:c>
      <x:c r="F1611" t="str">
        <x:f>IF('Release Gates'!C1571="PLANNING","PASS",IF('Release Gates'!C1571="PHYSICAL","OPEN","BLOCKED"))</x:f>
        <x:v>PASS</x:v>
      </x:c>
      <x:c r="G1611" t="str">
        <x:v>equals</x:v>
      </x:c>
      <x:c r="H1611" t="str">
        <x:f>IF(E1611=F1611,"PASS","FAIL")</x:f>
        <x:v>PASS</x:v>
      </x:c>
    </x:row>
    <x:row r="1612">
      <x:c r="B1612" t="str">
        <x:v>A-01566</x:v>
      </x:c>
      <x:c r="C1612" t="str">
        <x:v>GATE</x:v>
      </x:c>
      <x:c r="D1612" t="str">
        <x:v>release state mirrors governing ledger</x:v>
      </x:c>
      <x:c r="E1612" t="str">
        <x:f>'Release Gates'!I1572</x:f>
        <x:v>PASS</x:v>
      </x:c>
      <x:c r="F1612" t="str">
        <x:f>IF('Release Gates'!C1572="PLANNING","PASS",IF('Release Gates'!C1572="PHYSICAL","OPEN","BLOCKED"))</x:f>
        <x:v>PASS</x:v>
      </x:c>
      <x:c r="G1612" t="str">
        <x:v>equals</x:v>
      </x:c>
      <x:c r="H1612" t="str">
        <x:f>IF(E1612=F1612,"PASS","FAIL")</x:f>
        <x:v>PASS</x:v>
      </x:c>
    </x:row>
    <x:row r="1613">
      <x:c r="B1613" t="str">
        <x:v>A-01567</x:v>
      </x:c>
      <x:c r="C1613" t="str">
        <x:v>GATE</x:v>
      </x:c>
      <x:c r="D1613" t="str">
        <x:v>release state mirrors governing ledger</x:v>
      </x:c>
      <x:c r="E1613" t="str">
        <x:f>'Release Gates'!I1573</x:f>
        <x:v>PASS</x:v>
      </x:c>
      <x:c r="F1613" t="str">
        <x:f>IF('Release Gates'!C1573="PLANNING","PASS",IF('Release Gates'!C1573="PHYSICAL","OPEN","BLOCKED"))</x:f>
        <x:v>PASS</x:v>
      </x:c>
      <x:c r="G1613" t="str">
        <x:v>equals</x:v>
      </x:c>
      <x:c r="H1613" t="str">
        <x:f>IF(E1613=F1613,"PASS","FAIL")</x:f>
        <x:v>PASS</x:v>
      </x:c>
    </x:row>
    <x:row r="1614">
      <x:c r="B1614" t="str">
        <x:v>A-01568</x:v>
      </x:c>
      <x:c r="C1614" t="str">
        <x:v>GATE</x:v>
      </x:c>
      <x:c r="D1614" t="str">
        <x:v>release state mirrors governing ledger</x:v>
      </x:c>
      <x:c r="E1614" t="str">
        <x:f>'Release Gates'!I1574</x:f>
        <x:v>PASS</x:v>
      </x:c>
      <x:c r="F1614" t="str">
        <x:f>IF('Release Gates'!C1574="PLANNING","PASS",IF('Release Gates'!C1574="PHYSICAL","OPEN","BLOCKED"))</x:f>
        <x:v>PASS</x:v>
      </x:c>
      <x:c r="G1614" t="str">
        <x:v>equals</x:v>
      </x:c>
      <x:c r="H1614" t="str">
        <x:f>IF(E1614=F1614,"PASS","FAIL")</x:f>
        <x:v>PASS</x:v>
      </x:c>
    </x:row>
    <x:row r="1615">
      <x:c r="B1615" t="str">
        <x:v>A-01569</x:v>
      </x:c>
      <x:c r="C1615" t="str">
        <x:v>GATE</x:v>
      </x:c>
      <x:c r="D1615" t="str">
        <x:v>release state mirrors governing ledger</x:v>
      </x:c>
      <x:c r="E1615" t="str">
        <x:f>'Release Gates'!I1575</x:f>
        <x:v>PASS</x:v>
      </x:c>
      <x:c r="F1615" t="str">
        <x:f>IF('Release Gates'!C1575="PLANNING","PASS",IF('Release Gates'!C1575="PHYSICAL","OPEN","BLOCKED"))</x:f>
        <x:v>PASS</x:v>
      </x:c>
      <x:c r="G1615" t="str">
        <x:v>equals</x:v>
      </x:c>
      <x:c r="H1615" t="str">
        <x:f>IF(E1615=F1615,"PASS","FAIL")</x:f>
        <x:v>PASS</x:v>
      </x:c>
    </x:row>
    <x:row r="1616">
      <x:c r="B1616" t="str">
        <x:v>A-01570</x:v>
      </x:c>
      <x:c r="C1616" t="str">
        <x:v>GATE</x:v>
      </x:c>
      <x:c r="D1616" t="str">
        <x:v>release state mirrors governing ledger</x:v>
      </x:c>
      <x:c r="E1616" t="str">
        <x:f>'Release Gates'!I1576</x:f>
        <x:v>PASS</x:v>
      </x:c>
      <x:c r="F1616" t="str">
        <x:f>IF('Release Gates'!C1576="PLANNING","PASS",IF('Release Gates'!C1576="PHYSICAL","OPEN","BLOCKED"))</x:f>
        <x:v>PASS</x:v>
      </x:c>
      <x:c r="G1616" t="str">
        <x:v>equals</x:v>
      </x:c>
      <x:c r="H1616" t="str">
        <x:f>IF(E1616=F1616,"PASS","FAIL")</x:f>
        <x:v>PASS</x:v>
      </x:c>
    </x:row>
    <x:row r="1617">
      <x:c r="B1617" t="str">
        <x:v>A-01571</x:v>
      </x:c>
      <x:c r="C1617" t="str">
        <x:v>GATE</x:v>
      </x:c>
      <x:c r="D1617" t="str">
        <x:v>release state mirrors governing ledger</x:v>
      </x:c>
      <x:c r="E1617" t="str">
        <x:f>'Release Gates'!I1577</x:f>
        <x:v>PASS</x:v>
      </x:c>
      <x:c r="F1617" t="str">
        <x:f>IF('Release Gates'!C1577="PLANNING","PASS",IF('Release Gates'!C1577="PHYSICAL","OPEN","BLOCKED"))</x:f>
        <x:v>PASS</x:v>
      </x:c>
      <x:c r="G1617" t="str">
        <x:v>equals</x:v>
      </x:c>
      <x:c r="H1617" t="str">
        <x:f>IF(E1617=F1617,"PASS","FAIL")</x:f>
        <x:v>PASS</x:v>
      </x:c>
    </x:row>
    <x:row r="1618">
      <x:c r="B1618" t="str">
        <x:v>A-01572</x:v>
      </x:c>
      <x:c r="C1618" t="str">
        <x:v>GATE</x:v>
      </x:c>
      <x:c r="D1618" t="str">
        <x:v>release state mirrors governing ledger</x:v>
      </x:c>
      <x:c r="E1618" t="str">
        <x:f>'Release Gates'!I1578</x:f>
        <x:v>PASS</x:v>
      </x:c>
      <x:c r="F1618" t="str">
        <x:f>IF('Release Gates'!C1578="PLANNING","PASS",IF('Release Gates'!C1578="PHYSICAL","OPEN","BLOCKED"))</x:f>
        <x:v>PASS</x:v>
      </x:c>
      <x:c r="G1618" t="str">
        <x:v>equals</x:v>
      </x:c>
      <x:c r="H1618" t="str">
        <x:f>IF(E1618=F1618,"PASS","FAIL")</x:f>
        <x:v>PASS</x:v>
      </x:c>
    </x:row>
    <x:row r="1619">
      <x:c r="B1619" t="str">
        <x:v>A-01573</x:v>
      </x:c>
      <x:c r="C1619" t="str">
        <x:v>GATE</x:v>
      </x:c>
      <x:c r="D1619" t="str">
        <x:v>release state mirrors governing ledger</x:v>
      </x:c>
      <x:c r="E1619" t="str">
        <x:f>'Release Gates'!I1579</x:f>
        <x:v>PASS</x:v>
      </x:c>
      <x:c r="F1619" t="str">
        <x:f>IF('Release Gates'!C1579="PLANNING","PASS",IF('Release Gates'!C1579="PHYSICAL","OPEN","BLOCKED"))</x:f>
        <x:v>PASS</x:v>
      </x:c>
      <x:c r="G1619" t="str">
        <x:v>equals</x:v>
      </x:c>
      <x:c r="H1619" t="str">
        <x:f>IF(E1619=F1619,"PASS","FAIL")</x:f>
        <x:v>PASS</x:v>
      </x:c>
    </x:row>
    <x:row r="1620">
      <x:c r="B1620" t="str">
        <x:v>A-01574</x:v>
      </x:c>
      <x:c r="C1620" t="str">
        <x:v>GATE</x:v>
      </x:c>
      <x:c r="D1620" t="str">
        <x:v>release state mirrors governing ledger</x:v>
      </x:c>
      <x:c r="E1620" t="str">
        <x:f>'Release Gates'!I1580</x:f>
        <x:v>PASS</x:v>
      </x:c>
      <x:c r="F1620" t="str">
        <x:f>IF('Release Gates'!C1580="PLANNING","PASS",IF('Release Gates'!C1580="PHYSICAL","OPEN","BLOCKED"))</x:f>
        <x:v>PASS</x:v>
      </x:c>
      <x:c r="G1620" t="str">
        <x:v>equals</x:v>
      </x:c>
      <x:c r="H1620" t="str">
        <x:f>IF(E1620=F1620,"PASS","FAIL")</x:f>
        <x:v>PASS</x:v>
      </x:c>
    </x:row>
    <x:row r="1621">
      <x:c r="B1621" t="str">
        <x:v>A-01575</x:v>
      </x:c>
      <x:c r="C1621" t="str">
        <x:v>GATE</x:v>
      </x:c>
      <x:c r="D1621" t="str">
        <x:v>release state mirrors governing ledger</x:v>
      </x:c>
      <x:c r="E1621" t="str">
        <x:f>'Release Gates'!I1581</x:f>
        <x:v>PASS</x:v>
      </x:c>
      <x:c r="F1621" t="str">
        <x:f>IF('Release Gates'!C1581="PLANNING","PASS",IF('Release Gates'!C1581="PHYSICAL","OPEN","BLOCKED"))</x:f>
        <x:v>PASS</x:v>
      </x:c>
      <x:c r="G1621" t="str">
        <x:v>equals</x:v>
      </x:c>
      <x:c r="H1621" t="str">
        <x:f>IF(E1621=F1621,"PASS","FAIL")</x:f>
        <x:v>PASS</x:v>
      </x:c>
    </x:row>
    <x:row r="1622">
      <x:c r="B1622" t="str">
        <x:v>A-01576</x:v>
      </x:c>
      <x:c r="C1622" t="str">
        <x:v>GATE</x:v>
      </x:c>
      <x:c r="D1622" t="str">
        <x:v>release state mirrors governing ledger</x:v>
      </x:c>
      <x:c r="E1622" t="str">
        <x:f>'Release Gates'!I1582</x:f>
        <x:v>PASS</x:v>
      </x:c>
      <x:c r="F1622" t="str">
        <x:f>IF('Release Gates'!C1582="PLANNING","PASS",IF('Release Gates'!C1582="PHYSICAL","OPEN","BLOCKED"))</x:f>
        <x:v>PASS</x:v>
      </x:c>
      <x:c r="G1622" t="str">
        <x:v>equals</x:v>
      </x:c>
      <x:c r="H1622" t="str">
        <x:f>IF(E1622=F1622,"PASS","FAIL")</x:f>
        <x:v>PASS</x:v>
      </x:c>
    </x:row>
    <x:row r="1623">
      <x:c r="B1623" t="str">
        <x:v>A-01577</x:v>
      </x:c>
      <x:c r="C1623" t="str">
        <x:v>GATE</x:v>
      </x:c>
      <x:c r="D1623" t="str">
        <x:v>release state mirrors governing ledger</x:v>
      </x:c>
      <x:c r="E1623" t="str">
        <x:f>'Release Gates'!I1583</x:f>
        <x:v>PASS</x:v>
      </x:c>
      <x:c r="F1623" t="str">
        <x:f>IF('Release Gates'!C1583="PLANNING","PASS",IF('Release Gates'!C1583="PHYSICAL","OPEN","BLOCKED"))</x:f>
        <x:v>PASS</x:v>
      </x:c>
      <x:c r="G1623" t="str">
        <x:v>equals</x:v>
      </x:c>
      <x:c r="H1623" t="str">
        <x:f>IF(E1623=F1623,"PASS","FAIL")</x:f>
        <x:v>PASS</x:v>
      </x:c>
    </x:row>
    <x:row r="1624">
      <x:c r="B1624" t="str">
        <x:v>A-01578</x:v>
      </x:c>
      <x:c r="C1624" t="str">
        <x:v>GATE</x:v>
      </x:c>
      <x:c r="D1624" t="str">
        <x:v>release state mirrors governing ledger</x:v>
      </x:c>
      <x:c r="E1624" t="str">
        <x:f>'Release Gates'!I1584</x:f>
        <x:v>PASS</x:v>
      </x:c>
      <x:c r="F1624" t="str">
        <x:f>IF('Release Gates'!C1584="PLANNING","PASS",IF('Release Gates'!C1584="PHYSICAL","OPEN","BLOCKED"))</x:f>
        <x:v>PASS</x:v>
      </x:c>
      <x:c r="G1624" t="str">
        <x:v>equals</x:v>
      </x:c>
      <x:c r="H1624" t="str">
        <x:f>IF(E1624=F1624,"PASS","FAIL")</x:f>
        <x:v>PASS</x:v>
      </x:c>
    </x:row>
    <x:row r="1625">
      <x:c r="B1625" t="str">
        <x:v>A-01579</x:v>
      </x:c>
      <x:c r="C1625" t="str">
        <x:v>GATE</x:v>
      </x:c>
      <x:c r="D1625" t="str">
        <x:v>release state mirrors governing ledger</x:v>
      </x:c>
      <x:c r="E1625" t="str">
        <x:f>'Release Gates'!I1585</x:f>
        <x:v>PASS</x:v>
      </x:c>
      <x:c r="F1625" t="str">
        <x:f>IF('Release Gates'!C1585="PLANNING","PASS",IF('Release Gates'!C1585="PHYSICAL","OPEN","BLOCKED"))</x:f>
        <x:v>PASS</x:v>
      </x:c>
      <x:c r="G1625" t="str">
        <x:v>equals</x:v>
      </x:c>
      <x:c r="H1625" t="str">
        <x:f>IF(E1625=F1625,"PASS","FAIL")</x:f>
        <x:v>PASS</x:v>
      </x:c>
    </x:row>
    <x:row r="1626">
      <x:c r="B1626" t="str">
        <x:v>A-01580</x:v>
      </x:c>
      <x:c r="C1626" t="str">
        <x:v>GATE</x:v>
      </x:c>
      <x:c r="D1626" t="str">
        <x:v>release state mirrors governing ledger</x:v>
      </x:c>
      <x:c r="E1626" t="str">
        <x:f>'Release Gates'!I1586</x:f>
        <x:v>PASS</x:v>
      </x:c>
      <x:c r="F1626" t="str">
        <x:f>IF('Release Gates'!C1586="PLANNING","PASS",IF('Release Gates'!C1586="PHYSICAL","OPEN","BLOCKED"))</x:f>
        <x:v>PASS</x:v>
      </x:c>
      <x:c r="G1626" t="str">
        <x:v>equals</x:v>
      </x:c>
      <x:c r="H1626" t="str">
        <x:f>IF(E1626=F1626,"PASS","FAIL")</x:f>
        <x:v>PASS</x:v>
      </x:c>
    </x:row>
    <x:row r="1627">
      <x:c r="B1627" t="str">
        <x:v>A-01581</x:v>
      </x:c>
      <x:c r="C1627" t="str">
        <x:v>GATE</x:v>
      </x:c>
      <x:c r="D1627" t="str">
        <x:v>release state mirrors governing ledger</x:v>
      </x:c>
      <x:c r="E1627" t="str">
        <x:f>'Release Gates'!I1587</x:f>
        <x:v>PASS</x:v>
      </x:c>
      <x:c r="F1627" t="str">
        <x:f>IF('Release Gates'!C1587="PLANNING","PASS",IF('Release Gates'!C1587="PHYSICAL","OPEN","BLOCKED"))</x:f>
        <x:v>PASS</x:v>
      </x:c>
      <x:c r="G1627" t="str">
        <x:v>equals</x:v>
      </x:c>
      <x:c r="H1627" t="str">
        <x:f>IF(E1627=F1627,"PASS","FAIL")</x:f>
        <x:v>PASS</x:v>
      </x:c>
    </x:row>
    <x:row r="1628">
      <x:c r="B1628" t="str">
        <x:v>A-01582</x:v>
      </x:c>
      <x:c r="C1628" t="str">
        <x:v>GATE</x:v>
      </x:c>
      <x:c r="D1628" t="str">
        <x:v>release state mirrors governing ledger</x:v>
      </x:c>
      <x:c r="E1628" t="str">
        <x:f>'Release Gates'!I1588</x:f>
        <x:v>PASS</x:v>
      </x:c>
      <x:c r="F1628" t="str">
        <x:f>IF('Release Gates'!C1588="PLANNING","PASS",IF('Release Gates'!C1588="PHYSICAL","OPEN","BLOCKED"))</x:f>
        <x:v>PASS</x:v>
      </x:c>
      <x:c r="G1628" t="str">
        <x:v>equals</x:v>
      </x:c>
      <x:c r="H1628" t="str">
        <x:f>IF(E1628=F1628,"PASS","FAIL")</x:f>
        <x:v>PASS</x:v>
      </x:c>
    </x:row>
    <x:row r="1629">
      <x:c r="B1629" t="str">
        <x:v>A-01583</x:v>
      </x:c>
      <x:c r="C1629" t="str">
        <x:v>GATE</x:v>
      </x:c>
      <x:c r="D1629" t="str">
        <x:v>release state mirrors governing ledger</x:v>
      </x:c>
      <x:c r="E1629" t="str">
        <x:f>'Release Gates'!I1589</x:f>
        <x:v>PASS</x:v>
      </x:c>
      <x:c r="F1629" t="str">
        <x:f>IF('Release Gates'!C1589="PLANNING","PASS",IF('Release Gates'!C1589="PHYSICAL","OPEN","BLOCKED"))</x:f>
        <x:v>PASS</x:v>
      </x:c>
      <x:c r="G1629" t="str">
        <x:v>equals</x:v>
      </x:c>
      <x:c r="H1629" t="str">
        <x:f>IF(E1629=F1629,"PASS","FAIL")</x:f>
        <x:v>PASS</x:v>
      </x:c>
    </x:row>
    <x:row r="1630">
      <x:c r="B1630" t="str">
        <x:v>A-01584</x:v>
      </x:c>
      <x:c r="C1630" t="str">
        <x:v>GATE</x:v>
      </x:c>
      <x:c r="D1630" t="str">
        <x:v>release state mirrors governing ledger</x:v>
      </x:c>
      <x:c r="E1630" t="str">
        <x:f>'Release Gates'!I1590</x:f>
        <x:v>PASS</x:v>
      </x:c>
      <x:c r="F1630" t="str">
        <x:f>IF('Release Gates'!C1590="PLANNING","PASS",IF('Release Gates'!C1590="PHYSICAL","OPEN","BLOCKED"))</x:f>
        <x:v>PASS</x:v>
      </x:c>
      <x:c r="G1630" t="str">
        <x:v>equals</x:v>
      </x:c>
      <x:c r="H1630" t="str">
        <x:f>IF(E1630=F1630,"PASS","FAIL")</x:f>
        <x:v>PASS</x:v>
      </x:c>
    </x:row>
    <x:row r="1631">
      <x:c r="B1631" t="str">
        <x:v>A-01585</x:v>
      </x:c>
      <x:c r="C1631" t="str">
        <x:v>GATE</x:v>
      </x:c>
      <x:c r="D1631" t="str">
        <x:v>release state mirrors governing ledger</x:v>
      </x:c>
      <x:c r="E1631" t="str">
        <x:f>'Release Gates'!I1591</x:f>
        <x:v>PASS</x:v>
      </x:c>
      <x:c r="F1631" t="str">
        <x:f>IF('Release Gates'!C1591="PLANNING","PASS",IF('Release Gates'!C1591="PHYSICAL","OPEN","BLOCKED"))</x:f>
        <x:v>PASS</x:v>
      </x:c>
      <x:c r="G1631" t="str">
        <x:v>equals</x:v>
      </x:c>
      <x:c r="H1631" t="str">
        <x:f>IF(E1631=F1631,"PASS","FAIL")</x:f>
        <x:v>PASS</x:v>
      </x:c>
    </x:row>
    <x:row r="1632">
      <x:c r="B1632" t="str">
        <x:v>A-01586</x:v>
      </x:c>
      <x:c r="C1632" t="str">
        <x:v>GATE</x:v>
      </x:c>
      <x:c r="D1632" t="str">
        <x:v>release state mirrors governing ledger</x:v>
      </x:c>
      <x:c r="E1632" t="str">
        <x:f>'Release Gates'!I1592</x:f>
        <x:v>PASS</x:v>
      </x:c>
      <x:c r="F1632" t="str">
        <x:f>IF('Release Gates'!C1592="PLANNING","PASS",IF('Release Gates'!C1592="PHYSICAL","OPEN","BLOCKED"))</x:f>
        <x:v>PASS</x:v>
      </x:c>
      <x:c r="G1632" t="str">
        <x:v>equals</x:v>
      </x:c>
      <x:c r="H1632" t="str">
        <x:f>IF(E1632=F1632,"PASS","FAIL")</x:f>
        <x:v>PASS</x:v>
      </x:c>
    </x:row>
    <x:row r="1633">
      <x:c r="B1633" t="str">
        <x:v>A-01587</x:v>
      </x:c>
      <x:c r="C1633" t="str">
        <x:v>GATE</x:v>
      </x:c>
      <x:c r="D1633" t="str">
        <x:v>release state mirrors governing ledger</x:v>
      </x:c>
      <x:c r="E1633" t="str">
        <x:f>'Release Gates'!I1593</x:f>
        <x:v>PASS</x:v>
      </x:c>
      <x:c r="F1633" t="str">
        <x:f>IF('Release Gates'!C1593="PLANNING","PASS",IF('Release Gates'!C1593="PHYSICAL","OPEN","BLOCKED"))</x:f>
        <x:v>PASS</x:v>
      </x:c>
      <x:c r="G1633" t="str">
        <x:v>equals</x:v>
      </x:c>
      <x:c r="H1633" t="str">
        <x:f>IF(E1633=F1633,"PASS","FAIL")</x:f>
        <x:v>PASS</x:v>
      </x:c>
    </x:row>
    <x:row r="1634">
      <x:c r="B1634" t="str">
        <x:v>A-01588</x:v>
      </x:c>
      <x:c r="C1634" t="str">
        <x:v>GATE</x:v>
      </x:c>
      <x:c r="D1634" t="str">
        <x:v>release state mirrors governing ledger</x:v>
      </x:c>
      <x:c r="E1634" t="str">
        <x:f>'Release Gates'!I1594</x:f>
        <x:v>PASS</x:v>
      </x:c>
      <x:c r="F1634" t="str">
        <x:f>IF('Release Gates'!C1594="PLANNING","PASS",IF('Release Gates'!C1594="PHYSICAL","OPEN","BLOCKED"))</x:f>
        <x:v>PASS</x:v>
      </x:c>
      <x:c r="G1634" t="str">
        <x:v>equals</x:v>
      </x:c>
      <x:c r="H1634" t="str">
        <x:f>IF(E1634=F1634,"PASS","FAIL")</x:f>
        <x:v>PASS</x:v>
      </x:c>
    </x:row>
    <x:row r="1635">
      <x:c r="B1635" t="str">
        <x:v>A-01589</x:v>
      </x:c>
      <x:c r="C1635" t="str">
        <x:v>GATE</x:v>
      </x:c>
      <x:c r="D1635" t="str">
        <x:v>release state mirrors governing ledger</x:v>
      </x:c>
      <x:c r="E1635" t="str">
        <x:f>'Release Gates'!I1595</x:f>
        <x:v>PASS</x:v>
      </x:c>
      <x:c r="F1635" t="str">
        <x:f>IF('Release Gates'!C1595="PLANNING","PASS",IF('Release Gates'!C1595="PHYSICAL","OPEN","BLOCKED"))</x:f>
        <x:v>PASS</x:v>
      </x:c>
      <x:c r="G1635" t="str">
        <x:v>equals</x:v>
      </x:c>
      <x:c r="H1635" t="str">
        <x:f>IF(E1635=F1635,"PASS","FAIL")</x:f>
        <x:v>PASS</x:v>
      </x:c>
    </x:row>
    <x:row r="1636">
      <x:c r="B1636" t="str">
        <x:v>A-01590</x:v>
      </x:c>
      <x:c r="C1636" t="str">
        <x:v>GATE</x:v>
      </x:c>
      <x:c r="D1636" t="str">
        <x:v>release state mirrors governing ledger</x:v>
      </x:c>
      <x:c r="E1636" t="str">
        <x:f>'Release Gates'!I1596</x:f>
        <x:v>PASS</x:v>
      </x:c>
      <x:c r="F1636" t="str">
        <x:f>IF('Release Gates'!C1596="PLANNING","PASS",IF('Release Gates'!C1596="PHYSICAL","OPEN","BLOCKED"))</x:f>
        <x:v>PASS</x:v>
      </x:c>
      <x:c r="G1636" t="str">
        <x:v>equals</x:v>
      </x:c>
      <x:c r="H1636" t="str">
        <x:f>IF(E1636=F1636,"PASS","FAIL")</x:f>
        <x:v>PASS</x:v>
      </x:c>
    </x:row>
    <x:row r="1637">
      <x:c r="B1637" t="str">
        <x:v>A-01591</x:v>
      </x:c>
      <x:c r="C1637" t="str">
        <x:v>GATE</x:v>
      </x:c>
      <x:c r="D1637" t="str">
        <x:v>release state mirrors governing ledger</x:v>
      </x:c>
      <x:c r="E1637" t="str">
        <x:f>'Release Gates'!I1597</x:f>
        <x:v>PASS</x:v>
      </x:c>
      <x:c r="F1637" t="str">
        <x:f>IF('Release Gates'!C1597="PLANNING","PASS",IF('Release Gates'!C1597="PHYSICAL","OPEN","BLOCKED"))</x:f>
        <x:v>PASS</x:v>
      </x:c>
      <x:c r="G1637" t="str">
        <x:v>equals</x:v>
      </x:c>
      <x:c r="H1637" t="str">
        <x:f>IF(E1637=F1637,"PASS","FAIL")</x:f>
        <x:v>PASS</x:v>
      </x:c>
    </x:row>
    <x:row r="1638">
      <x:c r="B1638" t="str">
        <x:v>A-01592</x:v>
      </x:c>
      <x:c r="C1638" t="str">
        <x:v>GATE</x:v>
      </x:c>
      <x:c r="D1638" t="str">
        <x:v>release state mirrors governing ledger</x:v>
      </x:c>
      <x:c r="E1638" t="str">
        <x:f>'Release Gates'!I1598</x:f>
        <x:v>PASS</x:v>
      </x:c>
      <x:c r="F1638" t="str">
        <x:f>IF('Release Gates'!C1598="PLANNING","PASS",IF('Release Gates'!C1598="PHYSICAL","OPEN","BLOCKED"))</x:f>
        <x:v>PASS</x:v>
      </x:c>
      <x:c r="G1638" t="str">
        <x:v>equals</x:v>
      </x:c>
      <x:c r="H1638" t="str">
        <x:f>IF(E1638=F1638,"PASS","FAIL")</x:f>
        <x:v>PASS</x:v>
      </x:c>
    </x:row>
    <x:row r="1639">
      <x:c r="B1639" t="str">
        <x:v>A-01593</x:v>
      </x:c>
      <x:c r="C1639" t="str">
        <x:v>GATE</x:v>
      </x:c>
      <x:c r="D1639" t="str">
        <x:v>release state mirrors governing ledger</x:v>
      </x:c>
      <x:c r="E1639" t="str">
        <x:f>'Release Gates'!I1599</x:f>
        <x:v>PASS</x:v>
      </x:c>
      <x:c r="F1639" t="str">
        <x:f>IF('Release Gates'!C1599="PLANNING","PASS",IF('Release Gates'!C1599="PHYSICAL","OPEN","BLOCKED"))</x:f>
        <x:v>PASS</x:v>
      </x:c>
      <x:c r="G1639" t="str">
        <x:v>equals</x:v>
      </x:c>
      <x:c r="H1639" t="str">
        <x:f>IF(E1639=F1639,"PASS","FAIL")</x:f>
        <x:v>PASS</x:v>
      </x:c>
    </x:row>
    <x:row r="1640">
      <x:c r="B1640" t="str">
        <x:v>A-01594</x:v>
      </x:c>
      <x:c r="C1640" t="str">
        <x:v>GATE</x:v>
      </x:c>
      <x:c r="D1640" t="str">
        <x:v>release state mirrors governing ledger</x:v>
      </x:c>
      <x:c r="E1640" t="str">
        <x:f>'Release Gates'!I1600</x:f>
        <x:v>PASS</x:v>
      </x:c>
      <x:c r="F1640" t="str">
        <x:f>IF('Release Gates'!C1600="PLANNING","PASS",IF('Release Gates'!C1600="PHYSICAL","OPEN","BLOCKED"))</x:f>
        <x:v>PASS</x:v>
      </x:c>
      <x:c r="G1640" t="str">
        <x:v>equals</x:v>
      </x:c>
      <x:c r="H1640" t="str">
        <x:f>IF(E1640=F1640,"PASS","FAIL")</x:f>
        <x:v>PASS</x:v>
      </x:c>
    </x:row>
    <x:row r="1641">
      <x:c r="B1641" t="str">
        <x:v>A-01595</x:v>
      </x:c>
      <x:c r="C1641" t="str">
        <x:v>GATE</x:v>
      </x:c>
      <x:c r="D1641" t="str">
        <x:v>release state mirrors governing ledger</x:v>
      </x:c>
      <x:c r="E1641" t="str">
        <x:f>'Release Gates'!I1601</x:f>
        <x:v>PASS</x:v>
      </x:c>
      <x:c r="F1641" t="str">
        <x:f>IF('Release Gates'!C1601="PLANNING","PASS",IF('Release Gates'!C1601="PHYSICAL","OPEN","BLOCKED"))</x:f>
        <x:v>PASS</x:v>
      </x:c>
      <x:c r="G1641" t="str">
        <x:v>equals</x:v>
      </x:c>
      <x:c r="H1641" t="str">
        <x:f>IF(E1641=F1641,"PASS","FAIL")</x:f>
        <x:v>PASS</x:v>
      </x:c>
    </x:row>
    <x:row r="1642">
      <x:c r="B1642" t="str">
        <x:v>A-01596</x:v>
      </x:c>
      <x:c r="C1642" t="str">
        <x:v>GATE</x:v>
      </x:c>
      <x:c r="D1642" t="str">
        <x:v>release state mirrors governing ledger</x:v>
      </x:c>
      <x:c r="E1642" t="str">
        <x:f>'Release Gates'!I1602</x:f>
        <x:v>PASS</x:v>
      </x:c>
      <x:c r="F1642" t="str">
        <x:f>IF('Release Gates'!C1602="PLANNING","PASS",IF('Release Gates'!C1602="PHYSICAL","OPEN","BLOCKED"))</x:f>
        <x:v>PASS</x:v>
      </x:c>
      <x:c r="G1642" t="str">
        <x:v>equals</x:v>
      </x:c>
      <x:c r="H1642" t="str">
        <x:f>IF(E1642=F1642,"PASS","FAIL")</x:f>
        <x:v>PASS</x:v>
      </x:c>
    </x:row>
    <x:row r="1643">
      <x:c r="B1643" t="str">
        <x:v>A-01597</x:v>
      </x:c>
      <x:c r="C1643" t="str">
        <x:v>GATE</x:v>
      </x:c>
      <x:c r="D1643" t="str">
        <x:v>release state mirrors governing ledger</x:v>
      </x:c>
      <x:c r="E1643" t="str">
        <x:f>'Release Gates'!I1603</x:f>
        <x:v>PASS</x:v>
      </x:c>
      <x:c r="F1643" t="str">
        <x:f>IF('Release Gates'!C1603="PLANNING","PASS",IF('Release Gates'!C1603="PHYSICAL","OPEN","BLOCKED"))</x:f>
        <x:v>PASS</x:v>
      </x:c>
      <x:c r="G1643" t="str">
        <x:v>equals</x:v>
      </x:c>
      <x:c r="H1643" t="str">
        <x:f>IF(E1643=F1643,"PASS","FAIL")</x:f>
        <x:v>PASS</x:v>
      </x:c>
    </x:row>
    <x:row r="1644">
      <x:c r="B1644" t="str">
        <x:v>A-01598</x:v>
      </x:c>
      <x:c r="C1644" t="str">
        <x:v>GATE</x:v>
      </x:c>
      <x:c r="D1644" t="str">
        <x:v>release state mirrors governing ledger</x:v>
      </x:c>
      <x:c r="E1644" t="str">
        <x:f>'Release Gates'!I1604</x:f>
        <x:v>PASS</x:v>
      </x:c>
      <x:c r="F1644" t="str">
        <x:f>IF('Release Gates'!C1604="PLANNING","PASS",IF('Release Gates'!C1604="PHYSICAL","OPEN","BLOCKED"))</x:f>
        <x:v>PASS</x:v>
      </x:c>
      <x:c r="G1644" t="str">
        <x:v>equals</x:v>
      </x:c>
      <x:c r="H1644" t="str">
        <x:f>IF(E1644=F1644,"PASS","FAIL")</x:f>
        <x:v>PASS</x:v>
      </x:c>
    </x:row>
    <x:row r="1645">
      <x:c r="B1645" t="str">
        <x:v>A-01599</x:v>
      </x:c>
      <x:c r="C1645" t="str">
        <x:v>GATE</x:v>
      </x:c>
      <x:c r="D1645" t="str">
        <x:v>release state mirrors governing ledger</x:v>
      </x:c>
      <x:c r="E1645" t="str">
        <x:f>'Release Gates'!I1605</x:f>
        <x:v>PASS</x:v>
      </x:c>
      <x:c r="F1645" t="str">
        <x:f>IF('Release Gates'!C1605="PLANNING","PASS",IF('Release Gates'!C1605="PHYSICAL","OPEN","BLOCKED"))</x:f>
        <x:v>PASS</x:v>
      </x:c>
      <x:c r="G1645" t="str">
        <x:v>equals</x:v>
      </x:c>
      <x:c r="H1645" t="str">
        <x:f>IF(E1645=F1645,"PASS","FAIL")</x:f>
        <x:v>PASS</x:v>
      </x:c>
    </x:row>
    <x:row r="1646">
      <x:c r="B1646" t="str">
        <x:v>A-01600</x:v>
      </x:c>
      <x:c r="C1646" t="str">
        <x:v>GATE</x:v>
      </x:c>
      <x:c r="D1646" t="str">
        <x:v>release state mirrors governing ledger</x:v>
      </x:c>
      <x:c r="E1646" t="str">
        <x:f>'Release Gates'!I1606</x:f>
        <x:v>PASS</x:v>
      </x:c>
      <x:c r="F1646" t="str">
        <x:f>IF('Release Gates'!C1606="PLANNING","PASS",IF('Release Gates'!C1606="PHYSICAL","OPEN","BLOCKED"))</x:f>
        <x:v>PASS</x:v>
      </x:c>
      <x:c r="G1646" t="str">
        <x:v>equals</x:v>
      </x:c>
      <x:c r="H1646" t="str">
        <x:f>IF(E1646=F1646,"PASS","FAIL")</x:f>
        <x:v>PASS</x:v>
      </x:c>
    </x:row>
    <x:row r="1647">
      <x:c r="B1647" t="str">
        <x:v>A-01601</x:v>
      </x:c>
      <x:c r="C1647" t="str">
        <x:v>GATE</x:v>
      </x:c>
      <x:c r="D1647" t="str">
        <x:v>release state mirrors governing ledger</x:v>
      </x:c>
      <x:c r="E1647" t="str">
        <x:f>'Release Gates'!I1607</x:f>
        <x:v>PASS</x:v>
      </x:c>
      <x:c r="F1647" t="str">
        <x:f>IF('Release Gates'!C1607="PLANNING","PASS",IF('Release Gates'!C1607="PHYSICAL","OPEN","BLOCKED"))</x:f>
        <x:v>PASS</x:v>
      </x:c>
      <x:c r="G1647" t="str">
        <x:v>equals</x:v>
      </x:c>
      <x:c r="H1647" t="str">
        <x:f>IF(E1647=F1647,"PASS","FAIL")</x:f>
        <x:v>PASS</x:v>
      </x:c>
    </x:row>
    <x:row r="1648">
      <x:c r="B1648" t="str">
        <x:v>A-01602</x:v>
      </x:c>
      <x:c r="C1648" t="str">
        <x:v>GATE</x:v>
      </x:c>
      <x:c r="D1648" t="str">
        <x:v>release state mirrors governing ledger</x:v>
      </x:c>
      <x:c r="E1648" t="str">
        <x:f>'Release Gates'!I1608</x:f>
        <x:v>PASS</x:v>
      </x:c>
      <x:c r="F1648" t="str">
        <x:f>IF('Release Gates'!C1608="PLANNING","PASS",IF('Release Gates'!C1608="PHYSICAL","OPEN","BLOCKED"))</x:f>
        <x:v>PASS</x:v>
      </x:c>
      <x:c r="G1648" t="str">
        <x:v>equals</x:v>
      </x:c>
      <x:c r="H1648" t="str">
        <x:f>IF(E1648=F1648,"PASS","FAIL")</x:f>
        <x:v>PASS</x:v>
      </x:c>
    </x:row>
    <x:row r="1649">
      <x:c r="B1649" t="str">
        <x:v>A-01603</x:v>
      </x:c>
      <x:c r="C1649" t="str">
        <x:v>GATE</x:v>
      </x:c>
      <x:c r="D1649" t="str">
        <x:v>release state mirrors governing ledger</x:v>
      </x:c>
      <x:c r="E1649" t="str">
        <x:f>'Release Gates'!I1609</x:f>
        <x:v>PASS</x:v>
      </x:c>
      <x:c r="F1649" t="str">
        <x:f>IF('Release Gates'!C1609="PLANNING","PASS",IF('Release Gates'!C1609="PHYSICAL","OPEN","BLOCKED"))</x:f>
        <x:v>PASS</x:v>
      </x:c>
      <x:c r="G1649" t="str">
        <x:v>equals</x:v>
      </x:c>
      <x:c r="H1649" t="str">
        <x:f>IF(E1649=F1649,"PASS","FAIL")</x:f>
        <x:v>PASS</x:v>
      </x:c>
    </x:row>
    <x:row r="1650">
      <x:c r="B1650" t="str">
        <x:v>A-01604</x:v>
      </x:c>
      <x:c r="C1650" t="str">
        <x:v>GATE</x:v>
      </x:c>
      <x:c r="D1650" t="str">
        <x:v>release state mirrors governing ledger</x:v>
      </x:c>
      <x:c r="E1650" t="str">
        <x:f>'Release Gates'!I1610</x:f>
        <x:v>PASS</x:v>
      </x:c>
      <x:c r="F1650" t="str">
        <x:f>IF('Release Gates'!C1610="PLANNING","PASS",IF('Release Gates'!C1610="PHYSICAL","OPEN","BLOCKED"))</x:f>
        <x:v>PASS</x:v>
      </x:c>
      <x:c r="G1650" t="str">
        <x:v>equals</x:v>
      </x:c>
      <x:c r="H1650" t="str">
        <x:f>IF(E1650=F1650,"PASS","FAIL")</x:f>
        <x:v>PASS</x:v>
      </x:c>
    </x:row>
    <x:row r="1651">
      <x:c r="B1651" t="str">
        <x:v>A-01605</x:v>
      </x:c>
      <x:c r="C1651" t="str">
        <x:v>GATE</x:v>
      </x:c>
      <x:c r="D1651" t="str">
        <x:v>release state mirrors governing ledger</x:v>
      </x:c>
      <x:c r="E1651" t="str">
        <x:f>'Release Gates'!I1611</x:f>
        <x:v>PASS</x:v>
      </x:c>
      <x:c r="F1651" t="str">
        <x:f>IF('Release Gates'!C1611="PLANNING","PASS",IF('Release Gates'!C1611="PHYSICAL","OPEN","BLOCKED"))</x:f>
        <x:v>PASS</x:v>
      </x:c>
      <x:c r="G1651" t="str">
        <x:v>equals</x:v>
      </x:c>
      <x:c r="H1651" t="str">
        <x:f>IF(E1651=F1651,"PASS","FAIL")</x:f>
        <x:v>PASS</x:v>
      </x:c>
    </x:row>
    <x:row r="1652">
      <x:c r="B1652" t="str">
        <x:v>A-01606</x:v>
      </x:c>
      <x:c r="C1652" t="str">
        <x:v>GATE</x:v>
      </x:c>
      <x:c r="D1652" t="str">
        <x:v>release state mirrors governing ledger</x:v>
      </x:c>
      <x:c r="E1652" t="str">
        <x:f>'Release Gates'!I1612</x:f>
        <x:v>PASS</x:v>
      </x:c>
      <x:c r="F1652" t="str">
        <x:f>IF('Release Gates'!C1612="PLANNING","PASS",IF('Release Gates'!C1612="PHYSICAL","OPEN","BLOCKED"))</x:f>
        <x:v>PASS</x:v>
      </x:c>
      <x:c r="G1652" t="str">
        <x:v>equals</x:v>
      </x:c>
      <x:c r="H1652" t="str">
        <x:f>IF(E1652=F1652,"PASS","FAIL")</x:f>
        <x:v>PASS</x:v>
      </x:c>
    </x:row>
    <x:row r="1653">
      <x:c r="B1653" t="str">
        <x:v>A-01607</x:v>
      </x:c>
      <x:c r="C1653" t="str">
        <x:v>GATE</x:v>
      </x:c>
      <x:c r="D1653" t="str">
        <x:v>release state mirrors governing ledger</x:v>
      </x:c>
      <x:c r="E1653" t="str">
        <x:f>'Release Gates'!I1613</x:f>
        <x:v>OPEN</x:v>
      </x:c>
      <x:c r="F1653" t="str">
        <x:f>IF('Release Gates'!C1613="PLANNING","PASS",IF('Release Gates'!C1613="PHYSICAL","OPEN","BLOCKED"))</x:f>
        <x:v>OPEN</x:v>
      </x:c>
      <x:c r="G1653" t="str">
        <x:v>equals</x:v>
      </x:c>
      <x:c r="H1653" t="str">
        <x:f>IF(E1653=F1653,"PASS","FAIL")</x:f>
        <x:v>PASS</x:v>
      </x:c>
    </x:row>
    <x:row r="1654">
      <x:c r="B1654" t="str">
        <x:v>A-01608</x:v>
      </x:c>
      <x:c r="C1654" t="str">
        <x:v>GATE</x:v>
      </x:c>
      <x:c r="D1654" t="str">
        <x:v>release state mirrors governing ledger</x:v>
      </x:c>
      <x:c r="E1654" t="str">
        <x:f>'Release Gates'!I1614</x:f>
        <x:v>OPEN</x:v>
      </x:c>
      <x:c r="F1654" t="str">
        <x:f>IF('Release Gates'!C1614="PLANNING","PASS",IF('Release Gates'!C1614="PHYSICAL","OPEN","BLOCKED"))</x:f>
        <x:v>OPEN</x:v>
      </x:c>
      <x:c r="G1654" t="str">
        <x:v>equals</x:v>
      </x:c>
      <x:c r="H1654" t="str">
        <x:f>IF(E1654=F1654,"PASS","FAIL")</x:f>
        <x:v>PASS</x:v>
      </x:c>
    </x:row>
    <x:row r="1655">
      <x:c r="B1655" t="str">
        <x:v>A-01609</x:v>
      </x:c>
      <x:c r="C1655" t="str">
        <x:v>GATE</x:v>
      </x:c>
      <x:c r="D1655" t="str">
        <x:v>release state mirrors governing ledger</x:v>
      </x:c>
      <x:c r="E1655" t="str">
        <x:f>'Release Gates'!I1615</x:f>
        <x:v>OPEN</x:v>
      </x:c>
      <x:c r="F1655" t="str">
        <x:f>IF('Release Gates'!C1615="PLANNING","PASS",IF('Release Gates'!C1615="PHYSICAL","OPEN","BLOCKED"))</x:f>
        <x:v>OPEN</x:v>
      </x:c>
      <x:c r="G1655" t="str">
        <x:v>equals</x:v>
      </x:c>
      <x:c r="H1655" t="str">
        <x:f>IF(E1655=F1655,"PASS","FAIL")</x:f>
        <x:v>PASS</x:v>
      </x:c>
    </x:row>
    <x:row r="1656">
      <x:c r="B1656" t="str">
        <x:v>A-01610</x:v>
      </x:c>
      <x:c r="C1656" t="str">
        <x:v>GATE</x:v>
      </x:c>
      <x:c r="D1656" t="str">
        <x:v>release state mirrors governing ledger</x:v>
      </x:c>
      <x:c r="E1656" t="str">
        <x:f>'Release Gates'!I1616</x:f>
        <x:v>OPEN</x:v>
      </x:c>
      <x:c r="F1656" t="str">
        <x:f>IF('Release Gates'!C1616="PLANNING","PASS",IF('Release Gates'!C1616="PHYSICAL","OPEN","BLOCKED"))</x:f>
        <x:v>OPEN</x:v>
      </x:c>
      <x:c r="G1656" t="str">
        <x:v>equals</x:v>
      </x:c>
      <x:c r="H1656" t="str">
        <x:f>IF(E1656=F1656,"PASS","FAIL")</x:f>
        <x:v>PASS</x:v>
      </x:c>
    </x:row>
    <x:row r="1657">
      <x:c r="B1657" t="str">
        <x:v>A-01611</x:v>
      </x:c>
      <x:c r="C1657" t="str">
        <x:v>GATE</x:v>
      </x:c>
      <x:c r="D1657" t="str">
        <x:v>release state mirrors governing ledger</x:v>
      </x:c>
      <x:c r="E1657" t="str">
        <x:f>'Release Gates'!I1617</x:f>
        <x:v>OPEN</x:v>
      </x:c>
      <x:c r="F1657" t="str">
        <x:f>IF('Release Gates'!C1617="PLANNING","PASS",IF('Release Gates'!C1617="PHYSICAL","OPEN","BLOCKED"))</x:f>
        <x:v>OPEN</x:v>
      </x:c>
      <x:c r="G1657" t="str">
        <x:v>equals</x:v>
      </x:c>
      <x:c r="H1657" t="str">
        <x:f>IF(E1657=F1657,"PASS","FAIL")</x:f>
        <x:v>PASS</x:v>
      </x:c>
    </x:row>
    <x:row r="1658">
      <x:c r="B1658" t="str">
        <x:v>A-01612</x:v>
      </x:c>
      <x:c r="C1658" t="str">
        <x:v>GATE</x:v>
      </x:c>
      <x:c r="D1658" t="str">
        <x:v>release state mirrors governing ledger</x:v>
      </x:c>
      <x:c r="E1658" t="str">
        <x:f>'Release Gates'!I1618</x:f>
        <x:v>OPEN</x:v>
      </x:c>
      <x:c r="F1658" t="str">
        <x:f>IF('Release Gates'!C1618="PLANNING","PASS",IF('Release Gates'!C1618="PHYSICAL","OPEN","BLOCKED"))</x:f>
        <x:v>OPEN</x:v>
      </x:c>
      <x:c r="G1658" t="str">
        <x:v>equals</x:v>
      </x:c>
      <x:c r="H1658" t="str">
        <x:f>IF(E1658=F1658,"PASS","FAIL")</x:f>
        <x:v>PASS</x:v>
      </x:c>
    </x:row>
    <x:row r="1659">
      <x:c r="B1659" t="str">
        <x:v>A-01613</x:v>
      </x:c>
      <x:c r="C1659" t="str">
        <x:v>GATE</x:v>
      </x:c>
      <x:c r="D1659" t="str">
        <x:v>release state mirrors governing ledger</x:v>
      </x:c>
      <x:c r="E1659" t="str">
        <x:f>'Release Gates'!I1619</x:f>
        <x:v>OPEN</x:v>
      </x:c>
      <x:c r="F1659" t="str">
        <x:f>IF('Release Gates'!C1619="PLANNING","PASS",IF('Release Gates'!C1619="PHYSICAL","OPEN","BLOCKED"))</x:f>
        <x:v>OPEN</x:v>
      </x:c>
      <x:c r="G1659" t="str">
        <x:v>equals</x:v>
      </x:c>
      <x:c r="H1659" t="str">
        <x:f>IF(E1659=F1659,"PASS","FAIL")</x:f>
        <x:v>PASS</x:v>
      </x:c>
    </x:row>
    <x:row r="1660">
      <x:c r="B1660" t="str">
        <x:v>A-01614</x:v>
      </x:c>
      <x:c r="C1660" t="str">
        <x:v>GATE</x:v>
      </x:c>
      <x:c r="D1660" t="str">
        <x:v>release state mirrors governing ledger</x:v>
      </x:c>
      <x:c r="E1660" t="str">
        <x:f>'Release Gates'!I1620</x:f>
        <x:v>OPEN</x:v>
      </x:c>
      <x:c r="F1660" t="str">
        <x:f>IF('Release Gates'!C1620="PLANNING","PASS",IF('Release Gates'!C1620="PHYSICAL","OPEN","BLOCKED"))</x:f>
        <x:v>OPEN</x:v>
      </x:c>
      <x:c r="G1660" t="str">
        <x:v>equals</x:v>
      </x:c>
      <x:c r="H1660" t="str">
        <x:f>IF(E1660=F1660,"PASS","FAIL")</x:f>
        <x:v>PASS</x:v>
      </x:c>
    </x:row>
    <x:row r="1661">
      <x:c r="B1661" t="str">
        <x:v>A-01615</x:v>
      </x:c>
      <x:c r="C1661" t="str">
        <x:v>GATE</x:v>
      </x:c>
      <x:c r="D1661" t="str">
        <x:v>release state mirrors governing ledger</x:v>
      </x:c>
      <x:c r="E1661" t="str">
        <x:f>'Release Gates'!I1621</x:f>
        <x:v>OPEN</x:v>
      </x:c>
      <x:c r="F1661" t="str">
        <x:f>IF('Release Gates'!C1621="PLANNING","PASS",IF('Release Gates'!C1621="PHYSICAL","OPEN","BLOCKED"))</x:f>
        <x:v>OPEN</x:v>
      </x:c>
      <x:c r="G1661" t="str">
        <x:v>equals</x:v>
      </x:c>
      <x:c r="H1661" t="str">
        <x:f>IF(E1661=F1661,"PASS","FAIL")</x:f>
        <x:v>PASS</x:v>
      </x:c>
    </x:row>
    <x:row r="1662">
      <x:c r="B1662" t="str">
        <x:v>A-01616</x:v>
      </x:c>
      <x:c r="C1662" t="str">
        <x:v>GATE</x:v>
      </x:c>
      <x:c r="D1662" t="str">
        <x:v>release state mirrors governing ledger</x:v>
      </x:c>
      <x:c r="E1662" t="str">
        <x:f>'Release Gates'!I1622</x:f>
        <x:v>OPEN</x:v>
      </x:c>
      <x:c r="F1662" t="str">
        <x:f>IF('Release Gates'!C1622="PLANNING","PASS",IF('Release Gates'!C1622="PHYSICAL","OPEN","BLOCKED"))</x:f>
        <x:v>OPEN</x:v>
      </x:c>
      <x:c r="G1662" t="str">
        <x:v>equals</x:v>
      </x:c>
      <x:c r="H1662" t="str">
        <x:f>IF(E1662=F1662,"PASS","FAIL")</x:f>
        <x:v>PASS</x:v>
      </x:c>
    </x:row>
    <x:row r="1663">
      <x:c r="B1663" t="str">
        <x:v>A-01617</x:v>
      </x:c>
      <x:c r="C1663" t="str">
        <x:v>GATE</x:v>
      </x:c>
      <x:c r="D1663" t="str">
        <x:v>release state mirrors governing ledger</x:v>
      </x:c>
      <x:c r="E1663" t="str">
        <x:f>'Release Gates'!I1623</x:f>
        <x:v>OPEN</x:v>
      </x:c>
      <x:c r="F1663" t="str">
        <x:f>IF('Release Gates'!C1623="PLANNING","PASS",IF('Release Gates'!C1623="PHYSICAL","OPEN","BLOCKED"))</x:f>
        <x:v>OPEN</x:v>
      </x:c>
      <x:c r="G1663" t="str">
        <x:v>equals</x:v>
      </x:c>
      <x:c r="H1663" t="str">
        <x:f>IF(E1663=F1663,"PASS","FAIL")</x:f>
        <x:v>PASS</x:v>
      </x:c>
    </x:row>
    <x:row r="1664">
      <x:c r="B1664" t="str">
        <x:v>A-01618</x:v>
      </x:c>
      <x:c r="C1664" t="str">
        <x:v>GATE</x:v>
      </x:c>
      <x:c r="D1664" t="str">
        <x:v>release state mirrors governing ledger</x:v>
      </x:c>
      <x:c r="E1664" t="str">
        <x:f>'Release Gates'!I1624</x:f>
        <x:v>OPEN</x:v>
      </x:c>
      <x:c r="F1664" t="str">
        <x:f>IF('Release Gates'!C1624="PLANNING","PASS",IF('Release Gates'!C1624="PHYSICAL","OPEN","BLOCKED"))</x:f>
        <x:v>OPEN</x:v>
      </x:c>
      <x:c r="G1664" t="str">
        <x:v>equals</x:v>
      </x:c>
      <x:c r="H1664" t="str">
        <x:f>IF(E1664=F1664,"PASS","FAIL")</x:f>
        <x:v>PASS</x:v>
      </x:c>
    </x:row>
    <x:row r="1665">
      <x:c r="B1665" t="str">
        <x:v>A-01619</x:v>
      </x:c>
      <x:c r="C1665" t="str">
        <x:v>GATE</x:v>
      </x:c>
      <x:c r="D1665" t="str">
        <x:v>release state mirrors governing ledger</x:v>
      </x:c>
      <x:c r="E1665" t="str">
        <x:f>'Release Gates'!I1625</x:f>
        <x:v>OPEN</x:v>
      </x:c>
      <x:c r="F1665" t="str">
        <x:f>IF('Release Gates'!C1625="PLANNING","PASS",IF('Release Gates'!C1625="PHYSICAL","OPEN","BLOCKED"))</x:f>
        <x:v>OPEN</x:v>
      </x:c>
      <x:c r="G1665" t="str">
        <x:v>equals</x:v>
      </x:c>
      <x:c r="H1665" t="str">
        <x:f>IF(E1665=F1665,"PASS","FAIL")</x:f>
        <x:v>PASS</x:v>
      </x:c>
    </x:row>
    <x:row r="1666">
      <x:c r="B1666" t="str">
        <x:v>A-01620</x:v>
      </x:c>
      <x:c r="C1666" t="str">
        <x:v>GATE</x:v>
      </x:c>
      <x:c r="D1666" t="str">
        <x:v>release state mirrors governing ledger</x:v>
      </x:c>
      <x:c r="E1666" t="str">
        <x:f>'Release Gates'!I1626</x:f>
        <x:v>OPEN</x:v>
      </x:c>
      <x:c r="F1666" t="str">
        <x:f>IF('Release Gates'!C1626="PLANNING","PASS",IF('Release Gates'!C1626="PHYSICAL","OPEN","BLOCKED"))</x:f>
        <x:v>OPEN</x:v>
      </x:c>
      <x:c r="G1666" t="str">
        <x:v>equals</x:v>
      </x:c>
      <x:c r="H1666" t="str">
        <x:f>IF(E1666=F1666,"PASS","FAIL")</x:f>
        <x:v>PASS</x:v>
      </x:c>
    </x:row>
    <x:row r="1667">
      <x:c r="B1667" t="str">
        <x:v>A-01621</x:v>
      </x:c>
      <x:c r="C1667" t="str">
        <x:v>GATE</x:v>
      </x:c>
      <x:c r="D1667" t="str">
        <x:v>release state mirrors governing ledger</x:v>
      </x:c>
      <x:c r="E1667" t="str">
        <x:f>'Release Gates'!I1627</x:f>
        <x:v>OPEN</x:v>
      </x:c>
      <x:c r="F1667" t="str">
        <x:f>IF('Release Gates'!C1627="PLANNING","PASS",IF('Release Gates'!C1627="PHYSICAL","OPEN","BLOCKED"))</x:f>
        <x:v>OPEN</x:v>
      </x:c>
      <x:c r="G1667" t="str">
        <x:v>equals</x:v>
      </x:c>
      <x:c r="H1667" t="str">
        <x:f>IF(E1667=F1667,"PASS","FAIL")</x:f>
        <x:v>PASS</x:v>
      </x:c>
    </x:row>
    <x:row r="1668">
      <x:c r="B1668" t="str">
        <x:v>A-01622</x:v>
      </x:c>
      <x:c r="C1668" t="str">
        <x:v>GATE</x:v>
      </x:c>
      <x:c r="D1668" t="str">
        <x:v>release state mirrors governing ledger</x:v>
      </x:c>
      <x:c r="E1668" t="str">
        <x:f>'Release Gates'!I1628</x:f>
        <x:v>OPEN</x:v>
      </x:c>
      <x:c r="F1668" t="str">
        <x:f>IF('Release Gates'!C1628="PLANNING","PASS",IF('Release Gates'!C1628="PHYSICAL","OPEN","BLOCKED"))</x:f>
        <x:v>OPEN</x:v>
      </x:c>
      <x:c r="G1668" t="str">
        <x:v>equals</x:v>
      </x:c>
      <x:c r="H1668" t="str">
        <x:f>IF(E1668=F1668,"PASS","FAIL")</x:f>
        <x:v>PASS</x:v>
      </x:c>
    </x:row>
    <x:row r="1669">
      <x:c r="B1669" t="str">
        <x:v>A-01623</x:v>
      </x:c>
      <x:c r="C1669" t="str">
        <x:v>GATE</x:v>
      </x:c>
      <x:c r="D1669" t="str">
        <x:v>release state mirrors governing ledger</x:v>
      </x:c>
      <x:c r="E1669" t="str">
        <x:f>'Release Gates'!I1629</x:f>
        <x:v>OPEN</x:v>
      </x:c>
      <x:c r="F1669" t="str">
        <x:f>IF('Release Gates'!C1629="PLANNING","PASS",IF('Release Gates'!C1629="PHYSICAL","OPEN","BLOCKED"))</x:f>
        <x:v>OPEN</x:v>
      </x:c>
      <x:c r="G1669" t="str">
        <x:v>equals</x:v>
      </x:c>
      <x:c r="H1669" t="str">
        <x:f>IF(E1669=F1669,"PASS","FAIL")</x:f>
        <x:v>PASS</x:v>
      </x:c>
    </x:row>
    <x:row r="1670">
      <x:c r="B1670" t="str">
        <x:v>A-01624</x:v>
      </x:c>
      <x:c r="C1670" t="str">
        <x:v>GATE</x:v>
      </x:c>
      <x:c r="D1670" t="str">
        <x:v>release state mirrors governing ledger</x:v>
      </x:c>
      <x:c r="E1670" t="str">
        <x:f>'Release Gates'!I1630</x:f>
        <x:v>OPEN</x:v>
      </x:c>
      <x:c r="F1670" t="str">
        <x:f>IF('Release Gates'!C1630="PLANNING","PASS",IF('Release Gates'!C1630="PHYSICAL","OPEN","BLOCKED"))</x:f>
        <x:v>OPEN</x:v>
      </x:c>
      <x:c r="G1670" t="str">
        <x:v>equals</x:v>
      </x:c>
      <x:c r="H1670" t="str">
        <x:f>IF(E1670=F1670,"PASS","FAIL")</x:f>
        <x:v>PASS</x:v>
      </x:c>
    </x:row>
    <x:row r="1671">
      <x:c r="B1671" t="str">
        <x:v>A-01625</x:v>
      </x:c>
      <x:c r="C1671" t="str">
        <x:v>GATE</x:v>
      </x:c>
      <x:c r="D1671" t="str">
        <x:v>release state mirrors governing ledger</x:v>
      </x:c>
      <x:c r="E1671" t="str">
        <x:f>'Release Gates'!I1631</x:f>
        <x:v>OPEN</x:v>
      </x:c>
      <x:c r="F1671" t="str">
        <x:f>IF('Release Gates'!C1631="PLANNING","PASS",IF('Release Gates'!C1631="PHYSICAL","OPEN","BLOCKED"))</x:f>
        <x:v>OPEN</x:v>
      </x:c>
      <x:c r="G1671" t="str">
        <x:v>equals</x:v>
      </x:c>
      <x:c r="H1671" t="str">
        <x:f>IF(E1671=F1671,"PASS","FAIL")</x:f>
        <x:v>PASS</x:v>
      </x:c>
    </x:row>
    <x:row r="1672">
      <x:c r="B1672" t="str">
        <x:v>A-01626</x:v>
      </x:c>
      <x:c r="C1672" t="str">
        <x:v>GATE</x:v>
      </x:c>
      <x:c r="D1672" t="str">
        <x:v>release state mirrors governing ledger</x:v>
      </x:c>
      <x:c r="E1672" t="str">
        <x:f>'Release Gates'!I1632</x:f>
        <x:v>OPEN</x:v>
      </x:c>
      <x:c r="F1672" t="str">
        <x:f>IF('Release Gates'!C1632="PLANNING","PASS",IF('Release Gates'!C1632="PHYSICAL","OPEN","BLOCKED"))</x:f>
        <x:v>OPEN</x:v>
      </x:c>
      <x:c r="G1672" t="str">
        <x:v>equals</x:v>
      </x:c>
      <x:c r="H1672" t="str">
        <x:f>IF(E1672=F1672,"PASS","FAIL")</x:f>
        <x:v>PASS</x:v>
      </x:c>
    </x:row>
    <x:row r="1673">
      <x:c r="B1673" t="str">
        <x:v>A-01627</x:v>
      </x:c>
      <x:c r="C1673" t="str">
        <x:v>GATE</x:v>
      </x:c>
      <x:c r="D1673" t="str">
        <x:v>release state mirrors governing ledger</x:v>
      </x:c>
      <x:c r="E1673" t="str">
        <x:f>'Release Gates'!I1633</x:f>
        <x:v>OPEN</x:v>
      </x:c>
      <x:c r="F1673" t="str">
        <x:f>IF('Release Gates'!C1633="PLANNING","PASS",IF('Release Gates'!C1633="PHYSICAL","OPEN","BLOCKED"))</x:f>
        <x:v>OPEN</x:v>
      </x:c>
      <x:c r="G1673" t="str">
        <x:v>equals</x:v>
      </x:c>
      <x:c r="H1673" t="str">
        <x:f>IF(E1673=F1673,"PASS","FAIL")</x:f>
        <x:v>PASS</x:v>
      </x:c>
    </x:row>
    <x:row r="1674">
      <x:c r="B1674" t="str">
        <x:v>A-01628</x:v>
      </x:c>
      <x:c r="C1674" t="str">
        <x:v>GATE</x:v>
      </x:c>
      <x:c r="D1674" t="str">
        <x:v>release state mirrors governing ledger</x:v>
      </x:c>
      <x:c r="E1674" t="str">
        <x:f>'Release Gates'!I1634</x:f>
        <x:v>OPEN</x:v>
      </x:c>
      <x:c r="F1674" t="str">
        <x:f>IF('Release Gates'!C1634="PLANNING","PASS",IF('Release Gates'!C1634="PHYSICAL","OPEN","BLOCKED"))</x:f>
        <x:v>OPEN</x:v>
      </x:c>
      <x:c r="G1674" t="str">
        <x:v>equals</x:v>
      </x:c>
      <x:c r="H1674" t="str">
        <x:f>IF(E1674=F1674,"PASS","FAIL")</x:f>
        <x:v>PASS</x:v>
      </x:c>
    </x:row>
    <x:row r="1675">
      <x:c r="B1675" t="str">
        <x:v>A-01629</x:v>
      </x:c>
      <x:c r="C1675" t="str">
        <x:v>GATE</x:v>
      </x:c>
      <x:c r="D1675" t="str">
        <x:v>release state mirrors governing ledger</x:v>
      </x:c>
      <x:c r="E1675" t="str">
        <x:f>'Release Gates'!I1635</x:f>
        <x:v>OPEN</x:v>
      </x:c>
      <x:c r="F1675" t="str">
        <x:f>IF('Release Gates'!C1635="PLANNING","PASS",IF('Release Gates'!C1635="PHYSICAL","OPEN","BLOCKED"))</x:f>
        <x:v>OPEN</x:v>
      </x:c>
      <x:c r="G1675" t="str">
        <x:v>equals</x:v>
      </x:c>
      <x:c r="H1675" t="str">
        <x:f>IF(E1675=F1675,"PASS","FAIL")</x:f>
        <x:v>PASS</x:v>
      </x:c>
    </x:row>
    <x:row r="1676">
      <x:c r="B1676" t="str">
        <x:v>A-01630</x:v>
      </x:c>
      <x:c r="C1676" t="str">
        <x:v>GATE</x:v>
      </x:c>
      <x:c r="D1676" t="str">
        <x:v>release state mirrors governing ledger</x:v>
      </x:c>
      <x:c r="E1676" t="str">
        <x:f>'Release Gates'!I1636</x:f>
        <x:v>OPEN</x:v>
      </x:c>
      <x:c r="F1676" t="str">
        <x:f>IF('Release Gates'!C1636="PLANNING","PASS",IF('Release Gates'!C1636="PHYSICAL","OPEN","BLOCKED"))</x:f>
        <x:v>OPEN</x:v>
      </x:c>
      <x:c r="G1676" t="str">
        <x:v>equals</x:v>
      </x:c>
      <x:c r="H1676" t="str">
        <x:f>IF(E1676=F1676,"PASS","FAIL")</x:f>
        <x:v>PASS</x:v>
      </x:c>
    </x:row>
    <x:row r="1677">
      <x:c r="B1677" t="str">
        <x:v>A-01631</x:v>
      </x:c>
      <x:c r="C1677" t="str">
        <x:v>GATE</x:v>
      </x:c>
      <x:c r="D1677" t="str">
        <x:v>release state mirrors governing ledger</x:v>
      </x:c>
      <x:c r="E1677" t="str">
        <x:f>'Release Gates'!I1637</x:f>
        <x:v>OPEN</x:v>
      </x:c>
      <x:c r="F1677" t="str">
        <x:f>IF('Release Gates'!C1637="PLANNING","PASS",IF('Release Gates'!C1637="PHYSICAL","OPEN","BLOCKED"))</x:f>
        <x:v>OPEN</x:v>
      </x:c>
      <x:c r="G1677" t="str">
        <x:v>equals</x:v>
      </x:c>
      <x:c r="H1677" t="str">
        <x:f>IF(E1677=F1677,"PASS","FAIL")</x:f>
        <x:v>PASS</x:v>
      </x:c>
    </x:row>
    <x:row r="1678">
      <x:c r="B1678" t="str">
        <x:v>A-01632</x:v>
      </x:c>
      <x:c r="C1678" t="str">
        <x:v>GATE</x:v>
      </x:c>
      <x:c r="D1678" t="str">
        <x:v>release state mirrors governing ledger</x:v>
      </x:c>
      <x:c r="E1678" t="str">
        <x:f>'Release Gates'!I1638</x:f>
        <x:v>OPEN</x:v>
      </x:c>
      <x:c r="F1678" t="str">
        <x:f>IF('Release Gates'!C1638="PLANNING","PASS",IF('Release Gates'!C1638="PHYSICAL","OPEN","BLOCKED"))</x:f>
        <x:v>OPEN</x:v>
      </x:c>
      <x:c r="G1678" t="str">
        <x:v>equals</x:v>
      </x:c>
      <x:c r="H1678" t="str">
        <x:f>IF(E1678=F1678,"PASS","FAIL")</x:f>
        <x:v>PASS</x:v>
      </x:c>
    </x:row>
    <x:row r="1679">
      <x:c r="B1679" t="str">
        <x:v>A-01633</x:v>
      </x:c>
      <x:c r="C1679" t="str">
        <x:v>GATE</x:v>
      </x:c>
      <x:c r="D1679" t="str">
        <x:v>release state mirrors governing ledger</x:v>
      </x:c>
      <x:c r="E1679" t="str">
        <x:f>'Release Gates'!I1639</x:f>
        <x:v>OPEN</x:v>
      </x:c>
      <x:c r="F1679" t="str">
        <x:f>IF('Release Gates'!C1639="PLANNING","PASS",IF('Release Gates'!C1639="PHYSICAL","OPEN","BLOCKED"))</x:f>
        <x:v>OPEN</x:v>
      </x:c>
      <x:c r="G1679" t="str">
        <x:v>equals</x:v>
      </x:c>
      <x:c r="H1679" t="str">
        <x:f>IF(E1679=F1679,"PASS","FAIL")</x:f>
        <x:v>PASS</x:v>
      </x:c>
    </x:row>
    <x:row r="1680">
      <x:c r="B1680" t="str">
        <x:v>A-01634</x:v>
      </x:c>
      <x:c r="C1680" t="str">
        <x:v>GATE</x:v>
      </x:c>
      <x:c r="D1680" t="str">
        <x:v>release state mirrors governing ledger</x:v>
      </x:c>
      <x:c r="E1680" t="str">
        <x:f>'Release Gates'!I1640</x:f>
        <x:v>OPEN</x:v>
      </x:c>
      <x:c r="F1680" t="str">
        <x:f>IF('Release Gates'!C1640="PLANNING","PASS",IF('Release Gates'!C1640="PHYSICAL","OPEN","BLOCKED"))</x:f>
        <x:v>OPEN</x:v>
      </x:c>
      <x:c r="G1680" t="str">
        <x:v>equals</x:v>
      </x:c>
      <x:c r="H1680" t="str">
        <x:f>IF(E1680=F1680,"PASS","FAIL")</x:f>
        <x:v>PASS</x:v>
      </x:c>
    </x:row>
    <x:row r="1681">
      <x:c r="B1681" t="str">
        <x:v>A-01635</x:v>
      </x:c>
      <x:c r="C1681" t="str">
        <x:v>GATE</x:v>
      </x:c>
      <x:c r="D1681" t="str">
        <x:v>release state mirrors governing ledger</x:v>
      </x:c>
      <x:c r="E1681" t="str">
        <x:f>'Release Gates'!I1641</x:f>
        <x:v>OPEN</x:v>
      </x:c>
      <x:c r="F1681" t="str">
        <x:f>IF('Release Gates'!C1641="PLANNING","PASS",IF('Release Gates'!C1641="PHYSICAL","OPEN","BLOCKED"))</x:f>
        <x:v>OPEN</x:v>
      </x:c>
      <x:c r="G1681" t="str">
        <x:v>equals</x:v>
      </x:c>
      <x:c r="H1681" t="str">
        <x:f>IF(E1681=F1681,"PASS","FAIL")</x:f>
        <x:v>PASS</x:v>
      </x:c>
    </x:row>
    <x:row r="1682">
      <x:c r="B1682" t="str">
        <x:v>A-01636</x:v>
      </x:c>
      <x:c r="C1682" t="str">
        <x:v>GATE</x:v>
      </x:c>
      <x:c r="D1682" t="str">
        <x:v>release state mirrors governing ledger</x:v>
      </x:c>
      <x:c r="E1682" t="str">
        <x:f>'Release Gates'!I1642</x:f>
        <x:v>OPEN</x:v>
      </x:c>
      <x:c r="F1682" t="str">
        <x:f>IF('Release Gates'!C1642="PLANNING","PASS",IF('Release Gates'!C1642="PHYSICAL","OPEN","BLOCKED"))</x:f>
        <x:v>OPEN</x:v>
      </x:c>
      <x:c r="G1682" t="str">
        <x:v>equals</x:v>
      </x:c>
      <x:c r="H1682" t="str">
        <x:f>IF(E1682=F1682,"PASS","FAIL")</x:f>
        <x:v>PASS</x:v>
      </x:c>
    </x:row>
    <x:row r="1683">
      <x:c r="B1683" t="str">
        <x:v>A-01637</x:v>
      </x:c>
      <x:c r="C1683" t="str">
        <x:v>GATE</x:v>
      </x:c>
      <x:c r="D1683" t="str">
        <x:v>release state mirrors governing ledger</x:v>
      </x:c>
      <x:c r="E1683" t="str">
        <x:f>'Release Gates'!I1643</x:f>
        <x:v>OPEN</x:v>
      </x:c>
      <x:c r="F1683" t="str">
        <x:f>IF('Release Gates'!C1643="PLANNING","PASS",IF('Release Gates'!C1643="PHYSICAL","OPEN","BLOCKED"))</x:f>
        <x:v>OPEN</x:v>
      </x:c>
      <x:c r="G1683" t="str">
        <x:v>equals</x:v>
      </x:c>
      <x:c r="H1683" t="str">
        <x:f>IF(E1683=F1683,"PASS","FAIL")</x:f>
        <x:v>PASS</x:v>
      </x:c>
    </x:row>
    <x:row r="1684">
      <x:c r="B1684" t="str">
        <x:v>A-01638</x:v>
      </x:c>
      <x:c r="C1684" t="str">
        <x:v>GATE</x:v>
      </x:c>
      <x:c r="D1684" t="str">
        <x:v>release state mirrors governing ledger</x:v>
      </x:c>
      <x:c r="E1684" t="str">
        <x:f>'Release Gates'!I1644</x:f>
        <x:v>OPEN</x:v>
      </x:c>
      <x:c r="F1684" t="str">
        <x:f>IF('Release Gates'!C1644="PLANNING","PASS",IF('Release Gates'!C1644="PHYSICAL","OPEN","BLOCKED"))</x:f>
        <x:v>OPEN</x:v>
      </x:c>
      <x:c r="G1684" t="str">
        <x:v>equals</x:v>
      </x:c>
      <x:c r="H1684" t="str">
        <x:f>IF(E1684=F1684,"PASS","FAIL")</x:f>
        <x:v>PASS</x:v>
      </x:c>
    </x:row>
    <x:row r="1685">
      <x:c r="B1685" t="str">
        <x:v>A-01639</x:v>
      </x:c>
      <x:c r="C1685" t="str">
        <x:v>GATE</x:v>
      </x:c>
      <x:c r="D1685" t="str">
        <x:v>release state mirrors governing ledger</x:v>
      </x:c>
      <x:c r="E1685" t="str">
        <x:f>'Release Gates'!I1645</x:f>
        <x:v>OPEN</x:v>
      </x:c>
      <x:c r="F1685" t="str">
        <x:f>IF('Release Gates'!C1645="PLANNING","PASS",IF('Release Gates'!C1645="PHYSICAL","OPEN","BLOCKED"))</x:f>
        <x:v>OPEN</x:v>
      </x:c>
      <x:c r="G1685" t="str">
        <x:v>equals</x:v>
      </x:c>
      <x:c r="H1685" t="str">
        <x:f>IF(E1685=F1685,"PASS","FAIL")</x:f>
        <x:v>PASS</x:v>
      </x:c>
    </x:row>
    <x:row r="1686">
      <x:c r="B1686" t="str">
        <x:v>A-01640</x:v>
      </x:c>
      <x:c r="C1686" t="str">
        <x:v>GATE</x:v>
      </x:c>
      <x:c r="D1686" t="str">
        <x:v>release state mirrors governing ledger</x:v>
      </x:c>
      <x:c r="E1686" t="str">
        <x:f>'Release Gates'!I1646</x:f>
        <x:v>OPEN</x:v>
      </x:c>
      <x:c r="F1686" t="str">
        <x:f>IF('Release Gates'!C1646="PLANNING","PASS",IF('Release Gates'!C1646="PHYSICAL","OPEN","BLOCKED"))</x:f>
        <x:v>OPEN</x:v>
      </x:c>
      <x:c r="G1686" t="str">
        <x:v>equals</x:v>
      </x:c>
      <x:c r="H1686" t="str">
        <x:f>IF(E1686=F1686,"PASS","FAIL")</x:f>
        <x:v>PASS</x:v>
      </x:c>
    </x:row>
    <x:row r="1687">
      <x:c r="B1687" t="str">
        <x:v>A-01641</x:v>
      </x:c>
      <x:c r="C1687" t="str">
        <x:v>GATE</x:v>
      </x:c>
      <x:c r="D1687" t="str">
        <x:v>release state mirrors governing ledger</x:v>
      </x:c>
      <x:c r="E1687" t="str">
        <x:f>'Release Gates'!I1647</x:f>
        <x:v>OPEN</x:v>
      </x:c>
      <x:c r="F1687" t="str">
        <x:f>IF('Release Gates'!C1647="PLANNING","PASS",IF('Release Gates'!C1647="PHYSICAL","OPEN","BLOCKED"))</x:f>
        <x:v>OPEN</x:v>
      </x:c>
      <x:c r="G1687" t="str">
        <x:v>equals</x:v>
      </x:c>
      <x:c r="H1687" t="str">
        <x:f>IF(E1687=F1687,"PASS","FAIL")</x:f>
        <x:v>PASS</x:v>
      </x:c>
    </x:row>
    <x:row r="1688">
      <x:c r="B1688" t="str">
        <x:v>A-01642</x:v>
      </x:c>
      <x:c r="C1688" t="str">
        <x:v>GATE</x:v>
      </x:c>
      <x:c r="D1688" t="str">
        <x:v>release state mirrors governing ledger</x:v>
      </x:c>
      <x:c r="E1688" t="str">
        <x:f>'Release Gates'!I1648</x:f>
        <x:v>OPEN</x:v>
      </x:c>
      <x:c r="F1688" t="str">
        <x:f>IF('Release Gates'!C1648="PLANNING","PASS",IF('Release Gates'!C1648="PHYSICAL","OPEN","BLOCKED"))</x:f>
        <x:v>OPEN</x:v>
      </x:c>
      <x:c r="G1688" t="str">
        <x:v>equals</x:v>
      </x:c>
      <x:c r="H1688" t="str">
        <x:f>IF(E1688=F1688,"PASS","FAIL")</x:f>
        <x:v>PASS</x:v>
      </x:c>
    </x:row>
    <x:row r="1689">
      <x:c r="B1689" t="str">
        <x:v>A-01643</x:v>
      </x:c>
      <x:c r="C1689" t="str">
        <x:v>GATE</x:v>
      </x:c>
      <x:c r="D1689" t="str">
        <x:v>release state mirrors governing ledger</x:v>
      </x:c>
      <x:c r="E1689" t="str">
        <x:f>'Release Gates'!I1649</x:f>
        <x:v>OPEN</x:v>
      </x:c>
      <x:c r="F1689" t="str">
        <x:f>IF('Release Gates'!C1649="PLANNING","PASS",IF('Release Gates'!C1649="PHYSICAL","OPEN","BLOCKED"))</x:f>
        <x:v>OPEN</x:v>
      </x:c>
      <x:c r="G1689" t="str">
        <x:v>equals</x:v>
      </x:c>
      <x:c r="H1689" t="str">
        <x:f>IF(E1689=F1689,"PASS","FAIL")</x:f>
        <x:v>PASS</x:v>
      </x:c>
    </x:row>
    <x:row r="1690">
      <x:c r="B1690" t="str">
        <x:v>A-01644</x:v>
      </x:c>
      <x:c r="C1690" t="str">
        <x:v>GATE</x:v>
      </x:c>
      <x:c r="D1690" t="str">
        <x:v>release state mirrors governing ledger</x:v>
      </x:c>
      <x:c r="E1690" t="str">
        <x:f>'Release Gates'!I1650</x:f>
        <x:v>OPEN</x:v>
      </x:c>
      <x:c r="F1690" t="str">
        <x:f>IF('Release Gates'!C1650="PLANNING","PASS",IF('Release Gates'!C1650="PHYSICAL","OPEN","BLOCKED"))</x:f>
        <x:v>OPEN</x:v>
      </x:c>
      <x:c r="G1690" t="str">
        <x:v>equals</x:v>
      </x:c>
      <x:c r="H1690" t="str">
        <x:f>IF(E1690=F1690,"PASS","FAIL")</x:f>
        <x:v>PASS</x:v>
      </x:c>
    </x:row>
    <x:row r="1691">
      <x:c r="B1691" t="str">
        <x:v>A-01645</x:v>
      </x:c>
      <x:c r="C1691" t="str">
        <x:v>GATE</x:v>
      </x:c>
      <x:c r="D1691" t="str">
        <x:v>release state mirrors governing ledger</x:v>
      </x:c>
      <x:c r="E1691" t="str">
        <x:f>'Release Gates'!I1651</x:f>
        <x:v>OPEN</x:v>
      </x:c>
      <x:c r="F1691" t="str">
        <x:f>IF('Release Gates'!C1651="PLANNING","PASS",IF('Release Gates'!C1651="PHYSICAL","OPEN","BLOCKED"))</x:f>
        <x:v>OPEN</x:v>
      </x:c>
      <x:c r="G1691" t="str">
        <x:v>equals</x:v>
      </x:c>
      <x:c r="H1691" t="str">
        <x:f>IF(E1691=F1691,"PASS","FAIL")</x:f>
        <x:v>PASS</x:v>
      </x:c>
    </x:row>
    <x:row r="1692">
      <x:c r="B1692" t="str">
        <x:v>A-01646</x:v>
      </x:c>
      <x:c r="C1692" t="str">
        <x:v>GATE</x:v>
      </x:c>
      <x:c r="D1692" t="str">
        <x:v>release state mirrors governing ledger</x:v>
      </x:c>
      <x:c r="E1692" t="str">
        <x:f>'Release Gates'!I1652</x:f>
        <x:v>OPEN</x:v>
      </x:c>
      <x:c r="F1692" t="str">
        <x:f>IF('Release Gates'!C1652="PLANNING","PASS",IF('Release Gates'!C1652="PHYSICAL","OPEN","BLOCKED"))</x:f>
        <x:v>OPEN</x:v>
      </x:c>
      <x:c r="G1692" t="str">
        <x:v>equals</x:v>
      </x:c>
      <x:c r="H1692" t="str">
        <x:f>IF(E1692=F1692,"PASS","FAIL")</x:f>
        <x:v>PASS</x:v>
      </x:c>
    </x:row>
    <x:row r="1693">
      <x:c r="B1693" t="str">
        <x:v>A-01647</x:v>
      </x:c>
      <x:c r="C1693" t="str">
        <x:v>GATE</x:v>
      </x:c>
      <x:c r="D1693" t="str">
        <x:v>release state mirrors governing ledger</x:v>
      </x:c>
      <x:c r="E1693" t="str">
        <x:f>'Release Gates'!I1653</x:f>
        <x:v>OPEN</x:v>
      </x:c>
      <x:c r="F1693" t="str">
        <x:f>IF('Release Gates'!C1653="PLANNING","PASS",IF('Release Gates'!C1653="PHYSICAL","OPEN","BLOCKED"))</x:f>
        <x:v>OPEN</x:v>
      </x:c>
      <x:c r="G1693" t="str">
        <x:v>equals</x:v>
      </x:c>
      <x:c r="H1693" t="str">
        <x:f>IF(E1693=F1693,"PASS","FAIL")</x:f>
        <x:v>PASS</x:v>
      </x:c>
    </x:row>
    <x:row r="1694">
      <x:c r="B1694" t="str">
        <x:v>A-01648</x:v>
      </x:c>
      <x:c r="C1694" t="str">
        <x:v>GATE</x:v>
      </x:c>
      <x:c r="D1694" t="str">
        <x:v>release state mirrors governing ledger</x:v>
      </x:c>
      <x:c r="E1694" t="str">
        <x:f>'Release Gates'!I1654</x:f>
        <x:v>OPEN</x:v>
      </x:c>
      <x:c r="F1694" t="str">
        <x:f>IF('Release Gates'!C1654="PLANNING","PASS",IF('Release Gates'!C1654="PHYSICAL","OPEN","BLOCKED"))</x:f>
        <x:v>OPEN</x:v>
      </x:c>
      <x:c r="G1694" t="str">
        <x:v>equals</x:v>
      </x:c>
      <x:c r="H1694" t="str">
        <x:f>IF(E1694=F1694,"PASS","FAIL")</x:f>
        <x:v>PASS</x:v>
      </x:c>
    </x:row>
    <x:row r="1695">
      <x:c r="B1695" t="str">
        <x:v>A-01649</x:v>
      </x:c>
      <x:c r="C1695" t="str">
        <x:v>GATE</x:v>
      </x:c>
      <x:c r="D1695" t="str">
        <x:v>release state mirrors governing ledger</x:v>
      </x:c>
      <x:c r="E1695" t="str">
        <x:f>'Release Gates'!I1655</x:f>
        <x:v>OPEN</x:v>
      </x:c>
      <x:c r="F1695" t="str">
        <x:f>IF('Release Gates'!C1655="PLANNING","PASS",IF('Release Gates'!C1655="PHYSICAL","OPEN","BLOCKED"))</x:f>
        <x:v>OPEN</x:v>
      </x:c>
      <x:c r="G1695" t="str">
        <x:v>equals</x:v>
      </x:c>
      <x:c r="H1695" t="str">
        <x:f>IF(E1695=F1695,"PASS","FAIL")</x:f>
        <x:v>PASS</x:v>
      </x:c>
    </x:row>
    <x:row r="1696">
      <x:c r="B1696" t="str">
        <x:v>A-01650</x:v>
      </x:c>
      <x:c r="C1696" t="str">
        <x:v>GATE</x:v>
      </x:c>
      <x:c r="D1696" t="str">
        <x:v>release state mirrors governing ledger</x:v>
      </x:c>
      <x:c r="E1696" t="str">
        <x:f>'Release Gates'!I1656</x:f>
        <x:v>OPEN</x:v>
      </x:c>
      <x:c r="F1696" t="str">
        <x:f>IF('Release Gates'!C1656="PLANNING","PASS",IF('Release Gates'!C1656="PHYSICAL","OPEN","BLOCKED"))</x:f>
        <x:v>OPEN</x:v>
      </x:c>
      <x:c r="G1696" t="str">
        <x:v>equals</x:v>
      </x:c>
      <x:c r="H1696" t="str">
        <x:f>IF(E1696=F1696,"PASS","FAIL")</x:f>
        <x:v>PASS</x:v>
      </x:c>
    </x:row>
    <x:row r="1697">
      <x:c r="B1697" t="str">
        <x:v>A-01651</x:v>
      </x:c>
      <x:c r="C1697" t="str">
        <x:v>GATE</x:v>
      </x:c>
      <x:c r="D1697" t="str">
        <x:v>release state mirrors governing ledger</x:v>
      </x:c>
      <x:c r="E1697" t="str">
        <x:f>'Release Gates'!I1657</x:f>
        <x:v>OPEN</x:v>
      </x:c>
      <x:c r="F1697" t="str">
        <x:f>IF('Release Gates'!C1657="PLANNING","PASS",IF('Release Gates'!C1657="PHYSICAL","OPEN","BLOCKED"))</x:f>
        <x:v>OPEN</x:v>
      </x:c>
      <x:c r="G1697" t="str">
        <x:v>equals</x:v>
      </x:c>
      <x:c r="H1697" t="str">
        <x:f>IF(E1697=F1697,"PASS","FAIL")</x:f>
        <x:v>PASS</x:v>
      </x:c>
    </x:row>
    <x:row r="1698">
      <x:c r="B1698" t="str">
        <x:v>A-01652</x:v>
      </x:c>
      <x:c r="C1698" t="str">
        <x:v>GATE</x:v>
      </x:c>
      <x:c r="D1698" t="str">
        <x:v>release state mirrors governing ledger</x:v>
      </x:c>
      <x:c r="E1698" t="str">
        <x:f>'Release Gates'!I1658</x:f>
        <x:v>OPEN</x:v>
      </x:c>
      <x:c r="F1698" t="str">
        <x:f>IF('Release Gates'!C1658="PLANNING","PASS",IF('Release Gates'!C1658="PHYSICAL","OPEN","BLOCKED"))</x:f>
        <x:v>OPEN</x:v>
      </x:c>
      <x:c r="G1698" t="str">
        <x:v>equals</x:v>
      </x:c>
      <x:c r="H1698" t="str">
        <x:f>IF(E1698=F1698,"PASS","FAIL")</x:f>
        <x:v>PASS</x:v>
      </x:c>
    </x:row>
    <x:row r="1699">
      <x:c r="B1699" t="str">
        <x:v>A-01653</x:v>
      </x:c>
      <x:c r="C1699" t="str">
        <x:v>GATE</x:v>
      </x:c>
      <x:c r="D1699" t="str">
        <x:v>release state mirrors governing ledger</x:v>
      </x:c>
      <x:c r="E1699" t="str">
        <x:f>'Release Gates'!I1659</x:f>
        <x:v>OPEN</x:v>
      </x:c>
      <x:c r="F1699" t="str">
        <x:f>IF('Release Gates'!C1659="PLANNING","PASS",IF('Release Gates'!C1659="PHYSICAL","OPEN","BLOCKED"))</x:f>
        <x:v>OPEN</x:v>
      </x:c>
      <x:c r="G1699" t="str">
        <x:v>equals</x:v>
      </x:c>
      <x:c r="H1699" t="str">
        <x:f>IF(E1699=F1699,"PASS","FAIL")</x:f>
        <x:v>PASS</x:v>
      </x:c>
    </x:row>
    <x:row r="1700">
      <x:c r="B1700" t="str">
        <x:v>A-01654</x:v>
      </x:c>
      <x:c r="C1700" t="str">
        <x:v>GATE</x:v>
      </x:c>
      <x:c r="D1700" t="str">
        <x:v>release state mirrors governing ledger</x:v>
      </x:c>
      <x:c r="E1700" t="str">
        <x:f>'Release Gates'!I1660</x:f>
        <x:v>OPEN</x:v>
      </x:c>
      <x:c r="F1700" t="str">
        <x:f>IF('Release Gates'!C1660="PLANNING","PASS",IF('Release Gates'!C1660="PHYSICAL","OPEN","BLOCKED"))</x:f>
        <x:v>OPEN</x:v>
      </x:c>
      <x:c r="G1700" t="str">
        <x:v>equals</x:v>
      </x:c>
      <x:c r="H1700" t="str">
        <x:f>IF(E1700=F1700,"PASS","FAIL")</x:f>
        <x:v>PASS</x:v>
      </x:c>
    </x:row>
    <x:row r="1701">
      <x:c r="B1701" t="str">
        <x:v>A-01655</x:v>
      </x:c>
      <x:c r="C1701" t="str">
        <x:v>GATE</x:v>
      </x:c>
      <x:c r="D1701" t="str">
        <x:v>release state mirrors governing ledger</x:v>
      </x:c>
      <x:c r="E1701" t="str">
        <x:f>'Release Gates'!I1661</x:f>
        <x:v>OPEN</x:v>
      </x:c>
      <x:c r="F1701" t="str">
        <x:f>IF('Release Gates'!C1661="PLANNING","PASS",IF('Release Gates'!C1661="PHYSICAL","OPEN","BLOCKED"))</x:f>
        <x:v>OPEN</x:v>
      </x:c>
      <x:c r="G1701" t="str">
        <x:v>equals</x:v>
      </x:c>
      <x:c r="H1701" t="str">
        <x:f>IF(E1701=F1701,"PASS","FAIL")</x:f>
        <x:v>PASS</x:v>
      </x:c>
    </x:row>
    <x:row r="1702">
      <x:c r="B1702" t="str">
        <x:v>A-01656</x:v>
      </x:c>
      <x:c r="C1702" t="str">
        <x:v>GATE</x:v>
      </x:c>
      <x:c r="D1702" t="str">
        <x:v>release state mirrors governing ledger</x:v>
      </x:c>
      <x:c r="E1702" t="str">
        <x:f>'Release Gates'!I1662</x:f>
        <x:v>OPEN</x:v>
      </x:c>
      <x:c r="F1702" t="str">
        <x:f>IF('Release Gates'!C1662="PLANNING","PASS",IF('Release Gates'!C1662="PHYSICAL","OPEN","BLOCKED"))</x:f>
        <x:v>OPEN</x:v>
      </x:c>
      <x:c r="G1702" t="str">
        <x:v>equals</x:v>
      </x:c>
      <x:c r="H1702" t="str">
        <x:f>IF(E1702=F1702,"PASS","FAIL")</x:f>
        <x:v>PASS</x:v>
      </x:c>
    </x:row>
    <x:row r="1703">
      <x:c r="B1703" t="str">
        <x:v>A-01657</x:v>
      </x:c>
      <x:c r="C1703" t="str">
        <x:v>GATE</x:v>
      </x:c>
      <x:c r="D1703" t="str">
        <x:v>release state mirrors governing ledger</x:v>
      </x:c>
      <x:c r="E1703" t="str">
        <x:f>'Release Gates'!I1663</x:f>
        <x:v>OPEN</x:v>
      </x:c>
      <x:c r="F1703" t="str">
        <x:f>IF('Release Gates'!C1663="PLANNING","PASS",IF('Release Gates'!C1663="PHYSICAL","OPEN","BLOCKED"))</x:f>
        <x:v>OPEN</x:v>
      </x:c>
      <x:c r="G1703" t="str">
        <x:v>equals</x:v>
      </x:c>
      <x:c r="H1703" t="str">
        <x:f>IF(E1703=F1703,"PASS","FAIL")</x:f>
        <x:v>PASS</x:v>
      </x:c>
    </x:row>
    <x:row r="1704">
      <x:c r="B1704" t="str">
        <x:v>A-01658</x:v>
      </x:c>
      <x:c r="C1704" t="str">
        <x:v>GATE</x:v>
      </x:c>
      <x:c r="D1704" t="str">
        <x:v>release state mirrors governing ledger</x:v>
      </x:c>
      <x:c r="E1704" t="str">
        <x:f>'Release Gates'!I1664</x:f>
        <x:v>OPEN</x:v>
      </x:c>
      <x:c r="F1704" t="str">
        <x:f>IF('Release Gates'!C1664="PLANNING","PASS",IF('Release Gates'!C1664="PHYSICAL","OPEN","BLOCKED"))</x:f>
        <x:v>OPEN</x:v>
      </x:c>
      <x:c r="G1704" t="str">
        <x:v>equals</x:v>
      </x:c>
      <x:c r="H1704" t="str">
        <x:f>IF(E1704=F1704,"PASS","FAIL")</x:f>
        <x:v>PASS</x:v>
      </x:c>
    </x:row>
    <x:row r="1705">
      <x:c r="B1705" t="str">
        <x:v>A-01659</x:v>
      </x:c>
      <x:c r="C1705" t="str">
        <x:v>GATE</x:v>
      </x:c>
      <x:c r="D1705" t="str">
        <x:v>release state mirrors governing ledger</x:v>
      </x:c>
      <x:c r="E1705" t="str">
        <x:f>'Release Gates'!I1665</x:f>
        <x:v>OPEN</x:v>
      </x:c>
      <x:c r="F1705" t="str">
        <x:f>IF('Release Gates'!C1665="PLANNING","PASS",IF('Release Gates'!C1665="PHYSICAL","OPEN","BLOCKED"))</x:f>
        <x:v>OPEN</x:v>
      </x:c>
      <x:c r="G1705" t="str">
        <x:v>equals</x:v>
      </x:c>
      <x:c r="H1705" t="str">
        <x:f>IF(E1705=F1705,"PASS","FAIL")</x:f>
        <x:v>PASS</x:v>
      </x:c>
    </x:row>
    <x:row r="1706">
      <x:c r="B1706" t="str">
        <x:v>A-01660</x:v>
      </x:c>
      <x:c r="C1706" t="str">
        <x:v>GATE</x:v>
      </x:c>
      <x:c r="D1706" t="str">
        <x:v>release state mirrors governing ledger</x:v>
      </x:c>
      <x:c r="E1706" t="str">
        <x:f>'Release Gates'!I1666</x:f>
        <x:v>OPEN</x:v>
      </x:c>
      <x:c r="F1706" t="str">
        <x:f>IF('Release Gates'!C1666="PLANNING","PASS",IF('Release Gates'!C1666="PHYSICAL","OPEN","BLOCKED"))</x:f>
        <x:v>OPEN</x:v>
      </x:c>
      <x:c r="G1706" t="str">
        <x:v>equals</x:v>
      </x:c>
      <x:c r="H1706" t="str">
        <x:f>IF(E1706=F1706,"PASS","FAIL")</x:f>
        <x:v>PASS</x:v>
      </x:c>
    </x:row>
    <x:row r="1707">
      <x:c r="B1707" t="str">
        <x:v>A-01661</x:v>
      </x:c>
      <x:c r="C1707" t="str">
        <x:v>GATE</x:v>
      </x:c>
      <x:c r="D1707" t="str">
        <x:v>release state mirrors governing ledger</x:v>
      </x:c>
      <x:c r="E1707" t="str">
        <x:f>'Release Gates'!I1667</x:f>
        <x:v>OPEN</x:v>
      </x:c>
      <x:c r="F1707" t="str">
        <x:f>IF('Release Gates'!C1667="PLANNING","PASS",IF('Release Gates'!C1667="PHYSICAL","OPEN","BLOCKED"))</x:f>
        <x:v>OPEN</x:v>
      </x:c>
      <x:c r="G1707" t="str">
        <x:v>equals</x:v>
      </x:c>
      <x:c r="H1707" t="str">
        <x:f>IF(E1707=F1707,"PASS","FAIL")</x:f>
        <x:v>PASS</x:v>
      </x:c>
    </x:row>
    <x:row r="1708">
      <x:c r="B1708" t="str">
        <x:v>A-01662</x:v>
      </x:c>
      <x:c r="C1708" t="str">
        <x:v>GATE</x:v>
      </x:c>
      <x:c r="D1708" t="str">
        <x:v>release state mirrors governing ledger</x:v>
      </x:c>
      <x:c r="E1708" t="str">
        <x:f>'Release Gates'!I1668</x:f>
        <x:v>OPEN</x:v>
      </x:c>
      <x:c r="F1708" t="str">
        <x:f>IF('Release Gates'!C1668="PLANNING","PASS",IF('Release Gates'!C1668="PHYSICAL","OPEN","BLOCKED"))</x:f>
        <x:v>OPEN</x:v>
      </x:c>
      <x:c r="G1708" t="str">
        <x:v>equals</x:v>
      </x:c>
      <x:c r="H1708" t="str">
        <x:f>IF(E1708=F1708,"PASS","FAIL")</x:f>
        <x:v>PASS</x:v>
      </x:c>
    </x:row>
    <x:row r="1709">
      <x:c r="B1709" t="str">
        <x:v>A-01663</x:v>
      </x:c>
      <x:c r="C1709" t="str">
        <x:v>GATE</x:v>
      </x:c>
      <x:c r="D1709" t="str">
        <x:v>release state mirrors governing ledger</x:v>
      </x:c>
      <x:c r="E1709" t="str">
        <x:f>'Release Gates'!I1669</x:f>
        <x:v>OPEN</x:v>
      </x:c>
      <x:c r="F1709" t="str">
        <x:f>IF('Release Gates'!C1669="PLANNING","PASS",IF('Release Gates'!C1669="PHYSICAL","OPEN","BLOCKED"))</x:f>
        <x:v>OPEN</x:v>
      </x:c>
      <x:c r="G1709" t="str">
        <x:v>equals</x:v>
      </x:c>
      <x:c r="H1709" t="str">
        <x:f>IF(E1709=F1709,"PASS","FAIL")</x:f>
        <x:v>PASS</x:v>
      </x:c>
    </x:row>
    <x:row r="1710">
      <x:c r="B1710" t="str">
        <x:v>A-01664</x:v>
      </x:c>
      <x:c r="C1710" t="str">
        <x:v>GATE</x:v>
      </x:c>
      <x:c r="D1710" t="str">
        <x:v>release state mirrors governing ledger</x:v>
      </x:c>
      <x:c r="E1710" t="str">
        <x:f>'Release Gates'!I1670</x:f>
        <x:v>OPEN</x:v>
      </x:c>
      <x:c r="F1710" t="str">
        <x:f>IF('Release Gates'!C1670="PLANNING","PASS",IF('Release Gates'!C1670="PHYSICAL","OPEN","BLOCKED"))</x:f>
        <x:v>OPEN</x:v>
      </x:c>
      <x:c r="G1710" t="str">
        <x:v>equals</x:v>
      </x:c>
      <x:c r="H1710" t="str">
        <x:f>IF(E1710=F1710,"PASS","FAIL")</x:f>
        <x:v>PASS</x:v>
      </x:c>
    </x:row>
    <x:row r="1711">
      <x:c r="B1711" t="str">
        <x:v>A-01665</x:v>
      </x:c>
      <x:c r="C1711" t="str">
        <x:v>GATE</x:v>
      </x:c>
      <x:c r="D1711" t="str">
        <x:v>release state mirrors governing ledger</x:v>
      </x:c>
      <x:c r="E1711" t="str">
        <x:f>'Release Gates'!I1671</x:f>
        <x:v>OPEN</x:v>
      </x:c>
      <x:c r="F1711" t="str">
        <x:f>IF('Release Gates'!C1671="PLANNING","PASS",IF('Release Gates'!C1671="PHYSICAL","OPEN","BLOCKED"))</x:f>
        <x:v>OPEN</x:v>
      </x:c>
      <x:c r="G1711" t="str">
        <x:v>equals</x:v>
      </x:c>
      <x:c r="H1711" t="str">
        <x:f>IF(E1711=F1711,"PASS","FAIL")</x:f>
        <x:v>PASS</x:v>
      </x:c>
    </x:row>
    <x:row r="1712">
      <x:c r="B1712" t="str">
        <x:v>A-01666</x:v>
      </x:c>
      <x:c r="C1712" t="str">
        <x:v>GATE</x:v>
      </x:c>
      <x:c r="D1712" t="str">
        <x:v>release state mirrors governing ledger</x:v>
      </x:c>
      <x:c r="E1712" t="str">
        <x:f>'Release Gates'!I1672</x:f>
        <x:v>OPEN</x:v>
      </x:c>
      <x:c r="F1712" t="str">
        <x:f>IF('Release Gates'!C1672="PLANNING","PASS",IF('Release Gates'!C1672="PHYSICAL","OPEN","BLOCKED"))</x:f>
        <x:v>OPEN</x:v>
      </x:c>
      <x:c r="G1712" t="str">
        <x:v>equals</x:v>
      </x:c>
      <x:c r="H1712" t="str">
        <x:f>IF(E1712=F1712,"PASS","FAIL")</x:f>
        <x:v>PASS</x:v>
      </x:c>
    </x:row>
    <x:row r="1713">
      <x:c r="B1713" t="str">
        <x:v>A-01667</x:v>
      </x:c>
      <x:c r="C1713" t="str">
        <x:v>GATE</x:v>
      </x:c>
      <x:c r="D1713" t="str">
        <x:v>release state mirrors governing ledger</x:v>
      </x:c>
      <x:c r="E1713" t="str">
        <x:f>'Release Gates'!I1673</x:f>
        <x:v>OPEN</x:v>
      </x:c>
      <x:c r="F1713" t="str">
        <x:f>IF('Release Gates'!C1673="PLANNING","PASS",IF('Release Gates'!C1673="PHYSICAL","OPEN","BLOCKED"))</x:f>
        <x:v>OPEN</x:v>
      </x:c>
      <x:c r="G1713" t="str">
        <x:v>equals</x:v>
      </x:c>
      <x:c r="H1713" t="str">
        <x:f>IF(E1713=F1713,"PASS","FAIL")</x:f>
        <x:v>PASS</x:v>
      </x:c>
    </x:row>
    <x:row r="1714">
      <x:c r="B1714" t="str">
        <x:v>A-01668</x:v>
      </x:c>
      <x:c r="C1714" t="str">
        <x:v>GATE</x:v>
      </x:c>
      <x:c r="D1714" t="str">
        <x:v>release state mirrors governing ledger</x:v>
      </x:c>
      <x:c r="E1714" t="str">
        <x:f>'Release Gates'!I1674</x:f>
        <x:v>OPEN</x:v>
      </x:c>
      <x:c r="F1714" t="str">
        <x:f>IF('Release Gates'!C1674="PLANNING","PASS",IF('Release Gates'!C1674="PHYSICAL","OPEN","BLOCKED"))</x:f>
        <x:v>OPEN</x:v>
      </x:c>
      <x:c r="G1714" t="str">
        <x:v>equals</x:v>
      </x:c>
      <x:c r="H1714" t="str">
        <x:f>IF(E1714=F1714,"PASS","FAIL")</x:f>
        <x:v>PASS</x:v>
      </x:c>
    </x:row>
    <x:row r="1715">
      <x:c r="B1715" t="str">
        <x:v>A-01669</x:v>
      </x:c>
      <x:c r="C1715" t="str">
        <x:v>GATE</x:v>
      </x:c>
      <x:c r="D1715" t="str">
        <x:v>release state mirrors governing ledger</x:v>
      </x:c>
      <x:c r="E1715" t="str">
        <x:f>'Release Gates'!I1675</x:f>
        <x:v>OPEN</x:v>
      </x:c>
      <x:c r="F1715" t="str">
        <x:f>IF('Release Gates'!C1675="PLANNING","PASS",IF('Release Gates'!C1675="PHYSICAL","OPEN","BLOCKED"))</x:f>
        <x:v>OPEN</x:v>
      </x:c>
      <x:c r="G1715" t="str">
        <x:v>equals</x:v>
      </x:c>
      <x:c r="H1715" t="str">
        <x:f>IF(E1715=F1715,"PASS","FAIL")</x:f>
        <x:v>PASS</x:v>
      </x:c>
    </x:row>
    <x:row r="1716">
      <x:c r="B1716" t="str">
        <x:v>A-01670</x:v>
      </x:c>
      <x:c r="C1716" t="str">
        <x:v>GATE</x:v>
      </x:c>
      <x:c r="D1716" t="str">
        <x:v>release state mirrors governing ledger</x:v>
      </x:c>
      <x:c r="E1716" t="str">
        <x:f>'Release Gates'!I1676</x:f>
        <x:v>OPEN</x:v>
      </x:c>
      <x:c r="F1716" t="str">
        <x:f>IF('Release Gates'!C1676="PLANNING","PASS",IF('Release Gates'!C1676="PHYSICAL","OPEN","BLOCKED"))</x:f>
        <x:v>OPEN</x:v>
      </x:c>
      <x:c r="G1716" t="str">
        <x:v>equals</x:v>
      </x:c>
      <x:c r="H1716" t="str">
        <x:f>IF(E1716=F1716,"PASS","FAIL")</x:f>
        <x:v>PASS</x:v>
      </x:c>
    </x:row>
    <x:row r="1717">
      <x:c r="B1717" t="str">
        <x:v>A-01671</x:v>
      </x:c>
      <x:c r="C1717" t="str">
        <x:v>GATE</x:v>
      </x:c>
      <x:c r="D1717" t="str">
        <x:v>release state mirrors governing ledger</x:v>
      </x:c>
      <x:c r="E1717" t="str">
        <x:f>'Release Gates'!I1677</x:f>
        <x:v>OPEN</x:v>
      </x:c>
      <x:c r="F1717" t="str">
        <x:f>IF('Release Gates'!C1677="PLANNING","PASS",IF('Release Gates'!C1677="PHYSICAL","OPEN","BLOCKED"))</x:f>
        <x:v>OPEN</x:v>
      </x:c>
      <x:c r="G1717" t="str">
        <x:v>equals</x:v>
      </x:c>
      <x:c r="H1717" t="str">
        <x:f>IF(E1717=F1717,"PASS","FAIL")</x:f>
        <x:v>PASS</x:v>
      </x:c>
    </x:row>
    <x:row r="1718">
      <x:c r="B1718" t="str">
        <x:v>A-01672</x:v>
      </x:c>
      <x:c r="C1718" t="str">
        <x:v>GATE</x:v>
      </x:c>
      <x:c r="D1718" t="str">
        <x:v>release state mirrors governing ledger</x:v>
      </x:c>
      <x:c r="E1718" t="str">
        <x:f>'Release Gates'!I1678</x:f>
        <x:v>OPEN</x:v>
      </x:c>
      <x:c r="F1718" t="str">
        <x:f>IF('Release Gates'!C1678="PLANNING","PASS",IF('Release Gates'!C1678="PHYSICAL","OPEN","BLOCKED"))</x:f>
        <x:v>OPEN</x:v>
      </x:c>
      <x:c r="G1718" t="str">
        <x:v>equals</x:v>
      </x:c>
      <x:c r="H1718" t="str">
        <x:f>IF(E1718=F1718,"PASS","FAIL")</x:f>
        <x:v>PASS</x:v>
      </x:c>
    </x:row>
    <x:row r="1719">
      <x:c r="B1719" t="str">
        <x:v>A-01673</x:v>
      </x:c>
      <x:c r="C1719" t="str">
        <x:v>GATE</x:v>
      </x:c>
      <x:c r="D1719" t="str">
        <x:v>release state mirrors governing ledger</x:v>
      </x:c>
      <x:c r="E1719" t="str">
        <x:f>'Release Gates'!I1679</x:f>
        <x:v>OPEN</x:v>
      </x:c>
      <x:c r="F1719" t="str">
        <x:f>IF('Release Gates'!C1679="PLANNING","PASS",IF('Release Gates'!C1679="PHYSICAL","OPEN","BLOCKED"))</x:f>
        <x:v>OPEN</x:v>
      </x:c>
      <x:c r="G1719" t="str">
        <x:v>equals</x:v>
      </x:c>
      <x:c r="H1719" t="str">
        <x:f>IF(E1719=F1719,"PASS","FAIL")</x:f>
        <x:v>PASS</x:v>
      </x:c>
    </x:row>
    <x:row r="1720">
      <x:c r="B1720" t="str">
        <x:v>A-01674</x:v>
      </x:c>
      <x:c r="C1720" t="str">
        <x:v>GATE</x:v>
      </x:c>
      <x:c r="D1720" t="str">
        <x:v>release state mirrors governing ledger</x:v>
      </x:c>
      <x:c r="E1720" t="str">
        <x:f>'Release Gates'!I1680</x:f>
        <x:v>OPEN</x:v>
      </x:c>
      <x:c r="F1720" t="str">
        <x:f>IF('Release Gates'!C1680="PLANNING","PASS",IF('Release Gates'!C1680="PHYSICAL","OPEN","BLOCKED"))</x:f>
        <x:v>OPEN</x:v>
      </x:c>
      <x:c r="G1720" t="str">
        <x:v>equals</x:v>
      </x:c>
      <x:c r="H1720" t="str">
        <x:f>IF(E1720=F1720,"PASS","FAIL")</x:f>
        <x:v>PASS</x:v>
      </x:c>
    </x:row>
    <x:row r="1721">
      <x:c r="B1721" t="str">
        <x:v>A-01675</x:v>
      </x:c>
      <x:c r="C1721" t="str">
        <x:v>GATE</x:v>
      </x:c>
      <x:c r="D1721" t="str">
        <x:v>release state mirrors governing ledger</x:v>
      </x:c>
      <x:c r="E1721" t="str">
        <x:f>'Release Gates'!I1681</x:f>
        <x:v>OPEN</x:v>
      </x:c>
      <x:c r="F1721" t="str">
        <x:f>IF('Release Gates'!C1681="PLANNING","PASS",IF('Release Gates'!C1681="PHYSICAL","OPEN","BLOCKED"))</x:f>
        <x:v>OPEN</x:v>
      </x:c>
      <x:c r="G1721" t="str">
        <x:v>equals</x:v>
      </x:c>
      <x:c r="H1721" t="str">
        <x:f>IF(E1721=F1721,"PASS","FAIL")</x:f>
        <x:v>PASS</x:v>
      </x:c>
    </x:row>
    <x:row r="1722">
      <x:c r="B1722" t="str">
        <x:v>A-01676</x:v>
      </x:c>
      <x:c r="C1722" t="str">
        <x:v>GATE</x:v>
      </x:c>
      <x:c r="D1722" t="str">
        <x:v>release state mirrors governing ledger</x:v>
      </x:c>
      <x:c r="E1722" t="str">
        <x:f>'Release Gates'!I1682</x:f>
        <x:v>OPEN</x:v>
      </x:c>
      <x:c r="F1722" t="str">
        <x:f>IF('Release Gates'!C1682="PLANNING","PASS",IF('Release Gates'!C1682="PHYSICAL","OPEN","BLOCKED"))</x:f>
        <x:v>OPEN</x:v>
      </x:c>
      <x:c r="G1722" t="str">
        <x:v>equals</x:v>
      </x:c>
      <x:c r="H1722" t="str">
        <x:f>IF(E1722=F1722,"PASS","FAIL")</x:f>
        <x:v>PASS</x:v>
      </x:c>
    </x:row>
    <x:row r="1723">
      <x:c r="B1723" t="str">
        <x:v>A-01677</x:v>
      </x:c>
      <x:c r="C1723" t="str">
        <x:v>GATE</x:v>
      </x:c>
      <x:c r="D1723" t="str">
        <x:v>release state mirrors governing ledger</x:v>
      </x:c>
      <x:c r="E1723" t="str">
        <x:f>'Release Gates'!I1683</x:f>
        <x:v>OPEN</x:v>
      </x:c>
      <x:c r="F1723" t="str">
        <x:f>IF('Release Gates'!C1683="PLANNING","PASS",IF('Release Gates'!C1683="PHYSICAL","OPEN","BLOCKED"))</x:f>
        <x:v>OPEN</x:v>
      </x:c>
      <x:c r="G1723" t="str">
        <x:v>equals</x:v>
      </x:c>
      <x:c r="H1723" t="str">
        <x:f>IF(E1723=F1723,"PASS","FAIL")</x:f>
        <x:v>PASS</x:v>
      </x:c>
    </x:row>
    <x:row r="1724">
      <x:c r="B1724" t="str">
        <x:v>A-01678</x:v>
      </x:c>
      <x:c r="C1724" t="str">
        <x:v>GATE</x:v>
      </x:c>
      <x:c r="D1724" t="str">
        <x:v>release state mirrors governing ledger</x:v>
      </x:c>
      <x:c r="E1724" t="str">
        <x:f>'Release Gates'!I1684</x:f>
        <x:v>OPEN</x:v>
      </x:c>
      <x:c r="F1724" t="str">
        <x:f>IF('Release Gates'!C1684="PLANNING","PASS",IF('Release Gates'!C1684="PHYSICAL","OPEN","BLOCKED"))</x:f>
        <x:v>OPEN</x:v>
      </x:c>
      <x:c r="G1724" t="str">
        <x:v>equals</x:v>
      </x:c>
      <x:c r="H1724" t="str">
        <x:f>IF(E1724=F1724,"PASS","FAIL")</x:f>
        <x:v>PASS</x:v>
      </x:c>
    </x:row>
    <x:row r="1725">
      <x:c r="B1725" t="str">
        <x:v>A-01679</x:v>
      </x:c>
      <x:c r="C1725" t="str">
        <x:v>GATE</x:v>
      </x:c>
      <x:c r="D1725" t="str">
        <x:v>release state mirrors governing ledger</x:v>
      </x:c>
      <x:c r="E1725" t="str">
        <x:f>'Release Gates'!I1685</x:f>
        <x:v>OPEN</x:v>
      </x:c>
      <x:c r="F1725" t="str">
        <x:f>IF('Release Gates'!C1685="PLANNING","PASS",IF('Release Gates'!C1685="PHYSICAL","OPEN","BLOCKED"))</x:f>
        <x:v>OPEN</x:v>
      </x:c>
      <x:c r="G1725" t="str">
        <x:v>equals</x:v>
      </x:c>
      <x:c r="H1725" t="str">
        <x:f>IF(E1725=F1725,"PASS","FAIL")</x:f>
        <x:v>PASS</x:v>
      </x:c>
    </x:row>
    <x:row r="1726">
      <x:c r="B1726" t="str">
        <x:v>A-01680</x:v>
      </x:c>
      <x:c r="C1726" t="str">
        <x:v>GATE</x:v>
      </x:c>
      <x:c r="D1726" t="str">
        <x:v>release state mirrors governing ledger</x:v>
      </x:c>
      <x:c r="E1726" t="str">
        <x:f>'Release Gates'!I1686</x:f>
        <x:v>OPEN</x:v>
      </x:c>
      <x:c r="F1726" t="str">
        <x:f>IF('Release Gates'!C1686="PLANNING","PASS",IF('Release Gates'!C1686="PHYSICAL","OPEN","BLOCKED"))</x:f>
        <x:v>OPEN</x:v>
      </x:c>
      <x:c r="G1726" t="str">
        <x:v>equals</x:v>
      </x:c>
      <x:c r="H1726" t="str">
        <x:f>IF(E1726=F1726,"PASS","FAIL")</x:f>
        <x:v>PASS</x:v>
      </x:c>
    </x:row>
    <x:row r="1727">
      <x:c r="B1727" t="str">
        <x:v>A-01681</x:v>
      </x:c>
      <x:c r="C1727" t="str">
        <x:v>GATE</x:v>
      </x:c>
      <x:c r="D1727" t="str">
        <x:v>release state mirrors governing ledger</x:v>
      </x:c>
      <x:c r="E1727" t="str">
        <x:f>'Release Gates'!I1687</x:f>
        <x:v>OPEN</x:v>
      </x:c>
      <x:c r="F1727" t="str">
        <x:f>IF('Release Gates'!C1687="PLANNING","PASS",IF('Release Gates'!C1687="PHYSICAL","OPEN","BLOCKED"))</x:f>
        <x:v>OPEN</x:v>
      </x:c>
      <x:c r="G1727" t="str">
        <x:v>equals</x:v>
      </x:c>
      <x:c r="H1727" t="str">
        <x:f>IF(E1727=F1727,"PASS","FAIL")</x:f>
        <x:v>PASS</x:v>
      </x:c>
    </x:row>
    <x:row r="1728">
      <x:c r="B1728" t="str">
        <x:v>A-01682</x:v>
      </x:c>
      <x:c r="C1728" t="str">
        <x:v>GATE</x:v>
      </x:c>
      <x:c r="D1728" t="str">
        <x:v>release state mirrors governing ledger</x:v>
      </x:c>
      <x:c r="E1728" t="str">
        <x:f>'Release Gates'!I1688</x:f>
        <x:v>OPEN</x:v>
      </x:c>
      <x:c r="F1728" t="str">
        <x:f>IF('Release Gates'!C1688="PLANNING","PASS",IF('Release Gates'!C1688="PHYSICAL","OPEN","BLOCKED"))</x:f>
        <x:v>OPEN</x:v>
      </x:c>
      <x:c r="G1728" t="str">
        <x:v>equals</x:v>
      </x:c>
      <x:c r="H1728" t="str">
        <x:f>IF(E1728=F1728,"PASS","FAIL")</x:f>
        <x:v>PASS</x:v>
      </x:c>
    </x:row>
    <x:row r="1729">
      <x:c r="B1729" t="str">
        <x:v>A-01683</x:v>
      </x:c>
      <x:c r="C1729" t="str">
        <x:v>GATE</x:v>
      </x:c>
      <x:c r="D1729" t="str">
        <x:v>release state mirrors governing ledger</x:v>
      </x:c>
      <x:c r="E1729" t="str">
        <x:f>'Release Gates'!I1689</x:f>
        <x:v>OPEN</x:v>
      </x:c>
      <x:c r="F1729" t="str">
        <x:f>IF('Release Gates'!C1689="PLANNING","PASS",IF('Release Gates'!C1689="PHYSICAL","OPEN","BLOCKED"))</x:f>
        <x:v>OPEN</x:v>
      </x:c>
      <x:c r="G1729" t="str">
        <x:v>equals</x:v>
      </x:c>
      <x:c r="H1729" t="str">
        <x:f>IF(E1729=F1729,"PASS","FAIL")</x:f>
        <x:v>PASS</x:v>
      </x:c>
    </x:row>
    <x:row r="1730">
      <x:c r="B1730" t="str">
        <x:v>A-01684</x:v>
      </x:c>
      <x:c r="C1730" t="str">
        <x:v>GATE</x:v>
      </x:c>
      <x:c r="D1730" t="str">
        <x:v>release state mirrors governing ledger</x:v>
      </x:c>
      <x:c r="E1730" t="str">
        <x:f>'Release Gates'!I1690</x:f>
        <x:v>OPEN</x:v>
      </x:c>
      <x:c r="F1730" t="str">
        <x:f>IF('Release Gates'!C1690="PLANNING","PASS",IF('Release Gates'!C1690="PHYSICAL","OPEN","BLOCKED"))</x:f>
        <x:v>OPEN</x:v>
      </x:c>
      <x:c r="G1730" t="str">
        <x:v>equals</x:v>
      </x:c>
      <x:c r="H1730" t="str">
        <x:f>IF(E1730=F1730,"PASS","FAIL")</x:f>
        <x:v>PASS</x:v>
      </x:c>
    </x:row>
    <x:row r="1731">
      <x:c r="B1731" t="str">
        <x:v>A-01685</x:v>
      </x:c>
      <x:c r="C1731" t="str">
        <x:v>GATE</x:v>
      </x:c>
      <x:c r="D1731" t="str">
        <x:v>release state mirrors governing ledger</x:v>
      </x:c>
      <x:c r="E1731" t="str">
        <x:f>'Release Gates'!I1691</x:f>
        <x:v>OPEN</x:v>
      </x:c>
      <x:c r="F1731" t="str">
        <x:f>IF('Release Gates'!C1691="PLANNING","PASS",IF('Release Gates'!C1691="PHYSICAL","OPEN","BLOCKED"))</x:f>
        <x:v>OPEN</x:v>
      </x:c>
      <x:c r="G1731" t="str">
        <x:v>equals</x:v>
      </x:c>
      <x:c r="H1731" t="str">
        <x:f>IF(E1731=F1731,"PASS","FAIL")</x:f>
        <x:v>PASS</x:v>
      </x:c>
    </x:row>
    <x:row r="1732">
      <x:c r="B1732" t="str">
        <x:v>A-01686</x:v>
      </x:c>
      <x:c r="C1732" t="str">
        <x:v>GATE</x:v>
      </x:c>
      <x:c r="D1732" t="str">
        <x:v>release state mirrors governing ledger</x:v>
      </x:c>
      <x:c r="E1732" t="str">
        <x:f>'Release Gates'!I1692</x:f>
        <x:v>OPEN</x:v>
      </x:c>
      <x:c r="F1732" t="str">
        <x:f>IF('Release Gates'!C1692="PLANNING","PASS",IF('Release Gates'!C1692="PHYSICAL","OPEN","BLOCKED"))</x:f>
        <x:v>OPEN</x:v>
      </x:c>
      <x:c r="G1732" t="str">
        <x:v>equals</x:v>
      </x:c>
      <x:c r="H1732" t="str">
        <x:f>IF(E1732=F1732,"PASS","FAIL")</x:f>
        <x:v>PASS</x:v>
      </x:c>
    </x:row>
    <x:row r="1733">
      <x:c r="B1733" t="str">
        <x:v>A-01687</x:v>
      </x:c>
      <x:c r="C1733" t="str">
        <x:v>GATE</x:v>
      </x:c>
      <x:c r="D1733" t="str">
        <x:v>release state mirrors governing ledger</x:v>
      </x:c>
      <x:c r="E1733" t="str">
        <x:f>'Release Gates'!I1693</x:f>
        <x:v>OPEN</x:v>
      </x:c>
      <x:c r="F1733" t="str">
        <x:f>IF('Release Gates'!C1693="PLANNING","PASS",IF('Release Gates'!C1693="PHYSICAL","OPEN","BLOCKED"))</x:f>
        <x:v>OPEN</x:v>
      </x:c>
      <x:c r="G1733" t="str">
        <x:v>equals</x:v>
      </x:c>
      <x:c r="H1733" t="str">
        <x:f>IF(E1733=F1733,"PASS","FAIL")</x:f>
        <x:v>PASS</x:v>
      </x:c>
    </x:row>
    <x:row r="1734">
      <x:c r="B1734" t="str">
        <x:v>A-01688</x:v>
      </x:c>
      <x:c r="C1734" t="str">
        <x:v>GATE</x:v>
      </x:c>
      <x:c r="D1734" t="str">
        <x:v>release state mirrors governing ledger</x:v>
      </x:c>
      <x:c r="E1734" t="str">
        <x:f>'Release Gates'!I1694</x:f>
        <x:v>OPEN</x:v>
      </x:c>
      <x:c r="F1734" t="str">
        <x:f>IF('Release Gates'!C1694="PLANNING","PASS",IF('Release Gates'!C1694="PHYSICAL","OPEN","BLOCKED"))</x:f>
        <x:v>OPEN</x:v>
      </x:c>
      <x:c r="G1734" t="str">
        <x:v>equals</x:v>
      </x:c>
      <x:c r="H1734" t="str">
        <x:f>IF(E1734=F1734,"PASS","FAIL")</x:f>
        <x:v>PASS</x:v>
      </x:c>
    </x:row>
    <x:row r="1735">
      <x:c r="B1735" t="str">
        <x:v>A-01689</x:v>
      </x:c>
      <x:c r="C1735" t="str">
        <x:v>GATE</x:v>
      </x:c>
      <x:c r="D1735" t="str">
        <x:v>release state mirrors governing ledger</x:v>
      </x:c>
      <x:c r="E1735" t="str">
        <x:f>'Release Gates'!I1695</x:f>
        <x:v>OPEN</x:v>
      </x:c>
      <x:c r="F1735" t="str">
        <x:f>IF('Release Gates'!C1695="PLANNING","PASS",IF('Release Gates'!C1695="PHYSICAL","OPEN","BLOCKED"))</x:f>
        <x:v>OPEN</x:v>
      </x:c>
      <x:c r="G1735" t="str">
        <x:v>equals</x:v>
      </x:c>
      <x:c r="H1735" t="str">
        <x:f>IF(E1735=F1735,"PASS","FAIL")</x:f>
        <x:v>PASS</x:v>
      </x:c>
    </x:row>
    <x:row r="1736">
      <x:c r="B1736" t="str">
        <x:v>A-01690</x:v>
      </x:c>
      <x:c r="C1736" t="str">
        <x:v>GATE</x:v>
      </x:c>
      <x:c r="D1736" t="str">
        <x:v>release state mirrors governing ledger</x:v>
      </x:c>
      <x:c r="E1736" t="str">
        <x:f>'Release Gates'!I1696</x:f>
        <x:v>OPEN</x:v>
      </x:c>
      <x:c r="F1736" t="str">
        <x:f>IF('Release Gates'!C1696="PLANNING","PASS",IF('Release Gates'!C1696="PHYSICAL","OPEN","BLOCKED"))</x:f>
        <x:v>OPEN</x:v>
      </x:c>
      <x:c r="G1736" t="str">
        <x:v>equals</x:v>
      </x:c>
      <x:c r="H1736" t="str">
        <x:f>IF(E1736=F1736,"PASS","FAIL")</x:f>
        <x:v>PASS</x:v>
      </x:c>
    </x:row>
    <x:row r="1737">
      <x:c r="B1737" t="str">
        <x:v>A-01691</x:v>
      </x:c>
      <x:c r="C1737" t="str">
        <x:v>GATE</x:v>
      </x:c>
      <x:c r="D1737" t="str">
        <x:v>release state mirrors governing ledger</x:v>
      </x:c>
      <x:c r="E1737" t="str">
        <x:f>'Release Gates'!I1697</x:f>
        <x:v>OPEN</x:v>
      </x:c>
      <x:c r="F1737" t="str">
        <x:f>IF('Release Gates'!C1697="PLANNING","PASS",IF('Release Gates'!C1697="PHYSICAL","OPEN","BLOCKED"))</x:f>
        <x:v>OPEN</x:v>
      </x:c>
      <x:c r="G1737" t="str">
        <x:v>equals</x:v>
      </x:c>
      <x:c r="H1737" t="str">
        <x:f>IF(E1737=F1737,"PASS","FAIL")</x:f>
        <x:v>PASS</x:v>
      </x:c>
    </x:row>
    <x:row r="1738">
      <x:c r="B1738" t="str">
        <x:v>A-01692</x:v>
      </x:c>
      <x:c r="C1738" t="str">
        <x:v>GATE</x:v>
      </x:c>
      <x:c r="D1738" t="str">
        <x:v>release state mirrors governing ledger</x:v>
      </x:c>
      <x:c r="E1738" t="str">
        <x:f>'Release Gates'!I1698</x:f>
        <x:v>OPEN</x:v>
      </x:c>
      <x:c r="F1738" t="str">
        <x:f>IF('Release Gates'!C1698="PLANNING","PASS",IF('Release Gates'!C1698="PHYSICAL","OPEN","BLOCKED"))</x:f>
        <x:v>OPEN</x:v>
      </x:c>
      <x:c r="G1738" t="str">
        <x:v>equals</x:v>
      </x:c>
      <x:c r="H1738" t="str">
        <x:f>IF(E1738=F1738,"PASS","FAIL")</x:f>
        <x:v>PASS</x:v>
      </x:c>
    </x:row>
    <x:row r="1739">
      <x:c r="B1739" t="str">
        <x:v>A-01693</x:v>
      </x:c>
      <x:c r="C1739" t="str">
        <x:v>GATE</x:v>
      </x:c>
      <x:c r="D1739" t="str">
        <x:v>release state mirrors governing ledger</x:v>
      </x:c>
      <x:c r="E1739" t="str">
        <x:f>'Release Gates'!I1699</x:f>
        <x:v>OPEN</x:v>
      </x:c>
      <x:c r="F1739" t="str">
        <x:f>IF('Release Gates'!C1699="PLANNING","PASS",IF('Release Gates'!C1699="PHYSICAL","OPEN","BLOCKED"))</x:f>
        <x:v>OPEN</x:v>
      </x:c>
      <x:c r="G1739" t="str">
        <x:v>equals</x:v>
      </x:c>
      <x:c r="H1739" t="str">
        <x:f>IF(E1739=F1739,"PASS","FAIL")</x:f>
        <x:v>PASS</x:v>
      </x:c>
    </x:row>
    <x:row r="1740">
      <x:c r="B1740" t="str">
        <x:v>A-01694</x:v>
      </x:c>
      <x:c r="C1740" t="str">
        <x:v>GATE</x:v>
      </x:c>
      <x:c r="D1740" t="str">
        <x:v>release state mirrors governing ledger</x:v>
      </x:c>
      <x:c r="E1740" t="str">
        <x:f>'Release Gates'!I1700</x:f>
        <x:v>OPEN</x:v>
      </x:c>
      <x:c r="F1740" t="str">
        <x:f>IF('Release Gates'!C1700="PLANNING","PASS",IF('Release Gates'!C1700="PHYSICAL","OPEN","BLOCKED"))</x:f>
        <x:v>OPEN</x:v>
      </x:c>
      <x:c r="G1740" t="str">
        <x:v>equals</x:v>
      </x:c>
      <x:c r="H1740" t="str">
        <x:f>IF(E1740=F1740,"PASS","FAIL")</x:f>
        <x:v>PASS</x:v>
      </x:c>
    </x:row>
    <x:row r="1741">
      <x:c r="B1741" t="str">
        <x:v>A-01695</x:v>
      </x:c>
      <x:c r="C1741" t="str">
        <x:v>GATE</x:v>
      </x:c>
      <x:c r="D1741" t="str">
        <x:v>release state mirrors governing ledger</x:v>
      </x:c>
      <x:c r="E1741" t="str">
        <x:f>'Release Gates'!I1701</x:f>
        <x:v>OPEN</x:v>
      </x:c>
      <x:c r="F1741" t="str">
        <x:f>IF('Release Gates'!C1701="PLANNING","PASS",IF('Release Gates'!C1701="PHYSICAL","OPEN","BLOCKED"))</x:f>
        <x:v>OPEN</x:v>
      </x:c>
      <x:c r="G1741" t="str">
        <x:v>equals</x:v>
      </x:c>
      <x:c r="H1741" t="str">
        <x:f>IF(E1741=F1741,"PASS","FAIL")</x:f>
        <x:v>PASS</x:v>
      </x:c>
    </x:row>
    <x:row r="1742">
      <x:c r="B1742" t="str">
        <x:v>A-01696</x:v>
      </x:c>
      <x:c r="C1742" t="str">
        <x:v>GATE</x:v>
      </x:c>
      <x:c r="D1742" t="str">
        <x:v>release state mirrors governing ledger</x:v>
      </x:c>
      <x:c r="E1742" t="str">
        <x:f>'Release Gates'!I1702</x:f>
        <x:v>OPEN</x:v>
      </x:c>
      <x:c r="F1742" t="str">
        <x:f>IF('Release Gates'!C1702="PLANNING","PASS",IF('Release Gates'!C1702="PHYSICAL","OPEN","BLOCKED"))</x:f>
        <x:v>OPEN</x:v>
      </x:c>
      <x:c r="G1742" t="str">
        <x:v>equals</x:v>
      </x:c>
      <x:c r="H1742" t="str">
        <x:f>IF(E1742=F1742,"PASS","FAIL")</x:f>
        <x:v>PASS</x:v>
      </x:c>
    </x:row>
    <x:row r="1743">
      <x:c r="B1743" t="str">
        <x:v>A-01697</x:v>
      </x:c>
      <x:c r="C1743" t="str">
        <x:v>GATE</x:v>
      </x:c>
      <x:c r="D1743" t="str">
        <x:v>release state mirrors governing ledger</x:v>
      </x:c>
      <x:c r="E1743" t="str">
        <x:f>'Release Gates'!I1703</x:f>
        <x:v>OPEN</x:v>
      </x:c>
      <x:c r="F1743" t="str">
        <x:f>IF('Release Gates'!C1703="PLANNING","PASS",IF('Release Gates'!C1703="PHYSICAL","OPEN","BLOCKED"))</x:f>
        <x:v>OPEN</x:v>
      </x:c>
      <x:c r="G1743" t="str">
        <x:v>equals</x:v>
      </x:c>
      <x:c r="H1743" t="str">
        <x:f>IF(E1743=F1743,"PASS","FAIL")</x:f>
        <x:v>PASS</x:v>
      </x:c>
    </x:row>
    <x:row r="1744">
      <x:c r="B1744" t="str">
        <x:v>A-01698</x:v>
      </x:c>
      <x:c r="C1744" t="str">
        <x:v>GATE</x:v>
      </x:c>
      <x:c r="D1744" t="str">
        <x:v>release state mirrors governing ledger</x:v>
      </x:c>
      <x:c r="E1744" t="str">
        <x:f>'Release Gates'!I1704</x:f>
        <x:v>OPEN</x:v>
      </x:c>
      <x:c r="F1744" t="str">
        <x:f>IF('Release Gates'!C1704="PLANNING","PASS",IF('Release Gates'!C1704="PHYSICAL","OPEN","BLOCKED"))</x:f>
        <x:v>OPEN</x:v>
      </x:c>
      <x:c r="G1744" t="str">
        <x:v>equals</x:v>
      </x:c>
      <x:c r="H1744" t="str">
        <x:f>IF(E1744=F1744,"PASS","FAIL")</x:f>
        <x:v>PASS</x:v>
      </x:c>
    </x:row>
    <x:row r="1745">
      <x:c r="B1745" t="str">
        <x:v>A-01699</x:v>
      </x:c>
      <x:c r="C1745" t="str">
        <x:v>GATE</x:v>
      </x:c>
      <x:c r="D1745" t="str">
        <x:v>release state mirrors governing ledger</x:v>
      </x:c>
      <x:c r="E1745" t="str">
        <x:f>'Release Gates'!I1705</x:f>
        <x:v>OPEN</x:v>
      </x:c>
      <x:c r="F1745" t="str">
        <x:f>IF('Release Gates'!C1705="PLANNING","PASS",IF('Release Gates'!C1705="PHYSICAL","OPEN","BLOCKED"))</x:f>
        <x:v>OPEN</x:v>
      </x:c>
      <x:c r="G1745" t="str">
        <x:v>equals</x:v>
      </x:c>
      <x:c r="H1745" t="str">
        <x:f>IF(E1745=F1745,"PASS","FAIL")</x:f>
        <x:v>PASS</x:v>
      </x:c>
    </x:row>
    <x:row r="1746">
      <x:c r="B1746" t="str">
        <x:v>A-01700</x:v>
      </x:c>
      <x:c r="C1746" t="str">
        <x:v>GATE</x:v>
      </x:c>
      <x:c r="D1746" t="str">
        <x:v>release state mirrors governing ledger</x:v>
      </x:c>
      <x:c r="E1746" t="str">
        <x:f>'Release Gates'!I1706</x:f>
        <x:v>OPEN</x:v>
      </x:c>
      <x:c r="F1746" t="str">
        <x:f>IF('Release Gates'!C1706="PLANNING","PASS",IF('Release Gates'!C1706="PHYSICAL","OPEN","BLOCKED"))</x:f>
        <x:v>OPEN</x:v>
      </x:c>
      <x:c r="G1746" t="str">
        <x:v>equals</x:v>
      </x:c>
      <x:c r="H1746" t="str">
        <x:f>IF(E1746=F1746,"PASS","FAIL")</x:f>
        <x:v>PASS</x:v>
      </x:c>
    </x:row>
    <x:row r="1747">
      <x:c r="B1747" t="str">
        <x:v>A-01701</x:v>
      </x:c>
      <x:c r="C1747" t="str">
        <x:v>GATE</x:v>
      </x:c>
      <x:c r="D1747" t="str">
        <x:v>release state mirrors governing ledger</x:v>
      </x:c>
      <x:c r="E1747" t="str">
        <x:f>'Release Gates'!I1707</x:f>
        <x:v>OPEN</x:v>
      </x:c>
      <x:c r="F1747" t="str">
        <x:f>IF('Release Gates'!C1707="PLANNING","PASS",IF('Release Gates'!C1707="PHYSICAL","OPEN","BLOCKED"))</x:f>
        <x:v>OPEN</x:v>
      </x:c>
      <x:c r="G1747" t="str">
        <x:v>equals</x:v>
      </x:c>
      <x:c r="H1747" t="str">
        <x:f>IF(E1747=F1747,"PASS","FAIL")</x:f>
        <x:v>PASS</x:v>
      </x:c>
    </x:row>
    <x:row r="1748">
      <x:c r="B1748" t="str">
        <x:v>A-01702</x:v>
      </x:c>
      <x:c r="C1748" t="str">
        <x:v>GATE</x:v>
      </x:c>
      <x:c r="D1748" t="str">
        <x:v>release state mirrors governing ledger</x:v>
      </x:c>
      <x:c r="E1748" t="str">
        <x:f>'Release Gates'!I1708</x:f>
        <x:v>OPEN</x:v>
      </x:c>
      <x:c r="F1748" t="str">
        <x:f>IF('Release Gates'!C1708="PLANNING","PASS",IF('Release Gates'!C1708="PHYSICAL","OPEN","BLOCKED"))</x:f>
        <x:v>OPEN</x:v>
      </x:c>
      <x:c r="G1748" t="str">
        <x:v>equals</x:v>
      </x:c>
      <x:c r="H1748" t="str">
        <x:f>IF(E1748=F1748,"PASS","FAIL")</x:f>
        <x:v>PASS</x:v>
      </x:c>
    </x:row>
    <x:row r="1749">
      <x:c r="B1749" t="str">
        <x:v>A-01703</x:v>
      </x:c>
      <x:c r="C1749" t="str">
        <x:v>GATE</x:v>
      </x:c>
      <x:c r="D1749" t="str">
        <x:v>release state mirrors governing ledger</x:v>
      </x:c>
      <x:c r="E1749" t="str">
        <x:f>'Release Gates'!I1709</x:f>
        <x:v>OPEN</x:v>
      </x:c>
      <x:c r="F1749" t="str">
        <x:f>IF('Release Gates'!C1709="PLANNING","PASS",IF('Release Gates'!C1709="PHYSICAL","OPEN","BLOCKED"))</x:f>
        <x:v>OPEN</x:v>
      </x:c>
      <x:c r="G1749" t="str">
        <x:v>equals</x:v>
      </x:c>
      <x:c r="H1749" t="str">
        <x:f>IF(E1749=F1749,"PASS","FAIL")</x:f>
        <x:v>PASS</x:v>
      </x:c>
    </x:row>
    <x:row r="1750">
      <x:c r="B1750" t="str">
        <x:v>A-01704</x:v>
      </x:c>
      <x:c r="C1750" t="str">
        <x:v>GATE</x:v>
      </x:c>
      <x:c r="D1750" t="str">
        <x:v>release state mirrors governing ledger</x:v>
      </x:c>
      <x:c r="E1750" t="str">
        <x:f>'Release Gates'!I1710</x:f>
        <x:v>OPEN</x:v>
      </x:c>
      <x:c r="F1750" t="str">
        <x:f>IF('Release Gates'!C1710="PLANNING","PASS",IF('Release Gates'!C1710="PHYSICAL","OPEN","BLOCKED"))</x:f>
        <x:v>OPEN</x:v>
      </x:c>
      <x:c r="G1750" t="str">
        <x:v>equals</x:v>
      </x:c>
      <x:c r="H1750" t="str">
        <x:f>IF(E1750=F1750,"PASS","FAIL")</x:f>
        <x:v>PASS</x:v>
      </x:c>
    </x:row>
    <x:row r="1751">
      <x:c r="B1751" t="str">
        <x:v>A-01705</x:v>
      </x:c>
      <x:c r="C1751" t="str">
        <x:v>GATE</x:v>
      </x:c>
      <x:c r="D1751" t="str">
        <x:v>release state mirrors governing ledger</x:v>
      </x:c>
      <x:c r="E1751" t="str">
        <x:f>'Release Gates'!I1711</x:f>
        <x:v>OPEN</x:v>
      </x:c>
      <x:c r="F1751" t="str">
        <x:f>IF('Release Gates'!C1711="PLANNING","PASS",IF('Release Gates'!C1711="PHYSICAL","OPEN","BLOCKED"))</x:f>
        <x:v>OPEN</x:v>
      </x:c>
      <x:c r="G1751" t="str">
        <x:v>equals</x:v>
      </x:c>
      <x:c r="H1751" t="str">
        <x:f>IF(E1751=F1751,"PASS","FAIL")</x:f>
        <x:v>PASS</x:v>
      </x:c>
    </x:row>
    <x:row r="1752">
      <x:c r="B1752" t="str">
        <x:v>A-01706</x:v>
      </x:c>
      <x:c r="C1752" t="str">
        <x:v>GATE</x:v>
      </x:c>
      <x:c r="D1752" t="str">
        <x:v>release state mirrors governing ledger</x:v>
      </x:c>
      <x:c r="E1752" t="str">
        <x:f>'Release Gates'!I1712</x:f>
        <x:v>OPEN</x:v>
      </x:c>
      <x:c r="F1752" t="str">
        <x:f>IF('Release Gates'!C1712="PLANNING","PASS",IF('Release Gates'!C1712="PHYSICAL","OPEN","BLOCKED"))</x:f>
        <x:v>OPEN</x:v>
      </x:c>
      <x:c r="G1752" t="str">
        <x:v>equals</x:v>
      </x:c>
      <x:c r="H1752" t="str">
        <x:f>IF(E1752=F1752,"PASS","FAIL")</x:f>
        <x:v>PASS</x:v>
      </x:c>
    </x:row>
    <x:row r="1753">
      <x:c r="B1753" t="str">
        <x:v>A-01707</x:v>
      </x:c>
      <x:c r="C1753" t="str">
        <x:v>GATE</x:v>
      </x:c>
      <x:c r="D1753" t="str">
        <x:v>release state mirrors governing ledger</x:v>
      </x:c>
      <x:c r="E1753" t="str">
        <x:f>'Release Gates'!I1713</x:f>
        <x:v>OPEN</x:v>
      </x:c>
      <x:c r="F1753" t="str">
        <x:f>IF('Release Gates'!C1713="PLANNING","PASS",IF('Release Gates'!C1713="PHYSICAL","OPEN","BLOCKED"))</x:f>
        <x:v>OPEN</x:v>
      </x:c>
      <x:c r="G1753" t="str">
        <x:v>equals</x:v>
      </x:c>
      <x:c r="H1753" t="str">
        <x:f>IF(E1753=F1753,"PASS","FAIL")</x:f>
        <x:v>PASS</x:v>
      </x:c>
    </x:row>
    <x:row r="1754">
      <x:c r="B1754" t="str">
        <x:v>A-01708</x:v>
      </x:c>
      <x:c r="C1754" t="str">
        <x:v>GATE</x:v>
      </x:c>
      <x:c r="D1754" t="str">
        <x:v>release state mirrors governing ledger</x:v>
      </x:c>
      <x:c r="E1754" t="str">
        <x:f>'Release Gates'!I1714</x:f>
        <x:v>OPEN</x:v>
      </x:c>
      <x:c r="F1754" t="str">
        <x:f>IF('Release Gates'!C1714="PLANNING","PASS",IF('Release Gates'!C1714="PHYSICAL","OPEN","BLOCKED"))</x:f>
        <x:v>OPEN</x:v>
      </x:c>
      <x:c r="G1754" t="str">
        <x:v>equals</x:v>
      </x:c>
      <x:c r="H1754" t="str">
        <x:f>IF(E1754=F1754,"PASS","FAIL")</x:f>
        <x:v>PASS</x:v>
      </x:c>
    </x:row>
    <x:row r="1755">
      <x:c r="B1755" t="str">
        <x:v>A-01709</x:v>
      </x:c>
      <x:c r="C1755" t="str">
        <x:v>GATE</x:v>
      </x:c>
      <x:c r="D1755" t="str">
        <x:v>release state mirrors governing ledger</x:v>
      </x:c>
      <x:c r="E1755" t="str">
        <x:f>'Release Gates'!I1715</x:f>
        <x:v>OPEN</x:v>
      </x:c>
      <x:c r="F1755" t="str">
        <x:f>IF('Release Gates'!C1715="PLANNING","PASS",IF('Release Gates'!C1715="PHYSICAL","OPEN","BLOCKED"))</x:f>
        <x:v>OPEN</x:v>
      </x:c>
      <x:c r="G1755" t="str">
        <x:v>equals</x:v>
      </x:c>
      <x:c r="H1755" t="str">
        <x:f>IF(E1755=F1755,"PASS","FAIL")</x:f>
        <x:v>PASS</x:v>
      </x:c>
    </x:row>
    <x:row r="1756">
      <x:c r="B1756" t="str">
        <x:v>A-01710</x:v>
      </x:c>
      <x:c r="C1756" t="str">
        <x:v>GATE</x:v>
      </x:c>
      <x:c r="D1756" t="str">
        <x:v>release state mirrors governing ledger</x:v>
      </x:c>
      <x:c r="E1756" t="str">
        <x:f>'Release Gates'!I1716</x:f>
        <x:v>OPEN</x:v>
      </x:c>
      <x:c r="F1756" t="str">
        <x:f>IF('Release Gates'!C1716="PLANNING","PASS",IF('Release Gates'!C1716="PHYSICAL","OPEN","BLOCKED"))</x:f>
        <x:v>OPEN</x:v>
      </x:c>
      <x:c r="G1756" t="str">
        <x:v>equals</x:v>
      </x:c>
      <x:c r="H1756" t="str">
        <x:f>IF(E1756=F1756,"PASS","FAIL")</x:f>
        <x:v>PASS</x:v>
      </x:c>
    </x:row>
    <x:row r="1757">
      <x:c r="B1757" t="str">
        <x:v>A-01711</x:v>
      </x:c>
      <x:c r="C1757" t="str">
        <x:v>GATE</x:v>
      </x:c>
      <x:c r="D1757" t="str">
        <x:v>release state mirrors governing ledger</x:v>
      </x:c>
      <x:c r="E1757" t="str">
        <x:f>'Release Gates'!I1717</x:f>
        <x:v>OPEN</x:v>
      </x:c>
      <x:c r="F1757" t="str">
        <x:f>IF('Release Gates'!C1717="PLANNING","PASS",IF('Release Gates'!C1717="PHYSICAL","OPEN","BLOCKED"))</x:f>
        <x:v>OPEN</x:v>
      </x:c>
      <x:c r="G1757" t="str">
        <x:v>equals</x:v>
      </x:c>
      <x:c r="H1757" t="str">
        <x:f>IF(E1757=F1757,"PASS","FAIL")</x:f>
        <x:v>PASS</x:v>
      </x:c>
    </x:row>
    <x:row r="1758">
      <x:c r="B1758" t="str">
        <x:v>A-01712</x:v>
      </x:c>
      <x:c r="C1758" t="str">
        <x:v>GATE</x:v>
      </x:c>
      <x:c r="D1758" t="str">
        <x:v>release state mirrors governing ledger</x:v>
      </x:c>
      <x:c r="E1758" t="str">
        <x:f>'Release Gates'!I1718</x:f>
        <x:v>OPEN</x:v>
      </x:c>
      <x:c r="F1758" t="str">
        <x:f>IF('Release Gates'!C1718="PLANNING","PASS",IF('Release Gates'!C1718="PHYSICAL","OPEN","BLOCKED"))</x:f>
        <x:v>OPEN</x:v>
      </x:c>
      <x:c r="G1758" t="str">
        <x:v>equals</x:v>
      </x:c>
      <x:c r="H1758" t="str">
        <x:f>IF(E1758=F1758,"PASS","FAIL")</x:f>
        <x:v>PASS</x:v>
      </x:c>
    </x:row>
    <x:row r="1759">
      <x:c r="B1759" t="str">
        <x:v>A-01713</x:v>
      </x:c>
      <x:c r="C1759" t="str">
        <x:v>GATE</x:v>
      </x:c>
      <x:c r="D1759" t="str">
        <x:v>release state mirrors governing ledger</x:v>
      </x:c>
      <x:c r="E1759" t="str">
        <x:f>'Release Gates'!I1719</x:f>
        <x:v>OPEN</x:v>
      </x:c>
      <x:c r="F1759" t="str">
        <x:f>IF('Release Gates'!C1719="PLANNING","PASS",IF('Release Gates'!C1719="PHYSICAL","OPEN","BLOCKED"))</x:f>
        <x:v>OPEN</x:v>
      </x:c>
      <x:c r="G1759" t="str">
        <x:v>equals</x:v>
      </x:c>
      <x:c r="H1759" t="str">
        <x:f>IF(E1759=F1759,"PASS","FAIL")</x:f>
        <x:v>PASS</x:v>
      </x:c>
    </x:row>
    <x:row r="1760">
      <x:c r="B1760" t="str">
        <x:v>A-01714</x:v>
      </x:c>
      <x:c r="C1760" t="str">
        <x:v>GATE</x:v>
      </x:c>
      <x:c r="D1760" t="str">
        <x:v>release state mirrors governing ledger</x:v>
      </x:c>
      <x:c r="E1760" t="str">
        <x:f>'Release Gates'!I1720</x:f>
        <x:v>OPEN</x:v>
      </x:c>
      <x:c r="F1760" t="str">
        <x:f>IF('Release Gates'!C1720="PLANNING","PASS",IF('Release Gates'!C1720="PHYSICAL","OPEN","BLOCKED"))</x:f>
        <x:v>OPEN</x:v>
      </x:c>
      <x:c r="G1760" t="str">
        <x:v>equals</x:v>
      </x:c>
      <x:c r="H1760" t="str">
        <x:f>IF(E1760=F1760,"PASS","FAIL")</x:f>
        <x:v>PASS</x:v>
      </x:c>
    </x:row>
    <x:row r="1761">
      <x:c r="B1761" t="str">
        <x:v>A-01715</x:v>
      </x:c>
      <x:c r="C1761" t="str">
        <x:v>GATE</x:v>
      </x:c>
      <x:c r="D1761" t="str">
        <x:v>release state mirrors governing ledger</x:v>
      </x:c>
      <x:c r="E1761" t="str">
        <x:f>'Release Gates'!I1721</x:f>
        <x:v>OPEN</x:v>
      </x:c>
      <x:c r="F1761" t="str">
        <x:f>IF('Release Gates'!C1721="PLANNING","PASS",IF('Release Gates'!C1721="PHYSICAL","OPEN","BLOCKED"))</x:f>
        <x:v>OPEN</x:v>
      </x:c>
      <x:c r="G1761" t="str">
        <x:v>equals</x:v>
      </x:c>
      <x:c r="H1761" t="str">
        <x:f>IF(E1761=F1761,"PASS","FAIL")</x:f>
        <x:v>PASS</x:v>
      </x:c>
    </x:row>
    <x:row r="1762">
      <x:c r="B1762" t="str">
        <x:v>A-01716</x:v>
      </x:c>
      <x:c r="C1762" t="str">
        <x:v>GATE</x:v>
      </x:c>
      <x:c r="D1762" t="str">
        <x:v>release state mirrors governing ledger</x:v>
      </x:c>
      <x:c r="E1762" t="str">
        <x:f>'Release Gates'!I1722</x:f>
        <x:v>OPEN</x:v>
      </x:c>
      <x:c r="F1762" t="str">
        <x:f>IF('Release Gates'!C1722="PLANNING","PASS",IF('Release Gates'!C1722="PHYSICAL","OPEN","BLOCKED"))</x:f>
        <x:v>OPEN</x:v>
      </x:c>
      <x:c r="G1762" t="str">
        <x:v>equals</x:v>
      </x:c>
      <x:c r="H1762" t="str">
        <x:f>IF(E1762=F1762,"PASS","FAIL")</x:f>
        <x:v>PASS</x:v>
      </x:c>
    </x:row>
    <x:row r="1763">
      <x:c r="B1763" t="str">
        <x:v>A-01717</x:v>
      </x:c>
      <x:c r="C1763" t="str">
        <x:v>GATE</x:v>
      </x:c>
      <x:c r="D1763" t="str">
        <x:v>release state mirrors governing ledger</x:v>
      </x:c>
      <x:c r="E1763" t="str">
        <x:f>'Release Gates'!I1723</x:f>
        <x:v>OPEN</x:v>
      </x:c>
      <x:c r="F1763" t="str">
        <x:f>IF('Release Gates'!C1723="PLANNING","PASS",IF('Release Gates'!C1723="PHYSICAL","OPEN","BLOCKED"))</x:f>
        <x:v>OPEN</x:v>
      </x:c>
      <x:c r="G1763" t="str">
        <x:v>equals</x:v>
      </x:c>
      <x:c r="H1763" t="str">
        <x:f>IF(E1763=F1763,"PASS","FAIL")</x:f>
        <x:v>PASS</x:v>
      </x:c>
    </x:row>
    <x:row r="1764">
      <x:c r="B1764" t="str">
        <x:v>A-01718</x:v>
      </x:c>
      <x:c r="C1764" t="str">
        <x:v>GATE</x:v>
      </x:c>
      <x:c r="D1764" t="str">
        <x:v>release state mirrors governing ledger</x:v>
      </x:c>
      <x:c r="E1764" t="str">
        <x:f>'Release Gates'!I1724</x:f>
        <x:v>OPEN</x:v>
      </x:c>
      <x:c r="F1764" t="str">
        <x:f>IF('Release Gates'!C1724="PLANNING","PASS",IF('Release Gates'!C1724="PHYSICAL","OPEN","BLOCKED"))</x:f>
        <x:v>OPEN</x:v>
      </x:c>
      <x:c r="G1764" t="str">
        <x:v>equals</x:v>
      </x:c>
      <x:c r="H1764" t="str">
        <x:f>IF(E1764=F1764,"PASS","FAIL")</x:f>
        <x:v>PASS</x:v>
      </x:c>
    </x:row>
    <x:row r="1765">
      <x:c r="B1765" t="str">
        <x:v>A-01719</x:v>
      </x:c>
      <x:c r="C1765" t="str">
        <x:v>GATE</x:v>
      </x:c>
      <x:c r="D1765" t="str">
        <x:v>release state mirrors governing ledger</x:v>
      </x:c>
      <x:c r="E1765" t="str">
        <x:f>'Release Gates'!I1725</x:f>
        <x:v>OPEN</x:v>
      </x:c>
      <x:c r="F1765" t="str">
        <x:f>IF('Release Gates'!C1725="PLANNING","PASS",IF('Release Gates'!C1725="PHYSICAL","OPEN","BLOCKED"))</x:f>
        <x:v>OPEN</x:v>
      </x:c>
      <x:c r="G1765" t="str">
        <x:v>equals</x:v>
      </x:c>
      <x:c r="H1765" t="str">
        <x:f>IF(E1765=F1765,"PASS","FAIL")</x:f>
        <x:v>PASS</x:v>
      </x:c>
    </x:row>
    <x:row r="1766">
      <x:c r="B1766" t="str">
        <x:v>A-01720</x:v>
      </x:c>
      <x:c r="C1766" t="str">
        <x:v>GATE</x:v>
      </x:c>
      <x:c r="D1766" t="str">
        <x:v>release state mirrors governing ledger</x:v>
      </x:c>
      <x:c r="E1766" t="str">
        <x:f>'Release Gates'!I1726</x:f>
        <x:v>OPEN</x:v>
      </x:c>
      <x:c r="F1766" t="str">
        <x:f>IF('Release Gates'!C1726="PLANNING","PASS",IF('Release Gates'!C1726="PHYSICAL","OPEN","BLOCKED"))</x:f>
        <x:v>OPEN</x:v>
      </x:c>
      <x:c r="G1766" t="str">
        <x:v>equals</x:v>
      </x:c>
      <x:c r="H1766" t="str">
        <x:f>IF(E1766=F1766,"PASS","FAIL")</x:f>
        <x:v>PASS</x:v>
      </x:c>
    </x:row>
    <x:row r="1767">
      <x:c r="B1767" t="str">
        <x:v>A-01721</x:v>
      </x:c>
      <x:c r="C1767" t="str">
        <x:v>GATE</x:v>
      </x:c>
      <x:c r="D1767" t="str">
        <x:v>release state mirrors governing ledger</x:v>
      </x:c>
      <x:c r="E1767" t="str">
        <x:f>'Release Gates'!I1727</x:f>
        <x:v>OPEN</x:v>
      </x:c>
      <x:c r="F1767" t="str">
        <x:f>IF('Release Gates'!C1727="PLANNING","PASS",IF('Release Gates'!C1727="PHYSICAL","OPEN","BLOCKED"))</x:f>
        <x:v>OPEN</x:v>
      </x:c>
      <x:c r="G1767" t="str">
        <x:v>equals</x:v>
      </x:c>
      <x:c r="H1767" t="str">
        <x:f>IF(E1767=F1767,"PASS","FAIL")</x:f>
        <x:v>PASS</x:v>
      </x:c>
    </x:row>
    <x:row r="1768">
      <x:c r="B1768" t="str">
        <x:v>A-01722</x:v>
      </x:c>
      <x:c r="C1768" t="str">
        <x:v>GATE</x:v>
      </x:c>
      <x:c r="D1768" t="str">
        <x:v>release state mirrors governing ledger</x:v>
      </x:c>
      <x:c r="E1768" t="str">
        <x:f>'Release Gates'!I1728</x:f>
        <x:v>OPEN</x:v>
      </x:c>
      <x:c r="F1768" t="str">
        <x:f>IF('Release Gates'!C1728="PLANNING","PASS",IF('Release Gates'!C1728="PHYSICAL","OPEN","BLOCKED"))</x:f>
        <x:v>OPEN</x:v>
      </x:c>
      <x:c r="G1768" t="str">
        <x:v>equals</x:v>
      </x:c>
      <x:c r="H1768" t="str">
        <x:f>IF(E1768=F1768,"PASS","FAIL")</x:f>
        <x:v>PASS</x:v>
      </x:c>
    </x:row>
    <x:row r="1769">
      <x:c r="B1769" t="str">
        <x:v>A-01723</x:v>
      </x:c>
      <x:c r="C1769" t="str">
        <x:v>GATE</x:v>
      </x:c>
      <x:c r="D1769" t="str">
        <x:v>release state mirrors governing ledger</x:v>
      </x:c>
      <x:c r="E1769" t="str">
        <x:f>'Release Gates'!I1729</x:f>
        <x:v>OPEN</x:v>
      </x:c>
      <x:c r="F1769" t="str">
        <x:f>IF('Release Gates'!C1729="PLANNING","PASS",IF('Release Gates'!C1729="PHYSICAL","OPEN","BLOCKED"))</x:f>
        <x:v>OPEN</x:v>
      </x:c>
      <x:c r="G1769" t="str">
        <x:v>equals</x:v>
      </x:c>
      <x:c r="H1769" t="str">
        <x:f>IF(E1769=F1769,"PASS","FAIL")</x:f>
        <x:v>PASS</x:v>
      </x:c>
    </x:row>
    <x:row r="1770">
      <x:c r="B1770" t="str">
        <x:v>A-01724</x:v>
      </x:c>
      <x:c r="C1770" t="str">
        <x:v>GATE</x:v>
      </x:c>
      <x:c r="D1770" t="str">
        <x:v>release state mirrors governing ledger</x:v>
      </x:c>
      <x:c r="E1770" t="str">
        <x:f>'Release Gates'!I1730</x:f>
        <x:v>OPEN</x:v>
      </x:c>
      <x:c r="F1770" t="str">
        <x:f>IF('Release Gates'!C1730="PLANNING","PASS",IF('Release Gates'!C1730="PHYSICAL","OPEN","BLOCKED"))</x:f>
        <x:v>OPEN</x:v>
      </x:c>
      <x:c r="G1770" t="str">
        <x:v>equals</x:v>
      </x:c>
      <x:c r="H1770" t="str">
        <x:f>IF(E1770=F1770,"PASS","FAIL")</x:f>
        <x:v>PASS</x:v>
      </x:c>
    </x:row>
    <x:row r="1771">
      <x:c r="B1771" t="str">
        <x:v>A-01725</x:v>
      </x:c>
      <x:c r="C1771" t="str">
        <x:v>GATE</x:v>
      </x:c>
      <x:c r="D1771" t="str">
        <x:v>release state mirrors governing ledger</x:v>
      </x:c>
      <x:c r="E1771" t="str">
        <x:f>'Release Gates'!I1731</x:f>
        <x:v>OPEN</x:v>
      </x:c>
      <x:c r="F1771" t="str">
        <x:f>IF('Release Gates'!C1731="PLANNING","PASS",IF('Release Gates'!C1731="PHYSICAL","OPEN","BLOCKED"))</x:f>
        <x:v>OPEN</x:v>
      </x:c>
      <x:c r="G1771" t="str">
        <x:v>equals</x:v>
      </x:c>
      <x:c r="H1771" t="str">
        <x:f>IF(E1771=F1771,"PASS","FAIL")</x:f>
        <x:v>PASS</x:v>
      </x:c>
    </x:row>
    <x:row r="1772">
      <x:c r="B1772" t="str">
        <x:v>A-01726</x:v>
      </x:c>
      <x:c r="C1772" t="str">
        <x:v>GATE</x:v>
      </x:c>
      <x:c r="D1772" t="str">
        <x:v>release state mirrors governing ledger</x:v>
      </x:c>
      <x:c r="E1772" t="str">
        <x:f>'Release Gates'!I1732</x:f>
        <x:v>OPEN</x:v>
      </x:c>
      <x:c r="F1772" t="str">
        <x:f>IF('Release Gates'!C1732="PLANNING","PASS",IF('Release Gates'!C1732="PHYSICAL","OPEN","BLOCKED"))</x:f>
        <x:v>OPEN</x:v>
      </x:c>
      <x:c r="G1772" t="str">
        <x:v>equals</x:v>
      </x:c>
      <x:c r="H1772" t="str">
        <x:f>IF(E1772=F1772,"PASS","FAIL")</x:f>
        <x:v>PASS</x:v>
      </x:c>
    </x:row>
    <x:row r="1773">
      <x:c r="B1773" t="str">
        <x:v>A-01727</x:v>
      </x:c>
      <x:c r="C1773" t="str">
        <x:v>GATE</x:v>
      </x:c>
      <x:c r="D1773" t="str">
        <x:v>release state mirrors governing ledger</x:v>
      </x:c>
      <x:c r="E1773" t="str">
        <x:f>'Release Gates'!I1733</x:f>
        <x:v>OPEN</x:v>
      </x:c>
      <x:c r="F1773" t="str">
        <x:f>IF('Release Gates'!C1733="PLANNING","PASS",IF('Release Gates'!C1733="PHYSICAL","OPEN","BLOCKED"))</x:f>
        <x:v>OPEN</x:v>
      </x:c>
      <x:c r="G1773" t="str">
        <x:v>equals</x:v>
      </x:c>
      <x:c r="H1773" t="str">
        <x:f>IF(E1773=F1773,"PASS","FAIL")</x:f>
        <x:v>PASS</x:v>
      </x:c>
    </x:row>
    <x:row r="1774">
      <x:c r="B1774" t="str">
        <x:v>A-01728</x:v>
      </x:c>
      <x:c r="C1774" t="str">
        <x:v>GATE</x:v>
      </x:c>
      <x:c r="D1774" t="str">
        <x:v>release state mirrors governing ledger</x:v>
      </x:c>
      <x:c r="E1774" t="str">
        <x:f>'Release Gates'!I1734</x:f>
        <x:v>OPEN</x:v>
      </x:c>
      <x:c r="F1774" t="str">
        <x:f>IF('Release Gates'!C1734="PLANNING","PASS",IF('Release Gates'!C1734="PHYSICAL","OPEN","BLOCKED"))</x:f>
        <x:v>OPEN</x:v>
      </x:c>
      <x:c r="G1774" t="str">
        <x:v>equals</x:v>
      </x:c>
      <x:c r="H1774" t="str">
        <x:f>IF(E1774=F1774,"PASS","FAIL")</x:f>
        <x:v>PASS</x:v>
      </x:c>
    </x:row>
    <x:row r="1775">
      <x:c r="B1775" t="str">
        <x:v>A-01729</x:v>
      </x:c>
      <x:c r="C1775" t="str">
        <x:v>GATE</x:v>
      </x:c>
      <x:c r="D1775" t="str">
        <x:v>release state mirrors governing ledger</x:v>
      </x:c>
      <x:c r="E1775" t="str">
        <x:f>'Release Gates'!I1735</x:f>
        <x:v>OPEN</x:v>
      </x:c>
      <x:c r="F1775" t="str">
        <x:f>IF('Release Gates'!C1735="PLANNING","PASS",IF('Release Gates'!C1735="PHYSICAL","OPEN","BLOCKED"))</x:f>
        <x:v>OPEN</x:v>
      </x:c>
      <x:c r="G1775" t="str">
        <x:v>equals</x:v>
      </x:c>
      <x:c r="H1775" t="str">
        <x:f>IF(E1775=F1775,"PASS","FAIL")</x:f>
        <x:v>PASS</x:v>
      </x:c>
    </x:row>
    <x:row r="1776">
      <x:c r="B1776" t="str">
        <x:v>A-01730</x:v>
      </x:c>
      <x:c r="C1776" t="str">
        <x:v>GATE</x:v>
      </x:c>
      <x:c r="D1776" t="str">
        <x:v>release state mirrors governing ledger</x:v>
      </x:c>
      <x:c r="E1776" t="str">
        <x:f>'Release Gates'!I1736</x:f>
        <x:v>OPEN</x:v>
      </x:c>
      <x:c r="F1776" t="str">
        <x:f>IF('Release Gates'!C1736="PLANNING","PASS",IF('Release Gates'!C1736="PHYSICAL","OPEN","BLOCKED"))</x:f>
        <x:v>OPEN</x:v>
      </x:c>
      <x:c r="G1776" t="str">
        <x:v>equals</x:v>
      </x:c>
      <x:c r="H1776" t="str">
        <x:f>IF(E1776=F1776,"PASS","FAIL")</x:f>
        <x:v>PASS</x:v>
      </x:c>
    </x:row>
    <x:row r="1777">
      <x:c r="B1777" t="str">
        <x:v>A-01731</x:v>
      </x:c>
      <x:c r="C1777" t="str">
        <x:v>GATE</x:v>
      </x:c>
      <x:c r="D1777" t="str">
        <x:v>release state mirrors governing ledger</x:v>
      </x:c>
      <x:c r="E1777" t="str">
        <x:f>'Release Gates'!I1737</x:f>
        <x:v>OPEN</x:v>
      </x:c>
      <x:c r="F1777" t="str">
        <x:f>IF('Release Gates'!C1737="PLANNING","PASS",IF('Release Gates'!C1737="PHYSICAL","OPEN","BLOCKED"))</x:f>
        <x:v>OPEN</x:v>
      </x:c>
      <x:c r="G1777" t="str">
        <x:v>equals</x:v>
      </x:c>
      <x:c r="H1777" t="str">
        <x:f>IF(E1777=F1777,"PASS","FAIL")</x:f>
        <x:v>PASS</x:v>
      </x:c>
    </x:row>
    <x:row r="1778">
      <x:c r="B1778" t="str">
        <x:v>A-01732</x:v>
      </x:c>
      <x:c r="C1778" t="str">
        <x:v>GATE</x:v>
      </x:c>
      <x:c r="D1778" t="str">
        <x:v>release state mirrors governing ledger</x:v>
      </x:c>
      <x:c r="E1778" t="str">
        <x:f>'Release Gates'!I1738</x:f>
        <x:v>OPEN</x:v>
      </x:c>
      <x:c r="F1778" t="str">
        <x:f>IF('Release Gates'!C1738="PLANNING","PASS",IF('Release Gates'!C1738="PHYSICAL","OPEN","BLOCKED"))</x:f>
        <x:v>OPEN</x:v>
      </x:c>
      <x:c r="G1778" t="str">
        <x:v>equals</x:v>
      </x:c>
      <x:c r="H1778" t="str">
        <x:f>IF(E1778=F1778,"PASS","FAIL")</x:f>
        <x:v>PASS</x:v>
      </x:c>
    </x:row>
    <x:row r="1779">
      <x:c r="B1779" t="str">
        <x:v>A-01733</x:v>
      </x:c>
      <x:c r="C1779" t="str">
        <x:v>GATE</x:v>
      </x:c>
      <x:c r="D1779" t="str">
        <x:v>release state mirrors governing ledger</x:v>
      </x:c>
      <x:c r="E1779" t="str">
        <x:f>'Release Gates'!I1739</x:f>
        <x:v>OPEN</x:v>
      </x:c>
      <x:c r="F1779" t="str">
        <x:f>IF('Release Gates'!C1739="PLANNING","PASS",IF('Release Gates'!C1739="PHYSICAL","OPEN","BLOCKED"))</x:f>
        <x:v>OPEN</x:v>
      </x:c>
      <x:c r="G1779" t="str">
        <x:v>equals</x:v>
      </x:c>
      <x:c r="H1779" t="str">
        <x:f>IF(E1779=F1779,"PASS","FAIL")</x:f>
        <x:v>PASS</x:v>
      </x:c>
    </x:row>
    <x:row r="1780">
      <x:c r="B1780" t="str">
        <x:v>A-01734</x:v>
      </x:c>
      <x:c r="C1780" t="str">
        <x:v>GATE</x:v>
      </x:c>
      <x:c r="D1780" t="str">
        <x:v>release state mirrors governing ledger</x:v>
      </x:c>
      <x:c r="E1780" t="str">
        <x:f>'Release Gates'!I1740</x:f>
        <x:v>OPEN</x:v>
      </x:c>
      <x:c r="F1780" t="str">
        <x:f>IF('Release Gates'!C1740="PLANNING","PASS",IF('Release Gates'!C1740="PHYSICAL","OPEN","BLOCKED"))</x:f>
        <x:v>OPEN</x:v>
      </x:c>
      <x:c r="G1780" t="str">
        <x:v>equals</x:v>
      </x:c>
      <x:c r="H1780" t="str">
        <x:f>IF(E1780=F1780,"PASS","FAIL")</x:f>
        <x:v>PASS</x:v>
      </x:c>
    </x:row>
    <x:row r="1781">
      <x:c r="B1781" t="str">
        <x:v>A-01735</x:v>
      </x:c>
      <x:c r="C1781" t="str">
        <x:v>GATE</x:v>
      </x:c>
      <x:c r="D1781" t="str">
        <x:v>release state mirrors governing ledger</x:v>
      </x:c>
      <x:c r="E1781" t="str">
        <x:f>'Release Gates'!I1741</x:f>
        <x:v>OPEN</x:v>
      </x:c>
      <x:c r="F1781" t="str">
        <x:f>IF('Release Gates'!C1741="PLANNING","PASS",IF('Release Gates'!C1741="PHYSICAL","OPEN","BLOCKED"))</x:f>
        <x:v>OPEN</x:v>
      </x:c>
      <x:c r="G1781" t="str">
        <x:v>equals</x:v>
      </x:c>
      <x:c r="H1781" t="str">
        <x:f>IF(E1781=F1781,"PASS","FAIL")</x:f>
        <x:v>PASS</x:v>
      </x:c>
    </x:row>
    <x:row r="1782">
      <x:c r="B1782" t="str">
        <x:v>A-01736</x:v>
      </x:c>
      <x:c r="C1782" t="str">
        <x:v>GATE</x:v>
      </x:c>
      <x:c r="D1782" t="str">
        <x:v>release state mirrors governing ledger</x:v>
      </x:c>
      <x:c r="E1782" t="str">
        <x:f>'Release Gates'!I1742</x:f>
        <x:v>OPEN</x:v>
      </x:c>
      <x:c r="F1782" t="str">
        <x:f>IF('Release Gates'!C1742="PLANNING","PASS",IF('Release Gates'!C1742="PHYSICAL","OPEN","BLOCKED"))</x:f>
        <x:v>OPEN</x:v>
      </x:c>
      <x:c r="G1782" t="str">
        <x:v>equals</x:v>
      </x:c>
      <x:c r="H1782" t="str">
        <x:f>IF(E1782=F1782,"PASS","FAIL")</x:f>
        <x:v>PASS</x:v>
      </x:c>
    </x:row>
    <x:row r="1783">
      <x:c r="B1783" t="str">
        <x:v>A-01737</x:v>
      </x:c>
      <x:c r="C1783" t="str">
        <x:v>GATE</x:v>
      </x:c>
      <x:c r="D1783" t="str">
        <x:v>release state mirrors governing ledger</x:v>
      </x:c>
      <x:c r="E1783" t="str">
        <x:f>'Release Gates'!I1743</x:f>
        <x:v>OPEN</x:v>
      </x:c>
      <x:c r="F1783" t="str">
        <x:f>IF('Release Gates'!C1743="PLANNING","PASS",IF('Release Gates'!C1743="PHYSICAL","OPEN","BLOCKED"))</x:f>
        <x:v>OPEN</x:v>
      </x:c>
      <x:c r="G1783" t="str">
        <x:v>equals</x:v>
      </x:c>
      <x:c r="H1783" t="str">
        <x:f>IF(E1783=F1783,"PASS","FAIL")</x:f>
        <x:v>PASS</x:v>
      </x:c>
    </x:row>
    <x:row r="1784">
      <x:c r="B1784" t="str">
        <x:v>A-01738</x:v>
      </x:c>
      <x:c r="C1784" t="str">
        <x:v>GATE</x:v>
      </x:c>
      <x:c r="D1784" t="str">
        <x:v>release state mirrors governing ledger</x:v>
      </x:c>
      <x:c r="E1784" t="str">
        <x:f>'Release Gates'!I1744</x:f>
        <x:v>OPEN</x:v>
      </x:c>
      <x:c r="F1784" t="str">
        <x:f>IF('Release Gates'!C1744="PLANNING","PASS",IF('Release Gates'!C1744="PHYSICAL","OPEN","BLOCKED"))</x:f>
        <x:v>OPEN</x:v>
      </x:c>
      <x:c r="G1784" t="str">
        <x:v>equals</x:v>
      </x:c>
      <x:c r="H1784" t="str">
        <x:f>IF(E1784=F1784,"PASS","FAIL")</x:f>
        <x:v>PASS</x:v>
      </x:c>
    </x:row>
    <x:row r="1785">
      <x:c r="B1785" t="str">
        <x:v>A-01739</x:v>
      </x:c>
      <x:c r="C1785" t="str">
        <x:v>GATE</x:v>
      </x:c>
      <x:c r="D1785" t="str">
        <x:v>release state mirrors governing ledger</x:v>
      </x:c>
      <x:c r="E1785" t="str">
        <x:f>'Release Gates'!I1745</x:f>
        <x:v>OPEN</x:v>
      </x:c>
      <x:c r="F1785" t="str">
        <x:f>IF('Release Gates'!C1745="PLANNING","PASS",IF('Release Gates'!C1745="PHYSICAL","OPEN","BLOCKED"))</x:f>
        <x:v>OPEN</x:v>
      </x:c>
      <x:c r="G1785" t="str">
        <x:v>equals</x:v>
      </x:c>
      <x:c r="H1785" t="str">
        <x:f>IF(E1785=F1785,"PASS","FAIL")</x:f>
        <x:v>PASS</x:v>
      </x:c>
    </x:row>
    <x:row r="1786">
      <x:c r="B1786" t="str">
        <x:v>A-01740</x:v>
      </x:c>
      <x:c r="C1786" t="str">
        <x:v>GATE</x:v>
      </x:c>
      <x:c r="D1786" t="str">
        <x:v>release state mirrors governing ledger</x:v>
      </x:c>
      <x:c r="E1786" t="str">
        <x:f>'Release Gates'!I1746</x:f>
        <x:v>OPEN</x:v>
      </x:c>
      <x:c r="F1786" t="str">
        <x:f>IF('Release Gates'!C1746="PLANNING","PASS",IF('Release Gates'!C1746="PHYSICAL","OPEN","BLOCKED"))</x:f>
        <x:v>OPEN</x:v>
      </x:c>
      <x:c r="G1786" t="str">
        <x:v>equals</x:v>
      </x:c>
      <x:c r="H1786" t="str">
        <x:f>IF(E1786=F1786,"PASS","FAIL")</x:f>
        <x:v>PASS</x:v>
      </x:c>
    </x:row>
    <x:row r="1787">
      <x:c r="B1787" t="str">
        <x:v>A-01741</x:v>
      </x:c>
      <x:c r="C1787" t="str">
        <x:v>GATE</x:v>
      </x:c>
      <x:c r="D1787" t="str">
        <x:v>release state mirrors governing ledger</x:v>
      </x:c>
      <x:c r="E1787" t="str">
        <x:f>'Release Gates'!I1747</x:f>
        <x:v>OPEN</x:v>
      </x:c>
      <x:c r="F1787" t="str">
        <x:f>IF('Release Gates'!C1747="PLANNING","PASS",IF('Release Gates'!C1747="PHYSICAL","OPEN","BLOCKED"))</x:f>
        <x:v>OPEN</x:v>
      </x:c>
      <x:c r="G1787" t="str">
        <x:v>equals</x:v>
      </x:c>
      <x:c r="H1787" t="str">
        <x:f>IF(E1787=F1787,"PASS","FAIL")</x:f>
        <x:v>PASS</x:v>
      </x:c>
    </x:row>
    <x:row r="1788">
      <x:c r="B1788" t="str">
        <x:v>A-01742</x:v>
      </x:c>
      <x:c r="C1788" t="str">
        <x:v>GATE</x:v>
      </x:c>
      <x:c r="D1788" t="str">
        <x:v>release state mirrors governing ledger</x:v>
      </x:c>
      <x:c r="E1788" t="str">
        <x:f>'Release Gates'!I1748</x:f>
        <x:v>OPEN</x:v>
      </x:c>
      <x:c r="F1788" t="str">
        <x:f>IF('Release Gates'!C1748="PLANNING","PASS",IF('Release Gates'!C1748="PHYSICAL","OPEN","BLOCKED"))</x:f>
        <x:v>OPEN</x:v>
      </x:c>
      <x:c r="G1788" t="str">
        <x:v>equals</x:v>
      </x:c>
      <x:c r="H1788" t="str">
        <x:f>IF(E1788=F1788,"PASS","FAIL")</x:f>
        <x:v>PASS</x:v>
      </x:c>
    </x:row>
    <x:row r="1789">
      <x:c r="B1789" t="str">
        <x:v>A-01743</x:v>
      </x:c>
      <x:c r="C1789" t="str">
        <x:v>GATE</x:v>
      </x:c>
      <x:c r="D1789" t="str">
        <x:v>release state mirrors governing ledger</x:v>
      </x:c>
      <x:c r="E1789" t="str">
        <x:f>'Release Gates'!I1749</x:f>
        <x:v>OPEN</x:v>
      </x:c>
      <x:c r="F1789" t="str">
        <x:f>IF('Release Gates'!C1749="PLANNING","PASS",IF('Release Gates'!C1749="PHYSICAL","OPEN","BLOCKED"))</x:f>
        <x:v>OPEN</x:v>
      </x:c>
      <x:c r="G1789" t="str">
        <x:v>equals</x:v>
      </x:c>
      <x:c r="H1789" t="str">
        <x:f>IF(E1789=F1789,"PASS","FAIL")</x:f>
        <x:v>PASS</x:v>
      </x:c>
    </x:row>
    <x:row r="1790">
      <x:c r="B1790" t="str">
        <x:v>A-01744</x:v>
      </x:c>
      <x:c r="C1790" t="str">
        <x:v>GATE</x:v>
      </x:c>
      <x:c r="D1790" t="str">
        <x:v>release state mirrors governing ledger</x:v>
      </x:c>
      <x:c r="E1790" t="str">
        <x:f>'Release Gates'!I1750</x:f>
        <x:v>OPEN</x:v>
      </x:c>
      <x:c r="F1790" t="str">
        <x:f>IF('Release Gates'!C1750="PLANNING","PASS",IF('Release Gates'!C1750="PHYSICAL","OPEN","BLOCKED"))</x:f>
        <x:v>OPEN</x:v>
      </x:c>
      <x:c r="G1790" t="str">
        <x:v>equals</x:v>
      </x:c>
      <x:c r="H1790" t="str">
        <x:f>IF(E1790=F1790,"PASS","FAIL")</x:f>
        <x:v>PASS</x:v>
      </x:c>
    </x:row>
    <x:row r="1791">
      <x:c r="B1791" t="str">
        <x:v>A-01745</x:v>
      </x:c>
      <x:c r="C1791" t="str">
        <x:v>GATE</x:v>
      </x:c>
      <x:c r="D1791" t="str">
        <x:v>release state mirrors governing ledger</x:v>
      </x:c>
      <x:c r="E1791" t="str">
        <x:f>'Release Gates'!I1751</x:f>
        <x:v>OPEN</x:v>
      </x:c>
      <x:c r="F1791" t="str">
        <x:f>IF('Release Gates'!C1751="PLANNING","PASS",IF('Release Gates'!C1751="PHYSICAL","OPEN","BLOCKED"))</x:f>
        <x:v>OPEN</x:v>
      </x:c>
      <x:c r="G1791" t="str">
        <x:v>equals</x:v>
      </x:c>
      <x:c r="H1791" t="str">
        <x:f>IF(E1791=F1791,"PASS","FAIL")</x:f>
        <x:v>PASS</x:v>
      </x:c>
    </x:row>
    <x:row r="1792">
      <x:c r="B1792" t="str">
        <x:v>A-01746</x:v>
      </x:c>
      <x:c r="C1792" t="str">
        <x:v>GATE</x:v>
      </x:c>
      <x:c r="D1792" t="str">
        <x:v>release state mirrors governing ledger</x:v>
      </x:c>
      <x:c r="E1792" t="str">
        <x:f>'Release Gates'!I1752</x:f>
        <x:v>OPEN</x:v>
      </x:c>
      <x:c r="F1792" t="str">
        <x:f>IF('Release Gates'!C1752="PLANNING","PASS",IF('Release Gates'!C1752="PHYSICAL","OPEN","BLOCKED"))</x:f>
        <x:v>OPEN</x:v>
      </x:c>
      <x:c r="G1792" t="str">
        <x:v>equals</x:v>
      </x:c>
      <x:c r="H1792" t="str">
        <x:f>IF(E1792=F1792,"PASS","FAIL")</x:f>
        <x:v>PASS</x:v>
      </x:c>
    </x:row>
    <x:row r="1793">
      <x:c r="B1793" t="str">
        <x:v>A-01747</x:v>
      </x:c>
      <x:c r="C1793" t="str">
        <x:v>GATE</x:v>
      </x:c>
      <x:c r="D1793" t="str">
        <x:v>release state mirrors governing ledger</x:v>
      </x:c>
      <x:c r="E1793" t="str">
        <x:f>'Release Gates'!I1753</x:f>
        <x:v>OPEN</x:v>
      </x:c>
      <x:c r="F1793" t="str">
        <x:f>IF('Release Gates'!C1753="PLANNING","PASS",IF('Release Gates'!C1753="PHYSICAL","OPEN","BLOCKED"))</x:f>
        <x:v>OPEN</x:v>
      </x:c>
      <x:c r="G1793" t="str">
        <x:v>equals</x:v>
      </x:c>
      <x:c r="H1793" t="str">
        <x:f>IF(E1793=F1793,"PASS","FAIL")</x:f>
        <x:v>PASS</x:v>
      </x:c>
    </x:row>
    <x:row r="1794">
      <x:c r="B1794" t="str">
        <x:v>A-01748</x:v>
      </x:c>
      <x:c r="C1794" t="str">
        <x:v>GATE</x:v>
      </x:c>
      <x:c r="D1794" t="str">
        <x:v>release state mirrors governing ledger</x:v>
      </x:c>
      <x:c r="E1794" t="str">
        <x:f>'Release Gates'!I1754</x:f>
        <x:v>OPEN</x:v>
      </x:c>
      <x:c r="F1794" t="str">
        <x:f>IF('Release Gates'!C1754="PLANNING","PASS",IF('Release Gates'!C1754="PHYSICAL","OPEN","BLOCKED"))</x:f>
        <x:v>OPEN</x:v>
      </x:c>
      <x:c r="G1794" t="str">
        <x:v>equals</x:v>
      </x:c>
      <x:c r="H1794" t="str">
        <x:f>IF(E1794=F1794,"PASS","FAIL")</x:f>
        <x:v>PASS</x:v>
      </x:c>
    </x:row>
    <x:row r="1795">
      <x:c r="B1795" t="str">
        <x:v>A-01749</x:v>
      </x:c>
      <x:c r="C1795" t="str">
        <x:v>GATE</x:v>
      </x:c>
      <x:c r="D1795" t="str">
        <x:v>release state mirrors governing ledger</x:v>
      </x:c>
      <x:c r="E1795" t="str">
        <x:f>'Release Gates'!I1755</x:f>
        <x:v>OPEN</x:v>
      </x:c>
      <x:c r="F1795" t="str">
        <x:f>IF('Release Gates'!C1755="PLANNING","PASS",IF('Release Gates'!C1755="PHYSICAL","OPEN","BLOCKED"))</x:f>
        <x:v>OPEN</x:v>
      </x:c>
      <x:c r="G1795" t="str">
        <x:v>equals</x:v>
      </x:c>
      <x:c r="H1795" t="str">
        <x:f>IF(E1795=F1795,"PASS","FAIL")</x:f>
        <x:v>PASS</x:v>
      </x:c>
    </x:row>
    <x:row r="1796">
      <x:c r="B1796" t="str">
        <x:v>A-01750</x:v>
      </x:c>
      <x:c r="C1796" t="str">
        <x:v>GATE</x:v>
      </x:c>
      <x:c r="D1796" t="str">
        <x:v>release state mirrors governing ledger</x:v>
      </x:c>
      <x:c r="E1796" t="str">
        <x:f>'Release Gates'!I1756</x:f>
        <x:v>OPEN</x:v>
      </x:c>
      <x:c r="F1796" t="str">
        <x:f>IF('Release Gates'!C1756="PLANNING","PASS",IF('Release Gates'!C1756="PHYSICAL","OPEN","BLOCKED"))</x:f>
        <x:v>OPEN</x:v>
      </x:c>
      <x:c r="G1796" t="str">
        <x:v>equals</x:v>
      </x:c>
      <x:c r="H1796" t="str">
        <x:f>IF(E1796=F1796,"PASS","FAIL")</x:f>
        <x:v>PASS</x:v>
      </x:c>
    </x:row>
    <x:row r="1797">
      <x:c r="B1797" t="str">
        <x:v>A-01751</x:v>
      </x:c>
      <x:c r="C1797" t="str">
        <x:v>GATE</x:v>
      </x:c>
      <x:c r="D1797" t="str">
        <x:v>release state mirrors governing ledger</x:v>
      </x:c>
      <x:c r="E1797" t="str">
        <x:f>'Release Gates'!I1757</x:f>
        <x:v>OPEN</x:v>
      </x:c>
      <x:c r="F1797" t="str">
        <x:f>IF('Release Gates'!C1757="PLANNING","PASS",IF('Release Gates'!C1757="PHYSICAL","OPEN","BLOCKED"))</x:f>
        <x:v>OPEN</x:v>
      </x:c>
      <x:c r="G1797" t="str">
        <x:v>equals</x:v>
      </x:c>
      <x:c r="H1797" t="str">
        <x:f>IF(E1797=F1797,"PASS","FAIL")</x:f>
        <x:v>PASS</x:v>
      </x:c>
    </x:row>
    <x:row r="1798">
      <x:c r="B1798" t="str">
        <x:v>A-01752</x:v>
      </x:c>
      <x:c r="C1798" t="str">
        <x:v>GATE</x:v>
      </x:c>
      <x:c r="D1798" t="str">
        <x:v>release state mirrors governing ledger</x:v>
      </x:c>
      <x:c r="E1798" t="str">
        <x:f>'Release Gates'!I1758</x:f>
        <x:v>OPEN</x:v>
      </x:c>
      <x:c r="F1798" t="str">
        <x:f>IF('Release Gates'!C1758="PLANNING","PASS",IF('Release Gates'!C1758="PHYSICAL","OPEN","BLOCKED"))</x:f>
        <x:v>OPEN</x:v>
      </x:c>
      <x:c r="G1798" t="str">
        <x:v>equals</x:v>
      </x:c>
      <x:c r="H1798" t="str">
        <x:f>IF(E1798=F1798,"PASS","FAIL")</x:f>
        <x:v>PASS</x:v>
      </x:c>
    </x:row>
    <x:row r="1799">
      <x:c r="B1799" t="str">
        <x:v>A-01753</x:v>
      </x:c>
      <x:c r="C1799" t="str">
        <x:v>GATE</x:v>
      </x:c>
      <x:c r="D1799" t="str">
        <x:v>release state mirrors governing ledger</x:v>
      </x:c>
      <x:c r="E1799" t="str">
        <x:f>'Release Gates'!I1759</x:f>
        <x:v>OPEN</x:v>
      </x:c>
      <x:c r="F1799" t="str">
        <x:f>IF('Release Gates'!C1759="PLANNING","PASS",IF('Release Gates'!C1759="PHYSICAL","OPEN","BLOCKED"))</x:f>
        <x:v>OPEN</x:v>
      </x:c>
      <x:c r="G1799" t="str">
        <x:v>equals</x:v>
      </x:c>
      <x:c r="H1799" t="str">
        <x:f>IF(E1799=F1799,"PASS","FAIL")</x:f>
        <x:v>PASS</x:v>
      </x:c>
    </x:row>
    <x:row r="1800">
      <x:c r="B1800" t="str">
        <x:v>A-01754</x:v>
      </x:c>
      <x:c r="C1800" t="str">
        <x:v>GATE</x:v>
      </x:c>
      <x:c r="D1800" t="str">
        <x:v>release state mirrors governing ledger</x:v>
      </x:c>
      <x:c r="E1800" t="str">
        <x:f>'Release Gates'!I1760</x:f>
        <x:v>OPEN</x:v>
      </x:c>
      <x:c r="F1800" t="str">
        <x:f>IF('Release Gates'!C1760="PLANNING","PASS",IF('Release Gates'!C1760="PHYSICAL","OPEN","BLOCKED"))</x:f>
        <x:v>OPEN</x:v>
      </x:c>
      <x:c r="G1800" t="str">
        <x:v>equals</x:v>
      </x:c>
      <x:c r="H1800" t="str">
        <x:f>IF(E1800=F1800,"PASS","FAIL")</x:f>
        <x:v>PASS</x:v>
      </x:c>
    </x:row>
    <x:row r="1801">
      <x:c r="B1801" t="str">
        <x:v>A-01755</x:v>
      </x:c>
      <x:c r="C1801" t="str">
        <x:v>GATE</x:v>
      </x:c>
      <x:c r="D1801" t="str">
        <x:v>release state mirrors governing ledger</x:v>
      </x:c>
      <x:c r="E1801" t="str">
        <x:f>'Release Gates'!I1761</x:f>
        <x:v>OPEN</x:v>
      </x:c>
      <x:c r="F1801" t="str">
        <x:f>IF('Release Gates'!C1761="PLANNING","PASS",IF('Release Gates'!C1761="PHYSICAL","OPEN","BLOCKED"))</x:f>
        <x:v>OPEN</x:v>
      </x:c>
      <x:c r="G1801" t="str">
        <x:v>equals</x:v>
      </x:c>
      <x:c r="H1801" t="str">
        <x:f>IF(E1801=F1801,"PASS","FAIL")</x:f>
        <x:v>PASS</x:v>
      </x:c>
    </x:row>
    <x:row r="1802">
      <x:c r="B1802" t="str">
        <x:v>A-01756</x:v>
      </x:c>
      <x:c r="C1802" t="str">
        <x:v>GATE</x:v>
      </x:c>
      <x:c r="D1802" t="str">
        <x:v>release state mirrors governing ledger</x:v>
      </x:c>
      <x:c r="E1802" t="str">
        <x:f>'Release Gates'!I1762</x:f>
        <x:v>OPEN</x:v>
      </x:c>
      <x:c r="F1802" t="str">
        <x:f>IF('Release Gates'!C1762="PLANNING","PASS",IF('Release Gates'!C1762="PHYSICAL","OPEN","BLOCKED"))</x:f>
        <x:v>OPEN</x:v>
      </x:c>
      <x:c r="G1802" t="str">
        <x:v>equals</x:v>
      </x:c>
      <x:c r="H1802" t="str">
        <x:f>IF(E1802=F1802,"PASS","FAIL")</x:f>
        <x:v>PASS</x:v>
      </x:c>
    </x:row>
    <x:row r="1803">
      <x:c r="B1803" t="str">
        <x:v>A-01757</x:v>
      </x:c>
      <x:c r="C1803" t="str">
        <x:v>GATE</x:v>
      </x:c>
      <x:c r="D1803" t="str">
        <x:v>release state mirrors governing ledger</x:v>
      </x:c>
      <x:c r="E1803" t="str">
        <x:f>'Release Gates'!I1763</x:f>
        <x:v>OPEN</x:v>
      </x:c>
      <x:c r="F1803" t="str">
        <x:f>IF('Release Gates'!C1763="PLANNING","PASS",IF('Release Gates'!C1763="PHYSICAL","OPEN","BLOCKED"))</x:f>
        <x:v>OPEN</x:v>
      </x:c>
      <x:c r="G1803" t="str">
        <x:v>equals</x:v>
      </x:c>
      <x:c r="H1803" t="str">
        <x:f>IF(E1803=F1803,"PASS","FAIL")</x:f>
        <x:v>PASS</x:v>
      </x:c>
    </x:row>
    <x:row r="1804">
      <x:c r="B1804" t="str">
        <x:v>A-01758</x:v>
      </x:c>
      <x:c r="C1804" t="str">
        <x:v>GATE</x:v>
      </x:c>
      <x:c r="D1804" t="str">
        <x:v>release state mirrors governing ledger</x:v>
      </x:c>
      <x:c r="E1804" t="str">
        <x:f>'Release Gates'!I1764</x:f>
        <x:v>OPEN</x:v>
      </x:c>
      <x:c r="F1804" t="str">
        <x:f>IF('Release Gates'!C1764="PLANNING","PASS",IF('Release Gates'!C1764="PHYSICAL","OPEN","BLOCKED"))</x:f>
        <x:v>OPEN</x:v>
      </x:c>
      <x:c r="G1804" t="str">
        <x:v>equals</x:v>
      </x:c>
      <x:c r="H1804" t="str">
        <x:f>IF(E1804=F1804,"PASS","FAIL")</x:f>
        <x:v>PASS</x:v>
      </x:c>
    </x:row>
    <x:row r="1805">
      <x:c r="B1805" t="str">
        <x:v>A-01759</x:v>
      </x:c>
      <x:c r="C1805" t="str">
        <x:v>GATE</x:v>
      </x:c>
      <x:c r="D1805" t="str">
        <x:v>release state mirrors governing ledger</x:v>
      </x:c>
      <x:c r="E1805" t="str">
        <x:f>'Release Gates'!I1765</x:f>
        <x:v>OPEN</x:v>
      </x:c>
      <x:c r="F1805" t="str">
        <x:f>IF('Release Gates'!C1765="PLANNING","PASS",IF('Release Gates'!C1765="PHYSICAL","OPEN","BLOCKED"))</x:f>
        <x:v>OPEN</x:v>
      </x:c>
      <x:c r="G1805" t="str">
        <x:v>equals</x:v>
      </x:c>
      <x:c r="H1805" t="str">
        <x:f>IF(E1805=F1805,"PASS","FAIL")</x:f>
        <x:v>PASS</x:v>
      </x:c>
    </x:row>
    <x:row r="1806">
      <x:c r="B1806" t="str">
        <x:v>A-01760</x:v>
      </x:c>
      <x:c r="C1806" t="str">
        <x:v>GATE</x:v>
      </x:c>
      <x:c r="D1806" t="str">
        <x:v>release state mirrors governing ledger</x:v>
      </x:c>
      <x:c r="E1806" t="str">
        <x:f>'Release Gates'!I1766</x:f>
        <x:v>OPEN</x:v>
      </x:c>
      <x:c r="F1806" t="str">
        <x:f>IF('Release Gates'!C1766="PLANNING","PASS",IF('Release Gates'!C1766="PHYSICAL","OPEN","BLOCKED"))</x:f>
        <x:v>OPEN</x:v>
      </x:c>
      <x:c r="G1806" t="str">
        <x:v>equals</x:v>
      </x:c>
      <x:c r="H1806" t="str">
        <x:f>IF(E1806=F1806,"PASS","FAIL")</x:f>
        <x:v>PASS</x:v>
      </x:c>
    </x:row>
    <x:row r="1807">
      <x:c r="B1807" t="str">
        <x:v>A-01761</x:v>
      </x:c>
      <x:c r="C1807" t="str">
        <x:v>GATE</x:v>
      </x:c>
      <x:c r="D1807" t="str">
        <x:v>release state mirrors governing ledger</x:v>
      </x:c>
      <x:c r="E1807" t="str">
        <x:f>'Release Gates'!I1767</x:f>
        <x:v>OPEN</x:v>
      </x:c>
      <x:c r="F1807" t="str">
        <x:f>IF('Release Gates'!C1767="PLANNING","PASS",IF('Release Gates'!C1767="PHYSICAL","OPEN","BLOCKED"))</x:f>
        <x:v>OPEN</x:v>
      </x:c>
      <x:c r="G1807" t="str">
        <x:v>equals</x:v>
      </x:c>
      <x:c r="H1807" t="str">
        <x:f>IF(E1807=F1807,"PASS","FAIL")</x:f>
        <x:v>PASS</x:v>
      </x:c>
    </x:row>
    <x:row r="1808">
      <x:c r="B1808" t="str">
        <x:v>A-01762</x:v>
      </x:c>
      <x:c r="C1808" t="str">
        <x:v>GATE</x:v>
      </x:c>
      <x:c r="D1808" t="str">
        <x:v>release state mirrors governing ledger</x:v>
      </x:c>
      <x:c r="E1808" t="str">
        <x:f>'Release Gates'!I1768</x:f>
        <x:v>OPEN</x:v>
      </x:c>
      <x:c r="F1808" t="str">
        <x:f>IF('Release Gates'!C1768="PLANNING","PASS",IF('Release Gates'!C1768="PHYSICAL","OPEN","BLOCKED"))</x:f>
        <x:v>OPEN</x:v>
      </x:c>
      <x:c r="G1808" t="str">
        <x:v>equals</x:v>
      </x:c>
      <x:c r="H1808" t="str">
        <x:f>IF(E1808=F1808,"PASS","FAIL")</x:f>
        <x:v>PASS</x:v>
      </x:c>
    </x:row>
    <x:row r="1809">
      <x:c r="B1809" t="str">
        <x:v>A-01763</x:v>
      </x:c>
      <x:c r="C1809" t="str">
        <x:v>GATE</x:v>
      </x:c>
      <x:c r="D1809" t="str">
        <x:v>release state mirrors governing ledger</x:v>
      </x:c>
      <x:c r="E1809" t="str">
        <x:f>'Release Gates'!I1769</x:f>
        <x:v>OPEN</x:v>
      </x:c>
      <x:c r="F1809" t="str">
        <x:f>IF('Release Gates'!C1769="PLANNING","PASS",IF('Release Gates'!C1769="PHYSICAL","OPEN","BLOCKED"))</x:f>
        <x:v>OPEN</x:v>
      </x:c>
      <x:c r="G1809" t="str">
        <x:v>equals</x:v>
      </x:c>
      <x:c r="H1809" t="str">
        <x:f>IF(E1809=F1809,"PASS","FAIL")</x:f>
        <x:v>PASS</x:v>
      </x:c>
    </x:row>
    <x:row r="1810">
      <x:c r="B1810" t="str">
        <x:v>A-01764</x:v>
      </x:c>
      <x:c r="C1810" t="str">
        <x:v>GATE</x:v>
      </x:c>
      <x:c r="D1810" t="str">
        <x:v>release state mirrors governing ledger</x:v>
      </x:c>
      <x:c r="E1810" t="str">
        <x:f>'Release Gates'!I1770</x:f>
        <x:v>OPEN</x:v>
      </x:c>
      <x:c r="F1810" t="str">
        <x:f>IF('Release Gates'!C1770="PLANNING","PASS",IF('Release Gates'!C1770="PHYSICAL","OPEN","BLOCKED"))</x:f>
        <x:v>OPEN</x:v>
      </x:c>
      <x:c r="G1810" t="str">
        <x:v>equals</x:v>
      </x:c>
      <x:c r="H1810" t="str">
        <x:f>IF(E1810=F1810,"PASS","FAIL")</x:f>
        <x:v>PASS</x:v>
      </x:c>
    </x:row>
    <x:row r="1811">
      <x:c r="B1811" t="str">
        <x:v>A-01765</x:v>
      </x:c>
      <x:c r="C1811" t="str">
        <x:v>GATE</x:v>
      </x:c>
      <x:c r="D1811" t="str">
        <x:v>release state mirrors governing ledger</x:v>
      </x:c>
      <x:c r="E1811" t="str">
        <x:f>'Release Gates'!I1771</x:f>
        <x:v>OPEN</x:v>
      </x:c>
      <x:c r="F1811" t="str">
        <x:f>IF('Release Gates'!C1771="PLANNING","PASS",IF('Release Gates'!C1771="PHYSICAL","OPEN","BLOCKED"))</x:f>
        <x:v>OPEN</x:v>
      </x:c>
      <x:c r="G1811" t="str">
        <x:v>equals</x:v>
      </x:c>
      <x:c r="H1811" t="str">
        <x:f>IF(E1811=F1811,"PASS","FAIL")</x:f>
        <x:v>PASS</x:v>
      </x:c>
    </x:row>
    <x:row r="1812">
      <x:c r="B1812" t="str">
        <x:v>A-01766</x:v>
      </x:c>
      <x:c r="C1812" t="str">
        <x:v>GATE</x:v>
      </x:c>
      <x:c r="D1812" t="str">
        <x:v>release state mirrors governing ledger</x:v>
      </x:c>
      <x:c r="E1812" t="str">
        <x:f>'Release Gates'!I1772</x:f>
        <x:v>OPEN</x:v>
      </x:c>
      <x:c r="F1812" t="str">
        <x:f>IF('Release Gates'!C1772="PLANNING","PASS",IF('Release Gates'!C1772="PHYSICAL","OPEN","BLOCKED"))</x:f>
        <x:v>OPEN</x:v>
      </x:c>
      <x:c r="G1812" t="str">
        <x:v>equals</x:v>
      </x:c>
      <x:c r="H1812" t="str">
        <x:f>IF(E1812=F1812,"PASS","FAIL")</x:f>
        <x:v>PASS</x:v>
      </x:c>
    </x:row>
    <x:row r="1813">
      <x:c r="B1813" t="str">
        <x:v>A-01767</x:v>
      </x:c>
      <x:c r="C1813" t="str">
        <x:v>GATE</x:v>
      </x:c>
      <x:c r="D1813" t="str">
        <x:v>release state mirrors governing ledger</x:v>
      </x:c>
      <x:c r="E1813" t="str">
        <x:f>'Release Gates'!I1773</x:f>
        <x:v>OPEN</x:v>
      </x:c>
      <x:c r="F1813" t="str">
        <x:f>IF('Release Gates'!C1773="PLANNING","PASS",IF('Release Gates'!C1773="PHYSICAL","OPEN","BLOCKED"))</x:f>
        <x:v>OPEN</x:v>
      </x:c>
      <x:c r="G1813" t="str">
        <x:v>equals</x:v>
      </x:c>
      <x:c r="H1813" t="str">
        <x:f>IF(E1813=F1813,"PASS","FAIL")</x:f>
        <x:v>PASS</x:v>
      </x:c>
    </x:row>
    <x:row r="1814">
      <x:c r="B1814" t="str">
        <x:v>A-01768</x:v>
      </x:c>
      <x:c r="C1814" t="str">
        <x:v>GATE</x:v>
      </x:c>
      <x:c r="D1814" t="str">
        <x:v>release state mirrors governing ledger</x:v>
      </x:c>
      <x:c r="E1814" t="str">
        <x:f>'Release Gates'!I1774</x:f>
        <x:v>OPEN</x:v>
      </x:c>
      <x:c r="F1814" t="str">
        <x:f>IF('Release Gates'!C1774="PLANNING","PASS",IF('Release Gates'!C1774="PHYSICAL","OPEN","BLOCKED"))</x:f>
        <x:v>OPEN</x:v>
      </x:c>
      <x:c r="G1814" t="str">
        <x:v>equals</x:v>
      </x:c>
      <x:c r="H1814" t="str">
        <x:f>IF(E1814=F1814,"PASS","FAIL")</x:f>
        <x:v>PASS</x:v>
      </x:c>
    </x:row>
    <x:row r="1815">
      <x:c r="B1815" t="str">
        <x:v>A-01769</x:v>
      </x:c>
      <x:c r="C1815" t="str">
        <x:v>GATE</x:v>
      </x:c>
      <x:c r="D1815" t="str">
        <x:v>release state mirrors governing ledger</x:v>
      </x:c>
      <x:c r="E1815" t="str">
        <x:f>'Release Gates'!I1775</x:f>
        <x:v>OPEN</x:v>
      </x:c>
      <x:c r="F1815" t="str">
        <x:f>IF('Release Gates'!C1775="PLANNING","PASS",IF('Release Gates'!C1775="PHYSICAL","OPEN","BLOCKED"))</x:f>
        <x:v>OPEN</x:v>
      </x:c>
      <x:c r="G1815" t="str">
        <x:v>equals</x:v>
      </x:c>
      <x:c r="H1815" t="str">
        <x:f>IF(E1815=F1815,"PASS","FAIL")</x:f>
        <x:v>PASS</x:v>
      </x:c>
    </x:row>
    <x:row r="1816">
      <x:c r="B1816" t="str">
        <x:v>A-01770</x:v>
      </x:c>
      <x:c r="C1816" t="str">
        <x:v>GATE</x:v>
      </x:c>
      <x:c r="D1816" t="str">
        <x:v>release state mirrors governing ledger</x:v>
      </x:c>
      <x:c r="E1816" t="str">
        <x:f>'Release Gates'!I1776</x:f>
        <x:v>OPEN</x:v>
      </x:c>
      <x:c r="F1816" t="str">
        <x:f>IF('Release Gates'!C1776="PLANNING","PASS",IF('Release Gates'!C1776="PHYSICAL","OPEN","BLOCKED"))</x:f>
        <x:v>OPEN</x:v>
      </x:c>
      <x:c r="G1816" t="str">
        <x:v>equals</x:v>
      </x:c>
      <x:c r="H1816" t="str">
        <x:f>IF(E1816=F1816,"PASS","FAIL")</x:f>
        <x:v>PASS</x:v>
      </x:c>
    </x:row>
    <x:row r="1817">
      <x:c r="B1817" t="str">
        <x:v>A-01771</x:v>
      </x:c>
      <x:c r="C1817" t="str">
        <x:v>GATE</x:v>
      </x:c>
      <x:c r="D1817" t="str">
        <x:v>release state mirrors governing ledger</x:v>
      </x:c>
      <x:c r="E1817" t="str">
        <x:f>'Release Gates'!I1777</x:f>
        <x:v>OPEN</x:v>
      </x:c>
      <x:c r="F1817" t="str">
        <x:f>IF('Release Gates'!C1777="PLANNING","PASS",IF('Release Gates'!C1777="PHYSICAL","OPEN","BLOCKED"))</x:f>
        <x:v>OPEN</x:v>
      </x:c>
      <x:c r="G1817" t="str">
        <x:v>equals</x:v>
      </x:c>
      <x:c r="H1817" t="str">
        <x:f>IF(E1817=F1817,"PASS","FAIL")</x:f>
        <x:v>PASS</x:v>
      </x:c>
    </x:row>
    <x:row r="1818">
      <x:c r="B1818" t="str">
        <x:v>A-01772</x:v>
      </x:c>
      <x:c r="C1818" t="str">
        <x:v>GATE</x:v>
      </x:c>
      <x:c r="D1818" t="str">
        <x:v>release state mirrors governing ledger</x:v>
      </x:c>
      <x:c r="E1818" t="str">
        <x:f>'Release Gates'!I1778</x:f>
        <x:v>OPEN</x:v>
      </x:c>
      <x:c r="F1818" t="str">
        <x:f>IF('Release Gates'!C1778="PLANNING","PASS",IF('Release Gates'!C1778="PHYSICAL","OPEN","BLOCKED"))</x:f>
        <x:v>OPEN</x:v>
      </x:c>
      <x:c r="G1818" t="str">
        <x:v>equals</x:v>
      </x:c>
      <x:c r="H1818" t="str">
        <x:f>IF(E1818=F1818,"PASS","FAIL")</x:f>
        <x:v>PASS</x:v>
      </x:c>
    </x:row>
    <x:row r="1819">
      <x:c r="B1819" t="str">
        <x:v>A-01773</x:v>
      </x:c>
      <x:c r="C1819" t="str">
        <x:v>GATE</x:v>
      </x:c>
      <x:c r="D1819" t="str">
        <x:v>release state mirrors governing ledger</x:v>
      </x:c>
      <x:c r="E1819" t="str">
        <x:f>'Release Gates'!I1779</x:f>
        <x:v>OPEN</x:v>
      </x:c>
      <x:c r="F1819" t="str">
        <x:f>IF('Release Gates'!C1779="PLANNING","PASS",IF('Release Gates'!C1779="PHYSICAL","OPEN","BLOCKED"))</x:f>
        <x:v>OPEN</x:v>
      </x:c>
      <x:c r="G1819" t="str">
        <x:v>equals</x:v>
      </x:c>
      <x:c r="H1819" t="str">
        <x:f>IF(E1819=F1819,"PASS","FAIL")</x:f>
        <x:v>PASS</x:v>
      </x:c>
    </x:row>
    <x:row r="1820">
      <x:c r="B1820" t="str">
        <x:v>A-01774</x:v>
      </x:c>
      <x:c r="C1820" t="str">
        <x:v>GATE</x:v>
      </x:c>
      <x:c r="D1820" t="str">
        <x:v>release state mirrors governing ledger</x:v>
      </x:c>
      <x:c r="E1820" t="str">
        <x:f>'Release Gates'!I1780</x:f>
        <x:v>OPEN</x:v>
      </x:c>
      <x:c r="F1820" t="str">
        <x:f>IF('Release Gates'!C1780="PLANNING","PASS",IF('Release Gates'!C1780="PHYSICAL","OPEN","BLOCKED"))</x:f>
        <x:v>OPEN</x:v>
      </x:c>
      <x:c r="G1820" t="str">
        <x:v>equals</x:v>
      </x:c>
      <x:c r="H1820" t="str">
        <x:f>IF(E1820=F1820,"PASS","FAIL")</x:f>
        <x:v>PASS</x:v>
      </x:c>
    </x:row>
    <x:row r="1821">
      <x:c r="B1821" t="str">
        <x:v>A-01775</x:v>
      </x:c>
      <x:c r="C1821" t="str">
        <x:v>GATE</x:v>
      </x:c>
      <x:c r="D1821" t="str">
        <x:v>release state mirrors governing ledger</x:v>
      </x:c>
      <x:c r="E1821" t="str">
        <x:f>'Release Gates'!I1781</x:f>
        <x:v>OPEN</x:v>
      </x:c>
      <x:c r="F1821" t="str">
        <x:f>IF('Release Gates'!C1781="PLANNING","PASS",IF('Release Gates'!C1781="PHYSICAL","OPEN","BLOCKED"))</x:f>
        <x:v>OPEN</x:v>
      </x:c>
      <x:c r="G1821" t="str">
        <x:v>equals</x:v>
      </x:c>
      <x:c r="H1821" t="str">
        <x:f>IF(E1821=F1821,"PASS","FAIL")</x:f>
        <x:v>PASS</x:v>
      </x:c>
    </x:row>
    <x:row r="1822">
      <x:c r="B1822" t="str">
        <x:v>A-01776</x:v>
      </x:c>
      <x:c r="C1822" t="str">
        <x:v>GATE</x:v>
      </x:c>
      <x:c r="D1822" t="str">
        <x:v>release state mirrors governing ledger</x:v>
      </x:c>
      <x:c r="E1822" t="str">
        <x:f>'Release Gates'!I1782</x:f>
        <x:v>OPEN</x:v>
      </x:c>
      <x:c r="F1822" t="str">
        <x:f>IF('Release Gates'!C1782="PLANNING","PASS",IF('Release Gates'!C1782="PHYSICAL","OPEN","BLOCKED"))</x:f>
        <x:v>OPEN</x:v>
      </x:c>
      <x:c r="G1822" t="str">
        <x:v>equals</x:v>
      </x:c>
      <x:c r="H1822" t="str">
        <x:f>IF(E1822=F1822,"PASS","FAIL")</x:f>
        <x:v>PASS</x:v>
      </x:c>
    </x:row>
    <x:row r="1823">
      <x:c r="B1823" t="str">
        <x:v>A-01777</x:v>
      </x:c>
      <x:c r="C1823" t="str">
        <x:v>GATE</x:v>
      </x:c>
      <x:c r="D1823" t="str">
        <x:v>release state mirrors governing ledger</x:v>
      </x:c>
      <x:c r="E1823" t="str">
        <x:f>'Release Gates'!I1783</x:f>
        <x:v>OPEN</x:v>
      </x:c>
      <x:c r="F1823" t="str">
        <x:f>IF('Release Gates'!C1783="PLANNING","PASS",IF('Release Gates'!C1783="PHYSICAL","OPEN","BLOCKED"))</x:f>
        <x:v>OPEN</x:v>
      </x:c>
      <x:c r="G1823" t="str">
        <x:v>equals</x:v>
      </x:c>
      <x:c r="H1823" t="str">
        <x:f>IF(E1823=F1823,"PASS","FAIL")</x:f>
        <x:v>PASS</x:v>
      </x:c>
    </x:row>
    <x:row r="1824">
      <x:c r="B1824" t="str">
        <x:v>A-01778</x:v>
      </x:c>
      <x:c r="C1824" t="str">
        <x:v>GATE</x:v>
      </x:c>
      <x:c r="D1824" t="str">
        <x:v>release state mirrors governing ledger</x:v>
      </x:c>
      <x:c r="E1824" t="str">
        <x:f>'Release Gates'!I1784</x:f>
        <x:v>OPEN</x:v>
      </x:c>
      <x:c r="F1824" t="str">
        <x:f>IF('Release Gates'!C1784="PLANNING","PASS",IF('Release Gates'!C1784="PHYSICAL","OPEN","BLOCKED"))</x:f>
        <x:v>OPEN</x:v>
      </x:c>
      <x:c r="G1824" t="str">
        <x:v>equals</x:v>
      </x:c>
      <x:c r="H1824" t="str">
        <x:f>IF(E1824=F1824,"PASS","FAIL")</x:f>
        <x:v>PASS</x:v>
      </x:c>
    </x:row>
    <x:row r="1825">
      <x:c r="B1825" t="str">
        <x:v>A-01779</x:v>
      </x:c>
      <x:c r="C1825" t="str">
        <x:v>GATE</x:v>
      </x:c>
      <x:c r="D1825" t="str">
        <x:v>release state mirrors governing ledger</x:v>
      </x:c>
      <x:c r="E1825" t="str">
        <x:f>'Release Gates'!I1785</x:f>
        <x:v>OPEN</x:v>
      </x:c>
      <x:c r="F1825" t="str">
        <x:f>IF('Release Gates'!C1785="PLANNING","PASS",IF('Release Gates'!C1785="PHYSICAL","OPEN","BLOCKED"))</x:f>
        <x:v>OPEN</x:v>
      </x:c>
      <x:c r="G1825" t="str">
        <x:v>equals</x:v>
      </x:c>
      <x:c r="H1825" t="str">
        <x:f>IF(E1825=F1825,"PASS","FAIL")</x:f>
        <x:v>PASS</x:v>
      </x:c>
    </x:row>
    <x:row r="1826">
      <x:c r="B1826" t="str">
        <x:v>A-01780</x:v>
      </x:c>
      <x:c r="C1826" t="str">
        <x:v>GATE</x:v>
      </x:c>
      <x:c r="D1826" t="str">
        <x:v>release state mirrors governing ledger</x:v>
      </x:c>
      <x:c r="E1826" t="str">
        <x:f>'Release Gates'!I1786</x:f>
        <x:v>OPEN</x:v>
      </x:c>
      <x:c r="F1826" t="str">
        <x:f>IF('Release Gates'!C1786="PLANNING","PASS",IF('Release Gates'!C1786="PHYSICAL","OPEN","BLOCKED"))</x:f>
        <x:v>OPEN</x:v>
      </x:c>
      <x:c r="G1826" t="str">
        <x:v>equals</x:v>
      </x:c>
      <x:c r="H1826" t="str">
        <x:f>IF(E1826=F1826,"PASS","FAIL")</x:f>
        <x:v>PASS</x:v>
      </x:c>
    </x:row>
    <x:row r="1827">
      <x:c r="B1827" t="str">
        <x:v>A-01781</x:v>
      </x:c>
      <x:c r="C1827" t="str">
        <x:v>GATE</x:v>
      </x:c>
      <x:c r="D1827" t="str">
        <x:v>release state mirrors governing ledger</x:v>
      </x:c>
      <x:c r="E1827" t="str">
        <x:f>'Release Gates'!I1787</x:f>
        <x:v>OPEN</x:v>
      </x:c>
      <x:c r="F1827" t="str">
        <x:f>IF('Release Gates'!C1787="PLANNING","PASS",IF('Release Gates'!C1787="PHYSICAL","OPEN","BLOCKED"))</x:f>
        <x:v>OPEN</x:v>
      </x:c>
      <x:c r="G1827" t="str">
        <x:v>equals</x:v>
      </x:c>
      <x:c r="H1827" t="str">
        <x:f>IF(E1827=F1827,"PASS","FAIL")</x:f>
        <x:v>PASS</x:v>
      </x:c>
    </x:row>
    <x:row r="1828">
      <x:c r="B1828" t="str">
        <x:v>A-01782</x:v>
      </x:c>
      <x:c r="C1828" t="str">
        <x:v>GATE</x:v>
      </x:c>
      <x:c r="D1828" t="str">
        <x:v>release state mirrors governing ledger</x:v>
      </x:c>
      <x:c r="E1828" t="str">
        <x:f>'Release Gates'!I1788</x:f>
        <x:v>OPEN</x:v>
      </x:c>
      <x:c r="F1828" t="str">
        <x:f>IF('Release Gates'!C1788="PLANNING","PASS",IF('Release Gates'!C1788="PHYSICAL","OPEN","BLOCKED"))</x:f>
        <x:v>OPEN</x:v>
      </x:c>
      <x:c r="G1828" t="str">
        <x:v>equals</x:v>
      </x:c>
      <x:c r="H1828" t="str">
        <x:f>IF(E1828=F1828,"PASS","FAIL")</x:f>
        <x:v>PASS</x:v>
      </x:c>
    </x:row>
    <x:row r="1829">
      <x:c r="B1829" t="str">
        <x:v>A-01783</x:v>
      </x:c>
      <x:c r="C1829" t="str">
        <x:v>GATE</x:v>
      </x:c>
      <x:c r="D1829" t="str">
        <x:v>release state mirrors governing ledger</x:v>
      </x:c>
      <x:c r="E1829" t="str">
        <x:f>'Release Gates'!I1789</x:f>
        <x:v>OPEN</x:v>
      </x:c>
      <x:c r="F1829" t="str">
        <x:f>IF('Release Gates'!C1789="PLANNING","PASS",IF('Release Gates'!C1789="PHYSICAL","OPEN","BLOCKED"))</x:f>
        <x:v>OPEN</x:v>
      </x:c>
      <x:c r="G1829" t="str">
        <x:v>equals</x:v>
      </x:c>
      <x:c r="H1829" t="str">
        <x:f>IF(E1829=F1829,"PASS","FAIL")</x:f>
        <x:v>PASS</x:v>
      </x:c>
    </x:row>
    <x:row r="1830">
      <x:c r="B1830" t="str">
        <x:v>A-01784</x:v>
      </x:c>
      <x:c r="C1830" t="str">
        <x:v>GATE</x:v>
      </x:c>
      <x:c r="D1830" t="str">
        <x:v>release state mirrors governing ledger</x:v>
      </x:c>
      <x:c r="E1830" t="str">
        <x:f>'Release Gates'!I1790</x:f>
        <x:v>OPEN</x:v>
      </x:c>
      <x:c r="F1830" t="str">
        <x:f>IF('Release Gates'!C1790="PLANNING","PASS",IF('Release Gates'!C1790="PHYSICAL","OPEN","BLOCKED"))</x:f>
        <x:v>OPEN</x:v>
      </x:c>
      <x:c r="G1830" t="str">
        <x:v>equals</x:v>
      </x:c>
      <x:c r="H1830" t="str">
        <x:f>IF(E1830=F1830,"PASS","FAIL")</x:f>
        <x:v>PASS</x:v>
      </x:c>
    </x:row>
    <x:row r="1831">
      <x:c r="B1831" t="str">
        <x:v>A-01785</x:v>
      </x:c>
      <x:c r="C1831" t="str">
        <x:v>GATE</x:v>
      </x:c>
      <x:c r="D1831" t="str">
        <x:v>release state mirrors governing ledger</x:v>
      </x:c>
      <x:c r="E1831" t="str">
        <x:f>'Release Gates'!I1791</x:f>
        <x:v>OPEN</x:v>
      </x:c>
      <x:c r="F1831" t="str">
        <x:f>IF('Release Gates'!C1791="PLANNING","PASS",IF('Release Gates'!C1791="PHYSICAL","OPEN","BLOCKED"))</x:f>
        <x:v>OPEN</x:v>
      </x:c>
      <x:c r="G1831" t="str">
        <x:v>equals</x:v>
      </x:c>
      <x:c r="H1831" t="str">
        <x:f>IF(E1831=F1831,"PASS","FAIL")</x:f>
        <x:v>PASS</x:v>
      </x:c>
    </x:row>
    <x:row r="1832">
      <x:c r="B1832" t="str">
        <x:v>A-01786</x:v>
      </x:c>
      <x:c r="C1832" t="str">
        <x:v>GATE</x:v>
      </x:c>
      <x:c r="D1832" t="str">
        <x:v>release state mirrors governing ledger</x:v>
      </x:c>
      <x:c r="E1832" t="str">
        <x:f>'Release Gates'!I1792</x:f>
        <x:v>OPEN</x:v>
      </x:c>
      <x:c r="F1832" t="str">
        <x:f>IF('Release Gates'!C1792="PLANNING","PASS",IF('Release Gates'!C1792="PHYSICAL","OPEN","BLOCKED"))</x:f>
        <x:v>OPEN</x:v>
      </x:c>
      <x:c r="G1832" t="str">
        <x:v>equals</x:v>
      </x:c>
      <x:c r="H1832" t="str">
        <x:f>IF(E1832=F1832,"PASS","FAIL")</x:f>
        <x:v>PASS</x:v>
      </x:c>
    </x:row>
    <x:row r="1833">
      <x:c r="B1833" t="str">
        <x:v>A-01787</x:v>
      </x:c>
      <x:c r="C1833" t="str">
        <x:v>GATE</x:v>
      </x:c>
      <x:c r="D1833" t="str">
        <x:v>release state mirrors governing ledger</x:v>
      </x:c>
      <x:c r="E1833" t="str">
        <x:f>'Release Gates'!I1793</x:f>
        <x:v>OPEN</x:v>
      </x:c>
      <x:c r="F1833" t="str">
        <x:f>IF('Release Gates'!C1793="PLANNING","PASS",IF('Release Gates'!C1793="PHYSICAL","OPEN","BLOCKED"))</x:f>
        <x:v>OPEN</x:v>
      </x:c>
      <x:c r="G1833" t="str">
        <x:v>equals</x:v>
      </x:c>
      <x:c r="H1833" t="str">
        <x:f>IF(E1833=F1833,"PASS","FAIL")</x:f>
        <x:v>PASS</x:v>
      </x:c>
    </x:row>
    <x:row r="1834">
      <x:c r="B1834" t="str">
        <x:v>A-01788</x:v>
      </x:c>
      <x:c r="C1834" t="str">
        <x:v>GATE</x:v>
      </x:c>
      <x:c r="D1834" t="str">
        <x:v>release state mirrors governing ledger</x:v>
      </x:c>
      <x:c r="E1834" t="str">
        <x:f>'Release Gates'!I1794</x:f>
        <x:v>OPEN</x:v>
      </x:c>
      <x:c r="F1834" t="str">
        <x:f>IF('Release Gates'!C1794="PLANNING","PASS",IF('Release Gates'!C1794="PHYSICAL","OPEN","BLOCKED"))</x:f>
        <x:v>OPEN</x:v>
      </x:c>
      <x:c r="G1834" t="str">
        <x:v>equals</x:v>
      </x:c>
      <x:c r="H1834" t="str">
        <x:f>IF(E1834=F1834,"PASS","FAIL")</x:f>
        <x:v>PASS</x:v>
      </x:c>
    </x:row>
    <x:row r="1835">
      <x:c r="B1835" t="str">
        <x:v>A-01789</x:v>
      </x:c>
      <x:c r="C1835" t="str">
        <x:v>GATE</x:v>
      </x:c>
      <x:c r="D1835" t="str">
        <x:v>release state mirrors governing ledger</x:v>
      </x:c>
      <x:c r="E1835" t="str">
        <x:f>'Release Gates'!I1795</x:f>
        <x:v>OPEN</x:v>
      </x:c>
      <x:c r="F1835" t="str">
        <x:f>IF('Release Gates'!C1795="PLANNING","PASS",IF('Release Gates'!C1795="PHYSICAL","OPEN","BLOCKED"))</x:f>
        <x:v>OPEN</x:v>
      </x:c>
      <x:c r="G1835" t="str">
        <x:v>equals</x:v>
      </x:c>
      <x:c r="H1835" t="str">
        <x:f>IF(E1835=F1835,"PASS","FAIL")</x:f>
        <x:v>PASS</x:v>
      </x:c>
    </x:row>
    <x:row r="1836">
      <x:c r="B1836" t="str">
        <x:v>A-01790</x:v>
      </x:c>
      <x:c r="C1836" t="str">
        <x:v>GATE</x:v>
      </x:c>
      <x:c r="D1836" t="str">
        <x:v>release state mirrors governing ledger</x:v>
      </x:c>
      <x:c r="E1836" t="str">
        <x:f>'Release Gates'!I1796</x:f>
        <x:v>OPEN</x:v>
      </x:c>
      <x:c r="F1836" t="str">
        <x:f>IF('Release Gates'!C1796="PLANNING","PASS",IF('Release Gates'!C1796="PHYSICAL","OPEN","BLOCKED"))</x:f>
        <x:v>OPEN</x:v>
      </x:c>
      <x:c r="G1836" t="str">
        <x:v>equals</x:v>
      </x:c>
      <x:c r="H1836" t="str">
        <x:f>IF(E1836=F1836,"PASS","FAIL")</x:f>
        <x:v>PASS</x:v>
      </x:c>
    </x:row>
    <x:row r="1837">
      <x:c r="B1837" t="str">
        <x:v>A-01791</x:v>
      </x:c>
      <x:c r="C1837" t="str">
        <x:v>GATE</x:v>
      </x:c>
      <x:c r="D1837" t="str">
        <x:v>release state mirrors governing ledger</x:v>
      </x:c>
      <x:c r="E1837" t="str">
        <x:f>'Release Gates'!I1797</x:f>
        <x:v>OPEN</x:v>
      </x:c>
      <x:c r="F1837" t="str">
        <x:f>IF('Release Gates'!C1797="PLANNING","PASS",IF('Release Gates'!C1797="PHYSICAL","OPEN","BLOCKED"))</x:f>
        <x:v>OPEN</x:v>
      </x:c>
      <x:c r="G1837" t="str">
        <x:v>equals</x:v>
      </x:c>
      <x:c r="H1837" t="str">
        <x:f>IF(E1837=F1837,"PASS","FAIL")</x:f>
        <x:v>PASS</x:v>
      </x:c>
    </x:row>
    <x:row r="1838">
      <x:c r="B1838" t="str">
        <x:v>A-01792</x:v>
      </x:c>
      <x:c r="C1838" t="str">
        <x:v>GATE</x:v>
      </x:c>
      <x:c r="D1838" t="str">
        <x:v>release state mirrors governing ledger</x:v>
      </x:c>
      <x:c r="E1838" t="str">
        <x:f>'Release Gates'!I1798</x:f>
        <x:v>OPEN</x:v>
      </x:c>
      <x:c r="F1838" t="str">
        <x:f>IF('Release Gates'!C1798="PLANNING","PASS",IF('Release Gates'!C1798="PHYSICAL","OPEN","BLOCKED"))</x:f>
        <x:v>OPEN</x:v>
      </x:c>
      <x:c r="G1838" t="str">
        <x:v>equals</x:v>
      </x:c>
      <x:c r="H1838" t="str">
        <x:f>IF(E1838=F1838,"PASS","FAIL")</x:f>
        <x:v>PASS</x:v>
      </x:c>
    </x:row>
    <x:row r="1839">
      <x:c r="B1839" t="str">
        <x:v>A-01793</x:v>
      </x:c>
      <x:c r="C1839" t="str">
        <x:v>GATE</x:v>
      </x:c>
      <x:c r="D1839" t="str">
        <x:v>release state mirrors governing ledger</x:v>
      </x:c>
      <x:c r="E1839" t="str">
        <x:f>'Release Gates'!I1799</x:f>
        <x:v>OPEN</x:v>
      </x:c>
      <x:c r="F1839" t="str">
        <x:f>IF('Release Gates'!C1799="PLANNING","PASS",IF('Release Gates'!C1799="PHYSICAL","OPEN","BLOCKED"))</x:f>
        <x:v>OPEN</x:v>
      </x:c>
      <x:c r="G1839" t="str">
        <x:v>equals</x:v>
      </x:c>
      <x:c r="H1839" t="str">
        <x:f>IF(E1839=F1839,"PASS","FAIL")</x:f>
        <x:v>PASS</x:v>
      </x:c>
    </x:row>
    <x:row r="1840">
      <x:c r="B1840" t="str">
        <x:v>A-01794</x:v>
      </x:c>
      <x:c r="C1840" t="str">
        <x:v>GATE</x:v>
      </x:c>
      <x:c r="D1840" t="str">
        <x:v>release state mirrors governing ledger</x:v>
      </x:c>
      <x:c r="E1840" t="str">
        <x:f>'Release Gates'!I1800</x:f>
        <x:v>OPEN</x:v>
      </x:c>
      <x:c r="F1840" t="str">
        <x:f>IF('Release Gates'!C1800="PLANNING","PASS",IF('Release Gates'!C1800="PHYSICAL","OPEN","BLOCKED"))</x:f>
        <x:v>OPEN</x:v>
      </x:c>
      <x:c r="G1840" t="str">
        <x:v>equals</x:v>
      </x:c>
      <x:c r="H1840" t="str">
        <x:f>IF(E1840=F1840,"PASS","FAIL")</x:f>
        <x:v>PASS</x:v>
      </x:c>
    </x:row>
    <x:row r="1841">
      <x:c r="B1841" t="str">
        <x:v>A-01795</x:v>
      </x:c>
      <x:c r="C1841" t="str">
        <x:v>GATE</x:v>
      </x:c>
      <x:c r="D1841" t="str">
        <x:v>release state mirrors governing ledger</x:v>
      </x:c>
      <x:c r="E1841" t="str">
        <x:f>'Release Gates'!I1801</x:f>
        <x:v>OPEN</x:v>
      </x:c>
      <x:c r="F1841" t="str">
        <x:f>IF('Release Gates'!C1801="PLANNING","PASS",IF('Release Gates'!C1801="PHYSICAL","OPEN","BLOCKED"))</x:f>
        <x:v>OPEN</x:v>
      </x:c>
      <x:c r="G1841" t="str">
        <x:v>equals</x:v>
      </x:c>
      <x:c r="H1841" t="str">
        <x:f>IF(E1841=F1841,"PASS","FAIL")</x:f>
        <x:v>PASS</x:v>
      </x:c>
    </x:row>
    <x:row r="1842">
      <x:c r="B1842" t="str">
        <x:v>A-01796</x:v>
      </x:c>
      <x:c r="C1842" t="str">
        <x:v>GATE</x:v>
      </x:c>
      <x:c r="D1842" t="str">
        <x:v>release state mirrors governing ledger</x:v>
      </x:c>
      <x:c r="E1842" t="str">
        <x:f>'Release Gates'!I1802</x:f>
        <x:v>OPEN</x:v>
      </x:c>
      <x:c r="F1842" t="str">
        <x:f>IF('Release Gates'!C1802="PLANNING","PASS",IF('Release Gates'!C1802="PHYSICAL","OPEN","BLOCKED"))</x:f>
        <x:v>OPEN</x:v>
      </x:c>
      <x:c r="G1842" t="str">
        <x:v>equals</x:v>
      </x:c>
      <x:c r="H1842" t="str">
        <x:f>IF(E1842=F1842,"PASS","FAIL")</x:f>
        <x:v>PASS</x:v>
      </x:c>
    </x:row>
    <x:row r="1843">
      <x:c r="B1843" t="str">
        <x:v>A-01797</x:v>
      </x:c>
      <x:c r="C1843" t="str">
        <x:v>GATE</x:v>
      </x:c>
      <x:c r="D1843" t="str">
        <x:v>release state mirrors governing ledger</x:v>
      </x:c>
      <x:c r="E1843" t="str">
        <x:f>'Release Gates'!I1803</x:f>
        <x:v>OPEN</x:v>
      </x:c>
      <x:c r="F1843" t="str">
        <x:f>IF('Release Gates'!C1803="PLANNING","PASS",IF('Release Gates'!C1803="PHYSICAL","OPEN","BLOCKED"))</x:f>
        <x:v>OPEN</x:v>
      </x:c>
      <x:c r="G1843" t="str">
        <x:v>equals</x:v>
      </x:c>
      <x:c r="H1843" t="str">
        <x:f>IF(E1843=F1843,"PASS","FAIL")</x:f>
        <x:v>PASS</x:v>
      </x:c>
    </x:row>
    <x:row r="1844">
      <x:c r="B1844" t="str">
        <x:v>A-01798</x:v>
      </x:c>
      <x:c r="C1844" t="str">
        <x:v>GATE</x:v>
      </x:c>
      <x:c r="D1844" t="str">
        <x:v>release state mirrors governing ledger</x:v>
      </x:c>
      <x:c r="E1844" t="str">
        <x:f>'Release Gates'!I1804</x:f>
        <x:v>OPEN</x:v>
      </x:c>
      <x:c r="F1844" t="str">
        <x:f>IF('Release Gates'!C1804="PLANNING","PASS",IF('Release Gates'!C1804="PHYSICAL","OPEN","BLOCKED"))</x:f>
        <x:v>OPEN</x:v>
      </x:c>
      <x:c r="G1844" t="str">
        <x:v>equals</x:v>
      </x:c>
      <x:c r="H1844" t="str">
        <x:f>IF(E1844=F1844,"PASS","FAIL")</x:f>
        <x:v>PASS</x:v>
      </x:c>
    </x:row>
    <x:row r="1845">
      <x:c r="B1845" t="str">
        <x:v>A-01799</x:v>
      </x:c>
      <x:c r="C1845" t="str">
        <x:v>GATE</x:v>
      </x:c>
      <x:c r="D1845" t="str">
        <x:v>release state mirrors governing ledger</x:v>
      </x:c>
      <x:c r="E1845" t="str">
        <x:f>'Release Gates'!I1805</x:f>
        <x:v>OPEN</x:v>
      </x:c>
      <x:c r="F1845" t="str">
        <x:f>IF('Release Gates'!C1805="PLANNING","PASS",IF('Release Gates'!C1805="PHYSICAL","OPEN","BLOCKED"))</x:f>
        <x:v>OPEN</x:v>
      </x:c>
      <x:c r="G1845" t="str">
        <x:v>equals</x:v>
      </x:c>
      <x:c r="H1845" t="str">
        <x:f>IF(E1845=F1845,"PASS","FAIL")</x:f>
        <x:v>PASS</x:v>
      </x:c>
    </x:row>
    <x:row r="1846">
      <x:c r="B1846" t="str">
        <x:v>A-01800</x:v>
      </x:c>
      <x:c r="C1846" t="str">
        <x:v>GATE</x:v>
      </x:c>
      <x:c r="D1846" t="str">
        <x:v>release state mirrors governing ledger</x:v>
      </x:c>
      <x:c r="E1846" t="str">
        <x:f>'Release Gates'!I1806</x:f>
        <x:v>OPEN</x:v>
      </x:c>
      <x:c r="F1846" t="str">
        <x:f>IF('Release Gates'!C1806="PLANNING","PASS",IF('Release Gates'!C1806="PHYSICAL","OPEN","BLOCKED"))</x:f>
        <x:v>OPEN</x:v>
      </x:c>
      <x:c r="G1846" t="str">
        <x:v>equals</x:v>
      </x:c>
      <x:c r="H1846" t="str">
        <x:f>IF(E1846=F1846,"PASS","FAIL")</x:f>
        <x:v>PASS</x:v>
      </x:c>
    </x:row>
    <x:row r="1847">
      <x:c r="B1847" t="str">
        <x:v>A-01801</x:v>
      </x:c>
      <x:c r="C1847" t="str">
        <x:v>GATE</x:v>
      </x:c>
      <x:c r="D1847" t="str">
        <x:v>release state mirrors governing ledger</x:v>
      </x:c>
      <x:c r="E1847" t="str">
        <x:f>'Release Gates'!I1807</x:f>
        <x:v>OPEN</x:v>
      </x:c>
      <x:c r="F1847" t="str">
        <x:f>IF('Release Gates'!C1807="PLANNING","PASS",IF('Release Gates'!C1807="PHYSICAL","OPEN","BLOCKED"))</x:f>
        <x:v>OPEN</x:v>
      </x:c>
      <x:c r="G1847" t="str">
        <x:v>equals</x:v>
      </x:c>
      <x:c r="H1847" t="str">
        <x:f>IF(E1847=F1847,"PASS","FAIL")</x:f>
        <x:v>PASS</x:v>
      </x:c>
    </x:row>
    <x:row r="1848">
      <x:c r="B1848" t="str">
        <x:v>A-01802</x:v>
      </x:c>
      <x:c r="C1848" t="str">
        <x:v>GATE</x:v>
      </x:c>
      <x:c r="D1848" t="str">
        <x:v>release state mirrors governing ledger</x:v>
      </x:c>
      <x:c r="E1848" t="str">
        <x:f>'Release Gates'!I1808</x:f>
        <x:v>OPEN</x:v>
      </x:c>
      <x:c r="F1848" t="str">
        <x:f>IF('Release Gates'!C1808="PLANNING","PASS",IF('Release Gates'!C1808="PHYSICAL","OPEN","BLOCKED"))</x:f>
        <x:v>OPEN</x:v>
      </x:c>
      <x:c r="G1848" t="str">
        <x:v>equals</x:v>
      </x:c>
      <x:c r="H1848" t="str">
        <x:f>IF(E1848=F1848,"PASS","FAIL")</x:f>
        <x:v>PASS</x:v>
      </x:c>
    </x:row>
    <x:row r="1849">
      <x:c r="B1849" t="str">
        <x:v>A-01803</x:v>
      </x:c>
      <x:c r="C1849" t="str">
        <x:v>GATE</x:v>
      </x:c>
      <x:c r="D1849" t="str">
        <x:v>release state mirrors governing ledger</x:v>
      </x:c>
      <x:c r="E1849" t="str">
        <x:f>'Release Gates'!I1809</x:f>
        <x:v>OPEN</x:v>
      </x:c>
      <x:c r="F1849" t="str">
        <x:f>IF('Release Gates'!C1809="PLANNING","PASS",IF('Release Gates'!C1809="PHYSICAL","OPEN","BLOCKED"))</x:f>
        <x:v>OPEN</x:v>
      </x:c>
      <x:c r="G1849" t="str">
        <x:v>equals</x:v>
      </x:c>
      <x:c r="H1849" t="str">
        <x:f>IF(E1849=F1849,"PASS","FAIL")</x:f>
        <x:v>PASS</x:v>
      </x:c>
    </x:row>
    <x:row r="1850">
      <x:c r="B1850" t="str">
        <x:v>A-01804</x:v>
      </x:c>
      <x:c r="C1850" t="str">
        <x:v>GATE</x:v>
      </x:c>
      <x:c r="D1850" t="str">
        <x:v>release state mirrors governing ledger</x:v>
      </x:c>
      <x:c r="E1850" t="str">
        <x:f>'Release Gates'!I1810</x:f>
        <x:v>OPEN</x:v>
      </x:c>
      <x:c r="F1850" t="str">
        <x:f>IF('Release Gates'!C1810="PLANNING","PASS",IF('Release Gates'!C1810="PHYSICAL","OPEN","BLOCKED"))</x:f>
        <x:v>OPEN</x:v>
      </x:c>
      <x:c r="G1850" t="str">
        <x:v>equals</x:v>
      </x:c>
      <x:c r="H1850" t="str">
        <x:f>IF(E1850=F1850,"PASS","FAIL")</x:f>
        <x:v>PASS</x:v>
      </x:c>
    </x:row>
    <x:row r="1851">
      <x:c r="B1851" t="str">
        <x:v>A-01805</x:v>
      </x:c>
      <x:c r="C1851" t="str">
        <x:v>GATE</x:v>
      </x:c>
      <x:c r="D1851" t="str">
        <x:v>release state mirrors governing ledger</x:v>
      </x:c>
      <x:c r="E1851" t="str">
        <x:f>'Release Gates'!I1811</x:f>
        <x:v>OPEN</x:v>
      </x:c>
      <x:c r="F1851" t="str">
        <x:f>IF('Release Gates'!C1811="PLANNING","PASS",IF('Release Gates'!C1811="PHYSICAL","OPEN","BLOCKED"))</x:f>
        <x:v>OPEN</x:v>
      </x:c>
      <x:c r="G1851" t="str">
        <x:v>equals</x:v>
      </x:c>
      <x:c r="H1851" t="str">
        <x:f>IF(E1851=F1851,"PASS","FAIL")</x:f>
        <x:v>PASS</x:v>
      </x:c>
    </x:row>
    <x:row r="1852">
      <x:c r="B1852" t="str">
        <x:v>A-01806</x:v>
      </x:c>
      <x:c r="C1852" t="str">
        <x:v>GATE</x:v>
      </x:c>
      <x:c r="D1852" t="str">
        <x:v>release state mirrors governing ledger</x:v>
      </x:c>
      <x:c r="E1852" t="str">
        <x:f>'Release Gates'!I1812</x:f>
        <x:v>OPEN</x:v>
      </x:c>
      <x:c r="F1852" t="str">
        <x:f>IF('Release Gates'!C1812="PLANNING","PASS",IF('Release Gates'!C1812="PHYSICAL","OPEN","BLOCKED"))</x:f>
        <x:v>OPEN</x:v>
      </x:c>
      <x:c r="G1852" t="str">
        <x:v>equals</x:v>
      </x:c>
      <x:c r="H1852" t="str">
        <x:f>IF(E1852=F1852,"PASS","FAIL")</x:f>
        <x:v>PASS</x:v>
      </x:c>
    </x:row>
    <x:row r="1853">
      <x:c r="B1853" t="str">
        <x:v>A-01807</x:v>
      </x:c>
      <x:c r="C1853" t="str">
        <x:v>GATE</x:v>
      </x:c>
      <x:c r="D1853" t="str">
        <x:v>release state mirrors governing ledger</x:v>
      </x:c>
      <x:c r="E1853" t="str">
        <x:f>'Release Gates'!I1813</x:f>
        <x:v>OPEN</x:v>
      </x:c>
      <x:c r="F1853" t="str">
        <x:f>IF('Release Gates'!C1813="PLANNING","PASS",IF('Release Gates'!C1813="PHYSICAL","OPEN","BLOCKED"))</x:f>
        <x:v>OPEN</x:v>
      </x:c>
      <x:c r="G1853" t="str">
        <x:v>equals</x:v>
      </x:c>
      <x:c r="H1853" t="str">
        <x:f>IF(E1853=F1853,"PASS","FAIL")</x:f>
        <x:v>PASS</x:v>
      </x:c>
    </x:row>
    <x:row r="1854">
      <x:c r="B1854" t="str">
        <x:v>A-01808</x:v>
      </x:c>
      <x:c r="C1854" t="str">
        <x:v>GATE</x:v>
      </x:c>
      <x:c r="D1854" t="str">
        <x:v>release state mirrors governing ledger</x:v>
      </x:c>
      <x:c r="E1854" t="str">
        <x:f>'Release Gates'!I1814</x:f>
        <x:v>OPEN</x:v>
      </x:c>
      <x:c r="F1854" t="str">
        <x:f>IF('Release Gates'!C1814="PLANNING","PASS",IF('Release Gates'!C1814="PHYSICAL","OPEN","BLOCKED"))</x:f>
        <x:v>OPEN</x:v>
      </x:c>
      <x:c r="G1854" t="str">
        <x:v>equals</x:v>
      </x:c>
      <x:c r="H1854" t="str">
        <x:f>IF(E1854=F1854,"PASS","FAIL")</x:f>
        <x:v>PASS</x:v>
      </x:c>
    </x:row>
    <x:row r="1855">
      <x:c r="B1855" t="str">
        <x:v>A-01809</x:v>
      </x:c>
      <x:c r="C1855" t="str">
        <x:v>GATE</x:v>
      </x:c>
      <x:c r="D1855" t="str">
        <x:v>release state mirrors governing ledger</x:v>
      </x:c>
      <x:c r="E1855" t="str">
        <x:f>'Release Gates'!I1815</x:f>
        <x:v>OPEN</x:v>
      </x:c>
      <x:c r="F1855" t="str">
        <x:f>IF('Release Gates'!C1815="PLANNING","PASS",IF('Release Gates'!C1815="PHYSICAL","OPEN","BLOCKED"))</x:f>
        <x:v>OPEN</x:v>
      </x:c>
      <x:c r="G1855" t="str">
        <x:v>equals</x:v>
      </x:c>
      <x:c r="H1855" t="str">
        <x:f>IF(E1855=F1855,"PASS","FAIL")</x:f>
        <x:v>PASS</x:v>
      </x:c>
    </x:row>
    <x:row r="1856">
      <x:c r="B1856" t="str">
        <x:v>A-01810</x:v>
      </x:c>
      <x:c r="C1856" t="str">
        <x:v>GATE</x:v>
      </x:c>
      <x:c r="D1856" t="str">
        <x:v>release state mirrors governing ledger</x:v>
      </x:c>
      <x:c r="E1856" t="str">
        <x:f>'Release Gates'!I1816</x:f>
        <x:v>OPEN</x:v>
      </x:c>
      <x:c r="F1856" t="str">
        <x:f>IF('Release Gates'!C1816="PLANNING","PASS",IF('Release Gates'!C1816="PHYSICAL","OPEN","BLOCKED"))</x:f>
        <x:v>OPEN</x:v>
      </x:c>
      <x:c r="G1856" t="str">
        <x:v>equals</x:v>
      </x:c>
      <x:c r="H1856" t="str">
        <x:f>IF(E1856=F1856,"PASS","FAIL")</x:f>
        <x:v>PASS</x:v>
      </x:c>
    </x:row>
    <x:row r="1857">
      <x:c r="B1857" t="str">
        <x:v>A-01811</x:v>
      </x:c>
      <x:c r="C1857" t="str">
        <x:v>GATE</x:v>
      </x:c>
      <x:c r="D1857" t="str">
        <x:v>release state mirrors governing ledger</x:v>
      </x:c>
      <x:c r="E1857" t="str">
        <x:f>'Release Gates'!I1817</x:f>
        <x:v>OPEN</x:v>
      </x:c>
      <x:c r="F1857" t="str">
        <x:f>IF('Release Gates'!C1817="PLANNING","PASS",IF('Release Gates'!C1817="PHYSICAL","OPEN","BLOCKED"))</x:f>
        <x:v>OPEN</x:v>
      </x:c>
      <x:c r="G1857" t="str">
        <x:v>equals</x:v>
      </x:c>
      <x:c r="H1857" t="str">
        <x:f>IF(E1857=F1857,"PASS","FAIL")</x:f>
        <x:v>PASS</x:v>
      </x:c>
    </x:row>
    <x:row r="1858">
      <x:c r="B1858" t="str">
        <x:v>A-01812</x:v>
      </x:c>
      <x:c r="C1858" t="str">
        <x:v>GATE</x:v>
      </x:c>
      <x:c r="D1858" t="str">
        <x:v>release state mirrors governing ledger</x:v>
      </x:c>
      <x:c r="E1858" t="str">
        <x:f>'Release Gates'!I1818</x:f>
        <x:v>OPEN</x:v>
      </x:c>
      <x:c r="F1858" t="str">
        <x:f>IF('Release Gates'!C1818="PLANNING","PASS",IF('Release Gates'!C1818="PHYSICAL","OPEN","BLOCKED"))</x:f>
        <x:v>OPEN</x:v>
      </x:c>
      <x:c r="G1858" t="str">
        <x:v>equals</x:v>
      </x:c>
      <x:c r="H1858" t="str">
        <x:f>IF(E1858=F1858,"PASS","FAIL")</x:f>
        <x:v>PASS</x:v>
      </x:c>
    </x:row>
    <x:row r="1859">
      <x:c r="B1859" t="str">
        <x:v>A-01813</x:v>
      </x:c>
      <x:c r="C1859" t="str">
        <x:v>GATE</x:v>
      </x:c>
      <x:c r="D1859" t="str">
        <x:v>release state mirrors governing ledger</x:v>
      </x:c>
      <x:c r="E1859" t="str">
        <x:f>'Release Gates'!I1819</x:f>
        <x:v>OPEN</x:v>
      </x:c>
      <x:c r="F1859" t="str">
        <x:f>IF('Release Gates'!C1819="PLANNING","PASS",IF('Release Gates'!C1819="PHYSICAL","OPEN","BLOCKED"))</x:f>
        <x:v>OPEN</x:v>
      </x:c>
      <x:c r="G1859" t="str">
        <x:v>equals</x:v>
      </x:c>
      <x:c r="H1859" t="str">
        <x:f>IF(E1859=F1859,"PASS","FAIL")</x:f>
        <x:v>PASS</x:v>
      </x:c>
    </x:row>
    <x:row r="1860">
      <x:c r="B1860" t="str">
        <x:v>A-01814</x:v>
      </x:c>
      <x:c r="C1860" t="str">
        <x:v>GATE</x:v>
      </x:c>
      <x:c r="D1860" t="str">
        <x:v>release state mirrors governing ledger</x:v>
      </x:c>
      <x:c r="E1860" t="str">
        <x:f>'Release Gates'!I1820</x:f>
        <x:v>OPEN</x:v>
      </x:c>
      <x:c r="F1860" t="str">
        <x:f>IF('Release Gates'!C1820="PLANNING","PASS",IF('Release Gates'!C1820="PHYSICAL","OPEN","BLOCKED"))</x:f>
        <x:v>OPEN</x:v>
      </x:c>
      <x:c r="G1860" t="str">
        <x:v>equals</x:v>
      </x:c>
      <x:c r="H1860" t="str">
        <x:f>IF(E1860=F1860,"PASS","FAIL")</x:f>
        <x:v>PASS</x:v>
      </x:c>
    </x:row>
    <x:row r="1861">
      <x:c r="B1861" t="str">
        <x:v>A-01815</x:v>
      </x:c>
      <x:c r="C1861" t="str">
        <x:v>GATE</x:v>
      </x:c>
      <x:c r="D1861" t="str">
        <x:v>release state mirrors governing ledger</x:v>
      </x:c>
      <x:c r="E1861" t="str">
        <x:f>'Release Gates'!I1821</x:f>
        <x:v>OPEN</x:v>
      </x:c>
      <x:c r="F1861" t="str">
        <x:f>IF('Release Gates'!C1821="PLANNING","PASS",IF('Release Gates'!C1821="PHYSICAL","OPEN","BLOCKED"))</x:f>
        <x:v>OPEN</x:v>
      </x:c>
      <x:c r="G1861" t="str">
        <x:v>equals</x:v>
      </x:c>
      <x:c r="H1861" t="str">
        <x:f>IF(E1861=F1861,"PASS","FAIL")</x:f>
        <x:v>PASS</x:v>
      </x:c>
    </x:row>
    <x:row r="1862">
      <x:c r="B1862" t="str">
        <x:v>A-01816</x:v>
      </x:c>
      <x:c r="C1862" t="str">
        <x:v>GATE</x:v>
      </x:c>
      <x:c r="D1862" t="str">
        <x:v>release state mirrors governing ledger</x:v>
      </x:c>
      <x:c r="E1862" t="str">
        <x:f>'Release Gates'!I1822</x:f>
        <x:v>OPEN</x:v>
      </x:c>
      <x:c r="F1862" t="str">
        <x:f>IF('Release Gates'!C1822="PLANNING","PASS",IF('Release Gates'!C1822="PHYSICAL","OPEN","BLOCKED"))</x:f>
        <x:v>OPEN</x:v>
      </x:c>
      <x:c r="G1862" t="str">
        <x:v>equals</x:v>
      </x:c>
      <x:c r="H1862" t="str">
        <x:f>IF(E1862=F1862,"PASS","FAIL")</x:f>
        <x:v>PASS</x:v>
      </x:c>
    </x:row>
    <x:row r="1863">
      <x:c r="B1863" t="str">
        <x:v>A-01817</x:v>
      </x:c>
      <x:c r="C1863" t="str">
        <x:v>GATE</x:v>
      </x:c>
      <x:c r="D1863" t="str">
        <x:v>release state mirrors governing ledger</x:v>
      </x:c>
      <x:c r="E1863" t="str">
        <x:f>'Release Gates'!I1823</x:f>
        <x:v>OPEN</x:v>
      </x:c>
      <x:c r="F1863" t="str">
        <x:f>IF('Release Gates'!C1823="PLANNING","PASS",IF('Release Gates'!C1823="PHYSICAL","OPEN","BLOCKED"))</x:f>
        <x:v>OPEN</x:v>
      </x:c>
      <x:c r="G1863" t="str">
        <x:v>equals</x:v>
      </x:c>
      <x:c r="H1863" t="str">
        <x:f>IF(E1863=F1863,"PASS","FAIL")</x:f>
        <x:v>PASS</x:v>
      </x:c>
    </x:row>
    <x:row r="1864">
      <x:c r="B1864" t="str">
        <x:v>A-01818</x:v>
      </x:c>
      <x:c r="C1864" t="str">
        <x:v>GATE</x:v>
      </x:c>
      <x:c r="D1864" t="str">
        <x:v>release state mirrors governing ledger</x:v>
      </x:c>
      <x:c r="E1864" t="str">
        <x:f>'Release Gates'!I1824</x:f>
        <x:v>OPEN</x:v>
      </x:c>
      <x:c r="F1864" t="str">
        <x:f>IF('Release Gates'!C1824="PLANNING","PASS",IF('Release Gates'!C1824="PHYSICAL","OPEN","BLOCKED"))</x:f>
        <x:v>OPEN</x:v>
      </x:c>
      <x:c r="G1864" t="str">
        <x:v>equals</x:v>
      </x:c>
      <x:c r="H1864" t="str">
        <x:f>IF(E1864=F1864,"PASS","FAIL")</x:f>
        <x:v>PASS</x:v>
      </x:c>
    </x:row>
    <x:row r="1865">
      <x:c r="B1865" t="str">
        <x:v>A-01819</x:v>
      </x:c>
      <x:c r="C1865" t="str">
        <x:v>GATE</x:v>
      </x:c>
      <x:c r="D1865" t="str">
        <x:v>release state mirrors governing ledger</x:v>
      </x:c>
      <x:c r="E1865" t="str">
        <x:f>'Release Gates'!I1825</x:f>
        <x:v>OPEN</x:v>
      </x:c>
      <x:c r="F1865" t="str">
        <x:f>IF('Release Gates'!C1825="PLANNING","PASS",IF('Release Gates'!C1825="PHYSICAL","OPEN","BLOCKED"))</x:f>
        <x:v>OPEN</x:v>
      </x:c>
      <x:c r="G1865" t="str">
        <x:v>equals</x:v>
      </x:c>
      <x:c r="H1865" t="str">
        <x:f>IF(E1865=F1865,"PASS","FAIL")</x:f>
        <x:v>PASS</x:v>
      </x:c>
    </x:row>
    <x:row r="1866">
      <x:c r="B1866" t="str">
        <x:v>A-01820</x:v>
      </x:c>
      <x:c r="C1866" t="str">
        <x:v>GATE</x:v>
      </x:c>
      <x:c r="D1866" t="str">
        <x:v>release state mirrors governing ledger</x:v>
      </x:c>
      <x:c r="E1866" t="str">
        <x:f>'Release Gates'!I1826</x:f>
        <x:v>OPEN</x:v>
      </x:c>
      <x:c r="F1866" t="str">
        <x:f>IF('Release Gates'!C1826="PLANNING","PASS",IF('Release Gates'!C1826="PHYSICAL","OPEN","BLOCKED"))</x:f>
        <x:v>OPEN</x:v>
      </x:c>
      <x:c r="G1866" t="str">
        <x:v>equals</x:v>
      </x:c>
      <x:c r="H1866" t="str">
        <x:f>IF(E1866=F1866,"PASS","FAIL")</x:f>
        <x:v>PASS</x:v>
      </x:c>
    </x:row>
    <x:row r="1867">
      <x:c r="B1867" t="str">
        <x:v>A-01821</x:v>
      </x:c>
      <x:c r="C1867" t="str">
        <x:v>GATE</x:v>
      </x:c>
      <x:c r="D1867" t="str">
        <x:v>release state mirrors governing ledger</x:v>
      </x:c>
      <x:c r="E1867" t="str">
        <x:f>'Release Gates'!I1827</x:f>
        <x:v>OPEN</x:v>
      </x:c>
      <x:c r="F1867" t="str">
        <x:f>IF('Release Gates'!C1827="PLANNING","PASS",IF('Release Gates'!C1827="PHYSICAL","OPEN","BLOCKED"))</x:f>
        <x:v>OPEN</x:v>
      </x:c>
      <x:c r="G1867" t="str">
        <x:v>equals</x:v>
      </x:c>
      <x:c r="H1867" t="str">
        <x:f>IF(E1867=F1867,"PASS","FAIL")</x:f>
        <x:v>PASS</x:v>
      </x:c>
    </x:row>
    <x:row r="1868">
      <x:c r="B1868" t="str">
        <x:v>A-01822</x:v>
      </x:c>
      <x:c r="C1868" t="str">
        <x:v>GATE</x:v>
      </x:c>
      <x:c r="D1868" t="str">
        <x:v>release state mirrors governing ledger</x:v>
      </x:c>
      <x:c r="E1868" t="str">
        <x:f>'Release Gates'!I1828</x:f>
        <x:v>OPEN</x:v>
      </x:c>
      <x:c r="F1868" t="str">
        <x:f>IF('Release Gates'!C1828="PLANNING","PASS",IF('Release Gates'!C1828="PHYSICAL","OPEN","BLOCKED"))</x:f>
        <x:v>OPEN</x:v>
      </x:c>
      <x:c r="G1868" t="str">
        <x:v>equals</x:v>
      </x:c>
      <x:c r="H1868" t="str">
        <x:f>IF(E1868=F1868,"PASS","FAIL")</x:f>
        <x:v>PASS</x:v>
      </x:c>
    </x:row>
    <x:row r="1869">
      <x:c r="B1869" t="str">
        <x:v>A-01823</x:v>
      </x:c>
      <x:c r="C1869" t="str">
        <x:v>GATE</x:v>
      </x:c>
      <x:c r="D1869" t="str">
        <x:v>release state mirrors governing ledger</x:v>
      </x:c>
      <x:c r="E1869" t="str">
        <x:f>'Release Gates'!I1829</x:f>
        <x:v>OPEN</x:v>
      </x:c>
      <x:c r="F1869" t="str">
        <x:f>IF('Release Gates'!C1829="PLANNING","PASS",IF('Release Gates'!C1829="PHYSICAL","OPEN","BLOCKED"))</x:f>
        <x:v>OPEN</x:v>
      </x:c>
      <x:c r="G1869" t="str">
        <x:v>equals</x:v>
      </x:c>
      <x:c r="H1869" t="str">
        <x:f>IF(E1869=F1869,"PASS","FAIL")</x:f>
        <x:v>PASS</x:v>
      </x:c>
    </x:row>
    <x:row r="1870">
      <x:c r="B1870" t="str">
        <x:v>A-01824</x:v>
      </x:c>
      <x:c r="C1870" t="str">
        <x:v>GATE</x:v>
      </x:c>
      <x:c r="D1870" t="str">
        <x:v>release state mirrors governing ledger</x:v>
      </x:c>
      <x:c r="E1870" t="str">
        <x:f>'Release Gates'!I1830</x:f>
        <x:v>OPEN</x:v>
      </x:c>
      <x:c r="F1870" t="str">
        <x:f>IF('Release Gates'!C1830="PLANNING","PASS",IF('Release Gates'!C1830="PHYSICAL","OPEN","BLOCKED"))</x:f>
        <x:v>OPEN</x:v>
      </x:c>
      <x:c r="G1870" t="str">
        <x:v>equals</x:v>
      </x:c>
      <x:c r="H1870" t="str">
        <x:f>IF(E1870=F1870,"PASS","FAIL")</x:f>
        <x:v>PASS</x:v>
      </x:c>
    </x:row>
    <x:row r="1871">
      <x:c r="B1871" t="str">
        <x:v>A-01825</x:v>
      </x:c>
      <x:c r="C1871" t="str">
        <x:v>GATE</x:v>
      </x:c>
      <x:c r="D1871" t="str">
        <x:v>release state mirrors governing ledger</x:v>
      </x:c>
      <x:c r="E1871" t="str">
        <x:f>'Release Gates'!I1831</x:f>
        <x:v>OPEN</x:v>
      </x:c>
      <x:c r="F1871" t="str">
        <x:f>IF('Release Gates'!C1831="PLANNING","PASS",IF('Release Gates'!C1831="PHYSICAL","OPEN","BLOCKED"))</x:f>
        <x:v>OPEN</x:v>
      </x:c>
      <x:c r="G1871" t="str">
        <x:v>equals</x:v>
      </x:c>
      <x:c r="H1871" t="str">
        <x:f>IF(E1871=F1871,"PASS","FAIL")</x:f>
        <x:v>PASS</x:v>
      </x:c>
    </x:row>
    <x:row r="1872">
      <x:c r="B1872" t="str">
        <x:v>A-01826</x:v>
      </x:c>
      <x:c r="C1872" t="str">
        <x:v>GATE</x:v>
      </x:c>
      <x:c r="D1872" t="str">
        <x:v>release state mirrors governing ledger</x:v>
      </x:c>
      <x:c r="E1872" t="str">
        <x:f>'Release Gates'!I1832</x:f>
        <x:v>OPEN</x:v>
      </x:c>
      <x:c r="F1872" t="str">
        <x:f>IF('Release Gates'!C1832="PLANNING","PASS",IF('Release Gates'!C1832="PHYSICAL","OPEN","BLOCKED"))</x:f>
        <x:v>OPEN</x:v>
      </x:c>
      <x:c r="G1872" t="str">
        <x:v>equals</x:v>
      </x:c>
      <x:c r="H1872" t="str">
        <x:f>IF(E1872=F1872,"PASS","FAIL")</x:f>
        <x:v>PASS</x:v>
      </x:c>
    </x:row>
    <x:row r="1873">
      <x:c r="B1873" t="str">
        <x:v>A-01827</x:v>
      </x:c>
      <x:c r="C1873" t="str">
        <x:v>GATE</x:v>
      </x:c>
      <x:c r="D1873" t="str">
        <x:v>release state mirrors governing ledger</x:v>
      </x:c>
      <x:c r="E1873" t="str">
        <x:f>'Release Gates'!I1833</x:f>
        <x:v>OPEN</x:v>
      </x:c>
      <x:c r="F1873" t="str">
        <x:f>IF('Release Gates'!C1833="PLANNING","PASS",IF('Release Gates'!C1833="PHYSICAL","OPEN","BLOCKED"))</x:f>
        <x:v>OPEN</x:v>
      </x:c>
      <x:c r="G1873" t="str">
        <x:v>equals</x:v>
      </x:c>
      <x:c r="H1873" t="str">
        <x:f>IF(E1873=F1873,"PASS","FAIL")</x:f>
        <x:v>PASS</x:v>
      </x:c>
    </x:row>
    <x:row r="1874">
      <x:c r="B1874" t="str">
        <x:v>A-01828</x:v>
      </x:c>
      <x:c r="C1874" t="str">
        <x:v>GATE</x:v>
      </x:c>
      <x:c r="D1874" t="str">
        <x:v>release state mirrors governing ledger</x:v>
      </x:c>
      <x:c r="E1874" t="str">
        <x:f>'Release Gates'!I1834</x:f>
        <x:v>OPEN</x:v>
      </x:c>
      <x:c r="F1874" t="str">
        <x:f>IF('Release Gates'!C1834="PLANNING","PASS",IF('Release Gates'!C1834="PHYSICAL","OPEN","BLOCKED"))</x:f>
        <x:v>OPEN</x:v>
      </x:c>
      <x:c r="G1874" t="str">
        <x:v>equals</x:v>
      </x:c>
      <x:c r="H1874" t="str">
        <x:f>IF(E1874=F1874,"PASS","FAIL")</x:f>
        <x:v>PASS</x:v>
      </x:c>
    </x:row>
    <x:row r="1875">
      <x:c r="B1875" t="str">
        <x:v>A-01829</x:v>
      </x:c>
      <x:c r="C1875" t="str">
        <x:v>GATE</x:v>
      </x:c>
      <x:c r="D1875" t="str">
        <x:v>release state mirrors governing ledger</x:v>
      </x:c>
      <x:c r="E1875" t="str">
        <x:f>'Release Gates'!I1835</x:f>
        <x:v>OPEN</x:v>
      </x:c>
      <x:c r="F1875" t="str">
        <x:f>IF('Release Gates'!C1835="PLANNING","PASS",IF('Release Gates'!C1835="PHYSICAL","OPEN","BLOCKED"))</x:f>
        <x:v>OPEN</x:v>
      </x:c>
      <x:c r="G1875" t="str">
        <x:v>equals</x:v>
      </x:c>
      <x:c r="H1875" t="str">
        <x:f>IF(E1875=F1875,"PASS","FAIL")</x:f>
        <x:v>PASS</x:v>
      </x:c>
    </x:row>
    <x:row r="1876">
      <x:c r="B1876" t="str">
        <x:v>A-01830</x:v>
      </x:c>
      <x:c r="C1876" t="str">
        <x:v>GATE</x:v>
      </x:c>
      <x:c r="D1876" t="str">
        <x:v>release state mirrors governing ledger</x:v>
      </x:c>
      <x:c r="E1876" t="str">
        <x:f>'Release Gates'!I1836</x:f>
        <x:v>OPEN</x:v>
      </x:c>
      <x:c r="F1876" t="str">
        <x:f>IF('Release Gates'!C1836="PLANNING","PASS",IF('Release Gates'!C1836="PHYSICAL","OPEN","BLOCKED"))</x:f>
        <x:v>OPEN</x:v>
      </x:c>
      <x:c r="G1876" t="str">
        <x:v>equals</x:v>
      </x:c>
      <x:c r="H1876" t="str">
        <x:f>IF(E1876=F1876,"PASS","FAIL")</x:f>
        <x:v>PASS</x:v>
      </x:c>
    </x:row>
    <x:row r="1877">
      <x:c r="B1877" t="str">
        <x:v>A-01831</x:v>
      </x:c>
      <x:c r="C1877" t="str">
        <x:v>GATE</x:v>
      </x:c>
      <x:c r="D1877" t="str">
        <x:v>release state mirrors governing ledger</x:v>
      </x:c>
      <x:c r="E1877" t="str">
        <x:f>'Release Gates'!I1837</x:f>
        <x:v>OPEN</x:v>
      </x:c>
      <x:c r="F1877" t="str">
        <x:f>IF('Release Gates'!C1837="PLANNING","PASS",IF('Release Gates'!C1837="PHYSICAL","OPEN","BLOCKED"))</x:f>
        <x:v>OPEN</x:v>
      </x:c>
      <x:c r="G1877" t="str">
        <x:v>equals</x:v>
      </x:c>
      <x:c r="H1877" t="str">
        <x:f>IF(E1877=F1877,"PASS","FAIL")</x:f>
        <x:v>PASS</x:v>
      </x:c>
    </x:row>
    <x:row r="1878">
      <x:c r="B1878" t="str">
        <x:v>A-01832</x:v>
      </x:c>
      <x:c r="C1878" t="str">
        <x:v>GATE</x:v>
      </x:c>
      <x:c r="D1878" t="str">
        <x:v>release state mirrors governing ledger</x:v>
      </x:c>
      <x:c r="E1878" t="str">
        <x:f>'Release Gates'!I1838</x:f>
        <x:v>OPEN</x:v>
      </x:c>
      <x:c r="F1878" t="str">
        <x:f>IF('Release Gates'!C1838="PLANNING","PASS",IF('Release Gates'!C1838="PHYSICAL","OPEN","BLOCKED"))</x:f>
        <x:v>OPEN</x:v>
      </x:c>
      <x:c r="G1878" t="str">
        <x:v>equals</x:v>
      </x:c>
      <x:c r="H1878" t="str">
        <x:f>IF(E1878=F1878,"PASS","FAIL")</x:f>
        <x:v>PASS</x:v>
      </x:c>
    </x:row>
    <x:row r="1879">
      <x:c r="B1879" t="str">
        <x:v>A-01833</x:v>
      </x:c>
      <x:c r="C1879" t="str">
        <x:v>GATE</x:v>
      </x:c>
      <x:c r="D1879" t="str">
        <x:v>release state mirrors governing ledger</x:v>
      </x:c>
      <x:c r="E1879" t="str">
        <x:f>'Release Gates'!I1839</x:f>
        <x:v>OPEN</x:v>
      </x:c>
      <x:c r="F1879" t="str">
        <x:f>IF('Release Gates'!C1839="PLANNING","PASS",IF('Release Gates'!C1839="PHYSICAL","OPEN","BLOCKED"))</x:f>
        <x:v>OPEN</x:v>
      </x:c>
      <x:c r="G1879" t="str">
        <x:v>equals</x:v>
      </x:c>
      <x:c r="H1879" t="str">
        <x:f>IF(E1879=F1879,"PASS","FAIL")</x:f>
        <x:v>PASS</x:v>
      </x:c>
    </x:row>
    <x:row r="1880">
      <x:c r="B1880" t="str">
        <x:v>A-01834</x:v>
      </x:c>
      <x:c r="C1880" t="str">
        <x:v>GATE</x:v>
      </x:c>
      <x:c r="D1880" t="str">
        <x:v>release state mirrors governing ledger</x:v>
      </x:c>
      <x:c r="E1880" t="str">
        <x:f>'Release Gates'!I1840</x:f>
        <x:v>OPEN</x:v>
      </x:c>
      <x:c r="F1880" t="str">
        <x:f>IF('Release Gates'!C1840="PLANNING","PASS",IF('Release Gates'!C1840="PHYSICAL","OPEN","BLOCKED"))</x:f>
        <x:v>OPEN</x:v>
      </x:c>
      <x:c r="G1880" t="str">
        <x:v>equals</x:v>
      </x:c>
      <x:c r="H1880" t="str">
        <x:f>IF(E1880=F1880,"PASS","FAIL")</x:f>
        <x:v>PASS</x:v>
      </x:c>
    </x:row>
    <x:row r="1881">
      <x:c r="B1881" t="str">
        <x:v>A-01835</x:v>
      </x:c>
      <x:c r="C1881" t="str">
        <x:v>GATE</x:v>
      </x:c>
      <x:c r="D1881" t="str">
        <x:v>release state mirrors governing ledger</x:v>
      </x:c>
      <x:c r="E1881" t="str">
        <x:f>'Release Gates'!I1841</x:f>
        <x:v>OPEN</x:v>
      </x:c>
      <x:c r="F1881" t="str">
        <x:f>IF('Release Gates'!C1841="PLANNING","PASS",IF('Release Gates'!C1841="PHYSICAL","OPEN","BLOCKED"))</x:f>
        <x:v>OPEN</x:v>
      </x:c>
      <x:c r="G1881" t="str">
        <x:v>equals</x:v>
      </x:c>
      <x:c r="H1881" t="str">
        <x:f>IF(E1881=F1881,"PASS","FAIL")</x:f>
        <x:v>PASS</x:v>
      </x:c>
    </x:row>
    <x:row r="1882">
      <x:c r="B1882" t="str">
        <x:v>A-01836</x:v>
      </x:c>
      <x:c r="C1882" t="str">
        <x:v>GATE</x:v>
      </x:c>
      <x:c r="D1882" t="str">
        <x:v>release state mirrors governing ledger</x:v>
      </x:c>
      <x:c r="E1882" t="str">
        <x:f>'Release Gates'!I1842</x:f>
        <x:v>OPEN</x:v>
      </x:c>
      <x:c r="F1882" t="str">
        <x:f>IF('Release Gates'!C1842="PLANNING","PASS",IF('Release Gates'!C1842="PHYSICAL","OPEN","BLOCKED"))</x:f>
        <x:v>OPEN</x:v>
      </x:c>
      <x:c r="G1882" t="str">
        <x:v>equals</x:v>
      </x:c>
      <x:c r="H1882" t="str">
        <x:f>IF(E1882=F1882,"PASS","FAIL")</x:f>
        <x:v>PASS</x:v>
      </x:c>
    </x:row>
    <x:row r="1883">
      <x:c r="B1883" t="str">
        <x:v>A-01837</x:v>
      </x:c>
      <x:c r="C1883" t="str">
        <x:v>GATE</x:v>
      </x:c>
      <x:c r="D1883" t="str">
        <x:v>release state mirrors governing ledger</x:v>
      </x:c>
      <x:c r="E1883" t="str">
        <x:f>'Release Gates'!I1843</x:f>
        <x:v>OPEN</x:v>
      </x:c>
      <x:c r="F1883" t="str">
        <x:f>IF('Release Gates'!C1843="PLANNING","PASS",IF('Release Gates'!C1843="PHYSICAL","OPEN","BLOCKED"))</x:f>
        <x:v>OPEN</x:v>
      </x:c>
      <x:c r="G1883" t="str">
        <x:v>equals</x:v>
      </x:c>
      <x:c r="H1883" t="str">
        <x:f>IF(E1883=F1883,"PASS","FAIL")</x:f>
        <x:v>PASS</x:v>
      </x:c>
    </x:row>
    <x:row r="1884">
      <x:c r="B1884" t="str">
        <x:v>A-01838</x:v>
      </x:c>
      <x:c r="C1884" t="str">
        <x:v>GATE</x:v>
      </x:c>
      <x:c r="D1884" t="str">
        <x:v>release state mirrors governing ledger</x:v>
      </x:c>
      <x:c r="E1884" t="str">
        <x:f>'Release Gates'!I1844</x:f>
        <x:v>OPEN</x:v>
      </x:c>
      <x:c r="F1884" t="str">
        <x:f>IF('Release Gates'!C1844="PLANNING","PASS",IF('Release Gates'!C1844="PHYSICAL","OPEN","BLOCKED"))</x:f>
        <x:v>OPEN</x:v>
      </x:c>
      <x:c r="G1884" t="str">
        <x:v>equals</x:v>
      </x:c>
      <x:c r="H1884" t="str">
        <x:f>IF(E1884=F1884,"PASS","FAIL")</x:f>
        <x:v>PASS</x:v>
      </x:c>
    </x:row>
    <x:row r="1885">
      <x:c r="B1885" t="str">
        <x:v>A-01839</x:v>
      </x:c>
      <x:c r="C1885" t="str">
        <x:v>GATE</x:v>
      </x:c>
      <x:c r="D1885" t="str">
        <x:v>release state mirrors governing ledger</x:v>
      </x:c>
      <x:c r="E1885" t="str">
        <x:f>'Release Gates'!I1845</x:f>
        <x:v>OPEN</x:v>
      </x:c>
      <x:c r="F1885" t="str">
        <x:f>IF('Release Gates'!C1845="PLANNING","PASS",IF('Release Gates'!C1845="PHYSICAL","OPEN","BLOCKED"))</x:f>
        <x:v>OPEN</x:v>
      </x:c>
      <x:c r="G1885" t="str">
        <x:v>equals</x:v>
      </x:c>
      <x:c r="H1885" t="str">
        <x:f>IF(E1885=F1885,"PASS","FAIL")</x:f>
        <x:v>PASS</x:v>
      </x:c>
    </x:row>
    <x:row r="1886">
      <x:c r="B1886" t="str">
        <x:v>A-01840</x:v>
      </x:c>
      <x:c r="C1886" t="str">
        <x:v>GATE</x:v>
      </x:c>
      <x:c r="D1886" t="str">
        <x:v>release state mirrors governing ledger</x:v>
      </x:c>
      <x:c r="E1886" t="str">
        <x:f>'Release Gates'!I1846</x:f>
        <x:v>OPEN</x:v>
      </x:c>
      <x:c r="F1886" t="str">
        <x:f>IF('Release Gates'!C1846="PLANNING","PASS",IF('Release Gates'!C1846="PHYSICAL","OPEN","BLOCKED"))</x:f>
        <x:v>OPEN</x:v>
      </x:c>
      <x:c r="G1886" t="str">
        <x:v>equals</x:v>
      </x:c>
      <x:c r="H1886" t="str">
        <x:f>IF(E1886=F1886,"PASS","FAIL")</x:f>
        <x:v>PASS</x:v>
      </x:c>
    </x:row>
    <x:row r="1887">
      <x:c r="B1887" t="str">
        <x:v>A-01841</x:v>
      </x:c>
      <x:c r="C1887" t="str">
        <x:v>GATE</x:v>
      </x:c>
      <x:c r="D1887" t="str">
        <x:v>release state mirrors governing ledger</x:v>
      </x:c>
      <x:c r="E1887" t="str">
        <x:f>'Release Gates'!I1847</x:f>
        <x:v>OPEN</x:v>
      </x:c>
      <x:c r="F1887" t="str">
        <x:f>IF('Release Gates'!C1847="PLANNING","PASS",IF('Release Gates'!C1847="PHYSICAL","OPEN","BLOCKED"))</x:f>
        <x:v>OPEN</x:v>
      </x:c>
      <x:c r="G1887" t="str">
        <x:v>equals</x:v>
      </x:c>
      <x:c r="H1887" t="str">
        <x:f>IF(E1887=F1887,"PASS","FAIL")</x:f>
        <x:v>PASS</x:v>
      </x:c>
    </x:row>
    <x:row r="1888">
      <x:c r="B1888" t="str">
        <x:v>A-01842</x:v>
      </x:c>
      <x:c r="C1888" t="str">
        <x:v>GATE</x:v>
      </x:c>
      <x:c r="D1888" t="str">
        <x:v>release state mirrors governing ledger</x:v>
      </x:c>
      <x:c r="E1888" t="str">
        <x:f>'Release Gates'!I1848</x:f>
        <x:v>OPEN</x:v>
      </x:c>
      <x:c r="F1888" t="str">
        <x:f>IF('Release Gates'!C1848="PLANNING","PASS",IF('Release Gates'!C1848="PHYSICAL","OPEN","BLOCKED"))</x:f>
        <x:v>OPEN</x:v>
      </x:c>
      <x:c r="G1888" t="str">
        <x:v>equals</x:v>
      </x:c>
      <x:c r="H1888" t="str">
        <x:f>IF(E1888=F1888,"PASS","FAIL")</x:f>
        <x:v>PASS</x:v>
      </x:c>
    </x:row>
    <x:row r="1889">
      <x:c r="B1889" t="str">
        <x:v>A-01843</x:v>
      </x:c>
      <x:c r="C1889" t="str">
        <x:v>GATE</x:v>
      </x:c>
      <x:c r="D1889" t="str">
        <x:v>release state mirrors governing ledger</x:v>
      </x:c>
      <x:c r="E1889" t="str">
        <x:f>'Release Gates'!I1849</x:f>
        <x:v>OPEN</x:v>
      </x:c>
      <x:c r="F1889" t="str">
        <x:f>IF('Release Gates'!C1849="PLANNING","PASS",IF('Release Gates'!C1849="PHYSICAL","OPEN","BLOCKED"))</x:f>
        <x:v>OPEN</x:v>
      </x:c>
      <x:c r="G1889" t="str">
        <x:v>equals</x:v>
      </x:c>
      <x:c r="H1889" t="str">
        <x:f>IF(E1889=F1889,"PASS","FAIL")</x:f>
        <x:v>PASS</x:v>
      </x:c>
    </x:row>
    <x:row r="1890">
      <x:c r="B1890" t="str">
        <x:v>A-01844</x:v>
      </x:c>
      <x:c r="C1890" t="str">
        <x:v>GATE</x:v>
      </x:c>
      <x:c r="D1890" t="str">
        <x:v>release state mirrors governing ledger</x:v>
      </x:c>
      <x:c r="E1890" t="str">
        <x:f>'Release Gates'!I1850</x:f>
        <x:v>OPEN</x:v>
      </x:c>
      <x:c r="F1890" t="str">
        <x:f>IF('Release Gates'!C1850="PLANNING","PASS",IF('Release Gates'!C1850="PHYSICAL","OPEN","BLOCKED"))</x:f>
        <x:v>OPEN</x:v>
      </x:c>
      <x:c r="G1890" t="str">
        <x:v>equals</x:v>
      </x:c>
      <x:c r="H1890" t="str">
        <x:f>IF(E1890=F1890,"PASS","FAIL")</x:f>
        <x:v>PASS</x:v>
      </x:c>
    </x:row>
    <x:row r="1891">
      <x:c r="B1891" t="str">
        <x:v>A-01845</x:v>
      </x:c>
      <x:c r="C1891" t="str">
        <x:v>GATE</x:v>
      </x:c>
      <x:c r="D1891" t="str">
        <x:v>release state mirrors governing ledger</x:v>
      </x:c>
      <x:c r="E1891" t="str">
        <x:f>'Release Gates'!I1851</x:f>
        <x:v>OPEN</x:v>
      </x:c>
      <x:c r="F1891" t="str">
        <x:f>IF('Release Gates'!C1851="PLANNING","PASS",IF('Release Gates'!C1851="PHYSICAL","OPEN","BLOCKED"))</x:f>
        <x:v>OPEN</x:v>
      </x:c>
      <x:c r="G1891" t="str">
        <x:v>equals</x:v>
      </x:c>
      <x:c r="H1891" t="str">
        <x:f>IF(E1891=F1891,"PASS","FAIL")</x:f>
        <x:v>PASS</x:v>
      </x:c>
    </x:row>
    <x:row r="1892">
      <x:c r="B1892" t="str">
        <x:v>A-01846</x:v>
      </x:c>
      <x:c r="C1892" t="str">
        <x:v>GATE</x:v>
      </x:c>
      <x:c r="D1892" t="str">
        <x:v>release state mirrors governing ledger</x:v>
      </x:c>
      <x:c r="E1892" t="str">
        <x:f>'Release Gates'!I1852</x:f>
        <x:v>OPEN</x:v>
      </x:c>
      <x:c r="F1892" t="str">
        <x:f>IF('Release Gates'!C1852="PLANNING","PASS",IF('Release Gates'!C1852="PHYSICAL","OPEN","BLOCKED"))</x:f>
        <x:v>OPEN</x:v>
      </x:c>
      <x:c r="G1892" t="str">
        <x:v>equals</x:v>
      </x:c>
      <x:c r="H1892" t="str">
        <x:f>IF(E1892=F1892,"PASS","FAIL")</x:f>
        <x:v>PASS</x:v>
      </x:c>
    </x:row>
    <x:row r="1893">
      <x:c r="B1893" t="str">
        <x:v>A-01847</x:v>
      </x:c>
      <x:c r="C1893" t="str">
        <x:v>GATE</x:v>
      </x:c>
      <x:c r="D1893" t="str">
        <x:v>release state mirrors governing ledger</x:v>
      </x:c>
      <x:c r="E1893" t="str">
        <x:f>'Release Gates'!I1853</x:f>
        <x:v>OPEN</x:v>
      </x:c>
      <x:c r="F1893" t="str">
        <x:f>IF('Release Gates'!C1853="PLANNING","PASS",IF('Release Gates'!C1853="PHYSICAL","OPEN","BLOCKED"))</x:f>
        <x:v>OPEN</x:v>
      </x:c>
      <x:c r="G1893" t="str">
        <x:v>equals</x:v>
      </x:c>
      <x:c r="H1893" t="str">
        <x:f>IF(E1893=F1893,"PASS","FAIL")</x:f>
        <x:v>PASS</x:v>
      </x:c>
    </x:row>
    <x:row r="1894">
      <x:c r="B1894" t="str">
        <x:v>A-01848</x:v>
      </x:c>
      <x:c r="C1894" t="str">
        <x:v>GATE</x:v>
      </x:c>
      <x:c r="D1894" t="str">
        <x:v>release state mirrors governing ledger</x:v>
      </x:c>
      <x:c r="E1894" t="str">
        <x:f>'Release Gates'!I1854</x:f>
        <x:v>OPEN</x:v>
      </x:c>
      <x:c r="F1894" t="str">
        <x:f>IF('Release Gates'!C1854="PLANNING","PASS",IF('Release Gates'!C1854="PHYSICAL","OPEN","BLOCKED"))</x:f>
        <x:v>OPEN</x:v>
      </x:c>
      <x:c r="G1894" t="str">
        <x:v>equals</x:v>
      </x:c>
      <x:c r="H1894" t="str">
        <x:f>IF(E1894=F1894,"PASS","FAIL")</x:f>
        <x:v>PASS</x:v>
      </x:c>
    </x:row>
    <x:row r="1895">
      <x:c r="B1895" t="str">
        <x:v>A-01849</x:v>
      </x:c>
      <x:c r="C1895" t="str">
        <x:v>GATE</x:v>
      </x:c>
      <x:c r="D1895" t="str">
        <x:v>release state mirrors governing ledger</x:v>
      </x:c>
      <x:c r="E1895" t="str">
        <x:f>'Release Gates'!I1855</x:f>
        <x:v>OPEN</x:v>
      </x:c>
      <x:c r="F1895" t="str">
        <x:f>IF('Release Gates'!C1855="PLANNING","PASS",IF('Release Gates'!C1855="PHYSICAL","OPEN","BLOCKED"))</x:f>
        <x:v>OPEN</x:v>
      </x:c>
      <x:c r="G1895" t="str">
        <x:v>equals</x:v>
      </x:c>
      <x:c r="H1895" t="str">
        <x:f>IF(E1895=F1895,"PASS","FAIL")</x:f>
        <x:v>PASS</x:v>
      </x:c>
    </x:row>
    <x:row r="1896">
      <x:c r="B1896" t="str">
        <x:v>A-01850</x:v>
      </x:c>
      <x:c r="C1896" t="str">
        <x:v>GATE</x:v>
      </x:c>
      <x:c r="D1896" t="str">
        <x:v>release state mirrors governing ledger</x:v>
      </x:c>
      <x:c r="E1896" t="str">
        <x:f>'Release Gates'!I1856</x:f>
        <x:v>OPEN</x:v>
      </x:c>
      <x:c r="F1896" t="str">
        <x:f>IF('Release Gates'!C1856="PLANNING","PASS",IF('Release Gates'!C1856="PHYSICAL","OPEN","BLOCKED"))</x:f>
        <x:v>OPEN</x:v>
      </x:c>
      <x:c r="G1896" t="str">
        <x:v>equals</x:v>
      </x:c>
      <x:c r="H1896" t="str">
        <x:f>IF(E1896=F1896,"PASS","FAIL")</x:f>
        <x:v>PASS</x:v>
      </x:c>
    </x:row>
    <x:row r="1897">
      <x:c r="B1897" t="str">
        <x:v>A-01851</x:v>
      </x:c>
      <x:c r="C1897" t="str">
        <x:v>GATE</x:v>
      </x:c>
      <x:c r="D1897" t="str">
        <x:v>release state mirrors governing ledger</x:v>
      </x:c>
      <x:c r="E1897" t="str">
        <x:f>'Release Gates'!I1857</x:f>
        <x:v>OPEN</x:v>
      </x:c>
      <x:c r="F1897" t="str">
        <x:f>IF('Release Gates'!C1857="PLANNING","PASS",IF('Release Gates'!C1857="PHYSICAL","OPEN","BLOCKED"))</x:f>
        <x:v>OPEN</x:v>
      </x:c>
      <x:c r="G1897" t="str">
        <x:v>equals</x:v>
      </x:c>
      <x:c r="H1897" t="str">
        <x:f>IF(E1897=F1897,"PASS","FAIL")</x:f>
        <x:v>PASS</x:v>
      </x:c>
    </x:row>
    <x:row r="1898">
      <x:c r="B1898" t="str">
        <x:v>A-01852</x:v>
      </x:c>
      <x:c r="C1898" t="str">
        <x:v>GATE</x:v>
      </x:c>
      <x:c r="D1898" t="str">
        <x:v>release state mirrors governing ledger</x:v>
      </x:c>
      <x:c r="E1898" t="str">
        <x:f>'Release Gates'!I1858</x:f>
        <x:v>OPEN</x:v>
      </x:c>
      <x:c r="F1898" t="str">
        <x:f>IF('Release Gates'!C1858="PLANNING","PASS",IF('Release Gates'!C1858="PHYSICAL","OPEN","BLOCKED"))</x:f>
        <x:v>OPEN</x:v>
      </x:c>
      <x:c r="G1898" t="str">
        <x:v>equals</x:v>
      </x:c>
      <x:c r="H1898" t="str">
        <x:f>IF(E1898=F1898,"PASS","FAIL")</x:f>
        <x:v>PASS</x:v>
      </x:c>
    </x:row>
    <x:row r="1899">
      <x:c r="B1899" t="str">
        <x:v>A-01853</x:v>
      </x:c>
      <x:c r="C1899" t="str">
        <x:v>GATE</x:v>
      </x:c>
      <x:c r="D1899" t="str">
        <x:v>release state mirrors governing ledger</x:v>
      </x:c>
      <x:c r="E1899" t="str">
        <x:f>'Release Gates'!I1859</x:f>
        <x:v>OPEN</x:v>
      </x:c>
      <x:c r="F1899" t="str">
        <x:f>IF('Release Gates'!C1859="PLANNING","PASS",IF('Release Gates'!C1859="PHYSICAL","OPEN","BLOCKED"))</x:f>
        <x:v>OPEN</x:v>
      </x:c>
      <x:c r="G1899" t="str">
        <x:v>equals</x:v>
      </x:c>
      <x:c r="H1899" t="str">
        <x:f>IF(E1899=F1899,"PASS","FAIL")</x:f>
        <x:v>PASS</x:v>
      </x:c>
    </x:row>
    <x:row r="1900">
      <x:c r="B1900" t="str">
        <x:v>A-01854</x:v>
      </x:c>
      <x:c r="C1900" t="str">
        <x:v>GATE</x:v>
      </x:c>
      <x:c r="D1900" t="str">
        <x:v>release state mirrors governing ledger</x:v>
      </x:c>
      <x:c r="E1900" t="str">
        <x:f>'Release Gates'!I1860</x:f>
        <x:v>OPEN</x:v>
      </x:c>
      <x:c r="F1900" t="str">
        <x:f>IF('Release Gates'!C1860="PLANNING","PASS",IF('Release Gates'!C1860="PHYSICAL","OPEN","BLOCKED"))</x:f>
        <x:v>OPEN</x:v>
      </x:c>
      <x:c r="G1900" t="str">
        <x:v>equals</x:v>
      </x:c>
      <x:c r="H1900" t="str">
        <x:f>IF(E1900=F1900,"PASS","FAIL")</x:f>
        <x:v>PASS</x:v>
      </x:c>
    </x:row>
    <x:row r="1901">
      <x:c r="B1901" t="str">
        <x:v>A-01855</x:v>
      </x:c>
      <x:c r="C1901" t="str">
        <x:v>GATE</x:v>
      </x:c>
      <x:c r="D1901" t="str">
        <x:v>release state mirrors governing ledger</x:v>
      </x:c>
      <x:c r="E1901" t="str">
        <x:f>'Release Gates'!I1861</x:f>
        <x:v>OPEN</x:v>
      </x:c>
      <x:c r="F1901" t="str">
        <x:f>IF('Release Gates'!C1861="PLANNING","PASS",IF('Release Gates'!C1861="PHYSICAL","OPEN","BLOCKED"))</x:f>
        <x:v>OPEN</x:v>
      </x:c>
      <x:c r="G1901" t="str">
        <x:v>equals</x:v>
      </x:c>
      <x:c r="H1901" t="str">
        <x:f>IF(E1901=F1901,"PASS","FAIL")</x:f>
        <x:v>PASS</x:v>
      </x:c>
    </x:row>
    <x:row r="1902">
      <x:c r="B1902" t="str">
        <x:v>A-01856</x:v>
      </x:c>
      <x:c r="C1902" t="str">
        <x:v>GATE</x:v>
      </x:c>
      <x:c r="D1902" t="str">
        <x:v>release state mirrors governing ledger</x:v>
      </x:c>
      <x:c r="E1902" t="str">
        <x:f>'Release Gates'!I1862</x:f>
        <x:v>OPEN</x:v>
      </x:c>
      <x:c r="F1902" t="str">
        <x:f>IF('Release Gates'!C1862="PLANNING","PASS",IF('Release Gates'!C1862="PHYSICAL","OPEN","BLOCKED"))</x:f>
        <x:v>OPEN</x:v>
      </x:c>
      <x:c r="G1902" t="str">
        <x:v>equals</x:v>
      </x:c>
      <x:c r="H1902" t="str">
        <x:f>IF(E1902=F1902,"PASS","FAIL")</x:f>
        <x:v>PASS</x:v>
      </x:c>
    </x:row>
    <x:row r="1903">
      <x:c r="B1903" t="str">
        <x:v>A-01857</x:v>
      </x:c>
      <x:c r="C1903" t="str">
        <x:v>GATE</x:v>
      </x:c>
      <x:c r="D1903" t="str">
        <x:v>release state mirrors governing ledger</x:v>
      </x:c>
      <x:c r="E1903" t="str">
        <x:f>'Release Gates'!I1863</x:f>
        <x:v>OPEN</x:v>
      </x:c>
      <x:c r="F1903" t="str">
        <x:f>IF('Release Gates'!C1863="PLANNING","PASS",IF('Release Gates'!C1863="PHYSICAL","OPEN","BLOCKED"))</x:f>
        <x:v>OPEN</x:v>
      </x:c>
      <x:c r="G1903" t="str">
        <x:v>equals</x:v>
      </x:c>
      <x:c r="H1903" t="str">
        <x:f>IF(E1903=F1903,"PASS","FAIL")</x:f>
        <x:v>PASS</x:v>
      </x:c>
    </x:row>
    <x:row r="1904">
      <x:c r="B1904" t="str">
        <x:v>A-01858</x:v>
      </x:c>
      <x:c r="C1904" t="str">
        <x:v>GATE</x:v>
      </x:c>
      <x:c r="D1904" t="str">
        <x:v>release state mirrors governing ledger</x:v>
      </x:c>
      <x:c r="E1904" t="str">
        <x:f>'Release Gates'!I1864</x:f>
        <x:v>OPEN</x:v>
      </x:c>
      <x:c r="F1904" t="str">
        <x:f>IF('Release Gates'!C1864="PLANNING","PASS",IF('Release Gates'!C1864="PHYSICAL","OPEN","BLOCKED"))</x:f>
        <x:v>OPEN</x:v>
      </x:c>
      <x:c r="G1904" t="str">
        <x:v>equals</x:v>
      </x:c>
      <x:c r="H1904" t="str">
        <x:f>IF(E1904=F1904,"PASS","FAIL")</x:f>
        <x:v>PASS</x:v>
      </x:c>
    </x:row>
    <x:row r="1905">
      <x:c r="B1905" t="str">
        <x:v>A-01859</x:v>
      </x:c>
      <x:c r="C1905" t="str">
        <x:v>GATE</x:v>
      </x:c>
      <x:c r="D1905" t="str">
        <x:v>release state mirrors governing ledger</x:v>
      </x:c>
      <x:c r="E1905" t="str">
        <x:f>'Release Gates'!I1865</x:f>
        <x:v>OPEN</x:v>
      </x:c>
      <x:c r="F1905" t="str">
        <x:f>IF('Release Gates'!C1865="PLANNING","PASS",IF('Release Gates'!C1865="PHYSICAL","OPEN","BLOCKED"))</x:f>
        <x:v>OPEN</x:v>
      </x:c>
      <x:c r="G1905" t="str">
        <x:v>equals</x:v>
      </x:c>
      <x:c r="H1905" t="str">
        <x:f>IF(E1905=F1905,"PASS","FAIL")</x:f>
        <x:v>PASS</x:v>
      </x:c>
    </x:row>
    <x:row r="1906">
      <x:c r="B1906" t="str">
        <x:v>A-01860</x:v>
      </x:c>
      <x:c r="C1906" t="str">
        <x:v>GATE</x:v>
      </x:c>
      <x:c r="D1906" t="str">
        <x:v>release state mirrors governing ledger</x:v>
      </x:c>
      <x:c r="E1906" t="str">
        <x:f>'Release Gates'!I1866</x:f>
        <x:v>OPEN</x:v>
      </x:c>
      <x:c r="F1906" t="str">
        <x:f>IF('Release Gates'!C1866="PLANNING","PASS",IF('Release Gates'!C1866="PHYSICAL","OPEN","BLOCKED"))</x:f>
        <x:v>OPEN</x:v>
      </x:c>
      <x:c r="G1906" t="str">
        <x:v>equals</x:v>
      </x:c>
      <x:c r="H1906" t="str">
        <x:f>IF(E1906=F1906,"PASS","FAIL")</x:f>
        <x:v>PASS</x:v>
      </x:c>
    </x:row>
    <x:row r="1907">
      <x:c r="B1907" t="str">
        <x:v>A-01861</x:v>
      </x:c>
      <x:c r="C1907" t="str">
        <x:v>GATE</x:v>
      </x:c>
      <x:c r="D1907" t="str">
        <x:v>release state mirrors governing ledger</x:v>
      </x:c>
      <x:c r="E1907" t="str">
        <x:f>'Release Gates'!I1867</x:f>
        <x:v>OPEN</x:v>
      </x:c>
      <x:c r="F1907" t="str">
        <x:f>IF('Release Gates'!C1867="PLANNING","PASS",IF('Release Gates'!C1867="PHYSICAL","OPEN","BLOCKED"))</x:f>
        <x:v>OPEN</x:v>
      </x:c>
      <x:c r="G1907" t="str">
        <x:v>equals</x:v>
      </x:c>
      <x:c r="H1907" t="str">
        <x:f>IF(E1907=F1907,"PASS","FAIL")</x:f>
        <x:v>PASS</x:v>
      </x:c>
    </x:row>
    <x:row r="1908">
      <x:c r="B1908" t="str">
        <x:v>A-01862</x:v>
      </x:c>
      <x:c r="C1908" t="str">
        <x:v>GATE</x:v>
      </x:c>
      <x:c r="D1908" t="str">
        <x:v>release state mirrors governing ledger</x:v>
      </x:c>
      <x:c r="E1908" t="str">
        <x:f>'Release Gates'!I1868</x:f>
        <x:v>OPEN</x:v>
      </x:c>
      <x:c r="F1908" t="str">
        <x:f>IF('Release Gates'!C1868="PLANNING","PASS",IF('Release Gates'!C1868="PHYSICAL","OPEN","BLOCKED"))</x:f>
        <x:v>OPEN</x:v>
      </x:c>
      <x:c r="G1908" t="str">
        <x:v>equals</x:v>
      </x:c>
      <x:c r="H1908" t="str">
        <x:f>IF(E1908=F1908,"PASS","FAIL")</x:f>
        <x:v>PASS</x:v>
      </x:c>
    </x:row>
    <x:row r="1909">
      <x:c r="B1909" t="str">
        <x:v>A-01863</x:v>
      </x:c>
      <x:c r="C1909" t="str">
        <x:v>GATE</x:v>
      </x:c>
      <x:c r="D1909" t="str">
        <x:v>release state mirrors governing ledger</x:v>
      </x:c>
      <x:c r="E1909" t="str">
        <x:f>'Release Gates'!I1869</x:f>
        <x:v>OPEN</x:v>
      </x:c>
      <x:c r="F1909" t="str">
        <x:f>IF('Release Gates'!C1869="PLANNING","PASS",IF('Release Gates'!C1869="PHYSICAL","OPEN","BLOCKED"))</x:f>
        <x:v>OPEN</x:v>
      </x:c>
      <x:c r="G1909" t="str">
        <x:v>equals</x:v>
      </x:c>
      <x:c r="H1909" t="str">
        <x:f>IF(E1909=F1909,"PASS","FAIL")</x:f>
        <x:v>PASS</x:v>
      </x:c>
    </x:row>
    <x:row r="1910">
      <x:c r="B1910" t="str">
        <x:v>A-01864</x:v>
      </x:c>
      <x:c r="C1910" t="str">
        <x:v>GATE</x:v>
      </x:c>
      <x:c r="D1910" t="str">
        <x:v>release state mirrors governing ledger</x:v>
      </x:c>
      <x:c r="E1910" t="str">
        <x:f>'Release Gates'!I1870</x:f>
        <x:v>OPEN</x:v>
      </x:c>
      <x:c r="F1910" t="str">
        <x:f>IF('Release Gates'!C1870="PLANNING","PASS",IF('Release Gates'!C1870="PHYSICAL","OPEN","BLOCKED"))</x:f>
        <x:v>OPEN</x:v>
      </x:c>
      <x:c r="G1910" t="str">
        <x:v>equals</x:v>
      </x:c>
      <x:c r="H1910" t="str">
        <x:f>IF(E1910=F1910,"PASS","FAIL")</x:f>
        <x:v>PASS</x:v>
      </x:c>
    </x:row>
    <x:row r="1911">
      <x:c r="B1911" t="str">
        <x:v>A-01865</x:v>
      </x:c>
      <x:c r="C1911" t="str">
        <x:v>GATE</x:v>
      </x:c>
      <x:c r="D1911" t="str">
        <x:v>release state mirrors governing ledger</x:v>
      </x:c>
      <x:c r="E1911" t="str">
        <x:f>'Release Gates'!I1871</x:f>
        <x:v>OPEN</x:v>
      </x:c>
      <x:c r="F1911" t="str">
        <x:f>IF('Release Gates'!C1871="PLANNING","PASS",IF('Release Gates'!C1871="PHYSICAL","OPEN","BLOCKED"))</x:f>
        <x:v>OPEN</x:v>
      </x:c>
      <x:c r="G1911" t="str">
        <x:v>equals</x:v>
      </x:c>
      <x:c r="H1911" t="str">
        <x:f>IF(E1911=F1911,"PASS","FAIL")</x:f>
        <x:v>PASS</x:v>
      </x:c>
    </x:row>
    <x:row r="1912">
      <x:c r="B1912" t="str">
        <x:v>A-01866</x:v>
      </x:c>
      <x:c r="C1912" t="str">
        <x:v>GATE</x:v>
      </x:c>
      <x:c r="D1912" t="str">
        <x:v>release state mirrors governing ledger</x:v>
      </x:c>
      <x:c r="E1912" t="str">
        <x:f>'Release Gates'!I1872</x:f>
        <x:v>OPEN</x:v>
      </x:c>
      <x:c r="F1912" t="str">
        <x:f>IF('Release Gates'!C1872="PLANNING","PASS",IF('Release Gates'!C1872="PHYSICAL","OPEN","BLOCKED"))</x:f>
        <x:v>OPEN</x:v>
      </x:c>
      <x:c r="G1912" t="str">
        <x:v>equals</x:v>
      </x:c>
      <x:c r="H1912" t="str">
        <x:f>IF(E1912=F1912,"PASS","FAIL")</x:f>
        <x:v>PASS</x:v>
      </x:c>
    </x:row>
    <x:row r="1913">
      <x:c r="B1913" t="str">
        <x:v>A-01867</x:v>
      </x:c>
      <x:c r="C1913" t="str">
        <x:v>GATE</x:v>
      </x:c>
      <x:c r="D1913" t="str">
        <x:v>release state mirrors governing ledger</x:v>
      </x:c>
      <x:c r="E1913" t="str">
        <x:f>'Release Gates'!I1873</x:f>
        <x:v>OPEN</x:v>
      </x:c>
      <x:c r="F1913" t="str">
        <x:f>IF('Release Gates'!C1873="PLANNING","PASS",IF('Release Gates'!C1873="PHYSICAL","OPEN","BLOCKED"))</x:f>
        <x:v>OPEN</x:v>
      </x:c>
      <x:c r="G1913" t="str">
        <x:v>equals</x:v>
      </x:c>
      <x:c r="H1913" t="str">
        <x:f>IF(E1913=F1913,"PASS","FAIL")</x:f>
        <x:v>PASS</x:v>
      </x:c>
    </x:row>
    <x:row r="1914">
      <x:c r="B1914" t="str">
        <x:v>A-01868</x:v>
      </x:c>
      <x:c r="C1914" t="str">
        <x:v>GATE</x:v>
      </x:c>
      <x:c r="D1914" t="str">
        <x:v>release state mirrors governing ledger</x:v>
      </x:c>
      <x:c r="E1914" t="str">
        <x:f>'Release Gates'!I1874</x:f>
        <x:v>OPEN</x:v>
      </x:c>
      <x:c r="F1914" t="str">
        <x:f>IF('Release Gates'!C1874="PLANNING","PASS",IF('Release Gates'!C1874="PHYSICAL","OPEN","BLOCKED"))</x:f>
        <x:v>OPEN</x:v>
      </x:c>
      <x:c r="G1914" t="str">
        <x:v>equals</x:v>
      </x:c>
      <x:c r="H1914" t="str">
        <x:f>IF(E1914=F1914,"PASS","FAIL")</x:f>
        <x:v>PASS</x:v>
      </x:c>
    </x:row>
    <x:row r="1915">
      <x:c r="B1915" t="str">
        <x:v>A-01869</x:v>
      </x:c>
      <x:c r="C1915" t="str">
        <x:v>GATE</x:v>
      </x:c>
      <x:c r="D1915" t="str">
        <x:v>release state mirrors governing ledger</x:v>
      </x:c>
      <x:c r="E1915" t="str">
        <x:f>'Release Gates'!I1875</x:f>
        <x:v>OPEN</x:v>
      </x:c>
      <x:c r="F1915" t="str">
        <x:f>IF('Release Gates'!C1875="PLANNING","PASS",IF('Release Gates'!C1875="PHYSICAL","OPEN","BLOCKED"))</x:f>
        <x:v>OPEN</x:v>
      </x:c>
      <x:c r="G1915" t="str">
        <x:v>equals</x:v>
      </x:c>
      <x:c r="H1915" t="str">
        <x:f>IF(E1915=F1915,"PASS","FAIL")</x:f>
        <x:v>PASS</x:v>
      </x:c>
    </x:row>
    <x:row r="1916">
      <x:c r="B1916" t="str">
        <x:v>A-01870</x:v>
      </x:c>
      <x:c r="C1916" t="str">
        <x:v>GATE</x:v>
      </x:c>
      <x:c r="D1916" t="str">
        <x:v>release state mirrors governing ledger</x:v>
      </x:c>
      <x:c r="E1916" t="str">
        <x:f>'Release Gates'!I1876</x:f>
        <x:v>OPEN</x:v>
      </x:c>
      <x:c r="F1916" t="str">
        <x:f>IF('Release Gates'!C1876="PLANNING","PASS",IF('Release Gates'!C1876="PHYSICAL","OPEN","BLOCKED"))</x:f>
        <x:v>OPEN</x:v>
      </x:c>
      <x:c r="G1916" t="str">
        <x:v>equals</x:v>
      </x:c>
      <x:c r="H1916" t="str">
        <x:f>IF(E1916=F1916,"PASS","FAIL")</x:f>
        <x:v>PASS</x:v>
      </x:c>
    </x:row>
    <x:row r="1917">
      <x:c r="B1917" t="str">
        <x:v>A-01871</x:v>
      </x:c>
      <x:c r="C1917" t="str">
        <x:v>GATE</x:v>
      </x:c>
      <x:c r="D1917" t="str">
        <x:v>release state mirrors governing ledger</x:v>
      </x:c>
      <x:c r="E1917" t="str">
        <x:f>'Release Gates'!I1877</x:f>
        <x:v>OPEN</x:v>
      </x:c>
      <x:c r="F1917" t="str">
        <x:f>IF('Release Gates'!C1877="PLANNING","PASS",IF('Release Gates'!C1877="PHYSICAL","OPEN","BLOCKED"))</x:f>
        <x:v>OPEN</x:v>
      </x:c>
      <x:c r="G1917" t="str">
        <x:v>equals</x:v>
      </x:c>
      <x:c r="H1917" t="str">
        <x:f>IF(E1917=F1917,"PASS","FAIL")</x:f>
        <x:v>PASS</x:v>
      </x:c>
    </x:row>
    <x:row r="1918">
      <x:c r="B1918" t="str">
        <x:v>A-01872</x:v>
      </x:c>
      <x:c r="C1918" t="str">
        <x:v>GATE</x:v>
      </x:c>
      <x:c r="D1918" t="str">
        <x:v>release state mirrors governing ledger</x:v>
      </x:c>
      <x:c r="E1918" t="str">
        <x:f>'Release Gates'!I1878</x:f>
        <x:v>OPEN</x:v>
      </x:c>
      <x:c r="F1918" t="str">
        <x:f>IF('Release Gates'!C1878="PLANNING","PASS",IF('Release Gates'!C1878="PHYSICAL","OPEN","BLOCKED"))</x:f>
        <x:v>OPEN</x:v>
      </x:c>
      <x:c r="G1918" t="str">
        <x:v>equals</x:v>
      </x:c>
      <x:c r="H1918" t="str">
        <x:f>IF(E1918=F1918,"PASS","FAIL")</x:f>
        <x:v>PASS</x:v>
      </x:c>
    </x:row>
    <x:row r="1919">
      <x:c r="B1919" t="str">
        <x:v>A-01873</x:v>
      </x:c>
      <x:c r="C1919" t="str">
        <x:v>GATE</x:v>
      </x:c>
      <x:c r="D1919" t="str">
        <x:v>release state mirrors governing ledger</x:v>
      </x:c>
      <x:c r="E1919" t="str">
        <x:f>'Release Gates'!I1879</x:f>
        <x:v>OPEN</x:v>
      </x:c>
      <x:c r="F1919" t="str">
        <x:f>IF('Release Gates'!C1879="PLANNING","PASS",IF('Release Gates'!C1879="PHYSICAL","OPEN","BLOCKED"))</x:f>
        <x:v>OPEN</x:v>
      </x:c>
      <x:c r="G1919" t="str">
        <x:v>equals</x:v>
      </x:c>
      <x:c r="H1919" t="str">
        <x:f>IF(E1919=F1919,"PASS","FAIL")</x:f>
        <x:v>PASS</x:v>
      </x:c>
    </x:row>
    <x:row r="1920">
      <x:c r="B1920" t="str">
        <x:v>A-01874</x:v>
      </x:c>
      <x:c r="C1920" t="str">
        <x:v>GATE</x:v>
      </x:c>
      <x:c r="D1920" t="str">
        <x:v>release state mirrors governing ledger</x:v>
      </x:c>
      <x:c r="E1920" t="str">
        <x:f>'Release Gates'!I1880</x:f>
        <x:v>OPEN</x:v>
      </x:c>
      <x:c r="F1920" t="str">
        <x:f>IF('Release Gates'!C1880="PLANNING","PASS",IF('Release Gates'!C1880="PHYSICAL","OPEN","BLOCKED"))</x:f>
        <x:v>OPEN</x:v>
      </x:c>
      <x:c r="G1920" t="str">
        <x:v>equals</x:v>
      </x:c>
      <x:c r="H1920" t="str">
        <x:f>IF(E1920=F1920,"PASS","FAIL")</x:f>
        <x:v>PASS</x:v>
      </x:c>
    </x:row>
    <x:row r="1921">
      <x:c r="B1921" t="str">
        <x:v>A-01875</x:v>
      </x:c>
      <x:c r="C1921" t="str">
        <x:v>GATE</x:v>
      </x:c>
      <x:c r="D1921" t="str">
        <x:v>release state mirrors governing ledger</x:v>
      </x:c>
      <x:c r="E1921" t="str">
        <x:f>'Release Gates'!I1881</x:f>
        <x:v>OPEN</x:v>
      </x:c>
      <x:c r="F1921" t="str">
        <x:f>IF('Release Gates'!C1881="PLANNING","PASS",IF('Release Gates'!C1881="PHYSICAL","OPEN","BLOCKED"))</x:f>
        <x:v>OPEN</x:v>
      </x:c>
      <x:c r="G1921" t="str">
        <x:v>equals</x:v>
      </x:c>
      <x:c r="H1921" t="str">
        <x:f>IF(E1921=F1921,"PASS","FAIL")</x:f>
        <x:v>PASS</x:v>
      </x:c>
    </x:row>
    <x:row r="1922">
      <x:c r="B1922" t="str">
        <x:v>A-01876</x:v>
      </x:c>
      <x:c r="C1922" t="str">
        <x:v>GATE</x:v>
      </x:c>
      <x:c r="D1922" t="str">
        <x:v>release state mirrors governing ledger</x:v>
      </x:c>
      <x:c r="E1922" t="str">
        <x:f>'Release Gates'!I1882</x:f>
        <x:v>OPEN</x:v>
      </x:c>
      <x:c r="F1922" t="str">
        <x:f>IF('Release Gates'!C1882="PLANNING","PASS",IF('Release Gates'!C1882="PHYSICAL","OPEN","BLOCKED"))</x:f>
        <x:v>OPEN</x:v>
      </x:c>
      <x:c r="G1922" t="str">
        <x:v>equals</x:v>
      </x:c>
      <x:c r="H1922" t="str">
        <x:f>IF(E1922=F1922,"PASS","FAIL")</x:f>
        <x:v>PASS</x:v>
      </x:c>
    </x:row>
    <x:row r="1923">
      <x:c r="B1923" t="str">
        <x:v>A-01877</x:v>
      </x:c>
      <x:c r="C1923" t="str">
        <x:v>GATE</x:v>
      </x:c>
      <x:c r="D1923" t="str">
        <x:v>release state mirrors governing ledger</x:v>
      </x:c>
      <x:c r="E1923" t="str">
        <x:f>'Release Gates'!I1883</x:f>
        <x:v>OPEN</x:v>
      </x:c>
      <x:c r="F1923" t="str">
        <x:f>IF('Release Gates'!C1883="PLANNING","PASS",IF('Release Gates'!C1883="PHYSICAL","OPEN","BLOCKED"))</x:f>
        <x:v>OPEN</x:v>
      </x:c>
      <x:c r="G1923" t="str">
        <x:v>equals</x:v>
      </x:c>
      <x:c r="H1923" t="str">
        <x:f>IF(E1923=F1923,"PASS","FAIL")</x:f>
        <x:v>PASS</x:v>
      </x:c>
    </x:row>
    <x:row r="1924">
      <x:c r="B1924" t="str">
        <x:v>A-01878</x:v>
      </x:c>
      <x:c r="C1924" t="str">
        <x:v>GATE</x:v>
      </x:c>
      <x:c r="D1924" t="str">
        <x:v>release state mirrors governing ledger</x:v>
      </x:c>
      <x:c r="E1924" t="str">
        <x:f>'Release Gates'!I1884</x:f>
        <x:v>OPEN</x:v>
      </x:c>
      <x:c r="F1924" t="str">
        <x:f>IF('Release Gates'!C1884="PLANNING","PASS",IF('Release Gates'!C1884="PHYSICAL","OPEN","BLOCKED"))</x:f>
        <x:v>OPEN</x:v>
      </x:c>
      <x:c r="G1924" t="str">
        <x:v>equals</x:v>
      </x:c>
      <x:c r="H1924" t="str">
        <x:f>IF(E1924=F1924,"PASS","FAIL")</x:f>
        <x:v>PASS</x:v>
      </x:c>
    </x:row>
    <x:row r="1925">
      <x:c r="B1925" t="str">
        <x:v>A-01879</x:v>
      </x:c>
      <x:c r="C1925" t="str">
        <x:v>GATE</x:v>
      </x:c>
      <x:c r="D1925" t="str">
        <x:v>release state mirrors governing ledger</x:v>
      </x:c>
      <x:c r="E1925" t="str">
        <x:f>'Release Gates'!I1885</x:f>
        <x:v>OPEN</x:v>
      </x:c>
      <x:c r="F1925" t="str">
        <x:f>IF('Release Gates'!C1885="PLANNING","PASS",IF('Release Gates'!C1885="PHYSICAL","OPEN","BLOCKED"))</x:f>
        <x:v>OPEN</x:v>
      </x:c>
      <x:c r="G1925" t="str">
        <x:v>equals</x:v>
      </x:c>
      <x:c r="H1925" t="str">
        <x:f>IF(E1925=F1925,"PASS","FAIL")</x:f>
        <x:v>PASS</x:v>
      </x:c>
    </x:row>
    <x:row r="1926">
      <x:c r="B1926" t="str">
        <x:v>A-01880</x:v>
      </x:c>
      <x:c r="C1926" t="str">
        <x:v>GATE</x:v>
      </x:c>
      <x:c r="D1926" t="str">
        <x:v>release state mirrors governing ledger</x:v>
      </x:c>
      <x:c r="E1926" t="str">
        <x:f>'Release Gates'!I1886</x:f>
        <x:v>OPEN</x:v>
      </x:c>
      <x:c r="F1926" t="str">
        <x:f>IF('Release Gates'!C1886="PLANNING","PASS",IF('Release Gates'!C1886="PHYSICAL","OPEN","BLOCKED"))</x:f>
        <x:v>OPEN</x:v>
      </x:c>
      <x:c r="G1926" t="str">
        <x:v>equals</x:v>
      </x:c>
      <x:c r="H1926" t="str">
        <x:f>IF(E1926=F1926,"PASS","FAIL")</x:f>
        <x:v>PASS</x:v>
      </x:c>
    </x:row>
    <x:row r="1927">
      <x:c r="B1927" t="str">
        <x:v>A-01881</x:v>
      </x:c>
      <x:c r="C1927" t="str">
        <x:v>GATE</x:v>
      </x:c>
      <x:c r="D1927" t="str">
        <x:v>release state mirrors governing ledger</x:v>
      </x:c>
      <x:c r="E1927" t="str">
        <x:f>'Release Gates'!I1887</x:f>
        <x:v>OPEN</x:v>
      </x:c>
      <x:c r="F1927" t="str">
        <x:f>IF('Release Gates'!C1887="PLANNING","PASS",IF('Release Gates'!C1887="PHYSICAL","OPEN","BLOCKED"))</x:f>
        <x:v>OPEN</x:v>
      </x:c>
      <x:c r="G1927" t="str">
        <x:v>equals</x:v>
      </x:c>
      <x:c r="H1927" t="str">
        <x:f>IF(E1927=F1927,"PASS","FAIL")</x:f>
        <x:v>PASS</x:v>
      </x:c>
    </x:row>
    <x:row r="1928">
      <x:c r="B1928" t="str">
        <x:v>A-01882</x:v>
      </x:c>
      <x:c r="C1928" t="str">
        <x:v>GATE</x:v>
      </x:c>
      <x:c r="D1928" t="str">
        <x:v>release state mirrors governing ledger</x:v>
      </x:c>
      <x:c r="E1928" t="str">
        <x:f>'Release Gates'!I1888</x:f>
        <x:v>OPEN</x:v>
      </x:c>
      <x:c r="F1928" t="str">
        <x:f>IF('Release Gates'!C1888="PLANNING","PASS",IF('Release Gates'!C1888="PHYSICAL","OPEN","BLOCKED"))</x:f>
        <x:v>OPEN</x:v>
      </x:c>
      <x:c r="G1928" t="str">
        <x:v>equals</x:v>
      </x:c>
      <x:c r="H1928" t="str">
        <x:f>IF(E1928=F1928,"PASS","FAIL")</x:f>
        <x:v>PASS</x:v>
      </x:c>
    </x:row>
    <x:row r="1929">
      <x:c r="B1929" t="str">
        <x:v>A-01883</x:v>
      </x:c>
      <x:c r="C1929" t="str">
        <x:v>GATE</x:v>
      </x:c>
      <x:c r="D1929" t="str">
        <x:v>release state mirrors governing ledger</x:v>
      </x:c>
      <x:c r="E1929" t="str">
        <x:f>'Release Gates'!I1889</x:f>
        <x:v>OPEN</x:v>
      </x:c>
      <x:c r="F1929" t="str">
        <x:f>IF('Release Gates'!C1889="PLANNING","PASS",IF('Release Gates'!C1889="PHYSICAL","OPEN","BLOCKED"))</x:f>
        <x:v>OPEN</x:v>
      </x:c>
      <x:c r="G1929" t="str">
        <x:v>equals</x:v>
      </x:c>
      <x:c r="H1929" t="str">
        <x:f>IF(E1929=F1929,"PASS","FAIL")</x:f>
        <x:v>PASS</x:v>
      </x:c>
    </x:row>
    <x:row r="1930">
      <x:c r="B1930" t="str">
        <x:v>A-01884</x:v>
      </x:c>
      <x:c r="C1930" t="str">
        <x:v>GATE</x:v>
      </x:c>
      <x:c r="D1930" t="str">
        <x:v>release state mirrors governing ledger</x:v>
      </x:c>
      <x:c r="E1930" t="str">
        <x:f>'Release Gates'!I1890</x:f>
        <x:v>OPEN</x:v>
      </x:c>
      <x:c r="F1930" t="str">
        <x:f>IF('Release Gates'!C1890="PLANNING","PASS",IF('Release Gates'!C1890="PHYSICAL","OPEN","BLOCKED"))</x:f>
        <x:v>OPEN</x:v>
      </x:c>
      <x:c r="G1930" t="str">
        <x:v>equals</x:v>
      </x:c>
      <x:c r="H1930" t="str">
        <x:f>IF(E1930=F1930,"PASS","FAIL")</x:f>
        <x:v>PASS</x:v>
      </x:c>
    </x:row>
    <x:row r="1931">
      <x:c r="B1931" t="str">
        <x:v>A-01885</x:v>
      </x:c>
      <x:c r="C1931" t="str">
        <x:v>GATE</x:v>
      </x:c>
      <x:c r="D1931" t="str">
        <x:v>release state mirrors governing ledger</x:v>
      </x:c>
      <x:c r="E1931" t="str">
        <x:f>'Release Gates'!I1891</x:f>
        <x:v>OPEN</x:v>
      </x:c>
      <x:c r="F1931" t="str">
        <x:f>IF('Release Gates'!C1891="PLANNING","PASS",IF('Release Gates'!C1891="PHYSICAL","OPEN","BLOCKED"))</x:f>
        <x:v>OPEN</x:v>
      </x:c>
      <x:c r="G1931" t="str">
        <x:v>equals</x:v>
      </x:c>
      <x:c r="H1931" t="str">
        <x:f>IF(E1931=F1931,"PASS","FAIL")</x:f>
        <x:v>PASS</x:v>
      </x:c>
    </x:row>
    <x:row r="1932">
      <x:c r="B1932" t="str">
        <x:v>A-01886</x:v>
      </x:c>
      <x:c r="C1932" t="str">
        <x:v>GATE</x:v>
      </x:c>
      <x:c r="D1932" t="str">
        <x:v>release state mirrors governing ledger</x:v>
      </x:c>
      <x:c r="E1932" t="str">
        <x:f>'Release Gates'!I1892</x:f>
        <x:v>OPEN</x:v>
      </x:c>
      <x:c r="F1932" t="str">
        <x:f>IF('Release Gates'!C1892="PLANNING","PASS",IF('Release Gates'!C1892="PHYSICAL","OPEN","BLOCKED"))</x:f>
        <x:v>OPEN</x:v>
      </x:c>
      <x:c r="G1932" t="str">
        <x:v>equals</x:v>
      </x:c>
      <x:c r="H1932" t="str">
        <x:f>IF(E1932=F1932,"PASS","FAIL")</x:f>
        <x:v>PASS</x:v>
      </x:c>
    </x:row>
    <x:row r="1933">
      <x:c r="B1933" t="str">
        <x:v>A-01887</x:v>
      </x:c>
      <x:c r="C1933" t="str">
        <x:v>GATE</x:v>
      </x:c>
      <x:c r="D1933" t="str">
        <x:v>release state mirrors governing ledger</x:v>
      </x:c>
      <x:c r="E1933" t="str">
        <x:f>'Release Gates'!I1893</x:f>
        <x:v>OPEN</x:v>
      </x:c>
      <x:c r="F1933" t="str">
        <x:f>IF('Release Gates'!C1893="PLANNING","PASS",IF('Release Gates'!C1893="PHYSICAL","OPEN","BLOCKED"))</x:f>
        <x:v>OPEN</x:v>
      </x:c>
      <x:c r="G1933" t="str">
        <x:v>equals</x:v>
      </x:c>
      <x:c r="H1933" t="str">
        <x:f>IF(E1933=F1933,"PASS","FAIL")</x:f>
        <x:v>PASS</x:v>
      </x:c>
    </x:row>
    <x:row r="1934">
      <x:c r="B1934" t="str">
        <x:v>A-01888</x:v>
      </x:c>
      <x:c r="C1934" t="str">
        <x:v>GATE</x:v>
      </x:c>
      <x:c r="D1934" t="str">
        <x:v>release state mirrors governing ledger</x:v>
      </x:c>
      <x:c r="E1934" t="str">
        <x:f>'Release Gates'!I1894</x:f>
        <x:v>OPEN</x:v>
      </x:c>
      <x:c r="F1934" t="str">
        <x:f>IF('Release Gates'!C1894="PLANNING","PASS",IF('Release Gates'!C1894="PHYSICAL","OPEN","BLOCKED"))</x:f>
        <x:v>OPEN</x:v>
      </x:c>
      <x:c r="G1934" t="str">
        <x:v>equals</x:v>
      </x:c>
      <x:c r="H1934" t="str">
        <x:f>IF(E1934=F1934,"PASS","FAIL")</x:f>
        <x:v>PASS</x:v>
      </x:c>
    </x:row>
    <x:row r="1935">
      <x:c r="B1935" t="str">
        <x:v>A-01889</x:v>
      </x:c>
      <x:c r="C1935" t="str">
        <x:v>GATE</x:v>
      </x:c>
      <x:c r="D1935" t="str">
        <x:v>release state mirrors governing ledger</x:v>
      </x:c>
      <x:c r="E1935" t="str">
        <x:f>'Release Gates'!I1895</x:f>
        <x:v>OPEN</x:v>
      </x:c>
      <x:c r="F1935" t="str">
        <x:f>IF('Release Gates'!C1895="PLANNING","PASS",IF('Release Gates'!C1895="PHYSICAL","OPEN","BLOCKED"))</x:f>
        <x:v>OPEN</x:v>
      </x:c>
      <x:c r="G1935" t="str">
        <x:v>equals</x:v>
      </x:c>
      <x:c r="H1935" t="str">
        <x:f>IF(E1935=F1935,"PASS","FAIL")</x:f>
        <x:v>PASS</x:v>
      </x:c>
    </x:row>
    <x:row r="1936">
      <x:c r="B1936" t="str">
        <x:v>A-01890</x:v>
      </x:c>
      <x:c r="C1936" t="str">
        <x:v>GATE</x:v>
      </x:c>
      <x:c r="D1936" t="str">
        <x:v>release state mirrors governing ledger</x:v>
      </x:c>
      <x:c r="E1936" t="str">
        <x:f>'Release Gates'!I1896</x:f>
        <x:v>OPEN</x:v>
      </x:c>
      <x:c r="F1936" t="str">
        <x:f>IF('Release Gates'!C1896="PLANNING","PASS",IF('Release Gates'!C1896="PHYSICAL","OPEN","BLOCKED"))</x:f>
        <x:v>OPEN</x:v>
      </x:c>
      <x:c r="G1936" t="str">
        <x:v>equals</x:v>
      </x:c>
      <x:c r="H1936" t="str">
        <x:f>IF(E1936=F1936,"PASS","FAIL")</x:f>
        <x:v>PASS</x:v>
      </x:c>
    </x:row>
    <x:row r="1937">
      <x:c r="B1937" t="str">
        <x:v>A-01891</x:v>
      </x:c>
      <x:c r="C1937" t="str">
        <x:v>GATE</x:v>
      </x:c>
      <x:c r="D1937" t="str">
        <x:v>release state mirrors governing ledger</x:v>
      </x:c>
      <x:c r="E1937" t="str">
        <x:f>'Release Gates'!I1897</x:f>
        <x:v>OPEN</x:v>
      </x:c>
      <x:c r="F1937" t="str">
        <x:f>IF('Release Gates'!C1897="PLANNING","PASS",IF('Release Gates'!C1897="PHYSICAL","OPEN","BLOCKED"))</x:f>
        <x:v>OPEN</x:v>
      </x:c>
      <x:c r="G1937" t="str">
        <x:v>equals</x:v>
      </x:c>
      <x:c r="H1937" t="str">
        <x:f>IF(E1937=F1937,"PASS","FAIL")</x:f>
        <x:v>PASS</x:v>
      </x:c>
    </x:row>
    <x:row r="1938">
      <x:c r="B1938" t="str">
        <x:v>A-01892</x:v>
      </x:c>
      <x:c r="C1938" t="str">
        <x:v>GATE</x:v>
      </x:c>
      <x:c r="D1938" t="str">
        <x:v>release state mirrors governing ledger</x:v>
      </x:c>
      <x:c r="E1938" t="str">
        <x:f>'Release Gates'!I1898</x:f>
        <x:v>OPEN</x:v>
      </x:c>
      <x:c r="F1938" t="str">
        <x:f>IF('Release Gates'!C1898="PLANNING","PASS",IF('Release Gates'!C1898="PHYSICAL","OPEN","BLOCKED"))</x:f>
        <x:v>OPEN</x:v>
      </x:c>
      <x:c r="G1938" t="str">
        <x:v>equals</x:v>
      </x:c>
      <x:c r="H1938" t="str">
        <x:f>IF(E1938=F1938,"PASS","FAIL")</x:f>
        <x:v>PASS</x:v>
      </x:c>
    </x:row>
    <x:row r="1939">
      <x:c r="B1939" t="str">
        <x:v>A-01893</x:v>
      </x:c>
      <x:c r="C1939" t="str">
        <x:v>GATE</x:v>
      </x:c>
      <x:c r="D1939" t="str">
        <x:v>release state mirrors governing ledger</x:v>
      </x:c>
      <x:c r="E1939" t="str">
        <x:f>'Release Gates'!I1899</x:f>
        <x:v>OPEN</x:v>
      </x:c>
      <x:c r="F1939" t="str">
        <x:f>IF('Release Gates'!C1899="PLANNING","PASS",IF('Release Gates'!C1899="PHYSICAL","OPEN","BLOCKED"))</x:f>
        <x:v>OPEN</x:v>
      </x:c>
      <x:c r="G1939" t="str">
        <x:v>equals</x:v>
      </x:c>
      <x:c r="H1939" t="str">
        <x:f>IF(E1939=F1939,"PASS","FAIL")</x:f>
        <x:v>PASS</x:v>
      </x:c>
    </x:row>
    <x:row r="1940">
      <x:c r="B1940" t="str">
        <x:v>A-01894</x:v>
      </x:c>
      <x:c r="C1940" t="str">
        <x:v>GATE</x:v>
      </x:c>
      <x:c r="D1940" t="str">
        <x:v>release state mirrors governing ledger</x:v>
      </x:c>
      <x:c r="E1940" t="str">
        <x:f>'Release Gates'!I1900</x:f>
        <x:v>OPEN</x:v>
      </x:c>
      <x:c r="F1940" t="str">
        <x:f>IF('Release Gates'!C1900="PLANNING","PASS",IF('Release Gates'!C1900="PHYSICAL","OPEN","BLOCKED"))</x:f>
        <x:v>OPEN</x:v>
      </x:c>
      <x:c r="G1940" t="str">
        <x:v>equals</x:v>
      </x:c>
      <x:c r="H1940" t="str">
        <x:f>IF(E1940=F1940,"PASS","FAIL")</x:f>
        <x:v>PASS</x:v>
      </x:c>
    </x:row>
    <x:row r="1941">
      <x:c r="B1941" t="str">
        <x:v>A-01895</x:v>
      </x:c>
      <x:c r="C1941" t="str">
        <x:v>GATE</x:v>
      </x:c>
      <x:c r="D1941" t="str">
        <x:v>release state mirrors governing ledger</x:v>
      </x:c>
      <x:c r="E1941" t="str">
        <x:f>'Release Gates'!I1901</x:f>
        <x:v>OPEN</x:v>
      </x:c>
      <x:c r="F1941" t="str">
        <x:f>IF('Release Gates'!C1901="PLANNING","PASS",IF('Release Gates'!C1901="PHYSICAL","OPEN","BLOCKED"))</x:f>
        <x:v>OPEN</x:v>
      </x:c>
      <x:c r="G1941" t="str">
        <x:v>equals</x:v>
      </x:c>
      <x:c r="H1941" t="str">
        <x:f>IF(E1941=F1941,"PASS","FAIL")</x:f>
        <x:v>PASS</x:v>
      </x:c>
    </x:row>
    <x:row r="1942">
      <x:c r="B1942" t="str">
        <x:v>A-01896</x:v>
      </x:c>
      <x:c r="C1942" t="str">
        <x:v>GATE</x:v>
      </x:c>
      <x:c r="D1942" t="str">
        <x:v>release state mirrors governing ledger</x:v>
      </x:c>
      <x:c r="E1942" t="str">
        <x:f>'Release Gates'!I1902</x:f>
        <x:v>OPEN</x:v>
      </x:c>
      <x:c r="F1942" t="str">
        <x:f>IF('Release Gates'!C1902="PLANNING","PASS",IF('Release Gates'!C1902="PHYSICAL","OPEN","BLOCKED"))</x:f>
        <x:v>OPEN</x:v>
      </x:c>
      <x:c r="G1942" t="str">
        <x:v>equals</x:v>
      </x:c>
      <x:c r="H1942" t="str">
        <x:f>IF(E1942=F1942,"PASS","FAIL")</x:f>
        <x:v>PASS</x:v>
      </x:c>
    </x:row>
    <x:row r="1943">
      <x:c r="B1943" t="str">
        <x:v>A-01897</x:v>
      </x:c>
      <x:c r="C1943" t="str">
        <x:v>GATE</x:v>
      </x:c>
      <x:c r="D1943" t="str">
        <x:v>release state mirrors governing ledger</x:v>
      </x:c>
      <x:c r="E1943" t="str">
        <x:f>'Release Gates'!I1903</x:f>
        <x:v>OPEN</x:v>
      </x:c>
      <x:c r="F1943" t="str">
        <x:f>IF('Release Gates'!C1903="PLANNING","PASS",IF('Release Gates'!C1903="PHYSICAL","OPEN","BLOCKED"))</x:f>
        <x:v>OPEN</x:v>
      </x:c>
      <x:c r="G1943" t="str">
        <x:v>equals</x:v>
      </x:c>
      <x:c r="H1943" t="str">
        <x:f>IF(E1943=F1943,"PASS","FAIL")</x:f>
        <x:v>PASS</x:v>
      </x:c>
    </x:row>
    <x:row r="1944">
      <x:c r="B1944" t="str">
        <x:v>A-01898</x:v>
      </x:c>
      <x:c r="C1944" t="str">
        <x:v>GATE</x:v>
      </x:c>
      <x:c r="D1944" t="str">
        <x:v>release state mirrors governing ledger</x:v>
      </x:c>
      <x:c r="E1944" t="str">
        <x:f>'Release Gates'!I1904</x:f>
        <x:v>OPEN</x:v>
      </x:c>
      <x:c r="F1944" t="str">
        <x:f>IF('Release Gates'!C1904="PLANNING","PASS",IF('Release Gates'!C1904="PHYSICAL","OPEN","BLOCKED"))</x:f>
        <x:v>OPEN</x:v>
      </x:c>
      <x:c r="G1944" t="str">
        <x:v>equals</x:v>
      </x:c>
      <x:c r="H1944" t="str">
        <x:f>IF(E1944=F1944,"PASS","FAIL")</x:f>
        <x:v>PASS</x:v>
      </x:c>
    </x:row>
    <x:row r="1945">
      <x:c r="B1945" t="str">
        <x:v>A-01899</x:v>
      </x:c>
      <x:c r="C1945" t="str">
        <x:v>GATE</x:v>
      </x:c>
      <x:c r="D1945" t="str">
        <x:v>release state mirrors governing ledger</x:v>
      </x:c>
      <x:c r="E1945" t="str">
        <x:f>'Release Gates'!I1905</x:f>
        <x:v>OPEN</x:v>
      </x:c>
      <x:c r="F1945" t="str">
        <x:f>IF('Release Gates'!C1905="PLANNING","PASS",IF('Release Gates'!C1905="PHYSICAL","OPEN","BLOCKED"))</x:f>
        <x:v>OPEN</x:v>
      </x:c>
      <x:c r="G1945" t="str">
        <x:v>equals</x:v>
      </x:c>
      <x:c r="H1945" t="str">
        <x:f>IF(E1945=F1945,"PASS","FAIL")</x:f>
        <x:v>PASS</x:v>
      </x:c>
    </x:row>
    <x:row r="1946">
      <x:c r="B1946" t="str">
        <x:v>A-01900</x:v>
      </x:c>
      <x:c r="C1946" t="str">
        <x:v>GATE</x:v>
      </x:c>
      <x:c r="D1946" t="str">
        <x:v>release state mirrors governing ledger</x:v>
      </x:c>
      <x:c r="E1946" t="str">
        <x:f>'Release Gates'!I1906</x:f>
        <x:v>OPEN</x:v>
      </x:c>
      <x:c r="F1946" t="str">
        <x:f>IF('Release Gates'!C1906="PLANNING","PASS",IF('Release Gates'!C1906="PHYSICAL","OPEN","BLOCKED"))</x:f>
        <x:v>OPEN</x:v>
      </x:c>
      <x:c r="G1946" t="str">
        <x:v>equals</x:v>
      </x:c>
      <x:c r="H1946" t="str">
        <x:f>IF(E1946=F1946,"PASS","FAIL")</x:f>
        <x:v>PASS</x:v>
      </x:c>
    </x:row>
    <x:row r="1947">
      <x:c r="B1947" t="str">
        <x:v>A-01901</x:v>
      </x:c>
      <x:c r="C1947" t="str">
        <x:v>GATE</x:v>
      </x:c>
      <x:c r="D1947" t="str">
        <x:v>release state mirrors governing ledger</x:v>
      </x:c>
      <x:c r="E1947" t="str">
        <x:f>'Release Gates'!I1907</x:f>
        <x:v>OPEN</x:v>
      </x:c>
      <x:c r="F1947" t="str">
        <x:f>IF('Release Gates'!C1907="PLANNING","PASS",IF('Release Gates'!C1907="PHYSICAL","OPEN","BLOCKED"))</x:f>
        <x:v>OPEN</x:v>
      </x:c>
      <x:c r="G1947" t="str">
        <x:v>equals</x:v>
      </x:c>
      <x:c r="H1947" t="str">
        <x:f>IF(E1947=F1947,"PASS","FAIL")</x:f>
        <x:v>PASS</x:v>
      </x:c>
    </x:row>
    <x:row r="1948">
      <x:c r="B1948" t="str">
        <x:v>A-01902</x:v>
      </x:c>
      <x:c r="C1948" t="str">
        <x:v>GATE</x:v>
      </x:c>
      <x:c r="D1948" t="str">
        <x:v>release state mirrors governing ledger</x:v>
      </x:c>
      <x:c r="E1948" t="str">
        <x:f>'Release Gates'!I1908</x:f>
        <x:v>OPEN</x:v>
      </x:c>
      <x:c r="F1948" t="str">
        <x:f>IF('Release Gates'!C1908="PLANNING","PASS",IF('Release Gates'!C1908="PHYSICAL","OPEN","BLOCKED"))</x:f>
        <x:v>OPEN</x:v>
      </x:c>
      <x:c r="G1948" t="str">
        <x:v>equals</x:v>
      </x:c>
      <x:c r="H1948" t="str">
        <x:f>IF(E1948=F1948,"PASS","FAIL")</x:f>
        <x:v>PASS</x:v>
      </x:c>
    </x:row>
    <x:row r="1949">
      <x:c r="B1949" t="str">
        <x:v>A-01903</x:v>
      </x:c>
      <x:c r="C1949" t="str">
        <x:v>GATE</x:v>
      </x:c>
      <x:c r="D1949" t="str">
        <x:v>release state mirrors governing ledger</x:v>
      </x:c>
      <x:c r="E1949" t="str">
        <x:f>'Release Gates'!I1909</x:f>
        <x:v>OPEN</x:v>
      </x:c>
      <x:c r="F1949" t="str">
        <x:f>IF('Release Gates'!C1909="PLANNING","PASS",IF('Release Gates'!C1909="PHYSICAL","OPEN","BLOCKED"))</x:f>
        <x:v>OPEN</x:v>
      </x:c>
      <x:c r="G1949" t="str">
        <x:v>equals</x:v>
      </x:c>
      <x:c r="H1949" t="str">
        <x:f>IF(E1949=F1949,"PASS","FAIL")</x:f>
        <x:v>PASS</x:v>
      </x:c>
    </x:row>
    <x:row r="1950">
      <x:c r="B1950" t="str">
        <x:v>A-01904</x:v>
      </x:c>
      <x:c r="C1950" t="str">
        <x:v>GATE</x:v>
      </x:c>
      <x:c r="D1950" t="str">
        <x:v>release state mirrors governing ledger</x:v>
      </x:c>
      <x:c r="E1950" t="str">
        <x:f>'Release Gates'!I1910</x:f>
        <x:v>OPEN</x:v>
      </x:c>
      <x:c r="F1950" t="str">
        <x:f>IF('Release Gates'!C1910="PLANNING","PASS",IF('Release Gates'!C1910="PHYSICAL","OPEN","BLOCKED"))</x:f>
        <x:v>OPEN</x:v>
      </x:c>
      <x:c r="G1950" t="str">
        <x:v>equals</x:v>
      </x:c>
      <x:c r="H1950" t="str">
        <x:f>IF(E1950=F1950,"PASS","FAIL")</x:f>
        <x:v>PASS</x:v>
      </x:c>
    </x:row>
    <x:row r="1951">
      <x:c r="B1951" t="str">
        <x:v>A-01905</x:v>
      </x:c>
      <x:c r="C1951" t="str">
        <x:v>GATE</x:v>
      </x:c>
      <x:c r="D1951" t="str">
        <x:v>release state mirrors governing ledger</x:v>
      </x:c>
      <x:c r="E1951" t="str">
        <x:f>'Release Gates'!I1911</x:f>
        <x:v>OPEN</x:v>
      </x:c>
      <x:c r="F1951" t="str">
        <x:f>IF('Release Gates'!C1911="PLANNING","PASS",IF('Release Gates'!C1911="PHYSICAL","OPEN","BLOCKED"))</x:f>
        <x:v>OPEN</x:v>
      </x:c>
      <x:c r="G1951" t="str">
        <x:v>equals</x:v>
      </x:c>
      <x:c r="H1951" t="str">
        <x:f>IF(E1951=F1951,"PASS","FAIL")</x:f>
        <x:v>PASS</x:v>
      </x:c>
    </x:row>
    <x:row r="1952">
      <x:c r="B1952" t="str">
        <x:v>A-01906</x:v>
      </x:c>
      <x:c r="C1952" t="str">
        <x:v>GATE</x:v>
      </x:c>
      <x:c r="D1952" t="str">
        <x:v>release state mirrors governing ledger</x:v>
      </x:c>
      <x:c r="E1952" t="str">
        <x:f>'Release Gates'!I1912</x:f>
        <x:v>OPEN</x:v>
      </x:c>
      <x:c r="F1952" t="str">
        <x:f>IF('Release Gates'!C1912="PLANNING","PASS",IF('Release Gates'!C1912="PHYSICAL","OPEN","BLOCKED"))</x:f>
        <x:v>OPEN</x:v>
      </x:c>
      <x:c r="G1952" t="str">
        <x:v>equals</x:v>
      </x:c>
      <x:c r="H1952" t="str">
        <x:f>IF(E1952=F1952,"PASS","FAIL")</x:f>
        <x:v>PASS</x:v>
      </x:c>
    </x:row>
    <x:row r="1953">
      <x:c r="B1953" t="str">
        <x:v>A-01907</x:v>
      </x:c>
      <x:c r="C1953" t="str">
        <x:v>GATE</x:v>
      </x:c>
      <x:c r="D1953" t="str">
        <x:v>release state mirrors governing ledger</x:v>
      </x:c>
      <x:c r="E1953" t="str">
        <x:f>'Release Gates'!I1913</x:f>
        <x:v>OPEN</x:v>
      </x:c>
      <x:c r="F1953" t="str">
        <x:f>IF('Release Gates'!C1913="PLANNING","PASS",IF('Release Gates'!C1913="PHYSICAL","OPEN","BLOCKED"))</x:f>
        <x:v>OPEN</x:v>
      </x:c>
      <x:c r="G1953" t="str">
        <x:v>equals</x:v>
      </x:c>
      <x:c r="H1953" t="str">
        <x:f>IF(E1953=F1953,"PASS","FAIL")</x:f>
        <x:v>PASS</x:v>
      </x:c>
    </x:row>
    <x:row r="1954">
      <x:c r="B1954" t="str">
        <x:v>A-01908</x:v>
      </x:c>
      <x:c r="C1954" t="str">
        <x:v>GATE</x:v>
      </x:c>
      <x:c r="D1954" t="str">
        <x:v>release state mirrors governing ledger</x:v>
      </x:c>
      <x:c r="E1954" t="str">
        <x:f>'Release Gates'!I1914</x:f>
        <x:v>OPEN</x:v>
      </x:c>
      <x:c r="F1954" t="str">
        <x:f>IF('Release Gates'!C1914="PLANNING","PASS",IF('Release Gates'!C1914="PHYSICAL","OPEN","BLOCKED"))</x:f>
        <x:v>OPEN</x:v>
      </x:c>
      <x:c r="G1954" t="str">
        <x:v>equals</x:v>
      </x:c>
      <x:c r="H1954" t="str">
        <x:f>IF(E1954=F1954,"PASS","FAIL")</x:f>
        <x:v>PASS</x:v>
      </x:c>
    </x:row>
    <x:row r="1955">
      <x:c r="B1955" t="str">
        <x:v>A-01909</x:v>
      </x:c>
      <x:c r="C1955" t="str">
        <x:v>GATE</x:v>
      </x:c>
      <x:c r="D1955" t="str">
        <x:v>release state mirrors governing ledger</x:v>
      </x:c>
      <x:c r="E1955" t="str">
        <x:f>'Release Gates'!I1915</x:f>
        <x:v>OPEN</x:v>
      </x:c>
      <x:c r="F1955" t="str">
        <x:f>IF('Release Gates'!C1915="PLANNING","PASS",IF('Release Gates'!C1915="PHYSICAL","OPEN","BLOCKED"))</x:f>
        <x:v>OPEN</x:v>
      </x:c>
      <x:c r="G1955" t="str">
        <x:v>equals</x:v>
      </x:c>
      <x:c r="H1955" t="str">
        <x:f>IF(E1955=F1955,"PASS","FAIL")</x:f>
        <x:v>PASS</x:v>
      </x:c>
    </x:row>
    <x:row r="1956">
      <x:c r="B1956" t="str">
        <x:v>A-01910</x:v>
      </x:c>
      <x:c r="C1956" t="str">
        <x:v>GATE</x:v>
      </x:c>
      <x:c r="D1956" t="str">
        <x:v>release state mirrors governing ledger</x:v>
      </x:c>
      <x:c r="E1956" t="str">
        <x:f>'Release Gates'!I1916</x:f>
        <x:v>OPEN</x:v>
      </x:c>
      <x:c r="F1956" t="str">
        <x:f>IF('Release Gates'!C1916="PLANNING","PASS",IF('Release Gates'!C1916="PHYSICAL","OPEN","BLOCKED"))</x:f>
        <x:v>OPEN</x:v>
      </x:c>
      <x:c r="G1956" t="str">
        <x:v>equals</x:v>
      </x:c>
      <x:c r="H1956" t="str">
        <x:f>IF(E1956=F1956,"PASS","FAIL")</x:f>
        <x:v>PASS</x:v>
      </x:c>
    </x:row>
    <x:row r="1957">
      <x:c r="B1957" t="str">
        <x:v>A-01911</x:v>
      </x:c>
      <x:c r="C1957" t="str">
        <x:v>GATE</x:v>
      </x:c>
      <x:c r="D1957" t="str">
        <x:v>release state mirrors governing ledger</x:v>
      </x:c>
      <x:c r="E1957" t="str">
        <x:f>'Release Gates'!I1917</x:f>
        <x:v>OPEN</x:v>
      </x:c>
      <x:c r="F1957" t="str">
        <x:f>IF('Release Gates'!C1917="PLANNING","PASS",IF('Release Gates'!C1917="PHYSICAL","OPEN","BLOCKED"))</x:f>
        <x:v>OPEN</x:v>
      </x:c>
      <x:c r="G1957" t="str">
        <x:v>equals</x:v>
      </x:c>
      <x:c r="H1957" t="str">
        <x:f>IF(E1957=F1957,"PASS","FAIL")</x:f>
        <x:v>PASS</x:v>
      </x:c>
    </x:row>
    <x:row r="1958">
      <x:c r="B1958" t="str">
        <x:v>A-01912</x:v>
      </x:c>
      <x:c r="C1958" t="str">
        <x:v>GATE</x:v>
      </x:c>
      <x:c r="D1958" t="str">
        <x:v>release state mirrors governing ledger</x:v>
      </x:c>
      <x:c r="E1958" t="str">
        <x:f>'Release Gates'!I1918</x:f>
        <x:v>OPEN</x:v>
      </x:c>
      <x:c r="F1958" t="str">
        <x:f>IF('Release Gates'!C1918="PLANNING","PASS",IF('Release Gates'!C1918="PHYSICAL","OPEN","BLOCKED"))</x:f>
        <x:v>OPEN</x:v>
      </x:c>
      <x:c r="G1958" t="str">
        <x:v>equals</x:v>
      </x:c>
      <x:c r="H1958" t="str">
        <x:f>IF(E1958=F1958,"PASS","FAIL")</x:f>
        <x:v>PASS</x:v>
      </x:c>
    </x:row>
    <x:row r="1959">
      <x:c r="B1959" t="str">
        <x:v>A-01913</x:v>
      </x:c>
      <x:c r="C1959" t="str">
        <x:v>GATE</x:v>
      </x:c>
      <x:c r="D1959" t="str">
        <x:v>release state mirrors governing ledger</x:v>
      </x:c>
      <x:c r="E1959" t="str">
        <x:f>'Release Gates'!I1919</x:f>
        <x:v>OPEN</x:v>
      </x:c>
      <x:c r="F1959" t="str">
        <x:f>IF('Release Gates'!C1919="PLANNING","PASS",IF('Release Gates'!C1919="PHYSICAL","OPEN","BLOCKED"))</x:f>
        <x:v>OPEN</x:v>
      </x:c>
      <x:c r="G1959" t="str">
        <x:v>equals</x:v>
      </x:c>
      <x:c r="H1959" t="str">
        <x:f>IF(E1959=F1959,"PASS","FAIL")</x:f>
        <x:v>PASS</x:v>
      </x:c>
    </x:row>
    <x:row r="1960">
      <x:c r="B1960" t="str">
        <x:v>A-01914</x:v>
      </x:c>
      <x:c r="C1960" t="str">
        <x:v>GATE</x:v>
      </x:c>
      <x:c r="D1960" t="str">
        <x:v>release state mirrors governing ledger</x:v>
      </x:c>
      <x:c r="E1960" t="str">
        <x:f>'Release Gates'!I1920</x:f>
        <x:v>OPEN</x:v>
      </x:c>
      <x:c r="F1960" t="str">
        <x:f>IF('Release Gates'!C1920="PLANNING","PASS",IF('Release Gates'!C1920="PHYSICAL","OPEN","BLOCKED"))</x:f>
        <x:v>OPEN</x:v>
      </x:c>
      <x:c r="G1960" t="str">
        <x:v>equals</x:v>
      </x:c>
      <x:c r="H1960" t="str">
        <x:f>IF(E1960=F1960,"PASS","FAIL")</x:f>
        <x:v>PASS</x:v>
      </x:c>
    </x:row>
    <x:row r="1961">
      <x:c r="B1961" t="str">
        <x:v>A-01915</x:v>
      </x:c>
      <x:c r="C1961" t="str">
        <x:v>GATE</x:v>
      </x:c>
      <x:c r="D1961" t="str">
        <x:v>release state mirrors governing ledger</x:v>
      </x:c>
      <x:c r="E1961" t="str">
        <x:f>'Release Gates'!I1921</x:f>
        <x:v>OPEN</x:v>
      </x:c>
      <x:c r="F1961" t="str">
        <x:f>IF('Release Gates'!C1921="PLANNING","PASS",IF('Release Gates'!C1921="PHYSICAL","OPEN","BLOCKED"))</x:f>
        <x:v>OPEN</x:v>
      </x:c>
      <x:c r="G1961" t="str">
        <x:v>equals</x:v>
      </x:c>
      <x:c r="H1961" t="str">
        <x:f>IF(E1961=F1961,"PASS","FAIL")</x:f>
        <x:v>PASS</x:v>
      </x:c>
    </x:row>
    <x:row r="1962">
      <x:c r="B1962" t="str">
        <x:v>A-01916</x:v>
      </x:c>
      <x:c r="C1962" t="str">
        <x:v>GATE</x:v>
      </x:c>
      <x:c r="D1962" t="str">
        <x:v>release state mirrors governing ledger</x:v>
      </x:c>
      <x:c r="E1962" t="str">
        <x:f>'Release Gates'!I1922</x:f>
        <x:v>OPEN</x:v>
      </x:c>
      <x:c r="F1962" t="str">
        <x:f>IF('Release Gates'!C1922="PLANNING","PASS",IF('Release Gates'!C1922="PHYSICAL","OPEN","BLOCKED"))</x:f>
        <x:v>OPEN</x:v>
      </x:c>
      <x:c r="G1962" t="str">
        <x:v>equals</x:v>
      </x:c>
      <x:c r="H1962" t="str">
        <x:f>IF(E1962=F1962,"PASS","FAIL")</x:f>
        <x:v>PASS</x:v>
      </x:c>
    </x:row>
    <x:row r="1963">
      <x:c r="B1963" t="str">
        <x:v>A-01917</x:v>
      </x:c>
      <x:c r="C1963" t="str">
        <x:v>GATE</x:v>
      </x:c>
      <x:c r="D1963" t="str">
        <x:v>release state mirrors governing ledger</x:v>
      </x:c>
      <x:c r="E1963" t="str">
        <x:f>'Release Gates'!I1923</x:f>
        <x:v>OPEN</x:v>
      </x:c>
      <x:c r="F1963" t="str">
        <x:f>IF('Release Gates'!C1923="PLANNING","PASS",IF('Release Gates'!C1923="PHYSICAL","OPEN","BLOCKED"))</x:f>
        <x:v>OPEN</x:v>
      </x:c>
      <x:c r="G1963" t="str">
        <x:v>equals</x:v>
      </x:c>
      <x:c r="H1963" t="str">
        <x:f>IF(E1963=F1963,"PASS","FAIL")</x:f>
        <x:v>PASS</x:v>
      </x:c>
    </x:row>
    <x:row r="1964">
      <x:c r="B1964" t="str">
        <x:v>A-01918</x:v>
      </x:c>
      <x:c r="C1964" t="str">
        <x:v>GATE</x:v>
      </x:c>
      <x:c r="D1964" t="str">
        <x:v>release state mirrors governing ledger</x:v>
      </x:c>
      <x:c r="E1964" t="str">
        <x:f>'Release Gates'!I1924</x:f>
        <x:v>OPEN</x:v>
      </x:c>
      <x:c r="F1964" t="str">
        <x:f>IF('Release Gates'!C1924="PLANNING","PASS",IF('Release Gates'!C1924="PHYSICAL","OPEN","BLOCKED"))</x:f>
        <x:v>OPEN</x:v>
      </x:c>
      <x:c r="G1964" t="str">
        <x:v>equals</x:v>
      </x:c>
      <x:c r="H1964" t="str">
        <x:f>IF(E1964=F1964,"PASS","FAIL")</x:f>
        <x:v>PASS</x:v>
      </x:c>
    </x:row>
    <x:row r="1965">
      <x:c r="B1965" t="str">
        <x:v>A-01919</x:v>
      </x:c>
      <x:c r="C1965" t="str">
        <x:v>GATE</x:v>
      </x:c>
      <x:c r="D1965" t="str">
        <x:v>release state mirrors governing ledger</x:v>
      </x:c>
      <x:c r="E1965" t="str">
        <x:f>'Release Gates'!I1925</x:f>
        <x:v>OPEN</x:v>
      </x:c>
      <x:c r="F1965" t="str">
        <x:f>IF('Release Gates'!C1925="PLANNING","PASS",IF('Release Gates'!C1925="PHYSICAL","OPEN","BLOCKED"))</x:f>
        <x:v>OPEN</x:v>
      </x:c>
      <x:c r="G1965" t="str">
        <x:v>equals</x:v>
      </x:c>
      <x:c r="H1965" t="str">
        <x:f>IF(E1965=F1965,"PASS","FAIL")</x:f>
        <x:v>PASS</x:v>
      </x:c>
    </x:row>
    <x:row r="1966">
      <x:c r="B1966" t="str">
        <x:v>A-01920</x:v>
      </x:c>
      <x:c r="C1966" t="str">
        <x:v>GATE</x:v>
      </x:c>
      <x:c r="D1966" t="str">
        <x:v>release state mirrors governing ledger</x:v>
      </x:c>
      <x:c r="E1966" t="str">
        <x:f>'Release Gates'!I1926</x:f>
        <x:v>OPEN</x:v>
      </x:c>
      <x:c r="F1966" t="str">
        <x:f>IF('Release Gates'!C1926="PLANNING","PASS",IF('Release Gates'!C1926="PHYSICAL","OPEN","BLOCKED"))</x:f>
        <x:v>OPEN</x:v>
      </x:c>
      <x:c r="G1966" t="str">
        <x:v>equals</x:v>
      </x:c>
      <x:c r="H1966" t="str">
        <x:f>IF(E1966=F1966,"PASS","FAIL")</x:f>
        <x:v>PASS</x:v>
      </x:c>
    </x:row>
    <x:row r="1967">
      <x:c r="B1967" t="str">
        <x:v>A-01921</x:v>
      </x:c>
      <x:c r="C1967" t="str">
        <x:v>GATE</x:v>
      </x:c>
      <x:c r="D1967" t="str">
        <x:v>release state mirrors governing ledger</x:v>
      </x:c>
      <x:c r="E1967" t="str">
        <x:f>'Release Gates'!I1927</x:f>
        <x:v>OPEN</x:v>
      </x:c>
      <x:c r="F1967" t="str">
        <x:f>IF('Release Gates'!C1927="PLANNING","PASS",IF('Release Gates'!C1927="PHYSICAL","OPEN","BLOCKED"))</x:f>
        <x:v>OPEN</x:v>
      </x:c>
      <x:c r="G1967" t="str">
        <x:v>equals</x:v>
      </x:c>
      <x:c r="H1967" t="str">
        <x:f>IF(E1967=F1967,"PASS","FAIL")</x:f>
        <x:v>PASS</x:v>
      </x:c>
    </x:row>
    <x:row r="1968">
      <x:c r="B1968" t="str">
        <x:v>A-01922</x:v>
      </x:c>
      <x:c r="C1968" t="str">
        <x:v>GATE</x:v>
      </x:c>
      <x:c r="D1968" t="str">
        <x:v>release state mirrors governing ledger</x:v>
      </x:c>
      <x:c r="E1968" t="str">
        <x:f>'Release Gates'!I1928</x:f>
        <x:v>OPEN</x:v>
      </x:c>
      <x:c r="F1968" t="str">
        <x:f>IF('Release Gates'!C1928="PLANNING","PASS",IF('Release Gates'!C1928="PHYSICAL","OPEN","BLOCKED"))</x:f>
        <x:v>OPEN</x:v>
      </x:c>
      <x:c r="G1968" t="str">
        <x:v>equals</x:v>
      </x:c>
      <x:c r="H1968" t="str">
        <x:f>IF(E1968=F1968,"PASS","FAIL")</x:f>
        <x:v>PASS</x:v>
      </x:c>
    </x:row>
    <x:row r="1969">
      <x:c r="B1969" t="str">
        <x:v>A-01923</x:v>
      </x:c>
      <x:c r="C1969" t="str">
        <x:v>GATE</x:v>
      </x:c>
      <x:c r="D1969" t="str">
        <x:v>release state mirrors governing ledger</x:v>
      </x:c>
      <x:c r="E1969" t="str">
        <x:f>'Release Gates'!I1929</x:f>
        <x:v>OPEN</x:v>
      </x:c>
      <x:c r="F1969" t="str">
        <x:f>IF('Release Gates'!C1929="PLANNING","PASS",IF('Release Gates'!C1929="PHYSICAL","OPEN","BLOCKED"))</x:f>
        <x:v>OPEN</x:v>
      </x:c>
      <x:c r="G1969" t="str">
        <x:v>equals</x:v>
      </x:c>
      <x:c r="H1969" t="str">
        <x:f>IF(E1969=F1969,"PASS","FAIL")</x:f>
        <x:v>PASS</x:v>
      </x:c>
    </x:row>
    <x:row r="1970">
      <x:c r="B1970" t="str">
        <x:v>A-01924</x:v>
      </x:c>
      <x:c r="C1970" t="str">
        <x:v>GATE</x:v>
      </x:c>
      <x:c r="D1970" t="str">
        <x:v>release state mirrors governing ledger</x:v>
      </x:c>
      <x:c r="E1970" t="str">
        <x:f>'Release Gates'!I1930</x:f>
        <x:v>OPEN</x:v>
      </x:c>
      <x:c r="F1970" t="str">
        <x:f>IF('Release Gates'!C1930="PLANNING","PASS",IF('Release Gates'!C1930="PHYSICAL","OPEN","BLOCKED"))</x:f>
        <x:v>OPEN</x:v>
      </x:c>
      <x:c r="G1970" t="str">
        <x:v>equals</x:v>
      </x:c>
      <x:c r="H1970" t="str">
        <x:f>IF(E1970=F1970,"PASS","FAIL")</x:f>
        <x:v>PASS</x:v>
      </x:c>
    </x:row>
    <x:row r="1971">
      <x:c r="B1971" t="str">
        <x:v>A-01925</x:v>
      </x:c>
      <x:c r="C1971" t="str">
        <x:v>GATE</x:v>
      </x:c>
      <x:c r="D1971" t="str">
        <x:v>release state mirrors governing ledger</x:v>
      </x:c>
      <x:c r="E1971" t="str">
        <x:f>'Release Gates'!I1931</x:f>
        <x:v>OPEN</x:v>
      </x:c>
      <x:c r="F1971" t="str">
        <x:f>IF('Release Gates'!C1931="PLANNING","PASS",IF('Release Gates'!C1931="PHYSICAL","OPEN","BLOCKED"))</x:f>
        <x:v>OPEN</x:v>
      </x:c>
      <x:c r="G1971" t="str">
        <x:v>equals</x:v>
      </x:c>
      <x:c r="H1971" t="str">
        <x:f>IF(E1971=F1971,"PASS","FAIL")</x:f>
        <x:v>PASS</x:v>
      </x:c>
    </x:row>
    <x:row r="1972">
      <x:c r="B1972" t="str">
        <x:v>A-01926</x:v>
      </x:c>
      <x:c r="C1972" t="str">
        <x:v>GATE</x:v>
      </x:c>
      <x:c r="D1972" t="str">
        <x:v>release state mirrors governing ledger</x:v>
      </x:c>
      <x:c r="E1972" t="str">
        <x:f>'Release Gates'!I1932</x:f>
        <x:v>OPEN</x:v>
      </x:c>
      <x:c r="F1972" t="str">
        <x:f>IF('Release Gates'!C1932="PLANNING","PASS",IF('Release Gates'!C1932="PHYSICAL","OPEN","BLOCKED"))</x:f>
        <x:v>OPEN</x:v>
      </x:c>
      <x:c r="G1972" t="str">
        <x:v>equals</x:v>
      </x:c>
      <x:c r="H1972" t="str">
        <x:f>IF(E1972=F1972,"PASS","FAIL")</x:f>
        <x:v>PASS</x:v>
      </x:c>
    </x:row>
    <x:row r="1973">
      <x:c r="B1973" t="str">
        <x:v>A-01927</x:v>
      </x:c>
      <x:c r="C1973" t="str">
        <x:v>GATE</x:v>
      </x:c>
      <x:c r="D1973" t="str">
        <x:v>release state mirrors governing ledger</x:v>
      </x:c>
      <x:c r="E1973" t="str">
        <x:f>'Release Gates'!I1933</x:f>
        <x:v>OPEN</x:v>
      </x:c>
      <x:c r="F1973" t="str">
        <x:f>IF('Release Gates'!C1933="PLANNING","PASS",IF('Release Gates'!C1933="PHYSICAL","OPEN","BLOCKED"))</x:f>
        <x:v>OPEN</x:v>
      </x:c>
      <x:c r="G1973" t="str">
        <x:v>equals</x:v>
      </x:c>
      <x:c r="H1973" t="str">
        <x:f>IF(E1973=F1973,"PASS","FAIL")</x:f>
        <x:v>PASS</x:v>
      </x:c>
    </x:row>
    <x:row r="1974">
      <x:c r="B1974" t="str">
        <x:v>A-01928</x:v>
      </x:c>
      <x:c r="C1974" t="str">
        <x:v>GATE</x:v>
      </x:c>
      <x:c r="D1974" t="str">
        <x:v>release state mirrors governing ledger</x:v>
      </x:c>
      <x:c r="E1974" t="str">
        <x:f>'Release Gates'!I1934</x:f>
        <x:v>OPEN</x:v>
      </x:c>
      <x:c r="F1974" t="str">
        <x:f>IF('Release Gates'!C1934="PLANNING","PASS",IF('Release Gates'!C1934="PHYSICAL","OPEN","BLOCKED"))</x:f>
        <x:v>OPEN</x:v>
      </x:c>
      <x:c r="G1974" t="str">
        <x:v>equals</x:v>
      </x:c>
      <x:c r="H1974" t="str">
        <x:f>IF(E1974=F1974,"PASS","FAIL")</x:f>
        <x:v>PASS</x:v>
      </x:c>
    </x:row>
    <x:row r="1975">
      <x:c r="B1975" t="str">
        <x:v>A-01929</x:v>
      </x:c>
      <x:c r="C1975" t="str">
        <x:v>GATE</x:v>
      </x:c>
      <x:c r="D1975" t="str">
        <x:v>release state mirrors governing ledger</x:v>
      </x:c>
      <x:c r="E1975" t="str">
        <x:f>'Release Gates'!I1935</x:f>
        <x:v>OPEN</x:v>
      </x:c>
      <x:c r="F1975" t="str">
        <x:f>IF('Release Gates'!C1935="PLANNING","PASS",IF('Release Gates'!C1935="PHYSICAL","OPEN","BLOCKED"))</x:f>
        <x:v>OPEN</x:v>
      </x:c>
      <x:c r="G1975" t="str">
        <x:v>equals</x:v>
      </x:c>
      <x:c r="H1975" t="str">
        <x:f>IF(E1975=F1975,"PASS","FAIL")</x:f>
        <x:v>PASS</x:v>
      </x:c>
    </x:row>
    <x:row r="1976">
      <x:c r="B1976" t="str">
        <x:v>A-01930</x:v>
      </x:c>
      <x:c r="C1976" t="str">
        <x:v>GATE</x:v>
      </x:c>
      <x:c r="D1976" t="str">
        <x:v>release state mirrors governing ledger</x:v>
      </x:c>
      <x:c r="E1976" t="str">
        <x:f>'Release Gates'!I1936</x:f>
        <x:v>OPEN</x:v>
      </x:c>
      <x:c r="F1976" t="str">
        <x:f>IF('Release Gates'!C1936="PLANNING","PASS",IF('Release Gates'!C1936="PHYSICAL","OPEN","BLOCKED"))</x:f>
        <x:v>OPEN</x:v>
      </x:c>
      <x:c r="G1976" t="str">
        <x:v>equals</x:v>
      </x:c>
      <x:c r="H1976" t="str">
        <x:f>IF(E1976=F1976,"PASS","FAIL")</x:f>
        <x:v>PASS</x:v>
      </x:c>
    </x:row>
    <x:row r="1977">
      <x:c r="B1977" t="str">
        <x:v>A-01931</x:v>
      </x:c>
      <x:c r="C1977" t="str">
        <x:v>GATE</x:v>
      </x:c>
      <x:c r="D1977" t="str">
        <x:v>release state mirrors governing ledger</x:v>
      </x:c>
      <x:c r="E1977" t="str">
        <x:f>'Release Gates'!I1937</x:f>
        <x:v>OPEN</x:v>
      </x:c>
      <x:c r="F1977" t="str">
        <x:f>IF('Release Gates'!C1937="PLANNING","PASS",IF('Release Gates'!C1937="PHYSICAL","OPEN","BLOCKED"))</x:f>
        <x:v>OPEN</x:v>
      </x:c>
      <x:c r="G1977" t="str">
        <x:v>equals</x:v>
      </x:c>
      <x:c r="H1977" t="str">
        <x:f>IF(E1977=F1977,"PASS","FAIL")</x:f>
        <x:v>PASS</x:v>
      </x:c>
    </x:row>
    <x:row r="1978">
      <x:c r="B1978" t="str">
        <x:v>A-01932</x:v>
      </x:c>
      <x:c r="C1978" t="str">
        <x:v>GATE</x:v>
      </x:c>
      <x:c r="D1978" t="str">
        <x:v>release state mirrors governing ledger</x:v>
      </x:c>
      <x:c r="E1978" t="str">
        <x:f>'Release Gates'!I1938</x:f>
        <x:v>OPEN</x:v>
      </x:c>
      <x:c r="F1978" t="str">
        <x:f>IF('Release Gates'!C1938="PLANNING","PASS",IF('Release Gates'!C1938="PHYSICAL","OPEN","BLOCKED"))</x:f>
        <x:v>OPEN</x:v>
      </x:c>
      <x:c r="G1978" t="str">
        <x:v>equals</x:v>
      </x:c>
      <x:c r="H1978" t="str">
        <x:f>IF(E1978=F1978,"PASS","FAIL")</x:f>
        <x:v>PASS</x:v>
      </x:c>
    </x:row>
    <x:row r="1979">
      <x:c r="B1979" t="str">
        <x:v>A-01933</x:v>
      </x:c>
      <x:c r="C1979" t="str">
        <x:v>GATE</x:v>
      </x:c>
      <x:c r="D1979" t="str">
        <x:v>release state mirrors governing ledger</x:v>
      </x:c>
      <x:c r="E1979" t="str">
        <x:f>'Release Gates'!I1939</x:f>
        <x:v>OPEN</x:v>
      </x:c>
      <x:c r="F1979" t="str">
        <x:f>IF('Release Gates'!C1939="PLANNING","PASS",IF('Release Gates'!C1939="PHYSICAL","OPEN","BLOCKED"))</x:f>
        <x:v>OPEN</x:v>
      </x:c>
      <x:c r="G1979" t="str">
        <x:v>equals</x:v>
      </x:c>
      <x:c r="H1979" t="str">
        <x:f>IF(E1979=F1979,"PASS","FAIL")</x:f>
        <x:v>PASS</x:v>
      </x:c>
    </x:row>
    <x:row r="1980">
      <x:c r="B1980" t="str">
        <x:v>A-01934</x:v>
      </x:c>
      <x:c r="C1980" t="str">
        <x:v>GATE</x:v>
      </x:c>
      <x:c r="D1980" t="str">
        <x:v>release state mirrors governing ledger</x:v>
      </x:c>
      <x:c r="E1980" t="str">
        <x:f>'Release Gates'!I1940</x:f>
        <x:v>OPEN</x:v>
      </x:c>
      <x:c r="F1980" t="str">
        <x:f>IF('Release Gates'!C1940="PLANNING","PASS",IF('Release Gates'!C1940="PHYSICAL","OPEN","BLOCKED"))</x:f>
        <x:v>OPEN</x:v>
      </x:c>
      <x:c r="G1980" t="str">
        <x:v>equals</x:v>
      </x:c>
      <x:c r="H1980" t="str">
        <x:f>IF(E1980=F1980,"PASS","FAIL")</x:f>
        <x:v>PASS</x:v>
      </x:c>
    </x:row>
    <x:row r="1981">
      <x:c r="B1981" t="str">
        <x:v>A-01935</x:v>
      </x:c>
      <x:c r="C1981" t="str">
        <x:v>GATE</x:v>
      </x:c>
      <x:c r="D1981" t="str">
        <x:v>release state mirrors governing ledger</x:v>
      </x:c>
      <x:c r="E1981" t="str">
        <x:f>'Release Gates'!I1941</x:f>
        <x:v>OPEN</x:v>
      </x:c>
      <x:c r="F1981" t="str">
        <x:f>IF('Release Gates'!C1941="PLANNING","PASS",IF('Release Gates'!C1941="PHYSICAL","OPEN","BLOCKED"))</x:f>
        <x:v>OPEN</x:v>
      </x:c>
      <x:c r="G1981" t="str">
        <x:v>equals</x:v>
      </x:c>
      <x:c r="H1981" t="str">
        <x:f>IF(E1981=F1981,"PASS","FAIL")</x:f>
        <x:v>PASS</x:v>
      </x:c>
    </x:row>
    <x:row r="1982">
      <x:c r="B1982" t="str">
        <x:v>A-01936</x:v>
      </x:c>
      <x:c r="C1982" t="str">
        <x:v>GATE</x:v>
      </x:c>
      <x:c r="D1982" t="str">
        <x:v>release state mirrors governing ledger</x:v>
      </x:c>
      <x:c r="E1982" t="str">
        <x:f>'Release Gates'!I1942</x:f>
        <x:v>OPEN</x:v>
      </x:c>
      <x:c r="F1982" t="str">
        <x:f>IF('Release Gates'!C1942="PLANNING","PASS",IF('Release Gates'!C1942="PHYSICAL","OPEN","BLOCKED"))</x:f>
        <x:v>OPEN</x:v>
      </x:c>
      <x:c r="G1982" t="str">
        <x:v>equals</x:v>
      </x:c>
      <x:c r="H1982" t="str">
        <x:f>IF(E1982=F1982,"PASS","FAIL")</x:f>
        <x:v>PASS</x:v>
      </x:c>
    </x:row>
    <x:row r="1983">
      <x:c r="B1983" t="str">
        <x:v>A-01937</x:v>
      </x:c>
      <x:c r="C1983" t="str">
        <x:v>GATE</x:v>
      </x:c>
      <x:c r="D1983" t="str">
        <x:v>release state mirrors governing ledger</x:v>
      </x:c>
      <x:c r="E1983" t="str">
        <x:f>'Release Gates'!I1943</x:f>
        <x:v>OPEN</x:v>
      </x:c>
      <x:c r="F1983" t="str">
        <x:f>IF('Release Gates'!C1943="PLANNING","PASS",IF('Release Gates'!C1943="PHYSICAL","OPEN","BLOCKED"))</x:f>
        <x:v>OPEN</x:v>
      </x:c>
      <x:c r="G1983" t="str">
        <x:v>equals</x:v>
      </x:c>
      <x:c r="H1983" t="str">
        <x:f>IF(E1983=F1983,"PASS","FAIL")</x:f>
        <x:v>PASS</x:v>
      </x:c>
    </x:row>
    <x:row r="1984">
      <x:c r="B1984" t="str">
        <x:v>A-01938</x:v>
      </x:c>
      <x:c r="C1984" t="str">
        <x:v>GATE</x:v>
      </x:c>
      <x:c r="D1984" t="str">
        <x:v>release state mirrors governing ledger</x:v>
      </x:c>
      <x:c r="E1984" t="str">
        <x:f>'Release Gates'!I1944</x:f>
        <x:v>OPEN</x:v>
      </x:c>
      <x:c r="F1984" t="str">
        <x:f>IF('Release Gates'!C1944="PLANNING","PASS",IF('Release Gates'!C1944="PHYSICAL","OPEN","BLOCKED"))</x:f>
        <x:v>OPEN</x:v>
      </x:c>
      <x:c r="G1984" t="str">
        <x:v>equals</x:v>
      </x:c>
      <x:c r="H1984" t="str">
        <x:f>IF(E1984=F1984,"PASS","FAIL")</x:f>
        <x:v>PASS</x:v>
      </x:c>
    </x:row>
    <x:row r="1985">
      <x:c r="B1985" t="str">
        <x:v>A-01939</x:v>
      </x:c>
      <x:c r="C1985" t="str">
        <x:v>GATE</x:v>
      </x:c>
      <x:c r="D1985" t="str">
        <x:v>release state mirrors governing ledger</x:v>
      </x:c>
      <x:c r="E1985" t="str">
        <x:f>'Release Gates'!I1945</x:f>
        <x:v>OPEN</x:v>
      </x:c>
      <x:c r="F1985" t="str">
        <x:f>IF('Release Gates'!C1945="PLANNING","PASS",IF('Release Gates'!C1945="PHYSICAL","OPEN","BLOCKED"))</x:f>
        <x:v>OPEN</x:v>
      </x:c>
      <x:c r="G1985" t="str">
        <x:v>equals</x:v>
      </x:c>
      <x:c r="H1985" t="str">
        <x:f>IF(E1985=F1985,"PASS","FAIL")</x:f>
        <x:v>PASS</x:v>
      </x:c>
    </x:row>
    <x:row r="1986">
      <x:c r="B1986" t="str">
        <x:v>A-01940</x:v>
      </x:c>
      <x:c r="C1986" t="str">
        <x:v>GATE</x:v>
      </x:c>
      <x:c r="D1986" t="str">
        <x:v>release state mirrors governing ledger</x:v>
      </x:c>
      <x:c r="E1986" t="str">
        <x:f>'Release Gates'!I1946</x:f>
        <x:v>OPEN</x:v>
      </x:c>
      <x:c r="F1986" t="str">
        <x:f>IF('Release Gates'!C1946="PLANNING","PASS",IF('Release Gates'!C1946="PHYSICAL","OPEN","BLOCKED"))</x:f>
        <x:v>OPEN</x:v>
      </x:c>
      <x:c r="G1986" t="str">
        <x:v>equals</x:v>
      </x:c>
      <x:c r="H1986" t="str">
        <x:f>IF(E1986=F1986,"PASS","FAIL")</x:f>
        <x:v>PASS</x:v>
      </x:c>
    </x:row>
    <x:row r="1987">
      <x:c r="B1987" t="str">
        <x:v>A-01941</x:v>
      </x:c>
      <x:c r="C1987" t="str">
        <x:v>GATE</x:v>
      </x:c>
      <x:c r="D1987" t="str">
        <x:v>release state mirrors governing ledger</x:v>
      </x:c>
      <x:c r="E1987" t="str">
        <x:f>'Release Gates'!I1947</x:f>
        <x:v>OPEN</x:v>
      </x:c>
      <x:c r="F1987" t="str">
        <x:f>IF('Release Gates'!C1947="PLANNING","PASS",IF('Release Gates'!C1947="PHYSICAL","OPEN","BLOCKED"))</x:f>
        <x:v>OPEN</x:v>
      </x:c>
      <x:c r="G1987" t="str">
        <x:v>equals</x:v>
      </x:c>
      <x:c r="H1987" t="str">
        <x:f>IF(E1987=F1987,"PASS","FAIL")</x:f>
        <x:v>PASS</x:v>
      </x:c>
    </x:row>
    <x:row r="1988">
      <x:c r="B1988" t="str">
        <x:v>A-01942</x:v>
      </x:c>
      <x:c r="C1988" t="str">
        <x:v>GATE</x:v>
      </x:c>
      <x:c r="D1988" t="str">
        <x:v>release state mirrors governing ledger</x:v>
      </x:c>
      <x:c r="E1988" t="str">
        <x:f>'Release Gates'!I1948</x:f>
        <x:v>OPEN</x:v>
      </x:c>
      <x:c r="F1988" t="str">
        <x:f>IF('Release Gates'!C1948="PLANNING","PASS",IF('Release Gates'!C1948="PHYSICAL","OPEN","BLOCKED"))</x:f>
        <x:v>OPEN</x:v>
      </x:c>
      <x:c r="G1988" t="str">
        <x:v>equals</x:v>
      </x:c>
      <x:c r="H1988" t="str">
        <x:f>IF(E1988=F1988,"PASS","FAIL")</x:f>
        <x:v>PASS</x:v>
      </x:c>
    </x:row>
    <x:row r="1989">
      <x:c r="B1989" t="str">
        <x:v>A-01943</x:v>
      </x:c>
      <x:c r="C1989" t="str">
        <x:v>GATE</x:v>
      </x:c>
      <x:c r="D1989" t="str">
        <x:v>release state mirrors governing ledger</x:v>
      </x:c>
      <x:c r="E1989" t="str">
        <x:f>'Release Gates'!I1949</x:f>
        <x:v>OPEN</x:v>
      </x:c>
      <x:c r="F1989" t="str">
        <x:f>IF('Release Gates'!C1949="PLANNING","PASS",IF('Release Gates'!C1949="PHYSICAL","OPEN","BLOCKED"))</x:f>
        <x:v>OPEN</x:v>
      </x:c>
      <x:c r="G1989" t="str">
        <x:v>equals</x:v>
      </x:c>
      <x:c r="H1989" t="str">
        <x:f>IF(E1989=F1989,"PASS","FAIL")</x:f>
        <x:v>PASS</x:v>
      </x:c>
    </x:row>
    <x:row r="1990">
      <x:c r="B1990" t="str">
        <x:v>A-01944</x:v>
      </x:c>
      <x:c r="C1990" t="str">
        <x:v>GATE</x:v>
      </x:c>
      <x:c r="D1990" t="str">
        <x:v>release state mirrors governing ledger</x:v>
      </x:c>
      <x:c r="E1990" t="str">
        <x:f>'Release Gates'!I1950</x:f>
        <x:v>OPEN</x:v>
      </x:c>
      <x:c r="F1990" t="str">
        <x:f>IF('Release Gates'!C1950="PLANNING","PASS",IF('Release Gates'!C1950="PHYSICAL","OPEN","BLOCKED"))</x:f>
        <x:v>OPEN</x:v>
      </x:c>
      <x:c r="G1990" t="str">
        <x:v>equals</x:v>
      </x:c>
      <x:c r="H1990" t="str">
        <x:f>IF(E1990=F1990,"PASS","FAIL")</x:f>
        <x:v>PASS</x:v>
      </x:c>
    </x:row>
    <x:row r="1991">
      <x:c r="B1991" t="str">
        <x:v>A-01945</x:v>
      </x:c>
      <x:c r="C1991" t="str">
        <x:v>GATE</x:v>
      </x:c>
      <x:c r="D1991" t="str">
        <x:v>release state mirrors governing ledger</x:v>
      </x:c>
      <x:c r="E1991" t="str">
        <x:f>'Release Gates'!I1951</x:f>
        <x:v>OPEN</x:v>
      </x:c>
      <x:c r="F1991" t="str">
        <x:f>IF('Release Gates'!C1951="PLANNING","PASS",IF('Release Gates'!C1951="PHYSICAL","OPEN","BLOCKED"))</x:f>
        <x:v>OPEN</x:v>
      </x:c>
      <x:c r="G1991" t="str">
        <x:v>equals</x:v>
      </x:c>
      <x:c r="H1991" t="str">
        <x:f>IF(E1991=F1991,"PASS","FAIL")</x:f>
        <x:v>PASS</x:v>
      </x:c>
    </x:row>
    <x:row r="1992">
      <x:c r="B1992" t="str">
        <x:v>A-01946</x:v>
      </x:c>
      <x:c r="C1992" t="str">
        <x:v>GATE</x:v>
      </x:c>
      <x:c r="D1992" t="str">
        <x:v>release state mirrors governing ledger</x:v>
      </x:c>
      <x:c r="E1992" t="str">
        <x:f>'Release Gates'!I1952</x:f>
        <x:v>OPEN</x:v>
      </x:c>
      <x:c r="F1992" t="str">
        <x:f>IF('Release Gates'!C1952="PLANNING","PASS",IF('Release Gates'!C1952="PHYSICAL","OPEN","BLOCKED"))</x:f>
        <x:v>OPEN</x:v>
      </x:c>
      <x:c r="G1992" t="str">
        <x:v>equals</x:v>
      </x:c>
      <x:c r="H1992" t="str">
        <x:f>IF(E1992=F1992,"PASS","FAIL")</x:f>
        <x:v>PASS</x:v>
      </x:c>
    </x:row>
    <x:row r="1993">
      <x:c r="B1993" t="str">
        <x:v>A-01947</x:v>
      </x:c>
      <x:c r="C1993" t="str">
        <x:v>GATE</x:v>
      </x:c>
      <x:c r="D1993" t="str">
        <x:v>release state mirrors governing ledger</x:v>
      </x:c>
      <x:c r="E1993" t="str">
        <x:f>'Release Gates'!I1953</x:f>
        <x:v>OPEN</x:v>
      </x:c>
      <x:c r="F1993" t="str">
        <x:f>IF('Release Gates'!C1953="PLANNING","PASS",IF('Release Gates'!C1953="PHYSICAL","OPEN","BLOCKED"))</x:f>
        <x:v>OPEN</x:v>
      </x:c>
      <x:c r="G1993" t="str">
        <x:v>equals</x:v>
      </x:c>
      <x:c r="H1993" t="str">
        <x:f>IF(E1993=F1993,"PASS","FAIL")</x:f>
        <x:v>PASS</x:v>
      </x:c>
    </x:row>
    <x:row r="1994">
      <x:c r="B1994" t="str">
        <x:v>A-01948</x:v>
      </x:c>
      <x:c r="C1994" t="str">
        <x:v>GATE</x:v>
      </x:c>
      <x:c r="D1994" t="str">
        <x:v>release state mirrors governing ledger</x:v>
      </x:c>
      <x:c r="E1994" t="str">
        <x:f>'Release Gates'!I1954</x:f>
        <x:v>OPEN</x:v>
      </x:c>
      <x:c r="F1994" t="str">
        <x:f>IF('Release Gates'!C1954="PLANNING","PASS",IF('Release Gates'!C1954="PHYSICAL","OPEN","BLOCKED"))</x:f>
        <x:v>OPEN</x:v>
      </x:c>
      <x:c r="G1994" t="str">
        <x:v>equals</x:v>
      </x:c>
      <x:c r="H1994" t="str">
        <x:f>IF(E1994=F1994,"PASS","FAIL")</x:f>
        <x:v>PASS</x:v>
      </x:c>
    </x:row>
    <x:row r="1995">
      <x:c r="B1995" t="str">
        <x:v>A-01949</x:v>
      </x:c>
      <x:c r="C1995" t="str">
        <x:v>GATE</x:v>
      </x:c>
      <x:c r="D1995" t="str">
        <x:v>release state mirrors governing ledger</x:v>
      </x:c>
      <x:c r="E1995" t="str">
        <x:f>'Release Gates'!I1955</x:f>
        <x:v>OPEN</x:v>
      </x:c>
      <x:c r="F1995" t="str">
        <x:f>IF('Release Gates'!C1955="PLANNING","PASS",IF('Release Gates'!C1955="PHYSICAL","OPEN","BLOCKED"))</x:f>
        <x:v>OPEN</x:v>
      </x:c>
      <x:c r="G1995" t="str">
        <x:v>equals</x:v>
      </x:c>
      <x:c r="H1995" t="str">
        <x:f>IF(E1995=F1995,"PASS","FAIL")</x:f>
        <x:v>PASS</x:v>
      </x:c>
    </x:row>
    <x:row r="1996">
      <x:c r="B1996" t="str">
        <x:v>A-01950</x:v>
      </x:c>
      <x:c r="C1996" t="str">
        <x:v>GATE</x:v>
      </x:c>
      <x:c r="D1996" t="str">
        <x:v>release state mirrors governing ledger</x:v>
      </x:c>
      <x:c r="E1996" t="str">
        <x:f>'Release Gates'!I1956</x:f>
        <x:v>OPEN</x:v>
      </x:c>
      <x:c r="F1996" t="str">
        <x:f>IF('Release Gates'!C1956="PLANNING","PASS",IF('Release Gates'!C1956="PHYSICAL","OPEN","BLOCKED"))</x:f>
        <x:v>OPEN</x:v>
      </x:c>
      <x:c r="G1996" t="str">
        <x:v>equals</x:v>
      </x:c>
      <x:c r="H1996" t="str">
        <x:f>IF(E1996=F1996,"PASS","FAIL")</x:f>
        <x:v>PASS</x:v>
      </x:c>
    </x:row>
    <x:row r="1997">
      <x:c r="B1997" t="str">
        <x:v>A-01951</x:v>
      </x:c>
      <x:c r="C1997" t="str">
        <x:v>GATE</x:v>
      </x:c>
      <x:c r="D1997" t="str">
        <x:v>release state mirrors governing ledger</x:v>
      </x:c>
      <x:c r="E1997" t="str">
        <x:f>'Release Gates'!I1957</x:f>
        <x:v>OPEN</x:v>
      </x:c>
      <x:c r="F1997" t="str">
        <x:f>IF('Release Gates'!C1957="PLANNING","PASS",IF('Release Gates'!C1957="PHYSICAL","OPEN","BLOCKED"))</x:f>
        <x:v>OPEN</x:v>
      </x:c>
      <x:c r="G1997" t="str">
        <x:v>equals</x:v>
      </x:c>
      <x:c r="H1997" t="str">
        <x:f>IF(E1997=F1997,"PASS","FAIL")</x:f>
        <x:v>PASS</x:v>
      </x:c>
    </x:row>
    <x:row r="1998">
      <x:c r="B1998" t="str">
        <x:v>A-01952</x:v>
      </x:c>
      <x:c r="C1998" t="str">
        <x:v>GATE</x:v>
      </x:c>
      <x:c r="D1998" t="str">
        <x:v>release state mirrors governing ledger</x:v>
      </x:c>
      <x:c r="E1998" t="str">
        <x:f>'Release Gates'!I1958</x:f>
        <x:v>OPEN</x:v>
      </x:c>
      <x:c r="F1998" t="str">
        <x:f>IF('Release Gates'!C1958="PLANNING","PASS",IF('Release Gates'!C1958="PHYSICAL","OPEN","BLOCKED"))</x:f>
        <x:v>OPEN</x:v>
      </x:c>
      <x:c r="G1998" t="str">
        <x:v>equals</x:v>
      </x:c>
      <x:c r="H1998" t="str">
        <x:f>IF(E1998=F1998,"PASS","FAIL")</x:f>
        <x:v>PASS</x:v>
      </x:c>
    </x:row>
    <x:row r="1999">
      <x:c r="B1999" t="str">
        <x:v>A-01953</x:v>
      </x:c>
      <x:c r="C1999" t="str">
        <x:v>GATE</x:v>
      </x:c>
      <x:c r="D1999" t="str">
        <x:v>release state mirrors governing ledger</x:v>
      </x:c>
      <x:c r="E1999" t="str">
        <x:f>'Release Gates'!I1959</x:f>
        <x:v>OPEN</x:v>
      </x:c>
      <x:c r="F1999" t="str">
        <x:f>IF('Release Gates'!C1959="PLANNING","PASS",IF('Release Gates'!C1959="PHYSICAL","OPEN","BLOCKED"))</x:f>
        <x:v>OPEN</x:v>
      </x:c>
      <x:c r="G1999" t="str">
        <x:v>equals</x:v>
      </x:c>
      <x:c r="H1999" t="str">
        <x:f>IF(E1999=F1999,"PASS","FAIL")</x:f>
        <x:v>PASS</x:v>
      </x:c>
    </x:row>
    <x:row r="2000">
      <x:c r="B2000" t="str">
        <x:v>A-01954</x:v>
      </x:c>
      <x:c r="C2000" t="str">
        <x:v>GATE</x:v>
      </x:c>
      <x:c r="D2000" t="str">
        <x:v>release state mirrors governing ledger</x:v>
      </x:c>
      <x:c r="E2000" t="str">
        <x:f>'Release Gates'!I1960</x:f>
        <x:v>OPEN</x:v>
      </x:c>
      <x:c r="F2000" t="str">
        <x:f>IF('Release Gates'!C1960="PLANNING","PASS",IF('Release Gates'!C1960="PHYSICAL","OPEN","BLOCKED"))</x:f>
        <x:v>OPEN</x:v>
      </x:c>
      <x:c r="G2000" t="str">
        <x:v>equals</x:v>
      </x:c>
      <x:c r="H2000" t="str">
        <x:f>IF(E2000=F2000,"PASS","FAIL")</x:f>
        <x:v>PASS</x:v>
      </x:c>
    </x:row>
    <x:row r="2001">
      <x:c r="B2001" t="str">
        <x:v>A-01955</x:v>
      </x:c>
      <x:c r="C2001" t="str">
        <x:v>GATE</x:v>
      </x:c>
      <x:c r="D2001" t="str">
        <x:v>release state mirrors governing ledger</x:v>
      </x:c>
      <x:c r="E2001" t="str">
        <x:f>'Release Gates'!I1961</x:f>
        <x:v>OPEN</x:v>
      </x:c>
      <x:c r="F2001" t="str">
        <x:f>IF('Release Gates'!C1961="PLANNING","PASS",IF('Release Gates'!C1961="PHYSICAL","OPEN","BLOCKED"))</x:f>
        <x:v>OPEN</x:v>
      </x:c>
      <x:c r="G2001" t="str">
        <x:v>equals</x:v>
      </x:c>
      <x:c r="H2001" t="str">
        <x:f>IF(E2001=F2001,"PASS","FAIL")</x:f>
        <x:v>PASS</x:v>
      </x:c>
    </x:row>
    <x:row r="2002">
      <x:c r="B2002" t="str">
        <x:v>A-01956</x:v>
      </x:c>
      <x:c r="C2002" t="str">
        <x:v>GATE</x:v>
      </x:c>
      <x:c r="D2002" t="str">
        <x:v>release state mirrors governing ledger</x:v>
      </x:c>
      <x:c r="E2002" t="str">
        <x:f>'Release Gates'!I1962</x:f>
        <x:v>OPEN</x:v>
      </x:c>
      <x:c r="F2002" t="str">
        <x:f>IF('Release Gates'!C1962="PLANNING","PASS",IF('Release Gates'!C1962="PHYSICAL","OPEN","BLOCKED"))</x:f>
        <x:v>OPEN</x:v>
      </x:c>
      <x:c r="G2002" t="str">
        <x:v>equals</x:v>
      </x:c>
      <x:c r="H2002" t="str">
        <x:f>IF(E2002=F2002,"PASS","FAIL")</x:f>
        <x:v>PASS</x:v>
      </x:c>
    </x:row>
    <x:row r="2003">
      <x:c r="B2003" t="str">
        <x:v>A-01957</x:v>
      </x:c>
      <x:c r="C2003" t="str">
        <x:v>GATE</x:v>
      </x:c>
      <x:c r="D2003" t="str">
        <x:v>release state mirrors governing ledger</x:v>
      </x:c>
      <x:c r="E2003" t="str">
        <x:f>'Release Gates'!I1963</x:f>
        <x:v>OPEN</x:v>
      </x:c>
      <x:c r="F2003" t="str">
        <x:f>IF('Release Gates'!C1963="PLANNING","PASS",IF('Release Gates'!C1963="PHYSICAL","OPEN","BLOCKED"))</x:f>
        <x:v>OPEN</x:v>
      </x:c>
      <x:c r="G2003" t="str">
        <x:v>equals</x:v>
      </x:c>
      <x:c r="H2003" t="str">
        <x:f>IF(E2003=F2003,"PASS","FAIL")</x:f>
        <x:v>PASS</x:v>
      </x:c>
    </x:row>
    <x:row r="2004">
      <x:c r="B2004" t="str">
        <x:v>A-01958</x:v>
      </x:c>
      <x:c r="C2004" t="str">
        <x:v>GATE</x:v>
      </x:c>
      <x:c r="D2004" t="str">
        <x:v>release state mirrors governing ledger</x:v>
      </x:c>
      <x:c r="E2004" t="str">
        <x:f>'Release Gates'!I1964</x:f>
        <x:v>OPEN</x:v>
      </x:c>
      <x:c r="F2004" t="str">
        <x:f>IF('Release Gates'!C1964="PLANNING","PASS",IF('Release Gates'!C1964="PHYSICAL","OPEN","BLOCKED"))</x:f>
        <x:v>OPEN</x:v>
      </x:c>
      <x:c r="G2004" t="str">
        <x:v>equals</x:v>
      </x:c>
      <x:c r="H2004" t="str">
        <x:f>IF(E2004=F2004,"PASS","FAIL")</x:f>
        <x:v>PASS</x:v>
      </x:c>
    </x:row>
    <x:row r="2005">
      <x:c r="B2005" t="str">
        <x:v>A-01959</x:v>
      </x:c>
      <x:c r="C2005" t="str">
        <x:v>GATE</x:v>
      </x:c>
      <x:c r="D2005" t="str">
        <x:v>release state mirrors governing ledger</x:v>
      </x:c>
      <x:c r="E2005" t="str">
        <x:f>'Release Gates'!I1965</x:f>
        <x:v>OPEN</x:v>
      </x:c>
      <x:c r="F2005" t="str">
        <x:f>IF('Release Gates'!C1965="PLANNING","PASS",IF('Release Gates'!C1965="PHYSICAL","OPEN","BLOCKED"))</x:f>
        <x:v>OPEN</x:v>
      </x:c>
      <x:c r="G2005" t="str">
        <x:v>equals</x:v>
      </x:c>
      <x:c r="H2005" t="str">
        <x:f>IF(E2005=F2005,"PASS","FAIL")</x:f>
        <x:v>PASS</x:v>
      </x:c>
    </x:row>
    <x:row r="2006">
      <x:c r="B2006" t="str">
        <x:v>A-01960</x:v>
      </x:c>
      <x:c r="C2006" t="str">
        <x:v>GATE</x:v>
      </x:c>
      <x:c r="D2006" t="str">
        <x:v>release state mirrors governing ledger</x:v>
      </x:c>
      <x:c r="E2006" t="str">
        <x:f>'Release Gates'!I1966</x:f>
        <x:v>OPEN</x:v>
      </x:c>
      <x:c r="F2006" t="str">
        <x:f>IF('Release Gates'!C1966="PLANNING","PASS",IF('Release Gates'!C1966="PHYSICAL","OPEN","BLOCKED"))</x:f>
        <x:v>OPEN</x:v>
      </x:c>
      <x:c r="G2006" t="str">
        <x:v>equals</x:v>
      </x:c>
      <x:c r="H2006" t="str">
        <x:f>IF(E2006=F2006,"PASS","FAIL")</x:f>
        <x:v>PASS</x:v>
      </x:c>
    </x:row>
    <x:row r="2007">
      <x:c r="B2007" t="str">
        <x:v>A-01961</x:v>
      </x:c>
      <x:c r="C2007" t="str">
        <x:v>GATE</x:v>
      </x:c>
      <x:c r="D2007" t="str">
        <x:v>release state mirrors governing ledger</x:v>
      </x:c>
      <x:c r="E2007" t="str">
        <x:f>'Release Gates'!I1967</x:f>
        <x:v>OPEN</x:v>
      </x:c>
      <x:c r="F2007" t="str">
        <x:f>IF('Release Gates'!C1967="PLANNING","PASS",IF('Release Gates'!C1967="PHYSICAL","OPEN","BLOCKED"))</x:f>
        <x:v>OPEN</x:v>
      </x:c>
      <x:c r="G2007" t="str">
        <x:v>equals</x:v>
      </x:c>
      <x:c r="H2007" t="str">
        <x:f>IF(E2007=F2007,"PASS","FAIL")</x:f>
        <x:v>PASS</x:v>
      </x:c>
    </x:row>
    <x:row r="2008">
      <x:c r="B2008" t="str">
        <x:v>A-01962</x:v>
      </x:c>
      <x:c r="C2008" t="str">
        <x:v>GATE</x:v>
      </x:c>
      <x:c r="D2008" t="str">
        <x:v>release state mirrors governing ledger</x:v>
      </x:c>
      <x:c r="E2008" t="str">
        <x:f>'Release Gates'!I1968</x:f>
        <x:v>OPEN</x:v>
      </x:c>
      <x:c r="F2008" t="str">
        <x:f>IF('Release Gates'!C1968="PLANNING","PASS",IF('Release Gates'!C1968="PHYSICAL","OPEN","BLOCKED"))</x:f>
        <x:v>OPEN</x:v>
      </x:c>
      <x:c r="G2008" t="str">
        <x:v>equals</x:v>
      </x:c>
      <x:c r="H2008" t="str">
        <x:f>IF(E2008=F2008,"PASS","FAIL")</x:f>
        <x:v>PASS</x:v>
      </x:c>
    </x:row>
    <x:row r="2009">
      <x:c r="B2009" t="str">
        <x:v>A-01963</x:v>
      </x:c>
      <x:c r="C2009" t="str">
        <x:v>GATE</x:v>
      </x:c>
      <x:c r="D2009" t="str">
        <x:v>release state mirrors governing ledger</x:v>
      </x:c>
      <x:c r="E2009" t="str">
        <x:f>'Release Gates'!I1969</x:f>
        <x:v>OPEN</x:v>
      </x:c>
      <x:c r="F2009" t="str">
        <x:f>IF('Release Gates'!C1969="PLANNING","PASS",IF('Release Gates'!C1969="PHYSICAL","OPEN","BLOCKED"))</x:f>
        <x:v>OPEN</x:v>
      </x:c>
      <x:c r="G2009" t="str">
        <x:v>equals</x:v>
      </x:c>
      <x:c r="H2009" t="str">
        <x:f>IF(E2009=F2009,"PASS","FAIL")</x:f>
        <x:v>PASS</x:v>
      </x:c>
    </x:row>
    <x:row r="2010">
      <x:c r="B2010" t="str">
        <x:v>A-01964</x:v>
      </x:c>
      <x:c r="C2010" t="str">
        <x:v>GATE</x:v>
      </x:c>
      <x:c r="D2010" t="str">
        <x:v>release state mirrors governing ledger</x:v>
      </x:c>
      <x:c r="E2010" t="str">
        <x:f>'Release Gates'!I1970</x:f>
        <x:v>OPEN</x:v>
      </x:c>
      <x:c r="F2010" t="str">
        <x:f>IF('Release Gates'!C1970="PLANNING","PASS",IF('Release Gates'!C1970="PHYSICAL","OPEN","BLOCKED"))</x:f>
        <x:v>OPEN</x:v>
      </x:c>
      <x:c r="G2010" t="str">
        <x:v>equals</x:v>
      </x:c>
      <x:c r="H2010" t="str">
        <x:f>IF(E2010=F2010,"PASS","FAIL")</x:f>
        <x:v>PASS</x:v>
      </x:c>
    </x:row>
    <x:row r="2011">
      <x:c r="B2011" t="str">
        <x:v>A-01965</x:v>
      </x:c>
      <x:c r="C2011" t="str">
        <x:v>GATE</x:v>
      </x:c>
      <x:c r="D2011" t="str">
        <x:v>release state mirrors governing ledger</x:v>
      </x:c>
      <x:c r="E2011" t="str">
        <x:f>'Release Gates'!I1971</x:f>
        <x:v>OPEN</x:v>
      </x:c>
      <x:c r="F2011" t="str">
        <x:f>IF('Release Gates'!C1971="PLANNING","PASS",IF('Release Gates'!C1971="PHYSICAL","OPEN","BLOCKED"))</x:f>
        <x:v>OPEN</x:v>
      </x:c>
      <x:c r="G2011" t="str">
        <x:v>equals</x:v>
      </x:c>
      <x:c r="H2011" t="str">
        <x:f>IF(E2011=F2011,"PASS","FAIL")</x:f>
        <x:v>PASS</x:v>
      </x:c>
    </x:row>
    <x:row r="2012">
      <x:c r="B2012" t="str">
        <x:v>A-01966</x:v>
      </x:c>
      <x:c r="C2012" t="str">
        <x:v>GATE</x:v>
      </x:c>
      <x:c r="D2012" t="str">
        <x:v>release state mirrors governing ledger</x:v>
      </x:c>
      <x:c r="E2012" t="str">
        <x:f>'Release Gates'!I1972</x:f>
        <x:v>OPEN</x:v>
      </x:c>
      <x:c r="F2012" t="str">
        <x:f>IF('Release Gates'!C1972="PLANNING","PASS",IF('Release Gates'!C1972="PHYSICAL","OPEN","BLOCKED"))</x:f>
        <x:v>OPEN</x:v>
      </x:c>
      <x:c r="G2012" t="str">
        <x:v>equals</x:v>
      </x:c>
      <x:c r="H2012" t="str">
        <x:f>IF(E2012=F2012,"PASS","FAIL")</x:f>
        <x:v>PASS</x:v>
      </x:c>
    </x:row>
    <x:row r="2013">
      <x:c r="B2013" t="str">
        <x:v>A-01967</x:v>
      </x:c>
      <x:c r="C2013" t="str">
        <x:v>GATE</x:v>
      </x:c>
      <x:c r="D2013" t="str">
        <x:v>release state mirrors governing ledger</x:v>
      </x:c>
      <x:c r="E2013" t="str">
        <x:f>'Release Gates'!I1973</x:f>
        <x:v>OPEN</x:v>
      </x:c>
      <x:c r="F2013" t="str">
        <x:f>IF('Release Gates'!C1973="PLANNING","PASS",IF('Release Gates'!C1973="PHYSICAL","OPEN","BLOCKED"))</x:f>
        <x:v>OPEN</x:v>
      </x:c>
      <x:c r="G2013" t="str">
        <x:v>equals</x:v>
      </x:c>
      <x:c r="H2013" t="str">
        <x:f>IF(E2013=F2013,"PASS","FAIL")</x:f>
        <x:v>PASS</x:v>
      </x:c>
    </x:row>
    <x:row r="2014">
      <x:c r="B2014" t="str">
        <x:v>A-01968</x:v>
      </x:c>
      <x:c r="C2014" t="str">
        <x:v>GATE</x:v>
      </x:c>
      <x:c r="D2014" t="str">
        <x:v>release state mirrors governing ledger</x:v>
      </x:c>
      <x:c r="E2014" t="str">
        <x:f>'Release Gates'!I1974</x:f>
        <x:v>OPEN</x:v>
      </x:c>
      <x:c r="F2014" t="str">
        <x:f>IF('Release Gates'!C1974="PLANNING","PASS",IF('Release Gates'!C1974="PHYSICAL","OPEN","BLOCKED"))</x:f>
        <x:v>OPEN</x:v>
      </x:c>
      <x:c r="G2014" t="str">
        <x:v>equals</x:v>
      </x:c>
      <x:c r="H2014" t="str">
        <x:f>IF(E2014=F2014,"PASS","FAIL")</x:f>
        <x:v>PASS</x:v>
      </x:c>
    </x:row>
    <x:row r="2015">
      <x:c r="B2015" t="str">
        <x:v>A-01969</x:v>
      </x:c>
      <x:c r="C2015" t="str">
        <x:v>GATE</x:v>
      </x:c>
      <x:c r="D2015" t="str">
        <x:v>release state mirrors governing ledger</x:v>
      </x:c>
      <x:c r="E2015" t="str">
        <x:f>'Release Gates'!I1975</x:f>
        <x:v>OPEN</x:v>
      </x:c>
      <x:c r="F2015" t="str">
        <x:f>IF('Release Gates'!C1975="PLANNING","PASS",IF('Release Gates'!C1975="PHYSICAL","OPEN","BLOCKED"))</x:f>
        <x:v>OPEN</x:v>
      </x:c>
      <x:c r="G2015" t="str">
        <x:v>equals</x:v>
      </x:c>
      <x:c r="H2015" t="str">
        <x:f>IF(E2015=F2015,"PASS","FAIL")</x:f>
        <x:v>PASS</x:v>
      </x:c>
    </x:row>
    <x:row r="2016">
      <x:c r="B2016" t="str">
        <x:v>A-01970</x:v>
      </x:c>
      <x:c r="C2016" t="str">
        <x:v>GATE</x:v>
      </x:c>
      <x:c r="D2016" t="str">
        <x:v>release state mirrors governing ledger</x:v>
      </x:c>
      <x:c r="E2016" t="str">
        <x:f>'Release Gates'!I1976</x:f>
        <x:v>OPEN</x:v>
      </x:c>
      <x:c r="F2016" t="str">
        <x:f>IF('Release Gates'!C1976="PLANNING","PASS",IF('Release Gates'!C1976="PHYSICAL","OPEN","BLOCKED"))</x:f>
        <x:v>OPEN</x:v>
      </x:c>
      <x:c r="G2016" t="str">
        <x:v>equals</x:v>
      </x:c>
      <x:c r="H2016" t="str">
        <x:f>IF(E2016=F2016,"PASS","FAIL")</x:f>
        <x:v>PASS</x:v>
      </x:c>
    </x:row>
    <x:row r="2017">
      <x:c r="B2017" t="str">
        <x:v>A-01971</x:v>
      </x:c>
      <x:c r="C2017" t="str">
        <x:v>GATE</x:v>
      </x:c>
      <x:c r="D2017" t="str">
        <x:v>release state mirrors governing ledger</x:v>
      </x:c>
      <x:c r="E2017" t="str">
        <x:f>'Release Gates'!I1977</x:f>
        <x:v>OPEN</x:v>
      </x:c>
      <x:c r="F2017" t="str">
        <x:f>IF('Release Gates'!C1977="PLANNING","PASS",IF('Release Gates'!C1977="PHYSICAL","OPEN","BLOCKED"))</x:f>
        <x:v>OPEN</x:v>
      </x:c>
      <x:c r="G2017" t="str">
        <x:v>equals</x:v>
      </x:c>
      <x:c r="H2017" t="str">
        <x:f>IF(E2017=F2017,"PASS","FAIL")</x:f>
        <x:v>PASS</x:v>
      </x:c>
    </x:row>
    <x:row r="2018">
      <x:c r="B2018" t="str">
        <x:v>A-01972</x:v>
      </x:c>
      <x:c r="C2018" t="str">
        <x:v>GATE</x:v>
      </x:c>
      <x:c r="D2018" t="str">
        <x:v>release state mirrors governing ledger</x:v>
      </x:c>
      <x:c r="E2018" t="str">
        <x:f>'Release Gates'!I1978</x:f>
        <x:v>OPEN</x:v>
      </x:c>
      <x:c r="F2018" t="str">
        <x:f>IF('Release Gates'!C1978="PLANNING","PASS",IF('Release Gates'!C1978="PHYSICAL","OPEN","BLOCKED"))</x:f>
        <x:v>OPEN</x:v>
      </x:c>
      <x:c r="G2018" t="str">
        <x:v>equals</x:v>
      </x:c>
      <x:c r="H2018" t="str">
        <x:f>IF(E2018=F2018,"PASS","FAIL")</x:f>
        <x:v>PASS</x:v>
      </x:c>
    </x:row>
    <x:row r="2019">
      <x:c r="B2019" t="str">
        <x:v>A-01973</x:v>
      </x:c>
      <x:c r="C2019" t="str">
        <x:v>GATE</x:v>
      </x:c>
      <x:c r="D2019" t="str">
        <x:v>release state mirrors governing ledger</x:v>
      </x:c>
      <x:c r="E2019" t="str">
        <x:f>'Release Gates'!I1979</x:f>
        <x:v>OPEN</x:v>
      </x:c>
      <x:c r="F2019" t="str">
        <x:f>IF('Release Gates'!C1979="PLANNING","PASS",IF('Release Gates'!C1979="PHYSICAL","OPEN","BLOCKED"))</x:f>
        <x:v>OPEN</x:v>
      </x:c>
      <x:c r="G2019" t="str">
        <x:v>equals</x:v>
      </x:c>
      <x:c r="H2019" t="str">
        <x:f>IF(E2019=F2019,"PASS","FAIL")</x:f>
        <x:v>PASS</x:v>
      </x:c>
    </x:row>
    <x:row r="2020">
      <x:c r="B2020" t="str">
        <x:v>A-01974</x:v>
      </x:c>
      <x:c r="C2020" t="str">
        <x:v>GATE</x:v>
      </x:c>
      <x:c r="D2020" t="str">
        <x:v>release state mirrors governing ledger</x:v>
      </x:c>
      <x:c r="E2020" t="str">
        <x:f>'Release Gates'!I1980</x:f>
        <x:v>OPEN</x:v>
      </x:c>
      <x:c r="F2020" t="str">
        <x:f>IF('Release Gates'!C1980="PLANNING","PASS",IF('Release Gates'!C1980="PHYSICAL","OPEN","BLOCKED"))</x:f>
        <x:v>OPEN</x:v>
      </x:c>
      <x:c r="G2020" t="str">
        <x:v>equals</x:v>
      </x:c>
      <x:c r="H2020" t="str">
        <x:f>IF(E2020=F2020,"PASS","FAIL")</x:f>
        <x:v>PASS</x:v>
      </x:c>
    </x:row>
    <x:row r="2021">
      <x:c r="B2021" t="str">
        <x:v>A-01975</x:v>
      </x:c>
      <x:c r="C2021" t="str">
        <x:v>GATE</x:v>
      </x:c>
      <x:c r="D2021" t="str">
        <x:v>release state mirrors governing ledger</x:v>
      </x:c>
      <x:c r="E2021" t="str">
        <x:f>'Release Gates'!I1981</x:f>
        <x:v>OPEN</x:v>
      </x:c>
      <x:c r="F2021" t="str">
        <x:f>IF('Release Gates'!C1981="PLANNING","PASS",IF('Release Gates'!C1981="PHYSICAL","OPEN","BLOCKED"))</x:f>
        <x:v>OPEN</x:v>
      </x:c>
      <x:c r="G2021" t="str">
        <x:v>equals</x:v>
      </x:c>
      <x:c r="H2021" t="str">
        <x:f>IF(E2021=F2021,"PASS","FAIL")</x:f>
        <x:v>PASS</x:v>
      </x:c>
    </x:row>
    <x:row r="2022">
      <x:c r="B2022" t="str">
        <x:v>A-01976</x:v>
      </x:c>
      <x:c r="C2022" t="str">
        <x:v>GATE</x:v>
      </x:c>
      <x:c r="D2022" t="str">
        <x:v>release state mirrors governing ledger</x:v>
      </x:c>
      <x:c r="E2022" t="str">
        <x:f>'Release Gates'!I1982</x:f>
        <x:v>OPEN</x:v>
      </x:c>
      <x:c r="F2022" t="str">
        <x:f>IF('Release Gates'!C1982="PLANNING","PASS",IF('Release Gates'!C1982="PHYSICAL","OPEN","BLOCKED"))</x:f>
        <x:v>OPEN</x:v>
      </x:c>
      <x:c r="G2022" t="str">
        <x:v>equals</x:v>
      </x:c>
      <x:c r="H2022" t="str">
        <x:f>IF(E2022=F2022,"PASS","FAIL")</x:f>
        <x:v>PASS</x:v>
      </x:c>
    </x:row>
    <x:row r="2023">
      <x:c r="B2023" t="str">
        <x:v>A-01977</x:v>
      </x:c>
      <x:c r="C2023" t="str">
        <x:v>GATE</x:v>
      </x:c>
      <x:c r="D2023" t="str">
        <x:v>release state mirrors governing ledger</x:v>
      </x:c>
      <x:c r="E2023" t="str">
        <x:f>'Release Gates'!I1983</x:f>
        <x:v>OPEN</x:v>
      </x:c>
      <x:c r="F2023" t="str">
        <x:f>IF('Release Gates'!C1983="PLANNING","PASS",IF('Release Gates'!C1983="PHYSICAL","OPEN","BLOCKED"))</x:f>
        <x:v>OPEN</x:v>
      </x:c>
      <x:c r="G2023" t="str">
        <x:v>equals</x:v>
      </x:c>
      <x:c r="H2023" t="str">
        <x:f>IF(E2023=F2023,"PASS","FAIL")</x:f>
        <x:v>PASS</x:v>
      </x:c>
    </x:row>
    <x:row r="2024">
      <x:c r="B2024" t="str">
        <x:v>A-01978</x:v>
      </x:c>
      <x:c r="C2024" t="str">
        <x:v>GATE</x:v>
      </x:c>
      <x:c r="D2024" t="str">
        <x:v>release state mirrors governing ledger</x:v>
      </x:c>
      <x:c r="E2024" t="str">
        <x:f>'Release Gates'!I1984</x:f>
        <x:v>OPEN</x:v>
      </x:c>
      <x:c r="F2024" t="str">
        <x:f>IF('Release Gates'!C1984="PLANNING","PASS",IF('Release Gates'!C1984="PHYSICAL","OPEN","BLOCKED"))</x:f>
        <x:v>OPEN</x:v>
      </x:c>
      <x:c r="G2024" t="str">
        <x:v>equals</x:v>
      </x:c>
      <x:c r="H2024" t="str">
        <x:f>IF(E2024=F2024,"PASS","FAIL")</x:f>
        <x:v>PASS</x:v>
      </x:c>
    </x:row>
    <x:row r="2025">
      <x:c r="B2025" t="str">
        <x:v>A-01979</x:v>
      </x:c>
      <x:c r="C2025" t="str">
        <x:v>GATE</x:v>
      </x:c>
      <x:c r="D2025" t="str">
        <x:v>release state mirrors governing ledger</x:v>
      </x:c>
      <x:c r="E2025" t="str">
        <x:f>'Release Gates'!I1985</x:f>
        <x:v>OPEN</x:v>
      </x:c>
      <x:c r="F2025" t="str">
        <x:f>IF('Release Gates'!C1985="PLANNING","PASS",IF('Release Gates'!C1985="PHYSICAL","OPEN","BLOCKED"))</x:f>
        <x:v>OPEN</x:v>
      </x:c>
      <x:c r="G2025" t="str">
        <x:v>equals</x:v>
      </x:c>
      <x:c r="H2025" t="str">
        <x:f>IF(E2025=F2025,"PASS","FAIL")</x:f>
        <x:v>PASS</x:v>
      </x:c>
    </x:row>
    <x:row r="2026">
      <x:c r="B2026" t="str">
        <x:v>A-01980</x:v>
      </x:c>
      <x:c r="C2026" t="str">
        <x:v>GATE</x:v>
      </x:c>
      <x:c r="D2026" t="str">
        <x:v>release state mirrors governing ledger</x:v>
      </x:c>
      <x:c r="E2026" t="str">
        <x:f>'Release Gates'!I1986</x:f>
        <x:v>OPEN</x:v>
      </x:c>
      <x:c r="F2026" t="str">
        <x:f>IF('Release Gates'!C1986="PLANNING","PASS",IF('Release Gates'!C1986="PHYSICAL","OPEN","BLOCKED"))</x:f>
        <x:v>OPEN</x:v>
      </x:c>
      <x:c r="G2026" t="str">
        <x:v>equals</x:v>
      </x:c>
      <x:c r="H2026" t="str">
        <x:f>IF(E2026=F2026,"PASS","FAIL")</x:f>
        <x:v>PASS</x:v>
      </x:c>
    </x:row>
    <x:row r="2027">
      <x:c r="B2027" t="str">
        <x:v>A-01981</x:v>
      </x:c>
      <x:c r="C2027" t="str">
        <x:v>GATE</x:v>
      </x:c>
      <x:c r="D2027" t="str">
        <x:v>release state mirrors governing ledger</x:v>
      </x:c>
      <x:c r="E2027" t="str">
        <x:f>'Release Gates'!I1987</x:f>
        <x:v>OPEN</x:v>
      </x:c>
      <x:c r="F2027" t="str">
        <x:f>IF('Release Gates'!C1987="PLANNING","PASS",IF('Release Gates'!C1987="PHYSICAL","OPEN","BLOCKED"))</x:f>
        <x:v>OPEN</x:v>
      </x:c>
      <x:c r="G2027" t="str">
        <x:v>equals</x:v>
      </x:c>
      <x:c r="H2027" t="str">
        <x:f>IF(E2027=F2027,"PASS","FAIL")</x:f>
        <x:v>PASS</x:v>
      </x:c>
    </x:row>
    <x:row r="2028">
      <x:c r="B2028" t="str">
        <x:v>A-01982</x:v>
      </x:c>
      <x:c r="C2028" t="str">
        <x:v>GATE</x:v>
      </x:c>
      <x:c r="D2028" t="str">
        <x:v>release state mirrors governing ledger</x:v>
      </x:c>
      <x:c r="E2028" t="str">
        <x:f>'Release Gates'!I1988</x:f>
        <x:v>OPEN</x:v>
      </x:c>
      <x:c r="F2028" t="str">
        <x:f>IF('Release Gates'!C1988="PLANNING","PASS",IF('Release Gates'!C1988="PHYSICAL","OPEN","BLOCKED"))</x:f>
        <x:v>OPEN</x:v>
      </x:c>
      <x:c r="G2028" t="str">
        <x:v>equals</x:v>
      </x:c>
      <x:c r="H2028" t="str">
        <x:f>IF(E2028=F2028,"PASS","FAIL")</x:f>
        <x:v>PASS</x:v>
      </x:c>
    </x:row>
    <x:row r="2029">
      <x:c r="B2029" t="str">
        <x:v>A-01983</x:v>
      </x:c>
      <x:c r="C2029" t="str">
        <x:v>GATE</x:v>
      </x:c>
      <x:c r="D2029" t="str">
        <x:v>release state mirrors governing ledger</x:v>
      </x:c>
      <x:c r="E2029" t="str">
        <x:f>'Release Gates'!I1989</x:f>
        <x:v>OPEN</x:v>
      </x:c>
      <x:c r="F2029" t="str">
        <x:f>IF('Release Gates'!C1989="PLANNING","PASS",IF('Release Gates'!C1989="PHYSICAL","OPEN","BLOCKED"))</x:f>
        <x:v>OPEN</x:v>
      </x:c>
      <x:c r="G2029" t="str">
        <x:v>equals</x:v>
      </x:c>
      <x:c r="H2029" t="str">
        <x:f>IF(E2029=F2029,"PASS","FAIL")</x:f>
        <x:v>PASS</x:v>
      </x:c>
    </x:row>
    <x:row r="2030">
      <x:c r="B2030" t="str">
        <x:v>A-01984</x:v>
      </x:c>
      <x:c r="C2030" t="str">
        <x:v>GATE</x:v>
      </x:c>
      <x:c r="D2030" t="str">
        <x:v>release state mirrors governing ledger</x:v>
      </x:c>
      <x:c r="E2030" t="str">
        <x:f>'Release Gates'!I1990</x:f>
        <x:v>OPEN</x:v>
      </x:c>
      <x:c r="F2030" t="str">
        <x:f>IF('Release Gates'!C1990="PLANNING","PASS",IF('Release Gates'!C1990="PHYSICAL","OPEN","BLOCKED"))</x:f>
        <x:v>OPEN</x:v>
      </x:c>
      <x:c r="G2030" t="str">
        <x:v>equals</x:v>
      </x:c>
      <x:c r="H2030" t="str">
        <x:f>IF(E2030=F2030,"PASS","FAIL")</x:f>
        <x:v>PASS</x:v>
      </x:c>
    </x:row>
    <x:row r="2031">
      <x:c r="B2031" t="str">
        <x:v>A-01985</x:v>
      </x:c>
      <x:c r="C2031" t="str">
        <x:v>GATE</x:v>
      </x:c>
      <x:c r="D2031" t="str">
        <x:v>release state mirrors governing ledger</x:v>
      </x:c>
      <x:c r="E2031" t="str">
        <x:f>'Release Gates'!I1991</x:f>
        <x:v>OPEN</x:v>
      </x:c>
      <x:c r="F2031" t="str">
        <x:f>IF('Release Gates'!C1991="PLANNING","PASS",IF('Release Gates'!C1991="PHYSICAL","OPEN","BLOCKED"))</x:f>
        <x:v>OPEN</x:v>
      </x:c>
      <x:c r="G2031" t="str">
        <x:v>equals</x:v>
      </x:c>
      <x:c r="H2031" t="str">
        <x:f>IF(E2031=F2031,"PASS","FAIL")</x:f>
        <x:v>PASS</x:v>
      </x:c>
    </x:row>
    <x:row r="2032">
      <x:c r="B2032" t="str">
        <x:v>A-01986</x:v>
      </x:c>
      <x:c r="C2032" t="str">
        <x:v>GATE</x:v>
      </x:c>
      <x:c r="D2032" t="str">
        <x:v>release state mirrors governing ledger</x:v>
      </x:c>
      <x:c r="E2032" t="str">
        <x:f>'Release Gates'!I1992</x:f>
        <x:v>OPEN</x:v>
      </x:c>
      <x:c r="F2032" t="str">
        <x:f>IF('Release Gates'!C1992="PLANNING","PASS",IF('Release Gates'!C1992="PHYSICAL","OPEN","BLOCKED"))</x:f>
        <x:v>OPEN</x:v>
      </x:c>
      <x:c r="G2032" t="str">
        <x:v>equals</x:v>
      </x:c>
      <x:c r="H2032" t="str">
        <x:f>IF(E2032=F2032,"PASS","FAIL")</x:f>
        <x:v>PASS</x:v>
      </x:c>
    </x:row>
    <x:row r="2033">
      <x:c r="B2033" t="str">
        <x:v>A-01987</x:v>
      </x:c>
      <x:c r="C2033" t="str">
        <x:v>GATE</x:v>
      </x:c>
      <x:c r="D2033" t="str">
        <x:v>release state mirrors governing ledger</x:v>
      </x:c>
      <x:c r="E2033" t="str">
        <x:f>'Release Gates'!I1993</x:f>
        <x:v>OPEN</x:v>
      </x:c>
      <x:c r="F2033" t="str">
        <x:f>IF('Release Gates'!C1993="PLANNING","PASS",IF('Release Gates'!C1993="PHYSICAL","OPEN","BLOCKED"))</x:f>
        <x:v>OPEN</x:v>
      </x:c>
      <x:c r="G2033" t="str">
        <x:v>equals</x:v>
      </x:c>
      <x:c r="H2033" t="str">
        <x:f>IF(E2033=F2033,"PASS","FAIL")</x:f>
        <x:v>PASS</x:v>
      </x:c>
    </x:row>
    <x:row r="2034">
      <x:c r="B2034" t="str">
        <x:v>A-01988</x:v>
      </x:c>
      <x:c r="C2034" t="str">
        <x:v>GATE</x:v>
      </x:c>
      <x:c r="D2034" t="str">
        <x:v>release state mirrors governing ledger</x:v>
      </x:c>
      <x:c r="E2034" t="str">
        <x:f>'Release Gates'!I1994</x:f>
        <x:v>OPEN</x:v>
      </x:c>
      <x:c r="F2034" t="str">
        <x:f>IF('Release Gates'!C1994="PLANNING","PASS",IF('Release Gates'!C1994="PHYSICAL","OPEN","BLOCKED"))</x:f>
        <x:v>OPEN</x:v>
      </x:c>
      <x:c r="G2034" t="str">
        <x:v>equals</x:v>
      </x:c>
      <x:c r="H2034" t="str">
        <x:f>IF(E2034=F2034,"PASS","FAIL")</x:f>
        <x:v>PASS</x:v>
      </x:c>
    </x:row>
    <x:row r="2035">
      <x:c r="B2035" t="str">
        <x:v>A-01989</x:v>
      </x:c>
      <x:c r="C2035" t="str">
        <x:v>GATE</x:v>
      </x:c>
      <x:c r="D2035" t="str">
        <x:v>release state mirrors governing ledger</x:v>
      </x:c>
      <x:c r="E2035" t="str">
        <x:f>'Release Gates'!I1995</x:f>
        <x:v>OPEN</x:v>
      </x:c>
      <x:c r="F2035" t="str">
        <x:f>IF('Release Gates'!C1995="PLANNING","PASS",IF('Release Gates'!C1995="PHYSICAL","OPEN","BLOCKED"))</x:f>
        <x:v>OPEN</x:v>
      </x:c>
      <x:c r="G2035" t="str">
        <x:v>equals</x:v>
      </x:c>
      <x:c r="H2035" t="str">
        <x:f>IF(E2035=F2035,"PASS","FAIL")</x:f>
        <x:v>PASS</x:v>
      </x:c>
    </x:row>
    <x:row r="2036">
      <x:c r="B2036" t="str">
        <x:v>A-01990</x:v>
      </x:c>
      <x:c r="C2036" t="str">
        <x:v>GATE</x:v>
      </x:c>
      <x:c r="D2036" t="str">
        <x:v>release state mirrors governing ledger</x:v>
      </x:c>
      <x:c r="E2036" t="str">
        <x:f>'Release Gates'!I1996</x:f>
        <x:v>OPEN</x:v>
      </x:c>
      <x:c r="F2036" t="str">
        <x:f>IF('Release Gates'!C1996="PLANNING","PASS",IF('Release Gates'!C1996="PHYSICAL","OPEN","BLOCKED"))</x:f>
        <x:v>OPEN</x:v>
      </x:c>
      <x:c r="G2036" t="str">
        <x:v>equals</x:v>
      </x:c>
      <x:c r="H2036" t="str">
        <x:f>IF(E2036=F2036,"PASS","FAIL")</x:f>
        <x:v>PASS</x:v>
      </x:c>
    </x:row>
    <x:row r="2037">
      <x:c r="B2037" t="str">
        <x:v>A-01991</x:v>
      </x:c>
      <x:c r="C2037" t="str">
        <x:v>GATE</x:v>
      </x:c>
      <x:c r="D2037" t="str">
        <x:v>release state mirrors governing ledger</x:v>
      </x:c>
      <x:c r="E2037" t="str">
        <x:f>'Release Gates'!I1997</x:f>
        <x:v>OPEN</x:v>
      </x:c>
      <x:c r="F2037" t="str">
        <x:f>IF('Release Gates'!C1997="PLANNING","PASS",IF('Release Gates'!C1997="PHYSICAL","OPEN","BLOCKED"))</x:f>
        <x:v>OPEN</x:v>
      </x:c>
      <x:c r="G2037" t="str">
        <x:v>equals</x:v>
      </x:c>
      <x:c r="H2037" t="str">
        <x:f>IF(E2037=F2037,"PASS","FAIL")</x:f>
        <x:v>PASS</x:v>
      </x:c>
    </x:row>
    <x:row r="2038">
      <x:c r="B2038" t="str">
        <x:v>A-01992</x:v>
      </x:c>
      <x:c r="C2038" t="str">
        <x:v>GATE</x:v>
      </x:c>
      <x:c r="D2038" t="str">
        <x:v>release state mirrors governing ledger</x:v>
      </x:c>
      <x:c r="E2038" t="str">
        <x:f>'Release Gates'!I1998</x:f>
        <x:v>OPEN</x:v>
      </x:c>
      <x:c r="F2038" t="str">
        <x:f>IF('Release Gates'!C1998="PLANNING","PASS",IF('Release Gates'!C1998="PHYSICAL","OPEN","BLOCKED"))</x:f>
        <x:v>OPEN</x:v>
      </x:c>
      <x:c r="G2038" t="str">
        <x:v>equals</x:v>
      </x:c>
      <x:c r="H2038" t="str">
        <x:f>IF(E2038=F2038,"PASS","FAIL")</x:f>
        <x:v>PASS</x:v>
      </x:c>
    </x:row>
    <x:row r="2039">
      <x:c r="B2039" t="str">
        <x:v>A-01993</x:v>
      </x:c>
      <x:c r="C2039" t="str">
        <x:v>GATE</x:v>
      </x:c>
      <x:c r="D2039" t="str">
        <x:v>release state mirrors governing ledger</x:v>
      </x:c>
      <x:c r="E2039" t="str">
        <x:f>'Release Gates'!I1999</x:f>
        <x:v>OPEN</x:v>
      </x:c>
      <x:c r="F2039" t="str">
        <x:f>IF('Release Gates'!C1999="PLANNING","PASS",IF('Release Gates'!C1999="PHYSICAL","OPEN","BLOCKED"))</x:f>
        <x:v>OPEN</x:v>
      </x:c>
      <x:c r="G2039" t="str">
        <x:v>equals</x:v>
      </x:c>
      <x:c r="H2039" t="str">
        <x:f>IF(E2039=F2039,"PASS","FAIL")</x:f>
        <x:v>PASS</x:v>
      </x:c>
    </x:row>
    <x:row r="2040">
      <x:c r="B2040" t="str">
        <x:v>A-01994</x:v>
      </x:c>
      <x:c r="C2040" t="str">
        <x:v>GATE</x:v>
      </x:c>
      <x:c r="D2040" t="str">
        <x:v>release state mirrors governing ledger</x:v>
      </x:c>
      <x:c r="E2040" t="str">
        <x:f>'Release Gates'!I2000</x:f>
        <x:v>OPEN</x:v>
      </x:c>
      <x:c r="F2040" t="str">
        <x:f>IF('Release Gates'!C2000="PLANNING","PASS",IF('Release Gates'!C2000="PHYSICAL","OPEN","BLOCKED"))</x:f>
        <x:v>OPEN</x:v>
      </x:c>
      <x:c r="G2040" t="str">
        <x:v>equals</x:v>
      </x:c>
      <x:c r="H2040" t="str">
        <x:f>IF(E2040=F2040,"PASS","FAIL")</x:f>
        <x:v>PASS</x:v>
      </x:c>
    </x:row>
    <x:row r="2041">
      <x:c r="B2041" t="str">
        <x:v>A-01995</x:v>
      </x:c>
      <x:c r="C2041" t="str">
        <x:v>GATE</x:v>
      </x:c>
      <x:c r="D2041" t="str">
        <x:v>release state mirrors governing ledger</x:v>
      </x:c>
      <x:c r="E2041" t="str">
        <x:f>'Release Gates'!I2001</x:f>
        <x:v>OPEN</x:v>
      </x:c>
      <x:c r="F2041" t="str">
        <x:f>IF('Release Gates'!C2001="PLANNING","PASS",IF('Release Gates'!C2001="PHYSICAL","OPEN","BLOCKED"))</x:f>
        <x:v>OPEN</x:v>
      </x:c>
      <x:c r="G2041" t="str">
        <x:v>equals</x:v>
      </x:c>
      <x:c r="H2041" t="str">
        <x:f>IF(E2041=F2041,"PASS","FAIL")</x:f>
        <x:v>PASS</x:v>
      </x:c>
    </x:row>
    <x:row r="2042">
      <x:c r="B2042" t="str">
        <x:v>A-01996</x:v>
      </x:c>
      <x:c r="C2042" t="str">
        <x:v>GATE</x:v>
      </x:c>
      <x:c r="D2042" t="str">
        <x:v>release state mirrors governing ledger</x:v>
      </x:c>
      <x:c r="E2042" t="str">
        <x:f>'Release Gates'!I2002</x:f>
        <x:v>OPEN</x:v>
      </x:c>
      <x:c r="F2042" t="str">
        <x:f>IF('Release Gates'!C2002="PLANNING","PASS",IF('Release Gates'!C2002="PHYSICAL","OPEN","BLOCKED"))</x:f>
        <x:v>OPEN</x:v>
      </x:c>
      <x:c r="G2042" t="str">
        <x:v>equals</x:v>
      </x:c>
      <x:c r="H2042" t="str">
        <x:f>IF(E2042=F2042,"PASS","FAIL")</x:f>
        <x:v>PASS</x:v>
      </x:c>
    </x:row>
    <x:row r="2043">
      <x:c r="B2043" t="str">
        <x:v>A-01997</x:v>
      </x:c>
      <x:c r="C2043" t="str">
        <x:v>GATE</x:v>
      </x:c>
      <x:c r="D2043" t="str">
        <x:v>release state mirrors governing ledger</x:v>
      </x:c>
      <x:c r="E2043" t="str">
        <x:f>'Release Gates'!I2003</x:f>
        <x:v>OPEN</x:v>
      </x:c>
      <x:c r="F2043" t="str">
        <x:f>IF('Release Gates'!C2003="PLANNING","PASS",IF('Release Gates'!C2003="PHYSICAL","OPEN","BLOCKED"))</x:f>
        <x:v>OPEN</x:v>
      </x:c>
      <x:c r="G2043" t="str">
        <x:v>equals</x:v>
      </x:c>
      <x:c r="H2043" t="str">
        <x:f>IF(E2043=F2043,"PASS","FAIL")</x:f>
        <x:v>PASS</x:v>
      </x:c>
    </x:row>
    <x:row r="2044">
      <x:c r="B2044" t="str">
        <x:v>A-01998</x:v>
      </x:c>
      <x:c r="C2044" t="str">
        <x:v>GATE</x:v>
      </x:c>
      <x:c r="D2044" t="str">
        <x:v>release state mirrors governing ledger</x:v>
      </x:c>
      <x:c r="E2044" t="str">
        <x:f>'Release Gates'!I2004</x:f>
        <x:v>OPEN</x:v>
      </x:c>
      <x:c r="F2044" t="str">
        <x:f>IF('Release Gates'!C2004="PLANNING","PASS",IF('Release Gates'!C2004="PHYSICAL","OPEN","BLOCKED"))</x:f>
        <x:v>OPEN</x:v>
      </x:c>
      <x:c r="G2044" t="str">
        <x:v>equals</x:v>
      </x:c>
      <x:c r="H2044" t="str">
        <x:f>IF(E2044=F2044,"PASS","FAIL")</x:f>
        <x:v>PASS</x:v>
      </x:c>
    </x:row>
    <x:row r="2045">
      <x:c r="B2045" t="str">
        <x:v>A-01999</x:v>
      </x:c>
      <x:c r="C2045" t="str">
        <x:v>GATE</x:v>
      </x:c>
      <x:c r="D2045" t="str">
        <x:v>release state mirrors governing ledger</x:v>
      </x:c>
      <x:c r="E2045" t="str">
        <x:f>'Release Gates'!I2005</x:f>
        <x:v>OPEN</x:v>
      </x:c>
      <x:c r="F2045" t="str">
        <x:f>IF('Release Gates'!C2005="PLANNING","PASS",IF('Release Gates'!C2005="PHYSICAL","OPEN","BLOCKED"))</x:f>
        <x:v>OPEN</x:v>
      </x:c>
      <x:c r="G2045" t="str">
        <x:v>equals</x:v>
      </x:c>
      <x:c r="H2045" t="str">
        <x:f>IF(E2045=F2045,"PASS","FAIL")</x:f>
        <x:v>PASS</x:v>
      </x:c>
    </x:row>
    <x:row r="2046">
      <x:c r="B2046" t="str">
        <x:v>A-02000</x:v>
      </x:c>
      <x:c r="C2046" t="str">
        <x:v>GATE</x:v>
      </x:c>
      <x:c r="D2046" t="str">
        <x:v>release state mirrors governing ledger</x:v>
      </x:c>
      <x:c r="E2046" t="str">
        <x:f>'Release Gates'!I2006</x:f>
        <x:v>OPEN</x:v>
      </x:c>
      <x:c r="F2046" t="str">
        <x:f>IF('Release Gates'!C2006="PLANNING","PASS",IF('Release Gates'!C2006="PHYSICAL","OPEN","BLOCKED"))</x:f>
        <x:v>OPEN</x:v>
      </x:c>
      <x:c r="G2046" t="str">
        <x:v>equals</x:v>
      </x:c>
      <x:c r="H2046" t="str">
        <x:f>IF(E2046=F2046,"PASS","FAIL")</x:f>
        <x:v>PASS</x:v>
      </x:c>
    </x:row>
    <x:row r="2047">
      <x:c r="B2047" t="str">
        <x:v>A-02001</x:v>
      </x:c>
      <x:c r="C2047" t="str">
        <x:v>GATE</x:v>
      </x:c>
      <x:c r="D2047" t="str">
        <x:v>release state mirrors governing ledger</x:v>
      </x:c>
      <x:c r="E2047" t="str">
        <x:f>'Release Gates'!I2007</x:f>
        <x:v>OPEN</x:v>
      </x:c>
      <x:c r="F2047" t="str">
        <x:f>IF('Release Gates'!C2007="PLANNING","PASS",IF('Release Gates'!C2007="PHYSICAL","OPEN","BLOCKED"))</x:f>
        <x:v>OPEN</x:v>
      </x:c>
      <x:c r="G2047" t="str">
        <x:v>equals</x:v>
      </x:c>
      <x:c r="H2047" t="str">
        <x:f>IF(E2047=F2047,"PASS","FAIL")</x:f>
        <x:v>PASS</x:v>
      </x:c>
    </x:row>
    <x:row r="2048">
      <x:c r="B2048" t="str">
        <x:v>A-02002</x:v>
      </x:c>
      <x:c r="C2048" t="str">
        <x:v>GATE</x:v>
      </x:c>
      <x:c r="D2048" t="str">
        <x:v>release state mirrors governing ledger</x:v>
      </x:c>
      <x:c r="E2048" t="str">
        <x:f>'Release Gates'!I2008</x:f>
        <x:v>OPEN</x:v>
      </x:c>
      <x:c r="F2048" t="str">
        <x:f>IF('Release Gates'!C2008="PLANNING","PASS",IF('Release Gates'!C2008="PHYSICAL","OPEN","BLOCKED"))</x:f>
        <x:v>OPEN</x:v>
      </x:c>
      <x:c r="G2048" t="str">
        <x:v>equals</x:v>
      </x:c>
      <x:c r="H2048" t="str">
        <x:f>IF(E2048=F2048,"PASS","FAIL")</x:f>
        <x:v>PASS</x:v>
      </x:c>
    </x:row>
    <x:row r="2049">
      <x:c r="B2049" t="str">
        <x:v>A-02003</x:v>
      </x:c>
      <x:c r="C2049" t="str">
        <x:v>GATE</x:v>
      </x:c>
      <x:c r="D2049" t="str">
        <x:v>release state mirrors governing ledger</x:v>
      </x:c>
      <x:c r="E2049" t="str">
        <x:f>'Release Gates'!I2009</x:f>
        <x:v>OPEN</x:v>
      </x:c>
      <x:c r="F2049" t="str">
        <x:f>IF('Release Gates'!C2009="PLANNING","PASS",IF('Release Gates'!C2009="PHYSICAL","OPEN","BLOCKED"))</x:f>
        <x:v>OPEN</x:v>
      </x:c>
      <x:c r="G2049" t="str">
        <x:v>equals</x:v>
      </x:c>
      <x:c r="H2049" t="str">
        <x:f>IF(E2049=F2049,"PASS","FAIL")</x:f>
        <x:v>PASS</x:v>
      </x:c>
    </x:row>
    <x:row r="2050">
      <x:c r="B2050" t="str">
        <x:v>A-02004</x:v>
      </x:c>
      <x:c r="C2050" t="str">
        <x:v>GATE</x:v>
      </x:c>
      <x:c r="D2050" t="str">
        <x:v>release state mirrors governing ledger</x:v>
      </x:c>
      <x:c r="E2050" t="str">
        <x:f>'Release Gates'!I2010</x:f>
        <x:v>OPEN</x:v>
      </x:c>
      <x:c r="F2050" t="str">
        <x:f>IF('Release Gates'!C2010="PLANNING","PASS",IF('Release Gates'!C2010="PHYSICAL","OPEN","BLOCKED"))</x:f>
        <x:v>OPEN</x:v>
      </x:c>
      <x:c r="G2050" t="str">
        <x:v>equals</x:v>
      </x:c>
      <x:c r="H2050" t="str">
        <x:f>IF(E2050=F2050,"PASS","FAIL")</x:f>
        <x:v>PASS</x:v>
      </x:c>
    </x:row>
    <x:row r="2051">
      <x:c r="B2051" t="str">
        <x:v>A-02005</x:v>
      </x:c>
      <x:c r="C2051" t="str">
        <x:v>GATE</x:v>
      </x:c>
      <x:c r="D2051" t="str">
        <x:v>release state mirrors governing ledger</x:v>
      </x:c>
      <x:c r="E2051" t="str">
        <x:f>'Release Gates'!I2011</x:f>
        <x:v>OPEN</x:v>
      </x:c>
      <x:c r="F2051" t="str">
        <x:f>IF('Release Gates'!C2011="PLANNING","PASS",IF('Release Gates'!C2011="PHYSICAL","OPEN","BLOCKED"))</x:f>
        <x:v>OPEN</x:v>
      </x:c>
      <x:c r="G2051" t="str">
        <x:v>equals</x:v>
      </x:c>
      <x:c r="H2051" t="str">
        <x:f>IF(E2051=F2051,"PASS","FAIL")</x:f>
        <x:v>PASS</x:v>
      </x:c>
    </x:row>
    <x:row r="2052">
      <x:c r="B2052" t="str">
        <x:v>A-02006</x:v>
      </x:c>
      <x:c r="C2052" t="str">
        <x:v>GATE</x:v>
      </x:c>
      <x:c r="D2052" t="str">
        <x:v>release state mirrors governing ledger</x:v>
      </x:c>
      <x:c r="E2052" t="str">
        <x:f>'Release Gates'!I2012</x:f>
        <x:v>OPEN</x:v>
      </x:c>
      <x:c r="F2052" t="str">
        <x:f>IF('Release Gates'!C2012="PLANNING","PASS",IF('Release Gates'!C2012="PHYSICAL","OPEN","BLOCKED"))</x:f>
        <x:v>OPEN</x:v>
      </x:c>
      <x:c r="G2052" t="str">
        <x:v>equals</x:v>
      </x:c>
      <x:c r="H2052" t="str">
        <x:f>IF(E2052=F2052,"PASS","FAIL")</x:f>
        <x:v>PASS</x:v>
      </x:c>
    </x:row>
    <x:row r="2053">
      <x:c r="B2053" t="str">
        <x:v>A-02007</x:v>
      </x:c>
      <x:c r="C2053" t="str">
        <x:v>GATE</x:v>
      </x:c>
      <x:c r="D2053" t="str">
        <x:v>release state mirrors governing ledger</x:v>
      </x:c>
      <x:c r="E2053" t="str">
        <x:f>'Release Gates'!I2013</x:f>
        <x:v>OPEN</x:v>
      </x:c>
      <x:c r="F2053" t="str">
        <x:f>IF('Release Gates'!C2013="PLANNING","PASS",IF('Release Gates'!C2013="PHYSICAL","OPEN","BLOCKED"))</x:f>
        <x:v>OPEN</x:v>
      </x:c>
      <x:c r="G2053" t="str">
        <x:v>equals</x:v>
      </x:c>
      <x:c r="H2053" t="str">
        <x:f>IF(E2053=F2053,"PASS","FAIL")</x:f>
        <x:v>PASS</x:v>
      </x:c>
    </x:row>
    <x:row r="2054">
      <x:c r="B2054" t="str">
        <x:v>A-02008</x:v>
      </x:c>
      <x:c r="C2054" t="str">
        <x:v>GATE</x:v>
      </x:c>
      <x:c r="D2054" t="str">
        <x:v>release state mirrors governing ledger</x:v>
      </x:c>
      <x:c r="E2054" t="str">
        <x:f>'Release Gates'!I2014</x:f>
        <x:v>OPEN</x:v>
      </x:c>
      <x:c r="F2054" t="str">
        <x:f>IF('Release Gates'!C2014="PLANNING","PASS",IF('Release Gates'!C2014="PHYSICAL","OPEN","BLOCKED"))</x:f>
        <x:v>OPEN</x:v>
      </x:c>
      <x:c r="G2054" t="str">
        <x:v>equals</x:v>
      </x:c>
      <x:c r="H2054" t="str">
        <x:f>IF(E2054=F2054,"PASS","FAIL")</x:f>
        <x:v>PASS</x:v>
      </x:c>
    </x:row>
    <x:row r="2055">
      <x:c r="B2055" t="str">
        <x:v>A-02009</x:v>
      </x:c>
      <x:c r="C2055" t="str">
        <x:v>GATE</x:v>
      </x:c>
      <x:c r="D2055" t="str">
        <x:v>release state mirrors governing ledger</x:v>
      </x:c>
      <x:c r="E2055" t="str">
        <x:f>'Release Gates'!I2015</x:f>
        <x:v>OPEN</x:v>
      </x:c>
      <x:c r="F2055" t="str">
        <x:f>IF('Release Gates'!C2015="PLANNING","PASS",IF('Release Gates'!C2015="PHYSICAL","OPEN","BLOCKED"))</x:f>
        <x:v>OPEN</x:v>
      </x:c>
      <x:c r="G2055" t="str">
        <x:v>equals</x:v>
      </x:c>
      <x:c r="H2055" t="str">
        <x:f>IF(E2055=F2055,"PASS","FAIL")</x:f>
        <x:v>PASS</x:v>
      </x:c>
    </x:row>
    <x:row r="2056">
      <x:c r="B2056" t="str">
        <x:v>A-02010</x:v>
      </x:c>
      <x:c r="C2056" t="str">
        <x:v>GATE</x:v>
      </x:c>
      <x:c r="D2056" t="str">
        <x:v>release state mirrors governing ledger</x:v>
      </x:c>
      <x:c r="E2056" t="str">
        <x:f>'Release Gates'!I2016</x:f>
        <x:v>OPEN</x:v>
      </x:c>
      <x:c r="F2056" t="str">
        <x:f>IF('Release Gates'!C2016="PLANNING","PASS",IF('Release Gates'!C2016="PHYSICAL","OPEN","BLOCKED"))</x:f>
        <x:v>OPEN</x:v>
      </x:c>
      <x:c r="G2056" t="str">
        <x:v>equals</x:v>
      </x:c>
      <x:c r="H2056" t="str">
        <x:f>IF(E2056=F2056,"PASS","FAIL")</x:f>
        <x:v>PASS</x:v>
      </x:c>
    </x:row>
    <x:row r="2057">
      <x:c r="B2057" t="str">
        <x:v>A-02011</x:v>
      </x:c>
      <x:c r="C2057" t="str">
        <x:v>GATE</x:v>
      </x:c>
      <x:c r="D2057" t="str">
        <x:v>release state mirrors governing ledger</x:v>
      </x:c>
      <x:c r="E2057" t="str">
        <x:f>'Release Gates'!I2017</x:f>
        <x:v>OPEN</x:v>
      </x:c>
      <x:c r="F2057" t="str">
        <x:f>IF('Release Gates'!C2017="PLANNING","PASS",IF('Release Gates'!C2017="PHYSICAL","OPEN","BLOCKED"))</x:f>
        <x:v>OPEN</x:v>
      </x:c>
      <x:c r="G2057" t="str">
        <x:v>equals</x:v>
      </x:c>
      <x:c r="H2057" t="str">
        <x:f>IF(E2057=F2057,"PASS","FAIL")</x:f>
        <x:v>PASS</x:v>
      </x:c>
    </x:row>
    <x:row r="2058">
      <x:c r="B2058" t="str">
        <x:v>A-02012</x:v>
      </x:c>
      <x:c r="C2058" t="str">
        <x:v>GATE</x:v>
      </x:c>
      <x:c r="D2058" t="str">
        <x:v>release state mirrors governing ledger</x:v>
      </x:c>
      <x:c r="E2058" t="str">
        <x:f>'Release Gates'!I2018</x:f>
        <x:v>OPEN</x:v>
      </x:c>
      <x:c r="F2058" t="str">
        <x:f>IF('Release Gates'!C2018="PLANNING","PASS",IF('Release Gates'!C2018="PHYSICAL","OPEN","BLOCKED"))</x:f>
        <x:v>OPEN</x:v>
      </x:c>
      <x:c r="G2058" t="str">
        <x:v>equals</x:v>
      </x:c>
      <x:c r="H2058" t="str">
        <x:f>IF(E2058=F2058,"PASS","FAIL")</x:f>
        <x:v>PASS</x:v>
      </x:c>
    </x:row>
    <x:row r="2059">
      <x:c r="B2059" t="str">
        <x:v>A-02013</x:v>
      </x:c>
      <x:c r="C2059" t="str">
        <x:v>GATE</x:v>
      </x:c>
      <x:c r="D2059" t="str">
        <x:v>release state mirrors governing ledger</x:v>
      </x:c>
      <x:c r="E2059" t="str">
        <x:f>'Release Gates'!I2019</x:f>
        <x:v>OPEN</x:v>
      </x:c>
      <x:c r="F2059" t="str">
        <x:f>IF('Release Gates'!C2019="PLANNING","PASS",IF('Release Gates'!C2019="PHYSICAL","OPEN","BLOCKED"))</x:f>
        <x:v>OPEN</x:v>
      </x:c>
      <x:c r="G2059" t="str">
        <x:v>equals</x:v>
      </x:c>
      <x:c r="H2059" t="str">
        <x:f>IF(E2059=F2059,"PASS","FAIL")</x:f>
        <x:v>PASS</x:v>
      </x:c>
    </x:row>
    <x:row r="2060">
      <x:c r="B2060" t="str">
        <x:v>A-02014</x:v>
      </x:c>
      <x:c r="C2060" t="str">
        <x:v>GATE</x:v>
      </x:c>
      <x:c r="D2060" t="str">
        <x:v>release state mirrors governing ledger</x:v>
      </x:c>
      <x:c r="E2060" t="str">
        <x:f>'Release Gates'!I2020</x:f>
        <x:v>OPEN</x:v>
      </x:c>
      <x:c r="F2060" t="str">
        <x:f>IF('Release Gates'!C2020="PLANNING","PASS",IF('Release Gates'!C2020="PHYSICAL","OPEN","BLOCKED"))</x:f>
        <x:v>OPEN</x:v>
      </x:c>
      <x:c r="G2060" t="str">
        <x:v>equals</x:v>
      </x:c>
      <x:c r="H2060" t="str">
        <x:f>IF(E2060=F2060,"PASS","FAIL")</x:f>
        <x:v>PASS</x:v>
      </x:c>
    </x:row>
    <x:row r="2061">
      <x:c r="B2061" t="str">
        <x:v>A-02015</x:v>
      </x:c>
      <x:c r="C2061" t="str">
        <x:v>GATE</x:v>
      </x:c>
      <x:c r="D2061" t="str">
        <x:v>release state mirrors governing ledger</x:v>
      </x:c>
      <x:c r="E2061" t="str">
        <x:f>'Release Gates'!I2021</x:f>
        <x:v>OPEN</x:v>
      </x:c>
      <x:c r="F2061" t="str">
        <x:f>IF('Release Gates'!C2021="PLANNING","PASS",IF('Release Gates'!C2021="PHYSICAL","OPEN","BLOCKED"))</x:f>
        <x:v>OPEN</x:v>
      </x:c>
      <x:c r="G2061" t="str">
        <x:v>equals</x:v>
      </x:c>
      <x:c r="H2061" t="str">
        <x:f>IF(E2061=F2061,"PASS","FAIL")</x:f>
        <x:v>PASS</x:v>
      </x:c>
    </x:row>
    <x:row r="2062">
      <x:c r="B2062" t="str">
        <x:v>A-02016</x:v>
      </x:c>
      <x:c r="C2062" t="str">
        <x:v>GATE</x:v>
      </x:c>
      <x:c r="D2062" t="str">
        <x:v>release state mirrors governing ledger</x:v>
      </x:c>
      <x:c r="E2062" t="str">
        <x:f>'Release Gates'!I2022</x:f>
        <x:v>OPEN</x:v>
      </x:c>
      <x:c r="F2062" t="str">
        <x:f>IF('Release Gates'!C2022="PLANNING","PASS",IF('Release Gates'!C2022="PHYSICAL","OPEN","BLOCKED"))</x:f>
        <x:v>OPEN</x:v>
      </x:c>
      <x:c r="G2062" t="str">
        <x:v>equals</x:v>
      </x:c>
      <x:c r="H2062" t="str">
        <x:f>IF(E2062=F2062,"PASS","FAIL")</x:f>
        <x:v>PASS</x:v>
      </x:c>
    </x:row>
    <x:row r="2063">
      <x:c r="B2063" t="str">
        <x:v>A-02017</x:v>
      </x:c>
      <x:c r="C2063" t="str">
        <x:v>GATE</x:v>
      </x:c>
      <x:c r="D2063" t="str">
        <x:v>release state mirrors governing ledger</x:v>
      </x:c>
      <x:c r="E2063" t="str">
        <x:f>'Release Gates'!I2023</x:f>
        <x:v>OPEN</x:v>
      </x:c>
      <x:c r="F2063" t="str">
        <x:f>IF('Release Gates'!C2023="PLANNING","PASS",IF('Release Gates'!C2023="PHYSICAL","OPEN","BLOCKED"))</x:f>
        <x:v>OPEN</x:v>
      </x:c>
      <x:c r="G2063" t="str">
        <x:v>equals</x:v>
      </x:c>
      <x:c r="H2063" t="str">
        <x:f>IF(E2063=F2063,"PASS","FAIL")</x:f>
        <x:v>PASS</x:v>
      </x:c>
    </x:row>
    <x:row r="2064">
      <x:c r="B2064" t="str">
        <x:v>A-02018</x:v>
      </x:c>
      <x:c r="C2064" t="str">
        <x:v>GATE</x:v>
      </x:c>
      <x:c r="D2064" t="str">
        <x:v>release state mirrors governing ledger</x:v>
      </x:c>
      <x:c r="E2064" t="str">
        <x:f>'Release Gates'!I2024</x:f>
        <x:v>OPEN</x:v>
      </x:c>
      <x:c r="F2064" t="str">
        <x:f>IF('Release Gates'!C2024="PLANNING","PASS",IF('Release Gates'!C2024="PHYSICAL","OPEN","BLOCKED"))</x:f>
        <x:v>OPEN</x:v>
      </x:c>
      <x:c r="G2064" t="str">
        <x:v>equals</x:v>
      </x:c>
      <x:c r="H2064" t="str">
        <x:f>IF(E2064=F2064,"PASS","FAIL")</x:f>
        <x:v>PASS</x:v>
      </x:c>
    </x:row>
    <x:row r="2065">
      <x:c r="B2065" t="str">
        <x:v>A-02019</x:v>
      </x:c>
      <x:c r="C2065" t="str">
        <x:v>GATE</x:v>
      </x:c>
      <x:c r="D2065" t="str">
        <x:v>release state mirrors governing ledger</x:v>
      </x:c>
      <x:c r="E2065" t="str">
        <x:f>'Release Gates'!I2025</x:f>
        <x:v>OPEN</x:v>
      </x:c>
      <x:c r="F2065" t="str">
        <x:f>IF('Release Gates'!C2025="PLANNING","PASS",IF('Release Gates'!C2025="PHYSICAL","OPEN","BLOCKED"))</x:f>
        <x:v>OPEN</x:v>
      </x:c>
      <x:c r="G2065" t="str">
        <x:v>equals</x:v>
      </x:c>
      <x:c r="H2065" t="str">
        <x:f>IF(E2065=F2065,"PASS","FAIL")</x:f>
        <x:v>PASS</x:v>
      </x:c>
    </x:row>
    <x:row r="2066">
      <x:c r="B2066" t="str">
        <x:v>A-02020</x:v>
      </x:c>
      <x:c r="C2066" t="str">
        <x:v>GATE</x:v>
      </x:c>
      <x:c r="D2066" t="str">
        <x:v>release state mirrors governing ledger</x:v>
      </x:c>
      <x:c r="E2066" t="str">
        <x:f>'Release Gates'!I2026</x:f>
        <x:v>OPEN</x:v>
      </x:c>
      <x:c r="F2066" t="str">
        <x:f>IF('Release Gates'!C2026="PLANNING","PASS",IF('Release Gates'!C2026="PHYSICAL","OPEN","BLOCKED"))</x:f>
        <x:v>OPEN</x:v>
      </x:c>
      <x:c r="G2066" t="str">
        <x:v>equals</x:v>
      </x:c>
      <x:c r="H2066" t="str">
        <x:f>IF(E2066=F2066,"PASS","FAIL")</x:f>
        <x:v>PASS</x:v>
      </x:c>
    </x:row>
    <x:row r="2067">
      <x:c r="B2067" t="str">
        <x:v>A-02021</x:v>
      </x:c>
      <x:c r="C2067" t="str">
        <x:v>GATE</x:v>
      </x:c>
      <x:c r="D2067" t="str">
        <x:v>release state mirrors governing ledger</x:v>
      </x:c>
      <x:c r="E2067" t="str">
        <x:f>'Release Gates'!I2027</x:f>
        <x:v>OPEN</x:v>
      </x:c>
      <x:c r="F2067" t="str">
        <x:f>IF('Release Gates'!C2027="PLANNING","PASS",IF('Release Gates'!C2027="PHYSICAL","OPEN","BLOCKED"))</x:f>
        <x:v>OPEN</x:v>
      </x:c>
      <x:c r="G2067" t="str">
        <x:v>equals</x:v>
      </x:c>
      <x:c r="H2067" t="str">
        <x:f>IF(E2067=F2067,"PASS","FAIL")</x:f>
        <x:v>PASS</x:v>
      </x:c>
    </x:row>
    <x:row r="2068">
      <x:c r="B2068" t="str">
        <x:v>A-02022</x:v>
      </x:c>
      <x:c r="C2068" t="str">
        <x:v>GATE</x:v>
      </x:c>
      <x:c r="D2068" t="str">
        <x:v>release state mirrors governing ledger</x:v>
      </x:c>
      <x:c r="E2068" t="str">
        <x:f>'Release Gates'!I2028</x:f>
        <x:v>OPEN</x:v>
      </x:c>
      <x:c r="F2068" t="str">
        <x:f>IF('Release Gates'!C2028="PLANNING","PASS",IF('Release Gates'!C2028="PHYSICAL","OPEN","BLOCKED"))</x:f>
        <x:v>OPEN</x:v>
      </x:c>
      <x:c r="G2068" t="str">
        <x:v>equals</x:v>
      </x:c>
      <x:c r="H2068" t="str">
        <x:f>IF(E2068=F2068,"PASS","FAIL")</x:f>
        <x:v>PASS</x:v>
      </x:c>
    </x:row>
    <x:row r="2069">
      <x:c r="B2069" t="str">
        <x:v>A-02023</x:v>
      </x:c>
      <x:c r="C2069" t="str">
        <x:v>GATE</x:v>
      </x:c>
      <x:c r="D2069" t="str">
        <x:v>release state mirrors governing ledger</x:v>
      </x:c>
      <x:c r="E2069" t="str">
        <x:f>'Release Gates'!I2029</x:f>
        <x:v>OPEN</x:v>
      </x:c>
      <x:c r="F2069" t="str">
        <x:f>IF('Release Gates'!C2029="PLANNING","PASS",IF('Release Gates'!C2029="PHYSICAL","OPEN","BLOCKED"))</x:f>
        <x:v>OPEN</x:v>
      </x:c>
      <x:c r="G2069" t="str">
        <x:v>equals</x:v>
      </x:c>
      <x:c r="H2069" t="str">
        <x:f>IF(E2069=F2069,"PASS","FAIL")</x:f>
        <x:v>PASS</x:v>
      </x:c>
    </x:row>
    <x:row r="2070">
      <x:c r="B2070" t="str">
        <x:v>A-02024</x:v>
      </x:c>
      <x:c r="C2070" t="str">
        <x:v>GATE</x:v>
      </x:c>
      <x:c r="D2070" t="str">
        <x:v>release state mirrors governing ledger</x:v>
      </x:c>
      <x:c r="E2070" t="str">
        <x:f>'Release Gates'!I2030</x:f>
        <x:v>OPEN</x:v>
      </x:c>
      <x:c r="F2070" t="str">
        <x:f>IF('Release Gates'!C2030="PLANNING","PASS",IF('Release Gates'!C2030="PHYSICAL","OPEN","BLOCKED"))</x:f>
        <x:v>OPEN</x:v>
      </x:c>
      <x:c r="G2070" t="str">
        <x:v>equals</x:v>
      </x:c>
      <x:c r="H2070" t="str">
        <x:f>IF(E2070=F2070,"PASS","FAIL")</x:f>
        <x:v>PASS</x:v>
      </x:c>
    </x:row>
    <x:row r="2071">
      <x:c r="B2071" t="str">
        <x:v>A-02025</x:v>
      </x:c>
      <x:c r="C2071" t="str">
        <x:v>GATE</x:v>
      </x:c>
      <x:c r="D2071" t="str">
        <x:v>release state mirrors governing ledger</x:v>
      </x:c>
      <x:c r="E2071" t="str">
        <x:f>'Release Gates'!I2031</x:f>
        <x:v>OPEN</x:v>
      </x:c>
      <x:c r="F2071" t="str">
        <x:f>IF('Release Gates'!C2031="PLANNING","PASS",IF('Release Gates'!C2031="PHYSICAL","OPEN","BLOCKED"))</x:f>
        <x:v>OPEN</x:v>
      </x:c>
      <x:c r="G2071" t="str">
        <x:v>equals</x:v>
      </x:c>
      <x:c r="H2071" t="str">
        <x:f>IF(E2071=F2071,"PASS","FAIL")</x:f>
        <x:v>PASS</x:v>
      </x:c>
    </x:row>
    <x:row r="2072">
      <x:c r="B2072" t="str">
        <x:v>A-02026</x:v>
      </x:c>
      <x:c r="C2072" t="str">
        <x:v>GATE</x:v>
      </x:c>
      <x:c r="D2072" t="str">
        <x:v>release state mirrors governing ledger</x:v>
      </x:c>
      <x:c r="E2072" t="str">
        <x:f>'Release Gates'!I2032</x:f>
        <x:v>OPEN</x:v>
      </x:c>
      <x:c r="F2072" t="str">
        <x:f>IF('Release Gates'!C2032="PLANNING","PASS",IF('Release Gates'!C2032="PHYSICAL","OPEN","BLOCKED"))</x:f>
        <x:v>OPEN</x:v>
      </x:c>
      <x:c r="G2072" t="str">
        <x:v>equals</x:v>
      </x:c>
      <x:c r="H2072" t="str">
        <x:f>IF(E2072=F2072,"PASS","FAIL")</x:f>
        <x:v>PASS</x:v>
      </x:c>
    </x:row>
    <x:row r="2073">
      <x:c r="B2073" t="str">
        <x:v>A-02027</x:v>
      </x:c>
      <x:c r="C2073" t="str">
        <x:v>GATE</x:v>
      </x:c>
      <x:c r="D2073" t="str">
        <x:v>release state mirrors governing ledger</x:v>
      </x:c>
      <x:c r="E2073" t="str">
        <x:f>'Release Gates'!I2033</x:f>
        <x:v>OPEN</x:v>
      </x:c>
      <x:c r="F2073" t="str">
        <x:f>IF('Release Gates'!C2033="PLANNING","PASS",IF('Release Gates'!C2033="PHYSICAL","OPEN","BLOCKED"))</x:f>
        <x:v>OPEN</x:v>
      </x:c>
      <x:c r="G2073" t="str">
        <x:v>equals</x:v>
      </x:c>
      <x:c r="H2073" t="str">
        <x:f>IF(E2073=F2073,"PASS","FAIL")</x:f>
        <x:v>PASS</x:v>
      </x:c>
    </x:row>
    <x:row r="2074">
      <x:c r="B2074" t="str">
        <x:v>A-02028</x:v>
      </x:c>
      <x:c r="C2074" t="str">
        <x:v>GATE</x:v>
      </x:c>
      <x:c r="D2074" t="str">
        <x:v>release state mirrors governing ledger</x:v>
      </x:c>
      <x:c r="E2074" t="str">
        <x:f>'Release Gates'!I2034</x:f>
        <x:v>OPEN</x:v>
      </x:c>
      <x:c r="F2074" t="str">
        <x:f>IF('Release Gates'!C2034="PLANNING","PASS",IF('Release Gates'!C2034="PHYSICAL","OPEN","BLOCKED"))</x:f>
        <x:v>OPEN</x:v>
      </x:c>
      <x:c r="G2074" t="str">
        <x:v>equals</x:v>
      </x:c>
      <x:c r="H2074" t="str">
        <x:f>IF(E2074=F2074,"PASS","FAIL")</x:f>
        <x:v>PASS</x:v>
      </x:c>
    </x:row>
    <x:row r="2075">
      <x:c r="B2075" t="str">
        <x:v>A-02029</x:v>
      </x:c>
      <x:c r="C2075" t="str">
        <x:v>GATE</x:v>
      </x:c>
      <x:c r="D2075" t="str">
        <x:v>release state mirrors governing ledger</x:v>
      </x:c>
      <x:c r="E2075" t="str">
        <x:f>'Release Gates'!I2035</x:f>
        <x:v>OPEN</x:v>
      </x:c>
      <x:c r="F2075" t="str">
        <x:f>IF('Release Gates'!C2035="PLANNING","PASS",IF('Release Gates'!C2035="PHYSICAL","OPEN","BLOCKED"))</x:f>
        <x:v>OPEN</x:v>
      </x:c>
      <x:c r="G2075" t="str">
        <x:v>equals</x:v>
      </x:c>
      <x:c r="H2075" t="str">
        <x:f>IF(E2075=F2075,"PASS","FAIL")</x:f>
        <x:v>PASS</x:v>
      </x:c>
    </x:row>
    <x:row r="2076">
      <x:c r="B2076" t="str">
        <x:v>A-02030</x:v>
      </x:c>
      <x:c r="C2076" t="str">
        <x:v>GATE</x:v>
      </x:c>
      <x:c r="D2076" t="str">
        <x:v>release state mirrors governing ledger</x:v>
      </x:c>
      <x:c r="E2076" t="str">
        <x:f>'Release Gates'!I2036</x:f>
        <x:v>OPEN</x:v>
      </x:c>
      <x:c r="F2076" t="str">
        <x:f>IF('Release Gates'!C2036="PLANNING","PASS",IF('Release Gates'!C2036="PHYSICAL","OPEN","BLOCKED"))</x:f>
        <x:v>OPEN</x:v>
      </x:c>
      <x:c r="G2076" t="str">
        <x:v>equals</x:v>
      </x:c>
      <x:c r="H2076" t="str">
        <x:f>IF(E2076=F2076,"PASS","FAIL")</x:f>
        <x:v>PASS</x:v>
      </x:c>
    </x:row>
    <x:row r="2077">
      <x:c r="B2077" t="str">
        <x:v>A-02031</x:v>
      </x:c>
      <x:c r="C2077" t="str">
        <x:v>GATE</x:v>
      </x:c>
      <x:c r="D2077" t="str">
        <x:v>release state mirrors governing ledger</x:v>
      </x:c>
      <x:c r="E2077" t="str">
        <x:f>'Release Gates'!I2037</x:f>
        <x:v>OPEN</x:v>
      </x:c>
      <x:c r="F2077" t="str">
        <x:f>IF('Release Gates'!C2037="PLANNING","PASS",IF('Release Gates'!C2037="PHYSICAL","OPEN","BLOCKED"))</x:f>
        <x:v>OPEN</x:v>
      </x:c>
      <x:c r="G2077" t="str">
        <x:v>equals</x:v>
      </x:c>
      <x:c r="H2077" t="str">
        <x:f>IF(E2077=F2077,"PASS","FAIL")</x:f>
        <x:v>PASS</x:v>
      </x:c>
    </x:row>
    <x:row r="2078">
      <x:c r="B2078" t="str">
        <x:v>A-02032</x:v>
      </x:c>
      <x:c r="C2078" t="str">
        <x:v>GATE</x:v>
      </x:c>
      <x:c r="D2078" t="str">
        <x:v>release state mirrors governing ledger</x:v>
      </x:c>
      <x:c r="E2078" t="str">
        <x:f>'Release Gates'!I2038</x:f>
        <x:v>OPEN</x:v>
      </x:c>
      <x:c r="F2078" t="str">
        <x:f>IF('Release Gates'!C2038="PLANNING","PASS",IF('Release Gates'!C2038="PHYSICAL","OPEN","BLOCKED"))</x:f>
        <x:v>OPEN</x:v>
      </x:c>
      <x:c r="G2078" t="str">
        <x:v>equals</x:v>
      </x:c>
      <x:c r="H2078" t="str">
        <x:f>IF(E2078=F2078,"PASS","FAIL")</x:f>
        <x:v>PASS</x:v>
      </x:c>
    </x:row>
    <x:row r="2079">
      <x:c r="B2079" t="str">
        <x:v>A-02033</x:v>
      </x:c>
      <x:c r="C2079" t="str">
        <x:v>GATE</x:v>
      </x:c>
      <x:c r="D2079" t="str">
        <x:v>release state mirrors governing ledger</x:v>
      </x:c>
      <x:c r="E2079" t="str">
        <x:f>'Release Gates'!I2039</x:f>
        <x:v>OPEN</x:v>
      </x:c>
      <x:c r="F2079" t="str">
        <x:f>IF('Release Gates'!C2039="PLANNING","PASS",IF('Release Gates'!C2039="PHYSICAL","OPEN","BLOCKED"))</x:f>
        <x:v>OPEN</x:v>
      </x:c>
      <x:c r="G2079" t="str">
        <x:v>equals</x:v>
      </x:c>
      <x:c r="H2079" t="str">
        <x:f>IF(E2079=F2079,"PASS","FAIL")</x:f>
        <x:v>PASS</x:v>
      </x:c>
    </x:row>
    <x:row r="2080">
      <x:c r="B2080" t="str">
        <x:v>A-02034</x:v>
      </x:c>
      <x:c r="C2080" t="str">
        <x:v>GATE</x:v>
      </x:c>
      <x:c r="D2080" t="str">
        <x:v>release state mirrors governing ledger</x:v>
      </x:c>
      <x:c r="E2080" t="str">
        <x:f>'Release Gates'!I2040</x:f>
        <x:v>OPEN</x:v>
      </x:c>
      <x:c r="F2080" t="str">
        <x:f>IF('Release Gates'!C2040="PLANNING","PASS",IF('Release Gates'!C2040="PHYSICAL","OPEN","BLOCKED"))</x:f>
        <x:v>OPEN</x:v>
      </x:c>
      <x:c r="G2080" t="str">
        <x:v>equals</x:v>
      </x:c>
      <x:c r="H2080" t="str">
        <x:f>IF(E2080=F2080,"PASS","FAIL")</x:f>
        <x:v>PASS</x:v>
      </x:c>
    </x:row>
    <x:row r="2081">
      <x:c r="B2081" t="str">
        <x:v>A-02035</x:v>
      </x:c>
      <x:c r="C2081" t="str">
        <x:v>GATE</x:v>
      </x:c>
      <x:c r="D2081" t="str">
        <x:v>release state mirrors governing ledger</x:v>
      </x:c>
      <x:c r="E2081" t="str">
        <x:f>'Release Gates'!I2041</x:f>
        <x:v>OPEN</x:v>
      </x:c>
      <x:c r="F2081" t="str">
        <x:f>IF('Release Gates'!C2041="PLANNING","PASS",IF('Release Gates'!C2041="PHYSICAL","OPEN","BLOCKED"))</x:f>
        <x:v>OPEN</x:v>
      </x:c>
      <x:c r="G2081" t="str">
        <x:v>equals</x:v>
      </x:c>
      <x:c r="H2081" t="str">
        <x:f>IF(E2081=F2081,"PASS","FAIL")</x:f>
        <x:v>PASS</x:v>
      </x:c>
    </x:row>
    <x:row r="2082">
      <x:c r="B2082" t="str">
        <x:v>A-02036</x:v>
      </x:c>
      <x:c r="C2082" t="str">
        <x:v>GATE</x:v>
      </x:c>
      <x:c r="D2082" t="str">
        <x:v>release state mirrors governing ledger</x:v>
      </x:c>
      <x:c r="E2082" t="str">
        <x:f>'Release Gates'!I2042</x:f>
        <x:v>OPEN</x:v>
      </x:c>
      <x:c r="F2082" t="str">
        <x:f>IF('Release Gates'!C2042="PLANNING","PASS",IF('Release Gates'!C2042="PHYSICAL","OPEN","BLOCKED"))</x:f>
        <x:v>OPEN</x:v>
      </x:c>
      <x:c r="G2082" t="str">
        <x:v>equals</x:v>
      </x:c>
      <x:c r="H2082" t="str">
        <x:f>IF(E2082=F2082,"PASS","FAIL")</x:f>
        <x:v>PASS</x:v>
      </x:c>
    </x:row>
    <x:row r="2083">
      <x:c r="B2083" t="str">
        <x:v>A-02037</x:v>
      </x:c>
      <x:c r="C2083" t="str">
        <x:v>GATE</x:v>
      </x:c>
      <x:c r="D2083" t="str">
        <x:v>release state mirrors governing ledger</x:v>
      </x:c>
      <x:c r="E2083" t="str">
        <x:f>'Release Gates'!I2043</x:f>
        <x:v>OPEN</x:v>
      </x:c>
      <x:c r="F2083" t="str">
        <x:f>IF('Release Gates'!C2043="PLANNING","PASS",IF('Release Gates'!C2043="PHYSICAL","OPEN","BLOCKED"))</x:f>
        <x:v>OPEN</x:v>
      </x:c>
      <x:c r="G2083" t="str">
        <x:v>equals</x:v>
      </x:c>
      <x:c r="H2083" t="str">
        <x:f>IF(E2083=F2083,"PASS","FAIL")</x:f>
        <x:v>PASS</x:v>
      </x:c>
    </x:row>
    <x:row r="2084">
      <x:c r="B2084" t="str">
        <x:v>A-02038</x:v>
      </x:c>
      <x:c r="C2084" t="str">
        <x:v>GATE</x:v>
      </x:c>
      <x:c r="D2084" t="str">
        <x:v>release state mirrors governing ledger</x:v>
      </x:c>
      <x:c r="E2084" t="str">
        <x:f>'Release Gates'!I2044</x:f>
        <x:v>OPEN</x:v>
      </x:c>
      <x:c r="F2084" t="str">
        <x:f>IF('Release Gates'!C2044="PLANNING","PASS",IF('Release Gates'!C2044="PHYSICAL","OPEN","BLOCKED"))</x:f>
        <x:v>OPEN</x:v>
      </x:c>
      <x:c r="G2084" t="str">
        <x:v>equals</x:v>
      </x:c>
      <x:c r="H2084" t="str">
        <x:f>IF(E2084=F2084,"PASS","FAIL")</x:f>
        <x:v>PASS</x:v>
      </x:c>
    </x:row>
    <x:row r="2085">
      <x:c r="B2085" t="str">
        <x:v>A-02039</x:v>
      </x:c>
      <x:c r="C2085" t="str">
        <x:v>GATE</x:v>
      </x:c>
      <x:c r="D2085" t="str">
        <x:v>release state mirrors governing ledger</x:v>
      </x:c>
      <x:c r="E2085" t="str">
        <x:f>'Release Gates'!I2045</x:f>
        <x:v>OPEN</x:v>
      </x:c>
      <x:c r="F2085" t="str">
        <x:f>IF('Release Gates'!C2045="PLANNING","PASS",IF('Release Gates'!C2045="PHYSICAL","OPEN","BLOCKED"))</x:f>
        <x:v>OPEN</x:v>
      </x:c>
      <x:c r="G2085" t="str">
        <x:v>equals</x:v>
      </x:c>
      <x:c r="H2085" t="str">
        <x:f>IF(E2085=F2085,"PASS","FAIL")</x:f>
        <x:v>PASS</x:v>
      </x:c>
    </x:row>
    <x:row r="2086">
      <x:c r="B2086" t="str">
        <x:v>A-02040</x:v>
      </x:c>
      <x:c r="C2086" t="str">
        <x:v>GATE</x:v>
      </x:c>
      <x:c r="D2086" t="str">
        <x:v>release state mirrors governing ledger</x:v>
      </x:c>
      <x:c r="E2086" t="str">
        <x:f>'Release Gates'!I2046</x:f>
        <x:v>OPEN</x:v>
      </x:c>
      <x:c r="F2086" t="str">
        <x:f>IF('Release Gates'!C2046="PLANNING","PASS",IF('Release Gates'!C2046="PHYSICAL","OPEN","BLOCKED"))</x:f>
        <x:v>OPEN</x:v>
      </x:c>
      <x:c r="G2086" t="str">
        <x:v>equals</x:v>
      </x:c>
      <x:c r="H2086" t="str">
        <x:f>IF(E2086=F2086,"PASS","FAIL")</x:f>
        <x:v>PASS</x:v>
      </x:c>
    </x:row>
    <x:row r="2087">
      <x:c r="B2087" t="str">
        <x:v>A-02041</x:v>
      </x:c>
      <x:c r="C2087" t="str">
        <x:v>GATE</x:v>
      </x:c>
      <x:c r="D2087" t="str">
        <x:v>release state mirrors governing ledger</x:v>
      </x:c>
      <x:c r="E2087" t="str">
        <x:f>'Release Gates'!I2047</x:f>
        <x:v>OPEN</x:v>
      </x:c>
      <x:c r="F2087" t="str">
        <x:f>IF('Release Gates'!C2047="PLANNING","PASS",IF('Release Gates'!C2047="PHYSICAL","OPEN","BLOCKED"))</x:f>
        <x:v>OPEN</x:v>
      </x:c>
      <x:c r="G2087" t="str">
        <x:v>equals</x:v>
      </x:c>
      <x:c r="H2087" t="str">
        <x:f>IF(E2087=F2087,"PASS","FAIL")</x:f>
        <x:v>PASS</x:v>
      </x:c>
    </x:row>
    <x:row r="2088">
      <x:c r="B2088" t="str">
        <x:v>A-02042</x:v>
      </x:c>
      <x:c r="C2088" t="str">
        <x:v>GATE</x:v>
      </x:c>
      <x:c r="D2088" t="str">
        <x:v>release state mirrors governing ledger</x:v>
      </x:c>
      <x:c r="E2088" t="str">
        <x:f>'Release Gates'!I2048</x:f>
        <x:v>OPEN</x:v>
      </x:c>
      <x:c r="F2088" t="str">
        <x:f>IF('Release Gates'!C2048="PLANNING","PASS",IF('Release Gates'!C2048="PHYSICAL","OPEN","BLOCKED"))</x:f>
        <x:v>OPEN</x:v>
      </x:c>
      <x:c r="G2088" t="str">
        <x:v>equals</x:v>
      </x:c>
      <x:c r="H2088" t="str">
        <x:f>IF(E2088=F2088,"PASS","FAIL")</x:f>
        <x:v>PASS</x:v>
      </x:c>
    </x:row>
    <x:row r="2089">
      <x:c r="B2089" t="str">
        <x:v>A-02043</x:v>
      </x:c>
      <x:c r="C2089" t="str">
        <x:v>GATE</x:v>
      </x:c>
      <x:c r="D2089" t="str">
        <x:v>release state mirrors governing ledger</x:v>
      </x:c>
      <x:c r="E2089" t="str">
        <x:f>'Release Gates'!I2049</x:f>
        <x:v>OPEN</x:v>
      </x:c>
      <x:c r="F2089" t="str">
        <x:f>IF('Release Gates'!C2049="PLANNING","PASS",IF('Release Gates'!C2049="PHYSICAL","OPEN","BLOCKED"))</x:f>
        <x:v>OPEN</x:v>
      </x:c>
      <x:c r="G2089" t="str">
        <x:v>equals</x:v>
      </x:c>
      <x:c r="H2089" t="str">
        <x:f>IF(E2089=F2089,"PASS","FAIL")</x:f>
        <x:v>PASS</x:v>
      </x:c>
    </x:row>
    <x:row r="2090">
      <x:c r="B2090" t="str">
        <x:v>A-02044</x:v>
      </x:c>
      <x:c r="C2090" t="str">
        <x:v>GATE</x:v>
      </x:c>
      <x:c r="D2090" t="str">
        <x:v>release state mirrors governing ledger</x:v>
      </x:c>
      <x:c r="E2090" t="str">
        <x:f>'Release Gates'!I2050</x:f>
        <x:v>OPEN</x:v>
      </x:c>
      <x:c r="F2090" t="str">
        <x:f>IF('Release Gates'!C2050="PLANNING","PASS",IF('Release Gates'!C2050="PHYSICAL","OPEN","BLOCKED"))</x:f>
        <x:v>OPEN</x:v>
      </x:c>
      <x:c r="G2090" t="str">
        <x:v>equals</x:v>
      </x:c>
      <x:c r="H2090" t="str">
        <x:f>IF(E2090=F2090,"PASS","FAIL")</x:f>
        <x:v>PASS</x:v>
      </x:c>
    </x:row>
    <x:row r="2091">
      <x:c r="B2091" t="str">
        <x:v>A-02045</x:v>
      </x:c>
      <x:c r="C2091" t="str">
        <x:v>GATE</x:v>
      </x:c>
      <x:c r="D2091" t="str">
        <x:v>release state mirrors governing ledger</x:v>
      </x:c>
      <x:c r="E2091" t="str">
        <x:f>'Release Gates'!I2051</x:f>
        <x:v>OPEN</x:v>
      </x:c>
      <x:c r="F2091" t="str">
        <x:f>IF('Release Gates'!C2051="PLANNING","PASS",IF('Release Gates'!C2051="PHYSICAL","OPEN","BLOCKED"))</x:f>
        <x:v>OPEN</x:v>
      </x:c>
      <x:c r="G2091" t="str">
        <x:v>equals</x:v>
      </x:c>
      <x:c r="H2091" t="str">
        <x:f>IF(E2091=F2091,"PASS","FAIL")</x:f>
        <x:v>PASS</x:v>
      </x:c>
    </x:row>
    <x:row r="2092">
      <x:c r="B2092" t="str">
        <x:v>A-02046</x:v>
      </x:c>
      <x:c r="C2092" t="str">
        <x:v>GATE</x:v>
      </x:c>
      <x:c r="D2092" t="str">
        <x:v>release state mirrors governing ledger</x:v>
      </x:c>
      <x:c r="E2092" t="str">
        <x:f>'Release Gates'!I2052</x:f>
        <x:v>OPEN</x:v>
      </x:c>
      <x:c r="F2092" t="str">
        <x:f>IF('Release Gates'!C2052="PLANNING","PASS",IF('Release Gates'!C2052="PHYSICAL","OPEN","BLOCKED"))</x:f>
        <x:v>OPEN</x:v>
      </x:c>
      <x:c r="G2092" t="str">
        <x:v>equals</x:v>
      </x:c>
      <x:c r="H2092" t="str">
        <x:f>IF(E2092=F2092,"PASS","FAIL")</x:f>
        <x:v>PASS</x:v>
      </x:c>
    </x:row>
    <x:row r="2093">
      <x:c r="B2093" t="str">
        <x:v>A-02047</x:v>
      </x:c>
      <x:c r="C2093" t="str">
        <x:v>GATE</x:v>
      </x:c>
      <x:c r="D2093" t="str">
        <x:v>release state mirrors governing ledger</x:v>
      </x:c>
      <x:c r="E2093" t="str">
        <x:f>'Release Gates'!I2053</x:f>
        <x:v>OPEN</x:v>
      </x:c>
      <x:c r="F2093" t="str">
        <x:f>IF('Release Gates'!C2053="PLANNING","PASS",IF('Release Gates'!C2053="PHYSICAL","OPEN","BLOCKED"))</x:f>
        <x:v>OPEN</x:v>
      </x:c>
      <x:c r="G2093" t="str">
        <x:v>equals</x:v>
      </x:c>
      <x:c r="H2093" t="str">
        <x:f>IF(E2093=F2093,"PASS","FAIL")</x:f>
        <x:v>PASS</x:v>
      </x:c>
    </x:row>
    <x:row r="2094">
      <x:c r="B2094" t="str">
        <x:v>A-02048</x:v>
      </x:c>
      <x:c r="C2094" t="str">
        <x:v>GATE</x:v>
      </x:c>
      <x:c r="D2094" t="str">
        <x:v>release state mirrors governing ledger</x:v>
      </x:c>
      <x:c r="E2094" t="str">
        <x:f>'Release Gates'!I2054</x:f>
        <x:v>OPEN</x:v>
      </x:c>
      <x:c r="F2094" t="str">
        <x:f>IF('Release Gates'!C2054="PLANNING","PASS",IF('Release Gates'!C2054="PHYSICAL","OPEN","BLOCKED"))</x:f>
        <x:v>OPEN</x:v>
      </x:c>
      <x:c r="G2094" t="str">
        <x:v>equals</x:v>
      </x:c>
      <x:c r="H2094" t="str">
        <x:f>IF(E2094=F2094,"PASS","FAIL")</x:f>
        <x:v>PASS</x:v>
      </x:c>
    </x:row>
    <x:row r="2095">
      <x:c r="B2095" t="str">
        <x:v>A-02049</x:v>
      </x:c>
      <x:c r="C2095" t="str">
        <x:v>GATE</x:v>
      </x:c>
      <x:c r="D2095" t="str">
        <x:v>release state mirrors governing ledger</x:v>
      </x:c>
      <x:c r="E2095" t="str">
        <x:f>'Release Gates'!I2055</x:f>
        <x:v>OPEN</x:v>
      </x:c>
      <x:c r="F2095" t="str">
        <x:f>IF('Release Gates'!C2055="PLANNING","PASS",IF('Release Gates'!C2055="PHYSICAL","OPEN","BLOCKED"))</x:f>
        <x:v>OPEN</x:v>
      </x:c>
      <x:c r="G2095" t="str">
        <x:v>equals</x:v>
      </x:c>
      <x:c r="H2095" t="str">
        <x:f>IF(E2095=F2095,"PASS","FAIL")</x:f>
        <x:v>PASS</x:v>
      </x:c>
    </x:row>
    <x:row r="2096">
      <x:c r="B2096" t="str">
        <x:v>A-02050</x:v>
      </x:c>
      <x:c r="C2096" t="str">
        <x:v>GATE</x:v>
      </x:c>
      <x:c r="D2096" t="str">
        <x:v>release state mirrors governing ledger</x:v>
      </x:c>
      <x:c r="E2096" t="str">
        <x:f>'Release Gates'!I2056</x:f>
        <x:v>OPEN</x:v>
      </x:c>
      <x:c r="F2096" t="str">
        <x:f>IF('Release Gates'!C2056="PLANNING","PASS",IF('Release Gates'!C2056="PHYSICAL","OPEN","BLOCKED"))</x:f>
        <x:v>OPEN</x:v>
      </x:c>
      <x:c r="G2096" t="str">
        <x:v>equals</x:v>
      </x:c>
      <x:c r="H2096" t="str">
        <x:f>IF(E2096=F2096,"PASS","FAIL")</x:f>
        <x:v>PASS</x:v>
      </x:c>
    </x:row>
    <x:row r="2097">
      <x:c r="B2097" t="str">
        <x:v>A-02051</x:v>
      </x:c>
      <x:c r="C2097" t="str">
        <x:v>GATE</x:v>
      </x:c>
      <x:c r="D2097" t="str">
        <x:v>release state mirrors governing ledger</x:v>
      </x:c>
      <x:c r="E2097" t="str">
        <x:f>'Release Gates'!I2057</x:f>
        <x:v>OPEN</x:v>
      </x:c>
      <x:c r="F2097" t="str">
        <x:f>IF('Release Gates'!C2057="PLANNING","PASS",IF('Release Gates'!C2057="PHYSICAL","OPEN","BLOCKED"))</x:f>
        <x:v>OPEN</x:v>
      </x:c>
      <x:c r="G2097" t="str">
        <x:v>equals</x:v>
      </x:c>
      <x:c r="H2097" t="str">
        <x:f>IF(E2097=F2097,"PASS","FAIL")</x:f>
        <x:v>PASS</x:v>
      </x:c>
    </x:row>
    <x:row r="2098">
      <x:c r="B2098" t="str">
        <x:v>A-02052</x:v>
      </x:c>
      <x:c r="C2098" t="str">
        <x:v>GATE</x:v>
      </x:c>
      <x:c r="D2098" t="str">
        <x:v>release state mirrors governing ledger</x:v>
      </x:c>
      <x:c r="E2098" t="str">
        <x:f>'Release Gates'!I2058</x:f>
        <x:v>OPEN</x:v>
      </x:c>
      <x:c r="F2098" t="str">
        <x:f>IF('Release Gates'!C2058="PLANNING","PASS",IF('Release Gates'!C2058="PHYSICAL","OPEN","BLOCKED"))</x:f>
        <x:v>OPEN</x:v>
      </x:c>
      <x:c r="G2098" t="str">
        <x:v>equals</x:v>
      </x:c>
      <x:c r="H2098" t="str">
        <x:f>IF(E2098=F2098,"PASS","FAIL")</x:f>
        <x:v>PASS</x:v>
      </x:c>
    </x:row>
    <x:row r="2099">
      <x:c r="B2099" t="str">
        <x:v>A-02053</x:v>
      </x:c>
      <x:c r="C2099" t="str">
        <x:v>GATE</x:v>
      </x:c>
      <x:c r="D2099" t="str">
        <x:v>release state mirrors governing ledger</x:v>
      </x:c>
      <x:c r="E2099" t="str">
        <x:f>'Release Gates'!I2059</x:f>
        <x:v>OPEN</x:v>
      </x:c>
      <x:c r="F2099" t="str">
        <x:f>IF('Release Gates'!C2059="PLANNING","PASS",IF('Release Gates'!C2059="PHYSICAL","OPEN","BLOCKED"))</x:f>
        <x:v>OPEN</x:v>
      </x:c>
      <x:c r="G2099" t="str">
        <x:v>equals</x:v>
      </x:c>
      <x:c r="H2099" t="str">
        <x:f>IF(E2099=F2099,"PASS","FAIL")</x:f>
        <x:v>PASS</x:v>
      </x:c>
    </x:row>
    <x:row r="2100">
      <x:c r="B2100" t="str">
        <x:v>A-02054</x:v>
      </x:c>
      <x:c r="C2100" t="str">
        <x:v>GATE</x:v>
      </x:c>
      <x:c r="D2100" t="str">
        <x:v>release state mirrors governing ledger</x:v>
      </x:c>
      <x:c r="E2100" t="str">
        <x:f>'Release Gates'!I2060</x:f>
        <x:v>OPEN</x:v>
      </x:c>
      <x:c r="F2100" t="str">
        <x:f>IF('Release Gates'!C2060="PLANNING","PASS",IF('Release Gates'!C2060="PHYSICAL","OPEN","BLOCKED"))</x:f>
        <x:v>OPEN</x:v>
      </x:c>
      <x:c r="G2100" t="str">
        <x:v>equals</x:v>
      </x:c>
      <x:c r="H2100" t="str">
        <x:f>IF(E2100=F2100,"PASS","FAIL")</x:f>
        <x:v>PASS</x:v>
      </x:c>
    </x:row>
    <x:row r="2101">
      <x:c r="B2101" t="str">
        <x:v>A-02055</x:v>
      </x:c>
      <x:c r="C2101" t="str">
        <x:v>GATE</x:v>
      </x:c>
      <x:c r="D2101" t="str">
        <x:v>release state mirrors governing ledger</x:v>
      </x:c>
      <x:c r="E2101" t="str">
        <x:f>'Release Gates'!I2061</x:f>
        <x:v>OPEN</x:v>
      </x:c>
      <x:c r="F2101" t="str">
        <x:f>IF('Release Gates'!C2061="PLANNING","PASS",IF('Release Gates'!C2061="PHYSICAL","OPEN","BLOCKED"))</x:f>
        <x:v>OPEN</x:v>
      </x:c>
      <x:c r="G2101" t="str">
        <x:v>equals</x:v>
      </x:c>
      <x:c r="H2101" t="str">
        <x:f>IF(E2101=F2101,"PASS","FAIL")</x:f>
        <x:v>PASS</x:v>
      </x:c>
    </x:row>
    <x:row r="2102">
      <x:c r="B2102" t="str">
        <x:v>A-02056</x:v>
      </x:c>
      <x:c r="C2102" t="str">
        <x:v>GATE</x:v>
      </x:c>
      <x:c r="D2102" t="str">
        <x:v>release state mirrors governing ledger</x:v>
      </x:c>
      <x:c r="E2102" t="str">
        <x:f>'Release Gates'!I2062</x:f>
        <x:v>OPEN</x:v>
      </x:c>
      <x:c r="F2102" t="str">
        <x:f>IF('Release Gates'!C2062="PLANNING","PASS",IF('Release Gates'!C2062="PHYSICAL","OPEN","BLOCKED"))</x:f>
        <x:v>OPEN</x:v>
      </x:c>
      <x:c r="G2102" t="str">
        <x:v>equals</x:v>
      </x:c>
      <x:c r="H2102" t="str">
        <x:f>IF(E2102=F2102,"PASS","FAIL")</x:f>
        <x:v>PASS</x:v>
      </x:c>
    </x:row>
    <x:row r="2103">
      <x:c r="B2103" t="str">
        <x:v>A-02057</x:v>
      </x:c>
      <x:c r="C2103" t="str">
        <x:v>GATE</x:v>
      </x:c>
      <x:c r="D2103" t="str">
        <x:v>release state mirrors governing ledger</x:v>
      </x:c>
      <x:c r="E2103" t="str">
        <x:f>'Release Gates'!I2063</x:f>
        <x:v>OPEN</x:v>
      </x:c>
      <x:c r="F2103" t="str">
        <x:f>IF('Release Gates'!C2063="PLANNING","PASS",IF('Release Gates'!C2063="PHYSICAL","OPEN","BLOCKED"))</x:f>
        <x:v>OPEN</x:v>
      </x:c>
      <x:c r="G2103" t="str">
        <x:v>equals</x:v>
      </x:c>
      <x:c r="H2103" t="str">
        <x:f>IF(E2103=F2103,"PASS","FAIL")</x:f>
        <x:v>PASS</x:v>
      </x:c>
    </x:row>
    <x:row r="2104">
      <x:c r="B2104" t="str">
        <x:v>A-02058</x:v>
      </x:c>
      <x:c r="C2104" t="str">
        <x:v>GATE</x:v>
      </x:c>
      <x:c r="D2104" t="str">
        <x:v>release state mirrors governing ledger</x:v>
      </x:c>
      <x:c r="E2104" t="str">
        <x:f>'Release Gates'!I2064</x:f>
        <x:v>OPEN</x:v>
      </x:c>
      <x:c r="F2104" t="str">
        <x:f>IF('Release Gates'!C2064="PLANNING","PASS",IF('Release Gates'!C2064="PHYSICAL","OPEN","BLOCKED"))</x:f>
        <x:v>OPEN</x:v>
      </x:c>
      <x:c r="G2104" t="str">
        <x:v>equals</x:v>
      </x:c>
      <x:c r="H2104" t="str">
        <x:f>IF(E2104=F2104,"PASS","FAIL")</x:f>
        <x:v>PASS</x:v>
      </x:c>
    </x:row>
    <x:row r="2105">
      <x:c r="B2105" t="str">
        <x:v>A-02059</x:v>
      </x:c>
      <x:c r="C2105" t="str">
        <x:v>GATE</x:v>
      </x:c>
      <x:c r="D2105" t="str">
        <x:v>release state mirrors governing ledger</x:v>
      </x:c>
      <x:c r="E2105" t="str">
        <x:f>'Release Gates'!I2065</x:f>
        <x:v>OPEN</x:v>
      </x:c>
      <x:c r="F2105" t="str">
        <x:f>IF('Release Gates'!C2065="PLANNING","PASS",IF('Release Gates'!C2065="PHYSICAL","OPEN","BLOCKED"))</x:f>
        <x:v>OPEN</x:v>
      </x:c>
      <x:c r="G2105" t="str">
        <x:v>equals</x:v>
      </x:c>
      <x:c r="H2105" t="str">
        <x:f>IF(E2105=F2105,"PASS","FAIL")</x:f>
        <x:v>PASS</x:v>
      </x:c>
    </x:row>
    <x:row r="2106">
      <x:c r="B2106" t="str">
        <x:v>A-02060</x:v>
      </x:c>
      <x:c r="C2106" t="str">
        <x:v>GATE</x:v>
      </x:c>
      <x:c r="D2106" t="str">
        <x:v>release state mirrors governing ledger</x:v>
      </x:c>
      <x:c r="E2106" t="str">
        <x:f>'Release Gates'!I2066</x:f>
        <x:v>OPEN</x:v>
      </x:c>
      <x:c r="F2106" t="str">
        <x:f>IF('Release Gates'!C2066="PLANNING","PASS",IF('Release Gates'!C2066="PHYSICAL","OPEN","BLOCKED"))</x:f>
        <x:v>OPEN</x:v>
      </x:c>
      <x:c r="G2106" t="str">
        <x:v>equals</x:v>
      </x:c>
      <x:c r="H2106" t="str">
        <x:f>IF(E2106=F2106,"PASS","FAIL")</x:f>
        <x:v>PASS</x:v>
      </x:c>
    </x:row>
    <x:row r="2107">
      <x:c r="B2107" t="str">
        <x:v>A-02061</x:v>
      </x:c>
      <x:c r="C2107" t="str">
        <x:v>GATE</x:v>
      </x:c>
      <x:c r="D2107" t="str">
        <x:v>release state mirrors governing ledger</x:v>
      </x:c>
      <x:c r="E2107" t="str">
        <x:f>'Release Gates'!I2067</x:f>
        <x:v>OPEN</x:v>
      </x:c>
      <x:c r="F2107" t="str">
        <x:f>IF('Release Gates'!C2067="PLANNING","PASS",IF('Release Gates'!C2067="PHYSICAL","OPEN","BLOCKED"))</x:f>
        <x:v>OPEN</x:v>
      </x:c>
      <x:c r="G2107" t="str">
        <x:v>equals</x:v>
      </x:c>
      <x:c r="H2107" t="str">
        <x:f>IF(E2107=F2107,"PASS","FAIL")</x:f>
        <x:v>PASS</x:v>
      </x:c>
    </x:row>
    <x:row r="2108">
      <x:c r="B2108" t="str">
        <x:v>A-02062</x:v>
      </x:c>
      <x:c r="C2108" t="str">
        <x:v>GATE</x:v>
      </x:c>
      <x:c r="D2108" t="str">
        <x:v>release state mirrors governing ledger</x:v>
      </x:c>
      <x:c r="E2108" t="str">
        <x:f>'Release Gates'!I2068</x:f>
        <x:v>OPEN</x:v>
      </x:c>
      <x:c r="F2108" t="str">
        <x:f>IF('Release Gates'!C2068="PLANNING","PASS",IF('Release Gates'!C2068="PHYSICAL","OPEN","BLOCKED"))</x:f>
        <x:v>OPEN</x:v>
      </x:c>
      <x:c r="G2108" t="str">
        <x:v>equals</x:v>
      </x:c>
      <x:c r="H2108" t="str">
        <x:f>IF(E2108=F2108,"PASS","FAIL")</x:f>
        <x:v>PASS</x:v>
      </x:c>
    </x:row>
    <x:row r="2109">
      <x:c r="B2109" t="str">
        <x:v>A-02063</x:v>
      </x:c>
      <x:c r="C2109" t="str">
        <x:v>GATE</x:v>
      </x:c>
      <x:c r="D2109" t="str">
        <x:v>release state mirrors governing ledger</x:v>
      </x:c>
      <x:c r="E2109" t="str">
        <x:f>'Release Gates'!I2069</x:f>
        <x:v>OPEN</x:v>
      </x:c>
      <x:c r="F2109" t="str">
        <x:f>IF('Release Gates'!C2069="PLANNING","PASS",IF('Release Gates'!C2069="PHYSICAL","OPEN","BLOCKED"))</x:f>
        <x:v>OPEN</x:v>
      </x:c>
      <x:c r="G2109" t="str">
        <x:v>equals</x:v>
      </x:c>
      <x:c r="H2109" t="str">
        <x:f>IF(E2109=F2109,"PASS","FAIL")</x:f>
        <x:v>PASS</x:v>
      </x:c>
    </x:row>
    <x:row r="2110">
      <x:c r="B2110" t="str">
        <x:v>A-02064</x:v>
      </x:c>
      <x:c r="C2110" t="str">
        <x:v>GATE</x:v>
      </x:c>
      <x:c r="D2110" t="str">
        <x:v>release state mirrors governing ledger</x:v>
      </x:c>
      <x:c r="E2110" t="str">
        <x:f>'Release Gates'!I2070</x:f>
        <x:v>OPEN</x:v>
      </x:c>
      <x:c r="F2110" t="str">
        <x:f>IF('Release Gates'!C2070="PLANNING","PASS",IF('Release Gates'!C2070="PHYSICAL","OPEN","BLOCKED"))</x:f>
        <x:v>OPEN</x:v>
      </x:c>
      <x:c r="G2110" t="str">
        <x:v>equals</x:v>
      </x:c>
      <x:c r="H2110" t="str">
        <x:f>IF(E2110=F2110,"PASS","FAIL")</x:f>
        <x:v>PASS</x:v>
      </x:c>
    </x:row>
    <x:row r="2111">
      <x:c r="B2111" t="str">
        <x:v>A-02065</x:v>
      </x:c>
      <x:c r="C2111" t="str">
        <x:v>GATE</x:v>
      </x:c>
      <x:c r="D2111" t="str">
        <x:v>release state mirrors governing ledger</x:v>
      </x:c>
      <x:c r="E2111" t="str">
        <x:f>'Release Gates'!I2071</x:f>
        <x:v>OPEN</x:v>
      </x:c>
      <x:c r="F2111" t="str">
        <x:f>IF('Release Gates'!C2071="PLANNING","PASS",IF('Release Gates'!C2071="PHYSICAL","OPEN","BLOCKED"))</x:f>
        <x:v>OPEN</x:v>
      </x:c>
      <x:c r="G2111" t="str">
        <x:v>equals</x:v>
      </x:c>
      <x:c r="H2111" t="str">
        <x:f>IF(E2111=F2111,"PASS","FAIL")</x:f>
        <x:v>PASS</x:v>
      </x:c>
    </x:row>
    <x:row r="2112">
      <x:c r="B2112" t="str">
        <x:v>A-02066</x:v>
      </x:c>
      <x:c r="C2112" t="str">
        <x:v>GATE</x:v>
      </x:c>
      <x:c r="D2112" t="str">
        <x:v>release state mirrors governing ledger</x:v>
      </x:c>
      <x:c r="E2112" t="str">
        <x:f>'Release Gates'!I2072</x:f>
        <x:v>OPEN</x:v>
      </x:c>
      <x:c r="F2112" t="str">
        <x:f>IF('Release Gates'!C2072="PLANNING","PASS",IF('Release Gates'!C2072="PHYSICAL","OPEN","BLOCKED"))</x:f>
        <x:v>OPEN</x:v>
      </x:c>
      <x:c r="G2112" t="str">
        <x:v>equals</x:v>
      </x:c>
      <x:c r="H2112" t="str">
        <x:f>IF(E2112=F2112,"PASS","FAIL")</x:f>
        <x:v>PASS</x:v>
      </x:c>
    </x:row>
    <x:row r="2113">
      <x:c r="B2113" t="str">
        <x:v>A-02067</x:v>
      </x:c>
      <x:c r="C2113" t="str">
        <x:v>GATE</x:v>
      </x:c>
      <x:c r="D2113" t="str">
        <x:v>release state mirrors governing ledger</x:v>
      </x:c>
      <x:c r="E2113" t="str">
        <x:f>'Release Gates'!I2073</x:f>
        <x:v>OPEN</x:v>
      </x:c>
      <x:c r="F2113" t="str">
        <x:f>IF('Release Gates'!C2073="PLANNING","PASS",IF('Release Gates'!C2073="PHYSICAL","OPEN","BLOCKED"))</x:f>
        <x:v>OPEN</x:v>
      </x:c>
      <x:c r="G2113" t="str">
        <x:v>equals</x:v>
      </x:c>
      <x:c r="H2113" t="str">
        <x:f>IF(E2113=F2113,"PASS","FAIL")</x:f>
        <x:v>PASS</x:v>
      </x:c>
    </x:row>
    <x:row r="2114">
      <x:c r="B2114" t="str">
        <x:v>A-02068</x:v>
      </x:c>
      <x:c r="C2114" t="str">
        <x:v>GATE</x:v>
      </x:c>
      <x:c r="D2114" t="str">
        <x:v>release state mirrors governing ledger</x:v>
      </x:c>
      <x:c r="E2114" t="str">
        <x:f>'Release Gates'!I2074</x:f>
        <x:v>OPEN</x:v>
      </x:c>
      <x:c r="F2114" t="str">
        <x:f>IF('Release Gates'!C2074="PLANNING","PASS",IF('Release Gates'!C2074="PHYSICAL","OPEN","BLOCKED"))</x:f>
        <x:v>OPEN</x:v>
      </x:c>
      <x:c r="G2114" t="str">
        <x:v>equals</x:v>
      </x:c>
      <x:c r="H2114" t="str">
        <x:f>IF(E2114=F2114,"PASS","FAIL")</x:f>
        <x:v>PASS</x:v>
      </x:c>
    </x:row>
    <x:row r="2115">
      <x:c r="B2115" t="str">
        <x:v>A-02069</x:v>
      </x:c>
      <x:c r="C2115" t="str">
        <x:v>GATE</x:v>
      </x:c>
      <x:c r="D2115" t="str">
        <x:v>release state mirrors governing ledger</x:v>
      </x:c>
      <x:c r="E2115" t="str">
        <x:f>'Release Gates'!I2075</x:f>
        <x:v>OPEN</x:v>
      </x:c>
      <x:c r="F2115" t="str">
        <x:f>IF('Release Gates'!C2075="PLANNING","PASS",IF('Release Gates'!C2075="PHYSICAL","OPEN","BLOCKED"))</x:f>
        <x:v>OPEN</x:v>
      </x:c>
      <x:c r="G2115" t="str">
        <x:v>equals</x:v>
      </x:c>
      <x:c r="H2115" t="str">
        <x:f>IF(E2115=F2115,"PASS","FAIL")</x:f>
        <x:v>PASS</x:v>
      </x:c>
    </x:row>
    <x:row r="2116">
      <x:c r="B2116" t="str">
        <x:v>A-02070</x:v>
      </x:c>
      <x:c r="C2116" t="str">
        <x:v>GATE</x:v>
      </x:c>
      <x:c r="D2116" t="str">
        <x:v>release state mirrors governing ledger</x:v>
      </x:c>
      <x:c r="E2116" t="str">
        <x:f>'Release Gates'!I2076</x:f>
        <x:v>OPEN</x:v>
      </x:c>
      <x:c r="F2116" t="str">
        <x:f>IF('Release Gates'!C2076="PLANNING","PASS",IF('Release Gates'!C2076="PHYSICAL","OPEN","BLOCKED"))</x:f>
        <x:v>OPEN</x:v>
      </x:c>
      <x:c r="G2116" t="str">
        <x:v>equals</x:v>
      </x:c>
      <x:c r="H2116" t="str">
        <x:f>IF(E2116=F2116,"PASS","FAIL")</x:f>
        <x:v>PASS</x:v>
      </x:c>
    </x:row>
    <x:row r="2117">
      <x:c r="B2117" t="str">
        <x:v>A-02071</x:v>
      </x:c>
      <x:c r="C2117" t="str">
        <x:v>GATE</x:v>
      </x:c>
      <x:c r="D2117" t="str">
        <x:v>release state mirrors governing ledger</x:v>
      </x:c>
      <x:c r="E2117" t="str">
        <x:f>'Release Gates'!I2077</x:f>
        <x:v>OPEN</x:v>
      </x:c>
      <x:c r="F2117" t="str">
        <x:f>IF('Release Gates'!C2077="PLANNING","PASS",IF('Release Gates'!C2077="PHYSICAL","OPEN","BLOCKED"))</x:f>
        <x:v>OPEN</x:v>
      </x:c>
      <x:c r="G2117" t="str">
        <x:v>equals</x:v>
      </x:c>
      <x:c r="H2117" t="str">
        <x:f>IF(E2117=F2117,"PASS","FAIL")</x:f>
        <x:v>PASS</x:v>
      </x:c>
    </x:row>
    <x:row r="2118">
      <x:c r="B2118" t="str">
        <x:v>A-02072</x:v>
      </x:c>
      <x:c r="C2118" t="str">
        <x:v>GATE</x:v>
      </x:c>
      <x:c r="D2118" t="str">
        <x:v>release state mirrors governing ledger</x:v>
      </x:c>
      <x:c r="E2118" t="str">
        <x:f>'Release Gates'!I2078</x:f>
        <x:v>OPEN</x:v>
      </x:c>
      <x:c r="F2118" t="str">
        <x:f>IF('Release Gates'!C2078="PLANNING","PASS",IF('Release Gates'!C2078="PHYSICAL","OPEN","BLOCKED"))</x:f>
        <x:v>OPEN</x:v>
      </x:c>
      <x:c r="G2118" t="str">
        <x:v>equals</x:v>
      </x:c>
      <x:c r="H2118" t="str">
        <x:f>IF(E2118=F2118,"PASS","FAIL")</x:f>
        <x:v>PASS</x:v>
      </x:c>
    </x:row>
    <x:row r="2119">
      <x:c r="B2119" t="str">
        <x:v>A-02073</x:v>
      </x:c>
      <x:c r="C2119" t="str">
        <x:v>GATE</x:v>
      </x:c>
      <x:c r="D2119" t="str">
        <x:v>release state mirrors governing ledger</x:v>
      </x:c>
      <x:c r="E2119" t="str">
        <x:f>'Release Gates'!I2079</x:f>
        <x:v>OPEN</x:v>
      </x:c>
      <x:c r="F2119" t="str">
        <x:f>IF('Release Gates'!C2079="PLANNING","PASS",IF('Release Gates'!C2079="PHYSICAL","OPEN","BLOCKED"))</x:f>
        <x:v>OPEN</x:v>
      </x:c>
      <x:c r="G2119" t="str">
        <x:v>equals</x:v>
      </x:c>
      <x:c r="H2119" t="str">
        <x:f>IF(E2119=F2119,"PASS","FAIL")</x:f>
        <x:v>PASS</x:v>
      </x:c>
    </x:row>
    <x:row r="2120">
      <x:c r="B2120" t="str">
        <x:v>A-02074</x:v>
      </x:c>
      <x:c r="C2120" t="str">
        <x:v>GATE</x:v>
      </x:c>
      <x:c r="D2120" t="str">
        <x:v>release state mirrors governing ledger</x:v>
      </x:c>
      <x:c r="E2120" t="str">
        <x:f>'Release Gates'!I2080</x:f>
        <x:v>OPEN</x:v>
      </x:c>
      <x:c r="F2120" t="str">
        <x:f>IF('Release Gates'!C2080="PLANNING","PASS",IF('Release Gates'!C2080="PHYSICAL","OPEN","BLOCKED"))</x:f>
        <x:v>OPEN</x:v>
      </x:c>
      <x:c r="G2120" t="str">
        <x:v>equals</x:v>
      </x:c>
      <x:c r="H2120" t="str">
        <x:f>IF(E2120=F2120,"PASS","FAIL")</x:f>
        <x:v>PASS</x:v>
      </x:c>
    </x:row>
    <x:row r="2121">
      <x:c r="B2121" t="str">
        <x:v>A-02075</x:v>
      </x:c>
      <x:c r="C2121" t="str">
        <x:v>GATE</x:v>
      </x:c>
      <x:c r="D2121" t="str">
        <x:v>release state mirrors governing ledger</x:v>
      </x:c>
      <x:c r="E2121" t="str">
        <x:f>'Release Gates'!I2081</x:f>
        <x:v>OPEN</x:v>
      </x:c>
      <x:c r="F2121" t="str">
        <x:f>IF('Release Gates'!C2081="PLANNING","PASS",IF('Release Gates'!C2081="PHYSICAL","OPEN","BLOCKED"))</x:f>
        <x:v>OPEN</x:v>
      </x:c>
      <x:c r="G2121" t="str">
        <x:v>equals</x:v>
      </x:c>
      <x:c r="H2121" t="str">
        <x:f>IF(E2121=F2121,"PASS","FAIL")</x:f>
        <x:v>PASS</x:v>
      </x:c>
    </x:row>
    <x:row r="2122">
      <x:c r="B2122" t="str">
        <x:v>A-02076</x:v>
      </x:c>
      <x:c r="C2122" t="str">
        <x:v>GATE</x:v>
      </x:c>
      <x:c r="D2122" t="str">
        <x:v>release state mirrors governing ledger</x:v>
      </x:c>
      <x:c r="E2122" t="str">
        <x:f>'Release Gates'!I2082</x:f>
        <x:v>OPEN</x:v>
      </x:c>
      <x:c r="F2122" t="str">
        <x:f>IF('Release Gates'!C2082="PLANNING","PASS",IF('Release Gates'!C2082="PHYSICAL","OPEN","BLOCKED"))</x:f>
        <x:v>OPEN</x:v>
      </x:c>
      <x:c r="G2122" t="str">
        <x:v>equals</x:v>
      </x:c>
      <x:c r="H2122" t="str">
        <x:f>IF(E2122=F2122,"PASS","FAIL")</x:f>
        <x:v>PASS</x:v>
      </x:c>
    </x:row>
    <x:row r="2123">
      <x:c r="B2123" t="str">
        <x:v>A-02077</x:v>
      </x:c>
      <x:c r="C2123" t="str">
        <x:v>GATE</x:v>
      </x:c>
      <x:c r="D2123" t="str">
        <x:v>release state mirrors governing ledger</x:v>
      </x:c>
      <x:c r="E2123" t="str">
        <x:f>'Release Gates'!I2083</x:f>
        <x:v>OPEN</x:v>
      </x:c>
      <x:c r="F2123" t="str">
        <x:f>IF('Release Gates'!C2083="PLANNING","PASS",IF('Release Gates'!C2083="PHYSICAL","OPEN","BLOCKED"))</x:f>
        <x:v>OPEN</x:v>
      </x:c>
      <x:c r="G2123" t="str">
        <x:v>equals</x:v>
      </x:c>
      <x:c r="H2123" t="str">
        <x:f>IF(E2123=F2123,"PASS","FAIL")</x:f>
        <x:v>PASS</x:v>
      </x:c>
    </x:row>
    <x:row r="2124">
      <x:c r="B2124" t="str">
        <x:v>A-02078</x:v>
      </x:c>
      <x:c r="C2124" t="str">
        <x:v>GATE</x:v>
      </x:c>
      <x:c r="D2124" t="str">
        <x:v>release state mirrors governing ledger</x:v>
      </x:c>
      <x:c r="E2124" t="str">
        <x:f>'Release Gates'!I2084</x:f>
        <x:v>OPEN</x:v>
      </x:c>
      <x:c r="F2124" t="str">
        <x:f>IF('Release Gates'!C2084="PLANNING","PASS",IF('Release Gates'!C2084="PHYSICAL","OPEN","BLOCKED"))</x:f>
        <x:v>OPEN</x:v>
      </x:c>
      <x:c r="G2124" t="str">
        <x:v>equals</x:v>
      </x:c>
      <x:c r="H2124" t="str">
        <x:f>IF(E2124=F2124,"PASS","FAIL")</x:f>
        <x:v>PASS</x:v>
      </x:c>
    </x:row>
    <x:row r="2125">
      <x:c r="B2125" t="str">
        <x:v>A-02079</x:v>
      </x:c>
      <x:c r="C2125" t="str">
        <x:v>GATE</x:v>
      </x:c>
      <x:c r="D2125" t="str">
        <x:v>release state mirrors governing ledger</x:v>
      </x:c>
      <x:c r="E2125" t="str">
        <x:f>'Release Gates'!I2085</x:f>
        <x:v>OPEN</x:v>
      </x:c>
      <x:c r="F2125" t="str">
        <x:f>IF('Release Gates'!C2085="PLANNING","PASS",IF('Release Gates'!C2085="PHYSICAL","OPEN","BLOCKED"))</x:f>
        <x:v>OPEN</x:v>
      </x:c>
      <x:c r="G2125" t="str">
        <x:v>equals</x:v>
      </x:c>
      <x:c r="H2125" t="str">
        <x:f>IF(E2125=F2125,"PASS","FAIL")</x:f>
        <x:v>PASS</x:v>
      </x:c>
    </x:row>
    <x:row r="2126">
      <x:c r="B2126" t="str">
        <x:v>A-02080</x:v>
      </x:c>
      <x:c r="C2126" t="str">
        <x:v>GATE</x:v>
      </x:c>
      <x:c r="D2126" t="str">
        <x:v>release state mirrors governing ledger</x:v>
      </x:c>
      <x:c r="E2126" t="str">
        <x:f>'Release Gates'!I2086</x:f>
        <x:v>OPEN</x:v>
      </x:c>
      <x:c r="F2126" t="str">
        <x:f>IF('Release Gates'!C2086="PLANNING","PASS",IF('Release Gates'!C2086="PHYSICAL","OPEN","BLOCKED"))</x:f>
        <x:v>OPEN</x:v>
      </x:c>
      <x:c r="G2126" t="str">
        <x:v>equals</x:v>
      </x:c>
      <x:c r="H2126" t="str">
        <x:f>IF(E2126=F2126,"PASS","FAIL")</x:f>
        <x:v>PASS</x:v>
      </x:c>
    </x:row>
    <x:row r="2127">
      <x:c r="B2127" t="str">
        <x:v>A-02081</x:v>
      </x:c>
      <x:c r="C2127" t="str">
        <x:v>GATE</x:v>
      </x:c>
      <x:c r="D2127" t="str">
        <x:v>release state mirrors governing ledger</x:v>
      </x:c>
      <x:c r="E2127" t="str">
        <x:f>'Release Gates'!I2087</x:f>
        <x:v>OPEN</x:v>
      </x:c>
      <x:c r="F2127" t="str">
        <x:f>IF('Release Gates'!C2087="PLANNING","PASS",IF('Release Gates'!C2087="PHYSICAL","OPEN","BLOCKED"))</x:f>
        <x:v>OPEN</x:v>
      </x:c>
      <x:c r="G2127" t="str">
        <x:v>equals</x:v>
      </x:c>
      <x:c r="H2127" t="str">
        <x:f>IF(E2127=F2127,"PASS","FAIL")</x:f>
        <x:v>PASS</x:v>
      </x:c>
    </x:row>
    <x:row r="2128">
      <x:c r="B2128" t="str">
        <x:v>A-02082</x:v>
      </x:c>
      <x:c r="C2128" t="str">
        <x:v>GATE</x:v>
      </x:c>
      <x:c r="D2128" t="str">
        <x:v>release state mirrors governing ledger</x:v>
      </x:c>
      <x:c r="E2128" t="str">
        <x:f>'Release Gates'!I2088</x:f>
        <x:v>OPEN</x:v>
      </x:c>
      <x:c r="F2128" t="str">
        <x:f>IF('Release Gates'!C2088="PLANNING","PASS",IF('Release Gates'!C2088="PHYSICAL","OPEN","BLOCKED"))</x:f>
        <x:v>OPEN</x:v>
      </x:c>
      <x:c r="G2128" t="str">
        <x:v>equals</x:v>
      </x:c>
      <x:c r="H2128" t="str">
        <x:f>IF(E2128=F2128,"PASS","FAIL")</x:f>
        <x:v>PASS</x:v>
      </x:c>
    </x:row>
    <x:row r="2129">
      <x:c r="B2129" t="str">
        <x:v>A-02083</x:v>
      </x:c>
      <x:c r="C2129" t="str">
        <x:v>GATE</x:v>
      </x:c>
      <x:c r="D2129" t="str">
        <x:v>release state mirrors governing ledger</x:v>
      </x:c>
      <x:c r="E2129" t="str">
        <x:f>'Release Gates'!I2089</x:f>
        <x:v>OPEN</x:v>
      </x:c>
      <x:c r="F2129" t="str">
        <x:f>IF('Release Gates'!C2089="PLANNING","PASS",IF('Release Gates'!C2089="PHYSICAL","OPEN","BLOCKED"))</x:f>
        <x:v>OPEN</x:v>
      </x:c>
      <x:c r="G2129" t="str">
        <x:v>equals</x:v>
      </x:c>
      <x:c r="H2129" t="str">
        <x:f>IF(E2129=F2129,"PASS","FAIL")</x:f>
        <x:v>PASS</x:v>
      </x:c>
    </x:row>
    <x:row r="2130">
      <x:c r="B2130" t="str">
        <x:v>A-02084</x:v>
      </x:c>
      <x:c r="C2130" t="str">
        <x:v>GATE</x:v>
      </x:c>
      <x:c r="D2130" t="str">
        <x:v>release state mirrors governing ledger</x:v>
      </x:c>
      <x:c r="E2130" t="str">
        <x:f>'Release Gates'!I2090</x:f>
        <x:v>OPEN</x:v>
      </x:c>
      <x:c r="F2130" t="str">
        <x:f>IF('Release Gates'!C2090="PLANNING","PASS",IF('Release Gates'!C2090="PHYSICAL","OPEN","BLOCKED"))</x:f>
        <x:v>OPEN</x:v>
      </x:c>
      <x:c r="G2130" t="str">
        <x:v>equals</x:v>
      </x:c>
      <x:c r="H2130" t="str">
        <x:f>IF(E2130=F2130,"PASS","FAIL")</x:f>
        <x:v>PASS</x:v>
      </x:c>
    </x:row>
    <x:row r="2131">
      <x:c r="B2131" t="str">
        <x:v>A-02085</x:v>
      </x:c>
      <x:c r="C2131" t="str">
        <x:v>GATE</x:v>
      </x:c>
      <x:c r="D2131" t="str">
        <x:v>release state mirrors governing ledger</x:v>
      </x:c>
      <x:c r="E2131" t="str">
        <x:f>'Release Gates'!I2091</x:f>
        <x:v>OPEN</x:v>
      </x:c>
      <x:c r="F2131" t="str">
        <x:f>IF('Release Gates'!C2091="PLANNING","PASS",IF('Release Gates'!C2091="PHYSICAL","OPEN","BLOCKED"))</x:f>
        <x:v>OPEN</x:v>
      </x:c>
      <x:c r="G2131" t="str">
        <x:v>equals</x:v>
      </x:c>
      <x:c r="H2131" t="str">
        <x:f>IF(E2131=F2131,"PASS","FAIL")</x:f>
        <x:v>PASS</x:v>
      </x:c>
    </x:row>
    <x:row r="2132">
      <x:c r="B2132" t="str">
        <x:v>A-02086</x:v>
      </x:c>
      <x:c r="C2132" t="str">
        <x:v>GATE</x:v>
      </x:c>
      <x:c r="D2132" t="str">
        <x:v>release state mirrors governing ledger</x:v>
      </x:c>
      <x:c r="E2132" t="str">
        <x:f>'Release Gates'!I2092</x:f>
        <x:v>OPEN</x:v>
      </x:c>
      <x:c r="F2132" t="str">
        <x:f>IF('Release Gates'!C2092="PLANNING","PASS",IF('Release Gates'!C2092="PHYSICAL","OPEN","BLOCKED"))</x:f>
        <x:v>OPEN</x:v>
      </x:c>
      <x:c r="G2132" t="str">
        <x:v>equals</x:v>
      </x:c>
      <x:c r="H2132" t="str">
        <x:f>IF(E2132=F2132,"PASS","FAIL")</x:f>
        <x:v>PASS</x:v>
      </x:c>
    </x:row>
    <x:row r="2133">
      <x:c r="B2133" t="str">
        <x:v>A-02087</x:v>
      </x:c>
      <x:c r="C2133" t="str">
        <x:v>GATE</x:v>
      </x:c>
      <x:c r="D2133" t="str">
        <x:v>release state mirrors governing ledger</x:v>
      </x:c>
      <x:c r="E2133" t="str">
        <x:f>'Release Gates'!I2093</x:f>
        <x:v>OPEN</x:v>
      </x:c>
      <x:c r="F2133" t="str">
        <x:f>IF('Release Gates'!C2093="PLANNING","PASS",IF('Release Gates'!C2093="PHYSICAL","OPEN","BLOCKED"))</x:f>
        <x:v>OPEN</x:v>
      </x:c>
      <x:c r="G2133" t="str">
        <x:v>equals</x:v>
      </x:c>
      <x:c r="H2133" t="str">
        <x:f>IF(E2133=F2133,"PASS","FAIL")</x:f>
        <x:v>PASS</x:v>
      </x:c>
    </x:row>
    <x:row r="2134">
      <x:c r="B2134" t="str">
        <x:v>A-02088</x:v>
      </x:c>
      <x:c r="C2134" t="str">
        <x:v>GATE</x:v>
      </x:c>
      <x:c r="D2134" t="str">
        <x:v>release state mirrors governing ledger</x:v>
      </x:c>
      <x:c r="E2134" t="str">
        <x:f>'Release Gates'!I2094</x:f>
        <x:v>OPEN</x:v>
      </x:c>
      <x:c r="F2134" t="str">
        <x:f>IF('Release Gates'!C2094="PLANNING","PASS",IF('Release Gates'!C2094="PHYSICAL","OPEN","BLOCKED"))</x:f>
        <x:v>OPEN</x:v>
      </x:c>
      <x:c r="G2134" t="str">
        <x:v>equals</x:v>
      </x:c>
      <x:c r="H2134" t="str">
        <x:f>IF(E2134=F2134,"PASS","FAIL")</x:f>
        <x:v>PASS</x:v>
      </x:c>
    </x:row>
    <x:row r="2135">
      <x:c r="B2135" t="str">
        <x:v>A-02089</x:v>
      </x:c>
      <x:c r="C2135" t="str">
        <x:v>GATE</x:v>
      </x:c>
      <x:c r="D2135" t="str">
        <x:v>release state mirrors governing ledger</x:v>
      </x:c>
      <x:c r="E2135" t="str">
        <x:f>'Release Gates'!I2095</x:f>
        <x:v>OPEN</x:v>
      </x:c>
      <x:c r="F2135" t="str">
        <x:f>IF('Release Gates'!C2095="PLANNING","PASS",IF('Release Gates'!C2095="PHYSICAL","OPEN","BLOCKED"))</x:f>
        <x:v>OPEN</x:v>
      </x:c>
      <x:c r="G2135" t="str">
        <x:v>equals</x:v>
      </x:c>
      <x:c r="H2135" t="str">
        <x:f>IF(E2135=F2135,"PASS","FAIL")</x:f>
        <x:v>PASS</x:v>
      </x:c>
    </x:row>
    <x:row r="2136">
      <x:c r="B2136" t="str">
        <x:v>A-02090</x:v>
      </x:c>
      <x:c r="C2136" t="str">
        <x:v>GATE</x:v>
      </x:c>
      <x:c r="D2136" t="str">
        <x:v>release state mirrors governing ledger</x:v>
      </x:c>
      <x:c r="E2136" t="str">
        <x:f>'Release Gates'!I2096</x:f>
        <x:v>OPEN</x:v>
      </x:c>
      <x:c r="F2136" t="str">
        <x:f>IF('Release Gates'!C2096="PLANNING","PASS",IF('Release Gates'!C2096="PHYSICAL","OPEN","BLOCKED"))</x:f>
        <x:v>OPEN</x:v>
      </x:c>
      <x:c r="G2136" t="str">
        <x:v>equals</x:v>
      </x:c>
      <x:c r="H2136" t="str">
        <x:f>IF(E2136=F2136,"PASS","FAIL")</x:f>
        <x:v>PASS</x:v>
      </x:c>
    </x:row>
    <x:row r="2137">
      <x:c r="B2137" t="str">
        <x:v>A-02091</x:v>
      </x:c>
      <x:c r="C2137" t="str">
        <x:v>GATE</x:v>
      </x:c>
      <x:c r="D2137" t="str">
        <x:v>release state mirrors governing ledger</x:v>
      </x:c>
      <x:c r="E2137" t="str">
        <x:f>'Release Gates'!I2097</x:f>
        <x:v>OPEN</x:v>
      </x:c>
      <x:c r="F2137" t="str">
        <x:f>IF('Release Gates'!C2097="PLANNING","PASS",IF('Release Gates'!C2097="PHYSICAL","OPEN","BLOCKED"))</x:f>
        <x:v>OPEN</x:v>
      </x:c>
      <x:c r="G2137" t="str">
        <x:v>equals</x:v>
      </x:c>
      <x:c r="H2137" t="str">
        <x:f>IF(E2137=F2137,"PASS","FAIL")</x:f>
        <x:v>PASS</x:v>
      </x:c>
    </x:row>
    <x:row r="2138">
      <x:c r="B2138" t="str">
        <x:v>A-02092</x:v>
      </x:c>
      <x:c r="C2138" t="str">
        <x:v>GATE</x:v>
      </x:c>
      <x:c r="D2138" t="str">
        <x:v>release state mirrors governing ledger</x:v>
      </x:c>
      <x:c r="E2138" t="str">
        <x:f>'Release Gates'!I2098</x:f>
        <x:v>OPEN</x:v>
      </x:c>
      <x:c r="F2138" t="str">
        <x:f>IF('Release Gates'!C2098="PLANNING","PASS",IF('Release Gates'!C2098="PHYSICAL","OPEN","BLOCKED"))</x:f>
        <x:v>OPEN</x:v>
      </x:c>
      <x:c r="G2138" t="str">
        <x:v>equals</x:v>
      </x:c>
      <x:c r="H2138" t="str">
        <x:f>IF(E2138=F2138,"PASS","FAIL")</x:f>
        <x:v>PASS</x:v>
      </x:c>
    </x:row>
    <x:row r="2139">
      <x:c r="B2139" t="str">
        <x:v>A-02093</x:v>
      </x:c>
      <x:c r="C2139" t="str">
        <x:v>GATE</x:v>
      </x:c>
      <x:c r="D2139" t="str">
        <x:v>release state mirrors governing ledger</x:v>
      </x:c>
      <x:c r="E2139" t="str">
        <x:f>'Release Gates'!I2099</x:f>
        <x:v>OPEN</x:v>
      </x:c>
      <x:c r="F2139" t="str">
        <x:f>IF('Release Gates'!C2099="PLANNING","PASS",IF('Release Gates'!C2099="PHYSICAL","OPEN","BLOCKED"))</x:f>
        <x:v>OPEN</x:v>
      </x:c>
      <x:c r="G2139" t="str">
        <x:v>equals</x:v>
      </x:c>
      <x:c r="H2139" t="str">
        <x:f>IF(E2139=F2139,"PASS","FAIL")</x:f>
        <x:v>PASS</x:v>
      </x:c>
    </x:row>
    <x:row r="2140">
      <x:c r="B2140" t="str">
        <x:v>A-02094</x:v>
      </x:c>
      <x:c r="C2140" t="str">
        <x:v>GATE</x:v>
      </x:c>
      <x:c r="D2140" t="str">
        <x:v>release state mirrors governing ledger</x:v>
      </x:c>
      <x:c r="E2140" t="str">
        <x:f>'Release Gates'!I2100</x:f>
        <x:v>OPEN</x:v>
      </x:c>
      <x:c r="F2140" t="str">
        <x:f>IF('Release Gates'!C2100="PLANNING","PASS",IF('Release Gates'!C2100="PHYSICAL","OPEN","BLOCKED"))</x:f>
        <x:v>OPEN</x:v>
      </x:c>
      <x:c r="G2140" t="str">
        <x:v>equals</x:v>
      </x:c>
      <x:c r="H2140" t="str">
        <x:f>IF(E2140=F2140,"PASS","FAIL")</x:f>
        <x:v>PASS</x:v>
      </x:c>
    </x:row>
    <x:row r="2141">
      <x:c r="B2141" t="str">
        <x:v>A-02095</x:v>
      </x:c>
      <x:c r="C2141" t="str">
        <x:v>GATE</x:v>
      </x:c>
      <x:c r="D2141" t="str">
        <x:v>release state mirrors governing ledger</x:v>
      </x:c>
      <x:c r="E2141" t="str">
        <x:f>'Release Gates'!I2101</x:f>
        <x:v>OPEN</x:v>
      </x:c>
      <x:c r="F2141" t="str">
        <x:f>IF('Release Gates'!C2101="PLANNING","PASS",IF('Release Gates'!C2101="PHYSICAL","OPEN","BLOCKED"))</x:f>
        <x:v>OPEN</x:v>
      </x:c>
      <x:c r="G2141" t="str">
        <x:v>equals</x:v>
      </x:c>
      <x:c r="H2141" t="str">
        <x:f>IF(E2141=F2141,"PASS","FAIL")</x:f>
        <x:v>PASS</x:v>
      </x:c>
    </x:row>
    <x:row r="2142">
      <x:c r="B2142" t="str">
        <x:v>A-02096</x:v>
      </x:c>
      <x:c r="C2142" t="str">
        <x:v>GATE</x:v>
      </x:c>
      <x:c r="D2142" t="str">
        <x:v>release state mirrors governing ledger</x:v>
      </x:c>
      <x:c r="E2142" t="str">
        <x:f>'Release Gates'!I2102</x:f>
        <x:v>OPEN</x:v>
      </x:c>
      <x:c r="F2142" t="str">
        <x:f>IF('Release Gates'!C2102="PLANNING","PASS",IF('Release Gates'!C2102="PHYSICAL","OPEN","BLOCKED"))</x:f>
        <x:v>OPEN</x:v>
      </x:c>
      <x:c r="G2142" t="str">
        <x:v>equals</x:v>
      </x:c>
      <x:c r="H2142" t="str">
        <x:f>IF(E2142=F2142,"PASS","FAIL")</x:f>
        <x:v>PASS</x:v>
      </x:c>
    </x:row>
    <x:row r="2143">
      <x:c r="B2143" t="str">
        <x:v>A-02097</x:v>
      </x:c>
      <x:c r="C2143" t="str">
        <x:v>GATE</x:v>
      </x:c>
      <x:c r="D2143" t="str">
        <x:v>release state mirrors governing ledger</x:v>
      </x:c>
      <x:c r="E2143" t="str">
        <x:f>'Release Gates'!I2103</x:f>
        <x:v>OPEN</x:v>
      </x:c>
      <x:c r="F2143" t="str">
        <x:f>IF('Release Gates'!C2103="PLANNING","PASS",IF('Release Gates'!C2103="PHYSICAL","OPEN","BLOCKED"))</x:f>
        <x:v>OPEN</x:v>
      </x:c>
      <x:c r="G2143" t="str">
        <x:v>equals</x:v>
      </x:c>
      <x:c r="H2143" t="str">
        <x:f>IF(E2143=F2143,"PASS","FAIL")</x:f>
        <x:v>PASS</x:v>
      </x:c>
    </x:row>
    <x:row r="2144">
      <x:c r="B2144" t="str">
        <x:v>A-02098</x:v>
      </x:c>
      <x:c r="C2144" t="str">
        <x:v>GATE</x:v>
      </x:c>
      <x:c r="D2144" t="str">
        <x:v>release state mirrors governing ledger</x:v>
      </x:c>
      <x:c r="E2144" t="str">
        <x:f>'Release Gates'!I2104</x:f>
        <x:v>OPEN</x:v>
      </x:c>
      <x:c r="F2144" t="str">
        <x:f>IF('Release Gates'!C2104="PLANNING","PASS",IF('Release Gates'!C2104="PHYSICAL","OPEN","BLOCKED"))</x:f>
        <x:v>OPEN</x:v>
      </x:c>
      <x:c r="G2144" t="str">
        <x:v>equals</x:v>
      </x:c>
      <x:c r="H2144" t="str">
        <x:f>IF(E2144=F2144,"PASS","FAIL")</x:f>
        <x:v>PASS</x:v>
      </x:c>
    </x:row>
    <x:row r="2145">
      <x:c r="B2145" t="str">
        <x:v>A-02099</x:v>
      </x:c>
      <x:c r="C2145" t="str">
        <x:v>GATE</x:v>
      </x:c>
      <x:c r="D2145" t="str">
        <x:v>release state mirrors governing ledger</x:v>
      </x:c>
      <x:c r="E2145" t="str">
        <x:f>'Release Gates'!I2105</x:f>
        <x:v>OPEN</x:v>
      </x:c>
      <x:c r="F2145" t="str">
        <x:f>IF('Release Gates'!C2105="PLANNING","PASS",IF('Release Gates'!C2105="PHYSICAL","OPEN","BLOCKED"))</x:f>
        <x:v>OPEN</x:v>
      </x:c>
      <x:c r="G2145" t="str">
        <x:v>equals</x:v>
      </x:c>
      <x:c r="H2145" t="str">
        <x:f>IF(E2145=F2145,"PASS","FAIL")</x:f>
        <x:v>PASS</x:v>
      </x:c>
    </x:row>
    <x:row r="2146">
      <x:c r="B2146" t="str">
        <x:v>A-02100</x:v>
      </x:c>
      <x:c r="C2146" t="str">
        <x:v>GATE</x:v>
      </x:c>
      <x:c r="D2146" t="str">
        <x:v>release state mirrors governing ledger</x:v>
      </x:c>
      <x:c r="E2146" t="str">
        <x:f>'Release Gates'!I2106</x:f>
        <x:v>OPEN</x:v>
      </x:c>
      <x:c r="F2146" t="str">
        <x:f>IF('Release Gates'!C2106="PLANNING","PASS",IF('Release Gates'!C2106="PHYSICAL","OPEN","BLOCKED"))</x:f>
        <x:v>OPEN</x:v>
      </x:c>
      <x:c r="G2146" t="str">
        <x:v>equals</x:v>
      </x:c>
      <x:c r="H2146" t="str">
        <x:f>IF(E2146=F2146,"PASS","FAIL")</x:f>
        <x:v>PASS</x:v>
      </x:c>
    </x:row>
    <x:row r="2147">
      <x:c r="B2147" t="str">
        <x:v>A-02101</x:v>
      </x:c>
      <x:c r="C2147" t="str">
        <x:v>GATE</x:v>
      </x:c>
      <x:c r="D2147" t="str">
        <x:v>release state mirrors governing ledger</x:v>
      </x:c>
      <x:c r="E2147" t="str">
        <x:f>'Release Gates'!I2107</x:f>
        <x:v>OPEN</x:v>
      </x:c>
      <x:c r="F2147" t="str">
        <x:f>IF('Release Gates'!C2107="PLANNING","PASS",IF('Release Gates'!C2107="PHYSICAL","OPEN","BLOCKED"))</x:f>
        <x:v>OPEN</x:v>
      </x:c>
      <x:c r="G2147" t="str">
        <x:v>equals</x:v>
      </x:c>
      <x:c r="H2147" t="str">
        <x:f>IF(E2147=F2147,"PASS","FAIL")</x:f>
        <x:v>PASS</x:v>
      </x:c>
    </x:row>
    <x:row r="2148">
      <x:c r="B2148" t="str">
        <x:v>A-02102</x:v>
      </x:c>
      <x:c r="C2148" t="str">
        <x:v>GATE</x:v>
      </x:c>
      <x:c r="D2148" t="str">
        <x:v>release state mirrors governing ledger</x:v>
      </x:c>
      <x:c r="E2148" t="str">
        <x:f>'Release Gates'!I2108</x:f>
        <x:v>OPEN</x:v>
      </x:c>
      <x:c r="F2148" t="str">
        <x:f>IF('Release Gates'!C2108="PLANNING","PASS",IF('Release Gates'!C2108="PHYSICAL","OPEN","BLOCKED"))</x:f>
        <x:v>OPEN</x:v>
      </x:c>
      <x:c r="G2148" t="str">
        <x:v>equals</x:v>
      </x:c>
      <x:c r="H2148" t="str">
        <x:f>IF(E2148=F2148,"PASS","FAIL")</x:f>
        <x:v>PASS</x:v>
      </x:c>
    </x:row>
    <x:row r="2149">
      <x:c r="B2149" t="str">
        <x:v>A-02103</x:v>
      </x:c>
      <x:c r="C2149" t="str">
        <x:v>GATE</x:v>
      </x:c>
      <x:c r="D2149" t="str">
        <x:v>release state mirrors governing ledger</x:v>
      </x:c>
      <x:c r="E2149" t="str">
        <x:f>'Release Gates'!I2109</x:f>
        <x:v>OPEN</x:v>
      </x:c>
      <x:c r="F2149" t="str">
        <x:f>IF('Release Gates'!C2109="PLANNING","PASS",IF('Release Gates'!C2109="PHYSICAL","OPEN","BLOCKED"))</x:f>
        <x:v>OPEN</x:v>
      </x:c>
      <x:c r="G2149" t="str">
        <x:v>equals</x:v>
      </x:c>
      <x:c r="H2149" t="str">
        <x:f>IF(E2149=F2149,"PASS","FAIL")</x:f>
        <x:v>PASS</x:v>
      </x:c>
    </x:row>
    <x:row r="2150">
      <x:c r="B2150" t="str">
        <x:v>A-02104</x:v>
      </x:c>
      <x:c r="C2150" t="str">
        <x:v>GATE</x:v>
      </x:c>
      <x:c r="D2150" t="str">
        <x:v>release state mirrors governing ledger</x:v>
      </x:c>
      <x:c r="E2150" t="str">
        <x:f>'Release Gates'!I2110</x:f>
        <x:v>OPEN</x:v>
      </x:c>
      <x:c r="F2150" t="str">
        <x:f>IF('Release Gates'!C2110="PLANNING","PASS",IF('Release Gates'!C2110="PHYSICAL","OPEN","BLOCKED"))</x:f>
        <x:v>OPEN</x:v>
      </x:c>
      <x:c r="G2150" t="str">
        <x:v>equals</x:v>
      </x:c>
      <x:c r="H2150" t="str">
        <x:f>IF(E2150=F2150,"PASS","FAIL")</x:f>
        <x:v>PASS</x:v>
      </x:c>
    </x:row>
    <x:row r="2151">
      <x:c r="B2151" t="str">
        <x:v>A-02105</x:v>
      </x:c>
      <x:c r="C2151" t="str">
        <x:v>GATE</x:v>
      </x:c>
      <x:c r="D2151" t="str">
        <x:v>release state mirrors governing ledger</x:v>
      </x:c>
      <x:c r="E2151" t="str">
        <x:f>'Release Gates'!I2111</x:f>
        <x:v>OPEN</x:v>
      </x:c>
      <x:c r="F2151" t="str">
        <x:f>IF('Release Gates'!C2111="PLANNING","PASS",IF('Release Gates'!C2111="PHYSICAL","OPEN","BLOCKED"))</x:f>
        <x:v>OPEN</x:v>
      </x:c>
      <x:c r="G2151" t="str">
        <x:v>equals</x:v>
      </x:c>
      <x:c r="H2151" t="str">
        <x:f>IF(E2151=F2151,"PASS","FAIL")</x:f>
        <x:v>PASS</x:v>
      </x:c>
    </x:row>
    <x:row r="2152">
      <x:c r="B2152" t="str">
        <x:v>A-02106</x:v>
      </x:c>
      <x:c r="C2152" t="str">
        <x:v>GATE</x:v>
      </x:c>
      <x:c r="D2152" t="str">
        <x:v>release state mirrors governing ledger</x:v>
      </x:c>
      <x:c r="E2152" t="str">
        <x:f>'Release Gates'!I2112</x:f>
        <x:v>OPEN</x:v>
      </x:c>
      <x:c r="F2152" t="str">
        <x:f>IF('Release Gates'!C2112="PLANNING","PASS",IF('Release Gates'!C2112="PHYSICAL","OPEN","BLOCKED"))</x:f>
        <x:v>OPEN</x:v>
      </x:c>
      <x:c r="G2152" t="str">
        <x:v>equals</x:v>
      </x:c>
      <x:c r="H2152" t="str">
        <x:f>IF(E2152=F2152,"PASS","FAIL")</x:f>
        <x:v>PASS</x:v>
      </x:c>
    </x:row>
    <x:row r="2153">
      <x:c r="B2153" t="str">
        <x:v>A-02107</x:v>
      </x:c>
      <x:c r="C2153" t="str">
        <x:v>GATE</x:v>
      </x:c>
      <x:c r="D2153" t="str">
        <x:v>release state mirrors governing ledger</x:v>
      </x:c>
      <x:c r="E2153" t="str">
        <x:f>'Release Gates'!I2113</x:f>
        <x:v>OPEN</x:v>
      </x:c>
      <x:c r="F2153" t="str">
        <x:f>IF('Release Gates'!C2113="PLANNING","PASS",IF('Release Gates'!C2113="PHYSICAL","OPEN","BLOCKED"))</x:f>
        <x:v>OPEN</x:v>
      </x:c>
      <x:c r="G2153" t="str">
        <x:v>equals</x:v>
      </x:c>
      <x:c r="H2153" t="str">
        <x:f>IF(E2153=F2153,"PASS","FAIL")</x:f>
        <x:v>PASS</x:v>
      </x:c>
    </x:row>
    <x:row r="2154">
      <x:c r="B2154" t="str">
        <x:v>A-02108</x:v>
      </x:c>
      <x:c r="C2154" t="str">
        <x:v>GATE</x:v>
      </x:c>
      <x:c r="D2154" t="str">
        <x:v>release state mirrors governing ledger</x:v>
      </x:c>
      <x:c r="E2154" t="str">
        <x:f>'Release Gates'!I2114</x:f>
        <x:v>OPEN</x:v>
      </x:c>
      <x:c r="F2154" t="str">
        <x:f>IF('Release Gates'!C2114="PLANNING","PASS",IF('Release Gates'!C2114="PHYSICAL","OPEN","BLOCKED"))</x:f>
        <x:v>OPEN</x:v>
      </x:c>
      <x:c r="G2154" t="str">
        <x:v>equals</x:v>
      </x:c>
      <x:c r="H2154" t="str">
        <x:f>IF(E2154=F2154,"PASS","FAIL")</x:f>
        <x:v>PASS</x:v>
      </x:c>
    </x:row>
    <x:row r="2155">
      <x:c r="B2155" t="str">
        <x:v>A-02109</x:v>
      </x:c>
      <x:c r="C2155" t="str">
        <x:v>GATE</x:v>
      </x:c>
      <x:c r="D2155" t="str">
        <x:v>release state mirrors governing ledger</x:v>
      </x:c>
      <x:c r="E2155" t="str">
        <x:f>'Release Gates'!I2115</x:f>
        <x:v>OPEN</x:v>
      </x:c>
      <x:c r="F2155" t="str">
        <x:f>IF('Release Gates'!C2115="PLANNING","PASS",IF('Release Gates'!C2115="PHYSICAL","OPEN","BLOCKED"))</x:f>
        <x:v>OPEN</x:v>
      </x:c>
      <x:c r="G2155" t="str">
        <x:v>equals</x:v>
      </x:c>
      <x:c r="H2155" t="str">
        <x:f>IF(E2155=F2155,"PASS","FAIL")</x:f>
        <x:v>PASS</x:v>
      </x:c>
    </x:row>
    <x:row r="2156">
      <x:c r="B2156" t="str">
        <x:v>A-02110</x:v>
      </x:c>
      <x:c r="C2156" t="str">
        <x:v>GATE</x:v>
      </x:c>
      <x:c r="D2156" t="str">
        <x:v>release state mirrors governing ledger</x:v>
      </x:c>
      <x:c r="E2156" t="str">
        <x:f>'Release Gates'!I2116</x:f>
        <x:v>OPEN</x:v>
      </x:c>
      <x:c r="F2156" t="str">
        <x:f>IF('Release Gates'!C2116="PLANNING","PASS",IF('Release Gates'!C2116="PHYSICAL","OPEN","BLOCKED"))</x:f>
        <x:v>OPEN</x:v>
      </x:c>
      <x:c r="G2156" t="str">
        <x:v>equals</x:v>
      </x:c>
      <x:c r="H2156" t="str">
        <x:f>IF(E2156=F2156,"PASS","FAIL")</x:f>
        <x:v>PASS</x:v>
      </x:c>
    </x:row>
    <x:row r="2157">
      <x:c r="B2157" t="str">
        <x:v>A-02111</x:v>
      </x:c>
      <x:c r="C2157" t="str">
        <x:v>GATE</x:v>
      </x:c>
      <x:c r="D2157" t="str">
        <x:v>release state mirrors governing ledger</x:v>
      </x:c>
      <x:c r="E2157" t="str">
        <x:f>'Release Gates'!I2117</x:f>
        <x:v>OPEN</x:v>
      </x:c>
      <x:c r="F2157" t="str">
        <x:f>IF('Release Gates'!C2117="PLANNING","PASS",IF('Release Gates'!C2117="PHYSICAL","OPEN","BLOCKED"))</x:f>
        <x:v>OPEN</x:v>
      </x:c>
      <x:c r="G2157" t="str">
        <x:v>equals</x:v>
      </x:c>
      <x:c r="H2157" t="str">
        <x:f>IF(E2157=F2157,"PASS","FAIL")</x:f>
        <x:v>PASS</x:v>
      </x:c>
    </x:row>
    <x:row r="2158">
      <x:c r="B2158" t="str">
        <x:v>A-02112</x:v>
      </x:c>
      <x:c r="C2158" t="str">
        <x:v>GATE</x:v>
      </x:c>
      <x:c r="D2158" t="str">
        <x:v>release state mirrors governing ledger</x:v>
      </x:c>
      <x:c r="E2158" t="str">
        <x:f>'Release Gates'!I2118</x:f>
        <x:v>OPEN</x:v>
      </x:c>
      <x:c r="F2158" t="str">
        <x:f>IF('Release Gates'!C2118="PLANNING","PASS",IF('Release Gates'!C2118="PHYSICAL","OPEN","BLOCKED"))</x:f>
        <x:v>OPEN</x:v>
      </x:c>
      <x:c r="G2158" t="str">
        <x:v>equals</x:v>
      </x:c>
      <x:c r="H2158" t="str">
        <x:f>IF(E2158=F2158,"PASS","FAIL")</x:f>
        <x:v>PASS</x:v>
      </x:c>
    </x:row>
    <x:row r="2159">
      <x:c r="B2159" t="str">
        <x:v>A-02113</x:v>
      </x:c>
      <x:c r="C2159" t="str">
        <x:v>GATE</x:v>
      </x:c>
      <x:c r="D2159" t="str">
        <x:v>release state mirrors governing ledger</x:v>
      </x:c>
      <x:c r="E2159" t="str">
        <x:f>'Release Gates'!I2119</x:f>
        <x:v>OPEN</x:v>
      </x:c>
      <x:c r="F2159" t="str">
        <x:f>IF('Release Gates'!C2119="PLANNING","PASS",IF('Release Gates'!C2119="PHYSICAL","OPEN","BLOCKED"))</x:f>
        <x:v>OPEN</x:v>
      </x:c>
      <x:c r="G2159" t="str">
        <x:v>equals</x:v>
      </x:c>
      <x:c r="H2159" t="str">
        <x:f>IF(E2159=F2159,"PASS","FAIL")</x:f>
        <x:v>PASS</x:v>
      </x:c>
    </x:row>
    <x:row r="2160">
      <x:c r="B2160" t="str">
        <x:v>A-02114</x:v>
      </x:c>
      <x:c r="C2160" t="str">
        <x:v>GATE</x:v>
      </x:c>
      <x:c r="D2160" t="str">
        <x:v>release state mirrors governing ledger</x:v>
      </x:c>
      <x:c r="E2160" t="str">
        <x:f>'Release Gates'!I2120</x:f>
        <x:v>OPEN</x:v>
      </x:c>
      <x:c r="F2160" t="str">
        <x:f>IF('Release Gates'!C2120="PLANNING","PASS",IF('Release Gates'!C2120="PHYSICAL","OPEN","BLOCKED"))</x:f>
        <x:v>OPEN</x:v>
      </x:c>
      <x:c r="G2160" t="str">
        <x:v>equals</x:v>
      </x:c>
      <x:c r="H2160" t="str">
        <x:f>IF(E2160=F2160,"PASS","FAIL")</x:f>
        <x:v>PASS</x:v>
      </x:c>
    </x:row>
    <x:row r="2161">
      <x:c r="B2161" t="str">
        <x:v>A-02115</x:v>
      </x:c>
      <x:c r="C2161" t="str">
        <x:v>GATE</x:v>
      </x:c>
      <x:c r="D2161" t="str">
        <x:v>release state mirrors governing ledger</x:v>
      </x:c>
      <x:c r="E2161" t="str">
        <x:f>'Release Gates'!I2121</x:f>
        <x:v>OPEN</x:v>
      </x:c>
      <x:c r="F2161" t="str">
        <x:f>IF('Release Gates'!C2121="PLANNING","PASS",IF('Release Gates'!C2121="PHYSICAL","OPEN","BLOCKED"))</x:f>
        <x:v>OPEN</x:v>
      </x:c>
      <x:c r="G2161" t="str">
        <x:v>equals</x:v>
      </x:c>
      <x:c r="H2161" t="str">
        <x:f>IF(E2161=F2161,"PASS","FAIL")</x:f>
        <x:v>PASS</x:v>
      </x:c>
    </x:row>
    <x:row r="2162">
      <x:c r="B2162" t="str">
        <x:v>A-02116</x:v>
      </x:c>
      <x:c r="C2162" t="str">
        <x:v>GATE</x:v>
      </x:c>
      <x:c r="D2162" t="str">
        <x:v>release state mirrors governing ledger</x:v>
      </x:c>
      <x:c r="E2162" t="str">
        <x:f>'Release Gates'!I2122</x:f>
        <x:v>OPEN</x:v>
      </x:c>
      <x:c r="F2162" t="str">
        <x:f>IF('Release Gates'!C2122="PLANNING","PASS",IF('Release Gates'!C2122="PHYSICAL","OPEN","BLOCKED"))</x:f>
        <x:v>OPEN</x:v>
      </x:c>
      <x:c r="G2162" t="str">
        <x:v>equals</x:v>
      </x:c>
      <x:c r="H2162" t="str">
        <x:f>IF(E2162=F2162,"PASS","FAIL")</x:f>
        <x:v>PASS</x:v>
      </x:c>
    </x:row>
    <x:row r="2163">
      <x:c r="B2163" t="str">
        <x:v>A-02117</x:v>
      </x:c>
      <x:c r="C2163" t="str">
        <x:v>GATE</x:v>
      </x:c>
      <x:c r="D2163" t="str">
        <x:v>release state mirrors governing ledger</x:v>
      </x:c>
      <x:c r="E2163" t="str">
        <x:f>'Release Gates'!I2123</x:f>
        <x:v>OPEN</x:v>
      </x:c>
      <x:c r="F2163" t="str">
        <x:f>IF('Release Gates'!C2123="PLANNING","PASS",IF('Release Gates'!C2123="PHYSICAL","OPEN","BLOCKED"))</x:f>
        <x:v>OPEN</x:v>
      </x:c>
      <x:c r="G2163" t="str">
        <x:v>equals</x:v>
      </x:c>
      <x:c r="H2163" t="str">
        <x:f>IF(E2163=F2163,"PASS","FAIL")</x:f>
        <x:v>PASS</x:v>
      </x:c>
    </x:row>
    <x:row r="2164">
      <x:c r="B2164" t="str">
        <x:v>A-02118</x:v>
      </x:c>
      <x:c r="C2164" t="str">
        <x:v>GATE</x:v>
      </x:c>
      <x:c r="D2164" t="str">
        <x:v>release state mirrors governing ledger</x:v>
      </x:c>
      <x:c r="E2164" t="str">
        <x:f>'Release Gates'!I2124</x:f>
        <x:v>OPEN</x:v>
      </x:c>
      <x:c r="F2164" t="str">
        <x:f>IF('Release Gates'!C2124="PLANNING","PASS",IF('Release Gates'!C2124="PHYSICAL","OPEN","BLOCKED"))</x:f>
        <x:v>OPEN</x:v>
      </x:c>
      <x:c r="G2164" t="str">
        <x:v>equals</x:v>
      </x:c>
      <x:c r="H2164" t="str">
        <x:f>IF(E2164=F2164,"PASS","FAIL")</x:f>
        <x:v>PASS</x:v>
      </x:c>
    </x:row>
    <x:row r="2165">
      <x:c r="B2165" t="str">
        <x:v>A-02119</x:v>
      </x:c>
      <x:c r="C2165" t="str">
        <x:v>GATE</x:v>
      </x:c>
      <x:c r="D2165" t="str">
        <x:v>release state mirrors governing ledger</x:v>
      </x:c>
      <x:c r="E2165" t="str">
        <x:f>'Release Gates'!I2125</x:f>
        <x:v>OPEN</x:v>
      </x:c>
      <x:c r="F2165" t="str">
        <x:f>IF('Release Gates'!C2125="PLANNING","PASS",IF('Release Gates'!C2125="PHYSICAL","OPEN","BLOCKED"))</x:f>
        <x:v>OPEN</x:v>
      </x:c>
      <x:c r="G2165" t="str">
        <x:v>equals</x:v>
      </x:c>
      <x:c r="H2165" t="str">
        <x:f>IF(E2165=F2165,"PASS","FAIL")</x:f>
        <x:v>PASS</x:v>
      </x:c>
    </x:row>
    <x:row r="2166">
      <x:c r="B2166" t="str">
        <x:v>A-02120</x:v>
      </x:c>
      <x:c r="C2166" t="str">
        <x:v>GATE</x:v>
      </x:c>
      <x:c r="D2166" t="str">
        <x:v>release state mirrors governing ledger</x:v>
      </x:c>
      <x:c r="E2166" t="str">
        <x:f>'Release Gates'!I2126</x:f>
        <x:v>OPEN</x:v>
      </x:c>
      <x:c r="F2166" t="str">
        <x:f>IF('Release Gates'!C2126="PLANNING","PASS",IF('Release Gates'!C2126="PHYSICAL","OPEN","BLOCKED"))</x:f>
        <x:v>OPEN</x:v>
      </x:c>
      <x:c r="G2166" t="str">
        <x:v>equals</x:v>
      </x:c>
      <x:c r="H2166" t="str">
        <x:f>IF(E2166=F2166,"PASS","FAIL")</x:f>
        <x:v>PASS</x:v>
      </x:c>
    </x:row>
    <x:row r="2167">
      <x:c r="B2167" t="str">
        <x:v>A-02121</x:v>
      </x:c>
      <x:c r="C2167" t="str">
        <x:v>GATE</x:v>
      </x:c>
      <x:c r="D2167" t="str">
        <x:v>release state mirrors governing ledger</x:v>
      </x:c>
      <x:c r="E2167" t="str">
        <x:f>'Release Gates'!I2127</x:f>
        <x:v>OPEN</x:v>
      </x:c>
      <x:c r="F2167" t="str">
        <x:f>IF('Release Gates'!C2127="PLANNING","PASS",IF('Release Gates'!C2127="PHYSICAL","OPEN","BLOCKED"))</x:f>
        <x:v>OPEN</x:v>
      </x:c>
      <x:c r="G2167" t="str">
        <x:v>equals</x:v>
      </x:c>
      <x:c r="H2167" t="str">
        <x:f>IF(E2167=F2167,"PASS","FAIL")</x:f>
        <x:v>PASS</x:v>
      </x:c>
    </x:row>
    <x:row r="2168">
      <x:c r="B2168" t="str">
        <x:v>A-02122</x:v>
      </x:c>
      <x:c r="C2168" t="str">
        <x:v>GATE</x:v>
      </x:c>
      <x:c r="D2168" t="str">
        <x:v>release state mirrors governing ledger</x:v>
      </x:c>
      <x:c r="E2168" t="str">
        <x:f>'Release Gates'!I2128</x:f>
        <x:v>OPEN</x:v>
      </x:c>
      <x:c r="F2168" t="str">
        <x:f>IF('Release Gates'!C2128="PLANNING","PASS",IF('Release Gates'!C2128="PHYSICAL","OPEN","BLOCKED"))</x:f>
        <x:v>OPEN</x:v>
      </x:c>
      <x:c r="G2168" t="str">
        <x:v>equals</x:v>
      </x:c>
      <x:c r="H2168" t="str">
        <x:f>IF(E2168=F2168,"PASS","FAIL")</x:f>
        <x:v>PASS</x:v>
      </x:c>
    </x:row>
    <x:row r="2169">
      <x:c r="B2169" t="str">
        <x:v>A-02123</x:v>
      </x:c>
      <x:c r="C2169" t="str">
        <x:v>GATE</x:v>
      </x:c>
      <x:c r="D2169" t="str">
        <x:v>release state mirrors governing ledger</x:v>
      </x:c>
      <x:c r="E2169" t="str">
        <x:f>'Release Gates'!I2129</x:f>
        <x:v>OPEN</x:v>
      </x:c>
      <x:c r="F2169" t="str">
        <x:f>IF('Release Gates'!C2129="PLANNING","PASS",IF('Release Gates'!C2129="PHYSICAL","OPEN","BLOCKED"))</x:f>
        <x:v>OPEN</x:v>
      </x:c>
      <x:c r="G2169" t="str">
        <x:v>equals</x:v>
      </x:c>
      <x:c r="H2169" t="str">
        <x:f>IF(E2169=F2169,"PASS","FAIL")</x:f>
        <x:v>PASS</x:v>
      </x:c>
    </x:row>
    <x:row r="2170">
      <x:c r="B2170" t="str">
        <x:v>A-02124</x:v>
      </x:c>
      <x:c r="C2170" t="str">
        <x:v>GATE</x:v>
      </x:c>
      <x:c r="D2170" t="str">
        <x:v>release state mirrors governing ledger</x:v>
      </x:c>
      <x:c r="E2170" t="str">
        <x:f>'Release Gates'!I2130</x:f>
        <x:v>OPEN</x:v>
      </x:c>
      <x:c r="F2170" t="str">
        <x:f>IF('Release Gates'!C2130="PLANNING","PASS",IF('Release Gates'!C2130="PHYSICAL","OPEN","BLOCKED"))</x:f>
        <x:v>OPEN</x:v>
      </x:c>
      <x:c r="G2170" t="str">
        <x:v>equals</x:v>
      </x:c>
      <x:c r="H2170" t="str">
        <x:f>IF(E2170=F2170,"PASS","FAIL")</x:f>
        <x:v>PASS</x:v>
      </x:c>
    </x:row>
    <x:row r="2171">
      <x:c r="B2171" t="str">
        <x:v>A-02125</x:v>
      </x:c>
      <x:c r="C2171" t="str">
        <x:v>GATE</x:v>
      </x:c>
      <x:c r="D2171" t="str">
        <x:v>release state mirrors governing ledger</x:v>
      </x:c>
      <x:c r="E2171" t="str">
        <x:f>'Release Gates'!I2131</x:f>
        <x:v>OPEN</x:v>
      </x:c>
      <x:c r="F2171" t="str">
        <x:f>IF('Release Gates'!C2131="PLANNING","PASS",IF('Release Gates'!C2131="PHYSICAL","OPEN","BLOCKED"))</x:f>
        <x:v>OPEN</x:v>
      </x:c>
      <x:c r="G2171" t="str">
        <x:v>equals</x:v>
      </x:c>
      <x:c r="H2171" t="str">
        <x:f>IF(E2171=F2171,"PASS","FAIL")</x:f>
        <x:v>PASS</x:v>
      </x:c>
    </x:row>
    <x:row r="2172">
      <x:c r="B2172" t="str">
        <x:v>A-02126</x:v>
      </x:c>
      <x:c r="C2172" t="str">
        <x:v>GATE</x:v>
      </x:c>
      <x:c r="D2172" t="str">
        <x:v>release state mirrors governing ledger</x:v>
      </x:c>
      <x:c r="E2172" t="str">
        <x:f>'Release Gates'!I2132</x:f>
        <x:v>OPEN</x:v>
      </x:c>
      <x:c r="F2172" t="str">
        <x:f>IF('Release Gates'!C2132="PLANNING","PASS",IF('Release Gates'!C2132="PHYSICAL","OPEN","BLOCKED"))</x:f>
        <x:v>OPEN</x:v>
      </x:c>
      <x:c r="G2172" t="str">
        <x:v>equals</x:v>
      </x:c>
      <x:c r="H2172" t="str">
        <x:f>IF(E2172=F2172,"PASS","FAIL")</x:f>
        <x:v>PASS</x:v>
      </x:c>
    </x:row>
    <x:row r="2173">
      <x:c r="B2173" t="str">
        <x:v>A-02127</x:v>
      </x:c>
      <x:c r="C2173" t="str">
        <x:v>GATE</x:v>
      </x:c>
      <x:c r="D2173" t="str">
        <x:v>release state mirrors governing ledger</x:v>
      </x:c>
      <x:c r="E2173" t="str">
        <x:f>'Release Gates'!I2133</x:f>
        <x:v>OPEN</x:v>
      </x:c>
      <x:c r="F2173" t="str">
        <x:f>IF('Release Gates'!C2133="PLANNING","PASS",IF('Release Gates'!C2133="PHYSICAL","OPEN","BLOCKED"))</x:f>
        <x:v>OPEN</x:v>
      </x:c>
      <x:c r="G2173" t="str">
        <x:v>equals</x:v>
      </x:c>
      <x:c r="H2173" t="str">
        <x:f>IF(E2173=F2173,"PASS","FAIL")</x:f>
        <x:v>PASS</x:v>
      </x:c>
    </x:row>
    <x:row r="2174">
      <x:c r="B2174" t="str">
        <x:v>A-02128</x:v>
      </x:c>
      <x:c r="C2174" t="str">
        <x:v>GATE</x:v>
      </x:c>
      <x:c r="D2174" t="str">
        <x:v>release state mirrors governing ledger</x:v>
      </x:c>
      <x:c r="E2174" t="str">
        <x:f>'Release Gates'!I2134</x:f>
        <x:v>OPEN</x:v>
      </x:c>
      <x:c r="F2174" t="str">
        <x:f>IF('Release Gates'!C2134="PLANNING","PASS",IF('Release Gates'!C2134="PHYSICAL","OPEN","BLOCKED"))</x:f>
        <x:v>OPEN</x:v>
      </x:c>
      <x:c r="G2174" t="str">
        <x:v>equals</x:v>
      </x:c>
      <x:c r="H2174" t="str">
        <x:f>IF(E2174=F2174,"PASS","FAIL")</x:f>
        <x:v>PASS</x:v>
      </x:c>
    </x:row>
    <x:row r="2175">
      <x:c r="B2175" t="str">
        <x:v>A-02129</x:v>
      </x:c>
      <x:c r="C2175" t="str">
        <x:v>GATE</x:v>
      </x:c>
      <x:c r="D2175" t="str">
        <x:v>release state mirrors governing ledger</x:v>
      </x:c>
      <x:c r="E2175" t="str">
        <x:f>'Release Gates'!I2135</x:f>
        <x:v>OPEN</x:v>
      </x:c>
      <x:c r="F2175" t="str">
        <x:f>IF('Release Gates'!C2135="PLANNING","PASS",IF('Release Gates'!C2135="PHYSICAL","OPEN","BLOCKED"))</x:f>
        <x:v>OPEN</x:v>
      </x:c>
      <x:c r="G2175" t="str">
        <x:v>equals</x:v>
      </x:c>
      <x:c r="H2175" t="str">
        <x:f>IF(E2175=F2175,"PASS","FAIL")</x:f>
        <x:v>PASS</x:v>
      </x:c>
    </x:row>
    <x:row r="2176">
      <x:c r="B2176" t="str">
        <x:v>A-02130</x:v>
      </x:c>
      <x:c r="C2176" t="str">
        <x:v>GATE</x:v>
      </x:c>
      <x:c r="D2176" t="str">
        <x:v>release state mirrors governing ledger</x:v>
      </x:c>
      <x:c r="E2176" t="str">
        <x:f>'Release Gates'!I2136</x:f>
        <x:v>OPEN</x:v>
      </x:c>
      <x:c r="F2176" t="str">
        <x:f>IF('Release Gates'!C2136="PLANNING","PASS",IF('Release Gates'!C2136="PHYSICAL","OPEN","BLOCKED"))</x:f>
        <x:v>OPEN</x:v>
      </x:c>
      <x:c r="G2176" t="str">
        <x:v>equals</x:v>
      </x:c>
      <x:c r="H2176" t="str">
        <x:f>IF(E2176=F2176,"PASS","FAIL")</x:f>
        <x:v>PASS</x:v>
      </x:c>
    </x:row>
    <x:row r="2177">
      <x:c r="B2177" t="str">
        <x:v>A-02131</x:v>
      </x:c>
      <x:c r="C2177" t="str">
        <x:v>GATE</x:v>
      </x:c>
      <x:c r="D2177" t="str">
        <x:v>release state mirrors governing ledger</x:v>
      </x:c>
      <x:c r="E2177" t="str">
        <x:f>'Release Gates'!I2137</x:f>
        <x:v>OPEN</x:v>
      </x:c>
      <x:c r="F2177" t="str">
        <x:f>IF('Release Gates'!C2137="PLANNING","PASS",IF('Release Gates'!C2137="PHYSICAL","OPEN","BLOCKED"))</x:f>
        <x:v>OPEN</x:v>
      </x:c>
      <x:c r="G2177" t="str">
        <x:v>equals</x:v>
      </x:c>
      <x:c r="H2177" t="str">
        <x:f>IF(E2177=F2177,"PASS","FAIL")</x:f>
        <x:v>PASS</x:v>
      </x:c>
    </x:row>
    <x:row r="2178">
      <x:c r="B2178" t="str">
        <x:v>A-02132</x:v>
      </x:c>
      <x:c r="C2178" t="str">
        <x:v>GATE</x:v>
      </x:c>
      <x:c r="D2178" t="str">
        <x:v>release state mirrors governing ledger</x:v>
      </x:c>
      <x:c r="E2178" t="str">
        <x:f>'Release Gates'!I2138</x:f>
        <x:v>OPEN</x:v>
      </x:c>
      <x:c r="F2178" t="str">
        <x:f>IF('Release Gates'!C2138="PLANNING","PASS",IF('Release Gates'!C2138="PHYSICAL","OPEN","BLOCKED"))</x:f>
        <x:v>OPEN</x:v>
      </x:c>
      <x:c r="G2178" t="str">
        <x:v>equals</x:v>
      </x:c>
      <x:c r="H2178" t="str">
        <x:f>IF(E2178=F2178,"PASS","FAIL")</x:f>
        <x:v>PASS</x:v>
      </x:c>
    </x:row>
    <x:row r="2179">
      <x:c r="B2179" t="str">
        <x:v>A-02133</x:v>
      </x:c>
      <x:c r="C2179" t="str">
        <x:v>GATE</x:v>
      </x:c>
      <x:c r="D2179" t="str">
        <x:v>release state mirrors governing ledger</x:v>
      </x:c>
      <x:c r="E2179" t="str">
        <x:f>'Release Gates'!I2139</x:f>
        <x:v>OPEN</x:v>
      </x:c>
      <x:c r="F2179" t="str">
        <x:f>IF('Release Gates'!C2139="PLANNING","PASS",IF('Release Gates'!C2139="PHYSICAL","OPEN","BLOCKED"))</x:f>
        <x:v>OPEN</x:v>
      </x:c>
      <x:c r="G2179" t="str">
        <x:v>equals</x:v>
      </x:c>
      <x:c r="H2179" t="str">
        <x:f>IF(E2179=F2179,"PASS","FAIL")</x:f>
        <x:v>PASS</x:v>
      </x:c>
    </x:row>
    <x:row r="2180">
      <x:c r="B2180" t="str">
        <x:v>A-02134</x:v>
      </x:c>
      <x:c r="C2180" t="str">
        <x:v>GATE</x:v>
      </x:c>
      <x:c r="D2180" t="str">
        <x:v>release state mirrors governing ledger</x:v>
      </x:c>
      <x:c r="E2180" t="str">
        <x:f>'Release Gates'!I2140</x:f>
        <x:v>OPEN</x:v>
      </x:c>
      <x:c r="F2180" t="str">
        <x:f>IF('Release Gates'!C2140="PLANNING","PASS",IF('Release Gates'!C2140="PHYSICAL","OPEN","BLOCKED"))</x:f>
        <x:v>OPEN</x:v>
      </x:c>
      <x:c r="G2180" t="str">
        <x:v>equals</x:v>
      </x:c>
      <x:c r="H2180" t="str">
        <x:f>IF(E2180=F2180,"PASS","FAIL")</x:f>
        <x:v>PASS</x:v>
      </x:c>
    </x:row>
    <x:row r="2181">
      <x:c r="B2181" t="str">
        <x:v>A-02135</x:v>
      </x:c>
      <x:c r="C2181" t="str">
        <x:v>GATE</x:v>
      </x:c>
      <x:c r="D2181" t="str">
        <x:v>release state mirrors governing ledger</x:v>
      </x:c>
      <x:c r="E2181" t="str">
        <x:f>'Release Gates'!I2141</x:f>
        <x:v>OPEN</x:v>
      </x:c>
      <x:c r="F2181" t="str">
        <x:f>IF('Release Gates'!C2141="PLANNING","PASS",IF('Release Gates'!C2141="PHYSICAL","OPEN","BLOCKED"))</x:f>
        <x:v>OPEN</x:v>
      </x:c>
      <x:c r="G2181" t="str">
        <x:v>equals</x:v>
      </x:c>
      <x:c r="H2181" t="str">
        <x:f>IF(E2181=F2181,"PASS","FAIL")</x:f>
        <x:v>PASS</x:v>
      </x:c>
    </x:row>
    <x:row r="2182">
      <x:c r="B2182" t="str">
        <x:v>A-02136</x:v>
      </x:c>
      <x:c r="C2182" t="str">
        <x:v>GATE</x:v>
      </x:c>
      <x:c r="D2182" t="str">
        <x:v>release state mirrors governing ledger</x:v>
      </x:c>
      <x:c r="E2182" t="str">
        <x:f>'Release Gates'!I2142</x:f>
        <x:v>OPEN</x:v>
      </x:c>
      <x:c r="F2182" t="str">
        <x:f>IF('Release Gates'!C2142="PLANNING","PASS",IF('Release Gates'!C2142="PHYSICAL","OPEN","BLOCKED"))</x:f>
        <x:v>OPEN</x:v>
      </x:c>
      <x:c r="G2182" t="str">
        <x:v>equals</x:v>
      </x:c>
      <x:c r="H2182" t="str">
        <x:f>IF(E2182=F2182,"PASS","FAIL")</x:f>
        <x:v>PASS</x:v>
      </x:c>
    </x:row>
    <x:row r="2183">
      <x:c r="B2183" t="str">
        <x:v>A-02137</x:v>
      </x:c>
      <x:c r="C2183" t="str">
        <x:v>GATE</x:v>
      </x:c>
      <x:c r="D2183" t="str">
        <x:v>release state mirrors governing ledger</x:v>
      </x:c>
      <x:c r="E2183" t="str">
        <x:f>'Release Gates'!I2143</x:f>
        <x:v>OPEN</x:v>
      </x:c>
      <x:c r="F2183" t="str">
        <x:f>IF('Release Gates'!C2143="PLANNING","PASS",IF('Release Gates'!C2143="PHYSICAL","OPEN","BLOCKED"))</x:f>
        <x:v>OPEN</x:v>
      </x:c>
      <x:c r="G2183" t="str">
        <x:v>equals</x:v>
      </x:c>
      <x:c r="H2183" t="str">
        <x:f>IF(E2183=F2183,"PASS","FAIL")</x:f>
        <x:v>PASS</x:v>
      </x:c>
    </x:row>
    <x:row r="2184">
      <x:c r="B2184" t="str">
        <x:v>A-02138</x:v>
      </x:c>
      <x:c r="C2184" t="str">
        <x:v>GATE</x:v>
      </x:c>
      <x:c r="D2184" t="str">
        <x:v>release state mirrors governing ledger</x:v>
      </x:c>
      <x:c r="E2184" t="str">
        <x:f>'Release Gates'!I2144</x:f>
        <x:v>OPEN</x:v>
      </x:c>
      <x:c r="F2184" t="str">
        <x:f>IF('Release Gates'!C2144="PLANNING","PASS",IF('Release Gates'!C2144="PHYSICAL","OPEN","BLOCKED"))</x:f>
        <x:v>OPEN</x:v>
      </x:c>
      <x:c r="G2184" t="str">
        <x:v>equals</x:v>
      </x:c>
      <x:c r="H2184" t="str">
        <x:f>IF(E2184=F2184,"PASS","FAIL")</x:f>
        <x:v>PASS</x:v>
      </x:c>
    </x:row>
    <x:row r="2185">
      <x:c r="B2185" t="str">
        <x:v>A-02139</x:v>
      </x:c>
      <x:c r="C2185" t="str">
        <x:v>GATE</x:v>
      </x:c>
      <x:c r="D2185" t="str">
        <x:v>release state mirrors governing ledger</x:v>
      </x:c>
      <x:c r="E2185" t="str">
        <x:f>'Release Gates'!I2145</x:f>
        <x:v>OPEN</x:v>
      </x:c>
      <x:c r="F2185" t="str">
        <x:f>IF('Release Gates'!C2145="PLANNING","PASS",IF('Release Gates'!C2145="PHYSICAL","OPEN","BLOCKED"))</x:f>
        <x:v>OPEN</x:v>
      </x:c>
      <x:c r="G2185" t="str">
        <x:v>equals</x:v>
      </x:c>
      <x:c r="H2185" t="str">
        <x:f>IF(E2185=F2185,"PASS","FAIL")</x:f>
        <x:v>PASS</x:v>
      </x:c>
    </x:row>
    <x:row r="2186">
      <x:c r="B2186" t="str">
        <x:v>A-02140</x:v>
      </x:c>
      <x:c r="C2186" t="str">
        <x:v>GATE</x:v>
      </x:c>
      <x:c r="D2186" t="str">
        <x:v>release state mirrors governing ledger</x:v>
      </x:c>
      <x:c r="E2186" t="str">
        <x:f>'Release Gates'!I2146</x:f>
        <x:v>OPEN</x:v>
      </x:c>
      <x:c r="F2186" t="str">
        <x:f>IF('Release Gates'!C2146="PLANNING","PASS",IF('Release Gates'!C2146="PHYSICAL","OPEN","BLOCKED"))</x:f>
        <x:v>OPEN</x:v>
      </x:c>
      <x:c r="G2186" t="str">
        <x:v>equals</x:v>
      </x:c>
      <x:c r="H2186" t="str">
        <x:f>IF(E2186=F2186,"PASS","FAIL")</x:f>
        <x:v>PASS</x:v>
      </x:c>
    </x:row>
    <x:row r="2187">
      <x:c r="B2187" t="str">
        <x:v>A-02141</x:v>
      </x:c>
      <x:c r="C2187" t="str">
        <x:v>GATE</x:v>
      </x:c>
      <x:c r="D2187" t="str">
        <x:v>release state mirrors governing ledger</x:v>
      </x:c>
      <x:c r="E2187" t="str">
        <x:f>'Release Gates'!I2147</x:f>
        <x:v>OPEN</x:v>
      </x:c>
      <x:c r="F2187" t="str">
        <x:f>IF('Release Gates'!C2147="PLANNING","PASS",IF('Release Gates'!C2147="PHYSICAL","OPEN","BLOCKED"))</x:f>
        <x:v>OPEN</x:v>
      </x:c>
      <x:c r="G2187" t="str">
        <x:v>equals</x:v>
      </x:c>
      <x:c r="H2187" t="str">
        <x:f>IF(E2187=F2187,"PASS","FAIL")</x:f>
        <x:v>PASS</x:v>
      </x:c>
    </x:row>
    <x:row r="2188">
      <x:c r="B2188" t="str">
        <x:v>A-02142</x:v>
      </x:c>
      <x:c r="C2188" t="str">
        <x:v>GATE</x:v>
      </x:c>
      <x:c r="D2188" t="str">
        <x:v>release state mirrors governing ledger</x:v>
      </x:c>
      <x:c r="E2188" t="str">
        <x:f>'Release Gates'!I2148</x:f>
        <x:v>OPEN</x:v>
      </x:c>
      <x:c r="F2188" t="str">
        <x:f>IF('Release Gates'!C2148="PLANNING","PASS",IF('Release Gates'!C2148="PHYSICAL","OPEN","BLOCKED"))</x:f>
        <x:v>OPEN</x:v>
      </x:c>
      <x:c r="G2188" t="str">
        <x:v>equals</x:v>
      </x:c>
      <x:c r="H2188" t="str">
        <x:f>IF(E2188=F2188,"PASS","FAIL")</x:f>
        <x:v>PASS</x:v>
      </x:c>
    </x:row>
    <x:row r="2189">
      <x:c r="B2189" t="str">
        <x:v>A-02143</x:v>
      </x:c>
      <x:c r="C2189" t="str">
        <x:v>GATE</x:v>
      </x:c>
      <x:c r="D2189" t="str">
        <x:v>release state mirrors governing ledger</x:v>
      </x:c>
      <x:c r="E2189" t="str">
        <x:f>'Release Gates'!I2149</x:f>
        <x:v>OPEN</x:v>
      </x:c>
      <x:c r="F2189" t="str">
        <x:f>IF('Release Gates'!C2149="PLANNING","PASS",IF('Release Gates'!C2149="PHYSICAL","OPEN","BLOCKED"))</x:f>
        <x:v>OPEN</x:v>
      </x:c>
      <x:c r="G2189" t="str">
        <x:v>equals</x:v>
      </x:c>
      <x:c r="H2189" t="str">
        <x:f>IF(E2189=F2189,"PASS","FAIL")</x:f>
        <x:v>PASS</x:v>
      </x:c>
    </x:row>
    <x:row r="2190">
      <x:c r="B2190" t="str">
        <x:v>A-02144</x:v>
      </x:c>
      <x:c r="C2190" t="str">
        <x:v>GATE</x:v>
      </x:c>
      <x:c r="D2190" t="str">
        <x:v>release state mirrors governing ledger</x:v>
      </x:c>
      <x:c r="E2190" t="str">
        <x:f>'Release Gates'!I2150</x:f>
        <x:v>OPEN</x:v>
      </x:c>
      <x:c r="F2190" t="str">
        <x:f>IF('Release Gates'!C2150="PLANNING","PASS",IF('Release Gates'!C2150="PHYSICAL","OPEN","BLOCKED"))</x:f>
        <x:v>OPEN</x:v>
      </x:c>
      <x:c r="G2190" t="str">
        <x:v>equals</x:v>
      </x:c>
      <x:c r="H2190" t="str">
        <x:f>IF(E2190=F2190,"PASS","FAIL")</x:f>
        <x:v>PASS</x:v>
      </x:c>
    </x:row>
    <x:row r="2191">
      <x:c r="B2191" t="str">
        <x:v>A-02145</x:v>
      </x:c>
      <x:c r="C2191" t="str">
        <x:v>GATE</x:v>
      </x:c>
      <x:c r="D2191" t="str">
        <x:v>release state mirrors governing ledger</x:v>
      </x:c>
      <x:c r="E2191" t="str">
        <x:f>'Release Gates'!I2151</x:f>
        <x:v>OPEN</x:v>
      </x:c>
      <x:c r="F2191" t="str">
        <x:f>IF('Release Gates'!C2151="PLANNING","PASS",IF('Release Gates'!C2151="PHYSICAL","OPEN","BLOCKED"))</x:f>
        <x:v>OPEN</x:v>
      </x:c>
      <x:c r="G2191" t="str">
        <x:v>equals</x:v>
      </x:c>
      <x:c r="H2191" t="str">
        <x:f>IF(E2191=F2191,"PASS","FAIL")</x:f>
        <x:v>PASS</x:v>
      </x:c>
    </x:row>
    <x:row r="2192">
      <x:c r="B2192" t="str">
        <x:v>A-02146</x:v>
      </x:c>
      <x:c r="C2192" t="str">
        <x:v>GATE</x:v>
      </x:c>
      <x:c r="D2192" t="str">
        <x:v>release state mirrors governing ledger</x:v>
      </x:c>
      <x:c r="E2192" t="str">
        <x:f>'Release Gates'!I2152</x:f>
        <x:v>OPEN</x:v>
      </x:c>
      <x:c r="F2192" t="str">
        <x:f>IF('Release Gates'!C2152="PLANNING","PASS",IF('Release Gates'!C2152="PHYSICAL","OPEN","BLOCKED"))</x:f>
        <x:v>OPEN</x:v>
      </x:c>
      <x:c r="G2192" t="str">
        <x:v>equals</x:v>
      </x:c>
      <x:c r="H2192" t="str">
        <x:f>IF(E2192=F2192,"PASS","FAIL")</x:f>
        <x:v>PASS</x:v>
      </x:c>
    </x:row>
    <x:row r="2193">
      <x:c r="B2193" t="str">
        <x:v>A-02147</x:v>
      </x:c>
      <x:c r="C2193" t="str">
        <x:v>GATE</x:v>
      </x:c>
      <x:c r="D2193" t="str">
        <x:v>release state mirrors governing ledger</x:v>
      </x:c>
      <x:c r="E2193" t="str">
        <x:f>'Release Gates'!I2153</x:f>
        <x:v>OPEN</x:v>
      </x:c>
      <x:c r="F2193" t="str">
        <x:f>IF('Release Gates'!C2153="PLANNING","PASS",IF('Release Gates'!C2153="PHYSICAL","OPEN","BLOCKED"))</x:f>
        <x:v>OPEN</x:v>
      </x:c>
      <x:c r="G2193" t="str">
        <x:v>equals</x:v>
      </x:c>
      <x:c r="H2193" t="str">
        <x:f>IF(E2193=F2193,"PASS","FAIL")</x:f>
        <x:v>PASS</x:v>
      </x:c>
    </x:row>
    <x:row r="2194">
      <x:c r="B2194" t="str">
        <x:v>A-02148</x:v>
      </x:c>
      <x:c r="C2194" t="str">
        <x:v>GATE</x:v>
      </x:c>
      <x:c r="D2194" t="str">
        <x:v>release state mirrors governing ledger</x:v>
      </x:c>
      <x:c r="E2194" t="str">
        <x:f>'Release Gates'!I2154</x:f>
        <x:v>OPEN</x:v>
      </x:c>
      <x:c r="F2194" t="str">
        <x:f>IF('Release Gates'!C2154="PLANNING","PASS",IF('Release Gates'!C2154="PHYSICAL","OPEN","BLOCKED"))</x:f>
        <x:v>OPEN</x:v>
      </x:c>
      <x:c r="G2194" t="str">
        <x:v>equals</x:v>
      </x:c>
      <x:c r="H2194" t="str">
        <x:f>IF(E2194=F2194,"PASS","FAIL")</x:f>
        <x:v>PASS</x:v>
      </x:c>
    </x:row>
    <x:row r="2195">
      <x:c r="B2195" t="str">
        <x:v>A-02149</x:v>
      </x:c>
      <x:c r="C2195" t="str">
        <x:v>GATE</x:v>
      </x:c>
      <x:c r="D2195" t="str">
        <x:v>release state mirrors governing ledger</x:v>
      </x:c>
      <x:c r="E2195" t="str">
        <x:f>'Release Gates'!I2155</x:f>
        <x:v>OPEN</x:v>
      </x:c>
      <x:c r="F2195" t="str">
        <x:f>IF('Release Gates'!C2155="PLANNING","PASS",IF('Release Gates'!C2155="PHYSICAL","OPEN","BLOCKED"))</x:f>
        <x:v>OPEN</x:v>
      </x:c>
      <x:c r="G2195" t="str">
        <x:v>equals</x:v>
      </x:c>
      <x:c r="H2195" t="str">
        <x:f>IF(E2195=F2195,"PASS","FAIL")</x:f>
        <x:v>PASS</x:v>
      </x:c>
    </x:row>
    <x:row r="2196">
      <x:c r="B2196" t="str">
        <x:v>A-02150</x:v>
      </x:c>
      <x:c r="C2196" t="str">
        <x:v>GATE</x:v>
      </x:c>
      <x:c r="D2196" t="str">
        <x:v>release state mirrors governing ledger</x:v>
      </x:c>
      <x:c r="E2196" t="str">
        <x:f>'Release Gates'!I2156</x:f>
        <x:v>OPEN</x:v>
      </x:c>
      <x:c r="F2196" t="str">
        <x:f>IF('Release Gates'!C2156="PLANNING","PASS",IF('Release Gates'!C2156="PHYSICAL","OPEN","BLOCKED"))</x:f>
        <x:v>OPEN</x:v>
      </x:c>
      <x:c r="G2196" t="str">
        <x:v>equals</x:v>
      </x:c>
      <x:c r="H2196" t="str">
        <x:f>IF(E2196=F2196,"PASS","FAIL")</x:f>
        <x:v>PASS</x:v>
      </x:c>
    </x:row>
    <x:row r="2197">
      <x:c r="B2197" t="str">
        <x:v>A-02151</x:v>
      </x:c>
      <x:c r="C2197" t="str">
        <x:v>GATE</x:v>
      </x:c>
      <x:c r="D2197" t="str">
        <x:v>release state mirrors governing ledger</x:v>
      </x:c>
      <x:c r="E2197" t="str">
        <x:f>'Release Gates'!I2157</x:f>
        <x:v>OPEN</x:v>
      </x:c>
      <x:c r="F2197" t="str">
        <x:f>IF('Release Gates'!C2157="PLANNING","PASS",IF('Release Gates'!C2157="PHYSICAL","OPEN","BLOCKED"))</x:f>
        <x:v>OPEN</x:v>
      </x:c>
      <x:c r="G2197" t="str">
        <x:v>equals</x:v>
      </x:c>
      <x:c r="H2197" t="str">
        <x:f>IF(E2197=F2197,"PASS","FAIL")</x:f>
        <x:v>PASS</x:v>
      </x:c>
    </x:row>
    <x:row r="2198">
      <x:c r="B2198" t="str">
        <x:v>A-02152</x:v>
      </x:c>
      <x:c r="C2198" t="str">
        <x:v>GATE</x:v>
      </x:c>
      <x:c r="D2198" t="str">
        <x:v>release state mirrors governing ledger</x:v>
      </x:c>
      <x:c r="E2198" t="str">
        <x:f>'Release Gates'!I2158</x:f>
        <x:v>OPEN</x:v>
      </x:c>
      <x:c r="F2198" t="str">
        <x:f>IF('Release Gates'!C2158="PLANNING","PASS",IF('Release Gates'!C2158="PHYSICAL","OPEN","BLOCKED"))</x:f>
        <x:v>OPEN</x:v>
      </x:c>
      <x:c r="G2198" t="str">
        <x:v>equals</x:v>
      </x:c>
      <x:c r="H2198" t="str">
        <x:f>IF(E2198=F2198,"PASS","FAIL")</x:f>
        <x:v>PASS</x:v>
      </x:c>
    </x:row>
    <x:row r="2199">
      <x:c r="B2199" t="str">
        <x:v>A-02153</x:v>
      </x:c>
      <x:c r="C2199" t="str">
        <x:v>GATE</x:v>
      </x:c>
      <x:c r="D2199" t="str">
        <x:v>release state mirrors governing ledger</x:v>
      </x:c>
      <x:c r="E2199" t="str">
        <x:f>'Release Gates'!I2159</x:f>
        <x:v>OPEN</x:v>
      </x:c>
      <x:c r="F2199" t="str">
        <x:f>IF('Release Gates'!C2159="PLANNING","PASS",IF('Release Gates'!C2159="PHYSICAL","OPEN","BLOCKED"))</x:f>
        <x:v>OPEN</x:v>
      </x:c>
      <x:c r="G2199" t="str">
        <x:v>equals</x:v>
      </x:c>
      <x:c r="H2199" t="str">
        <x:f>IF(E2199=F2199,"PASS","FAIL")</x:f>
        <x:v>PASS</x:v>
      </x:c>
    </x:row>
    <x:row r="2200">
      <x:c r="B2200" t="str">
        <x:v>A-02154</x:v>
      </x:c>
      <x:c r="C2200" t="str">
        <x:v>GATE</x:v>
      </x:c>
      <x:c r="D2200" t="str">
        <x:v>release state mirrors governing ledger</x:v>
      </x:c>
      <x:c r="E2200" t="str">
        <x:f>'Release Gates'!I2160</x:f>
        <x:v>OPEN</x:v>
      </x:c>
      <x:c r="F2200" t="str">
        <x:f>IF('Release Gates'!C2160="PLANNING","PASS",IF('Release Gates'!C2160="PHYSICAL","OPEN","BLOCKED"))</x:f>
        <x:v>OPEN</x:v>
      </x:c>
      <x:c r="G2200" t="str">
        <x:v>equals</x:v>
      </x:c>
      <x:c r="H2200" t="str">
        <x:f>IF(E2200=F2200,"PASS","FAIL")</x:f>
        <x:v>PASS</x:v>
      </x:c>
    </x:row>
    <x:row r="2201">
      <x:c r="B2201" t="str">
        <x:v>A-02155</x:v>
      </x:c>
      <x:c r="C2201" t="str">
        <x:v>GATE</x:v>
      </x:c>
      <x:c r="D2201" t="str">
        <x:v>release state mirrors governing ledger</x:v>
      </x:c>
      <x:c r="E2201" t="str">
        <x:f>'Release Gates'!I2161</x:f>
        <x:v>OPEN</x:v>
      </x:c>
      <x:c r="F2201" t="str">
        <x:f>IF('Release Gates'!C2161="PLANNING","PASS",IF('Release Gates'!C2161="PHYSICAL","OPEN","BLOCKED"))</x:f>
        <x:v>OPEN</x:v>
      </x:c>
      <x:c r="G2201" t="str">
        <x:v>equals</x:v>
      </x:c>
      <x:c r="H2201" t="str">
        <x:f>IF(E2201=F2201,"PASS","FAIL")</x:f>
        <x:v>PASS</x:v>
      </x:c>
    </x:row>
    <x:row r="2202">
      <x:c r="B2202" t="str">
        <x:v>A-02156</x:v>
      </x:c>
      <x:c r="C2202" t="str">
        <x:v>GATE</x:v>
      </x:c>
      <x:c r="D2202" t="str">
        <x:v>release state mirrors governing ledger</x:v>
      </x:c>
      <x:c r="E2202" t="str">
        <x:f>'Release Gates'!I2162</x:f>
        <x:v>OPEN</x:v>
      </x:c>
      <x:c r="F2202" t="str">
        <x:f>IF('Release Gates'!C2162="PLANNING","PASS",IF('Release Gates'!C2162="PHYSICAL","OPEN","BLOCKED"))</x:f>
        <x:v>OPEN</x:v>
      </x:c>
      <x:c r="G2202" t="str">
        <x:v>equals</x:v>
      </x:c>
      <x:c r="H2202" t="str">
        <x:f>IF(E2202=F2202,"PASS","FAIL")</x:f>
        <x:v>PASS</x:v>
      </x:c>
    </x:row>
    <x:row r="2203">
      <x:c r="B2203" t="str">
        <x:v>A-02157</x:v>
      </x:c>
      <x:c r="C2203" t="str">
        <x:v>GATE</x:v>
      </x:c>
      <x:c r="D2203" t="str">
        <x:v>release state mirrors governing ledger</x:v>
      </x:c>
      <x:c r="E2203" t="str">
        <x:f>'Release Gates'!I2163</x:f>
        <x:v>OPEN</x:v>
      </x:c>
      <x:c r="F2203" t="str">
        <x:f>IF('Release Gates'!C2163="PLANNING","PASS",IF('Release Gates'!C2163="PHYSICAL","OPEN","BLOCKED"))</x:f>
        <x:v>OPEN</x:v>
      </x:c>
      <x:c r="G2203" t="str">
        <x:v>equals</x:v>
      </x:c>
      <x:c r="H2203" t="str">
        <x:f>IF(E2203=F2203,"PASS","FAIL")</x:f>
        <x:v>PASS</x:v>
      </x:c>
    </x:row>
    <x:row r="2204">
      <x:c r="B2204" t="str">
        <x:v>A-02158</x:v>
      </x:c>
      <x:c r="C2204" t="str">
        <x:v>GATE</x:v>
      </x:c>
      <x:c r="D2204" t="str">
        <x:v>release state mirrors governing ledger</x:v>
      </x:c>
      <x:c r="E2204" t="str">
        <x:f>'Release Gates'!I2164</x:f>
        <x:v>OPEN</x:v>
      </x:c>
      <x:c r="F2204" t="str">
        <x:f>IF('Release Gates'!C2164="PLANNING","PASS",IF('Release Gates'!C2164="PHYSICAL","OPEN","BLOCKED"))</x:f>
        <x:v>OPEN</x:v>
      </x:c>
      <x:c r="G2204" t="str">
        <x:v>equals</x:v>
      </x:c>
      <x:c r="H2204" t="str">
        <x:f>IF(E2204=F2204,"PASS","FAIL")</x:f>
        <x:v>PASS</x:v>
      </x:c>
    </x:row>
    <x:row r="2205">
      <x:c r="B2205" t="str">
        <x:v>A-02159</x:v>
      </x:c>
      <x:c r="C2205" t="str">
        <x:v>GATE</x:v>
      </x:c>
      <x:c r="D2205" t="str">
        <x:v>release state mirrors governing ledger</x:v>
      </x:c>
      <x:c r="E2205" t="str">
        <x:f>'Release Gates'!I2165</x:f>
        <x:v>OPEN</x:v>
      </x:c>
      <x:c r="F2205" t="str">
        <x:f>IF('Release Gates'!C2165="PLANNING","PASS",IF('Release Gates'!C2165="PHYSICAL","OPEN","BLOCKED"))</x:f>
        <x:v>OPEN</x:v>
      </x:c>
      <x:c r="G2205" t="str">
        <x:v>equals</x:v>
      </x:c>
      <x:c r="H2205" t="str">
        <x:f>IF(E2205=F2205,"PASS","FAIL")</x:f>
        <x:v>PASS</x:v>
      </x:c>
    </x:row>
    <x:row r="2206">
      <x:c r="B2206" t="str">
        <x:v>A-02160</x:v>
      </x:c>
      <x:c r="C2206" t="str">
        <x:v>GATE</x:v>
      </x:c>
      <x:c r="D2206" t="str">
        <x:v>release state mirrors governing ledger</x:v>
      </x:c>
      <x:c r="E2206" t="str">
        <x:f>'Release Gates'!I2166</x:f>
        <x:v>OPEN</x:v>
      </x:c>
      <x:c r="F2206" t="str">
        <x:f>IF('Release Gates'!C2166="PLANNING","PASS",IF('Release Gates'!C2166="PHYSICAL","OPEN","BLOCKED"))</x:f>
        <x:v>OPEN</x:v>
      </x:c>
      <x:c r="G2206" t="str">
        <x:v>equals</x:v>
      </x:c>
      <x:c r="H2206" t="str">
        <x:f>IF(E2206=F2206,"PASS","FAIL")</x:f>
        <x:v>PASS</x:v>
      </x:c>
    </x:row>
    <x:row r="2207">
      <x:c r="B2207" t="str">
        <x:v>A-02161</x:v>
      </x:c>
      <x:c r="C2207" t="str">
        <x:v>GATE</x:v>
      </x:c>
      <x:c r="D2207" t="str">
        <x:v>release state mirrors governing ledger</x:v>
      </x:c>
      <x:c r="E2207" t="str">
        <x:f>'Release Gates'!I2167</x:f>
        <x:v>OPEN</x:v>
      </x:c>
      <x:c r="F2207" t="str">
        <x:f>IF('Release Gates'!C2167="PLANNING","PASS",IF('Release Gates'!C2167="PHYSICAL","OPEN","BLOCKED"))</x:f>
        <x:v>OPEN</x:v>
      </x:c>
      <x:c r="G2207" t="str">
        <x:v>equals</x:v>
      </x:c>
      <x:c r="H2207" t="str">
        <x:f>IF(E2207=F2207,"PASS","FAIL")</x:f>
        <x:v>PASS</x:v>
      </x:c>
    </x:row>
    <x:row r="2208">
      <x:c r="B2208" t="str">
        <x:v>A-02162</x:v>
      </x:c>
      <x:c r="C2208" t="str">
        <x:v>GATE</x:v>
      </x:c>
      <x:c r="D2208" t="str">
        <x:v>release state mirrors governing ledger</x:v>
      </x:c>
      <x:c r="E2208" t="str">
        <x:f>'Release Gates'!I2168</x:f>
        <x:v>OPEN</x:v>
      </x:c>
      <x:c r="F2208" t="str">
        <x:f>IF('Release Gates'!C2168="PLANNING","PASS",IF('Release Gates'!C2168="PHYSICAL","OPEN","BLOCKED"))</x:f>
        <x:v>OPEN</x:v>
      </x:c>
      <x:c r="G2208" t="str">
        <x:v>equals</x:v>
      </x:c>
      <x:c r="H2208" t="str">
        <x:f>IF(E2208=F2208,"PASS","FAIL")</x:f>
        <x:v>PASS</x:v>
      </x:c>
    </x:row>
    <x:row r="2209">
      <x:c r="B2209" t="str">
        <x:v>A-02163</x:v>
      </x:c>
      <x:c r="C2209" t="str">
        <x:v>GATE</x:v>
      </x:c>
      <x:c r="D2209" t="str">
        <x:v>release state mirrors governing ledger</x:v>
      </x:c>
      <x:c r="E2209" t="str">
        <x:f>'Release Gates'!I2169</x:f>
        <x:v>OPEN</x:v>
      </x:c>
      <x:c r="F2209" t="str">
        <x:f>IF('Release Gates'!C2169="PLANNING","PASS",IF('Release Gates'!C2169="PHYSICAL","OPEN","BLOCKED"))</x:f>
        <x:v>OPEN</x:v>
      </x:c>
      <x:c r="G2209" t="str">
        <x:v>equals</x:v>
      </x:c>
      <x:c r="H2209" t="str">
        <x:f>IF(E2209=F2209,"PASS","FAIL")</x:f>
        <x:v>PASS</x:v>
      </x:c>
    </x:row>
    <x:row r="2210">
      <x:c r="B2210" t="str">
        <x:v>A-02164</x:v>
      </x:c>
      <x:c r="C2210" t="str">
        <x:v>GATE</x:v>
      </x:c>
      <x:c r="D2210" t="str">
        <x:v>release state mirrors governing ledger</x:v>
      </x:c>
      <x:c r="E2210" t="str">
        <x:f>'Release Gates'!I2170</x:f>
        <x:v>OPEN</x:v>
      </x:c>
      <x:c r="F2210" t="str">
        <x:f>IF('Release Gates'!C2170="PLANNING","PASS",IF('Release Gates'!C2170="PHYSICAL","OPEN","BLOCKED"))</x:f>
        <x:v>OPEN</x:v>
      </x:c>
      <x:c r="G2210" t="str">
        <x:v>equals</x:v>
      </x:c>
      <x:c r="H2210" t="str">
        <x:f>IF(E2210=F2210,"PASS","FAIL")</x:f>
        <x:v>PASS</x:v>
      </x:c>
    </x:row>
    <x:row r="2211">
      <x:c r="B2211" t="str">
        <x:v>A-02165</x:v>
      </x:c>
      <x:c r="C2211" t="str">
        <x:v>GATE</x:v>
      </x:c>
      <x:c r="D2211" t="str">
        <x:v>release state mirrors governing ledger</x:v>
      </x:c>
      <x:c r="E2211" t="str">
        <x:f>'Release Gates'!I2171</x:f>
        <x:v>OPEN</x:v>
      </x:c>
      <x:c r="F2211" t="str">
        <x:f>IF('Release Gates'!C2171="PLANNING","PASS",IF('Release Gates'!C2171="PHYSICAL","OPEN","BLOCKED"))</x:f>
        <x:v>OPEN</x:v>
      </x:c>
      <x:c r="G2211" t="str">
        <x:v>equals</x:v>
      </x:c>
      <x:c r="H2211" t="str">
        <x:f>IF(E2211=F2211,"PASS","FAIL")</x:f>
        <x:v>PASS</x:v>
      </x:c>
    </x:row>
    <x:row r="2212">
      <x:c r="B2212" t="str">
        <x:v>A-02166</x:v>
      </x:c>
      <x:c r="C2212" t="str">
        <x:v>GATE</x:v>
      </x:c>
      <x:c r="D2212" t="str">
        <x:v>release state mirrors governing ledger</x:v>
      </x:c>
      <x:c r="E2212" t="str">
        <x:f>'Release Gates'!I2172</x:f>
        <x:v>OPEN</x:v>
      </x:c>
      <x:c r="F2212" t="str">
        <x:f>IF('Release Gates'!C2172="PLANNING","PASS",IF('Release Gates'!C2172="PHYSICAL","OPEN","BLOCKED"))</x:f>
        <x:v>OPEN</x:v>
      </x:c>
      <x:c r="G2212" t="str">
        <x:v>equals</x:v>
      </x:c>
      <x:c r="H2212" t="str">
        <x:f>IF(E2212=F2212,"PASS","FAIL")</x:f>
        <x:v>PASS</x:v>
      </x:c>
    </x:row>
    <x:row r="2213">
      <x:c r="B2213" t="str">
        <x:v>A-02167</x:v>
      </x:c>
      <x:c r="C2213" t="str">
        <x:v>GATE</x:v>
      </x:c>
      <x:c r="D2213" t="str">
        <x:v>release state mirrors governing ledger</x:v>
      </x:c>
      <x:c r="E2213" t="str">
        <x:f>'Release Gates'!I2173</x:f>
        <x:v>OPEN</x:v>
      </x:c>
      <x:c r="F2213" t="str">
        <x:f>IF('Release Gates'!C2173="PLANNING","PASS",IF('Release Gates'!C2173="PHYSICAL","OPEN","BLOCKED"))</x:f>
        <x:v>OPEN</x:v>
      </x:c>
      <x:c r="G2213" t="str">
        <x:v>equals</x:v>
      </x:c>
      <x:c r="H2213" t="str">
        <x:f>IF(E2213=F2213,"PASS","FAIL")</x:f>
        <x:v>PASS</x:v>
      </x:c>
    </x:row>
    <x:row r="2214">
      <x:c r="B2214" t="str">
        <x:v>A-02168</x:v>
      </x:c>
      <x:c r="C2214" t="str">
        <x:v>GATE</x:v>
      </x:c>
      <x:c r="D2214" t="str">
        <x:v>release state mirrors governing ledger</x:v>
      </x:c>
      <x:c r="E2214" t="str">
        <x:f>'Release Gates'!I2174</x:f>
        <x:v>OPEN</x:v>
      </x:c>
      <x:c r="F2214" t="str">
        <x:f>IF('Release Gates'!C2174="PLANNING","PASS",IF('Release Gates'!C2174="PHYSICAL","OPEN","BLOCKED"))</x:f>
        <x:v>OPEN</x:v>
      </x:c>
      <x:c r="G2214" t="str">
        <x:v>equals</x:v>
      </x:c>
      <x:c r="H2214" t="str">
        <x:f>IF(E2214=F2214,"PASS","FAIL")</x:f>
        <x:v>PASS</x:v>
      </x:c>
    </x:row>
    <x:row r="2215">
      <x:c r="B2215" t="str">
        <x:v>A-02169</x:v>
      </x:c>
      <x:c r="C2215" t="str">
        <x:v>GATE</x:v>
      </x:c>
      <x:c r="D2215" t="str">
        <x:v>release state mirrors governing ledger</x:v>
      </x:c>
      <x:c r="E2215" t="str">
        <x:f>'Release Gates'!I2175</x:f>
        <x:v>OPEN</x:v>
      </x:c>
      <x:c r="F2215" t="str">
        <x:f>IF('Release Gates'!C2175="PLANNING","PASS",IF('Release Gates'!C2175="PHYSICAL","OPEN","BLOCKED"))</x:f>
        <x:v>OPEN</x:v>
      </x:c>
      <x:c r="G2215" t="str">
        <x:v>equals</x:v>
      </x:c>
      <x:c r="H2215" t="str">
        <x:f>IF(E2215=F2215,"PASS","FAIL")</x:f>
        <x:v>PASS</x:v>
      </x:c>
    </x:row>
    <x:row r="2216">
      <x:c r="B2216" t="str">
        <x:v>A-02170</x:v>
      </x:c>
      <x:c r="C2216" t="str">
        <x:v>GATE</x:v>
      </x:c>
      <x:c r="D2216" t="str">
        <x:v>release state mirrors governing ledger</x:v>
      </x:c>
      <x:c r="E2216" t="str">
        <x:f>'Release Gates'!I2176</x:f>
        <x:v>OPEN</x:v>
      </x:c>
      <x:c r="F2216" t="str">
        <x:f>IF('Release Gates'!C2176="PLANNING","PASS",IF('Release Gates'!C2176="PHYSICAL","OPEN","BLOCKED"))</x:f>
        <x:v>OPEN</x:v>
      </x:c>
      <x:c r="G2216" t="str">
        <x:v>equals</x:v>
      </x:c>
      <x:c r="H2216" t="str">
        <x:f>IF(E2216=F2216,"PASS","FAIL")</x:f>
        <x:v>PASS</x:v>
      </x:c>
    </x:row>
    <x:row r="2217">
      <x:c r="B2217" t="str">
        <x:v>A-02171</x:v>
      </x:c>
      <x:c r="C2217" t="str">
        <x:v>GATE</x:v>
      </x:c>
      <x:c r="D2217" t="str">
        <x:v>release state mirrors governing ledger</x:v>
      </x:c>
      <x:c r="E2217" t="str">
        <x:f>'Release Gates'!I2177</x:f>
        <x:v>OPEN</x:v>
      </x:c>
      <x:c r="F2217" t="str">
        <x:f>IF('Release Gates'!C2177="PLANNING","PASS",IF('Release Gates'!C2177="PHYSICAL","OPEN","BLOCKED"))</x:f>
        <x:v>OPEN</x:v>
      </x:c>
      <x:c r="G2217" t="str">
        <x:v>equals</x:v>
      </x:c>
      <x:c r="H2217" t="str">
        <x:f>IF(E2217=F2217,"PASS","FAIL")</x:f>
        <x:v>PASS</x:v>
      </x:c>
    </x:row>
    <x:row r="2218">
      <x:c r="B2218" t="str">
        <x:v>A-02172</x:v>
      </x:c>
      <x:c r="C2218" t="str">
        <x:v>GATE</x:v>
      </x:c>
      <x:c r="D2218" t="str">
        <x:v>release state mirrors governing ledger</x:v>
      </x:c>
      <x:c r="E2218" t="str">
        <x:f>'Release Gates'!I2178</x:f>
        <x:v>OPEN</x:v>
      </x:c>
      <x:c r="F2218" t="str">
        <x:f>IF('Release Gates'!C2178="PLANNING","PASS",IF('Release Gates'!C2178="PHYSICAL","OPEN","BLOCKED"))</x:f>
        <x:v>OPEN</x:v>
      </x:c>
      <x:c r="G2218" t="str">
        <x:v>equals</x:v>
      </x:c>
      <x:c r="H2218" t="str">
        <x:f>IF(E2218=F2218,"PASS","FAIL")</x:f>
        <x:v>PASS</x:v>
      </x:c>
    </x:row>
    <x:row r="2219">
      <x:c r="B2219" t="str">
        <x:v>A-02173</x:v>
      </x:c>
      <x:c r="C2219" t="str">
        <x:v>GATE</x:v>
      </x:c>
      <x:c r="D2219" t="str">
        <x:v>release state mirrors governing ledger</x:v>
      </x:c>
      <x:c r="E2219" t="str">
        <x:f>'Release Gates'!I2179</x:f>
        <x:v>OPEN</x:v>
      </x:c>
      <x:c r="F2219" t="str">
        <x:f>IF('Release Gates'!C2179="PLANNING","PASS",IF('Release Gates'!C2179="PHYSICAL","OPEN","BLOCKED"))</x:f>
        <x:v>OPEN</x:v>
      </x:c>
      <x:c r="G2219" t="str">
        <x:v>equals</x:v>
      </x:c>
      <x:c r="H2219" t="str">
        <x:f>IF(E2219=F2219,"PASS","FAIL")</x:f>
        <x:v>PASS</x:v>
      </x:c>
    </x:row>
    <x:row r="2220">
      <x:c r="B2220" t="str">
        <x:v>A-02174</x:v>
      </x:c>
      <x:c r="C2220" t="str">
        <x:v>GATE</x:v>
      </x:c>
      <x:c r="D2220" t="str">
        <x:v>release state mirrors governing ledger</x:v>
      </x:c>
      <x:c r="E2220" t="str">
        <x:f>'Release Gates'!I2180</x:f>
        <x:v>OPEN</x:v>
      </x:c>
      <x:c r="F2220" t="str">
        <x:f>IF('Release Gates'!C2180="PLANNING","PASS",IF('Release Gates'!C2180="PHYSICAL","OPEN","BLOCKED"))</x:f>
        <x:v>OPEN</x:v>
      </x:c>
      <x:c r="G2220" t="str">
        <x:v>equals</x:v>
      </x:c>
      <x:c r="H2220" t="str">
        <x:f>IF(E2220=F2220,"PASS","FAIL")</x:f>
        <x:v>PASS</x:v>
      </x:c>
    </x:row>
    <x:row r="2221">
      <x:c r="B2221" t="str">
        <x:v>A-02175</x:v>
      </x:c>
      <x:c r="C2221" t="str">
        <x:v>GATE</x:v>
      </x:c>
      <x:c r="D2221" t="str">
        <x:v>release state mirrors governing ledger</x:v>
      </x:c>
      <x:c r="E2221" t="str">
        <x:f>'Release Gates'!I2181</x:f>
        <x:v>OPEN</x:v>
      </x:c>
      <x:c r="F2221" t="str">
        <x:f>IF('Release Gates'!C2181="PLANNING","PASS",IF('Release Gates'!C2181="PHYSICAL","OPEN","BLOCKED"))</x:f>
        <x:v>OPEN</x:v>
      </x:c>
      <x:c r="G2221" t="str">
        <x:v>equals</x:v>
      </x:c>
      <x:c r="H2221" t="str">
        <x:f>IF(E2221=F2221,"PASS","FAIL")</x:f>
        <x:v>PASS</x:v>
      </x:c>
    </x:row>
    <x:row r="2222">
      <x:c r="B2222" t="str">
        <x:v>A-02176</x:v>
      </x:c>
      <x:c r="C2222" t="str">
        <x:v>GATE</x:v>
      </x:c>
      <x:c r="D2222" t="str">
        <x:v>release state mirrors governing ledger</x:v>
      </x:c>
      <x:c r="E2222" t="str">
        <x:f>'Release Gates'!I2182</x:f>
        <x:v>OPEN</x:v>
      </x:c>
      <x:c r="F2222" t="str">
        <x:f>IF('Release Gates'!C2182="PLANNING","PASS",IF('Release Gates'!C2182="PHYSICAL","OPEN","BLOCKED"))</x:f>
        <x:v>OPEN</x:v>
      </x:c>
      <x:c r="G2222" t="str">
        <x:v>equals</x:v>
      </x:c>
      <x:c r="H2222" t="str">
        <x:f>IF(E2222=F2222,"PASS","FAIL")</x:f>
        <x:v>PASS</x:v>
      </x:c>
    </x:row>
    <x:row r="2223">
      <x:c r="B2223" t="str">
        <x:v>A-02177</x:v>
      </x:c>
      <x:c r="C2223" t="str">
        <x:v>GATE</x:v>
      </x:c>
      <x:c r="D2223" t="str">
        <x:v>release state mirrors governing ledger</x:v>
      </x:c>
      <x:c r="E2223" t="str">
        <x:f>'Release Gates'!I2183</x:f>
        <x:v>OPEN</x:v>
      </x:c>
      <x:c r="F2223" t="str">
        <x:f>IF('Release Gates'!C2183="PLANNING","PASS",IF('Release Gates'!C2183="PHYSICAL","OPEN","BLOCKED"))</x:f>
        <x:v>OPEN</x:v>
      </x:c>
      <x:c r="G2223" t="str">
        <x:v>equals</x:v>
      </x:c>
      <x:c r="H2223" t="str">
        <x:f>IF(E2223=F2223,"PASS","FAIL")</x:f>
        <x:v>PASS</x:v>
      </x:c>
    </x:row>
    <x:row r="2224">
      <x:c r="B2224" t="str">
        <x:v>A-02178</x:v>
      </x:c>
      <x:c r="C2224" t="str">
        <x:v>GATE</x:v>
      </x:c>
      <x:c r="D2224" t="str">
        <x:v>release state mirrors governing ledger</x:v>
      </x:c>
      <x:c r="E2224" t="str">
        <x:f>'Release Gates'!I2184</x:f>
        <x:v>OPEN</x:v>
      </x:c>
      <x:c r="F2224" t="str">
        <x:f>IF('Release Gates'!C2184="PLANNING","PASS",IF('Release Gates'!C2184="PHYSICAL","OPEN","BLOCKED"))</x:f>
        <x:v>OPEN</x:v>
      </x:c>
      <x:c r="G2224" t="str">
        <x:v>equals</x:v>
      </x:c>
      <x:c r="H2224" t="str">
        <x:f>IF(E2224=F2224,"PASS","FAIL")</x:f>
        <x:v>PASS</x:v>
      </x:c>
    </x:row>
    <x:row r="2225">
      <x:c r="B2225" t="str">
        <x:v>A-02179</x:v>
      </x:c>
      <x:c r="C2225" t="str">
        <x:v>GATE</x:v>
      </x:c>
      <x:c r="D2225" t="str">
        <x:v>release state mirrors governing ledger</x:v>
      </x:c>
      <x:c r="E2225" t="str">
        <x:f>'Release Gates'!I2185</x:f>
        <x:v>OPEN</x:v>
      </x:c>
      <x:c r="F2225" t="str">
        <x:f>IF('Release Gates'!C2185="PLANNING","PASS",IF('Release Gates'!C2185="PHYSICAL","OPEN","BLOCKED"))</x:f>
        <x:v>OPEN</x:v>
      </x:c>
      <x:c r="G2225" t="str">
        <x:v>equals</x:v>
      </x:c>
      <x:c r="H2225" t="str">
        <x:f>IF(E2225=F2225,"PASS","FAIL")</x:f>
        <x:v>PASS</x:v>
      </x:c>
    </x:row>
    <x:row r="2226">
      <x:c r="B2226" t="str">
        <x:v>A-02180</x:v>
      </x:c>
      <x:c r="C2226" t="str">
        <x:v>GATE</x:v>
      </x:c>
      <x:c r="D2226" t="str">
        <x:v>release state mirrors governing ledger</x:v>
      </x:c>
      <x:c r="E2226" t="str">
        <x:f>'Release Gates'!I2186</x:f>
        <x:v>OPEN</x:v>
      </x:c>
      <x:c r="F2226" t="str">
        <x:f>IF('Release Gates'!C2186="PLANNING","PASS",IF('Release Gates'!C2186="PHYSICAL","OPEN","BLOCKED"))</x:f>
        <x:v>OPEN</x:v>
      </x:c>
      <x:c r="G2226" t="str">
        <x:v>equals</x:v>
      </x:c>
      <x:c r="H2226" t="str">
        <x:f>IF(E2226=F2226,"PASS","FAIL")</x:f>
        <x:v>PASS</x:v>
      </x:c>
    </x:row>
    <x:row r="2227">
      <x:c r="B2227" t="str">
        <x:v>A-02181</x:v>
      </x:c>
      <x:c r="C2227" t="str">
        <x:v>GATE</x:v>
      </x:c>
      <x:c r="D2227" t="str">
        <x:v>release state mirrors governing ledger</x:v>
      </x:c>
      <x:c r="E2227" t="str">
        <x:f>'Release Gates'!I2187</x:f>
        <x:v>OPEN</x:v>
      </x:c>
      <x:c r="F2227" t="str">
        <x:f>IF('Release Gates'!C2187="PLANNING","PASS",IF('Release Gates'!C2187="PHYSICAL","OPEN","BLOCKED"))</x:f>
        <x:v>OPEN</x:v>
      </x:c>
      <x:c r="G2227" t="str">
        <x:v>equals</x:v>
      </x:c>
      <x:c r="H2227" t="str">
        <x:f>IF(E2227=F2227,"PASS","FAIL")</x:f>
        <x:v>PASS</x:v>
      </x:c>
    </x:row>
    <x:row r="2228">
      <x:c r="B2228" t="str">
        <x:v>A-02182</x:v>
      </x:c>
      <x:c r="C2228" t="str">
        <x:v>GATE</x:v>
      </x:c>
      <x:c r="D2228" t="str">
        <x:v>release state mirrors governing ledger</x:v>
      </x:c>
      <x:c r="E2228" t="str">
        <x:f>'Release Gates'!I2188</x:f>
        <x:v>OPEN</x:v>
      </x:c>
      <x:c r="F2228" t="str">
        <x:f>IF('Release Gates'!C2188="PLANNING","PASS",IF('Release Gates'!C2188="PHYSICAL","OPEN","BLOCKED"))</x:f>
        <x:v>OPEN</x:v>
      </x:c>
      <x:c r="G2228" t="str">
        <x:v>equals</x:v>
      </x:c>
      <x:c r="H2228" t="str">
        <x:f>IF(E2228=F2228,"PASS","FAIL")</x:f>
        <x:v>PASS</x:v>
      </x:c>
    </x:row>
    <x:row r="2229">
      <x:c r="B2229" t="str">
        <x:v>A-02183</x:v>
      </x:c>
      <x:c r="C2229" t="str">
        <x:v>GATE</x:v>
      </x:c>
      <x:c r="D2229" t="str">
        <x:v>release state mirrors governing ledger</x:v>
      </x:c>
      <x:c r="E2229" t="str">
        <x:f>'Release Gates'!I2189</x:f>
        <x:v>OPEN</x:v>
      </x:c>
      <x:c r="F2229" t="str">
        <x:f>IF('Release Gates'!C2189="PLANNING","PASS",IF('Release Gates'!C2189="PHYSICAL","OPEN","BLOCKED"))</x:f>
        <x:v>OPEN</x:v>
      </x:c>
      <x:c r="G2229" t="str">
        <x:v>equals</x:v>
      </x:c>
      <x:c r="H2229" t="str">
        <x:f>IF(E2229=F2229,"PASS","FAIL")</x:f>
        <x:v>PASS</x:v>
      </x:c>
    </x:row>
    <x:row r="2230">
      <x:c r="B2230" t="str">
        <x:v>A-02184</x:v>
      </x:c>
      <x:c r="C2230" t="str">
        <x:v>GATE</x:v>
      </x:c>
      <x:c r="D2230" t="str">
        <x:v>release state mirrors governing ledger</x:v>
      </x:c>
      <x:c r="E2230" t="str">
        <x:f>'Release Gates'!I2190</x:f>
        <x:v>OPEN</x:v>
      </x:c>
      <x:c r="F2230" t="str">
        <x:f>IF('Release Gates'!C2190="PLANNING","PASS",IF('Release Gates'!C2190="PHYSICAL","OPEN","BLOCKED"))</x:f>
        <x:v>OPEN</x:v>
      </x:c>
      <x:c r="G2230" t="str">
        <x:v>equals</x:v>
      </x:c>
      <x:c r="H2230" t="str">
        <x:f>IF(E2230=F2230,"PASS","FAIL")</x:f>
        <x:v>PASS</x:v>
      </x:c>
    </x:row>
    <x:row r="2231">
      <x:c r="B2231" t="str">
        <x:v>A-02185</x:v>
      </x:c>
      <x:c r="C2231" t="str">
        <x:v>GATE</x:v>
      </x:c>
      <x:c r="D2231" t="str">
        <x:v>release state mirrors governing ledger</x:v>
      </x:c>
      <x:c r="E2231" t="str">
        <x:f>'Release Gates'!I2191</x:f>
        <x:v>OPEN</x:v>
      </x:c>
      <x:c r="F2231" t="str">
        <x:f>IF('Release Gates'!C2191="PLANNING","PASS",IF('Release Gates'!C2191="PHYSICAL","OPEN","BLOCKED"))</x:f>
        <x:v>OPEN</x:v>
      </x:c>
      <x:c r="G2231" t="str">
        <x:v>equals</x:v>
      </x:c>
      <x:c r="H2231" t="str">
        <x:f>IF(E2231=F2231,"PASS","FAIL")</x:f>
        <x:v>PASS</x:v>
      </x:c>
    </x:row>
    <x:row r="2232">
      <x:c r="B2232" t="str">
        <x:v>A-02186</x:v>
      </x:c>
      <x:c r="C2232" t="str">
        <x:v>GATE</x:v>
      </x:c>
      <x:c r="D2232" t="str">
        <x:v>release state mirrors governing ledger</x:v>
      </x:c>
      <x:c r="E2232" t="str">
        <x:f>'Release Gates'!I2192</x:f>
        <x:v>OPEN</x:v>
      </x:c>
      <x:c r="F2232" t="str">
        <x:f>IF('Release Gates'!C2192="PLANNING","PASS",IF('Release Gates'!C2192="PHYSICAL","OPEN","BLOCKED"))</x:f>
        <x:v>OPEN</x:v>
      </x:c>
      <x:c r="G2232" t="str">
        <x:v>equals</x:v>
      </x:c>
      <x:c r="H2232" t="str">
        <x:f>IF(E2232=F2232,"PASS","FAIL")</x:f>
        <x:v>PASS</x:v>
      </x:c>
    </x:row>
    <x:row r="2233">
      <x:c r="B2233" t="str">
        <x:v>A-02187</x:v>
      </x:c>
      <x:c r="C2233" t="str">
        <x:v>GATE</x:v>
      </x:c>
      <x:c r="D2233" t="str">
        <x:v>release state mirrors governing ledger</x:v>
      </x:c>
      <x:c r="E2233" t="str">
        <x:f>'Release Gates'!I2193</x:f>
        <x:v>OPEN</x:v>
      </x:c>
      <x:c r="F2233" t="str">
        <x:f>IF('Release Gates'!C2193="PLANNING","PASS",IF('Release Gates'!C2193="PHYSICAL","OPEN","BLOCKED"))</x:f>
        <x:v>OPEN</x:v>
      </x:c>
      <x:c r="G2233" t="str">
        <x:v>equals</x:v>
      </x:c>
      <x:c r="H2233" t="str">
        <x:f>IF(E2233=F2233,"PASS","FAIL")</x:f>
        <x:v>PASS</x:v>
      </x:c>
    </x:row>
    <x:row r="2234">
      <x:c r="B2234" t="str">
        <x:v>A-02188</x:v>
      </x:c>
      <x:c r="C2234" t="str">
        <x:v>GATE</x:v>
      </x:c>
      <x:c r="D2234" t="str">
        <x:v>release state mirrors governing ledger</x:v>
      </x:c>
      <x:c r="E2234" t="str">
        <x:f>'Release Gates'!I2194</x:f>
        <x:v>OPEN</x:v>
      </x:c>
      <x:c r="F2234" t="str">
        <x:f>IF('Release Gates'!C2194="PLANNING","PASS",IF('Release Gates'!C2194="PHYSICAL","OPEN","BLOCKED"))</x:f>
        <x:v>OPEN</x:v>
      </x:c>
      <x:c r="G2234" t="str">
        <x:v>equals</x:v>
      </x:c>
      <x:c r="H2234" t="str">
        <x:f>IF(E2234=F2234,"PASS","FAIL")</x:f>
        <x:v>PASS</x:v>
      </x:c>
    </x:row>
    <x:row r="2235">
      <x:c r="B2235" t="str">
        <x:v>A-02189</x:v>
      </x:c>
      <x:c r="C2235" t="str">
        <x:v>GATE</x:v>
      </x:c>
      <x:c r="D2235" t="str">
        <x:v>release state mirrors governing ledger</x:v>
      </x:c>
      <x:c r="E2235" t="str">
        <x:f>'Release Gates'!I2195</x:f>
        <x:v>OPEN</x:v>
      </x:c>
      <x:c r="F2235" t="str">
        <x:f>IF('Release Gates'!C2195="PLANNING","PASS",IF('Release Gates'!C2195="PHYSICAL","OPEN","BLOCKED"))</x:f>
        <x:v>OPEN</x:v>
      </x:c>
      <x:c r="G2235" t="str">
        <x:v>equals</x:v>
      </x:c>
      <x:c r="H2235" t="str">
        <x:f>IF(E2235=F2235,"PASS","FAIL")</x:f>
        <x:v>PASS</x:v>
      </x:c>
    </x:row>
    <x:row r="2236">
      <x:c r="B2236" t="str">
        <x:v>A-02190</x:v>
      </x:c>
      <x:c r="C2236" t="str">
        <x:v>GATE</x:v>
      </x:c>
      <x:c r="D2236" t="str">
        <x:v>release state mirrors governing ledger</x:v>
      </x:c>
      <x:c r="E2236" t="str">
        <x:f>'Release Gates'!I2196</x:f>
        <x:v>OPEN</x:v>
      </x:c>
      <x:c r="F2236" t="str">
        <x:f>IF('Release Gates'!C2196="PLANNING","PASS",IF('Release Gates'!C2196="PHYSICAL","OPEN","BLOCKED"))</x:f>
        <x:v>OPEN</x:v>
      </x:c>
      <x:c r="G2236" t="str">
        <x:v>equals</x:v>
      </x:c>
      <x:c r="H2236" t="str">
        <x:f>IF(E2236=F2236,"PASS","FAIL")</x:f>
        <x:v>PASS</x:v>
      </x:c>
    </x:row>
    <x:row r="2237">
      <x:c r="B2237" t="str">
        <x:v>A-02191</x:v>
      </x:c>
      <x:c r="C2237" t="str">
        <x:v>GATE</x:v>
      </x:c>
      <x:c r="D2237" t="str">
        <x:v>release state mirrors governing ledger</x:v>
      </x:c>
      <x:c r="E2237" t="str">
        <x:f>'Release Gates'!I2197</x:f>
        <x:v>OPEN</x:v>
      </x:c>
      <x:c r="F2237" t="str">
        <x:f>IF('Release Gates'!C2197="PLANNING","PASS",IF('Release Gates'!C2197="PHYSICAL","OPEN","BLOCKED"))</x:f>
        <x:v>OPEN</x:v>
      </x:c>
      <x:c r="G2237" t="str">
        <x:v>equals</x:v>
      </x:c>
      <x:c r="H2237" t="str">
        <x:f>IF(E2237=F2237,"PASS","FAIL")</x:f>
        <x:v>PASS</x:v>
      </x:c>
    </x:row>
    <x:row r="2238">
      <x:c r="B2238" t="str">
        <x:v>A-02192</x:v>
      </x:c>
      <x:c r="C2238" t="str">
        <x:v>GATE</x:v>
      </x:c>
      <x:c r="D2238" t="str">
        <x:v>release state mirrors governing ledger</x:v>
      </x:c>
      <x:c r="E2238" t="str">
        <x:f>'Release Gates'!I2198</x:f>
        <x:v>OPEN</x:v>
      </x:c>
      <x:c r="F2238" t="str">
        <x:f>IF('Release Gates'!C2198="PLANNING","PASS",IF('Release Gates'!C2198="PHYSICAL","OPEN","BLOCKED"))</x:f>
        <x:v>OPEN</x:v>
      </x:c>
      <x:c r="G2238" t="str">
        <x:v>equals</x:v>
      </x:c>
      <x:c r="H2238" t="str">
        <x:f>IF(E2238=F2238,"PASS","FAIL")</x:f>
        <x:v>PASS</x:v>
      </x:c>
    </x:row>
    <x:row r="2239">
      <x:c r="B2239" t="str">
        <x:v>A-02193</x:v>
      </x:c>
      <x:c r="C2239" t="str">
        <x:v>GATE</x:v>
      </x:c>
      <x:c r="D2239" t="str">
        <x:v>release state mirrors governing ledger</x:v>
      </x:c>
      <x:c r="E2239" t="str">
        <x:f>'Release Gates'!I2199</x:f>
        <x:v>OPEN</x:v>
      </x:c>
      <x:c r="F2239" t="str">
        <x:f>IF('Release Gates'!C2199="PLANNING","PASS",IF('Release Gates'!C2199="PHYSICAL","OPEN","BLOCKED"))</x:f>
        <x:v>OPEN</x:v>
      </x:c>
      <x:c r="G2239" t="str">
        <x:v>equals</x:v>
      </x:c>
      <x:c r="H2239" t="str">
        <x:f>IF(E2239=F2239,"PASS","FAIL")</x:f>
        <x:v>PASS</x:v>
      </x:c>
    </x:row>
    <x:row r="2240">
      <x:c r="B2240" t="str">
        <x:v>A-02194</x:v>
      </x:c>
      <x:c r="C2240" t="str">
        <x:v>GATE</x:v>
      </x:c>
      <x:c r="D2240" t="str">
        <x:v>release state mirrors governing ledger</x:v>
      </x:c>
      <x:c r="E2240" t="str">
        <x:f>'Release Gates'!I2200</x:f>
        <x:v>OPEN</x:v>
      </x:c>
      <x:c r="F2240" t="str">
        <x:f>IF('Release Gates'!C2200="PLANNING","PASS",IF('Release Gates'!C2200="PHYSICAL","OPEN","BLOCKED"))</x:f>
        <x:v>OPEN</x:v>
      </x:c>
      <x:c r="G2240" t="str">
        <x:v>equals</x:v>
      </x:c>
      <x:c r="H2240" t="str">
        <x:f>IF(E2240=F2240,"PASS","FAIL")</x:f>
        <x:v>PASS</x:v>
      </x:c>
    </x:row>
    <x:row r="2241">
      <x:c r="B2241" t="str">
        <x:v>A-02195</x:v>
      </x:c>
      <x:c r="C2241" t="str">
        <x:v>GATE</x:v>
      </x:c>
      <x:c r="D2241" t="str">
        <x:v>release state mirrors governing ledger</x:v>
      </x:c>
      <x:c r="E2241" t="str">
        <x:f>'Release Gates'!I2201</x:f>
        <x:v>OPEN</x:v>
      </x:c>
      <x:c r="F2241" t="str">
        <x:f>IF('Release Gates'!C2201="PLANNING","PASS",IF('Release Gates'!C2201="PHYSICAL","OPEN","BLOCKED"))</x:f>
        <x:v>OPEN</x:v>
      </x:c>
      <x:c r="G2241" t="str">
        <x:v>equals</x:v>
      </x:c>
      <x:c r="H2241" t="str">
        <x:f>IF(E2241=F2241,"PASS","FAIL")</x:f>
        <x:v>PASS</x:v>
      </x:c>
    </x:row>
    <x:row r="2242">
      <x:c r="B2242" t="str">
        <x:v>A-02196</x:v>
      </x:c>
      <x:c r="C2242" t="str">
        <x:v>GATE</x:v>
      </x:c>
      <x:c r="D2242" t="str">
        <x:v>release state mirrors governing ledger</x:v>
      </x:c>
      <x:c r="E2242" t="str">
        <x:f>'Release Gates'!I2202</x:f>
        <x:v>OPEN</x:v>
      </x:c>
      <x:c r="F2242" t="str">
        <x:f>IF('Release Gates'!C2202="PLANNING","PASS",IF('Release Gates'!C2202="PHYSICAL","OPEN","BLOCKED"))</x:f>
        <x:v>OPEN</x:v>
      </x:c>
      <x:c r="G2242" t="str">
        <x:v>equals</x:v>
      </x:c>
      <x:c r="H2242" t="str">
        <x:f>IF(E2242=F2242,"PASS","FAIL")</x:f>
        <x:v>PASS</x:v>
      </x:c>
    </x:row>
    <x:row r="2243">
      <x:c r="B2243" t="str">
        <x:v>A-02197</x:v>
      </x:c>
      <x:c r="C2243" t="str">
        <x:v>GATE</x:v>
      </x:c>
      <x:c r="D2243" t="str">
        <x:v>release state mirrors governing ledger</x:v>
      </x:c>
      <x:c r="E2243" t="str">
        <x:f>'Release Gates'!I2203</x:f>
        <x:v>OPEN</x:v>
      </x:c>
      <x:c r="F2243" t="str">
        <x:f>IF('Release Gates'!C2203="PLANNING","PASS",IF('Release Gates'!C2203="PHYSICAL","OPEN","BLOCKED"))</x:f>
        <x:v>OPEN</x:v>
      </x:c>
      <x:c r="G2243" t="str">
        <x:v>equals</x:v>
      </x:c>
      <x:c r="H2243" t="str">
        <x:f>IF(E2243=F2243,"PASS","FAIL")</x:f>
        <x:v>PASS</x:v>
      </x:c>
    </x:row>
    <x:row r="2244">
      <x:c r="B2244" t="str">
        <x:v>A-02198</x:v>
      </x:c>
      <x:c r="C2244" t="str">
        <x:v>GATE</x:v>
      </x:c>
      <x:c r="D2244" t="str">
        <x:v>release state mirrors governing ledger</x:v>
      </x:c>
      <x:c r="E2244" t="str">
        <x:f>'Release Gates'!I2204</x:f>
        <x:v>OPEN</x:v>
      </x:c>
      <x:c r="F2244" t="str">
        <x:f>IF('Release Gates'!C2204="PLANNING","PASS",IF('Release Gates'!C2204="PHYSICAL","OPEN","BLOCKED"))</x:f>
        <x:v>OPEN</x:v>
      </x:c>
      <x:c r="G2244" t="str">
        <x:v>equals</x:v>
      </x:c>
      <x:c r="H2244" t="str">
        <x:f>IF(E2244=F2244,"PASS","FAIL")</x:f>
        <x:v>PASS</x:v>
      </x:c>
    </x:row>
    <x:row r="2245">
      <x:c r="B2245" t="str">
        <x:v>A-02199</x:v>
      </x:c>
      <x:c r="C2245" t="str">
        <x:v>GATE</x:v>
      </x:c>
      <x:c r="D2245" t="str">
        <x:v>release state mirrors governing ledger</x:v>
      </x:c>
      <x:c r="E2245" t="str">
        <x:f>'Release Gates'!I2205</x:f>
        <x:v>OPEN</x:v>
      </x:c>
      <x:c r="F2245" t="str">
        <x:f>IF('Release Gates'!C2205="PLANNING","PASS",IF('Release Gates'!C2205="PHYSICAL","OPEN","BLOCKED"))</x:f>
        <x:v>OPEN</x:v>
      </x:c>
      <x:c r="G2245" t="str">
        <x:v>equals</x:v>
      </x:c>
      <x:c r="H2245" t="str">
        <x:f>IF(E2245=F2245,"PASS","FAIL")</x:f>
        <x:v>PASS</x:v>
      </x:c>
    </x:row>
    <x:row r="2246">
      <x:c r="B2246" t="str">
        <x:v>A-02200</x:v>
      </x:c>
      <x:c r="C2246" t="str">
        <x:v>GATE</x:v>
      </x:c>
      <x:c r="D2246" t="str">
        <x:v>release state mirrors governing ledger</x:v>
      </x:c>
      <x:c r="E2246" t="str">
        <x:f>'Release Gates'!I2206</x:f>
        <x:v>OPEN</x:v>
      </x:c>
      <x:c r="F2246" t="str">
        <x:f>IF('Release Gates'!C2206="PLANNING","PASS",IF('Release Gates'!C2206="PHYSICAL","OPEN","BLOCKED"))</x:f>
        <x:v>OPEN</x:v>
      </x:c>
      <x:c r="G2246" t="str">
        <x:v>equals</x:v>
      </x:c>
      <x:c r="H2246" t="str">
        <x:f>IF(E2246=F2246,"PASS","FAIL")</x:f>
        <x:v>PASS</x:v>
      </x:c>
    </x:row>
    <x:row r="2247">
      <x:c r="B2247" t="str">
        <x:v>A-02201</x:v>
      </x:c>
      <x:c r="C2247" t="str">
        <x:v>GATE</x:v>
      </x:c>
      <x:c r="D2247" t="str">
        <x:v>release state mirrors governing ledger</x:v>
      </x:c>
      <x:c r="E2247" t="str">
        <x:f>'Release Gates'!I2207</x:f>
        <x:v>OPEN</x:v>
      </x:c>
      <x:c r="F2247" t="str">
        <x:f>IF('Release Gates'!C2207="PLANNING","PASS",IF('Release Gates'!C2207="PHYSICAL","OPEN","BLOCKED"))</x:f>
        <x:v>OPEN</x:v>
      </x:c>
      <x:c r="G2247" t="str">
        <x:v>equals</x:v>
      </x:c>
      <x:c r="H2247" t="str">
        <x:f>IF(E2247=F2247,"PASS","FAIL")</x:f>
        <x:v>PASS</x:v>
      </x:c>
    </x:row>
    <x:row r="2248">
      <x:c r="B2248" t="str">
        <x:v>A-02202</x:v>
      </x:c>
      <x:c r="C2248" t="str">
        <x:v>GATE</x:v>
      </x:c>
      <x:c r="D2248" t="str">
        <x:v>release state mirrors governing ledger</x:v>
      </x:c>
      <x:c r="E2248" t="str">
        <x:f>'Release Gates'!I2208</x:f>
        <x:v>OPEN</x:v>
      </x:c>
      <x:c r="F2248" t="str">
        <x:f>IF('Release Gates'!C2208="PLANNING","PASS",IF('Release Gates'!C2208="PHYSICAL","OPEN","BLOCKED"))</x:f>
        <x:v>OPEN</x:v>
      </x:c>
      <x:c r="G2248" t="str">
        <x:v>equals</x:v>
      </x:c>
      <x:c r="H2248" t="str">
        <x:f>IF(E2248=F2248,"PASS","FAIL")</x:f>
        <x:v>PASS</x:v>
      </x:c>
    </x:row>
    <x:row r="2249">
      <x:c r="B2249" t="str">
        <x:v>A-02203</x:v>
      </x:c>
      <x:c r="C2249" t="str">
        <x:v>GATE</x:v>
      </x:c>
      <x:c r="D2249" t="str">
        <x:v>release state mirrors governing ledger</x:v>
      </x:c>
      <x:c r="E2249" t="str">
        <x:f>'Release Gates'!I2209</x:f>
        <x:v>OPEN</x:v>
      </x:c>
      <x:c r="F2249" t="str">
        <x:f>IF('Release Gates'!C2209="PLANNING","PASS",IF('Release Gates'!C2209="PHYSICAL","OPEN","BLOCKED"))</x:f>
        <x:v>OPEN</x:v>
      </x:c>
      <x:c r="G2249" t="str">
        <x:v>equals</x:v>
      </x:c>
      <x:c r="H2249" t="str">
        <x:f>IF(E2249=F2249,"PASS","FAIL")</x:f>
        <x:v>PASS</x:v>
      </x:c>
    </x:row>
    <x:row r="2250">
      <x:c r="B2250" t="str">
        <x:v>A-02204</x:v>
      </x:c>
      <x:c r="C2250" t="str">
        <x:v>GATE</x:v>
      </x:c>
      <x:c r="D2250" t="str">
        <x:v>release state mirrors governing ledger</x:v>
      </x:c>
      <x:c r="E2250" t="str">
        <x:f>'Release Gates'!I2210</x:f>
        <x:v>OPEN</x:v>
      </x:c>
      <x:c r="F2250" t="str">
        <x:f>IF('Release Gates'!C2210="PLANNING","PASS",IF('Release Gates'!C2210="PHYSICAL","OPEN","BLOCKED"))</x:f>
        <x:v>OPEN</x:v>
      </x:c>
      <x:c r="G2250" t="str">
        <x:v>equals</x:v>
      </x:c>
      <x:c r="H2250" t="str">
        <x:f>IF(E2250=F2250,"PASS","FAIL")</x:f>
        <x:v>PASS</x:v>
      </x:c>
    </x:row>
    <x:row r="2251">
      <x:c r="B2251" t="str">
        <x:v>A-02205</x:v>
      </x:c>
      <x:c r="C2251" t="str">
        <x:v>GATE</x:v>
      </x:c>
      <x:c r="D2251" t="str">
        <x:v>release state mirrors governing ledger</x:v>
      </x:c>
      <x:c r="E2251" t="str">
        <x:f>'Release Gates'!I2211</x:f>
        <x:v>OPEN</x:v>
      </x:c>
      <x:c r="F2251" t="str">
        <x:f>IF('Release Gates'!C2211="PLANNING","PASS",IF('Release Gates'!C2211="PHYSICAL","OPEN","BLOCKED"))</x:f>
        <x:v>OPEN</x:v>
      </x:c>
      <x:c r="G2251" t="str">
        <x:v>equals</x:v>
      </x:c>
      <x:c r="H2251" t="str">
        <x:f>IF(E2251=F2251,"PASS","FAIL")</x:f>
        <x:v>PASS</x:v>
      </x:c>
    </x:row>
    <x:row r="2252">
      <x:c r="B2252" t="str">
        <x:v>A-02206</x:v>
      </x:c>
      <x:c r="C2252" t="str">
        <x:v>GATE</x:v>
      </x:c>
      <x:c r="D2252" t="str">
        <x:v>release state mirrors governing ledger</x:v>
      </x:c>
      <x:c r="E2252" t="str">
        <x:f>'Release Gates'!I2212</x:f>
        <x:v>OPEN</x:v>
      </x:c>
      <x:c r="F2252" t="str">
        <x:f>IF('Release Gates'!C2212="PLANNING","PASS",IF('Release Gates'!C2212="PHYSICAL","OPEN","BLOCKED"))</x:f>
        <x:v>OPEN</x:v>
      </x:c>
      <x:c r="G2252" t="str">
        <x:v>equals</x:v>
      </x:c>
      <x:c r="H2252" t="str">
        <x:f>IF(E2252=F2252,"PASS","FAIL")</x:f>
        <x:v>PASS</x:v>
      </x:c>
    </x:row>
    <x:row r="2253">
      <x:c r="B2253" t="str">
        <x:v>A-02207</x:v>
      </x:c>
      <x:c r="C2253" t="str">
        <x:v>GATE</x:v>
      </x:c>
      <x:c r="D2253" t="str">
        <x:v>release state mirrors governing ledger</x:v>
      </x:c>
      <x:c r="E2253" t="str">
        <x:f>'Release Gates'!I2213</x:f>
        <x:v>OPEN</x:v>
      </x:c>
      <x:c r="F2253" t="str">
        <x:f>IF('Release Gates'!C2213="PLANNING","PASS",IF('Release Gates'!C2213="PHYSICAL","OPEN","BLOCKED"))</x:f>
        <x:v>OPEN</x:v>
      </x:c>
      <x:c r="G2253" t="str">
        <x:v>equals</x:v>
      </x:c>
      <x:c r="H2253" t="str">
        <x:f>IF(E2253=F2253,"PASS","FAIL")</x:f>
        <x:v>PASS</x:v>
      </x:c>
    </x:row>
    <x:row r="2254">
      <x:c r="B2254" t="str">
        <x:v>A-02208</x:v>
      </x:c>
      <x:c r="C2254" t="str">
        <x:v>GATE</x:v>
      </x:c>
      <x:c r="D2254" t="str">
        <x:v>release state mirrors governing ledger</x:v>
      </x:c>
      <x:c r="E2254" t="str">
        <x:f>'Release Gates'!I2214</x:f>
        <x:v>OPEN</x:v>
      </x:c>
      <x:c r="F2254" t="str">
        <x:f>IF('Release Gates'!C2214="PLANNING","PASS",IF('Release Gates'!C2214="PHYSICAL","OPEN","BLOCKED"))</x:f>
        <x:v>OPEN</x:v>
      </x:c>
      <x:c r="G2254" t="str">
        <x:v>equals</x:v>
      </x:c>
      <x:c r="H2254" t="str">
        <x:f>IF(E2254=F2254,"PASS","FAIL")</x:f>
        <x:v>PASS</x:v>
      </x:c>
    </x:row>
    <x:row r="2255">
      <x:c r="B2255" t="str">
        <x:v>A-02209</x:v>
      </x:c>
      <x:c r="C2255" t="str">
        <x:v>GATE</x:v>
      </x:c>
      <x:c r="D2255" t="str">
        <x:v>release state mirrors governing ledger</x:v>
      </x:c>
      <x:c r="E2255" t="str">
        <x:f>'Release Gates'!I2215</x:f>
        <x:v>OPEN</x:v>
      </x:c>
      <x:c r="F2255" t="str">
        <x:f>IF('Release Gates'!C2215="PLANNING","PASS",IF('Release Gates'!C2215="PHYSICAL","OPEN","BLOCKED"))</x:f>
        <x:v>OPEN</x:v>
      </x:c>
      <x:c r="G2255" t="str">
        <x:v>equals</x:v>
      </x:c>
      <x:c r="H2255" t="str">
        <x:f>IF(E2255=F2255,"PASS","FAIL")</x:f>
        <x:v>PASS</x:v>
      </x:c>
    </x:row>
    <x:row r="2256">
      <x:c r="B2256" t="str">
        <x:v>A-02210</x:v>
      </x:c>
      <x:c r="C2256" t="str">
        <x:v>GATE</x:v>
      </x:c>
      <x:c r="D2256" t="str">
        <x:v>release state mirrors governing ledger</x:v>
      </x:c>
      <x:c r="E2256" t="str">
        <x:f>'Release Gates'!I2216</x:f>
        <x:v>OPEN</x:v>
      </x:c>
      <x:c r="F2256" t="str">
        <x:f>IF('Release Gates'!C2216="PLANNING","PASS",IF('Release Gates'!C2216="PHYSICAL","OPEN","BLOCKED"))</x:f>
        <x:v>OPEN</x:v>
      </x:c>
      <x:c r="G2256" t="str">
        <x:v>equals</x:v>
      </x:c>
      <x:c r="H2256" t="str">
        <x:f>IF(E2256=F2256,"PASS","FAIL")</x:f>
        <x:v>PASS</x:v>
      </x:c>
    </x:row>
    <x:row r="2257">
      <x:c r="B2257" t="str">
        <x:v>A-02211</x:v>
      </x:c>
      <x:c r="C2257" t="str">
        <x:v>GATE</x:v>
      </x:c>
      <x:c r="D2257" t="str">
        <x:v>release state mirrors governing ledger</x:v>
      </x:c>
      <x:c r="E2257" t="str">
        <x:f>'Release Gates'!I2217</x:f>
        <x:v>OPEN</x:v>
      </x:c>
      <x:c r="F2257" t="str">
        <x:f>IF('Release Gates'!C2217="PLANNING","PASS",IF('Release Gates'!C2217="PHYSICAL","OPEN","BLOCKED"))</x:f>
        <x:v>OPEN</x:v>
      </x:c>
      <x:c r="G2257" t="str">
        <x:v>equals</x:v>
      </x:c>
      <x:c r="H2257" t="str">
        <x:f>IF(E2257=F2257,"PASS","FAIL")</x:f>
        <x:v>PASS</x:v>
      </x:c>
    </x:row>
    <x:row r="2258">
      <x:c r="B2258" t="str">
        <x:v>A-02212</x:v>
      </x:c>
      <x:c r="C2258" t="str">
        <x:v>GATE</x:v>
      </x:c>
      <x:c r="D2258" t="str">
        <x:v>release state mirrors governing ledger</x:v>
      </x:c>
      <x:c r="E2258" t="str">
        <x:f>'Release Gates'!I2218</x:f>
        <x:v>OPEN</x:v>
      </x:c>
      <x:c r="F2258" t="str">
        <x:f>IF('Release Gates'!C2218="PLANNING","PASS",IF('Release Gates'!C2218="PHYSICAL","OPEN","BLOCKED"))</x:f>
        <x:v>OPEN</x:v>
      </x:c>
      <x:c r="G2258" t="str">
        <x:v>equals</x:v>
      </x:c>
      <x:c r="H2258" t="str">
        <x:f>IF(E2258=F2258,"PASS","FAIL")</x:f>
        <x:v>PASS</x:v>
      </x:c>
    </x:row>
    <x:row r="2259">
      <x:c r="B2259" t="str">
        <x:v>A-02213</x:v>
      </x:c>
      <x:c r="C2259" t="str">
        <x:v>GATE</x:v>
      </x:c>
      <x:c r="D2259" t="str">
        <x:v>release state mirrors governing ledger</x:v>
      </x:c>
      <x:c r="E2259" t="str">
        <x:f>'Release Gates'!I2219</x:f>
        <x:v>OPEN</x:v>
      </x:c>
      <x:c r="F2259" t="str">
        <x:f>IF('Release Gates'!C2219="PLANNING","PASS",IF('Release Gates'!C2219="PHYSICAL","OPEN","BLOCKED"))</x:f>
        <x:v>OPEN</x:v>
      </x:c>
      <x:c r="G2259" t="str">
        <x:v>equals</x:v>
      </x:c>
      <x:c r="H2259" t="str">
        <x:f>IF(E2259=F2259,"PASS","FAIL")</x:f>
        <x:v>PASS</x:v>
      </x:c>
    </x:row>
    <x:row r="2260">
      <x:c r="B2260" t="str">
        <x:v>A-02214</x:v>
      </x:c>
      <x:c r="C2260" t="str">
        <x:v>GATE</x:v>
      </x:c>
      <x:c r="D2260" t="str">
        <x:v>release state mirrors governing ledger</x:v>
      </x:c>
      <x:c r="E2260" t="str">
        <x:f>'Release Gates'!I2220</x:f>
        <x:v>OPEN</x:v>
      </x:c>
      <x:c r="F2260" t="str">
        <x:f>IF('Release Gates'!C2220="PLANNING","PASS",IF('Release Gates'!C2220="PHYSICAL","OPEN","BLOCKED"))</x:f>
        <x:v>OPEN</x:v>
      </x:c>
      <x:c r="G2260" t="str">
        <x:v>equals</x:v>
      </x:c>
      <x:c r="H2260" t="str">
        <x:f>IF(E2260=F2260,"PASS","FAIL")</x:f>
        <x:v>PASS</x:v>
      </x:c>
    </x:row>
    <x:row r="2261">
      <x:c r="B2261" t="str">
        <x:v>A-02215</x:v>
      </x:c>
      <x:c r="C2261" t="str">
        <x:v>GATE</x:v>
      </x:c>
      <x:c r="D2261" t="str">
        <x:v>release state mirrors governing ledger</x:v>
      </x:c>
      <x:c r="E2261" t="str">
        <x:f>'Release Gates'!I2221</x:f>
        <x:v>OPEN</x:v>
      </x:c>
      <x:c r="F2261" t="str">
        <x:f>IF('Release Gates'!C2221="PLANNING","PASS",IF('Release Gates'!C2221="PHYSICAL","OPEN","BLOCKED"))</x:f>
        <x:v>OPEN</x:v>
      </x:c>
      <x:c r="G2261" t="str">
        <x:v>equals</x:v>
      </x:c>
      <x:c r="H2261" t="str">
        <x:f>IF(E2261=F2261,"PASS","FAIL")</x:f>
        <x:v>PASS</x:v>
      </x:c>
    </x:row>
    <x:row r="2262">
      <x:c r="B2262" t="str">
        <x:v>A-02216</x:v>
      </x:c>
      <x:c r="C2262" t="str">
        <x:v>GATE</x:v>
      </x:c>
      <x:c r="D2262" t="str">
        <x:v>release state mirrors governing ledger</x:v>
      </x:c>
      <x:c r="E2262" t="str">
        <x:f>'Release Gates'!I2222</x:f>
        <x:v>OPEN</x:v>
      </x:c>
      <x:c r="F2262" t="str">
        <x:f>IF('Release Gates'!C2222="PLANNING","PASS",IF('Release Gates'!C2222="PHYSICAL","OPEN","BLOCKED"))</x:f>
        <x:v>OPEN</x:v>
      </x:c>
      <x:c r="G2262" t="str">
        <x:v>equals</x:v>
      </x:c>
      <x:c r="H2262" t="str">
        <x:f>IF(E2262=F2262,"PASS","FAIL")</x:f>
        <x:v>PASS</x:v>
      </x:c>
    </x:row>
    <x:row r="2263">
      <x:c r="B2263" t="str">
        <x:v>A-02217</x:v>
      </x:c>
      <x:c r="C2263" t="str">
        <x:v>GATE</x:v>
      </x:c>
      <x:c r="D2263" t="str">
        <x:v>release state mirrors governing ledger</x:v>
      </x:c>
      <x:c r="E2263" t="str">
        <x:f>'Release Gates'!I2223</x:f>
        <x:v>OPEN</x:v>
      </x:c>
      <x:c r="F2263" t="str">
        <x:f>IF('Release Gates'!C2223="PLANNING","PASS",IF('Release Gates'!C2223="PHYSICAL","OPEN","BLOCKED"))</x:f>
        <x:v>OPEN</x:v>
      </x:c>
      <x:c r="G2263" t="str">
        <x:v>equals</x:v>
      </x:c>
      <x:c r="H2263" t="str">
        <x:f>IF(E2263=F2263,"PASS","FAIL")</x:f>
        <x:v>PASS</x:v>
      </x:c>
    </x:row>
    <x:row r="2264">
      <x:c r="B2264" t="str">
        <x:v>A-02218</x:v>
      </x:c>
      <x:c r="C2264" t="str">
        <x:v>GATE</x:v>
      </x:c>
      <x:c r="D2264" t="str">
        <x:v>release state mirrors governing ledger</x:v>
      </x:c>
      <x:c r="E2264" t="str">
        <x:f>'Release Gates'!I2224</x:f>
        <x:v>OPEN</x:v>
      </x:c>
      <x:c r="F2264" t="str">
        <x:f>IF('Release Gates'!C2224="PLANNING","PASS",IF('Release Gates'!C2224="PHYSICAL","OPEN","BLOCKED"))</x:f>
        <x:v>OPEN</x:v>
      </x:c>
      <x:c r="G2264" t="str">
        <x:v>equals</x:v>
      </x:c>
      <x:c r="H2264" t="str">
        <x:f>IF(E2264=F2264,"PASS","FAIL")</x:f>
        <x:v>PASS</x:v>
      </x:c>
    </x:row>
    <x:row r="2265">
      <x:c r="B2265" t="str">
        <x:v>A-02219</x:v>
      </x:c>
      <x:c r="C2265" t="str">
        <x:v>GATE</x:v>
      </x:c>
      <x:c r="D2265" t="str">
        <x:v>release state mirrors governing ledger</x:v>
      </x:c>
      <x:c r="E2265" t="str">
        <x:f>'Release Gates'!I2225</x:f>
        <x:v>OPEN</x:v>
      </x:c>
      <x:c r="F2265" t="str">
        <x:f>IF('Release Gates'!C2225="PLANNING","PASS",IF('Release Gates'!C2225="PHYSICAL","OPEN","BLOCKED"))</x:f>
        <x:v>OPEN</x:v>
      </x:c>
      <x:c r="G2265" t="str">
        <x:v>equals</x:v>
      </x:c>
      <x:c r="H2265" t="str">
        <x:f>IF(E2265=F2265,"PASS","FAIL")</x:f>
        <x:v>PASS</x:v>
      </x:c>
    </x:row>
    <x:row r="2266">
      <x:c r="B2266" t="str">
        <x:v>A-02220</x:v>
      </x:c>
      <x:c r="C2266" t="str">
        <x:v>GATE</x:v>
      </x:c>
      <x:c r="D2266" t="str">
        <x:v>release state mirrors governing ledger</x:v>
      </x:c>
      <x:c r="E2266" t="str">
        <x:f>'Release Gates'!I2226</x:f>
        <x:v>OPEN</x:v>
      </x:c>
      <x:c r="F2266" t="str">
        <x:f>IF('Release Gates'!C2226="PLANNING","PASS",IF('Release Gates'!C2226="PHYSICAL","OPEN","BLOCKED"))</x:f>
        <x:v>OPEN</x:v>
      </x:c>
      <x:c r="G2266" t="str">
        <x:v>equals</x:v>
      </x:c>
      <x:c r="H2266" t="str">
        <x:f>IF(E2266=F2266,"PASS","FAIL")</x:f>
        <x:v>PASS</x:v>
      </x:c>
    </x:row>
    <x:row r="2267">
      <x:c r="B2267" t="str">
        <x:v>A-02221</x:v>
      </x:c>
      <x:c r="C2267" t="str">
        <x:v>GATE</x:v>
      </x:c>
      <x:c r="D2267" t="str">
        <x:v>release state mirrors governing ledger</x:v>
      </x:c>
      <x:c r="E2267" t="str">
        <x:f>'Release Gates'!I2227</x:f>
        <x:v>OPEN</x:v>
      </x:c>
      <x:c r="F2267" t="str">
        <x:f>IF('Release Gates'!C2227="PLANNING","PASS",IF('Release Gates'!C2227="PHYSICAL","OPEN","BLOCKED"))</x:f>
        <x:v>OPEN</x:v>
      </x:c>
      <x:c r="G2267" t="str">
        <x:v>equals</x:v>
      </x:c>
      <x:c r="H2267" t="str">
        <x:f>IF(E2267=F2267,"PASS","FAIL")</x:f>
        <x:v>PASS</x:v>
      </x:c>
    </x:row>
    <x:row r="2268">
      <x:c r="B2268" t="str">
        <x:v>A-02222</x:v>
      </x:c>
      <x:c r="C2268" t="str">
        <x:v>GATE</x:v>
      </x:c>
      <x:c r="D2268" t="str">
        <x:v>release state mirrors governing ledger</x:v>
      </x:c>
      <x:c r="E2268" t="str">
        <x:f>'Release Gates'!I2228</x:f>
        <x:v>OPEN</x:v>
      </x:c>
      <x:c r="F2268" t="str">
        <x:f>IF('Release Gates'!C2228="PLANNING","PASS",IF('Release Gates'!C2228="PHYSICAL","OPEN","BLOCKED"))</x:f>
        <x:v>OPEN</x:v>
      </x:c>
      <x:c r="G2268" t="str">
        <x:v>equals</x:v>
      </x:c>
      <x:c r="H2268" t="str">
        <x:f>IF(E2268=F2268,"PASS","FAIL")</x:f>
        <x:v>PASS</x:v>
      </x:c>
    </x:row>
    <x:row r="2269">
      <x:c r="B2269" t="str">
        <x:v>A-02223</x:v>
      </x:c>
      <x:c r="C2269" t="str">
        <x:v>GATE</x:v>
      </x:c>
      <x:c r="D2269" t="str">
        <x:v>release state mirrors governing ledger</x:v>
      </x:c>
      <x:c r="E2269" t="str">
        <x:f>'Release Gates'!I2229</x:f>
        <x:v>OPEN</x:v>
      </x:c>
      <x:c r="F2269" t="str">
        <x:f>IF('Release Gates'!C2229="PLANNING","PASS",IF('Release Gates'!C2229="PHYSICAL","OPEN","BLOCKED"))</x:f>
        <x:v>OPEN</x:v>
      </x:c>
      <x:c r="G2269" t="str">
        <x:v>equals</x:v>
      </x:c>
      <x:c r="H2269" t="str">
        <x:f>IF(E2269=F2269,"PASS","FAIL")</x:f>
        <x:v>PASS</x:v>
      </x:c>
    </x:row>
    <x:row r="2270">
      <x:c r="B2270" t="str">
        <x:v>A-02224</x:v>
      </x:c>
      <x:c r="C2270" t="str">
        <x:v>GATE</x:v>
      </x:c>
      <x:c r="D2270" t="str">
        <x:v>release state mirrors governing ledger</x:v>
      </x:c>
      <x:c r="E2270" t="str">
        <x:f>'Release Gates'!I2230</x:f>
        <x:v>OPEN</x:v>
      </x:c>
      <x:c r="F2270" t="str">
        <x:f>IF('Release Gates'!C2230="PLANNING","PASS",IF('Release Gates'!C2230="PHYSICAL","OPEN","BLOCKED"))</x:f>
        <x:v>OPEN</x:v>
      </x:c>
      <x:c r="G2270" t="str">
        <x:v>equals</x:v>
      </x:c>
      <x:c r="H2270" t="str">
        <x:f>IF(E2270=F2270,"PASS","FAIL")</x:f>
        <x:v>PASS</x:v>
      </x:c>
    </x:row>
    <x:row r="2271">
      <x:c r="B2271" t="str">
        <x:v>A-02225</x:v>
      </x:c>
      <x:c r="C2271" t="str">
        <x:v>GATE</x:v>
      </x:c>
      <x:c r="D2271" t="str">
        <x:v>release state mirrors governing ledger</x:v>
      </x:c>
      <x:c r="E2271" t="str">
        <x:f>'Release Gates'!I2231</x:f>
        <x:v>OPEN</x:v>
      </x:c>
      <x:c r="F2271" t="str">
        <x:f>IF('Release Gates'!C2231="PLANNING","PASS",IF('Release Gates'!C2231="PHYSICAL","OPEN","BLOCKED"))</x:f>
        <x:v>OPEN</x:v>
      </x:c>
      <x:c r="G2271" t="str">
        <x:v>equals</x:v>
      </x:c>
      <x:c r="H2271" t="str">
        <x:f>IF(E2271=F2271,"PASS","FAIL")</x:f>
        <x:v>PASS</x:v>
      </x:c>
    </x:row>
    <x:row r="2272">
      <x:c r="B2272" t="str">
        <x:v>A-02226</x:v>
      </x:c>
      <x:c r="C2272" t="str">
        <x:v>GATE</x:v>
      </x:c>
      <x:c r="D2272" t="str">
        <x:v>release state mirrors governing ledger</x:v>
      </x:c>
      <x:c r="E2272" t="str">
        <x:f>'Release Gates'!I2232</x:f>
        <x:v>OPEN</x:v>
      </x:c>
      <x:c r="F2272" t="str">
        <x:f>IF('Release Gates'!C2232="PLANNING","PASS",IF('Release Gates'!C2232="PHYSICAL","OPEN","BLOCKED"))</x:f>
        <x:v>OPEN</x:v>
      </x:c>
      <x:c r="G2272" t="str">
        <x:v>equals</x:v>
      </x:c>
      <x:c r="H2272" t="str">
        <x:f>IF(E2272=F2272,"PASS","FAIL")</x:f>
        <x:v>PASS</x:v>
      </x:c>
    </x:row>
    <x:row r="2273">
      <x:c r="B2273" t="str">
        <x:v>A-02227</x:v>
      </x:c>
      <x:c r="C2273" t="str">
        <x:v>GATE</x:v>
      </x:c>
      <x:c r="D2273" t="str">
        <x:v>release state mirrors governing ledger</x:v>
      </x:c>
      <x:c r="E2273" t="str">
        <x:f>'Release Gates'!I2233</x:f>
        <x:v>OPEN</x:v>
      </x:c>
      <x:c r="F2273" t="str">
        <x:f>IF('Release Gates'!C2233="PLANNING","PASS",IF('Release Gates'!C2233="PHYSICAL","OPEN","BLOCKED"))</x:f>
        <x:v>OPEN</x:v>
      </x:c>
      <x:c r="G2273" t="str">
        <x:v>equals</x:v>
      </x:c>
      <x:c r="H2273" t="str">
        <x:f>IF(E2273=F2273,"PASS","FAIL")</x:f>
        <x:v>PASS</x:v>
      </x:c>
    </x:row>
    <x:row r="2274">
      <x:c r="B2274" t="str">
        <x:v>A-02228</x:v>
      </x:c>
      <x:c r="C2274" t="str">
        <x:v>GATE</x:v>
      </x:c>
      <x:c r="D2274" t="str">
        <x:v>release state mirrors governing ledger</x:v>
      </x:c>
      <x:c r="E2274" t="str">
        <x:f>'Release Gates'!I2234</x:f>
        <x:v>OPEN</x:v>
      </x:c>
      <x:c r="F2274" t="str">
        <x:f>IF('Release Gates'!C2234="PLANNING","PASS",IF('Release Gates'!C2234="PHYSICAL","OPEN","BLOCKED"))</x:f>
        <x:v>OPEN</x:v>
      </x:c>
      <x:c r="G2274" t="str">
        <x:v>equals</x:v>
      </x:c>
      <x:c r="H2274" t="str">
        <x:f>IF(E2274=F2274,"PASS","FAIL")</x:f>
        <x:v>PASS</x:v>
      </x:c>
    </x:row>
    <x:row r="2275">
      <x:c r="B2275" t="str">
        <x:v>A-02229</x:v>
      </x:c>
      <x:c r="C2275" t="str">
        <x:v>GATE</x:v>
      </x:c>
      <x:c r="D2275" t="str">
        <x:v>release state mirrors governing ledger</x:v>
      </x:c>
      <x:c r="E2275" t="str">
        <x:f>'Release Gates'!I2235</x:f>
        <x:v>OPEN</x:v>
      </x:c>
      <x:c r="F2275" t="str">
        <x:f>IF('Release Gates'!C2235="PLANNING","PASS",IF('Release Gates'!C2235="PHYSICAL","OPEN","BLOCKED"))</x:f>
        <x:v>OPEN</x:v>
      </x:c>
      <x:c r="G2275" t="str">
        <x:v>equals</x:v>
      </x:c>
      <x:c r="H2275" t="str">
        <x:f>IF(E2275=F2275,"PASS","FAIL")</x:f>
        <x:v>PASS</x:v>
      </x:c>
    </x:row>
    <x:row r="2276">
      <x:c r="B2276" t="str">
        <x:v>A-02230</x:v>
      </x:c>
      <x:c r="C2276" t="str">
        <x:v>GATE</x:v>
      </x:c>
      <x:c r="D2276" t="str">
        <x:v>release state mirrors governing ledger</x:v>
      </x:c>
      <x:c r="E2276" t="str">
        <x:f>'Release Gates'!I2236</x:f>
        <x:v>OPEN</x:v>
      </x:c>
      <x:c r="F2276" t="str">
        <x:f>IF('Release Gates'!C2236="PLANNING","PASS",IF('Release Gates'!C2236="PHYSICAL","OPEN","BLOCKED"))</x:f>
        <x:v>OPEN</x:v>
      </x:c>
      <x:c r="G2276" t="str">
        <x:v>equals</x:v>
      </x:c>
      <x:c r="H2276" t="str">
        <x:f>IF(E2276=F2276,"PASS","FAIL")</x:f>
        <x:v>PASS</x:v>
      </x:c>
    </x:row>
    <x:row r="2277">
      <x:c r="B2277" t="str">
        <x:v>A-02231</x:v>
      </x:c>
      <x:c r="C2277" t="str">
        <x:v>GATE</x:v>
      </x:c>
      <x:c r="D2277" t="str">
        <x:v>release state mirrors governing ledger</x:v>
      </x:c>
      <x:c r="E2277" t="str">
        <x:f>'Release Gates'!I2237</x:f>
        <x:v>OPEN</x:v>
      </x:c>
      <x:c r="F2277" t="str">
        <x:f>IF('Release Gates'!C2237="PLANNING","PASS",IF('Release Gates'!C2237="PHYSICAL","OPEN","BLOCKED"))</x:f>
        <x:v>OPEN</x:v>
      </x:c>
      <x:c r="G2277" t="str">
        <x:v>equals</x:v>
      </x:c>
      <x:c r="H2277" t="str">
        <x:f>IF(E2277=F2277,"PASS","FAIL")</x:f>
        <x:v>PASS</x:v>
      </x:c>
    </x:row>
    <x:row r="2278">
      <x:c r="B2278" t="str">
        <x:v>A-02232</x:v>
      </x:c>
      <x:c r="C2278" t="str">
        <x:v>GATE</x:v>
      </x:c>
      <x:c r="D2278" t="str">
        <x:v>release state mirrors governing ledger</x:v>
      </x:c>
      <x:c r="E2278" t="str">
        <x:f>'Release Gates'!I2238</x:f>
        <x:v>OPEN</x:v>
      </x:c>
      <x:c r="F2278" t="str">
        <x:f>IF('Release Gates'!C2238="PLANNING","PASS",IF('Release Gates'!C2238="PHYSICAL","OPEN","BLOCKED"))</x:f>
        <x:v>OPEN</x:v>
      </x:c>
      <x:c r="G2278" t="str">
        <x:v>equals</x:v>
      </x:c>
      <x:c r="H2278" t="str">
        <x:f>IF(E2278=F2278,"PASS","FAIL")</x:f>
        <x:v>PASS</x:v>
      </x:c>
    </x:row>
    <x:row r="2279">
      <x:c r="B2279" t="str">
        <x:v>A-02233</x:v>
      </x:c>
      <x:c r="C2279" t="str">
        <x:v>GATE</x:v>
      </x:c>
      <x:c r="D2279" t="str">
        <x:v>release state mirrors governing ledger</x:v>
      </x:c>
      <x:c r="E2279" t="str">
        <x:f>'Release Gates'!I2239</x:f>
        <x:v>OPEN</x:v>
      </x:c>
      <x:c r="F2279" t="str">
        <x:f>IF('Release Gates'!C2239="PLANNING","PASS",IF('Release Gates'!C2239="PHYSICAL","OPEN","BLOCKED"))</x:f>
        <x:v>OPEN</x:v>
      </x:c>
      <x:c r="G2279" t="str">
        <x:v>equals</x:v>
      </x:c>
      <x:c r="H2279" t="str">
        <x:f>IF(E2279=F2279,"PASS","FAIL")</x:f>
        <x:v>PASS</x:v>
      </x:c>
    </x:row>
    <x:row r="2280">
      <x:c r="B2280" t="str">
        <x:v>A-02234</x:v>
      </x:c>
      <x:c r="C2280" t="str">
        <x:v>GATE</x:v>
      </x:c>
      <x:c r="D2280" t="str">
        <x:v>release state mirrors governing ledger</x:v>
      </x:c>
      <x:c r="E2280" t="str">
        <x:f>'Release Gates'!I2240</x:f>
        <x:v>OPEN</x:v>
      </x:c>
      <x:c r="F2280" t="str">
        <x:f>IF('Release Gates'!C2240="PLANNING","PASS",IF('Release Gates'!C2240="PHYSICAL","OPEN","BLOCKED"))</x:f>
        <x:v>OPEN</x:v>
      </x:c>
      <x:c r="G2280" t="str">
        <x:v>equals</x:v>
      </x:c>
      <x:c r="H2280" t="str">
        <x:f>IF(E2280=F2280,"PASS","FAIL")</x:f>
        <x:v>PASS</x:v>
      </x:c>
    </x:row>
    <x:row r="2281">
      <x:c r="B2281" t="str">
        <x:v>A-02235</x:v>
      </x:c>
      <x:c r="C2281" t="str">
        <x:v>GATE</x:v>
      </x:c>
      <x:c r="D2281" t="str">
        <x:v>release state mirrors governing ledger</x:v>
      </x:c>
      <x:c r="E2281" t="str">
        <x:f>'Release Gates'!I2241</x:f>
        <x:v>OPEN</x:v>
      </x:c>
      <x:c r="F2281" t="str">
        <x:f>IF('Release Gates'!C2241="PLANNING","PASS",IF('Release Gates'!C2241="PHYSICAL","OPEN","BLOCKED"))</x:f>
        <x:v>OPEN</x:v>
      </x:c>
      <x:c r="G2281" t="str">
        <x:v>equals</x:v>
      </x:c>
      <x:c r="H2281" t="str">
        <x:f>IF(E2281=F2281,"PASS","FAIL")</x:f>
        <x:v>PASS</x:v>
      </x:c>
    </x:row>
    <x:row r="2282">
      <x:c r="B2282" t="str">
        <x:v>A-02236</x:v>
      </x:c>
      <x:c r="C2282" t="str">
        <x:v>GATE</x:v>
      </x:c>
      <x:c r="D2282" t="str">
        <x:v>release state mirrors governing ledger</x:v>
      </x:c>
      <x:c r="E2282" t="str">
        <x:f>'Release Gates'!I2242</x:f>
        <x:v>OPEN</x:v>
      </x:c>
      <x:c r="F2282" t="str">
        <x:f>IF('Release Gates'!C2242="PLANNING","PASS",IF('Release Gates'!C2242="PHYSICAL","OPEN","BLOCKED"))</x:f>
        <x:v>OPEN</x:v>
      </x:c>
      <x:c r="G2282" t="str">
        <x:v>equals</x:v>
      </x:c>
      <x:c r="H2282" t="str">
        <x:f>IF(E2282=F2282,"PASS","FAIL")</x:f>
        <x:v>PASS</x:v>
      </x:c>
    </x:row>
    <x:row r="2283">
      <x:c r="B2283" t="str">
        <x:v>A-02237</x:v>
      </x:c>
      <x:c r="C2283" t="str">
        <x:v>GATE</x:v>
      </x:c>
      <x:c r="D2283" t="str">
        <x:v>release state mirrors governing ledger</x:v>
      </x:c>
      <x:c r="E2283" t="str">
        <x:f>'Release Gates'!I2243</x:f>
        <x:v>OPEN</x:v>
      </x:c>
      <x:c r="F2283" t="str">
        <x:f>IF('Release Gates'!C2243="PLANNING","PASS",IF('Release Gates'!C2243="PHYSICAL","OPEN","BLOCKED"))</x:f>
        <x:v>OPEN</x:v>
      </x:c>
      <x:c r="G2283" t="str">
        <x:v>equals</x:v>
      </x:c>
      <x:c r="H2283" t="str">
        <x:f>IF(E2283=F2283,"PASS","FAIL")</x:f>
        <x:v>PASS</x:v>
      </x:c>
    </x:row>
    <x:row r="2284">
      <x:c r="B2284" t="str">
        <x:v>A-02238</x:v>
      </x:c>
      <x:c r="C2284" t="str">
        <x:v>GATE</x:v>
      </x:c>
      <x:c r="D2284" t="str">
        <x:v>release state mirrors governing ledger</x:v>
      </x:c>
      <x:c r="E2284" t="str">
        <x:f>'Release Gates'!I2244</x:f>
        <x:v>OPEN</x:v>
      </x:c>
      <x:c r="F2284" t="str">
        <x:f>IF('Release Gates'!C2244="PLANNING","PASS",IF('Release Gates'!C2244="PHYSICAL","OPEN","BLOCKED"))</x:f>
        <x:v>OPEN</x:v>
      </x:c>
      <x:c r="G2284" t="str">
        <x:v>equals</x:v>
      </x:c>
      <x:c r="H2284" t="str">
        <x:f>IF(E2284=F2284,"PASS","FAIL")</x:f>
        <x:v>PASS</x:v>
      </x:c>
    </x:row>
    <x:row r="2285">
      <x:c r="B2285" t="str">
        <x:v>A-02239</x:v>
      </x:c>
      <x:c r="C2285" t="str">
        <x:v>GATE</x:v>
      </x:c>
      <x:c r="D2285" t="str">
        <x:v>release state mirrors governing ledger</x:v>
      </x:c>
      <x:c r="E2285" t="str">
        <x:f>'Release Gates'!I2245</x:f>
        <x:v>OPEN</x:v>
      </x:c>
      <x:c r="F2285" t="str">
        <x:f>IF('Release Gates'!C2245="PLANNING","PASS",IF('Release Gates'!C2245="PHYSICAL","OPEN","BLOCKED"))</x:f>
        <x:v>OPEN</x:v>
      </x:c>
      <x:c r="G2285" t="str">
        <x:v>equals</x:v>
      </x:c>
      <x:c r="H2285" t="str">
        <x:f>IF(E2285=F2285,"PASS","FAIL")</x:f>
        <x:v>PASS</x:v>
      </x:c>
    </x:row>
    <x:row r="2286">
      <x:c r="B2286" t="str">
        <x:v>A-02240</x:v>
      </x:c>
      <x:c r="C2286" t="str">
        <x:v>GATE</x:v>
      </x:c>
      <x:c r="D2286" t="str">
        <x:v>release state mirrors governing ledger</x:v>
      </x:c>
      <x:c r="E2286" t="str">
        <x:f>'Release Gates'!I2246</x:f>
        <x:v>OPEN</x:v>
      </x:c>
      <x:c r="F2286" t="str">
        <x:f>IF('Release Gates'!C2246="PLANNING","PASS",IF('Release Gates'!C2246="PHYSICAL","OPEN","BLOCKED"))</x:f>
        <x:v>OPEN</x:v>
      </x:c>
      <x:c r="G2286" t="str">
        <x:v>equals</x:v>
      </x:c>
      <x:c r="H2286" t="str">
        <x:f>IF(E2286=F2286,"PASS","FAIL")</x:f>
        <x:v>PASS</x:v>
      </x:c>
    </x:row>
    <x:row r="2287">
      <x:c r="B2287" t="str">
        <x:v>A-02241</x:v>
      </x:c>
      <x:c r="C2287" t="str">
        <x:v>GATE</x:v>
      </x:c>
      <x:c r="D2287" t="str">
        <x:v>release state mirrors governing ledger</x:v>
      </x:c>
      <x:c r="E2287" t="str">
        <x:f>'Release Gates'!I2247</x:f>
        <x:v>OPEN</x:v>
      </x:c>
      <x:c r="F2287" t="str">
        <x:f>IF('Release Gates'!C2247="PLANNING","PASS",IF('Release Gates'!C2247="PHYSICAL","OPEN","BLOCKED"))</x:f>
        <x:v>OPEN</x:v>
      </x:c>
      <x:c r="G2287" t="str">
        <x:v>equals</x:v>
      </x:c>
      <x:c r="H2287" t="str">
        <x:f>IF(E2287=F2287,"PASS","FAIL")</x:f>
        <x:v>PASS</x:v>
      </x:c>
    </x:row>
    <x:row r="2288">
      <x:c r="B2288" t="str">
        <x:v>A-02242</x:v>
      </x:c>
      <x:c r="C2288" t="str">
        <x:v>GATE</x:v>
      </x:c>
      <x:c r="D2288" t="str">
        <x:v>release state mirrors governing ledger</x:v>
      </x:c>
      <x:c r="E2288" t="str">
        <x:f>'Release Gates'!I2248</x:f>
        <x:v>OPEN</x:v>
      </x:c>
      <x:c r="F2288" t="str">
        <x:f>IF('Release Gates'!C2248="PLANNING","PASS",IF('Release Gates'!C2248="PHYSICAL","OPEN","BLOCKED"))</x:f>
        <x:v>OPEN</x:v>
      </x:c>
      <x:c r="G2288" t="str">
        <x:v>equals</x:v>
      </x:c>
      <x:c r="H2288" t="str">
        <x:f>IF(E2288=F2288,"PASS","FAIL")</x:f>
        <x:v>PASS</x:v>
      </x:c>
    </x:row>
    <x:row r="2289">
      <x:c r="B2289" t="str">
        <x:v>A-02243</x:v>
      </x:c>
      <x:c r="C2289" t="str">
        <x:v>GATE</x:v>
      </x:c>
      <x:c r="D2289" t="str">
        <x:v>release state mirrors governing ledger</x:v>
      </x:c>
      <x:c r="E2289" t="str">
        <x:f>'Release Gates'!I2249</x:f>
        <x:v>OPEN</x:v>
      </x:c>
      <x:c r="F2289" t="str">
        <x:f>IF('Release Gates'!C2249="PLANNING","PASS",IF('Release Gates'!C2249="PHYSICAL","OPEN","BLOCKED"))</x:f>
        <x:v>OPEN</x:v>
      </x:c>
      <x:c r="G2289" t="str">
        <x:v>equals</x:v>
      </x:c>
      <x:c r="H2289" t="str">
        <x:f>IF(E2289=F2289,"PASS","FAIL")</x:f>
        <x:v>PASS</x:v>
      </x:c>
    </x:row>
    <x:row r="2290">
      <x:c r="B2290" t="str">
        <x:v>A-02244</x:v>
      </x:c>
      <x:c r="C2290" t="str">
        <x:v>GATE</x:v>
      </x:c>
      <x:c r="D2290" t="str">
        <x:v>release state mirrors governing ledger</x:v>
      </x:c>
      <x:c r="E2290" t="str">
        <x:f>'Release Gates'!I2250</x:f>
        <x:v>OPEN</x:v>
      </x:c>
      <x:c r="F2290" t="str">
        <x:f>IF('Release Gates'!C2250="PLANNING","PASS",IF('Release Gates'!C2250="PHYSICAL","OPEN","BLOCKED"))</x:f>
        <x:v>OPEN</x:v>
      </x:c>
      <x:c r="G2290" t="str">
        <x:v>equals</x:v>
      </x:c>
      <x:c r="H2290" t="str">
        <x:f>IF(E2290=F2290,"PASS","FAIL")</x:f>
        <x:v>PASS</x:v>
      </x:c>
    </x:row>
    <x:row r="2291">
      <x:c r="B2291" t="str">
        <x:v>A-02245</x:v>
      </x:c>
      <x:c r="C2291" t="str">
        <x:v>GATE</x:v>
      </x:c>
      <x:c r="D2291" t="str">
        <x:v>release state mirrors governing ledger</x:v>
      </x:c>
      <x:c r="E2291" t="str">
        <x:f>'Release Gates'!I2251</x:f>
        <x:v>OPEN</x:v>
      </x:c>
      <x:c r="F2291" t="str">
        <x:f>IF('Release Gates'!C2251="PLANNING","PASS",IF('Release Gates'!C2251="PHYSICAL","OPEN","BLOCKED"))</x:f>
        <x:v>OPEN</x:v>
      </x:c>
      <x:c r="G2291" t="str">
        <x:v>equals</x:v>
      </x:c>
      <x:c r="H2291" t="str">
        <x:f>IF(E2291=F2291,"PASS","FAIL")</x:f>
        <x:v>PASS</x:v>
      </x:c>
    </x:row>
    <x:row r="2292">
      <x:c r="B2292" t="str">
        <x:v>A-02246</x:v>
      </x:c>
      <x:c r="C2292" t="str">
        <x:v>GATE</x:v>
      </x:c>
      <x:c r="D2292" t="str">
        <x:v>release state mirrors governing ledger</x:v>
      </x:c>
      <x:c r="E2292" t="str">
        <x:f>'Release Gates'!I2252</x:f>
        <x:v>OPEN</x:v>
      </x:c>
      <x:c r="F2292" t="str">
        <x:f>IF('Release Gates'!C2252="PLANNING","PASS",IF('Release Gates'!C2252="PHYSICAL","OPEN","BLOCKED"))</x:f>
        <x:v>OPEN</x:v>
      </x:c>
      <x:c r="G2292" t="str">
        <x:v>equals</x:v>
      </x:c>
      <x:c r="H2292" t="str">
        <x:f>IF(E2292=F2292,"PASS","FAIL")</x:f>
        <x:v>PASS</x:v>
      </x:c>
    </x:row>
    <x:row r="2293">
      <x:c r="B2293" t="str">
        <x:v>A-02247</x:v>
      </x:c>
      <x:c r="C2293" t="str">
        <x:v>GATE</x:v>
      </x:c>
      <x:c r="D2293" t="str">
        <x:v>release state mirrors governing ledger</x:v>
      </x:c>
      <x:c r="E2293" t="str">
        <x:f>'Release Gates'!I2253</x:f>
        <x:v>OPEN</x:v>
      </x:c>
      <x:c r="F2293" t="str">
        <x:f>IF('Release Gates'!C2253="PLANNING","PASS",IF('Release Gates'!C2253="PHYSICAL","OPEN","BLOCKED"))</x:f>
        <x:v>OPEN</x:v>
      </x:c>
      <x:c r="G2293" t="str">
        <x:v>equals</x:v>
      </x:c>
      <x:c r="H2293" t="str">
        <x:f>IF(E2293=F2293,"PASS","FAIL")</x:f>
        <x:v>PASS</x:v>
      </x:c>
    </x:row>
    <x:row r="2294">
      <x:c r="B2294" t="str">
        <x:v>A-02248</x:v>
      </x:c>
      <x:c r="C2294" t="str">
        <x:v>GATE</x:v>
      </x:c>
      <x:c r="D2294" t="str">
        <x:v>release state mirrors governing ledger</x:v>
      </x:c>
      <x:c r="E2294" t="str">
        <x:f>'Release Gates'!I2254</x:f>
        <x:v>OPEN</x:v>
      </x:c>
      <x:c r="F2294" t="str">
        <x:f>IF('Release Gates'!C2254="PLANNING","PASS",IF('Release Gates'!C2254="PHYSICAL","OPEN","BLOCKED"))</x:f>
        <x:v>OPEN</x:v>
      </x:c>
      <x:c r="G2294" t="str">
        <x:v>equals</x:v>
      </x:c>
      <x:c r="H2294" t="str">
        <x:f>IF(E2294=F2294,"PASS","FAIL")</x:f>
        <x:v>PASS</x:v>
      </x:c>
    </x:row>
    <x:row r="2295">
      <x:c r="B2295" t="str">
        <x:v>A-02249</x:v>
      </x:c>
      <x:c r="C2295" t="str">
        <x:v>GATE</x:v>
      </x:c>
      <x:c r="D2295" t="str">
        <x:v>release state mirrors governing ledger</x:v>
      </x:c>
      <x:c r="E2295" t="str">
        <x:f>'Release Gates'!I2255</x:f>
        <x:v>OPEN</x:v>
      </x:c>
      <x:c r="F2295" t="str">
        <x:f>IF('Release Gates'!C2255="PLANNING","PASS",IF('Release Gates'!C2255="PHYSICAL","OPEN","BLOCKED"))</x:f>
        <x:v>OPEN</x:v>
      </x:c>
      <x:c r="G2295" t="str">
        <x:v>equals</x:v>
      </x:c>
      <x:c r="H2295" t="str">
        <x:f>IF(E2295=F2295,"PASS","FAIL")</x:f>
        <x:v>PASS</x:v>
      </x:c>
    </x:row>
    <x:row r="2296">
      <x:c r="B2296" t="str">
        <x:v>A-02250</x:v>
      </x:c>
      <x:c r="C2296" t="str">
        <x:v>GATE</x:v>
      </x:c>
      <x:c r="D2296" t="str">
        <x:v>release state mirrors governing ledger</x:v>
      </x:c>
      <x:c r="E2296" t="str">
        <x:f>'Release Gates'!I2256</x:f>
        <x:v>OPEN</x:v>
      </x:c>
      <x:c r="F2296" t="str">
        <x:f>IF('Release Gates'!C2256="PLANNING","PASS",IF('Release Gates'!C2256="PHYSICAL","OPEN","BLOCKED"))</x:f>
        <x:v>OPEN</x:v>
      </x:c>
      <x:c r="G2296" t="str">
        <x:v>equals</x:v>
      </x:c>
      <x:c r="H2296" t="str">
        <x:f>IF(E2296=F2296,"PASS","FAIL")</x:f>
        <x:v>PASS</x:v>
      </x:c>
    </x:row>
    <x:row r="2297">
      <x:c r="B2297" t="str">
        <x:v>A-02251</x:v>
      </x:c>
      <x:c r="C2297" t="str">
        <x:v>GATE</x:v>
      </x:c>
      <x:c r="D2297" t="str">
        <x:v>release state mirrors governing ledger</x:v>
      </x:c>
      <x:c r="E2297" t="str">
        <x:f>'Release Gates'!I2257</x:f>
        <x:v>OPEN</x:v>
      </x:c>
      <x:c r="F2297" t="str">
        <x:f>IF('Release Gates'!C2257="PLANNING","PASS",IF('Release Gates'!C2257="PHYSICAL","OPEN","BLOCKED"))</x:f>
        <x:v>OPEN</x:v>
      </x:c>
      <x:c r="G2297" t="str">
        <x:v>equals</x:v>
      </x:c>
      <x:c r="H2297" t="str">
        <x:f>IF(E2297=F2297,"PASS","FAIL")</x:f>
        <x:v>PASS</x:v>
      </x:c>
    </x:row>
    <x:row r="2298">
      <x:c r="B2298" t="str">
        <x:v>A-02252</x:v>
      </x:c>
      <x:c r="C2298" t="str">
        <x:v>GATE</x:v>
      </x:c>
      <x:c r="D2298" t="str">
        <x:v>release state mirrors governing ledger</x:v>
      </x:c>
      <x:c r="E2298" t="str">
        <x:f>'Release Gates'!I2258</x:f>
        <x:v>OPEN</x:v>
      </x:c>
      <x:c r="F2298" t="str">
        <x:f>IF('Release Gates'!C2258="PLANNING","PASS",IF('Release Gates'!C2258="PHYSICAL","OPEN","BLOCKED"))</x:f>
        <x:v>OPEN</x:v>
      </x:c>
      <x:c r="G2298" t="str">
        <x:v>equals</x:v>
      </x:c>
      <x:c r="H2298" t="str">
        <x:f>IF(E2298=F2298,"PASS","FAIL")</x:f>
        <x:v>PASS</x:v>
      </x:c>
    </x:row>
    <x:row r="2299">
      <x:c r="B2299" t="str">
        <x:v>A-02253</x:v>
      </x:c>
      <x:c r="C2299" t="str">
        <x:v>GATE</x:v>
      </x:c>
      <x:c r="D2299" t="str">
        <x:v>release state mirrors governing ledger</x:v>
      </x:c>
      <x:c r="E2299" t="str">
        <x:f>'Release Gates'!I2259</x:f>
        <x:v>OPEN</x:v>
      </x:c>
      <x:c r="F2299" t="str">
        <x:f>IF('Release Gates'!C2259="PLANNING","PASS",IF('Release Gates'!C2259="PHYSICAL","OPEN","BLOCKED"))</x:f>
        <x:v>OPEN</x:v>
      </x:c>
      <x:c r="G2299" t="str">
        <x:v>equals</x:v>
      </x:c>
      <x:c r="H2299" t="str">
        <x:f>IF(E2299=F2299,"PASS","FAIL")</x:f>
        <x:v>PASS</x:v>
      </x:c>
    </x:row>
    <x:row r="2300">
      <x:c r="B2300" t="str">
        <x:v>A-02254</x:v>
      </x:c>
      <x:c r="C2300" t="str">
        <x:v>GATE</x:v>
      </x:c>
      <x:c r="D2300" t="str">
        <x:v>release state mirrors governing ledger</x:v>
      </x:c>
      <x:c r="E2300" t="str">
        <x:f>'Release Gates'!I2260</x:f>
        <x:v>OPEN</x:v>
      </x:c>
      <x:c r="F2300" t="str">
        <x:f>IF('Release Gates'!C2260="PLANNING","PASS",IF('Release Gates'!C2260="PHYSICAL","OPEN","BLOCKED"))</x:f>
        <x:v>OPEN</x:v>
      </x:c>
      <x:c r="G2300" t="str">
        <x:v>equals</x:v>
      </x:c>
      <x:c r="H2300" t="str">
        <x:f>IF(E2300=F2300,"PASS","FAIL")</x:f>
        <x:v>PASS</x:v>
      </x:c>
    </x:row>
    <x:row r="2301">
      <x:c r="B2301" t="str">
        <x:v>A-02255</x:v>
      </x:c>
      <x:c r="C2301" t="str">
        <x:v>GATE</x:v>
      </x:c>
      <x:c r="D2301" t="str">
        <x:v>release state mirrors governing ledger</x:v>
      </x:c>
      <x:c r="E2301" t="str">
        <x:f>'Release Gates'!I2261</x:f>
        <x:v>OPEN</x:v>
      </x:c>
      <x:c r="F2301" t="str">
        <x:f>IF('Release Gates'!C2261="PLANNING","PASS",IF('Release Gates'!C2261="PHYSICAL","OPEN","BLOCKED"))</x:f>
        <x:v>OPEN</x:v>
      </x:c>
      <x:c r="G2301" t="str">
        <x:v>equals</x:v>
      </x:c>
      <x:c r="H2301" t="str">
        <x:f>IF(E2301=F2301,"PASS","FAIL")</x:f>
        <x:v>PASS</x:v>
      </x:c>
    </x:row>
    <x:row r="2302">
      <x:c r="B2302" t="str">
        <x:v>A-02256</x:v>
      </x:c>
      <x:c r="C2302" t="str">
        <x:v>GATE</x:v>
      </x:c>
      <x:c r="D2302" t="str">
        <x:v>release state mirrors governing ledger</x:v>
      </x:c>
      <x:c r="E2302" t="str">
        <x:f>'Release Gates'!I2262</x:f>
        <x:v>OPEN</x:v>
      </x:c>
      <x:c r="F2302" t="str">
        <x:f>IF('Release Gates'!C2262="PLANNING","PASS",IF('Release Gates'!C2262="PHYSICAL","OPEN","BLOCKED"))</x:f>
        <x:v>OPEN</x:v>
      </x:c>
      <x:c r="G2302" t="str">
        <x:v>equals</x:v>
      </x:c>
      <x:c r="H2302" t="str">
        <x:f>IF(E2302=F2302,"PASS","FAIL")</x:f>
        <x:v>PASS</x:v>
      </x:c>
    </x:row>
    <x:row r="2303">
      <x:c r="B2303" t="str">
        <x:v>A-02257</x:v>
      </x:c>
      <x:c r="C2303" t="str">
        <x:v>GATE</x:v>
      </x:c>
      <x:c r="D2303" t="str">
        <x:v>release state mirrors governing ledger</x:v>
      </x:c>
      <x:c r="E2303" t="str">
        <x:f>'Release Gates'!I2263</x:f>
        <x:v>OPEN</x:v>
      </x:c>
      <x:c r="F2303" t="str">
        <x:f>IF('Release Gates'!C2263="PLANNING","PASS",IF('Release Gates'!C2263="PHYSICAL","OPEN","BLOCKED"))</x:f>
        <x:v>OPEN</x:v>
      </x:c>
      <x:c r="G2303" t="str">
        <x:v>equals</x:v>
      </x:c>
      <x:c r="H2303" t="str">
        <x:f>IF(E2303=F2303,"PASS","FAIL")</x:f>
        <x:v>PASS</x:v>
      </x:c>
    </x:row>
    <x:row r="2304">
      <x:c r="B2304" t="str">
        <x:v>A-02258</x:v>
      </x:c>
      <x:c r="C2304" t="str">
        <x:v>GATE</x:v>
      </x:c>
      <x:c r="D2304" t="str">
        <x:v>release state mirrors governing ledger</x:v>
      </x:c>
      <x:c r="E2304" t="str">
        <x:f>'Release Gates'!I2264</x:f>
        <x:v>OPEN</x:v>
      </x:c>
      <x:c r="F2304" t="str">
        <x:f>IF('Release Gates'!C2264="PLANNING","PASS",IF('Release Gates'!C2264="PHYSICAL","OPEN","BLOCKED"))</x:f>
        <x:v>OPEN</x:v>
      </x:c>
      <x:c r="G2304" t="str">
        <x:v>equals</x:v>
      </x:c>
      <x:c r="H2304" t="str">
        <x:f>IF(E2304=F2304,"PASS","FAIL")</x:f>
        <x:v>PASS</x:v>
      </x:c>
    </x:row>
    <x:row r="2305">
      <x:c r="B2305" t="str">
        <x:v>A-02259</x:v>
      </x:c>
      <x:c r="C2305" t="str">
        <x:v>GATE</x:v>
      </x:c>
      <x:c r="D2305" t="str">
        <x:v>release state mirrors governing ledger</x:v>
      </x:c>
      <x:c r="E2305" t="str">
        <x:f>'Release Gates'!I2265</x:f>
        <x:v>OPEN</x:v>
      </x:c>
      <x:c r="F2305" t="str">
        <x:f>IF('Release Gates'!C2265="PLANNING","PASS",IF('Release Gates'!C2265="PHYSICAL","OPEN","BLOCKED"))</x:f>
        <x:v>OPEN</x:v>
      </x:c>
      <x:c r="G2305" t="str">
        <x:v>equals</x:v>
      </x:c>
      <x:c r="H2305" t="str">
        <x:f>IF(E2305=F2305,"PASS","FAIL")</x:f>
        <x:v>PASS</x:v>
      </x:c>
    </x:row>
    <x:row r="2306">
      <x:c r="B2306" t="str">
        <x:v>A-02260</x:v>
      </x:c>
      <x:c r="C2306" t="str">
        <x:v>GATE</x:v>
      </x:c>
      <x:c r="D2306" t="str">
        <x:v>release state mirrors governing ledger</x:v>
      </x:c>
      <x:c r="E2306" t="str">
        <x:f>'Release Gates'!I2266</x:f>
        <x:v>OPEN</x:v>
      </x:c>
      <x:c r="F2306" t="str">
        <x:f>IF('Release Gates'!C2266="PLANNING","PASS",IF('Release Gates'!C2266="PHYSICAL","OPEN","BLOCKED"))</x:f>
        <x:v>OPEN</x:v>
      </x:c>
      <x:c r="G2306" t="str">
        <x:v>equals</x:v>
      </x:c>
      <x:c r="H2306" t="str">
        <x:f>IF(E2306=F2306,"PASS","FAIL")</x:f>
        <x:v>PASS</x:v>
      </x:c>
    </x:row>
    <x:row r="2307">
      <x:c r="B2307" t="str">
        <x:v>A-02261</x:v>
      </x:c>
      <x:c r="C2307" t="str">
        <x:v>GATE</x:v>
      </x:c>
      <x:c r="D2307" t="str">
        <x:v>release state mirrors governing ledger</x:v>
      </x:c>
      <x:c r="E2307" t="str">
        <x:f>'Release Gates'!I2267</x:f>
        <x:v>OPEN</x:v>
      </x:c>
      <x:c r="F2307" t="str">
        <x:f>IF('Release Gates'!C2267="PLANNING","PASS",IF('Release Gates'!C2267="PHYSICAL","OPEN","BLOCKED"))</x:f>
        <x:v>OPEN</x:v>
      </x:c>
      <x:c r="G2307" t="str">
        <x:v>equals</x:v>
      </x:c>
      <x:c r="H2307" t="str">
        <x:f>IF(E2307=F2307,"PASS","FAIL")</x:f>
        <x:v>PASS</x:v>
      </x:c>
    </x:row>
    <x:row r="2308">
      <x:c r="B2308" t="str">
        <x:v>A-02262</x:v>
      </x:c>
      <x:c r="C2308" t="str">
        <x:v>GATE</x:v>
      </x:c>
      <x:c r="D2308" t="str">
        <x:v>release state mirrors governing ledger</x:v>
      </x:c>
      <x:c r="E2308" t="str">
        <x:f>'Release Gates'!I2268</x:f>
        <x:v>OPEN</x:v>
      </x:c>
      <x:c r="F2308" t="str">
        <x:f>IF('Release Gates'!C2268="PLANNING","PASS",IF('Release Gates'!C2268="PHYSICAL","OPEN","BLOCKED"))</x:f>
        <x:v>OPEN</x:v>
      </x:c>
      <x:c r="G2308" t="str">
        <x:v>equals</x:v>
      </x:c>
      <x:c r="H2308" t="str">
        <x:f>IF(E2308=F2308,"PASS","FAIL")</x:f>
        <x:v>PASS</x:v>
      </x:c>
    </x:row>
    <x:row r="2309">
      <x:c r="B2309" t="str">
        <x:v>A-02263</x:v>
      </x:c>
      <x:c r="C2309" t="str">
        <x:v>GATE</x:v>
      </x:c>
      <x:c r="D2309" t="str">
        <x:v>release state mirrors governing ledger</x:v>
      </x:c>
      <x:c r="E2309" t="str">
        <x:f>'Release Gates'!I2269</x:f>
        <x:v>OPEN</x:v>
      </x:c>
      <x:c r="F2309" t="str">
        <x:f>IF('Release Gates'!C2269="PLANNING","PASS",IF('Release Gates'!C2269="PHYSICAL","OPEN","BLOCKED"))</x:f>
        <x:v>OPEN</x:v>
      </x:c>
      <x:c r="G2309" t="str">
        <x:v>equals</x:v>
      </x:c>
      <x:c r="H2309" t="str">
        <x:f>IF(E2309=F2309,"PASS","FAIL")</x:f>
        <x:v>PASS</x:v>
      </x:c>
    </x:row>
    <x:row r="2310">
      <x:c r="B2310" t="str">
        <x:v>A-02264</x:v>
      </x:c>
      <x:c r="C2310" t="str">
        <x:v>GATE</x:v>
      </x:c>
      <x:c r="D2310" t="str">
        <x:v>release state mirrors governing ledger</x:v>
      </x:c>
      <x:c r="E2310" t="str">
        <x:f>'Release Gates'!I2270</x:f>
        <x:v>OPEN</x:v>
      </x:c>
      <x:c r="F2310" t="str">
        <x:f>IF('Release Gates'!C2270="PLANNING","PASS",IF('Release Gates'!C2270="PHYSICAL","OPEN","BLOCKED"))</x:f>
        <x:v>OPEN</x:v>
      </x:c>
      <x:c r="G2310" t="str">
        <x:v>equals</x:v>
      </x:c>
      <x:c r="H2310" t="str">
        <x:f>IF(E2310=F2310,"PASS","FAIL")</x:f>
        <x:v>PASS</x:v>
      </x:c>
    </x:row>
    <x:row r="2311">
      <x:c r="B2311" t="str">
        <x:v>A-02265</x:v>
      </x:c>
      <x:c r="C2311" t="str">
        <x:v>GATE</x:v>
      </x:c>
      <x:c r="D2311" t="str">
        <x:v>release state mirrors governing ledger</x:v>
      </x:c>
      <x:c r="E2311" t="str">
        <x:f>'Release Gates'!I2271</x:f>
        <x:v>OPEN</x:v>
      </x:c>
      <x:c r="F2311" t="str">
        <x:f>IF('Release Gates'!C2271="PLANNING","PASS",IF('Release Gates'!C2271="PHYSICAL","OPEN","BLOCKED"))</x:f>
        <x:v>OPEN</x:v>
      </x:c>
      <x:c r="G2311" t="str">
        <x:v>equals</x:v>
      </x:c>
      <x:c r="H2311" t="str">
        <x:f>IF(E2311=F2311,"PASS","FAIL")</x:f>
        <x:v>PASS</x:v>
      </x:c>
    </x:row>
    <x:row r="2312">
      <x:c r="B2312" t="str">
        <x:v>A-02266</x:v>
      </x:c>
      <x:c r="C2312" t="str">
        <x:v>GATE</x:v>
      </x:c>
      <x:c r="D2312" t="str">
        <x:v>release state mirrors governing ledger</x:v>
      </x:c>
      <x:c r="E2312" t="str">
        <x:f>'Release Gates'!I2272</x:f>
        <x:v>OPEN</x:v>
      </x:c>
      <x:c r="F2312" t="str">
        <x:f>IF('Release Gates'!C2272="PLANNING","PASS",IF('Release Gates'!C2272="PHYSICAL","OPEN","BLOCKED"))</x:f>
        <x:v>OPEN</x:v>
      </x:c>
      <x:c r="G2312" t="str">
        <x:v>equals</x:v>
      </x:c>
      <x:c r="H2312" t="str">
        <x:f>IF(E2312=F2312,"PASS","FAIL")</x:f>
        <x:v>PASS</x:v>
      </x:c>
    </x:row>
    <x:row r="2313">
      <x:c r="B2313" t="str">
        <x:v>A-02267</x:v>
      </x:c>
      <x:c r="C2313" t="str">
        <x:v>GATE</x:v>
      </x:c>
      <x:c r="D2313" t="str">
        <x:v>release state mirrors governing ledger</x:v>
      </x:c>
      <x:c r="E2313" t="str">
        <x:f>'Release Gates'!I2273</x:f>
        <x:v>OPEN</x:v>
      </x:c>
      <x:c r="F2313" t="str">
        <x:f>IF('Release Gates'!C2273="PLANNING","PASS",IF('Release Gates'!C2273="PHYSICAL","OPEN","BLOCKED"))</x:f>
        <x:v>OPEN</x:v>
      </x:c>
      <x:c r="G2313" t="str">
        <x:v>equals</x:v>
      </x:c>
      <x:c r="H2313" t="str">
        <x:f>IF(E2313=F2313,"PASS","FAIL")</x:f>
        <x:v>PASS</x:v>
      </x:c>
    </x:row>
    <x:row r="2314">
      <x:c r="B2314" t="str">
        <x:v>A-02268</x:v>
      </x:c>
      <x:c r="C2314" t="str">
        <x:v>GATE</x:v>
      </x:c>
      <x:c r="D2314" t="str">
        <x:v>release state mirrors governing ledger</x:v>
      </x:c>
      <x:c r="E2314" t="str">
        <x:f>'Release Gates'!I2274</x:f>
        <x:v>OPEN</x:v>
      </x:c>
      <x:c r="F2314" t="str">
        <x:f>IF('Release Gates'!C2274="PLANNING","PASS",IF('Release Gates'!C2274="PHYSICAL","OPEN","BLOCKED"))</x:f>
        <x:v>OPEN</x:v>
      </x:c>
      <x:c r="G2314" t="str">
        <x:v>equals</x:v>
      </x:c>
      <x:c r="H2314" t="str">
        <x:f>IF(E2314=F2314,"PASS","FAIL")</x:f>
        <x:v>PASS</x:v>
      </x:c>
    </x:row>
    <x:row r="2315">
      <x:c r="B2315" t="str">
        <x:v>A-02269</x:v>
      </x:c>
      <x:c r="C2315" t="str">
        <x:v>GATE</x:v>
      </x:c>
      <x:c r="D2315" t="str">
        <x:v>release state mirrors governing ledger</x:v>
      </x:c>
      <x:c r="E2315" t="str">
        <x:f>'Release Gates'!I2275</x:f>
        <x:v>OPEN</x:v>
      </x:c>
      <x:c r="F2315" t="str">
        <x:f>IF('Release Gates'!C2275="PLANNING","PASS",IF('Release Gates'!C2275="PHYSICAL","OPEN","BLOCKED"))</x:f>
        <x:v>OPEN</x:v>
      </x:c>
      <x:c r="G2315" t="str">
        <x:v>equals</x:v>
      </x:c>
      <x:c r="H2315" t="str">
        <x:f>IF(E2315=F2315,"PASS","FAIL")</x:f>
        <x:v>PASS</x:v>
      </x:c>
    </x:row>
    <x:row r="2316">
      <x:c r="B2316" t="str">
        <x:v>A-02270</x:v>
      </x:c>
      <x:c r="C2316" t="str">
        <x:v>GATE</x:v>
      </x:c>
      <x:c r="D2316" t="str">
        <x:v>release state mirrors governing ledger</x:v>
      </x:c>
      <x:c r="E2316" t="str">
        <x:f>'Release Gates'!I2276</x:f>
        <x:v>OPEN</x:v>
      </x:c>
      <x:c r="F2316" t="str">
        <x:f>IF('Release Gates'!C2276="PLANNING","PASS",IF('Release Gates'!C2276="PHYSICAL","OPEN","BLOCKED"))</x:f>
        <x:v>OPEN</x:v>
      </x:c>
      <x:c r="G2316" t="str">
        <x:v>equals</x:v>
      </x:c>
      <x:c r="H2316" t="str">
        <x:f>IF(E2316=F2316,"PASS","FAIL")</x:f>
        <x:v>PASS</x:v>
      </x:c>
    </x:row>
    <x:row r="2317">
      <x:c r="B2317" t="str">
        <x:v>A-02271</x:v>
      </x:c>
      <x:c r="C2317" t="str">
        <x:v>GATE</x:v>
      </x:c>
      <x:c r="D2317" t="str">
        <x:v>release state mirrors governing ledger</x:v>
      </x:c>
      <x:c r="E2317" t="str">
        <x:f>'Release Gates'!I2277</x:f>
        <x:v>OPEN</x:v>
      </x:c>
      <x:c r="F2317" t="str">
        <x:f>IF('Release Gates'!C2277="PLANNING","PASS",IF('Release Gates'!C2277="PHYSICAL","OPEN","BLOCKED"))</x:f>
        <x:v>OPEN</x:v>
      </x:c>
      <x:c r="G2317" t="str">
        <x:v>equals</x:v>
      </x:c>
      <x:c r="H2317" t="str">
        <x:f>IF(E2317=F2317,"PASS","FAIL")</x:f>
        <x:v>PASS</x:v>
      </x:c>
    </x:row>
    <x:row r="2318">
      <x:c r="B2318" t="str">
        <x:v>A-02272</x:v>
      </x:c>
      <x:c r="C2318" t="str">
        <x:v>GATE</x:v>
      </x:c>
      <x:c r="D2318" t="str">
        <x:v>release state mirrors governing ledger</x:v>
      </x:c>
      <x:c r="E2318" t="str">
        <x:f>'Release Gates'!I2278</x:f>
        <x:v>OPEN</x:v>
      </x:c>
      <x:c r="F2318" t="str">
        <x:f>IF('Release Gates'!C2278="PLANNING","PASS",IF('Release Gates'!C2278="PHYSICAL","OPEN","BLOCKED"))</x:f>
        <x:v>OPEN</x:v>
      </x:c>
      <x:c r="G2318" t="str">
        <x:v>equals</x:v>
      </x:c>
      <x:c r="H2318" t="str">
        <x:f>IF(E2318=F2318,"PASS","FAIL")</x:f>
        <x:v>PASS</x:v>
      </x:c>
    </x:row>
    <x:row r="2319">
      <x:c r="B2319" t="str">
        <x:v>A-02273</x:v>
      </x:c>
      <x:c r="C2319" t="str">
        <x:v>GATE</x:v>
      </x:c>
      <x:c r="D2319" t="str">
        <x:v>release state mirrors governing ledger</x:v>
      </x:c>
      <x:c r="E2319" t="str">
        <x:f>'Release Gates'!I2279</x:f>
        <x:v>OPEN</x:v>
      </x:c>
      <x:c r="F2319" t="str">
        <x:f>IF('Release Gates'!C2279="PLANNING","PASS",IF('Release Gates'!C2279="PHYSICAL","OPEN","BLOCKED"))</x:f>
        <x:v>OPEN</x:v>
      </x:c>
      <x:c r="G2319" t="str">
        <x:v>equals</x:v>
      </x:c>
      <x:c r="H2319" t="str">
        <x:f>IF(E2319=F2319,"PASS","FAIL")</x:f>
        <x:v>PASS</x:v>
      </x:c>
    </x:row>
    <x:row r="2320">
      <x:c r="B2320" t="str">
        <x:v>A-02274</x:v>
      </x:c>
      <x:c r="C2320" t="str">
        <x:v>GATE</x:v>
      </x:c>
      <x:c r="D2320" t="str">
        <x:v>release state mirrors governing ledger</x:v>
      </x:c>
      <x:c r="E2320" t="str">
        <x:f>'Release Gates'!I2280</x:f>
        <x:v>OPEN</x:v>
      </x:c>
      <x:c r="F2320" t="str">
        <x:f>IF('Release Gates'!C2280="PLANNING","PASS",IF('Release Gates'!C2280="PHYSICAL","OPEN","BLOCKED"))</x:f>
        <x:v>OPEN</x:v>
      </x:c>
      <x:c r="G2320" t="str">
        <x:v>equals</x:v>
      </x:c>
      <x:c r="H2320" t="str">
        <x:f>IF(E2320=F2320,"PASS","FAIL")</x:f>
        <x:v>PASS</x:v>
      </x:c>
    </x:row>
    <x:row r="2321">
      <x:c r="B2321" t="str">
        <x:v>A-02275</x:v>
      </x:c>
      <x:c r="C2321" t="str">
        <x:v>GATE</x:v>
      </x:c>
      <x:c r="D2321" t="str">
        <x:v>release state mirrors governing ledger</x:v>
      </x:c>
      <x:c r="E2321" t="str">
        <x:f>'Release Gates'!I2281</x:f>
        <x:v>OPEN</x:v>
      </x:c>
      <x:c r="F2321" t="str">
        <x:f>IF('Release Gates'!C2281="PLANNING","PASS",IF('Release Gates'!C2281="PHYSICAL","OPEN","BLOCKED"))</x:f>
        <x:v>OPEN</x:v>
      </x:c>
      <x:c r="G2321" t="str">
        <x:v>equals</x:v>
      </x:c>
      <x:c r="H2321" t="str">
        <x:f>IF(E2321=F2321,"PASS","FAIL")</x:f>
        <x:v>PASS</x:v>
      </x:c>
    </x:row>
    <x:row r="2322">
      <x:c r="B2322" t="str">
        <x:v>A-02276</x:v>
      </x:c>
      <x:c r="C2322" t="str">
        <x:v>GATE</x:v>
      </x:c>
      <x:c r="D2322" t="str">
        <x:v>release state mirrors governing ledger</x:v>
      </x:c>
      <x:c r="E2322" t="str">
        <x:f>'Release Gates'!I2282</x:f>
        <x:v>OPEN</x:v>
      </x:c>
      <x:c r="F2322" t="str">
        <x:f>IF('Release Gates'!C2282="PLANNING","PASS",IF('Release Gates'!C2282="PHYSICAL","OPEN","BLOCKED"))</x:f>
        <x:v>OPEN</x:v>
      </x:c>
      <x:c r="G2322" t="str">
        <x:v>equals</x:v>
      </x:c>
      <x:c r="H2322" t="str">
        <x:f>IF(E2322=F2322,"PASS","FAIL")</x:f>
        <x:v>PASS</x:v>
      </x:c>
    </x:row>
    <x:row r="2323">
      <x:c r="B2323" t="str">
        <x:v>A-02277</x:v>
      </x:c>
      <x:c r="C2323" t="str">
        <x:v>GATE</x:v>
      </x:c>
      <x:c r="D2323" t="str">
        <x:v>release state mirrors governing ledger</x:v>
      </x:c>
      <x:c r="E2323" t="str">
        <x:f>'Release Gates'!I2283</x:f>
        <x:v>OPEN</x:v>
      </x:c>
      <x:c r="F2323" t="str">
        <x:f>IF('Release Gates'!C2283="PLANNING","PASS",IF('Release Gates'!C2283="PHYSICAL","OPEN","BLOCKED"))</x:f>
        <x:v>OPEN</x:v>
      </x:c>
      <x:c r="G2323" t="str">
        <x:v>equals</x:v>
      </x:c>
      <x:c r="H2323" t="str">
        <x:f>IF(E2323=F2323,"PASS","FAIL")</x:f>
        <x:v>PASS</x:v>
      </x:c>
    </x:row>
    <x:row r="2324">
      <x:c r="B2324" t="str">
        <x:v>A-02278</x:v>
      </x:c>
      <x:c r="C2324" t="str">
        <x:v>GATE</x:v>
      </x:c>
      <x:c r="D2324" t="str">
        <x:v>release state mirrors governing ledger</x:v>
      </x:c>
      <x:c r="E2324" t="str">
        <x:f>'Release Gates'!I2284</x:f>
        <x:v>OPEN</x:v>
      </x:c>
      <x:c r="F2324" t="str">
        <x:f>IF('Release Gates'!C2284="PLANNING","PASS",IF('Release Gates'!C2284="PHYSICAL","OPEN","BLOCKED"))</x:f>
        <x:v>OPEN</x:v>
      </x:c>
      <x:c r="G2324" t="str">
        <x:v>equals</x:v>
      </x:c>
      <x:c r="H2324" t="str">
        <x:f>IF(E2324=F2324,"PASS","FAIL")</x:f>
        <x:v>PASS</x:v>
      </x:c>
    </x:row>
    <x:row r="2325">
      <x:c r="B2325" t="str">
        <x:v>A-02279</x:v>
      </x:c>
      <x:c r="C2325" t="str">
        <x:v>GATE</x:v>
      </x:c>
      <x:c r="D2325" t="str">
        <x:v>release state mirrors governing ledger</x:v>
      </x:c>
      <x:c r="E2325" t="str">
        <x:f>'Release Gates'!I2285</x:f>
        <x:v>OPEN</x:v>
      </x:c>
      <x:c r="F2325" t="str">
        <x:f>IF('Release Gates'!C2285="PLANNING","PASS",IF('Release Gates'!C2285="PHYSICAL","OPEN","BLOCKED"))</x:f>
        <x:v>OPEN</x:v>
      </x:c>
      <x:c r="G2325" t="str">
        <x:v>equals</x:v>
      </x:c>
      <x:c r="H2325" t="str">
        <x:f>IF(E2325=F2325,"PASS","FAIL")</x:f>
        <x:v>PASS</x:v>
      </x:c>
    </x:row>
    <x:row r="2326">
      <x:c r="B2326" t="str">
        <x:v>A-02280</x:v>
      </x:c>
      <x:c r="C2326" t="str">
        <x:v>GATE</x:v>
      </x:c>
      <x:c r="D2326" t="str">
        <x:v>release state mirrors governing ledger</x:v>
      </x:c>
      <x:c r="E2326" t="str">
        <x:f>'Release Gates'!I2286</x:f>
        <x:v>OPEN</x:v>
      </x:c>
      <x:c r="F2326" t="str">
        <x:f>IF('Release Gates'!C2286="PLANNING","PASS",IF('Release Gates'!C2286="PHYSICAL","OPEN","BLOCKED"))</x:f>
        <x:v>OPEN</x:v>
      </x:c>
      <x:c r="G2326" t="str">
        <x:v>equals</x:v>
      </x:c>
      <x:c r="H2326" t="str">
        <x:f>IF(E2326=F2326,"PASS","FAIL")</x:f>
        <x:v>PASS</x:v>
      </x:c>
    </x:row>
    <x:row r="2327">
      <x:c r="B2327" t="str">
        <x:v>A-02281</x:v>
      </x:c>
      <x:c r="C2327" t="str">
        <x:v>GATE</x:v>
      </x:c>
      <x:c r="D2327" t="str">
        <x:v>release state mirrors governing ledger</x:v>
      </x:c>
      <x:c r="E2327" t="str">
        <x:f>'Release Gates'!I2287</x:f>
        <x:v>OPEN</x:v>
      </x:c>
      <x:c r="F2327" t="str">
        <x:f>IF('Release Gates'!C2287="PLANNING","PASS",IF('Release Gates'!C2287="PHYSICAL","OPEN","BLOCKED"))</x:f>
        <x:v>OPEN</x:v>
      </x:c>
      <x:c r="G2327" t="str">
        <x:v>equals</x:v>
      </x:c>
      <x:c r="H2327" t="str">
        <x:f>IF(E2327=F2327,"PASS","FAIL")</x:f>
        <x:v>PASS</x:v>
      </x:c>
    </x:row>
    <x:row r="2328">
      <x:c r="B2328" t="str">
        <x:v>A-02282</x:v>
      </x:c>
      <x:c r="C2328" t="str">
        <x:v>GATE</x:v>
      </x:c>
      <x:c r="D2328" t="str">
        <x:v>release state mirrors governing ledger</x:v>
      </x:c>
      <x:c r="E2328" t="str">
        <x:f>'Release Gates'!I2288</x:f>
        <x:v>OPEN</x:v>
      </x:c>
      <x:c r="F2328" t="str">
        <x:f>IF('Release Gates'!C2288="PLANNING","PASS",IF('Release Gates'!C2288="PHYSICAL","OPEN","BLOCKED"))</x:f>
        <x:v>OPEN</x:v>
      </x:c>
      <x:c r="G2328" t="str">
        <x:v>equals</x:v>
      </x:c>
      <x:c r="H2328" t="str">
        <x:f>IF(E2328=F2328,"PASS","FAIL")</x:f>
        <x:v>PASS</x:v>
      </x:c>
    </x:row>
    <x:row r="2329">
      <x:c r="B2329" t="str">
        <x:v>A-02283</x:v>
      </x:c>
      <x:c r="C2329" t="str">
        <x:v>GATE</x:v>
      </x:c>
      <x:c r="D2329" t="str">
        <x:v>release state mirrors governing ledger</x:v>
      </x:c>
      <x:c r="E2329" t="str">
        <x:f>'Release Gates'!I2289</x:f>
        <x:v>OPEN</x:v>
      </x:c>
      <x:c r="F2329" t="str">
        <x:f>IF('Release Gates'!C2289="PLANNING","PASS",IF('Release Gates'!C2289="PHYSICAL","OPEN","BLOCKED"))</x:f>
        <x:v>OPEN</x:v>
      </x:c>
      <x:c r="G2329" t="str">
        <x:v>equals</x:v>
      </x:c>
      <x:c r="H2329" t="str">
        <x:f>IF(E2329=F2329,"PASS","FAIL")</x:f>
        <x:v>PASS</x:v>
      </x:c>
    </x:row>
    <x:row r="2330">
      <x:c r="B2330" t="str">
        <x:v>A-02284</x:v>
      </x:c>
      <x:c r="C2330" t="str">
        <x:v>GATE</x:v>
      </x:c>
      <x:c r="D2330" t="str">
        <x:v>release state mirrors governing ledger</x:v>
      </x:c>
      <x:c r="E2330" t="str">
        <x:f>'Release Gates'!I2290</x:f>
        <x:v>OPEN</x:v>
      </x:c>
      <x:c r="F2330" t="str">
        <x:f>IF('Release Gates'!C2290="PLANNING","PASS",IF('Release Gates'!C2290="PHYSICAL","OPEN","BLOCKED"))</x:f>
        <x:v>OPEN</x:v>
      </x:c>
      <x:c r="G2330" t="str">
        <x:v>equals</x:v>
      </x:c>
      <x:c r="H2330" t="str">
        <x:f>IF(E2330=F2330,"PASS","FAIL")</x:f>
        <x:v>PASS</x:v>
      </x:c>
    </x:row>
    <x:row r="2331">
      <x:c r="B2331" t="str">
        <x:v>A-02285</x:v>
      </x:c>
      <x:c r="C2331" t="str">
        <x:v>GATE</x:v>
      </x:c>
      <x:c r="D2331" t="str">
        <x:v>release state mirrors governing ledger</x:v>
      </x:c>
      <x:c r="E2331" t="str">
        <x:f>'Release Gates'!I2291</x:f>
        <x:v>OPEN</x:v>
      </x:c>
      <x:c r="F2331" t="str">
        <x:f>IF('Release Gates'!C2291="PLANNING","PASS",IF('Release Gates'!C2291="PHYSICAL","OPEN","BLOCKED"))</x:f>
        <x:v>OPEN</x:v>
      </x:c>
      <x:c r="G2331" t="str">
        <x:v>equals</x:v>
      </x:c>
      <x:c r="H2331" t="str">
        <x:f>IF(E2331=F2331,"PASS","FAIL")</x:f>
        <x:v>PASS</x:v>
      </x:c>
    </x:row>
    <x:row r="2332">
      <x:c r="B2332" t="str">
        <x:v>A-02286</x:v>
      </x:c>
      <x:c r="C2332" t="str">
        <x:v>GATE</x:v>
      </x:c>
      <x:c r="D2332" t="str">
        <x:v>release state mirrors governing ledger</x:v>
      </x:c>
      <x:c r="E2332" t="str">
        <x:f>'Release Gates'!I2292</x:f>
        <x:v>OPEN</x:v>
      </x:c>
      <x:c r="F2332" t="str">
        <x:f>IF('Release Gates'!C2292="PLANNING","PASS",IF('Release Gates'!C2292="PHYSICAL","OPEN","BLOCKED"))</x:f>
        <x:v>OPEN</x:v>
      </x:c>
      <x:c r="G2332" t="str">
        <x:v>equals</x:v>
      </x:c>
      <x:c r="H2332" t="str">
        <x:f>IF(E2332=F2332,"PASS","FAIL")</x:f>
        <x:v>PASS</x:v>
      </x:c>
    </x:row>
    <x:row r="2333">
      <x:c r="B2333" t="str">
        <x:v>A-02287</x:v>
      </x:c>
      <x:c r="C2333" t="str">
        <x:v>GATE</x:v>
      </x:c>
      <x:c r="D2333" t="str">
        <x:v>release state mirrors governing ledger</x:v>
      </x:c>
      <x:c r="E2333" t="str">
        <x:f>'Release Gates'!I2293</x:f>
        <x:v>OPEN</x:v>
      </x:c>
      <x:c r="F2333" t="str">
        <x:f>IF('Release Gates'!C2293="PLANNING","PASS",IF('Release Gates'!C2293="PHYSICAL","OPEN","BLOCKED"))</x:f>
        <x:v>OPEN</x:v>
      </x:c>
      <x:c r="G2333" t="str">
        <x:v>equals</x:v>
      </x:c>
      <x:c r="H2333" t="str">
        <x:f>IF(E2333=F2333,"PASS","FAIL")</x:f>
        <x:v>PASS</x:v>
      </x:c>
    </x:row>
    <x:row r="2334">
      <x:c r="B2334" t="str">
        <x:v>A-02288</x:v>
      </x:c>
      <x:c r="C2334" t="str">
        <x:v>GATE</x:v>
      </x:c>
      <x:c r="D2334" t="str">
        <x:v>release state mirrors governing ledger</x:v>
      </x:c>
      <x:c r="E2334" t="str">
        <x:f>'Release Gates'!I2294</x:f>
        <x:v>OPEN</x:v>
      </x:c>
      <x:c r="F2334" t="str">
        <x:f>IF('Release Gates'!C2294="PLANNING","PASS",IF('Release Gates'!C2294="PHYSICAL","OPEN","BLOCKED"))</x:f>
        <x:v>OPEN</x:v>
      </x:c>
      <x:c r="G2334" t="str">
        <x:v>equals</x:v>
      </x:c>
      <x:c r="H2334" t="str">
        <x:f>IF(E2334=F2334,"PASS","FAIL")</x:f>
        <x:v>PASS</x:v>
      </x:c>
    </x:row>
    <x:row r="2335">
      <x:c r="B2335" t="str">
        <x:v>A-02289</x:v>
      </x:c>
      <x:c r="C2335" t="str">
        <x:v>GATE</x:v>
      </x:c>
      <x:c r="D2335" t="str">
        <x:v>release state mirrors governing ledger</x:v>
      </x:c>
      <x:c r="E2335" t="str">
        <x:f>'Release Gates'!I2295</x:f>
        <x:v>OPEN</x:v>
      </x:c>
      <x:c r="F2335" t="str">
        <x:f>IF('Release Gates'!C2295="PLANNING","PASS",IF('Release Gates'!C2295="PHYSICAL","OPEN","BLOCKED"))</x:f>
        <x:v>OPEN</x:v>
      </x:c>
      <x:c r="G2335" t="str">
        <x:v>equals</x:v>
      </x:c>
      <x:c r="H2335" t="str">
        <x:f>IF(E2335=F2335,"PASS","FAIL")</x:f>
        <x:v>PASS</x:v>
      </x:c>
    </x:row>
    <x:row r="2336">
      <x:c r="B2336" t="str">
        <x:v>A-02290</x:v>
      </x:c>
      <x:c r="C2336" t="str">
        <x:v>GATE</x:v>
      </x:c>
      <x:c r="D2336" t="str">
        <x:v>release state mirrors governing ledger</x:v>
      </x:c>
      <x:c r="E2336" t="str">
        <x:f>'Release Gates'!I2296</x:f>
        <x:v>OPEN</x:v>
      </x:c>
      <x:c r="F2336" t="str">
        <x:f>IF('Release Gates'!C2296="PLANNING","PASS",IF('Release Gates'!C2296="PHYSICAL","OPEN","BLOCKED"))</x:f>
        <x:v>OPEN</x:v>
      </x:c>
      <x:c r="G2336" t="str">
        <x:v>equals</x:v>
      </x:c>
      <x:c r="H2336" t="str">
        <x:f>IF(E2336=F2336,"PASS","FAIL")</x:f>
        <x:v>PASS</x:v>
      </x:c>
    </x:row>
    <x:row r="2337">
      <x:c r="B2337" t="str">
        <x:v>A-02291</x:v>
      </x:c>
      <x:c r="C2337" t="str">
        <x:v>GATE</x:v>
      </x:c>
      <x:c r="D2337" t="str">
        <x:v>release state mirrors governing ledger</x:v>
      </x:c>
      <x:c r="E2337" t="str">
        <x:f>'Release Gates'!I2297</x:f>
        <x:v>OPEN</x:v>
      </x:c>
      <x:c r="F2337" t="str">
        <x:f>IF('Release Gates'!C2297="PLANNING","PASS",IF('Release Gates'!C2297="PHYSICAL","OPEN","BLOCKED"))</x:f>
        <x:v>OPEN</x:v>
      </x:c>
      <x:c r="G2337" t="str">
        <x:v>equals</x:v>
      </x:c>
      <x:c r="H2337" t="str">
        <x:f>IF(E2337=F2337,"PASS","FAIL")</x:f>
        <x:v>PASS</x:v>
      </x:c>
    </x:row>
    <x:row r="2338">
      <x:c r="B2338" t="str">
        <x:v>A-02292</x:v>
      </x:c>
      <x:c r="C2338" t="str">
        <x:v>GATE</x:v>
      </x:c>
      <x:c r="D2338" t="str">
        <x:v>release state mirrors governing ledger</x:v>
      </x:c>
      <x:c r="E2338" t="str">
        <x:f>'Release Gates'!I2298</x:f>
        <x:v>OPEN</x:v>
      </x:c>
      <x:c r="F2338" t="str">
        <x:f>IF('Release Gates'!C2298="PLANNING","PASS",IF('Release Gates'!C2298="PHYSICAL","OPEN","BLOCKED"))</x:f>
        <x:v>OPEN</x:v>
      </x:c>
      <x:c r="G2338" t="str">
        <x:v>equals</x:v>
      </x:c>
      <x:c r="H2338" t="str">
        <x:f>IF(E2338=F2338,"PASS","FAIL")</x:f>
        <x:v>PASS</x:v>
      </x:c>
    </x:row>
    <x:row r="2339">
      <x:c r="B2339" t="str">
        <x:v>A-02293</x:v>
      </x:c>
      <x:c r="C2339" t="str">
        <x:v>GATE</x:v>
      </x:c>
      <x:c r="D2339" t="str">
        <x:v>release state mirrors governing ledger</x:v>
      </x:c>
      <x:c r="E2339" t="str">
        <x:f>'Release Gates'!I2299</x:f>
        <x:v>OPEN</x:v>
      </x:c>
      <x:c r="F2339" t="str">
        <x:f>IF('Release Gates'!C2299="PLANNING","PASS",IF('Release Gates'!C2299="PHYSICAL","OPEN","BLOCKED"))</x:f>
        <x:v>OPEN</x:v>
      </x:c>
      <x:c r="G2339" t="str">
        <x:v>equals</x:v>
      </x:c>
      <x:c r="H2339" t="str">
        <x:f>IF(E2339=F2339,"PASS","FAIL")</x:f>
        <x:v>PASS</x:v>
      </x:c>
    </x:row>
    <x:row r="2340">
      <x:c r="B2340" t="str">
        <x:v>A-02294</x:v>
      </x:c>
      <x:c r="C2340" t="str">
        <x:v>GATE</x:v>
      </x:c>
      <x:c r="D2340" t="str">
        <x:v>release state mirrors governing ledger</x:v>
      </x:c>
      <x:c r="E2340" t="str">
        <x:f>'Release Gates'!I2300</x:f>
        <x:v>OPEN</x:v>
      </x:c>
      <x:c r="F2340" t="str">
        <x:f>IF('Release Gates'!C2300="PLANNING","PASS",IF('Release Gates'!C2300="PHYSICAL","OPEN","BLOCKED"))</x:f>
        <x:v>OPEN</x:v>
      </x:c>
      <x:c r="G2340" t="str">
        <x:v>equals</x:v>
      </x:c>
      <x:c r="H2340" t="str">
        <x:f>IF(E2340=F2340,"PASS","FAIL")</x:f>
        <x:v>PASS</x:v>
      </x:c>
    </x:row>
    <x:row r="2341">
      <x:c r="B2341" t="str">
        <x:v>A-02295</x:v>
      </x:c>
      <x:c r="C2341" t="str">
        <x:v>GATE</x:v>
      </x:c>
      <x:c r="D2341" t="str">
        <x:v>release state mirrors governing ledger</x:v>
      </x:c>
      <x:c r="E2341" t="str">
        <x:f>'Release Gates'!I2301</x:f>
        <x:v>OPEN</x:v>
      </x:c>
      <x:c r="F2341" t="str">
        <x:f>IF('Release Gates'!C2301="PLANNING","PASS",IF('Release Gates'!C2301="PHYSICAL","OPEN","BLOCKED"))</x:f>
        <x:v>OPEN</x:v>
      </x:c>
      <x:c r="G2341" t="str">
        <x:v>equals</x:v>
      </x:c>
      <x:c r="H2341" t="str">
        <x:f>IF(E2341=F2341,"PASS","FAIL")</x:f>
        <x:v>PASS</x:v>
      </x:c>
    </x:row>
    <x:row r="2342">
      <x:c r="B2342" t="str">
        <x:v>A-02296</x:v>
      </x:c>
      <x:c r="C2342" t="str">
        <x:v>GATE</x:v>
      </x:c>
      <x:c r="D2342" t="str">
        <x:v>release state mirrors governing ledger</x:v>
      </x:c>
      <x:c r="E2342" t="str">
        <x:f>'Release Gates'!I2302</x:f>
        <x:v>OPEN</x:v>
      </x:c>
      <x:c r="F2342" t="str">
        <x:f>IF('Release Gates'!C2302="PLANNING","PASS",IF('Release Gates'!C2302="PHYSICAL","OPEN","BLOCKED"))</x:f>
        <x:v>OPEN</x:v>
      </x:c>
      <x:c r="G2342" t="str">
        <x:v>equals</x:v>
      </x:c>
      <x:c r="H2342" t="str">
        <x:f>IF(E2342=F2342,"PASS","FAIL")</x:f>
        <x:v>PASS</x:v>
      </x:c>
    </x:row>
    <x:row r="2343">
      <x:c r="B2343" t="str">
        <x:v>A-02297</x:v>
      </x:c>
      <x:c r="C2343" t="str">
        <x:v>GATE</x:v>
      </x:c>
      <x:c r="D2343" t="str">
        <x:v>release state mirrors governing ledger</x:v>
      </x:c>
      <x:c r="E2343" t="str">
        <x:f>'Release Gates'!I2303</x:f>
        <x:v>OPEN</x:v>
      </x:c>
      <x:c r="F2343" t="str">
        <x:f>IF('Release Gates'!C2303="PLANNING","PASS",IF('Release Gates'!C2303="PHYSICAL","OPEN","BLOCKED"))</x:f>
        <x:v>OPEN</x:v>
      </x:c>
      <x:c r="G2343" t="str">
        <x:v>equals</x:v>
      </x:c>
      <x:c r="H2343" t="str">
        <x:f>IF(E2343=F2343,"PASS","FAIL")</x:f>
        <x:v>PASS</x:v>
      </x:c>
    </x:row>
    <x:row r="2344">
      <x:c r="B2344" t="str">
        <x:v>A-02298</x:v>
      </x:c>
      <x:c r="C2344" t="str">
        <x:v>GATE</x:v>
      </x:c>
      <x:c r="D2344" t="str">
        <x:v>release state mirrors governing ledger</x:v>
      </x:c>
      <x:c r="E2344" t="str">
        <x:f>'Release Gates'!I2304</x:f>
        <x:v>OPEN</x:v>
      </x:c>
      <x:c r="F2344" t="str">
        <x:f>IF('Release Gates'!C2304="PLANNING","PASS",IF('Release Gates'!C2304="PHYSICAL","OPEN","BLOCKED"))</x:f>
        <x:v>OPEN</x:v>
      </x:c>
      <x:c r="G2344" t="str">
        <x:v>equals</x:v>
      </x:c>
      <x:c r="H2344" t="str">
        <x:f>IF(E2344=F2344,"PASS","FAIL")</x:f>
        <x:v>PASS</x:v>
      </x:c>
    </x:row>
    <x:row r="2345">
      <x:c r="B2345" t="str">
        <x:v>A-02299</x:v>
      </x:c>
      <x:c r="C2345" t="str">
        <x:v>GATE</x:v>
      </x:c>
      <x:c r="D2345" t="str">
        <x:v>release state mirrors governing ledger</x:v>
      </x:c>
      <x:c r="E2345" t="str">
        <x:f>'Release Gates'!I2305</x:f>
        <x:v>OPEN</x:v>
      </x:c>
      <x:c r="F2345" t="str">
        <x:f>IF('Release Gates'!C2305="PLANNING","PASS",IF('Release Gates'!C2305="PHYSICAL","OPEN","BLOCKED"))</x:f>
        <x:v>OPEN</x:v>
      </x:c>
      <x:c r="G2345" t="str">
        <x:v>equals</x:v>
      </x:c>
      <x:c r="H2345" t="str">
        <x:f>IF(E2345=F2345,"PASS","FAIL")</x:f>
        <x:v>PASS</x:v>
      </x:c>
    </x:row>
    <x:row r="2346">
      <x:c r="B2346" t="str">
        <x:v>A-02300</x:v>
      </x:c>
      <x:c r="C2346" t="str">
        <x:v>GATE</x:v>
      </x:c>
      <x:c r="D2346" t="str">
        <x:v>release state mirrors governing ledger</x:v>
      </x:c>
      <x:c r="E2346" t="str">
        <x:f>'Release Gates'!I2306</x:f>
        <x:v>OPEN</x:v>
      </x:c>
      <x:c r="F2346" t="str">
        <x:f>IF('Release Gates'!C2306="PLANNING","PASS",IF('Release Gates'!C2306="PHYSICAL","OPEN","BLOCKED"))</x:f>
        <x:v>OPEN</x:v>
      </x:c>
      <x:c r="G2346" t="str">
        <x:v>equals</x:v>
      </x:c>
      <x:c r="H2346" t="str">
        <x:f>IF(E2346=F2346,"PASS","FAIL")</x:f>
        <x:v>PASS</x:v>
      </x:c>
    </x:row>
    <x:row r="2347">
      <x:c r="B2347" t="str">
        <x:v>A-02301</x:v>
      </x:c>
      <x:c r="C2347" t="str">
        <x:v>GATE</x:v>
      </x:c>
      <x:c r="D2347" t="str">
        <x:v>release state mirrors governing ledger</x:v>
      </x:c>
      <x:c r="E2347" t="str">
        <x:f>'Release Gates'!I2307</x:f>
        <x:v>OPEN</x:v>
      </x:c>
      <x:c r="F2347" t="str">
        <x:f>IF('Release Gates'!C2307="PLANNING","PASS",IF('Release Gates'!C2307="PHYSICAL","OPEN","BLOCKED"))</x:f>
        <x:v>OPEN</x:v>
      </x:c>
      <x:c r="G2347" t="str">
        <x:v>equals</x:v>
      </x:c>
      <x:c r="H2347" t="str">
        <x:f>IF(E2347=F2347,"PASS","FAIL")</x:f>
        <x:v>PASS</x:v>
      </x:c>
    </x:row>
    <x:row r="2348">
      <x:c r="B2348" t="str">
        <x:v>A-02302</x:v>
      </x:c>
      <x:c r="C2348" t="str">
        <x:v>GATE</x:v>
      </x:c>
      <x:c r="D2348" t="str">
        <x:v>release state mirrors governing ledger</x:v>
      </x:c>
      <x:c r="E2348" t="str">
        <x:f>'Release Gates'!I2308</x:f>
        <x:v>OPEN</x:v>
      </x:c>
      <x:c r="F2348" t="str">
        <x:f>IF('Release Gates'!C2308="PLANNING","PASS",IF('Release Gates'!C2308="PHYSICAL","OPEN","BLOCKED"))</x:f>
        <x:v>OPEN</x:v>
      </x:c>
      <x:c r="G2348" t="str">
        <x:v>equals</x:v>
      </x:c>
      <x:c r="H2348" t="str">
        <x:f>IF(E2348=F2348,"PASS","FAIL")</x:f>
        <x:v>PASS</x:v>
      </x:c>
    </x:row>
    <x:row r="2349">
      <x:c r="B2349" t="str">
        <x:v>A-02303</x:v>
      </x:c>
      <x:c r="C2349" t="str">
        <x:v>GATE</x:v>
      </x:c>
      <x:c r="D2349" t="str">
        <x:v>release state mirrors governing ledger</x:v>
      </x:c>
      <x:c r="E2349" t="str">
        <x:f>'Release Gates'!I2309</x:f>
        <x:v>OPEN</x:v>
      </x:c>
      <x:c r="F2349" t="str">
        <x:f>IF('Release Gates'!C2309="PLANNING","PASS",IF('Release Gates'!C2309="PHYSICAL","OPEN","BLOCKED"))</x:f>
        <x:v>OPEN</x:v>
      </x:c>
      <x:c r="G2349" t="str">
        <x:v>equals</x:v>
      </x:c>
      <x:c r="H2349" t="str">
        <x:f>IF(E2349=F2349,"PASS","FAIL")</x:f>
        <x:v>PASS</x:v>
      </x:c>
    </x:row>
    <x:row r="2350">
      <x:c r="B2350" t="str">
        <x:v>A-02304</x:v>
      </x:c>
      <x:c r="C2350" t="str">
        <x:v>GATE</x:v>
      </x:c>
      <x:c r="D2350" t="str">
        <x:v>release state mirrors governing ledger</x:v>
      </x:c>
      <x:c r="E2350" t="str">
        <x:f>'Release Gates'!I2310</x:f>
        <x:v>OPEN</x:v>
      </x:c>
      <x:c r="F2350" t="str">
        <x:f>IF('Release Gates'!C2310="PLANNING","PASS",IF('Release Gates'!C2310="PHYSICAL","OPEN","BLOCKED"))</x:f>
        <x:v>OPEN</x:v>
      </x:c>
      <x:c r="G2350" t="str">
        <x:v>equals</x:v>
      </x:c>
      <x:c r="H2350" t="str">
        <x:f>IF(E2350=F2350,"PASS","FAIL")</x:f>
        <x:v>PASS</x:v>
      </x:c>
    </x:row>
    <x:row r="2351">
      <x:c r="B2351" t="str">
        <x:v>A-02305</x:v>
      </x:c>
      <x:c r="C2351" t="str">
        <x:v>GATE</x:v>
      </x:c>
      <x:c r="D2351" t="str">
        <x:v>release state mirrors governing ledger</x:v>
      </x:c>
      <x:c r="E2351" t="str">
        <x:f>'Release Gates'!I2311</x:f>
        <x:v>OPEN</x:v>
      </x:c>
      <x:c r="F2351" t="str">
        <x:f>IF('Release Gates'!C2311="PLANNING","PASS",IF('Release Gates'!C2311="PHYSICAL","OPEN","BLOCKED"))</x:f>
        <x:v>OPEN</x:v>
      </x:c>
      <x:c r="G2351" t="str">
        <x:v>equals</x:v>
      </x:c>
      <x:c r="H2351" t="str">
        <x:f>IF(E2351=F2351,"PASS","FAIL")</x:f>
        <x:v>PASS</x:v>
      </x:c>
    </x:row>
    <x:row r="2352">
      <x:c r="B2352" t="str">
        <x:v>A-02306</x:v>
      </x:c>
      <x:c r="C2352" t="str">
        <x:v>GATE</x:v>
      </x:c>
      <x:c r="D2352" t="str">
        <x:v>release state mirrors governing ledger</x:v>
      </x:c>
      <x:c r="E2352" t="str">
        <x:f>'Release Gates'!I2312</x:f>
        <x:v>OPEN</x:v>
      </x:c>
      <x:c r="F2352" t="str">
        <x:f>IF('Release Gates'!C2312="PLANNING","PASS",IF('Release Gates'!C2312="PHYSICAL","OPEN","BLOCKED"))</x:f>
        <x:v>OPEN</x:v>
      </x:c>
      <x:c r="G2352" t="str">
        <x:v>equals</x:v>
      </x:c>
      <x:c r="H2352" t="str">
        <x:f>IF(E2352=F2352,"PASS","FAIL")</x:f>
        <x:v>PASS</x:v>
      </x:c>
    </x:row>
    <x:row r="2353">
      <x:c r="B2353" t="str">
        <x:v>A-02307</x:v>
      </x:c>
      <x:c r="C2353" t="str">
        <x:v>GATE</x:v>
      </x:c>
      <x:c r="D2353" t="str">
        <x:v>release state mirrors governing ledger</x:v>
      </x:c>
      <x:c r="E2353" t="str">
        <x:f>'Release Gates'!I2313</x:f>
        <x:v>OPEN</x:v>
      </x:c>
      <x:c r="F2353" t="str">
        <x:f>IF('Release Gates'!C2313="PLANNING","PASS",IF('Release Gates'!C2313="PHYSICAL","OPEN","BLOCKED"))</x:f>
        <x:v>OPEN</x:v>
      </x:c>
      <x:c r="G2353" t="str">
        <x:v>equals</x:v>
      </x:c>
      <x:c r="H2353" t="str">
        <x:f>IF(E2353=F2353,"PASS","FAIL")</x:f>
        <x:v>PASS</x:v>
      </x:c>
    </x:row>
    <x:row r="2354">
      <x:c r="B2354" t="str">
        <x:v>A-02308</x:v>
      </x:c>
      <x:c r="C2354" t="str">
        <x:v>GATE</x:v>
      </x:c>
      <x:c r="D2354" t="str">
        <x:v>release state mirrors governing ledger</x:v>
      </x:c>
      <x:c r="E2354" t="str">
        <x:f>'Release Gates'!I2314</x:f>
        <x:v>OPEN</x:v>
      </x:c>
      <x:c r="F2354" t="str">
        <x:f>IF('Release Gates'!C2314="PLANNING","PASS",IF('Release Gates'!C2314="PHYSICAL","OPEN","BLOCKED"))</x:f>
        <x:v>OPEN</x:v>
      </x:c>
      <x:c r="G2354" t="str">
        <x:v>equals</x:v>
      </x:c>
      <x:c r="H2354" t="str">
        <x:f>IF(E2354=F2354,"PASS","FAIL")</x:f>
        <x:v>PASS</x:v>
      </x:c>
    </x:row>
    <x:row r="2355">
      <x:c r="B2355" t="str">
        <x:v>A-02309</x:v>
      </x:c>
      <x:c r="C2355" t="str">
        <x:v>GATE</x:v>
      </x:c>
      <x:c r="D2355" t="str">
        <x:v>release state mirrors governing ledger</x:v>
      </x:c>
      <x:c r="E2355" t="str">
        <x:f>'Release Gates'!I2315</x:f>
        <x:v>OPEN</x:v>
      </x:c>
      <x:c r="F2355" t="str">
        <x:f>IF('Release Gates'!C2315="PLANNING","PASS",IF('Release Gates'!C2315="PHYSICAL","OPEN","BLOCKED"))</x:f>
        <x:v>OPEN</x:v>
      </x:c>
      <x:c r="G2355" t="str">
        <x:v>equals</x:v>
      </x:c>
      <x:c r="H2355" t="str">
        <x:f>IF(E2355=F2355,"PASS","FAIL")</x:f>
        <x:v>PASS</x:v>
      </x:c>
    </x:row>
    <x:row r="2356">
      <x:c r="B2356" t="str">
        <x:v>A-02310</x:v>
      </x:c>
      <x:c r="C2356" t="str">
        <x:v>GATE</x:v>
      </x:c>
      <x:c r="D2356" t="str">
        <x:v>release state mirrors governing ledger</x:v>
      </x:c>
      <x:c r="E2356" t="str">
        <x:f>'Release Gates'!I2316</x:f>
        <x:v>OPEN</x:v>
      </x:c>
      <x:c r="F2356" t="str">
        <x:f>IF('Release Gates'!C2316="PLANNING","PASS",IF('Release Gates'!C2316="PHYSICAL","OPEN","BLOCKED"))</x:f>
        <x:v>OPEN</x:v>
      </x:c>
      <x:c r="G2356" t="str">
        <x:v>equals</x:v>
      </x:c>
      <x:c r="H2356" t="str">
        <x:f>IF(E2356=F2356,"PASS","FAIL")</x:f>
        <x:v>PASS</x:v>
      </x:c>
    </x:row>
    <x:row r="2357">
      <x:c r="B2357" t="str">
        <x:v>A-02311</x:v>
      </x:c>
      <x:c r="C2357" t="str">
        <x:v>GATE</x:v>
      </x:c>
      <x:c r="D2357" t="str">
        <x:v>release state mirrors governing ledger</x:v>
      </x:c>
      <x:c r="E2357" t="str">
        <x:f>'Release Gates'!I2317</x:f>
        <x:v>OPEN</x:v>
      </x:c>
      <x:c r="F2357" t="str">
        <x:f>IF('Release Gates'!C2317="PLANNING","PASS",IF('Release Gates'!C2317="PHYSICAL","OPEN","BLOCKED"))</x:f>
        <x:v>OPEN</x:v>
      </x:c>
      <x:c r="G2357" t="str">
        <x:v>equals</x:v>
      </x:c>
      <x:c r="H2357" t="str">
        <x:f>IF(E2357=F2357,"PASS","FAIL")</x:f>
        <x:v>PASS</x:v>
      </x:c>
    </x:row>
    <x:row r="2358">
      <x:c r="B2358" t="str">
        <x:v>A-02312</x:v>
      </x:c>
      <x:c r="C2358" t="str">
        <x:v>GATE</x:v>
      </x:c>
      <x:c r="D2358" t="str">
        <x:v>release state mirrors governing ledger</x:v>
      </x:c>
      <x:c r="E2358" t="str">
        <x:f>'Release Gates'!I2318</x:f>
        <x:v>OPEN</x:v>
      </x:c>
      <x:c r="F2358" t="str">
        <x:f>IF('Release Gates'!C2318="PLANNING","PASS",IF('Release Gates'!C2318="PHYSICAL","OPEN","BLOCKED"))</x:f>
        <x:v>OPEN</x:v>
      </x:c>
      <x:c r="G2358" t="str">
        <x:v>equals</x:v>
      </x:c>
      <x:c r="H2358" t="str">
        <x:f>IF(E2358=F2358,"PASS","FAIL")</x:f>
        <x:v>PASS</x:v>
      </x:c>
    </x:row>
    <x:row r="2359">
      <x:c r="B2359" t="str">
        <x:v>A-02313</x:v>
      </x:c>
      <x:c r="C2359" t="str">
        <x:v>GATE</x:v>
      </x:c>
      <x:c r="D2359" t="str">
        <x:v>release state mirrors governing ledger</x:v>
      </x:c>
      <x:c r="E2359" t="str">
        <x:f>'Release Gates'!I2319</x:f>
        <x:v>OPEN</x:v>
      </x:c>
      <x:c r="F2359" t="str">
        <x:f>IF('Release Gates'!C2319="PLANNING","PASS",IF('Release Gates'!C2319="PHYSICAL","OPEN","BLOCKED"))</x:f>
        <x:v>OPEN</x:v>
      </x:c>
      <x:c r="G2359" t="str">
        <x:v>equals</x:v>
      </x:c>
      <x:c r="H2359" t="str">
        <x:f>IF(E2359=F2359,"PASS","FAIL")</x:f>
        <x:v>PASS</x:v>
      </x:c>
    </x:row>
    <x:row r="2360">
      <x:c r="B2360" t="str">
        <x:v>A-02314</x:v>
      </x:c>
      <x:c r="C2360" t="str">
        <x:v>GATE</x:v>
      </x:c>
      <x:c r="D2360" t="str">
        <x:v>release state mirrors governing ledger</x:v>
      </x:c>
      <x:c r="E2360" t="str">
        <x:f>'Release Gates'!I2320</x:f>
        <x:v>OPEN</x:v>
      </x:c>
      <x:c r="F2360" t="str">
        <x:f>IF('Release Gates'!C2320="PLANNING","PASS",IF('Release Gates'!C2320="PHYSICAL","OPEN","BLOCKED"))</x:f>
        <x:v>OPEN</x:v>
      </x:c>
      <x:c r="G2360" t="str">
        <x:v>equals</x:v>
      </x:c>
      <x:c r="H2360" t="str">
        <x:f>IF(E2360=F2360,"PASS","FAIL")</x:f>
        <x:v>PASS</x:v>
      </x:c>
    </x:row>
    <x:row r="2361">
      <x:c r="B2361" t="str">
        <x:v>A-02315</x:v>
      </x:c>
      <x:c r="C2361" t="str">
        <x:v>GATE</x:v>
      </x:c>
      <x:c r="D2361" t="str">
        <x:v>release state mirrors governing ledger</x:v>
      </x:c>
      <x:c r="E2361" t="str">
        <x:f>'Release Gates'!I2321</x:f>
        <x:v>OPEN</x:v>
      </x:c>
      <x:c r="F2361" t="str">
        <x:f>IF('Release Gates'!C2321="PLANNING","PASS",IF('Release Gates'!C2321="PHYSICAL","OPEN","BLOCKED"))</x:f>
        <x:v>OPEN</x:v>
      </x:c>
      <x:c r="G2361" t="str">
        <x:v>equals</x:v>
      </x:c>
      <x:c r="H2361" t="str">
        <x:f>IF(E2361=F2361,"PASS","FAIL")</x:f>
        <x:v>PASS</x:v>
      </x:c>
    </x:row>
    <x:row r="2362">
      <x:c r="B2362" t="str">
        <x:v>A-02316</x:v>
      </x:c>
      <x:c r="C2362" t="str">
        <x:v>GATE</x:v>
      </x:c>
      <x:c r="D2362" t="str">
        <x:v>release state mirrors governing ledger</x:v>
      </x:c>
      <x:c r="E2362" t="str">
        <x:f>'Release Gates'!I2322</x:f>
        <x:v>OPEN</x:v>
      </x:c>
      <x:c r="F2362" t="str">
        <x:f>IF('Release Gates'!C2322="PLANNING","PASS",IF('Release Gates'!C2322="PHYSICAL","OPEN","BLOCKED"))</x:f>
        <x:v>OPEN</x:v>
      </x:c>
      <x:c r="G2362" t="str">
        <x:v>equals</x:v>
      </x:c>
      <x:c r="H2362" t="str">
        <x:f>IF(E2362=F2362,"PASS","FAIL")</x:f>
        <x:v>PASS</x:v>
      </x:c>
    </x:row>
    <x:row r="2363">
      <x:c r="B2363" t="str">
        <x:v>A-02317</x:v>
      </x:c>
      <x:c r="C2363" t="str">
        <x:v>GATE</x:v>
      </x:c>
      <x:c r="D2363" t="str">
        <x:v>release state mirrors governing ledger</x:v>
      </x:c>
      <x:c r="E2363" t="str">
        <x:f>'Release Gates'!I2323</x:f>
        <x:v>OPEN</x:v>
      </x:c>
      <x:c r="F2363" t="str">
        <x:f>IF('Release Gates'!C2323="PLANNING","PASS",IF('Release Gates'!C2323="PHYSICAL","OPEN","BLOCKED"))</x:f>
        <x:v>OPEN</x:v>
      </x:c>
      <x:c r="G2363" t="str">
        <x:v>equals</x:v>
      </x:c>
      <x:c r="H2363" t="str">
        <x:f>IF(E2363=F2363,"PASS","FAIL")</x:f>
        <x:v>PASS</x:v>
      </x:c>
    </x:row>
    <x:row r="2364">
      <x:c r="B2364" t="str">
        <x:v>A-02318</x:v>
      </x:c>
      <x:c r="C2364" t="str">
        <x:v>GATE</x:v>
      </x:c>
      <x:c r="D2364" t="str">
        <x:v>release state mirrors governing ledger</x:v>
      </x:c>
      <x:c r="E2364" t="str">
        <x:f>'Release Gates'!I2324</x:f>
        <x:v>OPEN</x:v>
      </x:c>
      <x:c r="F2364" t="str">
        <x:f>IF('Release Gates'!C2324="PLANNING","PASS",IF('Release Gates'!C2324="PHYSICAL","OPEN","BLOCKED"))</x:f>
        <x:v>OPEN</x:v>
      </x:c>
      <x:c r="G2364" t="str">
        <x:v>equals</x:v>
      </x:c>
      <x:c r="H2364" t="str">
        <x:f>IF(E2364=F2364,"PASS","FAIL")</x:f>
        <x:v>PASS</x:v>
      </x:c>
    </x:row>
    <x:row r="2365">
      <x:c r="B2365" t="str">
        <x:v>A-02319</x:v>
      </x:c>
      <x:c r="C2365" t="str">
        <x:v>GATE</x:v>
      </x:c>
      <x:c r="D2365" t="str">
        <x:v>release state mirrors governing ledger</x:v>
      </x:c>
      <x:c r="E2365" t="str">
        <x:f>'Release Gates'!I2325</x:f>
        <x:v>OPEN</x:v>
      </x:c>
      <x:c r="F2365" t="str">
        <x:f>IF('Release Gates'!C2325="PLANNING","PASS",IF('Release Gates'!C2325="PHYSICAL","OPEN","BLOCKED"))</x:f>
        <x:v>OPEN</x:v>
      </x:c>
      <x:c r="G2365" t="str">
        <x:v>equals</x:v>
      </x:c>
      <x:c r="H2365" t="str">
        <x:f>IF(E2365=F2365,"PASS","FAIL")</x:f>
        <x:v>PASS</x:v>
      </x:c>
    </x:row>
    <x:row r="2366">
      <x:c r="B2366" t="str">
        <x:v>A-02320</x:v>
      </x:c>
      <x:c r="C2366" t="str">
        <x:v>GATE</x:v>
      </x:c>
      <x:c r="D2366" t="str">
        <x:v>release state mirrors governing ledger</x:v>
      </x:c>
      <x:c r="E2366" t="str">
        <x:f>'Release Gates'!I2326</x:f>
        <x:v>OPEN</x:v>
      </x:c>
      <x:c r="F2366" t="str">
        <x:f>IF('Release Gates'!C2326="PLANNING","PASS",IF('Release Gates'!C2326="PHYSICAL","OPEN","BLOCKED"))</x:f>
        <x:v>OPEN</x:v>
      </x:c>
      <x:c r="G2366" t="str">
        <x:v>equals</x:v>
      </x:c>
      <x:c r="H2366" t="str">
        <x:f>IF(E2366=F2366,"PASS","FAIL")</x:f>
        <x:v>PASS</x:v>
      </x:c>
    </x:row>
    <x:row r="2367">
      <x:c r="B2367" t="str">
        <x:v>A-02321</x:v>
      </x:c>
      <x:c r="C2367" t="str">
        <x:v>GATE</x:v>
      </x:c>
      <x:c r="D2367" t="str">
        <x:v>release state mirrors governing ledger</x:v>
      </x:c>
      <x:c r="E2367" t="str">
        <x:f>'Release Gates'!I2327</x:f>
        <x:v>OPEN</x:v>
      </x:c>
      <x:c r="F2367" t="str">
        <x:f>IF('Release Gates'!C2327="PLANNING","PASS",IF('Release Gates'!C2327="PHYSICAL","OPEN","BLOCKED"))</x:f>
        <x:v>OPEN</x:v>
      </x:c>
      <x:c r="G2367" t="str">
        <x:v>equals</x:v>
      </x:c>
      <x:c r="H2367" t="str">
        <x:f>IF(E2367=F2367,"PASS","FAIL")</x:f>
        <x:v>PASS</x:v>
      </x:c>
    </x:row>
    <x:row r="2368">
      <x:c r="B2368" t="str">
        <x:v>A-02322</x:v>
      </x:c>
      <x:c r="C2368" t="str">
        <x:v>GATE</x:v>
      </x:c>
      <x:c r="D2368" t="str">
        <x:v>release state mirrors governing ledger</x:v>
      </x:c>
      <x:c r="E2368" t="str">
        <x:f>'Release Gates'!I2328</x:f>
        <x:v>OPEN</x:v>
      </x:c>
      <x:c r="F2368" t="str">
        <x:f>IF('Release Gates'!C2328="PLANNING","PASS",IF('Release Gates'!C2328="PHYSICAL","OPEN","BLOCKED"))</x:f>
        <x:v>OPEN</x:v>
      </x:c>
      <x:c r="G2368" t="str">
        <x:v>equals</x:v>
      </x:c>
      <x:c r="H2368" t="str">
        <x:f>IF(E2368=F2368,"PASS","FAIL")</x:f>
        <x:v>PASS</x:v>
      </x:c>
    </x:row>
    <x:row r="2369">
      <x:c r="B2369" t="str">
        <x:v>A-02323</x:v>
      </x:c>
      <x:c r="C2369" t="str">
        <x:v>GATE</x:v>
      </x:c>
      <x:c r="D2369" t="str">
        <x:v>release state mirrors governing ledger</x:v>
      </x:c>
      <x:c r="E2369" t="str">
        <x:f>'Release Gates'!I2329</x:f>
        <x:v>OPEN</x:v>
      </x:c>
      <x:c r="F2369" t="str">
        <x:f>IF('Release Gates'!C2329="PLANNING","PASS",IF('Release Gates'!C2329="PHYSICAL","OPEN","BLOCKED"))</x:f>
        <x:v>OPEN</x:v>
      </x:c>
      <x:c r="G2369" t="str">
        <x:v>equals</x:v>
      </x:c>
      <x:c r="H2369" t="str">
        <x:f>IF(E2369=F2369,"PASS","FAIL")</x:f>
        <x:v>PASS</x:v>
      </x:c>
    </x:row>
    <x:row r="2370">
      <x:c r="B2370" t="str">
        <x:v>A-02324</x:v>
      </x:c>
      <x:c r="C2370" t="str">
        <x:v>GATE</x:v>
      </x:c>
      <x:c r="D2370" t="str">
        <x:v>release state mirrors governing ledger</x:v>
      </x:c>
      <x:c r="E2370" t="str">
        <x:f>'Release Gates'!I2330</x:f>
        <x:v>OPEN</x:v>
      </x:c>
      <x:c r="F2370" t="str">
        <x:f>IF('Release Gates'!C2330="PLANNING","PASS",IF('Release Gates'!C2330="PHYSICAL","OPEN","BLOCKED"))</x:f>
        <x:v>OPEN</x:v>
      </x:c>
      <x:c r="G2370" t="str">
        <x:v>equals</x:v>
      </x:c>
      <x:c r="H2370" t="str">
        <x:f>IF(E2370=F2370,"PASS","FAIL")</x:f>
        <x:v>PASS</x:v>
      </x:c>
    </x:row>
    <x:row r="2371">
      <x:c r="B2371" t="str">
        <x:v>A-02325</x:v>
      </x:c>
      <x:c r="C2371" t="str">
        <x:v>GATE</x:v>
      </x:c>
      <x:c r="D2371" t="str">
        <x:v>release state mirrors governing ledger</x:v>
      </x:c>
      <x:c r="E2371" t="str">
        <x:f>'Release Gates'!I2331</x:f>
        <x:v>OPEN</x:v>
      </x:c>
      <x:c r="F2371" t="str">
        <x:f>IF('Release Gates'!C2331="PLANNING","PASS",IF('Release Gates'!C2331="PHYSICAL","OPEN","BLOCKED"))</x:f>
        <x:v>OPEN</x:v>
      </x:c>
      <x:c r="G2371" t="str">
        <x:v>equals</x:v>
      </x:c>
      <x:c r="H2371" t="str">
        <x:f>IF(E2371=F2371,"PASS","FAIL")</x:f>
        <x:v>PASS</x:v>
      </x:c>
    </x:row>
    <x:row r="2372">
      <x:c r="B2372" t="str">
        <x:v>A-02326</x:v>
      </x:c>
      <x:c r="C2372" t="str">
        <x:v>GATE</x:v>
      </x:c>
      <x:c r="D2372" t="str">
        <x:v>release state mirrors governing ledger</x:v>
      </x:c>
      <x:c r="E2372" t="str">
        <x:f>'Release Gates'!I2332</x:f>
        <x:v>OPEN</x:v>
      </x:c>
      <x:c r="F2372" t="str">
        <x:f>IF('Release Gates'!C2332="PLANNING","PASS",IF('Release Gates'!C2332="PHYSICAL","OPEN","BLOCKED"))</x:f>
        <x:v>OPEN</x:v>
      </x:c>
      <x:c r="G2372" t="str">
        <x:v>equals</x:v>
      </x:c>
      <x:c r="H2372" t="str">
        <x:f>IF(E2372=F2372,"PASS","FAIL")</x:f>
        <x:v>PASS</x:v>
      </x:c>
    </x:row>
    <x:row r="2373">
      <x:c r="B2373" t="str">
        <x:v>A-02327</x:v>
      </x:c>
      <x:c r="C2373" t="str">
        <x:v>GATE</x:v>
      </x:c>
      <x:c r="D2373" t="str">
        <x:v>release state mirrors governing ledger</x:v>
      </x:c>
      <x:c r="E2373" t="str">
        <x:f>'Release Gates'!I2333</x:f>
        <x:v>OPEN</x:v>
      </x:c>
      <x:c r="F2373" t="str">
        <x:f>IF('Release Gates'!C2333="PLANNING","PASS",IF('Release Gates'!C2333="PHYSICAL","OPEN","BLOCKED"))</x:f>
        <x:v>OPEN</x:v>
      </x:c>
      <x:c r="G2373" t="str">
        <x:v>equals</x:v>
      </x:c>
      <x:c r="H2373" t="str">
        <x:f>IF(E2373=F2373,"PASS","FAIL")</x:f>
        <x:v>PASS</x:v>
      </x:c>
    </x:row>
    <x:row r="2374">
      <x:c r="B2374" t="str">
        <x:v>A-02328</x:v>
      </x:c>
      <x:c r="C2374" t="str">
        <x:v>GATE</x:v>
      </x:c>
      <x:c r="D2374" t="str">
        <x:v>release state mirrors governing ledger</x:v>
      </x:c>
      <x:c r="E2374" t="str">
        <x:f>'Release Gates'!I2334</x:f>
        <x:v>OPEN</x:v>
      </x:c>
      <x:c r="F2374" t="str">
        <x:f>IF('Release Gates'!C2334="PLANNING","PASS",IF('Release Gates'!C2334="PHYSICAL","OPEN","BLOCKED"))</x:f>
        <x:v>OPEN</x:v>
      </x:c>
      <x:c r="G2374" t="str">
        <x:v>equals</x:v>
      </x:c>
      <x:c r="H2374" t="str">
        <x:f>IF(E2374=F2374,"PASS","FAIL")</x:f>
        <x:v>PASS</x:v>
      </x:c>
    </x:row>
    <x:row r="2375">
      <x:c r="B2375" t="str">
        <x:v>A-02329</x:v>
      </x:c>
      <x:c r="C2375" t="str">
        <x:v>GATE</x:v>
      </x:c>
      <x:c r="D2375" t="str">
        <x:v>release state mirrors governing ledger</x:v>
      </x:c>
      <x:c r="E2375" t="str">
        <x:f>'Release Gates'!I2335</x:f>
        <x:v>OPEN</x:v>
      </x:c>
      <x:c r="F2375" t="str">
        <x:f>IF('Release Gates'!C2335="PLANNING","PASS",IF('Release Gates'!C2335="PHYSICAL","OPEN","BLOCKED"))</x:f>
        <x:v>OPEN</x:v>
      </x:c>
      <x:c r="G2375" t="str">
        <x:v>equals</x:v>
      </x:c>
      <x:c r="H2375" t="str">
        <x:f>IF(E2375=F2375,"PASS","FAIL")</x:f>
        <x:v>PASS</x:v>
      </x:c>
    </x:row>
    <x:row r="2376">
      <x:c r="B2376" t="str">
        <x:v>A-02330</x:v>
      </x:c>
      <x:c r="C2376" t="str">
        <x:v>GATE</x:v>
      </x:c>
      <x:c r="D2376" t="str">
        <x:v>release state mirrors governing ledger</x:v>
      </x:c>
      <x:c r="E2376" t="str">
        <x:f>'Release Gates'!I2336</x:f>
        <x:v>OPEN</x:v>
      </x:c>
      <x:c r="F2376" t="str">
        <x:f>IF('Release Gates'!C2336="PLANNING","PASS",IF('Release Gates'!C2336="PHYSICAL","OPEN","BLOCKED"))</x:f>
        <x:v>OPEN</x:v>
      </x:c>
      <x:c r="G2376" t="str">
        <x:v>equals</x:v>
      </x:c>
      <x:c r="H2376" t="str">
        <x:f>IF(E2376=F2376,"PASS","FAIL")</x:f>
        <x:v>PASS</x:v>
      </x:c>
    </x:row>
    <x:row r="2377">
      <x:c r="B2377" t="str">
        <x:v>A-02331</x:v>
      </x:c>
      <x:c r="C2377" t="str">
        <x:v>GATE</x:v>
      </x:c>
      <x:c r="D2377" t="str">
        <x:v>release state mirrors governing ledger</x:v>
      </x:c>
      <x:c r="E2377" t="str">
        <x:f>'Release Gates'!I2337</x:f>
        <x:v>OPEN</x:v>
      </x:c>
      <x:c r="F2377" t="str">
        <x:f>IF('Release Gates'!C2337="PLANNING","PASS",IF('Release Gates'!C2337="PHYSICAL","OPEN","BLOCKED"))</x:f>
        <x:v>OPEN</x:v>
      </x:c>
      <x:c r="G2377" t="str">
        <x:v>equals</x:v>
      </x:c>
      <x:c r="H2377" t="str">
        <x:f>IF(E2377=F2377,"PASS","FAIL")</x:f>
        <x:v>PASS</x:v>
      </x:c>
    </x:row>
    <x:row r="2378">
      <x:c r="B2378" t="str">
        <x:v>A-02332</x:v>
      </x:c>
      <x:c r="C2378" t="str">
        <x:v>GATE</x:v>
      </x:c>
      <x:c r="D2378" t="str">
        <x:v>release state mirrors governing ledger</x:v>
      </x:c>
      <x:c r="E2378" t="str">
        <x:f>'Release Gates'!I2338</x:f>
        <x:v>OPEN</x:v>
      </x:c>
      <x:c r="F2378" t="str">
        <x:f>IF('Release Gates'!C2338="PLANNING","PASS",IF('Release Gates'!C2338="PHYSICAL","OPEN","BLOCKED"))</x:f>
        <x:v>OPEN</x:v>
      </x:c>
      <x:c r="G2378" t="str">
        <x:v>equals</x:v>
      </x:c>
      <x:c r="H2378" t="str">
        <x:f>IF(E2378=F2378,"PASS","FAIL")</x:f>
        <x:v>PASS</x:v>
      </x:c>
    </x:row>
    <x:row r="2379">
      <x:c r="B2379" t="str">
        <x:v>A-02333</x:v>
      </x:c>
      <x:c r="C2379" t="str">
        <x:v>GATE</x:v>
      </x:c>
      <x:c r="D2379" t="str">
        <x:v>release state mirrors governing ledger</x:v>
      </x:c>
      <x:c r="E2379" t="str">
        <x:f>'Release Gates'!I2339</x:f>
        <x:v>OPEN</x:v>
      </x:c>
      <x:c r="F2379" t="str">
        <x:f>IF('Release Gates'!C2339="PLANNING","PASS",IF('Release Gates'!C2339="PHYSICAL","OPEN","BLOCKED"))</x:f>
        <x:v>OPEN</x:v>
      </x:c>
      <x:c r="G2379" t="str">
        <x:v>equals</x:v>
      </x:c>
      <x:c r="H2379" t="str">
        <x:f>IF(E2379=F2379,"PASS","FAIL")</x:f>
        <x:v>PASS</x:v>
      </x:c>
    </x:row>
    <x:row r="2380">
      <x:c r="B2380" t="str">
        <x:v>A-02334</x:v>
      </x:c>
      <x:c r="C2380" t="str">
        <x:v>GATE</x:v>
      </x:c>
      <x:c r="D2380" t="str">
        <x:v>release state mirrors governing ledger</x:v>
      </x:c>
      <x:c r="E2380" t="str">
        <x:f>'Release Gates'!I2340</x:f>
        <x:v>OPEN</x:v>
      </x:c>
      <x:c r="F2380" t="str">
        <x:f>IF('Release Gates'!C2340="PLANNING","PASS",IF('Release Gates'!C2340="PHYSICAL","OPEN","BLOCKED"))</x:f>
        <x:v>OPEN</x:v>
      </x:c>
      <x:c r="G2380" t="str">
        <x:v>equals</x:v>
      </x:c>
      <x:c r="H2380" t="str">
        <x:f>IF(E2380=F2380,"PASS","FAIL")</x:f>
        <x:v>PASS</x:v>
      </x:c>
    </x:row>
    <x:row r="2381">
      <x:c r="B2381" t="str">
        <x:v>A-02335</x:v>
      </x:c>
      <x:c r="C2381" t="str">
        <x:v>GATE</x:v>
      </x:c>
      <x:c r="D2381" t="str">
        <x:v>release state mirrors governing ledger</x:v>
      </x:c>
      <x:c r="E2381" t="str">
        <x:f>'Release Gates'!I2341</x:f>
        <x:v>OPEN</x:v>
      </x:c>
      <x:c r="F2381" t="str">
        <x:f>IF('Release Gates'!C2341="PLANNING","PASS",IF('Release Gates'!C2341="PHYSICAL","OPEN","BLOCKED"))</x:f>
        <x:v>OPEN</x:v>
      </x:c>
      <x:c r="G2381" t="str">
        <x:v>equals</x:v>
      </x:c>
      <x:c r="H2381" t="str">
        <x:f>IF(E2381=F2381,"PASS","FAIL")</x:f>
        <x:v>PASS</x:v>
      </x:c>
    </x:row>
    <x:row r="2382">
      <x:c r="B2382" t="str">
        <x:v>A-02336</x:v>
      </x:c>
      <x:c r="C2382" t="str">
        <x:v>GATE</x:v>
      </x:c>
      <x:c r="D2382" t="str">
        <x:v>release state mirrors governing ledger</x:v>
      </x:c>
      <x:c r="E2382" t="str">
        <x:f>'Release Gates'!I2342</x:f>
        <x:v>OPEN</x:v>
      </x:c>
      <x:c r="F2382" t="str">
        <x:f>IF('Release Gates'!C2342="PLANNING","PASS",IF('Release Gates'!C2342="PHYSICAL","OPEN","BLOCKED"))</x:f>
        <x:v>OPEN</x:v>
      </x:c>
      <x:c r="G2382" t="str">
        <x:v>equals</x:v>
      </x:c>
      <x:c r="H2382" t="str">
        <x:f>IF(E2382=F2382,"PASS","FAIL")</x:f>
        <x:v>PASS</x:v>
      </x:c>
    </x:row>
    <x:row r="2383">
      <x:c r="B2383" t="str">
        <x:v>A-02337</x:v>
      </x:c>
      <x:c r="C2383" t="str">
        <x:v>GATE</x:v>
      </x:c>
      <x:c r="D2383" t="str">
        <x:v>release state mirrors governing ledger</x:v>
      </x:c>
      <x:c r="E2383" t="str">
        <x:f>'Release Gates'!I2343</x:f>
        <x:v>OPEN</x:v>
      </x:c>
      <x:c r="F2383" t="str">
        <x:f>IF('Release Gates'!C2343="PLANNING","PASS",IF('Release Gates'!C2343="PHYSICAL","OPEN","BLOCKED"))</x:f>
        <x:v>OPEN</x:v>
      </x:c>
      <x:c r="G2383" t="str">
        <x:v>equals</x:v>
      </x:c>
      <x:c r="H2383" t="str">
        <x:f>IF(E2383=F2383,"PASS","FAIL")</x:f>
        <x:v>PASS</x:v>
      </x:c>
    </x:row>
    <x:row r="2384">
      <x:c r="B2384" t="str">
        <x:v>A-02338</x:v>
      </x:c>
      <x:c r="C2384" t="str">
        <x:v>GATE</x:v>
      </x:c>
      <x:c r="D2384" t="str">
        <x:v>release state mirrors governing ledger</x:v>
      </x:c>
      <x:c r="E2384" t="str">
        <x:f>'Release Gates'!I2344</x:f>
        <x:v>OPEN</x:v>
      </x:c>
      <x:c r="F2384" t="str">
        <x:f>IF('Release Gates'!C2344="PLANNING","PASS",IF('Release Gates'!C2344="PHYSICAL","OPEN","BLOCKED"))</x:f>
        <x:v>OPEN</x:v>
      </x:c>
      <x:c r="G2384" t="str">
        <x:v>equals</x:v>
      </x:c>
      <x:c r="H2384" t="str">
        <x:f>IF(E2384=F2384,"PASS","FAIL")</x:f>
        <x:v>PASS</x:v>
      </x:c>
    </x:row>
    <x:row r="2385">
      <x:c r="B2385" t="str">
        <x:v>A-02339</x:v>
      </x:c>
      <x:c r="C2385" t="str">
        <x:v>GATE</x:v>
      </x:c>
      <x:c r="D2385" t="str">
        <x:v>release state mirrors governing ledger</x:v>
      </x:c>
      <x:c r="E2385" t="str">
        <x:f>'Release Gates'!I2345</x:f>
        <x:v>OPEN</x:v>
      </x:c>
      <x:c r="F2385" t="str">
        <x:f>IF('Release Gates'!C2345="PLANNING","PASS",IF('Release Gates'!C2345="PHYSICAL","OPEN","BLOCKED"))</x:f>
        <x:v>OPEN</x:v>
      </x:c>
      <x:c r="G2385" t="str">
        <x:v>equals</x:v>
      </x:c>
      <x:c r="H2385" t="str">
        <x:f>IF(E2385=F2385,"PASS","FAIL")</x:f>
        <x:v>PASS</x:v>
      </x:c>
    </x:row>
    <x:row r="2386">
      <x:c r="B2386" t="str">
        <x:v>A-02340</x:v>
      </x:c>
      <x:c r="C2386" t="str">
        <x:v>GATE</x:v>
      </x:c>
      <x:c r="D2386" t="str">
        <x:v>release state mirrors governing ledger</x:v>
      </x:c>
      <x:c r="E2386" t="str">
        <x:f>'Release Gates'!I2346</x:f>
        <x:v>OPEN</x:v>
      </x:c>
      <x:c r="F2386" t="str">
        <x:f>IF('Release Gates'!C2346="PLANNING","PASS",IF('Release Gates'!C2346="PHYSICAL","OPEN","BLOCKED"))</x:f>
        <x:v>OPEN</x:v>
      </x:c>
      <x:c r="G2386" t="str">
        <x:v>equals</x:v>
      </x:c>
      <x:c r="H2386" t="str">
        <x:f>IF(E2386=F2386,"PASS","FAIL")</x:f>
        <x:v>PASS</x:v>
      </x:c>
    </x:row>
    <x:row r="2387">
      <x:c r="B2387" t="str">
        <x:v>A-02341</x:v>
      </x:c>
      <x:c r="C2387" t="str">
        <x:v>GATE</x:v>
      </x:c>
      <x:c r="D2387" t="str">
        <x:v>release state mirrors governing ledger</x:v>
      </x:c>
      <x:c r="E2387" t="str">
        <x:f>'Release Gates'!I2347</x:f>
        <x:v>OPEN</x:v>
      </x:c>
      <x:c r="F2387" t="str">
        <x:f>IF('Release Gates'!C2347="PLANNING","PASS",IF('Release Gates'!C2347="PHYSICAL","OPEN","BLOCKED"))</x:f>
        <x:v>OPEN</x:v>
      </x:c>
      <x:c r="G2387" t="str">
        <x:v>equals</x:v>
      </x:c>
      <x:c r="H2387" t="str">
        <x:f>IF(E2387=F2387,"PASS","FAIL")</x:f>
        <x:v>PASS</x:v>
      </x:c>
    </x:row>
    <x:row r="2388">
      <x:c r="B2388" t="str">
        <x:v>A-02342</x:v>
      </x:c>
      <x:c r="C2388" t="str">
        <x:v>GATE</x:v>
      </x:c>
      <x:c r="D2388" t="str">
        <x:v>release state mirrors governing ledger</x:v>
      </x:c>
      <x:c r="E2388" t="str">
        <x:f>'Release Gates'!I2348</x:f>
        <x:v>OPEN</x:v>
      </x:c>
      <x:c r="F2388" t="str">
        <x:f>IF('Release Gates'!C2348="PLANNING","PASS",IF('Release Gates'!C2348="PHYSICAL","OPEN","BLOCKED"))</x:f>
        <x:v>OPEN</x:v>
      </x:c>
      <x:c r="G2388" t="str">
        <x:v>equals</x:v>
      </x:c>
      <x:c r="H2388" t="str">
        <x:f>IF(E2388=F2388,"PASS","FAIL")</x:f>
        <x:v>PASS</x:v>
      </x:c>
    </x:row>
    <x:row r="2389">
      <x:c r="B2389" t="str">
        <x:v>A-02343</x:v>
      </x:c>
      <x:c r="C2389" t="str">
        <x:v>GATE</x:v>
      </x:c>
      <x:c r="D2389" t="str">
        <x:v>release state mirrors governing ledger</x:v>
      </x:c>
      <x:c r="E2389" t="str">
        <x:f>'Release Gates'!I2349</x:f>
        <x:v>OPEN</x:v>
      </x:c>
      <x:c r="F2389" t="str">
        <x:f>IF('Release Gates'!C2349="PLANNING","PASS",IF('Release Gates'!C2349="PHYSICAL","OPEN","BLOCKED"))</x:f>
        <x:v>OPEN</x:v>
      </x:c>
      <x:c r="G2389" t="str">
        <x:v>equals</x:v>
      </x:c>
      <x:c r="H2389" t="str">
        <x:f>IF(E2389=F2389,"PASS","FAIL")</x:f>
        <x:v>PASS</x:v>
      </x:c>
    </x:row>
    <x:row r="2390">
      <x:c r="B2390" t="str">
        <x:v>A-02344</x:v>
      </x:c>
      <x:c r="C2390" t="str">
        <x:v>GATE</x:v>
      </x:c>
      <x:c r="D2390" t="str">
        <x:v>release state mirrors governing ledger</x:v>
      </x:c>
      <x:c r="E2390" t="str">
        <x:f>'Release Gates'!I2350</x:f>
        <x:v>OPEN</x:v>
      </x:c>
      <x:c r="F2390" t="str">
        <x:f>IF('Release Gates'!C2350="PLANNING","PASS",IF('Release Gates'!C2350="PHYSICAL","OPEN","BLOCKED"))</x:f>
        <x:v>OPEN</x:v>
      </x:c>
      <x:c r="G2390" t="str">
        <x:v>equals</x:v>
      </x:c>
      <x:c r="H2390" t="str">
        <x:f>IF(E2390=F2390,"PASS","FAIL")</x:f>
        <x:v>PASS</x:v>
      </x:c>
    </x:row>
    <x:row r="2391">
      <x:c r="B2391" t="str">
        <x:v>A-02345</x:v>
      </x:c>
      <x:c r="C2391" t="str">
        <x:v>GATE</x:v>
      </x:c>
      <x:c r="D2391" t="str">
        <x:v>release state mirrors governing ledger</x:v>
      </x:c>
      <x:c r="E2391" t="str">
        <x:f>'Release Gates'!I2351</x:f>
        <x:v>OPEN</x:v>
      </x:c>
      <x:c r="F2391" t="str">
        <x:f>IF('Release Gates'!C2351="PLANNING","PASS",IF('Release Gates'!C2351="PHYSICAL","OPEN","BLOCKED"))</x:f>
        <x:v>OPEN</x:v>
      </x:c>
      <x:c r="G2391" t="str">
        <x:v>equals</x:v>
      </x:c>
      <x:c r="H2391" t="str">
        <x:f>IF(E2391=F2391,"PASS","FAIL")</x:f>
        <x:v>PASS</x:v>
      </x:c>
    </x:row>
    <x:row r="2392">
      <x:c r="B2392" t="str">
        <x:v>A-02346</x:v>
      </x:c>
      <x:c r="C2392" t="str">
        <x:v>GATE</x:v>
      </x:c>
      <x:c r="D2392" t="str">
        <x:v>release state mirrors governing ledger</x:v>
      </x:c>
      <x:c r="E2392" t="str">
        <x:f>'Release Gates'!I2352</x:f>
        <x:v>OPEN</x:v>
      </x:c>
      <x:c r="F2392" t="str">
        <x:f>IF('Release Gates'!C2352="PLANNING","PASS",IF('Release Gates'!C2352="PHYSICAL","OPEN","BLOCKED"))</x:f>
        <x:v>OPEN</x:v>
      </x:c>
      <x:c r="G2392" t="str">
        <x:v>equals</x:v>
      </x:c>
      <x:c r="H2392" t="str">
        <x:f>IF(E2392=F2392,"PASS","FAIL")</x:f>
        <x:v>PASS</x:v>
      </x:c>
    </x:row>
    <x:row r="2393">
      <x:c r="B2393" t="str">
        <x:v>A-02347</x:v>
      </x:c>
      <x:c r="C2393" t="str">
        <x:v>GATE</x:v>
      </x:c>
      <x:c r="D2393" t="str">
        <x:v>release state mirrors governing ledger</x:v>
      </x:c>
      <x:c r="E2393" t="str">
        <x:f>'Release Gates'!I2353</x:f>
        <x:v>OPEN</x:v>
      </x:c>
      <x:c r="F2393" t="str">
        <x:f>IF('Release Gates'!C2353="PLANNING","PASS",IF('Release Gates'!C2353="PHYSICAL","OPEN","BLOCKED"))</x:f>
        <x:v>OPEN</x:v>
      </x:c>
      <x:c r="G2393" t="str">
        <x:v>equals</x:v>
      </x:c>
      <x:c r="H2393" t="str">
        <x:f>IF(E2393=F2393,"PASS","FAIL")</x:f>
        <x:v>PASS</x:v>
      </x:c>
    </x:row>
    <x:row r="2394">
      <x:c r="B2394" t="str">
        <x:v>A-02348</x:v>
      </x:c>
      <x:c r="C2394" t="str">
        <x:v>GATE</x:v>
      </x:c>
      <x:c r="D2394" t="str">
        <x:v>release state mirrors governing ledger</x:v>
      </x:c>
      <x:c r="E2394" t="str">
        <x:f>'Release Gates'!I2354</x:f>
        <x:v>OPEN</x:v>
      </x:c>
      <x:c r="F2394" t="str">
        <x:f>IF('Release Gates'!C2354="PLANNING","PASS",IF('Release Gates'!C2354="PHYSICAL","OPEN","BLOCKED"))</x:f>
        <x:v>OPEN</x:v>
      </x:c>
      <x:c r="G2394" t="str">
        <x:v>equals</x:v>
      </x:c>
      <x:c r="H2394" t="str">
        <x:f>IF(E2394=F2394,"PASS","FAIL")</x:f>
        <x:v>PASS</x:v>
      </x:c>
    </x:row>
    <x:row r="2395">
      <x:c r="B2395" t="str">
        <x:v>A-02349</x:v>
      </x:c>
      <x:c r="C2395" t="str">
        <x:v>GATE</x:v>
      </x:c>
      <x:c r="D2395" t="str">
        <x:v>release state mirrors governing ledger</x:v>
      </x:c>
      <x:c r="E2395" t="str">
        <x:f>'Release Gates'!I2355</x:f>
        <x:v>OPEN</x:v>
      </x:c>
      <x:c r="F2395" t="str">
        <x:f>IF('Release Gates'!C2355="PLANNING","PASS",IF('Release Gates'!C2355="PHYSICAL","OPEN","BLOCKED"))</x:f>
        <x:v>OPEN</x:v>
      </x:c>
      <x:c r="G2395" t="str">
        <x:v>equals</x:v>
      </x:c>
      <x:c r="H2395" t="str">
        <x:f>IF(E2395=F2395,"PASS","FAIL")</x:f>
        <x:v>PASS</x:v>
      </x:c>
    </x:row>
    <x:row r="2396">
      <x:c r="B2396" t="str">
        <x:v>A-02350</x:v>
      </x:c>
      <x:c r="C2396" t="str">
        <x:v>GATE</x:v>
      </x:c>
      <x:c r="D2396" t="str">
        <x:v>release state mirrors governing ledger</x:v>
      </x:c>
      <x:c r="E2396" t="str">
        <x:f>'Release Gates'!I2356</x:f>
        <x:v>OPEN</x:v>
      </x:c>
      <x:c r="F2396" t="str">
        <x:f>IF('Release Gates'!C2356="PLANNING","PASS",IF('Release Gates'!C2356="PHYSICAL","OPEN","BLOCKED"))</x:f>
        <x:v>OPEN</x:v>
      </x:c>
      <x:c r="G2396" t="str">
        <x:v>equals</x:v>
      </x:c>
      <x:c r="H2396" t="str">
        <x:f>IF(E2396=F2396,"PASS","FAIL")</x:f>
        <x:v>PASS</x:v>
      </x:c>
    </x:row>
    <x:row r="2397">
      <x:c r="B2397" t="str">
        <x:v>A-02351</x:v>
      </x:c>
      <x:c r="C2397" t="str">
        <x:v>GATE</x:v>
      </x:c>
      <x:c r="D2397" t="str">
        <x:v>release state mirrors governing ledger</x:v>
      </x:c>
      <x:c r="E2397" t="str">
        <x:f>'Release Gates'!I2357</x:f>
        <x:v>OPEN</x:v>
      </x:c>
      <x:c r="F2397" t="str">
        <x:f>IF('Release Gates'!C2357="PLANNING","PASS",IF('Release Gates'!C2357="PHYSICAL","OPEN","BLOCKED"))</x:f>
        <x:v>OPEN</x:v>
      </x:c>
      <x:c r="G2397" t="str">
        <x:v>equals</x:v>
      </x:c>
      <x:c r="H2397" t="str">
        <x:f>IF(E2397=F2397,"PASS","FAIL")</x:f>
        <x:v>PASS</x:v>
      </x:c>
    </x:row>
    <x:row r="2398">
      <x:c r="B2398" t="str">
        <x:v>A-02352</x:v>
      </x:c>
      <x:c r="C2398" t="str">
        <x:v>GATE</x:v>
      </x:c>
      <x:c r="D2398" t="str">
        <x:v>release state mirrors governing ledger</x:v>
      </x:c>
      <x:c r="E2398" t="str">
        <x:f>'Release Gates'!I2358</x:f>
        <x:v>OPEN</x:v>
      </x:c>
      <x:c r="F2398" t="str">
        <x:f>IF('Release Gates'!C2358="PLANNING","PASS",IF('Release Gates'!C2358="PHYSICAL","OPEN","BLOCKED"))</x:f>
        <x:v>OPEN</x:v>
      </x:c>
      <x:c r="G2398" t="str">
        <x:v>equals</x:v>
      </x:c>
      <x:c r="H2398" t="str">
        <x:f>IF(E2398=F2398,"PASS","FAIL")</x:f>
        <x:v>PASS</x:v>
      </x:c>
    </x:row>
    <x:row r="2399">
      <x:c r="B2399" t="str">
        <x:v>A-02353</x:v>
      </x:c>
      <x:c r="C2399" t="str">
        <x:v>GATE</x:v>
      </x:c>
      <x:c r="D2399" t="str">
        <x:v>release state mirrors governing ledger</x:v>
      </x:c>
      <x:c r="E2399" t="str">
        <x:f>'Release Gates'!I2359</x:f>
        <x:v>OPEN</x:v>
      </x:c>
      <x:c r="F2399" t="str">
        <x:f>IF('Release Gates'!C2359="PLANNING","PASS",IF('Release Gates'!C2359="PHYSICAL","OPEN","BLOCKED"))</x:f>
        <x:v>OPEN</x:v>
      </x:c>
      <x:c r="G2399" t="str">
        <x:v>equals</x:v>
      </x:c>
      <x:c r="H2399" t="str">
        <x:f>IF(E2399=F2399,"PASS","FAIL")</x:f>
        <x:v>PASS</x:v>
      </x:c>
    </x:row>
    <x:row r="2400">
      <x:c r="B2400" t="str">
        <x:v>A-02354</x:v>
      </x:c>
      <x:c r="C2400" t="str">
        <x:v>GATE</x:v>
      </x:c>
      <x:c r="D2400" t="str">
        <x:v>release state mirrors governing ledger</x:v>
      </x:c>
      <x:c r="E2400" t="str">
        <x:f>'Release Gates'!I2360</x:f>
        <x:v>OPEN</x:v>
      </x:c>
      <x:c r="F2400" t="str">
        <x:f>IF('Release Gates'!C2360="PLANNING","PASS",IF('Release Gates'!C2360="PHYSICAL","OPEN","BLOCKED"))</x:f>
        <x:v>OPEN</x:v>
      </x:c>
      <x:c r="G2400" t="str">
        <x:v>equals</x:v>
      </x:c>
      <x:c r="H2400" t="str">
        <x:f>IF(E2400=F2400,"PASS","FAIL")</x:f>
        <x:v>PASS</x:v>
      </x:c>
    </x:row>
    <x:row r="2401">
      <x:c r="B2401" t="str">
        <x:v>A-02355</x:v>
      </x:c>
      <x:c r="C2401" t="str">
        <x:v>GATE</x:v>
      </x:c>
      <x:c r="D2401" t="str">
        <x:v>release state mirrors governing ledger</x:v>
      </x:c>
      <x:c r="E2401" t="str">
        <x:f>'Release Gates'!I2361</x:f>
        <x:v>OPEN</x:v>
      </x:c>
      <x:c r="F2401" t="str">
        <x:f>IF('Release Gates'!C2361="PLANNING","PASS",IF('Release Gates'!C2361="PHYSICAL","OPEN","BLOCKED"))</x:f>
        <x:v>OPEN</x:v>
      </x:c>
      <x:c r="G2401" t="str">
        <x:v>equals</x:v>
      </x:c>
      <x:c r="H2401" t="str">
        <x:f>IF(E2401=F2401,"PASS","FAIL")</x:f>
        <x:v>PASS</x:v>
      </x:c>
    </x:row>
    <x:row r="2402">
      <x:c r="B2402" t="str">
        <x:v>A-02356</x:v>
      </x:c>
      <x:c r="C2402" t="str">
        <x:v>GATE</x:v>
      </x:c>
      <x:c r="D2402" t="str">
        <x:v>release state mirrors governing ledger</x:v>
      </x:c>
      <x:c r="E2402" t="str">
        <x:f>'Release Gates'!I2362</x:f>
        <x:v>OPEN</x:v>
      </x:c>
      <x:c r="F2402" t="str">
        <x:f>IF('Release Gates'!C2362="PLANNING","PASS",IF('Release Gates'!C2362="PHYSICAL","OPEN","BLOCKED"))</x:f>
        <x:v>OPEN</x:v>
      </x:c>
      <x:c r="G2402" t="str">
        <x:v>equals</x:v>
      </x:c>
      <x:c r="H2402" t="str">
        <x:f>IF(E2402=F2402,"PASS","FAIL")</x:f>
        <x:v>PASS</x:v>
      </x:c>
    </x:row>
    <x:row r="2403">
      <x:c r="B2403" t="str">
        <x:v>A-02357</x:v>
      </x:c>
      <x:c r="C2403" t="str">
        <x:v>GATE</x:v>
      </x:c>
      <x:c r="D2403" t="str">
        <x:v>release state mirrors governing ledger</x:v>
      </x:c>
      <x:c r="E2403" t="str">
        <x:f>'Release Gates'!I2363</x:f>
        <x:v>OPEN</x:v>
      </x:c>
      <x:c r="F2403" t="str">
        <x:f>IF('Release Gates'!C2363="PLANNING","PASS",IF('Release Gates'!C2363="PHYSICAL","OPEN","BLOCKED"))</x:f>
        <x:v>OPEN</x:v>
      </x:c>
      <x:c r="G2403" t="str">
        <x:v>equals</x:v>
      </x:c>
      <x:c r="H2403" t="str">
        <x:f>IF(E2403=F2403,"PASS","FAIL")</x:f>
        <x:v>PASS</x:v>
      </x:c>
    </x:row>
    <x:row r="2404">
      <x:c r="B2404" t="str">
        <x:v>A-02358</x:v>
      </x:c>
      <x:c r="C2404" t="str">
        <x:v>GATE</x:v>
      </x:c>
      <x:c r="D2404" t="str">
        <x:v>release state mirrors governing ledger</x:v>
      </x:c>
      <x:c r="E2404" t="str">
        <x:f>'Release Gates'!I2364</x:f>
        <x:v>OPEN</x:v>
      </x:c>
      <x:c r="F2404" t="str">
        <x:f>IF('Release Gates'!C2364="PLANNING","PASS",IF('Release Gates'!C2364="PHYSICAL","OPEN","BLOCKED"))</x:f>
        <x:v>OPEN</x:v>
      </x:c>
      <x:c r="G2404" t="str">
        <x:v>equals</x:v>
      </x:c>
      <x:c r="H2404" t="str">
        <x:f>IF(E2404=F2404,"PASS","FAIL")</x:f>
        <x:v>PASS</x:v>
      </x:c>
    </x:row>
    <x:row r="2405">
      <x:c r="B2405" t="str">
        <x:v>A-02359</x:v>
      </x:c>
      <x:c r="C2405" t="str">
        <x:v>GATE</x:v>
      </x:c>
      <x:c r="D2405" t="str">
        <x:v>release state mirrors governing ledger</x:v>
      </x:c>
      <x:c r="E2405" t="str">
        <x:f>'Release Gates'!I2365</x:f>
        <x:v>OPEN</x:v>
      </x:c>
      <x:c r="F2405" t="str">
        <x:f>IF('Release Gates'!C2365="PLANNING","PASS",IF('Release Gates'!C2365="PHYSICAL","OPEN","BLOCKED"))</x:f>
        <x:v>OPEN</x:v>
      </x:c>
      <x:c r="G2405" t="str">
        <x:v>equals</x:v>
      </x:c>
      <x:c r="H2405" t="str">
        <x:f>IF(E2405=F2405,"PASS","FAIL")</x:f>
        <x:v>PASS</x:v>
      </x:c>
    </x:row>
    <x:row r="2406">
      <x:c r="B2406" t="str">
        <x:v>A-02360</x:v>
      </x:c>
      <x:c r="C2406" t="str">
        <x:v>GATE</x:v>
      </x:c>
      <x:c r="D2406" t="str">
        <x:v>release state mirrors governing ledger</x:v>
      </x:c>
      <x:c r="E2406" t="str">
        <x:f>'Release Gates'!I2366</x:f>
        <x:v>OPEN</x:v>
      </x:c>
      <x:c r="F2406" t="str">
        <x:f>IF('Release Gates'!C2366="PLANNING","PASS",IF('Release Gates'!C2366="PHYSICAL","OPEN","BLOCKED"))</x:f>
        <x:v>OPEN</x:v>
      </x:c>
      <x:c r="G2406" t="str">
        <x:v>equals</x:v>
      </x:c>
      <x:c r="H2406" t="str">
        <x:f>IF(E2406=F2406,"PASS","FAIL")</x:f>
        <x:v>PASS</x:v>
      </x:c>
    </x:row>
    <x:row r="2407">
      <x:c r="B2407" t="str">
        <x:v>A-02361</x:v>
      </x:c>
      <x:c r="C2407" t="str">
        <x:v>GATE</x:v>
      </x:c>
      <x:c r="D2407" t="str">
        <x:v>release state mirrors governing ledger</x:v>
      </x:c>
      <x:c r="E2407" t="str">
        <x:f>'Release Gates'!I2367</x:f>
        <x:v>OPEN</x:v>
      </x:c>
      <x:c r="F2407" t="str">
        <x:f>IF('Release Gates'!C2367="PLANNING","PASS",IF('Release Gates'!C2367="PHYSICAL","OPEN","BLOCKED"))</x:f>
        <x:v>OPEN</x:v>
      </x:c>
      <x:c r="G2407" t="str">
        <x:v>equals</x:v>
      </x:c>
      <x:c r="H2407" t="str">
        <x:f>IF(E2407=F2407,"PASS","FAIL")</x:f>
        <x:v>PASS</x:v>
      </x:c>
    </x:row>
    <x:row r="2408">
      <x:c r="B2408" t="str">
        <x:v>A-02362</x:v>
      </x:c>
      <x:c r="C2408" t="str">
        <x:v>GATE</x:v>
      </x:c>
      <x:c r="D2408" t="str">
        <x:v>release state mirrors governing ledger</x:v>
      </x:c>
      <x:c r="E2408" t="str">
        <x:f>'Release Gates'!I2368</x:f>
        <x:v>OPEN</x:v>
      </x:c>
      <x:c r="F2408" t="str">
        <x:f>IF('Release Gates'!C2368="PLANNING","PASS",IF('Release Gates'!C2368="PHYSICAL","OPEN","BLOCKED"))</x:f>
        <x:v>OPEN</x:v>
      </x:c>
      <x:c r="G2408" t="str">
        <x:v>equals</x:v>
      </x:c>
      <x:c r="H2408" t="str">
        <x:f>IF(E2408=F2408,"PASS","FAIL")</x:f>
        <x:v>PASS</x:v>
      </x:c>
    </x:row>
    <x:row r="2409">
      <x:c r="B2409" t="str">
        <x:v>A-02363</x:v>
      </x:c>
      <x:c r="C2409" t="str">
        <x:v>GATE</x:v>
      </x:c>
      <x:c r="D2409" t="str">
        <x:v>release state mirrors governing ledger</x:v>
      </x:c>
      <x:c r="E2409" t="str">
        <x:f>'Release Gates'!I2369</x:f>
        <x:v>OPEN</x:v>
      </x:c>
      <x:c r="F2409" t="str">
        <x:f>IF('Release Gates'!C2369="PLANNING","PASS",IF('Release Gates'!C2369="PHYSICAL","OPEN","BLOCKED"))</x:f>
        <x:v>OPEN</x:v>
      </x:c>
      <x:c r="G2409" t="str">
        <x:v>equals</x:v>
      </x:c>
      <x:c r="H2409" t="str">
        <x:f>IF(E2409=F2409,"PASS","FAIL")</x:f>
        <x:v>PASS</x:v>
      </x:c>
    </x:row>
    <x:row r="2410">
      <x:c r="B2410" t="str">
        <x:v>A-02364</x:v>
      </x:c>
      <x:c r="C2410" t="str">
        <x:v>GATE</x:v>
      </x:c>
      <x:c r="D2410" t="str">
        <x:v>release state mirrors governing ledger</x:v>
      </x:c>
      <x:c r="E2410" t="str">
        <x:f>'Release Gates'!I2370</x:f>
        <x:v>OPEN</x:v>
      </x:c>
      <x:c r="F2410" t="str">
        <x:f>IF('Release Gates'!C2370="PLANNING","PASS",IF('Release Gates'!C2370="PHYSICAL","OPEN","BLOCKED"))</x:f>
        <x:v>OPEN</x:v>
      </x:c>
      <x:c r="G2410" t="str">
        <x:v>equals</x:v>
      </x:c>
      <x:c r="H2410" t="str">
        <x:f>IF(E2410=F2410,"PASS","FAIL")</x:f>
        <x:v>PASS</x:v>
      </x:c>
    </x:row>
    <x:row r="2411">
      <x:c r="B2411" t="str">
        <x:v>A-02365</x:v>
      </x:c>
      <x:c r="C2411" t="str">
        <x:v>GATE</x:v>
      </x:c>
      <x:c r="D2411" t="str">
        <x:v>release state mirrors governing ledger</x:v>
      </x:c>
      <x:c r="E2411" t="str">
        <x:f>'Release Gates'!I2371</x:f>
        <x:v>OPEN</x:v>
      </x:c>
      <x:c r="F2411" t="str">
        <x:f>IF('Release Gates'!C2371="PLANNING","PASS",IF('Release Gates'!C2371="PHYSICAL","OPEN","BLOCKED"))</x:f>
        <x:v>OPEN</x:v>
      </x:c>
      <x:c r="G2411" t="str">
        <x:v>equals</x:v>
      </x:c>
      <x:c r="H2411" t="str">
        <x:f>IF(E2411=F2411,"PASS","FAIL")</x:f>
        <x:v>PASS</x:v>
      </x:c>
    </x:row>
    <x:row r="2412">
      <x:c r="B2412" t="str">
        <x:v>A-02366</x:v>
      </x:c>
      <x:c r="C2412" t="str">
        <x:v>GATE</x:v>
      </x:c>
      <x:c r="D2412" t="str">
        <x:v>release state mirrors governing ledger</x:v>
      </x:c>
      <x:c r="E2412" t="str">
        <x:f>'Release Gates'!I2372</x:f>
        <x:v>OPEN</x:v>
      </x:c>
      <x:c r="F2412" t="str">
        <x:f>IF('Release Gates'!C2372="PLANNING","PASS",IF('Release Gates'!C2372="PHYSICAL","OPEN","BLOCKED"))</x:f>
        <x:v>OPEN</x:v>
      </x:c>
      <x:c r="G2412" t="str">
        <x:v>equals</x:v>
      </x:c>
      <x:c r="H2412" t="str">
        <x:f>IF(E2412=F2412,"PASS","FAIL")</x:f>
        <x:v>PASS</x:v>
      </x:c>
    </x:row>
    <x:row r="2413">
      <x:c r="B2413" t="str">
        <x:v>A-02367</x:v>
      </x:c>
      <x:c r="C2413" t="str">
        <x:v>GATE</x:v>
      </x:c>
      <x:c r="D2413" t="str">
        <x:v>release state mirrors governing ledger</x:v>
      </x:c>
      <x:c r="E2413" t="str">
        <x:f>'Release Gates'!I2373</x:f>
        <x:v>OPEN</x:v>
      </x:c>
      <x:c r="F2413" t="str">
        <x:f>IF('Release Gates'!C2373="PLANNING","PASS",IF('Release Gates'!C2373="PHYSICAL","OPEN","BLOCKED"))</x:f>
        <x:v>OPEN</x:v>
      </x:c>
      <x:c r="G2413" t="str">
        <x:v>equals</x:v>
      </x:c>
      <x:c r="H2413" t="str">
        <x:f>IF(E2413=F2413,"PASS","FAIL")</x:f>
        <x:v>PASS</x:v>
      </x:c>
    </x:row>
    <x:row r="2414">
      <x:c r="B2414" t="str">
        <x:v>A-02368</x:v>
      </x:c>
      <x:c r="C2414" t="str">
        <x:v>GATE</x:v>
      </x:c>
      <x:c r="D2414" t="str">
        <x:v>release state mirrors governing ledger</x:v>
      </x:c>
      <x:c r="E2414" t="str">
        <x:f>'Release Gates'!I2374</x:f>
        <x:v>OPEN</x:v>
      </x:c>
      <x:c r="F2414" t="str">
        <x:f>IF('Release Gates'!C2374="PLANNING","PASS",IF('Release Gates'!C2374="PHYSICAL","OPEN","BLOCKED"))</x:f>
        <x:v>OPEN</x:v>
      </x:c>
      <x:c r="G2414" t="str">
        <x:v>equals</x:v>
      </x:c>
      <x:c r="H2414" t="str">
        <x:f>IF(E2414=F2414,"PASS","FAIL")</x:f>
        <x:v>PASS</x:v>
      </x:c>
    </x:row>
    <x:row r="2415">
      <x:c r="B2415" t="str">
        <x:v>A-02369</x:v>
      </x:c>
      <x:c r="C2415" t="str">
        <x:v>GATE</x:v>
      </x:c>
      <x:c r="D2415" t="str">
        <x:v>release state mirrors governing ledger</x:v>
      </x:c>
      <x:c r="E2415" t="str">
        <x:f>'Release Gates'!I2375</x:f>
        <x:v>OPEN</x:v>
      </x:c>
      <x:c r="F2415" t="str">
        <x:f>IF('Release Gates'!C2375="PLANNING","PASS",IF('Release Gates'!C2375="PHYSICAL","OPEN","BLOCKED"))</x:f>
        <x:v>OPEN</x:v>
      </x:c>
      <x:c r="G2415" t="str">
        <x:v>equals</x:v>
      </x:c>
      <x:c r="H2415" t="str">
        <x:f>IF(E2415=F2415,"PASS","FAIL")</x:f>
        <x:v>PASS</x:v>
      </x:c>
    </x:row>
    <x:row r="2416">
      <x:c r="B2416" t="str">
        <x:v>A-02370</x:v>
      </x:c>
      <x:c r="C2416" t="str">
        <x:v>GATE</x:v>
      </x:c>
      <x:c r="D2416" t="str">
        <x:v>release state mirrors governing ledger</x:v>
      </x:c>
      <x:c r="E2416" t="str">
        <x:f>'Release Gates'!I2376</x:f>
        <x:v>OPEN</x:v>
      </x:c>
      <x:c r="F2416" t="str">
        <x:f>IF('Release Gates'!C2376="PLANNING","PASS",IF('Release Gates'!C2376="PHYSICAL","OPEN","BLOCKED"))</x:f>
        <x:v>OPEN</x:v>
      </x:c>
      <x:c r="G2416" t="str">
        <x:v>equals</x:v>
      </x:c>
      <x:c r="H2416" t="str">
        <x:f>IF(E2416=F2416,"PASS","FAIL")</x:f>
        <x:v>PASS</x:v>
      </x:c>
    </x:row>
    <x:row r="2417">
      <x:c r="B2417" t="str">
        <x:v>A-02371</x:v>
      </x:c>
      <x:c r="C2417" t="str">
        <x:v>GATE</x:v>
      </x:c>
      <x:c r="D2417" t="str">
        <x:v>release state mirrors governing ledger</x:v>
      </x:c>
      <x:c r="E2417" t="str">
        <x:f>'Release Gates'!I2377</x:f>
        <x:v>OPEN</x:v>
      </x:c>
      <x:c r="F2417" t="str">
        <x:f>IF('Release Gates'!C2377="PLANNING","PASS",IF('Release Gates'!C2377="PHYSICAL","OPEN","BLOCKED"))</x:f>
        <x:v>OPEN</x:v>
      </x:c>
      <x:c r="G2417" t="str">
        <x:v>equals</x:v>
      </x:c>
      <x:c r="H2417" t="str">
        <x:f>IF(E2417=F2417,"PASS","FAIL")</x:f>
        <x:v>PASS</x:v>
      </x:c>
    </x:row>
    <x:row r="2418">
      <x:c r="B2418" t="str">
        <x:v>A-02372</x:v>
      </x:c>
      <x:c r="C2418" t="str">
        <x:v>GATE</x:v>
      </x:c>
      <x:c r="D2418" t="str">
        <x:v>release state mirrors governing ledger</x:v>
      </x:c>
      <x:c r="E2418" t="str">
        <x:f>'Release Gates'!I2378</x:f>
        <x:v>OPEN</x:v>
      </x:c>
      <x:c r="F2418" t="str">
        <x:f>IF('Release Gates'!C2378="PLANNING","PASS",IF('Release Gates'!C2378="PHYSICAL","OPEN","BLOCKED"))</x:f>
        <x:v>OPEN</x:v>
      </x:c>
      <x:c r="G2418" t="str">
        <x:v>equals</x:v>
      </x:c>
      <x:c r="H2418" t="str">
        <x:f>IF(E2418=F2418,"PASS","FAIL")</x:f>
        <x:v>PASS</x:v>
      </x:c>
    </x:row>
    <x:row r="2419">
      <x:c r="B2419" t="str">
        <x:v>A-02373</x:v>
      </x:c>
      <x:c r="C2419" t="str">
        <x:v>GATE</x:v>
      </x:c>
      <x:c r="D2419" t="str">
        <x:v>release state mirrors governing ledger</x:v>
      </x:c>
      <x:c r="E2419" t="str">
        <x:f>'Release Gates'!I2379</x:f>
        <x:v>OPEN</x:v>
      </x:c>
      <x:c r="F2419" t="str">
        <x:f>IF('Release Gates'!C2379="PLANNING","PASS",IF('Release Gates'!C2379="PHYSICAL","OPEN","BLOCKED"))</x:f>
        <x:v>OPEN</x:v>
      </x:c>
      <x:c r="G2419" t="str">
        <x:v>equals</x:v>
      </x:c>
      <x:c r="H2419" t="str">
        <x:f>IF(E2419=F2419,"PASS","FAIL")</x:f>
        <x:v>PASS</x:v>
      </x:c>
    </x:row>
    <x:row r="2420">
      <x:c r="B2420" t="str">
        <x:v>A-02374</x:v>
      </x:c>
      <x:c r="C2420" t="str">
        <x:v>GATE</x:v>
      </x:c>
      <x:c r="D2420" t="str">
        <x:v>release state mirrors governing ledger</x:v>
      </x:c>
      <x:c r="E2420" t="str">
        <x:f>'Release Gates'!I2380</x:f>
        <x:v>OPEN</x:v>
      </x:c>
      <x:c r="F2420" t="str">
        <x:f>IF('Release Gates'!C2380="PLANNING","PASS",IF('Release Gates'!C2380="PHYSICAL","OPEN","BLOCKED"))</x:f>
        <x:v>OPEN</x:v>
      </x:c>
      <x:c r="G2420" t="str">
        <x:v>equals</x:v>
      </x:c>
      <x:c r="H2420" t="str">
        <x:f>IF(E2420=F2420,"PASS","FAIL")</x:f>
        <x:v>PASS</x:v>
      </x:c>
    </x:row>
    <x:row r="2421">
      <x:c r="B2421" t="str">
        <x:v>A-02375</x:v>
      </x:c>
      <x:c r="C2421" t="str">
        <x:v>GATE</x:v>
      </x:c>
      <x:c r="D2421" t="str">
        <x:v>release state mirrors governing ledger</x:v>
      </x:c>
      <x:c r="E2421" t="str">
        <x:f>'Release Gates'!I2381</x:f>
        <x:v>OPEN</x:v>
      </x:c>
      <x:c r="F2421" t="str">
        <x:f>IF('Release Gates'!C2381="PLANNING","PASS",IF('Release Gates'!C2381="PHYSICAL","OPEN","BLOCKED"))</x:f>
        <x:v>OPEN</x:v>
      </x:c>
      <x:c r="G2421" t="str">
        <x:v>equals</x:v>
      </x:c>
      <x:c r="H2421" t="str">
        <x:f>IF(E2421=F2421,"PASS","FAIL")</x:f>
        <x:v>PASS</x:v>
      </x:c>
    </x:row>
    <x:row r="2422">
      <x:c r="B2422" t="str">
        <x:v>A-02376</x:v>
      </x:c>
      <x:c r="C2422" t="str">
        <x:v>GATE</x:v>
      </x:c>
      <x:c r="D2422" t="str">
        <x:v>release state mirrors governing ledger</x:v>
      </x:c>
      <x:c r="E2422" t="str">
        <x:f>'Release Gates'!I2382</x:f>
        <x:v>OPEN</x:v>
      </x:c>
      <x:c r="F2422" t="str">
        <x:f>IF('Release Gates'!C2382="PLANNING","PASS",IF('Release Gates'!C2382="PHYSICAL","OPEN","BLOCKED"))</x:f>
        <x:v>OPEN</x:v>
      </x:c>
      <x:c r="G2422" t="str">
        <x:v>equals</x:v>
      </x:c>
      <x:c r="H2422" t="str">
        <x:f>IF(E2422=F2422,"PASS","FAIL")</x:f>
        <x:v>PASS</x:v>
      </x:c>
    </x:row>
    <x:row r="2423">
      <x:c r="B2423" t="str">
        <x:v>A-02377</x:v>
      </x:c>
      <x:c r="C2423" t="str">
        <x:v>GATE</x:v>
      </x:c>
      <x:c r="D2423" t="str">
        <x:v>release state mirrors governing ledger</x:v>
      </x:c>
      <x:c r="E2423" t="str">
        <x:f>'Release Gates'!I2383</x:f>
        <x:v>OPEN</x:v>
      </x:c>
      <x:c r="F2423" t="str">
        <x:f>IF('Release Gates'!C2383="PLANNING","PASS",IF('Release Gates'!C2383="PHYSICAL","OPEN","BLOCKED"))</x:f>
        <x:v>OPEN</x:v>
      </x:c>
      <x:c r="G2423" t="str">
        <x:v>equals</x:v>
      </x:c>
      <x:c r="H2423" t="str">
        <x:f>IF(E2423=F2423,"PASS","FAIL")</x:f>
        <x:v>PASS</x:v>
      </x:c>
    </x:row>
    <x:row r="2424">
      <x:c r="B2424" t="str">
        <x:v>A-02378</x:v>
      </x:c>
      <x:c r="C2424" t="str">
        <x:v>GATE</x:v>
      </x:c>
      <x:c r="D2424" t="str">
        <x:v>release state mirrors governing ledger</x:v>
      </x:c>
      <x:c r="E2424" t="str">
        <x:f>'Release Gates'!I2384</x:f>
        <x:v>OPEN</x:v>
      </x:c>
      <x:c r="F2424" t="str">
        <x:f>IF('Release Gates'!C2384="PLANNING","PASS",IF('Release Gates'!C2384="PHYSICAL","OPEN","BLOCKED"))</x:f>
        <x:v>OPEN</x:v>
      </x:c>
      <x:c r="G2424" t="str">
        <x:v>equals</x:v>
      </x:c>
      <x:c r="H2424" t="str">
        <x:f>IF(E2424=F2424,"PASS","FAIL")</x:f>
        <x:v>PASS</x:v>
      </x:c>
    </x:row>
    <x:row r="2425">
      <x:c r="B2425" t="str">
        <x:v>A-02379</x:v>
      </x:c>
      <x:c r="C2425" t="str">
        <x:v>GATE</x:v>
      </x:c>
      <x:c r="D2425" t="str">
        <x:v>release state mirrors governing ledger</x:v>
      </x:c>
      <x:c r="E2425" t="str">
        <x:f>'Release Gates'!I2385</x:f>
        <x:v>OPEN</x:v>
      </x:c>
      <x:c r="F2425" t="str">
        <x:f>IF('Release Gates'!C2385="PLANNING","PASS",IF('Release Gates'!C2385="PHYSICAL","OPEN","BLOCKED"))</x:f>
        <x:v>OPEN</x:v>
      </x:c>
      <x:c r="G2425" t="str">
        <x:v>equals</x:v>
      </x:c>
      <x:c r="H2425" t="str">
        <x:f>IF(E2425=F2425,"PASS","FAIL")</x:f>
        <x:v>PASS</x:v>
      </x:c>
    </x:row>
    <x:row r="2426">
      <x:c r="B2426" t="str">
        <x:v>A-02380</x:v>
      </x:c>
      <x:c r="C2426" t="str">
        <x:v>GATE</x:v>
      </x:c>
      <x:c r="D2426" t="str">
        <x:v>release state mirrors governing ledger</x:v>
      </x:c>
      <x:c r="E2426" t="str">
        <x:f>'Release Gates'!I2386</x:f>
        <x:v>OPEN</x:v>
      </x:c>
      <x:c r="F2426" t="str">
        <x:f>IF('Release Gates'!C2386="PLANNING","PASS",IF('Release Gates'!C2386="PHYSICAL","OPEN","BLOCKED"))</x:f>
        <x:v>OPEN</x:v>
      </x:c>
      <x:c r="G2426" t="str">
        <x:v>equals</x:v>
      </x:c>
      <x:c r="H2426" t="str">
        <x:f>IF(E2426=F2426,"PASS","FAIL")</x:f>
        <x:v>PASS</x:v>
      </x:c>
    </x:row>
    <x:row r="2427">
      <x:c r="B2427" t="str">
        <x:v>A-02381</x:v>
      </x:c>
      <x:c r="C2427" t="str">
        <x:v>GATE</x:v>
      </x:c>
      <x:c r="D2427" t="str">
        <x:v>release state mirrors governing ledger</x:v>
      </x:c>
      <x:c r="E2427" t="str">
        <x:f>'Release Gates'!I2387</x:f>
        <x:v>OPEN</x:v>
      </x:c>
      <x:c r="F2427" t="str">
        <x:f>IF('Release Gates'!C2387="PLANNING","PASS",IF('Release Gates'!C2387="PHYSICAL","OPEN","BLOCKED"))</x:f>
        <x:v>OPEN</x:v>
      </x:c>
      <x:c r="G2427" t="str">
        <x:v>equals</x:v>
      </x:c>
      <x:c r="H2427" t="str">
        <x:f>IF(E2427=F2427,"PASS","FAIL")</x:f>
        <x:v>PASS</x:v>
      </x:c>
    </x:row>
    <x:row r="2428">
      <x:c r="B2428" t="str">
        <x:v>A-02382</x:v>
      </x:c>
      <x:c r="C2428" t="str">
        <x:v>GATE</x:v>
      </x:c>
      <x:c r="D2428" t="str">
        <x:v>release state mirrors governing ledger</x:v>
      </x:c>
      <x:c r="E2428" t="str">
        <x:f>'Release Gates'!I2388</x:f>
        <x:v>OPEN</x:v>
      </x:c>
      <x:c r="F2428" t="str">
        <x:f>IF('Release Gates'!C2388="PLANNING","PASS",IF('Release Gates'!C2388="PHYSICAL","OPEN","BLOCKED"))</x:f>
        <x:v>OPEN</x:v>
      </x:c>
      <x:c r="G2428" t="str">
        <x:v>equals</x:v>
      </x:c>
      <x:c r="H2428" t="str">
        <x:f>IF(E2428=F2428,"PASS","FAIL")</x:f>
        <x:v>PASS</x:v>
      </x:c>
    </x:row>
    <x:row r="2429">
      <x:c r="B2429" t="str">
        <x:v>A-02383</x:v>
      </x:c>
      <x:c r="C2429" t="str">
        <x:v>GATE</x:v>
      </x:c>
      <x:c r="D2429" t="str">
        <x:v>release state mirrors governing ledger</x:v>
      </x:c>
      <x:c r="E2429" t="str">
        <x:f>'Release Gates'!I2389</x:f>
        <x:v>OPEN</x:v>
      </x:c>
      <x:c r="F2429" t="str">
        <x:f>IF('Release Gates'!C2389="PLANNING","PASS",IF('Release Gates'!C2389="PHYSICAL","OPEN","BLOCKED"))</x:f>
        <x:v>OPEN</x:v>
      </x:c>
      <x:c r="G2429" t="str">
        <x:v>equals</x:v>
      </x:c>
      <x:c r="H2429" t="str">
        <x:f>IF(E2429=F2429,"PASS","FAIL")</x:f>
        <x:v>PASS</x:v>
      </x:c>
    </x:row>
    <x:row r="2430">
      <x:c r="B2430" t="str">
        <x:v>A-02384</x:v>
      </x:c>
      <x:c r="C2430" t="str">
        <x:v>GATE</x:v>
      </x:c>
      <x:c r="D2430" t="str">
        <x:v>release state mirrors governing ledger</x:v>
      </x:c>
      <x:c r="E2430" t="str">
        <x:f>'Release Gates'!I2390</x:f>
        <x:v>OPEN</x:v>
      </x:c>
      <x:c r="F2430" t="str">
        <x:f>IF('Release Gates'!C2390="PLANNING","PASS",IF('Release Gates'!C2390="PHYSICAL","OPEN","BLOCKED"))</x:f>
        <x:v>OPEN</x:v>
      </x:c>
      <x:c r="G2430" t="str">
        <x:v>equals</x:v>
      </x:c>
      <x:c r="H2430" t="str">
        <x:f>IF(E2430=F2430,"PASS","FAIL")</x:f>
        <x:v>PASS</x:v>
      </x:c>
    </x:row>
    <x:row r="2431">
      <x:c r="B2431" t="str">
        <x:v>A-02385</x:v>
      </x:c>
      <x:c r="C2431" t="str">
        <x:v>GATE</x:v>
      </x:c>
      <x:c r="D2431" t="str">
        <x:v>release state mirrors governing ledger</x:v>
      </x:c>
      <x:c r="E2431" t="str">
        <x:f>'Release Gates'!I2391</x:f>
        <x:v>OPEN</x:v>
      </x:c>
      <x:c r="F2431" t="str">
        <x:f>IF('Release Gates'!C2391="PLANNING","PASS",IF('Release Gates'!C2391="PHYSICAL","OPEN","BLOCKED"))</x:f>
        <x:v>OPEN</x:v>
      </x:c>
      <x:c r="G2431" t="str">
        <x:v>equals</x:v>
      </x:c>
      <x:c r="H2431" t="str">
        <x:f>IF(E2431=F2431,"PASS","FAIL")</x:f>
        <x:v>PASS</x:v>
      </x:c>
    </x:row>
    <x:row r="2432">
      <x:c r="B2432" t="str">
        <x:v>A-02386</x:v>
      </x:c>
      <x:c r="C2432" t="str">
        <x:v>GATE</x:v>
      </x:c>
      <x:c r="D2432" t="str">
        <x:v>release state mirrors governing ledger</x:v>
      </x:c>
      <x:c r="E2432" t="str">
        <x:f>'Release Gates'!I2392</x:f>
        <x:v>OPEN</x:v>
      </x:c>
      <x:c r="F2432" t="str">
        <x:f>IF('Release Gates'!C2392="PLANNING","PASS",IF('Release Gates'!C2392="PHYSICAL","OPEN","BLOCKED"))</x:f>
        <x:v>OPEN</x:v>
      </x:c>
      <x:c r="G2432" t="str">
        <x:v>equals</x:v>
      </x:c>
      <x:c r="H2432" t="str">
        <x:f>IF(E2432=F2432,"PASS","FAIL")</x:f>
        <x:v>PASS</x:v>
      </x:c>
    </x:row>
    <x:row r="2433">
      <x:c r="B2433" t="str">
        <x:v>A-02387</x:v>
      </x:c>
      <x:c r="C2433" t="str">
        <x:v>GATE</x:v>
      </x:c>
      <x:c r="D2433" t="str">
        <x:v>release state mirrors governing ledger</x:v>
      </x:c>
      <x:c r="E2433" t="str">
        <x:f>'Release Gates'!I2393</x:f>
        <x:v>OPEN</x:v>
      </x:c>
      <x:c r="F2433" t="str">
        <x:f>IF('Release Gates'!C2393="PLANNING","PASS",IF('Release Gates'!C2393="PHYSICAL","OPEN","BLOCKED"))</x:f>
        <x:v>OPEN</x:v>
      </x:c>
      <x:c r="G2433" t="str">
        <x:v>equals</x:v>
      </x:c>
      <x:c r="H2433" t="str">
        <x:f>IF(E2433=F2433,"PASS","FAIL")</x:f>
        <x:v>PASS</x:v>
      </x:c>
    </x:row>
    <x:row r="2434">
      <x:c r="B2434" t="str">
        <x:v>A-02388</x:v>
      </x:c>
      <x:c r="C2434" t="str">
        <x:v>GATE</x:v>
      </x:c>
      <x:c r="D2434" t="str">
        <x:v>release state mirrors governing ledger</x:v>
      </x:c>
      <x:c r="E2434" t="str">
        <x:f>'Release Gates'!I2394</x:f>
        <x:v>OPEN</x:v>
      </x:c>
      <x:c r="F2434" t="str">
        <x:f>IF('Release Gates'!C2394="PLANNING","PASS",IF('Release Gates'!C2394="PHYSICAL","OPEN","BLOCKED"))</x:f>
        <x:v>OPEN</x:v>
      </x:c>
      <x:c r="G2434" t="str">
        <x:v>equals</x:v>
      </x:c>
      <x:c r="H2434" t="str">
        <x:f>IF(E2434=F2434,"PASS","FAIL")</x:f>
        <x:v>PASS</x:v>
      </x:c>
    </x:row>
    <x:row r="2435">
      <x:c r="B2435" t="str">
        <x:v>A-02389</x:v>
      </x:c>
      <x:c r="C2435" t="str">
        <x:v>GATE</x:v>
      </x:c>
      <x:c r="D2435" t="str">
        <x:v>release state mirrors governing ledger</x:v>
      </x:c>
      <x:c r="E2435" t="str">
        <x:f>'Release Gates'!I2395</x:f>
        <x:v>OPEN</x:v>
      </x:c>
      <x:c r="F2435" t="str">
        <x:f>IF('Release Gates'!C2395="PLANNING","PASS",IF('Release Gates'!C2395="PHYSICAL","OPEN","BLOCKED"))</x:f>
        <x:v>OPEN</x:v>
      </x:c>
      <x:c r="G2435" t="str">
        <x:v>equals</x:v>
      </x:c>
      <x:c r="H2435" t="str">
        <x:f>IF(E2435=F2435,"PASS","FAIL")</x:f>
        <x:v>PASS</x:v>
      </x:c>
    </x:row>
    <x:row r="2436">
      <x:c r="B2436" t="str">
        <x:v>A-02390</x:v>
      </x:c>
      <x:c r="C2436" t="str">
        <x:v>GATE</x:v>
      </x:c>
      <x:c r="D2436" t="str">
        <x:v>release state mirrors governing ledger</x:v>
      </x:c>
      <x:c r="E2436" t="str">
        <x:f>'Release Gates'!I2396</x:f>
        <x:v>OPEN</x:v>
      </x:c>
      <x:c r="F2436" t="str">
        <x:f>IF('Release Gates'!C2396="PLANNING","PASS",IF('Release Gates'!C2396="PHYSICAL","OPEN","BLOCKED"))</x:f>
        <x:v>OPEN</x:v>
      </x:c>
      <x:c r="G2436" t="str">
        <x:v>equals</x:v>
      </x:c>
      <x:c r="H2436" t="str">
        <x:f>IF(E2436=F2436,"PASS","FAIL")</x:f>
        <x:v>PASS</x:v>
      </x:c>
    </x:row>
    <x:row r="2437">
      <x:c r="B2437" t="str">
        <x:v>A-02391</x:v>
      </x:c>
      <x:c r="C2437" t="str">
        <x:v>GATE</x:v>
      </x:c>
      <x:c r="D2437" t="str">
        <x:v>release state mirrors governing ledger</x:v>
      </x:c>
      <x:c r="E2437" t="str">
        <x:f>'Release Gates'!I2397</x:f>
        <x:v>OPEN</x:v>
      </x:c>
      <x:c r="F2437" t="str">
        <x:f>IF('Release Gates'!C2397="PLANNING","PASS",IF('Release Gates'!C2397="PHYSICAL","OPEN","BLOCKED"))</x:f>
        <x:v>OPEN</x:v>
      </x:c>
      <x:c r="G2437" t="str">
        <x:v>equals</x:v>
      </x:c>
      <x:c r="H2437" t="str">
        <x:f>IF(E2437=F2437,"PASS","FAIL")</x:f>
        <x:v>PASS</x:v>
      </x:c>
    </x:row>
    <x:row r="2438">
      <x:c r="B2438" t="str">
        <x:v>A-02392</x:v>
      </x:c>
      <x:c r="C2438" t="str">
        <x:v>GATE</x:v>
      </x:c>
      <x:c r="D2438" t="str">
        <x:v>release state mirrors governing ledger</x:v>
      </x:c>
      <x:c r="E2438" t="str">
        <x:f>'Release Gates'!I2398</x:f>
        <x:v>OPEN</x:v>
      </x:c>
      <x:c r="F2438" t="str">
        <x:f>IF('Release Gates'!C2398="PLANNING","PASS",IF('Release Gates'!C2398="PHYSICAL","OPEN","BLOCKED"))</x:f>
        <x:v>OPEN</x:v>
      </x:c>
      <x:c r="G2438" t="str">
        <x:v>equals</x:v>
      </x:c>
      <x:c r="H2438" t="str">
        <x:f>IF(E2438=F2438,"PASS","FAIL")</x:f>
        <x:v>PASS</x:v>
      </x:c>
    </x:row>
    <x:row r="2439">
      <x:c r="B2439" t="str">
        <x:v>A-02393</x:v>
      </x:c>
      <x:c r="C2439" t="str">
        <x:v>GATE</x:v>
      </x:c>
      <x:c r="D2439" t="str">
        <x:v>release state mirrors governing ledger</x:v>
      </x:c>
      <x:c r="E2439" t="str">
        <x:f>'Release Gates'!I2399</x:f>
        <x:v>OPEN</x:v>
      </x:c>
      <x:c r="F2439" t="str">
        <x:f>IF('Release Gates'!C2399="PLANNING","PASS",IF('Release Gates'!C2399="PHYSICAL","OPEN","BLOCKED"))</x:f>
        <x:v>OPEN</x:v>
      </x:c>
      <x:c r="G2439" t="str">
        <x:v>equals</x:v>
      </x:c>
      <x:c r="H2439" t="str">
        <x:f>IF(E2439=F2439,"PASS","FAIL")</x:f>
        <x:v>PASS</x:v>
      </x:c>
    </x:row>
    <x:row r="2440">
      <x:c r="B2440" t="str">
        <x:v>A-02394</x:v>
      </x:c>
      <x:c r="C2440" t="str">
        <x:v>GATE</x:v>
      </x:c>
      <x:c r="D2440" t="str">
        <x:v>release state mirrors governing ledger</x:v>
      </x:c>
      <x:c r="E2440" t="str">
        <x:f>'Release Gates'!I2400</x:f>
        <x:v>OPEN</x:v>
      </x:c>
      <x:c r="F2440" t="str">
        <x:f>IF('Release Gates'!C2400="PLANNING","PASS",IF('Release Gates'!C2400="PHYSICAL","OPEN","BLOCKED"))</x:f>
        <x:v>OPEN</x:v>
      </x:c>
      <x:c r="G2440" t="str">
        <x:v>equals</x:v>
      </x:c>
      <x:c r="H2440" t="str">
        <x:f>IF(E2440=F2440,"PASS","FAIL")</x:f>
        <x:v>PASS</x:v>
      </x:c>
    </x:row>
    <x:row r="2441">
      <x:c r="B2441" t="str">
        <x:v>A-02395</x:v>
      </x:c>
      <x:c r="C2441" t="str">
        <x:v>GATE</x:v>
      </x:c>
      <x:c r="D2441" t="str">
        <x:v>release state mirrors governing ledger</x:v>
      </x:c>
      <x:c r="E2441" t="str">
        <x:f>'Release Gates'!I2401</x:f>
        <x:v>OPEN</x:v>
      </x:c>
      <x:c r="F2441" t="str">
        <x:f>IF('Release Gates'!C2401="PLANNING","PASS",IF('Release Gates'!C2401="PHYSICAL","OPEN","BLOCKED"))</x:f>
        <x:v>OPEN</x:v>
      </x:c>
      <x:c r="G2441" t="str">
        <x:v>equals</x:v>
      </x:c>
      <x:c r="H2441" t="str">
        <x:f>IF(E2441=F2441,"PASS","FAIL")</x:f>
        <x:v>PASS</x:v>
      </x:c>
    </x:row>
    <x:row r="2442">
      <x:c r="B2442" t="str">
        <x:v>A-02396</x:v>
      </x:c>
      <x:c r="C2442" t="str">
        <x:v>GATE</x:v>
      </x:c>
      <x:c r="D2442" t="str">
        <x:v>release state mirrors governing ledger</x:v>
      </x:c>
      <x:c r="E2442" t="str">
        <x:f>'Release Gates'!I2402</x:f>
        <x:v>OPEN</x:v>
      </x:c>
      <x:c r="F2442" t="str">
        <x:f>IF('Release Gates'!C2402="PLANNING","PASS",IF('Release Gates'!C2402="PHYSICAL","OPEN","BLOCKED"))</x:f>
        <x:v>OPEN</x:v>
      </x:c>
      <x:c r="G2442" t="str">
        <x:v>equals</x:v>
      </x:c>
      <x:c r="H2442" t="str">
        <x:f>IF(E2442=F2442,"PASS","FAIL")</x:f>
        <x:v>PASS</x:v>
      </x:c>
    </x:row>
    <x:row r="2443">
      <x:c r="B2443" t="str">
        <x:v>A-02397</x:v>
      </x:c>
      <x:c r="C2443" t="str">
        <x:v>GATE</x:v>
      </x:c>
      <x:c r="D2443" t="str">
        <x:v>release state mirrors governing ledger</x:v>
      </x:c>
      <x:c r="E2443" t="str">
        <x:f>'Release Gates'!I2403</x:f>
        <x:v>OPEN</x:v>
      </x:c>
      <x:c r="F2443" t="str">
        <x:f>IF('Release Gates'!C2403="PLANNING","PASS",IF('Release Gates'!C2403="PHYSICAL","OPEN","BLOCKED"))</x:f>
        <x:v>OPEN</x:v>
      </x:c>
      <x:c r="G2443" t="str">
        <x:v>equals</x:v>
      </x:c>
      <x:c r="H2443" t="str">
        <x:f>IF(E2443=F2443,"PASS","FAIL")</x:f>
        <x:v>PASS</x:v>
      </x:c>
    </x:row>
    <x:row r="2444">
      <x:c r="B2444" t="str">
        <x:v>A-02398</x:v>
      </x:c>
      <x:c r="C2444" t="str">
        <x:v>GATE</x:v>
      </x:c>
      <x:c r="D2444" t="str">
        <x:v>release state mirrors governing ledger</x:v>
      </x:c>
      <x:c r="E2444" t="str">
        <x:f>'Release Gates'!I2404</x:f>
        <x:v>OPEN</x:v>
      </x:c>
      <x:c r="F2444" t="str">
        <x:f>IF('Release Gates'!C2404="PLANNING","PASS",IF('Release Gates'!C2404="PHYSICAL","OPEN","BLOCKED"))</x:f>
        <x:v>OPEN</x:v>
      </x:c>
      <x:c r="G2444" t="str">
        <x:v>equals</x:v>
      </x:c>
      <x:c r="H2444" t="str">
        <x:f>IF(E2444=F2444,"PASS","FAIL")</x:f>
        <x:v>PASS</x:v>
      </x:c>
    </x:row>
    <x:row r="2445">
      <x:c r="B2445" t="str">
        <x:v>A-02399</x:v>
      </x:c>
      <x:c r="C2445" t="str">
        <x:v>GATE</x:v>
      </x:c>
      <x:c r="D2445" t="str">
        <x:v>release state mirrors governing ledger</x:v>
      </x:c>
      <x:c r="E2445" t="str">
        <x:f>'Release Gates'!I2405</x:f>
        <x:v>OPEN</x:v>
      </x:c>
      <x:c r="F2445" t="str">
        <x:f>IF('Release Gates'!C2405="PLANNING","PASS",IF('Release Gates'!C2405="PHYSICAL","OPEN","BLOCKED"))</x:f>
        <x:v>OPEN</x:v>
      </x:c>
      <x:c r="G2445" t="str">
        <x:v>equals</x:v>
      </x:c>
      <x:c r="H2445" t="str">
        <x:f>IF(E2445=F2445,"PASS","FAIL")</x:f>
        <x:v>PASS</x:v>
      </x:c>
    </x:row>
    <x:row r="2446">
      <x:c r="B2446" t="str">
        <x:v>A-02400</x:v>
      </x:c>
      <x:c r="C2446" t="str">
        <x:v>GATE</x:v>
      </x:c>
      <x:c r="D2446" t="str">
        <x:v>release state mirrors governing ledger</x:v>
      </x:c>
      <x:c r="E2446" t="str">
        <x:f>'Release Gates'!I2406</x:f>
        <x:v>OPEN</x:v>
      </x:c>
      <x:c r="F2446" t="str">
        <x:f>IF('Release Gates'!C2406="PLANNING","PASS",IF('Release Gates'!C2406="PHYSICAL","OPEN","BLOCKED"))</x:f>
        <x:v>OPEN</x:v>
      </x:c>
      <x:c r="G2446" t="str">
        <x:v>equals</x:v>
      </x:c>
      <x:c r="H2446" t="str">
        <x:f>IF(E2446=F2446,"PASS","FAIL")</x:f>
        <x:v>PASS</x:v>
      </x:c>
    </x:row>
    <x:row r="2447">
      <x:c r="B2447" t="str">
        <x:v>A-02401</x:v>
      </x:c>
      <x:c r="C2447" t="str">
        <x:v>GATE</x:v>
      </x:c>
      <x:c r="D2447" t="str">
        <x:v>release state mirrors governing ledger</x:v>
      </x:c>
      <x:c r="E2447" t="str">
        <x:f>'Release Gates'!I2407</x:f>
        <x:v>OPEN</x:v>
      </x:c>
      <x:c r="F2447" t="str">
        <x:f>IF('Release Gates'!C2407="PLANNING","PASS",IF('Release Gates'!C2407="PHYSICAL","OPEN","BLOCKED"))</x:f>
        <x:v>OPEN</x:v>
      </x:c>
      <x:c r="G2447" t="str">
        <x:v>equals</x:v>
      </x:c>
      <x:c r="H2447" t="str">
        <x:f>IF(E2447=F2447,"PASS","FAIL")</x:f>
        <x:v>PASS</x:v>
      </x:c>
    </x:row>
    <x:row r="2448">
      <x:c r="B2448" t="str">
        <x:v>A-02402</x:v>
      </x:c>
      <x:c r="C2448" t="str">
        <x:v>GATE</x:v>
      </x:c>
      <x:c r="D2448" t="str">
        <x:v>release state mirrors governing ledger</x:v>
      </x:c>
      <x:c r="E2448" t="str">
        <x:f>'Release Gates'!I2408</x:f>
        <x:v>OPEN</x:v>
      </x:c>
      <x:c r="F2448" t="str">
        <x:f>IF('Release Gates'!C2408="PLANNING","PASS",IF('Release Gates'!C2408="PHYSICAL","OPEN","BLOCKED"))</x:f>
        <x:v>OPEN</x:v>
      </x:c>
      <x:c r="G2448" t="str">
        <x:v>equals</x:v>
      </x:c>
      <x:c r="H2448" t="str">
        <x:f>IF(E2448=F2448,"PASS","FAIL")</x:f>
        <x:v>PASS</x:v>
      </x:c>
    </x:row>
    <x:row r="2449">
      <x:c r="B2449" t="str">
        <x:v>A-02403</x:v>
      </x:c>
      <x:c r="C2449" t="str">
        <x:v>GATE</x:v>
      </x:c>
      <x:c r="D2449" t="str">
        <x:v>release state mirrors governing ledger</x:v>
      </x:c>
      <x:c r="E2449" t="str">
        <x:f>'Release Gates'!I2409</x:f>
        <x:v>OPEN</x:v>
      </x:c>
      <x:c r="F2449" t="str">
        <x:f>IF('Release Gates'!C2409="PLANNING","PASS",IF('Release Gates'!C2409="PHYSICAL","OPEN","BLOCKED"))</x:f>
        <x:v>OPEN</x:v>
      </x:c>
      <x:c r="G2449" t="str">
        <x:v>equals</x:v>
      </x:c>
      <x:c r="H2449" t="str">
        <x:f>IF(E2449=F2449,"PASS","FAIL")</x:f>
        <x:v>PASS</x:v>
      </x:c>
    </x:row>
    <x:row r="2450">
      <x:c r="B2450" t="str">
        <x:v>A-02404</x:v>
      </x:c>
      <x:c r="C2450" t="str">
        <x:v>GATE</x:v>
      </x:c>
      <x:c r="D2450" t="str">
        <x:v>release state mirrors governing ledger</x:v>
      </x:c>
      <x:c r="E2450" t="str">
        <x:f>'Release Gates'!I2410</x:f>
        <x:v>OPEN</x:v>
      </x:c>
      <x:c r="F2450" t="str">
        <x:f>IF('Release Gates'!C2410="PLANNING","PASS",IF('Release Gates'!C2410="PHYSICAL","OPEN","BLOCKED"))</x:f>
        <x:v>OPEN</x:v>
      </x:c>
      <x:c r="G2450" t="str">
        <x:v>equals</x:v>
      </x:c>
      <x:c r="H2450" t="str">
        <x:f>IF(E2450=F2450,"PASS","FAIL")</x:f>
        <x:v>PASS</x:v>
      </x:c>
    </x:row>
    <x:row r="2451">
      <x:c r="B2451" t="str">
        <x:v>A-02405</x:v>
      </x:c>
      <x:c r="C2451" t="str">
        <x:v>GATE</x:v>
      </x:c>
      <x:c r="D2451" t="str">
        <x:v>release state mirrors governing ledger</x:v>
      </x:c>
      <x:c r="E2451" t="str">
        <x:f>'Release Gates'!I2411</x:f>
        <x:v>OPEN</x:v>
      </x:c>
      <x:c r="F2451" t="str">
        <x:f>IF('Release Gates'!C2411="PLANNING","PASS",IF('Release Gates'!C2411="PHYSICAL","OPEN","BLOCKED"))</x:f>
        <x:v>OPEN</x:v>
      </x:c>
      <x:c r="G2451" t="str">
        <x:v>equals</x:v>
      </x:c>
      <x:c r="H2451" t="str">
        <x:f>IF(E2451=F2451,"PASS","FAIL")</x:f>
        <x:v>PASS</x:v>
      </x:c>
    </x:row>
    <x:row r="2452">
      <x:c r="B2452" t="str">
        <x:v>A-02406</x:v>
      </x:c>
      <x:c r="C2452" t="str">
        <x:v>GATE</x:v>
      </x:c>
      <x:c r="D2452" t="str">
        <x:v>release state mirrors governing ledger</x:v>
      </x:c>
      <x:c r="E2452" t="str">
        <x:f>'Release Gates'!I2412</x:f>
        <x:v>OPEN</x:v>
      </x:c>
      <x:c r="F2452" t="str">
        <x:f>IF('Release Gates'!C2412="PLANNING","PASS",IF('Release Gates'!C2412="PHYSICAL","OPEN","BLOCKED"))</x:f>
        <x:v>OPEN</x:v>
      </x:c>
      <x:c r="G2452" t="str">
        <x:v>equals</x:v>
      </x:c>
      <x:c r="H2452" t="str">
        <x:f>IF(E2452=F2452,"PASS","FAIL")</x:f>
        <x:v>PASS</x:v>
      </x:c>
    </x:row>
    <x:row r="2453">
      <x:c r="B2453" t="str">
        <x:v>A-02407</x:v>
      </x:c>
      <x:c r="C2453" t="str">
        <x:v>GATE</x:v>
      </x:c>
      <x:c r="D2453" t="str">
        <x:v>release state mirrors governing ledger</x:v>
      </x:c>
      <x:c r="E2453" t="str">
        <x:f>'Release Gates'!I2413</x:f>
        <x:v>OPEN</x:v>
      </x:c>
      <x:c r="F2453" t="str">
        <x:f>IF('Release Gates'!C2413="PLANNING","PASS",IF('Release Gates'!C2413="PHYSICAL","OPEN","BLOCKED"))</x:f>
        <x:v>OPEN</x:v>
      </x:c>
      <x:c r="G2453" t="str">
        <x:v>equals</x:v>
      </x:c>
      <x:c r="H2453" t="str">
        <x:f>IF(E2453=F2453,"PASS","FAIL")</x:f>
        <x:v>PASS</x:v>
      </x:c>
    </x:row>
    <x:row r="2454">
      <x:c r="B2454" t="str">
        <x:v>A-02408</x:v>
      </x:c>
      <x:c r="C2454" t="str">
        <x:v>GATE</x:v>
      </x:c>
      <x:c r="D2454" t="str">
        <x:v>release state mirrors governing ledger</x:v>
      </x:c>
      <x:c r="E2454" t="str">
        <x:f>'Release Gates'!I2414</x:f>
        <x:v>OPEN</x:v>
      </x:c>
      <x:c r="F2454" t="str">
        <x:f>IF('Release Gates'!C2414="PLANNING","PASS",IF('Release Gates'!C2414="PHYSICAL","OPEN","BLOCKED"))</x:f>
        <x:v>OPEN</x:v>
      </x:c>
      <x:c r="G2454" t="str">
        <x:v>equals</x:v>
      </x:c>
      <x:c r="H2454" t="str">
        <x:f>IF(E2454=F2454,"PASS","FAIL")</x:f>
        <x:v>PASS</x:v>
      </x:c>
    </x:row>
    <x:row r="2455">
      <x:c r="B2455" t="str">
        <x:v>A-02409</x:v>
      </x:c>
      <x:c r="C2455" t="str">
        <x:v>GATE</x:v>
      </x:c>
      <x:c r="D2455" t="str">
        <x:v>release state mirrors governing ledger</x:v>
      </x:c>
      <x:c r="E2455" t="str">
        <x:f>'Release Gates'!I2415</x:f>
        <x:v>OPEN</x:v>
      </x:c>
      <x:c r="F2455" t="str">
        <x:f>IF('Release Gates'!C2415="PLANNING","PASS",IF('Release Gates'!C2415="PHYSICAL","OPEN","BLOCKED"))</x:f>
        <x:v>OPEN</x:v>
      </x:c>
      <x:c r="G2455" t="str">
        <x:v>equals</x:v>
      </x:c>
      <x:c r="H2455" t="str">
        <x:f>IF(E2455=F2455,"PASS","FAIL")</x:f>
        <x:v>PASS</x:v>
      </x:c>
    </x:row>
    <x:row r="2456">
      <x:c r="B2456" t="str">
        <x:v>A-02410</x:v>
      </x:c>
      <x:c r="C2456" t="str">
        <x:v>GATE</x:v>
      </x:c>
      <x:c r="D2456" t="str">
        <x:v>release state mirrors governing ledger</x:v>
      </x:c>
      <x:c r="E2456" t="str">
        <x:f>'Release Gates'!I2416</x:f>
        <x:v>OPEN</x:v>
      </x:c>
      <x:c r="F2456" t="str">
        <x:f>IF('Release Gates'!C2416="PLANNING","PASS",IF('Release Gates'!C2416="PHYSICAL","OPEN","BLOCKED"))</x:f>
        <x:v>OPEN</x:v>
      </x:c>
      <x:c r="G2456" t="str">
        <x:v>equals</x:v>
      </x:c>
      <x:c r="H2456" t="str">
        <x:f>IF(E2456=F2456,"PASS","FAIL")</x:f>
        <x:v>PASS</x:v>
      </x:c>
    </x:row>
    <x:row r="2457">
      <x:c r="B2457" t="str">
        <x:v>A-02411</x:v>
      </x:c>
      <x:c r="C2457" t="str">
        <x:v>GATE</x:v>
      </x:c>
      <x:c r="D2457" t="str">
        <x:v>release state mirrors governing ledger</x:v>
      </x:c>
      <x:c r="E2457" t="str">
        <x:f>'Release Gates'!I2417</x:f>
        <x:v>OPEN</x:v>
      </x:c>
      <x:c r="F2457" t="str">
        <x:f>IF('Release Gates'!C2417="PLANNING","PASS",IF('Release Gates'!C2417="PHYSICAL","OPEN","BLOCKED"))</x:f>
        <x:v>OPEN</x:v>
      </x:c>
      <x:c r="G2457" t="str">
        <x:v>equals</x:v>
      </x:c>
      <x:c r="H2457" t="str">
        <x:f>IF(E2457=F2457,"PASS","FAIL")</x:f>
        <x:v>PASS</x:v>
      </x:c>
    </x:row>
    <x:row r="2458">
      <x:c r="B2458" t="str">
        <x:v>A-02412</x:v>
      </x:c>
      <x:c r="C2458" t="str">
        <x:v>GATE</x:v>
      </x:c>
      <x:c r="D2458" t="str">
        <x:v>release state mirrors governing ledger</x:v>
      </x:c>
      <x:c r="E2458" t="str">
        <x:f>'Release Gates'!I2418</x:f>
        <x:v>OPEN</x:v>
      </x:c>
      <x:c r="F2458" t="str">
        <x:f>IF('Release Gates'!C2418="PLANNING","PASS",IF('Release Gates'!C2418="PHYSICAL","OPEN","BLOCKED"))</x:f>
        <x:v>OPEN</x:v>
      </x:c>
      <x:c r="G2458" t="str">
        <x:v>equals</x:v>
      </x:c>
      <x:c r="H2458" t="str">
        <x:f>IF(E2458=F2458,"PASS","FAIL")</x:f>
        <x:v>PASS</x:v>
      </x:c>
    </x:row>
    <x:row r="2459">
      <x:c r="B2459" t="str">
        <x:v>A-02413</x:v>
      </x:c>
      <x:c r="C2459" t="str">
        <x:v>GATE</x:v>
      </x:c>
      <x:c r="D2459" t="str">
        <x:v>release state mirrors governing ledger</x:v>
      </x:c>
      <x:c r="E2459" t="str">
        <x:f>'Release Gates'!I2419</x:f>
        <x:v>OPEN</x:v>
      </x:c>
      <x:c r="F2459" t="str">
        <x:f>IF('Release Gates'!C2419="PLANNING","PASS",IF('Release Gates'!C2419="PHYSICAL","OPEN","BLOCKED"))</x:f>
        <x:v>OPEN</x:v>
      </x:c>
      <x:c r="G2459" t="str">
        <x:v>equals</x:v>
      </x:c>
      <x:c r="H2459" t="str">
        <x:f>IF(E2459=F2459,"PASS","FAIL")</x:f>
        <x:v>PASS</x:v>
      </x:c>
    </x:row>
    <x:row r="2460">
      <x:c r="B2460" t="str">
        <x:v>A-02414</x:v>
      </x:c>
      <x:c r="C2460" t="str">
        <x:v>GATE</x:v>
      </x:c>
      <x:c r="D2460" t="str">
        <x:v>release state mirrors governing ledger</x:v>
      </x:c>
      <x:c r="E2460" t="str">
        <x:f>'Release Gates'!I2420</x:f>
        <x:v>OPEN</x:v>
      </x:c>
      <x:c r="F2460" t="str">
        <x:f>IF('Release Gates'!C2420="PLANNING","PASS",IF('Release Gates'!C2420="PHYSICAL","OPEN","BLOCKED"))</x:f>
        <x:v>OPEN</x:v>
      </x:c>
      <x:c r="G2460" t="str">
        <x:v>equals</x:v>
      </x:c>
      <x:c r="H2460" t="str">
        <x:f>IF(E2460=F2460,"PASS","FAIL")</x:f>
        <x:v>PASS</x:v>
      </x:c>
    </x:row>
    <x:row r="2461">
      <x:c r="B2461" t="str">
        <x:v>A-02415</x:v>
      </x:c>
      <x:c r="C2461" t="str">
        <x:v>GATE</x:v>
      </x:c>
      <x:c r="D2461" t="str">
        <x:v>release state mirrors governing ledger</x:v>
      </x:c>
      <x:c r="E2461" t="str">
        <x:f>'Release Gates'!I2421</x:f>
        <x:v>OPEN</x:v>
      </x:c>
      <x:c r="F2461" t="str">
        <x:f>IF('Release Gates'!C2421="PLANNING","PASS",IF('Release Gates'!C2421="PHYSICAL","OPEN","BLOCKED"))</x:f>
        <x:v>OPEN</x:v>
      </x:c>
      <x:c r="G2461" t="str">
        <x:v>equals</x:v>
      </x:c>
      <x:c r="H2461" t="str">
        <x:f>IF(E2461=F2461,"PASS","FAIL")</x:f>
        <x:v>PASS</x:v>
      </x:c>
    </x:row>
    <x:row r="2462">
      <x:c r="B2462" t="str">
        <x:v>A-02416</x:v>
      </x:c>
      <x:c r="C2462" t="str">
        <x:v>GATE</x:v>
      </x:c>
      <x:c r="D2462" t="str">
        <x:v>release state mirrors governing ledger</x:v>
      </x:c>
      <x:c r="E2462" t="str">
        <x:f>'Release Gates'!I2422</x:f>
        <x:v>OPEN</x:v>
      </x:c>
      <x:c r="F2462" t="str">
        <x:f>IF('Release Gates'!C2422="PLANNING","PASS",IF('Release Gates'!C2422="PHYSICAL","OPEN","BLOCKED"))</x:f>
        <x:v>OPEN</x:v>
      </x:c>
      <x:c r="G2462" t="str">
        <x:v>equals</x:v>
      </x:c>
      <x:c r="H2462" t="str">
        <x:f>IF(E2462=F2462,"PASS","FAIL")</x:f>
        <x:v>PASS</x:v>
      </x:c>
    </x:row>
    <x:row r="2463">
      <x:c r="B2463" t="str">
        <x:v>A-02417</x:v>
      </x:c>
      <x:c r="C2463" t="str">
        <x:v>GATE</x:v>
      </x:c>
      <x:c r="D2463" t="str">
        <x:v>release state mirrors governing ledger</x:v>
      </x:c>
      <x:c r="E2463" t="str">
        <x:f>'Release Gates'!I2423</x:f>
        <x:v>OPEN</x:v>
      </x:c>
      <x:c r="F2463" t="str">
        <x:f>IF('Release Gates'!C2423="PLANNING","PASS",IF('Release Gates'!C2423="PHYSICAL","OPEN","BLOCKED"))</x:f>
        <x:v>OPEN</x:v>
      </x:c>
      <x:c r="G2463" t="str">
        <x:v>equals</x:v>
      </x:c>
      <x:c r="H2463" t="str">
        <x:f>IF(E2463=F2463,"PASS","FAIL")</x:f>
        <x:v>PASS</x:v>
      </x:c>
    </x:row>
    <x:row r="2464">
      <x:c r="B2464" t="str">
        <x:v>A-02418</x:v>
      </x:c>
      <x:c r="C2464" t="str">
        <x:v>GATE</x:v>
      </x:c>
      <x:c r="D2464" t="str">
        <x:v>release state mirrors governing ledger</x:v>
      </x:c>
      <x:c r="E2464" t="str">
        <x:f>'Release Gates'!I2424</x:f>
        <x:v>OPEN</x:v>
      </x:c>
      <x:c r="F2464" t="str">
        <x:f>IF('Release Gates'!C2424="PLANNING","PASS",IF('Release Gates'!C2424="PHYSICAL","OPEN","BLOCKED"))</x:f>
        <x:v>OPEN</x:v>
      </x:c>
      <x:c r="G2464" t="str">
        <x:v>equals</x:v>
      </x:c>
      <x:c r="H2464" t="str">
        <x:f>IF(E2464=F2464,"PASS","FAIL")</x:f>
        <x:v>PASS</x:v>
      </x:c>
    </x:row>
    <x:row r="2465">
      <x:c r="B2465" t="str">
        <x:v>A-02419</x:v>
      </x:c>
      <x:c r="C2465" t="str">
        <x:v>GATE</x:v>
      </x:c>
      <x:c r="D2465" t="str">
        <x:v>release state mirrors governing ledger</x:v>
      </x:c>
      <x:c r="E2465" t="str">
        <x:f>'Release Gates'!I2425</x:f>
        <x:v>OPEN</x:v>
      </x:c>
      <x:c r="F2465" t="str">
        <x:f>IF('Release Gates'!C2425="PLANNING","PASS",IF('Release Gates'!C2425="PHYSICAL","OPEN","BLOCKED"))</x:f>
        <x:v>OPEN</x:v>
      </x:c>
      <x:c r="G2465" t="str">
        <x:v>equals</x:v>
      </x:c>
      <x:c r="H2465" t="str">
        <x:f>IF(E2465=F2465,"PASS","FAIL")</x:f>
        <x:v>PASS</x:v>
      </x:c>
    </x:row>
    <x:row r="2466">
      <x:c r="B2466" t="str">
        <x:v>A-02420</x:v>
      </x:c>
      <x:c r="C2466" t="str">
        <x:v>GATE</x:v>
      </x:c>
      <x:c r="D2466" t="str">
        <x:v>release state mirrors governing ledger</x:v>
      </x:c>
      <x:c r="E2466" t="str">
        <x:f>'Release Gates'!I2426</x:f>
        <x:v>OPEN</x:v>
      </x:c>
      <x:c r="F2466" t="str">
        <x:f>IF('Release Gates'!C2426="PLANNING","PASS",IF('Release Gates'!C2426="PHYSICAL","OPEN","BLOCKED"))</x:f>
        <x:v>OPEN</x:v>
      </x:c>
      <x:c r="G2466" t="str">
        <x:v>equals</x:v>
      </x:c>
      <x:c r="H2466" t="str">
        <x:f>IF(E2466=F2466,"PASS","FAIL")</x:f>
        <x:v>PASS</x:v>
      </x:c>
    </x:row>
    <x:row r="2467">
      <x:c r="B2467" t="str">
        <x:v>A-02421</x:v>
      </x:c>
      <x:c r="C2467" t="str">
        <x:v>GATE</x:v>
      </x:c>
      <x:c r="D2467" t="str">
        <x:v>release state mirrors governing ledger</x:v>
      </x:c>
      <x:c r="E2467" t="str">
        <x:f>'Release Gates'!I2427</x:f>
        <x:v>OPEN</x:v>
      </x:c>
      <x:c r="F2467" t="str">
        <x:f>IF('Release Gates'!C2427="PLANNING","PASS",IF('Release Gates'!C2427="PHYSICAL","OPEN","BLOCKED"))</x:f>
        <x:v>OPEN</x:v>
      </x:c>
      <x:c r="G2467" t="str">
        <x:v>equals</x:v>
      </x:c>
      <x:c r="H2467" t="str">
        <x:f>IF(E2467=F2467,"PASS","FAIL")</x:f>
        <x:v>PASS</x:v>
      </x:c>
    </x:row>
    <x:row r="2468">
      <x:c r="B2468" t="str">
        <x:v>A-02422</x:v>
      </x:c>
      <x:c r="C2468" t="str">
        <x:v>GATE</x:v>
      </x:c>
      <x:c r="D2468" t="str">
        <x:v>release state mirrors governing ledger</x:v>
      </x:c>
      <x:c r="E2468" t="str">
        <x:f>'Release Gates'!I2428</x:f>
        <x:v>OPEN</x:v>
      </x:c>
      <x:c r="F2468" t="str">
        <x:f>IF('Release Gates'!C2428="PLANNING","PASS",IF('Release Gates'!C2428="PHYSICAL","OPEN","BLOCKED"))</x:f>
        <x:v>OPEN</x:v>
      </x:c>
      <x:c r="G2468" t="str">
        <x:v>equals</x:v>
      </x:c>
      <x:c r="H2468" t="str">
        <x:f>IF(E2468=F2468,"PASS","FAIL")</x:f>
        <x:v>PASS</x:v>
      </x:c>
    </x:row>
    <x:row r="2469">
      <x:c r="B2469" t="str">
        <x:v>A-02423</x:v>
      </x:c>
      <x:c r="C2469" t="str">
        <x:v>GATE</x:v>
      </x:c>
      <x:c r="D2469" t="str">
        <x:v>release state mirrors governing ledger</x:v>
      </x:c>
      <x:c r="E2469" t="str">
        <x:f>'Release Gates'!I2429</x:f>
        <x:v>OPEN</x:v>
      </x:c>
      <x:c r="F2469" t="str">
        <x:f>IF('Release Gates'!C2429="PLANNING","PASS",IF('Release Gates'!C2429="PHYSICAL","OPEN","BLOCKED"))</x:f>
        <x:v>OPEN</x:v>
      </x:c>
      <x:c r="G2469" t="str">
        <x:v>equals</x:v>
      </x:c>
      <x:c r="H2469" t="str">
        <x:f>IF(E2469=F2469,"PASS","FAIL")</x:f>
        <x:v>PASS</x:v>
      </x:c>
    </x:row>
    <x:row r="2470">
      <x:c r="B2470" t="str">
        <x:v>A-02424</x:v>
      </x:c>
      <x:c r="C2470" t="str">
        <x:v>GATE</x:v>
      </x:c>
      <x:c r="D2470" t="str">
        <x:v>release state mirrors governing ledger</x:v>
      </x:c>
      <x:c r="E2470" t="str">
        <x:f>'Release Gates'!I2430</x:f>
        <x:v>OPEN</x:v>
      </x:c>
      <x:c r="F2470" t="str">
        <x:f>IF('Release Gates'!C2430="PLANNING","PASS",IF('Release Gates'!C2430="PHYSICAL","OPEN","BLOCKED"))</x:f>
        <x:v>OPEN</x:v>
      </x:c>
      <x:c r="G2470" t="str">
        <x:v>equals</x:v>
      </x:c>
      <x:c r="H2470" t="str">
        <x:f>IF(E2470=F2470,"PASS","FAIL")</x:f>
        <x:v>PASS</x:v>
      </x:c>
    </x:row>
    <x:row r="2471">
      <x:c r="B2471" t="str">
        <x:v>A-02425</x:v>
      </x:c>
      <x:c r="C2471" t="str">
        <x:v>GATE</x:v>
      </x:c>
      <x:c r="D2471" t="str">
        <x:v>release state mirrors governing ledger</x:v>
      </x:c>
      <x:c r="E2471" t="str">
        <x:f>'Release Gates'!I2431</x:f>
        <x:v>OPEN</x:v>
      </x:c>
      <x:c r="F2471" t="str">
        <x:f>IF('Release Gates'!C2431="PLANNING","PASS",IF('Release Gates'!C2431="PHYSICAL","OPEN","BLOCKED"))</x:f>
        <x:v>OPEN</x:v>
      </x:c>
      <x:c r="G2471" t="str">
        <x:v>equals</x:v>
      </x:c>
      <x:c r="H2471" t="str">
        <x:f>IF(E2471=F2471,"PASS","FAIL")</x:f>
        <x:v>PASS</x:v>
      </x:c>
    </x:row>
    <x:row r="2472">
      <x:c r="B2472" t="str">
        <x:v>A-02426</x:v>
      </x:c>
      <x:c r="C2472" t="str">
        <x:v>GATE</x:v>
      </x:c>
      <x:c r="D2472" t="str">
        <x:v>release state mirrors governing ledger</x:v>
      </x:c>
      <x:c r="E2472" t="str">
        <x:f>'Release Gates'!I2432</x:f>
        <x:v>OPEN</x:v>
      </x:c>
      <x:c r="F2472" t="str">
        <x:f>IF('Release Gates'!C2432="PLANNING","PASS",IF('Release Gates'!C2432="PHYSICAL","OPEN","BLOCKED"))</x:f>
        <x:v>OPEN</x:v>
      </x:c>
      <x:c r="G2472" t="str">
        <x:v>equals</x:v>
      </x:c>
      <x:c r="H2472" t="str">
        <x:f>IF(E2472=F2472,"PASS","FAIL")</x:f>
        <x:v>PASS</x:v>
      </x:c>
    </x:row>
    <x:row r="2473">
      <x:c r="B2473" t="str">
        <x:v>A-02427</x:v>
      </x:c>
      <x:c r="C2473" t="str">
        <x:v>GATE</x:v>
      </x:c>
      <x:c r="D2473" t="str">
        <x:v>release state mirrors governing ledger</x:v>
      </x:c>
      <x:c r="E2473" t="str">
        <x:f>'Release Gates'!I2433</x:f>
        <x:v>OPEN</x:v>
      </x:c>
      <x:c r="F2473" t="str">
        <x:f>IF('Release Gates'!C2433="PLANNING","PASS",IF('Release Gates'!C2433="PHYSICAL","OPEN","BLOCKED"))</x:f>
        <x:v>OPEN</x:v>
      </x:c>
      <x:c r="G2473" t="str">
        <x:v>equals</x:v>
      </x:c>
      <x:c r="H2473" t="str">
        <x:f>IF(E2473=F2473,"PASS","FAIL")</x:f>
        <x:v>PASS</x:v>
      </x:c>
    </x:row>
    <x:row r="2474">
      <x:c r="B2474" t="str">
        <x:v>A-02428</x:v>
      </x:c>
      <x:c r="C2474" t="str">
        <x:v>GATE</x:v>
      </x:c>
      <x:c r="D2474" t="str">
        <x:v>release state mirrors governing ledger</x:v>
      </x:c>
      <x:c r="E2474" t="str">
        <x:f>'Release Gates'!I2434</x:f>
        <x:v>OPEN</x:v>
      </x:c>
      <x:c r="F2474" t="str">
        <x:f>IF('Release Gates'!C2434="PLANNING","PASS",IF('Release Gates'!C2434="PHYSICAL","OPEN","BLOCKED"))</x:f>
        <x:v>OPEN</x:v>
      </x:c>
      <x:c r="G2474" t="str">
        <x:v>equals</x:v>
      </x:c>
      <x:c r="H2474" t="str">
        <x:f>IF(E2474=F2474,"PASS","FAIL")</x:f>
        <x:v>PASS</x:v>
      </x:c>
    </x:row>
    <x:row r="2475">
      <x:c r="B2475" t="str">
        <x:v>A-02429</x:v>
      </x:c>
      <x:c r="C2475" t="str">
        <x:v>GATE</x:v>
      </x:c>
      <x:c r="D2475" t="str">
        <x:v>release state mirrors governing ledger</x:v>
      </x:c>
      <x:c r="E2475" t="str">
        <x:f>'Release Gates'!I2435</x:f>
        <x:v>OPEN</x:v>
      </x:c>
      <x:c r="F2475" t="str">
        <x:f>IF('Release Gates'!C2435="PLANNING","PASS",IF('Release Gates'!C2435="PHYSICAL","OPEN","BLOCKED"))</x:f>
        <x:v>OPEN</x:v>
      </x:c>
      <x:c r="G2475" t="str">
        <x:v>equals</x:v>
      </x:c>
      <x:c r="H2475" t="str">
        <x:f>IF(E2475=F2475,"PASS","FAIL")</x:f>
        <x:v>PASS</x:v>
      </x:c>
    </x:row>
    <x:row r="2476">
      <x:c r="B2476" t="str">
        <x:v>A-02430</x:v>
      </x:c>
      <x:c r="C2476" t="str">
        <x:v>GATE</x:v>
      </x:c>
      <x:c r="D2476" t="str">
        <x:v>release state mirrors governing ledger</x:v>
      </x:c>
      <x:c r="E2476" t="str">
        <x:f>'Release Gates'!I2436</x:f>
        <x:v>OPEN</x:v>
      </x:c>
      <x:c r="F2476" t="str">
        <x:f>IF('Release Gates'!C2436="PLANNING","PASS",IF('Release Gates'!C2436="PHYSICAL","OPEN","BLOCKED"))</x:f>
        <x:v>OPEN</x:v>
      </x:c>
      <x:c r="G2476" t="str">
        <x:v>equals</x:v>
      </x:c>
      <x:c r="H2476" t="str">
        <x:f>IF(E2476=F2476,"PASS","FAIL")</x:f>
        <x:v>PASS</x:v>
      </x:c>
    </x:row>
    <x:row r="2477">
      <x:c r="B2477" t="str">
        <x:v>A-02431</x:v>
      </x:c>
      <x:c r="C2477" t="str">
        <x:v>GATE</x:v>
      </x:c>
      <x:c r="D2477" t="str">
        <x:v>release state mirrors governing ledger</x:v>
      </x:c>
      <x:c r="E2477" t="str">
        <x:f>'Release Gates'!I2437</x:f>
        <x:v>OPEN</x:v>
      </x:c>
      <x:c r="F2477" t="str">
        <x:f>IF('Release Gates'!C2437="PLANNING","PASS",IF('Release Gates'!C2437="PHYSICAL","OPEN","BLOCKED"))</x:f>
        <x:v>OPEN</x:v>
      </x:c>
      <x:c r="G2477" t="str">
        <x:v>equals</x:v>
      </x:c>
      <x:c r="H2477" t="str">
        <x:f>IF(E2477=F2477,"PASS","FAIL")</x:f>
        <x:v>PASS</x:v>
      </x:c>
    </x:row>
    <x:row r="2478">
      <x:c r="B2478" t="str">
        <x:v>A-02432</x:v>
      </x:c>
      <x:c r="C2478" t="str">
        <x:v>GATE</x:v>
      </x:c>
      <x:c r="D2478" t="str">
        <x:v>release state mirrors governing ledger</x:v>
      </x:c>
      <x:c r="E2478" t="str">
        <x:f>'Release Gates'!I2438</x:f>
        <x:v>OPEN</x:v>
      </x:c>
      <x:c r="F2478" t="str">
        <x:f>IF('Release Gates'!C2438="PLANNING","PASS",IF('Release Gates'!C2438="PHYSICAL","OPEN","BLOCKED"))</x:f>
        <x:v>OPEN</x:v>
      </x:c>
      <x:c r="G2478" t="str">
        <x:v>equals</x:v>
      </x:c>
      <x:c r="H2478" t="str">
        <x:f>IF(E2478=F2478,"PASS","FAIL")</x:f>
        <x:v>PASS</x:v>
      </x:c>
    </x:row>
    <x:row r="2479">
      <x:c r="B2479" t="str">
        <x:v>A-02433</x:v>
      </x:c>
      <x:c r="C2479" t="str">
        <x:v>GATE</x:v>
      </x:c>
      <x:c r="D2479" t="str">
        <x:v>release state mirrors governing ledger</x:v>
      </x:c>
      <x:c r="E2479" t="str">
        <x:f>'Release Gates'!I2439</x:f>
        <x:v>OPEN</x:v>
      </x:c>
      <x:c r="F2479" t="str">
        <x:f>IF('Release Gates'!C2439="PLANNING","PASS",IF('Release Gates'!C2439="PHYSICAL","OPEN","BLOCKED"))</x:f>
        <x:v>OPEN</x:v>
      </x:c>
      <x:c r="G2479" t="str">
        <x:v>equals</x:v>
      </x:c>
      <x:c r="H2479" t="str">
        <x:f>IF(E2479=F2479,"PASS","FAIL")</x:f>
        <x:v>PASS</x:v>
      </x:c>
    </x:row>
    <x:row r="2480">
      <x:c r="B2480" t="str">
        <x:v>A-02434</x:v>
      </x:c>
      <x:c r="C2480" t="str">
        <x:v>GATE</x:v>
      </x:c>
      <x:c r="D2480" t="str">
        <x:v>release state mirrors governing ledger</x:v>
      </x:c>
      <x:c r="E2480" t="str">
        <x:f>'Release Gates'!I2440</x:f>
        <x:v>OPEN</x:v>
      </x:c>
      <x:c r="F2480" t="str">
        <x:f>IF('Release Gates'!C2440="PLANNING","PASS",IF('Release Gates'!C2440="PHYSICAL","OPEN","BLOCKED"))</x:f>
        <x:v>OPEN</x:v>
      </x:c>
      <x:c r="G2480" t="str">
        <x:v>equals</x:v>
      </x:c>
      <x:c r="H2480" t="str">
        <x:f>IF(E2480=F2480,"PASS","FAIL")</x:f>
        <x:v>PASS</x:v>
      </x:c>
    </x:row>
    <x:row r="2481">
      <x:c r="B2481" t="str">
        <x:v>A-02435</x:v>
      </x:c>
      <x:c r="C2481" t="str">
        <x:v>GATE</x:v>
      </x:c>
      <x:c r="D2481" t="str">
        <x:v>release state mirrors governing ledger</x:v>
      </x:c>
      <x:c r="E2481" t="str">
        <x:f>'Release Gates'!I2441</x:f>
        <x:v>OPEN</x:v>
      </x:c>
      <x:c r="F2481" t="str">
        <x:f>IF('Release Gates'!C2441="PLANNING","PASS",IF('Release Gates'!C2441="PHYSICAL","OPEN","BLOCKED"))</x:f>
        <x:v>OPEN</x:v>
      </x:c>
      <x:c r="G2481" t="str">
        <x:v>equals</x:v>
      </x:c>
      <x:c r="H2481" t="str">
        <x:f>IF(E2481=F2481,"PASS","FAIL")</x:f>
        <x:v>PASS</x:v>
      </x:c>
    </x:row>
    <x:row r="2482">
      <x:c r="B2482" t="str">
        <x:v>A-02436</x:v>
      </x:c>
      <x:c r="C2482" t="str">
        <x:v>GATE</x:v>
      </x:c>
      <x:c r="D2482" t="str">
        <x:v>release state mirrors governing ledger</x:v>
      </x:c>
      <x:c r="E2482" t="str">
        <x:f>'Release Gates'!I2442</x:f>
        <x:v>OPEN</x:v>
      </x:c>
      <x:c r="F2482" t="str">
        <x:f>IF('Release Gates'!C2442="PLANNING","PASS",IF('Release Gates'!C2442="PHYSICAL","OPEN","BLOCKED"))</x:f>
        <x:v>OPEN</x:v>
      </x:c>
      <x:c r="G2482" t="str">
        <x:v>equals</x:v>
      </x:c>
      <x:c r="H2482" t="str">
        <x:f>IF(E2482=F2482,"PASS","FAIL")</x:f>
        <x:v>PASS</x:v>
      </x:c>
    </x:row>
    <x:row r="2483">
      <x:c r="B2483" t="str">
        <x:v>A-02437</x:v>
      </x:c>
      <x:c r="C2483" t="str">
        <x:v>GATE</x:v>
      </x:c>
      <x:c r="D2483" t="str">
        <x:v>release state mirrors governing ledger</x:v>
      </x:c>
      <x:c r="E2483" t="str">
        <x:f>'Release Gates'!I2443</x:f>
        <x:v>OPEN</x:v>
      </x:c>
      <x:c r="F2483" t="str">
        <x:f>IF('Release Gates'!C2443="PLANNING","PASS",IF('Release Gates'!C2443="PHYSICAL","OPEN","BLOCKED"))</x:f>
        <x:v>OPEN</x:v>
      </x:c>
      <x:c r="G2483" t="str">
        <x:v>equals</x:v>
      </x:c>
      <x:c r="H2483" t="str">
        <x:f>IF(E2483=F2483,"PASS","FAIL")</x:f>
        <x:v>PASS</x:v>
      </x:c>
    </x:row>
    <x:row r="2484">
      <x:c r="B2484" t="str">
        <x:v>A-02438</x:v>
      </x:c>
      <x:c r="C2484" t="str">
        <x:v>GATE</x:v>
      </x:c>
      <x:c r="D2484" t="str">
        <x:v>release state mirrors governing ledger</x:v>
      </x:c>
      <x:c r="E2484" t="str">
        <x:f>'Release Gates'!I2444</x:f>
        <x:v>OPEN</x:v>
      </x:c>
      <x:c r="F2484" t="str">
        <x:f>IF('Release Gates'!C2444="PLANNING","PASS",IF('Release Gates'!C2444="PHYSICAL","OPEN","BLOCKED"))</x:f>
        <x:v>OPEN</x:v>
      </x:c>
      <x:c r="G2484" t="str">
        <x:v>equals</x:v>
      </x:c>
      <x:c r="H2484" t="str">
        <x:f>IF(E2484=F2484,"PASS","FAIL")</x:f>
        <x:v>PASS</x:v>
      </x:c>
    </x:row>
    <x:row r="2485">
      <x:c r="B2485" t="str">
        <x:v>A-02439</x:v>
      </x:c>
      <x:c r="C2485" t="str">
        <x:v>GATE</x:v>
      </x:c>
      <x:c r="D2485" t="str">
        <x:v>release state mirrors governing ledger</x:v>
      </x:c>
      <x:c r="E2485" t="str">
        <x:f>'Release Gates'!I2445</x:f>
        <x:v>OPEN</x:v>
      </x:c>
      <x:c r="F2485" t="str">
        <x:f>IF('Release Gates'!C2445="PLANNING","PASS",IF('Release Gates'!C2445="PHYSICAL","OPEN","BLOCKED"))</x:f>
        <x:v>OPEN</x:v>
      </x:c>
      <x:c r="G2485" t="str">
        <x:v>equals</x:v>
      </x:c>
      <x:c r="H2485" t="str">
        <x:f>IF(E2485=F2485,"PASS","FAIL")</x:f>
        <x:v>PASS</x:v>
      </x:c>
    </x:row>
    <x:row r="2486">
      <x:c r="B2486" t="str">
        <x:v>A-02440</x:v>
      </x:c>
      <x:c r="C2486" t="str">
        <x:v>GATE</x:v>
      </x:c>
      <x:c r="D2486" t="str">
        <x:v>release state mirrors governing ledger</x:v>
      </x:c>
      <x:c r="E2486" t="str">
        <x:f>'Release Gates'!I2446</x:f>
        <x:v>OPEN</x:v>
      </x:c>
      <x:c r="F2486" t="str">
        <x:f>IF('Release Gates'!C2446="PLANNING","PASS",IF('Release Gates'!C2446="PHYSICAL","OPEN","BLOCKED"))</x:f>
        <x:v>OPEN</x:v>
      </x:c>
      <x:c r="G2486" t="str">
        <x:v>equals</x:v>
      </x:c>
      <x:c r="H2486" t="str">
        <x:f>IF(E2486=F2486,"PASS","FAIL")</x:f>
        <x:v>PASS</x:v>
      </x:c>
    </x:row>
    <x:row r="2487">
      <x:c r="B2487" t="str">
        <x:v>A-02441</x:v>
      </x:c>
      <x:c r="C2487" t="str">
        <x:v>GATE</x:v>
      </x:c>
      <x:c r="D2487" t="str">
        <x:v>release state mirrors governing ledger</x:v>
      </x:c>
      <x:c r="E2487" t="str">
        <x:f>'Release Gates'!I2447</x:f>
        <x:v>OPEN</x:v>
      </x:c>
      <x:c r="F2487" t="str">
        <x:f>IF('Release Gates'!C2447="PLANNING","PASS",IF('Release Gates'!C2447="PHYSICAL","OPEN","BLOCKED"))</x:f>
        <x:v>OPEN</x:v>
      </x:c>
      <x:c r="G2487" t="str">
        <x:v>equals</x:v>
      </x:c>
      <x:c r="H2487" t="str">
        <x:f>IF(E2487=F2487,"PASS","FAIL")</x:f>
        <x:v>PASS</x:v>
      </x:c>
    </x:row>
    <x:row r="2488">
      <x:c r="B2488" t="str">
        <x:v>A-02442</x:v>
      </x:c>
      <x:c r="C2488" t="str">
        <x:v>GATE</x:v>
      </x:c>
      <x:c r="D2488" t="str">
        <x:v>release state mirrors governing ledger</x:v>
      </x:c>
      <x:c r="E2488" t="str">
        <x:f>'Release Gates'!I2448</x:f>
        <x:v>OPEN</x:v>
      </x:c>
      <x:c r="F2488" t="str">
        <x:f>IF('Release Gates'!C2448="PLANNING","PASS",IF('Release Gates'!C2448="PHYSICAL","OPEN","BLOCKED"))</x:f>
        <x:v>OPEN</x:v>
      </x:c>
      <x:c r="G2488" t="str">
        <x:v>equals</x:v>
      </x:c>
      <x:c r="H2488" t="str">
        <x:f>IF(E2488=F2488,"PASS","FAIL")</x:f>
        <x:v>PASS</x:v>
      </x:c>
    </x:row>
    <x:row r="2489">
      <x:c r="B2489" t="str">
        <x:v>A-02443</x:v>
      </x:c>
      <x:c r="C2489" t="str">
        <x:v>GATE</x:v>
      </x:c>
      <x:c r="D2489" t="str">
        <x:v>release state mirrors governing ledger</x:v>
      </x:c>
      <x:c r="E2489" t="str">
        <x:f>'Release Gates'!I2449</x:f>
        <x:v>OPEN</x:v>
      </x:c>
      <x:c r="F2489" t="str">
        <x:f>IF('Release Gates'!C2449="PLANNING","PASS",IF('Release Gates'!C2449="PHYSICAL","OPEN","BLOCKED"))</x:f>
        <x:v>OPEN</x:v>
      </x:c>
      <x:c r="G2489" t="str">
        <x:v>equals</x:v>
      </x:c>
      <x:c r="H2489" t="str">
        <x:f>IF(E2489=F2489,"PASS","FAIL")</x:f>
        <x:v>PASS</x:v>
      </x:c>
    </x:row>
    <x:row r="2490">
      <x:c r="B2490" t="str">
        <x:v>A-02444</x:v>
      </x:c>
      <x:c r="C2490" t="str">
        <x:v>GATE</x:v>
      </x:c>
      <x:c r="D2490" t="str">
        <x:v>release state mirrors governing ledger</x:v>
      </x:c>
      <x:c r="E2490" t="str">
        <x:f>'Release Gates'!I2450</x:f>
        <x:v>OPEN</x:v>
      </x:c>
      <x:c r="F2490" t="str">
        <x:f>IF('Release Gates'!C2450="PLANNING","PASS",IF('Release Gates'!C2450="PHYSICAL","OPEN","BLOCKED"))</x:f>
        <x:v>OPEN</x:v>
      </x:c>
      <x:c r="G2490" t="str">
        <x:v>equals</x:v>
      </x:c>
      <x:c r="H2490" t="str">
        <x:f>IF(E2490=F2490,"PASS","FAIL")</x:f>
        <x:v>PASS</x:v>
      </x:c>
    </x:row>
    <x:row r="2491">
      <x:c r="B2491" t="str">
        <x:v>A-02445</x:v>
      </x:c>
      <x:c r="C2491" t="str">
        <x:v>GATE</x:v>
      </x:c>
      <x:c r="D2491" t="str">
        <x:v>release state mirrors governing ledger</x:v>
      </x:c>
      <x:c r="E2491" t="str">
        <x:f>'Release Gates'!I2451</x:f>
        <x:v>OPEN</x:v>
      </x:c>
      <x:c r="F2491" t="str">
        <x:f>IF('Release Gates'!C2451="PLANNING","PASS",IF('Release Gates'!C2451="PHYSICAL","OPEN","BLOCKED"))</x:f>
        <x:v>OPEN</x:v>
      </x:c>
      <x:c r="G2491" t="str">
        <x:v>equals</x:v>
      </x:c>
      <x:c r="H2491" t="str">
        <x:f>IF(E2491=F2491,"PASS","FAIL")</x:f>
        <x:v>PASS</x:v>
      </x:c>
    </x:row>
    <x:row r="2492">
      <x:c r="B2492" t="str">
        <x:v>A-02446</x:v>
      </x:c>
      <x:c r="C2492" t="str">
        <x:v>GATE</x:v>
      </x:c>
      <x:c r="D2492" t="str">
        <x:v>release state mirrors governing ledger</x:v>
      </x:c>
      <x:c r="E2492" t="str">
        <x:f>'Release Gates'!I2452</x:f>
        <x:v>OPEN</x:v>
      </x:c>
      <x:c r="F2492" t="str">
        <x:f>IF('Release Gates'!C2452="PLANNING","PASS",IF('Release Gates'!C2452="PHYSICAL","OPEN","BLOCKED"))</x:f>
        <x:v>OPEN</x:v>
      </x:c>
      <x:c r="G2492" t="str">
        <x:v>equals</x:v>
      </x:c>
      <x:c r="H2492" t="str">
        <x:f>IF(E2492=F2492,"PASS","FAIL")</x:f>
        <x:v>PASS</x:v>
      </x:c>
    </x:row>
    <x:row r="2493">
      <x:c r="B2493" t="str">
        <x:v>A-02447</x:v>
      </x:c>
      <x:c r="C2493" t="str">
        <x:v>GATE</x:v>
      </x:c>
      <x:c r="D2493" t="str">
        <x:v>release state mirrors governing ledger</x:v>
      </x:c>
      <x:c r="E2493" t="str">
        <x:f>'Release Gates'!I2453</x:f>
        <x:v>OPEN</x:v>
      </x:c>
      <x:c r="F2493" t="str">
        <x:f>IF('Release Gates'!C2453="PLANNING","PASS",IF('Release Gates'!C2453="PHYSICAL","OPEN","BLOCKED"))</x:f>
        <x:v>OPEN</x:v>
      </x:c>
      <x:c r="G2493" t="str">
        <x:v>equals</x:v>
      </x:c>
      <x:c r="H2493" t="str">
        <x:f>IF(E2493=F2493,"PASS","FAIL")</x:f>
        <x:v>PASS</x:v>
      </x:c>
    </x:row>
    <x:row r="2494">
      <x:c r="B2494" t="str">
        <x:v>A-02448</x:v>
      </x:c>
      <x:c r="C2494" t="str">
        <x:v>GATE</x:v>
      </x:c>
      <x:c r="D2494" t="str">
        <x:v>release state mirrors governing ledger</x:v>
      </x:c>
      <x:c r="E2494" t="str">
        <x:f>'Release Gates'!I2454</x:f>
        <x:v>OPEN</x:v>
      </x:c>
      <x:c r="F2494" t="str">
        <x:f>IF('Release Gates'!C2454="PLANNING","PASS",IF('Release Gates'!C2454="PHYSICAL","OPEN","BLOCKED"))</x:f>
        <x:v>OPEN</x:v>
      </x:c>
      <x:c r="G2494" t="str">
        <x:v>equals</x:v>
      </x:c>
      <x:c r="H2494" t="str">
        <x:f>IF(E2494=F2494,"PASS","FAIL")</x:f>
        <x:v>PASS</x:v>
      </x:c>
    </x:row>
    <x:row r="2495">
      <x:c r="B2495" t="str">
        <x:v>A-02449</x:v>
      </x:c>
      <x:c r="C2495" t="str">
        <x:v>GATE</x:v>
      </x:c>
      <x:c r="D2495" t="str">
        <x:v>release state mirrors governing ledger</x:v>
      </x:c>
      <x:c r="E2495" t="str">
        <x:f>'Release Gates'!I2455</x:f>
        <x:v>OPEN</x:v>
      </x:c>
      <x:c r="F2495" t="str">
        <x:f>IF('Release Gates'!C2455="PLANNING","PASS",IF('Release Gates'!C2455="PHYSICAL","OPEN","BLOCKED"))</x:f>
        <x:v>OPEN</x:v>
      </x:c>
      <x:c r="G2495" t="str">
        <x:v>equals</x:v>
      </x:c>
      <x:c r="H2495" t="str">
        <x:f>IF(E2495=F2495,"PASS","FAIL")</x:f>
        <x:v>PASS</x:v>
      </x:c>
    </x:row>
    <x:row r="2496">
      <x:c r="B2496" t="str">
        <x:v>A-02450</x:v>
      </x:c>
      <x:c r="C2496" t="str">
        <x:v>GATE</x:v>
      </x:c>
      <x:c r="D2496" t="str">
        <x:v>release state mirrors governing ledger</x:v>
      </x:c>
      <x:c r="E2496" t="str">
        <x:f>'Release Gates'!I2456</x:f>
        <x:v>OPEN</x:v>
      </x:c>
      <x:c r="F2496" t="str">
        <x:f>IF('Release Gates'!C2456="PLANNING","PASS",IF('Release Gates'!C2456="PHYSICAL","OPEN","BLOCKED"))</x:f>
        <x:v>OPEN</x:v>
      </x:c>
      <x:c r="G2496" t="str">
        <x:v>equals</x:v>
      </x:c>
      <x:c r="H2496" t="str">
        <x:f>IF(E2496=F2496,"PASS","FAIL")</x:f>
        <x:v>PASS</x:v>
      </x:c>
    </x:row>
    <x:row r="2497">
      <x:c r="B2497" t="str">
        <x:v>A-02451</x:v>
      </x:c>
      <x:c r="C2497" t="str">
        <x:v>GATE</x:v>
      </x:c>
      <x:c r="D2497" t="str">
        <x:v>release state mirrors governing ledger</x:v>
      </x:c>
      <x:c r="E2497" t="str">
        <x:f>'Release Gates'!I2457</x:f>
        <x:v>OPEN</x:v>
      </x:c>
      <x:c r="F2497" t="str">
        <x:f>IF('Release Gates'!C2457="PLANNING","PASS",IF('Release Gates'!C2457="PHYSICAL","OPEN","BLOCKED"))</x:f>
        <x:v>OPEN</x:v>
      </x:c>
      <x:c r="G2497" t="str">
        <x:v>equals</x:v>
      </x:c>
      <x:c r="H2497" t="str">
        <x:f>IF(E2497=F2497,"PASS","FAIL")</x:f>
        <x:v>PASS</x:v>
      </x:c>
    </x:row>
    <x:row r="2498">
      <x:c r="B2498" t="str">
        <x:v>A-02452</x:v>
      </x:c>
      <x:c r="C2498" t="str">
        <x:v>GATE</x:v>
      </x:c>
      <x:c r="D2498" t="str">
        <x:v>release state mirrors governing ledger</x:v>
      </x:c>
      <x:c r="E2498" t="str">
        <x:f>'Release Gates'!I2458</x:f>
        <x:v>OPEN</x:v>
      </x:c>
      <x:c r="F2498" t="str">
        <x:f>IF('Release Gates'!C2458="PLANNING","PASS",IF('Release Gates'!C2458="PHYSICAL","OPEN","BLOCKED"))</x:f>
        <x:v>OPEN</x:v>
      </x:c>
      <x:c r="G2498" t="str">
        <x:v>equals</x:v>
      </x:c>
      <x:c r="H2498" t="str">
        <x:f>IF(E2498=F2498,"PASS","FAIL")</x:f>
        <x:v>PASS</x:v>
      </x:c>
    </x:row>
    <x:row r="2499">
      <x:c r="B2499" t="str">
        <x:v>A-02453</x:v>
      </x:c>
      <x:c r="C2499" t="str">
        <x:v>GATE</x:v>
      </x:c>
      <x:c r="D2499" t="str">
        <x:v>release state mirrors governing ledger</x:v>
      </x:c>
      <x:c r="E2499" t="str">
        <x:f>'Release Gates'!I2459</x:f>
        <x:v>OPEN</x:v>
      </x:c>
      <x:c r="F2499" t="str">
        <x:f>IF('Release Gates'!C2459="PLANNING","PASS",IF('Release Gates'!C2459="PHYSICAL","OPEN","BLOCKED"))</x:f>
        <x:v>OPEN</x:v>
      </x:c>
      <x:c r="G2499" t="str">
        <x:v>equals</x:v>
      </x:c>
      <x:c r="H2499" t="str">
        <x:f>IF(E2499=F2499,"PASS","FAIL")</x:f>
        <x:v>PASS</x:v>
      </x:c>
    </x:row>
    <x:row r="2500">
      <x:c r="B2500" t="str">
        <x:v>A-02454</x:v>
      </x:c>
      <x:c r="C2500" t="str">
        <x:v>GATE</x:v>
      </x:c>
      <x:c r="D2500" t="str">
        <x:v>release state mirrors governing ledger</x:v>
      </x:c>
      <x:c r="E2500" t="str">
        <x:f>'Release Gates'!I2460</x:f>
        <x:v>OPEN</x:v>
      </x:c>
      <x:c r="F2500" t="str">
        <x:f>IF('Release Gates'!C2460="PLANNING","PASS",IF('Release Gates'!C2460="PHYSICAL","OPEN","BLOCKED"))</x:f>
        <x:v>OPEN</x:v>
      </x:c>
      <x:c r="G2500" t="str">
        <x:v>equals</x:v>
      </x:c>
      <x:c r="H2500" t="str">
        <x:f>IF(E2500=F2500,"PASS","FAIL")</x:f>
        <x:v>PASS</x:v>
      </x:c>
    </x:row>
    <x:row r="2501">
      <x:c r="B2501" t="str">
        <x:v>A-02455</x:v>
      </x:c>
      <x:c r="C2501" t="str">
        <x:v>GATE</x:v>
      </x:c>
      <x:c r="D2501" t="str">
        <x:v>release state mirrors governing ledger</x:v>
      </x:c>
      <x:c r="E2501" t="str">
        <x:f>'Release Gates'!I2461</x:f>
        <x:v>OPEN</x:v>
      </x:c>
      <x:c r="F2501" t="str">
        <x:f>IF('Release Gates'!C2461="PLANNING","PASS",IF('Release Gates'!C2461="PHYSICAL","OPEN","BLOCKED"))</x:f>
        <x:v>OPEN</x:v>
      </x:c>
      <x:c r="G2501" t="str">
        <x:v>equals</x:v>
      </x:c>
      <x:c r="H2501" t="str">
        <x:f>IF(E2501=F2501,"PASS","FAIL")</x:f>
        <x:v>PASS</x:v>
      </x:c>
    </x:row>
    <x:row r="2502">
      <x:c r="B2502" t="str">
        <x:v>A-02456</x:v>
      </x:c>
      <x:c r="C2502" t="str">
        <x:v>GATE</x:v>
      </x:c>
      <x:c r="D2502" t="str">
        <x:v>release state mirrors governing ledger</x:v>
      </x:c>
      <x:c r="E2502" t="str">
        <x:f>'Release Gates'!I2462</x:f>
        <x:v>OPEN</x:v>
      </x:c>
      <x:c r="F2502" t="str">
        <x:f>IF('Release Gates'!C2462="PLANNING","PASS",IF('Release Gates'!C2462="PHYSICAL","OPEN","BLOCKED"))</x:f>
        <x:v>OPEN</x:v>
      </x:c>
      <x:c r="G2502" t="str">
        <x:v>equals</x:v>
      </x:c>
      <x:c r="H2502" t="str">
        <x:f>IF(E2502=F2502,"PASS","FAIL")</x:f>
        <x:v>PASS</x:v>
      </x:c>
    </x:row>
    <x:row r="2503">
      <x:c r="B2503" t="str">
        <x:v>A-02457</x:v>
      </x:c>
      <x:c r="C2503" t="str">
        <x:v>GATE</x:v>
      </x:c>
      <x:c r="D2503" t="str">
        <x:v>release state mirrors governing ledger</x:v>
      </x:c>
      <x:c r="E2503" t="str">
        <x:f>'Release Gates'!I2463</x:f>
        <x:v>OPEN</x:v>
      </x:c>
      <x:c r="F2503" t="str">
        <x:f>IF('Release Gates'!C2463="PLANNING","PASS",IF('Release Gates'!C2463="PHYSICAL","OPEN","BLOCKED"))</x:f>
        <x:v>OPEN</x:v>
      </x:c>
      <x:c r="G2503" t="str">
        <x:v>equals</x:v>
      </x:c>
      <x:c r="H2503" t="str">
        <x:f>IF(E2503=F2503,"PASS","FAIL")</x:f>
        <x:v>PASS</x:v>
      </x:c>
    </x:row>
    <x:row r="2504">
      <x:c r="B2504" t="str">
        <x:v>A-02458</x:v>
      </x:c>
      <x:c r="C2504" t="str">
        <x:v>GATE</x:v>
      </x:c>
      <x:c r="D2504" t="str">
        <x:v>release state mirrors governing ledger</x:v>
      </x:c>
      <x:c r="E2504" t="str">
        <x:f>'Release Gates'!I2464</x:f>
        <x:v>OPEN</x:v>
      </x:c>
      <x:c r="F2504" t="str">
        <x:f>IF('Release Gates'!C2464="PLANNING","PASS",IF('Release Gates'!C2464="PHYSICAL","OPEN","BLOCKED"))</x:f>
        <x:v>OPEN</x:v>
      </x:c>
      <x:c r="G2504" t="str">
        <x:v>equals</x:v>
      </x:c>
      <x:c r="H2504" t="str">
        <x:f>IF(E2504=F2504,"PASS","FAIL")</x:f>
        <x:v>PASS</x:v>
      </x:c>
    </x:row>
    <x:row r="2505">
      <x:c r="B2505" t="str">
        <x:v>A-02459</x:v>
      </x:c>
      <x:c r="C2505" t="str">
        <x:v>GATE</x:v>
      </x:c>
      <x:c r="D2505" t="str">
        <x:v>release state mirrors governing ledger</x:v>
      </x:c>
      <x:c r="E2505" t="str">
        <x:f>'Release Gates'!I2465</x:f>
        <x:v>OPEN</x:v>
      </x:c>
      <x:c r="F2505" t="str">
        <x:f>IF('Release Gates'!C2465="PLANNING","PASS",IF('Release Gates'!C2465="PHYSICAL","OPEN","BLOCKED"))</x:f>
        <x:v>OPEN</x:v>
      </x:c>
      <x:c r="G2505" t="str">
        <x:v>equals</x:v>
      </x:c>
      <x:c r="H2505" t="str">
        <x:f>IF(E2505=F2505,"PASS","FAIL")</x:f>
        <x:v>PASS</x:v>
      </x:c>
    </x:row>
    <x:row r="2506">
      <x:c r="B2506" t="str">
        <x:v>A-02460</x:v>
      </x:c>
      <x:c r="C2506" t="str">
        <x:v>GATE</x:v>
      </x:c>
      <x:c r="D2506" t="str">
        <x:v>release state mirrors governing ledger</x:v>
      </x:c>
      <x:c r="E2506" t="str">
        <x:f>'Release Gates'!I2466</x:f>
        <x:v>OPEN</x:v>
      </x:c>
      <x:c r="F2506" t="str">
        <x:f>IF('Release Gates'!C2466="PLANNING","PASS",IF('Release Gates'!C2466="PHYSICAL","OPEN","BLOCKED"))</x:f>
        <x:v>OPEN</x:v>
      </x:c>
      <x:c r="G2506" t="str">
        <x:v>equals</x:v>
      </x:c>
      <x:c r="H2506" t="str">
        <x:f>IF(E2506=F2506,"PASS","FAIL")</x:f>
        <x:v>PASS</x:v>
      </x:c>
    </x:row>
    <x:row r="2507">
      <x:c r="B2507" t="str">
        <x:v>A-02461</x:v>
      </x:c>
      <x:c r="C2507" t="str">
        <x:v>GATE</x:v>
      </x:c>
      <x:c r="D2507" t="str">
        <x:v>release state mirrors governing ledger</x:v>
      </x:c>
      <x:c r="E2507" t="str">
        <x:f>'Release Gates'!I2467</x:f>
        <x:v>OPEN</x:v>
      </x:c>
      <x:c r="F2507" t="str">
        <x:f>IF('Release Gates'!C2467="PLANNING","PASS",IF('Release Gates'!C2467="PHYSICAL","OPEN","BLOCKED"))</x:f>
        <x:v>OPEN</x:v>
      </x:c>
      <x:c r="G2507" t="str">
        <x:v>equals</x:v>
      </x:c>
      <x:c r="H2507" t="str">
        <x:f>IF(E2507=F2507,"PASS","FAIL")</x:f>
        <x:v>PASS</x:v>
      </x:c>
    </x:row>
    <x:row r="2508">
      <x:c r="B2508" t="str">
        <x:v>A-02462</x:v>
      </x:c>
      <x:c r="C2508" t="str">
        <x:v>GATE</x:v>
      </x:c>
      <x:c r="D2508" t="str">
        <x:v>release state mirrors governing ledger</x:v>
      </x:c>
      <x:c r="E2508" t="str">
        <x:f>'Release Gates'!I2468</x:f>
        <x:v>OPEN</x:v>
      </x:c>
      <x:c r="F2508" t="str">
        <x:f>IF('Release Gates'!C2468="PLANNING","PASS",IF('Release Gates'!C2468="PHYSICAL","OPEN","BLOCKED"))</x:f>
        <x:v>OPEN</x:v>
      </x:c>
      <x:c r="G2508" t="str">
        <x:v>equals</x:v>
      </x:c>
      <x:c r="H2508" t="str">
        <x:f>IF(E2508=F2508,"PASS","FAIL")</x:f>
        <x:v>PASS</x:v>
      </x:c>
    </x:row>
    <x:row r="2509">
      <x:c r="B2509" t="str">
        <x:v>A-02463</x:v>
      </x:c>
      <x:c r="C2509" t="str">
        <x:v>GATE</x:v>
      </x:c>
      <x:c r="D2509" t="str">
        <x:v>release state mirrors governing ledger</x:v>
      </x:c>
      <x:c r="E2509" t="str">
        <x:f>'Release Gates'!I2469</x:f>
        <x:v>OPEN</x:v>
      </x:c>
      <x:c r="F2509" t="str">
        <x:f>IF('Release Gates'!C2469="PLANNING","PASS",IF('Release Gates'!C2469="PHYSICAL","OPEN","BLOCKED"))</x:f>
        <x:v>OPEN</x:v>
      </x:c>
      <x:c r="G2509" t="str">
        <x:v>equals</x:v>
      </x:c>
      <x:c r="H2509" t="str">
        <x:f>IF(E2509=F2509,"PASS","FAIL")</x:f>
        <x:v>PASS</x:v>
      </x:c>
    </x:row>
    <x:row r="2510">
      <x:c r="B2510" t="str">
        <x:v>A-02464</x:v>
      </x:c>
      <x:c r="C2510" t="str">
        <x:v>GATE</x:v>
      </x:c>
      <x:c r="D2510" t="str">
        <x:v>release state mirrors governing ledger</x:v>
      </x:c>
      <x:c r="E2510" t="str">
        <x:f>'Release Gates'!I2470</x:f>
        <x:v>OPEN</x:v>
      </x:c>
      <x:c r="F2510" t="str">
        <x:f>IF('Release Gates'!C2470="PLANNING","PASS",IF('Release Gates'!C2470="PHYSICAL","OPEN","BLOCKED"))</x:f>
        <x:v>OPEN</x:v>
      </x:c>
      <x:c r="G2510" t="str">
        <x:v>equals</x:v>
      </x:c>
      <x:c r="H2510" t="str">
        <x:f>IF(E2510=F2510,"PASS","FAIL")</x:f>
        <x:v>PASS</x:v>
      </x:c>
    </x:row>
    <x:row r="2511">
      <x:c r="B2511" t="str">
        <x:v>A-02465</x:v>
      </x:c>
      <x:c r="C2511" t="str">
        <x:v>GATE</x:v>
      </x:c>
      <x:c r="D2511" t="str">
        <x:v>release state mirrors governing ledger</x:v>
      </x:c>
      <x:c r="E2511" t="str">
        <x:f>'Release Gates'!I2471</x:f>
        <x:v>OPEN</x:v>
      </x:c>
      <x:c r="F2511" t="str">
        <x:f>IF('Release Gates'!C2471="PLANNING","PASS",IF('Release Gates'!C2471="PHYSICAL","OPEN","BLOCKED"))</x:f>
        <x:v>OPEN</x:v>
      </x:c>
      <x:c r="G2511" t="str">
        <x:v>equals</x:v>
      </x:c>
      <x:c r="H2511" t="str">
        <x:f>IF(E2511=F2511,"PASS","FAIL")</x:f>
        <x:v>PASS</x:v>
      </x:c>
    </x:row>
    <x:row r="2512">
      <x:c r="B2512" t="str">
        <x:v>A-02466</x:v>
      </x:c>
      <x:c r="C2512" t="str">
        <x:v>GATE</x:v>
      </x:c>
      <x:c r="D2512" t="str">
        <x:v>release state mirrors governing ledger</x:v>
      </x:c>
      <x:c r="E2512" t="str">
        <x:f>'Release Gates'!I2472</x:f>
        <x:v>OPEN</x:v>
      </x:c>
      <x:c r="F2512" t="str">
        <x:f>IF('Release Gates'!C2472="PLANNING","PASS",IF('Release Gates'!C2472="PHYSICAL","OPEN","BLOCKED"))</x:f>
        <x:v>OPEN</x:v>
      </x:c>
      <x:c r="G2512" t="str">
        <x:v>equals</x:v>
      </x:c>
      <x:c r="H2512" t="str">
        <x:f>IF(E2512=F2512,"PASS","FAIL")</x:f>
        <x:v>PASS</x:v>
      </x:c>
    </x:row>
    <x:row r="2513">
      <x:c r="B2513" t="str">
        <x:v>A-02467</x:v>
      </x:c>
      <x:c r="C2513" t="str">
        <x:v>GATE</x:v>
      </x:c>
      <x:c r="D2513" t="str">
        <x:v>release state mirrors governing ledger</x:v>
      </x:c>
      <x:c r="E2513" t="str">
        <x:f>'Release Gates'!I2473</x:f>
        <x:v>OPEN</x:v>
      </x:c>
      <x:c r="F2513" t="str">
        <x:f>IF('Release Gates'!C2473="PLANNING","PASS",IF('Release Gates'!C2473="PHYSICAL","OPEN","BLOCKED"))</x:f>
        <x:v>OPEN</x:v>
      </x:c>
      <x:c r="G2513" t="str">
        <x:v>equals</x:v>
      </x:c>
      <x:c r="H2513" t="str">
        <x:f>IF(E2513=F2513,"PASS","FAIL")</x:f>
        <x:v>PASS</x:v>
      </x:c>
    </x:row>
    <x:row r="2514">
      <x:c r="B2514" t="str">
        <x:v>A-02468</x:v>
      </x:c>
      <x:c r="C2514" t="str">
        <x:v>GATE</x:v>
      </x:c>
      <x:c r="D2514" t="str">
        <x:v>release state mirrors governing ledger</x:v>
      </x:c>
      <x:c r="E2514" t="str">
        <x:f>'Release Gates'!I2474</x:f>
        <x:v>OPEN</x:v>
      </x:c>
      <x:c r="F2514" t="str">
        <x:f>IF('Release Gates'!C2474="PLANNING","PASS",IF('Release Gates'!C2474="PHYSICAL","OPEN","BLOCKED"))</x:f>
        <x:v>OPEN</x:v>
      </x:c>
      <x:c r="G2514" t="str">
        <x:v>equals</x:v>
      </x:c>
      <x:c r="H2514" t="str">
        <x:f>IF(E2514=F2514,"PASS","FAIL")</x:f>
        <x:v>PASS</x:v>
      </x:c>
    </x:row>
    <x:row r="2515">
      <x:c r="B2515" t="str">
        <x:v>A-02469</x:v>
      </x:c>
      <x:c r="C2515" t="str">
        <x:v>GATE</x:v>
      </x:c>
      <x:c r="D2515" t="str">
        <x:v>release state mirrors governing ledger</x:v>
      </x:c>
      <x:c r="E2515" t="str">
        <x:f>'Release Gates'!I2475</x:f>
        <x:v>OPEN</x:v>
      </x:c>
      <x:c r="F2515" t="str">
        <x:f>IF('Release Gates'!C2475="PLANNING","PASS",IF('Release Gates'!C2475="PHYSICAL","OPEN","BLOCKED"))</x:f>
        <x:v>OPEN</x:v>
      </x:c>
      <x:c r="G2515" t="str">
        <x:v>equals</x:v>
      </x:c>
      <x:c r="H2515" t="str">
        <x:f>IF(E2515=F2515,"PASS","FAIL")</x:f>
        <x:v>PASS</x:v>
      </x:c>
    </x:row>
    <x:row r="2516">
      <x:c r="B2516" t="str">
        <x:v>A-02470</x:v>
      </x:c>
      <x:c r="C2516" t="str">
        <x:v>GATE</x:v>
      </x:c>
      <x:c r="D2516" t="str">
        <x:v>release state mirrors governing ledger</x:v>
      </x:c>
      <x:c r="E2516" t="str">
        <x:f>'Release Gates'!I2476</x:f>
        <x:v>OPEN</x:v>
      </x:c>
      <x:c r="F2516" t="str">
        <x:f>IF('Release Gates'!C2476="PLANNING","PASS",IF('Release Gates'!C2476="PHYSICAL","OPEN","BLOCKED"))</x:f>
        <x:v>OPEN</x:v>
      </x:c>
      <x:c r="G2516" t="str">
        <x:v>equals</x:v>
      </x:c>
      <x:c r="H2516" t="str">
        <x:f>IF(E2516=F2516,"PASS","FAIL")</x:f>
        <x:v>PASS</x:v>
      </x:c>
    </x:row>
    <x:row r="2517">
      <x:c r="B2517" t="str">
        <x:v>A-02471</x:v>
      </x:c>
      <x:c r="C2517" t="str">
        <x:v>GATE</x:v>
      </x:c>
      <x:c r="D2517" t="str">
        <x:v>release state mirrors governing ledger</x:v>
      </x:c>
      <x:c r="E2517" t="str">
        <x:f>'Release Gates'!I2477</x:f>
        <x:v>OPEN</x:v>
      </x:c>
      <x:c r="F2517" t="str">
        <x:f>IF('Release Gates'!C2477="PLANNING","PASS",IF('Release Gates'!C2477="PHYSICAL","OPEN","BLOCKED"))</x:f>
        <x:v>OPEN</x:v>
      </x:c>
      <x:c r="G2517" t="str">
        <x:v>equals</x:v>
      </x:c>
      <x:c r="H2517" t="str">
        <x:f>IF(E2517=F2517,"PASS","FAIL")</x:f>
        <x:v>PASS</x:v>
      </x:c>
    </x:row>
    <x:row r="2518">
      <x:c r="B2518" t="str">
        <x:v>A-02472</x:v>
      </x:c>
      <x:c r="C2518" t="str">
        <x:v>GATE</x:v>
      </x:c>
      <x:c r="D2518" t="str">
        <x:v>release state mirrors governing ledger</x:v>
      </x:c>
      <x:c r="E2518" t="str">
        <x:f>'Release Gates'!I2478</x:f>
        <x:v>OPEN</x:v>
      </x:c>
      <x:c r="F2518" t="str">
        <x:f>IF('Release Gates'!C2478="PLANNING","PASS",IF('Release Gates'!C2478="PHYSICAL","OPEN","BLOCKED"))</x:f>
        <x:v>OPEN</x:v>
      </x:c>
      <x:c r="G2518" t="str">
        <x:v>equals</x:v>
      </x:c>
      <x:c r="H2518" t="str">
        <x:f>IF(E2518=F2518,"PASS","FAIL")</x:f>
        <x:v>PASS</x:v>
      </x:c>
    </x:row>
    <x:row r="2519">
      <x:c r="B2519" t="str">
        <x:v>A-02473</x:v>
      </x:c>
      <x:c r="C2519" t="str">
        <x:v>GATE</x:v>
      </x:c>
      <x:c r="D2519" t="str">
        <x:v>release state mirrors governing ledger</x:v>
      </x:c>
      <x:c r="E2519" t="str">
        <x:f>'Release Gates'!I2479</x:f>
        <x:v>OPEN</x:v>
      </x:c>
      <x:c r="F2519" t="str">
        <x:f>IF('Release Gates'!C2479="PLANNING","PASS",IF('Release Gates'!C2479="PHYSICAL","OPEN","BLOCKED"))</x:f>
        <x:v>OPEN</x:v>
      </x:c>
      <x:c r="G2519" t="str">
        <x:v>equals</x:v>
      </x:c>
      <x:c r="H2519" t="str">
        <x:f>IF(E2519=F2519,"PASS","FAIL")</x:f>
        <x:v>PASS</x:v>
      </x:c>
    </x:row>
    <x:row r="2520">
      <x:c r="B2520" t="str">
        <x:v>A-02474</x:v>
      </x:c>
      <x:c r="C2520" t="str">
        <x:v>GATE</x:v>
      </x:c>
      <x:c r="D2520" t="str">
        <x:v>release state mirrors governing ledger</x:v>
      </x:c>
      <x:c r="E2520" t="str">
        <x:f>'Release Gates'!I2480</x:f>
        <x:v>OPEN</x:v>
      </x:c>
      <x:c r="F2520" t="str">
        <x:f>IF('Release Gates'!C2480="PLANNING","PASS",IF('Release Gates'!C2480="PHYSICAL","OPEN","BLOCKED"))</x:f>
        <x:v>OPEN</x:v>
      </x:c>
      <x:c r="G2520" t="str">
        <x:v>equals</x:v>
      </x:c>
      <x:c r="H2520" t="str">
        <x:f>IF(E2520=F2520,"PASS","FAIL")</x:f>
        <x:v>PASS</x:v>
      </x:c>
    </x:row>
    <x:row r="2521">
      <x:c r="B2521" t="str">
        <x:v>A-02475</x:v>
      </x:c>
      <x:c r="C2521" t="str">
        <x:v>GATE</x:v>
      </x:c>
      <x:c r="D2521" t="str">
        <x:v>release state mirrors governing ledger</x:v>
      </x:c>
      <x:c r="E2521" t="str">
        <x:f>'Release Gates'!I2481</x:f>
        <x:v>OPEN</x:v>
      </x:c>
      <x:c r="F2521" t="str">
        <x:f>IF('Release Gates'!C2481="PLANNING","PASS",IF('Release Gates'!C2481="PHYSICAL","OPEN","BLOCKED"))</x:f>
        <x:v>OPEN</x:v>
      </x:c>
      <x:c r="G2521" t="str">
        <x:v>equals</x:v>
      </x:c>
      <x:c r="H2521" t="str">
        <x:f>IF(E2521=F2521,"PASS","FAIL")</x:f>
        <x:v>PASS</x:v>
      </x:c>
    </x:row>
    <x:row r="2522">
      <x:c r="B2522" t="str">
        <x:v>A-02476</x:v>
      </x:c>
      <x:c r="C2522" t="str">
        <x:v>GATE</x:v>
      </x:c>
      <x:c r="D2522" t="str">
        <x:v>release state mirrors governing ledger</x:v>
      </x:c>
      <x:c r="E2522" t="str">
        <x:f>'Release Gates'!I2482</x:f>
        <x:v>OPEN</x:v>
      </x:c>
      <x:c r="F2522" t="str">
        <x:f>IF('Release Gates'!C2482="PLANNING","PASS",IF('Release Gates'!C2482="PHYSICAL","OPEN","BLOCKED"))</x:f>
        <x:v>OPEN</x:v>
      </x:c>
      <x:c r="G2522" t="str">
        <x:v>equals</x:v>
      </x:c>
      <x:c r="H2522" t="str">
        <x:f>IF(E2522=F2522,"PASS","FAIL")</x:f>
        <x:v>PASS</x:v>
      </x:c>
    </x:row>
    <x:row r="2523">
      <x:c r="B2523" t="str">
        <x:v>A-02477</x:v>
      </x:c>
      <x:c r="C2523" t="str">
        <x:v>GATE</x:v>
      </x:c>
      <x:c r="D2523" t="str">
        <x:v>release state mirrors governing ledger</x:v>
      </x:c>
      <x:c r="E2523" t="str">
        <x:f>'Release Gates'!I2483</x:f>
        <x:v>OPEN</x:v>
      </x:c>
      <x:c r="F2523" t="str">
        <x:f>IF('Release Gates'!C2483="PLANNING","PASS",IF('Release Gates'!C2483="PHYSICAL","OPEN","BLOCKED"))</x:f>
        <x:v>OPEN</x:v>
      </x:c>
      <x:c r="G2523" t="str">
        <x:v>equals</x:v>
      </x:c>
      <x:c r="H2523" t="str">
        <x:f>IF(E2523=F2523,"PASS","FAIL")</x:f>
        <x:v>PASS</x:v>
      </x:c>
    </x:row>
    <x:row r="2524">
      <x:c r="B2524" t="str">
        <x:v>A-02478</x:v>
      </x:c>
      <x:c r="C2524" t="str">
        <x:v>GATE</x:v>
      </x:c>
      <x:c r="D2524" t="str">
        <x:v>release state mirrors governing ledger</x:v>
      </x:c>
      <x:c r="E2524" t="str">
        <x:f>'Release Gates'!I2484</x:f>
        <x:v>OPEN</x:v>
      </x:c>
      <x:c r="F2524" t="str">
        <x:f>IF('Release Gates'!C2484="PLANNING","PASS",IF('Release Gates'!C2484="PHYSICAL","OPEN","BLOCKED"))</x:f>
        <x:v>OPEN</x:v>
      </x:c>
      <x:c r="G2524" t="str">
        <x:v>equals</x:v>
      </x:c>
      <x:c r="H2524" t="str">
        <x:f>IF(E2524=F2524,"PASS","FAIL")</x:f>
        <x:v>PASS</x:v>
      </x:c>
    </x:row>
    <x:row r="2525">
      <x:c r="B2525" t="str">
        <x:v>A-02479</x:v>
      </x:c>
      <x:c r="C2525" t="str">
        <x:v>GATE</x:v>
      </x:c>
      <x:c r="D2525" t="str">
        <x:v>release state mirrors governing ledger</x:v>
      </x:c>
      <x:c r="E2525" t="str">
        <x:f>'Release Gates'!I2485</x:f>
        <x:v>OPEN</x:v>
      </x:c>
      <x:c r="F2525" t="str">
        <x:f>IF('Release Gates'!C2485="PLANNING","PASS",IF('Release Gates'!C2485="PHYSICAL","OPEN","BLOCKED"))</x:f>
        <x:v>OPEN</x:v>
      </x:c>
      <x:c r="G2525" t="str">
        <x:v>equals</x:v>
      </x:c>
      <x:c r="H2525" t="str">
        <x:f>IF(E2525=F2525,"PASS","FAIL")</x:f>
        <x:v>PASS</x:v>
      </x:c>
    </x:row>
    <x:row r="2526">
      <x:c r="B2526" t="str">
        <x:v>A-02480</x:v>
      </x:c>
      <x:c r="C2526" t="str">
        <x:v>GATE</x:v>
      </x:c>
      <x:c r="D2526" t="str">
        <x:v>release state mirrors governing ledger</x:v>
      </x:c>
      <x:c r="E2526" t="str">
        <x:f>'Release Gates'!I2486</x:f>
        <x:v>OPEN</x:v>
      </x:c>
      <x:c r="F2526" t="str">
        <x:f>IF('Release Gates'!C2486="PLANNING","PASS",IF('Release Gates'!C2486="PHYSICAL","OPEN","BLOCKED"))</x:f>
        <x:v>OPEN</x:v>
      </x:c>
      <x:c r="G2526" t="str">
        <x:v>equals</x:v>
      </x:c>
      <x:c r="H2526" t="str">
        <x:f>IF(E2526=F2526,"PASS","FAIL")</x:f>
        <x:v>PASS</x:v>
      </x:c>
    </x:row>
    <x:row r="2527">
      <x:c r="B2527" t="str">
        <x:v>A-02481</x:v>
      </x:c>
      <x:c r="C2527" t="str">
        <x:v>GATE</x:v>
      </x:c>
      <x:c r="D2527" t="str">
        <x:v>release state mirrors governing ledger</x:v>
      </x:c>
      <x:c r="E2527" t="str">
        <x:f>'Release Gates'!I2487</x:f>
        <x:v>OPEN</x:v>
      </x:c>
      <x:c r="F2527" t="str">
        <x:f>IF('Release Gates'!C2487="PLANNING","PASS",IF('Release Gates'!C2487="PHYSICAL","OPEN","BLOCKED"))</x:f>
        <x:v>OPEN</x:v>
      </x:c>
      <x:c r="G2527" t="str">
        <x:v>equals</x:v>
      </x:c>
      <x:c r="H2527" t="str">
        <x:f>IF(E2527=F2527,"PASS","FAIL")</x:f>
        <x:v>PASS</x:v>
      </x:c>
    </x:row>
    <x:row r="2528">
      <x:c r="B2528" t="str">
        <x:v>A-02482</x:v>
      </x:c>
      <x:c r="C2528" t="str">
        <x:v>GATE</x:v>
      </x:c>
      <x:c r="D2528" t="str">
        <x:v>release state mirrors governing ledger</x:v>
      </x:c>
      <x:c r="E2528" t="str">
        <x:f>'Release Gates'!I2488</x:f>
        <x:v>OPEN</x:v>
      </x:c>
      <x:c r="F2528" t="str">
        <x:f>IF('Release Gates'!C2488="PLANNING","PASS",IF('Release Gates'!C2488="PHYSICAL","OPEN","BLOCKED"))</x:f>
        <x:v>OPEN</x:v>
      </x:c>
      <x:c r="G2528" t="str">
        <x:v>equals</x:v>
      </x:c>
      <x:c r="H2528" t="str">
        <x:f>IF(E2528=F2528,"PASS","FAIL")</x:f>
        <x:v>PASS</x:v>
      </x:c>
    </x:row>
    <x:row r="2529">
      <x:c r="B2529" t="str">
        <x:v>A-02483</x:v>
      </x:c>
      <x:c r="C2529" t="str">
        <x:v>GATE</x:v>
      </x:c>
      <x:c r="D2529" t="str">
        <x:v>release state mirrors governing ledger</x:v>
      </x:c>
      <x:c r="E2529" t="str">
        <x:f>'Release Gates'!I2489</x:f>
        <x:v>OPEN</x:v>
      </x:c>
      <x:c r="F2529" t="str">
        <x:f>IF('Release Gates'!C2489="PLANNING","PASS",IF('Release Gates'!C2489="PHYSICAL","OPEN","BLOCKED"))</x:f>
        <x:v>OPEN</x:v>
      </x:c>
      <x:c r="G2529" t="str">
        <x:v>equals</x:v>
      </x:c>
      <x:c r="H2529" t="str">
        <x:f>IF(E2529=F2529,"PASS","FAIL")</x:f>
        <x:v>PASS</x:v>
      </x:c>
    </x:row>
    <x:row r="2530">
      <x:c r="B2530" t="str">
        <x:v>A-02484</x:v>
      </x:c>
      <x:c r="C2530" t="str">
        <x:v>GATE</x:v>
      </x:c>
      <x:c r="D2530" t="str">
        <x:v>release state mirrors governing ledger</x:v>
      </x:c>
      <x:c r="E2530" t="str">
        <x:f>'Release Gates'!I2490</x:f>
        <x:v>OPEN</x:v>
      </x:c>
      <x:c r="F2530" t="str">
        <x:f>IF('Release Gates'!C2490="PLANNING","PASS",IF('Release Gates'!C2490="PHYSICAL","OPEN","BLOCKED"))</x:f>
        <x:v>OPEN</x:v>
      </x:c>
      <x:c r="G2530" t="str">
        <x:v>equals</x:v>
      </x:c>
      <x:c r="H2530" t="str">
        <x:f>IF(E2530=F2530,"PASS","FAIL")</x:f>
        <x:v>PASS</x:v>
      </x:c>
    </x:row>
    <x:row r="2531">
      <x:c r="B2531" t="str">
        <x:v>A-02485</x:v>
      </x:c>
      <x:c r="C2531" t="str">
        <x:v>GATE</x:v>
      </x:c>
      <x:c r="D2531" t="str">
        <x:v>release state mirrors governing ledger</x:v>
      </x:c>
      <x:c r="E2531" t="str">
        <x:f>'Release Gates'!I2491</x:f>
        <x:v>OPEN</x:v>
      </x:c>
      <x:c r="F2531" t="str">
        <x:f>IF('Release Gates'!C2491="PLANNING","PASS",IF('Release Gates'!C2491="PHYSICAL","OPEN","BLOCKED"))</x:f>
        <x:v>OPEN</x:v>
      </x:c>
      <x:c r="G2531" t="str">
        <x:v>equals</x:v>
      </x:c>
      <x:c r="H2531" t="str">
        <x:f>IF(E2531=F2531,"PASS","FAIL")</x:f>
        <x:v>PASS</x:v>
      </x:c>
    </x:row>
    <x:row r="2532">
      <x:c r="B2532" t="str">
        <x:v>A-02486</x:v>
      </x:c>
      <x:c r="C2532" t="str">
        <x:v>GATE</x:v>
      </x:c>
      <x:c r="D2532" t="str">
        <x:v>release state mirrors governing ledger</x:v>
      </x:c>
      <x:c r="E2532" t="str">
        <x:f>'Release Gates'!I2492</x:f>
        <x:v>OPEN</x:v>
      </x:c>
      <x:c r="F2532" t="str">
        <x:f>IF('Release Gates'!C2492="PLANNING","PASS",IF('Release Gates'!C2492="PHYSICAL","OPEN","BLOCKED"))</x:f>
        <x:v>OPEN</x:v>
      </x:c>
      <x:c r="G2532" t="str">
        <x:v>equals</x:v>
      </x:c>
      <x:c r="H2532" t="str">
        <x:f>IF(E2532=F2532,"PASS","FAIL")</x:f>
        <x:v>PASS</x:v>
      </x:c>
    </x:row>
    <x:row r="2533">
      <x:c r="B2533" t="str">
        <x:v>A-02487</x:v>
      </x:c>
      <x:c r="C2533" t="str">
        <x:v>GATE</x:v>
      </x:c>
      <x:c r="D2533" t="str">
        <x:v>release state mirrors governing ledger</x:v>
      </x:c>
      <x:c r="E2533" t="str">
        <x:f>'Release Gates'!I2493</x:f>
        <x:v>OPEN</x:v>
      </x:c>
      <x:c r="F2533" t="str">
        <x:f>IF('Release Gates'!C2493="PLANNING","PASS",IF('Release Gates'!C2493="PHYSICAL","OPEN","BLOCKED"))</x:f>
        <x:v>OPEN</x:v>
      </x:c>
      <x:c r="G2533" t="str">
        <x:v>equals</x:v>
      </x:c>
      <x:c r="H2533" t="str">
        <x:f>IF(E2533=F2533,"PASS","FAIL")</x:f>
        <x:v>PASS</x:v>
      </x:c>
    </x:row>
    <x:row r="2534">
      <x:c r="B2534" t="str">
        <x:v>A-02488</x:v>
      </x:c>
      <x:c r="C2534" t="str">
        <x:v>GATE</x:v>
      </x:c>
      <x:c r="D2534" t="str">
        <x:v>release state mirrors governing ledger</x:v>
      </x:c>
      <x:c r="E2534" t="str">
        <x:f>'Release Gates'!I2494</x:f>
        <x:v>OPEN</x:v>
      </x:c>
      <x:c r="F2534" t="str">
        <x:f>IF('Release Gates'!C2494="PLANNING","PASS",IF('Release Gates'!C2494="PHYSICAL","OPEN","BLOCKED"))</x:f>
        <x:v>OPEN</x:v>
      </x:c>
      <x:c r="G2534" t="str">
        <x:v>equals</x:v>
      </x:c>
      <x:c r="H2534" t="str">
        <x:f>IF(E2534=F2534,"PASS","FAIL")</x:f>
        <x:v>PASS</x:v>
      </x:c>
    </x:row>
    <x:row r="2535">
      <x:c r="B2535" t="str">
        <x:v>A-02489</x:v>
      </x:c>
      <x:c r="C2535" t="str">
        <x:v>GATE</x:v>
      </x:c>
      <x:c r="D2535" t="str">
        <x:v>release state mirrors governing ledger</x:v>
      </x:c>
      <x:c r="E2535" t="str">
        <x:f>'Release Gates'!I2495</x:f>
        <x:v>OPEN</x:v>
      </x:c>
      <x:c r="F2535" t="str">
        <x:f>IF('Release Gates'!C2495="PLANNING","PASS",IF('Release Gates'!C2495="PHYSICAL","OPEN","BLOCKED"))</x:f>
        <x:v>OPEN</x:v>
      </x:c>
      <x:c r="G2535" t="str">
        <x:v>equals</x:v>
      </x:c>
      <x:c r="H2535" t="str">
        <x:f>IF(E2535=F2535,"PASS","FAIL")</x:f>
        <x:v>PASS</x:v>
      </x:c>
    </x:row>
    <x:row r="2536">
      <x:c r="B2536" t="str">
        <x:v>A-02490</x:v>
      </x:c>
      <x:c r="C2536" t="str">
        <x:v>GATE</x:v>
      </x:c>
      <x:c r="D2536" t="str">
        <x:v>release state mirrors governing ledger</x:v>
      </x:c>
      <x:c r="E2536" t="str">
        <x:f>'Release Gates'!I2496</x:f>
        <x:v>OPEN</x:v>
      </x:c>
      <x:c r="F2536" t="str">
        <x:f>IF('Release Gates'!C2496="PLANNING","PASS",IF('Release Gates'!C2496="PHYSICAL","OPEN","BLOCKED"))</x:f>
        <x:v>OPEN</x:v>
      </x:c>
      <x:c r="G2536" t="str">
        <x:v>equals</x:v>
      </x:c>
      <x:c r="H2536" t="str">
        <x:f>IF(E2536=F2536,"PASS","FAIL")</x:f>
        <x:v>PASS</x:v>
      </x:c>
    </x:row>
    <x:row r="2537">
      <x:c r="B2537" t="str">
        <x:v>A-02491</x:v>
      </x:c>
      <x:c r="C2537" t="str">
        <x:v>GATE</x:v>
      </x:c>
      <x:c r="D2537" t="str">
        <x:v>release state mirrors governing ledger</x:v>
      </x:c>
      <x:c r="E2537" t="str">
        <x:f>'Release Gates'!I2497</x:f>
        <x:v>OPEN</x:v>
      </x:c>
      <x:c r="F2537" t="str">
        <x:f>IF('Release Gates'!C2497="PLANNING","PASS",IF('Release Gates'!C2497="PHYSICAL","OPEN","BLOCKED"))</x:f>
        <x:v>OPEN</x:v>
      </x:c>
      <x:c r="G2537" t="str">
        <x:v>equals</x:v>
      </x:c>
      <x:c r="H2537" t="str">
        <x:f>IF(E2537=F2537,"PASS","FAIL")</x:f>
        <x:v>PASS</x:v>
      </x:c>
    </x:row>
    <x:row r="2538">
      <x:c r="B2538" t="str">
        <x:v>A-02492</x:v>
      </x:c>
      <x:c r="C2538" t="str">
        <x:v>GATE</x:v>
      </x:c>
      <x:c r="D2538" t="str">
        <x:v>release state mirrors governing ledger</x:v>
      </x:c>
      <x:c r="E2538" t="str">
        <x:f>'Release Gates'!I2498</x:f>
        <x:v>OPEN</x:v>
      </x:c>
      <x:c r="F2538" t="str">
        <x:f>IF('Release Gates'!C2498="PLANNING","PASS",IF('Release Gates'!C2498="PHYSICAL","OPEN","BLOCKED"))</x:f>
        <x:v>OPEN</x:v>
      </x:c>
      <x:c r="G2538" t="str">
        <x:v>equals</x:v>
      </x:c>
      <x:c r="H2538" t="str">
        <x:f>IF(E2538=F2538,"PASS","FAIL")</x:f>
        <x:v>PASS</x:v>
      </x:c>
    </x:row>
    <x:row r="2539">
      <x:c r="B2539" t="str">
        <x:v>A-02493</x:v>
      </x:c>
      <x:c r="C2539" t="str">
        <x:v>GATE</x:v>
      </x:c>
      <x:c r="D2539" t="str">
        <x:v>release state mirrors governing ledger</x:v>
      </x:c>
      <x:c r="E2539" t="str">
        <x:f>'Release Gates'!I2499</x:f>
        <x:v>OPEN</x:v>
      </x:c>
      <x:c r="F2539" t="str">
        <x:f>IF('Release Gates'!C2499="PLANNING","PASS",IF('Release Gates'!C2499="PHYSICAL","OPEN","BLOCKED"))</x:f>
        <x:v>OPEN</x:v>
      </x:c>
      <x:c r="G2539" t="str">
        <x:v>equals</x:v>
      </x:c>
      <x:c r="H2539" t="str">
        <x:f>IF(E2539=F2539,"PASS","FAIL")</x:f>
        <x:v>PASS</x:v>
      </x:c>
    </x:row>
    <x:row r="2540">
      <x:c r="B2540" t="str">
        <x:v>A-02494</x:v>
      </x:c>
      <x:c r="C2540" t="str">
        <x:v>GATE</x:v>
      </x:c>
      <x:c r="D2540" t="str">
        <x:v>release state mirrors governing ledger</x:v>
      </x:c>
      <x:c r="E2540" t="str">
        <x:f>'Release Gates'!I2500</x:f>
        <x:v>OPEN</x:v>
      </x:c>
      <x:c r="F2540" t="str">
        <x:f>IF('Release Gates'!C2500="PLANNING","PASS",IF('Release Gates'!C2500="PHYSICAL","OPEN","BLOCKED"))</x:f>
        <x:v>OPEN</x:v>
      </x:c>
      <x:c r="G2540" t="str">
        <x:v>equals</x:v>
      </x:c>
      <x:c r="H2540" t="str">
        <x:f>IF(E2540=F2540,"PASS","FAIL")</x:f>
        <x:v>PASS</x:v>
      </x:c>
    </x:row>
    <x:row r="2541">
      <x:c r="B2541" t="str">
        <x:v>A-02495</x:v>
      </x:c>
      <x:c r="C2541" t="str">
        <x:v>GATE</x:v>
      </x:c>
      <x:c r="D2541" t="str">
        <x:v>release state mirrors governing ledger</x:v>
      </x:c>
      <x:c r="E2541" t="str">
        <x:f>'Release Gates'!I2501</x:f>
        <x:v>OPEN</x:v>
      </x:c>
      <x:c r="F2541" t="str">
        <x:f>IF('Release Gates'!C2501="PLANNING","PASS",IF('Release Gates'!C2501="PHYSICAL","OPEN","BLOCKED"))</x:f>
        <x:v>OPEN</x:v>
      </x:c>
      <x:c r="G2541" t="str">
        <x:v>equals</x:v>
      </x:c>
      <x:c r="H2541" t="str">
        <x:f>IF(E2541=F2541,"PASS","FAIL")</x:f>
        <x:v>PASS</x:v>
      </x:c>
    </x:row>
    <x:row r="2542">
      <x:c r="B2542" t="str">
        <x:v>A-02496</x:v>
      </x:c>
      <x:c r="C2542" t="str">
        <x:v>GATE</x:v>
      </x:c>
      <x:c r="D2542" t="str">
        <x:v>release state mirrors governing ledger</x:v>
      </x:c>
      <x:c r="E2542" t="str">
        <x:f>'Release Gates'!I2502</x:f>
        <x:v>OPEN</x:v>
      </x:c>
      <x:c r="F2542" t="str">
        <x:f>IF('Release Gates'!C2502="PLANNING","PASS",IF('Release Gates'!C2502="PHYSICAL","OPEN","BLOCKED"))</x:f>
        <x:v>OPEN</x:v>
      </x:c>
      <x:c r="G2542" t="str">
        <x:v>equals</x:v>
      </x:c>
      <x:c r="H2542" t="str">
        <x:f>IF(E2542=F2542,"PASS","FAIL")</x:f>
        <x:v>PASS</x:v>
      </x:c>
    </x:row>
    <x:row r="2543">
      <x:c r="B2543" t="str">
        <x:v>A-02497</x:v>
      </x:c>
      <x:c r="C2543" t="str">
        <x:v>GATE</x:v>
      </x:c>
      <x:c r="D2543" t="str">
        <x:v>release state mirrors governing ledger</x:v>
      </x:c>
      <x:c r="E2543" t="str">
        <x:f>'Release Gates'!I2503</x:f>
        <x:v>OPEN</x:v>
      </x:c>
      <x:c r="F2543" t="str">
        <x:f>IF('Release Gates'!C2503="PLANNING","PASS",IF('Release Gates'!C2503="PHYSICAL","OPEN","BLOCKED"))</x:f>
        <x:v>OPEN</x:v>
      </x:c>
      <x:c r="G2543" t="str">
        <x:v>equals</x:v>
      </x:c>
      <x:c r="H2543" t="str">
        <x:f>IF(E2543=F2543,"PASS","FAIL")</x:f>
        <x:v>PASS</x:v>
      </x:c>
    </x:row>
    <x:row r="2544">
      <x:c r="B2544" t="str">
        <x:v>A-02498</x:v>
      </x:c>
      <x:c r="C2544" t="str">
        <x:v>GATE</x:v>
      </x:c>
      <x:c r="D2544" t="str">
        <x:v>release state mirrors governing ledger</x:v>
      </x:c>
      <x:c r="E2544" t="str">
        <x:f>'Release Gates'!I2504</x:f>
        <x:v>OPEN</x:v>
      </x:c>
      <x:c r="F2544" t="str">
        <x:f>IF('Release Gates'!C2504="PLANNING","PASS",IF('Release Gates'!C2504="PHYSICAL","OPEN","BLOCKED"))</x:f>
        <x:v>OPEN</x:v>
      </x:c>
      <x:c r="G2544" t="str">
        <x:v>equals</x:v>
      </x:c>
      <x:c r="H2544" t="str">
        <x:f>IF(E2544=F2544,"PASS","FAIL")</x:f>
        <x:v>PASS</x:v>
      </x:c>
    </x:row>
    <x:row r="2545">
      <x:c r="B2545" t="str">
        <x:v>A-02499</x:v>
      </x:c>
      <x:c r="C2545" t="str">
        <x:v>GATE</x:v>
      </x:c>
      <x:c r="D2545" t="str">
        <x:v>release state mirrors governing ledger</x:v>
      </x:c>
      <x:c r="E2545" t="str">
        <x:f>'Release Gates'!I2505</x:f>
        <x:v>OPEN</x:v>
      </x:c>
      <x:c r="F2545" t="str">
        <x:f>IF('Release Gates'!C2505="PLANNING","PASS",IF('Release Gates'!C2505="PHYSICAL","OPEN","BLOCKED"))</x:f>
        <x:v>OPEN</x:v>
      </x:c>
      <x:c r="G2545" t="str">
        <x:v>equals</x:v>
      </x:c>
      <x:c r="H2545" t="str">
        <x:f>IF(E2545=F2545,"PASS","FAIL")</x:f>
        <x:v>PASS</x:v>
      </x:c>
    </x:row>
    <x:row r="2546">
      <x:c r="B2546" t="str">
        <x:v>A-02500</x:v>
      </x:c>
      <x:c r="C2546" t="str">
        <x:v>GATE</x:v>
      </x:c>
      <x:c r="D2546" t="str">
        <x:v>release state mirrors governing ledger</x:v>
      </x:c>
      <x:c r="E2546" t="str">
        <x:f>'Release Gates'!I2506</x:f>
        <x:v>OPEN</x:v>
      </x:c>
      <x:c r="F2546" t="str">
        <x:f>IF('Release Gates'!C2506="PLANNING","PASS",IF('Release Gates'!C2506="PHYSICAL","OPEN","BLOCKED"))</x:f>
        <x:v>OPEN</x:v>
      </x:c>
      <x:c r="G2546" t="str">
        <x:v>equals</x:v>
      </x:c>
      <x:c r="H2546" t="str">
        <x:f>IF(E2546=F2546,"PASS","FAIL")</x:f>
        <x:v>PASS</x:v>
      </x:c>
    </x:row>
    <x:row r="2547">
      <x:c r="B2547" t="str">
        <x:v>A-02501</x:v>
      </x:c>
      <x:c r="C2547" t="str">
        <x:v>GATE</x:v>
      </x:c>
      <x:c r="D2547" t="str">
        <x:v>release state mirrors governing ledger</x:v>
      </x:c>
      <x:c r="E2547" t="str">
        <x:f>'Release Gates'!I2507</x:f>
        <x:v>OPEN</x:v>
      </x:c>
      <x:c r="F2547" t="str">
        <x:f>IF('Release Gates'!C2507="PLANNING","PASS",IF('Release Gates'!C2507="PHYSICAL","OPEN","BLOCKED"))</x:f>
        <x:v>OPEN</x:v>
      </x:c>
      <x:c r="G2547" t="str">
        <x:v>equals</x:v>
      </x:c>
      <x:c r="H2547" t="str">
        <x:f>IF(E2547=F2547,"PASS","FAIL")</x:f>
        <x:v>PASS</x:v>
      </x:c>
    </x:row>
    <x:row r="2548">
      <x:c r="B2548" t="str">
        <x:v>A-02502</x:v>
      </x:c>
      <x:c r="C2548" t="str">
        <x:v>GATE</x:v>
      </x:c>
      <x:c r="D2548" t="str">
        <x:v>release state mirrors governing ledger</x:v>
      </x:c>
      <x:c r="E2548" t="str">
        <x:f>'Release Gates'!I2508</x:f>
        <x:v>OPEN</x:v>
      </x:c>
      <x:c r="F2548" t="str">
        <x:f>IF('Release Gates'!C2508="PLANNING","PASS",IF('Release Gates'!C2508="PHYSICAL","OPEN","BLOCKED"))</x:f>
        <x:v>OPEN</x:v>
      </x:c>
      <x:c r="G2548" t="str">
        <x:v>equals</x:v>
      </x:c>
      <x:c r="H2548" t="str">
        <x:f>IF(E2548=F2548,"PASS","FAIL")</x:f>
        <x:v>PASS</x:v>
      </x:c>
    </x:row>
    <x:row r="2549">
      <x:c r="B2549" t="str">
        <x:v>A-02503</x:v>
      </x:c>
      <x:c r="C2549" t="str">
        <x:v>GATE</x:v>
      </x:c>
      <x:c r="D2549" t="str">
        <x:v>release state mirrors governing ledger</x:v>
      </x:c>
      <x:c r="E2549" t="str">
        <x:f>'Release Gates'!I2509</x:f>
        <x:v>OPEN</x:v>
      </x:c>
      <x:c r="F2549" t="str">
        <x:f>IF('Release Gates'!C2509="PLANNING","PASS",IF('Release Gates'!C2509="PHYSICAL","OPEN","BLOCKED"))</x:f>
        <x:v>OPEN</x:v>
      </x:c>
      <x:c r="G2549" t="str">
        <x:v>equals</x:v>
      </x:c>
      <x:c r="H2549" t="str">
        <x:f>IF(E2549=F2549,"PASS","FAIL")</x:f>
        <x:v>PASS</x:v>
      </x:c>
    </x:row>
    <x:row r="2550">
      <x:c r="B2550" t="str">
        <x:v>A-02504</x:v>
      </x:c>
      <x:c r="C2550" t="str">
        <x:v>GATE</x:v>
      </x:c>
      <x:c r="D2550" t="str">
        <x:v>release state mirrors governing ledger</x:v>
      </x:c>
      <x:c r="E2550" t="str">
        <x:f>'Release Gates'!I2510</x:f>
        <x:v>OPEN</x:v>
      </x:c>
      <x:c r="F2550" t="str">
        <x:f>IF('Release Gates'!C2510="PLANNING","PASS",IF('Release Gates'!C2510="PHYSICAL","OPEN","BLOCKED"))</x:f>
        <x:v>OPEN</x:v>
      </x:c>
      <x:c r="G2550" t="str">
        <x:v>equals</x:v>
      </x:c>
      <x:c r="H2550" t="str">
        <x:f>IF(E2550=F2550,"PASS","FAIL")</x:f>
        <x:v>PASS</x:v>
      </x:c>
    </x:row>
    <x:row r="2551">
      <x:c r="B2551" t="str">
        <x:v>A-02505</x:v>
      </x:c>
      <x:c r="C2551" t="str">
        <x:v>GATE</x:v>
      </x:c>
      <x:c r="D2551" t="str">
        <x:v>release state mirrors governing ledger</x:v>
      </x:c>
      <x:c r="E2551" t="str">
        <x:f>'Release Gates'!I2511</x:f>
        <x:v>OPEN</x:v>
      </x:c>
      <x:c r="F2551" t="str">
        <x:f>IF('Release Gates'!C2511="PLANNING","PASS",IF('Release Gates'!C2511="PHYSICAL","OPEN","BLOCKED"))</x:f>
        <x:v>OPEN</x:v>
      </x:c>
      <x:c r="G2551" t="str">
        <x:v>equals</x:v>
      </x:c>
      <x:c r="H2551" t="str">
        <x:f>IF(E2551=F2551,"PASS","FAIL")</x:f>
        <x:v>PASS</x:v>
      </x:c>
    </x:row>
    <x:row r="2552">
      <x:c r="B2552" t="str">
        <x:v>A-02506</x:v>
      </x:c>
      <x:c r="C2552" t="str">
        <x:v>GATE</x:v>
      </x:c>
      <x:c r="D2552" t="str">
        <x:v>release state mirrors governing ledger</x:v>
      </x:c>
      <x:c r="E2552" t="str">
        <x:f>'Release Gates'!I2512</x:f>
        <x:v>OPEN</x:v>
      </x:c>
      <x:c r="F2552" t="str">
        <x:f>IF('Release Gates'!C2512="PLANNING","PASS",IF('Release Gates'!C2512="PHYSICAL","OPEN","BLOCKED"))</x:f>
        <x:v>OPEN</x:v>
      </x:c>
      <x:c r="G2552" t="str">
        <x:v>equals</x:v>
      </x:c>
      <x:c r="H2552" t="str">
        <x:f>IF(E2552=F2552,"PASS","FAIL")</x:f>
        <x:v>PASS</x:v>
      </x:c>
    </x:row>
    <x:row r="2553">
      <x:c r="B2553" t="str">
        <x:v>A-02507</x:v>
      </x:c>
      <x:c r="C2553" t="str">
        <x:v>GATE</x:v>
      </x:c>
      <x:c r="D2553" t="str">
        <x:v>release state mirrors governing ledger</x:v>
      </x:c>
      <x:c r="E2553" t="str">
        <x:f>'Release Gates'!I2513</x:f>
        <x:v>OPEN</x:v>
      </x:c>
      <x:c r="F2553" t="str">
        <x:f>IF('Release Gates'!C2513="PLANNING","PASS",IF('Release Gates'!C2513="PHYSICAL","OPEN","BLOCKED"))</x:f>
        <x:v>OPEN</x:v>
      </x:c>
      <x:c r="G2553" t="str">
        <x:v>equals</x:v>
      </x:c>
      <x:c r="H2553" t="str">
        <x:f>IF(E2553=F2553,"PASS","FAIL")</x:f>
        <x:v>PASS</x:v>
      </x:c>
    </x:row>
    <x:row r="2554">
      <x:c r="B2554" t="str">
        <x:v>A-02508</x:v>
      </x:c>
      <x:c r="C2554" t="str">
        <x:v>GATE</x:v>
      </x:c>
      <x:c r="D2554" t="str">
        <x:v>release state mirrors governing ledger</x:v>
      </x:c>
      <x:c r="E2554" t="str">
        <x:f>'Release Gates'!I2514</x:f>
        <x:v>OPEN</x:v>
      </x:c>
      <x:c r="F2554" t="str">
        <x:f>IF('Release Gates'!C2514="PLANNING","PASS",IF('Release Gates'!C2514="PHYSICAL","OPEN","BLOCKED"))</x:f>
        <x:v>OPEN</x:v>
      </x:c>
      <x:c r="G2554" t="str">
        <x:v>equals</x:v>
      </x:c>
      <x:c r="H2554" t="str">
        <x:f>IF(E2554=F2554,"PASS","FAIL")</x:f>
        <x:v>PASS</x:v>
      </x:c>
    </x:row>
    <x:row r="2555">
      <x:c r="B2555" t="str">
        <x:v>A-02509</x:v>
      </x:c>
      <x:c r="C2555" t="str">
        <x:v>GATE</x:v>
      </x:c>
      <x:c r="D2555" t="str">
        <x:v>release state mirrors governing ledger</x:v>
      </x:c>
      <x:c r="E2555" t="str">
        <x:f>'Release Gates'!I2515</x:f>
        <x:v>OPEN</x:v>
      </x:c>
      <x:c r="F2555" t="str">
        <x:f>IF('Release Gates'!C2515="PLANNING","PASS",IF('Release Gates'!C2515="PHYSICAL","OPEN","BLOCKED"))</x:f>
        <x:v>OPEN</x:v>
      </x:c>
      <x:c r="G2555" t="str">
        <x:v>equals</x:v>
      </x:c>
      <x:c r="H2555" t="str">
        <x:f>IF(E2555=F2555,"PASS","FAIL")</x:f>
        <x:v>PASS</x:v>
      </x:c>
    </x:row>
    <x:row r="2556">
      <x:c r="B2556" t="str">
        <x:v>A-02510</x:v>
      </x:c>
      <x:c r="C2556" t="str">
        <x:v>GATE</x:v>
      </x:c>
      <x:c r="D2556" t="str">
        <x:v>release state mirrors governing ledger</x:v>
      </x:c>
      <x:c r="E2556" t="str">
        <x:f>'Release Gates'!I2516</x:f>
        <x:v>OPEN</x:v>
      </x:c>
      <x:c r="F2556" t="str">
        <x:f>IF('Release Gates'!C2516="PLANNING","PASS",IF('Release Gates'!C2516="PHYSICAL","OPEN","BLOCKED"))</x:f>
        <x:v>OPEN</x:v>
      </x:c>
      <x:c r="G2556" t="str">
        <x:v>equals</x:v>
      </x:c>
      <x:c r="H2556" t="str">
        <x:f>IF(E2556=F2556,"PASS","FAIL")</x:f>
        <x:v>PASS</x:v>
      </x:c>
    </x:row>
    <x:row r="2557">
      <x:c r="B2557" t="str">
        <x:v>A-02511</x:v>
      </x:c>
      <x:c r="C2557" t="str">
        <x:v>GATE</x:v>
      </x:c>
      <x:c r="D2557" t="str">
        <x:v>release state mirrors governing ledger</x:v>
      </x:c>
      <x:c r="E2557" t="str">
        <x:f>'Release Gates'!I2517</x:f>
        <x:v>OPEN</x:v>
      </x:c>
      <x:c r="F2557" t="str">
        <x:f>IF('Release Gates'!C2517="PLANNING","PASS",IF('Release Gates'!C2517="PHYSICAL","OPEN","BLOCKED"))</x:f>
        <x:v>OPEN</x:v>
      </x:c>
      <x:c r="G2557" t="str">
        <x:v>equals</x:v>
      </x:c>
      <x:c r="H2557" t="str">
        <x:f>IF(E2557=F2557,"PASS","FAIL")</x:f>
        <x:v>PASS</x:v>
      </x:c>
    </x:row>
    <x:row r="2558">
      <x:c r="B2558" t="str">
        <x:v>A-02512</x:v>
      </x:c>
      <x:c r="C2558" t="str">
        <x:v>GATE</x:v>
      </x:c>
      <x:c r="D2558" t="str">
        <x:v>release state mirrors governing ledger</x:v>
      </x:c>
      <x:c r="E2558" t="str">
        <x:f>'Release Gates'!I2518</x:f>
        <x:v>OPEN</x:v>
      </x:c>
      <x:c r="F2558" t="str">
        <x:f>IF('Release Gates'!C2518="PLANNING","PASS",IF('Release Gates'!C2518="PHYSICAL","OPEN","BLOCKED"))</x:f>
        <x:v>OPEN</x:v>
      </x:c>
      <x:c r="G2558" t="str">
        <x:v>equals</x:v>
      </x:c>
      <x:c r="H2558" t="str">
        <x:f>IF(E2558=F2558,"PASS","FAIL")</x:f>
        <x:v>PASS</x:v>
      </x:c>
    </x:row>
    <x:row r="2559">
      <x:c r="B2559" t="str">
        <x:v>A-02513</x:v>
      </x:c>
      <x:c r="C2559" t="str">
        <x:v>GATE</x:v>
      </x:c>
      <x:c r="D2559" t="str">
        <x:v>release state mirrors governing ledger</x:v>
      </x:c>
      <x:c r="E2559" t="str">
        <x:f>'Release Gates'!I2519</x:f>
        <x:v>OPEN</x:v>
      </x:c>
      <x:c r="F2559" t="str">
        <x:f>IF('Release Gates'!C2519="PLANNING","PASS",IF('Release Gates'!C2519="PHYSICAL","OPEN","BLOCKED"))</x:f>
        <x:v>OPEN</x:v>
      </x:c>
      <x:c r="G2559" t="str">
        <x:v>equals</x:v>
      </x:c>
      <x:c r="H2559" t="str">
        <x:f>IF(E2559=F2559,"PASS","FAIL")</x:f>
        <x:v>PASS</x:v>
      </x:c>
    </x:row>
    <x:row r="2560">
      <x:c r="B2560" t="str">
        <x:v>A-02514</x:v>
      </x:c>
      <x:c r="C2560" t="str">
        <x:v>GATE</x:v>
      </x:c>
      <x:c r="D2560" t="str">
        <x:v>release state mirrors governing ledger</x:v>
      </x:c>
      <x:c r="E2560" t="str">
        <x:f>'Release Gates'!I2520</x:f>
        <x:v>OPEN</x:v>
      </x:c>
      <x:c r="F2560" t="str">
        <x:f>IF('Release Gates'!C2520="PLANNING","PASS",IF('Release Gates'!C2520="PHYSICAL","OPEN","BLOCKED"))</x:f>
        <x:v>OPEN</x:v>
      </x:c>
      <x:c r="G2560" t="str">
        <x:v>equals</x:v>
      </x:c>
      <x:c r="H2560" t="str">
        <x:f>IF(E2560=F2560,"PASS","FAIL")</x:f>
        <x:v>PASS</x:v>
      </x:c>
    </x:row>
    <x:row r="2561">
      <x:c r="B2561" t="str">
        <x:v>A-02515</x:v>
      </x:c>
      <x:c r="C2561" t="str">
        <x:v>GATE</x:v>
      </x:c>
      <x:c r="D2561" t="str">
        <x:v>release state mirrors governing ledger</x:v>
      </x:c>
      <x:c r="E2561" t="str">
        <x:f>'Release Gates'!I2521</x:f>
        <x:v>OPEN</x:v>
      </x:c>
      <x:c r="F2561" t="str">
        <x:f>IF('Release Gates'!C2521="PLANNING","PASS",IF('Release Gates'!C2521="PHYSICAL","OPEN","BLOCKED"))</x:f>
        <x:v>OPEN</x:v>
      </x:c>
      <x:c r="G2561" t="str">
        <x:v>equals</x:v>
      </x:c>
      <x:c r="H2561" t="str">
        <x:f>IF(E2561=F2561,"PASS","FAIL")</x:f>
        <x:v>PASS</x:v>
      </x:c>
    </x:row>
    <x:row r="2562">
      <x:c r="B2562" t="str">
        <x:v>A-02516</x:v>
      </x:c>
      <x:c r="C2562" t="str">
        <x:v>GATE</x:v>
      </x:c>
      <x:c r="D2562" t="str">
        <x:v>release state mirrors governing ledger</x:v>
      </x:c>
      <x:c r="E2562" t="str">
        <x:f>'Release Gates'!I2522</x:f>
        <x:v>OPEN</x:v>
      </x:c>
      <x:c r="F2562" t="str">
        <x:f>IF('Release Gates'!C2522="PLANNING","PASS",IF('Release Gates'!C2522="PHYSICAL","OPEN","BLOCKED"))</x:f>
        <x:v>OPEN</x:v>
      </x:c>
      <x:c r="G2562" t="str">
        <x:v>equals</x:v>
      </x:c>
      <x:c r="H2562" t="str">
        <x:f>IF(E2562=F2562,"PASS","FAIL")</x:f>
        <x:v>PASS</x:v>
      </x:c>
    </x:row>
    <x:row r="2563">
      <x:c r="B2563" t="str">
        <x:v>A-02517</x:v>
      </x:c>
      <x:c r="C2563" t="str">
        <x:v>GATE</x:v>
      </x:c>
      <x:c r="D2563" t="str">
        <x:v>release state mirrors governing ledger</x:v>
      </x:c>
      <x:c r="E2563" t="str">
        <x:f>'Release Gates'!I2523</x:f>
        <x:v>OPEN</x:v>
      </x:c>
      <x:c r="F2563" t="str">
        <x:f>IF('Release Gates'!C2523="PLANNING","PASS",IF('Release Gates'!C2523="PHYSICAL","OPEN","BLOCKED"))</x:f>
        <x:v>OPEN</x:v>
      </x:c>
      <x:c r="G2563" t="str">
        <x:v>equals</x:v>
      </x:c>
      <x:c r="H2563" t="str">
        <x:f>IF(E2563=F2563,"PASS","FAIL")</x:f>
        <x:v>PASS</x:v>
      </x:c>
    </x:row>
    <x:row r="2564">
      <x:c r="B2564" t="str">
        <x:v>A-02518</x:v>
      </x:c>
      <x:c r="C2564" t="str">
        <x:v>GATE</x:v>
      </x:c>
      <x:c r="D2564" t="str">
        <x:v>release state mirrors governing ledger</x:v>
      </x:c>
      <x:c r="E2564" t="str">
        <x:f>'Release Gates'!I2524</x:f>
        <x:v>OPEN</x:v>
      </x:c>
      <x:c r="F2564" t="str">
        <x:f>IF('Release Gates'!C2524="PLANNING","PASS",IF('Release Gates'!C2524="PHYSICAL","OPEN","BLOCKED"))</x:f>
        <x:v>OPEN</x:v>
      </x:c>
      <x:c r="G2564" t="str">
        <x:v>equals</x:v>
      </x:c>
      <x:c r="H2564" t="str">
        <x:f>IF(E2564=F2564,"PASS","FAIL")</x:f>
        <x:v>PASS</x:v>
      </x:c>
    </x:row>
    <x:row r="2565">
      <x:c r="B2565" t="str">
        <x:v>A-02519</x:v>
      </x:c>
      <x:c r="C2565" t="str">
        <x:v>GATE</x:v>
      </x:c>
      <x:c r="D2565" t="str">
        <x:v>release state mirrors governing ledger</x:v>
      </x:c>
      <x:c r="E2565" t="str">
        <x:f>'Release Gates'!I2525</x:f>
        <x:v>OPEN</x:v>
      </x:c>
      <x:c r="F2565" t="str">
        <x:f>IF('Release Gates'!C2525="PLANNING","PASS",IF('Release Gates'!C2525="PHYSICAL","OPEN","BLOCKED"))</x:f>
        <x:v>OPEN</x:v>
      </x:c>
      <x:c r="G2565" t="str">
        <x:v>equals</x:v>
      </x:c>
      <x:c r="H2565" t="str">
        <x:f>IF(E2565=F2565,"PASS","FAIL")</x:f>
        <x:v>PASS</x:v>
      </x:c>
    </x:row>
    <x:row r="2566">
      <x:c r="B2566" t="str">
        <x:v>A-02520</x:v>
      </x:c>
      <x:c r="C2566" t="str">
        <x:v>GATE</x:v>
      </x:c>
      <x:c r="D2566" t="str">
        <x:v>release state mirrors governing ledger</x:v>
      </x:c>
      <x:c r="E2566" t="str">
        <x:f>'Release Gates'!I2526</x:f>
        <x:v>OPEN</x:v>
      </x:c>
      <x:c r="F2566" t="str">
        <x:f>IF('Release Gates'!C2526="PLANNING","PASS",IF('Release Gates'!C2526="PHYSICAL","OPEN","BLOCKED"))</x:f>
        <x:v>OPEN</x:v>
      </x:c>
      <x:c r="G2566" t="str">
        <x:v>equals</x:v>
      </x:c>
      <x:c r="H2566" t="str">
        <x:f>IF(E2566=F2566,"PASS","FAIL")</x:f>
        <x:v>PASS</x:v>
      </x:c>
    </x:row>
    <x:row r="2567">
      <x:c r="B2567" t="str">
        <x:v>A-02521</x:v>
      </x:c>
      <x:c r="C2567" t="str">
        <x:v>GATE</x:v>
      </x:c>
      <x:c r="D2567" t="str">
        <x:v>release state mirrors governing ledger</x:v>
      </x:c>
      <x:c r="E2567" t="str">
        <x:f>'Release Gates'!I2527</x:f>
        <x:v>OPEN</x:v>
      </x:c>
      <x:c r="F2567" t="str">
        <x:f>IF('Release Gates'!C2527="PLANNING","PASS",IF('Release Gates'!C2527="PHYSICAL","OPEN","BLOCKED"))</x:f>
        <x:v>OPEN</x:v>
      </x:c>
      <x:c r="G2567" t="str">
        <x:v>equals</x:v>
      </x:c>
      <x:c r="H2567" t="str">
        <x:f>IF(E2567=F2567,"PASS","FAIL")</x:f>
        <x:v>PASS</x:v>
      </x:c>
    </x:row>
    <x:row r="2568">
      <x:c r="B2568" t="str">
        <x:v>A-02522</x:v>
      </x:c>
      <x:c r="C2568" t="str">
        <x:v>GATE</x:v>
      </x:c>
      <x:c r="D2568" t="str">
        <x:v>release state mirrors governing ledger</x:v>
      </x:c>
      <x:c r="E2568" t="str">
        <x:f>'Release Gates'!I2528</x:f>
        <x:v>OPEN</x:v>
      </x:c>
      <x:c r="F2568" t="str">
        <x:f>IF('Release Gates'!C2528="PLANNING","PASS",IF('Release Gates'!C2528="PHYSICAL","OPEN","BLOCKED"))</x:f>
        <x:v>OPEN</x:v>
      </x:c>
      <x:c r="G2568" t="str">
        <x:v>equals</x:v>
      </x:c>
      <x:c r="H2568" t="str">
        <x:f>IF(E2568=F2568,"PASS","FAIL")</x:f>
        <x:v>PASS</x:v>
      </x:c>
    </x:row>
    <x:row r="2569">
      <x:c r="B2569" t="str">
        <x:v>A-02523</x:v>
      </x:c>
      <x:c r="C2569" t="str">
        <x:v>GATE</x:v>
      </x:c>
      <x:c r="D2569" t="str">
        <x:v>release state mirrors governing ledger</x:v>
      </x:c>
      <x:c r="E2569" t="str">
        <x:f>'Release Gates'!I2529</x:f>
        <x:v>OPEN</x:v>
      </x:c>
      <x:c r="F2569" t="str">
        <x:f>IF('Release Gates'!C2529="PLANNING","PASS",IF('Release Gates'!C2529="PHYSICAL","OPEN","BLOCKED"))</x:f>
        <x:v>OPEN</x:v>
      </x:c>
      <x:c r="G2569" t="str">
        <x:v>equals</x:v>
      </x:c>
      <x:c r="H2569" t="str">
        <x:f>IF(E2569=F2569,"PASS","FAIL")</x:f>
        <x:v>PASS</x:v>
      </x:c>
    </x:row>
    <x:row r="2570">
      <x:c r="B2570" t="str">
        <x:v>A-02524</x:v>
      </x:c>
      <x:c r="C2570" t="str">
        <x:v>GATE</x:v>
      </x:c>
      <x:c r="D2570" t="str">
        <x:v>release state mirrors governing ledger</x:v>
      </x:c>
      <x:c r="E2570" t="str">
        <x:f>'Release Gates'!I2530</x:f>
        <x:v>OPEN</x:v>
      </x:c>
      <x:c r="F2570" t="str">
        <x:f>IF('Release Gates'!C2530="PLANNING","PASS",IF('Release Gates'!C2530="PHYSICAL","OPEN","BLOCKED"))</x:f>
        <x:v>OPEN</x:v>
      </x:c>
      <x:c r="G2570" t="str">
        <x:v>equals</x:v>
      </x:c>
      <x:c r="H2570" t="str">
        <x:f>IF(E2570=F2570,"PASS","FAIL")</x:f>
        <x:v>PASS</x:v>
      </x:c>
    </x:row>
    <x:row r="2571">
      <x:c r="B2571" t="str">
        <x:v>A-02525</x:v>
      </x:c>
      <x:c r="C2571" t="str">
        <x:v>GATE</x:v>
      </x:c>
      <x:c r="D2571" t="str">
        <x:v>release state mirrors governing ledger</x:v>
      </x:c>
      <x:c r="E2571" t="str">
        <x:f>'Release Gates'!I2531</x:f>
        <x:v>OPEN</x:v>
      </x:c>
      <x:c r="F2571" t="str">
        <x:f>IF('Release Gates'!C2531="PLANNING","PASS",IF('Release Gates'!C2531="PHYSICAL","OPEN","BLOCKED"))</x:f>
        <x:v>OPEN</x:v>
      </x:c>
      <x:c r="G2571" t="str">
        <x:v>equals</x:v>
      </x:c>
      <x:c r="H2571" t="str">
        <x:f>IF(E2571=F2571,"PASS","FAIL")</x:f>
        <x:v>PASS</x:v>
      </x:c>
    </x:row>
    <x:row r="2572">
      <x:c r="B2572" t="str">
        <x:v>A-02526</x:v>
      </x:c>
      <x:c r="C2572" t="str">
        <x:v>GATE</x:v>
      </x:c>
      <x:c r="D2572" t="str">
        <x:v>release state mirrors governing ledger</x:v>
      </x:c>
      <x:c r="E2572" t="str">
        <x:f>'Release Gates'!I2532</x:f>
        <x:v>OPEN</x:v>
      </x:c>
      <x:c r="F2572" t="str">
        <x:f>IF('Release Gates'!C2532="PLANNING","PASS",IF('Release Gates'!C2532="PHYSICAL","OPEN","BLOCKED"))</x:f>
        <x:v>OPEN</x:v>
      </x:c>
      <x:c r="G2572" t="str">
        <x:v>equals</x:v>
      </x:c>
      <x:c r="H2572" t="str">
        <x:f>IF(E2572=F2572,"PASS","FAIL")</x:f>
        <x:v>PASS</x:v>
      </x:c>
    </x:row>
    <x:row r="2573">
      <x:c r="B2573" t="str">
        <x:v>A-02527</x:v>
      </x:c>
      <x:c r="C2573" t="str">
        <x:v>GATE</x:v>
      </x:c>
      <x:c r="D2573" t="str">
        <x:v>release state mirrors governing ledger</x:v>
      </x:c>
      <x:c r="E2573" t="str">
        <x:f>'Release Gates'!I2533</x:f>
        <x:v>OPEN</x:v>
      </x:c>
      <x:c r="F2573" t="str">
        <x:f>IF('Release Gates'!C2533="PLANNING","PASS",IF('Release Gates'!C2533="PHYSICAL","OPEN","BLOCKED"))</x:f>
        <x:v>OPEN</x:v>
      </x:c>
      <x:c r="G2573" t="str">
        <x:v>equals</x:v>
      </x:c>
      <x:c r="H2573" t="str">
        <x:f>IF(E2573=F2573,"PASS","FAIL")</x:f>
        <x:v>PASS</x:v>
      </x:c>
    </x:row>
    <x:row r="2574">
      <x:c r="B2574" t="str">
        <x:v>A-02528</x:v>
      </x:c>
      <x:c r="C2574" t="str">
        <x:v>GATE</x:v>
      </x:c>
      <x:c r="D2574" t="str">
        <x:v>release state mirrors governing ledger</x:v>
      </x:c>
      <x:c r="E2574" t="str">
        <x:f>'Release Gates'!I2534</x:f>
        <x:v>OPEN</x:v>
      </x:c>
      <x:c r="F2574" t="str">
        <x:f>IF('Release Gates'!C2534="PLANNING","PASS",IF('Release Gates'!C2534="PHYSICAL","OPEN","BLOCKED"))</x:f>
        <x:v>OPEN</x:v>
      </x:c>
      <x:c r="G2574" t="str">
        <x:v>equals</x:v>
      </x:c>
      <x:c r="H2574" t="str">
        <x:f>IF(E2574=F2574,"PASS","FAIL")</x:f>
        <x:v>PASS</x:v>
      </x:c>
    </x:row>
    <x:row r="2575">
      <x:c r="B2575" t="str">
        <x:v>A-02529</x:v>
      </x:c>
      <x:c r="C2575" t="str">
        <x:v>GATE</x:v>
      </x:c>
      <x:c r="D2575" t="str">
        <x:v>release state mirrors governing ledger</x:v>
      </x:c>
      <x:c r="E2575" t="str">
        <x:f>'Release Gates'!I2535</x:f>
        <x:v>OPEN</x:v>
      </x:c>
      <x:c r="F2575" t="str">
        <x:f>IF('Release Gates'!C2535="PLANNING","PASS",IF('Release Gates'!C2535="PHYSICAL","OPEN","BLOCKED"))</x:f>
        <x:v>OPEN</x:v>
      </x:c>
      <x:c r="G2575" t="str">
        <x:v>equals</x:v>
      </x:c>
      <x:c r="H2575" t="str">
        <x:f>IF(E2575=F2575,"PASS","FAIL")</x:f>
        <x:v>PASS</x:v>
      </x:c>
    </x:row>
    <x:row r="2576">
      <x:c r="B2576" t="str">
        <x:v>A-02530</x:v>
      </x:c>
      <x:c r="C2576" t="str">
        <x:v>GATE</x:v>
      </x:c>
      <x:c r="D2576" t="str">
        <x:v>release state mirrors governing ledger</x:v>
      </x:c>
      <x:c r="E2576" t="str">
        <x:f>'Release Gates'!I2536</x:f>
        <x:v>OPEN</x:v>
      </x:c>
      <x:c r="F2576" t="str">
        <x:f>IF('Release Gates'!C2536="PLANNING","PASS",IF('Release Gates'!C2536="PHYSICAL","OPEN","BLOCKED"))</x:f>
        <x:v>OPEN</x:v>
      </x:c>
      <x:c r="G2576" t="str">
        <x:v>equals</x:v>
      </x:c>
      <x:c r="H2576" t="str">
        <x:f>IF(E2576=F2576,"PASS","FAIL")</x:f>
        <x:v>PASS</x:v>
      </x:c>
    </x:row>
    <x:row r="2577">
      <x:c r="B2577" t="str">
        <x:v>A-02531</x:v>
      </x:c>
      <x:c r="C2577" t="str">
        <x:v>GATE</x:v>
      </x:c>
      <x:c r="D2577" t="str">
        <x:v>release state mirrors governing ledger</x:v>
      </x:c>
      <x:c r="E2577" t="str">
        <x:f>'Release Gates'!I2537</x:f>
        <x:v>OPEN</x:v>
      </x:c>
      <x:c r="F2577" t="str">
        <x:f>IF('Release Gates'!C2537="PLANNING","PASS",IF('Release Gates'!C2537="PHYSICAL","OPEN","BLOCKED"))</x:f>
        <x:v>OPEN</x:v>
      </x:c>
      <x:c r="G2577" t="str">
        <x:v>equals</x:v>
      </x:c>
      <x:c r="H2577" t="str">
        <x:f>IF(E2577=F2577,"PASS","FAIL")</x:f>
        <x:v>PASS</x:v>
      </x:c>
    </x:row>
    <x:row r="2578">
      <x:c r="B2578" t="str">
        <x:v>A-02532</x:v>
      </x:c>
      <x:c r="C2578" t="str">
        <x:v>GATE</x:v>
      </x:c>
      <x:c r="D2578" t="str">
        <x:v>release state mirrors governing ledger</x:v>
      </x:c>
      <x:c r="E2578" t="str">
        <x:f>'Release Gates'!I2538</x:f>
        <x:v>OPEN</x:v>
      </x:c>
      <x:c r="F2578" t="str">
        <x:f>IF('Release Gates'!C2538="PLANNING","PASS",IF('Release Gates'!C2538="PHYSICAL","OPEN","BLOCKED"))</x:f>
        <x:v>OPEN</x:v>
      </x:c>
      <x:c r="G2578" t="str">
        <x:v>equals</x:v>
      </x:c>
      <x:c r="H2578" t="str">
        <x:f>IF(E2578=F2578,"PASS","FAIL")</x:f>
        <x:v>PASS</x:v>
      </x:c>
    </x:row>
    <x:row r="2579">
      <x:c r="B2579" t="str">
        <x:v>A-02533</x:v>
      </x:c>
      <x:c r="C2579" t="str">
        <x:v>GATE</x:v>
      </x:c>
      <x:c r="D2579" t="str">
        <x:v>release state mirrors governing ledger</x:v>
      </x:c>
      <x:c r="E2579" t="str">
        <x:f>'Release Gates'!I2539</x:f>
        <x:v>OPEN</x:v>
      </x:c>
      <x:c r="F2579" t="str">
        <x:f>IF('Release Gates'!C2539="PLANNING","PASS",IF('Release Gates'!C2539="PHYSICAL","OPEN","BLOCKED"))</x:f>
        <x:v>OPEN</x:v>
      </x:c>
      <x:c r="G2579" t="str">
        <x:v>equals</x:v>
      </x:c>
      <x:c r="H2579" t="str">
        <x:f>IF(E2579=F2579,"PASS","FAIL")</x:f>
        <x:v>PASS</x:v>
      </x:c>
    </x:row>
    <x:row r="2580">
      <x:c r="B2580" t="str">
        <x:v>A-02534</x:v>
      </x:c>
      <x:c r="C2580" t="str">
        <x:v>GATE</x:v>
      </x:c>
      <x:c r="D2580" t="str">
        <x:v>release state mirrors governing ledger</x:v>
      </x:c>
      <x:c r="E2580" t="str">
        <x:f>'Release Gates'!I2540</x:f>
        <x:v>OPEN</x:v>
      </x:c>
      <x:c r="F2580" t="str">
        <x:f>IF('Release Gates'!C2540="PLANNING","PASS",IF('Release Gates'!C2540="PHYSICAL","OPEN","BLOCKED"))</x:f>
        <x:v>OPEN</x:v>
      </x:c>
      <x:c r="G2580" t="str">
        <x:v>equals</x:v>
      </x:c>
      <x:c r="H2580" t="str">
        <x:f>IF(E2580=F2580,"PASS","FAIL")</x:f>
        <x:v>PASS</x:v>
      </x:c>
    </x:row>
    <x:row r="2581">
      <x:c r="B2581" t="str">
        <x:v>A-02535</x:v>
      </x:c>
      <x:c r="C2581" t="str">
        <x:v>GATE</x:v>
      </x:c>
      <x:c r="D2581" t="str">
        <x:v>release state mirrors governing ledger</x:v>
      </x:c>
      <x:c r="E2581" t="str">
        <x:f>'Release Gates'!I2541</x:f>
        <x:v>OPEN</x:v>
      </x:c>
      <x:c r="F2581" t="str">
        <x:f>IF('Release Gates'!C2541="PLANNING","PASS",IF('Release Gates'!C2541="PHYSICAL","OPEN","BLOCKED"))</x:f>
        <x:v>OPEN</x:v>
      </x:c>
      <x:c r="G2581" t="str">
        <x:v>equals</x:v>
      </x:c>
      <x:c r="H2581" t="str">
        <x:f>IF(E2581=F2581,"PASS","FAIL")</x:f>
        <x:v>PASS</x:v>
      </x:c>
    </x:row>
    <x:row r="2582">
      <x:c r="B2582" t="str">
        <x:v>A-02536</x:v>
      </x:c>
      <x:c r="C2582" t="str">
        <x:v>GATE</x:v>
      </x:c>
      <x:c r="D2582" t="str">
        <x:v>release state mirrors governing ledger</x:v>
      </x:c>
      <x:c r="E2582" t="str">
        <x:f>'Release Gates'!I2542</x:f>
        <x:v>OPEN</x:v>
      </x:c>
      <x:c r="F2582" t="str">
        <x:f>IF('Release Gates'!C2542="PLANNING","PASS",IF('Release Gates'!C2542="PHYSICAL","OPEN","BLOCKED"))</x:f>
        <x:v>OPEN</x:v>
      </x:c>
      <x:c r="G2582" t="str">
        <x:v>equals</x:v>
      </x:c>
      <x:c r="H2582" t="str">
        <x:f>IF(E2582=F2582,"PASS","FAIL")</x:f>
        <x:v>PASS</x:v>
      </x:c>
    </x:row>
    <x:row r="2583">
      <x:c r="B2583" t="str">
        <x:v>A-02537</x:v>
      </x:c>
      <x:c r="C2583" t="str">
        <x:v>GATE</x:v>
      </x:c>
      <x:c r="D2583" t="str">
        <x:v>release state mirrors governing ledger</x:v>
      </x:c>
      <x:c r="E2583" t="str">
        <x:f>'Release Gates'!I2543</x:f>
        <x:v>OPEN</x:v>
      </x:c>
      <x:c r="F2583" t="str">
        <x:f>IF('Release Gates'!C2543="PLANNING","PASS",IF('Release Gates'!C2543="PHYSICAL","OPEN","BLOCKED"))</x:f>
        <x:v>OPEN</x:v>
      </x:c>
      <x:c r="G2583" t="str">
        <x:v>equals</x:v>
      </x:c>
      <x:c r="H2583" t="str">
        <x:f>IF(E2583=F2583,"PASS","FAIL")</x:f>
        <x:v>PASS</x:v>
      </x:c>
    </x:row>
    <x:row r="2584">
      <x:c r="B2584" t="str">
        <x:v>A-02538</x:v>
      </x:c>
      <x:c r="C2584" t="str">
        <x:v>GATE</x:v>
      </x:c>
      <x:c r="D2584" t="str">
        <x:v>release state mirrors governing ledger</x:v>
      </x:c>
      <x:c r="E2584" t="str">
        <x:f>'Release Gates'!I2544</x:f>
        <x:v>OPEN</x:v>
      </x:c>
      <x:c r="F2584" t="str">
        <x:f>IF('Release Gates'!C2544="PLANNING","PASS",IF('Release Gates'!C2544="PHYSICAL","OPEN","BLOCKED"))</x:f>
        <x:v>OPEN</x:v>
      </x:c>
      <x:c r="G2584" t="str">
        <x:v>equals</x:v>
      </x:c>
      <x:c r="H2584" t="str">
        <x:f>IF(E2584=F2584,"PASS","FAIL")</x:f>
        <x:v>PASS</x:v>
      </x:c>
    </x:row>
    <x:row r="2585">
      <x:c r="B2585" t="str">
        <x:v>A-02539</x:v>
      </x:c>
      <x:c r="C2585" t="str">
        <x:v>GATE</x:v>
      </x:c>
      <x:c r="D2585" t="str">
        <x:v>release state mirrors governing ledger</x:v>
      </x:c>
      <x:c r="E2585" t="str">
        <x:f>'Release Gates'!I2545</x:f>
        <x:v>OPEN</x:v>
      </x:c>
      <x:c r="F2585" t="str">
        <x:f>IF('Release Gates'!C2545="PLANNING","PASS",IF('Release Gates'!C2545="PHYSICAL","OPEN","BLOCKED"))</x:f>
        <x:v>OPEN</x:v>
      </x:c>
      <x:c r="G2585" t="str">
        <x:v>equals</x:v>
      </x:c>
      <x:c r="H2585" t="str">
        <x:f>IF(E2585=F2585,"PASS","FAIL")</x:f>
        <x:v>PASS</x:v>
      </x:c>
    </x:row>
    <x:row r="2586">
      <x:c r="B2586" t="str">
        <x:v>A-02540</x:v>
      </x:c>
      <x:c r="C2586" t="str">
        <x:v>GATE</x:v>
      </x:c>
      <x:c r="D2586" t="str">
        <x:v>release state mirrors governing ledger</x:v>
      </x:c>
      <x:c r="E2586" t="str">
        <x:f>'Release Gates'!I2546</x:f>
        <x:v>OPEN</x:v>
      </x:c>
      <x:c r="F2586" t="str">
        <x:f>IF('Release Gates'!C2546="PLANNING","PASS",IF('Release Gates'!C2546="PHYSICAL","OPEN","BLOCKED"))</x:f>
        <x:v>OPEN</x:v>
      </x:c>
      <x:c r="G2586" t="str">
        <x:v>equals</x:v>
      </x:c>
      <x:c r="H2586" t="str">
        <x:f>IF(E2586=F2586,"PASS","FAIL")</x:f>
        <x:v>PASS</x:v>
      </x:c>
    </x:row>
    <x:row r="2587">
      <x:c r="B2587" t="str">
        <x:v>A-02541</x:v>
      </x:c>
      <x:c r="C2587" t="str">
        <x:v>GATE</x:v>
      </x:c>
      <x:c r="D2587" t="str">
        <x:v>release state mirrors governing ledger</x:v>
      </x:c>
      <x:c r="E2587" t="str">
        <x:f>'Release Gates'!I2547</x:f>
        <x:v>OPEN</x:v>
      </x:c>
      <x:c r="F2587" t="str">
        <x:f>IF('Release Gates'!C2547="PLANNING","PASS",IF('Release Gates'!C2547="PHYSICAL","OPEN","BLOCKED"))</x:f>
        <x:v>OPEN</x:v>
      </x:c>
      <x:c r="G2587" t="str">
        <x:v>equals</x:v>
      </x:c>
      <x:c r="H2587" t="str">
        <x:f>IF(E2587=F2587,"PASS","FAIL")</x:f>
        <x:v>PASS</x:v>
      </x:c>
    </x:row>
    <x:row r="2588">
      <x:c r="B2588" t="str">
        <x:v>A-02542</x:v>
      </x:c>
      <x:c r="C2588" t="str">
        <x:v>GATE</x:v>
      </x:c>
      <x:c r="D2588" t="str">
        <x:v>release state mirrors governing ledger</x:v>
      </x:c>
      <x:c r="E2588" t="str">
        <x:f>'Release Gates'!I2548</x:f>
        <x:v>OPEN</x:v>
      </x:c>
      <x:c r="F2588" t="str">
        <x:f>IF('Release Gates'!C2548="PLANNING","PASS",IF('Release Gates'!C2548="PHYSICAL","OPEN","BLOCKED"))</x:f>
        <x:v>OPEN</x:v>
      </x:c>
      <x:c r="G2588" t="str">
        <x:v>equals</x:v>
      </x:c>
      <x:c r="H2588" t="str">
        <x:f>IF(E2588=F2588,"PASS","FAIL")</x:f>
        <x:v>PASS</x:v>
      </x:c>
    </x:row>
    <x:row r="2589">
      <x:c r="B2589" t="str">
        <x:v>A-02543</x:v>
      </x:c>
      <x:c r="C2589" t="str">
        <x:v>GATE</x:v>
      </x:c>
      <x:c r="D2589" t="str">
        <x:v>release state mirrors governing ledger</x:v>
      </x:c>
      <x:c r="E2589" t="str">
        <x:f>'Release Gates'!I2549</x:f>
        <x:v>OPEN</x:v>
      </x:c>
      <x:c r="F2589" t="str">
        <x:f>IF('Release Gates'!C2549="PLANNING","PASS",IF('Release Gates'!C2549="PHYSICAL","OPEN","BLOCKED"))</x:f>
        <x:v>OPEN</x:v>
      </x:c>
      <x:c r="G2589" t="str">
        <x:v>equals</x:v>
      </x:c>
      <x:c r="H2589" t="str">
        <x:f>IF(E2589=F2589,"PASS","FAIL")</x:f>
        <x:v>PASS</x:v>
      </x:c>
    </x:row>
    <x:row r="2590">
      <x:c r="B2590" t="str">
        <x:v>A-02544</x:v>
      </x:c>
      <x:c r="C2590" t="str">
        <x:v>GATE</x:v>
      </x:c>
      <x:c r="D2590" t="str">
        <x:v>release state mirrors governing ledger</x:v>
      </x:c>
      <x:c r="E2590" t="str">
        <x:f>'Release Gates'!I2550</x:f>
        <x:v>OPEN</x:v>
      </x:c>
      <x:c r="F2590" t="str">
        <x:f>IF('Release Gates'!C2550="PLANNING","PASS",IF('Release Gates'!C2550="PHYSICAL","OPEN","BLOCKED"))</x:f>
        <x:v>OPEN</x:v>
      </x:c>
      <x:c r="G2590" t="str">
        <x:v>equals</x:v>
      </x:c>
      <x:c r="H2590" t="str">
        <x:f>IF(E2590=F2590,"PASS","FAIL")</x:f>
        <x:v>PASS</x:v>
      </x:c>
    </x:row>
    <x:row r="2591">
      <x:c r="B2591" t="str">
        <x:v>A-02545</x:v>
      </x:c>
      <x:c r="C2591" t="str">
        <x:v>GATE</x:v>
      </x:c>
      <x:c r="D2591" t="str">
        <x:v>release state mirrors governing ledger</x:v>
      </x:c>
      <x:c r="E2591" t="str">
        <x:f>'Release Gates'!I2551</x:f>
        <x:v>OPEN</x:v>
      </x:c>
      <x:c r="F2591" t="str">
        <x:f>IF('Release Gates'!C2551="PLANNING","PASS",IF('Release Gates'!C2551="PHYSICAL","OPEN","BLOCKED"))</x:f>
        <x:v>OPEN</x:v>
      </x:c>
      <x:c r="G2591" t="str">
        <x:v>equals</x:v>
      </x:c>
      <x:c r="H2591" t="str">
        <x:f>IF(E2591=F2591,"PASS","FAIL")</x:f>
        <x:v>PASS</x:v>
      </x:c>
    </x:row>
    <x:row r="2592">
      <x:c r="B2592" t="str">
        <x:v>A-02546</x:v>
      </x:c>
      <x:c r="C2592" t="str">
        <x:v>GATE</x:v>
      </x:c>
      <x:c r="D2592" t="str">
        <x:v>release state mirrors governing ledger</x:v>
      </x:c>
      <x:c r="E2592" t="str">
        <x:f>'Release Gates'!I2552</x:f>
        <x:v>OPEN</x:v>
      </x:c>
      <x:c r="F2592" t="str">
        <x:f>IF('Release Gates'!C2552="PLANNING","PASS",IF('Release Gates'!C2552="PHYSICAL","OPEN","BLOCKED"))</x:f>
        <x:v>OPEN</x:v>
      </x:c>
      <x:c r="G2592" t="str">
        <x:v>equals</x:v>
      </x:c>
      <x:c r="H2592" t="str">
        <x:f>IF(E2592=F2592,"PASS","FAIL")</x:f>
        <x:v>PASS</x:v>
      </x:c>
    </x:row>
    <x:row r="2593">
      <x:c r="B2593" t="str">
        <x:v>A-02547</x:v>
      </x:c>
      <x:c r="C2593" t="str">
        <x:v>GATE</x:v>
      </x:c>
      <x:c r="D2593" t="str">
        <x:v>release state mirrors governing ledger</x:v>
      </x:c>
      <x:c r="E2593" t="str">
        <x:f>'Release Gates'!I2553</x:f>
        <x:v>OPEN</x:v>
      </x:c>
      <x:c r="F2593" t="str">
        <x:f>IF('Release Gates'!C2553="PLANNING","PASS",IF('Release Gates'!C2553="PHYSICAL","OPEN","BLOCKED"))</x:f>
        <x:v>OPEN</x:v>
      </x:c>
      <x:c r="G2593" t="str">
        <x:v>equals</x:v>
      </x:c>
      <x:c r="H2593" t="str">
        <x:f>IF(E2593=F2593,"PASS","FAIL")</x:f>
        <x:v>PASS</x:v>
      </x:c>
    </x:row>
    <x:row r="2594">
      <x:c r="B2594" t="str">
        <x:v>A-02548</x:v>
      </x:c>
      <x:c r="C2594" t="str">
        <x:v>GATE</x:v>
      </x:c>
      <x:c r="D2594" t="str">
        <x:v>release state mirrors governing ledger</x:v>
      </x:c>
      <x:c r="E2594" t="str">
        <x:f>'Release Gates'!I2554</x:f>
        <x:v>OPEN</x:v>
      </x:c>
      <x:c r="F2594" t="str">
        <x:f>IF('Release Gates'!C2554="PLANNING","PASS",IF('Release Gates'!C2554="PHYSICAL","OPEN","BLOCKED"))</x:f>
        <x:v>OPEN</x:v>
      </x:c>
      <x:c r="G2594" t="str">
        <x:v>equals</x:v>
      </x:c>
      <x:c r="H2594" t="str">
        <x:f>IF(E2594=F2594,"PASS","FAIL")</x:f>
        <x:v>PASS</x:v>
      </x:c>
    </x:row>
    <x:row r="2595">
      <x:c r="B2595" t="str">
        <x:v>A-02549</x:v>
      </x:c>
      <x:c r="C2595" t="str">
        <x:v>GATE</x:v>
      </x:c>
      <x:c r="D2595" t="str">
        <x:v>release state mirrors governing ledger</x:v>
      </x:c>
      <x:c r="E2595" t="str">
        <x:f>'Release Gates'!I2555</x:f>
        <x:v>OPEN</x:v>
      </x:c>
      <x:c r="F2595" t="str">
        <x:f>IF('Release Gates'!C2555="PLANNING","PASS",IF('Release Gates'!C2555="PHYSICAL","OPEN","BLOCKED"))</x:f>
        <x:v>OPEN</x:v>
      </x:c>
      <x:c r="G2595" t="str">
        <x:v>equals</x:v>
      </x:c>
      <x:c r="H2595" t="str">
        <x:f>IF(E2595=F2595,"PASS","FAIL")</x:f>
        <x:v>PASS</x:v>
      </x:c>
    </x:row>
    <x:row r="2596">
      <x:c r="B2596" t="str">
        <x:v>A-02550</x:v>
      </x:c>
      <x:c r="C2596" t="str">
        <x:v>GATE</x:v>
      </x:c>
      <x:c r="D2596" t="str">
        <x:v>release state mirrors governing ledger</x:v>
      </x:c>
      <x:c r="E2596" t="str">
        <x:f>'Release Gates'!I2556</x:f>
        <x:v>OPEN</x:v>
      </x:c>
      <x:c r="F2596" t="str">
        <x:f>IF('Release Gates'!C2556="PLANNING","PASS",IF('Release Gates'!C2556="PHYSICAL","OPEN","BLOCKED"))</x:f>
        <x:v>OPEN</x:v>
      </x:c>
      <x:c r="G2596" t="str">
        <x:v>equals</x:v>
      </x:c>
      <x:c r="H2596" t="str">
        <x:f>IF(E2596=F2596,"PASS","FAIL")</x:f>
        <x:v>PASS</x:v>
      </x:c>
    </x:row>
    <x:row r="2597">
      <x:c r="B2597" t="str">
        <x:v>A-02551</x:v>
      </x:c>
      <x:c r="C2597" t="str">
        <x:v>GATE</x:v>
      </x:c>
      <x:c r="D2597" t="str">
        <x:v>release state mirrors governing ledger</x:v>
      </x:c>
      <x:c r="E2597" t="str">
        <x:f>'Release Gates'!I2557</x:f>
        <x:v>OPEN</x:v>
      </x:c>
      <x:c r="F2597" t="str">
        <x:f>IF('Release Gates'!C2557="PLANNING","PASS",IF('Release Gates'!C2557="PHYSICAL","OPEN","BLOCKED"))</x:f>
        <x:v>OPEN</x:v>
      </x:c>
      <x:c r="G2597" t="str">
        <x:v>equals</x:v>
      </x:c>
      <x:c r="H2597" t="str">
        <x:f>IF(E2597=F2597,"PASS","FAIL")</x:f>
        <x:v>PASS</x:v>
      </x:c>
    </x:row>
    <x:row r="2598">
      <x:c r="B2598" t="str">
        <x:v>A-02552</x:v>
      </x:c>
      <x:c r="C2598" t="str">
        <x:v>GATE</x:v>
      </x:c>
      <x:c r="D2598" t="str">
        <x:v>release state mirrors governing ledger</x:v>
      </x:c>
      <x:c r="E2598" t="str">
        <x:f>'Release Gates'!I2558</x:f>
        <x:v>OPEN</x:v>
      </x:c>
      <x:c r="F2598" t="str">
        <x:f>IF('Release Gates'!C2558="PLANNING","PASS",IF('Release Gates'!C2558="PHYSICAL","OPEN","BLOCKED"))</x:f>
        <x:v>OPEN</x:v>
      </x:c>
      <x:c r="G2598" t="str">
        <x:v>equals</x:v>
      </x:c>
      <x:c r="H2598" t="str">
        <x:f>IF(E2598=F2598,"PASS","FAIL")</x:f>
        <x:v>PASS</x:v>
      </x:c>
    </x:row>
    <x:row r="2599">
      <x:c r="B2599" t="str">
        <x:v>A-02553</x:v>
      </x:c>
      <x:c r="C2599" t="str">
        <x:v>GATE</x:v>
      </x:c>
      <x:c r="D2599" t="str">
        <x:v>release state mirrors governing ledger</x:v>
      </x:c>
      <x:c r="E2599" t="str">
        <x:f>'Release Gates'!I2559</x:f>
        <x:v>OPEN</x:v>
      </x:c>
      <x:c r="F2599" t="str">
        <x:f>IF('Release Gates'!C2559="PLANNING","PASS",IF('Release Gates'!C2559="PHYSICAL","OPEN","BLOCKED"))</x:f>
        <x:v>OPEN</x:v>
      </x:c>
      <x:c r="G2599" t="str">
        <x:v>equals</x:v>
      </x:c>
      <x:c r="H2599" t="str">
        <x:f>IF(E2599=F2599,"PASS","FAIL")</x:f>
        <x:v>PASS</x:v>
      </x:c>
    </x:row>
    <x:row r="2600">
      <x:c r="B2600" t="str">
        <x:v>A-02554</x:v>
      </x:c>
      <x:c r="C2600" t="str">
        <x:v>GATE</x:v>
      </x:c>
      <x:c r="D2600" t="str">
        <x:v>release state mirrors governing ledger</x:v>
      </x:c>
      <x:c r="E2600" t="str">
        <x:f>'Release Gates'!I2560</x:f>
        <x:v>OPEN</x:v>
      </x:c>
      <x:c r="F2600" t="str">
        <x:f>IF('Release Gates'!C2560="PLANNING","PASS",IF('Release Gates'!C2560="PHYSICAL","OPEN","BLOCKED"))</x:f>
        <x:v>OPEN</x:v>
      </x:c>
      <x:c r="G2600" t="str">
        <x:v>equals</x:v>
      </x:c>
      <x:c r="H2600" t="str">
        <x:f>IF(E2600=F2600,"PASS","FAIL")</x:f>
        <x:v>PASS</x:v>
      </x:c>
    </x:row>
    <x:row r="2601">
      <x:c r="B2601" t="str">
        <x:v>A-02555</x:v>
      </x:c>
      <x:c r="C2601" t="str">
        <x:v>GATE</x:v>
      </x:c>
      <x:c r="D2601" t="str">
        <x:v>release state mirrors governing ledger</x:v>
      </x:c>
      <x:c r="E2601" t="str">
        <x:f>'Release Gates'!I2561</x:f>
        <x:v>OPEN</x:v>
      </x:c>
      <x:c r="F2601" t="str">
        <x:f>IF('Release Gates'!C2561="PLANNING","PASS",IF('Release Gates'!C2561="PHYSICAL","OPEN","BLOCKED"))</x:f>
        <x:v>OPEN</x:v>
      </x:c>
      <x:c r="G2601" t="str">
        <x:v>equals</x:v>
      </x:c>
      <x:c r="H2601" t="str">
        <x:f>IF(E2601=F2601,"PASS","FAIL")</x:f>
        <x:v>PASS</x:v>
      </x:c>
    </x:row>
    <x:row r="2602">
      <x:c r="B2602" t="str">
        <x:v>A-02556</x:v>
      </x:c>
      <x:c r="C2602" t="str">
        <x:v>GATE</x:v>
      </x:c>
      <x:c r="D2602" t="str">
        <x:v>release state mirrors governing ledger</x:v>
      </x:c>
      <x:c r="E2602" t="str">
        <x:f>'Release Gates'!I2562</x:f>
        <x:v>OPEN</x:v>
      </x:c>
      <x:c r="F2602" t="str">
        <x:f>IF('Release Gates'!C2562="PLANNING","PASS",IF('Release Gates'!C2562="PHYSICAL","OPEN","BLOCKED"))</x:f>
        <x:v>OPEN</x:v>
      </x:c>
      <x:c r="G2602" t="str">
        <x:v>equals</x:v>
      </x:c>
      <x:c r="H2602" t="str">
        <x:f>IF(E2602=F2602,"PASS","FAIL")</x:f>
        <x:v>PASS</x:v>
      </x:c>
    </x:row>
    <x:row r="2603">
      <x:c r="B2603" t="str">
        <x:v>A-02557</x:v>
      </x:c>
      <x:c r="C2603" t="str">
        <x:v>GATE</x:v>
      </x:c>
      <x:c r="D2603" t="str">
        <x:v>release state mirrors governing ledger</x:v>
      </x:c>
      <x:c r="E2603" t="str">
        <x:f>'Release Gates'!I2563</x:f>
        <x:v>OPEN</x:v>
      </x:c>
      <x:c r="F2603" t="str">
        <x:f>IF('Release Gates'!C2563="PLANNING","PASS",IF('Release Gates'!C2563="PHYSICAL","OPEN","BLOCKED"))</x:f>
        <x:v>OPEN</x:v>
      </x:c>
      <x:c r="G2603" t="str">
        <x:v>equals</x:v>
      </x:c>
      <x:c r="H2603" t="str">
        <x:f>IF(E2603=F2603,"PASS","FAIL")</x:f>
        <x:v>PASS</x:v>
      </x:c>
    </x:row>
    <x:row r="2604">
      <x:c r="B2604" t="str">
        <x:v>A-02558</x:v>
      </x:c>
      <x:c r="C2604" t="str">
        <x:v>GATE</x:v>
      </x:c>
      <x:c r="D2604" t="str">
        <x:v>release state mirrors governing ledger</x:v>
      </x:c>
      <x:c r="E2604" t="str">
        <x:f>'Release Gates'!I2564</x:f>
        <x:v>OPEN</x:v>
      </x:c>
      <x:c r="F2604" t="str">
        <x:f>IF('Release Gates'!C2564="PLANNING","PASS",IF('Release Gates'!C2564="PHYSICAL","OPEN","BLOCKED"))</x:f>
        <x:v>OPEN</x:v>
      </x:c>
      <x:c r="G2604" t="str">
        <x:v>equals</x:v>
      </x:c>
      <x:c r="H2604" t="str">
        <x:f>IF(E2604=F2604,"PASS","FAIL")</x:f>
        <x:v>PASS</x:v>
      </x:c>
    </x:row>
    <x:row r="2605">
      <x:c r="B2605" t="str">
        <x:v>A-02559</x:v>
      </x:c>
      <x:c r="C2605" t="str">
        <x:v>GATE</x:v>
      </x:c>
      <x:c r="D2605" t="str">
        <x:v>release state mirrors governing ledger</x:v>
      </x:c>
      <x:c r="E2605" t="str">
        <x:f>'Release Gates'!I2565</x:f>
        <x:v>OPEN</x:v>
      </x:c>
      <x:c r="F2605" t="str">
        <x:f>IF('Release Gates'!C2565="PLANNING","PASS",IF('Release Gates'!C2565="PHYSICAL","OPEN","BLOCKED"))</x:f>
        <x:v>OPEN</x:v>
      </x:c>
      <x:c r="G2605" t="str">
        <x:v>equals</x:v>
      </x:c>
      <x:c r="H2605" t="str">
        <x:f>IF(E2605=F2605,"PASS","FAIL")</x:f>
        <x:v>PASS</x:v>
      </x:c>
    </x:row>
    <x:row r="2606">
      <x:c r="B2606" t="str">
        <x:v>A-02560</x:v>
      </x:c>
      <x:c r="C2606" t="str">
        <x:v>GATE</x:v>
      </x:c>
      <x:c r="D2606" t="str">
        <x:v>release state mirrors governing ledger</x:v>
      </x:c>
      <x:c r="E2606" t="str">
        <x:f>'Release Gates'!I2566</x:f>
        <x:v>OPEN</x:v>
      </x:c>
      <x:c r="F2606" t="str">
        <x:f>IF('Release Gates'!C2566="PLANNING","PASS",IF('Release Gates'!C2566="PHYSICAL","OPEN","BLOCKED"))</x:f>
        <x:v>OPEN</x:v>
      </x:c>
      <x:c r="G2606" t="str">
        <x:v>equals</x:v>
      </x:c>
      <x:c r="H2606" t="str">
        <x:f>IF(E2606=F2606,"PASS","FAIL")</x:f>
        <x:v>PASS</x:v>
      </x:c>
    </x:row>
    <x:row r="2607">
      <x:c r="B2607" t="str">
        <x:v>A-02561</x:v>
      </x:c>
      <x:c r="C2607" t="str">
        <x:v>GATE</x:v>
      </x:c>
      <x:c r="D2607" t="str">
        <x:v>release state mirrors governing ledger</x:v>
      </x:c>
      <x:c r="E2607" t="str">
        <x:f>'Release Gates'!I2567</x:f>
        <x:v>OPEN</x:v>
      </x:c>
      <x:c r="F2607" t="str">
        <x:f>IF('Release Gates'!C2567="PLANNING","PASS",IF('Release Gates'!C2567="PHYSICAL","OPEN","BLOCKED"))</x:f>
        <x:v>OPEN</x:v>
      </x:c>
      <x:c r="G2607" t="str">
        <x:v>equals</x:v>
      </x:c>
      <x:c r="H2607" t="str">
        <x:f>IF(E2607=F2607,"PASS","FAIL")</x:f>
        <x:v>PASS</x:v>
      </x:c>
    </x:row>
    <x:row r="2608">
      <x:c r="B2608" t="str">
        <x:v>A-02562</x:v>
      </x:c>
      <x:c r="C2608" t="str">
        <x:v>GATE</x:v>
      </x:c>
      <x:c r="D2608" t="str">
        <x:v>release state mirrors governing ledger</x:v>
      </x:c>
      <x:c r="E2608" t="str">
        <x:f>'Release Gates'!I2568</x:f>
        <x:v>OPEN</x:v>
      </x:c>
      <x:c r="F2608" t="str">
        <x:f>IF('Release Gates'!C2568="PLANNING","PASS",IF('Release Gates'!C2568="PHYSICAL","OPEN","BLOCKED"))</x:f>
        <x:v>OPEN</x:v>
      </x:c>
      <x:c r="G2608" t="str">
        <x:v>equals</x:v>
      </x:c>
      <x:c r="H2608" t="str">
        <x:f>IF(E2608=F2608,"PASS","FAIL")</x:f>
        <x:v>PASS</x:v>
      </x:c>
    </x:row>
    <x:row r="2609">
      <x:c r="B2609" t="str">
        <x:v>A-02563</x:v>
      </x:c>
      <x:c r="C2609" t="str">
        <x:v>GATE</x:v>
      </x:c>
      <x:c r="D2609" t="str">
        <x:v>release state mirrors governing ledger</x:v>
      </x:c>
      <x:c r="E2609" t="str">
        <x:f>'Release Gates'!I2569</x:f>
        <x:v>OPEN</x:v>
      </x:c>
      <x:c r="F2609" t="str">
        <x:f>IF('Release Gates'!C2569="PLANNING","PASS",IF('Release Gates'!C2569="PHYSICAL","OPEN","BLOCKED"))</x:f>
        <x:v>OPEN</x:v>
      </x:c>
      <x:c r="G2609" t="str">
        <x:v>equals</x:v>
      </x:c>
      <x:c r="H2609" t="str">
        <x:f>IF(E2609=F2609,"PASS","FAIL")</x:f>
        <x:v>PASS</x:v>
      </x:c>
    </x:row>
    <x:row r="2610">
      <x:c r="B2610" t="str">
        <x:v>A-02564</x:v>
      </x:c>
      <x:c r="C2610" t="str">
        <x:v>GATE</x:v>
      </x:c>
      <x:c r="D2610" t="str">
        <x:v>release state mirrors governing ledger</x:v>
      </x:c>
      <x:c r="E2610" t="str">
        <x:f>'Release Gates'!I2570</x:f>
        <x:v>OPEN</x:v>
      </x:c>
      <x:c r="F2610" t="str">
        <x:f>IF('Release Gates'!C2570="PLANNING","PASS",IF('Release Gates'!C2570="PHYSICAL","OPEN","BLOCKED"))</x:f>
        <x:v>OPEN</x:v>
      </x:c>
      <x:c r="G2610" t="str">
        <x:v>equals</x:v>
      </x:c>
      <x:c r="H2610" t="str">
        <x:f>IF(E2610=F2610,"PASS","FAIL")</x:f>
        <x:v>PASS</x:v>
      </x:c>
    </x:row>
    <x:row r="2611">
      <x:c r="B2611" t="str">
        <x:v>A-02565</x:v>
      </x:c>
      <x:c r="C2611" t="str">
        <x:v>GATE</x:v>
      </x:c>
      <x:c r="D2611" t="str">
        <x:v>release state mirrors governing ledger</x:v>
      </x:c>
      <x:c r="E2611" t="str">
        <x:f>'Release Gates'!I2571</x:f>
        <x:v>OPEN</x:v>
      </x:c>
      <x:c r="F2611" t="str">
        <x:f>IF('Release Gates'!C2571="PLANNING","PASS",IF('Release Gates'!C2571="PHYSICAL","OPEN","BLOCKED"))</x:f>
        <x:v>OPEN</x:v>
      </x:c>
      <x:c r="G2611" t="str">
        <x:v>equals</x:v>
      </x:c>
      <x:c r="H2611" t="str">
        <x:f>IF(E2611=F2611,"PASS","FAIL")</x:f>
        <x:v>PASS</x:v>
      </x:c>
    </x:row>
    <x:row r="2612">
      <x:c r="B2612" t="str">
        <x:v>A-02566</x:v>
      </x:c>
      <x:c r="C2612" t="str">
        <x:v>GATE</x:v>
      </x:c>
      <x:c r="D2612" t="str">
        <x:v>release state mirrors governing ledger</x:v>
      </x:c>
      <x:c r="E2612" t="str">
        <x:f>'Release Gates'!I2572</x:f>
        <x:v>OPEN</x:v>
      </x:c>
      <x:c r="F2612" t="str">
        <x:f>IF('Release Gates'!C2572="PLANNING","PASS",IF('Release Gates'!C2572="PHYSICAL","OPEN","BLOCKED"))</x:f>
        <x:v>OPEN</x:v>
      </x:c>
      <x:c r="G2612" t="str">
        <x:v>equals</x:v>
      </x:c>
      <x:c r="H2612" t="str">
        <x:f>IF(E2612=F2612,"PASS","FAIL")</x:f>
        <x:v>PASS</x:v>
      </x:c>
    </x:row>
    <x:row r="2613">
      <x:c r="B2613" t="str">
        <x:v>A-02567</x:v>
      </x:c>
      <x:c r="C2613" t="str">
        <x:v>GATE</x:v>
      </x:c>
      <x:c r="D2613" t="str">
        <x:v>release state mirrors governing ledger</x:v>
      </x:c>
      <x:c r="E2613" t="str">
        <x:f>'Release Gates'!I2573</x:f>
        <x:v>OPEN</x:v>
      </x:c>
      <x:c r="F2613" t="str">
        <x:f>IF('Release Gates'!C2573="PLANNING","PASS",IF('Release Gates'!C2573="PHYSICAL","OPEN","BLOCKED"))</x:f>
        <x:v>OPEN</x:v>
      </x:c>
      <x:c r="G2613" t="str">
        <x:v>equals</x:v>
      </x:c>
      <x:c r="H2613" t="str">
        <x:f>IF(E2613=F2613,"PASS","FAIL")</x:f>
        <x:v>PASS</x:v>
      </x:c>
    </x:row>
    <x:row r="2614">
      <x:c r="B2614" t="str">
        <x:v>A-02568</x:v>
      </x:c>
      <x:c r="C2614" t="str">
        <x:v>GATE</x:v>
      </x:c>
      <x:c r="D2614" t="str">
        <x:v>release state mirrors governing ledger</x:v>
      </x:c>
      <x:c r="E2614" t="str">
        <x:f>'Release Gates'!I2574</x:f>
        <x:v>OPEN</x:v>
      </x:c>
      <x:c r="F2614" t="str">
        <x:f>IF('Release Gates'!C2574="PLANNING","PASS",IF('Release Gates'!C2574="PHYSICAL","OPEN","BLOCKED"))</x:f>
        <x:v>OPEN</x:v>
      </x:c>
      <x:c r="G2614" t="str">
        <x:v>equals</x:v>
      </x:c>
      <x:c r="H2614" t="str">
        <x:f>IF(E2614=F2614,"PASS","FAIL")</x:f>
        <x:v>PASS</x:v>
      </x:c>
    </x:row>
    <x:row r="2615">
      <x:c r="B2615" t="str">
        <x:v>A-02569</x:v>
      </x:c>
      <x:c r="C2615" t="str">
        <x:v>GATE</x:v>
      </x:c>
      <x:c r="D2615" t="str">
        <x:v>release state mirrors governing ledger</x:v>
      </x:c>
      <x:c r="E2615" t="str">
        <x:f>'Release Gates'!I2575</x:f>
        <x:v>OPEN</x:v>
      </x:c>
      <x:c r="F2615" t="str">
        <x:f>IF('Release Gates'!C2575="PLANNING","PASS",IF('Release Gates'!C2575="PHYSICAL","OPEN","BLOCKED"))</x:f>
        <x:v>OPEN</x:v>
      </x:c>
      <x:c r="G2615" t="str">
        <x:v>equals</x:v>
      </x:c>
      <x:c r="H2615" t="str">
        <x:f>IF(E2615=F2615,"PASS","FAIL")</x:f>
        <x:v>PASS</x:v>
      </x:c>
    </x:row>
    <x:row r="2616">
      <x:c r="B2616" t="str">
        <x:v>A-02570</x:v>
      </x:c>
      <x:c r="C2616" t="str">
        <x:v>GATE</x:v>
      </x:c>
      <x:c r="D2616" t="str">
        <x:v>release state mirrors governing ledger</x:v>
      </x:c>
      <x:c r="E2616" t="str">
        <x:f>'Release Gates'!I2576</x:f>
        <x:v>OPEN</x:v>
      </x:c>
      <x:c r="F2616" t="str">
        <x:f>IF('Release Gates'!C2576="PLANNING","PASS",IF('Release Gates'!C2576="PHYSICAL","OPEN","BLOCKED"))</x:f>
        <x:v>OPEN</x:v>
      </x:c>
      <x:c r="G2616" t="str">
        <x:v>equals</x:v>
      </x:c>
      <x:c r="H2616" t="str">
        <x:f>IF(E2616=F2616,"PASS","FAIL")</x:f>
        <x:v>PASS</x:v>
      </x:c>
    </x:row>
    <x:row r="2617">
      <x:c r="B2617" t="str">
        <x:v>A-02571</x:v>
      </x:c>
      <x:c r="C2617" t="str">
        <x:v>GATE</x:v>
      </x:c>
      <x:c r="D2617" t="str">
        <x:v>release state mirrors governing ledger</x:v>
      </x:c>
      <x:c r="E2617" t="str">
        <x:f>'Release Gates'!I2577</x:f>
        <x:v>OPEN</x:v>
      </x:c>
      <x:c r="F2617" t="str">
        <x:f>IF('Release Gates'!C2577="PLANNING","PASS",IF('Release Gates'!C2577="PHYSICAL","OPEN","BLOCKED"))</x:f>
        <x:v>OPEN</x:v>
      </x:c>
      <x:c r="G2617" t="str">
        <x:v>equals</x:v>
      </x:c>
      <x:c r="H2617" t="str">
        <x:f>IF(E2617=F2617,"PASS","FAIL")</x:f>
        <x:v>PASS</x:v>
      </x:c>
    </x:row>
    <x:row r="2618">
      <x:c r="B2618" t="str">
        <x:v>A-02572</x:v>
      </x:c>
      <x:c r="C2618" t="str">
        <x:v>GATE</x:v>
      </x:c>
      <x:c r="D2618" t="str">
        <x:v>release state mirrors governing ledger</x:v>
      </x:c>
      <x:c r="E2618" t="str">
        <x:f>'Release Gates'!I2578</x:f>
        <x:v>OPEN</x:v>
      </x:c>
      <x:c r="F2618" t="str">
        <x:f>IF('Release Gates'!C2578="PLANNING","PASS",IF('Release Gates'!C2578="PHYSICAL","OPEN","BLOCKED"))</x:f>
        <x:v>OPEN</x:v>
      </x:c>
      <x:c r="G2618" t="str">
        <x:v>equals</x:v>
      </x:c>
      <x:c r="H2618" t="str">
        <x:f>IF(E2618=F2618,"PASS","FAIL")</x:f>
        <x:v>PASS</x:v>
      </x:c>
    </x:row>
    <x:row r="2619">
      <x:c r="B2619" t="str">
        <x:v>A-02573</x:v>
      </x:c>
      <x:c r="C2619" t="str">
        <x:v>GATE</x:v>
      </x:c>
      <x:c r="D2619" t="str">
        <x:v>release state mirrors governing ledger</x:v>
      </x:c>
      <x:c r="E2619" t="str">
        <x:f>'Release Gates'!I2579</x:f>
        <x:v>OPEN</x:v>
      </x:c>
      <x:c r="F2619" t="str">
        <x:f>IF('Release Gates'!C2579="PLANNING","PASS",IF('Release Gates'!C2579="PHYSICAL","OPEN","BLOCKED"))</x:f>
        <x:v>OPEN</x:v>
      </x:c>
      <x:c r="G2619" t="str">
        <x:v>equals</x:v>
      </x:c>
      <x:c r="H2619" t="str">
        <x:f>IF(E2619=F2619,"PASS","FAIL")</x:f>
        <x:v>PASS</x:v>
      </x:c>
    </x:row>
    <x:row r="2620">
      <x:c r="B2620" t="str">
        <x:v>A-02574</x:v>
      </x:c>
      <x:c r="C2620" t="str">
        <x:v>GATE</x:v>
      </x:c>
      <x:c r="D2620" t="str">
        <x:v>release state mirrors governing ledger</x:v>
      </x:c>
      <x:c r="E2620" t="str">
        <x:f>'Release Gates'!I2580</x:f>
        <x:v>OPEN</x:v>
      </x:c>
      <x:c r="F2620" t="str">
        <x:f>IF('Release Gates'!C2580="PLANNING","PASS",IF('Release Gates'!C2580="PHYSICAL","OPEN","BLOCKED"))</x:f>
        <x:v>OPEN</x:v>
      </x:c>
      <x:c r="G2620" t="str">
        <x:v>equals</x:v>
      </x:c>
      <x:c r="H2620" t="str">
        <x:f>IF(E2620=F2620,"PASS","FAIL")</x:f>
        <x:v>PASS</x:v>
      </x:c>
    </x:row>
    <x:row r="2621">
      <x:c r="B2621" t="str">
        <x:v>A-02575</x:v>
      </x:c>
      <x:c r="C2621" t="str">
        <x:v>GATE</x:v>
      </x:c>
      <x:c r="D2621" t="str">
        <x:v>release state mirrors governing ledger</x:v>
      </x:c>
      <x:c r="E2621" t="str">
        <x:f>'Release Gates'!I2581</x:f>
        <x:v>OPEN</x:v>
      </x:c>
      <x:c r="F2621" t="str">
        <x:f>IF('Release Gates'!C2581="PLANNING","PASS",IF('Release Gates'!C2581="PHYSICAL","OPEN","BLOCKED"))</x:f>
        <x:v>OPEN</x:v>
      </x:c>
      <x:c r="G2621" t="str">
        <x:v>equals</x:v>
      </x:c>
      <x:c r="H2621" t="str">
        <x:f>IF(E2621=F2621,"PASS","FAIL")</x:f>
        <x:v>PASS</x:v>
      </x:c>
    </x:row>
    <x:row r="2622">
      <x:c r="B2622" t="str">
        <x:v>A-02576</x:v>
      </x:c>
      <x:c r="C2622" t="str">
        <x:v>GATE</x:v>
      </x:c>
      <x:c r="D2622" t="str">
        <x:v>release state mirrors governing ledger</x:v>
      </x:c>
      <x:c r="E2622" t="str">
        <x:f>'Release Gates'!I2582</x:f>
        <x:v>OPEN</x:v>
      </x:c>
      <x:c r="F2622" t="str">
        <x:f>IF('Release Gates'!C2582="PLANNING","PASS",IF('Release Gates'!C2582="PHYSICAL","OPEN","BLOCKED"))</x:f>
        <x:v>OPEN</x:v>
      </x:c>
      <x:c r="G2622" t="str">
        <x:v>equals</x:v>
      </x:c>
      <x:c r="H2622" t="str">
        <x:f>IF(E2622=F2622,"PASS","FAIL")</x:f>
        <x:v>PASS</x:v>
      </x:c>
    </x:row>
    <x:row r="2623">
      <x:c r="B2623" t="str">
        <x:v>A-02577</x:v>
      </x:c>
      <x:c r="C2623" t="str">
        <x:v>GATE</x:v>
      </x:c>
      <x:c r="D2623" t="str">
        <x:v>release state mirrors governing ledger</x:v>
      </x:c>
      <x:c r="E2623" t="str">
        <x:f>'Release Gates'!I2583</x:f>
        <x:v>OPEN</x:v>
      </x:c>
      <x:c r="F2623" t="str">
        <x:f>IF('Release Gates'!C2583="PLANNING","PASS",IF('Release Gates'!C2583="PHYSICAL","OPEN","BLOCKED"))</x:f>
        <x:v>OPEN</x:v>
      </x:c>
      <x:c r="G2623" t="str">
        <x:v>equals</x:v>
      </x:c>
      <x:c r="H2623" t="str">
        <x:f>IF(E2623=F2623,"PASS","FAIL")</x:f>
        <x:v>PASS</x:v>
      </x:c>
    </x:row>
    <x:row r="2624">
      <x:c r="B2624" t="str">
        <x:v>A-02578</x:v>
      </x:c>
      <x:c r="C2624" t="str">
        <x:v>GATE</x:v>
      </x:c>
      <x:c r="D2624" t="str">
        <x:v>release state mirrors governing ledger</x:v>
      </x:c>
      <x:c r="E2624" t="str">
        <x:f>'Release Gates'!I2584</x:f>
        <x:v>OPEN</x:v>
      </x:c>
      <x:c r="F2624" t="str">
        <x:f>IF('Release Gates'!C2584="PLANNING","PASS",IF('Release Gates'!C2584="PHYSICAL","OPEN","BLOCKED"))</x:f>
        <x:v>OPEN</x:v>
      </x:c>
      <x:c r="G2624" t="str">
        <x:v>equals</x:v>
      </x:c>
      <x:c r="H2624" t="str">
        <x:f>IF(E2624=F2624,"PASS","FAIL")</x:f>
        <x:v>PASS</x:v>
      </x:c>
    </x:row>
    <x:row r="2625">
      <x:c r="B2625" t="str">
        <x:v>A-02579</x:v>
      </x:c>
      <x:c r="C2625" t="str">
        <x:v>GATE</x:v>
      </x:c>
      <x:c r="D2625" t="str">
        <x:v>release state mirrors governing ledger</x:v>
      </x:c>
      <x:c r="E2625" t="str">
        <x:f>'Release Gates'!I2585</x:f>
        <x:v>OPEN</x:v>
      </x:c>
      <x:c r="F2625" t="str">
        <x:f>IF('Release Gates'!C2585="PLANNING","PASS",IF('Release Gates'!C2585="PHYSICAL","OPEN","BLOCKED"))</x:f>
        <x:v>OPEN</x:v>
      </x:c>
      <x:c r="G2625" t="str">
        <x:v>equals</x:v>
      </x:c>
      <x:c r="H2625" t="str">
        <x:f>IF(E2625=F2625,"PASS","FAIL")</x:f>
        <x:v>PASS</x:v>
      </x:c>
    </x:row>
    <x:row r="2626">
      <x:c r="B2626" t="str">
        <x:v>A-02580</x:v>
      </x:c>
      <x:c r="C2626" t="str">
        <x:v>GATE</x:v>
      </x:c>
      <x:c r="D2626" t="str">
        <x:v>release state mirrors governing ledger</x:v>
      </x:c>
      <x:c r="E2626" t="str">
        <x:f>'Release Gates'!I2586</x:f>
        <x:v>OPEN</x:v>
      </x:c>
      <x:c r="F2626" t="str">
        <x:f>IF('Release Gates'!C2586="PLANNING","PASS",IF('Release Gates'!C2586="PHYSICAL","OPEN","BLOCKED"))</x:f>
        <x:v>OPEN</x:v>
      </x:c>
      <x:c r="G2626" t="str">
        <x:v>equals</x:v>
      </x:c>
      <x:c r="H2626" t="str">
        <x:f>IF(E2626=F2626,"PASS","FAIL")</x:f>
        <x:v>PASS</x:v>
      </x:c>
    </x:row>
    <x:row r="2627">
      <x:c r="B2627" t="str">
        <x:v>A-02581</x:v>
      </x:c>
      <x:c r="C2627" t="str">
        <x:v>GATE</x:v>
      </x:c>
      <x:c r="D2627" t="str">
        <x:v>release state mirrors governing ledger</x:v>
      </x:c>
      <x:c r="E2627" t="str">
        <x:f>'Release Gates'!I2587</x:f>
        <x:v>OPEN</x:v>
      </x:c>
      <x:c r="F2627" t="str">
        <x:f>IF('Release Gates'!C2587="PLANNING","PASS",IF('Release Gates'!C2587="PHYSICAL","OPEN","BLOCKED"))</x:f>
        <x:v>OPEN</x:v>
      </x:c>
      <x:c r="G2627" t="str">
        <x:v>equals</x:v>
      </x:c>
      <x:c r="H2627" t="str">
        <x:f>IF(E2627=F2627,"PASS","FAIL")</x:f>
        <x:v>PASS</x:v>
      </x:c>
    </x:row>
    <x:row r="2628">
      <x:c r="B2628" t="str">
        <x:v>A-02582</x:v>
      </x:c>
      <x:c r="C2628" t="str">
        <x:v>GATE</x:v>
      </x:c>
      <x:c r="D2628" t="str">
        <x:v>release state mirrors governing ledger</x:v>
      </x:c>
      <x:c r="E2628" t="str">
        <x:f>'Release Gates'!I2588</x:f>
        <x:v>OPEN</x:v>
      </x:c>
      <x:c r="F2628" t="str">
        <x:f>IF('Release Gates'!C2588="PLANNING","PASS",IF('Release Gates'!C2588="PHYSICAL","OPEN","BLOCKED"))</x:f>
        <x:v>OPEN</x:v>
      </x:c>
      <x:c r="G2628" t="str">
        <x:v>equals</x:v>
      </x:c>
      <x:c r="H2628" t="str">
        <x:f>IF(E2628=F2628,"PASS","FAIL")</x:f>
        <x:v>PASS</x:v>
      </x:c>
    </x:row>
    <x:row r="2629">
      <x:c r="B2629" t="str">
        <x:v>A-02583</x:v>
      </x:c>
      <x:c r="C2629" t="str">
        <x:v>GATE</x:v>
      </x:c>
      <x:c r="D2629" t="str">
        <x:v>release state mirrors governing ledger</x:v>
      </x:c>
      <x:c r="E2629" t="str">
        <x:f>'Release Gates'!I2589</x:f>
        <x:v>OPEN</x:v>
      </x:c>
      <x:c r="F2629" t="str">
        <x:f>IF('Release Gates'!C2589="PLANNING","PASS",IF('Release Gates'!C2589="PHYSICAL","OPEN","BLOCKED"))</x:f>
        <x:v>OPEN</x:v>
      </x:c>
      <x:c r="G2629" t="str">
        <x:v>equals</x:v>
      </x:c>
      <x:c r="H2629" t="str">
        <x:f>IF(E2629=F2629,"PASS","FAIL")</x:f>
        <x:v>PASS</x:v>
      </x:c>
    </x:row>
    <x:row r="2630">
      <x:c r="B2630" t="str">
        <x:v>A-02584</x:v>
      </x:c>
      <x:c r="C2630" t="str">
        <x:v>GATE</x:v>
      </x:c>
      <x:c r="D2630" t="str">
        <x:v>release state mirrors governing ledger</x:v>
      </x:c>
      <x:c r="E2630" t="str">
        <x:f>'Release Gates'!I2590</x:f>
        <x:v>OPEN</x:v>
      </x:c>
      <x:c r="F2630" t="str">
        <x:f>IF('Release Gates'!C2590="PLANNING","PASS",IF('Release Gates'!C2590="PHYSICAL","OPEN","BLOCKED"))</x:f>
        <x:v>OPEN</x:v>
      </x:c>
      <x:c r="G2630" t="str">
        <x:v>equals</x:v>
      </x:c>
      <x:c r="H2630" t="str">
        <x:f>IF(E2630=F2630,"PASS","FAIL")</x:f>
        <x:v>PASS</x:v>
      </x:c>
    </x:row>
    <x:row r="2631">
      <x:c r="B2631" t="str">
        <x:v>A-02585</x:v>
      </x:c>
      <x:c r="C2631" t="str">
        <x:v>GATE</x:v>
      </x:c>
      <x:c r="D2631" t="str">
        <x:v>release state mirrors governing ledger</x:v>
      </x:c>
      <x:c r="E2631" t="str">
        <x:f>'Release Gates'!I2591</x:f>
        <x:v>OPEN</x:v>
      </x:c>
      <x:c r="F2631" t="str">
        <x:f>IF('Release Gates'!C2591="PLANNING","PASS",IF('Release Gates'!C2591="PHYSICAL","OPEN","BLOCKED"))</x:f>
        <x:v>OPEN</x:v>
      </x:c>
      <x:c r="G2631" t="str">
        <x:v>equals</x:v>
      </x:c>
      <x:c r="H2631" t="str">
        <x:f>IF(E2631=F2631,"PASS","FAIL")</x:f>
        <x:v>PASS</x:v>
      </x:c>
    </x:row>
    <x:row r="2632">
      <x:c r="B2632" t="str">
        <x:v>A-02586</x:v>
      </x:c>
      <x:c r="C2632" t="str">
        <x:v>GATE</x:v>
      </x:c>
      <x:c r="D2632" t="str">
        <x:v>release state mirrors governing ledger</x:v>
      </x:c>
      <x:c r="E2632" t="str">
        <x:f>'Release Gates'!I2592</x:f>
        <x:v>OPEN</x:v>
      </x:c>
      <x:c r="F2632" t="str">
        <x:f>IF('Release Gates'!C2592="PLANNING","PASS",IF('Release Gates'!C2592="PHYSICAL","OPEN","BLOCKED"))</x:f>
        <x:v>OPEN</x:v>
      </x:c>
      <x:c r="G2632" t="str">
        <x:v>equals</x:v>
      </x:c>
      <x:c r="H2632" t="str">
        <x:f>IF(E2632=F2632,"PASS","FAIL")</x:f>
        <x:v>PASS</x:v>
      </x:c>
    </x:row>
    <x:row r="2633">
      <x:c r="B2633" t="str">
        <x:v>A-02587</x:v>
      </x:c>
      <x:c r="C2633" t="str">
        <x:v>GATE</x:v>
      </x:c>
      <x:c r="D2633" t="str">
        <x:v>release state mirrors governing ledger</x:v>
      </x:c>
      <x:c r="E2633" t="str">
        <x:f>'Release Gates'!I2593</x:f>
        <x:v>OPEN</x:v>
      </x:c>
      <x:c r="F2633" t="str">
        <x:f>IF('Release Gates'!C2593="PLANNING","PASS",IF('Release Gates'!C2593="PHYSICAL","OPEN","BLOCKED"))</x:f>
        <x:v>OPEN</x:v>
      </x:c>
      <x:c r="G2633" t="str">
        <x:v>equals</x:v>
      </x:c>
      <x:c r="H2633" t="str">
        <x:f>IF(E2633=F2633,"PASS","FAIL")</x:f>
        <x:v>PASS</x:v>
      </x:c>
    </x:row>
    <x:row r="2634">
      <x:c r="B2634" t="str">
        <x:v>A-02588</x:v>
      </x:c>
      <x:c r="C2634" t="str">
        <x:v>GATE</x:v>
      </x:c>
      <x:c r="D2634" t="str">
        <x:v>release state mirrors governing ledger</x:v>
      </x:c>
      <x:c r="E2634" t="str">
        <x:f>'Release Gates'!I2594</x:f>
        <x:v>OPEN</x:v>
      </x:c>
      <x:c r="F2634" t="str">
        <x:f>IF('Release Gates'!C2594="PLANNING","PASS",IF('Release Gates'!C2594="PHYSICAL","OPEN","BLOCKED"))</x:f>
        <x:v>OPEN</x:v>
      </x:c>
      <x:c r="G2634" t="str">
        <x:v>equals</x:v>
      </x:c>
      <x:c r="H2634" t="str">
        <x:f>IF(E2634=F2634,"PASS","FAIL")</x:f>
        <x:v>PASS</x:v>
      </x:c>
    </x:row>
    <x:row r="2635">
      <x:c r="B2635" t="str">
        <x:v>A-02589</x:v>
      </x:c>
      <x:c r="C2635" t="str">
        <x:v>GATE</x:v>
      </x:c>
      <x:c r="D2635" t="str">
        <x:v>release state mirrors governing ledger</x:v>
      </x:c>
      <x:c r="E2635" t="str">
        <x:f>'Release Gates'!I2595</x:f>
        <x:v>OPEN</x:v>
      </x:c>
      <x:c r="F2635" t="str">
        <x:f>IF('Release Gates'!C2595="PLANNING","PASS",IF('Release Gates'!C2595="PHYSICAL","OPEN","BLOCKED"))</x:f>
        <x:v>OPEN</x:v>
      </x:c>
      <x:c r="G2635" t="str">
        <x:v>equals</x:v>
      </x:c>
      <x:c r="H2635" t="str">
        <x:f>IF(E2635=F2635,"PASS","FAIL")</x:f>
        <x:v>PASS</x:v>
      </x:c>
    </x:row>
    <x:row r="2636">
      <x:c r="B2636" t="str">
        <x:v>A-02590</x:v>
      </x:c>
      <x:c r="C2636" t="str">
        <x:v>GATE</x:v>
      </x:c>
      <x:c r="D2636" t="str">
        <x:v>release state mirrors governing ledger</x:v>
      </x:c>
      <x:c r="E2636" t="str">
        <x:f>'Release Gates'!I2596</x:f>
        <x:v>OPEN</x:v>
      </x:c>
      <x:c r="F2636" t="str">
        <x:f>IF('Release Gates'!C2596="PLANNING","PASS",IF('Release Gates'!C2596="PHYSICAL","OPEN","BLOCKED"))</x:f>
        <x:v>OPEN</x:v>
      </x:c>
      <x:c r="G2636" t="str">
        <x:v>equals</x:v>
      </x:c>
      <x:c r="H2636" t="str">
        <x:f>IF(E2636=F2636,"PASS","FAIL")</x:f>
        <x:v>PASS</x:v>
      </x:c>
    </x:row>
    <x:row r="2637">
      <x:c r="B2637" t="str">
        <x:v>A-02591</x:v>
      </x:c>
      <x:c r="C2637" t="str">
        <x:v>GATE</x:v>
      </x:c>
      <x:c r="D2637" t="str">
        <x:v>release state mirrors governing ledger</x:v>
      </x:c>
      <x:c r="E2637" t="str">
        <x:f>'Release Gates'!I2597</x:f>
        <x:v>OPEN</x:v>
      </x:c>
      <x:c r="F2637" t="str">
        <x:f>IF('Release Gates'!C2597="PLANNING","PASS",IF('Release Gates'!C2597="PHYSICAL","OPEN","BLOCKED"))</x:f>
        <x:v>OPEN</x:v>
      </x:c>
      <x:c r="G2637" t="str">
        <x:v>equals</x:v>
      </x:c>
      <x:c r="H2637" t="str">
        <x:f>IF(E2637=F2637,"PASS","FAIL")</x:f>
        <x:v>PASS</x:v>
      </x:c>
    </x:row>
    <x:row r="2638">
      <x:c r="B2638" t="str">
        <x:v>A-02592</x:v>
      </x:c>
      <x:c r="C2638" t="str">
        <x:v>GATE</x:v>
      </x:c>
      <x:c r="D2638" t="str">
        <x:v>release state mirrors governing ledger</x:v>
      </x:c>
      <x:c r="E2638" t="str">
        <x:f>'Release Gates'!I2598</x:f>
        <x:v>OPEN</x:v>
      </x:c>
      <x:c r="F2638" t="str">
        <x:f>IF('Release Gates'!C2598="PLANNING","PASS",IF('Release Gates'!C2598="PHYSICAL","OPEN","BLOCKED"))</x:f>
        <x:v>OPEN</x:v>
      </x:c>
      <x:c r="G2638" t="str">
        <x:v>equals</x:v>
      </x:c>
      <x:c r="H2638" t="str">
        <x:f>IF(E2638=F2638,"PASS","FAIL")</x:f>
        <x:v>PASS</x:v>
      </x:c>
    </x:row>
    <x:row r="2639">
      <x:c r="B2639" t="str">
        <x:v>A-02593</x:v>
      </x:c>
      <x:c r="C2639" t="str">
        <x:v>GATE</x:v>
      </x:c>
      <x:c r="D2639" t="str">
        <x:v>release state mirrors governing ledger</x:v>
      </x:c>
      <x:c r="E2639" t="str">
        <x:f>'Release Gates'!I2599</x:f>
        <x:v>OPEN</x:v>
      </x:c>
      <x:c r="F2639" t="str">
        <x:f>IF('Release Gates'!C2599="PLANNING","PASS",IF('Release Gates'!C2599="PHYSICAL","OPEN","BLOCKED"))</x:f>
        <x:v>OPEN</x:v>
      </x:c>
      <x:c r="G2639" t="str">
        <x:v>equals</x:v>
      </x:c>
      <x:c r="H2639" t="str">
        <x:f>IF(E2639=F2639,"PASS","FAIL")</x:f>
        <x:v>PASS</x:v>
      </x:c>
    </x:row>
    <x:row r="2640">
      <x:c r="B2640" t="str">
        <x:v>A-02594</x:v>
      </x:c>
      <x:c r="C2640" t="str">
        <x:v>GATE</x:v>
      </x:c>
      <x:c r="D2640" t="str">
        <x:v>release state mirrors governing ledger</x:v>
      </x:c>
      <x:c r="E2640" t="str">
        <x:f>'Release Gates'!I2600</x:f>
        <x:v>OPEN</x:v>
      </x:c>
      <x:c r="F2640" t="str">
        <x:f>IF('Release Gates'!C2600="PLANNING","PASS",IF('Release Gates'!C2600="PHYSICAL","OPEN","BLOCKED"))</x:f>
        <x:v>OPEN</x:v>
      </x:c>
      <x:c r="G2640" t="str">
        <x:v>equals</x:v>
      </x:c>
      <x:c r="H2640" t="str">
        <x:f>IF(E2640=F2640,"PASS","FAIL")</x:f>
        <x:v>PASS</x:v>
      </x:c>
    </x:row>
    <x:row r="2641">
      <x:c r="B2641" t="str">
        <x:v>A-02595</x:v>
      </x:c>
      <x:c r="C2641" t="str">
        <x:v>GATE</x:v>
      </x:c>
      <x:c r="D2641" t="str">
        <x:v>release state mirrors governing ledger</x:v>
      </x:c>
      <x:c r="E2641" t="str">
        <x:f>'Release Gates'!I2601</x:f>
        <x:v>OPEN</x:v>
      </x:c>
      <x:c r="F2641" t="str">
        <x:f>IF('Release Gates'!C2601="PLANNING","PASS",IF('Release Gates'!C2601="PHYSICAL","OPEN","BLOCKED"))</x:f>
        <x:v>OPEN</x:v>
      </x:c>
      <x:c r="G2641" t="str">
        <x:v>equals</x:v>
      </x:c>
      <x:c r="H2641" t="str">
        <x:f>IF(E2641=F2641,"PASS","FAIL")</x:f>
        <x:v>PASS</x:v>
      </x:c>
    </x:row>
    <x:row r="2642">
      <x:c r="B2642" t="str">
        <x:v>A-02596</x:v>
      </x:c>
      <x:c r="C2642" t="str">
        <x:v>GATE</x:v>
      </x:c>
      <x:c r="D2642" t="str">
        <x:v>release state mirrors governing ledger</x:v>
      </x:c>
      <x:c r="E2642" t="str">
        <x:f>'Release Gates'!I2602</x:f>
        <x:v>OPEN</x:v>
      </x:c>
      <x:c r="F2642" t="str">
        <x:f>IF('Release Gates'!C2602="PLANNING","PASS",IF('Release Gates'!C2602="PHYSICAL","OPEN","BLOCKED"))</x:f>
        <x:v>OPEN</x:v>
      </x:c>
      <x:c r="G2642" t="str">
        <x:v>equals</x:v>
      </x:c>
      <x:c r="H2642" t="str">
        <x:f>IF(E2642=F2642,"PASS","FAIL")</x:f>
        <x:v>PASS</x:v>
      </x:c>
    </x:row>
    <x:row r="2643">
      <x:c r="B2643" t="str">
        <x:v>A-02597</x:v>
      </x:c>
      <x:c r="C2643" t="str">
        <x:v>GATE</x:v>
      </x:c>
      <x:c r="D2643" t="str">
        <x:v>release state mirrors governing ledger</x:v>
      </x:c>
      <x:c r="E2643" t="str">
        <x:f>'Release Gates'!I2603</x:f>
        <x:v>OPEN</x:v>
      </x:c>
      <x:c r="F2643" t="str">
        <x:f>IF('Release Gates'!C2603="PLANNING","PASS",IF('Release Gates'!C2603="PHYSICAL","OPEN","BLOCKED"))</x:f>
        <x:v>OPEN</x:v>
      </x:c>
      <x:c r="G2643" t="str">
        <x:v>equals</x:v>
      </x:c>
      <x:c r="H2643" t="str">
        <x:f>IF(E2643=F2643,"PASS","FAIL")</x:f>
        <x:v>PASS</x:v>
      </x:c>
    </x:row>
    <x:row r="2644">
      <x:c r="B2644" t="str">
        <x:v>A-02598</x:v>
      </x:c>
      <x:c r="C2644" t="str">
        <x:v>GATE</x:v>
      </x:c>
      <x:c r="D2644" t="str">
        <x:v>release state mirrors governing ledger</x:v>
      </x:c>
      <x:c r="E2644" t="str">
        <x:f>'Release Gates'!I2604</x:f>
        <x:v>OPEN</x:v>
      </x:c>
      <x:c r="F2644" t="str">
        <x:f>IF('Release Gates'!C2604="PLANNING","PASS",IF('Release Gates'!C2604="PHYSICAL","OPEN","BLOCKED"))</x:f>
        <x:v>OPEN</x:v>
      </x:c>
      <x:c r="G2644" t="str">
        <x:v>equals</x:v>
      </x:c>
      <x:c r="H2644" t="str">
        <x:f>IF(E2644=F2644,"PASS","FAIL")</x:f>
        <x:v>PASS</x:v>
      </x:c>
    </x:row>
    <x:row r="2645">
      <x:c r="B2645" t="str">
        <x:v>A-02599</x:v>
      </x:c>
      <x:c r="C2645" t="str">
        <x:v>GATE</x:v>
      </x:c>
      <x:c r="D2645" t="str">
        <x:v>release state mirrors governing ledger</x:v>
      </x:c>
      <x:c r="E2645" t="str">
        <x:f>'Release Gates'!I2605</x:f>
        <x:v>OPEN</x:v>
      </x:c>
      <x:c r="F2645" t="str">
        <x:f>IF('Release Gates'!C2605="PLANNING","PASS",IF('Release Gates'!C2605="PHYSICAL","OPEN","BLOCKED"))</x:f>
        <x:v>OPEN</x:v>
      </x:c>
      <x:c r="G2645" t="str">
        <x:v>equals</x:v>
      </x:c>
      <x:c r="H2645" t="str">
        <x:f>IF(E2645=F2645,"PASS","FAIL")</x:f>
        <x:v>PASS</x:v>
      </x:c>
    </x:row>
    <x:row r="2646">
      <x:c r="B2646" t="str">
        <x:v>A-02600</x:v>
      </x:c>
      <x:c r="C2646" t="str">
        <x:v>GATE</x:v>
      </x:c>
      <x:c r="D2646" t="str">
        <x:v>release state mirrors governing ledger</x:v>
      </x:c>
      <x:c r="E2646" t="str">
        <x:f>'Release Gates'!I2606</x:f>
        <x:v>OPEN</x:v>
      </x:c>
      <x:c r="F2646" t="str">
        <x:f>IF('Release Gates'!C2606="PLANNING","PASS",IF('Release Gates'!C2606="PHYSICAL","OPEN","BLOCKED"))</x:f>
        <x:v>OPEN</x:v>
      </x:c>
      <x:c r="G2646" t="str">
        <x:v>equals</x:v>
      </x:c>
      <x:c r="H2646" t="str">
        <x:f>IF(E2646=F2646,"PASS","FAIL")</x:f>
        <x:v>PASS</x:v>
      </x:c>
    </x:row>
    <x:row r="2647">
      <x:c r="B2647" t="str">
        <x:v>A-02601</x:v>
      </x:c>
      <x:c r="C2647" t="str">
        <x:v>GATE</x:v>
      </x:c>
      <x:c r="D2647" t="str">
        <x:v>release state mirrors governing ledger</x:v>
      </x:c>
      <x:c r="E2647" t="str">
        <x:f>'Release Gates'!I2607</x:f>
        <x:v>OPEN</x:v>
      </x:c>
      <x:c r="F2647" t="str">
        <x:f>IF('Release Gates'!C2607="PLANNING","PASS",IF('Release Gates'!C2607="PHYSICAL","OPEN","BLOCKED"))</x:f>
        <x:v>OPEN</x:v>
      </x:c>
      <x:c r="G2647" t="str">
        <x:v>equals</x:v>
      </x:c>
      <x:c r="H2647" t="str">
        <x:f>IF(E2647=F2647,"PASS","FAIL")</x:f>
        <x:v>PASS</x:v>
      </x:c>
    </x:row>
    <x:row r="2648">
      <x:c r="B2648" t="str">
        <x:v>A-02602</x:v>
      </x:c>
      <x:c r="C2648" t="str">
        <x:v>GATE</x:v>
      </x:c>
      <x:c r="D2648" t="str">
        <x:v>release state mirrors governing ledger</x:v>
      </x:c>
      <x:c r="E2648" t="str">
        <x:f>'Release Gates'!I2608</x:f>
        <x:v>OPEN</x:v>
      </x:c>
      <x:c r="F2648" t="str">
        <x:f>IF('Release Gates'!C2608="PLANNING","PASS",IF('Release Gates'!C2608="PHYSICAL","OPEN","BLOCKED"))</x:f>
        <x:v>OPEN</x:v>
      </x:c>
      <x:c r="G2648" t="str">
        <x:v>equals</x:v>
      </x:c>
      <x:c r="H2648" t="str">
        <x:f>IF(E2648=F2648,"PASS","FAIL")</x:f>
        <x:v>PASS</x:v>
      </x:c>
    </x:row>
    <x:row r="2649">
      <x:c r="B2649" t="str">
        <x:v>A-02603</x:v>
      </x:c>
      <x:c r="C2649" t="str">
        <x:v>GATE</x:v>
      </x:c>
      <x:c r="D2649" t="str">
        <x:v>release state mirrors governing ledger</x:v>
      </x:c>
      <x:c r="E2649" t="str">
        <x:f>'Release Gates'!I2609</x:f>
        <x:v>OPEN</x:v>
      </x:c>
      <x:c r="F2649" t="str">
        <x:f>IF('Release Gates'!C2609="PLANNING","PASS",IF('Release Gates'!C2609="PHYSICAL","OPEN","BLOCKED"))</x:f>
        <x:v>OPEN</x:v>
      </x:c>
      <x:c r="G2649" t="str">
        <x:v>equals</x:v>
      </x:c>
      <x:c r="H2649" t="str">
        <x:f>IF(E2649=F2649,"PASS","FAIL")</x:f>
        <x:v>PASS</x:v>
      </x:c>
    </x:row>
    <x:row r="2650">
      <x:c r="B2650" t="str">
        <x:v>A-02604</x:v>
      </x:c>
      <x:c r="C2650" t="str">
        <x:v>GATE</x:v>
      </x:c>
      <x:c r="D2650" t="str">
        <x:v>release state mirrors governing ledger</x:v>
      </x:c>
      <x:c r="E2650" t="str">
        <x:f>'Release Gates'!I2610</x:f>
        <x:v>OPEN</x:v>
      </x:c>
      <x:c r="F2650" t="str">
        <x:f>IF('Release Gates'!C2610="PLANNING","PASS",IF('Release Gates'!C2610="PHYSICAL","OPEN","BLOCKED"))</x:f>
        <x:v>OPEN</x:v>
      </x:c>
      <x:c r="G2650" t="str">
        <x:v>equals</x:v>
      </x:c>
      <x:c r="H2650" t="str">
        <x:f>IF(E2650=F2650,"PASS","FAIL")</x:f>
        <x:v>PASS</x:v>
      </x:c>
    </x:row>
    <x:row r="2651">
      <x:c r="B2651" t="str">
        <x:v>A-02605</x:v>
      </x:c>
      <x:c r="C2651" t="str">
        <x:v>GATE</x:v>
      </x:c>
      <x:c r="D2651" t="str">
        <x:v>release state mirrors governing ledger</x:v>
      </x:c>
      <x:c r="E2651" t="str">
        <x:f>'Release Gates'!I2611</x:f>
        <x:v>OPEN</x:v>
      </x:c>
      <x:c r="F2651" t="str">
        <x:f>IF('Release Gates'!C2611="PLANNING","PASS",IF('Release Gates'!C2611="PHYSICAL","OPEN","BLOCKED"))</x:f>
        <x:v>OPEN</x:v>
      </x:c>
      <x:c r="G2651" t="str">
        <x:v>equals</x:v>
      </x:c>
      <x:c r="H2651" t="str">
        <x:f>IF(E2651=F2651,"PASS","FAIL")</x:f>
        <x:v>PASS</x:v>
      </x:c>
    </x:row>
    <x:row r="2652">
      <x:c r="B2652" t="str">
        <x:v>A-02606</x:v>
      </x:c>
      <x:c r="C2652" t="str">
        <x:v>GATE</x:v>
      </x:c>
      <x:c r="D2652" t="str">
        <x:v>release state mirrors governing ledger</x:v>
      </x:c>
      <x:c r="E2652" t="str">
        <x:f>'Release Gates'!I2612</x:f>
        <x:v>OPEN</x:v>
      </x:c>
      <x:c r="F2652" t="str">
        <x:f>IF('Release Gates'!C2612="PLANNING","PASS",IF('Release Gates'!C2612="PHYSICAL","OPEN","BLOCKED"))</x:f>
        <x:v>OPEN</x:v>
      </x:c>
      <x:c r="G2652" t="str">
        <x:v>equals</x:v>
      </x:c>
      <x:c r="H2652" t="str">
        <x:f>IF(E2652=F2652,"PASS","FAIL")</x:f>
        <x:v>PASS</x:v>
      </x:c>
    </x:row>
    <x:row r="2653">
      <x:c r="B2653" t="str">
        <x:v>A-02607</x:v>
      </x:c>
      <x:c r="C2653" t="str">
        <x:v>GATE</x:v>
      </x:c>
      <x:c r="D2653" t="str">
        <x:v>release state mirrors governing ledger</x:v>
      </x:c>
      <x:c r="E2653" t="str">
        <x:f>'Release Gates'!I2613</x:f>
        <x:v>OPEN</x:v>
      </x:c>
      <x:c r="F2653" t="str">
        <x:f>IF('Release Gates'!C2613="PLANNING","PASS",IF('Release Gates'!C2613="PHYSICAL","OPEN","BLOCKED"))</x:f>
        <x:v>OPEN</x:v>
      </x:c>
      <x:c r="G2653" t="str">
        <x:v>equals</x:v>
      </x:c>
      <x:c r="H2653" t="str">
        <x:f>IF(E2653=F2653,"PASS","FAIL")</x:f>
        <x:v>PASS</x:v>
      </x:c>
    </x:row>
    <x:row r="2654">
      <x:c r="B2654" t="str">
        <x:v>A-02608</x:v>
      </x:c>
      <x:c r="C2654" t="str">
        <x:v>GATE</x:v>
      </x:c>
      <x:c r="D2654" t="str">
        <x:v>release state mirrors governing ledger</x:v>
      </x:c>
      <x:c r="E2654" t="str">
        <x:f>'Release Gates'!I2614</x:f>
        <x:v>OPEN</x:v>
      </x:c>
      <x:c r="F2654" t="str">
        <x:f>IF('Release Gates'!C2614="PLANNING","PASS",IF('Release Gates'!C2614="PHYSICAL","OPEN","BLOCKED"))</x:f>
        <x:v>OPEN</x:v>
      </x:c>
      <x:c r="G2654" t="str">
        <x:v>equals</x:v>
      </x:c>
      <x:c r="H2654" t="str">
        <x:f>IF(E2654=F2654,"PASS","FAIL")</x:f>
        <x:v>PASS</x:v>
      </x:c>
    </x:row>
    <x:row r="2655">
      <x:c r="B2655" t="str">
        <x:v>A-02609</x:v>
      </x:c>
      <x:c r="C2655" t="str">
        <x:v>GATE</x:v>
      </x:c>
      <x:c r="D2655" t="str">
        <x:v>release state mirrors governing ledger</x:v>
      </x:c>
      <x:c r="E2655" t="str">
        <x:f>'Release Gates'!I2615</x:f>
        <x:v>OPEN</x:v>
      </x:c>
      <x:c r="F2655" t="str">
        <x:f>IF('Release Gates'!C2615="PLANNING","PASS",IF('Release Gates'!C2615="PHYSICAL","OPEN","BLOCKED"))</x:f>
        <x:v>OPEN</x:v>
      </x:c>
      <x:c r="G2655" t="str">
        <x:v>equals</x:v>
      </x:c>
      <x:c r="H2655" t="str">
        <x:f>IF(E2655=F2655,"PASS","FAIL")</x:f>
        <x:v>PASS</x:v>
      </x:c>
    </x:row>
    <x:row r="2656">
      <x:c r="B2656" t="str">
        <x:v>A-02610</x:v>
      </x:c>
      <x:c r="C2656" t="str">
        <x:v>GATE</x:v>
      </x:c>
      <x:c r="D2656" t="str">
        <x:v>release state mirrors governing ledger</x:v>
      </x:c>
      <x:c r="E2656" t="str">
        <x:f>'Release Gates'!I2616</x:f>
        <x:v>OPEN</x:v>
      </x:c>
      <x:c r="F2656" t="str">
        <x:f>IF('Release Gates'!C2616="PLANNING","PASS",IF('Release Gates'!C2616="PHYSICAL","OPEN","BLOCKED"))</x:f>
        <x:v>OPEN</x:v>
      </x:c>
      <x:c r="G2656" t="str">
        <x:v>equals</x:v>
      </x:c>
      <x:c r="H2656" t="str">
        <x:f>IF(E2656=F2656,"PASS","FAIL")</x:f>
        <x:v>PASS</x:v>
      </x:c>
    </x:row>
    <x:row r="2657">
      <x:c r="B2657" t="str">
        <x:v>A-02611</x:v>
      </x:c>
      <x:c r="C2657" t="str">
        <x:v>GATE</x:v>
      </x:c>
      <x:c r="D2657" t="str">
        <x:v>release state mirrors governing ledger</x:v>
      </x:c>
      <x:c r="E2657" t="str">
        <x:f>'Release Gates'!I2617</x:f>
        <x:v>OPEN</x:v>
      </x:c>
      <x:c r="F2657" t="str">
        <x:f>IF('Release Gates'!C2617="PLANNING","PASS",IF('Release Gates'!C2617="PHYSICAL","OPEN","BLOCKED"))</x:f>
        <x:v>OPEN</x:v>
      </x:c>
      <x:c r="G2657" t="str">
        <x:v>equals</x:v>
      </x:c>
      <x:c r="H2657" t="str">
        <x:f>IF(E2657=F2657,"PASS","FAIL")</x:f>
        <x:v>PASS</x:v>
      </x:c>
    </x:row>
    <x:row r="2658">
      <x:c r="B2658" t="str">
        <x:v>A-02612</x:v>
      </x:c>
      <x:c r="C2658" t="str">
        <x:v>GATE</x:v>
      </x:c>
      <x:c r="D2658" t="str">
        <x:v>release state mirrors governing ledger</x:v>
      </x:c>
      <x:c r="E2658" t="str">
        <x:f>'Release Gates'!I2618</x:f>
        <x:v>OPEN</x:v>
      </x:c>
      <x:c r="F2658" t="str">
        <x:f>IF('Release Gates'!C2618="PLANNING","PASS",IF('Release Gates'!C2618="PHYSICAL","OPEN","BLOCKED"))</x:f>
        <x:v>OPEN</x:v>
      </x:c>
      <x:c r="G2658" t="str">
        <x:v>equals</x:v>
      </x:c>
      <x:c r="H2658" t="str">
        <x:f>IF(E2658=F2658,"PASS","FAIL")</x:f>
        <x:v>PASS</x:v>
      </x:c>
    </x:row>
    <x:row r="2659">
      <x:c r="B2659" t="str">
        <x:v>A-02613</x:v>
      </x:c>
      <x:c r="C2659" t="str">
        <x:v>GATE</x:v>
      </x:c>
      <x:c r="D2659" t="str">
        <x:v>release state mirrors governing ledger</x:v>
      </x:c>
      <x:c r="E2659" t="str">
        <x:f>'Release Gates'!I2619</x:f>
        <x:v>OPEN</x:v>
      </x:c>
      <x:c r="F2659" t="str">
        <x:f>IF('Release Gates'!C2619="PLANNING","PASS",IF('Release Gates'!C2619="PHYSICAL","OPEN","BLOCKED"))</x:f>
        <x:v>OPEN</x:v>
      </x:c>
      <x:c r="G2659" t="str">
        <x:v>equals</x:v>
      </x:c>
      <x:c r="H2659" t="str">
        <x:f>IF(E2659=F2659,"PASS","FAIL")</x:f>
        <x:v>PASS</x:v>
      </x:c>
    </x:row>
    <x:row r="2660">
      <x:c r="B2660" t="str">
        <x:v>A-02614</x:v>
      </x:c>
      <x:c r="C2660" t="str">
        <x:v>GATE</x:v>
      </x:c>
      <x:c r="D2660" t="str">
        <x:v>release state mirrors governing ledger</x:v>
      </x:c>
      <x:c r="E2660" t="str">
        <x:f>'Release Gates'!I2620</x:f>
        <x:v>OPEN</x:v>
      </x:c>
      <x:c r="F2660" t="str">
        <x:f>IF('Release Gates'!C2620="PLANNING","PASS",IF('Release Gates'!C2620="PHYSICAL","OPEN","BLOCKED"))</x:f>
        <x:v>OPEN</x:v>
      </x:c>
      <x:c r="G2660" t="str">
        <x:v>equals</x:v>
      </x:c>
      <x:c r="H2660" t="str">
        <x:f>IF(E2660=F2660,"PASS","FAIL")</x:f>
        <x:v>PASS</x:v>
      </x:c>
    </x:row>
    <x:row r="2661">
      <x:c r="B2661" t="str">
        <x:v>A-02615</x:v>
      </x:c>
      <x:c r="C2661" t="str">
        <x:v>GATE</x:v>
      </x:c>
      <x:c r="D2661" t="str">
        <x:v>release state mirrors governing ledger</x:v>
      </x:c>
      <x:c r="E2661" t="str">
        <x:f>'Release Gates'!I2621</x:f>
        <x:v>OPEN</x:v>
      </x:c>
      <x:c r="F2661" t="str">
        <x:f>IF('Release Gates'!C2621="PLANNING","PASS",IF('Release Gates'!C2621="PHYSICAL","OPEN","BLOCKED"))</x:f>
        <x:v>OPEN</x:v>
      </x:c>
      <x:c r="G2661" t="str">
        <x:v>equals</x:v>
      </x:c>
      <x:c r="H2661" t="str">
        <x:f>IF(E2661=F2661,"PASS","FAIL")</x:f>
        <x:v>PASS</x:v>
      </x:c>
    </x:row>
    <x:row r="2662">
      <x:c r="B2662" t="str">
        <x:v>A-02616</x:v>
      </x:c>
      <x:c r="C2662" t="str">
        <x:v>GATE</x:v>
      </x:c>
      <x:c r="D2662" t="str">
        <x:v>release state mirrors governing ledger</x:v>
      </x:c>
      <x:c r="E2662" t="str">
        <x:f>'Release Gates'!I2622</x:f>
        <x:v>OPEN</x:v>
      </x:c>
      <x:c r="F2662" t="str">
        <x:f>IF('Release Gates'!C2622="PLANNING","PASS",IF('Release Gates'!C2622="PHYSICAL","OPEN","BLOCKED"))</x:f>
        <x:v>OPEN</x:v>
      </x:c>
      <x:c r="G2662" t="str">
        <x:v>equals</x:v>
      </x:c>
      <x:c r="H2662" t="str">
        <x:f>IF(E2662=F2662,"PASS","FAIL")</x:f>
        <x:v>PASS</x:v>
      </x:c>
    </x:row>
    <x:row r="2663">
      <x:c r="B2663" t="str">
        <x:v>A-02617</x:v>
      </x:c>
      <x:c r="C2663" t="str">
        <x:v>GATE</x:v>
      </x:c>
      <x:c r="D2663" t="str">
        <x:v>release state mirrors governing ledger</x:v>
      </x:c>
      <x:c r="E2663" t="str">
        <x:f>'Release Gates'!I2623</x:f>
        <x:v>OPEN</x:v>
      </x:c>
      <x:c r="F2663" t="str">
        <x:f>IF('Release Gates'!C2623="PLANNING","PASS",IF('Release Gates'!C2623="PHYSICAL","OPEN","BLOCKED"))</x:f>
        <x:v>OPEN</x:v>
      </x:c>
      <x:c r="G2663" t="str">
        <x:v>equals</x:v>
      </x:c>
      <x:c r="H2663" t="str">
        <x:f>IF(E2663=F2663,"PASS","FAIL")</x:f>
        <x:v>PASS</x:v>
      </x:c>
    </x:row>
    <x:row r="2664">
      <x:c r="B2664" t="str">
        <x:v>A-02618</x:v>
      </x:c>
      <x:c r="C2664" t="str">
        <x:v>GATE</x:v>
      </x:c>
      <x:c r="D2664" t="str">
        <x:v>release state mirrors governing ledger</x:v>
      </x:c>
      <x:c r="E2664" t="str">
        <x:f>'Release Gates'!I2624</x:f>
        <x:v>OPEN</x:v>
      </x:c>
      <x:c r="F2664" t="str">
        <x:f>IF('Release Gates'!C2624="PLANNING","PASS",IF('Release Gates'!C2624="PHYSICAL","OPEN","BLOCKED"))</x:f>
        <x:v>OPEN</x:v>
      </x:c>
      <x:c r="G2664" t="str">
        <x:v>equals</x:v>
      </x:c>
      <x:c r="H2664" t="str">
        <x:f>IF(E2664=F2664,"PASS","FAIL")</x:f>
        <x:v>PASS</x:v>
      </x:c>
    </x:row>
    <x:row r="2665">
      <x:c r="B2665" t="str">
        <x:v>A-02619</x:v>
      </x:c>
      <x:c r="C2665" t="str">
        <x:v>GATE</x:v>
      </x:c>
      <x:c r="D2665" t="str">
        <x:v>release state mirrors governing ledger</x:v>
      </x:c>
      <x:c r="E2665" t="str">
        <x:f>'Release Gates'!I2625</x:f>
        <x:v>OPEN</x:v>
      </x:c>
      <x:c r="F2665" t="str">
        <x:f>IF('Release Gates'!C2625="PLANNING","PASS",IF('Release Gates'!C2625="PHYSICAL","OPEN","BLOCKED"))</x:f>
        <x:v>OPEN</x:v>
      </x:c>
      <x:c r="G2665" t="str">
        <x:v>equals</x:v>
      </x:c>
      <x:c r="H2665" t="str">
        <x:f>IF(E2665=F2665,"PASS","FAIL")</x:f>
        <x:v>PASS</x:v>
      </x:c>
    </x:row>
    <x:row r="2666">
      <x:c r="B2666" t="str">
        <x:v>A-02620</x:v>
      </x:c>
      <x:c r="C2666" t="str">
        <x:v>GATE</x:v>
      </x:c>
      <x:c r="D2666" t="str">
        <x:v>release state mirrors governing ledger</x:v>
      </x:c>
      <x:c r="E2666" t="str">
        <x:f>'Release Gates'!I2626</x:f>
        <x:v>OPEN</x:v>
      </x:c>
      <x:c r="F2666" t="str">
        <x:f>IF('Release Gates'!C2626="PLANNING","PASS",IF('Release Gates'!C2626="PHYSICAL","OPEN","BLOCKED"))</x:f>
        <x:v>OPEN</x:v>
      </x:c>
      <x:c r="G2666" t="str">
        <x:v>equals</x:v>
      </x:c>
      <x:c r="H2666" t="str">
        <x:f>IF(E2666=F2666,"PASS","FAIL")</x:f>
        <x:v>PASS</x:v>
      </x:c>
    </x:row>
    <x:row r="2667">
      <x:c r="B2667" t="str">
        <x:v>A-02621</x:v>
      </x:c>
      <x:c r="C2667" t="str">
        <x:v>GATE</x:v>
      </x:c>
      <x:c r="D2667" t="str">
        <x:v>release state mirrors governing ledger</x:v>
      </x:c>
      <x:c r="E2667" t="str">
        <x:f>'Release Gates'!I2627</x:f>
        <x:v>OPEN</x:v>
      </x:c>
      <x:c r="F2667" t="str">
        <x:f>IF('Release Gates'!C2627="PLANNING","PASS",IF('Release Gates'!C2627="PHYSICAL","OPEN","BLOCKED"))</x:f>
        <x:v>OPEN</x:v>
      </x:c>
      <x:c r="G2667" t="str">
        <x:v>equals</x:v>
      </x:c>
      <x:c r="H2667" t="str">
        <x:f>IF(E2667=F2667,"PASS","FAIL")</x:f>
        <x:v>PASS</x:v>
      </x:c>
    </x:row>
    <x:row r="2668">
      <x:c r="B2668" t="str">
        <x:v>A-02622</x:v>
      </x:c>
      <x:c r="C2668" t="str">
        <x:v>GATE</x:v>
      </x:c>
      <x:c r="D2668" t="str">
        <x:v>release state mirrors governing ledger</x:v>
      </x:c>
      <x:c r="E2668" t="str">
        <x:f>'Release Gates'!I2628</x:f>
        <x:v>OPEN</x:v>
      </x:c>
      <x:c r="F2668" t="str">
        <x:f>IF('Release Gates'!C2628="PLANNING","PASS",IF('Release Gates'!C2628="PHYSICAL","OPEN","BLOCKED"))</x:f>
        <x:v>OPEN</x:v>
      </x:c>
      <x:c r="G2668" t="str">
        <x:v>equals</x:v>
      </x:c>
      <x:c r="H2668" t="str">
        <x:f>IF(E2668=F2668,"PASS","FAIL")</x:f>
        <x:v>PASS</x:v>
      </x:c>
    </x:row>
    <x:row r="2669">
      <x:c r="B2669" t="str">
        <x:v>A-02623</x:v>
      </x:c>
      <x:c r="C2669" t="str">
        <x:v>GATE</x:v>
      </x:c>
      <x:c r="D2669" t="str">
        <x:v>release state mirrors governing ledger</x:v>
      </x:c>
      <x:c r="E2669" t="str">
        <x:f>'Release Gates'!I2629</x:f>
        <x:v>OPEN</x:v>
      </x:c>
      <x:c r="F2669" t="str">
        <x:f>IF('Release Gates'!C2629="PLANNING","PASS",IF('Release Gates'!C2629="PHYSICAL","OPEN","BLOCKED"))</x:f>
        <x:v>OPEN</x:v>
      </x:c>
      <x:c r="G2669" t="str">
        <x:v>equals</x:v>
      </x:c>
      <x:c r="H2669" t="str">
        <x:f>IF(E2669=F2669,"PASS","FAIL")</x:f>
        <x:v>PASS</x:v>
      </x:c>
    </x:row>
    <x:row r="2670">
      <x:c r="B2670" t="str">
        <x:v>A-02624</x:v>
      </x:c>
      <x:c r="C2670" t="str">
        <x:v>GATE</x:v>
      </x:c>
      <x:c r="D2670" t="str">
        <x:v>release state mirrors governing ledger</x:v>
      </x:c>
      <x:c r="E2670" t="str">
        <x:f>'Release Gates'!I2630</x:f>
        <x:v>OPEN</x:v>
      </x:c>
      <x:c r="F2670" t="str">
        <x:f>IF('Release Gates'!C2630="PLANNING","PASS",IF('Release Gates'!C2630="PHYSICAL","OPEN","BLOCKED"))</x:f>
        <x:v>OPEN</x:v>
      </x:c>
      <x:c r="G2670" t="str">
        <x:v>equals</x:v>
      </x:c>
      <x:c r="H2670" t="str">
        <x:f>IF(E2670=F2670,"PASS","FAIL")</x:f>
        <x:v>PASS</x:v>
      </x:c>
    </x:row>
    <x:row r="2671">
      <x:c r="B2671" t="str">
        <x:v>A-02625</x:v>
      </x:c>
      <x:c r="C2671" t="str">
        <x:v>GATE</x:v>
      </x:c>
      <x:c r="D2671" t="str">
        <x:v>release state mirrors governing ledger</x:v>
      </x:c>
      <x:c r="E2671" t="str">
        <x:f>'Release Gates'!I2631</x:f>
        <x:v>OPEN</x:v>
      </x:c>
      <x:c r="F2671" t="str">
        <x:f>IF('Release Gates'!C2631="PLANNING","PASS",IF('Release Gates'!C2631="PHYSICAL","OPEN","BLOCKED"))</x:f>
        <x:v>OPEN</x:v>
      </x:c>
      <x:c r="G2671" t="str">
        <x:v>equals</x:v>
      </x:c>
      <x:c r="H2671" t="str">
        <x:f>IF(E2671=F2671,"PASS","FAIL")</x:f>
        <x:v>PASS</x:v>
      </x:c>
    </x:row>
    <x:row r="2672">
      <x:c r="B2672" t="str">
        <x:v>A-02626</x:v>
      </x:c>
      <x:c r="C2672" t="str">
        <x:v>GATE</x:v>
      </x:c>
      <x:c r="D2672" t="str">
        <x:v>release state mirrors governing ledger</x:v>
      </x:c>
      <x:c r="E2672" t="str">
        <x:f>'Release Gates'!I2632</x:f>
        <x:v>OPEN</x:v>
      </x:c>
      <x:c r="F2672" t="str">
        <x:f>IF('Release Gates'!C2632="PLANNING","PASS",IF('Release Gates'!C2632="PHYSICAL","OPEN","BLOCKED"))</x:f>
        <x:v>OPEN</x:v>
      </x:c>
      <x:c r="G2672" t="str">
        <x:v>equals</x:v>
      </x:c>
      <x:c r="H2672" t="str">
        <x:f>IF(E2672=F2672,"PASS","FAIL")</x:f>
        <x:v>PASS</x:v>
      </x:c>
    </x:row>
    <x:row r="2673">
      <x:c r="B2673" t="str">
        <x:v>A-02627</x:v>
      </x:c>
      <x:c r="C2673" t="str">
        <x:v>GATE</x:v>
      </x:c>
      <x:c r="D2673" t="str">
        <x:v>release state mirrors governing ledger</x:v>
      </x:c>
      <x:c r="E2673" t="str">
        <x:f>'Release Gates'!I2633</x:f>
        <x:v>OPEN</x:v>
      </x:c>
      <x:c r="F2673" t="str">
        <x:f>IF('Release Gates'!C2633="PLANNING","PASS",IF('Release Gates'!C2633="PHYSICAL","OPEN","BLOCKED"))</x:f>
        <x:v>OPEN</x:v>
      </x:c>
      <x:c r="G2673" t="str">
        <x:v>equals</x:v>
      </x:c>
      <x:c r="H2673" t="str">
        <x:f>IF(E2673=F2673,"PASS","FAIL")</x:f>
        <x:v>PASS</x:v>
      </x:c>
    </x:row>
    <x:row r="2674">
      <x:c r="B2674" t="str">
        <x:v>A-02628</x:v>
      </x:c>
      <x:c r="C2674" t="str">
        <x:v>GATE</x:v>
      </x:c>
      <x:c r="D2674" t="str">
        <x:v>release state mirrors governing ledger</x:v>
      </x:c>
      <x:c r="E2674" t="str">
        <x:f>'Release Gates'!I2634</x:f>
        <x:v>OPEN</x:v>
      </x:c>
      <x:c r="F2674" t="str">
        <x:f>IF('Release Gates'!C2634="PLANNING","PASS",IF('Release Gates'!C2634="PHYSICAL","OPEN","BLOCKED"))</x:f>
        <x:v>OPEN</x:v>
      </x:c>
      <x:c r="G2674" t="str">
        <x:v>equals</x:v>
      </x:c>
      <x:c r="H2674" t="str">
        <x:f>IF(E2674=F2674,"PASS","FAIL")</x:f>
        <x:v>PASS</x:v>
      </x:c>
    </x:row>
    <x:row r="2675">
      <x:c r="B2675" t="str">
        <x:v>A-02629</x:v>
      </x:c>
      <x:c r="C2675" t="str">
        <x:v>GATE</x:v>
      </x:c>
      <x:c r="D2675" t="str">
        <x:v>release state mirrors governing ledger</x:v>
      </x:c>
      <x:c r="E2675" t="str">
        <x:f>'Release Gates'!I2635</x:f>
        <x:v>OPEN</x:v>
      </x:c>
      <x:c r="F2675" t="str">
        <x:f>IF('Release Gates'!C2635="PLANNING","PASS",IF('Release Gates'!C2635="PHYSICAL","OPEN","BLOCKED"))</x:f>
        <x:v>OPEN</x:v>
      </x:c>
      <x:c r="G2675" t="str">
        <x:v>equals</x:v>
      </x:c>
      <x:c r="H2675" t="str">
        <x:f>IF(E2675=F2675,"PASS","FAIL")</x:f>
        <x:v>PASS</x:v>
      </x:c>
    </x:row>
    <x:row r="2676">
      <x:c r="B2676" t="str">
        <x:v>A-02630</x:v>
      </x:c>
      <x:c r="C2676" t="str">
        <x:v>GATE</x:v>
      </x:c>
      <x:c r="D2676" t="str">
        <x:v>release state mirrors governing ledger</x:v>
      </x:c>
      <x:c r="E2676" t="str">
        <x:f>'Release Gates'!I2636</x:f>
        <x:v>OPEN</x:v>
      </x:c>
      <x:c r="F2676" t="str">
        <x:f>IF('Release Gates'!C2636="PLANNING","PASS",IF('Release Gates'!C2636="PHYSICAL","OPEN","BLOCKED"))</x:f>
        <x:v>OPEN</x:v>
      </x:c>
      <x:c r="G2676" t="str">
        <x:v>equals</x:v>
      </x:c>
      <x:c r="H2676" t="str">
        <x:f>IF(E2676=F2676,"PASS","FAIL")</x:f>
        <x:v>PASS</x:v>
      </x:c>
    </x:row>
    <x:row r="2677">
      <x:c r="B2677" t="str">
        <x:v>A-02631</x:v>
      </x:c>
      <x:c r="C2677" t="str">
        <x:v>GATE</x:v>
      </x:c>
      <x:c r="D2677" t="str">
        <x:v>release state mirrors governing ledger</x:v>
      </x:c>
      <x:c r="E2677" t="str">
        <x:f>'Release Gates'!I2637</x:f>
        <x:v>OPEN</x:v>
      </x:c>
      <x:c r="F2677" t="str">
        <x:f>IF('Release Gates'!C2637="PLANNING","PASS",IF('Release Gates'!C2637="PHYSICAL","OPEN","BLOCKED"))</x:f>
        <x:v>OPEN</x:v>
      </x:c>
      <x:c r="G2677" t="str">
        <x:v>equals</x:v>
      </x:c>
      <x:c r="H2677" t="str">
        <x:f>IF(E2677=F2677,"PASS","FAIL")</x:f>
        <x:v>PASS</x:v>
      </x:c>
    </x:row>
    <x:row r="2678">
      <x:c r="B2678" t="str">
        <x:v>A-02632</x:v>
      </x:c>
      <x:c r="C2678" t="str">
        <x:v>GATE</x:v>
      </x:c>
      <x:c r="D2678" t="str">
        <x:v>release state mirrors governing ledger</x:v>
      </x:c>
      <x:c r="E2678" t="str">
        <x:f>'Release Gates'!I2638</x:f>
        <x:v>OPEN</x:v>
      </x:c>
      <x:c r="F2678" t="str">
        <x:f>IF('Release Gates'!C2638="PLANNING","PASS",IF('Release Gates'!C2638="PHYSICAL","OPEN","BLOCKED"))</x:f>
        <x:v>OPEN</x:v>
      </x:c>
      <x:c r="G2678" t="str">
        <x:v>equals</x:v>
      </x:c>
      <x:c r="H2678" t="str">
        <x:f>IF(E2678=F2678,"PASS","FAIL")</x:f>
        <x:v>PASS</x:v>
      </x:c>
    </x:row>
    <x:row r="2679">
      <x:c r="B2679" t="str">
        <x:v>A-02633</x:v>
      </x:c>
      <x:c r="C2679" t="str">
        <x:v>GATE</x:v>
      </x:c>
      <x:c r="D2679" t="str">
        <x:v>release state mirrors governing ledger</x:v>
      </x:c>
      <x:c r="E2679" t="str">
        <x:f>'Release Gates'!I2639</x:f>
        <x:v>OPEN</x:v>
      </x:c>
      <x:c r="F2679" t="str">
        <x:f>IF('Release Gates'!C2639="PLANNING","PASS",IF('Release Gates'!C2639="PHYSICAL","OPEN","BLOCKED"))</x:f>
        <x:v>OPEN</x:v>
      </x:c>
      <x:c r="G2679" t="str">
        <x:v>equals</x:v>
      </x:c>
      <x:c r="H2679" t="str">
        <x:f>IF(E2679=F2679,"PASS","FAIL")</x:f>
        <x:v>PASS</x:v>
      </x:c>
    </x:row>
    <x:row r="2680">
      <x:c r="B2680" t="str">
        <x:v>A-02634</x:v>
      </x:c>
      <x:c r="C2680" t="str">
        <x:v>GATE</x:v>
      </x:c>
      <x:c r="D2680" t="str">
        <x:v>release state mirrors governing ledger</x:v>
      </x:c>
      <x:c r="E2680" t="str">
        <x:f>'Release Gates'!I2640</x:f>
        <x:v>OPEN</x:v>
      </x:c>
      <x:c r="F2680" t="str">
        <x:f>IF('Release Gates'!C2640="PLANNING","PASS",IF('Release Gates'!C2640="PHYSICAL","OPEN","BLOCKED"))</x:f>
        <x:v>OPEN</x:v>
      </x:c>
      <x:c r="G2680" t="str">
        <x:v>equals</x:v>
      </x:c>
      <x:c r="H2680" t="str">
        <x:f>IF(E2680=F2680,"PASS","FAIL")</x:f>
        <x:v>PASS</x:v>
      </x:c>
    </x:row>
    <x:row r="2681">
      <x:c r="B2681" t="str">
        <x:v>A-02635</x:v>
      </x:c>
      <x:c r="C2681" t="str">
        <x:v>GATE</x:v>
      </x:c>
      <x:c r="D2681" t="str">
        <x:v>release state mirrors governing ledger</x:v>
      </x:c>
      <x:c r="E2681" t="str">
        <x:f>'Release Gates'!I2641</x:f>
        <x:v>OPEN</x:v>
      </x:c>
      <x:c r="F2681" t="str">
        <x:f>IF('Release Gates'!C2641="PLANNING","PASS",IF('Release Gates'!C2641="PHYSICAL","OPEN","BLOCKED"))</x:f>
        <x:v>OPEN</x:v>
      </x:c>
      <x:c r="G2681" t="str">
        <x:v>equals</x:v>
      </x:c>
      <x:c r="H2681" t="str">
        <x:f>IF(E2681=F2681,"PASS","FAIL")</x:f>
        <x:v>PASS</x:v>
      </x:c>
    </x:row>
    <x:row r="2682">
      <x:c r="B2682" t="str">
        <x:v>A-02636</x:v>
      </x:c>
      <x:c r="C2682" t="str">
        <x:v>GATE</x:v>
      </x:c>
      <x:c r="D2682" t="str">
        <x:v>release state mirrors governing ledger</x:v>
      </x:c>
      <x:c r="E2682" t="str">
        <x:f>'Release Gates'!I2642</x:f>
        <x:v>OPEN</x:v>
      </x:c>
      <x:c r="F2682" t="str">
        <x:f>IF('Release Gates'!C2642="PLANNING","PASS",IF('Release Gates'!C2642="PHYSICAL","OPEN","BLOCKED"))</x:f>
        <x:v>OPEN</x:v>
      </x:c>
      <x:c r="G2682" t="str">
        <x:v>equals</x:v>
      </x:c>
      <x:c r="H2682" t="str">
        <x:f>IF(E2682=F2682,"PASS","FAIL")</x:f>
        <x:v>PASS</x:v>
      </x:c>
    </x:row>
    <x:row r="2683">
      <x:c r="B2683" t="str">
        <x:v>A-02637</x:v>
      </x:c>
      <x:c r="C2683" t="str">
        <x:v>GATE</x:v>
      </x:c>
      <x:c r="D2683" t="str">
        <x:v>release state mirrors governing ledger</x:v>
      </x:c>
      <x:c r="E2683" t="str">
        <x:f>'Release Gates'!I2643</x:f>
        <x:v>OPEN</x:v>
      </x:c>
      <x:c r="F2683" t="str">
        <x:f>IF('Release Gates'!C2643="PLANNING","PASS",IF('Release Gates'!C2643="PHYSICAL","OPEN","BLOCKED"))</x:f>
        <x:v>OPEN</x:v>
      </x:c>
      <x:c r="G2683" t="str">
        <x:v>equals</x:v>
      </x:c>
      <x:c r="H2683" t="str">
        <x:f>IF(E2683=F2683,"PASS","FAIL")</x:f>
        <x:v>PASS</x:v>
      </x:c>
    </x:row>
    <x:row r="2684">
      <x:c r="B2684" t="str">
        <x:v>A-02638</x:v>
      </x:c>
      <x:c r="C2684" t="str">
        <x:v>GATE</x:v>
      </x:c>
      <x:c r="D2684" t="str">
        <x:v>release state mirrors governing ledger</x:v>
      </x:c>
      <x:c r="E2684" t="str">
        <x:f>'Release Gates'!I2644</x:f>
        <x:v>OPEN</x:v>
      </x:c>
      <x:c r="F2684" t="str">
        <x:f>IF('Release Gates'!C2644="PLANNING","PASS",IF('Release Gates'!C2644="PHYSICAL","OPEN","BLOCKED"))</x:f>
        <x:v>OPEN</x:v>
      </x:c>
      <x:c r="G2684" t="str">
        <x:v>equals</x:v>
      </x:c>
      <x:c r="H2684" t="str">
        <x:f>IF(E2684=F2684,"PASS","FAIL")</x:f>
        <x:v>PASS</x:v>
      </x:c>
    </x:row>
    <x:row r="2685">
      <x:c r="B2685" t="str">
        <x:v>A-02639</x:v>
      </x:c>
      <x:c r="C2685" t="str">
        <x:v>GATE</x:v>
      </x:c>
      <x:c r="D2685" t="str">
        <x:v>release state mirrors governing ledger</x:v>
      </x:c>
      <x:c r="E2685" t="str">
        <x:f>'Release Gates'!I2645</x:f>
        <x:v>OPEN</x:v>
      </x:c>
      <x:c r="F2685" t="str">
        <x:f>IF('Release Gates'!C2645="PLANNING","PASS",IF('Release Gates'!C2645="PHYSICAL","OPEN","BLOCKED"))</x:f>
        <x:v>OPEN</x:v>
      </x:c>
      <x:c r="G2685" t="str">
        <x:v>equals</x:v>
      </x:c>
      <x:c r="H2685" t="str">
        <x:f>IF(E2685=F2685,"PASS","FAIL")</x:f>
        <x:v>PASS</x:v>
      </x:c>
    </x:row>
    <x:row r="2686">
      <x:c r="B2686" t="str">
        <x:v>A-02640</x:v>
      </x:c>
      <x:c r="C2686" t="str">
        <x:v>GATE</x:v>
      </x:c>
      <x:c r="D2686" t="str">
        <x:v>release state mirrors governing ledger</x:v>
      </x:c>
      <x:c r="E2686" t="str">
        <x:f>'Release Gates'!I2646</x:f>
        <x:v>OPEN</x:v>
      </x:c>
      <x:c r="F2686" t="str">
        <x:f>IF('Release Gates'!C2646="PLANNING","PASS",IF('Release Gates'!C2646="PHYSICAL","OPEN","BLOCKED"))</x:f>
        <x:v>OPEN</x:v>
      </x:c>
      <x:c r="G2686" t="str">
        <x:v>equals</x:v>
      </x:c>
      <x:c r="H2686" t="str">
        <x:f>IF(E2686=F2686,"PASS","FAIL")</x:f>
        <x:v>PASS</x:v>
      </x:c>
    </x:row>
    <x:row r="2687">
      <x:c r="B2687" t="str">
        <x:v>A-02641</x:v>
      </x:c>
      <x:c r="C2687" t="str">
        <x:v>GATE</x:v>
      </x:c>
      <x:c r="D2687" t="str">
        <x:v>release state mirrors governing ledger</x:v>
      </x:c>
      <x:c r="E2687" t="str">
        <x:f>'Release Gates'!I2647</x:f>
        <x:v>OPEN</x:v>
      </x:c>
      <x:c r="F2687" t="str">
        <x:f>IF('Release Gates'!C2647="PLANNING","PASS",IF('Release Gates'!C2647="PHYSICAL","OPEN","BLOCKED"))</x:f>
        <x:v>OPEN</x:v>
      </x:c>
      <x:c r="G2687" t="str">
        <x:v>equals</x:v>
      </x:c>
      <x:c r="H2687" t="str">
        <x:f>IF(E2687=F2687,"PASS","FAIL")</x:f>
        <x:v>PASS</x:v>
      </x:c>
    </x:row>
    <x:row r="2688">
      <x:c r="B2688" t="str">
        <x:v>A-02642</x:v>
      </x:c>
      <x:c r="C2688" t="str">
        <x:v>GATE</x:v>
      </x:c>
      <x:c r="D2688" t="str">
        <x:v>release state mirrors governing ledger</x:v>
      </x:c>
      <x:c r="E2688" t="str">
        <x:f>'Release Gates'!I2648</x:f>
        <x:v>OPEN</x:v>
      </x:c>
      <x:c r="F2688" t="str">
        <x:f>IF('Release Gates'!C2648="PLANNING","PASS",IF('Release Gates'!C2648="PHYSICAL","OPEN","BLOCKED"))</x:f>
        <x:v>OPEN</x:v>
      </x:c>
      <x:c r="G2688" t="str">
        <x:v>equals</x:v>
      </x:c>
      <x:c r="H2688" t="str">
        <x:f>IF(E2688=F2688,"PASS","FAIL")</x:f>
        <x:v>PASS</x:v>
      </x:c>
    </x:row>
    <x:row r="2689">
      <x:c r="B2689" t="str">
        <x:v>A-02643</x:v>
      </x:c>
      <x:c r="C2689" t="str">
        <x:v>GATE</x:v>
      </x:c>
      <x:c r="D2689" t="str">
        <x:v>release state mirrors governing ledger</x:v>
      </x:c>
      <x:c r="E2689" t="str">
        <x:f>'Release Gates'!I2649</x:f>
        <x:v>OPEN</x:v>
      </x:c>
      <x:c r="F2689" t="str">
        <x:f>IF('Release Gates'!C2649="PLANNING","PASS",IF('Release Gates'!C2649="PHYSICAL","OPEN","BLOCKED"))</x:f>
        <x:v>OPEN</x:v>
      </x:c>
      <x:c r="G2689" t="str">
        <x:v>equals</x:v>
      </x:c>
      <x:c r="H2689" t="str">
        <x:f>IF(E2689=F2689,"PASS","FAIL")</x:f>
        <x:v>PASS</x:v>
      </x:c>
    </x:row>
    <x:row r="2690">
      <x:c r="B2690" t="str">
        <x:v>A-02644</x:v>
      </x:c>
      <x:c r="C2690" t="str">
        <x:v>GATE</x:v>
      </x:c>
      <x:c r="D2690" t="str">
        <x:v>release state mirrors governing ledger</x:v>
      </x:c>
      <x:c r="E2690" t="str">
        <x:f>'Release Gates'!I2650</x:f>
        <x:v>OPEN</x:v>
      </x:c>
      <x:c r="F2690" t="str">
        <x:f>IF('Release Gates'!C2650="PLANNING","PASS",IF('Release Gates'!C2650="PHYSICAL","OPEN","BLOCKED"))</x:f>
        <x:v>OPEN</x:v>
      </x:c>
      <x:c r="G2690" t="str">
        <x:v>equals</x:v>
      </x:c>
      <x:c r="H2690" t="str">
        <x:f>IF(E2690=F2690,"PASS","FAIL")</x:f>
        <x:v>PASS</x:v>
      </x:c>
    </x:row>
    <x:row r="2691">
      <x:c r="B2691" t="str">
        <x:v>A-02645</x:v>
      </x:c>
      <x:c r="C2691" t="str">
        <x:v>GATE</x:v>
      </x:c>
      <x:c r="D2691" t="str">
        <x:v>release state mirrors governing ledger</x:v>
      </x:c>
      <x:c r="E2691" t="str">
        <x:f>'Release Gates'!I2651</x:f>
        <x:v>OPEN</x:v>
      </x:c>
      <x:c r="F2691" t="str">
        <x:f>IF('Release Gates'!C2651="PLANNING","PASS",IF('Release Gates'!C2651="PHYSICAL","OPEN","BLOCKED"))</x:f>
        <x:v>OPEN</x:v>
      </x:c>
      <x:c r="G2691" t="str">
        <x:v>equals</x:v>
      </x:c>
      <x:c r="H2691" t="str">
        <x:f>IF(E2691=F2691,"PASS","FAIL")</x:f>
        <x:v>PASS</x:v>
      </x:c>
    </x:row>
    <x:row r="2692">
      <x:c r="B2692" t="str">
        <x:v>A-02646</x:v>
      </x:c>
      <x:c r="C2692" t="str">
        <x:v>GATE</x:v>
      </x:c>
      <x:c r="D2692" t="str">
        <x:v>release state mirrors governing ledger</x:v>
      </x:c>
      <x:c r="E2692" t="str">
        <x:f>'Release Gates'!I2652</x:f>
        <x:v>OPEN</x:v>
      </x:c>
      <x:c r="F2692" t="str">
        <x:f>IF('Release Gates'!C2652="PLANNING","PASS",IF('Release Gates'!C2652="PHYSICAL","OPEN","BLOCKED"))</x:f>
        <x:v>OPEN</x:v>
      </x:c>
      <x:c r="G2692" t="str">
        <x:v>equals</x:v>
      </x:c>
      <x:c r="H2692" t="str">
        <x:f>IF(E2692=F2692,"PASS","FAIL")</x:f>
        <x:v>PASS</x:v>
      </x:c>
    </x:row>
    <x:row r="2693">
      <x:c r="B2693" t="str">
        <x:v>A-02647</x:v>
      </x:c>
      <x:c r="C2693" t="str">
        <x:v>GATE</x:v>
      </x:c>
      <x:c r="D2693" t="str">
        <x:v>release state mirrors governing ledger</x:v>
      </x:c>
      <x:c r="E2693" t="str">
        <x:f>'Release Gates'!I2653</x:f>
        <x:v>OPEN</x:v>
      </x:c>
      <x:c r="F2693" t="str">
        <x:f>IF('Release Gates'!C2653="PLANNING","PASS",IF('Release Gates'!C2653="PHYSICAL","OPEN","BLOCKED"))</x:f>
        <x:v>OPEN</x:v>
      </x:c>
      <x:c r="G2693" t="str">
        <x:v>equals</x:v>
      </x:c>
      <x:c r="H2693" t="str">
        <x:f>IF(E2693=F2693,"PASS","FAIL")</x:f>
        <x:v>PASS</x:v>
      </x:c>
    </x:row>
    <x:row r="2694">
      <x:c r="B2694" t="str">
        <x:v>A-02648</x:v>
      </x:c>
      <x:c r="C2694" t="str">
        <x:v>GATE</x:v>
      </x:c>
      <x:c r="D2694" t="str">
        <x:v>release state mirrors governing ledger</x:v>
      </x:c>
      <x:c r="E2694" t="str">
        <x:f>'Release Gates'!I2654</x:f>
        <x:v>OPEN</x:v>
      </x:c>
      <x:c r="F2694" t="str">
        <x:f>IF('Release Gates'!C2654="PLANNING","PASS",IF('Release Gates'!C2654="PHYSICAL","OPEN","BLOCKED"))</x:f>
        <x:v>OPEN</x:v>
      </x:c>
      <x:c r="G2694" t="str">
        <x:v>equals</x:v>
      </x:c>
      <x:c r="H2694" t="str">
        <x:f>IF(E2694=F2694,"PASS","FAIL")</x:f>
        <x:v>PASS</x:v>
      </x:c>
    </x:row>
    <x:row r="2695">
      <x:c r="B2695" t="str">
        <x:v>A-02649</x:v>
      </x:c>
      <x:c r="C2695" t="str">
        <x:v>GATE</x:v>
      </x:c>
      <x:c r="D2695" t="str">
        <x:v>release state mirrors governing ledger</x:v>
      </x:c>
      <x:c r="E2695" t="str">
        <x:f>'Release Gates'!I2655</x:f>
        <x:v>OPEN</x:v>
      </x:c>
      <x:c r="F2695" t="str">
        <x:f>IF('Release Gates'!C2655="PLANNING","PASS",IF('Release Gates'!C2655="PHYSICAL","OPEN","BLOCKED"))</x:f>
        <x:v>OPEN</x:v>
      </x:c>
      <x:c r="G2695" t="str">
        <x:v>equals</x:v>
      </x:c>
      <x:c r="H2695" t="str">
        <x:f>IF(E2695=F2695,"PASS","FAIL")</x:f>
        <x:v>PASS</x:v>
      </x:c>
    </x:row>
    <x:row r="2696">
      <x:c r="B2696" t="str">
        <x:v>A-02650</x:v>
      </x:c>
      <x:c r="C2696" t="str">
        <x:v>GATE</x:v>
      </x:c>
      <x:c r="D2696" t="str">
        <x:v>release state mirrors governing ledger</x:v>
      </x:c>
      <x:c r="E2696" t="str">
        <x:f>'Release Gates'!I2656</x:f>
        <x:v>OPEN</x:v>
      </x:c>
      <x:c r="F2696" t="str">
        <x:f>IF('Release Gates'!C2656="PLANNING","PASS",IF('Release Gates'!C2656="PHYSICAL","OPEN","BLOCKED"))</x:f>
        <x:v>OPEN</x:v>
      </x:c>
      <x:c r="G2696" t="str">
        <x:v>equals</x:v>
      </x:c>
      <x:c r="H2696" t="str">
        <x:f>IF(E2696=F2696,"PASS","FAIL")</x:f>
        <x:v>PASS</x:v>
      </x:c>
    </x:row>
    <x:row r="2697">
      <x:c r="B2697" t="str">
        <x:v>A-02651</x:v>
      </x:c>
      <x:c r="C2697" t="str">
        <x:v>GATE</x:v>
      </x:c>
      <x:c r="D2697" t="str">
        <x:v>release state mirrors governing ledger</x:v>
      </x:c>
      <x:c r="E2697" t="str">
        <x:f>'Release Gates'!I2657</x:f>
        <x:v>OPEN</x:v>
      </x:c>
      <x:c r="F2697" t="str">
        <x:f>IF('Release Gates'!C2657="PLANNING","PASS",IF('Release Gates'!C2657="PHYSICAL","OPEN","BLOCKED"))</x:f>
        <x:v>OPEN</x:v>
      </x:c>
      <x:c r="G2697" t="str">
        <x:v>equals</x:v>
      </x:c>
      <x:c r="H2697" t="str">
        <x:f>IF(E2697=F2697,"PASS","FAIL")</x:f>
        <x:v>PASS</x:v>
      </x:c>
    </x:row>
    <x:row r="2698">
      <x:c r="B2698" t="str">
        <x:v>A-02652</x:v>
      </x:c>
      <x:c r="C2698" t="str">
        <x:v>GATE</x:v>
      </x:c>
      <x:c r="D2698" t="str">
        <x:v>release state mirrors governing ledger</x:v>
      </x:c>
      <x:c r="E2698" t="str">
        <x:f>'Release Gates'!I2658</x:f>
        <x:v>OPEN</x:v>
      </x:c>
      <x:c r="F2698" t="str">
        <x:f>IF('Release Gates'!C2658="PLANNING","PASS",IF('Release Gates'!C2658="PHYSICAL","OPEN","BLOCKED"))</x:f>
        <x:v>OPEN</x:v>
      </x:c>
      <x:c r="G2698" t="str">
        <x:v>equals</x:v>
      </x:c>
      <x:c r="H2698" t="str">
        <x:f>IF(E2698=F2698,"PASS","FAIL")</x:f>
        <x:v>PASS</x:v>
      </x:c>
    </x:row>
    <x:row r="2699">
      <x:c r="B2699" t="str">
        <x:v>A-02653</x:v>
      </x:c>
      <x:c r="C2699" t="str">
        <x:v>GATE</x:v>
      </x:c>
      <x:c r="D2699" t="str">
        <x:v>release state mirrors governing ledger</x:v>
      </x:c>
      <x:c r="E2699" t="str">
        <x:f>'Release Gates'!I2659</x:f>
        <x:v>OPEN</x:v>
      </x:c>
      <x:c r="F2699" t="str">
        <x:f>IF('Release Gates'!C2659="PLANNING","PASS",IF('Release Gates'!C2659="PHYSICAL","OPEN","BLOCKED"))</x:f>
        <x:v>OPEN</x:v>
      </x:c>
      <x:c r="G2699" t="str">
        <x:v>equals</x:v>
      </x:c>
      <x:c r="H2699" t="str">
        <x:f>IF(E2699=F2699,"PASS","FAIL")</x:f>
        <x:v>PASS</x:v>
      </x:c>
    </x:row>
    <x:row r="2700">
      <x:c r="B2700" t="str">
        <x:v>A-02654</x:v>
      </x:c>
      <x:c r="C2700" t="str">
        <x:v>GATE</x:v>
      </x:c>
      <x:c r="D2700" t="str">
        <x:v>release state mirrors governing ledger</x:v>
      </x:c>
      <x:c r="E2700" t="str">
        <x:f>'Release Gates'!I2660</x:f>
        <x:v>OPEN</x:v>
      </x:c>
      <x:c r="F2700" t="str">
        <x:f>IF('Release Gates'!C2660="PLANNING","PASS",IF('Release Gates'!C2660="PHYSICAL","OPEN","BLOCKED"))</x:f>
        <x:v>OPEN</x:v>
      </x:c>
      <x:c r="G2700" t="str">
        <x:v>equals</x:v>
      </x:c>
      <x:c r="H2700" t="str">
        <x:f>IF(E2700=F2700,"PASS","FAIL")</x:f>
        <x:v>PASS</x:v>
      </x:c>
    </x:row>
    <x:row r="2701">
      <x:c r="B2701" t="str">
        <x:v>A-02655</x:v>
      </x:c>
      <x:c r="C2701" t="str">
        <x:v>GATE</x:v>
      </x:c>
      <x:c r="D2701" t="str">
        <x:v>release state mirrors governing ledger</x:v>
      </x:c>
      <x:c r="E2701" t="str">
        <x:f>'Release Gates'!I2661</x:f>
        <x:v>OPEN</x:v>
      </x:c>
      <x:c r="F2701" t="str">
        <x:f>IF('Release Gates'!C2661="PLANNING","PASS",IF('Release Gates'!C2661="PHYSICAL","OPEN","BLOCKED"))</x:f>
        <x:v>OPEN</x:v>
      </x:c>
      <x:c r="G2701" t="str">
        <x:v>equals</x:v>
      </x:c>
      <x:c r="H2701" t="str">
        <x:f>IF(E2701=F2701,"PASS","FAIL")</x:f>
        <x:v>PASS</x:v>
      </x:c>
    </x:row>
    <x:row r="2702">
      <x:c r="B2702" t="str">
        <x:v>A-02656</x:v>
      </x:c>
      <x:c r="C2702" t="str">
        <x:v>GATE</x:v>
      </x:c>
      <x:c r="D2702" t="str">
        <x:v>release state mirrors governing ledger</x:v>
      </x:c>
      <x:c r="E2702" t="str">
        <x:f>'Release Gates'!I2662</x:f>
        <x:v>OPEN</x:v>
      </x:c>
      <x:c r="F2702" t="str">
        <x:f>IF('Release Gates'!C2662="PLANNING","PASS",IF('Release Gates'!C2662="PHYSICAL","OPEN","BLOCKED"))</x:f>
        <x:v>OPEN</x:v>
      </x:c>
      <x:c r="G2702" t="str">
        <x:v>equals</x:v>
      </x:c>
      <x:c r="H2702" t="str">
        <x:f>IF(E2702=F2702,"PASS","FAIL")</x:f>
        <x:v>PASS</x:v>
      </x:c>
    </x:row>
    <x:row r="2703">
      <x:c r="B2703" t="str">
        <x:v>A-02657</x:v>
      </x:c>
      <x:c r="C2703" t="str">
        <x:v>GATE</x:v>
      </x:c>
      <x:c r="D2703" t="str">
        <x:v>release state mirrors governing ledger</x:v>
      </x:c>
      <x:c r="E2703" t="str">
        <x:f>'Release Gates'!I2663</x:f>
        <x:v>OPEN</x:v>
      </x:c>
      <x:c r="F2703" t="str">
        <x:f>IF('Release Gates'!C2663="PLANNING","PASS",IF('Release Gates'!C2663="PHYSICAL","OPEN","BLOCKED"))</x:f>
        <x:v>OPEN</x:v>
      </x:c>
      <x:c r="G2703" t="str">
        <x:v>equals</x:v>
      </x:c>
      <x:c r="H2703" t="str">
        <x:f>IF(E2703=F2703,"PASS","FAIL")</x:f>
        <x:v>PASS</x:v>
      </x:c>
    </x:row>
    <x:row r="2704">
      <x:c r="B2704" t="str">
        <x:v>A-02658</x:v>
      </x:c>
      <x:c r="C2704" t="str">
        <x:v>GATE</x:v>
      </x:c>
      <x:c r="D2704" t="str">
        <x:v>release state mirrors governing ledger</x:v>
      </x:c>
      <x:c r="E2704" t="str">
        <x:f>'Release Gates'!I2664</x:f>
        <x:v>OPEN</x:v>
      </x:c>
      <x:c r="F2704" t="str">
        <x:f>IF('Release Gates'!C2664="PLANNING","PASS",IF('Release Gates'!C2664="PHYSICAL","OPEN","BLOCKED"))</x:f>
        <x:v>OPEN</x:v>
      </x:c>
      <x:c r="G2704" t="str">
        <x:v>equals</x:v>
      </x:c>
      <x:c r="H2704" t="str">
        <x:f>IF(E2704=F2704,"PASS","FAIL")</x:f>
        <x:v>PASS</x:v>
      </x:c>
    </x:row>
    <x:row r="2705">
      <x:c r="B2705" t="str">
        <x:v>A-02659</x:v>
      </x:c>
      <x:c r="C2705" t="str">
        <x:v>GATE</x:v>
      </x:c>
      <x:c r="D2705" t="str">
        <x:v>release state mirrors governing ledger</x:v>
      </x:c>
      <x:c r="E2705" t="str">
        <x:f>'Release Gates'!I2665</x:f>
        <x:v>OPEN</x:v>
      </x:c>
      <x:c r="F2705" t="str">
        <x:f>IF('Release Gates'!C2665="PLANNING","PASS",IF('Release Gates'!C2665="PHYSICAL","OPEN","BLOCKED"))</x:f>
        <x:v>OPEN</x:v>
      </x:c>
      <x:c r="G2705" t="str">
        <x:v>equals</x:v>
      </x:c>
      <x:c r="H2705" t="str">
        <x:f>IF(E2705=F2705,"PASS","FAIL")</x:f>
        <x:v>PASS</x:v>
      </x:c>
    </x:row>
    <x:row r="2706">
      <x:c r="B2706" t="str">
        <x:v>A-02660</x:v>
      </x:c>
      <x:c r="C2706" t="str">
        <x:v>GATE</x:v>
      </x:c>
      <x:c r="D2706" t="str">
        <x:v>release state mirrors governing ledger</x:v>
      </x:c>
      <x:c r="E2706" t="str">
        <x:f>'Release Gates'!I2666</x:f>
        <x:v>OPEN</x:v>
      </x:c>
      <x:c r="F2706" t="str">
        <x:f>IF('Release Gates'!C2666="PLANNING","PASS",IF('Release Gates'!C2666="PHYSICAL","OPEN","BLOCKED"))</x:f>
        <x:v>OPEN</x:v>
      </x:c>
      <x:c r="G2706" t="str">
        <x:v>equals</x:v>
      </x:c>
      <x:c r="H2706" t="str">
        <x:f>IF(E2706=F2706,"PASS","FAIL")</x:f>
        <x:v>PASS</x:v>
      </x:c>
    </x:row>
    <x:row r="2707">
      <x:c r="B2707" t="str">
        <x:v>A-02661</x:v>
      </x:c>
      <x:c r="C2707" t="str">
        <x:v>GATE</x:v>
      </x:c>
      <x:c r="D2707" t="str">
        <x:v>release state mirrors governing ledger</x:v>
      </x:c>
      <x:c r="E2707" t="str">
        <x:f>'Release Gates'!I2667</x:f>
        <x:v>OPEN</x:v>
      </x:c>
      <x:c r="F2707" t="str">
        <x:f>IF('Release Gates'!C2667="PLANNING","PASS",IF('Release Gates'!C2667="PHYSICAL","OPEN","BLOCKED"))</x:f>
        <x:v>OPEN</x:v>
      </x:c>
      <x:c r="G2707" t="str">
        <x:v>equals</x:v>
      </x:c>
      <x:c r="H2707" t="str">
        <x:f>IF(E2707=F2707,"PASS","FAIL")</x:f>
        <x:v>PASS</x:v>
      </x:c>
    </x:row>
    <x:row r="2708">
      <x:c r="B2708" t="str">
        <x:v>A-02662</x:v>
      </x:c>
      <x:c r="C2708" t="str">
        <x:v>GATE</x:v>
      </x:c>
      <x:c r="D2708" t="str">
        <x:v>release state mirrors governing ledger</x:v>
      </x:c>
      <x:c r="E2708" t="str">
        <x:f>'Release Gates'!I2668</x:f>
        <x:v>OPEN</x:v>
      </x:c>
      <x:c r="F2708" t="str">
        <x:f>IF('Release Gates'!C2668="PLANNING","PASS",IF('Release Gates'!C2668="PHYSICAL","OPEN","BLOCKED"))</x:f>
        <x:v>OPEN</x:v>
      </x:c>
      <x:c r="G2708" t="str">
        <x:v>equals</x:v>
      </x:c>
      <x:c r="H2708" t="str">
        <x:f>IF(E2708=F2708,"PASS","FAIL")</x:f>
        <x:v>PASS</x:v>
      </x:c>
    </x:row>
    <x:row r="2709">
      <x:c r="B2709" t="str">
        <x:v>A-02663</x:v>
      </x:c>
      <x:c r="C2709" t="str">
        <x:v>GATE</x:v>
      </x:c>
      <x:c r="D2709" t="str">
        <x:v>release state mirrors governing ledger</x:v>
      </x:c>
      <x:c r="E2709" t="str">
        <x:f>'Release Gates'!I2669</x:f>
        <x:v>OPEN</x:v>
      </x:c>
      <x:c r="F2709" t="str">
        <x:f>IF('Release Gates'!C2669="PLANNING","PASS",IF('Release Gates'!C2669="PHYSICAL","OPEN","BLOCKED"))</x:f>
        <x:v>OPEN</x:v>
      </x:c>
      <x:c r="G2709" t="str">
        <x:v>equals</x:v>
      </x:c>
      <x:c r="H2709" t="str">
        <x:f>IF(E2709=F2709,"PASS","FAIL")</x:f>
        <x:v>PASS</x:v>
      </x:c>
    </x:row>
    <x:row r="2710">
      <x:c r="B2710" t="str">
        <x:v>A-02664</x:v>
      </x:c>
      <x:c r="C2710" t="str">
        <x:v>GATE</x:v>
      </x:c>
      <x:c r="D2710" t="str">
        <x:v>release state mirrors governing ledger</x:v>
      </x:c>
      <x:c r="E2710" t="str">
        <x:f>'Release Gates'!I2670</x:f>
        <x:v>OPEN</x:v>
      </x:c>
      <x:c r="F2710" t="str">
        <x:f>IF('Release Gates'!C2670="PLANNING","PASS",IF('Release Gates'!C2670="PHYSICAL","OPEN","BLOCKED"))</x:f>
        <x:v>OPEN</x:v>
      </x:c>
      <x:c r="G2710" t="str">
        <x:v>equals</x:v>
      </x:c>
      <x:c r="H2710" t="str">
        <x:f>IF(E2710=F2710,"PASS","FAIL")</x:f>
        <x:v>PASS</x:v>
      </x:c>
    </x:row>
    <x:row r="2711">
      <x:c r="B2711" t="str">
        <x:v>A-02665</x:v>
      </x:c>
      <x:c r="C2711" t="str">
        <x:v>GATE</x:v>
      </x:c>
      <x:c r="D2711" t="str">
        <x:v>release state mirrors governing ledger</x:v>
      </x:c>
      <x:c r="E2711" t="str">
        <x:f>'Release Gates'!I2671</x:f>
        <x:v>OPEN</x:v>
      </x:c>
      <x:c r="F2711" t="str">
        <x:f>IF('Release Gates'!C2671="PLANNING","PASS",IF('Release Gates'!C2671="PHYSICAL","OPEN","BLOCKED"))</x:f>
        <x:v>OPEN</x:v>
      </x:c>
      <x:c r="G2711" t="str">
        <x:v>equals</x:v>
      </x:c>
      <x:c r="H2711" t="str">
        <x:f>IF(E2711=F2711,"PASS","FAIL")</x:f>
        <x:v>PASS</x:v>
      </x:c>
    </x:row>
    <x:row r="2712">
      <x:c r="B2712" t="str">
        <x:v>A-02666</x:v>
      </x:c>
      <x:c r="C2712" t="str">
        <x:v>GATE</x:v>
      </x:c>
      <x:c r="D2712" t="str">
        <x:v>release state mirrors governing ledger</x:v>
      </x:c>
      <x:c r="E2712" t="str">
        <x:f>'Release Gates'!I2672</x:f>
        <x:v>OPEN</x:v>
      </x:c>
      <x:c r="F2712" t="str">
        <x:f>IF('Release Gates'!C2672="PLANNING","PASS",IF('Release Gates'!C2672="PHYSICAL","OPEN","BLOCKED"))</x:f>
        <x:v>OPEN</x:v>
      </x:c>
      <x:c r="G2712" t="str">
        <x:v>equals</x:v>
      </x:c>
      <x:c r="H2712" t="str">
        <x:f>IF(E2712=F2712,"PASS","FAIL")</x:f>
        <x:v>PASS</x:v>
      </x:c>
    </x:row>
    <x:row r="2713">
      <x:c r="B2713" t="str">
        <x:v>A-02667</x:v>
      </x:c>
      <x:c r="C2713" t="str">
        <x:v>GATE</x:v>
      </x:c>
      <x:c r="D2713" t="str">
        <x:v>release state mirrors governing ledger</x:v>
      </x:c>
      <x:c r="E2713" t="str">
        <x:f>'Release Gates'!I2673</x:f>
        <x:v>OPEN</x:v>
      </x:c>
      <x:c r="F2713" t="str">
        <x:f>IF('Release Gates'!C2673="PLANNING","PASS",IF('Release Gates'!C2673="PHYSICAL","OPEN","BLOCKED"))</x:f>
        <x:v>OPEN</x:v>
      </x:c>
      <x:c r="G2713" t="str">
        <x:v>equals</x:v>
      </x:c>
      <x:c r="H2713" t="str">
        <x:f>IF(E2713=F2713,"PASS","FAIL")</x:f>
        <x:v>PASS</x:v>
      </x:c>
    </x:row>
    <x:row r="2714">
      <x:c r="B2714" t="str">
        <x:v>A-02668</x:v>
      </x:c>
      <x:c r="C2714" t="str">
        <x:v>GATE</x:v>
      </x:c>
      <x:c r="D2714" t="str">
        <x:v>release state mirrors governing ledger</x:v>
      </x:c>
      <x:c r="E2714" t="str">
        <x:f>'Release Gates'!I2674</x:f>
        <x:v>OPEN</x:v>
      </x:c>
      <x:c r="F2714" t="str">
        <x:f>IF('Release Gates'!C2674="PLANNING","PASS",IF('Release Gates'!C2674="PHYSICAL","OPEN","BLOCKED"))</x:f>
        <x:v>OPEN</x:v>
      </x:c>
      <x:c r="G2714" t="str">
        <x:v>equals</x:v>
      </x:c>
      <x:c r="H2714" t="str">
        <x:f>IF(E2714=F2714,"PASS","FAIL")</x:f>
        <x:v>PASS</x:v>
      </x:c>
    </x:row>
    <x:row r="2715">
      <x:c r="B2715" t="str">
        <x:v>A-02669</x:v>
      </x:c>
      <x:c r="C2715" t="str">
        <x:v>GATE</x:v>
      </x:c>
      <x:c r="D2715" t="str">
        <x:v>release state mirrors governing ledger</x:v>
      </x:c>
      <x:c r="E2715" t="str">
        <x:f>'Release Gates'!I2675</x:f>
        <x:v>OPEN</x:v>
      </x:c>
      <x:c r="F2715" t="str">
        <x:f>IF('Release Gates'!C2675="PLANNING","PASS",IF('Release Gates'!C2675="PHYSICAL","OPEN","BLOCKED"))</x:f>
        <x:v>OPEN</x:v>
      </x:c>
      <x:c r="G2715" t="str">
        <x:v>equals</x:v>
      </x:c>
      <x:c r="H2715" t="str">
        <x:f>IF(E2715=F2715,"PASS","FAIL")</x:f>
        <x:v>PASS</x:v>
      </x:c>
    </x:row>
    <x:row r="2716">
      <x:c r="B2716" t="str">
        <x:v>A-02670</x:v>
      </x:c>
      <x:c r="C2716" t="str">
        <x:v>GATE</x:v>
      </x:c>
      <x:c r="D2716" t="str">
        <x:v>release state mirrors governing ledger</x:v>
      </x:c>
      <x:c r="E2716" t="str">
        <x:f>'Release Gates'!I2676</x:f>
        <x:v>OPEN</x:v>
      </x:c>
      <x:c r="F2716" t="str">
        <x:f>IF('Release Gates'!C2676="PLANNING","PASS",IF('Release Gates'!C2676="PHYSICAL","OPEN","BLOCKED"))</x:f>
        <x:v>OPEN</x:v>
      </x:c>
      <x:c r="G2716" t="str">
        <x:v>equals</x:v>
      </x:c>
      <x:c r="H2716" t="str">
        <x:f>IF(E2716=F2716,"PASS","FAIL")</x:f>
        <x:v>PASS</x:v>
      </x:c>
    </x:row>
    <x:row r="2717">
      <x:c r="B2717" t="str">
        <x:v>A-02671</x:v>
      </x:c>
      <x:c r="C2717" t="str">
        <x:v>GATE</x:v>
      </x:c>
      <x:c r="D2717" t="str">
        <x:v>release state mirrors governing ledger</x:v>
      </x:c>
      <x:c r="E2717" t="str">
        <x:f>'Release Gates'!I2677</x:f>
        <x:v>OPEN</x:v>
      </x:c>
      <x:c r="F2717" t="str">
        <x:f>IF('Release Gates'!C2677="PLANNING","PASS",IF('Release Gates'!C2677="PHYSICAL","OPEN","BLOCKED"))</x:f>
        <x:v>OPEN</x:v>
      </x:c>
      <x:c r="G2717" t="str">
        <x:v>equals</x:v>
      </x:c>
      <x:c r="H2717" t="str">
        <x:f>IF(E2717=F2717,"PASS","FAIL")</x:f>
        <x:v>PASS</x:v>
      </x:c>
    </x:row>
    <x:row r="2718">
      <x:c r="B2718" t="str">
        <x:v>A-02672</x:v>
      </x:c>
      <x:c r="C2718" t="str">
        <x:v>GATE</x:v>
      </x:c>
      <x:c r="D2718" t="str">
        <x:v>release state mirrors governing ledger</x:v>
      </x:c>
      <x:c r="E2718" t="str">
        <x:f>'Release Gates'!I2678</x:f>
        <x:v>OPEN</x:v>
      </x:c>
      <x:c r="F2718" t="str">
        <x:f>IF('Release Gates'!C2678="PLANNING","PASS",IF('Release Gates'!C2678="PHYSICAL","OPEN","BLOCKED"))</x:f>
        <x:v>OPEN</x:v>
      </x:c>
      <x:c r="G2718" t="str">
        <x:v>equals</x:v>
      </x:c>
      <x:c r="H2718" t="str">
        <x:f>IF(E2718=F2718,"PASS","FAIL")</x:f>
        <x:v>PASS</x:v>
      </x:c>
    </x:row>
    <x:row r="2719">
      <x:c r="B2719" t="str">
        <x:v>A-02673</x:v>
      </x:c>
      <x:c r="C2719" t="str">
        <x:v>GATE</x:v>
      </x:c>
      <x:c r="D2719" t="str">
        <x:v>release state mirrors governing ledger</x:v>
      </x:c>
      <x:c r="E2719" t="str">
        <x:f>'Release Gates'!I2679</x:f>
        <x:v>OPEN</x:v>
      </x:c>
      <x:c r="F2719" t="str">
        <x:f>IF('Release Gates'!C2679="PLANNING","PASS",IF('Release Gates'!C2679="PHYSICAL","OPEN","BLOCKED"))</x:f>
        <x:v>OPEN</x:v>
      </x:c>
      <x:c r="G2719" t="str">
        <x:v>equals</x:v>
      </x:c>
      <x:c r="H2719" t="str">
        <x:f>IF(E2719=F2719,"PASS","FAIL")</x:f>
        <x:v>PASS</x:v>
      </x:c>
    </x:row>
    <x:row r="2720">
      <x:c r="B2720" t="str">
        <x:v>A-02674</x:v>
      </x:c>
      <x:c r="C2720" t="str">
        <x:v>GATE</x:v>
      </x:c>
      <x:c r="D2720" t="str">
        <x:v>release state mirrors governing ledger</x:v>
      </x:c>
      <x:c r="E2720" t="str">
        <x:f>'Release Gates'!I2680</x:f>
        <x:v>OPEN</x:v>
      </x:c>
      <x:c r="F2720" t="str">
        <x:f>IF('Release Gates'!C2680="PLANNING","PASS",IF('Release Gates'!C2680="PHYSICAL","OPEN","BLOCKED"))</x:f>
        <x:v>OPEN</x:v>
      </x:c>
      <x:c r="G2720" t="str">
        <x:v>equals</x:v>
      </x:c>
      <x:c r="H2720" t="str">
        <x:f>IF(E2720=F2720,"PASS","FAIL")</x:f>
        <x:v>PASS</x:v>
      </x:c>
    </x:row>
    <x:row r="2721">
      <x:c r="B2721" t="str">
        <x:v>A-02675</x:v>
      </x:c>
      <x:c r="C2721" t="str">
        <x:v>GATE</x:v>
      </x:c>
      <x:c r="D2721" t="str">
        <x:v>release state mirrors governing ledger</x:v>
      </x:c>
      <x:c r="E2721" t="str">
        <x:f>'Release Gates'!I2681</x:f>
        <x:v>OPEN</x:v>
      </x:c>
      <x:c r="F2721" t="str">
        <x:f>IF('Release Gates'!C2681="PLANNING","PASS",IF('Release Gates'!C2681="PHYSICAL","OPEN","BLOCKED"))</x:f>
        <x:v>OPEN</x:v>
      </x:c>
      <x:c r="G2721" t="str">
        <x:v>equals</x:v>
      </x:c>
      <x:c r="H2721" t="str">
        <x:f>IF(E2721=F2721,"PASS","FAIL")</x:f>
        <x:v>PASS</x:v>
      </x:c>
    </x:row>
    <x:row r="2722">
      <x:c r="B2722" t="str">
        <x:v>A-02676</x:v>
      </x:c>
      <x:c r="C2722" t="str">
        <x:v>GATE</x:v>
      </x:c>
      <x:c r="D2722" t="str">
        <x:v>release state mirrors governing ledger</x:v>
      </x:c>
      <x:c r="E2722" t="str">
        <x:f>'Release Gates'!I2682</x:f>
        <x:v>OPEN</x:v>
      </x:c>
      <x:c r="F2722" t="str">
        <x:f>IF('Release Gates'!C2682="PLANNING","PASS",IF('Release Gates'!C2682="PHYSICAL","OPEN","BLOCKED"))</x:f>
        <x:v>OPEN</x:v>
      </x:c>
      <x:c r="G2722" t="str">
        <x:v>equals</x:v>
      </x:c>
      <x:c r="H2722" t="str">
        <x:f>IF(E2722=F2722,"PASS","FAIL")</x:f>
        <x:v>PASS</x:v>
      </x:c>
    </x:row>
    <x:row r="2723">
      <x:c r="B2723" t="str">
        <x:v>A-02677</x:v>
      </x:c>
      <x:c r="C2723" t="str">
        <x:v>GATE</x:v>
      </x:c>
      <x:c r="D2723" t="str">
        <x:v>release state mirrors governing ledger</x:v>
      </x:c>
      <x:c r="E2723" t="str">
        <x:f>'Release Gates'!I2683</x:f>
        <x:v>OPEN</x:v>
      </x:c>
      <x:c r="F2723" t="str">
        <x:f>IF('Release Gates'!C2683="PLANNING","PASS",IF('Release Gates'!C2683="PHYSICAL","OPEN","BLOCKED"))</x:f>
        <x:v>OPEN</x:v>
      </x:c>
      <x:c r="G2723" t="str">
        <x:v>equals</x:v>
      </x:c>
      <x:c r="H2723" t="str">
        <x:f>IF(E2723=F2723,"PASS","FAIL")</x:f>
        <x:v>PASS</x:v>
      </x:c>
    </x:row>
    <x:row r="2724">
      <x:c r="B2724" t="str">
        <x:v>A-02678</x:v>
      </x:c>
      <x:c r="C2724" t="str">
        <x:v>GATE</x:v>
      </x:c>
      <x:c r="D2724" t="str">
        <x:v>release state mirrors governing ledger</x:v>
      </x:c>
      <x:c r="E2724" t="str">
        <x:f>'Release Gates'!I2684</x:f>
        <x:v>OPEN</x:v>
      </x:c>
      <x:c r="F2724" t="str">
        <x:f>IF('Release Gates'!C2684="PLANNING","PASS",IF('Release Gates'!C2684="PHYSICAL","OPEN","BLOCKED"))</x:f>
        <x:v>OPEN</x:v>
      </x:c>
      <x:c r="G2724" t="str">
        <x:v>equals</x:v>
      </x:c>
      <x:c r="H2724" t="str">
        <x:f>IF(E2724=F2724,"PASS","FAIL")</x:f>
        <x:v>PASS</x:v>
      </x:c>
    </x:row>
    <x:row r="2725">
      <x:c r="B2725" t="str">
        <x:v>A-02679</x:v>
      </x:c>
      <x:c r="C2725" t="str">
        <x:v>GATE</x:v>
      </x:c>
      <x:c r="D2725" t="str">
        <x:v>release state mirrors governing ledger</x:v>
      </x:c>
      <x:c r="E2725" t="str">
        <x:f>'Release Gates'!I2685</x:f>
        <x:v>OPEN</x:v>
      </x:c>
      <x:c r="F2725" t="str">
        <x:f>IF('Release Gates'!C2685="PLANNING","PASS",IF('Release Gates'!C2685="PHYSICAL","OPEN","BLOCKED"))</x:f>
        <x:v>OPEN</x:v>
      </x:c>
      <x:c r="G2725" t="str">
        <x:v>equals</x:v>
      </x:c>
      <x:c r="H2725" t="str">
        <x:f>IF(E2725=F2725,"PASS","FAIL")</x:f>
        <x:v>PASS</x:v>
      </x:c>
    </x:row>
    <x:row r="2726">
      <x:c r="B2726" t="str">
        <x:v>A-02680</x:v>
      </x:c>
      <x:c r="C2726" t="str">
        <x:v>GATE</x:v>
      </x:c>
      <x:c r="D2726" t="str">
        <x:v>release state mirrors governing ledger</x:v>
      </x:c>
      <x:c r="E2726" t="str">
        <x:f>'Release Gates'!I2686</x:f>
        <x:v>OPEN</x:v>
      </x:c>
      <x:c r="F2726" t="str">
        <x:f>IF('Release Gates'!C2686="PLANNING","PASS",IF('Release Gates'!C2686="PHYSICAL","OPEN","BLOCKED"))</x:f>
        <x:v>OPEN</x:v>
      </x:c>
      <x:c r="G2726" t="str">
        <x:v>equals</x:v>
      </x:c>
      <x:c r="H2726" t="str">
        <x:f>IF(E2726=F2726,"PASS","FAIL")</x:f>
        <x:v>PASS</x:v>
      </x:c>
    </x:row>
    <x:row r="2727">
      <x:c r="B2727" t="str">
        <x:v>A-02681</x:v>
      </x:c>
      <x:c r="C2727" t="str">
        <x:v>GATE</x:v>
      </x:c>
      <x:c r="D2727" t="str">
        <x:v>release state mirrors governing ledger</x:v>
      </x:c>
      <x:c r="E2727" t="str">
        <x:f>'Release Gates'!I2687</x:f>
        <x:v>OPEN</x:v>
      </x:c>
      <x:c r="F2727" t="str">
        <x:f>IF('Release Gates'!C2687="PLANNING","PASS",IF('Release Gates'!C2687="PHYSICAL","OPEN","BLOCKED"))</x:f>
        <x:v>OPEN</x:v>
      </x:c>
      <x:c r="G2727" t="str">
        <x:v>equals</x:v>
      </x:c>
      <x:c r="H2727" t="str">
        <x:f>IF(E2727=F2727,"PASS","FAIL")</x:f>
        <x:v>PASS</x:v>
      </x:c>
    </x:row>
    <x:row r="2728">
      <x:c r="B2728" t="str">
        <x:v>A-02682</x:v>
      </x:c>
      <x:c r="C2728" t="str">
        <x:v>GATE</x:v>
      </x:c>
      <x:c r="D2728" t="str">
        <x:v>release state mirrors governing ledger</x:v>
      </x:c>
      <x:c r="E2728" t="str">
        <x:f>'Release Gates'!I2688</x:f>
        <x:v>OPEN</x:v>
      </x:c>
      <x:c r="F2728" t="str">
        <x:f>IF('Release Gates'!C2688="PLANNING","PASS",IF('Release Gates'!C2688="PHYSICAL","OPEN","BLOCKED"))</x:f>
        <x:v>OPEN</x:v>
      </x:c>
      <x:c r="G2728" t="str">
        <x:v>equals</x:v>
      </x:c>
      <x:c r="H2728" t="str">
        <x:f>IF(E2728=F2728,"PASS","FAIL")</x:f>
        <x:v>PASS</x:v>
      </x:c>
    </x:row>
    <x:row r="2729">
      <x:c r="B2729" t="str">
        <x:v>A-02683</x:v>
      </x:c>
      <x:c r="C2729" t="str">
        <x:v>GATE</x:v>
      </x:c>
      <x:c r="D2729" t="str">
        <x:v>release state mirrors governing ledger</x:v>
      </x:c>
      <x:c r="E2729" t="str">
        <x:f>'Release Gates'!I2689</x:f>
        <x:v>OPEN</x:v>
      </x:c>
      <x:c r="F2729" t="str">
        <x:f>IF('Release Gates'!C2689="PLANNING","PASS",IF('Release Gates'!C2689="PHYSICAL","OPEN","BLOCKED"))</x:f>
        <x:v>OPEN</x:v>
      </x:c>
      <x:c r="G2729" t="str">
        <x:v>equals</x:v>
      </x:c>
      <x:c r="H2729" t="str">
        <x:f>IF(E2729=F2729,"PASS","FAIL")</x:f>
        <x:v>PASS</x:v>
      </x:c>
    </x:row>
    <x:row r="2730">
      <x:c r="B2730" t="str">
        <x:v>A-02684</x:v>
      </x:c>
      <x:c r="C2730" t="str">
        <x:v>GATE</x:v>
      </x:c>
      <x:c r="D2730" t="str">
        <x:v>release state mirrors governing ledger</x:v>
      </x:c>
      <x:c r="E2730" t="str">
        <x:f>'Release Gates'!I2690</x:f>
        <x:v>OPEN</x:v>
      </x:c>
      <x:c r="F2730" t="str">
        <x:f>IF('Release Gates'!C2690="PLANNING","PASS",IF('Release Gates'!C2690="PHYSICAL","OPEN","BLOCKED"))</x:f>
        <x:v>OPEN</x:v>
      </x:c>
      <x:c r="G2730" t="str">
        <x:v>equals</x:v>
      </x:c>
      <x:c r="H2730" t="str">
        <x:f>IF(E2730=F2730,"PASS","FAIL")</x:f>
        <x:v>PASS</x:v>
      </x:c>
    </x:row>
    <x:row r="2731">
      <x:c r="B2731" t="str">
        <x:v>A-02685</x:v>
      </x:c>
      <x:c r="C2731" t="str">
        <x:v>GATE</x:v>
      </x:c>
      <x:c r="D2731" t="str">
        <x:v>release state mirrors governing ledger</x:v>
      </x:c>
      <x:c r="E2731" t="str">
        <x:f>'Release Gates'!I2691</x:f>
        <x:v>OPEN</x:v>
      </x:c>
      <x:c r="F2731" t="str">
        <x:f>IF('Release Gates'!C2691="PLANNING","PASS",IF('Release Gates'!C2691="PHYSICAL","OPEN","BLOCKED"))</x:f>
        <x:v>OPEN</x:v>
      </x:c>
      <x:c r="G2731" t="str">
        <x:v>equals</x:v>
      </x:c>
      <x:c r="H2731" t="str">
        <x:f>IF(E2731=F2731,"PASS","FAIL")</x:f>
        <x:v>PASS</x:v>
      </x:c>
    </x:row>
    <x:row r="2732">
      <x:c r="B2732" t="str">
        <x:v>A-02686</x:v>
      </x:c>
      <x:c r="C2732" t="str">
        <x:v>GATE</x:v>
      </x:c>
      <x:c r="D2732" t="str">
        <x:v>release state mirrors governing ledger</x:v>
      </x:c>
      <x:c r="E2732" t="str">
        <x:f>'Release Gates'!I2692</x:f>
        <x:v>OPEN</x:v>
      </x:c>
      <x:c r="F2732" t="str">
        <x:f>IF('Release Gates'!C2692="PLANNING","PASS",IF('Release Gates'!C2692="PHYSICAL","OPEN","BLOCKED"))</x:f>
        <x:v>OPEN</x:v>
      </x:c>
      <x:c r="G2732" t="str">
        <x:v>equals</x:v>
      </x:c>
      <x:c r="H2732" t="str">
        <x:f>IF(E2732=F2732,"PASS","FAIL")</x:f>
        <x:v>PASS</x:v>
      </x:c>
    </x:row>
    <x:row r="2733">
      <x:c r="B2733" t="str">
        <x:v>A-02687</x:v>
      </x:c>
      <x:c r="C2733" t="str">
        <x:v>GATE</x:v>
      </x:c>
      <x:c r="D2733" t="str">
        <x:v>release state mirrors governing ledger</x:v>
      </x:c>
      <x:c r="E2733" t="str">
        <x:f>'Release Gates'!I2693</x:f>
        <x:v>OPEN</x:v>
      </x:c>
      <x:c r="F2733" t="str">
        <x:f>IF('Release Gates'!C2693="PLANNING","PASS",IF('Release Gates'!C2693="PHYSICAL","OPEN","BLOCKED"))</x:f>
        <x:v>OPEN</x:v>
      </x:c>
      <x:c r="G2733" t="str">
        <x:v>equals</x:v>
      </x:c>
      <x:c r="H2733" t="str">
        <x:f>IF(E2733=F2733,"PASS","FAIL")</x:f>
        <x:v>PASS</x:v>
      </x:c>
    </x:row>
    <x:row r="2734">
      <x:c r="B2734" t="str">
        <x:v>A-02688</x:v>
      </x:c>
      <x:c r="C2734" t="str">
        <x:v>GATE</x:v>
      </x:c>
      <x:c r="D2734" t="str">
        <x:v>release state mirrors governing ledger</x:v>
      </x:c>
      <x:c r="E2734" t="str">
        <x:f>'Release Gates'!I2694</x:f>
        <x:v>OPEN</x:v>
      </x:c>
      <x:c r="F2734" t="str">
        <x:f>IF('Release Gates'!C2694="PLANNING","PASS",IF('Release Gates'!C2694="PHYSICAL","OPEN","BLOCKED"))</x:f>
        <x:v>OPEN</x:v>
      </x:c>
      <x:c r="G2734" t="str">
        <x:v>equals</x:v>
      </x:c>
      <x:c r="H2734" t="str">
        <x:f>IF(E2734=F2734,"PASS","FAIL")</x:f>
        <x:v>PASS</x:v>
      </x:c>
    </x:row>
    <x:row r="2735">
      <x:c r="B2735" t="str">
        <x:v>A-02689</x:v>
      </x:c>
      <x:c r="C2735" t="str">
        <x:v>GATE</x:v>
      </x:c>
      <x:c r="D2735" t="str">
        <x:v>release state mirrors governing ledger</x:v>
      </x:c>
      <x:c r="E2735" t="str">
        <x:f>'Release Gates'!I2695</x:f>
        <x:v>OPEN</x:v>
      </x:c>
      <x:c r="F2735" t="str">
        <x:f>IF('Release Gates'!C2695="PLANNING","PASS",IF('Release Gates'!C2695="PHYSICAL","OPEN","BLOCKED"))</x:f>
        <x:v>OPEN</x:v>
      </x:c>
      <x:c r="G2735" t="str">
        <x:v>equals</x:v>
      </x:c>
      <x:c r="H2735" t="str">
        <x:f>IF(E2735=F2735,"PASS","FAIL")</x:f>
        <x:v>PASS</x:v>
      </x:c>
    </x:row>
    <x:row r="2736">
      <x:c r="B2736" t="str">
        <x:v>A-02690</x:v>
      </x:c>
      <x:c r="C2736" t="str">
        <x:v>GATE</x:v>
      </x:c>
      <x:c r="D2736" t="str">
        <x:v>release state mirrors governing ledger</x:v>
      </x:c>
      <x:c r="E2736" t="str">
        <x:f>'Release Gates'!I2696</x:f>
        <x:v>OPEN</x:v>
      </x:c>
      <x:c r="F2736" t="str">
        <x:f>IF('Release Gates'!C2696="PLANNING","PASS",IF('Release Gates'!C2696="PHYSICAL","OPEN","BLOCKED"))</x:f>
        <x:v>OPEN</x:v>
      </x:c>
      <x:c r="G2736" t="str">
        <x:v>equals</x:v>
      </x:c>
      <x:c r="H2736" t="str">
        <x:f>IF(E2736=F2736,"PASS","FAIL")</x:f>
        <x:v>PASS</x:v>
      </x:c>
    </x:row>
    <x:row r="2737">
      <x:c r="B2737" t="str">
        <x:v>A-02691</x:v>
      </x:c>
      <x:c r="C2737" t="str">
        <x:v>GATE</x:v>
      </x:c>
      <x:c r="D2737" t="str">
        <x:v>release state mirrors governing ledger</x:v>
      </x:c>
      <x:c r="E2737" t="str">
        <x:f>'Release Gates'!I2697</x:f>
        <x:v>OPEN</x:v>
      </x:c>
      <x:c r="F2737" t="str">
        <x:f>IF('Release Gates'!C2697="PLANNING","PASS",IF('Release Gates'!C2697="PHYSICAL","OPEN","BLOCKED"))</x:f>
        <x:v>OPEN</x:v>
      </x:c>
      <x:c r="G2737" t="str">
        <x:v>equals</x:v>
      </x:c>
      <x:c r="H2737" t="str">
        <x:f>IF(E2737=F2737,"PASS","FAIL")</x:f>
        <x:v>PASS</x:v>
      </x:c>
    </x:row>
    <x:row r="2738">
      <x:c r="B2738" t="str">
        <x:v>A-02692</x:v>
      </x:c>
      <x:c r="C2738" t="str">
        <x:v>GATE</x:v>
      </x:c>
      <x:c r="D2738" t="str">
        <x:v>release state mirrors governing ledger</x:v>
      </x:c>
      <x:c r="E2738" t="str">
        <x:f>'Release Gates'!I2698</x:f>
        <x:v>OPEN</x:v>
      </x:c>
      <x:c r="F2738" t="str">
        <x:f>IF('Release Gates'!C2698="PLANNING","PASS",IF('Release Gates'!C2698="PHYSICAL","OPEN","BLOCKED"))</x:f>
        <x:v>OPEN</x:v>
      </x:c>
      <x:c r="G2738" t="str">
        <x:v>equals</x:v>
      </x:c>
      <x:c r="H2738" t="str">
        <x:f>IF(E2738=F2738,"PASS","FAIL")</x:f>
        <x:v>PASS</x:v>
      </x:c>
    </x:row>
    <x:row r="2739">
      <x:c r="B2739" t="str">
        <x:v>A-02693</x:v>
      </x:c>
      <x:c r="C2739" t="str">
        <x:v>GATE</x:v>
      </x:c>
      <x:c r="D2739" t="str">
        <x:v>release state mirrors governing ledger</x:v>
      </x:c>
      <x:c r="E2739" t="str">
        <x:f>'Release Gates'!I2699</x:f>
        <x:v>OPEN</x:v>
      </x:c>
      <x:c r="F2739" t="str">
        <x:f>IF('Release Gates'!C2699="PLANNING","PASS",IF('Release Gates'!C2699="PHYSICAL","OPEN","BLOCKED"))</x:f>
        <x:v>OPEN</x:v>
      </x:c>
      <x:c r="G2739" t="str">
        <x:v>equals</x:v>
      </x:c>
      <x:c r="H2739" t="str">
        <x:f>IF(E2739=F2739,"PASS","FAIL")</x:f>
        <x:v>PASS</x:v>
      </x:c>
    </x:row>
    <x:row r="2740">
      <x:c r="B2740" t="str">
        <x:v>A-02694</x:v>
      </x:c>
      <x:c r="C2740" t="str">
        <x:v>GATE</x:v>
      </x:c>
      <x:c r="D2740" t="str">
        <x:v>release state mirrors governing ledger</x:v>
      </x:c>
      <x:c r="E2740" t="str">
        <x:f>'Release Gates'!I2700</x:f>
        <x:v>OPEN</x:v>
      </x:c>
      <x:c r="F2740" t="str">
        <x:f>IF('Release Gates'!C2700="PLANNING","PASS",IF('Release Gates'!C2700="PHYSICAL","OPEN","BLOCKED"))</x:f>
        <x:v>OPEN</x:v>
      </x:c>
      <x:c r="G2740" t="str">
        <x:v>equals</x:v>
      </x:c>
      <x:c r="H2740" t="str">
        <x:f>IF(E2740=F2740,"PASS","FAIL")</x:f>
        <x:v>PASS</x:v>
      </x:c>
    </x:row>
    <x:row r="2741">
      <x:c r="B2741" t="str">
        <x:v>A-02695</x:v>
      </x:c>
      <x:c r="C2741" t="str">
        <x:v>GATE</x:v>
      </x:c>
      <x:c r="D2741" t="str">
        <x:v>release state mirrors governing ledger</x:v>
      </x:c>
      <x:c r="E2741" t="str">
        <x:f>'Release Gates'!I2701</x:f>
        <x:v>OPEN</x:v>
      </x:c>
      <x:c r="F2741" t="str">
        <x:f>IF('Release Gates'!C2701="PLANNING","PASS",IF('Release Gates'!C2701="PHYSICAL","OPEN","BLOCKED"))</x:f>
        <x:v>OPEN</x:v>
      </x:c>
      <x:c r="G2741" t="str">
        <x:v>equals</x:v>
      </x:c>
      <x:c r="H2741" t="str">
        <x:f>IF(E2741=F2741,"PASS","FAIL")</x:f>
        <x:v>PASS</x:v>
      </x:c>
    </x:row>
    <x:row r="2742">
      <x:c r="B2742" t="str">
        <x:v>A-02696</x:v>
      </x:c>
      <x:c r="C2742" t="str">
        <x:v>GATE</x:v>
      </x:c>
      <x:c r="D2742" t="str">
        <x:v>release state mirrors governing ledger</x:v>
      </x:c>
      <x:c r="E2742" t="str">
        <x:f>'Release Gates'!I2702</x:f>
        <x:v>OPEN</x:v>
      </x:c>
      <x:c r="F2742" t="str">
        <x:f>IF('Release Gates'!C2702="PLANNING","PASS",IF('Release Gates'!C2702="PHYSICAL","OPEN","BLOCKED"))</x:f>
        <x:v>OPEN</x:v>
      </x:c>
      <x:c r="G2742" t="str">
        <x:v>equals</x:v>
      </x:c>
      <x:c r="H2742" t="str">
        <x:f>IF(E2742=F2742,"PASS","FAIL")</x:f>
        <x:v>PASS</x:v>
      </x:c>
    </x:row>
    <x:row r="2743">
      <x:c r="B2743" t="str">
        <x:v>A-02697</x:v>
      </x:c>
      <x:c r="C2743" t="str">
        <x:v>GATE</x:v>
      </x:c>
      <x:c r="D2743" t="str">
        <x:v>release state mirrors governing ledger</x:v>
      </x:c>
      <x:c r="E2743" t="str">
        <x:f>'Release Gates'!I2703</x:f>
        <x:v>OPEN</x:v>
      </x:c>
      <x:c r="F2743" t="str">
        <x:f>IF('Release Gates'!C2703="PLANNING","PASS",IF('Release Gates'!C2703="PHYSICAL","OPEN","BLOCKED"))</x:f>
        <x:v>OPEN</x:v>
      </x:c>
      <x:c r="G2743" t="str">
        <x:v>equals</x:v>
      </x:c>
      <x:c r="H2743" t="str">
        <x:f>IF(E2743=F2743,"PASS","FAIL")</x:f>
        <x:v>PASS</x:v>
      </x:c>
    </x:row>
    <x:row r="2744">
      <x:c r="B2744" t="str">
        <x:v>A-02698</x:v>
      </x:c>
      <x:c r="C2744" t="str">
        <x:v>GATE</x:v>
      </x:c>
      <x:c r="D2744" t="str">
        <x:v>release state mirrors governing ledger</x:v>
      </x:c>
      <x:c r="E2744" t="str">
        <x:f>'Release Gates'!I2704</x:f>
        <x:v>OPEN</x:v>
      </x:c>
      <x:c r="F2744" t="str">
        <x:f>IF('Release Gates'!C2704="PLANNING","PASS",IF('Release Gates'!C2704="PHYSICAL","OPEN","BLOCKED"))</x:f>
        <x:v>OPEN</x:v>
      </x:c>
      <x:c r="G2744" t="str">
        <x:v>equals</x:v>
      </x:c>
      <x:c r="H2744" t="str">
        <x:f>IF(E2744=F2744,"PASS","FAIL")</x:f>
        <x:v>PASS</x:v>
      </x:c>
    </x:row>
    <x:row r="2745">
      <x:c r="B2745" t="str">
        <x:v>A-02699</x:v>
      </x:c>
      <x:c r="C2745" t="str">
        <x:v>GATE</x:v>
      </x:c>
      <x:c r="D2745" t="str">
        <x:v>release state mirrors governing ledger</x:v>
      </x:c>
      <x:c r="E2745" t="str">
        <x:f>'Release Gates'!I2705</x:f>
        <x:v>OPEN</x:v>
      </x:c>
      <x:c r="F2745" t="str">
        <x:f>IF('Release Gates'!C2705="PLANNING","PASS",IF('Release Gates'!C2705="PHYSICAL","OPEN","BLOCKED"))</x:f>
        <x:v>OPEN</x:v>
      </x:c>
      <x:c r="G2745" t="str">
        <x:v>equals</x:v>
      </x:c>
      <x:c r="H2745" t="str">
        <x:f>IF(E2745=F2745,"PASS","FAIL")</x:f>
        <x:v>PASS</x:v>
      </x:c>
    </x:row>
    <x:row r="2746">
      <x:c r="B2746" t="str">
        <x:v>A-02700</x:v>
      </x:c>
      <x:c r="C2746" t="str">
        <x:v>GATE</x:v>
      </x:c>
      <x:c r="D2746" t="str">
        <x:v>release state mirrors governing ledger</x:v>
      </x:c>
      <x:c r="E2746" t="str">
        <x:f>'Release Gates'!I2706</x:f>
        <x:v>OPEN</x:v>
      </x:c>
      <x:c r="F2746" t="str">
        <x:f>IF('Release Gates'!C2706="PLANNING","PASS",IF('Release Gates'!C2706="PHYSICAL","OPEN","BLOCKED"))</x:f>
        <x:v>OPEN</x:v>
      </x:c>
      <x:c r="G2746" t="str">
        <x:v>equals</x:v>
      </x:c>
      <x:c r="H2746" t="str">
        <x:f>IF(E2746=F2746,"PASS","FAIL")</x:f>
        <x:v>PASS</x:v>
      </x:c>
    </x:row>
    <x:row r="2747">
      <x:c r="B2747" t="str">
        <x:v>A-02701</x:v>
      </x:c>
      <x:c r="C2747" t="str">
        <x:v>GATE</x:v>
      </x:c>
      <x:c r="D2747" t="str">
        <x:v>release state mirrors governing ledger</x:v>
      </x:c>
      <x:c r="E2747" t="str">
        <x:f>'Release Gates'!I2707</x:f>
        <x:v>OPEN</x:v>
      </x:c>
      <x:c r="F2747" t="str">
        <x:f>IF('Release Gates'!C2707="PLANNING","PASS",IF('Release Gates'!C2707="PHYSICAL","OPEN","BLOCKED"))</x:f>
        <x:v>OPEN</x:v>
      </x:c>
      <x:c r="G2747" t="str">
        <x:v>equals</x:v>
      </x:c>
      <x:c r="H2747" t="str">
        <x:f>IF(E2747=F2747,"PASS","FAIL")</x:f>
        <x:v>PASS</x:v>
      </x:c>
    </x:row>
    <x:row r="2748">
      <x:c r="B2748" t="str">
        <x:v>A-02702</x:v>
      </x:c>
      <x:c r="C2748" t="str">
        <x:v>GATE</x:v>
      </x:c>
      <x:c r="D2748" t="str">
        <x:v>release state mirrors governing ledger</x:v>
      </x:c>
      <x:c r="E2748" t="str">
        <x:f>'Release Gates'!I2708</x:f>
        <x:v>OPEN</x:v>
      </x:c>
      <x:c r="F2748" t="str">
        <x:f>IF('Release Gates'!C2708="PLANNING","PASS",IF('Release Gates'!C2708="PHYSICAL","OPEN","BLOCKED"))</x:f>
        <x:v>OPEN</x:v>
      </x:c>
      <x:c r="G2748" t="str">
        <x:v>equals</x:v>
      </x:c>
      <x:c r="H2748" t="str">
        <x:f>IF(E2748=F2748,"PASS","FAIL")</x:f>
        <x:v>PASS</x:v>
      </x:c>
    </x:row>
    <x:row r="2749">
      <x:c r="B2749" t="str">
        <x:v>A-02703</x:v>
      </x:c>
      <x:c r="C2749" t="str">
        <x:v>GATE</x:v>
      </x:c>
      <x:c r="D2749" t="str">
        <x:v>release state mirrors governing ledger</x:v>
      </x:c>
      <x:c r="E2749" t="str">
        <x:f>'Release Gates'!I2709</x:f>
        <x:v>OPEN</x:v>
      </x:c>
      <x:c r="F2749" t="str">
        <x:f>IF('Release Gates'!C2709="PLANNING","PASS",IF('Release Gates'!C2709="PHYSICAL","OPEN","BLOCKED"))</x:f>
        <x:v>OPEN</x:v>
      </x:c>
      <x:c r="G2749" t="str">
        <x:v>equals</x:v>
      </x:c>
      <x:c r="H2749" t="str">
        <x:f>IF(E2749=F2749,"PASS","FAIL")</x:f>
        <x:v>PASS</x:v>
      </x:c>
    </x:row>
    <x:row r="2750">
      <x:c r="B2750" t="str">
        <x:v>A-02704</x:v>
      </x:c>
      <x:c r="C2750" t="str">
        <x:v>GATE</x:v>
      </x:c>
      <x:c r="D2750" t="str">
        <x:v>release state mirrors governing ledger</x:v>
      </x:c>
      <x:c r="E2750" t="str">
        <x:f>'Release Gates'!I2710</x:f>
        <x:v>OPEN</x:v>
      </x:c>
      <x:c r="F2750" t="str">
        <x:f>IF('Release Gates'!C2710="PLANNING","PASS",IF('Release Gates'!C2710="PHYSICAL","OPEN","BLOCKED"))</x:f>
        <x:v>OPEN</x:v>
      </x:c>
      <x:c r="G2750" t="str">
        <x:v>equals</x:v>
      </x:c>
      <x:c r="H2750" t="str">
        <x:f>IF(E2750=F2750,"PASS","FAIL")</x:f>
        <x:v>PASS</x:v>
      </x:c>
    </x:row>
    <x:row r="2751">
      <x:c r="B2751" t="str">
        <x:v>A-02705</x:v>
      </x:c>
      <x:c r="C2751" t="str">
        <x:v>GATE</x:v>
      </x:c>
      <x:c r="D2751" t="str">
        <x:v>release state mirrors governing ledger</x:v>
      </x:c>
      <x:c r="E2751" t="str">
        <x:f>'Release Gates'!I2711</x:f>
        <x:v>OPEN</x:v>
      </x:c>
      <x:c r="F2751" t="str">
        <x:f>IF('Release Gates'!C2711="PLANNING","PASS",IF('Release Gates'!C2711="PHYSICAL","OPEN","BLOCKED"))</x:f>
        <x:v>OPEN</x:v>
      </x:c>
      <x:c r="G2751" t="str">
        <x:v>equals</x:v>
      </x:c>
      <x:c r="H2751" t="str">
        <x:f>IF(E2751=F2751,"PASS","FAIL")</x:f>
        <x:v>PASS</x:v>
      </x:c>
    </x:row>
    <x:row r="2752">
      <x:c r="B2752" t="str">
        <x:v>A-02706</x:v>
      </x:c>
      <x:c r="C2752" t="str">
        <x:v>GATE</x:v>
      </x:c>
      <x:c r="D2752" t="str">
        <x:v>release state mirrors governing ledger</x:v>
      </x:c>
      <x:c r="E2752" t="str">
        <x:f>'Release Gates'!I2712</x:f>
        <x:v>OPEN</x:v>
      </x:c>
      <x:c r="F2752" t="str">
        <x:f>IF('Release Gates'!C2712="PLANNING","PASS",IF('Release Gates'!C2712="PHYSICAL","OPEN","BLOCKED"))</x:f>
        <x:v>OPEN</x:v>
      </x:c>
      <x:c r="G2752" t="str">
        <x:v>equals</x:v>
      </x:c>
      <x:c r="H2752" t="str">
        <x:f>IF(E2752=F2752,"PASS","FAIL")</x:f>
        <x:v>PASS</x:v>
      </x:c>
    </x:row>
    <x:row r="2753">
      <x:c r="B2753" t="str">
        <x:v>A-02707</x:v>
      </x:c>
      <x:c r="C2753" t="str">
        <x:v>GATE</x:v>
      </x:c>
      <x:c r="D2753" t="str">
        <x:v>release state mirrors governing ledger</x:v>
      </x:c>
      <x:c r="E2753" t="str">
        <x:f>'Release Gates'!I2713</x:f>
        <x:v>OPEN</x:v>
      </x:c>
      <x:c r="F2753" t="str">
        <x:f>IF('Release Gates'!C2713="PLANNING","PASS",IF('Release Gates'!C2713="PHYSICAL","OPEN","BLOCKED"))</x:f>
        <x:v>OPEN</x:v>
      </x:c>
      <x:c r="G2753" t="str">
        <x:v>equals</x:v>
      </x:c>
      <x:c r="H2753" t="str">
        <x:f>IF(E2753=F2753,"PASS","FAIL")</x:f>
        <x:v>PASS</x:v>
      </x:c>
    </x:row>
    <x:row r="2754">
      <x:c r="B2754" t="str">
        <x:v>A-02708</x:v>
      </x:c>
      <x:c r="C2754" t="str">
        <x:v>GATE</x:v>
      </x:c>
      <x:c r="D2754" t="str">
        <x:v>release state mirrors governing ledger</x:v>
      </x:c>
      <x:c r="E2754" t="str">
        <x:f>'Release Gates'!I2714</x:f>
        <x:v>OPEN</x:v>
      </x:c>
      <x:c r="F2754" t="str">
        <x:f>IF('Release Gates'!C2714="PLANNING","PASS",IF('Release Gates'!C2714="PHYSICAL","OPEN","BLOCKED"))</x:f>
        <x:v>OPEN</x:v>
      </x:c>
      <x:c r="G2754" t="str">
        <x:v>equals</x:v>
      </x:c>
      <x:c r="H2754" t="str">
        <x:f>IF(E2754=F2754,"PASS","FAIL")</x:f>
        <x:v>PASS</x:v>
      </x:c>
    </x:row>
    <x:row r="2755">
      <x:c r="B2755" t="str">
        <x:v>A-02709</x:v>
      </x:c>
      <x:c r="C2755" t="str">
        <x:v>GATE</x:v>
      </x:c>
      <x:c r="D2755" t="str">
        <x:v>release state mirrors governing ledger</x:v>
      </x:c>
      <x:c r="E2755" t="str">
        <x:f>'Release Gates'!I2715</x:f>
        <x:v>OPEN</x:v>
      </x:c>
      <x:c r="F2755" t="str">
        <x:f>IF('Release Gates'!C2715="PLANNING","PASS",IF('Release Gates'!C2715="PHYSICAL","OPEN","BLOCKED"))</x:f>
        <x:v>OPEN</x:v>
      </x:c>
      <x:c r="G2755" t="str">
        <x:v>equals</x:v>
      </x:c>
      <x:c r="H2755" t="str">
        <x:f>IF(E2755=F2755,"PASS","FAIL")</x:f>
        <x:v>PASS</x:v>
      </x:c>
    </x:row>
    <x:row r="2756">
      <x:c r="B2756" t="str">
        <x:v>A-02710</x:v>
      </x:c>
      <x:c r="C2756" t="str">
        <x:v>GATE</x:v>
      </x:c>
      <x:c r="D2756" t="str">
        <x:v>release state mirrors governing ledger</x:v>
      </x:c>
      <x:c r="E2756" t="str">
        <x:f>'Release Gates'!I2716</x:f>
        <x:v>OPEN</x:v>
      </x:c>
      <x:c r="F2756" t="str">
        <x:f>IF('Release Gates'!C2716="PLANNING","PASS",IF('Release Gates'!C2716="PHYSICAL","OPEN","BLOCKED"))</x:f>
        <x:v>OPEN</x:v>
      </x:c>
      <x:c r="G2756" t="str">
        <x:v>equals</x:v>
      </x:c>
      <x:c r="H2756" t="str">
        <x:f>IF(E2756=F2756,"PASS","FAIL")</x:f>
        <x:v>PASS</x:v>
      </x:c>
    </x:row>
    <x:row r="2757">
      <x:c r="B2757" t="str">
        <x:v>A-02711</x:v>
      </x:c>
      <x:c r="C2757" t="str">
        <x:v>GATE</x:v>
      </x:c>
      <x:c r="D2757" t="str">
        <x:v>release state mirrors governing ledger</x:v>
      </x:c>
      <x:c r="E2757" t="str">
        <x:f>'Release Gates'!I2717</x:f>
        <x:v>OPEN</x:v>
      </x:c>
      <x:c r="F2757" t="str">
        <x:f>IF('Release Gates'!C2717="PLANNING","PASS",IF('Release Gates'!C2717="PHYSICAL","OPEN","BLOCKED"))</x:f>
        <x:v>OPEN</x:v>
      </x:c>
      <x:c r="G2757" t="str">
        <x:v>equals</x:v>
      </x:c>
      <x:c r="H2757" t="str">
        <x:f>IF(E2757=F2757,"PASS","FAIL")</x:f>
        <x:v>PASS</x:v>
      </x:c>
    </x:row>
    <x:row r="2758">
      <x:c r="B2758" t="str">
        <x:v>A-02712</x:v>
      </x:c>
      <x:c r="C2758" t="str">
        <x:v>GATE</x:v>
      </x:c>
      <x:c r="D2758" t="str">
        <x:v>release state mirrors governing ledger</x:v>
      </x:c>
      <x:c r="E2758" t="str">
        <x:f>'Release Gates'!I2718</x:f>
        <x:v>OPEN</x:v>
      </x:c>
      <x:c r="F2758" t="str">
        <x:f>IF('Release Gates'!C2718="PLANNING","PASS",IF('Release Gates'!C2718="PHYSICAL","OPEN","BLOCKED"))</x:f>
        <x:v>OPEN</x:v>
      </x:c>
      <x:c r="G2758" t="str">
        <x:v>equals</x:v>
      </x:c>
      <x:c r="H2758" t="str">
        <x:f>IF(E2758=F2758,"PASS","FAIL")</x:f>
        <x:v>PASS</x:v>
      </x:c>
    </x:row>
    <x:row r="2759">
      <x:c r="B2759" t="str">
        <x:v>A-02713</x:v>
      </x:c>
      <x:c r="C2759" t="str">
        <x:v>GATE</x:v>
      </x:c>
      <x:c r="D2759" t="str">
        <x:v>release state mirrors governing ledger</x:v>
      </x:c>
      <x:c r="E2759" t="str">
        <x:f>'Release Gates'!I2719</x:f>
        <x:v>OPEN</x:v>
      </x:c>
      <x:c r="F2759" t="str">
        <x:f>IF('Release Gates'!C2719="PLANNING","PASS",IF('Release Gates'!C2719="PHYSICAL","OPEN","BLOCKED"))</x:f>
        <x:v>OPEN</x:v>
      </x:c>
      <x:c r="G2759" t="str">
        <x:v>equals</x:v>
      </x:c>
      <x:c r="H2759" t="str">
        <x:f>IF(E2759=F2759,"PASS","FAIL")</x:f>
        <x:v>PASS</x:v>
      </x:c>
    </x:row>
    <x:row r="2760">
      <x:c r="B2760" t="str">
        <x:v>A-02714</x:v>
      </x:c>
      <x:c r="C2760" t="str">
        <x:v>GATE</x:v>
      </x:c>
      <x:c r="D2760" t="str">
        <x:v>release state mirrors governing ledger</x:v>
      </x:c>
      <x:c r="E2760" t="str">
        <x:f>'Release Gates'!I2720</x:f>
        <x:v>OPEN</x:v>
      </x:c>
      <x:c r="F2760" t="str">
        <x:f>IF('Release Gates'!C2720="PLANNING","PASS",IF('Release Gates'!C2720="PHYSICAL","OPEN","BLOCKED"))</x:f>
        <x:v>OPEN</x:v>
      </x:c>
      <x:c r="G2760" t="str">
        <x:v>equals</x:v>
      </x:c>
      <x:c r="H2760" t="str">
        <x:f>IF(E2760=F2760,"PASS","FAIL")</x:f>
        <x:v>PASS</x:v>
      </x:c>
    </x:row>
    <x:row r="2761">
      <x:c r="B2761" t="str">
        <x:v>A-02715</x:v>
      </x:c>
      <x:c r="C2761" t="str">
        <x:v>GATE</x:v>
      </x:c>
      <x:c r="D2761" t="str">
        <x:v>release state mirrors governing ledger</x:v>
      </x:c>
      <x:c r="E2761" t="str">
        <x:f>'Release Gates'!I2721</x:f>
        <x:v>OPEN</x:v>
      </x:c>
      <x:c r="F2761" t="str">
        <x:f>IF('Release Gates'!C2721="PLANNING","PASS",IF('Release Gates'!C2721="PHYSICAL","OPEN","BLOCKED"))</x:f>
        <x:v>OPEN</x:v>
      </x:c>
      <x:c r="G2761" t="str">
        <x:v>equals</x:v>
      </x:c>
      <x:c r="H2761" t="str">
        <x:f>IF(E2761=F2761,"PASS","FAIL")</x:f>
        <x:v>PASS</x:v>
      </x:c>
    </x:row>
    <x:row r="2762">
      <x:c r="B2762" t="str">
        <x:v>A-02716</x:v>
      </x:c>
      <x:c r="C2762" t="str">
        <x:v>GATE</x:v>
      </x:c>
      <x:c r="D2762" t="str">
        <x:v>release state mirrors governing ledger</x:v>
      </x:c>
      <x:c r="E2762" t="str">
        <x:f>'Release Gates'!I2722</x:f>
        <x:v>OPEN</x:v>
      </x:c>
      <x:c r="F2762" t="str">
        <x:f>IF('Release Gates'!C2722="PLANNING","PASS",IF('Release Gates'!C2722="PHYSICAL","OPEN","BLOCKED"))</x:f>
        <x:v>OPEN</x:v>
      </x:c>
      <x:c r="G2762" t="str">
        <x:v>equals</x:v>
      </x:c>
      <x:c r="H2762" t="str">
        <x:f>IF(E2762=F2762,"PASS","FAIL")</x:f>
        <x:v>PASS</x:v>
      </x:c>
    </x:row>
    <x:row r="2763">
      <x:c r="B2763" t="str">
        <x:v>A-02717</x:v>
      </x:c>
      <x:c r="C2763" t="str">
        <x:v>GATE</x:v>
      </x:c>
      <x:c r="D2763" t="str">
        <x:v>release state mirrors governing ledger</x:v>
      </x:c>
      <x:c r="E2763" t="str">
        <x:f>'Release Gates'!I2723</x:f>
        <x:v>OPEN</x:v>
      </x:c>
      <x:c r="F2763" t="str">
        <x:f>IF('Release Gates'!C2723="PLANNING","PASS",IF('Release Gates'!C2723="PHYSICAL","OPEN","BLOCKED"))</x:f>
        <x:v>OPEN</x:v>
      </x:c>
      <x:c r="G2763" t="str">
        <x:v>equals</x:v>
      </x:c>
      <x:c r="H2763" t="str">
        <x:f>IF(E2763=F2763,"PASS","FAIL")</x:f>
        <x:v>PASS</x:v>
      </x:c>
    </x:row>
    <x:row r="2764">
      <x:c r="B2764" t="str">
        <x:v>A-02718</x:v>
      </x:c>
      <x:c r="C2764" t="str">
        <x:v>GATE</x:v>
      </x:c>
      <x:c r="D2764" t="str">
        <x:v>release state mirrors governing ledger</x:v>
      </x:c>
      <x:c r="E2764" t="str">
        <x:f>'Release Gates'!I2724</x:f>
        <x:v>OPEN</x:v>
      </x:c>
      <x:c r="F2764" t="str">
        <x:f>IF('Release Gates'!C2724="PLANNING","PASS",IF('Release Gates'!C2724="PHYSICAL","OPEN","BLOCKED"))</x:f>
        <x:v>OPEN</x:v>
      </x:c>
      <x:c r="G2764" t="str">
        <x:v>equals</x:v>
      </x:c>
      <x:c r="H2764" t="str">
        <x:f>IF(E2764=F2764,"PASS","FAIL")</x:f>
        <x:v>PASS</x:v>
      </x:c>
    </x:row>
    <x:row r="2765">
      <x:c r="B2765" t="str">
        <x:v>A-02719</x:v>
      </x:c>
      <x:c r="C2765" t="str">
        <x:v>GATE</x:v>
      </x:c>
      <x:c r="D2765" t="str">
        <x:v>release state mirrors governing ledger</x:v>
      </x:c>
      <x:c r="E2765" t="str">
        <x:f>'Release Gates'!I2725</x:f>
        <x:v>OPEN</x:v>
      </x:c>
      <x:c r="F2765" t="str">
        <x:f>IF('Release Gates'!C2725="PLANNING","PASS",IF('Release Gates'!C2725="PHYSICAL","OPEN","BLOCKED"))</x:f>
        <x:v>OPEN</x:v>
      </x:c>
      <x:c r="G2765" t="str">
        <x:v>equals</x:v>
      </x:c>
      <x:c r="H2765" t="str">
        <x:f>IF(E2765=F2765,"PASS","FAIL")</x:f>
        <x:v>PASS</x:v>
      </x:c>
    </x:row>
    <x:row r="2766">
      <x:c r="B2766" t="str">
        <x:v>A-02720</x:v>
      </x:c>
      <x:c r="C2766" t="str">
        <x:v>GATE</x:v>
      </x:c>
      <x:c r="D2766" t="str">
        <x:v>release state mirrors governing ledger</x:v>
      </x:c>
      <x:c r="E2766" t="str">
        <x:f>'Release Gates'!I2726</x:f>
        <x:v>OPEN</x:v>
      </x:c>
      <x:c r="F2766" t="str">
        <x:f>IF('Release Gates'!C2726="PLANNING","PASS",IF('Release Gates'!C2726="PHYSICAL","OPEN","BLOCKED"))</x:f>
        <x:v>OPEN</x:v>
      </x:c>
      <x:c r="G2766" t="str">
        <x:v>equals</x:v>
      </x:c>
      <x:c r="H2766" t="str">
        <x:f>IF(E2766=F2766,"PASS","FAIL")</x:f>
        <x:v>PASS</x:v>
      </x:c>
    </x:row>
    <x:row r="2767">
      <x:c r="B2767" t="str">
        <x:v>A-02721</x:v>
      </x:c>
      <x:c r="C2767" t="str">
        <x:v>GATE</x:v>
      </x:c>
      <x:c r="D2767" t="str">
        <x:v>release state mirrors governing ledger</x:v>
      </x:c>
      <x:c r="E2767" t="str">
        <x:f>'Release Gates'!I2727</x:f>
        <x:v>OPEN</x:v>
      </x:c>
      <x:c r="F2767" t="str">
        <x:f>IF('Release Gates'!C2727="PLANNING","PASS",IF('Release Gates'!C2727="PHYSICAL","OPEN","BLOCKED"))</x:f>
        <x:v>OPEN</x:v>
      </x:c>
      <x:c r="G2767" t="str">
        <x:v>equals</x:v>
      </x:c>
      <x:c r="H2767" t="str">
        <x:f>IF(E2767=F2767,"PASS","FAIL")</x:f>
        <x:v>PASS</x:v>
      </x:c>
    </x:row>
    <x:row r="2768">
      <x:c r="B2768" t="str">
        <x:v>A-02722</x:v>
      </x:c>
      <x:c r="C2768" t="str">
        <x:v>GATE</x:v>
      </x:c>
      <x:c r="D2768" t="str">
        <x:v>release state mirrors governing ledger</x:v>
      </x:c>
      <x:c r="E2768" t="str">
        <x:f>'Release Gates'!I2728</x:f>
        <x:v>OPEN</x:v>
      </x:c>
      <x:c r="F2768" t="str">
        <x:f>IF('Release Gates'!C2728="PLANNING","PASS",IF('Release Gates'!C2728="PHYSICAL","OPEN","BLOCKED"))</x:f>
        <x:v>OPEN</x:v>
      </x:c>
      <x:c r="G2768" t="str">
        <x:v>equals</x:v>
      </x:c>
      <x:c r="H2768" t="str">
        <x:f>IF(E2768=F2768,"PASS","FAIL")</x:f>
        <x:v>PASS</x:v>
      </x:c>
    </x:row>
    <x:row r="2769">
      <x:c r="B2769" t="str">
        <x:v>A-02723</x:v>
      </x:c>
      <x:c r="C2769" t="str">
        <x:v>GATE</x:v>
      </x:c>
      <x:c r="D2769" t="str">
        <x:v>release state mirrors governing ledger</x:v>
      </x:c>
      <x:c r="E2769" t="str">
        <x:f>'Release Gates'!I2729</x:f>
        <x:v>OPEN</x:v>
      </x:c>
      <x:c r="F2769" t="str">
        <x:f>IF('Release Gates'!C2729="PLANNING","PASS",IF('Release Gates'!C2729="PHYSICAL","OPEN","BLOCKED"))</x:f>
        <x:v>OPEN</x:v>
      </x:c>
      <x:c r="G2769" t="str">
        <x:v>equals</x:v>
      </x:c>
      <x:c r="H2769" t="str">
        <x:f>IF(E2769=F2769,"PASS","FAIL")</x:f>
        <x:v>PASS</x:v>
      </x:c>
    </x:row>
    <x:row r="2770">
      <x:c r="B2770" t="str">
        <x:v>A-02724</x:v>
      </x:c>
      <x:c r="C2770" t="str">
        <x:v>GATE</x:v>
      </x:c>
      <x:c r="D2770" t="str">
        <x:v>release state mirrors governing ledger</x:v>
      </x:c>
      <x:c r="E2770" t="str">
        <x:f>'Release Gates'!I2730</x:f>
        <x:v>OPEN</x:v>
      </x:c>
      <x:c r="F2770" t="str">
        <x:f>IF('Release Gates'!C2730="PLANNING","PASS",IF('Release Gates'!C2730="PHYSICAL","OPEN","BLOCKED"))</x:f>
        <x:v>OPEN</x:v>
      </x:c>
      <x:c r="G2770" t="str">
        <x:v>equals</x:v>
      </x:c>
      <x:c r="H2770" t="str">
        <x:f>IF(E2770=F2770,"PASS","FAIL")</x:f>
        <x:v>PASS</x:v>
      </x:c>
    </x:row>
    <x:row r="2771">
      <x:c r="B2771" t="str">
        <x:v>A-02725</x:v>
      </x:c>
      <x:c r="C2771" t="str">
        <x:v>GATE</x:v>
      </x:c>
      <x:c r="D2771" t="str">
        <x:v>release state mirrors governing ledger</x:v>
      </x:c>
      <x:c r="E2771" t="str">
        <x:f>'Release Gates'!I2731</x:f>
        <x:v>OPEN</x:v>
      </x:c>
      <x:c r="F2771" t="str">
        <x:f>IF('Release Gates'!C2731="PLANNING","PASS",IF('Release Gates'!C2731="PHYSICAL","OPEN","BLOCKED"))</x:f>
        <x:v>OPEN</x:v>
      </x:c>
      <x:c r="G2771" t="str">
        <x:v>equals</x:v>
      </x:c>
      <x:c r="H2771" t="str">
        <x:f>IF(E2771=F2771,"PASS","FAIL")</x:f>
        <x:v>PASS</x:v>
      </x:c>
    </x:row>
    <x:row r="2772">
      <x:c r="B2772" t="str">
        <x:v>A-02726</x:v>
      </x:c>
      <x:c r="C2772" t="str">
        <x:v>GATE</x:v>
      </x:c>
      <x:c r="D2772" t="str">
        <x:v>release state mirrors governing ledger</x:v>
      </x:c>
      <x:c r="E2772" t="str">
        <x:f>'Release Gates'!I2732</x:f>
        <x:v>OPEN</x:v>
      </x:c>
      <x:c r="F2772" t="str">
        <x:f>IF('Release Gates'!C2732="PLANNING","PASS",IF('Release Gates'!C2732="PHYSICAL","OPEN","BLOCKED"))</x:f>
        <x:v>OPEN</x:v>
      </x:c>
      <x:c r="G2772" t="str">
        <x:v>equals</x:v>
      </x:c>
      <x:c r="H2772" t="str">
        <x:f>IF(E2772=F2772,"PASS","FAIL")</x:f>
        <x:v>PASS</x:v>
      </x:c>
    </x:row>
    <x:row r="2773">
      <x:c r="B2773" t="str">
        <x:v>A-02727</x:v>
      </x:c>
      <x:c r="C2773" t="str">
        <x:v>GATE</x:v>
      </x:c>
      <x:c r="D2773" t="str">
        <x:v>release state mirrors governing ledger</x:v>
      </x:c>
      <x:c r="E2773" t="str">
        <x:f>'Release Gates'!I2733</x:f>
        <x:v>OPEN</x:v>
      </x:c>
      <x:c r="F2773" t="str">
        <x:f>IF('Release Gates'!C2733="PLANNING","PASS",IF('Release Gates'!C2733="PHYSICAL","OPEN","BLOCKED"))</x:f>
        <x:v>OPEN</x:v>
      </x:c>
      <x:c r="G2773" t="str">
        <x:v>equals</x:v>
      </x:c>
      <x:c r="H2773" t="str">
        <x:f>IF(E2773=F2773,"PASS","FAIL")</x:f>
        <x:v>PASS</x:v>
      </x:c>
    </x:row>
    <x:row r="2774">
      <x:c r="B2774" t="str">
        <x:v>A-02728</x:v>
      </x:c>
      <x:c r="C2774" t="str">
        <x:v>GATE</x:v>
      </x:c>
      <x:c r="D2774" t="str">
        <x:v>release state mirrors governing ledger</x:v>
      </x:c>
      <x:c r="E2774" t="str">
        <x:f>'Release Gates'!I2734</x:f>
        <x:v>OPEN</x:v>
      </x:c>
      <x:c r="F2774" t="str">
        <x:f>IF('Release Gates'!C2734="PLANNING","PASS",IF('Release Gates'!C2734="PHYSICAL","OPEN","BLOCKED"))</x:f>
        <x:v>OPEN</x:v>
      </x:c>
      <x:c r="G2774" t="str">
        <x:v>equals</x:v>
      </x:c>
      <x:c r="H2774" t="str">
        <x:f>IF(E2774=F2774,"PASS","FAIL")</x:f>
        <x:v>PASS</x:v>
      </x:c>
    </x:row>
    <x:row r="2775">
      <x:c r="B2775" t="str">
        <x:v>A-02729</x:v>
      </x:c>
      <x:c r="C2775" t="str">
        <x:v>GATE</x:v>
      </x:c>
      <x:c r="D2775" t="str">
        <x:v>release state mirrors governing ledger</x:v>
      </x:c>
      <x:c r="E2775" t="str">
        <x:f>'Release Gates'!I2735</x:f>
        <x:v>OPEN</x:v>
      </x:c>
      <x:c r="F2775" t="str">
        <x:f>IF('Release Gates'!C2735="PLANNING","PASS",IF('Release Gates'!C2735="PHYSICAL","OPEN","BLOCKED"))</x:f>
        <x:v>OPEN</x:v>
      </x:c>
      <x:c r="G2775" t="str">
        <x:v>equals</x:v>
      </x:c>
      <x:c r="H2775" t="str">
        <x:f>IF(E2775=F2775,"PASS","FAIL")</x:f>
        <x:v>PASS</x:v>
      </x:c>
    </x:row>
    <x:row r="2776">
      <x:c r="B2776" t="str">
        <x:v>A-02730</x:v>
      </x:c>
      <x:c r="C2776" t="str">
        <x:v>GATE</x:v>
      </x:c>
      <x:c r="D2776" t="str">
        <x:v>release state mirrors governing ledger</x:v>
      </x:c>
      <x:c r="E2776" t="str">
        <x:f>'Release Gates'!I2736</x:f>
        <x:v>OPEN</x:v>
      </x:c>
      <x:c r="F2776" t="str">
        <x:f>IF('Release Gates'!C2736="PLANNING","PASS",IF('Release Gates'!C2736="PHYSICAL","OPEN","BLOCKED"))</x:f>
        <x:v>OPEN</x:v>
      </x:c>
      <x:c r="G2776" t="str">
        <x:v>equals</x:v>
      </x:c>
      <x:c r="H2776" t="str">
        <x:f>IF(E2776=F2776,"PASS","FAIL")</x:f>
        <x:v>PASS</x:v>
      </x:c>
    </x:row>
    <x:row r="2777">
      <x:c r="B2777" t="str">
        <x:v>A-02731</x:v>
      </x:c>
      <x:c r="C2777" t="str">
        <x:v>GATE</x:v>
      </x:c>
      <x:c r="D2777" t="str">
        <x:v>release state mirrors governing ledger</x:v>
      </x:c>
      <x:c r="E2777" t="str">
        <x:f>'Release Gates'!I2737</x:f>
        <x:v>OPEN</x:v>
      </x:c>
      <x:c r="F2777" t="str">
        <x:f>IF('Release Gates'!C2737="PLANNING","PASS",IF('Release Gates'!C2737="PHYSICAL","OPEN","BLOCKED"))</x:f>
        <x:v>OPEN</x:v>
      </x:c>
      <x:c r="G2777" t="str">
        <x:v>equals</x:v>
      </x:c>
      <x:c r="H2777" t="str">
        <x:f>IF(E2777=F2777,"PASS","FAIL")</x:f>
        <x:v>PASS</x:v>
      </x:c>
    </x:row>
    <x:row r="2778">
      <x:c r="B2778" t="str">
        <x:v>A-02732</x:v>
      </x:c>
      <x:c r="C2778" t="str">
        <x:v>GATE</x:v>
      </x:c>
      <x:c r="D2778" t="str">
        <x:v>release state mirrors governing ledger</x:v>
      </x:c>
      <x:c r="E2778" t="str">
        <x:f>'Release Gates'!I2738</x:f>
        <x:v>OPEN</x:v>
      </x:c>
      <x:c r="F2778" t="str">
        <x:f>IF('Release Gates'!C2738="PLANNING","PASS",IF('Release Gates'!C2738="PHYSICAL","OPEN","BLOCKED"))</x:f>
        <x:v>OPEN</x:v>
      </x:c>
      <x:c r="G2778" t="str">
        <x:v>equals</x:v>
      </x:c>
      <x:c r="H2778" t="str">
        <x:f>IF(E2778=F2778,"PASS","FAIL")</x:f>
        <x:v>PASS</x:v>
      </x:c>
    </x:row>
    <x:row r="2779">
      <x:c r="B2779" t="str">
        <x:v>A-02733</x:v>
      </x:c>
      <x:c r="C2779" t="str">
        <x:v>GATE</x:v>
      </x:c>
      <x:c r="D2779" t="str">
        <x:v>release state mirrors governing ledger</x:v>
      </x:c>
      <x:c r="E2779" t="str">
        <x:f>'Release Gates'!I2739</x:f>
        <x:v>OPEN</x:v>
      </x:c>
      <x:c r="F2779" t="str">
        <x:f>IF('Release Gates'!C2739="PLANNING","PASS",IF('Release Gates'!C2739="PHYSICAL","OPEN","BLOCKED"))</x:f>
        <x:v>OPEN</x:v>
      </x:c>
      <x:c r="G2779" t="str">
        <x:v>equals</x:v>
      </x:c>
      <x:c r="H2779" t="str">
        <x:f>IF(E2779=F2779,"PASS","FAIL")</x:f>
        <x:v>PASS</x:v>
      </x:c>
    </x:row>
    <x:row r="2780">
      <x:c r="B2780" t="str">
        <x:v>A-02734</x:v>
      </x:c>
      <x:c r="C2780" t="str">
        <x:v>GATE</x:v>
      </x:c>
      <x:c r="D2780" t="str">
        <x:v>release state mirrors governing ledger</x:v>
      </x:c>
      <x:c r="E2780" t="str">
        <x:f>'Release Gates'!I2740</x:f>
        <x:v>OPEN</x:v>
      </x:c>
      <x:c r="F2780" t="str">
        <x:f>IF('Release Gates'!C2740="PLANNING","PASS",IF('Release Gates'!C2740="PHYSICAL","OPEN","BLOCKED"))</x:f>
        <x:v>OPEN</x:v>
      </x:c>
      <x:c r="G2780" t="str">
        <x:v>equals</x:v>
      </x:c>
      <x:c r="H2780" t="str">
        <x:f>IF(E2780=F2780,"PASS","FAIL")</x:f>
        <x:v>PASS</x:v>
      </x:c>
    </x:row>
    <x:row r="2781">
      <x:c r="B2781" t="str">
        <x:v>A-02735</x:v>
      </x:c>
      <x:c r="C2781" t="str">
        <x:v>GATE</x:v>
      </x:c>
      <x:c r="D2781" t="str">
        <x:v>release state mirrors governing ledger</x:v>
      </x:c>
      <x:c r="E2781" t="str">
        <x:f>'Release Gates'!I2741</x:f>
        <x:v>OPEN</x:v>
      </x:c>
      <x:c r="F2781" t="str">
        <x:f>IF('Release Gates'!C2741="PLANNING","PASS",IF('Release Gates'!C2741="PHYSICAL","OPEN","BLOCKED"))</x:f>
        <x:v>OPEN</x:v>
      </x:c>
      <x:c r="G2781" t="str">
        <x:v>equals</x:v>
      </x:c>
      <x:c r="H2781" t="str">
        <x:f>IF(E2781=F2781,"PASS","FAIL")</x:f>
        <x:v>PASS</x:v>
      </x:c>
    </x:row>
    <x:row r="2782">
      <x:c r="B2782" t="str">
        <x:v>A-02736</x:v>
      </x:c>
      <x:c r="C2782" t="str">
        <x:v>GATE</x:v>
      </x:c>
      <x:c r="D2782" t="str">
        <x:v>release state mirrors governing ledger</x:v>
      </x:c>
      <x:c r="E2782" t="str">
        <x:f>'Release Gates'!I2742</x:f>
        <x:v>OPEN</x:v>
      </x:c>
      <x:c r="F2782" t="str">
        <x:f>IF('Release Gates'!C2742="PLANNING","PASS",IF('Release Gates'!C2742="PHYSICAL","OPEN","BLOCKED"))</x:f>
        <x:v>OPEN</x:v>
      </x:c>
      <x:c r="G2782" t="str">
        <x:v>equals</x:v>
      </x:c>
      <x:c r="H2782" t="str">
        <x:f>IF(E2782=F2782,"PASS","FAIL")</x:f>
        <x:v>PASS</x:v>
      </x:c>
    </x:row>
    <x:row r="2783">
      <x:c r="B2783" t="str">
        <x:v>A-02737</x:v>
      </x:c>
      <x:c r="C2783" t="str">
        <x:v>GATE</x:v>
      </x:c>
      <x:c r="D2783" t="str">
        <x:v>release state mirrors governing ledger</x:v>
      </x:c>
      <x:c r="E2783" t="str">
        <x:f>'Release Gates'!I2743</x:f>
        <x:v>OPEN</x:v>
      </x:c>
      <x:c r="F2783" t="str">
        <x:f>IF('Release Gates'!C2743="PLANNING","PASS",IF('Release Gates'!C2743="PHYSICAL","OPEN","BLOCKED"))</x:f>
        <x:v>OPEN</x:v>
      </x:c>
      <x:c r="G2783" t="str">
        <x:v>equals</x:v>
      </x:c>
      <x:c r="H2783" t="str">
        <x:f>IF(E2783=F2783,"PASS","FAIL")</x:f>
        <x:v>PASS</x:v>
      </x:c>
    </x:row>
    <x:row r="2784">
      <x:c r="B2784" t="str">
        <x:v>A-02738</x:v>
      </x:c>
      <x:c r="C2784" t="str">
        <x:v>GATE</x:v>
      </x:c>
      <x:c r="D2784" t="str">
        <x:v>release state mirrors governing ledger</x:v>
      </x:c>
      <x:c r="E2784" t="str">
        <x:f>'Release Gates'!I2744</x:f>
        <x:v>OPEN</x:v>
      </x:c>
      <x:c r="F2784" t="str">
        <x:f>IF('Release Gates'!C2744="PLANNING","PASS",IF('Release Gates'!C2744="PHYSICAL","OPEN","BLOCKED"))</x:f>
        <x:v>OPEN</x:v>
      </x:c>
      <x:c r="G2784" t="str">
        <x:v>equals</x:v>
      </x:c>
      <x:c r="H2784" t="str">
        <x:f>IF(E2784=F2784,"PASS","FAIL")</x:f>
        <x:v>PASS</x:v>
      </x:c>
    </x:row>
    <x:row r="2785">
      <x:c r="B2785" t="str">
        <x:v>A-02739</x:v>
      </x:c>
      <x:c r="C2785" t="str">
        <x:v>GATE</x:v>
      </x:c>
      <x:c r="D2785" t="str">
        <x:v>release state mirrors governing ledger</x:v>
      </x:c>
      <x:c r="E2785" t="str">
        <x:f>'Release Gates'!I2745</x:f>
        <x:v>OPEN</x:v>
      </x:c>
      <x:c r="F2785" t="str">
        <x:f>IF('Release Gates'!C2745="PLANNING","PASS",IF('Release Gates'!C2745="PHYSICAL","OPEN","BLOCKED"))</x:f>
        <x:v>OPEN</x:v>
      </x:c>
      <x:c r="G2785" t="str">
        <x:v>equals</x:v>
      </x:c>
      <x:c r="H2785" t="str">
        <x:f>IF(E2785=F2785,"PASS","FAIL")</x:f>
        <x:v>PASS</x:v>
      </x:c>
    </x:row>
    <x:row r="2786">
      <x:c r="B2786" t="str">
        <x:v>A-02740</x:v>
      </x:c>
      <x:c r="C2786" t="str">
        <x:v>GATE</x:v>
      </x:c>
      <x:c r="D2786" t="str">
        <x:v>release state mirrors governing ledger</x:v>
      </x:c>
      <x:c r="E2786" t="str">
        <x:f>'Release Gates'!I2746</x:f>
        <x:v>OPEN</x:v>
      </x:c>
      <x:c r="F2786" t="str">
        <x:f>IF('Release Gates'!C2746="PLANNING","PASS",IF('Release Gates'!C2746="PHYSICAL","OPEN","BLOCKED"))</x:f>
        <x:v>OPEN</x:v>
      </x:c>
      <x:c r="G2786" t="str">
        <x:v>equals</x:v>
      </x:c>
      <x:c r="H2786" t="str">
        <x:f>IF(E2786=F2786,"PASS","FAIL")</x:f>
        <x:v>PASS</x:v>
      </x:c>
    </x:row>
    <x:row r="2787">
      <x:c r="B2787" t="str">
        <x:v>A-02741</x:v>
      </x:c>
      <x:c r="C2787" t="str">
        <x:v>GATE</x:v>
      </x:c>
      <x:c r="D2787" t="str">
        <x:v>release state mirrors governing ledger</x:v>
      </x:c>
      <x:c r="E2787" t="str">
        <x:f>'Release Gates'!I2747</x:f>
        <x:v>OPEN</x:v>
      </x:c>
      <x:c r="F2787" t="str">
        <x:f>IF('Release Gates'!C2747="PLANNING","PASS",IF('Release Gates'!C2747="PHYSICAL","OPEN","BLOCKED"))</x:f>
        <x:v>OPEN</x:v>
      </x:c>
      <x:c r="G2787" t="str">
        <x:v>equals</x:v>
      </x:c>
      <x:c r="H2787" t="str">
        <x:f>IF(E2787=F2787,"PASS","FAIL")</x:f>
        <x:v>PASS</x:v>
      </x:c>
    </x:row>
    <x:row r="2788">
      <x:c r="B2788" t="str">
        <x:v>A-02742</x:v>
      </x:c>
      <x:c r="C2788" t="str">
        <x:v>GATE</x:v>
      </x:c>
      <x:c r="D2788" t="str">
        <x:v>release state mirrors governing ledger</x:v>
      </x:c>
      <x:c r="E2788" t="str">
        <x:f>'Release Gates'!I2748</x:f>
        <x:v>OPEN</x:v>
      </x:c>
      <x:c r="F2788" t="str">
        <x:f>IF('Release Gates'!C2748="PLANNING","PASS",IF('Release Gates'!C2748="PHYSICAL","OPEN","BLOCKED"))</x:f>
        <x:v>OPEN</x:v>
      </x:c>
      <x:c r="G2788" t="str">
        <x:v>equals</x:v>
      </x:c>
      <x:c r="H2788" t="str">
        <x:f>IF(E2788=F2788,"PASS","FAIL")</x:f>
        <x:v>PASS</x:v>
      </x:c>
    </x:row>
    <x:row r="2789">
      <x:c r="B2789" t="str">
        <x:v>A-02743</x:v>
      </x:c>
      <x:c r="C2789" t="str">
        <x:v>GATE</x:v>
      </x:c>
      <x:c r="D2789" t="str">
        <x:v>release state mirrors governing ledger</x:v>
      </x:c>
      <x:c r="E2789" t="str">
        <x:f>'Release Gates'!I2749</x:f>
        <x:v>OPEN</x:v>
      </x:c>
      <x:c r="F2789" t="str">
        <x:f>IF('Release Gates'!C2749="PLANNING","PASS",IF('Release Gates'!C2749="PHYSICAL","OPEN","BLOCKED"))</x:f>
        <x:v>OPEN</x:v>
      </x:c>
      <x:c r="G2789" t="str">
        <x:v>equals</x:v>
      </x:c>
      <x:c r="H2789" t="str">
        <x:f>IF(E2789=F2789,"PASS","FAIL")</x:f>
        <x:v>PASS</x:v>
      </x:c>
    </x:row>
    <x:row r="2790">
      <x:c r="B2790" t="str">
        <x:v>A-02744</x:v>
      </x:c>
      <x:c r="C2790" t="str">
        <x:v>GATE</x:v>
      </x:c>
      <x:c r="D2790" t="str">
        <x:v>release state mirrors governing ledger</x:v>
      </x:c>
      <x:c r="E2790" t="str">
        <x:f>'Release Gates'!I2750</x:f>
        <x:v>OPEN</x:v>
      </x:c>
      <x:c r="F2790" t="str">
        <x:f>IF('Release Gates'!C2750="PLANNING","PASS",IF('Release Gates'!C2750="PHYSICAL","OPEN","BLOCKED"))</x:f>
        <x:v>OPEN</x:v>
      </x:c>
      <x:c r="G2790" t="str">
        <x:v>equals</x:v>
      </x:c>
      <x:c r="H2790" t="str">
        <x:f>IF(E2790=F2790,"PASS","FAIL")</x:f>
        <x:v>PASS</x:v>
      </x:c>
    </x:row>
    <x:row r="2791">
      <x:c r="B2791" t="str">
        <x:v>A-02745</x:v>
      </x:c>
      <x:c r="C2791" t="str">
        <x:v>GATE</x:v>
      </x:c>
      <x:c r="D2791" t="str">
        <x:v>release state mirrors governing ledger</x:v>
      </x:c>
      <x:c r="E2791" t="str">
        <x:f>'Release Gates'!I2751</x:f>
        <x:v>OPEN</x:v>
      </x:c>
      <x:c r="F2791" t="str">
        <x:f>IF('Release Gates'!C2751="PLANNING","PASS",IF('Release Gates'!C2751="PHYSICAL","OPEN","BLOCKED"))</x:f>
        <x:v>OPEN</x:v>
      </x:c>
      <x:c r="G2791" t="str">
        <x:v>equals</x:v>
      </x:c>
      <x:c r="H2791" t="str">
        <x:f>IF(E2791=F2791,"PASS","FAIL")</x:f>
        <x:v>PASS</x:v>
      </x:c>
    </x:row>
    <x:row r="2792">
      <x:c r="B2792" t="str">
        <x:v>A-02746</x:v>
      </x:c>
      <x:c r="C2792" t="str">
        <x:v>GATE</x:v>
      </x:c>
      <x:c r="D2792" t="str">
        <x:v>release state mirrors governing ledger</x:v>
      </x:c>
      <x:c r="E2792" t="str">
        <x:f>'Release Gates'!I2752</x:f>
        <x:v>OPEN</x:v>
      </x:c>
      <x:c r="F2792" t="str">
        <x:f>IF('Release Gates'!C2752="PLANNING","PASS",IF('Release Gates'!C2752="PHYSICAL","OPEN","BLOCKED"))</x:f>
        <x:v>OPEN</x:v>
      </x:c>
      <x:c r="G2792" t="str">
        <x:v>equals</x:v>
      </x:c>
      <x:c r="H2792" t="str">
        <x:f>IF(E2792=F2792,"PASS","FAIL")</x:f>
        <x:v>PASS</x:v>
      </x:c>
    </x:row>
    <x:row r="2793">
      <x:c r="B2793" t="str">
        <x:v>A-02747</x:v>
      </x:c>
      <x:c r="C2793" t="str">
        <x:v>GATE</x:v>
      </x:c>
      <x:c r="D2793" t="str">
        <x:v>release state mirrors governing ledger</x:v>
      </x:c>
      <x:c r="E2793" t="str">
        <x:f>'Release Gates'!I2753</x:f>
        <x:v>OPEN</x:v>
      </x:c>
      <x:c r="F2793" t="str">
        <x:f>IF('Release Gates'!C2753="PLANNING","PASS",IF('Release Gates'!C2753="PHYSICAL","OPEN","BLOCKED"))</x:f>
        <x:v>OPEN</x:v>
      </x:c>
      <x:c r="G2793" t="str">
        <x:v>equals</x:v>
      </x:c>
      <x:c r="H2793" t="str">
        <x:f>IF(E2793=F2793,"PASS","FAIL")</x:f>
        <x:v>PASS</x:v>
      </x:c>
    </x:row>
    <x:row r="2794">
      <x:c r="B2794" t="str">
        <x:v>A-02748</x:v>
      </x:c>
      <x:c r="C2794" t="str">
        <x:v>GATE</x:v>
      </x:c>
      <x:c r="D2794" t="str">
        <x:v>release state mirrors governing ledger</x:v>
      </x:c>
      <x:c r="E2794" t="str">
        <x:f>'Release Gates'!I2754</x:f>
        <x:v>OPEN</x:v>
      </x:c>
      <x:c r="F2794" t="str">
        <x:f>IF('Release Gates'!C2754="PLANNING","PASS",IF('Release Gates'!C2754="PHYSICAL","OPEN","BLOCKED"))</x:f>
        <x:v>OPEN</x:v>
      </x:c>
      <x:c r="G2794" t="str">
        <x:v>equals</x:v>
      </x:c>
      <x:c r="H2794" t="str">
        <x:f>IF(E2794=F2794,"PASS","FAIL")</x:f>
        <x:v>PASS</x:v>
      </x:c>
    </x:row>
    <x:row r="2795">
      <x:c r="B2795" t="str">
        <x:v>A-02749</x:v>
      </x:c>
      <x:c r="C2795" t="str">
        <x:v>GATE</x:v>
      </x:c>
      <x:c r="D2795" t="str">
        <x:v>release state mirrors governing ledger</x:v>
      </x:c>
      <x:c r="E2795" t="str">
        <x:f>'Release Gates'!I2755</x:f>
        <x:v>OPEN</x:v>
      </x:c>
      <x:c r="F2795" t="str">
        <x:f>IF('Release Gates'!C2755="PLANNING","PASS",IF('Release Gates'!C2755="PHYSICAL","OPEN","BLOCKED"))</x:f>
        <x:v>OPEN</x:v>
      </x:c>
      <x:c r="G2795" t="str">
        <x:v>equals</x:v>
      </x:c>
      <x:c r="H2795" t="str">
        <x:f>IF(E2795=F2795,"PASS","FAIL")</x:f>
        <x:v>PASS</x:v>
      </x:c>
    </x:row>
    <x:row r="2796">
      <x:c r="B2796" t="str">
        <x:v>A-02750</x:v>
      </x:c>
      <x:c r="C2796" t="str">
        <x:v>GATE</x:v>
      </x:c>
      <x:c r="D2796" t="str">
        <x:v>release state mirrors governing ledger</x:v>
      </x:c>
      <x:c r="E2796" t="str">
        <x:f>'Release Gates'!I2756</x:f>
        <x:v>OPEN</x:v>
      </x:c>
      <x:c r="F2796" t="str">
        <x:f>IF('Release Gates'!C2756="PLANNING","PASS",IF('Release Gates'!C2756="PHYSICAL","OPEN","BLOCKED"))</x:f>
        <x:v>OPEN</x:v>
      </x:c>
      <x:c r="G2796" t="str">
        <x:v>equals</x:v>
      </x:c>
      <x:c r="H2796" t="str">
        <x:f>IF(E2796=F2796,"PASS","FAIL")</x:f>
        <x:v>PASS</x:v>
      </x:c>
    </x:row>
    <x:row r="2797">
      <x:c r="B2797" t="str">
        <x:v>A-02751</x:v>
      </x:c>
      <x:c r="C2797" t="str">
        <x:v>GATE</x:v>
      </x:c>
      <x:c r="D2797" t="str">
        <x:v>release state mirrors governing ledger</x:v>
      </x:c>
      <x:c r="E2797" t="str">
        <x:f>'Release Gates'!I2757</x:f>
        <x:v>OPEN</x:v>
      </x:c>
      <x:c r="F2797" t="str">
        <x:f>IF('Release Gates'!C2757="PLANNING","PASS",IF('Release Gates'!C2757="PHYSICAL","OPEN","BLOCKED"))</x:f>
        <x:v>OPEN</x:v>
      </x:c>
      <x:c r="G2797" t="str">
        <x:v>equals</x:v>
      </x:c>
      <x:c r="H2797" t="str">
        <x:f>IF(E2797=F2797,"PASS","FAIL")</x:f>
        <x:v>PASS</x:v>
      </x:c>
    </x:row>
    <x:row r="2798">
      <x:c r="B2798" t="str">
        <x:v>A-02752</x:v>
      </x:c>
      <x:c r="C2798" t="str">
        <x:v>GATE</x:v>
      </x:c>
      <x:c r="D2798" t="str">
        <x:v>release state mirrors governing ledger</x:v>
      </x:c>
      <x:c r="E2798" t="str">
        <x:f>'Release Gates'!I2758</x:f>
        <x:v>OPEN</x:v>
      </x:c>
      <x:c r="F2798" t="str">
        <x:f>IF('Release Gates'!C2758="PLANNING","PASS",IF('Release Gates'!C2758="PHYSICAL","OPEN","BLOCKED"))</x:f>
        <x:v>OPEN</x:v>
      </x:c>
      <x:c r="G2798" t="str">
        <x:v>equals</x:v>
      </x:c>
      <x:c r="H2798" t="str">
        <x:f>IF(E2798=F2798,"PASS","FAIL")</x:f>
        <x:v>PASS</x:v>
      </x:c>
    </x:row>
    <x:row r="2799">
      <x:c r="B2799" t="str">
        <x:v>A-02753</x:v>
      </x:c>
      <x:c r="C2799" t="str">
        <x:v>GATE</x:v>
      </x:c>
      <x:c r="D2799" t="str">
        <x:v>release state mirrors governing ledger</x:v>
      </x:c>
      <x:c r="E2799" t="str">
        <x:f>'Release Gates'!I2759</x:f>
        <x:v>OPEN</x:v>
      </x:c>
      <x:c r="F2799" t="str">
        <x:f>IF('Release Gates'!C2759="PLANNING","PASS",IF('Release Gates'!C2759="PHYSICAL","OPEN","BLOCKED"))</x:f>
        <x:v>OPEN</x:v>
      </x:c>
      <x:c r="G2799" t="str">
        <x:v>equals</x:v>
      </x:c>
      <x:c r="H2799" t="str">
        <x:f>IF(E2799=F2799,"PASS","FAIL")</x:f>
        <x:v>PASS</x:v>
      </x:c>
    </x:row>
    <x:row r="2800">
      <x:c r="B2800" t="str">
        <x:v>A-02754</x:v>
      </x:c>
      <x:c r="C2800" t="str">
        <x:v>GATE</x:v>
      </x:c>
      <x:c r="D2800" t="str">
        <x:v>release state mirrors governing ledger</x:v>
      </x:c>
      <x:c r="E2800" t="str">
        <x:f>'Release Gates'!I2760</x:f>
        <x:v>OPEN</x:v>
      </x:c>
      <x:c r="F2800" t="str">
        <x:f>IF('Release Gates'!C2760="PLANNING","PASS",IF('Release Gates'!C2760="PHYSICAL","OPEN","BLOCKED"))</x:f>
        <x:v>OPEN</x:v>
      </x:c>
      <x:c r="G2800" t="str">
        <x:v>equals</x:v>
      </x:c>
      <x:c r="H2800" t="str">
        <x:f>IF(E2800=F2800,"PASS","FAIL")</x:f>
        <x:v>PASS</x:v>
      </x:c>
    </x:row>
    <x:row r="2801">
      <x:c r="B2801" t="str">
        <x:v>A-02755</x:v>
      </x:c>
      <x:c r="C2801" t="str">
        <x:v>GATE</x:v>
      </x:c>
      <x:c r="D2801" t="str">
        <x:v>release state mirrors governing ledger</x:v>
      </x:c>
      <x:c r="E2801" t="str">
        <x:f>'Release Gates'!I2761</x:f>
        <x:v>OPEN</x:v>
      </x:c>
      <x:c r="F2801" t="str">
        <x:f>IF('Release Gates'!C2761="PLANNING","PASS",IF('Release Gates'!C2761="PHYSICAL","OPEN","BLOCKED"))</x:f>
        <x:v>OPEN</x:v>
      </x:c>
      <x:c r="G2801" t="str">
        <x:v>equals</x:v>
      </x:c>
      <x:c r="H2801" t="str">
        <x:f>IF(E2801=F2801,"PASS","FAIL")</x:f>
        <x:v>PASS</x:v>
      </x:c>
    </x:row>
    <x:row r="2802">
      <x:c r="B2802" t="str">
        <x:v>A-02756</x:v>
      </x:c>
      <x:c r="C2802" t="str">
        <x:v>GATE</x:v>
      </x:c>
      <x:c r="D2802" t="str">
        <x:v>release state mirrors governing ledger</x:v>
      </x:c>
      <x:c r="E2802" t="str">
        <x:f>'Release Gates'!I2762</x:f>
        <x:v>OPEN</x:v>
      </x:c>
      <x:c r="F2802" t="str">
        <x:f>IF('Release Gates'!C2762="PLANNING","PASS",IF('Release Gates'!C2762="PHYSICAL","OPEN","BLOCKED"))</x:f>
        <x:v>OPEN</x:v>
      </x:c>
      <x:c r="G2802" t="str">
        <x:v>equals</x:v>
      </x:c>
      <x:c r="H2802" t="str">
        <x:f>IF(E2802=F2802,"PASS","FAIL")</x:f>
        <x:v>PASS</x:v>
      </x:c>
    </x:row>
    <x:row r="2803">
      <x:c r="B2803" t="str">
        <x:v>A-02757</x:v>
      </x:c>
      <x:c r="C2803" t="str">
        <x:v>GATE</x:v>
      </x:c>
      <x:c r="D2803" t="str">
        <x:v>release state mirrors governing ledger</x:v>
      </x:c>
      <x:c r="E2803" t="str">
        <x:f>'Release Gates'!I2763</x:f>
        <x:v>OPEN</x:v>
      </x:c>
      <x:c r="F2803" t="str">
        <x:f>IF('Release Gates'!C2763="PLANNING","PASS",IF('Release Gates'!C2763="PHYSICAL","OPEN","BLOCKED"))</x:f>
        <x:v>OPEN</x:v>
      </x:c>
      <x:c r="G2803" t="str">
        <x:v>equals</x:v>
      </x:c>
      <x:c r="H2803" t="str">
        <x:f>IF(E2803=F2803,"PASS","FAIL")</x:f>
        <x:v>PASS</x:v>
      </x:c>
    </x:row>
    <x:row r="2804">
      <x:c r="B2804" t="str">
        <x:v>A-02758</x:v>
      </x:c>
      <x:c r="C2804" t="str">
        <x:v>GATE</x:v>
      </x:c>
      <x:c r="D2804" t="str">
        <x:v>release state mirrors governing ledger</x:v>
      </x:c>
      <x:c r="E2804" t="str">
        <x:f>'Release Gates'!I2764</x:f>
        <x:v>OPEN</x:v>
      </x:c>
      <x:c r="F2804" t="str">
        <x:f>IF('Release Gates'!C2764="PLANNING","PASS",IF('Release Gates'!C2764="PHYSICAL","OPEN","BLOCKED"))</x:f>
        <x:v>OPEN</x:v>
      </x:c>
      <x:c r="G2804" t="str">
        <x:v>equals</x:v>
      </x:c>
      <x:c r="H2804" t="str">
        <x:f>IF(E2804=F2804,"PASS","FAIL")</x:f>
        <x:v>PASS</x:v>
      </x:c>
    </x:row>
    <x:row r="2805">
      <x:c r="B2805" t="str">
        <x:v>A-02759</x:v>
      </x:c>
      <x:c r="C2805" t="str">
        <x:v>GATE</x:v>
      </x:c>
      <x:c r="D2805" t="str">
        <x:v>release state mirrors governing ledger</x:v>
      </x:c>
      <x:c r="E2805" t="str">
        <x:f>'Release Gates'!I2765</x:f>
        <x:v>OPEN</x:v>
      </x:c>
      <x:c r="F2805" t="str">
        <x:f>IF('Release Gates'!C2765="PLANNING","PASS",IF('Release Gates'!C2765="PHYSICAL","OPEN","BLOCKED"))</x:f>
        <x:v>OPEN</x:v>
      </x:c>
      <x:c r="G2805" t="str">
        <x:v>equals</x:v>
      </x:c>
      <x:c r="H2805" t="str">
        <x:f>IF(E2805=F2805,"PASS","FAIL")</x:f>
        <x:v>PASS</x:v>
      </x:c>
    </x:row>
    <x:row r="2806">
      <x:c r="B2806" t="str">
        <x:v>A-02760</x:v>
      </x:c>
      <x:c r="C2806" t="str">
        <x:v>GATE</x:v>
      </x:c>
      <x:c r="D2806" t="str">
        <x:v>release state mirrors governing ledger</x:v>
      </x:c>
      <x:c r="E2806" t="str">
        <x:f>'Release Gates'!I2766</x:f>
        <x:v>OPEN</x:v>
      </x:c>
      <x:c r="F2806" t="str">
        <x:f>IF('Release Gates'!C2766="PLANNING","PASS",IF('Release Gates'!C2766="PHYSICAL","OPEN","BLOCKED"))</x:f>
        <x:v>OPEN</x:v>
      </x:c>
      <x:c r="G2806" t="str">
        <x:v>equals</x:v>
      </x:c>
      <x:c r="H2806" t="str">
        <x:f>IF(E2806=F2806,"PASS","FAIL")</x:f>
        <x:v>PASS</x:v>
      </x:c>
    </x:row>
    <x:row r="2807">
      <x:c r="B2807" t="str">
        <x:v>A-02761</x:v>
      </x:c>
      <x:c r="C2807" t="str">
        <x:v>GATE</x:v>
      </x:c>
      <x:c r="D2807" t="str">
        <x:v>release state mirrors governing ledger</x:v>
      </x:c>
      <x:c r="E2807" t="str">
        <x:f>'Release Gates'!I2767</x:f>
        <x:v>OPEN</x:v>
      </x:c>
      <x:c r="F2807" t="str">
        <x:f>IF('Release Gates'!C2767="PLANNING","PASS",IF('Release Gates'!C2767="PHYSICAL","OPEN","BLOCKED"))</x:f>
        <x:v>OPEN</x:v>
      </x:c>
      <x:c r="G2807" t="str">
        <x:v>equals</x:v>
      </x:c>
      <x:c r="H2807" t="str">
        <x:f>IF(E2807=F2807,"PASS","FAIL")</x:f>
        <x:v>PASS</x:v>
      </x:c>
    </x:row>
    <x:row r="2808">
      <x:c r="B2808" t="str">
        <x:v>A-02762</x:v>
      </x:c>
      <x:c r="C2808" t="str">
        <x:v>GATE</x:v>
      </x:c>
      <x:c r="D2808" t="str">
        <x:v>release state mirrors governing ledger</x:v>
      </x:c>
      <x:c r="E2808" t="str">
        <x:f>'Release Gates'!I2768</x:f>
        <x:v>OPEN</x:v>
      </x:c>
      <x:c r="F2808" t="str">
        <x:f>IF('Release Gates'!C2768="PLANNING","PASS",IF('Release Gates'!C2768="PHYSICAL","OPEN","BLOCKED"))</x:f>
        <x:v>OPEN</x:v>
      </x:c>
      <x:c r="G2808" t="str">
        <x:v>equals</x:v>
      </x:c>
      <x:c r="H2808" t="str">
        <x:f>IF(E2808=F2808,"PASS","FAIL")</x:f>
        <x:v>PASS</x:v>
      </x:c>
    </x:row>
    <x:row r="2809">
      <x:c r="B2809" t="str">
        <x:v>A-02763</x:v>
      </x:c>
      <x:c r="C2809" t="str">
        <x:v>GATE</x:v>
      </x:c>
      <x:c r="D2809" t="str">
        <x:v>release state mirrors governing ledger</x:v>
      </x:c>
      <x:c r="E2809" t="str">
        <x:f>'Release Gates'!I2769</x:f>
        <x:v>OPEN</x:v>
      </x:c>
      <x:c r="F2809" t="str">
        <x:f>IF('Release Gates'!C2769="PLANNING","PASS",IF('Release Gates'!C2769="PHYSICAL","OPEN","BLOCKED"))</x:f>
        <x:v>OPEN</x:v>
      </x:c>
      <x:c r="G2809" t="str">
        <x:v>equals</x:v>
      </x:c>
      <x:c r="H2809" t="str">
        <x:f>IF(E2809=F2809,"PASS","FAIL")</x:f>
        <x:v>PASS</x:v>
      </x:c>
    </x:row>
    <x:row r="2810">
      <x:c r="B2810" t="str">
        <x:v>A-02764</x:v>
      </x:c>
      <x:c r="C2810" t="str">
        <x:v>GATE</x:v>
      </x:c>
      <x:c r="D2810" t="str">
        <x:v>release state mirrors governing ledger</x:v>
      </x:c>
      <x:c r="E2810" t="str">
        <x:f>'Release Gates'!I2770</x:f>
        <x:v>OPEN</x:v>
      </x:c>
      <x:c r="F2810" t="str">
        <x:f>IF('Release Gates'!C2770="PLANNING","PASS",IF('Release Gates'!C2770="PHYSICAL","OPEN","BLOCKED"))</x:f>
        <x:v>OPEN</x:v>
      </x:c>
      <x:c r="G2810" t="str">
        <x:v>equals</x:v>
      </x:c>
      <x:c r="H2810" t="str">
        <x:f>IF(E2810=F2810,"PASS","FAIL")</x:f>
        <x:v>PASS</x:v>
      </x:c>
    </x:row>
    <x:row r="2811">
      <x:c r="B2811" t="str">
        <x:v>A-02765</x:v>
      </x:c>
      <x:c r="C2811" t="str">
        <x:v>GATE</x:v>
      </x:c>
      <x:c r="D2811" t="str">
        <x:v>release state mirrors governing ledger</x:v>
      </x:c>
      <x:c r="E2811" t="str">
        <x:f>'Release Gates'!I2771</x:f>
        <x:v>OPEN</x:v>
      </x:c>
      <x:c r="F2811" t="str">
        <x:f>IF('Release Gates'!C2771="PLANNING","PASS",IF('Release Gates'!C2771="PHYSICAL","OPEN","BLOCKED"))</x:f>
        <x:v>OPEN</x:v>
      </x:c>
      <x:c r="G2811" t="str">
        <x:v>equals</x:v>
      </x:c>
      <x:c r="H2811" t="str">
        <x:f>IF(E2811=F2811,"PASS","FAIL")</x:f>
        <x:v>PASS</x:v>
      </x:c>
    </x:row>
    <x:row r="2812">
      <x:c r="B2812" t="str">
        <x:v>A-02766</x:v>
      </x:c>
      <x:c r="C2812" t="str">
        <x:v>GATE</x:v>
      </x:c>
      <x:c r="D2812" t="str">
        <x:v>release state mirrors governing ledger</x:v>
      </x:c>
      <x:c r="E2812" t="str">
        <x:f>'Release Gates'!I2772</x:f>
        <x:v>OPEN</x:v>
      </x:c>
      <x:c r="F2812" t="str">
        <x:f>IF('Release Gates'!C2772="PLANNING","PASS",IF('Release Gates'!C2772="PHYSICAL","OPEN","BLOCKED"))</x:f>
        <x:v>OPEN</x:v>
      </x:c>
      <x:c r="G2812" t="str">
        <x:v>equals</x:v>
      </x:c>
      <x:c r="H2812" t="str">
        <x:f>IF(E2812=F2812,"PASS","FAIL")</x:f>
        <x:v>PASS</x:v>
      </x:c>
    </x:row>
    <x:row r="2813">
      <x:c r="B2813" t="str">
        <x:v>A-02767</x:v>
      </x:c>
      <x:c r="C2813" t="str">
        <x:v>GATE</x:v>
      </x:c>
      <x:c r="D2813" t="str">
        <x:v>release state mirrors governing ledger</x:v>
      </x:c>
      <x:c r="E2813" t="str">
        <x:f>'Release Gates'!I2773</x:f>
        <x:v>OPEN</x:v>
      </x:c>
      <x:c r="F2813" t="str">
        <x:f>IF('Release Gates'!C2773="PLANNING","PASS",IF('Release Gates'!C2773="PHYSICAL","OPEN","BLOCKED"))</x:f>
        <x:v>OPEN</x:v>
      </x:c>
      <x:c r="G2813" t="str">
        <x:v>equals</x:v>
      </x:c>
      <x:c r="H2813" t="str">
        <x:f>IF(E2813=F2813,"PASS","FAIL")</x:f>
        <x:v>PASS</x:v>
      </x:c>
    </x:row>
    <x:row r="2814">
      <x:c r="B2814" t="str">
        <x:v>A-02768</x:v>
      </x:c>
      <x:c r="C2814" t="str">
        <x:v>GATE</x:v>
      </x:c>
      <x:c r="D2814" t="str">
        <x:v>release state mirrors governing ledger</x:v>
      </x:c>
      <x:c r="E2814" t="str">
        <x:f>'Release Gates'!I2774</x:f>
        <x:v>OPEN</x:v>
      </x:c>
      <x:c r="F2814" t="str">
        <x:f>IF('Release Gates'!C2774="PLANNING","PASS",IF('Release Gates'!C2774="PHYSICAL","OPEN","BLOCKED"))</x:f>
        <x:v>OPEN</x:v>
      </x:c>
      <x:c r="G2814" t="str">
        <x:v>equals</x:v>
      </x:c>
      <x:c r="H2814" t="str">
        <x:f>IF(E2814=F2814,"PASS","FAIL")</x:f>
        <x:v>PASS</x:v>
      </x:c>
    </x:row>
    <x:row r="2815">
      <x:c r="B2815" t="str">
        <x:v>A-02769</x:v>
      </x:c>
      <x:c r="C2815" t="str">
        <x:v>GATE</x:v>
      </x:c>
      <x:c r="D2815" t="str">
        <x:v>release state mirrors governing ledger</x:v>
      </x:c>
      <x:c r="E2815" t="str">
        <x:f>'Release Gates'!I2775</x:f>
        <x:v>OPEN</x:v>
      </x:c>
      <x:c r="F2815" t="str">
        <x:f>IF('Release Gates'!C2775="PLANNING","PASS",IF('Release Gates'!C2775="PHYSICAL","OPEN","BLOCKED"))</x:f>
        <x:v>OPEN</x:v>
      </x:c>
      <x:c r="G2815" t="str">
        <x:v>equals</x:v>
      </x:c>
      <x:c r="H2815" t="str">
        <x:f>IF(E2815=F2815,"PASS","FAIL")</x:f>
        <x:v>PASS</x:v>
      </x:c>
    </x:row>
    <x:row r="2816">
      <x:c r="B2816" t="str">
        <x:v>A-02770</x:v>
      </x:c>
      <x:c r="C2816" t="str">
        <x:v>GATE</x:v>
      </x:c>
      <x:c r="D2816" t="str">
        <x:v>release state mirrors governing ledger</x:v>
      </x:c>
      <x:c r="E2816" t="str">
        <x:f>'Release Gates'!I2776</x:f>
        <x:v>OPEN</x:v>
      </x:c>
      <x:c r="F2816" t="str">
        <x:f>IF('Release Gates'!C2776="PLANNING","PASS",IF('Release Gates'!C2776="PHYSICAL","OPEN","BLOCKED"))</x:f>
        <x:v>OPEN</x:v>
      </x:c>
      <x:c r="G2816" t="str">
        <x:v>equals</x:v>
      </x:c>
      <x:c r="H2816" t="str">
        <x:f>IF(E2816=F2816,"PASS","FAIL")</x:f>
        <x:v>PASS</x:v>
      </x:c>
    </x:row>
    <x:row r="2817">
      <x:c r="B2817" t="str">
        <x:v>A-02771</x:v>
      </x:c>
      <x:c r="C2817" t="str">
        <x:v>GATE</x:v>
      </x:c>
      <x:c r="D2817" t="str">
        <x:v>release state mirrors governing ledger</x:v>
      </x:c>
      <x:c r="E2817" t="str">
        <x:f>'Release Gates'!I2777</x:f>
        <x:v>OPEN</x:v>
      </x:c>
      <x:c r="F2817" t="str">
        <x:f>IF('Release Gates'!C2777="PLANNING","PASS",IF('Release Gates'!C2777="PHYSICAL","OPEN","BLOCKED"))</x:f>
        <x:v>OPEN</x:v>
      </x:c>
      <x:c r="G2817" t="str">
        <x:v>equals</x:v>
      </x:c>
      <x:c r="H2817" t="str">
        <x:f>IF(E2817=F2817,"PASS","FAIL")</x:f>
        <x:v>PASS</x:v>
      </x:c>
    </x:row>
    <x:row r="2818">
      <x:c r="B2818" t="str">
        <x:v>A-02772</x:v>
      </x:c>
      <x:c r="C2818" t="str">
        <x:v>GATE</x:v>
      </x:c>
      <x:c r="D2818" t="str">
        <x:v>release state mirrors governing ledger</x:v>
      </x:c>
      <x:c r="E2818" t="str">
        <x:f>'Release Gates'!I2778</x:f>
        <x:v>OPEN</x:v>
      </x:c>
      <x:c r="F2818" t="str">
        <x:f>IF('Release Gates'!C2778="PLANNING","PASS",IF('Release Gates'!C2778="PHYSICAL","OPEN","BLOCKED"))</x:f>
        <x:v>OPEN</x:v>
      </x:c>
      <x:c r="G2818" t="str">
        <x:v>equals</x:v>
      </x:c>
      <x:c r="H2818" t="str">
        <x:f>IF(E2818=F2818,"PASS","FAIL")</x:f>
        <x:v>PASS</x:v>
      </x:c>
    </x:row>
    <x:row r="2819">
      <x:c r="B2819" t="str">
        <x:v>A-02773</x:v>
      </x:c>
      <x:c r="C2819" t="str">
        <x:v>GATE</x:v>
      </x:c>
      <x:c r="D2819" t="str">
        <x:v>release state mirrors governing ledger</x:v>
      </x:c>
      <x:c r="E2819" t="str">
        <x:f>'Release Gates'!I2779</x:f>
        <x:v>OPEN</x:v>
      </x:c>
      <x:c r="F2819" t="str">
        <x:f>IF('Release Gates'!C2779="PLANNING","PASS",IF('Release Gates'!C2779="PHYSICAL","OPEN","BLOCKED"))</x:f>
        <x:v>OPEN</x:v>
      </x:c>
      <x:c r="G2819" t="str">
        <x:v>equals</x:v>
      </x:c>
      <x:c r="H2819" t="str">
        <x:f>IF(E2819=F2819,"PASS","FAIL")</x:f>
        <x:v>PASS</x:v>
      </x:c>
    </x:row>
    <x:row r="2820">
      <x:c r="B2820" t="str">
        <x:v>A-02774</x:v>
      </x:c>
      <x:c r="C2820" t="str">
        <x:v>GATE</x:v>
      </x:c>
      <x:c r="D2820" t="str">
        <x:v>release state mirrors governing ledger</x:v>
      </x:c>
      <x:c r="E2820" t="str">
        <x:f>'Release Gates'!I2780</x:f>
        <x:v>OPEN</x:v>
      </x:c>
      <x:c r="F2820" t="str">
        <x:f>IF('Release Gates'!C2780="PLANNING","PASS",IF('Release Gates'!C2780="PHYSICAL","OPEN","BLOCKED"))</x:f>
        <x:v>OPEN</x:v>
      </x:c>
      <x:c r="G2820" t="str">
        <x:v>equals</x:v>
      </x:c>
      <x:c r="H2820" t="str">
        <x:f>IF(E2820=F2820,"PASS","FAIL")</x:f>
        <x:v>PASS</x:v>
      </x:c>
    </x:row>
    <x:row r="2821">
      <x:c r="B2821" t="str">
        <x:v>A-02775</x:v>
      </x:c>
      <x:c r="C2821" t="str">
        <x:v>GATE</x:v>
      </x:c>
      <x:c r="D2821" t="str">
        <x:v>release state mirrors governing ledger</x:v>
      </x:c>
      <x:c r="E2821" t="str">
        <x:f>'Release Gates'!I2781</x:f>
        <x:v>OPEN</x:v>
      </x:c>
      <x:c r="F2821" t="str">
        <x:f>IF('Release Gates'!C2781="PLANNING","PASS",IF('Release Gates'!C2781="PHYSICAL","OPEN","BLOCKED"))</x:f>
        <x:v>OPEN</x:v>
      </x:c>
      <x:c r="G2821" t="str">
        <x:v>equals</x:v>
      </x:c>
      <x:c r="H2821" t="str">
        <x:f>IF(E2821=F2821,"PASS","FAIL")</x:f>
        <x:v>PASS</x:v>
      </x:c>
    </x:row>
    <x:row r="2822">
      <x:c r="B2822" t="str">
        <x:v>A-02776</x:v>
      </x:c>
      <x:c r="C2822" t="str">
        <x:v>GATE</x:v>
      </x:c>
      <x:c r="D2822" t="str">
        <x:v>release state mirrors governing ledger</x:v>
      </x:c>
      <x:c r="E2822" t="str">
        <x:f>'Release Gates'!I2782</x:f>
        <x:v>OPEN</x:v>
      </x:c>
      <x:c r="F2822" t="str">
        <x:f>IF('Release Gates'!C2782="PLANNING","PASS",IF('Release Gates'!C2782="PHYSICAL","OPEN","BLOCKED"))</x:f>
        <x:v>OPEN</x:v>
      </x:c>
      <x:c r="G2822" t="str">
        <x:v>equals</x:v>
      </x:c>
      <x:c r="H2822" t="str">
        <x:f>IF(E2822=F2822,"PASS","FAIL")</x:f>
        <x:v>PASS</x:v>
      </x:c>
    </x:row>
    <x:row r="2823">
      <x:c r="B2823" t="str">
        <x:v>A-02777</x:v>
      </x:c>
      <x:c r="C2823" t="str">
        <x:v>GATE</x:v>
      </x:c>
      <x:c r="D2823" t="str">
        <x:v>release state mirrors governing ledger</x:v>
      </x:c>
      <x:c r="E2823" t="str">
        <x:f>'Release Gates'!I2783</x:f>
        <x:v>OPEN</x:v>
      </x:c>
      <x:c r="F2823" t="str">
        <x:f>IF('Release Gates'!C2783="PLANNING","PASS",IF('Release Gates'!C2783="PHYSICAL","OPEN","BLOCKED"))</x:f>
        <x:v>OPEN</x:v>
      </x:c>
      <x:c r="G2823" t="str">
        <x:v>equals</x:v>
      </x:c>
      <x:c r="H2823" t="str">
        <x:f>IF(E2823=F2823,"PASS","FAIL")</x:f>
        <x:v>PASS</x:v>
      </x:c>
    </x:row>
    <x:row r="2824">
      <x:c r="B2824" t="str">
        <x:v>A-02778</x:v>
      </x:c>
      <x:c r="C2824" t="str">
        <x:v>GATE</x:v>
      </x:c>
      <x:c r="D2824" t="str">
        <x:v>release state mirrors governing ledger</x:v>
      </x:c>
      <x:c r="E2824" t="str">
        <x:f>'Release Gates'!I2784</x:f>
        <x:v>OPEN</x:v>
      </x:c>
      <x:c r="F2824" t="str">
        <x:f>IF('Release Gates'!C2784="PLANNING","PASS",IF('Release Gates'!C2784="PHYSICAL","OPEN","BLOCKED"))</x:f>
        <x:v>OPEN</x:v>
      </x:c>
      <x:c r="G2824" t="str">
        <x:v>equals</x:v>
      </x:c>
      <x:c r="H2824" t="str">
        <x:f>IF(E2824=F2824,"PASS","FAIL")</x:f>
        <x:v>PASS</x:v>
      </x:c>
    </x:row>
    <x:row r="2825">
      <x:c r="B2825" t="str">
        <x:v>A-02779</x:v>
      </x:c>
      <x:c r="C2825" t="str">
        <x:v>GATE</x:v>
      </x:c>
      <x:c r="D2825" t="str">
        <x:v>release state mirrors governing ledger</x:v>
      </x:c>
      <x:c r="E2825" t="str">
        <x:f>'Release Gates'!I2785</x:f>
        <x:v>OPEN</x:v>
      </x:c>
      <x:c r="F2825" t="str">
        <x:f>IF('Release Gates'!C2785="PLANNING","PASS",IF('Release Gates'!C2785="PHYSICAL","OPEN","BLOCKED"))</x:f>
        <x:v>OPEN</x:v>
      </x:c>
      <x:c r="G2825" t="str">
        <x:v>equals</x:v>
      </x:c>
      <x:c r="H2825" t="str">
        <x:f>IF(E2825=F2825,"PASS","FAIL")</x:f>
        <x:v>PASS</x:v>
      </x:c>
    </x:row>
    <x:row r="2826">
      <x:c r="B2826" t="str">
        <x:v>A-02780</x:v>
      </x:c>
      <x:c r="C2826" t="str">
        <x:v>GATE</x:v>
      </x:c>
      <x:c r="D2826" t="str">
        <x:v>release state mirrors governing ledger</x:v>
      </x:c>
      <x:c r="E2826" t="str">
        <x:f>'Release Gates'!I2786</x:f>
        <x:v>OPEN</x:v>
      </x:c>
      <x:c r="F2826" t="str">
        <x:f>IF('Release Gates'!C2786="PLANNING","PASS",IF('Release Gates'!C2786="PHYSICAL","OPEN","BLOCKED"))</x:f>
        <x:v>OPEN</x:v>
      </x:c>
      <x:c r="G2826" t="str">
        <x:v>equals</x:v>
      </x:c>
      <x:c r="H2826" t="str">
        <x:f>IF(E2826=F2826,"PASS","FAIL")</x:f>
        <x:v>PASS</x:v>
      </x:c>
    </x:row>
    <x:row r="2827">
      <x:c r="B2827" t="str">
        <x:v>A-02781</x:v>
      </x:c>
      <x:c r="C2827" t="str">
        <x:v>GATE</x:v>
      </x:c>
      <x:c r="D2827" t="str">
        <x:v>release state mirrors governing ledger</x:v>
      </x:c>
      <x:c r="E2827" t="str">
        <x:f>'Release Gates'!I2787</x:f>
        <x:v>OPEN</x:v>
      </x:c>
      <x:c r="F2827" t="str">
        <x:f>IF('Release Gates'!C2787="PLANNING","PASS",IF('Release Gates'!C2787="PHYSICAL","OPEN","BLOCKED"))</x:f>
        <x:v>OPEN</x:v>
      </x:c>
      <x:c r="G2827" t="str">
        <x:v>equals</x:v>
      </x:c>
      <x:c r="H2827" t="str">
        <x:f>IF(E2827=F2827,"PASS","FAIL")</x:f>
        <x:v>PASS</x:v>
      </x:c>
    </x:row>
    <x:row r="2828">
      <x:c r="B2828" t="str">
        <x:v>A-02782</x:v>
      </x:c>
      <x:c r="C2828" t="str">
        <x:v>GATE</x:v>
      </x:c>
      <x:c r="D2828" t="str">
        <x:v>release state mirrors governing ledger</x:v>
      </x:c>
      <x:c r="E2828" t="str">
        <x:f>'Release Gates'!I2788</x:f>
        <x:v>OPEN</x:v>
      </x:c>
      <x:c r="F2828" t="str">
        <x:f>IF('Release Gates'!C2788="PLANNING","PASS",IF('Release Gates'!C2788="PHYSICAL","OPEN","BLOCKED"))</x:f>
        <x:v>OPEN</x:v>
      </x:c>
      <x:c r="G2828" t="str">
        <x:v>equals</x:v>
      </x:c>
      <x:c r="H2828" t="str">
        <x:f>IF(E2828=F2828,"PASS","FAIL")</x:f>
        <x:v>PASS</x:v>
      </x:c>
    </x:row>
    <x:row r="2829">
      <x:c r="B2829" t="str">
        <x:v>A-02783</x:v>
      </x:c>
      <x:c r="C2829" t="str">
        <x:v>GATE</x:v>
      </x:c>
      <x:c r="D2829" t="str">
        <x:v>release state mirrors governing ledger</x:v>
      </x:c>
      <x:c r="E2829" t="str">
        <x:f>'Release Gates'!I2789</x:f>
        <x:v>OPEN</x:v>
      </x:c>
      <x:c r="F2829" t="str">
        <x:f>IF('Release Gates'!C2789="PLANNING","PASS",IF('Release Gates'!C2789="PHYSICAL","OPEN","BLOCKED"))</x:f>
        <x:v>OPEN</x:v>
      </x:c>
      <x:c r="G2829" t="str">
        <x:v>equals</x:v>
      </x:c>
      <x:c r="H2829" t="str">
        <x:f>IF(E2829=F2829,"PASS","FAIL")</x:f>
        <x:v>PASS</x:v>
      </x:c>
    </x:row>
    <x:row r="2830">
      <x:c r="B2830" t="str">
        <x:v>A-02784</x:v>
      </x:c>
      <x:c r="C2830" t="str">
        <x:v>GATE</x:v>
      </x:c>
      <x:c r="D2830" t="str">
        <x:v>release state mirrors governing ledger</x:v>
      </x:c>
      <x:c r="E2830" t="str">
        <x:f>'Release Gates'!I2790</x:f>
        <x:v>OPEN</x:v>
      </x:c>
      <x:c r="F2830" t="str">
        <x:f>IF('Release Gates'!C2790="PLANNING","PASS",IF('Release Gates'!C2790="PHYSICAL","OPEN","BLOCKED"))</x:f>
        <x:v>OPEN</x:v>
      </x:c>
      <x:c r="G2830" t="str">
        <x:v>equals</x:v>
      </x:c>
      <x:c r="H2830" t="str">
        <x:f>IF(E2830=F2830,"PASS","FAIL")</x:f>
        <x:v>PASS</x:v>
      </x:c>
    </x:row>
    <x:row r="2831">
      <x:c r="B2831" t="str">
        <x:v>A-02785</x:v>
      </x:c>
      <x:c r="C2831" t="str">
        <x:v>GATE</x:v>
      </x:c>
      <x:c r="D2831" t="str">
        <x:v>release state mirrors governing ledger</x:v>
      </x:c>
      <x:c r="E2831" t="str">
        <x:f>'Release Gates'!I2791</x:f>
        <x:v>OPEN</x:v>
      </x:c>
      <x:c r="F2831" t="str">
        <x:f>IF('Release Gates'!C2791="PLANNING","PASS",IF('Release Gates'!C2791="PHYSICAL","OPEN","BLOCKED"))</x:f>
        <x:v>OPEN</x:v>
      </x:c>
      <x:c r="G2831" t="str">
        <x:v>equals</x:v>
      </x:c>
      <x:c r="H2831" t="str">
        <x:f>IF(E2831=F2831,"PASS","FAIL")</x:f>
        <x:v>PASS</x:v>
      </x:c>
    </x:row>
    <x:row r="2832">
      <x:c r="B2832" t="str">
        <x:v>A-02786</x:v>
      </x:c>
      <x:c r="C2832" t="str">
        <x:v>GATE</x:v>
      </x:c>
      <x:c r="D2832" t="str">
        <x:v>release state mirrors governing ledger</x:v>
      </x:c>
      <x:c r="E2832" t="str">
        <x:f>'Release Gates'!I2792</x:f>
        <x:v>OPEN</x:v>
      </x:c>
      <x:c r="F2832" t="str">
        <x:f>IF('Release Gates'!C2792="PLANNING","PASS",IF('Release Gates'!C2792="PHYSICAL","OPEN","BLOCKED"))</x:f>
        <x:v>OPEN</x:v>
      </x:c>
      <x:c r="G2832" t="str">
        <x:v>equals</x:v>
      </x:c>
      <x:c r="H2832" t="str">
        <x:f>IF(E2832=F2832,"PASS","FAIL")</x:f>
        <x:v>PASS</x:v>
      </x:c>
    </x:row>
    <x:row r="2833">
      <x:c r="B2833" t="str">
        <x:v>A-02787</x:v>
      </x:c>
      <x:c r="C2833" t="str">
        <x:v>GATE</x:v>
      </x:c>
      <x:c r="D2833" t="str">
        <x:v>release state mirrors governing ledger</x:v>
      </x:c>
      <x:c r="E2833" t="str">
        <x:f>'Release Gates'!I2793</x:f>
        <x:v>OPEN</x:v>
      </x:c>
      <x:c r="F2833" t="str">
        <x:f>IF('Release Gates'!C2793="PLANNING","PASS",IF('Release Gates'!C2793="PHYSICAL","OPEN","BLOCKED"))</x:f>
        <x:v>OPEN</x:v>
      </x:c>
      <x:c r="G2833" t="str">
        <x:v>equals</x:v>
      </x:c>
      <x:c r="H2833" t="str">
        <x:f>IF(E2833=F2833,"PASS","FAIL")</x:f>
        <x:v>PASS</x:v>
      </x:c>
    </x:row>
    <x:row r="2834">
      <x:c r="B2834" t="str">
        <x:v>A-02788</x:v>
      </x:c>
      <x:c r="C2834" t="str">
        <x:v>GATE</x:v>
      </x:c>
      <x:c r="D2834" t="str">
        <x:v>release state mirrors governing ledger</x:v>
      </x:c>
      <x:c r="E2834" t="str">
        <x:f>'Release Gates'!I2794</x:f>
        <x:v>OPEN</x:v>
      </x:c>
      <x:c r="F2834" t="str">
        <x:f>IF('Release Gates'!C2794="PLANNING","PASS",IF('Release Gates'!C2794="PHYSICAL","OPEN","BLOCKED"))</x:f>
        <x:v>OPEN</x:v>
      </x:c>
      <x:c r="G2834" t="str">
        <x:v>equals</x:v>
      </x:c>
      <x:c r="H2834" t="str">
        <x:f>IF(E2834=F2834,"PASS","FAIL")</x:f>
        <x:v>PASS</x:v>
      </x:c>
    </x:row>
    <x:row r="2835">
      <x:c r="B2835" t="str">
        <x:v>A-02789</x:v>
      </x:c>
      <x:c r="C2835" t="str">
        <x:v>GATE</x:v>
      </x:c>
      <x:c r="D2835" t="str">
        <x:v>release state mirrors governing ledger</x:v>
      </x:c>
      <x:c r="E2835" t="str">
        <x:f>'Release Gates'!I2795</x:f>
        <x:v>OPEN</x:v>
      </x:c>
      <x:c r="F2835" t="str">
        <x:f>IF('Release Gates'!C2795="PLANNING","PASS",IF('Release Gates'!C2795="PHYSICAL","OPEN","BLOCKED"))</x:f>
        <x:v>OPEN</x:v>
      </x:c>
      <x:c r="G2835" t="str">
        <x:v>equals</x:v>
      </x:c>
      <x:c r="H2835" t="str">
        <x:f>IF(E2835=F2835,"PASS","FAIL")</x:f>
        <x:v>PASS</x:v>
      </x:c>
    </x:row>
    <x:row r="2836">
      <x:c r="B2836" t="str">
        <x:v>A-02790</x:v>
      </x:c>
      <x:c r="C2836" t="str">
        <x:v>GATE</x:v>
      </x:c>
      <x:c r="D2836" t="str">
        <x:v>release state mirrors governing ledger</x:v>
      </x:c>
      <x:c r="E2836" t="str">
        <x:f>'Release Gates'!I2796</x:f>
        <x:v>OPEN</x:v>
      </x:c>
      <x:c r="F2836" t="str">
        <x:f>IF('Release Gates'!C2796="PLANNING","PASS",IF('Release Gates'!C2796="PHYSICAL","OPEN","BLOCKED"))</x:f>
        <x:v>OPEN</x:v>
      </x:c>
      <x:c r="G2836" t="str">
        <x:v>equals</x:v>
      </x:c>
      <x:c r="H2836" t="str">
        <x:f>IF(E2836=F2836,"PASS","FAIL")</x:f>
        <x:v>PASS</x:v>
      </x:c>
    </x:row>
    <x:row r="2837">
      <x:c r="B2837" t="str">
        <x:v>A-02791</x:v>
      </x:c>
      <x:c r="C2837" t="str">
        <x:v>GATE</x:v>
      </x:c>
      <x:c r="D2837" t="str">
        <x:v>release state mirrors governing ledger</x:v>
      </x:c>
      <x:c r="E2837" t="str">
        <x:f>'Release Gates'!I2797</x:f>
        <x:v>OPEN</x:v>
      </x:c>
      <x:c r="F2837" t="str">
        <x:f>IF('Release Gates'!C2797="PLANNING","PASS",IF('Release Gates'!C2797="PHYSICAL","OPEN","BLOCKED"))</x:f>
        <x:v>OPEN</x:v>
      </x:c>
      <x:c r="G2837" t="str">
        <x:v>equals</x:v>
      </x:c>
      <x:c r="H2837" t="str">
        <x:f>IF(E2837=F2837,"PASS","FAIL")</x:f>
        <x:v>PASS</x:v>
      </x:c>
    </x:row>
    <x:row r="2838">
      <x:c r="B2838" t="str">
        <x:v>A-02792</x:v>
      </x:c>
      <x:c r="C2838" t="str">
        <x:v>GATE</x:v>
      </x:c>
      <x:c r="D2838" t="str">
        <x:v>release state mirrors governing ledger</x:v>
      </x:c>
      <x:c r="E2838" t="str">
        <x:f>'Release Gates'!I2798</x:f>
        <x:v>OPEN</x:v>
      </x:c>
      <x:c r="F2838" t="str">
        <x:f>IF('Release Gates'!C2798="PLANNING","PASS",IF('Release Gates'!C2798="PHYSICAL","OPEN","BLOCKED"))</x:f>
        <x:v>OPEN</x:v>
      </x:c>
      <x:c r="G2838" t="str">
        <x:v>equals</x:v>
      </x:c>
      <x:c r="H2838" t="str">
        <x:f>IF(E2838=F2838,"PASS","FAIL")</x:f>
        <x:v>PASS</x:v>
      </x:c>
    </x:row>
    <x:row r="2839">
      <x:c r="B2839" t="str">
        <x:v>A-02793</x:v>
      </x:c>
      <x:c r="C2839" t="str">
        <x:v>GATE</x:v>
      </x:c>
      <x:c r="D2839" t="str">
        <x:v>release state mirrors governing ledger</x:v>
      </x:c>
      <x:c r="E2839" t="str">
        <x:f>'Release Gates'!I2799</x:f>
        <x:v>OPEN</x:v>
      </x:c>
      <x:c r="F2839" t="str">
        <x:f>IF('Release Gates'!C2799="PLANNING","PASS",IF('Release Gates'!C2799="PHYSICAL","OPEN","BLOCKED"))</x:f>
        <x:v>OPEN</x:v>
      </x:c>
      <x:c r="G2839" t="str">
        <x:v>equals</x:v>
      </x:c>
      <x:c r="H2839" t="str">
        <x:f>IF(E2839=F2839,"PASS","FAIL")</x:f>
        <x:v>PASS</x:v>
      </x:c>
    </x:row>
    <x:row r="2840">
      <x:c r="B2840" t="str">
        <x:v>A-02794</x:v>
      </x:c>
      <x:c r="C2840" t="str">
        <x:v>GATE</x:v>
      </x:c>
      <x:c r="D2840" t="str">
        <x:v>release state mirrors governing ledger</x:v>
      </x:c>
      <x:c r="E2840" t="str">
        <x:f>'Release Gates'!I2800</x:f>
        <x:v>OPEN</x:v>
      </x:c>
      <x:c r="F2840" t="str">
        <x:f>IF('Release Gates'!C2800="PLANNING","PASS",IF('Release Gates'!C2800="PHYSICAL","OPEN","BLOCKED"))</x:f>
        <x:v>OPEN</x:v>
      </x:c>
      <x:c r="G2840" t="str">
        <x:v>equals</x:v>
      </x:c>
      <x:c r="H2840" t="str">
        <x:f>IF(E2840=F2840,"PASS","FAIL")</x:f>
        <x:v>PASS</x:v>
      </x:c>
    </x:row>
    <x:row r="2841">
      <x:c r="B2841" t="str">
        <x:v>A-02795</x:v>
      </x:c>
      <x:c r="C2841" t="str">
        <x:v>GATE</x:v>
      </x:c>
      <x:c r="D2841" t="str">
        <x:v>release state mirrors governing ledger</x:v>
      </x:c>
      <x:c r="E2841" t="str">
        <x:f>'Release Gates'!I2801</x:f>
        <x:v>OPEN</x:v>
      </x:c>
      <x:c r="F2841" t="str">
        <x:f>IF('Release Gates'!C2801="PLANNING","PASS",IF('Release Gates'!C2801="PHYSICAL","OPEN","BLOCKED"))</x:f>
        <x:v>OPEN</x:v>
      </x:c>
      <x:c r="G2841" t="str">
        <x:v>equals</x:v>
      </x:c>
      <x:c r="H2841" t="str">
        <x:f>IF(E2841=F2841,"PASS","FAIL")</x:f>
        <x:v>PASS</x:v>
      </x:c>
    </x:row>
    <x:row r="2842">
      <x:c r="B2842" t="str">
        <x:v>A-02796</x:v>
      </x:c>
      <x:c r="C2842" t="str">
        <x:v>GATE</x:v>
      </x:c>
      <x:c r="D2842" t="str">
        <x:v>release state mirrors governing ledger</x:v>
      </x:c>
      <x:c r="E2842" t="str">
        <x:f>'Release Gates'!I2802</x:f>
        <x:v>OPEN</x:v>
      </x:c>
      <x:c r="F2842" t="str">
        <x:f>IF('Release Gates'!C2802="PLANNING","PASS",IF('Release Gates'!C2802="PHYSICAL","OPEN","BLOCKED"))</x:f>
        <x:v>OPEN</x:v>
      </x:c>
      <x:c r="G2842" t="str">
        <x:v>equals</x:v>
      </x:c>
      <x:c r="H2842" t="str">
        <x:f>IF(E2842=F2842,"PASS","FAIL")</x:f>
        <x:v>PASS</x:v>
      </x:c>
    </x:row>
    <x:row r="2843">
      <x:c r="B2843" t="str">
        <x:v>A-02797</x:v>
      </x:c>
      <x:c r="C2843" t="str">
        <x:v>GATE</x:v>
      </x:c>
      <x:c r="D2843" t="str">
        <x:v>release state mirrors governing ledger</x:v>
      </x:c>
      <x:c r="E2843" t="str">
        <x:f>'Release Gates'!I2803</x:f>
        <x:v>OPEN</x:v>
      </x:c>
      <x:c r="F2843" t="str">
        <x:f>IF('Release Gates'!C2803="PLANNING","PASS",IF('Release Gates'!C2803="PHYSICAL","OPEN","BLOCKED"))</x:f>
        <x:v>OPEN</x:v>
      </x:c>
      <x:c r="G2843" t="str">
        <x:v>equals</x:v>
      </x:c>
      <x:c r="H2843" t="str">
        <x:f>IF(E2843=F2843,"PASS","FAIL")</x:f>
        <x:v>PASS</x:v>
      </x:c>
    </x:row>
    <x:row r="2844">
      <x:c r="B2844" t="str">
        <x:v>A-02798</x:v>
      </x:c>
      <x:c r="C2844" t="str">
        <x:v>GATE</x:v>
      </x:c>
      <x:c r="D2844" t="str">
        <x:v>release state mirrors governing ledger</x:v>
      </x:c>
      <x:c r="E2844" t="str">
        <x:f>'Release Gates'!I2804</x:f>
        <x:v>OPEN</x:v>
      </x:c>
      <x:c r="F2844" t="str">
        <x:f>IF('Release Gates'!C2804="PLANNING","PASS",IF('Release Gates'!C2804="PHYSICAL","OPEN","BLOCKED"))</x:f>
        <x:v>OPEN</x:v>
      </x:c>
      <x:c r="G2844" t="str">
        <x:v>equals</x:v>
      </x:c>
      <x:c r="H2844" t="str">
        <x:f>IF(E2844=F2844,"PASS","FAIL")</x:f>
        <x:v>PASS</x:v>
      </x:c>
    </x:row>
    <x:row r="2845">
      <x:c r="B2845" t="str">
        <x:v>A-02799</x:v>
      </x:c>
      <x:c r="C2845" t="str">
        <x:v>GATE</x:v>
      </x:c>
      <x:c r="D2845" t="str">
        <x:v>release state mirrors governing ledger</x:v>
      </x:c>
      <x:c r="E2845" t="str">
        <x:f>'Release Gates'!I2805</x:f>
        <x:v>OPEN</x:v>
      </x:c>
      <x:c r="F2845" t="str">
        <x:f>IF('Release Gates'!C2805="PLANNING","PASS",IF('Release Gates'!C2805="PHYSICAL","OPEN","BLOCKED"))</x:f>
        <x:v>OPEN</x:v>
      </x:c>
      <x:c r="G2845" t="str">
        <x:v>equals</x:v>
      </x:c>
      <x:c r="H2845" t="str">
        <x:f>IF(E2845=F2845,"PASS","FAIL")</x:f>
        <x:v>PASS</x:v>
      </x:c>
    </x:row>
    <x:row r="2846">
      <x:c r="B2846" t="str">
        <x:v>A-02800</x:v>
      </x:c>
      <x:c r="C2846" t="str">
        <x:v>GATE</x:v>
      </x:c>
      <x:c r="D2846" t="str">
        <x:v>release state mirrors governing ledger</x:v>
      </x:c>
      <x:c r="E2846" t="str">
        <x:f>'Release Gates'!I2806</x:f>
        <x:v>OPEN</x:v>
      </x:c>
      <x:c r="F2846" t="str">
        <x:f>IF('Release Gates'!C2806="PLANNING","PASS",IF('Release Gates'!C2806="PHYSICAL","OPEN","BLOCKED"))</x:f>
        <x:v>OPEN</x:v>
      </x:c>
      <x:c r="G2846" t="str">
        <x:v>equals</x:v>
      </x:c>
      <x:c r="H2846" t="str">
        <x:f>IF(E2846=F2846,"PASS","FAIL")</x:f>
        <x:v>PASS</x:v>
      </x:c>
    </x:row>
    <x:row r="2847">
      <x:c r="B2847" t="str">
        <x:v>A-02801</x:v>
      </x:c>
      <x:c r="C2847" t="str">
        <x:v>GATE</x:v>
      </x:c>
      <x:c r="D2847" t="str">
        <x:v>release state mirrors governing ledger</x:v>
      </x:c>
      <x:c r="E2847" t="str">
        <x:f>'Release Gates'!I2807</x:f>
        <x:v>OPEN</x:v>
      </x:c>
      <x:c r="F2847" t="str">
        <x:f>IF('Release Gates'!C2807="PLANNING","PASS",IF('Release Gates'!C2807="PHYSICAL","OPEN","BLOCKED"))</x:f>
        <x:v>OPEN</x:v>
      </x:c>
      <x:c r="G2847" t="str">
        <x:v>equals</x:v>
      </x:c>
      <x:c r="H2847" t="str">
        <x:f>IF(E2847=F2847,"PASS","FAIL")</x:f>
        <x:v>PASS</x:v>
      </x:c>
    </x:row>
    <x:row r="2848">
      <x:c r="B2848" t="str">
        <x:v>A-02802</x:v>
      </x:c>
      <x:c r="C2848" t="str">
        <x:v>GATE</x:v>
      </x:c>
      <x:c r="D2848" t="str">
        <x:v>release state mirrors governing ledger</x:v>
      </x:c>
      <x:c r="E2848" t="str">
        <x:f>'Release Gates'!I2808</x:f>
        <x:v>OPEN</x:v>
      </x:c>
      <x:c r="F2848" t="str">
        <x:f>IF('Release Gates'!C2808="PLANNING","PASS",IF('Release Gates'!C2808="PHYSICAL","OPEN","BLOCKED"))</x:f>
        <x:v>OPEN</x:v>
      </x:c>
      <x:c r="G2848" t="str">
        <x:v>equals</x:v>
      </x:c>
      <x:c r="H2848" t="str">
        <x:f>IF(E2848=F2848,"PASS","FAIL")</x:f>
        <x:v>PASS</x:v>
      </x:c>
    </x:row>
    <x:row r="2849">
      <x:c r="B2849" t="str">
        <x:v>A-02803</x:v>
      </x:c>
      <x:c r="C2849" t="str">
        <x:v>GATE</x:v>
      </x:c>
      <x:c r="D2849" t="str">
        <x:v>release state mirrors governing ledger</x:v>
      </x:c>
      <x:c r="E2849" t="str">
        <x:f>'Release Gates'!I2809</x:f>
        <x:v>OPEN</x:v>
      </x:c>
      <x:c r="F2849" t="str">
        <x:f>IF('Release Gates'!C2809="PLANNING","PASS",IF('Release Gates'!C2809="PHYSICAL","OPEN","BLOCKED"))</x:f>
        <x:v>OPEN</x:v>
      </x:c>
      <x:c r="G2849" t="str">
        <x:v>equals</x:v>
      </x:c>
      <x:c r="H2849" t="str">
        <x:f>IF(E2849=F2849,"PASS","FAIL")</x:f>
        <x:v>PASS</x:v>
      </x:c>
    </x:row>
    <x:row r="2850">
      <x:c r="B2850" t="str">
        <x:v>A-02804</x:v>
      </x:c>
      <x:c r="C2850" t="str">
        <x:v>GATE</x:v>
      </x:c>
      <x:c r="D2850" t="str">
        <x:v>release state mirrors governing ledger</x:v>
      </x:c>
      <x:c r="E2850" t="str">
        <x:f>'Release Gates'!I2810</x:f>
        <x:v>OPEN</x:v>
      </x:c>
      <x:c r="F2850" t="str">
        <x:f>IF('Release Gates'!C2810="PLANNING","PASS",IF('Release Gates'!C2810="PHYSICAL","OPEN","BLOCKED"))</x:f>
        <x:v>OPEN</x:v>
      </x:c>
      <x:c r="G2850" t="str">
        <x:v>equals</x:v>
      </x:c>
      <x:c r="H2850" t="str">
        <x:f>IF(E2850=F2850,"PASS","FAIL")</x:f>
        <x:v>PASS</x:v>
      </x:c>
    </x:row>
    <x:row r="2851">
      <x:c r="B2851" t="str">
        <x:v>A-02805</x:v>
      </x:c>
      <x:c r="C2851" t="str">
        <x:v>GATE</x:v>
      </x:c>
      <x:c r="D2851" t="str">
        <x:v>release state mirrors governing ledger</x:v>
      </x:c>
      <x:c r="E2851" t="str">
        <x:f>'Release Gates'!I2811</x:f>
        <x:v>OPEN</x:v>
      </x:c>
      <x:c r="F2851" t="str">
        <x:f>IF('Release Gates'!C2811="PLANNING","PASS",IF('Release Gates'!C2811="PHYSICAL","OPEN","BLOCKED"))</x:f>
        <x:v>OPEN</x:v>
      </x:c>
      <x:c r="G2851" t="str">
        <x:v>equals</x:v>
      </x:c>
      <x:c r="H2851" t="str">
        <x:f>IF(E2851=F2851,"PASS","FAIL")</x:f>
        <x:v>PASS</x:v>
      </x:c>
    </x:row>
    <x:row r="2852">
      <x:c r="B2852" t="str">
        <x:v>A-02806</x:v>
      </x:c>
      <x:c r="C2852" t="str">
        <x:v>GATE</x:v>
      </x:c>
      <x:c r="D2852" t="str">
        <x:v>release state mirrors governing ledger</x:v>
      </x:c>
      <x:c r="E2852" t="str">
        <x:f>'Release Gates'!I2812</x:f>
        <x:v>OPEN</x:v>
      </x:c>
      <x:c r="F2852" t="str">
        <x:f>IF('Release Gates'!C2812="PLANNING","PASS",IF('Release Gates'!C2812="PHYSICAL","OPEN","BLOCKED"))</x:f>
        <x:v>OPEN</x:v>
      </x:c>
      <x:c r="G2852" t="str">
        <x:v>equals</x:v>
      </x:c>
      <x:c r="H2852" t="str">
        <x:f>IF(E2852=F2852,"PASS","FAIL")</x:f>
        <x:v>PASS</x:v>
      </x:c>
    </x:row>
    <x:row r="2853">
      <x:c r="B2853" t="str">
        <x:v>A-02807</x:v>
      </x:c>
      <x:c r="C2853" t="str">
        <x:v>GATE</x:v>
      </x:c>
      <x:c r="D2853" t="str">
        <x:v>release state mirrors governing ledger</x:v>
      </x:c>
      <x:c r="E2853" t="str">
        <x:f>'Release Gates'!I2813</x:f>
        <x:v>OPEN</x:v>
      </x:c>
      <x:c r="F2853" t="str">
        <x:f>IF('Release Gates'!C2813="PLANNING","PASS",IF('Release Gates'!C2813="PHYSICAL","OPEN","BLOCKED"))</x:f>
        <x:v>OPEN</x:v>
      </x:c>
      <x:c r="G2853" t="str">
        <x:v>equals</x:v>
      </x:c>
      <x:c r="H2853" t="str">
        <x:f>IF(E2853=F2853,"PASS","FAIL")</x:f>
        <x:v>PASS</x:v>
      </x:c>
    </x:row>
    <x:row r="2854">
      <x:c r="B2854" t="str">
        <x:v>A-02808</x:v>
      </x:c>
      <x:c r="C2854" t="str">
        <x:v>GATE</x:v>
      </x:c>
      <x:c r="D2854" t="str">
        <x:v>release state mirrors governing ledger</x:v>
      </x:c>
      <x:c r="E2854" t="str">
        <x:f>'Release Gates'!I2814</x:f>
        <x:v>OPEN</x:v>
      </x:c>
      <x:c r="F2854" t="str">
        <x:f>IF('Release Gates'!C2814="PLANNING","PASS",IF('Release Gates'!C2814="PHYSICAL","OPEN","BLOCKED"))</x:f>
        <x:v>OPEN</x:v>
      </x:c>
      <x:c r="G2854" t="str">
        <x:v>equals</x:v>
      </x:c>
      <x:c r="H2854" t="str">
        <x:f>IF(E2854=F2854,"PASS","FAIL")</x:f>
        <x:v>PASS</x:v>
      </x:c>
    </x:row>
    <x:row r="2855">
      <x:c r="B2855" t="str">
        <x:v>A-02809</x:v>
      </x:c>
      <x:c r="C2855" t="str">
        <x:v>GATE</x:v>
      </x:c>
      <x:c r="D2855" t="str">
        <x:v>release state mirrors governing ledger</x:v>
      </x:c>
      <x:c r="E2855" t="str">
        <x:f>'Release Gates'!I2815</x:f>
        <x:v>OPEN</x:v>
      </x:c>
      <x:c r="F2855" t="str">
        <x:f>IF('Release Gates'!C2815="PLANNING","PASS",IF('Release Gates'!C2815="PHYSICAL","OPEN","BLOCKED"))</x:f>
        <x:v>OPEN</x:v>
      </x:c>
      <x:c r="G2855" t="str">
        <x:v>equals</x:v>
      </x:c>
      <x:c r="H2855" t="str">
        <x:f>IF(E2855=F2855,"PASS","FAIL")</x:f>
        <x:v>PASS</x:v>
      </x:c>
    </x:row>
    <x:row r="2856">
      <x:c r="B2856" t="str">
        <x:v>A-02810</x:v>
      </x:c>
      <x:c r="C2856" t="str">
        <x:v>GATE</x:v>
      </x:c>
      <x:c r="D2856" t="str">
        <x:v>release state mirrors governing ledger</x:v>
      </x:c>
      <x:c r="E2856" t="str">
        <x:f>'Release Gates'!I2816</x:f>
        <x:v>OPEN</x:v>
      </x:c>
      <x:c r="F2856" t="str">
        <x:f>IF('Release Gates'!C2816="PLANNING","PASS",IF('Release Gates'!C2816="PHYSICAL","OPEN","BLOCKED"))</x:f>
        <x:v>OPEN</x:v>
      </x:c>
      <x:c r="G2856" t="str">
        <x:v>equals</x:v>
      </x:c>
      <x:c r="H2856" t="str">
        <x:f>IF(E2856=F2856,"PASS","FAIL")</x:f>
        <x:v>PASS</x:v>
      </x:c>
    </x:row>
    <x:row r="2857">
      <x:c r="B2857" t="str">
        <x:v>A-02811</x:v>
      </x:c>
      <x:c r="C2857" t="str">
        <x:v>GATE</x:v>
      </x:c>
      <x:c r="D2857" t="str">
        <x:v>release state mirrors governing ledger</x:v>
      </x:c>
      <x:c r="E2857" t="str">
        <x:f>'Release Gates'!I2817</x:f>
        <x:v>OPEN</x:v>
      </x:c>
      <x:c r="F2857" t="str">
        <x:f>IF('Release Gates'!C2817="PLANNING","PASS",IF('Release Gates'!C2817="PHYSICAL","OPEN","BLOCKED"))</x:f>
        <x:v>OPEN</x:v>
      </x:c>
      <x:c r="G2857" t="str">
        <x:v>equals</x:v>
      </x:c>
      <x:c r="H2857" t="str">
        <x:f>IF(E2857=F2857,"PASS","FAIL")</x:f>
        <x:v>PASS</x:v>
      </x:c>
    </x:row>
    <x:row r="2858">
      <x:c r="B2858" t="str">
        <x:v>A-02812</x:v>
      </x:c>
      <x:c r="C2858" t="str">
        <x:v>GATE</x:v>
      </x:c>
      <x:c r="D2858" t="str">
        <x:v>release state mirrors governing ledger</x:v>
      </x:c>
      <x:c r="E2858" t="str">
        <x:f>'Release Gates'!I2818</x:f>
        <x:v>OPEN</x:v>
      </x:c>
      <x:c r="F2858" t="str">
        <x:f>IF('Release Gates'!C2818="PLANNING","PASS",IF('Release Gates'!C2818="PHYSICAL","OPEN","BLOCKED"))</x:f>
        <x:v>OPEN</x:v>
      </x:c>
      <x:c r="G2858" t="str">
        <x:v>equals</x:v>
      </x:c>
      <x:c r="H2858" t="str">
        <x:f>IF(E2858=F2858,"PASS","FAIL")</x:f>
        <x:v>PASS</x:v>
      </x:c>
    </x:row>
    <x:row r="2859">
      <x:c r="B2859" t="str">
        <x:v>A-02813</x:v>
      </x:c>
      <x:c r="C2859" t="str">
        <x:v>GATE</x:v>
      </x:c>
      <x:c r="D2859" t="str">
        <x:v>release state mirrors governing ledger</x:v>
      </x:c>
      <x:c r="E2859" t="str">
        <x:f>'Release Gates'!I2819</x:f>
        <x:v>OPEN</x:v>
      </x:c>
      <x:c r="F2859" t="str">
        <x:f>IF('Release Gates'!C2819="PLANNING","PASS",IF('Release Gates'!C2819="PHYSICAL","OPEN","BLOCKED"))</x:f>
        <x:v>OPEN</x:v>
      </x:c>
      <x:c r="G2859" t="str">
        <x:v>equals</x:v>
      </x:c>
      <x:c r="H2859" t="str">
        <x:f>IF(E2859=F2859,"PASS","FAIL")</x:f>
        <x:v>PASS</x:v>
      </x:c>
    </x:row>
    <x:row r="2860">
      <x:c r="B2860" t="str">
        <x:v>A-02814</x:v>
      </x:c>
      <x:c r="C2860" t="str">
        <x:v>GATE</x:v>
      </x:c>
      <x:c r="D2860" t="str">
        <x:v>release state mirrors governing ledger</x:v>
      </x:c>
      <x:c r="E2860" t="str">
        <x:f>'Release Gates'!I2820</x:f>
        <x:v>OPEN</x:v>
      </x:c>
      <x:c r="F2860" t="str">
        <x:f>IF('Release Gates'!C2820="PLANNING","PASS",IF('Release Gates'!C2820="PHYSICAL","OPEN","BLOCKED"))</x:f>
        <x:v>OPEN</x:v>
      </x:c>
      <x:c r="G2860" t="str">
        <x:v>equals</x:v>
      </x:c>
      <x:c r="H2860" t="str">
        <x:f>IF(E2860=F2860,"PASS","FAIL")</x:f>
        <x:v>PASS</x:v>
      </x:c>
    </x:row>
    <x:row r="2861">
      <x:c r="B2861" t="str">
        <x:v>A-02815</x:v>
      </x:c>
      <x:c r="C2861" t="str">
        <x:v>GATE</x:v>
      </x:c>
      <x:c r="D2861" t="str">
        <x:v>release state mirrors governing ledger</x:v>
      </x:c>
      <x:c r="E2861" t="str">
        <x:f>'Release Gates'!I2821</x:f>
        <x:v>OPEN</x:v>
      </x:c>
      <x:c r="F2861" t="str">
        <x:f>IF('Release Gates'!C2821="PLANNING","PASS",IF('Release Gates'!C2821="PHYSICAL","OPEN","BLOCKED"))</x:f>
        <x:v>OPEN</x:v>
      </x:c>
      <x:c r="G2861" t="str">
        <x:v>equals</x:v>
      </x:c>
      <x:c r="H2861" t="str">
        <x:f>IF(E2861=F2861,"PASS","FAIL")</x:f>
        <x:v>PASS</x:v>
      </x:c>
    </x:row>
    <x:row r="2862">
      <x:c r="B2862" t="str">
        <x:v>A-02816</x:v>
      </x:c>
      <x:c r="C2862" t="str">
        <x:v>GATE</x:v>
      </x:c>
      <x:c r="D2862" t="str">
        <x:v>release state mirrors governing ledger</x:v>
      </x:c>
      <x:c r="E2862" t="str">
        <x:f>'Release Gates'!I2822</x:f>
        <x:v>OPEN</x:v>
      </x:c>
      <x:c r="F2862" t="str">
        <x:f>IF('Release Gates'!C2822="PLANNING","PASS",IF('Release Gates'!C2822="PHYSICAL","OPEN","BLOCKED"))</x:f>
        <x:v>OPEN</x:v>
      </x:c>
      <x:c r="G2862" t="str">
        <x:v>equals</x:v>
      </x:c>
      <x:c r="H2862" t="str">
        <x:f>IF(E2862=F2862,"PASS","FAIL")</x:f>
        <x:v>PASS</x:v>
      </x:c>
    </x:row>
    <x:row r="2863">
      <x:c r="B2863" t="str">
        <x:v>A-02817</x:v>
      </x:c>
      <x:c r="C2863" t="str">
        <x:v>GATE</x:v>
      </x:c>
      <x:c r="D2863" t="str">
        <x:v>release state mirrors governing ledger</x:v>
      </x:c>
      <x:c r="E2863" t="str">
        <x:f>'Release Gates'!I2823</x:f>
        <x:v>OPEN</x:v>
      </x:c>
      <x:c r="F2863" t="str">
        <x:f>IF('Release Gates'!C2823="PLANNING","PASS",IF('Release Gates'!C2823="PHYSICAL","OPEN","BLOCKED"))</x:f>
        <x:v>OPEN</x:v>
      </x:c>
      <x:c r="G2863" t="str">
        <x:v>equals</x:v>
      </x:c>
      <x:c r="H2863" t="str">
        <x:f>IF(E2863=F2863,"PASS","FAIL")</x:f>
        <x:v>PASS</x:v>
      </x:c>
    </x:row>
    <x:row r="2864">
      <x:c r="B2864" t="str">
        <x:v>A-02818</x:v>
      </x:c>
      <x:c r="C2864" t="str">
        <x:v>GATE</x:v>
      </x:c>
      <x:c r="D2864" t="str">
        <x:v>release state mirrors governing ledger</x:v>
      </x:c>
      <x:c r="E2864" t="str">
        <x:f>'Release Gates'!I2824</x:f>
        <x:v>OPEN</x:v>
      </x:c>
      <x:c r="F2864" t="str">
        <x:f>IF('Release Gates'!C2824="PLANNING","PASS",IF('Release Gates'!C2824="PHYSICAL","OPEN","BLOCKED"))</x:f>
        <x:v>OPEN</x:v>
      </x:c>
      <x:c r="G2864" t="str">
        <x:v>equals</x:v>
      </x:c>
      <x:c r="H2864" t="str">
        <x:f>IF(E2864=F2864,"PASS","FAIL")</x:f>
        <x:v>PASS</x:v>
      </x:c>
    </x:row>
    <x:row r="2865">
      <x:c r="B2865" t="str">
        <x:v>A-02819</x:v>
      </x:c>
      <x:c r="C2865" t="str">
        <x:v>GATE</x:v>
      </x:c>
      <x:c r="D2865" t="str">
        <x:v>release state mirrors governing ledger</x:v>
      </x:c>
      <x:c r="E2865" t="str">
        <x:f>'Release Gates'!I2825</x:f>
        <x:v>OPEN</x:v>
      </x:c>
      <x:c r="F2865" t="str">
        <x:f>IF('Release Gates'!C2825="PLANNING","PASS",IF('Release Gates'!C2825="PHYSICAL","OPEN","BLOCKED"))</x:f>
        <x:v>OPEN</x:v>
      </x:c>
      <x:c r="G2865" t="str">
        <x:v>equals</x:v>
      </x:c>
      <x:c r="H2865" t="str">
        <x:f>IF(E2865=F2865,"PASS","FAIL")</x:f>
        <x:v>PASS</x:v>
      </x:c>
    </x:row>
    <x:row r="2866">
      <x:c r="B2866" t="str">
        <x:v>A-02820</x:v>
      </x:c>
      <x:c r="C2866" t="str">
        <x:v>GATE</x:v>
      </x:c>
      <x:c r="D2866" t="str">
        <x:v>release state mirrors governing ledger</x:v>
      </x:c>
      <x:c r="E2866" t="str">
        <x:f>'Release Gates'!I2826</x:f>
        <x:v>OPEN</x:v>
      </x:c>
      <x:c r="F2866" t="str">
        <x:f>IF('Release Gates'!C2826="PLANNING","PASS",IF('Release Gates'!C2826="PHYSICAL","OPEN","BLOCKED"))</x:f>
        <x:v>OPEN</x:v>
      </x:c>
      <x:c r="G2866" t="str">
        <x:v>equals</x:v>
      </x:c>
      <x:c r="H2866" t="str">
        <x:f>IF(E2866=F2866,"PASS","FAIL")</x:f>
        <x:v>PASS</x:v>
      </x:c>
    </x:row>
    <x:row r="2867">
      <x:c r="B2867" t="str">
        <x:v>A-02821</x:v>
      </x:c>
      <x:c r="C2867" t="str">
        <x:v>GATE</x:v>
      </x:c>
      <x:c r="D2867" t="str">
        <x:v>release state mirrors governing ledger</x:v>
      </x:c>
      <x:c r="E2867" t="str">
        <x:f>'Release Gates'!I2827</x:f>
        <x:v>OPEN</x:v>
      </x:c>
      <x:c r="F2867" t="str">
        <x:f>IF('Release Gates'!C2827="PLANNING","PASS",IF('Release Gates'!C2827="PHYSICAL","OPEN","BLOCKED"))</x:f>
        <x:v>OPEN</x:v>
      </x:c>
      <x:c r="G2867" t="str">
        <x:v>equals</x:v>
      </x:c>
      <x:c r="H2867" t="str">
        <x:f>IF(E2867=F2867,"PASS","FAIL")</x:f>
        <x:v>PASS</x:v>
      </x:c>
    </x:row>
    <x:row r="2868">
      <x:c r="B2868" t="str">
        <x:v>A-02822</x:v>
      </x:c>
      <x:c r="C2868" t="str">
        <x:v>GATE</x:v>
      </x:c>
      <x:c r="D2868" t="str">
        <x:v>release state mirrors governing ledger</x:v>
      </x:c>
      <x:c r="E2868" t="str">
        <x:f>'Release Gates'!I2828</x:f>
        <x:v>OPEN</x:v>
      </x:c>
      <x:c r="F2868" t="str">
        <x:f>IF('Release Gates'!C2828="PLANNING","PASS",IF('Release Gates'!C2828="PHYSICAL","OPEN","BLOCKED"))</x:f>
        <x:v>OPEN</x:v>
      </x:c>
      <x:c r="G2868" t="str">
        <x:v>equals</x:v>
      </x:c>
      <x:c r="H2868" t="str">
        <x:f>IF(E2868=F2868,"PASS","FAIL")</x:f>
        <x:v>PASS</x:v>
      </x:c>
    </x:row>
    <x:row r="2869">
      <x:c r="B2869" t="str">
        <x:v>A-02823</x:v>
      </x:c>
      <x:c r="C2869" t="str">
        <x:v>GATE</x:v>
      </x:c>
      <x:c r="D2869" t="str">
        <x:v>release state mirrors governing ledger</x:v>
      </x:c>
      <x:c r="E2869" t="str">
        <x:f>'Release Gates'!I2829</x:f>
        <x:v>OPEN</x:v>
      </x:c>
      <x:c r="F2869" t="str">
        <x:f>IF('Release Gates'!C2829="PLANNING","PASS",IF('Release Gates'!C2829="PHYSICAL","OPEN","BLOCKED"))</x:f>
        <x:v>OPEN</x:v>
      </x:c>
      <x:c r="G2869" t="str">
        <x:v>equals</x:v>
      </x:c>
      <x:c r="H2869" t="str">
        <x:f>IF(E2869=F2869,"PASS","FAIL")</x:f>
        <x:v>PASS</x:v>
      </x:c>
    </x:row>
    <x:row r="2870">
      <x:c r="B2870" t="str">
        <x:v>A-02824</x:v>
      </x:c>
      <x:c r="C2870" t="str">
        <x:v>GATE</x:v>
      </x:c>
      <x:c r="D2870" t="str">
        <x:v>release state mirrors governing ledger</x:v>
      </x:c>
      <x:c r="E2870" t="str">
        <x:f>'Release Gates'!I2830</x:f>
        <x:v>OPEN</x:v>
      </x:c>
      <x:c r="F2870" t="str">
        <x:f>IF('Release Gates'!C2830="PLANNING","PASS",IF('Release Gates'!C2830="PHYSICAL","OPEN","BLOCKED"))</x:f>
        <x:v>OPEN</x:v>
      </x:c>
      <x:c r="G2870" t="str">
        <x:v>equals</x:v>
      </x:c>
      <x:c r="H2870" t="str">
        <x:f>IF(E2870=F2870,"PASS","FAIL")</x:f>
        <x:v>PASS</x:v>
      </x:c>
    </x:row>
    <x:row r="2871">
      <x:c r="B2871" t="str">
        <x:v>A-02825</x:v>
      </x:c>
      <x:c r="C2871" t="str">
        <x:v>GATE</x:v>
      </x:c>
      <x:c r="D2871" t="str">
        <x:v>release state mirrors governing ledger</x:v>
      </x:c>
      <x:c r="E2871" t="str">
        <x:f>'Release Gates'!I2831</x:f>
        <x:v>OPEN</x:v>
      </x:c>
      <x:c r="F2871" t="str">
        <x:f>IF('Release Gates'!C2831="PLANNING","PASS",IF('Release Gates'!C2831="PHYSICAL","OPEN","BLOCKED"))</x:f>
        <x:v>OPEN</x:v>
      </x:c>
      <x:c r="G2871" t="str">
        <x:v>equals</x:v>
      </x:c>
      <x:c r="H2871" t="str">
        <x:f>IF(E2871=F2871,"PASS","FAIL")</x:f>
        <x:v>PASS</x:v>
      </x:c>
    </x:row>
    <x:row r="2872">
      <x:c r="B2872" t="str">
        <x:v>A-02826</x:v>
      </x:c>
      <x:c r="C2872" t="str">
        <x:v>GATE</x:v>
      </x:c>
      <x:c r="D2872" t="str">
        <x:v>release state mirrors governing ledger</x:v>
      </x:c>
      <x:c r="E2872" t="str">
        <x:f>'Release Gates'!I2832</x:f>
        <x:v>OPEN</x:v>
      </x:c>
      <x:c r="F2872" t="str">
        <x:f>IF('Release Gates'!C2832="PLANNING","PASS",IF('Release Gates'!C2832="PHYSICAL","OPEN","BLOCKED"))</x:f>
        <x:v>OPEN</x:v>
      </x:c>
      <x:c r="G2872" t="str">
        <x:v>equals</x:v>
      </x:c>
      <x:c r="H2872" t="str">
        <x:f>IF(E2872=F2872,"PASS","FAIL")</x:f>
        <x:v>PASS</x:v>
      </x:c>
    </x:row>
    <x:row r="2873">
      <x:c r="B2873" t="str">
        <x:v>A-02827</x:v>
      </x:c>
      <x:c r="C2873" t="str">
        <x:v>GATE</x:v>
      </x:c>
      <x:c r="D2873" t="str">
        <x:v>release state mirrors governing ledger</x:v>
      </x:c>
      <x:c r="E2873" t="str">
        <x:f>'Release Gates'!I2833</x:f>
        <x:v>OPEN</x:v>
      </x:c>
      <x:c r="F2873" t="str">
        <x:f>IF('Release Gates'!C2833="PLANNING","PASS",IF('Release Gates'!C2833="PHYSICAL","OPEN","BLOCKED"))</x:f>
        <x:v>OPEN</x:v>
      </x:c>
      <x:c r="G2873" t="str">
        <x:v>equals</x:v>
      </x:c>
      <x:c r="H2873" t="str">
        <x:f>IF(E2873=F2873,"PASS","FAIL")</x:f>
        <x:v>PASS</x:v>
      </x:c>
    </x:row>
    <x:row r="2874">
      <x:c r="B2874" t="str">
        <x:v>A-02828</x:v>
      </x:c>
      <x:c r="C2874" t="str">
        <x:v>GATE</x:v>
      </x:c>
      <x:c r="D2874" t="str">
        <x:v>release state mirrors governing ledger</x:v>
      </x:c>
      <x:c r="E2874" t="str">
        <x:f>'Release Gates'!I2834</x:f>
        <x:v>OPEN</x:v>
      </x:c>
      <x:c r="F2874" t="str">
        <x:f>IF('Release Gates'!C2834="PLANNING","PASS",IF('Release Gates'!C2834="PHYSICAL","OPEN","BLOCKED"))</x:f>
        <x:v>OPEN</x:v>
      </x:c>
      <x:c r="G2874" t="str">
        <x:v>equals</x:v>
      </x:c>
      <x:c r="H2874" t="str">
        <x:f>IF(E2874=F2874,"PASS","FAIL")</x:f>
        <x:v>PASS</x:v>
      </x:c>
    </x:row>
    <x:row r="2875">
      <x:c r="B2875" t="str">
        <x:v>A-02829</x:v>
      </x:c>
      <x:c r="C2875" t="str">
        <x:v>GATE</x:v>
      </x:c>
      <x:c r="D2875" t="str">
        <x:v>release state mirrors governing ledger</x:v>
      </x:c>
      <x:c r="E2875" t="str">
        <x:f>'Release Gates'!I2835</x:f>
        <x:v>OPEN</x:v>
      </x:c>
      <x:c r="F2875" t="str">
        <x:f>IF('Release Gates'!C2835="PLANNING","PASS",IF('Release Gates'!C2835="PHYSICAL","OPEN","BLOCKED"))</x:f>
        <x:v>OPEN</x:v>
      </x:c>
      <x:c r="G2875" t="str">
        <x:v>equals</x:v>
      </x:c>
      <x:c r="H2875" t="str">
        <x:f>IF(E2875=F2875,"PASS","FAIL")</x:f>
        <x:v>PASS</x:v>
      </x:c>
    </x:row>
    <x:row r="2876">
      <x:c r="B2876" t="str">
        <x:v>A-02830</x:v>
      </x:c>
      <x:c r="C2876" t="str">
        <x:v>GATE</x:v>
      </x:c>
      <x:c r="D2876" t="str">
        <x:v>release state mirrors governing ledger</x:v>
      </x:c>
      <x:c r="E2876" t="str">
        <x:f>'Release Gates'!I2836</x:f>
        <x:v>OPEN</x:v>
      </x:c>
      <x:c r="F2876" t="str">
        <x:f>IF('Release Gates'!C2836="PLANNING","PASS",IF('Release Gates'!C2836="PHYSICAL","OPEN","BLOCKED"))</x:f>
        <x:v>OPEN</x:v>
      </x:c>
      <x:c r="G2876" t="str">
        <x:v>equals</x:v>
      </x:c>
      <x:c r="H2876" t="str">
        <x:f>IF(E2876=F2876,"PASS","FAIL")</x:f>
        <x:v>PASS</x:v>
      </x:c>
    </x:row>
    <x:row r="2877">
      <x:c r="B2877" t="str">
        <x:v>A-02831</x:v>
      </x:c>
      <x:c r="C2877" t="str">
        <x:v>GATE</x:v>
      </x:c>
      <x:c r="D2877" t="str">
        <x:v>release state mirrors governing ledger</x:v>
      </x:c>
      <x:c r="E2877" t="str">
        <x:f>'Release Gates'!I2837</x:f>
        <x:v>OPEN</x:v>
      </x:c>
      <x:c r="F2877" t="str">
        <x:f>IF('Release Gates'!C2837="PLANNING","PASS",IF('Release Gates'!C2837="PHYSICAL","OPEN","BLOCKED"))</x:f>
        <x:v>OPEN</x:v>
      </x:c>
      <x:c r="G2877" t="str">
        <x:v>equals</x:v>
      </x:c>
      <x:c r="H2877" t="str">
        <x:f>IF(E2877=F2877,"PASS","FAIL")</x:f>
        <x:v>PASS</x:v>
      </x:c>
    </x:row>
    <x:row r="2878">
      <x:c r="B2878" t="str">
        <x:v>A-02832</x:v>
      </x:c>
      <x:c r="C2878" t="str">
        <x:v>GATE</x:v>
      </x:c>
      <x:c r="D2878" t="str">
        <x:v>release state mirrors governing ledger</x:v>
      </x:c>
      <x:c r="E2878" t="str">
        <x:f>'Release Gates'!I2838</x:f>
        <x:v>OPEN</x:v>
      </x:c>
      <x:c r="F2878" t="str">
        <x:f>IF('Release Gates'!C2838="PLANNING","PASS",IF('Release Gates'!C2838="PHYSICAL","OPEN","BLOCKED"))</x:f>
        <x:v>OPEN</x:v>
      </x:c>
      <x:c r="G2878" t="str">
        <x:v>equals</x:v>
      </x:c>
      <x:c r="H2878" t="str">
        <x:f>IF(E2878=F2878,"PASS","FAIL")</x:f>
        <x:v>PASS</x:v>
      </x:c>
    </x:row>
    <x:row r="2879">
      <x:c r="B2879" t="str">
        <x:v>A-02833</x:v>
      </x:c>
      <x:c r="C2879" t="str">
        <x:v>GATE</x:v>
      </x:c>
      <x:c r="D2879" t="str">
        <x:v>release state mirrors governing ledger</x:v>
      </x:c>
      <x:c r="E2879" t="str">
        <x:f>'Release Gates'!I2839</x:f>
        <x:v>OPEN</x:v>
      </x:c>
      <x:c r="F2879" t="str">
        <x:f>IF('Release Gates'!C2839="PLANNING","PASS",IF('Release Gates'!C2839="PHYSICAL","OPEN","BLOCKED"))</x:f>
        <x:v>OPEN</x:v>
      </x:c>
      <x:c r="G2879" t="str">
        <x:v>equals</x:v>
      </x:c>
      <x:c r="H2879" t="str">
        <x:f>IF(E2879=F2879,"PASS","FAIL")</x:f>
        <x:v>PASS</x:v>
      </x:c>
    </x:row>
    <x:row r="2880">
      <x:c r="B2880" t="str">
        <x:v>A-02834</x:v>
      </x:c>
      <x:c r="C2880" t="str">
        <x:v>GATE</x:v>
      </x:c>
      <x:c r="D2880" t="str">
        <x:v>release state mirrors governing ledger</x:v>
      </x:c>
      <x:c r="E2880" t="str">
        <x:f>'Release Gates'!I2840</x:f>
        <x:v>OPEN</x:v>
      </x:c>
      <x:c r="F2880" t="str">
        <x:f>IF('Release Gates'!C2840="PLANNING","PASS",IF('Release Gates'!C2840="PHYSICAL","OPEN","BLOCKED"))</x:f>
        <x:v>OPEN</x:v>
      </x:c>
      <x:c r="G2880" t="str">
        <x:v>equals</x:v>
      </x:c>
      <x:c r="H2880" t="str">
        <x:f>IF(E2880=F2880,"PASS","FAIL")</x:f>
        <x:v>PASS</x:v>
      </x:c>
    </x:row>
    <x:row r="2881">
      <x:c r="B2881" t="str">
        <x:v>A-02835</x:v>
      </x:c>
      <x:c r="C2881" t="str">
        <x:v>GATE</x:v>
      </x:c>
      <x:c r="D2881" t="str">
        <x:v>release state mirrors governing ledger</x:v>
      </x:c>
      <x:c r="E2881" t="str">
        <x:f>'Release Gates'!I2841</x:f>
        <x:v>OPEN</x:v>
      </x:c>
      <x:c r="F2881" t="str">
        <x:f>IF('Release Gates'!C2841="PLANNING","PASS",IF('Release Gates'!C2841="PHYSICAL","OPEN","BLOCKED"))</x:f>
        <x:v>OPEN</x:v>
      </x:c>
      <x:c r="G2881" t="str">
        <x:v>equals</x:v>
      </x:c>
      <x:c r="H2881" t="str">
        <x:f>IF(E2881=F2881,"PASS","FAIL")</x:f>
        <x:v>PASS</x:v>
      </x:c>
    </x:row>
    <x:row r="2882">
      <x:c r="B2882" t="str">
        <x:v>A-02836</x:v>
      </x:c>
      <x:c r="C2882" t="str">
        <x:v>GATE</x:v>
      </x:c>
      <x:c r="D2882" t="str">
        <x:v>release state mirrors governing ledger</x:v>
      </x:c>
      <x:c r="E2882" t="str">
        <x:f>'Release Gates'!I2842</x:f>
        <x:v>OPEN</x:v>
      </x:c>
      <x:c r="F2882" t="str">
        <x:f>IF('Release Gates'!C2842="PLANNING","PASS",IF('Release Gates'!C2842="PHYSICAL","OPEN","BLOCKED"))</x:f>
        <x:v>OPEN</x:v>
      </x:c>
      <x:c r="G2882" t="str">
        <x:v>equals</x:v>
      </x:c>
      <x:c r="H2882" t="str">
        <x:f>IF(E2882=F2882,"PASS","FAIL")</x:f>
        <x:v>PASS</x:v>
      </x:c>
    </x:row>
    <x:row r="2883">
      <x:c r="B2883" t="str">
        <x:v>A-02837</x:v>
      </x:c>
      <x:c r="C2883" t="str">
        <x:v>GATE</x:v>
      </x:c>
      <x:c r="D2883" t="str">
        <x:v>release state mirrors governing ledger</x:v>
      </x:c>
      <x:c r="E2883" t="str">
        <x:f>'Release Gates'!I2843</x:f>
        <x:v>OPEN</x:v>
      </x:c>
      <x:c r="F2883" t="str">
        <x:f>IF('Release Gates'!C2843="PLANNING","PASS",IF('Release Gates'!C2843="PHYSICAL","OPEN","BLOCKED"))</x:f>
        <x:v>OPEN</x:v>
      </x:c>
      <x:c r="G2883" t="str">
        <x:v>equals</x:v>
      </x:c>
      <x:c r="H2883" t="str">
        <x:f>IF(E2883=F2883,"PASS","FAIL")</x:f>
        <x:v>PASS</x:v>
      </x:c>
    </x:row>
    <x:row r="2884">
      <x:c r="B2884" t="str">
        <x:v>A-02838</x:v>
      </x:c>
      <x:c r="C2884" t="str">
        <x:v>GATE</x:v>
      </x:c>
      <x:c r="D2884" t="str">
        <x:v>release state mirrors governing ledger</x:v>
      </x:c>
      <x:c r="E2884" t="str">
        <x:f>'Release Gates'!I2844</x:f>
        <x:v>OPEN</x:v>
      </x:c>
      <x:c r="F2884" t="str">
        <x:f>IF('Release Gates'!C2844="PLANNING","PASS",IF('Release Gates'!C2844="PHYSICAL","OPEN","BLOCKED"))</x:f>
        <x:v>OPEN</x:v>
      </x:c>
      <x:c r="G2884" t="str">
        <x:v>equals</x:v>
      </x:c>
      <x:c r="H2884" t="str">
        <x:f>IF(E2884=F2884,"PASS","FAIL")</x:f>
        <x:v>PASS</x:v>
      </x:c>
    </x:row>
    <x:row r="2885">
      <x:c r="B2885" t="str">
        <x:v>A-02839</x:v>
      </x:c>
      <x:c r="C2885" t="str">
        <x:v>GATE</x:v>
      </x:c>
      <x:c r="D2885" t="str">
        <x:v>release state mirrors governing ledger</x:v>
      </x:c>
      <x:c r="E2885" t="str">
        <x:f>'Release Gates'!I2845</x:f>
        <x:v>OPEN</x:v>
      </x:c>
      <x:c r="F2885" t="str">
        <x:f>IF('Release Gates'!C2845="PLANNING","PASS",IF('Release Gates'!C2845="PHYSICAL","OPEN","BLOCKED"))</x:f>
        <x:v>OPEN</x:v>
      </x:c>
      <x:c r="G2885" t="str">
        <x:v>equals</x:v>
      </x:c>
      <x:c r="H2885" t="str">
        <x:f>IF(E2885=F2885,"PASS","FAIL")</x:f>
        <x:v>PASS</x:v>
      </x:c>
    </x:row>
    <x:row r="2886">
      <x:c r="B2886" t="str">
        <x:v>A-02840</x:v>
      </x:c>
      <x:c r="C2886" t="str">
        <x:v>GATE</x:v>
      </x:c>
      <x:c r="D2886" t="str">
        <x:v>release state mirrors governing ledger</x:v>
      </x:c>
      <x:c r="E2886" t="str">
        <x:f>'Release Gates'!I2846</x:f>
        <x:v>OPEN</x:v>
      </x:c>
      <x:c r="F2886" t="str">
        <x:f>IF('Release Gates'!C2846="PLANNING","PASS",IF('Release Gates'!C2846="PHYSICAL","OPEN","BLOCKED"))</x:f>
        <x:v>OPEN</x:v>
      </x:c>
      <x:c r="G2886" t="str">
        <x:v>equals</x:v>
      </x:c>
      <x:c r="H2886" t="str">
        <x:f>IF(E2886=F2886,"PASS","FAIL")</x:f>
        <x:v>PASS</x:v>
      </x:c>
    </x:row>
    <x:row r="2887">
      <x:c r="B2887" t="str">
        <x:v>A-02841</x:v>
      </x:c>
      <x:c r="C2887" t="str">
        <x:v>GATE</x:v>
      </x:c>
      <x:c r="D2887" t="str">
        <x:v>release state mirrors governing ledger</x:v>
      </x:c>
      <x:c r="E2887" t="str">
        <x:f>'Release Gates'!I2847</x:f>
        <x:v>OPEN</x:v>
      </x:c>
      <x:c r="F2887" t="str">
        <x:f>IF('Release Gates'!C2847="PLANNING","PASS",IF('Release Gates'!C2847="PHYSICAL","OPEN","BLOCKED"))</x:f>
        <x:v>OPEN</x:v>
      </x:c>
      <x:c r="G2887" t="str">
        <x:v>equals</x:v>
      </x:c>
      <x:c r="H2887" t="str">
        <x:f>IF(E2887=F2887,"PASS","FAIL")</x:f>
        <x:v>PASS</x:v>
      </x:c>
    </x:row>
    <x:row r="2888">
      <x:c r="B2888" t="str">
        <x:v>A-02842</x:v>
      </x:c>
      <x:c r="C2888" t="str">
        <x:v>GATE</x:v>
      </x:c>
      <x:c r="D2888" t="str">
        <x:v>release state mirrors governing ledger</x:v>
      </x:c>
      <x:c r="E2888" t="str">
        <x:f>'Release Gates'!I2848</x:f>
        <x:v>OPEN</x:v>
      </x:c>
      <x:c r="F2888" t="str">
        <x:f>IF('Release Gates'!C2848="PLANNING","PASS",IF('Release Gates'!C2848="PHYSICAL","OPEN","BLOCKED"))</x:f>
        <x:v>OPEN</x:v>
      </x:c>
      <x:c r="G2888" t="str">
        <x:v>equals</x:v>
      </x:c>
      <x:c r="H2888" t="str">
        <x:f>IF(E2888=F2888,"PASS","FAIL")</x:f>
        <x:v>PASS</x:v>
      </x:c>
    </x:row>
    <x:row r="2889">
      <x:c r="B2889" t="str">
        <x:v>A-02843</x:v>
      </x:c>
      <x:c r="C2889" t="str">
        <x:v>GATE</x:v>
      </x:c>
      <x:c r="D2889" t="str">
        <x:v>release state mirrors governing ledger</x:v>
      </x:c>
      <x:c r="E2889" t="str">
        <x:f>'Release Gates'!I2849</x:f>
        <x:v>OPEN</x:v>
      </x:c>
      <x:c r="F2889" t="str">
        <x:f>IF('Release Gates'!C2849="PLANNING","PASS",IF('Release Gates'!C2849="PHYSICAL","OPEN","BLOCKED"))</x:f>
        <x:v>OPEN</x:v>
      </x:c>
      <x:c r="G2889" t="str">
        <x:v>equals</x:v>
      </x:c>
      <x:c r="H2889" t="str">
        <x:f>IF(E2889=F2889,"PASS","FAIL")</x:f>
        <x:v>PASS</x:v>
      </x:c>
    </x:row>
    <x:row r="2890">
      <x:c r="B2890" t="str">
        <x:v>A-02844</x:v>
      </x:c>
      <x:c r="C2890" t="str">
        <x:v>GATE</x:v>
      </x:c>
      <x:c r="D2890" t="str">
        <x:v>release state mirrors governing ledger</x:v>
      </x:c>
      <x:c r="E2890" t="str">
        <x:f>'Release Gates'!I2850</x:f>
        <x:v>OPEN</x:v>
      </x:c>
      <x:c r="F2890" t="str">
        <x:f>IF('Release Gates'!C2850="PLANNING","PASS",IF('Release Gates'!C2850="PHYSICAL","OPEN","BLOCKED"))</x:f>
        <x:v>OPEN</x:v>
      </x:c>
      <x:c r="G2890" t="str">
        <x:v>equals</x:v>
      </x:c>
      <x:c r="H2890" t="str">
        <x:f>IF(E2890=F2890,"PASS","FAIL")</x:f>
        <x:v>PASS</x:v>
      </x:c>
    </x:row>
    <x:row r="2891">
      <x:c r="B2891" t="str">
        <x:v>A-02845</x:v>
      </x:c>
      <x:c r="C2891" t="str">
        <x:v>GATE</x:v>
      </x:c>
      <x:c r="D2891" t="str">
        <x:v>release state mirrors governing ledger</x:v>
      </x:c>
      <x:c r="E2891" t="str">
        <x:f>'Release Gates'!I2851</x:f>
        <x:v>OPEN</x:v>
      </x:c>
      <x:c r="F2891" t="str">
        <x:f>IF('Release Gates'!C2851="PLANNING","PASS",IF('Release Gates'!C2851="PHYSICAL","OPEN","BLOCKED"))</x:f>
        <x:v>OPEN</x:v>
      </x:c>
      <x:c r="G2891" t="str">
        <x:v>equals</x:v>
      </x:c>
      <x:c r="H2891" t="str">
        <x:f>IF(E2891=F2891,"PASS","FAIL")</x:f>
        <x:v>PASS</x:v>
      </x:c>
    </x:row>
    <x:row r="2892">
      <x:c r="B2892" t="str">
        <x:v>A-02846</x:v>
      </x:c>
      <x:c r="C2892" t="str">
        <x:v>GATE</x:v>
      </x:c>
      <x:c r="D2892" t="str">
        <x:v>release state mirrors governing ledger</x:v>
      </x:c>
      <x:c r="E2892" t="str">
        <x:f>'Release Gates'!I2852</x:f>
        <x:v>OPEN</x:v>
      </x:c>
      <x:c r="F2892" t="str">
        <x:f>IF('Release Gates'!C2852="PLANNING","PASS",IF('Release Gates'!C2852="PHYSICAL","OPEN","BLOCKED"))</x:f>
        <x:v>OPEN</x:v>
      </x:c>
      <x:c r="G2892" t="str">
        <x:v>equals</x:v>
      </x:c>
      <x:c r="H2892" t="str">
        <x:f>IF(E2892=F2892,"PASS","FAIL")</x:f>
        <x:v>PASS</x:v>
      </x:c>
    </x:row>
    <x:row r="2893">
      <x:c r="B2893" t="str">
        <x:v>A-02847</x:v>
      </x:c>
      <x:c r="C2893" t="str">
        <x:v>GATE</x:v>
      </x:c>
      <x:c r="D2893" t="str">
        <x:v>release state mirrors governing ledger</x:v>
      </x:c>
      <x:c r="E2893" t="str">
        <x:f>'Release Gates'!I2853</x:f>
        <x:v>OPEN</x:v>
      </x:c>
      <x:c r="F2893" t="str">
        <x:f>IF('Release Gates'!C2853="PLANNING","PASS",IF('Release Gates'!C2853="PHYSICAL","OPEN","BLOCKED"))</x:f>
        <x:v>OPEN</x:v>
      </x:c>
      <x:c r="G2893" t="str">
        <x:v>equals</x:v>
      </x:c>
      <x:c r="H2893" t="str">
        <x:f>IF(E2893=F2893,"PASS","FAIL")</x:f>
        <x:v>PASS</x:v>
      </x:c>
    </x:row>
    <x:row r="2894">
      <x:c r="B2894" t="str">
        <x:v>A-02848</x:v>
      </x:c>
      <x:c r="C2894" t="str">
        <x:v>GATE</x:v>
      </x:c>
      <x:c r="D2894" t="str">
        <x:v>release state mirrors governing ledger</x:v>
      </x:c>
      <x:c r="E2894" t="str">
        <x:f>'Release Gates'!I2854</x:f>
        <x:v>OPEN</x:v>
      </x:c>
      <x:c r="F2894" t="str">
        <x:f>IF('Release Gates'!C2854="PLANNING","PASS",IF('Release Gates'!C2854="PHYSICAL","OPEN","BLOCKED"))</x:f>
        <x:v>OPEN</x:v>
      </x:c>
      <x:c r="G2894" t="str">
        <x:v>equals</x:v>
      </x:c>
      <x:c r="H2894" t="str">
        <x:f>IF(E2894=F2894,"PASS","FAIL")</x:f>
        <x:v>PASS</x:v>
      </x:c>
    </x:row>
    <x:row r="2895">
      <x:c r="B2895" t="str">
        <x:v>A-02849</x:v>
      </x:c>
      <x:c r="C2895" t="str">
        <x:v>GATE</x:v>
      </x:c>
      <x:c r="D2895" t="str">
        <x:v>release state mirrors governing ledger</x:v>
      </x:c>
      <x:c r="E2895" t="str">
        <x:f>'Release Gates'!I2855</x:f>
        <x:v>OPEN</x:v>
      </x:c>
      <x:c r="F2895" t="str">
        <x:f>IF('Release Gates'!C2855="PLANNING","PASS",IF('Release Gates'!C2855="PHYSICAL","OPEN","BLOCKED"))</x:f>
        <x:v>OPEN</x:v>
      </x:c>
      <x:c r="G2895" t="str">
        <x:v>equals</x:v>
      </x:c>
      <x:c r="H2895" t="str">
        <x:f>IF(E2895=F2895,"PASS","FAIL")</x:f>
        <x:v>PASS</x:v>
      </x:c>
    </x:row>
    <x:row r="2896">
      <x:c r="B2896" t="str">
        <x:v>A-02850</x:v>
      </x:c>
      <x:c r="C2896" t="str">
        <x:v>GATE</x:v>
      </x:c>
      <x:c r="D2896" t="str">
        <x:v>release state mirrors governing ledger</x:v>
      </x:c>
      <x:c r="E2896" t="str">
        <x:f>'Release Gates'!I2856</x:f>
        <x:v>OPEN</x:v>
      </x:c>
      <x:c r="F2896" t="str">
        <x:f>IF('Release Gates'!C2856="PLANNING","PASS",IF('Release Gates'!C2856="PHYSICAL","OPEN","BLOCKED"))</x:f>
        <x:v>OPEN</x:v>
      </x:c>
      <x:c r="G2896" t="str">
        <x:v>equals</x:v>
      </x:c>
      <x:c r="H2896" t="str">
        <x:f>IF(E2896=F2896,"PASS","FAIL")</x:f>
        <x:v>PASS</x:v>
      </x:c>
    </x:row>
    <x:row r="2897">
      <x:c r="B2897" t="str">
        <x:v>A-02851</x:v>
      </x:c>
      <x:c r="C2897" t="str">
        <x:v>GATE</x:v>
      </x:c>
      <x:c r="D2897" t="str">
        <x:v>release state mirrors governing ledger</x:v>
      </x:c>
      <x:c r="E2897" t="str">
        <x:f>'Release Gates'!I2857</x:f>
        <x:v>OPEN</x:v>
      </x:c>
      <x:c r="F2897" t="str">
        <x:f>IF('Release Gates'!C2857="PLANNING","PASS",IF('Release Gates'!C2857="PHYSICAL","OPEN","BLOCKED"))</x:f>
        <x:v>OPEN</x:v>
      </x:c>
      <x:c r="G2897" t="str">
        <x:v>equals</x:v>
      </x:c>
      <x:c r="H2897" t="str">
        <x:f>IF(E2897=F2897,"PASS","FAIL")</x:f>
        <x:v>PASS</x:v>
      </x:c>
    </x:row>
    <x:row r="2898">
      <x:c r="B2898" t="str">
        <x:v>A-02852</x:v>
      </x:c>
      <x:c r="C2898" t="str">
        <x:v>GATE</x:v>
      </x:c>
      <x:c r="D2898" t="str">
        <x:v>release state mirrors governing ledger</x:v>
      </x:c>
      <x:c r="E2898" t="str">
        <x:f>'Release Gates'!I2858</x:f>
        <x:v>OPEN</x:v>
      </x:c>
      <x:c r="F2898" t="str">
        <x:f>IF('Release Gates'!C2858="PLANNING","PASS",IF('Release Gates'!C2858="PHYSICAL","OPEN","BLOCKED"))</x:f>
        <x:v>OPEN</x:v>
      </x:c>
      <x:c r="G2898" t="str">
        <x:v>equals</x:v>
      </x:c>
      <x:c r="H2898" t="str">
        <x:f>IF(E2898=F2898,"PASS","FAIL")</x:f>
        <x:v>PASS</x:v>
      </x:c>
    </x:row>
    <x:row r="2899">
      <x:c r="B2899" t="str">
        <x:v>A-02853</x:v>
      </x:c>
      <x:c r="C2899" t="str">
        <x:v>GATE</x:v>
      </x:c>
      <x:c r="D2899" t="str">
        <x:v>release state mirrors governing ledger</x:v>
      </x:c>
      <x:c r="E2899" t="str">
        <x:f>'Release Gates'!I2859</x:f>
        <x:v>OPEN</x:v>
      </x:c>
      <x:c r="F2899" t="str">
        <x:f>IF('Release Gates'!C2859="PLANNING","PASS",IF('Release Gates'!C2859="PHYSICAL","OPEN","BLOCKED"))</x:f>
        <x:v>OPEN</x:v>
      </x:c>
      <x:c r="G2899" t="str">
        <x:v>equals</x:v>
      </x:c>
      <x:c r="H2899" t="str">
        <x:f>IF(E2899=F2899,"PASS","FAIL")</x:f>
        <x:v>PASS</x:v>
      </x:c>
    </x:row>
    <x:row r="2900">
      <x:c r="B2900" t="str">
        <x:v>A-02854</x:v>
      </x:c>
      <x:c r="C2900" t="str">
        <x:v>GATE</x:v>
      </x:c>
      <x:c r="D2900" t="str">
        <x:v>release state mirrors governing ledger</x:v>
      </x:c>
      <x:c r="E2900" t="str">
        <x:f>'Release Gates'!I2860</x:f>
        <x:v>OPEN</x:v>
      </x:c>
      <x:c r="F2900" t="str">
        <x:f>IF('Release Gates'!C2860="PLANNING","PASS",IF('Release Gates'!C2860="PHYSICAL","OPEN","BLOCKED"))</x:f>
        <x:v>OPEN</x:v>
      </x:c>
      <x:c r="G2900" t="str">
        <x:v>equals</x:v>
      </x:c>
      <x:c r="H2900" t="str">
        <x:f>IF(E2900=F2900,"PASS","FAIL")</x:f>
        <x:v>PASS</x:v>
      </x:c>
    </x:row>
    <x:row r="2901">
      <x:c r="B2901" t="str">
        <x:v>A-02855</x:v>
      </x:c>
      <x:c r="C2901" t="str">
        <x:v>GATE</x:v>
      </x:c>
      <x:c r="D2901" t="str">
        <x:v>release state mirrors governing ledger</x:v>
      </x:c>
      <x:c r="E2901" t="str">
        <x:f>'Release Gates'!I2861</x:f>
        <x:v>OPEN</x:v>
      </x:c>
      <x:c r="F2901" t="str">
        <x:f>IF('Release Gates'!C2861="PLANNING","PASS",IF('Release Gates'!C2861="PHYSICAL","OPEN","BLOCKED"))</x:f>
        <x:v>OPEN</x:v>
      </x:c>
      <x:c r="G2901" t="str">
        <x:v>equals</x:v>
      </x:c>
      <x:c r="H2901" t="str">
        <x:f>IF(E2901=F2901,"PASS","FAIL")</x:f>
        <x:v>PASS</x:v>
      </x:c>
    </x:row>
    <x:row r="2902">
      <x:c r="B2902" t="str">
        <x:v>A-02856</x:v>
      </x:c>
      <x:c r="C2902" t="str">
        <x:v>GATE</x:v>
      </x:c>
      <x:c r="D2902" t="str">
        <x:v>release state mirrors governing ledger</x:v>
      </x:c>
      <x:c r="E2902" t="str">
        <x:f>'Release Gates'!I2862</x:f>
        <x:v>OPEN</x:v>
      </x:c>
      <x:c r="F2902" t="str">
        <x:f>IF('Release Gates'!C2862="PLANNING","PASS",IF('Release Gates'!C2862="PHYSICAL","OPEN","BLOCKED"))</x:f>
        <x:v>OPEN</x:v>
      </x:c>
      <x:c r="G2902" t="str">
        <x:v>equals</x:v>
      </x:c>
      <x:c r="H2902" t="str">
        <x:f>IF(E2902=F2902,"PASS","FAIL")</x:f>
        <x:v>PASS</x:v>
      </x:c>
    </x:row>
    <x:row r="2903">
      <x:c r="B2903" t="str">
        <x:v>A-02857</x:v>
      </x:c>
      <x:c r="C2903" t="str">
        <x:v>GATE</x:v>
      </x:c>
      <x:c r="D2903" t="str">
        <x:v>release state mirrors governing ledger</x:v>
      </x:c>
      <x:c r="E2903" t="str">
        <x:f>'Release Gates'!I2863</x:f>
        <x:v>OPEN</x:v>
      </x:c>
      <x:c r="F2903" t="str">
        <x:f>IF('Release Gates'!C2863="PLANNING","PASS",IF('Release Gates'!C2863="PHYSICAL","OPEN","BLOCKED"))</x:f>
        <x:v>OPEN</x:v>
      </x:c>
      <x:c r="G2903" t="str">
        <x:v>equals</x:v>
      </x:c>
      <x:c r="H2903" t="str">
        <x:f>IF(E2903=F2903,"PASS","FAIL")</x:f>
        <x:v>PASS</x:v>
      </x:c>
    </x:row>
    <x:row r="2904">
      <x:c r="B2904" t="str">
        <x:v>A-02858</x:v>
      </x:c>
      <x:c r="C2904" t="str">
        <x:v>GATE</x:v>
      </x:c>
      <x:c r="D2904" t="str">
        <x:v>release state mirrors governing ledger</x:v>
      </x:c>
      <x:c r="E2904" t="str">
        <x:f>'Release Gates'!I2864</x:f>
        <x:v>OPEN</x:v>
      </x:c>
      <x:c r="F2904" t="str">
        <x:f>IF('Release Gates'!C2864="PLANNING","PASS",IF('Release Gates'!C2864="PHYSICAL","OPEN","BLOCKED"))</x:f>
        <x:v>OPEN</x:v>
      </x:c>
      <x:c r="G2904" t="str">
        <x:v>equals</x:v>
      </x:c>
      <x:c r="H2904" t="str">
        <x:f>IF(E2904=F2904,"PASS","FAIL")</x:f>
        <x:v>PASS</x:v>
      </x:c>
    </x:row>
    <x:row r="2905">
      <x:c r="B2905" t="str">
        <x:v>A-02859</x:v>
      </x:c>
      <x:c r="C2905" t="str">
        <x:v>GATE</x:v>
      </x:c>
      <x:c r="D2905" t="str">
        <x:v>release state mirrors governing ledger</x:v>
      </x:c>
      <x:c r="E2905" t="str">
        <x:f>'Release Gates'!I2865</x:f>
        <x:v>OPEN</x:v>
      </x:c>
      <x:c r="F2905" t="str">
        <x:f>IF('Release Gates'!C2865="PLANNING","PASS",IF('Release Gates'!C2865="PHYSICAL","OPEN","BLOCKED"))</x:f>
        <x:v>OPEN</x:v>
      </x:c>
      <x:c r="G2905" t="str">
        <x:v>equals</x:v>
      </x:c>
      <x:c r="H2905" t="str">
        <x:f>IF(E2905=F2905,"PASS","FAIL")</x:f>
        <x:v>PASS</x:v>
      </x:c>
    </x:row>
    <x:row r="2906">
      <x:c r="B2906" t="str">
        <x:v>A-02860</x:v>
      </x:c>
      <x:c r="C2906" t="str">
        <x:v>GATE</x:v>
      </x:c>
      <x:c r="D2906" t="str">
        <x:v>release state mirrors governing ledger</x:v>
      </x:c>
      <x:c r="E2906" t="str">
        <x:f>'Release Gates'!I2866</x:f>
        <x:v>OPEN</x:v>
      </x:c>
      <x:c r="F2906" t="str">
        <x:f>IF('Release Gates'!C2866="PLANNING","PASS",IF('Release Gates'!C2866="PHYSICAL","OPEN","BLOCKED"))</x:f>
        <x:v>OPEN</x:v>
      </x:c>
      <x:c r="G2906" t="str">
        <x:v>equals</x:v>
      </x:c>
      <x:c r="H2906" t="str">
        <x:f>IF(E2906=F2906,"PASS","FAIL")</x:f>
        <x:v>PASS</x:v>
      </x:c>
    </x:row>
    <x:row r="2907">
      <x:c r="B2907" t="str">
        <x:v>A-02861</x:v>
      </x:c>
      <x:c r="C2907" t="str">
        <x:v>GATE</x:v>
      </x:c>
      <x:c r="D2907" t="str">
        <x:v>release state mirrors governing ledger</x:v>
      </x:c>
      <x:c r="E2907" t="str">
        <x:f>'Release Gates'!I2867</x:f>
        <x:v>OPEN</x:v>
      </x:c>
      <x:c r="F2907" t="str">
        <x:f>IF('Release Gates'!C2867="PLANNING","PASS",IF('Release Gates'!C2867="PHYSICAL","OPEN","BLOCKED"))</x:f>
        <x:v>OPEN</x:v>
      </x:c>
      <x:c r="G2907" t="str">
        <x:v>equals</x:v>
      </x:c>
      <x:c r="H2907" t="str">
        <x:f>IF(E2907=F2907,"PASS","FAIL")</x:f>
        <x:v>PASS</x:v>
      </x:c>
    </x:row>
    <x:row r="2908">
      <x:c r="B2908" t="str">
        <x:v>A-02862</x:v>
      </x:c>
      <x:c r="C2908" t="str">
        <x:v>GATE</x:v>
      </x:c>
      <x:c r="D2908" t="str">
        <x:v>release state mirrors governing ledger</x:v>
      </x:c>
      <x:c r="E2908" t="str">
        <x:f>'Release Gates'!I2868</x:f>
        <x:v>OPEN</x:v>
      </x:c>
      <x:c r="F2908" t="str">
        <x:f>IF('Release Gates'!C2868="PLANNING","PASS",IF('Release Gates'!C2868="PHYSICAL","OPEN","BLOCKED"))</x:f>
        <x:v>OPEN</x:v>
      </x:c>
      <x:c r="G2908" t="str">
        <x:v>equals</x:v>
      </x:c>
      <x:c r="H2908" t="str">
        <x:f>IF(E2908=F2908,"PASS","FAIL")</x:f>
        <x:v>PASS</x:v>
      </x:c>
    </x:row>
    <x:row r="2909">
      <x:c r="B2909" t="str">
        <x:v>A-02863</x:v>
      </x:c>
      <x:c r="C2909" t="str">
        <x:v>GATE</x:v>
      </x:c>
      <x:c r="D2909" t="str">
        <x:v>release state mirrors governing ledger</x:v>
      </x:c>
      <x:c r="E2909" t="str">
        <x:f>'Release Gates'!I2869</x:f>
        <x:v>OPEN</x:v>
      </x:c>
      <x:c r="F2909" t="str">
        <x:f>IF('Release Gates'!C2869="PLANNING","PASS",IF('Release Gates'!C2869="PHYSICAL","OPEN","BLOCKED"))</x:f>
        <x:v>OPEN</x:v>
      </x:c>
      <x:c r="G2909" t="str">
        <x:v>equals</x:v>
      </x:c>
      <x:c r="H2909" t="str">
        <x:f>IF(E2909=F2909,"PASS","FAIL")</x:f>
        <x:v>PASS</x:v>
      </x:c>
    </x:row>
    <x:row r="2910">
      <x:c r="B2910" t="str">
        <x:v>A-02864</x:v>
      </x:c>
      <x:c r="C2910" t="str">
        <x:v>GATE</x:v>
      </x:c>
      <x:c r="D2910" t="str">
        <x:v>release state mirrors governing ledger</x:v>
      </x:c>
      <x:c r="E2910" t="str">
        <x:f>'Release Gates'!I2870</x:f>
        <x:v>OPEN</x:v>
      </x:c>
      <x:c r="F2910" t="str">
        <x:f>IF('Release Gates'!C2870="PLANNING","PASS",IF('Release Gates'!C2870="PHYSICAL","OPEN","BLOCKED"))</x:f>
        <x:v>OPEN</x:v>
      </x:c>
      <x:c r="G2910" t="str">
        <x:v>equals</x:v>
      </x:c>
      <x:c r="H2910" t="str">
        <x:f>IF(E2910=F2910,"PASS","FAIL")</x:f>
        <x:v>PASS</x:v>
      </x:c>
    </x:row>
    <x:row r="2911">
      <x:c r="B2911" t="str">
        <x:v>A-02865</x:v>
      </x:c>
      <x:c r="C2911" t="str">
        <x:v>GATE</x:v>
      </x:c>
      <x:c r="D2911" t="str">
        <x:v>release state mirrors governing ledger</x:v>
      </x:c>
      <x:c r="E2911" t="str">
        <x:f>'Release Gates'!I2871</x:f>
        <x:v>OPEN</x:v>
      </x:c>
      <x:c r="F2911" t="str">
        <x:f>IF('Release Gates'!C2871="PLANNING","PASS",IF('Release Gates'!C2871="PHYSICAL","OPEN","BLOCKED"))</x:f>
        <x:v>OPEN</x:v>
      </x:c>
      <x:c r="G2911" t="str">
        <x:v>equals</x:v>
      </x:c>
      <x:c r="H2911" t="str">
        <x:f>IF(E2911=F2911,"PASS","FAIL")</x:f>
        <x:v>PASS</x:v>
      </x:c>
    </x:row>
    <x:row r="2912">
      <x:c r="B2912" t="str">
        <x:v>A-02866</x:v>
      </x:c>
      <x:c r="C2912" t="str">
        <x:v>GATE</x:v>
      </x:c>
      <x:c r="D2912" t="str">
        <x:v>release state mirrors governing ledger</x:v>
      </x:c>
      <x:c r="E2912" t="str">
        <x:f>'Release Gates'!I2872</x:f>
        <x:v>OPEN</x:v>
      </x:c>
      <x:c r="F2912" t="str">
        <x:f>IF('Release Gates'!C2872="PLANNING","PASS",IF('Release Gates'!C2872="PHYSICAL","OPEN","BLOCKED"))</x:f>
        <x:v>OPEN</x:v>
      </x:c>
      <x:c r="G2912" t="str">
        <x:v>equals</x:v>
      </x:c>
      <x:c r="H2912" t="str">
        <x:f>IF(E2912=F2912,"PASS","FAIL")</x:f>
        <x:v>PASS</x:v>
      </x:c>
    </x:row>
    <x:row r="2913">
      <x:c r="B2913" t="str">
        <x:v>A-02867</x:v>
      </x:c>
      <x:c r="C2913" t="str">
        <x:v>GATE</x:v>
      </x:c>
      <x:c r="D2913" t="str">
        <x:v>release state mirrors governing ledger</x:v>
      </x:c>
      <x:c r="E2913" t="str">
        <x:f>'Release Gates'!I2873</x:f>
        <x:v>OPEN</x:v>
      </x:c>
      <x:c r="F2913" t="str">
        <x:f>IF('Release Gates'!C2873="PLANNING","PASS",IF('Release Gates'!C2873="PHYSICAL","OPEN","BLOCKED"))</x:f>
        <x:v>OPEN</x:v>
      </x:c>
      <x:c r="G2913" t="str">
        <x:v>equals</x:v>
      </x:c>
      <x:c r="H2913" t="str">
        <x:f>IF(E2913=F2913,"PASS","FAIL")</x:f>
        <x:v>PASS</x:v>
      </x:c>
    </x:row>
    <x:row r="2914">
      <x:c r="B2914" t="str">
        <x:v>A-02868</x:v>
      </x:c>
      <x:c r="C2914" t="str">
        <x:v>GATE</x:v>
      </x:c>
      <x:c r="D2914" t="str">
        <x:v>release state mirrors governing ledger</x:v>
      </x:c>
      <x:c r="E2914" t="str">
        <x:f>'Release Gates'!I2874</x:f>
        <x:v>OPEN</x:v>
      </x:c>
      <x:c r="F2914" t="str">
        <x:f>IF('Release Gates'!C2874="PLANNING","PASS",IF('Release Gates'!C2874="PHYSICAL","OPEN","BLOCKED"))</x:f>
        <x:v>OPEN</x:v>
      </x:c>
      <x:c r="G2914" t="str">
        <x:v>equals</x:v>
      </x:c>
      <x:c r="H2914" t="str">
        <x:f>IF(E2914=F2914,"PASS","FAIL")</x:f>
        <x:v>PASS</x:v>
      </x:c>
    </x:row>
    <x:row r="2915">
      <x:c r="B2915" t="str">
        <x:v>A-02869</x:v>
      </x:c>
      <x:c r="C2915" t="str">
        <x:v>GATE</x:v>
      </x:c>
      <x:c r="D2915" t="str">
        <x:v>release state mirrors governing ledger</x:v>
      </x:c>
      <x:c r="E2915" t="str">
        <x:f>'Release Gates'!I2875</x:f>
        <x:v>OPEN</x:v>
      </x:c>
      <x:c r="F2915" t="str">
        <x:f>IF('Release Gates'!C2875="PLANNING","PASS",IF('Release Gates'!C2875="PHYSICAL","OPEN","BLOCKED"))</x:f>
        <x:v>OPEN</x:v>
      </x:c>
      <x:c r="G2915" t="str">
        <x:v>equals</x:v>
      </x:c>
      <x:c r="H2915" t="str">
        <x:f>IF(E2915=F2915,"PASS","FAIL")</x:f>
        <x:v>PASS</x:v>
      </x:c>
    </x:row>
    <x:row r="2916">
      <x:c r="B2916" t="str">
        <x:v>A-02870</x:v>
      </x:c>
      <x:c r="C2916" t="str">
        <x:v>GATE</x:v>
      </x:c>
      <x:c r="D2916" t="str">
        <x:v>release state mirrors governing ledger</x:v>
      </x:c>
      <x:c r="E2916" t="str">
        <x:f>'Release Gates'!I2876</x:f>
        <x:v>OPEN</x:v>
      </x:c>
      <x:c r="F2916" t="str">
        <x:f>IF('Release Gates'!C2876="PLANNING","PASS",IF('Release Gates'!C2876="PHYSICAL","OPEN","BLOCKED"))</x:f>
        <x:v>OPEN</x:v>
      </x:c>
      <x:c r="G2916" t="str">
        <x:v>equals</x:v>
      </x:c>
      <x:c r="H2916" t="str">
        <x:f>IF(E2916=F2916,"PASS","FAIL")</x:f>
        <x:v>PASS</x:v>
      </x:c>
    </x:row>
    <x:row r="2917">
      <x:c r="B2917" t="str">
        <x:v>A-02871</x:v>
      </x:c>
      <x:c r="C2917" t="str">
        <x:v>GATE</x:v>
      </x:c>
      <x:c r="D2917" t="str">
        <x:v>release state mirrors governing ledger</x:v>
      </x:c>
      <x:c r="E2917" t="str">
        <x:f>'Release Gates'!I2877</x:f>
        <x:v>OPEN</x:v>
      </x:c>
      <x:c r="F2917" t="str">
        <x:f>IF('Release Gates'!C2877="PLANNING","PASS",IF('Release Gates'!C2877="PHYSICAL","OPEN","BLOCKED"))</x:f>
        <x:v>OPEN</x:v>
      </x:c>
      <x:c r="G2917" t="str">
        <x:v>equals</x:v>
      </x:c>
      <x:c r="H2917" t="str">
        <x:f>IF(E2917=F2917,"PASS","FAIL")</x:f>
        <x:v>PASS</x:v>
      </x:c>
    </x:row>
    <x:row r="2918">
      <x:c r="B2918" t="str">
        <x:v>A-02872</x:v>
      </x:c>
      <x:c r="C2918" t="str">
        <x:v>GATE</x:v>
      </x:c>
      <x:c r="D2918" t="str">
        <x:v>release state mirrors governing ledger</x:v>
      </x:c>
      <x:c r="E2918" t="str">
        <x:f>'Release Gates'!I2878</x:f>
        <x:v>OPEN</x:v>
      </x:c>
      <x:c r="F2918" t="str">
        <x:f>IF('Release Gates'!C2878="PLANNING","PASS",IF('Release Gates'!C2878="PHYSICAL","OPEN","BLOCKED"))</x:f>
        <x:v>OPEN</x:v>
      </x:c>
      <x:c r="G2918" t="str">
        <x:v>equals</x:v>
      </x:c>
      <x:c r="H2918" t="str">
        <x:f>IF(E2918=F2918,"PASS","FAIL")</x:f>
        <x:v>PASS</x:v>
      </x:c>
    </x:row>
    <x:row r="2919">
      <x:c r="B2919" t="str">
        <x:v>A-02873</x:v>
      </x:c>
      <x:c r="C2919" t="str">
        <x:v>GATE</x:v>
      </x:c>
      <x:c r="D2919" t="str">
        <x:v>release state mirrors governing ledger</x:v>
      </x:c>
      <x:c r="E2919" t="str">
        <x:f>'Release Gates'!I2879</x:f>
        <x:v>OPEN</x:v>
      </x:c>
      <x:c r="F2919" t="str">
        <x:f>IF('Release Gates'!C2879="PLANNING","PASS",IF('Release Gates'!C2879="PHYSICAL","OPEN","BLOCKED"))</x:f>
        <x:v>OPEN</x:v>
      </x:c>
      <x:c r="G2919" t="str">
        <x:v>equals</x:v>
      </x:c>
      <x:c r="H2919" t="str">
        <x:f>IF(E2919=F2919,"PASS","FAIL")</x:f>
        <x:v>PASS</x:v>
      </x:c>
    </x:row>
    <x:row r="2920">
      <x:c r="B2920" t="str">
        <x:v>A-02874</x:v>
      </x:c>
      <x:c r="C2920" t="str">
        <x:v>GATE</x:v>
      </x:c>
      <x:c r="D2920" t="str">
        <x:v>release state mirrors governing ledger</x:v>
      </x:c>
      <x:c r="E2920" t="str">
        <x:f>'Release Gates'!I2880</x:f>
        <x:v>OPEN</x:v>
      </x:c>
      <x:c r="F2920" t="str">
        <x:f>IF('Release Gates'!C2880="PLANNING","PASS",IF('Release Gates'!C2880="PHYSICAL","OPEN","BLOCKED"))</x:f>
        <x:v>OPEN</x:v>
      </x:c>
      <x:c r="G2920" t="str">
        <x:v>equals</x:v>
      </x:c>
      <x:c r="H2920" t="str">
        <x:f>IF(E2920=F2920,"PASS","FAIL")</x:f>
        <x:v>PASS</x:v>
      </x:c>
    </x:row>
    <x:row r="2921">
      <x:c r="B2921" t="str">
        <x:v>A-02875</x:v>
      </x:c>
      <x:c r="C2921" t="str">
        <x:v>GATE</x:v>
      </x:c>
      <x:c r="D2921" t="str">
        <x:v>release state mirrors governing ledger</x:v>
      </x:c>
      <x:c r="E2921" t="str">
        <x:f>'Release Gates'!I2881</x:f>
        <x:v>OPEN</x:v>
      </x:c>
      <x:c r="F2921" t="str">
        <x:f>IF('Release Gates'!C2881="PLANNING","PASS",IF('Release Gates'!C2881="PHYSICAL","OPEN","BLOCKED"))</x:f>
        <x:v>OPEN</x:v>
      </x:c>
      <x:c r="G2921" t="str">
        <x:v>equals</x:v>
      </x:c>
      <x:c r="H2921" t="str">
        <x:f>IF(E2921=F2921,"PASS","FAIL")</x:f>
        <x:v>PASS</x:v>
      </x:c>
    </x:row>
    <x:row r="2922">
      <x:c r="B2922" t="str">
        <x:v>A-02876</x:v>
      </x:c>
      <x:c r="C2922" t="str">
        <x:v>GATE</x:v>
      </x:c>
      <x:c r="D2922" t="str">
        <x:v>release state mirrors governing ledger</x:v>
      </x:c>
      <x:c r="E2922" t="str">
        <x:f>'Release Gates'!I2882</x:f>
        <x:v>OPEN</x:v>
      </x:c>
      <x:c r="F2922" t="str">
        <x:f>IF('Release Gates'!C2882="PLANNING","PASS",IF('Release Gates'!C2882="PHYSICAL","OPEN","BLOCKED"))</x:f>
        <x:v>OPEN</x:v>
      </x:c>
      <x:c r="G2922" t="str">
        <x:v>equals</x:v>
      </x:c>
      <x:c r="H2922" t="str">
        <x:f>IF(E2922=F2922,"PASS","FAIL")</x:f>
        <x:v>PASS</x:v>
      </x:c>
    </x:row>
    <x:row r="2923">
      <x:c r="B2923" t="str">
        <x:v>A-02877</x:v>
      </x:c>
      <x:c r="C2923" t="str">
        <x:v>GATE</x:v>
      </x:c>
      <x:c r="D2923" t="str">
        <x:v>release state mirrors governing ledger</x:v>
      </x:c>
      <x:c r="E2923" t="str">
        <x:f>'Release Gates'!I2883</x:f>
        <x:v>OPEN</x:v>
      </x:c>
      <x:c r="F2923" t="str">
        <x:f>IF('Release Gates'!C2883="PLANNING","PASS",IF('Release Gates'!C2883="PHYSICAL","OPEN","BLOCKED"))</x:f>
        <x:v>OPEN</x:v>
      </x:c>
      <x:c r="G2923" t="str">
        <x:v>equals</x:v>
      </x:c>
      <x:c r="H2923" t="str">
        <x:f>IF(E2923=F2923,"PASS","FAIL")</x:f>
        <x:v>PASS</x:v>
      </x:c>
    </x:row>
    <x:row r="2924">
      <x:c r="B2924" t="str">
        <x:v>A-02878</x:v>
      </x:c>
      <x:c r="C2924" t="str">
        <x:v>GATE</x:v>
      </x:c>
      <x:c r="D2924" t="str">
        <x:v>release state mirrors governing ledger</x:v>
      </x:c>
      <x:c r="E2924" t="str">
        <x:f>'Release Gates'!I2884</x:f>
        <x:v>OPEN</x:v>
      </x:c>
      <x:c r="F2924" t="str">
        <x:f>IF('Release Gates'!C2884="PLANNING","PASS",IF('Release Gates'!C2884="PHYSICAL","OPEN","BLOCKED"))</x:f>
        <x:v>OPEN</x:v>
      </x:c>
      <x:c r="G2924" t="str">
        <x:v>equals</x:v>
      </x:c>
      <x:c r="H2924" t="str">
        <x:f>IF(E2924=F2924,"PASS","FAIL")</x:f>
        <x:v>PASS</x:v>
      </x:c>
    </x:row>
    <x:row r="2925">
      <x:c r="B2925" t="str">
        <x:v>A-02879</x:v>
      </x:c>
      <x:c r="C2925" t="str">
        <x:v>GATE</x:v>
      </x:c>
      <x:c r="D2925" t="str">
        <x:v>release state mirrors governing ledger</x:v>
      </x:c>
      <x:c r="E2925" t="str">
        <x:f>'Release Gates'!I2885</x:f>
        <x:v>OPEN</x:v>
      </x:c>
      <x:c r="F2925" t="str">
        <x:f>IF('Release Gates'!C2885="PLANNING","PASS",IF('Release Gates'!C2885="PHYSICAL","OPEN","BLOCKED"))</x:f>
        <x:v>OPEN</x:v>
      </x:c>
      <x:c r="G2925" t="str">
        <x:v>equals</x:v>
      </x:c>
      <x:c r="H2925" t="str">
        <x:f>IF(E2925=F2925,"PASS","FAIL")</x:f>
        <x:v>PASS</x:v>
      </x:c>
    </x:row>
    <x:row r="2926">
      <x:c r="B2926" t="str">
        <x:v>A-02880</x:v>
      </x:c>
      <x:c r="C2926" t="str">
        <x:v>GATE</x:v>
      </x:c>
      <x:c r="D2926" t="str">
        <x:v>release state mirrors governing ledger</x:v>
      </x:c>
      <x:c r="E2926" t="str">
        <x:f>'Release Gates'!I2886</x:f>
        <x:v>OPEN</x:v>
      </x:c>
      <x:c r="F2926" t="str">
        <x:f>IF('Release Gates'!C2886="PLANNING","PASS",IF('Release Gates'!C2886="PHYSICAL","OPEN","BLOCKED"))</x:f>
        <x:v>OPEN</x:v>
      </x:c>
      <x:c r="G2926" t="str">
        <x:v>equals</x:v>
      </x:c>
      <x:c r="H2926" t="str">
        <x:f>IF(E2926=F2926,"PASS","FAIL")</x:f>
        <x:v>PASS</x:v>
      </x:c>
    </x:row>
    <x:row r="2927">
      <x:c r="B2927" t="str">
        <x:v>A-02881</x:v>
      </x:c>
      <x:c r="C2927" t="str">
        <x:v>GATE</x:v>
      </x:c>
      <x:c r="D2927" t="str">
        <x:v>release state mirrors governing ledger</x:v>
      </x:c>
      <x:c r="E2927" t="str">
        <x:f>'Release Gates'!I2887</x:f>
        <x:v>OPEN</x:v>
      </x:c>
      <x:c r="F2927" t="str">
        <x:f>IF('Release Gates'!C2887="PLANNING","PASS",IF('Release Gates'!C2887="PHYSICAL","OPEN","BLOCKED"))</x:f>
        <x:v>OPEN</x:v>
      </x:c>
      <x:c r="G2927" t="str">
        <x:v>equals</x:v>
      </x:c>
      <x:c r="H2927" t="str">
        <x:f>IF(E2927=F2927,"PASS","FAIL")</x:f>
        <x:v>PASS</x:v>
      </x:c>
    </x:row>
    <x:row r="2928">
      <x:c r="B2928" t="str">
        <x:v>A-02882</x:v>
      </x:c>
      <x:c r="C2928" t="str">
        <x:v>GATE</x:v>
      </x:c>
      <x:c r="D2928" t="str">
        <x:v>release state mirrors governing ledger</x:v>
      </x:c>
      <x:c r="E2928" t="str">
        <x:f>'Release Gates'!I2888</x:f>
        <x:v>OPEN</x:v>
      </x:c>
      <x:c r="F2928" t="str">
        <x:f>IF('Release Gates'!C2888="PLANNING","PASS",IF('Release Gates'!C2888="PHYSICAL","OPEN","BLOCKED"))</x:f>
        <x:v>OPEN</x:v>
      </x:c>
      <x:c r="G2928" t="str">
        <x:v>equals</x:v>
      </x:c>
      <x:c r="H2928" t="str">
        <x:f>IF(E2928=F2928,"PASS","FAIL")</x:f>
        <x:v>PASS</x:v>
      </x:c>
    </x:row>
    <x:row r="2929">
      <x:c r="B2929" t="str">
        <x:v>A-02883</x:v>
      </x:c>
      <x:c r="C2929" t="str">
        <x:v>GATE</x:v>
      </x:c>
      <x:c r="D2929" t="str">
        <x:v>release state mirrors governing ledger</x:v>
      </x:c>
      <x:c r="E2929" t="str">
        <x:f>'Release Gates'!I2889</x:f>
        <x:v>OPEN</x:v>
      </x:c>
      <x:c r="F2929" t="str">
        <x:f>IF('Release Gates'!C2889="PLANNING","PASS",IF('Release Gates'!C2889="PHYSICAL","OPEN","BLOCKED"))</x:f>
        <x:v>OPEN</x:v>
      </x:c>
      <x:c r="G2929" t="str">
        <x:v>equals</x:v>
      </x:c>
      <x:c r="H2929" t="str">
        <x:f>IF(E2929=F2929,"PASS","FAIL")</x:f>
        <x:v>PASS</x:v>
      </x:c>
    </x:row>
    <x:row r="2930">
      <x:c r="B2930" t="str">
        <x:v>A-02884</x:v>
      </x:c>
      <x:c r="C2930" t="str">
        <x:v>GATE</x:v>
      </x:c>
      <x:c r="D2930" t="str">
        <x:v>release state mirrors governing ledger</x:v>
      </x:c>
      <x:c r="E2930" t="str">
        <x:f>'Release Gates'!I2890</x:f>
        <x:v>OPEN</x:v>
      </x:c>
      <x:c r="F2930" t="str">
        <x:f>IF('Release Gates'!C2890="PLANNING","PASS",IF('Release Gates'!C2890="PHYSICAL","OPEN","BLOCKED"))</x:f>
        <x:v>OPEN</x:v>
      </x:c>
      <x:c r="G2930" t="str">
        <x:v>equals</x:v>
      </x:c>
      <x:c r="H2930" t="str">
        <x:f>IF(E2930=F2930,"PASS","FAIL")</x:f>
        <x:v>PASS</x:v>
      </x:c>
    </x:row>
    <x:row r="2931">
      <x:c r="B2931" t="str">
        <x:v>A-02885</x:v>
      </x:c>
      <x:c r="C2931" t="str">
        <x:v>GATE</x:v>
      </x:c>
      <x:c r="D2931" t="str">
        <x:v>release state mirrors governing ledger</x:v>
      </x:c>
      <x:c r="E2931" t="str">
        <x:f>'Release Gates'!I2891</x:f>
        <x:v>OPEN</x:v>
      </x:c>
      <x:c r="F2931" t="str">
        <x:f>IF('Release Gates'!C2891="PLANNING","PASS",IF('Release Gates'!C2891="PHYSICAL","OPEN","BLOCKED"))</x:f>
        <x:v>OPEN</x:v>
      </x:c>
      <x:c r="G2931" t="str">
        <x:v>equals</x:v>
      </x:c>
      <x:c r="H2931" t="str">
        <x:f>IF(E2931=F2931,"PASS","FAIL")</x:f>
        <x:v>PASS</x:v>
      </x:c>
    </x:row>
    <x:row r="2932">
      <x:c r="B2932" t="str">
        <x:v>A-02886</x:v>
      </x:c>
      <x:c r="C2932" t="str">
        <x:v>GATE</x:v>
      </x:c>
      <x:c r="D2932" t="str">
        <x:v>release state mirrors governing ledger</x:v>
      </x:c>
      <x:c r="E2932" t="str">
        <x:f>'Release Gates'!I2892</x:f>
        <x:v>OPEN</x:v>
      </x:c>
      <x:c r="F2932" t="str">
        <x:f>IF('Release Gates'!C2892="PLANNING","PASS",IF('Release Gates'!C2892="PHYSICAL","OPEN","BLOCKED"))</x:f>
        <x:v>OPEN</x:v>
      </x:c>
      <x:c r="G2932" t="str">
        <x:v>equals</x:v>
      </x:c>
      <x:c r="H2932" t="str">
        <x:f>IF(E2932=F2932,"PASS","FAIL")</x:f>
        <x:v>PASS</x:v>
      </x:c>
    </x:row>
    <x:row r="2933">
      <x:c r="B2933" t="str">
        <x:v>A-02887</x:v>
      </x:c>
      <x:c r="C2933" t="str">
        <x:v>GATE</x:v>
      </x:c>
      <x:c r="D2933" t="str">
        <x:v>release state mirrors governing ledger</x:v>
      </x:c>
      <x:c r="E2933" t="str">
        <x:f>'Release Gates'!I2893</x:f>
        <x:v>OPEN</x:v>
      </x:c>
      <x:c r="F2933" t="str">
        <x:f>IF('Release Gates'!C2893="PLANNING","PASS",IF('Release Gates'!C2893="PHYSICAL","OPEN","BLOCKED"))</x:f>
        <x:v>OPEN</x:v>
      </x:c>
      <x:c r="G2933" t="str">
        <x:v>equals</x:v>
      </x:c>
      <x:c r="H2933" t="str">
        <x:f>IF(E2933=F2933,"PASS","FAIL")</x:f>
        <x:v>PASS</x:v>
      </x:c>
    </x:row>
    <x:row r="2934">
      <x:c r="B2934" t="str">
        <x:v>A-02888</x:v>
      </x:c>
      <x:c r="C2934" t="str">
        <x:v>GATE</x:v>
      </x:c>
      <x:c r="D2934" t="str">
        <x:v>release state mirrors governing ledger</x:v>
      </x:c>
      <x:c r="E2934" t="str">
        <x:f>'Release Gates'!I2894</x:f>
        <x:v>OPEN</x:v>
      </x:c>
      <x:c r="F2934" t="str">
        <x:f>IF('Release Gates'!C2894="PLANNING","PASS",IF('Release Gates'!C2894="PHYSICAL","OPEN","BLOCKED"))</x:f>
        <x:v>OPEN</x:v>
      </x:c>
      <x:c r="G2934" t="str">
        <x:v>equals</x:v>
      </x:c>
      <x:c r="H2934" t="str">
        <x:f>IF(E2934=F2934,"PASS","FAIL")</x:f>
        <x:v>PASS</x:v>
      </x:c>
    </x:row>
    <x:row r="2935">
      <x:c r="B2935" t="str">
        <x:v>A-02889</x:v>
      </x:c>
      <x:c r="C2935" t="str">
        <x:v>GATE</x:v>
      </x:c>
      <x:c r="D2935" t="str">
        <x:v>release state mirrors governing ledger</x:v>
      </x:c>
      <x:c r="E2935" t="str">
        <x:f>'Release Gates'!I2895</x:f>
        <x:v>OPEN</x:v>
      </x:c>
      <x:c r="F2935" t="str">
        <x:f>IF('Release Gates'!C2895="PLANNING","PASS",IF('Release Gates'!C2895="PHYSICAL","OPEN","BLOCKED"))</x:f>
        <x:v>OPEN</x:v>
      </x:c>
      <x:c r="G2935" t="str">
        <x:v>equals</x:v>
      </x:c>
      <x:c r="H2935" t="str">
        <x:f>IF(E2935=F2935,"PASS","FAIL")</x:f>
        <x:v>PASS</x:v>
      </x:c>
    </x:row>
    <x:row r="2936">
      <x:c r="B2936" t="str">
        <x:v>A-02890</x:v>
      </x:c>
      <x:c r="C2936" t="str">
        <x:v>GATE</x:v>
      </x:c>
      <x:c r="D2936" t="str">
        <x:v>release state mirrors governing ledger</x:v>
      </x:c>
      <x:c r="E2936" t="str">
        <x:f>'Release Gates'!I2896</x:f>
        <x:v>OPEN</x:v>
      </x:c>
      <x:c r="F2936" t="str">
        <x:f>IF('Release Gates'!C2896="PLANNING","PASS",IF('Release Gates'!C2896="PHYSICAL","OPEN","BLOCKED"))</x:f>
        <x:v>OPEN</x:v>
      </x:c>
      <x:c r="G2936" t="str">
        <x:v>equals</x:v>
      </x:c>
      <x:c r="H2936" t="str">
        <x:f>IF(E2936=F2936,"PASS","FAIL")</x:f>
        <x:v>PASS</x:v>
      </x:c>
    </x:row>
    <x:row r="2937">
      <x:c r="B2937" t="str">
        <x:v>A-02891</x:v>
      </x:c>
      <x:c r="C2937" t="str">
        <x:v>GATE</x:v>
      </x:c>
      <x:c r="D2937" t="str">
        <x:v>release state mirrors governing ledger</x:v>
      </x:c>
      <x:c r="E2937" t="str">
        <x:f>'Release Gates'!I2897</x:f>
        <x:v>OPEN</x:v>
      </x:c>
      <x:c r="F2937" t="str">
        <x:f>IF('Release Gates'!C2897="PLANNING","PASS",IF('Release Gates'!C2897="PHYSICAL","OPEN","BLOCKED"))</x:f>
        <x:v>OPEN</x:v>
      </x:c>
      <x:c r="G2937" t="str">
        <x:v>equals</x:v>
      </x:c>
      <x:c r="H2937" t="str">
        <x:f>IF(E2937=F2937,"PASS","FAIL")</x:f>
        <x:v>PASS</x:v>
      </x:c>
    </x:row>
    <x:row r="2938">
      <x:c r="B2938" t="str">
        <x:v>A-02892</x:v>
      </x:c>
      <x:c r="C2938" t="str">
        <x:v>GATE</x:v>
      </x:c>
      <x:c r="D2938" t="str">
        <x:v>release state mirrors governing ledger</x:v>
      </x:c>
      <x:c r="E2938" t="str">
        <x:f>'Release Gates'!I2898</x:f>
        <x:v>OPEN</x:v>
      </x:c>
      <x:c r="F2938" t="str">
        <x:f>IF('Release Gates'!C2898="PLANNING","PASS",IF('Release Gates'!C2898="PHYSICAL","OPEN","BLOCKED"))</x:f>
        <x:v>OPEN</x:v>
      </x:c>
      <x:c r="G2938" t="str">
        <x:v>equals</x:v>
      </x:c>
      <x:c r="H2938" t="str">
        <x:f>IF(E2938=F2938,"PASS","FAIL")</x:f>
        <x:v>PASS</x:v>
      </x:c>
    </x:row>
    <x:row r="2939">
      <x:c r="B2939" t="str">
        <x:v>A-02893</x:v>
      </x:c>
      <x:c r="C2939" t="str">
        <x:v>GATE</x:v>
      </x:c>
      <x:c r="D2939" t="str">
        <x:v>release state mirrors governing ledger</x:v>
      </x:c>
      <x:c r="E2939" t="str">
        <x:f>'Release Gates'!I2899</x:f>
        <x:v>OPEN</x:v>
      </x:c>
      <x:c r="F2939" t="str">
        <x:f>IF('Release Gates'!C2899="PLANNING","PASS",IF('Release Gates'!C2899="PHYSICAL","OPEN","BLOCKED"))</x:f>
        <x:v>OPEN</x:v>
      </x:c>
      <x:c r="G2939" t="str">
        <x:v>equals</x:v>
      </x:c>
      <x:c r="H2939" t="str">
        <x:f>IF(E2939=F2939,"PASS","FAIL")</x:f>
        <x:v>PASS</x:v>
      </x:c>
    </x:row>
    <x:row r="2940">
      <x:c r="B2940" t="str">
        <x:v>A-02894</x:v>
      </x:c>
      <x:c r="C2940" t="str">
        <x:v>GATE</x:v>
      </x:c>
      <x:c r="D2940" t="str">
        <x:v>release state mirrors governing ledger</x:v>
      </x:c>
      <x:c r="E2940" t="str">
        <x:f>'Release Gates'!I2900</x:f>
        <x:v>OPEN</x:v>
      </x:c>
      <x:c r="F2940" t="str">
        <x:f>IF('Release Gates'!C2900="PLANNING","PASS",IF('Release Gates'!C2900="PHYSICAL","OPEN","BLOCKED"))</x:f>
        <x:v>OPEN</x:v>
      </x:c>
      <x:c r="G2940" t="str">
        <x:v>equals</x:v>
      </x:c>
      <x:c r="H2940" t="str">
        <x:f>IF(E2940=F2940,"PASS","FAIL")</x:f>
        <x:v>PASS</x:v>
      </x:c>
    </x:row>
    <x:row r="2941">
      <x:c r="B2941" t="str">
        <x:v>A-02895</x:v>
      </x:c>
      <x:c r="C2941" t="str">
        <x:v>GATE</x:v>
      </x:c>
      <x:c r="D2941" t="str">
        <x:v>release state mirrors governing ledger</x:v>
      </x:c>
      <x:c r="E2941" t="str">
        <x:f>'Release Gates'!I2901</x:f>
        <x:v>OPEN</x:v>
      </x:c>
      <x:c r="F2941" t="str">
        <x:f>IF('Release Gates'!C2901="PLANNING","PASS",IF('Release Gates'!C2901="PHYSICAL","OPEN","BLOCKED"))</x:f>
        <x:v>OPEN</x:v>
      </x:c>
      <x:c r="G2941" t="str">
        <x:v>equals</x:v>
      </x:c>
      <x:c r="H2941" t="str">
        <x:f>IF(E2941=F2941,"PASS","FAIL")</x:f>
        <x:v>PASS</x:v>
      </x:c>
    </x:row>
    <x:row r="2942">
      <x:c r="B2942" t="str">
        <x:v>A-02896</x:v>
      </x:c>
      <x:c r="C2942" t="str">
        <x:v>GATE</x:v>
      </x:c>
      <x:c r="D2942" t="str">
        <x:v>release state mirrors governing ledger</x:v>
      </x:c>
      <x:c r="E2942" t="str">
        <x:f>'Release Gates'!I2902</x:f>
        <x:v>OPEN</x:v>
      </x:c>
      <x:c r="F2942" t="str">
        <x:f>IF('Release Gates'!C2902="PLANNING","PASS",IF('Release Gates'!C2902="PHYSICAL","OPEN","BLOCKED"))</x:f>
        <x:v>OPEN</x:v>
      </x:c>
      <x:c r="G2942" t="str">
        <x:v>equals</x:v>
      </x:c>
      <x:c r="H2942" t="str">
        <x:f>IF(E2942=F2942,"PASS","FAIL")</x:f>
        <x:v>PASS</x:v>
      </x:c>
    </x:row>
    <x:row r="2943">
      <x:c r="B2943" t="str">
        <x:v>A-02897</x:v>
      </x:c>
      <x:c r="C2943" t="str">
        <x:v>GATE</x:v>
      </x:c>
      <x:c r="D2943" t="str">
        <x:v>release state mirrors governing ledger</x:v>
      </x:c>
      <x:c r="E2943" t="str">
        <x:f>'Release Gates'!I2903</x:f>
        <x:v>OPEN</x:v>
      </x:c>
      <x:c r="F2943" t="str">
        <x:f>IF('Release Gates'!C2903="PLANNING","PASS",IF('Release Gates'!C2903="PHYSICAL","OPEN","BLOCKED"))</x:f>
        <x:v>OPEN</x:v>
      </x:c>
      <x:c r="G2943" t="str">
        <x:v>equals</x:v>
      </x:c>
      <x:c r="H2943" t="str">
        <x:f>IF(E2943=F2943,"PASS","FAIL")</x:f>
        <x:v>PASS</x:v>
      </x:c>
    </x:row>
    <x:row r="2944">
      <x:c r="B2944" t="str">
        <x:v>A-02898</x:v>
      </x:c>
      <x:c r="C2944" t="str">
        <x:v>GATE</x:v>
      </x:c>
      <x:c r="D2944" t="str">
        <x:v>release state mirrors governing ledger</x:v>
      </x:c>
      <x:c r="E2944" t="str">
        <x:f>'Release Gates'!I2904</x:f>
        <x:v>OPEN</x:v>
      </x:c>
      <x:c r="F2944" t="str">
        <x:f>IF('Release Gates'!C2904="PLANNING","PASS",IF('Release Gates'!C2904="PHYSICAL","OPEN","BLOCKED"))</x:f>
        <x:v>OPEN</x:v>
      </x:c>
      <x:c r="G2944" t="str">
        <x:v>equals</x:v>
      </x:c>
      <x:c r="H2944" t="str">
        <x:f>IF(E2944=F2944,"PASS","FAIL")</x:f>
        <x:v>PASS</x:v>
      </x:c>
    </x:row>
    <x:row r="2945">
      <x:c r="B2945" t="str">
        <x:v>A-02899</x:v>
      </x:c>
      <x:c r="C2945" t="str">
        <x:v>GATE</x:v>
      </x:c>
      <x:c r="D2945" t="str">
        <x:v>release state mirrors governing ledger</x:v>
      </x:c>
      <x:c r="E2945" t="str">
        <x:f>'Release Gates'!I2905</x:f>
        <x:v>OPEN</x:v>
      </x:c>
      <x:c r="F2945" t="str">
        <x:f>IF('Release Gates'!C2905="PLANNING","PASS",IF('Release Gates'!C2905="PHYSICAL","OPEN","BLOCKED"))</x:f>
        <x:v>OPEN</x:v>
      </x:c>
      <x:c r="G2945" t="str">
        <x:v>equals</x:v>
      </x:c>
      <x:c r="H2945" t="str">
        <x:f>IF(E2945=F2945,"PASS","FAIL")</x:f>
        <x:v>PASS</x:v>
      </x:c>
    </x:row>
    <x:row r="2946">
      <x:c r="B2946" t="str">
        <x:v>A-02900</x:v>
      </x:c>
      <x:c r="C2946" t="str">
        <x:v>GATE</x:v>
      </x:c>
      <x:c r="D2946" t="str">
        <x:v>release state mirrors governing ledger</x:v>
      </x:c>
      <x:c r="E2946" t="str">
        <x:f>'Release Gates'!I2906</x:f>
        <x:v>OPEN</x:v>
      </x:c>
      <x:c r="F2946" t="str">
        <x:f>IF('Release Gates'!C2906="PLANNING","PASS",IF('Release Gates'!C2906="PHYSICAL","OPEN","BLOCKED"))</x:f>
        <x:v>OPEN</x:v>
      </x:c>
      <x:c r="G2946" t="str">
        <x:v>equals</x:v>
      </x:c>
      <x:c r="H2946" t="str">
        <x:f>IF(E2946=F2946,"PASS","FAIL")</x:f>
        <x:v>PASS</x:v>
      </x:c>
    </x:row>
    <x:row r="2947">
      <x:c r="B2947" t="str">
        <x:v>A-02901</x:v>
      </x:c>
      <x:c r="C2947" t="str">
        <x:v>GATE</x:v>
      </x:c>
      <x:c r="D2947" t="str">
        <x:v>release state mirrors governing ledger</x:v>
      </x:c>
      <x:c r="E2947" t="str">
        <x:f>'Release Gates'!I2907</x:f>
        <x:v>OPEN</x:v>
      </x:c>
      <x:c r="F2947" t="str">
        <x:f>IF('Release Gates'!C2907="PLANNING","PASS",IF('Release Gates'!C2907="PHYSICAL","OPEN","BLOCKED"))</x:f>
        <x:v>OPEN</x:v>
      </x:c>
      <x:c r="G2947" t="str">
        <x:v>equals</x:v>
      </x:c>
      <x:c r="H2947" t="str">
        <x:f>IF(E2947=F2947,"PASS","FAIL")</x:f>
        <x:v>PASS</x:v>
      </x:c>
    </x:row>
    <x:row r="2948">
      <x:c r="B2948" t="str">
        <x:v>A-02902</x:v>
      </x:c>
      <x:c r="C2948" t="str">
        <x:v>GATE</x:v>
      </x:c>
      <x:c r="D2948" t="str">
        <x:v>release state mirrors governing ledger</x:v>
      </x:c>
      <x:c r="E2948" t="str">
        <x:f>'Release Gates'!I2908</x:f>
        <x:v>OPEN</x:v>
      </x:c>
      <x:c r="F2948" t="str">
        <x:f>IF('Release Gates'!C2908="PLANNING","PASS",IF('Release Gates'!C2908="PHYSICAL","OPEN","BLOCKED"))</x:f>
        <x:v>OPEN</x:v>
      </x:c>
      <x:c r="G2948" t="str">
        <x:v>equals</x:v>
      </x:c>
      <x:c r="H2948" t="str">
        <x:f>IF(E2948=F2948,"PASS","FAIL")</x:f>
        <x:v>PASS</x:v>
      </x:c>
    </x:row>
    <x:row r="2949">
      <x:c r="B2949" t="str">
        <x:v>A-02903</x:v>
      </x:c>
      <x:c r="C2949" t="str">
        <x:v>GATE</x:v>
      </x:c>
      <x:c r="D2949" t="str">
        <x:v>release state mirrors governing ledger</x:v>
      </x:c>
      <x:c r="E2949" t="str">
        <x:f>'Release Gates'!I2909</x:f>
        <x:v>OPEN</x:v>
      </x:c>
      <x:c r="F2949" t="str">
        <x:f>IF('Release Gates'!C2909="PLANNING","PASS",IF('Release Gates'!C2909="PHYSICAL","OPEN","BLOCKED"))</x:f>
        <x:v>OPEN</x:v>
      </x:c>
      <x:c r="G2949" t="str">
        <x:v>equals</x:v>
      </x:c>
      <x:c r="H2949" t="str">
        <x:f>IF(E2949=F2949,"PASS","FAIL")</x:f>
        <x:v>PASS</x:v>
      </x:c>
    </x:row>
    <x:row r="2950">
      <x:c r="B2950" t="str">
        <x:v>A-02904</x:v>
      </x:c>
      <x:c r="C2950" t="str">
        <x:v>GATE</x:v>
      </x:c>
      <x:c r="D2950" t="str">
        <x:v>release state mirrors governing ledger</x:v>
      </x:c>
      <x:c r="E2950" t="str">
        <x:f>'Release Gates'!I2910</x:f>
        <x:v>OPEN</x:v>
      </x:c>
      <x:c r="F2950" t="str">
        <x:f>IF('Release Gates'!C2910="PLANNING","PASS",IF('Release Gates'!C2910="PHYSICAL","OPEN","BLOCKED"))</x:f>
        <x:v>OPEN</x:v>
      </x:c>
      <x:c r="G2950" t="str">
        <x:v>equals</x:v>
      </x:c>
      <x:c r="H2950" t="str">
        <x:f>IF(E2950=F2950,"PASS","FAIL")</x:f>
        <x:v>PASS</x:v>
      </x:c>
    </x:row>
    <x:row r="2951">
      <x:c r="B2951" t="str">
        <x:v>A-02905</x:v>
      </x:c>
      <x:c r="C2951" t="str">
        <x:v>GATE</x:v>
      </x:c>
      <x:c r="D2951" t="str">
        <x:v>release state mirrors governing ledger</x:v>
      </x:c>
      <x:c r="E2951" t="str">
        <x:f>'Release Gates'!I2911</x:f>
        <x:v>OPEN</x:v>
      </x:c>
      <x:c r="F2951" t="str">
        <x:f>IF('Release Gates'!C2911="PLANNING","PASS",IF('Release Gates'!C2911="PHYSICAL","OPEN","BLOCKED"))</x:f>
        <x:v>OPEN</x:v>
      </x:c>
      <x:c r="G2951" t="str">
        <x:v>equals</x:v>
      </x:c>
      <x:c r="H2951" t="str">
        <x:f>IF(E2951=F2951,"PASS","FAIL")</x:f>
        <x:v>PASS</x:v>
      </x:c>
    </x:row>
    <x:row r="2952">
      <x:c r="B2952" t="str">
        <x:v>A-02906</x:v>
      </x:c>
      <x:c r="C2952" t="str">
        <x:v>GATE</x:v>
      </x:c>
      <x:c r="D2952" t="str">
        <x:v>release state mirrors governing ledger</x:v>
      </x:c>
      <x:c r="E2952" t="str">
        <x:f>'Release Gates'!I2912</x:f>
        <x:v>OPEN</x:v>
      </x:c>
      <x:c r="F2952" t="str">
        <x:f>IF('Release Gates'!C2912="PLANNING","PASS",IF('Release Gates'!C2912="PHYSICAL","OPEN","BLOCKED"))</x:f>
        <x:v>OPEN</x:v>
      </x:c>
      <x:c r="G2952" t="str">
        <x:v>equals</x:v>
      </x:c>
      <x:c r="H2952" t="str">
        <x:f>IF(E2952=F2952,"PASS","FAIL")</x:f>
        <x:v>PASS</x:v>
      </x:c>
    </x:row>
    <x:row r="2953">
      <x:c r="B2953" t="str">
        <x:v>A-02907</x:v>
      </x:c>
      <x:c r="C2953" t="str">
        <x:v>GATE</x:v>
      </x:c>
      <x:c r="D2953" t="str">
        <x:v>release state mirrors governing ledger</x:v>
      </x:c>
      <x:c r="E2953" t="str">
        <x:f>'Release Gates'!I2913</x:f>
        <x:v>OPEN</x:v>
      </x:c>
      <x:c r="F2953" t="str">
        <x:f>IF('Release Gates'!C2913="PLANNING","PASS",IF('Release Gates'!C2913="PHYSICAL","OPEN","BLOCKED"))</x:f>
        <x:v>OPEN</x:v>
      </x:c>
      <x:c r="G2953" t="str">
        <x:v>equals</x:v>
      </x:c>
      <x:c r="H2953" t="str">
        <x:f>IF(E2953=F2953,"PASS","FAIL")</x:f>
        <x:v>PASS</x:v>
      </x:c>
    </x:row>
    <x:row r="2954">
      <x:c r="B2954" t="str">
        <x:v>A-02908</x:v>
      </x:c>
      <x:c r="C2954" t="str">
        <x:v>GATE</x:v>
      </x:c>
      <x:c r="D2954" t="str">
        <x:v>release state mirrors governing ledger</x:v>
      </x:c>
      <x:c r="E2954" t="str">
        <x:f>'Release Gates'!I2914</x:f>
        <x:v>OPEN</x:v>
      </x:c>
      <x:c r="F2954" t="str">
        <x:f>IF('Release Gates'!C2914="PLANNING","PASS",IF('Release Gates'!C2914="PHYSICAL","OPEN","BLOCKED"))</x:f>
        <x:v>OPEN</x:v>
      </x:c>
      <x:c r="G2954" t="str">
        <x:v>equals</x:v>
      </x:c>
      <x:c r="H2954" t="str">
        <x:f>IF(E2954=F2954,"PASS","FAIL")</x:f>
        <x:v>PASS</x:v>
      </x:c>
    </x:row>
    <x:row r="2955">
      <x:c r="B2955" t="str">
        <x:v>A-02909</x:v>
      </x:c>
      <x:c r="C2955" t="str">
        <x:v>GATE</x:v>
      </x:c>
      <x:c r="D2955" t="str">
        <x:v>release state mirrors governing ledger</x:v>
      </x:c>
      <x:c r="E2955" t="str">
        <x:f>'Release Gates'!I2915</x:f>
        <x:v>OPEN</x:v>
      </x:c>
      <x:c r="F2955" t="str">
        <x:f>IF('Release Gates'!C2915="PLANNING","PASS",IF('Release Gates'!C2915="PHYSICAL","OPEN","BLOCKED"))</x:f>
        <x:v>OPEN</x:v>
      </x:c>
      <x:c r="G2955" t="str">
        <x:v>equals</x:v>
      </x:c>
      <x:c r="H2955" t="str">
        <x:f>IF(E2955=F2955,"PASS","FAIL")</x:f>
        <x:v>PASS</x:v>
      </x:c>
    </x:row>
    <x:row r="2956">
      <x:c r="B2956" t="str">
        <x:v>A-02910</x:v>
      </x:c>
      <x:c r="C2956" t="str">
        <x:v>GATE</x:v>
      </x:c>
      <x:c r="D2956" t="str">
        <x:v>release state mirrors governing ledger</x:v>
      </x:c>
      <x:c r="E2956" t="str">
        <x:f>'Release Gates'!I2916</x:f>
        <x:v>OPEN</x:v>
      </x:c>
      <x:c r="F2956" t="str">
        <x:f>IF('Release Gates'!C2916="PLANNING","PASS",IF('Release Gates'!C2916="PHYSICAL","OPEN","BLOCKED"))</x:f>
        <x:v>OPEN</x:v>
      </x:c>
      <x:c r="G2956" t="str">
        <x:v>equals</x:v>
      </x:c>
      <x:c r="H2956" t="str">
        <x:f>IF(E2956=F2956,"PASS","FAIL")</x:f>
        <x:v>PASS</x:v>
      </x:c>
    </x:row>
    <x:row r="2957">
      <x:c r="B2957" t="str">
        <x:v>A-02911</x:v>
      </x:c>
      <x:c r="C2957" t="str">
        <x:v>GATE</x:v>
      </x:c>
      <x:c r="D2957" t="str">
        <x:v>release state mirrors governing ledger</x:v>
      </x:c>
      <x:c r="E2957" t="str">
        <x:f>'Release Gates'!I2917</x:f>
        <x:v>OPEN</x:v>
      </x:c>
      <x:c r="F2957" t="str">
        <x:f>IF('Release Gates'!C2917="PLANNING","PASS",IF('Release Gates'!C2917="PHYSICAL","OPEN","BLOCKED"))</x:f>
        <x:v>OPEN</x:v>
      </x:c>
      <x:c r="G2957" t="str">
        <x:v>equals</x:v>
      </x:c>
      <x:c r="H2957" t="str">
        <x:f>IF(E2957=F2957,"PASS","FAIL")</x:f>
        <x:v>PASS</x:v>
      </x:c>
    </x:row>
    <x:row r="2958">
      <x:c r="B2958" t="str">
        <x:v>A-02912</x:v>
      </x:c>
      <x:c r="C2958" t="str">
        <x:v>GATE</x:v>
      </x:c>
      <x:c r="D2958" t="str">
        <x:v>release state mirrors governing ledger</x:v>
      </x:c>
      <x:c r="E2958" t="str">
        <x:f>'Release Gates'!I2918</x:f>
        <x:v>OPEN</x:v>
      </x:c>
      <x:c r="F2958" t="str">
        <x:f>IF('Release Gates'!C2918="PLANNING","PASS",IF('Release Gates'!C2918="PHYSICAL","OPEN","BLOCKED"))</x:f>
        <x:v>OPEN</x:v>
      </x:c>
      <x:c r="G2958" t="str">
        <x:v>equals</x:v>
      </x:c>
      <x:c r="H2958" t="str">
        <x:f>IF(E2958=F2958,"PASS","FAIL")</x:f>
        <x:v>PASS</x:v>
      </x:c>
    </x:row>
    <x:row r="2959">
      <x:c r="B2959" t="str">
        <x:v>A-02913</x:v>
      </x:c>
      <x:c r="C2959" t="str">
        <x:v>GATE</x:v>
      </x:c>
      <x:c r="D2959" t="str">
        <x:v>release state mirrors governing ledger</x:v>
      </x:c>
      <x:c r="E2959" t="str">
        <x:f>'Release Gates'!I2919</x:f>
        <x:v>OPEN</x:v>
      </x:c>
      <x:c r="F2959" t="str">
        <x:f>IF('Release Gates'!C2919="PLANNING","PASS",IF('Release Gates'!C2919="PHYSICAL","OPEN","BLOCKED"))</x:f>
        <x:v>OPEN</x:v>
      </x:c>
      <x:c r="G2959" t="str">
        <x:v>equals</x:v>
      </x:c>
      <x:c r="H2959" t="str">
        <x:f>IF(E2959=F2959,"PASS","FAIL")</x:f>
        <x:v>PASS</x:v>
      </x:c>
    </x:row>
    <x:row r="2960">
      <x:c r="B2960" t="str">
        <x:v>A-02914</x:v>
      </x:c>
      <x:c r="C2960" t="str">
        <x:v>GATE</x:v>
      </x:c>
      <x:c r="D2960" t="str">
        <x:v>release state mirrors governing ledger</x:v>
      </x:c>
      <x:c r="E2960" t="str">
        <x:f>'Release Gates'!I2920</x:f>
        <x:v>OPEN</x:v>
      </x:c>
      <x:c r="F2960" t="str">
        <x:f>IF('Release Gates'!C2920="PLANNING","PASS",IF('Release Gates'!C2920="PHYSICAL","OPEN","BLOCKED"))</x:f>
        <x:v>OPEN</x:v>
      </x:c>
      <x:c r="G2960" t="str">
        <x:v>equals</x:v>
      </x:c>
      <x:c r="H2960" t="str">
        <x:f>IF(E2960=F2960,"PASS","FAIL")</x:f>
        <x:v>PASS</x:v>
      </x:c>
    </x:row>
    <x:row r="2961">
      <x:c r="B2961" t="str">
        <x:v>A-02915</x:v>
      </x:c>
      <x:c r="C2961" t="str">
        <x:v>GATE</x:v>
      </x:c>
      <x:c r="D2961" t="str">
        <x:v>release state mirrors governing ledger</x:v>
      </x:c>
      <x:c r="E2961" t="str">
        <x:f>'Release Gates'!I2921</x:f>
        <x:v>OPEN</x:v>
      </x:c>
      <x:c r="F2961" t="str">
        <x:f>IF('Release Gates'!C2921="PLANNING","PASS",IF('Release Gates'!C2921="PHYSICAL","OPEN","BLOCKED"))</x:f>
        <x:v>OPEN</x:v>
      </x:c>
      <x:c r="G2961" t="str">
        <x:v>equals</x:v>
      </x:c>
      <x:c r="H2961" t="str">
        <x:f>IF(E2961=F2961,"PASS","FAIL")</x:f>
        <x:v>PASS</x:v>
      </x:c>
    </x:row>
    <x:row r="2962">
      <x:c r="B2962" t="str">
        <x:v>A-02916</x:v>
      </x:c>
      <x:c r="C2962" t="str">
        <x:v>GATE</x:v>
      </x:c>
      <x:c r="D2962" t="str">
        <x:v>release state mirrors governing ledger</x:v>
      </x:c>
      <x:c r="E2962" t="str">
        <x:f>'Release Gates'!I2922</x:f>
        <x:v>OPEN</x:v>
      </x:c>
      <x:c r="F2962" t="str">
        <x:f>IF('Release Gates'!C2922="PLANNING","PASS",IF('Release Gates'!C2922="PHYSICAL","OPEN","BLOCKED"))</x:f>
        <x:v>OPEN</x:v>
      </x:c>
      <x:c r="G2962" t="str">
        <x:v>equals</x:v>
      </x:c>
      <x:c r="H2962" t="str">
        <x:f>IF(E2962=F2962,"PASS","FAIL")</x:f>
        <x:v>PASS</x:v>
      </x:c>
    </x:row>
    <x:row r="2963">
      <x:c r="B2963" t="str">
        <x:v>A-02917</x:v>
      </x:c>
      <x:c r="C2963" t="str">
        <x:v>GATE</x:v>
      </x:c>
      <x:c r="D2963" t="str">
        <x:v>release state mirrors governing ledger</x:v>
      </x:c>
      <x:c r="E2963" t="str">
        <x:f>'Release Gates'!I2923</x:f>
        <x:v>OPEN</x:v>
      </x:c>
      <x:c r="F2963" t="str">
        <x:f>IF('Release Gates'!C2923="PLANNING","PASS",IF('Release Gates'!C2923="PHYSICAL","OPEN","BLOCKED"))</x:f>
        <x:v>OPEN</x:v>
      </x:c>
      <x:c r="G2963" t="str">
        <x:v>equals</x:v>
      </x:c>
      <x:c r="H2963" t="str">
        <x:f>IF(E2963=F2963,"PASS","FAIL")</x:f>
        <x:v>PASS</x:v>
      </x:c>
    </x:row>
    <x:row r="2964">
      <x:c r="B2964" t="str">
        <x:v>A-02918</x:v>
      </x:c>
      <x:c r="C2964" t="str">
        <x:v>GATE</x:v>
      </x:c>
      <x:c r="D2964" t="str">
        <x:v>release state mirrors governing ledger</x:v>
      </x:c>
      <x:c r="E2964" t="str">
        <x:f>'Release Gates'!I2924</x:f>
        <x:v>OPEN</x:v>
      </x:c>
      <x:c r="F2964" t="str">
        <x:f>IF('Release Gates'!C2924="PLANNING","PASS",IF('Release Gates'!C2924="PHYSICAL","OPEN","BLOCKED"))</x:f>
        <x:v>OPEN</x:v>
      </x:c>
      <x:c r="G2964" t="str">
        <x:v>equals</x:v>
      </x:c>
      <x:c r="H2964" t="str">
        <x:f>IF(E2964=F2964,"PASS","FAIL")</x:f>
        <x:v>PASS</x:v>
      </x:c>
    </x:row>
    <x:row r="2965">
      <x:c r="B2965" t="str">
        <x:v>A-02919</x:v>
      </x:c>
      <x:c r="C2965" t="str">
        <x:v>GATE</x:v>
      </x:c>
      <x:c r="D2965" t="str">
        <x:v>release state mirrors governing ledger</x:v>
      </x:c>
      <x:c r="E2965" t="str">
        <x:f>'Release Gates'!I2925</x:f>
        <x:v>OPEN</x:v>
      </x:c>
      <x:c r="F2965" t="str">
        <x:f>IF('Release Gates'!C2925="PLANNING","PASS",IF('Release Gates'!C2925="PHYSICAL","OPEN","BLOCKED"))</x:f>
        <x:v>OPEN</x:v>
      </x:c>
      <x:c r="G2965" t="str">
        <x:v>equals</x:v>
      </x:c>
      <x:c r="H2965" t="str">
        <x:f>IF(E2965=F2965,"PASS","FAIL")</x:f>
        <x:v>PASS</x:v>
      </x:c>
    </x:row>
    <x:row r="2966">
      <x:c r="B2966" t="str">
        <x:v>A-02920</x:v>
      </x:c>
      <x:c r="C2966" t="str">
        <x:v>GATE</x:v>
      </x:c>
      <x:c r="D2966" t="str">
        <x:v>release state mirrors governing ledger</x:v>
      </x:c>
      <x:c r="E2966" t="str">
        <x:f>'Release Gates'!I2926</x:f>
        <x:v>OPEN</x:v>
      </x:c>
      <x:c r="F2966" t="str">
        <x:f>IF('Release Gates'!C2926="PLANNING","PASS",IF('Release Gates'!C2926="PHYSICAL","OPEN","BLOCKED"))</x:f>
        <x:v>OPEN</x:v>
      </x:c>
      <x:c r="G2966" t="str">
        <x:v>equals</x:v>
      </x:c>
      <x:c r="H2966" t="str">
        <x:f>IF(E2966=F2966,"PASS","FAIL")</x:f>
        <x:v>PASS</x:v>
      </x:c>
    </x:row>
    <x:row r="2967">
      <x:c r="B2967" t="str">
        <x:v>A-02921</x:v>
      </x:c>
      <x:c r="C2967" t="str">
        <x:v>GATE</x:v>
      </x:c>
      <x:c r="D2967" t="str">
        <x:v>release state mirrors governing ledger</x:v>
      </x:c>
      <x:c r="E2967" t="str">
        <x:f>'Release Gates'!I2927</x:f>
        <x:v>OPEN</x:v>
      </x:c>
      <x:c r="F2967" t="str">
        <x:f>IF('Release Gates'!C2927="PLANNING","PASS",IF('Release Gates'!C2927="PHYSICAL","OPEN","BLOCKED"))</x:f>
        <x:v>OPEN</x:v>
      </x:c>
      <x:c r="G2967" t="str">
        <x:v>equals</x:v>
      </x:c>
      <x:c r="H2967" t="str">
        <x:f>IF(E2967=F2967,"PASS","FAIL")</x:f>
        <x:v>PASS</x:v>
      </x:c>
    </x:row>
    <x:row r="2968">
      <x:c r="B2968" t="str">
        <x:v>A-02922</x:v>
      </x:c>
      <x:c r="C2968" t="str">
        <x:v>GATE</x:v>
      </x:c>
      <x:c r="D2968" t="str">
        <x:v>release state mirrors governing ledger</x:v>
      </x:c>
      <x:c r="E2968" t="str">
        <x:f>'Release Gates'!I2928</x:f>
        <x:v>OPEN</x:v>
      </x:c>
      <x:c r="F2968" t="str">
        <x:f>IF('Release Gates'!C2928="PLANNING","PASS",IF('Release Gates'!C2928="PHYSICAL","OPEN","BLOCKED"))</x:f>
        <x:v>OPEN</x:v>
      </x:c>
      <x:c r="G2968" t="str">
        <x:v>equals</x:v>
      </x:c>
      <x:c r="H2968" t="str">
        <x:f>IF(E2968=F2968,"PASS","FAIL")</x:f>
        <x:v>PASS</x:v>
      </x:c>
    </x:row>
    <x:row r="2969">
      <x:c r="B2969" t="str">
        <x:v>A-02923</x:v>
      </x:c>
      <x:c r="C2969" t="str">
        <x:v>GATE</x:v>
      </x:c>
      <x:c r="D2969" t="str">
        <x:v>release state mirrors governing ledger</x:v>
      </x:c>
      <x:c r="E2969" t="str">
        <x:f>'Release Gates'!I2929</x:f>
        <x:v>OPEN</x:v>
      </x:c>
      <x:c r="F2969" t="str">
        <x:f>IF('Release Gates'!C2929="PLANNING","PASS",IF('Release Gates'!C2929="PHYSICAL","OPEN","BLOCKED"))</x:f>
        <x:v>OPEN</x:v>
      </x:c>
      <x:c r="G2969" t="str">
        <x:v>equals</x:v>
      </x:c>
      <x:c r="H2969" t="str">
        <x:f>IF(E2969=F2969,"PASS","FAIL")</x:f>
        <x:v>PASS</x:v>
      </x:c>
    </x:row>
    <x:row r="2970">
      <x:c r="B2970" t="str">
        <x:v>A-02924</x:v>
      </x:c>
      <x:c r="C2970" t="str">
        <x:v>GATE</x:v>
      </x:c>
      <x:c r="D2970" t="str">
        <x:v>release state mirrors governing ledger</x:v>
      </x:c>
      <x:c r="E2970" t="str">
        <x:f>'Release Gates'!I2930</x:f>
        <x:v>OPEN</x:v>
      </x:c>
      <x:c r="F2970" t="str">
        <x:f>IF('Release Gates'!C2930="PLANNING","PASS",IF('Release Gates'!C2930="PHYSICAL","OPEN","BLOCKED"))</x:f>
        <x:v>OPEN</x:v>
      </x:c>
      <x:c r="G2970" t="str">
        <x:v>equals</x:v>
      </x:c>
      <x:c r="H2970" t="str">
        <x:f>IF(E2970=F2970,"PASS","FAIL")</x:f>
        <x:v>PASS</x:v>
      </x:c>
    </x:row>
    <x:row r="2971">
      <x:c r="B2971" t="str">
        <x:v>A-02925</x:v>
      </x:c>
      <x:c r="C2971" t="str">
        <x:v>GATE</x:v>
      </x:c>
      <x:c r="D2971" t="str">
        <x:v>release state mirrors governing ledger</x:v>
      </x:c>
      <x:c r="E2971" t="str">
        <x:f>'Release Gates'!I2931</x:f>
        <x:v>OPEN</x:v>
      </x:c>
      <x:c r="F2971" t="str">
        <x:f>IF('Release Gates'!C2931="PLANNING","PASS",IF('Release Gates'!C2931="PHYSICAL","OPEN","BLOCKED"))</x:f>
        <x:v>OPEN</x:v>
      </x:c>
      <x:c r="G2971" t="str">
        <x:v>equals</x:v>
      </x:c>
      <x:c r="H2971" t="str">
        <x:f>IF(E2971=F2971,"PASS","FAIL")</x:f>
        <x:v>PASS</x:v>
      </x:c>
    </x:row>
    <x:row r="2972">
      <x:c r="B2972" t="str">
        <x:v>A-02926</x:v>
      </x:c>
      <x:c r="C2972" t="str">
        <x:v>GATE</x:v>
      </x:c>
      <x:c r="D2972" t="str">
        <x:v>release state mirrors governing ledger</x:v>
      </x:c>
      <x:c r="E2972" t="str">
        <x:f>'Release Gates'!I2932</x:f>
        <x:v>OPEN</x:v>
      </x:c>
      <x:c r="F2972" t="str">
        <x:f>IF('Release Gates'!C2932="PLANNING","PASS",IF('Release Gates'!C2932="PHYSICAL","OPEN","BLOCKED"))</x:f>
        <x:v>OPEN</x:v>
      </x:c>
      <x:c r="G2972" t="str">
        <x:v>equals</x:v>
      </x:c>
      <x:c r="H2972" t="str">
        <x:f>IF(E2972=F2972,"PASS","FAIL")</x:f>
        <x:v>PASS</x:v>
      </x:c>
    </x:row>
    <x:row r="2973">
      <x:c r="B2973" t="str">
        <x:v>A-02927</x:v>
      </x:c>
      <x:c r="C2973" t="str">
        <x:v>GATE</x:v>
      </x:c>
      <x:c r="D2973" t="str">
        <x:v>release state mirrors governing ledger</x:v>
      </x:c>
      <x:c r="E2973" t="str">
        <x:f>'Release Gates'!I2933</x:f>
        <x:v>OPEN</x:v>
      </x:c>
      <x:c r="F2973" t="str">
        <x:f>IF('Release Gates'!C2933="PLANNING","PASS",IF('Release Gates'!C2933="PHYSICAL","OPEN","BLOCKED"))</x:f>
        <x:v>OPEN</x:v>
      </x:c>
      <x:c r="G2973" t="str">
        <x:v>equals</x:v>
      </x:c>
      <x:c r="H2973" t="str">
        <x:f>IF(E2973=F2973,"PASS","FAIL")</x:f>
        <x:v>PASS</x:v>
      </x:c>
    </x:row>
    <x:row r="2974">
      <x:c r="B2974" t="str">
        <x:v>A-02928</x:v>
      </x:c>
      <x:c r="C2974" t="str">
        <x:v>GATE</x:v>
      </x:c>
      <x:c r="D2974" t="str">
        <x:v>release state mirrors governing ledger</x:v>
      </x:c>
      <x:c r="E2974" t="str">
        <x:f>'Release Gates'!I2934</x:f>
        <x:v>OPEN</x:v>
      </x:c>
      <x:c r="F2974" t="str">
        <x:f>IF('Release Gates'!C2934="PLANNING","PASS",IF('Release Gates'!C2934="PHYSICAL","OPEN","BLOCKED"))</x:f>
        <x:v>OPEN</x:v>
      </x:c>
      <x:c r="G2974" t="str">
        <x:v>equals</x:v>
      </x:c>
      <x:c r="H2974" t="str">
        <x:f>IF(E2974=F2974,"PASS","FAIL")</x:f>
        <x:v>PASS</x:v>
      </x:c>
    </x:row>
    <x:row r="2975">
      <x:c r="B2975" t="str">
        <x:v>A-02929</x:v>
      </x:c>
      <x:c r="C2975" t="str">
        <x:v>GATE</x:v>
      </x:c>
      <x:c r="D2975" t="str">
        <x:v>release state mirrors governing ledger</x:v>
      </x:c>
      <x:c r="E2975" t="str">
        <x:f>'Release Gates'!I2935</x:f>
        <x:v>OPEN</x:v>
      </x:c>
      <x:c r="F2975" t="str">
        <x:f>IF('Release Gates'!C2935="PLANNING","PASS",IF('Release Gates'!C2935="PHYSICAL","OPEN","BLOCKED"))</x:f>
        <x:v>OPEN</x:v>
      </x:c>
      <x:c r="G2975" t="str">
        <x:v>equals</x:v>
      </x:c>
      <x:c r="H2975" t="str">
        <x:f>IF(E2975=F2975,"PASS","FAIL")</x:f>
        <x:v>PASS</x:v>
      </x:c>
    </x:row>
    <x:row r="2976">
      <x:c r="B2976" t="str">
        <x:v>A-02930</x:v>
      </x:c>
      <x:c r="C2976" t="str">
        <x:v>GATE</x:v>
      </x:c>
      <x:c r="D2976" t="str">
        <x:v>release state mirrors governing ledger</x:v>
      </x:c>
      <x:c r="E2976" t="str">
        <x:f>'Release Gates'!I2936</x:f>
        <x:v>OPEN</x:v>
      </x:c>
      <x:c r="F2976" t="str">
        <x:f>IF('Release Gates'!C2936="PLANNING","PASS",IF('Release Gates'!C2936="PHYSICAL","OPEN","BLOCKED"))</x:f>
        <x:v>OPEN</x:v>
      </x:c>
      <x:c r="G2976" t="str">
        <x:v>equals</x:v>
      </x:c>
      <x:c r="H2976" t="str">
        <x:f>IF(E2976=F2976,"PASS","FAIL")</x:f>
        <x:v>PASS</x:v>
      </x:c>
    </x:row>
    <x:row r="2977">
      <x:c r="B2977" t="str">
        <x:v>A-02931</x:v>
      </x:c>
      <x:c r="C2977" t="str">
        <x:v>GATE</x:v>
      </x:c>
      <x:c r="D2977" t="str">
        <x:v>release state mirrors governing ledger</x:v>
      </x:c>
      <x:c r="E2977" t="str">
        <x:f>'Release Gates'!I2937</x:f>
        <x:v>OPEN</x:v>
      </x:c>
      <x:c r="F2977" t="str">
        <x:f>IF('Release Gates'!C2937="PLANNING","PASS",IF('Release Gates'!C2937="PHYSICAL","OPEN","BLOCKED"))</x:f>
        <x:v>OPEN</x:v>
      </x:c>
      <x:c r="G2977" t="str">
        <x:v>equals</x:v>
      </x:c>
      <x:c r="H2977" t="str">
        <x:f>IF(E2977=F2977,"PASS","FAIL")</x:f>
        <x:v>PASS</x:v>
      </x:c>
    </x:row>
    <x:row r="2978">
      <x:c r="B2978" t="str">
        <x:v>A-02932</x:v>
      </x:c>
      <x:c r="C2978" t="str">
        <x:v>GATE</x:v>
      </x:c>
      <x:c r="D2978" t="str">
        <x:v>release state mirrors governing ledger</x:v>
      </x:c>
      <x:c r="E2978" t="str">
        <x:f>'Release Gates'!I2938</x:f>
        <x:v>OPEN</x:v>
      </x:c>
      <x:c r="F2978" t="str">
        <x:f>IF('Release Gates'!C2938="PLANNING","PASS",IF('Release Gates'!C2938="PHYSICAL","OPEN","BLOCKED"))</x:f>
        <x:v>OPEN</x:v>
      </x:c>
      <x:c r="G2978" t="str">
        <x:v>equals</x:v>
      </x:c>
      <x:c r="H2978" t="str">
        <x:f>IF(E2978=F2978,"PASS","FAIL")</x:f>
        <x:v>PASS</x:v>
      </x:c>
    </x:row>
    <x:row r="2979">
      <x:c r="B2979" t="str">
        <x:v>A-02933</x:v>
      </x:c>
      <x:c r="C2979" t="str">
        <x:v>GATE</x:v>
      </x:c>
      <x:c r="D2979" t="str">
        <x:v>release state mirrors governing ledger</x:v>
      </x:c>
      <x:c r="E2979" t="str">
        <x:f>'Release Gates'!I2939</x:f>
        <x:v>OPEN</x:v>
      </x:c>
      <x:c r="F2979" t="str">
        <x:f>IF('Release Gates'!C2939="PLANNING","PASS",IF('Release Gates'!C2939="PHYSICAL","OPEN","BLOCKED"))</x:f>
        <x:v>OPEN</x:v>
      </x:c>
      <x:c r="G2979" t="str">
        <x:v>equals</x:v>
      </x:c>
      <x:c r="H2979" t="str">
        <x:f>IF(E2979=F2979,"PASS","FAIL")</x:f>
        <x:v>PASS</x:v>
      </x:c>
    </x:row>
    <x:row r="2980">
      <x:c r="B2980" t="str">
        <x:v>A-02934</x:v>
      </x:c>
      <x:c r="C2980" t="str">
        <x:v>GATE</x:v>
      </x:c>
      <x:c r="D2980" t="str">
        <x:v>release state mirrors governing ledger</x:v>
      </x:c>
      <x:c r="E2980" t="str">
        <x:f>'Release Gates'!I2940</x:f>
        <x:v>OPEN</x:v>
      </x:c>
      <x:c r="F2980" t="str">
        <x:f>IF('Release Gates'!C2940="PLANNING","PASS",IF('Release Gates'!C2940="PHYSICAL","OPEN","BLOCKED"))</x:f>
        <x:v>OPEN</x:v>
      </x:c>
      <x:c r="G2980" t="str">
        <x:v>equals</x:v>
      </x:c>
      <x:c r="H2980" t="str">
        <x:f>IF(E2980=F2980,"PASS","FAIL")</x:f>
        <x:v>PASS</x:v>
      </x:c>
    </x:row>
    <x:row r="2981">
      <x:c r="B2981" t="str">
        <x:v>A-02935</x:v>
      </x:c>
      <x:c r="C2981" t="str">
        <x:v>GATE</x:v>
      </x:c>
      <x:c r="D2981" t="str">
        <x:v>release state mirrors governing ledger</x:v>
      </x:c>
      <x:c r="E2981" t="str">
        <x:f>'Release Gates'!I2941</x:f>
        <x:v>OPEN</x:v>
      </x:c>
      <x:c r="F2981" t="str">
        <x:f>IF('Release Gates'!C2941="PLANNING","PASS",IF('Release Gates'!C2941="PHYSICAL","OPEN","BLOCKED"))</x:f>
        <x:v>OPEN</x:v>
      </x:c>
      <x:c r="G2981" t="str">
        <x:v>equals</x:v>
      </x:c>
      <x:c r="H2981" t="str">
        <x:f>IF(E2981=F2981,"PASS","FAIL")</x:f>
        <x:v>PASS</x:v>
      </x:c>
    </x:row>
    <x:row r="2982">
      <x:c r="B2982" t="str">
        <x:v>A-02936</x:v>
      </x:c>
      <x:c r="C2982" t="str">
        <x:v>GATE</x:v>
      </x:c>
      <x:c r="D2982" t="str">
        <x:v>release state mirrors governing ledger</x:v>
      </x:c>
      <x:c r="E2982" t="str">
        <x:f>'Release Gates'!I2942</x:f>
        <x:v>OPEN</x:v>
      </x:c>
      <x:c r="F2982" t="str">
        <x:f>IF('Release Gates'!C2942="PLANNING","PASS",IF('Release Gates'!C2942="PHYSICAL","OPEN","BLOCKED"))</x:f>
        <x:v>OPEN</x:v>
      </x:c>
      <x:c r="G2982" t="str">
        <x:v>equals</x:v>
      </x:c>
      <x:c r="H2982" t="str">
        <x:f>IF(E2982=F2982,"PASS","FAIL")</x:f>
        <x:v>PASS</x:v>
      </x:c>
    </x:row>
    <x:row r="2983">
      <x:c r="B2983" t="str">
        <x:v>A-02937</x:v>
      </x:c>
      <x:c r="C2983" t="str">
        <x:v>GATE</x:v>
      </x:c>
      <x:c r="D2983" t="str">
        <x:v>release state mirrors governing ledger</x:v>
      </x:c>
      <x:c r="E2983" t="str">
        <x:f>'Release Gates'!I2943</x:f>
        <x:v>OPEN</x:v>
      </x:c>
      <x:c r="F2983" t="str">
        <x:f>IF('Release Gates'!C2943="PLANNING","PASS",IF('Release Gates'!C2943="PHYSICAL","OPEN","BLOCKED"))</x:f>
        <x:v>OPEN</x:v>
      </x:c>
      <x:c r="G2983" t="str">
        <x:v>equals</x:v>
      </x:c>
      <x:c r="H2983" t="str">
        <x:f>IF(E2983=F2983,"PASS","FAIL")</x:f>
        <x:v>PASS</x:v>
      </x:c>
    </x:row>
    <x:row r="2984">
      <x:c r="B2984" t="str">
        <x:v>A-02938</x:v>
      </x:c>
      <x:c r="C2984" t="str">
        <x:v>GATE</x:v>
      </x:c>
      <x:c r="D2984" t="str">
        <x:v>release state mirrors governing ledger</x:v>
      </x:c>
      <x:c r="E2984" t="str">
        <x:f>'Release Gates'!I2944</x:f>
        <x:v>OPEN</x:v>
      </x:c>
      <x:c r="F2984" t="str">
        <x:f>IF('Release Gates'!C2944="PLANNING","PASS",IF('Release Gates'!C2944="PHYSICAL","OPEN","BLOCKED"))</x:f>
        <x:v>OPEN</x:v>
      </x:c>
      <x:c r="G2984" t="str">
        <x:v>equals</x:v>
      </x:c>
      <x:c r="H2984" t="str">
        <x:f>IF(E2984=F2984,"PASS","FAIL")</x:f>
        <x:v>PASS</x:v>
      </x:c>
    </x:row>
    <x:row r="2985">
      <x:c r="B2985" t="str">
        <x:v>A-02939</x:v>
      </x:c>
      <x:c r="C2985" t="str">
        <x:v>GATE</x:v>
      </x:c>
      <x:c r="D2985" t="str">
        <x:v>release state mirrors governing ledger</x:v>
      </x:c>
      <x:c r="E2985" t="str">
        <x:f>'Release Gates'!I2945</x:f>
        <x:v>OPEN</x:v>
      </x:c>
      <x:c r="F2985" t="str">
        <x:f>IF('Release Gates'!C2945="PLANNING","PASS",IF('Release Gates'!C2945="PHYSICAL","OPEN","BLOCKED"))</x:f>
        <x:v>OPEN</x:v>
      </x:c>
      <x:c r="G2985" t="str">
        <x:v>equals</x:v>
      </x:c>
      <x:c r="H2985" t="str">
        <x:f>IF(E2985=F2985,"PASS","FAIL")</x:f>
        <x:v>PASS</x:v>
      </x:c>
    </x:row>
    <x:row r="2986">
      <x:c r="B2986" t="str">
        <x:v>A-02940</x:v>
      </x:c>
      <x:c r="C2986" t="str">
        <x:v>GATE</x:v>
      </x:c>
      <x:c r="D2986" t="str">
        <x:v>release state mirrors governing ledger</x:v>
      </x:c>
      <x:c r="E2986" t="str">
        <x:f>'Release Gates'!I2946</x:f>
        <x:v>OPEN</x:v>
      </x:c>
      <x:c r="F2986" t="str">
        <x:f>IF('Release Gates'!C2946="PLANNING","PASS",IF('Release Gates'!C2946="PHYSICAL","OPEN","BLOCKED"))</x:f>
        <x:v>OPEN</x:v>
      </x:c>
      <x:c r="G2986" t="str">
        <x:v>equals</x:v>
      </x:c>
      <x:c r="H2986" t="str">
        <x:f>IF(E2986=F2986,"PASS","FAIL")</x:f>
        <x:v>PASS</x:v>
      </x:c>
    </x:row>
    <x:row r="2987">
      <x:c r="B2987" t="str">
        <x:v>A-02941</x:v>
      </x:c>
      <x:c r="C2987" t="str">
        <x:v>GATE</x:v>
      </x:c>
      <x:c r="D2987" t="str">
        <x:v>release state mirrors governing ledger</x:v>
      </x:c>
      <x:c r="E2987" t="str">
        <x:f>'Release Gates'!I2947</x:f>
        <x:v>OPEN</x:v>
      </x:c>
      <x:c r="F2987" t="str">
        <x:f>IF('Release Gates'!C2947="PLANNING","PASS",IF('Release Gates'!C2947="PHYSICAL","OPEN","BLOCKED"))</x:f>
        <x:v>OPEN</x:v>
      </x:c>
      <x:c r="G2987" t="str">
        <x:v>equals</x:v>
      </x:c>
      <x:c r="H2987" t="str">
        <x:f>IF(E2987=F2987,"PASS","FAIL")</x:f>
        <x:v>PASS</x:v>
      </x:c>
    </x:row>
    <x:row r="2988">
      <x:c r="B2988" t="str">
        <x:v>A-02942</x:v>
      </x:c>
      <x:c r="C2988" t="str">
        <x:v>GATE</x:v>
      </x:c>
      <x:c r="D2988" t="str">
        <x:v>release state mirrors governing ledger</x:v>
      </x:c>
      <x:c r="E2988" t="str">
        <x:f>'Release Gates'!I2948</x:f>
        <x:v>OPEN</x:v>
      </x:c>
      <x:c r="F2988" t="str">
        <x:f>IF('Release Gates'!C2948="PLANNING","PASS",IF('Release Gates'!C2948="PHYSICAL","OPEN","BLOCKED"))</x:f>
        <x:v>OPEN</x:v>
      </x:c>
      <x:c r="G2988" t="str">
        <x:v>equals</x:v>
      </x:c>
      <x:c r="H2988" t="str">
        <x:f>IF(E2988=F2988,"PASS","FAIL")</x:f>
        <x:v>PASS</x:v>
      </x:c>
    </x:row>
    <x:row r="2989">
      <x:c r="B2989" t="str">
        <x:v>A-02943</x:v>
      </x:c>
      <x:c r="C2989" t="str">
        <x:v>GATE</x:v>
      </x:c>
      <x:c r="D2989" t="str">
        <x:v>release state mirrors governing ledger</x:v>
      </x:c>
      <x:c r="E2989" t="str">
        <x:f>'Release Gates'!I2949</x:f>
        <x:v>OPEN</x:v>
      </x:c>
      <x:c r="F2989" t="str">
        <x:f>IF('Release Gates'!C2949="PLANNING","PASS",IF('Release Gates'!C2949="PHYSICAL","OPEN","BLOCKED"))</x:f>
        <x:v>OPEN</x:v>
      </x:c>
      <x:c r="G2989" t="str">
        <x:v>equals</x:v>
      </x:c>
      <x:c r="H2989" t="str">
        <x:f>IF(E2989=F2989,"PASS","FAIL")</x:f>
        <x:v>PASS</x:v>
      </x:c>
    </x:row>
    <x:row r="2990">
      <x:c r="B2990" t="str">
        <x:v>A-02944</x:v>
      </x:c>
      <x:c r="C2990" t="str">
        <x:v>GATE</x:v>
      </x:c>
      <x:c r="D2990" t="str">
        <x:v>release state mirrors governing ledger</x:v>
      </x:c>
      <x:c r="E2990" t="str">
        <x:f>'Release Gates'!I2950</x:f>
        <x:v>OPEN</x:v>
      </x:c>
      <x:c r="F2990" t="str">
        <x:f>IF('Release Gates'!C2950="PLANNING","PASS",IF('Release Gates'!C2950="PHYSICAL","OPEN","BLOCKED"))</x:f>
        <x:v>OPEN</x:v>
      </x:c>
      <x:c r="G2990" t="str">
        <x:v>equals</x:v>
      </x:c>
      <x:c r="H2990" t="str">
        <x:f>IF(E2990=F2990,"PASS","FAIL")</x:f>
        <x:v>PASS</x:v>
      </x:c>
    </x:row>
    <x:row r="2991">
      <x:c r="B2991" t="str">
        <x:v>A-02945</x:v>
      </x:c>
      <x:c r="C2991" t="str">
        <x:v>GATE</x:v>
      </x:c>
      <x:c r="D2991" t="str">
        <x:v>release state mirrors governing ledger</x:v>
      </x:c>
      <x:c r="E2991" t="str">
        <x:f>'Release Gates'!I2951</x:f>
        <x:v>OPEN</x:v>
      </x:c>
      <x:c r="F2991" t="str">
        <x:f>IF('Release Gates'!C2951="PLANNING","PASS",IF('Release Gates'!C2951="PHYSICAL","OPEN","BLOCKED"))</x:f>
        <x:v>OPEN</x:v>
      </x:c>
      <x:c r="G2991" t="str">
        <x:v>equals</x:v>
      </x:c>
      <x:c r="H2991" t="str">
        <x:f>IF(E2991=F2991,"PASS","FAIL")</x:f>
        <x:v>PASS</x:v>
      </x:c>
    </x:row>
    <x:row r="2992">
      <x:c r="B2992" t="str">
        <x:v>A-02946</x:v>
      </x:c>
      <x:c r="C2992" t="str">
        <x:v>GATE</x:v>
      </x:c>
      <x:c r="D2992" t="str">
        <x:v>release state mirrors governing ledger</x:v>
      </x:c>
      <x:c r="E2992" t="str">
        <x:f>'Release Gates'!I2952</x:f>
        <x:v>OPEN</x:v>
      </x:c>
      <x:c r="F2992" t="str">
        <x:f>IF('Release Gates'!C2952="PLANNING","PASS",IF('Release Gates'!C2952="PHYSICAL","OPEN","BLOCKED"))</x:f>
        <x:v>OPEN</x:v>
      </x:c>
      <x:c r="G2992" t="str">
        <x:v>equals</x:v>
      </x:c>
      <x:c r="H2992" t="str">
        <x:f>IF(E2992=F2992,"PASS","FAIL")</x:f>
        <x:v>PASS</x:v>
      </x:c>
    </x:row>
    <x:row r="2993">
      <x:c r="B2993" t="str">
        <x:v>A-02947</x:v>
      </x:c>
      <x:c r="C2993" t="str">
        <x:v>GATE</x:v>
      </x:c>
      <x:c r="D2993" t="str">
        <x:v>release state mirrors governing ledger</x:v>
      </x:c>
      <x:c r="E2993" t="str">
        <x:f>'Release Gates'!I2953</x:f>
        <x:v>OPEN</x:v>
      </x:c>
      <x:c r="F2993" t="str">
        <x:f>IF('Release Gates'!C2953="PLANNING","PASS",IF('Release Gates'!C2953="PHYSICAL","OPEN","BLOCKED"))</x:f>
        <x:v>OPEN</x:v>
      </x:c>
      <x:c r="G2993" t="str">
        <x:v>equals</x:v>
      </x:c>
      <x:c r="H2993" t="str">
        <x:f>IF(E2993=F2993,"PASS","FAIL")</x:f>
        <x:v>PASS</x:v>
      </x:c>
    </x:row>
    <x:row r="2994">
      <x:c r="B2994" t="str">
        <x:v>A-02948</x:v>
      </x:c>
      <x:c r="C2994" t="str">
        <x:v>GATE</x:v>
      </x:c>
      <x:c r="D2994" t="str">
        <x:v>release state mirrors governing ledger</x:v>
      </x:c>
      <x:c r="E2994" t="str">
        <x:f>'Release Gates'!I2954</x:f>
        <x:v>OPEN</x:v>
      </x:c>
      <x:c r="F2994" t="str">
        <x:f>IF('Release Gates'!C2954="PLANNING","PASS",IF('Release Gates'!C2954="PHYSICAL","OPEN","BLOCKED"))</x:f>
        <x:v>OPEN</x:v>
      </x:c>
      <x:c r="G2994" t="str">
        <x:v>equals</x:v>
      </x:c>
      <x:c r="H2994" t="str">
        <x:f>IF(E2994=F2994,"PASS","FAIL")</x:f>
        <x:v>PASS</x:v>
      </x:c>
    </x:row>
    <x:row r="2995">
      <x:c r="B2995" t="str">
        <x:v>A-02949</x:v>
      </x:c>
      <x:c r="C2995" t="str">
        <x:v>GATE</x:v>
      </x:c>
      <x:c r="D2995" t="str">
        <x:v>release state mirrors governing ledger</x:v>
      </x:c>
      <x:c r="E2995" t="str">
        <x:f>'Release Gates'!I2955</x:f>
        <x:v>OPEN</x:v>
      </x:c>
      <x:c r="F2995" t="str">
        <x:f>IF('Release Gates'!C2955="PLANNING","PASS",IF('Release Gates'!C2955="PHYSICAL","OPEN","BLOCKED"))</x:f>
        <x:v>OPEN</x:v>
      </x:c>
      <x:c r="G2995" t="str">
        <x:v>equals</x:v>
      </x:c>
      <x:c r="H2995" t="str">
        <x:f>IF(E2995=F2995,"PASS","FAIL")</x:f>
        <x:v>PASS</x:v>
      </x:c>
    </x:row>
    <x:row r="2996">
      <x:c r="B2996" t="str">
        <x:v>A-02950</x:v>
      </x:c>
      <x:c r="C2996" t="str">
        <x:v>GATE</x:v>
      </x:c>
      <x:c r="D2996" t="str">
        <x:v>release state mirrors governing ledger</x:v>
      </x:c>
      <x:c r="E2996" t="str">
        <x:f>'Release Gates'!I2956</x:f>
        <x:v>OPEN</x:v>
      </x:c>
      <x:c r="F2996" t="str">
        <x:f>IF('Release Gates'!C2956="PLANNING","PASS",IF('Release Gates'!C2956="PHYSICAL","OPEN","BLOCKED"))</x:f>
        <x:v>OPEN</x:v>
      </x:c>
      <x:c r="G2996" t="str">
        <x:v>equals</x:v>
      </x:c>
      <x:c r="H2996" t="str">
        <x:f>IF(E2996=F2996,"PASS","FAIL")</x:f>
        <x:v>PASS</x:v>
      </x:c>
    </x:row>
    <x:row r="2997">
      <x:c r="B2997" t="str">
        <x:v>A-02951</x:v>
      </x:c>
      <x:c r="C2997" t="str">
        <x:v>GATE</x:v>
      </x:c>
      <x:c r="D2997" t="str">
        <x:v>release state mirrors governing ledger</x:v>
      </x:c>
      <x:c r="E2997" t="str">
        <x:f>'Release Gates'!I2957</x:f>
        <x:v>OPEN</x:v>
      </x:c>
      <x:c r="F2997" t="str">
        <x:f>IF('Release Gates'!C2957="PLANNING","PASS",IF('Release Gates'!C2957="PHYSICAL","OPEN","BLOCKED"))</x:f>
        <x:v>OPEN</x:v>
      </x:c>
      <x:c r="G2997" t="str">
        <x:v>equals</x:v>
      </x:c>
      <x:c r="H2997" t="str">
        <x:f>IF(E2997=F2997,"PASS","FAIL")</x:f>
        <x:v>PASS</x:v>
      </x:c>
    </x:row>
    <x:row r="2998">
      <x:c r="B2998" t="str">
        <x:v>A-02952</x:v>
      </x:c>
      <x:c r="C2998" t="str">
        <x:v>GATE</x:v>
      </x:c>
      <x:c r="D2998" t="str">
        <x:v>release state mirrors governing ledger</x:v>
      </x:c>
      <x:c r="E2998" t="str">
        <x:f>'Release Gates'!I2958</x:f>
        <x:v>OPEN</x:v>
      </x:c>
      <x:c r="F2998" t="str">
        <x:f>IF('Release Gates'!C2958="PLANNING","PASS",IF('Release Gates'!C2958="PHYSICAL","OPEN","BLOCKED"))</x:f>
        <x:v>OPEN</x:v>
      </x:c>
      <x:c r="G2998" t="str">
        <x:v>equals</x:v>
      </x:c>
      <x:c r="H2998" t="str">
        <x:f>IF(E2998=F2998,"PASS","FAIL")</x:f>
        <x:v>PASS</x:v>
      </x:c>
    </x:row>
    <x:row r="2999">
      <x:c r="B2999" t="str">
        <x:v>A-02953</x:v>
      </x:c>
      <x:c r="C2999" t="str">
        <x:v>GATE</x:v>
      </x:c>
      <x:c r="D2999" t="str">
        <x:v>release state mirrors governing ledger</x:v>
      </x:c>
      <x:c r="E2999" t="str">
        <x:f>'Release Gates'!I2959</x:f>
        <x:v>OPEN</x:v>
      </x:c>
      <x:c r="F2999" t="str">
        <x:f>IF('Release Gates'!C2959="PLANNING","PASS",IF('Release Gates'!C2959="PHYSICAL","OPEN","BLOCKED"))</x:f>
        <x:v>OPEN</x:v>
      </x:c>
      <x:c r="G2999" t="str">
        <x:v>equals</x:v>
      </x:c>
      <x:c r="H2999" t="str">
        <x:f>IF(E2999=F2999,"PASS","FAIL")</x:f>
        <x:v>PASS</x:v>
      </x:c>
    </x:row>
    <x:row r="3000">
      <x:c r="B3000" t="str">
        <x:v>A-02954</x:v>
      </x:c>
      <x:c r="C3000" t="str">
        <x:v>GATE</x:v>
      </x:c>
      <x:c r="D3000" t="str">
        <x:v>release state mirrors governing ledger</x:v>
      </x:c>
      <x:c r="E3000" t="str">
        <x:f>'Release Gates'!I2960</x:f>
        <x:v>OPEN</x:v>
      </x:c>
      <x:c r="F3000" t="str">
        <x:f>IF('Release Gates'!C2960="PLANNING","PASS",IF('Release Gates'!C2960="PHYSICAL","OPEN","BLOCKED"))</x:f>
        <x:v>OPEN</x:v>
      </x:c>
      <x:c r="G3000" t="str">
        <x:v>equals</x:v>
      </x:c>
      <x:c r="H3000" t="str">
        <x:f>IF(E3000=F3000,"PASS","FAIL")</x:f>
        <x:v>PASS</x:v>
      </x:c>
    </x:row>
    <x:row r="3001">
      <x:c r="B3001" t="str">
        <x:v>A-02955</x:v>
      </x:c>
      <x:c r="C3001" t="str">
        <x:v>GATE</x:v>
      </x:c>
      <x:c r="D3001" t="str">
        <x:v>release state mirrors governing ledger</x:v>
      </x:c>
      <x:c r="E3001" t="str">
        <x:f>'Release Gates'!I2961</x:f>
        <x:v>OPEN</x:v>
      </x:c>
      <x:c r="F3001" t="str">
        <x:f>IF('Release Gates'!C2961="PLANNING","PASS",IF('Release Gates'!C2961="PHYSICAL","OPEN","BLOCKED"))</x:f>
        <x:v>OPEN</x:v>
      </x:c>
      <x:c r="G3001" t="str">
        <x:v>equals</x:v>
      </x:c>
      <x:c r="H3001" t="str">
        <x:f>IF(E3001=F3001,"PASS","FAIL")</x:f>
        <x:v>PASS</x:v>
      </x:c>
    </x:row>
    <x:row r="3002">
      <x:c r="B3002" t="str">
        <x:v>A-02956</x:v>
      </x:c>
      <x:c r="C3002" t="str">
        <x:v>GATE</x:v>
      </x:c>
      <x:c r="D3002" t="str">
        <x:v>release state mirrors governing ledger</x:v>
      </x:c>
      <x:c r="E3002" t="str">
        <x:f>'Release Gates'!I2962</x:f>
        <x:v>OPEN</x:v>
      </x:c>
      <x:c r="F3002" t="str">
        <x:f>IF('Release Gates'!C2962="PLANNING","PASS",IF('Release Gates'!C2962="PHYSICAL","OPEN","BLOCKED"))</x:f>
        <x:v>OPEN</x:v>
      </x:c>
      <x:c r="G3002" t="str">
        <x:v>equals</x:v>
      </x:c>
      <x:c r="H3002" t="str">
        <x:f>IF(E3002=F3002,"PASS","FAIL")</x:f>
        <x:v>PASS</x:v>
      </x:c>
    </x:row>
    <x:row r="3003">
      <x:c r="B3003" t="str">
        <x:v>A-02957</x:v>
      </x:c>
      <x:c r="C3003" t="str">
        <x:v>GATE</x:v>
      </x:c>
      <x:c r="D3003" t="str">
        <x:v>release state mirrors governing ledger</x:v>
      </x:c>
      <x:c r="E3003" t="str">
        <x:f>'Release Gates'!I2963</x:f>
        <x:v>OPEN</x:v>
      </x:c>
      <x:c r="F3003" t="str">
        <x:f>IF('Release Gates'!C2963="PLANNING","PASS",IF('Release Gates'!C2963="PHYSICAL","OPEN","BLOCKED"))</x:f>
        <x:v>OPEN</x:v>
      </x:c>
      <x:c r="G3003" t="str">
        <x:v>equals</x:v>
      </x:c>
      <x:c r="H3003" t="str">
        <x:f>IF(E3003=F3003,"PASS","FAIL")</x:f>
        <x:v>PASS</x:v>
      </x:c>
    </x:row>
    <x:row r="3004">
      <x:c r="B3004" t="str">
        <x:v>A-02958</x:v>
      </x:c>
      <x:c r="C3004" t="str">
        <x:v>GATE</x:v>
      </x:c>
      <x:c r="D3004" t="str">
        <x:v>release state mirrors governing ledger</x:v>
      </x:c>
      <x:c r="E3004" t="str">
        <x:f>'Release Gates'!I2964</x:f>
        <x:v>OPEN</x:v>
      </x:c>
      <x:c r="F3004" t="str">
        <x:f>IF('Release Gates'!C2964="PLANNING","PASS",IF('Release Gates'!C2964="PHYSICAL","OPEN","BLOCKED"))</x:f>
        <x:v>OPEN</x:v>
      </x:c>
      <x:c r="G3004" t="str">
        <x:v>equals</x:v>
      </x:c>
      <x:c r="H3004" t="str">
        <x:f>IF(E3004=F3004,"PASS","FAIL")</x:f>
        <x:v>PASS</x:v>
      </x:c>
    </x:row>
    <x:row r="3005">
      <x:c r="B3005" t="str">
        <x:v>A-02959</x:v>
      </x:c>
      <x:c r="C3005" t="str">
        <x:v>GATE</x:v>
      </x:c>
      <x:c r="D3005" t="str">
        <x:v>release state mirrors governing ledger</x:v>
      </x:c>
      <x:c r="E3005" t="str">
        <x:f>'Release Gates'!I2965</x:f>
        <x:v>OPEN</x:v>
      </x:c>
      <x:c r="F3005" t="str">
        <x:f>IF('Release Gates'!C2965="PLANNING","PASS",IF('Release Gates'!C2965="PHYSICAL","OPEN","BLOCKED"))</x:f>
        <x:v>OPEN</x:v>
      </x:c>
      <x:c r="G3005" t="str">
        <x:v>equals</x:v>
      </x:c>
      <x:c r="H3005" t="str">
        <x:f>IF(E3005=F3005,"PASS","FAIL")</x:f>
        <x:v>PASS</x:v>
      </x:c>
    </x:row>
    <x:row r="3006">
      <x:c r="B3006" t="str">
        <x:v>A-02960</x:v>
      </x:c>
      <x:c r="C3006" t="str">
        <x:v>GATE</x:v>
      </x:c>
      <x:c r="D3006" t="str">
        <x:v>release state mirrors governing ledger</x:v>
      </x:c>
      <x:c r="E3006" t="str">
        <x:f>'Release Gates'!I2966</x:f>
        <x:v>OPEN</x:v>
      </x:c>
      <x:c r="F3006" t="str">
        <x:f>IF('Release Gates'!C2966="PLANNING","PASS",IF('Release Gates'!C2966="PHYSICAL","OPEN","BLOCKED"))</x:f>
        <x:v>OPEN</x:v>
      </x:c>
      <x:c r="G3006" t="str">
        <x:v>equals</x:v>
      </x:c>
      <x:c r="H3006" t="str">
        <x:f>IF(E3006=F3006,"PASS","FAIL")</x:f>
        <x:v>PASS</x:v>
      </x:c>
    </x:row>
    <x:row r="3007">
      <x:c r="B3007" t="str">
        <x:v>A-02961</x:v>
      </x:c>
      <x:c r="C3007" t="str">
        <x:v>GATE</x:v>
      </x:c>
      <x:c r="D3007" t="str">
        <x:v>release state mirrors governing ledger</x:v>
      </x:c>
      <x:c r="E3007" t="str">
        <x:f>'Release Gates'!I2967</x:f>
        <x:v>OPEN</x:v>
      </x:c>
      <x:c r="F3007" t="str">
        <x:f>IF('Release Gates'!C2967="PLANNING","PASS",IF('Release Gates'!C2967="PHYSICAL","OPEN","BLOCKED"))</x:f>
        <x:v>OPEN</x:v>
      </x:c>
      <x:c r="G3007" t="str">
        <x:v>equals</x:v>
      </x:c>
      <x:c r="H3007" t="str">
        <x:f>IF(E3007=F3007,"PASS","FAIL")</x:f>
        <x:v>PASS</x:v>
      </x:c>
    </x:row>
    <x:row r="3008">
      <x:c r="B3008" t="str">
        <x:v>A-02962</x:v>
      </x:c>
      <x:c r="C3008" t="str">
        <x:v>GATE</x:v>
      </x:c>
      <x:c r="D3008" t="str">
        <x:v>release state mirrors governing ledger</x:v>
      </x:c>
      <x:c r="E3008" t="str">
        <x:f>'Release Gates'!I2968</x:f>
        <x:v>OPEN</x:v>
      </x:c>
      <x:c r="F3008" t="str">
        <x:f>IF('Release Gates'!C2968="PLANNING","PASS",IF('Release Gates'!C2968="PHYSICAL","OPEN","BLOCKED"))</x:f>
        <x:v>OPEN</x:v>
      </x:c>
      <x:c r="G3008" t="str">
        <x:v>equals</x:v>
      </x:c>
      <x:c r="H3008" t="str">
        <x:f>IF(E3008=F3008,"PASS","FAIL")</x:f>
        <x:v>PASS</x:v>
      </x:c>
    </x:row>
    <x:row r="3009">
      <x:c r="B3009" t="str">
        <x:v>A-02963</x:v>
      </x:c>
      <x:c r="C3009" t="str">
        <x:v>GATE</x:v>
      </x:c>
      <x:c r="D3009" t="str">
        <x:v>release state mirrors governing ledger</x:v>
      </x:c>
      <x:c r="E3009" t="str">
        <x:f>'Release Gates'!I2969</x:f>
        <x:v>OPEN</x:v>
      </x:c>
      <x:c r="F3009" t="str">
        <x:f>IF('Release Gates'!C2969="PLANNING","PASS",IF('Release Gates'!C2969="PHYSICAL","OPEN","BLOCKED"))</x:f>
        <x:v>OPEN</x:v>
      </x:c>
      <x:c r="G3009" t="str">
        <x:v>equals</x:v>
      </x:c>
      <x:c r="H3009" t="str">
        <x:f>IF(E3009=F3009,"PASS","FAIL")</x:f>
        <x:v>PASS</x:v>
      </x:c>
    </x:row>
    <x:row r="3010">
      <x:c r="B3010" t="str">
        <x:v>A-02964</x:v>
      </x:c>
      <x:c r="C3010" t="str">
        <x:v>GATE</x:v>
      </x:c>
      <x:c r="D3010" t="str">
        <x:v>release state mirrors governing ledger</x:v>
      </x:c>
      <x:c r="E3010" t="str">
        <x:f>'Release Gates'!I2970</x:f>
        <x:v>OPEN</x:v>
      </x:c>
      <x:c r="F3010" t="str">
        <x:f>IF('Release Gates'!C2970="PLANNING","PASS",IF('Release Gates'!C2970="PHYSICAL","OPEN","BLOCKED"))</x:f>
        <x:v>OPEN</x:v>
      </x:c>
      <x:c r="G3010" t="str">
        <x:v>equals</x:v>
      </x:c>
      <x:c r="H3010" t="str">
        <x:f>IF(E3010=F3010,"PASS","FAIL")</x:f>
        <x:v>PASS</x:v>
      </x:c>
    </x:row>
    <x:row r="3011">
      <x:c r="B3011" t="str">
        <x:v>A-02965</x:v>
      </x:c>
      <x:c r="C3011" t="str">
        <x:v>GATE</x:v>
      </x:c>
      <x:c r="D3011" t="str">
        <x:v>release state mirrors governing ledger</x:v>
      </x:c>
      <x:c r="E3011" t="str">
        <x:f>'Release Gates'!I2971</x:f>
        <x:v>OPEN</x:v>
      </x:c>
      <x:c r="F3011" t="str">
        <x:f>IF('Release Gates'!C2971="PLANNING","PASS",IF('Release Gates'!C2971="PHYSICAL","OPEN","BLOCKED"))</x:f>
        <x:v>OPEN</x:v>
      </x:c>
      <x:c r="G3011" t="str">
        <x:v>equals</x:v>
      </x:c>
      <x:c r="H3011" t="str">
        <x:f>IF(E3011=F3011,"PASS","FAIL")</x:f>
        <x:v>PASS</x:v>
      </x:c>
    </x:row>
    <x:row r="3012">
      <x:c r="B3012" t="str">
        <x:v>A-02966</x:v>
      </x:c>
      <x:c r="C3012" t="str">
        <x:v>GATE</x:v>
      </x:c>
      <x:c r="D3012" t="str">
        <x:v>release state mirrors governing ledger</x:v>
      </x:c>
      <x:c r="E3012" t="str">
        <x:f>'Release Gates'!I2972</x:f>
        <x:v>OPEN</x:v>
      </x:c>
      <x:c r="F3012" t="str">
        <x:f>IF('Release Gates'!C2972="PLANNING","PASS",IF('Release Gates'!C2972="PHYSICAL","OPEN","BLOCKED"))</x:f>
        <x:v>OPEN</x:v>
      </x:c>
      <x:c r="G3012" t="str">
        <x:v>equals</x:v>
      </x:c>
      <x:c r="H3012" t="str">
        <x:f>IF(E3012=F3012,"PASS","FAIL")</x:f>
        <x:v>PASS</x:v>
      </x:c>
    </x:row>
    <x:row r="3013">
      <x:c r="B3013" t="str">
        <x:v>A-02967</x:v>
      </x:c>
      <x:c r="C3013" t="str">
        <x:v>GATE</x:v>
      </x:c>
      <x:c r="D3013" t="str">
        <x:v>release state mirrors governing ledger</x:v>
      </x:c>
      <x:c r="E3013" t="str">
        <x:f>'Release Gates'!I2973</x:f>
        <x:v>OPEN</x:v>
      </x:c>
      <x:c r="F3013" t="str">
        <x:f>IF('Release Gates'!C2973="PLANNING","PASS",IF('Release Gates'!C2973="PHYSICAL","OPEN","BLOCKED"))</x:f>
        <x:v>OPEN</x:v>
      </x:c>
      <x:c r="G3013" t="str">
        <x:v>equals</x:v>
      </x:c>
      <x:c r="H3013" t="str">
        <x:f>IF(E3013=F3013,"PASS","FAIL")</x:f>
        <x:v>PASS</x:v>
      </x:c>
    </x:row>
    <x:row r="3014">
      <x:c r="B3014" t="str">
        <x:v>A-02968</x:v>
      </x:c>
      <x:c r="C3014" t="str">
        <x:v>GATE</x:v>
      </x:c>
      <x:c r="D3014" t="str">
        <x:v>release state mirrors governing ledger</x:v>
      </x:c>
      <x:c r="E3014" t="str">
        <x:f>'Release Gates'!I2974</x:f>
        <x:v>OPEN</x:v>
      </x:c>
      <x:c r="F3014" t="str">
        <x:f>IF('Release Gates'!C2974="PLANNING","PASS",IF('Release Gates'!C2974="PHYSICAL","OPEN","BLOCKED"))</x:f>
        <x:v>OPEN</x:v>
      </x:c>
      <x:c r="G3014" t="str">
        <x:v>equals</x:v>
      </x:c>
      <x:c r="H3014" t="str">
        <x:f>IF(E3014=F3014,"PASS","FAIL")</x:f>
        <x:v>PASS</x:v>
      </x:c>
    </x:row>
    <x:row r="3015">
      <x:c r="B3015" t="str">
        <x:v>A-02969</x:v>
      </x:c>
      <x:c r="C3015" t="str">
        <x:v>GATE</x:v>
      </x:c>
      <x:c r="D3015" t="str">
        <x:v>release state mirrors governing ledger</x:v>
      </x:c>
      <x:c r="E3015" t="str">
        <x:f>'Release Gates'!I2975</x:f>
        <x:v>OPEN</x:v>
      </x:c>
      <x:c r="F3015" t="str">
        <x:f>IF('Release Gates'!C2975="PLANNING","PASS",IF('Release Gates'!C2975="PHYSICAL","OPEN","BLOCKED"))</x:f>
        <x:v>OPEN</x:v>
      </x:c>
      <x:c r="G3015" t="str">
        <x:v>equals</x:v>
      </x:c>
      <x:c r="H3015" t="str">
        <x:f>IF(E3015=F3015,"PASS","FAIL")</x:f>
        <x:v>PASS</x:v>
      </x:c>
    </x:row>
    <x:row r="3016">
      <x:c r="B3016" t="str">
        <x:v>A-02970</x:v>
      </x:c>
      <x:c r="C3016" t="str">
        <x:v>GATE</x:v>
      </x:c>
      <x:c r="D3016" t="str">
        <x:v>release state mirrors governing ledger</x:v>
      </x:c>
      <x:c r="E3016" t="str">
        <x:f>'Release Gates'!I2976</x:f>
        <x:v>OPEN</x:v>
      </x:c>
      <x:c r="F3016" t="str">
        <x:f>IF('Release Gates'!C2976="PLANNING","PASS",IF('Release Gates'!C2976="PHYSICAL","OPEN","BLOCKED"))</x:f>
        <x:v>OPEN</x:v>
      </x:c>
      <x:c r="G3016" t="str">
        <x:v>equals</x:v>
      </x:c>
      <x:c r="H3016" t="str">
        <x:f>IF(E3016=F3016,"PASS","FAIL")</x:f>
        <x:v>PASS</x:v>
      </x:c>
    </x:row>
    <x:row r="3017">
      <x:c r="B3017" t="str">
        <x:v>A-02971</x:v>
      </x:c>
      <x:c r="C3017" t="str">
        <x:v>GATE</x:v>
      </x:c>
      <x:c r="D3017" t="str">
        <x:v>release state mirrors governing ledger</x:v>
      </x:c>
      <x:c r="E3017" t="str">
        <x:f>'Release Gates'!I2977</x:f>
        <x:v>OPEN</x:v>
      </x:c>
      <x:c r="F3017" t="str">
        <x:f>IF('Release Gates'!C2977="PLANNING","PASS",IF('Release Gates'!C2977="PHYSICAL","OPEN","BLOCKED"))</x:f>
        <x:v>OPEN</x:v>
      </x:c>
      <x:c r="G3017" t="str">
        <x:v>equals</x:v>
      </x:c>
      <x:c r="H3017" t="str">
        <x:f>IF(E3017=F3017,"PASS","FAIL")</x:f>
        <x:v>PASS</x:v>
      </x:c>
    </x:row>
    <x:row r="3018">
      <x:c r="B3018" t="str">
        <x:v>A-02972</x:v>
      </x:c>
      <x:c r="C3018" t="str">
        <x:v>GATE</x:v>
      </x:c>
      <x:c r="D3018" t="str">
        <x:v>release state mirrors governing ledger</x:v>
      </x:c>
      <x:c r="E3018" t="str">
        <x:f>'Release Gates'!I2978</x:f>
        <x:v>OPEN</x:v>
      </x:c>
      <x:c r="F3018" t="str">
        <x:f>IF('Release Gates'!C2978="PLANNING","PASS",IF('Release Gates'!C2978="PHYSICAL","OPEN","BLOCKED"))</x:f>
        <x:v>OPEN</x:v>
      </x:c>
      <x:c r="G3018" t="str">
        <x:v>equals</x:v>
      </x:c>
      <x:c r="H3018" t="str">
        <x:f>IF(E3018=F3018,"PASS","FAIL")</x:f>
        <x:v>PASS</x:v>
      </x:c>
    </x:row>
    <x:row r="3019">
      <x:c r="B3019" t="str">
        <x:v>A-02973</x:v>
      </x:c>
      <x:c r="C3019" t="str">
        <x:v>GATE</x:v>
      </x:c>
      <x:c r="D3019" t="str">
        <x:v>release state mirrors governing ledger</x:v>
      </x:c>
      <x:c r="E3019" t="str">
        <x:f>'Release Gates'!I2979</x:f>
        <x:v>OPEN</x:v>
      </x:c>
      <x:c r="F3019" t="str">
        <x:f>IF('Release Gates'!C2979="PLANNING","PASS",IF('Release Gates'!C2979="PHYSICAL","OPEN","BLOCKED"))</x:f>
        <x:v>OPEN</x:v>
      </x:c>
      <x:c r="G3019" t="str">
        <x:v>equals</x:v>
      </x:c>
      <x:c r="H3019" t="str">
        <x:f>IF(E3019=F3019,"PASS","FAIL")</x:f>
        <x:v>PASS</x:v>
      </x:c>
    </x:row>
    <x:row r="3020">
      <x:c r="B3020" t="str">
        <x:v>A-02974</x:v>
      </x:c>
      <x:c r="C3020" t="str">
        <x:v>GATE</x:v>
      </x:c>
      <x:c r="D3020" t="str">
        <x:v>release state mirrors governing ledger</x:v>
      </x:c>
      <x:c r="E3020" t="str">
        <x:f>'Release Gates'!I2980</x:f>
        <x:v>OPEN</x:v>
      </x:c>
      <x:c r="F3020" t="str">
        <x:f>IF('Release Gates'!C2980="PLANNING","PASS",IF('Release Gates'!C2980="PHYSICAL","OPEN","BLOCKED"))</x:f>
        <x:v>OPEN</x:v>
      </x:c>
      <x:c r="G3020" t="str">
        <x:v>equals</x:v>
      </x:c>
      <x:c r="H3020" t="str">
        <x:f>IF(E3020=F3020,"PASS","FAIL")</x:f>
        <x:v>PASS</x:v>
      </x:c>
    </x:row>
    <x:row r="3021">
      <x:c r="B3021" t="str">
        <x:v>A-02975</x:v>
      </x:c>
      <x:c r="C3021" t="str">
        <x:v>GATE</x:v>
      </x:c>
      <x:c r="D3021" t="str">
        <x:v>release state mirrors governing ledger</x:v>
      </x:c>
      <x:c r="E3021" t="str">
        <x:f>'Release Gates'!I2981</x:f>
        <x:v>OPEN</x:v>
      </x:c>
      <x:c r="F3021" t="str">
        <x:f>IF('Release Gates'!C2981="PLANNING","PASS",IF('Release Gates'!C2981="PHYSICAL","OPEN","BLOCKED"))</x:f>
        <x:v>OPEN</x:v>
      </x:c>
      <x:c r="G3021" t="str">
        <x:v>equals</x:v>
      </x:c>
      <x:c r="H3021" t="str">
        <x:f>IF(E3021=F3021,"PASS","FAIL")</x:f>
        <x:v>PASS</x:v>
      </x:c>
    </x:row>
    <x:row r="3022">
      <x:c r="B3022" t="str">
        <x:v>A-02976</x:v>
      </x:c>
      <x:c r="C3022" t="str">
        <x:v>GATE</x:v>
      </x:c>
      <x:c r="D3022" t="str">
        <x:v>release state mirrors governing ledger</x:v>
      </x:c>
      <x:c r="E3022" t="str">
        <x:f>'Release Gates'!I2982</x:f>
        <x:v>OPEN</x:v>
      </x:c>
      <x:c r="F3022" t="str">
        <x:f>IF('Release Gates'!C2982="PLANNING","PASS",IF('Release Gates'!C2982="PHYSICAL","OPEN","BLOCKED"))</x:f>
        <x:v>OPEN</x:v>
      </x:c>
      <x:c r="G3022" t="str">
        <x:v>equals</x:v>
      </x:c>
      <x:c r="H3022" t="str">
        <x:f>IF(E3022=F3022,"PASS","FAIL")</x:f>
        <x:v>PASS</x:v>
      </x:c>
    </x:row>
    <x:row r="3023">
      <x:c r="B3023" t="str">
        <x:v>A-02977</x:v>
      </x:c>
      <x:c r="C3023" t="str">
        <x:v>GATE</x:v>
      </x:c>
      <x:c r="D3023" t="str">
        <x:v>release state mirrors governing ledger</x:v>
      </x:c>
      <x:c r="E3023" t="str">
        <x:f>'Release Gates'!I2983</x:f>
        <x:v>OPEN</x:v>
      </x:c>
      <x:c r="F3023" t="str">
        <x:f>IF('Release Gates'!C2983="PLANNING","PASS",IF('Release Gates'!C2983="PHYSICAL","OPEN","BLOCKED"))</x:f>
        <x:v>OPEN</x:v>
      </x:c>
      <x:c r="G3023" t="str">
        <x:v>equals</x:v>
      </x:c>
      <x:c r="H3023" t="str">
        <x:f>IF(E3023=F3023,"PASS","FAIL")</x:f>
        <x:v>PASS</x:v>
      </x:c>
    </x:row>
    <x:row r="3024">
      <x:c r="B3024" t="str">
        <x:v>A-02978</x:v>
      </x:c>
      <x:c r="C3024" t="str">
        <x:v>GATE</x:v>
      </x:c>
      <x:c r="D3024" t="str">
        <x:v>release state mirrors governing ledger</x:v>
      </x:c>
      <x:c r="E3024" t="str">
        <x:f>'Release Gates'!I2984</x:f>
        <x:v>OPEN</x:v>
      </x:c>
      <x:c r="F3024" t="str">
        <x:f>IF('Release Gates'!C2984="PLANNING","PASS",IF('Release Gates'!C2984="PHYSICAL","OPEN","BLOCKED"))</x:f>
        <x:v>OPEN</x:v>
      </x:c>
      <x:c r="G3024" t="str">
        <x:v>equals</x:v>
      </x:c>
      <x:c r="H3024" t="str">
        <x:f>IF(E3024=F3024,"PASS","FAIL")</x:f>
        <x:v>PASS</x:v>
      </x:c>
    </x:row>
    <x:row r="3025">
      <x:c r="B3025" t="str">
        <x:v>A-02979</x:v>
      </x:c>
      <x:c r="C3025" t="str">
        <x:v>GATE</x:v>
      </x:c>
      <x:c r="D3025" t="str">
        <x:v>release state mirrors governing ledger</x:v>
      </x:c>
      <x:c r="E3025" t="str">
        <x:f>'Release Gates'!I2985</x:f>
        <x:v>OPEN</x:v>
      </x:c>
      <x:c r="F3025" t="str">
        <x:f>IF('Release Gates'!C2985="PLANNING","PASS",IF('Release Gates'!C2985="PHYSICAL","OPEN","BLOCKED"))</x:f>
        <x:v>OPEN</x:v>
      </x:c>
      <x:c r="G3025" t="str">
        <x:v>equals</x:v>
      </x:c>
      <x:c r="H3025" t="str">
        <x:f>IF(E3025=F3025,"PASS","FAIL")</x:f>
        <x:v>PASS</x:v>
      </x:c>
    </x:row>
    <x:row r="3026">
      <x:c r="B3026" t="str">
        <x:v>A-02980</x:v>
      </x:c>
      <x:c r="C3026" t="str">
        <x:v>GATE</x:v>
      </x:c>
      <x:c r="D3026" t="str">
        <x:v>release state mirrors governing ledger</x:v>
      </x:c>
      <x:c r="E3026" t="str">
        <x:f>'Release Gates'!I2986</x:f>
        <x:v>OPEN</x:v>
      </x:c>
      <x:c r="F3026" t="str">
        <x:f>IF('Release Gates'!C2986="PLANNING","PASS",IF('Release Gates'!C2986="PHYSICAL","OPEN","BLOCKED"))</x:f>
        <x:v>OPEN</x:v>
      </x:c>
      <x:c r="G3026" t="str">
        <x:v>equals</x:v>
      </x:c>
      <x:c r="H3026" t="str">
        <x:f>IF(E3026=F3026,"PASS","FAIL")</x:f>
        <x:v>PASS</x:v>
      </x:c>
    </x:row>
    <x:row r="3027">
      <x:c r="B3027" t="str">
        <x:v>A-02981</x:v>
      </x:c>
      <x:c r="C3027" t="str">
        <x:v>GATE</x:v>
      </x:c>
      <x:c r="D3027" t="str">
        <x:v>release state mirrors governing ledger</x:v>
      </x:c>
      <x:c r="E3027" t="str">
        <x:f>'Release Gates'!I2987</x:f>
        <x:v>OPEN</x:v>
      </x:c>
      <x:c r="F3027" t="str">
        <x:f>IF('Release Gates'!C2987="PLANNING","PASS",IF('Release Gates'!C2987="PHYSICAL","OPEN","BLOCKED"))</x:f>
        <x:v>OPEN</x:v>
      </x:c>
      <x:c r="G3027" t="str">
        <x:v>equals</x:v>
      </x:c>
      <x:c r="H3027" t="str">
        <x:f>IF(E3027=F3027,"PASS","FAIL")</x:f>
        <x:v>PASS</x:v>
      </x:c>
    </x:row>
    <x:row r="3028">
      <x:c r="B3028" t="str">
        <x:v>A-02982</x:v>
      </x:c>
      <x:c r="C3028" t="str">
        <x:v>GATE</x:v>
      </x:c>
      <x:c r="D3028" t="str">
        <x:v>release state mirrors governing ledger</x:v>
      </x:c>
      <x:c r="E3028" t="str">
        <x:f>'Release Gates'!I2988</x:f>
        <x:v>OPEN</x:v>
      </x:c>
      <x:c r="F3028" t="str">
        <x:f>IF('Release Gates'!C2988="PLANNING","PASS",IF('Release Gates'!C2988="PHYSICAL","OPEN","BLOCKED"))</x:f>
        <x:v>OPEN</x:v>
      </x:c>
      <x:c r="G3028" t="str">
        <x:v>equals</x:v>
      </x:c>
      <x:c r="H3028" t="str">
        <x:f>IF(E3028=F3028,"PASS","FAIL")</x:f>
        <x:v>PASS</x:v>
      </x:c>
    </x:row>
    <x:row r="3029">
      <x:c r="B3029" t="str">
        <x:v>A-02983</x:v>
      </x:c>
      <x:c r="C3029" t="str">
        <x:v>GATE</x:v>
      </x:c>
      <x:c r="D3029" t="str">
        <x:v>release state mirrors governing ledger</x:v>
      </x:c>
      <x:c r="E3029" t="str">
        <x:f>'Release Gates'!I2989</x:f>
        <x:v>OPEN</x:v>
      </x:c>
      <x:c r="F3029" t="str">
        <x:f>IF('Release Gates'!C2989="PLANNING","PASS",IF('Release Gates'!C2989="PHYSICAL","OPEN","BLOCKED"))</x:f>
        <x:v>OPEN</x:v>
      </x:c>
      <x:c r="G3029" t="str">
        <x:v>equals</x:v>
      </x:c>
      <x:c r="H3029" t="str">
        <x:f>IF(E3029=F3029,"PASS","FAIL")</x:f>
        <x:v>PASS</x:v>
      </x:c>
    </x:row>
    <x:row r="3030">
      <x:c r="B3030" t="str">
        <x:v>A-02984</x:v>
      </x:c>
      <x:c r="C3030" t="str">
        <x:v>GATE</x:v>
      </x:c>
      <x:c r="D3030" t="str">
        <x:v>release state mirrors governing ledger</x:v>
      </x:c>
      <x:c r="E3030" t="str">
        <x:f>'Release Gates'!I2990</x:f>
        <x:v>OPEN</x:v>
      </x:c>
      <x:c r="F3030" t="str">
        <x:f>IF('Release Gates'!C2990="PLANNING","PASS",IF('Release Gates'!C2990="PHYSICAL","OPEN","BLOCKED"))</x:f>
        <x:v>OPEN</x:v>
      </x:c>
      <x:c r="G3030" t="str">
        <x:v>equals</x:v>
      </x:c>
      <x:c r="H3030" t="str">
        <x:f>IF(E3030=F3030,"PASS","FAIL")</x:f>
        <x:v>PASS</x:v>
      </x:c>
    </x:row>
    <x:row r="3031">
      <x:c r="B3031" t="str">
        <x:v>A-02985</x:v>
      </x:c>
      <x:c r="C3031" t="str">
        <x:v>GATE</x:v>
      </x:c>
      <x:c r="D3031" t="str">
        <x:v>release state mirrors governing ledger</x:v>
      </x:c>
      <x:c r="E3031" t="str">
        <x:f>'Release Gates'!I2991</x:f>
        <x:v>OPEN</x:v>
      </x:c>
      <x:c r="F3031" t="str">
        <x:f>IF('Release Gates'!C2991="PLANNING","PASS",IF('Release Gates'!C2991="PHYSICAL","OPEN","BLOCKED"))</x:f>
        <x:v>OPEN</x:v>
      </x:c>
      <x:c r="G3031" t="str">
        <x:v>equals</x:v>
      </x:c>
      <x:c r="H3031" t="str">
        <x:f>IF(E3031=F3031,"PASS","FAIL")</x:f>
        <x:v>PASS</x:v>
      </x:c>
    </x:row>
    <x:row r="3032">
      <x:c r="B3032" t="str">
        <x:v>A-02986</x:v>
      </x:c>
      <x:c r="C3032" t="str">
        <x:v>GATE</x:v>
      </x:c>
      <x:c r="D3032" t="str">
        <x:v>release state mirrors governing ledger</x:v>
      </x:c>
      <x:c r="E3032" t="str">
        <x:f>'Release Gates'!I2992</x:f>
        <x:v>OPEN</x:v>
      </x:c>
      <x:c r="F3032" t="str">
        <x:f>IF('Release Gates'!C2992="PLANNING","PASS",IF('Release Gates'!C2992="PHYSICAL","OPEN","BLOCKED"))</x:f>
        <x:v>OPEN</x:v>
      </x:c>
      <x:c r="G3032" t="str">
        <x:v>equals</x:v>
      </x:c>
      <x:c r="H3032" t="str">
        <x:f>IF(E3032=F3032,"PASS","FAIL")</x:f>
        <x:v>PASS</x:v>
      </x:c>
    </x:row>
    <x:row r="3033">
      <x:c r="B3033" t="str">
        <x:v>A-02987</x:v>
      </x:c>
      <x:c r="C3033" t="str">
        <x:v>GATE</x:v>
      </x:c>
      <x:c r="D3033" t="str">
        <x:v>release state mirrors governing ledger</x:v>
      </x:c>
      <x:c r="E3033" t="str">
        <x:f>'Release Gates'!I2993</x:f>
        <x:v>OPEN</x:v>
      </x:c>
      <x:c r="F3033" t="str">
        <x:f>IF('Release Gates'!C2993="PLANNING","PASS",IF('Release Gates'!C2993="PHYSICAL","OPEN","BLOCKED"))</x:f>
        <x:v>OPEN</x:v>
      </x:c>
      <x:c r="G3033" t="str">
        <x:v>equals</x:v>
      </x:c>
      <x:c r="H3033" t="str">
        <x:f>IF(E3033=F3033,"PASS","FAIL")</x:f>
        <x:v>PASS</x:v>
      </x:c>
    </x:row>
    <x:row r="3034">
      <x:c r="B3034" t="str">
        <x:v>A-02988</x:v>
      </x:c>
      <x:c r="C3034" t="str">
        <x:v>GATE</x:v>
      </x:c>
      <x:c r="D3034" t="str">
        <x:v>release state mirrors governing ledger</x:v>
      </x:c>
      <x:c r="E3034" t="str">
        <x:f>'Release Gates'!I2994</x:f>
        <x:v>OPEN</x:v>
      </x:c>
      <x:c r="F3034" t="str">
        <x:f>IF('Release Gates'!C2994="PLANNING","PASS",IF('Release Gates'!C2994="PHYSICAL","OPEN","BLOCKED"))</x:f>
        <x:v>OPEN</x:v>
      </x:c>
      <x:c r="G3034" t="str">
        <x:v>equals</x:v>
      </x:c>
      <x:c r="H3034" t="str">
        <x:f>IF(E3034=F3034,"PASS","FAIL")</x:f>
        <x:v>PASS</x:v>
      </x:c>
    </x:row>
    <x:row r="3035">
      <x:c r="B3035" t="str">
        <x:v>A-02989</x:v>
      </x:c>
      <x:c r="C3035" t="str">
        <x:v>GATE</x:v>
      </x:c>
      <x:c r="D3035" t="str">
        <x:v>release state mirrors governing ledger</x:v>
      </x:c>
      <x:c r="E3035" t="str">
        <x:f>'Release Gates'!I2995</x:f>
        <x:v>OPEN</x:v>
      </x:c>
      <x:c r="F3035" t="str">
        <x:f>IF('Release Gates'!C2995="PLANNING","PASS",IF('Release Gates'!C2995="PHYSICAL","OPEN","BLOCKED"))</x:f>
        <x:v>OPEN</x:v>
      </x:c>
      <x:c r="G3035" t="str">
        <x:v>equals</x:v>
      </x:c>
      <x:c r="H3035" t="str">
        <x:f>IF(E3035=F3035,"PASS","FAIL")</x:f>
        <x:v>PASS</x:v>
      </x:c>
    </x:row>
    <x:row r="3036">
      <x:c r="B3036" t="str">
        <x:v>A-02990</x:v>
      </x:c>
      <x:c r="C3036" t="str">
        <x:v>GATE</x:v>
      </x:c>
      <x:c r="D3036" t="str">
        <x:v>release state mirrors governing ledger</x:v>
      </x:c>
      <x:c r="E3036" t="str">
        <x:f>'Release Gates'!I2996</x:f>
        <x:v>OPEN</x:v>
      </x:c>
      <x:c r="F3036" t="str">
        <x:f>IF('Release Gates'!C2996="PLANNING","PASS",IF('Release Gates'!C2996="PHYSICAL","OPEN","BLOCKED"))</x:f>
        <x:v>OPEN</x:v>
      </x:c>
      <x:c r="G3036" t="str">
        <x:v>equals</x:v>
      </x:c>
      <x:c r="H3036" t="str">
        <x:f>IF(E3036=F3036,"PASS","FAIL")</x:f>
        <x:v>PASS</x:v>
      </x:c>
    </x:row>
    <x:row r="3037">
      <x:c r="B3037" t="str">
        <x:v>A-02991</x:v>
      </x:c>
      <x:c r="C3037" t="str">
        <x:v>GATE</x:v>
      </x:c>
      <x:c r="D3037" t="str">
        <x:v>release state mirrors governing ledger</x:v>
      </x:c>
      <x:c r="E3037" t="str">
        <x:f>'Release Gates'!I2997</x:f>
        <x:v>OPEN</x:v>
      </x:c>
      <x:c r="F3037" t="str">
        <x:f>IF('Release Gates'!C2997="PLANNING","PASS",IF('Release Gates'!C2997="PHYSICAL","OPEN","BLOCKED"))</x:f>
        <x:v>OPEN</x:v>
      </x:c>
      <x:c r="G3037" t="str">
        <x:v>equals</x:v>
      </x:c>
      <x:c r="H3037" t="str">
        <x:f>IF(E3037=F3037,"PASS","FAIL")</x:f>
        <x:v>PASS</x:v>
      </x:c>
    </x:row>
    <x:row r="3038">
      <x:c r="B3038" t="str">
        <x:v>A-02992</x:v>
      </x:c>
      <x:c r="C3038" t="str">
        <x:v>GATE</x:v>
      </x:c>
      <x:c r="D3038" t="str">
        <x:v>release state mirrors governing ledger</x:v>
      </x:c>
      <x:c r="E3038" t="str">
        <x:f>'Release Gates'!I2998</x:f>
        <x:v>OPEN</x:v>
      </x:c>
      <x:c r="F3038" t="str">
        <x:f>IF('Release Gates'!C2998="PLANNING","PASS",IF('Release Gates'!C2998="PHYSICAL","OPEN","BLOCKED"))</x:f>
        <x:v>OPEN</x:v>
      </x:c>
      <x:c r="G3038" t="str">
        <x:v>equals</x:v>
      </x:c>
      <x:c r="H3038" t="str">
        <x:f>IF(E3038=F3038,"PASS","FAIL")</x:f>
        <x:v>PASS</x:v>
      </x:c>
    </x:row>
    <x:row r="3039">
      <x:c r="B3039" t="str">
        <x:v>A-02993</x:v>
      </x:c>
      <x:c r="C3039" t="str">
        <x:v>GATE</x:v>
      </x:c>
      <x:c r="D3039" t="str">
        <x:v>release state mirrors governing ledger</x:v>
      </x:c>
      <x:c r="E3039" t="str">
        <x:f>'Release Gates'!I2999</x:f>
        <x:v>OPEN</x:v>
      </x:c>
      <x:c r="F3039" t="str">
        <x:f>IF('Release Gates'!C2999="PLANNING","PASS",IF('Release Gates'!C2999="PHYSICAL","OPEN","BLOCKED"))</x:f>
        <x:v>OPEN</x:v>
      </x:c>
      <x:c r="G3039" t="str">
        <x:v>equals</x:v>
      </x:c>
      <x:c r="H3039" t="str">
        <x:f>IF(E3039=F3039,"PASS","FAIL")</x:f>
        <x:v>PASS</x:v>
      </x:c>
    </x:row>
    <x:row r="3040">
      <x:c r="B3040" t="str">
        <x:v>A-02994</x:v>
      </x:c>
      <x:c r="C3040" t="str">
        <x:v>GATE</x:v>
      </x:c>
      <x:c r="D3040" t="str">
        <x:v>release state mirrors governing ledger</x:v>
      </x:c>
      <x:c r="E3040" t="str">
        <x:f>'Release Gates'!I3000</x:f>
        <x:v>OPEN</x:v>
      </x:c>
      <x:c r="F3040" t="str">
        <x:f>IF('Release Gates'!C3000="PLANNING","PASS",IF('Release Gates'!C3000="PHYSICAL","OPEN","BLOCKED"))</x:f>
        <x:v>OPEN</x:v>
      </x:c>
      <x:c r="G3040" t="str">
        <x:v>equals</x:v>
      </x:c>
      <x:c r="H3040" t="str">
        <x:f>IF(E3040=F3040,"PASS","FAIL")</x:f>
        <x:v>PASS</x:v>
      </x:c>
    </x:row>
    <x:row r="3041">
      <x:c r="B3041" t="str">
        <x:v>A-02995</x:v>
      </x:c>
      <x:c r="C3041" t="str">
        <x:v>GATE</x:v>
      </x:c>
      <x:c r="D3041" t="str">
        <x:v>release state mirrors governing ledger</x:v>
      </x:c>
      <x:c r="E3041" t="str">
        <x:f>'Release Gates'!I3001</x:f>
        <x:v>OPEN</x:v>
      </x:c>
      <x:c r="F3041" t="str">
        <x:f>IF('Release Gates'!C3001="PLANNING","PASS",IF('Release Gates'!C3001="PHYSICAL","OPEN","BLOCKED"))</x:f>
        <x:v>OPEN</x:v>
      </x:c>
      <x:c r="G3041" t="str">
        <x:v>equals</x:v>
      </x:c>
      <x:c r="H3041" t="str">
        <x:f>IF(E3041=F3041,"PASS","FAIL")</x:f>
        <x:v>PASS</x:v>
      </x:c>
    </x:row>
    <x:row r="3042">
      <x:c r="B3042" t="str">
        <x:v>A-02996</x:v>
      </x:c>
      <x:c r="C3042" t="str">
        <x:v>GATE</x:v>
      </x:c>
      <x:c r="D3042" t="str">
        <x:v>release state mirrors governing ledger</x:v>
      </x:c>
      <x:c r="E3042" t="str">
        <x:f>'Release Gates'!I3002</x:f>
        <x:v>OPEN</x:v>
      </x:c>
      <x:c r="F3042" t="str">
        <x:f>IF('Release Gates'!C3002="PLANNING","PASS",IF('Release Gates'!C3002="PHYSICAL","OPEN","BLOCKED"))</x:f>
        <x:v>OPEN</x:v>
      </x:c>
      <x:c r="G3042" t="str">
        <x:v>equals</x:v>
      </x:c>
      <x:c r="H3042" t="str">
        <x:f>IF(E3042=F3042,"PASS","FAIL")</x:f>
        <x:v>PASS</x:v>
      </x:c>
    </x:row>
    <x:row r="3043">
      <x:c r="B3043" t="str">
        <x:v>A-02997</x:v>
      </x:c>
      <x:c r="C3043" t="str">
        <x:v>GATE</x:v>
      </x:c>
      <x:c r="D3043" t="str">
        <x:v>release state mirrors governing ledger</x:v>
      </x:c>
      <x:c r="E3043" t="str">
        <x:f>'Release Gates'!I3003</x:f>
        <x:v>OPEN</x:v>
      </x:c>
      <x:c r="F3043" t="str">
        <x:f>IF('Release Gates'!C3003="PLANNING","PASS",IF('Release Gates'!C3003="PHYSICAL","OPEN","BLOCKED"))</x:f>
        <x:v>OPEN</x:v>
      </x:c>
      <x:c r="G3043" t="str">
        <x:v>equals</x:v>
      </x:c>
      <x:c r="H3043" t="str">
        <x:f>IF(E3043=F3043,"PASS","FAIL")</x:f>
        <x:v>PASS</x:v>
      </x:c>
    </x:row>
    <x:row r="3044">
      <x:c r="B3044" t="str">
        <x:v>A-02998</x:v>
      </x:c>
      <x:c r="C3044" t="str">
        <x:v>GATE</x:v>
      </x:c>
      <x:c r="D3044" t="str">
        <x:v>release state mirrors governing ledger</x:v>
      </x:c>
      <x:c r="E3044" t="str">
        <x:f>'Release Gates'!I3004</x:f>
        <x:v>OPEN</x:v>
      </x:c>
      <x:c r="F3044" t="str">
        <x:f>IF('Release Gates'!C3004="PLANNING","PASS",IF('Release Gates'!C3004="PHYSICAL","OPEN","BLOCKED"))</x:f>
        <x:v>OPEN</x:v>
      </x:c>
      <x:c r="G3044" t="str">
        <x:v>equals</x:v>
      </x:c>
      <x:c r="H3044" t="str">
        <x:f>IF(E3044=F3044,"PASS","FAIL")</x:f>
        <x:v>PASS</x:v>
      </x:c>
    </x:row>
    <x:row r="3045">
      <x:c r="B3045" t="str">
        <x:v>A-02999</x:v>
      </x:c>
      <x:c r="C3045" t="str">
        <x:v>GATE</x:v>
      </x:c>
      <x:c r="D3045" t="str">
        <x:v>release state mirrors governing ledger</x:v>
      </x:c>
      <x:c r="E3045" t="str">
        <x:f>'Release Gates'!I3005</x:f>
        <x:v>OPEN</x:v>
      </x:c>
      <x:c r="F3045" t="str">
        <x:f>IF('Release Gates'!C3005="PLANNING","PASS",IF('Release Gates'!C3005="PHYSICAL","OPEN","BLOCKED"))</x:f>
        <x:v>OPEN</x:v>
      </x:c>
      <x:c r="G3045" t="str">
        <x:v>equals</x:v>
      </x:c>
      <x:c r="H3045" t="str">
        <x:f>IF(E3045=F3045,"PASS","FAIL")</x:f>
        <x:v>PASS</x:v>
      </x:c>
    </x:row>
    <x:row r="3046">
      <x:c r="B3046" t="str">
        <x:v>A-03000</x:v>
      </x:c>
      <x:c r="C3046" t="str">
        <x:v>GATE</x:v>
      </x:c>
      <x:c r="D3046" t="str">
        <x:v>release state mirrors governing ledger</x:v>
      </x:c>
      <x:c r="E3046" t="str">
        <x:f>'Release Gates'!I3006</x:f>
        <x:v>OPEN</x:v>
      </x:c>
      <x:c r="F3046" t="str">
        <x:f>IF('Release Gates'!C3006="PLANNING","PASS",IF('Release Gates'!C3006="PHYSICAL","OPEN","BLOCKED"))</x:f>
        <x:v>OPEN</x:v>
      </x:c>
      <x:c r="G3046" t="str">
        <x:v>equals</x:v>
      </x:c>
      <x:c r="H3046" t="str">
        <x:f>IF(E3046=F3046,"PASS","FAIL")</x:f>
        <x:v>PASS</x:v>
      </x:c>
    </x:row>
    <x:row r="3047">
      <x:c r="B3047" t="str">
        <x:v>A-03001</x:v>
      </x:c>
      <x:c r="C3047" t="str">
        <x:v>GATE</x:v>
      </x:c>
      <x:c r="D3047" t="str">
        <x:v>release state mirrors governing ledger</x:v>
      </x:c>
      <x:c r="E3047" t="str">
        <x:f>'Release Gates'!I3007</x:f>
        <x:v>OPEN</x:v>
      </x:c>
      <x:c r="F3047" t="str">
        <x:f>IF('Release Gates'!C3007="PLANNING","PASS",IF('Release Gates'!C3007="PHYSICAL","OPEN","BLOCKED"))</x:f>
        <x:v>OPEN</x:v>
      </x:c>
      <x:c r="G3047" t="str">
        <x:v>equals</x:v>
      </x:c>
      <x:c r="H3047" t="str">
        <x:f>IF(E3047=F3047,"PASS","FAIL")</x:f>
        <x:v>PASS</x:v>
      </x:c>
    </x:row>
    <x:row r="3048">
      <x:c r="B3048" t="str">
        <x:v>A-03002</x:v>
      </x:c>
      <x:c r="C3048" t="str">
        <x:v>GATE</x:v>
      </x:c>
      <x:c r="D3048" t="str">
        <x:v>release state mirrors governing ledger</x:v>
      </x:c>
      <x:c r="E3048" t="str">
        <x:f>'Release Gates'!I3008</x:f>
        <x:v>OPEN</x:v>
      </x:c>
      <x:c r="F3048" t="str">
        <x:f>IF('Release Gates'!C3008="PLANNING","PASS",IF('Release Gates'!C3008="PHYSICAL","OPEN","BLOCKED"))</x:f>
        <x:v>OPEN</x:v>
      </x:c>
      <x:c r="G3048" t="str">
        <x:v>equals</x:v>
      </x:c>
      <x:c r="H3048" t="str">
        <x:f>IF(E3048=F3048,"PASS","FAIL")</x:f>
        <x:v>PASS</x:v>
      </x:c>
    </x:row>
    <x:row r="3049">
      <x:c r="B3049" t="str">
        <x:v>A-03003</x:v>
      </x:c>
      <x:c r="C3049" t="str">
        <x:v>GATE</x:v>
      </x:c>
      <x:c r="D3049" t="str">
        <x:v>release state mirrors governing ledger</x:v>
      </x:c>
      <x:c r="E3049" t="str">
        <x:f>'Release Gates'!I3009</x:f>
        <x:v>OPEN</x:v>
      </x:c>
      <x:c r="F3049" t="str">
        <x:f>IF('Release Gates'!C3009="PLANNING","PASS",IF('Release Gates'!C3009="PHYSICAL","OPEN","BLOCKED"))</x:f>
        <x:v>OPEN</x:v>
      </x:c>
      <x:c r="G3049" t="str">
        <x:v>equals</x:v>
      </x:c>
      <x:c r="H3049" t="str">
        <x:f>IF(E3049=F3049,"PASS","FAIL")</x:f>
        <x:v>PASS</x:v>
      </x:c>
    </x:row>
    <x:row r="3050">
      <x:c r="B3050" t="str">
        <x:v>A-03004</x:v>
      </x:c>
      <x:c r="C3050" t="str">
        <x:v>GATE</x:v>
      </x:c>
      <x:c r="D3050" t="str">
        <x:v>release state mirrors governing ledger</x:v>
      </x:c>
      <x:c r="E3050" t="str">
        <x:f>'Release Gates'!I3010</x:f>
        <x:v>OPEN</x:v>
      </x:c>
      <x:c r="F3050" t="str">
        <x:f>IF('Release Gates'!C3010="PLANNING","PASS",IF('Release Gates'!C3010="PHYSICAL","OPEN","BLOCKED"))</x:f>
        <x:v>OPEN</x:v>
      </x:c>
      <x:c r="G3050" t="str">
        <x:v>equals</x:v>
      </x:c>
      <x:c r="H3050" t="str">
        <x:f>IF(E3050=F3050,"PASS","FAIL")</x:f>
        <x:v>PASS</x:v>
      </x:c>
    </x:row>
    <x:row r="3051">
      <x:c r="B3051" t="str">
        <x:v>A-03005</x:v>
      </x:c>
      <x:c r="C3051" t="str">
        <x:v>GATE</x:v>
      </x:c>
      <x:c r="D3051" t="str">
        <x:v>release state mirrors governing ledger</x:v>
      </x:c>
      <x:c r="E3051" t="str">
        <x:f>'Release Gates'!I3011</x:f>
        <x:v>OPEN</x:v>
      </x:c>
      <x:c r="F3051" t="str">
        <x:f>IF('Release Gates'!C3011="PLANNING","PASS",IF('Release Gates'!C3011="PHYSICAL","OPEN","BLOCKED"))</x:f>
        <x:v>OPEN</x:v>
      </x:c>
      <x:c r="G3051" t="str">
        <x:v>equals</x:v>
      </x:c>
      <x:c r="H3051" t="str">
        <x:f>IF(E3051=F3051,"PASS","FAIL")</x:f>
        <x:v>PASS</x:v>
      </x:c>
    </x:row>
    <x:row r="3052">
      <x:c r="B3052" t="str">
        <x:v>A-03006</x:v>
      </x:c>
      <x:c r="C3052" t="str">
        <x:v>GATE</x:v>
      </x:c>
      <x:c r="D3052" t="str">
        <x:v>release state mirrors governing ledger</x:v>
      </x:c>
      <x:c r="E3052" t="str">
        <x:f>'Release Gates'!I3012</x:f>
        <x:v>OPEN</x:v>
      </x:c>
      <x:c r="F3052" t="str">
        <x:f>IF('Release Gates'!C3012="PLANNING","PASS",IF('Release Gates'!C3012="PHYSICAL","OPEN","BLOCKED"))</x:f>
        <x:v>OPEN</x:v>
      </x:c>
      <x:c r="G3052" t="str">
        <x:v>equals</x:v>
      </x:c>
      <x:c r="H3052" t="str">
        <x:f>IF(E3052=F3052,"PASS","FAIL")</x:f>
        <x:v>PASS</x:v>
      </x:c>
    </x:row>
    <x:row r="3053">
      <x:c r="B3053" t="str">
        <x:v>A-03007</x:v>
      </x:c>
      <x:c r="C3053" t="str">
        <x:v>GATE</x:v>
      </x:c>
      <x:c r="D3053" t="str">
        <x:v>release state mirrors governing ledger</x:v>
      </x:c>
      <x:c r="E3053" t="str">
        <x:f>'Release Gates'!I3013</x:f>
        <x:v>OPEN</x:v>
      </x:c>
      <x:c r="F3053" t="str">
        <x:f>IF('Release Gates'!C3013="PLANNING","PASS",IF('Release Gates'!C3013="PHYSICAL","OPEN","BLOCKED"))</x:f>
        <x:v>OPEN</x:v>
      </x:c>
      <x:c r="G3053" t="str">
        <x:v>equals</x:v>
      </x:c>
      <x:c r="H3053" t="str">
        <x:f>IF(E3053=F3053,"PASS","FAIL")</x:f>
        <x:v>PASS</x:v>
      </x:c>
    </x:row>
    <x:row r="3054">
      <x:c r="B3054" t="str">
        <x:v>A-03008</x:v>
      </x:c>
      <x:c r="C3054" t="str">
        <x:v>GATE</x:v>
      </x:c>
      <x:c r="D3054" t="str">
        <x:v>release state mirrors governing ledger</x:v>
      </x:c>
      <x:c r="E3054" t="str">
        <x:f>'Release Gates'!I3014</x:f>
        <x:v>OPEN</x:v>
      </x:c>
      <x:c r="F3054" t="str">
        <x:f>IF('Release Gates'!C3014="PLANNING","PASS",IF('Release Gates'!C3014="PHYSICAL","OPEN","BLOCKED"))</x:f>
        <x:v>OPEN</x:v>
      </x:c>
      <x:c r="G3054" t="str">
        <x:v>equals</x:v>
      </x:c>
      <x:c r="H3054" t="str">
        <x:f>IF(E3054=F3054,"PASS","FAIL")</x:f>
        <x:v>PASS</x:v>
      </x:c>
    </x:row>
    <x:row r="3055">
      <x:c r="B3055" t="str">
        <x:v>A-03009</x:v>
      </x:c>
      <x:c r="C3055" t="str">
        <x:v>GATE</x:v>
      </x:c>
      <x:c r="D3055" t="str">
        <x:v>release state mirrors governing ledger</x:v>
      </x:c>
      <x:c r="E3055" t="str">
        <x:f>'Release Gates'!I3015</x:f>
        <x:v>OPEN</x:v>
      </x:c>
      <x:c r="F3055" t="str">
        <x:f>IF('Release Gates'!C3015="PLANNING","PASS",IF('Release Gates'!C3015="PHYSICAL","OPEN","BLOCKED"))</x:f>
        <x:v>OPEN</x:v>
      </x:c>
      <x:c r="G3055" t="str">
        <x:v>equals</x:v>
      </x:c>
      <x:c r="H3055" t="str">
        <x:f>IF(E3055=F3055,"PASS","FAIL")</x:f>
        <x:v>PASS</x:v>
      </x:c>
    </x:row>
    <x:row r="3056">
      <x:c r="B3056" t="str">
        <x:v>A-03010</x:v>
      </x:c>
      <x:c r="C3056" t="str">
        <x:v>GATE</x:v>
      </x:c>
      <x:c r="D3056" t="str">
        <x:v>release state mirrors governing ledger</x:v>
      </x:c>
      <x:c r="E3056" t="str">
        <x:f>'Release Gates'!I3016</x:f>
        <x:v>OPEN</x:v>
      </x:c>
      <x:c r="F3056" t="str">
        <x:f>IF('Release Gates'!C3016="PLANNING","PASS",IF('Release Gates'!C3016="PHYSICAL","OPEN","BLOCKED"))</x:f>
        <x:v>OPEN</x:v>
      </x:c>
      <x:c r="G3056" t="str">
        <x:v>equals</x:v>
      </x:c>
      <x:c r="H3056" t="str">
        <x:f>IF(E3056=F3056,"PASS","FAIL")</x:f>
        <x:v>PASS</x:v>
      </x:c>
    </x:row>
    <x:row r="3057">
      <x:c r="B3057" t="str">
        <x:v>A-03011</x:v>
      </x:c>
      <x:c r="C3057" t="str">
        <x:v>GATE</x:v>
      </x:c>
      <x:c r="D3057" t="str">
        <x:v>release state mirrors governing ledger</x:v>
      </x:c>
      <x:c r="E3057" t="str">
        <x:f>'Release Gates'!I3017</x:f>
        <x:v>OPEN</x:v>
      </x:c>
      <x:c r="F3057" t="str">
        <x:f>IF('Release Gates'!C3017="PLANNING","PASS",IF('Release Gates'!C3017="PHYSICAL","OPEN","BLOCKED"))</x:f>
        <x:v>OPEN</x:v>
      </x:c>
      <x:c r="G3057" t="str">
        <x:v>equals</x:v>
      </x:c>
      <x:c r="H3057" t="str">
        <x:f>IF(E3057=F3057,"PASS","FAIL")</x:f>
        <x:v>PASS</x:v>
      </x:c>
    </x:row>
    <x:row r="3058">
      <x:c r="B3058" t="str">
        <x:v>A-03012</x:v>
      </x:c>
      <x:c r="C3058" t="str">
        <x:v>GATE</x:v>
      </x:c>
      <x:c r="D3058" t="str">
        <x:v>release state mirrors governing ledger</x:v>
      </x:c>
      <x:c r="E3058" t="str">
        <x:f>'Release Gates'!I3018</x:f>
        <x:v>OPEN</x:v>
      </x:c>
      <x:c r="F3058" t="str">
        <x:f>IF('Release Gates'!C3018="PLANNING","PASS",IF('Release Gates'!C3018="PHYSICAL","OPEN","BLOCKED"))</x:f>
        <x:v>OPEN</x:v>
      </x:c>
      <x:c r="G3058" t="str">
        <x:v>equals</x:v>
      </x:c>
      <x:c r="H3058" t="str">
        <x:f>IF(E3058=F3058,"PASS","FAIL")</x:f>
        <x:v>PASS</x:v>
      </x:c>
    </x:row>
    <x:row r="3059">
      <x:c r="B3059" t="str">
        <x:v>A-03013</x:v>
      </x:c>
      <x:c r="C3059" t="str">
        <x:v>GATE</x:v>
      </x:c>
      <x:c r="D3059" t="str">
        <x:v>release state mirrors governing ledger</x:v>
      </x:c>
      <x:c r="E3059" t="str">
        <x:f>'Release Gates'!I3019</x:f>
        <x:v>OPEN</x:v>
      </x:c>
      <x:c r="F3059" t="str">
        <x:f>IF('Release Gates'!C3019="PLANNING","PASS",IF('Release Gates'!C3019="PHYSICAL","OPEN","BLOCKED"))</x:f>
        <x:v>OPEN</x:v>
      </x:c>
      <x:c r="G3059" t="str">
        <x:v>equals</x:v>
      </x:c>
      <x:c r="H3059" t="str">
        <x:f>IF(E3059=F3059,"PASS","FAIL")</x:f>
        <x:v>PASS</x:v>
      </x:c>
    </x:row>
    <x:row r="3060">
      <x:c r="B3060" t="str">
        <x:v>A-03014</x:v>
      </x:c>
      <x:c r="C3060" t="str">
        <x:v>GATE</x:v>
      </x:c>
      <x:c r="D3060" t="str">
        <x:v>release state mirrors governing ledger</x:v>
      </x:c>
      <x:c r="E3060" t="str">
        <x:f>'Release Gates'!I3020</x:f>
        <x:v>OPEN</x:v>
      </x:c>
      <x:c r="F3060" t="str">
        <x:f>IF('Release Gates'!C3020="PLANNING","PASS",IF('Release Gates'!C3020="PHYSICAL","OPEN","BLOCKED"))</x:f>
        <x:v>OPEN</x:v>
      </x:c>
      <x:c r="G3060" t="str">
        <x:v>equals</x:v>
      </x:c>
      <x:c r="H3060" t="str">
        <x:f>IF(E3060=F3060,"PASS","FAIL")</x:f>
        <x:v>PASS</x:v>
      </x:c>
    </x:row>
    <x:row r="3061">
      <x:c r="B3061" t="str">
        <x:v>A-03015</x:v>
      </x:c>
      <x:c r="C3061" t="str">
        <x:v>GATE</x:v>
      </x:c>
      <x:c r="D3061" t="str">
        <x:v>release state mirrors governing ledger</x:v>
      </x:c>
      <x:c r="E3061" t="str">
        <x:f>'Release Gates'!I3021</x:f>
        <x:v>OPEN</x:v>
      </x:c>
      <x:c r="F3061" t="str">
        <x:f>IF('Release Gates'!C3021="PLANNING","PASS",IF('Release Gates'!C3021="PHYSICAL","OPEN","BLOCKED"))</x:f>
        <x:v>OPEN</x:v>
      </x:c>
      <x:c r="G3061" t="str">
        <x:v>equals</x:v>
      </x:c>
      <x:c r="H3061" t="str">
        <x:f>IF(E3061=F3061,"PASS","FAIL")</x:f>
        <x:v>PASS</x:v>
      </x:c>
    </x:row>
    <x:row r="3062">
      <x:c r="B3062" t="str">
        <x:v>A-03016</x:v>
      </x:c>
      <x:c r="C3062" t="str">
        <x:v>GATE</x:v>
      </x:c>
      <x:c r="D3062" t="str">
        <x:v>release state mirrors governing ledger</x:v>
      </x:c>
      <x:c r="E3062" t="str">
        <x:f>'Release Gates'!I3022</x:f>
        <x:v>OPEN</x:v>
      </x:c>
      <x:c r="F3062" t="str">
        <x:f>IF('Release Gates'!C3022="PLANNING","PASS",IF('Release Gates'!C3022="PHYSICAL","OPEN","BLOCKED"))</x:f>
        <x:v>OPEN</x:v>
      </x:c>
      <x:c r="G3062" t="str">
        <x:v>equals</x:v>
      </x:c>
      <x:c r="H3062" t="str">
        <x:f>IF(E3062=F3062,"PASS","FAIL")</x:f>
        <x:v>PASS</x:v>
      </x:c>
    </x:row>
    <x:row r="3063">
      <x:c r="B3063" t="str">
        <x:v>A-03017</x:v>
      </x:c>
      <x:c r="C3063" t="str">
        <x:v>GATE</x:v>
      </x:c>
      <x:c r="D3063" t="str">
        <x:v>release state mirrors governing ledger</x:v>
      </x:c>
      <x:c r="E3063" t="str">
        <x:f>'Release Gates'!I3023</x:f>
        <x:v>OPEN</x:v>
      </x:c>
      <x:c r="F3063" t="str">
        <x:f>IF('Release Gates'!C3023="PLANNING","PASS",IF('Release Gates'!C3023="PHYSICAL","OPEN","BLOCKED"))</x:f>
        <x:v>OPEN</x:v>
      </x:c>
      <x:c r="G3063" t="str">
        <x:v>equals</x:v>
      </x:c>
      <x:c r="H3063" t="str">
        <x:f>IF(E3063=F3063,"PASS","FAIL")</x:f>
        <x:v>PASS</x:v>
      </x:c>
    </x:row>
    <x:row r="3064">
      <x:c r="B3064" t="str">
        <x:v>A-03018</x:v>
      </x:c>
      <x:c r="C3064" t="str">
        <x:v>GATE</x:v>
      </x:c>
      <x:c r="D3064" t="str">
        <x:v>release state mirrors governing ledger</x:v>
      </x:c>
      <x:c r="E3064" t="str">
        <x:f>'Release Gates'!I3024</x:f>
        <x:v>OPEN</x:v>
      </x:c>
      <x:c r="F3064" t="str">
        <x:f>IF('Release Gates'!C3024="PLANNING","PASS",IF('Release Gates'!C3024="PHYSICAL","OPEN","BLOCKED"))</x:f>
        <x:v>OPEN</x:v>
      </x:c>
      <x:c r="G3064" t="str">
        <x:v>equals</x:v>
      </x:c>
      <x:c r="H3064" t="str">
        <x:f>IF(E3064=F3064,"PASS","FAIL")</x:f>
        <x:v>PASS</x:v>
      </x:c>
    </x:row>
    <x:row r="3065">
      <x:c r="B3065" t="str">
        <x:v>A-03019</x:v>
      </x:c>
      <x:c r="C3065" t="str">
        <x:v>GATE</x:v>
      </x:c>
      <x:c r="D3065" t="str">
        <x:v>release state mirrors governing ledger</x:v>
      </x:c>
      <x:c r="E3065" t="str">
        <x:f>'Release Gates'!I3025</x:f>
        <x:v>OPEN</x:v>
      </x:c>
      <x:c r="F3065" t="str">
        <x:f>IF('Release Gates'!C3025="PLANNING","PASS",IF('Release Gates'!C3025="PHYSICAL","OPEN","BLOCKED"))</x:f>
        <x:v>OPEN</x:v>
      </x:c>
      <x:c r="G3065" t="str">
        <x:v>equals</x:v>
      </x:c>
      <x:c r="H3065" t="str">
        <x:f>IF(E3065=F3065,"PASS","FAIL")</x:f>
        <x:v>PASS</x:v>
      </x:c>
    </x:row>
    <x:row r="3066">
      <x:c r="B3066" t="str">
        <x:v>A-03020</x:v>
      </x:c>
      <x:c r="C3066" t="str">
        <x:v>GATE</x:v>
      </x:c>
      <x:c r="D3066" t="str">
        <x:v>release state mirrors governing ledger</x:v>
      </x:c>
      <x:c r="E3066" t="str">
        <x:f>'Release Gates'!I3026</x:f>
        <x:v>OPEN</x:v>
      </x:c>
      <x:c r="F3066" t="str">
        <x:f>IF('Release Gates'!C3026="PLANNING","PASS",IF('Release Gates'!C3026="PHYSICAL","OPEN","BLOCKED"))</x:f>
        <x:v>OPEN</x:v>
      </x:c>
      <x:c r="G3066" t="str">
        <x:v>equals</x:v>
      </x:c>
      <x:c r="H3066" t="str">
        <x:f>IF(E3066=F3066,"PASS","FAIL")</x:f>
        <x:v>PASS</x:v>
      </x:c>
    </x:row>
    <x:row r="3067">
      <x:c r="B3067" t="str">
        <x:v>A-03021</x:v>
      </x:c>
      <x:c r="C3067" t="str">
        <x:v>GATE</x:v>
      </x:c>
      <x:c r="D3067" t="str">
        <x:v>release state mirrors governing ledger</x:v>
      </x:c>
      <x:c r="E3067" t="str">
        <x:f>'Release Gates'!I3027</x:f>
        <x:v>OPEN</x:v>
      </x:c>
      <x:c r="F3067" t="str">
        <x:f>IF('Release Gates'!C3027="PLANNING","PASS",IF('Release Gates'!C3027="PHYSICAL","OPEN","BLOCKED"))</x:f>
        <x:v>OPEN</x:v>
      </x:c>
      <x:c r="G3067" t="str">
        <x:v>equals</x:v>
      </x:c>
      <x:c r="H3067" t="str">
        <x:f>IF(E3067=F3067,"PASS","FAIL")</x:f>
        <x:v>PASS</x:v>
      </x:c>
    </x:row>
    <x:row r="3068">
      <x:c r="B3068" t="str">
        <x:v>A-03022</x:v>
      </x:c>
      <x:c r="C3068" t="str">
        <x:v>GATE</x:v>
      </x:c>
      <x:c r="D3068" t="str">
        <x:v>release state mirrors governing ledger</x:v>
      </x:c>
      <x:c r="E3068" t="str">
        <x:f>'Release Gates'!I3028</x:f>
        <x:v>OPEN</x:v>
      </x:c>
      <x:c r="F3068" t="str">
        <x:f>IF('Release Gates'!C3028="PLANNING","PASS",IF('Release Gates'!C3028="PHYSICAL","OPEN","BLOCKED"))</x:f>
        <x:v>OPEN</x:v>
      </x:c>
      <x:c r="G3068" t="str">
        <x:v>equals</x:v>
      </x:c>
      <x:c r="H3068" t="str">
        <x:f>IF(E3068=F3068,"PASS","FAIL")</x:f>
        <x:v>PASS</x:v>
      </x:c>
    </x:row>
    <x:row r="3069">
      <x:c r="B3069" t="str">
        <x:v>A-03023</x:v>
      </x:c>
      <x:c r="C3069" t="str">
        <x:v>GATE</x:v>
      </x:c>
      <x:c r="D3069" t="str">
        <x:v>release state mirrors governing ledger</x:v>
      </x:c>
      <x:c r="E3069" t="str">
        <x:f>'Release Gates'!I3029</x:f>
        <x:v>OPEN</x:v>
      </x:c>
      <x:c r="F3069" t="str">
        <x:f>IF('Release Gates'!C3029="PLANNING","PASS",IF('Release Gates'!C3029="PHYSICAL","OPEN","BLOCKED"))</x:f>
        <x:v>OPEN</x:v>
      </x:c>
      <x:c r="G3069" t="str">
        <x:v>equals</x:v>
      </x:c>
      <x:c r="H3069" t="str">
        <x:f>IF(E3069=F3069,"PASS","FAIL")</x:f>
        <x:v>PASS</x:v>
      </x:c>
    </x:row>
    <x:row r="3070">
      <x:c r="B3070" t="str">
        <x:v>A-03024</x:v>
      </x:c>
      <x:c r="C3070" t="str">
        <x:v>GATE</x:v>
      </x:c>
      <x:c r="D3070" t="str">
        <x:v>release state mirrors governing ledger</x:v>
      </x:c>
      <x:c r="E3070" t="str">
        <x:f>'Release Gates'!I3030</x:f>
        <x:v>OPEN</x:v>
      </x:c>
      <x:c r="F3070" t="str">
        <x:f>IF('Release Gates'!C3030="PLANNING","PASS",IF('Release Gates'!C3030="PHYSICAL","OPEN","BLOCKED"))</x:f>
        <x:v>OPEN</x:v>
      </x:c>
      <x:c r="G3070" t="str">
        <x:v>equals</x:v>
      </x:c>
      <x:c r="H3070" t="str">
        <x:f>IF(E3070=F3070,"PASS","FAIL")</x:f>
        <x:v>PASS</x:v>
      </x:c>
    </x:row>
    <x:row r="3071">
      <x:c r="B3071" t="str">
        <x:v>A-03025</x:v>
      </x:c>
      <x:c r="C3071" t="str">
        <x:v>GATE</x:v>
      </x:c>
      <x:c r="D3071" t="str">
        <x:v>release state mirrors governing ledger</x:v>
      </x:c>
      <x:c r="E3071" t="str">
        <x:f>'Release Gates'!I3031</x:f>
        <x:v>OPEN</x:v>
      </x:c>
      <x:c r="F3071" t="str">
        <x:f>IF('Release Gates'!C3031="PLANNING","PASS",IF('Release Gates'!C3031="PHYSICAL","OPEN","BLOCKED"))</x:f>
        <x:v>OPEN</x:v>
      </x:c>
      <x:c r="G3071" t="str">
        <x:v>equals</x:v>
      </x:c>
      <x:c r="H3071" t="str">
        <x:f>IF(E3071=F3071,"PASS","FAIL")</x:f>
        <x:v>PASS</x:v>
      </x:c>
    </x:row>
    <x:row r="3072">
      <x:c r="B3072" t="str">
        <x:v>A-03026</x:v>
      </x:c>
      <x:c r="C3072" t="str">
        <x:v>GATE</x:v>
      </x:c>
      <x:c r="D3072" t="str">
        <x:v>release state mirrors governing ledger</x:v>
      </x:c>
      <x:c r="E3072" t="str">
        <x:f>'Release Gates'!I3032</x:f>
        <x:v>OPEN</x:v>
      </x:c>
      <x:c r="F3072" t="str">
        <x:f>IF('Release Gates'!C3032="PLANNING","PASS",IF('Release Gates'!C3032="PHYSICAL","OPEN","BLOCKED"))</x:f>
        <x:v>OPEN</x:v>
      </x:c>
      <x:c r="G3072" t="str">
        <x:v>equals</x:v>
      </x:c>
      <x:c r="H3072" t="str">
        <x:f>IF(E3072=F3072,"PASS","FAIL")</x:f>
        <x:v>PASS</x:v>
      </x:c>
    </x:row>
    <x:row r="3073">
      <x:c r="B3073" t="str">
        <x:v>A-03027</x:v>
      </x:c>
      <x:c r="C3073" t="str">
        <x:v>GATE</x:v>
      </x:c>
      <x:c r="D3073" t="str">
        <x:v>release state mirrors governing ledger</x:v>
      </x:c>
      <x:c r="E3073" t="str">
        <x:f>'Release Gates'!I3033</x:f>
        <x:v>OPEN</x:v>
      </x:c>
      <x:c r="F3073" t="str">
        <x:f>IF('Release Gates'!C3033="PLANNING","PASS",IF('Release Gates'!C3033="PHYSICAL","OPEN","BLOCKED"))</x:f>
        <x:v>OPEN</x:v>
      </x:c>
      <x:c r="G3073" t="str">
        <x:v>equals</x:v>
      </x:c>
      <x:c r="H3073" t="str">
        <x:f>IF(E3073=F3073,"PASS","FAIL")</x:f>
        <x:v>PASS</x:v>
      </x:c>
    </x:row>
    <x:row r="3074">
      <x:c r="B3074" t="str">
        <x:v>A-03028</x:v>
      </x:c>
      <x:c r="C3074" t="str">
        <x:v>GATE</x:v>
      </x:c>
      <x:c r="D3074" t="str">
        <x:v>release state mirrors governing ledger</x:v>
      </x:c>
      <x:c r="E3074" t="str">
        <x:f>'Release Gates'!I3034</x:f>
        <x:v>OPEN</x:v>
      </x:c>
      <x:c r="F3074" t="str">
        <x:f>IF('Release Gates'!C3034="PLANNING","PASS",IF('Release Gates'!C3034="PHYSICAL","OPEN","BLOCKED"))</x:f>
        <x:v>OPEN</x:v>
      </x:c>
      <x:c r="G3074" t="str">
        <x:v>equals</x:v>
      </x:c>
      <x:c r="H3074" t="str">
        <x:f>IF(E3074=F3074,"PASS","FAIL")</x:f>
        <x:v>PASS</x:v>
      </x:c>
    </x:row>
    <x:row r="3075">
      <x:c r="B3075" t="str">
        <x:v>A-03029</x:v>
      </x:c>
      <x:c r="C3075" t="str">
        <x:v>GATE</x:v>
      </x:c>
      <x:c r="D3075" t="str">
        <x:v>release state mirrors governing ledger</x:v>
      </x:c>
      <x:c r="E3075" t="str">
        <x:f>'Release Gates'!I3035</x:f>
        <x:v>OPEN</x:v>
      </x:c>
      <x:c r="F3075" t="str">
        <x:f>IF('Release Gates'!C3035="PLANNING","PASS",IF('Release Gates'!C3035="PHYSICAL","OPEN","BLOCKED"))</x:f>
        <x:v>OPEN</x:v>
      </x:c>
      <x:c r="G3075" t="str">
        <x:v>equals</x:v>
      </x:c>
      <x:c r="H3075" t="str">
        <x:f>IF(E3075=F3075,"PASS","FAIL")</x:f>
        <x:v>PASS</x:v>
      </x:c>
    </x:row>
    <x:row r="3076">
      <x:c r="B3076" t="str">
        <x:v>A-03030</x:v>
      </x:c>
      <x:c r="C3076" t="str">
        <x:v>GATE</x:v>
      </x:c>
      <x:c r="D3076" t="str">
        <x:v>release state mirrors governing ledger</x:v>
      </x:c>
      <x:c r="E3076" t="str">
        <x:f>'Release Gates'!I3036</x:f>
        <x:v>OPEN</x:v>
      </x:c>
      <x:c r="F3076" t="str">
        <x:f>IF('Release Gates'!C3036="PLANNING","PASS",IF('Release Gates'!C3036="PHYSICAL","OPEN","BLOCKED"))</x:f>
        <x:v>OPEN</x:v>
      </x:c>
      <x:c r="G3076" t="str">
        <x:v>equals</x:v>
      </x:c>
      <x:c r="H3076" t="str">
        <x:f>IF(E3076=F3076,"PASS","FAIL")</x:f>
        <x:v>PASS</x:v>
      </x:c>
    </x:row>
    <x:row r="3077">
      <x:c r="B3077" t="str">
        <x:v>A-03031</x:v>
      </x:c>
      <x:c r="C3077" t="str">
        <x:v>GATE</x:v>
      </x:c>
      <x:c r="D3077" t="str">
        <x:v>release state mirrors governing ledger</x:v>
      </x:c>
      <x:c r="E3077" t="str">
        <x:f>'Release Gates'!I3037</x:f>
        <x:v>OPEN</x:v>
      </x:c>
      <x:c r="F3077" t="str">
        <x:f>IF('Release Gates'!C3037="PLANNING","PASS",IF('Release Gates'!C3037="PHYSICAL","OPEN","BLOCKED"))</x:f>
        <x:v>OPEN</x:v>
      </x:c>
      <x:c r="G3077" t="str">
        <x:v>equals</x:v>
      </x:c>
      <x:c r="H3077" t="str">
        <x:f>IF(E3077=F3077,"PASS","FAIL")</x:f>
        <x:v>PASS</x:v>
      </x:c>
    </x:row>
    <x:row r="3078">
      <x:c r="B3078" t="str">
        <x:v>A-03032</x:v>
      </x:c>
      <x:c r="C3078" t="str">
        <x:v>GATE</x:v>
      </x:c>
      <x:c r="D3078" t="str">
        <x:v>release state mirrors governing ledger</x:v>
      </x:c>
      <x:c r="E3078" t="str">
        <x:f>'Release Gates'!I3038</x:f>
        <x:v>OPEN</x:v>
      </x:c>
      <x:c r="F3078" t="str">
        <x:f>IF('Release Gates'!C3038="PLANNING","PASS",IF('Release Gates'!C3038="PHYSICAL","OPEN","BLOCKED"))</x:f>
        <x:v>OPEN</x:v>
      </x:c>
      <x:c r="G3078" t="str">
        <x:v>equals</x:v>
      </x:c>
      <x:c r="H3078" t="str">
        <x:f>IF(E3078=F3078,"PASS","FAIL")</x:f>
        <x:v>PASS</x:v>
      </x:c>
    </x:row>
    <x:row r="3079">
      <x:c r="B3079" t="str">
        <x:v>A-03033</x:v>
      </x:c>
      <x:c r="C3079" t="str">
        <x:v>GATE</x:v>
      </x:c>
      <x:c r="D3079" t="str">
        <x:v>release state mirrors governing ledger</x:v>
      </x:c>
      <x:c r="E3079" t="str">
        <x:f>'Release Gates'!I3039</x:f>
        <x:v>OPEN</x:v>
      </x:c>
      <x:c r="F3079" t="str">
        <x:f>IF('Release Gates'!C3039="PLANNING","PASS",IF('Release Gates'!C3039="PHYSICAL","OPEN","BLOCKED"))</x:f>
        <x:v>OPEN</x:v>
      </x:c>
      <x:c r="G3079" t="str">
        <x:v>equals</x:v>
      </x:c>
      <x:c r="H3079" t="str">
        <x:f>IF(E3079=F3079,"PASS","FAIL")</x:f>
        <x:v>PASS</x:v>
      </x:c>
    </x:row>
    <x:row r="3080">
      <x:c r="B3080" t="str">
        <x:v>A-03034</x:v>
      </x:c>
      <x:c r="C3080" t="str">
        <x:v>GATE</x:v>
      </x:c>
      <x:c r="D3080" t="str">
        <x:v>release state mirrors governing ledger</x:v>
      </x:c>
      <x:c r="E3080" t="str">
        <x:f>'Release Gates'!I3040</x:f>
        <x:v>OPEN</x:v>
      </x:c>
      <x:c r="F3080" t="str">
        <x:f>IF('Release Gates'!C3040="PLANNING","PASS",IF('Release Gates'!C3040="PHYSICAL","OPEN","BLOCKED"))</x:f>
        <x:v>OPEN</x:v>
      </x:c>
      <x:c r="G3080" t="str">
        <x:v>equals</x:v>
      </x:c>
      <x:c r="H3080" t="str">
        <x:f>IF(E3080=F3080,"PASS","FAIL")</x:f>
        <x:v>PASS</x:v>
      </x:c>
    </x:row>
    <x:row r="3081">
      <x:c r="B3081" t="str">
        <x:v>A-03035</x:v>
      </x:c>
      <x:c r="C3081" t="str">
        <x:v>GATE</x:v>
      </x:c>
      <x:c r="D3081" t="str">
        <x:v>release state mirrors governing ledger</x:v>
      </x:c>
      <x:c r="E3081" t="str">
        <x:f>'Release Gates'!I3041</x:f>
        <x:v>OPEN</x:v>
      </x:c>
      <x:c r="F3081" t="str">
        <x:f>IF('Release Gates'!C3041="PLANNING","PASS",IF('Release Gates'!C3041="PHYSICAL","OPEN","BLOCKED"))</x:f>
        <x:v>OPEN</x:v>
      </x:c>
      <x:c r="G3081" t="str">
        <x:v>equals</x:v>
      </x:c>
      <x:c r="H3081" t="str">
        <x:f>IF(E3081=F3081,"PASS","FAIL")</x:f>
        <x:v>PASS</x:v>
      </x:c>
    </x:row>
    <x:row r="3082">
      <x:c r="B3082" t="str">
        <x:v>A-03036</x:v>
      </x:c>
      <x:c r="C3082" t="str">
        <x:v>GATE</x:v>
      </x:c>
      <x:c r="D3082" t="str">
        <x:v>release state mirrors governing ledger</x:v>
      </x:c>
      <x:c r="E3082" t="str">
        <x:f>'Release Gates'!I3042</x:f>
        <x:v>OPEN</x:v>
      </x:c>
      <x:c r="F3082" t="str">
        <x:f>IF('Release Gates'!C3042="PLANNING","PASS",IF('Release Gates'!C3042="PHYSICAL","OPEN","BLOCKED"))</x:f>
        <x:v>OPEN</x:v>
      </x:c>
      <x:c r="G3082" t="str">
        <x:v>equals</x:v>
      </x:c>
      <x:c r="H3082" t="str">
        <x:f>IF(E3082=F3082,"PASS","FAIL")</x:f>
        <x:v>PASS</x:v>
      </x:c>
    </x:row>
    <x:row r="3083">
      <x:c r="B3083" t="str">
        <x:v>A-03037</x:v>
      </x:c>
      <x:c r="C3083" t="str">
        <x:v>GATE</x:v>
      </x:c>
      <x:c r="D3083" t="str">
        <x:v>release state mirrors governing ledger</x:v>
      </x:c>
      <x:c r="E3083" t="str">
        <x:f>'Release Gates'!I3043</x:f>
        <x:v>OPEN</x:v>
      </x:c>
      <x:c r="F3083" t="str">
        <x:f>IF('Release Gates'!C3043="PLANNING","PASS",IF('Release Gates'!C3043="PHYSICAL","OPEN","BLOCKED"))</x:f>
        <x:v>OPEN</x:v>
      </x:c>
      <x:c r="G3083" t="str">
        <x:v>equals</x:v>
      </x:c>
      <x:c r="H3083" t="str">
        <x:f>IF(E3083=F3083,"PASS","FAIL")</x:f>
        <x:v>PASS</x:v>
      </x:c>
    </x:row>
    <x:row r="3084">
      <x:c r="B3084" t="str">
        <x:v>A-03038</x:v>
      </x:c>
      <x:c r="C3084" t="str">
        <x:v>GATE</x:v>
      </x:c>
      <x:c r="D3084" t="str">
        <x:v>release state mirrors governing ledger</x:v>
      </x:c>
      <x:c r="E3084" t="str">
        <x:f>'Release Gates'!I3044</x:f>
        <x:v>OPEN</x:v>
      </x:c>
      <x:c r="F3084" t="str">
        <x:f>IF('Release Gates'!C3044="PLANNING","PASS",IF('Release Gates'!C3044="PHYSICAL","OPEN","BLOCKED"))</x:f>
        <x:v>OPEN</x:v>
      </x:c>
      <x:c r="G3084" t="str">
        <x:v>equals</x:v>
      </x:c>
      <x:c r="H3084" t="str">
        <x:f>IF(E3084=F3084,"PASS","FAIL")</x:f>
        <x:v>PASS</x:v>
      </x:c>
    </x:row>
    <x:row r="3085">
      <x:c r="B3085" t="str">
        <x:v>A-03039</x:v>
      </x:c>
      <x:c r="C3085" t="str">
        <x:v>GATE</x:v>
      </x:c>
      <x:c r="D3085" t="str">
        <x:v>release state mirrors governing ledger</x:v>
      </x:c>
      <x:c r="E3085" t="str">
        <x:f>'Release Gates'!I3045</x:f>
        <x:v>OPEN</x:v>
      </x:c>
      <x:c r="F3085" t="str">
        <x:f>IF('Release Gates'!C3045="PLANNING","PASS",IF('Release Gates'!C3045="PHYSICAL","OPEN","BLOCKED"))</x:f>
        <x:v>OPEN</x:v>
      </x:c>
      <x:c r="G3085" t="str">
        <x:v>equals</x:v>
      </x:c>
      <x:c r="H3085" t="str">
        <x:f>IF(E3085=F3085,"PASS","FAIL")</x:f>
        <x:v>PASS</x:v>
      </x:c>
    </x:row>
    <x:row r="3086">
      <x:c r="B3086" t="str">
        <x:v>A-03040</x:v>
      </x:c>
      <x:c r="C3086" t="str">
        <x:v>GATE</x:v>
      </x:c>
      <x:c r="D3086" t="str">
        <x:v>release state mirrors governing ledger</x:v>
      </x:c>
      <x:c r="E3086" t="str">
        <x:f>'Release Gates'!I3046</x:f>
        <x:v>OPEN</x:v>
      </x:c>
      <x:c r="F3086" t="str">
        <x:f>IF('Release Gates'!C3046="PLANNING","PASS",IF('Release Gates'!C3046="PHYSICAL","OPEN","BLOCKED"))</x:f>
        <x:v>OPEN</x:v>
      </x:c>
      <x:c r="G3086" t="str">
        <x:v>equals</x:v>
      </x:c>
      <x:c r="H3086" t="str">
        <x:f>IF(E3086=F3086,"PASS","FAIL")</x:f>
        <x:v>PASS</x:v>
      </x:c>
    </x:row>
    <x:row r="3087">
      <x:c r="B3087" t="str">
        <x:v>A-03041</x:v>
      </x:c>
      <x:c r="C3087" t="str">
        <x:v>GATE</x:v>
      </x:c>
      <x:c r="D3087" t="str">
        <x:v>release state mirrors governing ledger</x:v>
      </x:c>
      <x:c r="E3087" t="str">
        <x:f>'Release Gates'!I3047</x:f>
        <x:v>OPEN</x:v>
      </x:c>
      <x:c r="F3087" t="str">
        <x:f>IF('Release Gates'!C3047="PLANNING","PASS",IF('Release Gates'!C3047="PHYSICAL","OPEN","BLOCKED"))</x:f>
        <x:v>OPEN</x:v>
      </x:c>
      <x:c r="G3087" t="str">
        <x:v>equals</x:v>
      </x:c>
      <x:c r="H3087" t="str">
        <x:f>IF(E3087=F3087,"PASS","FAIL")</x:f>
        <x:v>PASS</x:v>
      </x:c>
    </x:row>
    <x:row r="3088">
      <x:c r="B3088" t="str">
        <x:v>A-03042</x:v>
      </x:c>
      <x:c r="C3088" t="str">
        <x:v>GATE</x:v>
      </x:c>
      <x:c r="D3088" t="str">
        <x:v>release state mirrors governing ledger</x:v>
      </x:c>
      <x:c r="E3088" t="str">
        <x:f>'Release Gates'!I3048</x:f>
        <x:v>OPEN</x:v>
      </x:c>
      <x:c r="F3088" t="str">
        <x:f>IF('Release Gates'!C3048="PLANNING","PASS",IF('Release Gates'!C3048="PHYSICAL","OPEN","BLOCKED"))</x:f>
        <x:v>OPEN</x:v>
      </x:c>
      <x:c r="G3088" t="str">
        <x:v>equals</x:v>
      </x:c>
      <x:c r="H3088" t="str">
        <x:f>IF(E3088=F3088,"PASS","FAIL")</x:f>
        <x:v>PASS</x:v>
      </x:c>
    </x:row>
    <x:row r="3089">
      <x:c r="B3089" t="str">
        <x:v>A-03043</x:v>
      </x:c>
      <x:c r="C3089" t="str">
        <x:v>GATE</x:v>
      </x:c>
      <x:c r="D3089" t="str">
        <x:v>release state mirrors governing ledger</x:v>
      </x:c>
      <x:c r="E3089" t="str">
        <x:f>'Release Gates'!I3049</x:f>
        <x:v>OPEN</x:v>
      </x:c>
      <x:c r="F3089" t="str">
        <x:f>IF('Release Gates'!C3049="PLANNING","PASS",IF('Release Gates'!C3049="PHYSICAL","OPEN","BLOCKED"))</x:f>
        <x:v>OPEN</x:v>
      </x:c>
      <x:c r="G3089" t="str">
        <x:v>equals</x:v>
      </x:c>
      <x:c r="H3089" t="str">
        <x:f>IF(E3089=F3089,"PASS","FAIL")</x:f>
        <x:v>PASS</x:v>
      </x:c>
    </x:row>
    <x:row r="3090">
      <x:c r="B3090" t="str">
        <x:v>A-03044</x:v>
      </x:c>
      <x:c r="C3090" t="str">
        <x:v>GATE</x:v>
      </x:c>
      <x:c r="D3090" t="str">
        <x:v>release state mirrors governing ledger</x:v>
      </x:c>
      <x:c r="E3090" t="str">
        <x:f>'Release Gates'!I3050</x:f>
        <x:v>OPEN</x:v>
      </x:c>
      <x:c r="F3090" t="str">
        <x:f>IF('Release Gates'!C3050="PLANNING","PASS",IF('Release Gates'!C3050="PHYSICAL","OPEN","BLOCKED"))</x:f>
        <x:v>OPEN</x:v>
      </x:c>
      <x:c r="G3090" t="str">
        <x:v>equals</x:v>
      </x:c>
      <x:c r="H3090" t="str">
        <x:f>IF(E3090=F3090,"PASS","FAIL")</x:f>
        <x:v>PASS</x:v>
      </x:c>
    </x:row>
    <x:row r="3091">
      <x:c r="B3091" t="str">
        <x:v>A-03045</x:v>
      </x:c>
      <x:c r="C3091" t="str">
        <x:v>GATE</x:v>
      </x:c>
      <x:c r="D3091" t="str">
        <x:v>release state mirrors governing ledger</x:v>
      </x:c>
      <x:c r="E3091" t="str">
        <x:f>'Release Gates'!I3051</x:f>
        <x:v>OPEN</x:v>
      </x:c>
      <x:c r="F3091" t="str">
        <x:f>IF('Release Gates'!C3051="PLANNING","PASS",IF('Release Gates'!C3051="PHYSICAL","OPEN","BLOCKED"))</x:f>
        <x:v>OPEN</x:v>
      </x:c>
      <x:c r="G3091" t="str">
        <x:v>equals</x:v>
      </x:c>
      <x:c r="H3091" t="str">
        <x:f>IF(E3091=F3091,"PASS","FAIL")</x:f>
        <x:v>PASS</x:v>
      </x:c>
    </x:row>
    <x:row r="3092">
      <x:c r="B3092" t="str">
        <x:v>A-03046</x:v>
      </x:c>
      <x:c r="C3092" t="str">
        <x:v>GATE</x:v>
      </x:c>
      <x:c r="D3092" t="str">
        <x:v>release state mirrors governing ledger</x:v>
      </x:c>
      <x:c r="E3092" t="str">
        <x:f>'Release Gates'!I3052</x:f>
        <x:v>OPEN</x:v>
      </x:c>
      <x:c r="F3092" t="str">
        <x:f>IF('Release Gates'!C3052="PLANNING","PASS",IF('Release Gates'!C3052="PHYSICAL","OPEN","BLOCKED"))</x:f>
        <x:v>OPEN</x:v>
      </x:c>
      <x:c r="G3092" t="str">
        <x:v>equals</x:v>
      </x:c>
      <x:c r="H3092" t="str">
        <x:f>IF(E3092=F3092,"PASS","FAIL")</x:f>
        <x:v>PASS</x:v>
      </x:c>
    </x:row>
    <x:row r="3093">
      <x:c r="B3093" t="str">
        <x:v>A-03047</x:v>
      </x:c>
      <x:c r="C3093" t="str">
        <x:v>GATE</x:v>
      </x:c>
      <x:c r="D3093" t="str">
        <x:v>release state mirrors governing ledger</x:v>
      </x:c>
      <x:c r="E3093" t="str">
        <x:f>'Release Gates'!I3053</x:f>
        <x:v>OPEN</x:v>
      </x:c>
      <x:c r="F3093" t="str">
        <x:f>IF('Release Gates'!C3053="PLANNING","PASS",IF('Release Gates'!C3053="PHYSICAL","OPEN","BLOCKED"))</x:f>
        <x:v>OPEN</x:v>
      </x:c>
      <x:c r="G3093" t="str">
        <x:v>equals</x:v>
      </x:c>
      <x:c r="H3093" t="str">
        <x:f>IF(E3093=F3093,"PASS","FAIL")</x:f>
        <x:v>PASS</x:v>
      </x:c>
    </x:row>
    <x:row r="3094">
      <x:c r="B3094" t="str">
        <x:v>A-03048</x:v>
      </x:c>
      <x:c r="C3094" t="str">
        <x:v>GATE</x:v>
      </x:c>
      <x:c r="D3094" t="str">
        <x:v>release state mirrors governing ledger</x:v>
      </x:c>
      <x:c r="E3094" t="str">
        <x:f>'Release Gates'!I3054</x:f>
        <x:v>OPEN</x:v>
      </x:c>
      <x:c r="F3094" t="str">
        <x:f>IF('Release Gates'!C3054="PLANNING","PASS",IF('Release Gates'!C3054="PHYSICAL","OPEN","BLOCKED"))</x:f>
        <x:v>OPEN</x:v>
      </x:c>
      <x:c r="G3094" t="str">
        <x:v>equals</x:v>
      </x:c>
      <x:c r="H3094" t="str">
        <x:f>IF(E3094=F3094,"PASS","FAIL")</x:f>
        <x:v>PASS</x:v>
      </x:c>
    </x:row>
    <x:row r="3095">
      <x:c r="B3095" t="str">
        <x:v>A-03049</x:v>
      </x:c>
      <x:c r="C3095" t="str">
        <x:v>GATE</x:v>
      </x:c>
      <x:c r="D3095" t="str">
        <x:v>release state mirrors governing ledger</x:v>
      </x:c>
      <x:c r="E3095" t="str">
        <x:f>'Release Gates'!I3055</x:f>
        <x:v>OPEN</x:v>
      </x:c>
      <x:c r="F3095" t="str">
        <x:f>IF('Release Gates'!C3055="PLANNING","PASS",IF('Release Gates'!C3055="PHYSICAL","OPEN","BLOCKED"))</x:f>
        <x:v>OPEN</x:v>
      </x:c>
      <x:c r="G3095" t="str">
        <x:v>equals</x:v>
      </x:c>
      <x:c r="H3095" t="str">
        <x:f>IF(E3095=F3095,"PASS","FAIL")</x:f>
        <x:v>PASS</x:v>
      </x:c>
    </x:row>
    <x:row r="3096">
      <x:c r="B3096" t="str">
        <x:v>A-03050</x:v>
      </x:c>
      <x:c r="C3096" t="str">
        <x:v>GATE</x:v>
      </x:c>
      <x:c r="D3096" t="str">
        <x:v>release state mirrors governing ledger</x:v>
      </x:c>
      <x:c r="E3096" t="str">
        <x:f>'Release Gates'!I3056</x:f>
        <x:v>OPEN</x:v>
      </x:c>
      <x:c r="F3096" t="str">
        <x:f>IF('Release Gates'!C3056="PLANNING","PASS",IF('Release Gates'!C3056="PHYSICAL","OPEN","BLOCKED"))</x:f>
        <x:v>OPEN</x:v>
      </x:c>
      <x:c r="G3096" t="str">
        <x:v>equals</x:v>
      </x:c>
      <x:c r="H3096" t="str">
        <x:f>IF(E3096=F3096,"PASS","FAIL")</x:f>
        <x:v>PASS</x:v>
      </x:c>
    </x:row>
    <x:row r="3097">
      <x:c r="B3097" t="str">
        <x:v>A-03051</x:v>
      </x:c>
      <x:c r="C3097" t="str">
        <x:v>GATE</x:v>
      </x:c>
      <x:c r="D3097" t="str">
        <x:v>release state mirrors governing ledger</x:v>
      </x:c>
      <x:c r="E3097" t="str">
        <x:f>'Release Gates'!I3057</x:f>
        <x:v>OPEN</x:v>
      </x:c>
      <x:c r="F3097" t="str">
        <x:f>IF('Release Gates'!C3057="PLANNING","PASS",IF('Release Gates'!C3057="PHYSICAL","OPEN","BLOCKED"))</x:f>
        <x:v>OPEN</x:v>
      </x:c>
      <x:c r="G3097" t="str">
        <x:v>equals</x:v>
      </x:c>
      <x:c r="H3097" t="str">
        <x:f>IF(E3097=F3097,"PASS","FAIL")</x:f>
        <x:v>PASS</x:v>
      </x:c>
    </x:row>
    <x:row r="3098">
      <x:c r="B3098" t="str">
        <x:v>A-03052</x:v>
      </x:c>
      <x:c r="C3098" t="str">
        <x:v>GATE</x:v>
      </x:c>
      <x:c r="D3098" t="str">
        <x:v>release state mirrors governing ledger</x:v>
      </x:c>
      <x:c r="E3098" t="str">
        <x:f>'Release Gates'!I3058</x:f>
        <x:v>OPEN</x:v>
      </x:c>
      <x:c r="F3098" t="str">
        <x:f>IF('Release Gates'!C3058="PLANNING","PASS",IF('Release Gates'!C3058="PHYSICAL","OPEN","BLOCKED"))</x:f>
        <x:v>OPEN</x:v>
      </x:c>
      <x:c r="G3098" t="str">
        <x:v>equals</x:v>
      </x:c>
      <x:c r="H3098" t="str">
        <x:f>IF(E3098=F3098,"PASS","FAIL")</x:f>
        <x:v>PASS</x:v>
      </x:c>
    </x:row>
    <x:row r="3099">
      <x:c r="B3099" t="str">
        <x:v>A-03053</x:v>
      </x:c>
      <x:c r="C3099" t="str">
        <x:v>GATE</x:v>
      </x:c>
      <x:c r="D3099" t="str">
        <x:v>release state mirrors governing ledger</x:v>
      </x:c>
      <x:c r="E3099" t="str">
        <x:f>'Release Gates'!I3059</x:f>
        <x:v>OPEN</x:v>
      </x:c>
      <x:c r="F3099" t="str">
        <x:f>IF('Release Gates'!C3059="PLANNING","PASS",IF('Release Gates'!C3059="PHYSICAL","OPEN","BLOCKED"))</x:f>
        <x:v>OPEN</x:v>
      </x:c>
      <x:c r="G3099" t="str">
        <x:v>equals</x:v>
      </x:c>
      <x:c r="H3099" t="str">
        <x:f>IF(E3099=F3099,"PASS","FAIL")</x:f>
        <x:v>PASS</x:v>
      </x:c>
    </x:row>
    <x:row r="3100">
      <x:c r="B3100" t="str">
        <x:v>A-03054</x:v>
      </x:c>
      <x:c r="C3100" t="str">
        <x:v>GATE</x:v>
      </x:c>
      <x:c r="D3100" t="str">
        <x:v>release state mirrors governing ledger</x:v>
      </x:c>
      <x:c r="E3100" t="str">
        <x:f>'Release Gates'!I3060</x:f>
        <x:v>OPEN</x:v>
      </x:c>
      <x:c r="F3100" t="str">
        <x:f>IF('Release Gates'!C3060="PLANNING","PASS",IF('Release Gates'!C3060="PHYSICAL","OPEN","BLOCKED"))</x:f>
        <x:v>OPEN</x:v>
      </x:c>
      <x:c r="G3100" t="str">
        <x:v>equals</x:v>
      </x:c>
      <x:c r="H3100" t="str">
        <x:f>IF(E3100=F3100,"PASS","FAIL")</x:f>
        <x:v>PASS</x:v>
      </x:c>
    </x:row>
    <x:row r="3101">
      <x:c r="B3101" t="str">
        <x:v>A-03055</x:v>
      </x:c>
      <x:c r="C3101" t="str">
        <x:v>GATE</x:v>
      </x:c>
      <x:c r="D3101" t="str">
        <x:v>release state mirrors governing ledger</x:v>
      </x:c>
      <x:c r="E3101" t="str">
        <x:f>'Release Gates'!I3061</x:f>
        <x:v>OPEN</x:v>
      </x:c>
      <x:c r="F3101" t="str">
        <x:f>IF('Release Gates'!C3061="PLANNING","PASS",IF('Release Gates'!C3061="PHYSICAL","OPEN","BLOCKED"))</x:f>
        <x:v>OPEN</x:v>
      </x:c>
      <x:c r="G3101" t="str">
        <x:v>equals</x:v>
      </x:c>
      <x:c r="H3101" t="str">
        <x:f>IF(E3101=F3101,"PASS","FAIL")</x:f>
        <x:v>PASS</x:v>
      </x:c>
    </x:row>
    <x:row r="3102">
      <x:c r="B3102" t="str">
        <x:v>A-03056</x:v>
      </x:c>
      <x:c r="C3102" t="str">
        <x:v>GATE</x:v>
      </x:c>
      <x:c r="D3102" t="str">
        <x:v>release state mirrors governing ledger</x:v>
      </x:c>
      <x:c r="E3102" t="str">
        <x:f>'Release Gates'!I3062</x:f>
        <x:v>OPEN</x:v>
      </x:c>
      <x:c r="F3102" t="str">
        <x:f>IF('Release Gates'!C3062="PLANNING","PASS",IF('Release Gates'!C3062="PHYSICAL","OPEN","BLOCKED"))</x:f>
        <x:v>OPEN</x:v>
      </x:c>
      <x:c r="G3102" t="str">
        <x:v>equals</x:v>
      </x:c>
      <x:c r="H3102" t="str">
        <x:f>IF(E3102=F3102,"PASS","FAIL")</x:f>
        <x:v>PASS</x:v>
      </x:c>
    </x:row>
    <x:row r="3103">
      <x:c r="B3103" t="str">
        <x:v>A-03057</x:v>
      </x:c>
      <x:c r="C3103" t="str">
        <x:v>GATE</x:v>
      </x:c>
      <x:c r="D3103" t="str">
        <x:v>release state mirrors governing ledger</x:v>
      </x:c>
      <x:c r="E3103" t="str">
        <x:f>'Release Gates'!I3063</x:f>
        <x:v>OPEN</x:v>
      </x:c>
      <x:c r="F3103" t="str">
        <x:f>IF('Release Gates'!C3063="PLANNING","PASS",IF('Release Gates'!C3063="PHYSICAL","OPEN","BLOCKED"))</x:f>
        <x:v>OPEN</x:v>
      </x:c>
      <x:c r="G3103" t="str">
        <x:v>equals</x:v>
      </x:c>
      <x:c r="H3103" t="str">
        <x:f>IF(E3103=F3103,"PASS","FAIL")</x:f>
        <x:v>PASS</x:v>
      </x:c>
    </x:row>
    <x:row r="3104">
      <x:c r="B3104" t="str">
        <x:v>A-03058</x:v>
      </x:c>
      <x:c r="C3104" t="str">
        <x:v>GATE</x:v>
      </x:c>
      <x:c r="D3104" t="str">
        <x:v>release state mirrors governing ledger</x:v>
      </x:c>
      <x:c r="E3104" t="str">
        <x:f>'Release Gates'!I3064</x:f>
        <x:v>OPEN</x:v>
      </x:c>
      <x:c r="F3104" t="str">
        <x:f>IF('Release Gates'!C3064="PLANNING","PASS",IF('Release Gates'!C3064="PHYSICAL","OPEN","BLOCKED"))</x:f>
        <x:v>OPEN</x:v>
      </x:c>
      <x:c r="G3104" t="str">
        <x:v>equals</x:v>
      </x:c>
      <x:c r="H3104" t="str">
        <x:f>IF(E3104=F3104,"PASS","FAIL")</x:f>
        <x:v>PASS</x:v>
      </x:c>
    </x:row>
    <x:row r="3105">
      <x:c r="B3105" t="str">
        <x:v>A-03059</x:v>
      </x:c>
      <x:c r="C3105" t="str">
        <x:v>GATE</x:v>
      </x:c>
      <x:c r="D3105" t="str">
        <x:v>release state mirrors governing ledger</x:v>
      </x:c>
      <x:c r="E3105" t="str">
        <x:f>'Release Gates'!I3065</x:f>
        <x:v>OPEN</x:v>
      </x:c>
      <x:c r="F3105" t="str">
        <x:f>IF('Release Gates'!C3065="PLANNING","PASS",IF('Release Gates'!C3065="PHYSICAL","OPEN","BLOCKED"))</x:f>
        <x:v>OPEN</x:v>
      </x:c>
      <x:c r="G3105" t="str">
        <x:v>equals</x:v>
      </x:c>
      <x:c r="H3105" t="str">
        <x:f>IF(E3105=F3105,"PASS","FAIL")</x:f>
        <x:v>PASS</x:v>
      </x:c>
    </x:row>
    <x:row r="3106">
      <x:c r="B3106" t="str">
        <x:v>A-03060</x:v>
      </x:c>
      <x:c r="C3106" t="str">
        <x:v>GATE</x:v>
      </x:c>
      <x:c r="D3106" t="str">
        <x:v>release state mirrors governing ledger</x:v>
      </x:c>
      <x:c r="E3106" t="str">
        <x:f>'Release Gates'!I3066</x:f>
        <x:v>OPEN</x:v>
      </x:c>
      <x:c r="F3106" t="str">
        <x:f>IF('Release Gates'!C3066="PLANNING","PASS",IF('Release Gates'!C3066="PHYSICAL","OPEN","BLOCKED"))</x:f>
        <x:v>OPEN</x:v>
      </x:c>
      <x:c r="G3106" t="str">
        <x:v>equals</x:v>
      </x:c>
      <x:c r="H3106" t="str">
        <x:f>IF(E3106=F3106,"PASS","FAIL")</x:f>
        <x:v>PASS</x:v>
      </x:c>
    </x:row>
    <x:row r="3107">
      <x:c r="B3107" t="str">
        <x:v>A-03061</x:v>
      </x:c>
      <x:c r="C3107" t="str">
        <x:v>GATE</x:v>
      </x:c>
      <x:c r="D3107" t="str">
        <x:v>release state mirrors governing ledger</x:v>
      </x:c>
      <x:c r="E3107" t="str">
        <x:f>'Release Gates'!I3067</x:f>
        <x:v>OPEN</x:v>
      </x:c>
      <x:c r="F3107" t="str">
        <x:f>IF('Release Gates'!C3067="PLANNING","PASS",IF('Release Gates'!C3067="PHYSICAL","OPEN","BLOCKED"))</x:f>
        <x:v>OPEN</x:v>
      </x:c>
      <x:c r="G3107" t="str">
        <x:v>equals</x:v>
      </x:c>
      <x:c r="H3107" t="str">
        <x:f>IF(E3107=F3107,"PASS","FAIL")</x:f>
        <x:v>PASS</x:v>
      </x:c>
    </x:row>
    <x:row r="3108">
      <x:c r="B3108" t="str">
        <x:v>A-03062</x:v>
      </x:c>
      <x:c r="C3108" t="str">
        <x:v>GATE</x:v>
      </x:c>
      <x:c r="D3108" t="str">
        <x:v>release state mirrors governing ledger</x:v>
      </x:c>
      <x:c r="E3108" t="str">
        <x:f>'Release Gates'!I3068</x:f>
        <x:v>OPEN</x:v>
      </x:c>
      <x:c r="F3108" t="str">
        <x:f>IF('Release Gates'!C3068="PLANNING","PASS",IF('Release Gates'!C3068="PHYSICAL","OPEN","BLOCKED"))</x:f>
        <x:v>OPEN</x:v>
      </x:c>
      <x:c r="G3108" t="str">
        <x:v>equals</x:v>
      </x:c>
      <x:c r="H3108" t="str">
        <x:f>IF(E3108=F3108,"PASS","FAIL")</x:f>
        <x:v>PASS</x:v>
      </x:c>
    </x:row>
    <x:row r="3109">
      <x:c r="B3109" t="str">
        <x:v>A-03063</x:v>
      </x:c>
      <x:c r="C3109" t="str">
        <x:v>GATE</x:v>
      </x:c>
      <x:c r="D3109" t="str">
        <x:v>release state mirrors governing ledger</x:v>
      </x:c>
      <x:c r="E3109" t="str">
        <x:f>'Release Gates'!I3069</x:f>
        <x:v>OPEN</x:v>
      </x:c>
      <x:c r="F3109" t="str">
        <x:f>IF('Release Gates'!C3069="PLANNING","PASS",IF('Release Gates'!C3069="PHYSICAL","OPEN","BLOCKED"))</x:f>
        <x:v>OPEN</x:v>
      </x:c>
      <x:c r="G3109" t="str">
        <x:v>equals</x:v>
      </x:c>
      <x:c r="H3109" t="str">
        <x:f>IF(E3109=F3109,"PASS","FAIL")</x:f>
        <x:v>PASS</x:v>
      </x:c>
    </x:row>
    <x:row r="3110">
      <x:c r="B3110" t="str">
        <x:v>A-03064</x:v>
      </x:c>
      <x:c r="C3110" t="str">
        <x:v>GATE</x:v>
      </x:c>
      <x:c r="D3110" t="str">
        <x:v>release state mirrors governing ledger</x:v>
      </x:c>
      <x:c r="E3110" t="str">
        <x:f>'Release Gates'!I3070</x:f>
        <x:v>OPEN</x:v>
      </x:c>
      <x:c r="F3110" t="str">
        <x:f>IF('Release Gates'!C3070="PLANNING","PASS",IF('Release Gates'!C3070="PHYSICAL","OPEN","BLOCKED"))</x:f>
        <x:v>OPEN</x:v>
      </x:c>
      <x:c r="G3110" t="str">
        <x:v>equals</x:v>
      </x:c>
      <x:c r="H3110" t="str">
        <x:f>IF(E3110=F3110,"PASS","FAIL")</x:f>
        <x:v>PASS</x:v>
      </x:c>
    </x:row>
    <x:row r="3111">
      <x:c r="B3111" t="str">
        <x:v>A-03065</x:v>
      </x:c>
      <x:c r="C3111" t="str">
        <x:v>GATE</x:v>
      </x:c>
      <x:c r="D3111" t="str">
        <x:v>release state mirrors governing ledger</x:v>
      </x:c>
      <x:c r="E3111" t="str">
        <x:f>'Release Gates'!I3071</x:f>
        <x:v>OPEN</x:v>
      </x:c>
      <x:c r="F3111" t="str">
        <x:f>IF('Release Gates'!C3071="PLANNING","PASS",IF('Release Gates'!C3071="PHYSICAL","OPEN","BLOCKED"))</x:f>
        <x:v>OPEN</x:v>
      </x:c>
      <x:c r="G3111" t="str">
        <x:v>equals</x:v>
      </x:c>
      <x:c r="H3111" t="str">
        <x:f>IF(E3111=F3111,"PASS","FAIL")</x:f>
        <x:v>PASS</x:v>
      </x:c>
    </x:row>
    <x:row r="3112">
      <x:c r="B3112" t="str">
        <x:v>A-03066</x:v>
      </x:c>
      <x:c r="C3112" t="str">
        <x:v>GATE</x:v>
      </x:c>
      <x:c r="D3112" t="str">
        <x:v>release state mirrors governing ledger</x:v>
      </x:c>
      <x:c r="E3112" t="str">
        <x:f>'Release Gates'!I3072</x:f>
        <x:v>OPEN</x:v>
      </x:c>
      <x:c r="F3112" t="str">
        <x:f>IF('Release Gates'!C3072="PLANNING","PASS",IF('Release Gates'!C3072="PHYSICAL","OPEN","BLOCKED"))</x:f>
        <x:v>OPEN</x:v>
      </x:c>
      <x:c r="G3112" t="str">
        <x:v>equals</x:v>
      </x:c>
      <x:c r="H3112" t="str">
        <x:f>IF(E3112=F3112,"PASS","FAIL")</x:f>
        <x:v>PASS</x:v>
      </x:c>
    </x:row>
    <x:row r="3113">
      <x:c r="B3113" t="str">
        <x:v>A-03067</x:v>
      </x:c>
      <x:c r="C3113" t="str">
        <x:v>GATE</x:v>
      </x:c>
      <x:c r="D3113" t="str">
        <x:v>release state mirrors governing ledger</x:v>
      </x:c>
      <x:c r="E3113" t="str">
        <x:f>'Release Gates'!I3073</x:f>
        <x:v>OPEN</x:v>
      </x:c>
      <x:c r="F3113" t="str">
        <x:f>IF('Release Gates'!C3073="PLANNING","PASS",IF('Release Gates'!C3073="PHYSICAL","OPEN","BLOCKED"))</x:f>
        <x:v>OPEN</x:v>
      </x:c>
      <x:c r="G3113" t="str">
        <x:v>equals</x:v>
      </x:c>
      <x:c r="H3113" t="str">
        <x:f>IF(E3113=F3113,"PASS","FAIL")</x:f>
        <x:v>PASS</x:v>
      </x:c>
    </x:row>
    <x:row r="3114">
      <x:c r="B3114" t="str">
        <x:v>A-03068</x:v>
      </x:c>
      <x:c r="C3114" t="str">
        <x:v>GATE</x:v>
      </x:c>
      <x:c r="D3114" t="str">
        <x:v>release state mirrors governing ledger</x:v>
      </x:c>
      <x:c r="E3114" t="str">
        <x:f>'Release Gates'!I3074</x:f>
        <x:v>OPEN</x:v>
      </x:c>
      <x:c r="F3114" t="str">
        <x:f>IF('Release Gates'!C3074="PLANNING","PASS",IF('Release Gates'!C3074="PHYSICAL","OPEN","BLOCKED"))</x:f>
        <x:v>OPEN</x:v>
      </x:c>
      <x:c r="G3114" t="str">
        <x:v>equals</x:v>
      </x:c>
      <x:c r="H3114" t="str">
        <x:f>IF(E3114=F3114,"PASS","FAIL")</x:f>
        <x:v>PASS</x:v>
      </x:c>
    </x:row>
    <x:row r="3115">
      <x:c r="B3115" t="str">
        <x:v>A-03069</x:v>
      </x:c>
      <x:c r="C3115" t="str">
        <x:v>GATE</x:v>
      </x:c>
      <x:c r="D3115" t="str">
        <x:v>release state mirrors governing ledger</x:v>
      </x:c>
      <x:c r="E3115" t="str">
        <x:f>'Release Gates'!I3075</x:f>
        <x:v>OPEN</x:v>
      </x:c>
      <x:c r="F3115" t="str">
        <x:f>IF('Release Gates'!C3075="PLANNING","PASS",IF('Release Gates'!C3075="PHYSICAL","OPEN","BLOCKED"))</x:f>
        <x:v>OPEN</x:v>
      </x:c>
      <x:c r="G3115" t="str">
        <x:v>equals</x:v>
      </x:c>
      <x:c r="H3115" t="str">
        <x:f>IF(E3115=F3115,"PASS","FAIL")</x:f>
        <x:v>PASS</x:v>
      </x:c>
    </x:row>
    <x:row r="3116">
      <x:c r="B3116" t="str">
        <x:v>A-03070</x:v>
      </x:c>
      <x:c r="C3116" t="str">
        <x:v>GATE</x:v>
      </x:c>
      <x:c r="D3116" t="str">
        <x:v>release state mirrors governing ledger</x:v>
      </x:c>
      <x:c r="E3116" t="str">
        <x:f>'Release Gates'!I3076</x:f>
        <x:v>OPEN</x:v>
      </x:c>
      <x:c r="F3116" t="str">
        <x:f>IF('Release Gates'!C3076="PLANNING","PASS",IF('Release Gates'!C3076="PHYSICAL","OPEN","BLOCKED"))</x:f>
        <x:v>OPEN</x:v>
      </x:c>
      <x:c r="G3116" t="str">
        <x:v>equals</x:v>
      </x:c>
      <x:c r="H3116" t="str">
        <x:f>IF(E3116=F3116,"PASS","FAIL")</x:f>
        <x:v>PASS</x:v>
      </x:c>
    </x:row>
    <x:row r="3117">
      <x:c r="B3117" t="str">
        <x:v>A-03071</x:v>
      </x:c>
      <x:c r="C3117" t="str">
        <x:v>GATE</x:v>
      </x:c>
      <x:c r="D3117" t="str">
        <x:v>release state mirrors governing ledger</x:v>
      </x:c>
      <x:c r="E3117" t="str">
        <x:f>'Release Gates'!I3077</x:f>
        <x:v>OPEN</x:v>
      </x:c>
      <x:c r="F3117" t="str">
        <x:f>IF('Release Gates'!C3077="PLANNING","PASS",IF('Release Gates'!C3077="PHYSICAL","OPEN","BLOCKED"))</x:f>
        <x:v>OPEN</x:v>
      </x:c>
      <x:c r="G3117" t="str">
        <x:v>equals</x:v>
      </x:c>
      <x:c r="H3117" t="str">
        <x:f>IF(E3117=F3117,"PASS","FAIL")</x:f>
        <x:v>PASS</x:v>
      </x:c>
    </x:row>
    <x:row r="3118">
      <x:c r="B3118" t="str">
        <x:v>A-03072</x:v>
      </x:c>
      <x:c r="C3118" t="str">
        <x:v>GATE</x:v>
      </x:c>
      <x:c r="D3118" t="str">
        <x:v>release state mirrors governing ledger</x:v>
      </x:c>
      <x:c r="E3118" t="str">
        <x:f>'Release Gates'!I3078</x:f>
        <x:v>OPEN</x:v>
      </x:c>
      <x:c r="F3118" t="str">
        <x:f>IF('Release Gates'!C3078="PLANNING","PASS",IF('Release Gates'!C3078="PHYSICAL","OPEN","BLOCKED"))</x:f>
        <x:v>OPEN</x:v>
      </x:c>
      <x:c r="G3118" t="str">
        <x:v>equals</x:v>
      </x:c>
      <x:c r="H3118" t="str">
        <x:f>IF(E3118=F3118,"PASS","FAIL")</x:f>
        <x:v>PASS</x:v>
      </x:c>
    </x:row>
    <x:row r="3119">
      <x:c r="B3119" t="str">
        <x:v>A-03073</x:v>
      </x:c>
      <x:c r="C3119" t="str">
        <x:v>GATE</x:v>
      </x:c>
      <x:c r="D3119" t="str">
        <x:v>release state mirrors governing ledger</x:v>
      </x:c>
      <x:c r="E3119" t="str">
        <x:f>'Release Gates'!I3079</x:f>
        <x:v>OPEN</x:v>
      </x:c>
      <x:c r="F3119" t="str">
        <x:f>IF('Release Gates'!C3079="PLANNING","PASS",IF('Release Gates'!C3079="PHYSICAL","OPEN","BLOCKED"))</x:f>
        <x:v>OPEN</x:v>
      </x:c>
      <x:c r="G3119" t="str">
        <x:v>equals</x:v>
      </x:c>
      <x:c r="H3119" t="str">
        <x:f>IF(E3119=F3119,"PASS","FAIL")</x:f>
        <x:v>PASS</x:v>
      </x:c>
    </x:row>
    <x:row r="3120">
      <x:c r="B3120" t="str">
        <x:v>A-03074</x:v>
      </x:c>
      <x:c r="C3120" t="str">
        <x:v>GATE</x:v>
      </x:c>
      <x:c r="D3120" t="str">
        <x:v>release state mirrors governing ledger</x:v>
      </x:c>
      <x:c r="E3120" t="str">
        <x:f>'Release Gates'!I3080</x:f>
        <x:v>OPEN</x:v>
      </x:c>
      <x:c r="F3120" t="str">
        <x:f>IF('Release Gates'!C3080="PLANNING","PASS",IF('Release Gates'!C3080="PHYSICAL","OPEN","BLOCKED"))</x:f>
        <x:v>OPEN</x:v>
      </x:c>
      <x:c r="G3120" t="str">
        <x:v>equals</x:v>
      </x:c>
      <x:c r="H3120" t="str">
        <x:f>IF(E3120=F3120,"PASS","FAIL")</x:f>
        <x:v>PASS</x:v>
      </x:c>
    </x:row>
    <x:row r="3121">
      <x:c r="B3121" t="str">
        <x:v>A-03075</x:v>
      </x:c>
      <x:c r="C3121" t="str">
        <x:v>GATE</x:v>
      </x:c>
      <x:c r="D3121" t="str">
        <x:v>release state mirrors governing ledger</x:v>
      </x:c>
      <x:c r="E3121" t="str">
        <x:f>'Release Gates'!I3081</x:f>
        <x:v>OPEN</x:v>
      </x:c>
      <x:c r="F3121" t="str">
        <x:f>IF('Release Gates'!C3081="PLANNING","PASS",IF('Release Gates'!C3081="PHYSICAL","OPEN","BLOCKED"))</x:f>
        <x:v>OPEN</x:v>
      </x:c>
      <x:c r="G3121" t="str">
        <x:v>equals</x:v>
      </x:c>
      <x:c r="H3121" t="str">
        <x:f>IF(E3121=F3121,"PASS","FAIL")</x:f>
        <x:v>PASS</x:v>
      </x:c>
    </x:row>
    <x:row r="3122">
      <x:c r="B3122" t="str">
        <x:v>A-03076</x:v>
      </x:c>
      <x:c r="C3122" t="str">
        <x:v>GATE</x:v>
      </x:c>
      <x:c r="D3122" t="str">
        <x:v>release state mirrors governing ledger</x:v>
      </x:c>
      <x:c r="E3122" t="str">
        <x:f>'Release Gates'!I3082</x:f>
        <x:v>OPEN</x:v>
      </x:c>
      <x:c r="F3122" t="str">
        <x:f>IF('Release Gates'!C3082="PLANNING","PASS",IF('Release Gates'!C3082="PHYSICAL","OPEN","BLOCKED"))</x:f>
        <x:v>OPEN</x:v>
      </x:c>
      <x:c r="G3122" t="str">
        <x:v>equals</x:v>
      </x:c>
      <x:c r="H3122" t="str">
        <x:f>IF(E3122=F3122,"PASS","FAIL")</x:f>
        <x:v>PASS</x:v>
      </x:c>
    </x:row>
    <x:row r="3123">
      <x:c r="B3123" t="str">
        <x:v>A-03077</x:v>
      </x:c>
      <x:c r="C3123" t="str">
        <x:v>GATE</x:v>
      </x:c>
      <x:c r="D3123" t="str">
        <x:v>release state mirrors governing ledger</x:v>
      </x:c>
      <x:c r="E3123" t="str">
        <x:f>'Release Gates'!I3083</x:f>
        <x:v>OPEN</x:v>
      </x:c>
      <x:c r="F3123" t="str">
        <x:f>IF('Release Gates'!C3083="PLANNING","PASS",IF('Release Gates'!C3083="PHYSICAL","OPEN","BLOCKED"))</x:f>
        <x:v>OPEN</x:v>
      </x:c>
      <x:c r="G3123" t="str">
        <x:v>equals</x:v>
      </x:c>
      <x:c r="H3123" t="str">
        <x:f>IF(E3123=F3123,"PASS","FAIL")</x:f>
        <x:v>PASS</x:v>
      </x:c>
    </x:row>
    <x:row r="3124">
      <x:c r="B3124" t="str">
        <x:v>A-03078</x:v>
      </x:c>
      <x:c r="C3124" t="str">
        <x:v>GATE</x:v>
      </x:c>
      <x:c r="D3124" t="str">
        <x:v>release state mirrors governing ledger</x:v>
      </x:c>
      <x:c r="E3124" t="str">
        <x:f>'Release Gates'!I3084</x:f>
        <x:v>OPEN</x:v>
      </x:c>
      <x:c r="F3124" t="str">
        <x:f>IF('Release Gates'!C3084="PLANNING","PASS",IF('Release Gates'!C3084="PHYSICAL","OPEN","BLOCKED"))</x:f>
        <x:v>OPEN</x:v>
      </x:c>
      <x:c r="G3124" t="str">
        <x:v>equals</x:v>
      </x:c>
      <x:c r="H3124" t="str">
        <x:f>IF(E3124=F3124,"PASS","FAIL")</x:f>
        <x:v>PASS</x:v>
      </x:c>
    </x:row>
    <x:row r="3125">
      <x:c r="B3125" t="str">
        <x:v>A-03079</x:v>
      </x:c>
      <x:c r="C3125" t="str">
        <x:v>GATE</x:v>
      </x:c>
      <x:c r="D3125" t="str">
        <x:v>release state mirrors governing ledger</x:v>
      </x:c>
      <x:c r="E3125" t="str">
        <x:f>'Release Gates'!I3085</x:f>
        <x:v>OPEN</x:v>
      </x:c>
      <x:c r="F3125" t="str">
        <x:f>IF('Release Gates'!C3085="PLANNING","PASS",IF('Release Gates'!C3085="PHYSICAL","OPEN","BLOCKED"))</x:f>
        <x:v>OPEN</x:v>
      </x:c>
      <x:c r="G3125" t="str">
        <x:v>equals</x:v>
      </x:c>
      <x:c r="H3125" t="str">
        <x:f>IF(E3125=F3125,"PASS","FAIL")</x:f>
        <x:v>PASS</x:v>
      </x:c>
    </x:row>
    <x:row r="3126">
      <x:c r="B3126" t="str">
        <x:v>A-03080</x:v>
      </x:c>
      <x:c r="C3126" t="str">
        <x:v>GATE</x:v>
      </x:c>
      <x:c r="D3126" t="str">
        <x:v>release state mirrors governing ledger</x:v>
      </x:c>
      <x:c r="E3126" t="str">
        <x:f>'Release Gates'!I3086</x:f>
        <x:v>OPEN</x:v>
      </x:c>
      <x:c r="F3126" t="str">
        <x:f>IF('Release Gates'!C3086="PLANNING","PASS",IF('Release Gates'!C3086="PHYSICAL","OPEN","BLOCKED"))</x:f>
        <x:v>OPEN</x:v>
      </x:c>
      <x:c r="G3126" t="str">
        <x:v>equals</x:v>
      </x:c>
      <x:c r="H3126" t="str">
        <x:f>IF(E3126=F3126,"PASS","FAIL")</x:f>
        <x:v>PASS</x:v>
      </x:c>
    </x:row>
    <x:row r="3127">
      <x:c r="B3127" t="str">
        <x:v>A-03081</x:v>
      </x:c>
      <x:c r="C3127" t="str">
        <x:v>GATE</x:v>
      </x:c>
      <x:c r="D3127" t="str">
        <x:v>release state mirrors governing ledger</x:v>
      </x:c>
      <x:c r="E3127" t="str">
        <x:f>'Release Gates'!I3087</x:f>
        <x:v>OPEN</x:v>
      </x:c>
      <x:c r="F3127" t="str">
        <x:f>IF('Release Gates'!C3087="PLANNING","PASS",IF('Release Gates'!C3087="PHYSICAL","OPEN","BLOCKED"))</x:f>
        <x:v>OPEN</x:v>
      </x:c>
      <x:c r="G3127" t="str">
        <x:v>equals</x:v>
      </x:c>
      <x:c r="H3127" t="str">
        <x:f>IF(E3127=F3127,"PASS","FAIL")</x:f>
        <x:v>PASS</x:v>
      </x:c>
    </x:row>
    <x:row r="3128">
      <x:c r="B3128" t="str">
        <x:v>A-03082</x:v>
      </x:c>
      <x:c r="C3128" t="str">
        <x:v>GATE</x:v>
      </x:c>
      <x:c r="D3128" t="str">
        <x:v>release state mirrors governing ledger</x:v>
      </x:c>
      <x:c r="E3128" t="str">
        <x:f>'Release Gates'!I3088</x:f>
        <x:v>OPEN</x:v>
      </x:c>
      <x:c r="F3128" t="str">
        <x:f>IF('Release Gates'!C3088="PLANNING","PASS",IF('Release Gates'!C3088="PHYSICAL","OPEN","BLOCKED"))</x:f>
        <x:v>OPEN</x:v>
      </x:c>
      <x:c r="G3128" t="str">
        <x:v>equals</x:v>
      </x:c>
      <x:c r="H3128" t="str">
        <x:f>IF(E3128=F3128,"PASS","FAIL")</x:f>
        <x:v>PASS</x:v>
      </x:c>
    </x:row>
    <x:row r="3129">
      <x:c r="B3129" t="str">
        <x:v>A-03083</x:v>
      </x:c>
      <x:c r="C3129" t="str">
        <x:v>GATE</x:v>
      </x:c>
      <x:c r="D3129" t="str">
        <x:v>release state mirrors governing ledger</x:v>
      </x:c>
      <x:c r="E3129" t="str">
        <x:f>'Release Gates'!I3089</x:f>
        <x:v>OPEN</x:v>
      </x:c>
      <x:c r="F3129" t="str">
        <x:f>IF('Release Gates'!C3089="PLANNING","PASS",IF('Release Gates'!C3089="PHYSICAL","OPEN","BLOCKED"))</x:f>
        <x:v>OPEN</x:v>
      </x:c>
      <x:c r="G3129" t="str">
        <x:v>equals</x:v>
      </x:c>
      <x:c r="H3129" t="str">
        <x:f>IF(E3129=F3129,"PASS","FAIL")</x:f>
        <x:v>PASS</x:v>
      </x:c>
    </x:row>
    <x:row r="3130">
      <x:c r="B3130" t="str">
        <x:v>A-03084</x:v>
      </x:c>
      <x:c r="C3130" t="str">
        <x:v>GATE</x:v>
      </x:c>
      <x:c r="D3130" t="str">
        <x:v>release state mirrors governing ledger</x:v>
      </x:c>
      <x:c r="E3130" t="str">
        <x:f>'Release Gates'!I3090</x:f>
        <x:v>OPEN</x:v>
      </x:c>
      <x:c r="F3130" t="str">
        <x:f>IF('Release Gates'!C3090="PLANNING","PASS",IF('Release Gates'!C3090="PHYSICAL","OPEN","BLOCKED"))</x:f>
        <x:v>OPEN</x:v>
      </x:c>
      <x:c r="G3130" t="str">
        <x:v>equals</x:v>
      </x:c>
      <x:c r="H3130" t="str">
        <x:f>IF(E3130=F3130,"PASS","FAIL")</x:f>
        <x:v>PASS</x:v>
      </x:c>
    </x:row>
    <x:row r="3131">
      <x:c r="B3131" t="str">
        <x:v>A-03085</x:v>
      </x:c>
      <x:c r="C3131" t="str">
        <x:v>GATE</x:v>
      </x:c>
      <x:c r="D3131" t="str">
        <x:v>release state mirrors governing ledger</x:v>
      </x:c>
      <x:c r="E3131" t="str">
        <x:f>'Release Gates'!I3091</x:f>
        <x:v>OPEN</x:v>
      </x:c>
      <x:c r="F3131" t="str">
        <x:f>IF('Release Gates'!C3091="PLANNING","PASS",IF('Release Gates'!C3091="PHYSICAL","OPEN","BLOCKED"))</x:f>
        <x:v>OPEN</x:v>
      </x:c>
      <x:c r="G3131" t="str">
        <x:v>equals</x:v>
      </x:c>
      <x:c r="H3131" t="str">
        <x:f>IF(E3131=F3131,"PASS","FAIL")</x:f>
        <x:v>PASS</x:v>
      </x:c>
    </x:row>
    <x:row r="3132">
      <x:c r="B3132" t="str">
        <x:v>A-03086</x:v>
      </x:c>
      <x:c r="C3132" t="str">
        <x:v>GATE</x:v>
      </x:c>
      <x:c r="D3132" t="str">
        <x:v>release state mirrors governing ledger</x:v>
      </x:c>
      <x:c r="E3132" t="str">
        <x:f>'Release Gates'!I3092</x:f>
        <x:v>OPEN</x:v>
      </x:c>
      <x:c r="F3132" t="str">
        <x:f>IF('Release Gates'!C3092="PLANNING","PASS",IF('Release Gates'!C3092="PHYSICAL","OPEN","BLOCKED"))</x:f>
        <x:v>OPEN</x:v>
      </x:c>
      <x:c r="G3132" t="str">
        <x:v>equals</x:v>
      </x:c>
      <x:c r="H3132" t="str">
        <x:f>IF(E3132=F3132,"PASS","FAIL")</x:f>
        <x:v>PASS</x:v>
      </x:c>
    </x:row>
    <x:row r="3133">
      <x:c r="B3133" t="str">
        <x:v>A-03087</x:v>
      </x:c>
      <x:c r="C3133" t="str">
        <x:v>GATE</x:v>
      </x:c>
      <x:c r="D3133" t="str">
        <x:v>release state mirrors governing ledger</x:v>
      </x:c>
      <x:c r="E3133" t="str">
        <x:f>'Release Gates'!I3093</x:f>
        <x:v>OPEN</x:v>
      </x:c>
      <x:c r="F3133" t="str">
        <x:f>IF('Release Gates'!C3093="PLANNING","PASS",IF('Release Gates'!C3093="PHYSICAL","OPEN","BLOCKED"))</x:f>
        <x:v>OPEN</x:v>
      </x:c>
      <x:c r="G3133" t="str">
        <x:v>equals</x:v>
      </x:c>
      <x:c r="H3133" t="str">
        <x:f>IF(E3133=F3133,"PASS","FAIL")</x:f>
        <x:v>PASS</x:v>
      </x:c>
    </x:row>
    <x:row r="3134">
      <x:c r="B3134" t="str">
        <x:v>A-03088</x:v>
      </x:c>
      <x:c r="C3134" t="str">
        <x:v>GATE</x:v>
      </x:c>
      <x:c r="D3134" t="str">
        <x:v>release state mirrors governing ledger</x:v>
      </x:c>
      <x:c r="E3134" t="str">
        <x:f>'Release Gates'!I3094</x:f>
        <x:v>OPEN</x:v>
      </x:c>
      <x:c r="F3134" t="str">
        <x:f>IF('Release Gates'!C3094="PLANNING","PASS",IF('Release Gates'!C3094="PHYSICAL","OPEN","BLOCKED"))</x:f>
        <x:v>OPEN</x:v>
      </x:c>
      <x:c r="G3134" t="str">
        <x:v>equals</x:v>
      </x:c>
      <x:c r="H3134" t="str">
        <x:f>IF(E3134=F3134,"PASS","FAIL")</x:f>
        <x:v>PASS</x:v>
      </x:c>
    </x:row>
    <x:row r="3135">
      <x:c r="B3135" t="str">
        <x:v>A-03089</x:v>
      </x:c>
      <x:c r="C3135" t="str">
        <x:v>GATE</x:v>
      </x:c>
      <x:c r="D3135" t="str">
        <x:v>release state mirrors governing ledger</x:v>
      </x:c>
      <x:c r="E3135" t="str">
        <x:f>'Release Gates'!I3095</x:f>
        <x:v>OPEN</x:v>
      </x:c>
      <x:c r="F3135" t="str">
        <x:f>IF('Release Gates'!C3095="PLANNING","PASS",IF('Release Gates'!C3095="PHYSICAL","OPEN","BLOCKED"))</x:f>
        <x:v>OPEN</x:v>
      </x:c>
      <x:c r="G3135" t="str">
        <x:v>equals</x:v>
      </x:c>
      <x:c r="H3135" t="str">
        <x:f>IF(E3135=F3135,"PASS","FAIL")</x:f>
        <x:v>PASS</x:v>
      </x:c>
    </x:row>
    <x:row r="3136">
      <x:c r="B3136" t="str">
        <x:v>A-03090</x:v>
      </x:c>
      <x:c r="C3136" t="str">
        <x:v>GATE</x:v>
      </x:c>
      <x:c r="D3136" t="str">
        <x:v>release state mirrors governing ledger</x:v>
      </x:c>
      <x:c r="E3136" t="str">
        <x:f>'Release Gates'!I3096</x:f>
        <x:v>OPEN</x:v>
      </x:c>
      <x:c r="F3136" t="str">
        <x:f>IF('Release Gates'!C3096="PLANNING","PASS",IF('Release Gates'!C3096="PHYSICAL","OPEN","BLOCKED"))</x:f>
        <x:v>OPEN</x:v>
      </x:c>
      <x:c r="G3136" t="str">
        <x:v>equals</x:v>
      </x:c>
      <x:c r="H3136" t="str">
        <x:f>IF(E3136=F3136,"PASS","FAIL")</x:f>
        <x:v>PASS</x:v>
      </x:c>
    </x:row>
    <x:row r="3137">
      <x:c r="B3137" t="str">
        <x:v>A-03091</x:v>
      </x:c>
      <x:c r="C3137" t="str">
        <x:v>GATE</x:v>
      </x:c>
      <x:c r="D3137" t="str">
        <x:v>release state mirrors governing ledger</x:v>
      </x:c>
      <x:c r="E3137" t="str">
        <x:f>'Release Gates'!I3097</x:f>
        <x:v>OPEN</x:v>
      </x:c>
      <x:c r="F3137" t="str">
        <x:f>IF('Release Gates'!C3097="PLANNING","PASS",IF('Release Gates'!C3097="PHYSICAL","OPEN","BLOCKED"))</x:f>
        <x:v>OPEN</x:v>
      </x:c>
      <x:c r="G3137" t="str">
        <x:v>equals</x:v>
      </x:c>
      <x:c r="H3137" t="str">
        <x:f>IF(E3137=F3137,"PASS","FAIL")</x:f>
        <x:v>PASS</x:v>
      </x:c>
    </x:row>
    <x:row r="3138">
      <x:c r="B3138" t="str">
        <x:v>A-03092</x:v>
      </x:c>
      <x:c r="C3138" t="str">
        <x:v>GATE</x:v>
      </x:c>
      <x:c r="D3138" t="str">
        <x:v>release state mirrors governing ledger</x:v>
      </x:c>
      <x:c r="E3138" t="str">
        <x:f>'Release Gates'!I3098</x:f>
        <x:v>OPEN</x:v>
      </x:c>
      <x:c r="F3138" t="str">
        <x:f>IF('Release Gates'!C3098="PLANNING","PASS",IF('Release Gates'!C3098="PHYSICAL","OPEN","BLOCKED"))</x:f>
        <x:v>OPEN</x:v>
      </x:c>
      <x:c r="G3138" t="str">
        <x:v>equals</x:v>
      </x:c>
      <x:c r="H3138" t="str">
        <x:f>IF(E3138=F3138,"PASS","FAIL")</x:f>
        <x:v>PASS</x:v>
      </x:c>
    </x:row>
    <x:row r="3139">
      <x:c r="B3139" t="str">
        <x:v>A-03093</x:v>
      </x:c>
      <x:c r="C3139" t="str">
        <x:v>GATE</x:v>
      </x:c>
      <x:c r="D3139" t="str">
        <x:v>release state mirrors governing ledger</x:v>
      </x:c>
      <x:c r="E3139" t="str">
        <x:f>'Release Gates'!I3099</x:f>
        <x:v>OPEN</x:v>
      </x:c>
      <x:c r="F3139" t="str">
        <x:f>IF('Release Gates'!C3099="PLANNING","PASS",IF('Release Gates'!C3099="PHYSICAL","OPEN","BLOCKED"))</x:f>
        <x:v>OPEN</x:v>
      </x:c>
      <x:c r="G3139" t="str">
        <x:v>equals</x:v>
      </x:c>
      <x:c r="H3139" t="str">
        <x:f>IF(E3139=F3139,"PASS","FAIL")</x:f>
        <x:v>PASS</x:v>
      </x:c>
    </x:row>
    <x:row r="3140">
      <x:c r="B3140" t="str">
        <x:v>A-03094</x:v>
      </x:c>
      <x:c r="C3140" t="str">
        <x:v>GATE</x:v>
      </x:c>
      <x:c r="D3140" t="str">
        <x:v>release state mirrors governing ledger</x:v>
      </x:c>
      <x:c r="E3140" t="str">
        <x:f>'Release Gates'!I3100</x:f>
        <x:v>OPEN</x:v>
      </x:c>
      <x:c r="F3140" t="str">
        <x:f>IF('Release Gates'!C3100="PLANNING","PASS",IF('Release Gates'!C3100="PHYSICAL","OPEN","BLOCKED"))</x:f>
        <x:v>OPEN</x:v>
      </x:c>
      <x:c r="G3140" t="str">
        <x:v>equals</x:v>
      </x:c>
      <x:c r="H3140" t="str">
        <x:f>IF(E3140=F3140,"PASS","FAIL")</x:f>
        <x:v>PASS</x:v>
      </x:c>
    </x:row>
    <x:row r="3141">
      <x:c r="B3141" t="str">
        <x:v>A-03095</x:v>
      </x:c>
      <x:c r="C3141" t="str">
        <x:v>GATE</x:v>
      </x:c>
      <x:c r="D3141" t="str">
        <x:v>release state mirrors governing ledger</x:v>
      </x:c>
      <x:c r="E3141" t="str">
        <x:f>'Release Gates'!I3101</x:f>
        <x:v>OPEN</x:v>
      </x:c>
      <x:c r="F3141" t="str">
        <x:f>IF('Release Gates'!C3101="PLANNING","PASS",IF('Release Gates'!C3101="PHYSICAL","OPEN","BLOCKED"))</x:f>
        <x:v>OPEN</x:v>
      </x:c>
      <x:c r="G3141" t="str">
        <x:v>equals</x:v>
      </x:c>
      <x:c r="H3141" t="str">
        <x:f>IF(E3141=F3141,"PASS","FAIL")</x:f>
        <x:v>PASS</x:v>
      </x:c>
    </x:row>
    <x:row r="3142">
      <x:c r="B3142" t="str">
        <x:v>A-03096</x:v>
      </x:c>
      <x:c r="C3142" t="str">
        <x:v>GATE</x:v>
      </x:c>
      <x:c r="D3142" t="str">
        <x:v>release state mirrors governing ledger</x:v>
      </x:c>
      <x:c r="E3142" t="str">
        <x:f>'Release Gates'!I3102</x:f>
        <x:v>OPEN</x:v>
      </x:c>
      <x:c r="F3142" t="str">
        <x:f>IF('Release Gates'!C3102="PLANNING","PASS",IF('Release Gates'!C3102="PHYSICAL","OPEN","BLOCKED"))</x:f>
        <x:v>OPEN</x:v>
      </x:c>
      <x:c r="G3142" t="str">
        <x:v>equals</x:v>
      </x:c>
      <x:c r="H3142" t="str">
        <x:f>IF(E3142=F3142,"PASS","FAIL")</x:f>
        <x:v>PASS</x:v>
      </x:c>
    </x:row>
    <x:row r="3143">
      <x:c r="B3143" t="str">
        <x:v>A-03097</x:v>
      </x:c>
      <x:c r="C3143" t="str">
        <x:v>GATE</x:v>
      </x:c>
      <x:c r="D3143" t="str">
        <x:v>release state mirrors governing ledger</x:v>
      </x:c>
      <x:c r="E3143" t="str">
        <x:f>'Release Gates'!I3103</x:f>
        <x:v>OPEN</x:v>
      </x:c>
      <x:c r="F3143" t="str">
        <x:f>IF('Release Gates'!C3103="PLANNING","PASS",IF('Release Gates'!C3103="PHYSICAL","OPEN","BLOCKED"))</x:f>
        <x:v>OPEN</x:v>
      </x:c>
      <x:c r="G3143" t="str">
        <x:v>equals</x:v>
      </x:c>
      <x:c r="H3143" t="str">
        <x:f>IF(E3143=F3143,"PASS","FAIL")</x:f>
        <x:v>PASS</x:v>
      </x:c>
    </x:row>
    <x:row r="3144">
      <x:c r="B3144" t="str">
        <x:v>A-03098</x:v>
      </x:c>
      <x:c r="C3144" t="str">
        <x:v>GATE</x:v>
      </x:c>
      <x:c r="D3144" t="str">
        <x:v>release state mirrors governing ledger</x:v>
      </x:c>
      <x:c r="E3144" t="str">
        <x:f>'Release Gates'!I3104</x:f>
        <x:v>OPEN</x:v>
      </x:c>
      <x:c r="F3144" t="str">
        <x:f>IF('Release Gates'!C3104="PLANNING","PASS",IF('Release Gates'!C3104="PHYSICAL","OPEN","BLOCKED"))</x:f>
        <x:v>OPEN</x:v>
      </x:c>
      <x:c r="G3144" t="str">
        <x:v>equals</x:v>
      </x:c>
      <x:c r="H3144" t="str">
        <x:f>IF(E3144=F3144,"PASS","FAIL")</x:f>
        <x:v>PASS</x:v>
      </x:c>
    </x:row>
    <x:row r="3145">
      <x:c r="B3145" t="str">
        <x:v>A-03099</x:v>
      </x:c>
      <x:c r="C3145" t="str">
        <x:v>GATE</x:v>
      </x:c>
      <x:c r="D3145" t="str">
        <x:v>release state mirrors governing ledger</x:v>
      </x:c>
      <x:c r="E3145" t="str">
        <x:f>'Release Gates'!I3105</x:f>
        <x:v>OPEN</x:v>
      </x:c>
      <x:c r="F3145" t="str">
        <x:f>IF('Release Gates'!C3105="PLANNING","PASS",IF('Release Gates'!C3105="PHYSICAL","OPEN","BLOCKED"))</x:f>
        <x:v>OPEN</x:v>
      </x:c>
      <x:c r="G3145" t="str">
        <x:v>equals</x:v>
      </x:c>
      <x:c r="H3145" t="str">
        <x:f>IF(E3145=F3145,"PASS","FAIL")</x:f>
        <x:v>PASS</x:v>
      </x:c>
    </x:row>
    <x:row r="3146">
      <x:c r="B3146" t="str">
        <x:v>A-03100</x:v>
      </x:c>
      <x:c r="C3146" t="str">
        <x:v>GATE</x:v>
      </x:c>
      <x:c r="D3146" t="str">
        <x:v>release state mirrors governing ledger</x:v>
      </x:c>
      <x:c r="E3146" t="str">
        <x:f>'Release Gates'!I3106</x:f>
        <x:v>OPEN</x:v>
      </x:c>
      <x:c r="F3146" t="str">
        <x:f>IF('Release Gates'!C3106="PLANNING","PASS",IF('Release Gates'!C3106="PHYSICAL","OPEN","BLOCKED"))</x:f>
        <x:v>OPEN</x:v>
      </x:c>
      <x:c r="G3146" t="str">
        <x:v>equals</x:v>
      </x:c>
      <x:c r="H3146" t="str">
        <x:f>IF(E3146=F3146,"PASS","FAIL")</x:f>
        <x:v>PASS</x:v>
      </x:c>
    </x:row>
    <x:row r="3147">
      <x:c r="B3147" t="str">
        <x:v>A-03101</x:v>
      </x:c>
      <x:c r="C3147" t="str">
        <x:v>GATE</x:v>
      </x:c>
      <x:c r="D3147" t="str">
        <x:v>release state mirrors governing ledger</x:v>
      </x:c>
      <x:c r="E3147" t="str">
        <x:f>'Release Gates'!I3107</x:f>
        <x:v>OPEN</x:v>
      </x:c>
      <x:c r="F3147" t="str">
        <x:f>IF('Release Gates'!C3107="PLANNING","PASS",IF('Release Gates'!C3107="PHYSICAL","OPEN","BLOCKED"))</x:f>
        <x:v>OPEN</x:v>
      </x:c>
      <x:c r="G3147" t="str">
        <x:v>equals</x:v>
      </x:c>
      <x:c r="H3147" t="str">
        <x:f>IF(E3147=F3147,"PASS","FAIL")</x:f>
        <x:v>PASS</x:v>
      </x:c>
    </x:row>
    <x:row r="3148">
      <x:c r="B3148" t="str">
        <x:v>A-03102</x:v>
      </x:c>
      <x:c r="C3148" t="str">
        <x:v>GATE</x:v>
      </x:c>
      <x:c r="D3148" t="str">
        <x:v>release state mirrors governing ledger</x:v>
      </x:c>
      <x:c r="E3148" t="str">
        <x:f>'Release Gates'!I3108</x:f>
        <x:v>OPEN</x:v>
      </x:c>
      <x:c r="F3148" t="str">
        <x:f>IF('Release Gates'!C3108="PLANNING","PASS",IF('Release Gates'!C3108="PHYSICAL","OPEN","BLOCKED"))</x:f>
        <x:v>OPEN</x:v>
      </x:c>
      <x:c r="G3148" t="str">
        <x:v>equals</x:v>
      </x:c>
      <x:c r="H3148" t="str">
        <x:f>IF(E3148=F3148,"PASS","FAIL")</x:f>
        <x:v>PASS</x:v>
      </x:c>
    </x:row>
    <x:row r="3149">
      <x:c r="B3149" t="str">
        <x:v>A-03103</x:v>
      </x:c>
      <x:c r="C3149" t="str">
        <x:v>GATE</x:v>
      </x:c>
      <x:c r="D3149" t="str">
        <x:v>release state mirrors governing ledger</x:v>
      </x:c>
      <x:c r="E3149" t="str">
        <x:f>'Release Gates'!I3109</x:f>
        <x:v>OPEN</x:v>
      </x:c>
      <x:c r="F3149" t="str">
        <x:f>IF('Release Gates'!C3109="PLANNING","PASS",IF('Release Gates'!C3109="PHYSICAL","OPEN","BLOCKED"))</x:f>
        <x:v>OPEN</x:v>
      </x:c>
      <x:c r="G3149" t="str">
        <x:v>equals</x:v>
      </x:c>
      <x:c r="H3149" t="str">
        <x:f>IF(E3149=F3149,"PASS","FAIL")</x:f>
        <x:v>PASS</x:v>
      </x:c>
    </x:row>
    <x:row r="3150">
      <x:c r="B3150" t="str">
        <x:v>A-03104</x:v>
      </x:c>
      <x:c r="C3150" t="str">
        <x:v>GATE</x:v>
      </x:c>
      <x:c r="D3150" t="str">
        <x:v>release state mirrors governing ledger</x:v>
      </x:c>
      <x:c r="E3150" t="str">
        <x:f>'Release Gates'!I3110</x:f>
        <x:v>OPEN</x:v>
      </x:c>
      <x:c r="F3150" t="str">
        <x:f>IF('Release Gates'!C3110="PLANNING","PASS",IF('Release Gates'!C3110="PHYSICAL","OPEN","BLOCKED"))</x:f>
        <x:v>OPEN</x:v>
      </x:c>
      <x:c r="G3150" t="str">
        <x:v>equals</x:v>
      </x:c>
      <x:c r="H3150" t="str">
        <x:f>IF(E3150=F3150,"PASS","FAIL")</x:f>
        <x:v>PASS</x:v>
      </x:c>
    </x:row>
    <x:row r="3151">
      <x:c r="B3151" t="str">
        <x:v>A-03105</x:v>
      </x:c>
      <x:c r="C3151" t="str">
        <x:v>GATE</x:v>
      </x:c>
      <x:c r="D3151" t="str">
        <x:v>release state mirrors governing ledger</x:v>
      </x:c>
      <x:c r="E3151" t="str">
        <x:f>'Release Gates'!I3111</x:f>
        <x:v>OPEN</x:v>
      </x:c>
      <x:c r="F3151" t="str">
        <x:f>IF('Release Gates'!C3111="PLANNING","PASS",IF('Release Gates'!C3111="PHYSICAL","OPEN","BLOCKED"))</x:f>
        <x:v>OPEN</x:v>
      </x:c>
      <x:c r="G3151" t="str">
        <x:v>equals</x:v>
      </x:c>
      <x:c r="H3151" t="str">
        <x:f>IF(E3151=F3151,"PASS","FAIL")</x:f>
        <x:v>PASS</x:v>
      </x:c>
    </x:row>
    <x:row r="3152">
      <x:c r="B3152" t="str">
        <x:v>A-03106</x:v>
      </x:c>
      <x:c r="C3152" t="str">
        <x:v>GATE</x:v>
      </x:c>
      <x:c r="D3152" t="str">
        <x:v>release state mirrors governing ledger</x:v>
      </x:c>
      <x:c r="E3152" t="str">
        <x:f>'Release Gates'!I3112</x:f>
        <x:v>OPEN</x:v>
      </x:c>
      <x:c r="F3152" t="str">
        <x:f>IF('Release Gates'!C3112="PLANNING","PASS",IF('Release Gates'!C3112="PHYSICAL","OPEN","BLOCKED"))</x:f>
        <x:v>OPEN</x:v>
      </x:c>
      <x:c r="G3152" t="str">
        <x:v>equals</x:v>
      </x:c>
      <x:c r="H3152" t="str">
        <x:f>IF(E3152=F3152,"PASS","FAIL")</x:f>
        <x:v>PASS</x:v>
      </x:c>
    </x:row>
    <x:row r="3153">
      <x:c r="B3153" t="str">
        <x:v>A-03107</x:v>
      </x:c>
      <x:c r="C3153" t="str">
        <x:v>GATE</x:v>
      </x:c>
      <x:c r="D3153" t="str">
        <x:v>release state mirrors governing ledger</x:v>
      </x:c>
      <x:c r="E3153" t="str">
        <x:f>'Release Gates'!I3113</x:f>
        <x:v>OPEN</x:v>
      </x:c>
      <x:c r="F3153" t="str">
        <x:f>IF('Release Gates'!C3113="PLANNING","PASS",IF('Release Gates'!C3113="PHYSICAL","OPEN","BLOCKED"))</x:f>
        <x:v>OPEN</x:v>
      </x:c>
      <x:c r="G3153" t="str">
        <x:v>equals</x:v>
      </x:c>
      <x:c r="H3153" t="str">
        <x:f>IF(E3153=F3153,"PASS","FAIL")</x:f>
        <x:v>PASS</x:v>
      </x:c>
    </x:row>
    <x:row r="3154">
      <x:c r="B3154" t="str">
        <x:v>A-03108</x:v>
      </x:c>
      <x:c r="C3154" t="str">
        <x:v>GATE</x:v>
      </x:c>
      <x:c r="D3154" t="str">
        <x:v>release state mirrors governing ledger</x:v>
      </x:c>
      <x:c r="E3154" t="str">
        <x:f>'Release Gates'!I3114</x:f>
        <x:v>OPEN</x:v>
      </x:c>
      <x:c r="F3154" t="str">
        <x:f>IF('Release Gates'!C3114="PLANNING","PASS",IF('Release Gates'!C3114="PHYSICAL","OPEN","BLOCKED"))</x:f>
        <x:v>OPEN</x:v>
      </x:c>
      <x:c r="G3154" t="str">
        <x:v>equals</x:v>
      </x:c>
      <x:c r="H3154" t="str">
        <x:f>IF(E3154=F3154,"PASS","FAIL")</x:f>
        <x:v>PASS</x:v>
      </x:c>
    </x:row>
    <x:row r="3155">
      <x:c r="B3155" t="str">
        <x:v>A-03109</x:v>
      </x:c>
      <x:c r="C3155" t="str">
        <x:v>GATE</x:v>
      </x:c>
      <x:c r="D3155" t="str">
        <x:v>release state mirrors governing ledger</x:v>
      </x:c>
      <x:c r="E3155" t="str">
        <x:f>'Release Gates'!I3115</x:f>
        <x:v>OPEN</x:v>
      </x:c>
      <x:c r="F3155" t="str">
        <x:f>IF('Release Gates'!C3115="PLANNING","PASS",IF('Release Gates'!C3115="PHYSICAL","OPEN","BLOCKED"))</x:f>
        <x:v>OPEN</x:v>
      </x:c>
      <x:c r="G3155" t="str">
        <x:v>equals</x:v>
      </x:c>
      <x:c r="H3155" t="str">
        <x:f>IF(E3155=F3155,"PASS","FAIL")</x:f>
        <x:v>PASS</x:v>
      </x:c>
    </x:row>
    <x:row r="3156">
      <x:c r="B3156" t="str">
        <x:v>A-03110</x:v>
      </x:c>
      <x:c r="C3156" t="str">
        <x:v>GATE</x:v>
      </x:c>
      <x:c r="D3156" t="str">
        <x:v>release state mirrors governing ledger</x:v>
      </x:c>
      <x:c r="E3156" t="str">
        <x:f>'Release Gates'!I3116</x:f>
        <x:v>OPEN</x:v>
      </x:c>
      <x:c r="F3156" t="str">
        <x:f>IF('Release Gates'!C3116="PLANNING","PASS",IF('Release Gates'!C3116="PHYSICAL","OPEN","BLOCKED"))</x:f>
        <x:v>OPEN</x:v>
      </x:c>
      <x:c r="G3156" t="str">
        <x:v>equals</x:v>
      </x:c>
      <x:c r="H3156" t="str">
        <x:f>IF(E3156=F3156,"PASS","FAIL")</x:f>
        <x:v>PASS</x:v>
      </x:c>
    </x:row>
    <x:row r="3157">
      <x:c r="B3157" t="str">
        <x:v>A-03111</x:v>
      </x:c>
      <x:c r="C3157" t="str">
        <x:v>GATE</x:v>
      </x:c>
      <x:c r="D3157" t="str">
        <x:v>release state mirrors governing ledger</x:v>
      </x:c>
      <x:c r="E3157" t="str">
        <x:f>'Release Gates'!I3117</x:f>
        <x:v>OPEN</x:v>
      </x:c>
      <x:c r="F3157" t="str">
        <x:f>IF('Release Gates'!C3117="PLANNING","PASS",IF('Release Gates'!C3117="PHYSICAL","OPEN","BLOCKED"))</x:f>
        <x:v>OPEN</x:v>
      </x:c>
      <x:c r="G3157" t="str">
        <x:v>equals</x:v>
      </x:c>
      <x:c r="H3157" t="str">
        <x:f>IF(E3157=F3157,"PASS","FAIL")</x:f>
        <x:v>PASS</x:v>
      </x:c>
    </x:row>
    <x:row r="3158">
      <x:c r="B3158" t="str">
        <x:v>A-03112</x:v>
      </x:c>
      <x:c r="C3158" t="str">
        <x:v>GATE</x:v>
      </x:c>
      <x:c r="D3158" t="str">
        <x:v>release state mirrors governing ledger</x:v>
      </x:c>
      <x:c r="E3158" t="str">
        <x:f>'Release Gates'!I3118</x:f>
        <x:v>OPEN</x:v>
      </x:c>
      <x:c r="F3158" t="str">
        <x:f>IF('Release Gates'!C3118="PLANNING","PASS",IF('Release Gates'!C3118="PHYSICAL","OPEN","BLOCKED"))</x:f>
        <x:v>OPEN</x:v>
      </x:c>
      <x:c r="G3158" t="str">
        <x:v>equals</x:v>
      </x:c>
      <x:c r="H3158" t="str">
        <x:f>IF(E3158=F3158,"PASS","FAIL")</x:f>
        <x:v>PASS</x:v>
      </x:c>
    </x:row>
    <x:row r="3159">
      <x:c r="B3159" t="str">
        <x:v>A-03113</x:v>
      </x:c>
      <x:c r="C3159" t="str">
        <x:v>GATE</x:v>
      </x:c>
      <x:c r="D3159" t="str">
        <x:v>release state mirrors governing ledger</x:v>
      </x:c>
      <x:c r="E3159" t="str">
        <x:f>'Release Gates'!I3119</x:f>
        <x:v>OPEN</x:v>
      </x:c>
      <x:c r="F3159" t="str">
        <x:f>IF('Release Gates'!C3119="PLANNING","PASS",IF('Release Gates'!C3119="PHYSICAL","OPEN","BLOCKED"))</x:f>
        <x:v>OPEN</x:v>
      </x:c>
      <x:c r="G3159" t="str">
        <x:v>equals</x:v>
      </x:c>
      <x:c r="H3159" t="str">
        <x:f>IF(E3159=F3159,"PASS","FAIL")</x:f>
        <x:v>PASS</x:v>
      </x:c>
    </x:row>
    <x:row r="3160">
      <x:c r="B3160" t="str">
        <x:v>A-03114</x:v>
      </x:c>
      <x:c r="C3160" t="str">
        <x:v>GATE</x:v>
      </x:c>
      <x:c r="D3160" t="str">
        <x:v>release state mirrors governing ledger</x:v>
      </x:c>
      <x:c r="E3160" t="str">
        <x:f>'Release Gates'!I3120</x:f>
        <x:v>OPEN</x:v>
      </x:c>
      <x:c r="F3160" t="str">
        <x:f>IF('Release Gates'!C3120="PLANNING","PASS",IF('Release Gates'!C3120="PHYSICAL","OPEN","BLOCKED"))</x:f>
        <x:v>OPEN</x:v>
      </x:c>
      <x:c r="G3160" t="str">
        <x:v>equals</x:v>
      </x:c>
      <x:c r="H3160" t="str">
        <x:f>IF(E3160=F3160,"PASS","FAIL")</x:f>
        <x:v>PASS</x:v>
      </x:c>
    </x:row>
    <x:row r="3161">
      <x:c r="B3161" t="str">
        <x:v>A-03115</x:v>
      </x:c>
      <x:c r="C3161" t="str">
        <x:v>GATE</x:v>
      </x:c>
      <x:c r="D3161" t="str">
        <x:v>release state mirrors governing ledger</x:v>
      </x:c>
      <x:c r="E3161" t="str">
        <x:f>'Release Gates'!I3121</x:f>
        <x:v>OPEN</x:v>
      </x:c>
      <x:c r="F3161" t="str">
        <x:f>IF('Release Gates'!C3121="PLANNING","PASS",IF('Release Gates'!C3121="PHYSICAL","OPEN","BLOCKED"))</x:f>
        <x:v>OPEN</x:v>
      </x:c>
      <x:c r="G3161" t="str">
        <x:v>equals</x:v>
      </x:c>
      <x:c r="H3161" t="str">
        <x:f>IF(E3161=F3161,"PASS","FAIL")</x:f>
        <x:v>PASS</x:v>
      </x:c>
    </x:row>
    <x:row r="3162">
      <x:c r="B3162" t="str">
        <x:v>A-03116</x:v>
      </x:c>
      <x:c r="C3162" t="str">
        <x:v>GATE</x:v>
      </x:c>
      <x:c r="D3162" t="str">
        <x:v>release state mirrors governing ledger</x:v>
      </x:c>
      <x:c r="E3162" t="str">
        <x:f>'Release Gates'!I3122</x:f>
        <x:v>OPEN</x:v>
      </x:c>
      <x:c r="F3162" t="str">
        <x:f>IF('Release Gates'!C3122="PLANNING","PASS",IF('Release Gates'!C3122="PHYSICAL","OPEN","BLOCKED"))</x:f>
        <x:v>OPEN</x:v>
      </x:c>
      <x:c r="G3162" t="str">
        <x:v>equals</x:v>
      </x:c>
      <x:c r="H3162" t="str">
        <x:f>IF(E3162=F3162,"PASS","FAIL")</x:f>
        <x:v>PASS</x:v>
      </x:c>
    </x:row>
    <x:row r="3163">
      <x:c r="B3163" t="str">
        <x:v>A-03117</x:v>
      </x:c>
      <x:c r="C3163" t="str">
        <x:v>GATE</x:v>
      </x:c>
      <x:c r="D3163" t="str">
        <x:v>release state mirrors governing ledger</x:v>
      </x:c>
      <x:c r="E3163" t="str">
        <x:f>'Release Gates'!I3123</x:f>
        <x:v>OPEN</x:v>
      </x:c>
      <x:c r="F3163" t="str">
        <x:f>IF('Release Gates'!C3123="PLANNING","PASS",IF('Release Gates'!C3123="PHYSICAL","OPEN","BLOCKED"))</x:f>
        <x:v>OPEN</x:v>
      </x:c>
      <x:c r="G3163" t="str">
        <x:v>equals</x:v>
      </x:c>
      <x:c r="H3163" t="str">
        <x:f>IF(E3163=F3163,"PASS","FAIL")</x:f>
        <x:v>PASS</x:v>
      </x:c>
    </x:row>
    <x:row r="3164">
      <x:c r="B3164" t="str">
        <x:v>A-03118</x:v>
      </x:c>
      <x:c r="C3164" t="str">
        <x:v>GATE</x:v>
      </x:c>
      <x:c r="D3164" t="str">
        <x:v>release state mirrors governing ledger</x:v>
      </x:c>
      <x:c r="E3164" t="str">
        <x:f>'Release Gates'!I3124</x:f>
        <x:v>OPEN</x:v>
      </x:c>
      <x:c r="F3164" t="str">
        <x:f>IF('Release Gates'!C3124="PLANNING","PASS",IF('Release Gates'!C3124="PHYSICAL","OPEN","BLOCKED"))</x:f>
        <x:v>OPEN</x:v>
      </x:c>
      <x:c r="G3164" t="str">
        <x:v>equals</x:v>
      </x:c>
      <x:c r="H3164" t="str">
        <x:f>IF(E3164=F3164,"PASS","FAIL")</x:f>
        <x:v>PASS</x:v>
      </x:c>
    </x:row>
    <x:row r="3165">
      <x:c r="B3165" t="str">
        <x:v>A-03119</x:v>
      </x:c>
      <x:c r="C3165" t="str">
        <x:v>GATE</x:v>
      </x:c>
      <x:c r="D3165" t="str">
        <x:v>release state mirrors governing ledger</x:v>
      </x:c>
      <x:c r="E3165" t="str">
        <x:f>'Release Gates'!I3125</x:f>
        <x:v>OPEN</x:v>
      </x:c>
      <x:c r="F3165" t="str">
        <x:f>IF('Release Gates'!C3125="PLANNING","PASS",IF('Release Gates'!C3125="PHYSICAL","OPEN","BLOCKED"))</x:f>
        <x:v>OPEN</x:v>
      </x:c>
      <x:c r="G3165" t="str">
        <x:v>equals</x:v>
      </x:c>
      <x:c r="H3165" t="str">
        <x:f>IF(E3165=F3165,"PASS","FAIL")</x:f>
        <x:v>PASS</x:v>
      </x:c>
    </x:row>
    <x:row r="3166">
      <x:c r="B3166" t="str">
        <x:v>A-03120</x:v>
      </x:c>
      <x:c r="C3166" t="str">
        <x:v>GATE</x:v>
      </x:c>
      <x:c r="D3166" t="str">
        <x:v>release state mirrors governing ledger</x:v>
      </x:c>
      <x:c r="E3166" t="str">
        <x:f>'Release Gates'!I3126</x:f>
        <x:v>OPEN</x:v>
      </x:c>
      <x:c r="F3166" t="str">
        <x:f>IF('Release Gates'!C3126="PLANNING","PASS",IF('Release Gates'!C3126="PHYSICAL","OPEN","BLOCKED"))</x:f>
        <x:v>OPEN</x:v>
      </x:c>
      <x:c r="G3166" t="str">
        <x:v>equals</x:v>
      </x:c>
      <x:c r="H3166" t="str">
        <x:f>IF(E3166=F3166,"PASS","FAIL")</x:f>
        <x:v>PASS</x:v>
      </x:c>
    </x:row>
    <x:row r="3167">
      <x:c r="B3167" t="str">
        <x:v>A-03121</x:v>
      </x:c>
      <x:c r="C3167" t="str">
        <x:v>GATE</x:v>
      </x:c>
      <x:c r="D3167" t="str">
        <x:v>release state mirrors governing ledger</x:v>
      </x:c>
      <x:c r="E3167" t="str">
        <x:f>'Release Gates'!I3127</x:f>
        <x:v>OPEN</x:v>
      </x:c>
      <x:c r="F3167" t="str">
        <x:f>IF('Release Gates'!C3127="PLANNING","PASS",IF('Release Gates'!C3127="PHYSICAL","OPEN","BLOCKED"))</x:f>
        <x:v>OPEN</x:v>
      </x:c>
      <x:c r="G3167" t="str">
        <x:v>equals</x:v>
      </x:c>
      <x:c r="H3167" t="str">
        <x:f>IF(E3167=F3167,"PASS","FAIL")</x:f>
        <x:v>PASS</x:v>
      </x:c>
    </x:row>
    <x:row r="3168">
      <x:c r="B3168" t="str">
        <x:v>A-03122</x:v>
      </x:c>
      <x:c r="C3168" t="str">
        <x:v>GATE</x:v>
      </x:c>
      <x:c r="D3168" t="str">
        <x:v>release state mirrors governing ledger</x:v>
      </x:c>
      <x:c r="E3168" t="str">
        <x:f>'Release Gates'!I3128</x:f>
        <x:v>OPEN</x:v>
      </x:c>
      <x:c r="F3168" t="str">
        <x:f>IF('Release Gates'!C3128="PLANNING","PASS",IF('Release Gates'!C3128="PHYSICAL","OPEN","BLOCKED"))</x:f>
        <x:v>OPEN</x:v>
      </x:c>
      <x:c r="G3168" t="str">
        <x:v>equals</x:v>
      </x:c>
      <x:c r="H3168" t="str">
        <x:f>IF(E3168=F3168,"PASS","FAIL")</x:f>
        <x:v>PASS</x:v>
      </x:c>
    </x:row>
    <x:row r="3169">
      <x:c r="B3169" t="str">
        <x:v>A-03123</x:v>
      </x:c>
      <x:c r="C3169" t="str">
        <x:v>GATE</x:v>
      </x:c>
      <x:c r="D3169" t="str">
        <x:v>release state mirrors governing ledger</x:v>
      </x:c>
      <x:c r="E3169" t="str">
        <x:f>'Release Gates'!I3129</x:f>
        <x:v>OPEN</x:v>
      </x:c>
      <x:c r="F3169" t="str">
        <x:f>IF('Release Gates'!C3129="PLANNING","PASS",IF('Release Gates'!C3129="PHYSICAL","OPEN","BLOCKED"))</x:f>
        <x:v>OPEN</x:v>
      </x:c>
      <x:c r="G3169" t="str">
        <x:v>equals</x:v>
      </x:c>
      <x:c r="H3169" t="str">
        <x:f>IF(E3169=F3169,"PASS","FAIL")</x:f>
        <x:v>PASS</x:v>
      </x:c>
    </x:row>
    <x:row r="3170">
      <x:c r="B3170" t="str">
        <x:v>A-03124</x:v>
      </x:c>
      <x:c r="C3170" t="str">
        <x:v>GATE</x:v>
      </x:c>
      <x:c r="D3170" t="str">
        <x:v>release state mirrors governing ledger</x:v>
      </x:c>
      <x:c r="E3170" t="str">
        <x:f>'Release Gates'!I3130</x:f>
        <x:v>OPEN</x:v>
      </x:c>
      <x:c r="F3170" t="str">
        <x:f>IF('Release Gates'!C3130="PLANNING","PASS",IF('Release Gates'!C3130="PHYSICAL","OPEN","BLOCKED"))</x:f>
        <x:v>OPEN</x:v>
      </x:c>
      <x:c r="G3170" t="str">
        <x:v>equals</x:v>
      </x:c>
      <x:c r="H3170" t="str">
        <x:f>IF(E3170=F3170,"PASS","FAIL")</x:f>
        <x:v>PASS</x:v>
      </x:c>
    </x:row>
    <x:row r="3171">
      <x:c r="B3171" t="str">
        <x:v>A-03125</x:v>
      </x:c>
      <x:c r="C3171" t="str">
        <x:v>GATE</x:v>
      </x:c>
      <x:c r="D3171" t="str">
        <x:v>release state mirrors governing ledger</x:v>
      </x:c>
      <x:c r="E3171" t="str">
        <x:f>'Release Gates'!I3131</x:f>
        <x:v>OPEN</x:v>
      </x:c>
      <x:c r="F3171" t="str">
        <x:f>IF('Release Gates'!C3131="PLANNING","PASS",IF('Release Gates'!C3131="PHYSICAL","OPEN","BLOCKED"))</x:f>
        <x:v>OPEN</x:v>
      </x:c>
      <x:c r="G3171" t="str">
        <x:v>equals</x:v>
      </x:c>
      <x:c r="H3171" t="str">
        <x:f>IF(E3171=F3171,"PASS","FAIL")</x:f>
        <x:v>PASS</x:v>
      </x:c>
    </x:row>
    <x:row r="3172">
      <x:c r="B3172" t="str">
        <x:v>A-03126</x:v>
      </x:c>
      <x:c r="C3172" t="str">
        <x:v>GATE</x:v>
      </x:c>
      <x:c r="D3172" t="str">
        <x:v>release state mirrors governing ledger</x:v>
      </x:c>
      <x:c r="E3172" t="str">
        <x:f>'Release Gates'!I3132</x:f>
        <x:v>OPEN</x:v>
      </x:c>
      <x:c r="F3172" t="str">
        <x:f>IF('Release Gates'!C3132="PLANNING","PASS",IF('Release Gates'!C3132="PHYSICAL","OPEN","BLOCKED"))</x:f>
        <x:v>OPEN</x:v>
      </x:c>
      <x:c r="G3172" t="str">
        <x:v>equals</x:v>
      </x:c>
      <x:c r="H3172" t="str">
        <x:f>IF(E3172=F3172,"PASS","FAIL")</x:f>
        <x:v>PASS</x:v>
      </x:c>
    </x:row>
    <x:row r="3173">
      <x:c r="B3173" t="str">
        <x:v>A-03127</x:v>
      </x:c>
      <x:c r="C3173" t="str">
        <x:v>GATE</x:v>
      </x:c>
      <x:c r="D3173" t="str">
        <x:v>release state mirrors governing ledger</x:v>
      </x:c>
      <x:c r="E3173" t="str">
        <x:f>'Release Gates'!I3133</x:f>
        <x:v>OPEN</x:v>
      </x:c>
      <x:c r="F3173" t="str">
        <x:f>IF('Release Gates'!C3133="PLANNING","PASS",IF('Release Gates'!C3133="PHYSICAL","OPEN","BLOCKED"))</x:f>
        <x:v>OPEN</x:v>
      </x:c>
      <x:c r="G3173" t="str">
        <x:v>equals</x:v>
      </x:c>
      <x:c r="H3173" t="str">
        <x:f>IF(E3173=F3173,"PASS","FAIL")</x:f>
        <x:v>PASS</x:v>
      </x:c>
    </x:row>
    <x:row r="3174">
      <x:c r="B3174" t="str">
        <x:v>A-03128</x:v>
      </x:c>
      <x:c r="C3174" t="str">
        <x:v>GATE</x:v>
      </x:c>
      <x:c r="D3174" t="str">
        <x:v>release state mirrors governing ledger</x:v>
      </x:c>
      <x:c r="E3174" t="str">
        <x:f>'Release Gates'!I3134</x:f>
        <x:v>OPEN</x:v>
      </x:c>
      <x:c r="F3174" t="str">
        <x:f>IF('Release Gates'!C3134="PLANNING","PASS",IF('Release Gates'!C3134="PHYSICAL","OPEN","BLOCKED"))</x:f>
        <x:v>OPEN</x:v>
      </x:c>
      <x:c r="G3174" t="str">
        <x:v>equals</x:v>
      </x:c>
      <x:c r="H3174" t="str">
        <x:f>IF(E3174=F3174,"PASS","FAIL")</x:f>
        <x:v>PASS</x:v>
      </x:c>
    </x:row>
    <x:row r="3175">
      <x:c r="B3175" t="str">
        <x:v>A-03129</x:v>
      </x:c>
      <x:c r="C3175" t="str">
        <x:v>GATE</x:v>
      </x:c>
      <x:c r="D3175" t="str">
        <x:v>release state mirrors governing ledger</x:v>
      </x:c>
      <x:c r="E3175" t="str">
        <x:f>'Release Gates'!I3135</x:f>
        <x:v>OPEN</x:v>
      </x:c>
      <x:c r="F3175" t="str">
        <x:f>IF('Release Gates'!C3135="PLANNING","PASS",IF('Release Gates'!C3135="PHYSICAL","OPEN","BLOCKED"))</x:f>
        <x:v>OPEN</x:v>
      </x:c>
      <x:c r="G3175" t="str">
        <x:v>equals</x:v>
      </x:c>
      <x:c r="H3175" t="str">
        <x:f>IF(E3175=F3175,"PASS","FAIL")</x:f>
        <x:v>PASS</x:v>
      </x:c>
    </x:row>
    <x:row r="3176">
      <x:c r="B3176" t="str">
        <x:v>A-03130</x:v>
      </x:c>
      <x:c r="C3176" t="str">
        <x:v>GATE</x:v>
      </x:c>
      <x:c r="D3176" t="str">
        <x:v>release state mirrors governing ledger</x:v>
      </x:c>
      <x:c r="E3176" t="str">
        <x:f>'Release Gates'!I3136</x:f>
        <x:v>OPEN</x:v>
      </x:c>
      <x:c r="F3176" t="str">
        <x:f>IF('Release Gates'!C3136="PLANNING","PASS",IF('Release Gates'!C3136="PHYSICAL","OPEN","BLOCKED"))</x:f>
        <x:v>OPEN</x:v>
      </x:c>
      <x:c r="G3176" t="str">
        <x:v>equals</x:v>
      </x:c>
      <x:c r="H3176" t="str">
        <x:f>IF(E3176=F3176,"PASS","FAIL")</x:f>
        <x:v>PASS</x:v>
      </x:c>
    </x:row>
    <x:row r="3177">
      <x:c r="B3177" t="str">
        <x:v>A-03131</x:v>
      </x:c>
      <x:c r="C3177" t="str">
        <x:v>GATE</x:v>
      </x:c>
      <x:c r="D3177" t="str">
        <x:v>release state mirrors governing ledger</x:v>
      </x:c>
      <x:c r="E3177" t="str">
        <x:f>'Release Gates'!I3137</x:f>
        <x:v>OPEN</x:v>
      </x:c>
      <x:c r="F3177" t="str">
        <x:f>IF('Release Gates'!C3137="PLANNING","PASS",IF('Release Gates'!C3137="PHYSICAL","OPEN","BLOCKED"))</x:f>
        <x:v>OPEN</x:v>
      </x:c>
      <x:c r="G3177" t="str">
        <x:v>equals</x:v>
      </x:c>
      <x:c r="H3177" t="str">
        <x:f>IF(E3177=F3177,"PASS","FAIL")</x:f>
        <x:v>PASS</x:v>
      </x:c>
    </x:row>
    <x:row r="3178">
      <x:c r="B3178" t="str">
        <x:v>A-03132</x:v>
      </x:c>
      <x:c r="C3178" t="str">
        <x:v>GATE</x:v>
      </x:c>
      <x:c r="D3178" t="str">
        <x:v>release state mirrors governing ledger</x:v>
      </x:c>
      <x:c r="E3178" t="str">
        <x:f>'Release Gates'!I3138</x:f>
        <x:v>OPEN</x:v>
      </x:c>
      <x:c r="F3178" t="str">
        <x:f>IF('Release Gates'!C3138="PLANNING","PASS",IF('Release Gates'!C3138="PHYSICAL","OPEN","BLOCKED"))</x:f>
        <x:v>OPEN</x:v>
      </x:c>
      <x:c r="G3178" t="str">
        <x:v>equals</x:v>
      </x:c>
      <x:c r="H3178" t="str">
        <x:f>IF(E3178=F3178,"PASS","FAIL")</x:f>
        <x:v>PASS</x:v>
      </x:c>
    </x:row>
    <x:row r="3179">
      <x:c r="B3179" t="str">
        <x:v>A-03133</x:v>
      </x:c>
      <x:c r="C3179" t="str">
        <x:v>GATE</x:v>
      </x:c>
      <x:c r="D3179" t="str">
        <x:v>release state mirrors governing ledger</x:v>
      </x:c>
      <x:c r="E3179" t="str">
        <x:f>'Release Gates'!I3139</x:f>
        <x:v>OPEN</x:v>
      </x:c>
      <x:c r="F3179" t="str">
        <x:f>IF('Release Gates'!C3139="PLANNING","PASS",IF('Release Gates'!C3139="PHYSICAL","OPEN","BLOCKED"))</x:f>
        <x:v>OPEN</x:v>
      </x:c>
      <x:c r="G3179" t="str">
        <x:v>equals</x:v>
      </x:c>
      <x:c r="H3179" t="str">
        <x:f>IF(E3179=F3179,"PASS","FAIL")</x:f>
        <x:v>PASS</x:v>
      </x:c>
    </x:row>
    <x:row r="3180">
      <x:c r="B3180" t="str">
        <x:v>A-03134</x:v>
      </x:c>
      <x:c r="C3180" t="str">
        <x:v>GATE</x:v>
      </x:c>
      <x:c r="D3180" t="str">
        <x:v>release state mirrors governing ledger</x:v>
      </x:c>
      <x:c r="E3180" t="str">
        <x:f>'Release Gates'!I3140</x:f>
        <x:v>OPEN</x:v>
      </x:c>
      <x:c r="F3180" t="str">
        <x:f>IF('Release Gates'!C3140="PLANNING","PASS",IF('Release Gates'!C3140="PHYSICAL","OPEN","BLOCKED"))</x:f>
        <x:v>OPEN</x:v>
      </x:c>
      <x:c r="G3180" t="str">
        <x:v>equals</x:v>
      </x:c>
      <x:c r="H3180" t="str">
        <x:f>IF(E3180=F3180,"PASS","FAIL")</x:f>
        <x:v>PASS</x:v>
      </x:c>
    </x:row>
    <x:row r="3181">
      <x:c r="B3181" t="str">
        <x:v>A-03135</x:v>
      </x:c>
      <x:c r="C3181" t="str">
        <x:v>GATE</x:v>
      </x:c>
      <x:c r="D3181" t="str">
        <x:v>release state mirrors governing ledger</x:v>
      </x:c>
      <x:c r="E3181" t="str">
        <x:f>'Release Gates'!I3141</x:f>
        <x:v>OPEN</x:v>
      </x:c>
      <x:c r="F3181" t="str">
        <x:f>IF('Release Gates'!C3141="PLANNING","PASS",IF('Release Gates'!C3141="PHYSICAL","OPEN","BLOCKED"))</x:f>
        <x:v>OPEN</x:v>
      </x:c>
      <x:c r="G3181" t="str">
        <x:v>equals</x:v>
      </x:c>
      <x:c r="H3181" t="str">
        <x:f>IF(E3181=F3181,"PASS","FAIL")</x:f>
        <x:v>PASS</x:v>
      </x:c>
    </x:row>
    <x:row r="3182">
      <x:c r="B3182" t="str">
        <x:v>A-03136</x:v>
      </x:c>
      <x:c r="C3182" t="str">
        <x:v>GATE</x:v>
      </x:c>
      <x:c r="D3182" t="str">
        <x:v>release state mirrors governing ledger</x:v>
      </x:c>
      <x:c r="E3182" t="str">
        <x:f>'Release Gates'!I3142</x:f>
        <x:v>OPEN</x:v>
      </x:c>
      <x:c r="F3182" t="str">
        <x:f>IF('Release Gates'!C3142="PLANNING","PASS",IF('Release Gates'!C3142="PHYSICAL","OPEN","BLOCKED"))</x:f>
        <x:v>OPEN</x:v>
      </x:c>
      <x:c r="G3182" t="str">
        <x:v>equals</x:v>
      </x:c>
      <x:c r="H3182" t="str">
        <x:f>IF(E3182=F3182,"PASS","FAIL")</x:f>
        <x:v>PASS</x:v>
      </x:c>
    </x:row>
    <x:row r="3183">
      <x:c r="B3183" t="str">
        <x:v>A-03137</x:v>
      </x:c>
      <x:c r="C3183" t="str">
        <x:v>GATE</x:v>
      </x:c>
      <x:c r="D3183" t="str">
        <x:v>release state mirrors governing ledger</x:v>
      </x:c>
      <x:c r="E3183" t="str">
        <x:f>'Release Gates'!I3143</x:f>
        <x:v>OPEN</x:v>
      </x:c>
      <x:c r="F3183" t="str">
        <x:f>IF('Release Gates'!C3143="PLANNING","PASS",IF('Release Gates'!C3143="PHYSICAL","OPEN","BLOCKED"))</x:f>
        <x:v>OPEN</x:v>
      </x:c>
      <x:c r="G3183" t="str">
        <x:v>equals</x:v>
      </x:c>
      <x:c r="H3183" t="str">
        <x:f>IF(E3183=F3183,"PASS","FAIL")</x:f>
        <x:v>PASS</x:v>
      </x:c>
    </x:row>
    <x:row r="3184">
      <x:c r="B3184" t="str">
        <x:v>A-03138</x:v>
      </x:c>
      <x:c r="C3184" t="str">
        <x:v>GATE</x:v>
      </x:c>
      <x:c r="D3184" t="str">
        <x:v>release state mirrors governing ledger</x:v>
      </x:c>
      <x:c r="E3184" t="str">
        <x:f>'Release Gates'!I3144</x:f>
        <x:v>OPEN</x:v>
      </x:c>
      <x:c r="F3184" t="str">
        <x:f>IF('Release Gates'!C3144="PLANNING","PASS",IF('Release Gates'!C3144="PHYSICAL","OPEN","BLOCKED"))</x:f>
        <x:v>OPEN</x:v>
      </x:c>
      <x:c r="G3184" t="str">
        <x:v>equals</x:v>
      </x:c>
      <x:c r="H3184" t="str">
        <x:f>IF(E3184=F3184,"PASS","FAIL")</x:f>
        <x:v>PASS</x:v>
      </x:c>
    </x:row>
    <x:row r="3185">
      <x:c r="B3185" t="str">
        <x:v>A-03139</x:v>
      </x:c>
      <x:c r="C3185" t="str">
        <x:v>GATE</x:v>
      </x:c>
      <x:c r="D3185" t="str">
        <x:v>release state mirrors governing ledger</x:v>
      </x:c>
      <x:c r="E3185" t="str">
        <x:f>'Release Gates'!I3145</x:f>
        <x:v>OPEN</x:v>
      </x:c>
      <x:c r="F3185" t="str">
        <x:f>IF('Release Gates'!C3145="PLANNING","PASS",IF('Release Gates'!C3145="PHYSICAL","OPEN","BLOCKED"))</x:f>
        <x:v>OPEN</x:v>
      </x:c>
      <x:c r="G3185" t="str">
        <x:v>equals</x:v>
      </x:c>
      <x:c r="H3185" t="str">
        <x:f>IF(E3185=F3185,"PASS","FAIL")</x:f>
        <x:v>PASS</x:v>
      </x:c>
    </x:row>
    <x:row r="3186">
      <x:c r="B3186" t="str">
        <x:v>A-03140</x:v>
      </x:c>
      <x:c r="C3186" t="str">
        <x:v>GATE</x:v>
      </x:c>
      <x:c r="D3186" t="str">
        <x:v>release state mirrors governing ledger</x:v>
      </x:c>
      <x:c r="E3186" t="str">
        <x:f>'Release Gates'!I3146</x:f>
        <x:v>OPEN</x:v>
      </x:c>
      <x:c r="F3186" t="str">
        <x:f>IF('Release Gates'!C3146="PLANNING","PASS",IF('Release Gates'!C3146="PHYSICAL","OPEN","BLOCKED"))</x:f>
        <x:v>OPEN</x:v>
      </x:c>
      <x:c r="G3186" t="str">
        <x:v>equals</x:v>
      </x:c>
      <x:c r="H3186" t="str">
        <x:f>IF(E3186=F3186,"PASS","FAIL")</x:f>
        <x:v>PASS</x:v>
      </x:c>
    </x:row>
    <x:row r="3187">
      <x:c r="B3187" t="str">
        <x:v>A-03141</x:v>
      </x:c>
      <x:c r="C3187" t="str">
        <x:v>GATE</x:v>
      </x:c>
      <x:c r="D3187" t="str">
        <x:v>release state mirrors governing ledger</x:v>
      </x:c>
      <x:c r="E3187" t="str">
        <x:f>'Release Gates'!I3147</x:f>
        <x:v>OPEN</x:v>
      </x:c>
      <x:c r="F3187" t="str">
        <x:f>IF('Release Gates'!C3147="PLANNING","PASS",IF('Release Gates'!C3147="PHYSICAL","OPEN","BLOCKED"))</x:f>
        <x:v>OPEN</x:v>
      </x:c>
      <x:c r="G3187" t="str">
        <x:v>equals</x:v>
      </x:c>
      <x:c r="H3187" t="str">
        <x:f>IF(E3187=F3187,"PASS","FAIL")</x:f>
        <x:v>PASS</x:v>
      </x:c>
    </x:row>
    <x:row r="3188">
      <x:c r="B3188" t="str">
        <x:v>A-03142</x:v>
      </x:c>
      <x:c r="C3188" t="str">
        <x:v>GATE</x:v>
      </x:c>
      <x:c r="D3188" t="str">
        <x:v>release state mirrors governing ledger</x:v>
      </x:c>
      <x:c r="E3188" t="str">
        <x:f>'Release Gates'!I3148</x:f>
        <x:v>OPEN</x:v>
      </x:c>
      <x:c r="F3188" t="str">
        <x:f>IF('Release Gates'!C3148="PLANNING","PASS",IF('Release Gates'!C3148="PHYSICAL","OPEN","BLOCKED"))</x:f>
        <x:v>OPEN</x:v>
      </x:c>
      <x:c r="G3188" t="str">
        <x:v>equals</x:v>
      </x:c>
      <x:c r="H3188" t="str">
        <x:f>IF(E3188=F3188,"PASS","FAIL")</x:f>
        <x:v>PASS</x:v>
      </x:c>
    </x:row>
    <x:row r="3189">
      <x:c r="B3189" t="str">
        <x:v>A-03143</x:v>
      </x:c>
      <x:c r="C3189" t="str">
        <x:v>GATE</x:v>
      </x:c>
      <x:c r="D3189" t="str">
        <x:v>release state mirrors governing ledger</x:v>
      </x:c>
      <x:c r="E3189" t="str">
        <x:f>'Release Gates'!I3149</x:f>
        <x:v>OPEN</x:v>
      </x:c>
      <x:c r="F3189" t="str">
        <x:f>IF('Release Gates'!C3149="PLANNING","PASS",IF('Release Gates'!C3149="PHYSICAL","OPEN","BLOCKED"))</x:f>
        <x:v>OPEN</x:v>
      </x:c>
      <x:c r="G3189" t="str">
        <x:v>equals</x:v>
      </x:c>
      <x:c r="H3189" t="str">
        <x:f>IF(E3189=F3189,"PASS","FAIL")</x:f>
        <x:v>PASS</x:v>
      </x:c>
    </x:row>
    <x:row r="3190">
      <x:c r="B3190" t="str">
        <x:v>A-03144</x:v>
      </x:c>
      <x:c r="C3190" t="str">
        <x:v>GATE</x:v>
      </x:c>
      <x:c r="D3190" t="str">
        <x:v>release state mirrors governing ledger</x:v>
      </x:c>
      <x:c r="E3190" t="str">
        <x:f>'Release Gates'!I3150</x:f>
        <x:v>OPEN</x:v>
      </x:c>
      <x:c r="F3190" t="str">
        <x:f>IF('Release Gates'!C3150="PLANNING","PASS",IF('Release Gates'!C3150="PHYSICAL","OPEN","BLOCKED"))</x:f>
        <x:v>OPEN</x:v>
      </x:c>
      <x:c r="G3190" t="str">
        <x:v>equals</x:v>
      </x:c>
      <x:c r="H3190" t="str">
        <x:f>IF(E3190=F3190,"PASS","FAIL")</x:f>
        <x:v>PASS</x:v>
      </x:c>
    </x:row>
    <x:row r="3191">
      <x:c r="B3191" t="str">
        <x:v>A-03145</x:v>
      </x:c>
      <x:c r="C3191" t="str">
        <x:v>GATE</x:v>
      </x:c>
      <x:c r="D3191" t="str">
        <x:v>release state mirrors governing ledger</x:v>
      </x:c>
      <x:c r="E3191" t="str">
        <x:f>'Release Gates'!I3151</x:f>
        <x:v>OPEN</x:v>
      </x:c>
      <x:c r="F3191" t="str">
        <x:f>IF('Release Gates'!C3151="PLANNING","PASS",IF('Release Gates'!C3151="PHYSICAL","OPEN","BLOCKED"))</x:f>
        <x:v>OPEN</x:v>
      </x:c>
      <x:c r="G3191" t="str">
        <x:v>equals</x:v>
      </x:c>
      <x:c r="H3191" t="str">
        <x:f>IF(E3191=F3191,"PASS","FAIL")</x:f>
        <x:v>PASS</x:v>
      </x:c>
    </x:row>
    <x:row r="3192">
      <x:c r="B3192" t="str">
        <x:v>A-03146</x:v>
      </x:c>
      <x:c r="C3192" t="str">
        <x:v>GATE</x:v>
      </x:c>
      <x:c r="D3192" t="str">
        <x:v>release state mirrors governing ledger</x:v>
      </x:c>
      <x:c r="E3192" t="str">
        <x:f>'Release Gates'!I3152</x:f>
        <x:v>OPEN</x:v>
      </x:c>
      <x:c r="F3192" t="str">
        <x:f>IF('Release Gates'!C3152="PLANNING","PASS",IF('Release Gates'!C3152="PHYSICAL","OPEN","BLOCKED"))</x:f>
        <x:v>OPEN</x:v>
      </x:c>
      <x:c r="G3192" t="str">
        <x:v>equals</x:v>
      </x:c>
      <x:c r="H3192" t="str">
        <x:f>IF(E3192=F3192,"PASS","FAIL")</x:f>
        <x:v>PASS</x:v>
      </x:c>
    </x:row>
    <x:row r="3193">
      <x:c r="B3193" t="str">
        <x:v>A-03147</x:v>
      </x:c>
      <x:c r="C3193" t="str">
        <x:v>GATE</x:v>
      </x:c>
      <x:c r="D3193" t="str">
        <x:v>release state mirrors governing ledger</x:v>
      </x:c>
      <x:c r="E3193" t="str">
        <x:f>'Release Gates'!I3153</x:f>
        <x:v>OPEN</x:v>
      </x:c>
      <x:c r="F3193" t="str">
        <x:f>IF('Release Gates'!C3153="PLANNING","PASS",IF('Release Gates'!C3153="PHYSICAL","OPEN","BLOCKED"))</x:f>
        <x:v>OPEN</x:v>
      </x:c>
      <x:c r="G3193" t="str">
        <x:v>equals</x:v>
      </x:c>
      <x:c r="H3193" t="str">
        <x:f>IF(E3193=F3193,"PASS","FAIL")</x:f>
        <x:v>PASS</x:v>
      </x:c>
    </x:row>
    <x:row r="3194">
      <x:c r="B3194" t="str">
        <x:v>A-03148</x:v>
      </x:c>
      <x:c r="C3194" t="str">
        <x:v>GATE</x:v>
      </x:c>
      <x:c r="D3194" t="str">
        <x:v>release state mirrors governing ledger</x:v>
      </x:c>
      <x:c r="E3194" t="str">
        <x:f>'Release Gates'!I3154</x:f>
        <x:v>OPEN</x:v>
      </x:c>
      <x:c r="F3194" t="str">
        <x:f>IF('Release Gates'!C3154="PLANNING","PASS",IF('Release Gates'!C3154="PHYSICAL","OPEN","BLOCKED"))</x:f>
        <x:v>OPEN</x:v>
      </x:c>
      <x:c r="G3194" t="str">
        <x:v>equals</x:v>
      </x:c>
      <x:c r="H3194" t="str">
        <x:f>IF(E3194=F3194,"PASS","FAIL")</x:f>
        <x:v>PASS</x:v>
      </x:c>
    </x:row>
    <x:row r="3195">
      <x:c r="B3195" t="str">
        <x:v>A-03149</x:v>
      </x:c>
      <x:c r="C3195" t="str">
        <x:v>GATE</x:v>
      </x:c>
      <x:c r="D3195" t="str">
        <x:v>release state mirrors governing ledger</x:v>
      </x:c>
      <x:c r="E3195" t="str">
        <x:f>'Release Gates'!I3155</x:f>
        <x:v>OPEN</x:v>
      </x:c>
      <x:c r="F3195" t="str">
        <x:f>IF('Release Gates'!C3155="PLANNING","PASS",IF('Release Gates'!C3155="PHYSICAL","OPEN","BLOCKED"))</x:f>
        <x:v>OPEN</x:v>
      </x:c>
      <x:c r="G3195" t="str">
        <x:v>equals</x:v>
      </x:c>
      <x:c r="H3195" t="str">
        <x:f>IF(E3195=F3195,"PASS","FAIL")</x:f>
        <x:v>PASS</x:v>
      </x:c>
    </x:row>
    <x:row r="3196">
      <x:c r="B3196" t="str">
        <x:v>A-03150</x:v>
      </x:c>
      <x:c r="C3196" t="str">
        <x:v>GATE</x:v>
      </x:c>
      <x:c r="D3196" t="str">
        <x:v>release state mirrors governing ledger</x:v>
      </x:c>
      <x:c r="E3196" t="str">
        <x:f>'Release Gates'!I3156</x:f>
        <x:v>OPEN</x:v>
      </x:c>
      <x:c r="F3196" t="str">
        <x:f>IF('Release Gates'!C3156="PLANNING","PASS",IF('Release Gates'!C3156="PHYSICAL","OPEN","BLOCKED"))</x:f>
        <x:v>OPEN</x:v>
      </x:c>
      <x:c r="G3196" t="str">
        <x:v>equals</x:v>
      </x:c>
      <x:c r="H3196" t="str">
        <x:f>IF(E3196=F3196,"PASS","FAIL")</x:f>
        <x:v>PASS</x:v>
      </x:c>
    </x:row>
    <x:row r="3197">
      <x:c r="B3197" t="str">
        <x:v>A-03151</x:v>
      </x:c>
      <x:c r="C3197" t="str">
        <x:v>GATE</x:v>
      </x:c>
      <x:c r="D3197" t="str">
        <x:v>release state mirrors governing ledger</x:v>
      </x:c>
      <x:c r="E3197" t="str">
        <x:f>'Release Gates'!I3157</x:f>
        <x:v>OPEN</x:v>
      </x:c>
      <x:c r="F3197" t="str">
        <x:f>IF('Release Gates'!C3157="PLANNING","PASS",IF('Release Gates'!C3157="PHYSICAL","OPEN","BLOCKED"))</x:f>
        <x:v>OPEN</x:v>
      </x:c>
      <x:c r="G3197" t="str">
        <x:v>equals</x:v>
      </x:c>
      <x:c r="H3197" t="str">
        <x:f>IF(E3197=F3197,"PASS","FAIL")</x:f>
        <x:v>PASS</x:v>
      </x:c>
    </x:row>
    <x:row r="3198">
      <x:c r="B3198" t="str">
        <x:v>A-03152</x:v>
      </x:c>
      <x:c r="C3198" t="str">
        <x:v>GATE</x:v>
      </x:c>
      <x:c r="D3198" t="str">
        <x:v>release state mirrors governing ledger</x:v>
      </x:c>
      <x:c r="E3198" t="str">
        <x:f>'Release Gates'!I3158</x:f>
        <x:v>OPEN</x:v>
      </x:c>
      <x:c r="F3198" t="str">
        <x:f>IF('Release Gates'!C3158="PLANNING","PASS",IF('Release Gates'!C3158="PHYSICAL","OPEN","BLOCKED"))</x:f>
        <x:v>OPEN</x:v>
      </x:c>
      <x:c r="G3198" t="str">
        <x:v>equals</x:v>
      </x:c>
      <x:c r="H3198" t="str">
        <x:f>IF(E3198=F3198,"PASS","FAIL")</x:f>
        <x:v>PASS</x:v>
      </x:c>
    </x:row>
    <x:row r="3199">
      <x:c r="B3199" t="str">
        <x:v>A-03153</x:v>
      </x:c>
      <x:c r="C3199" t="str">
        <x:v>GATE</x:v>
      </x:c>
      <x:c r="D3199" t="str">
        <x:v>release state mirrors governing ledger</x:v>
      </x:c>
      <x:c r="E3199" t="str">
        <x:f>'Release Gates'!I3159</x:f>
        <x:v>OPEN</x:v>
      </x:c>
      <x:c r="F3199" t="str">
        <x:f>IF('Release Gates'!C3159="PLANNING","PASS",IF('Release Gates'!C3159="PHYSICAL","OPEN","BLOCKED"))</x:f>
        <x:v>OPEN</x:v>
      </x:c>
      <x:c r="G3199" t="str">
        <x:v>equals</x:v>
      </x:c>
      <x:c r="H3199" t="str">
        <x:f>IF(E3199=F3199,"PASS","FAIL")</x:f>
        <x:v>PASS</x:v>
      </x:c>
    </x:row>
    <x:row r="3200">
      <x:c r="B3200" t="str">
        <x:v>A-03154</x:v>
      </x:c>
      <x:c r="C3200" t="str">
        <x:v>GATE</x:v>
      </x:c>
      <x:c r="D3200" t="str">
        <x:v>release state mirrors governing ledger</x:v>
      </x:c>
      <x:c r="E3200" t="str">
        <x:f>'Release Gates'!I3160</x:f>
        <x:v>OPEN</x:v>
      </x:c>
      <x:c r="F3200" t="str">
        <x:f>IF('Release Gates'!C3160="PLANNING","PASS",IF('Release Gates'!C3160="PHYSICAL","OPEN","BLOCKED"))</x:f>
        <x:v>OPEN</x:v>
      </x:c>
      <x:c r="G3200" t="str">
        <x:v>equals</x:v>
      </x:c>
      <x:c r="H3200" t="str">
        <x:f>IF(E3200=F3200,"PASS","FAIL")</x:f>
        <x:v>PASS</x:v>
      </x:c>
    </x:row>
    <x:row r="3201">
      <x:c r="B3201" t="str">
        <x:v>A-03155</x:v>
      </x:c>
      <x:c r="C3201" t="str">
        <x:v>GATE</x:v>
      </x:c>
      <x:c r="D3201" t="str">
        <x:v>release state mirrors governing ledger</x:v>
      </x:c>
      <x:c r="E3201" t="str">
        <x:f>'Release Gates'!I3161</x:f>
        <x:v>OPEN</x:v>
      </x:c>
      <x:c r="F3201" t="str">
        <x:f>IF('Release Gates'!C3161="PLANNING","PASS",IF('Release Gates'!C3161="PHYSICAL","OPEN","BLOCKED"))</x:f>
        <x:v>OPEN</x:v>
      </x:c>
      <x:c r="G3201" t="str">
        <x:v>equals</x:v>
      </x:c>
      <x:c r="H3201" t="str">
        <x:f>IF(E3201=F3201,"PASS","FAIL")</x:f>
        <x:v>PASS</x:v>
      </x:c>
    </x:row>
    <x:row r="3202">
      <x:c r="B3202" t="str">
        <x:v>A-03156</x:v>
      </x:c>
      <x:c r="C3202" t="str">
        <x:v>GATE</x:v>
      </x:c>
      <x:c r="D3202" t="str">
        <x:v>release state mirrors governing ledger</x:v>
      </x:c>
      <x:c r="E3202" t="str">
        <x:f>'Release Gates'!I3162</x:f>
        <x:v>OPEN</x:v>
      </x:c>
      <x:c r="F3202" t="str">
        <x:f>IF('Release Gates'!C3162="PLANNING","PASS",IF('Release Gates'!C3162="PHYSICAL","OPEN","BLOCKED"))</x:f>
        <x:v>OPEN</x:v>
      </x:c>
      <x:c r="G3202" t="str">
        <x:v>equals</x:v>
      </x:c>
      <x:c r="H3202" t="str">
        <x:f>IF(E3202=F3202,"PASS","FAIL")</x:f>
        <x:v>PASS</x:v>
      </x:c>
    </x:row>
    <x:row r="3203">
      <x:c r="B3203" t="str">
        <x:v>A-03157</x:v>
      </x:c>
      <x:c r="C3203" t="str">
        <x:v>GATE</x:v>
      </x:c>
      <x:c r="D3203" t="str">
        <x:v>release state mirrors governing ledger</x:v>
      </x:c>
      <x:c r="E3203" t="str">
        <x:f>'Release Gates'!I3163</x:f>
        <x:v>OPEN</x:v>
      </x:c>
      <x:c r="F3203" t="str">
        <x:f>IF('Release Gates'!C3163="PLANNING","PASS",IF('Release Gates'!C3163="PHYSICAL","OPEN","BLOCKED"))</x:f>
        <x:v>OPEN</x:v>
      </x:c>
      <x:c r="G3203" t="str">
        <x:v>equals</x:v>
      </x:c>
      <x:c r="H3203" t="str">
        <x:f>IF(E3203=F3203,"PASS","FAIL")</x:f>
        <x:v>PASS</x:v>
      </x:c>
    </x:row>
    <x:row r="3204">
      <x:c r="B3204" t="str">
        <x:v>A-03158</x:v>
      </x:c>
      <x:c r="C3204" t="str">
        <x:v>GATE</x:v>
      </x:c>
      <x:c r="D3204" t="str">
        <x:v>release state mirrors governing ledger</x:v>
      </x:c>
      <x:c r="E3204" t="str">
        <x:f>'Release Gates'!I3164</x:f>
        <x:v>OPEN</x:v>
      </x:c>
      <x:c r="F3204" t="str">
        <x:f>IF('Release Gates'!C3164="PLANNING","PASS",IF('Release Gates'!C3164="PHYSICAL","OPEN","BLOCKED"))</x:f>
        <x:v>OPEN</x:v>
      </x:c>
      <x:c r="G3204" t="str">
        <x:v>equals</x:v>
      </x:c>
      <x:c r="H3204" t="str">
        <x:f>IF(E3204=F3204,"PASS","FAIL")</x:f>
        <x:v>PASS</x:v>
      </x:c>
    </x:row>
    <x:row r="3205">
      <x:c r="B3205" t="str">
        <x:v>A-03159</x:v>
      </x:c>
      <x:c r="C3205" t="str">
        <x:v>GATE</x:v>
      </x:c>
      <x:c r="D3205" t="str">
        <x:v>release state mirrors governing ledger</x:v>
      </x:c>
      <x:c r="E3205" t="str">
        <x:f>'Release Gates'!I3165</x:f>
        <x:v>OPEN</x:v>
      </x:c>
      <x:c r="F3205" t="str">
        <x:f>IF('Release Gates'!C3165="PLANNING","PASS",IF('Release Gates'!C3165="PHYSICAL","OPEN","BLOCKED"))</x:f>
        <x:v>OPEN</x:v>
      </x:c>
      <x:c r="G3205" t="str">
        <x:v>equals</x:v>
      </x:c>
      <x:c r="H3205" t="str">
        <x:f>IF(E3205=F3205,"PASS","FAIL")</x:f>
        <x:v>PASS</x:v>
      </x:c>
    </x:row>
    <x:row r="3206">
      <x:c r="B3206" t="str">
        <x:v>A-03160</x:v>
      </x:c>
      <x:c r="C3206" t="str">
        <x:v>GATE</x:v>
      </x:c>
      <x:c r="D3206" t="str">
        <x:v>release state mirrors governing ledger</x:v>
      </x:c>
      <x:c r="E3206" t="str">
        <x:f>'Release Gates'!I3166</x:f>
        <x:v>OPEN</x:v>
      </x:c>
      <x:c r="F3206" t="str">
        <x:f>IF('Release Gates'!C3166="PLANNING","PASS",IF('Release Gates'!C3166="PHYSICAL","OPEN","BLOCKED"))</x:f>
        <x:v>OPEN</x:v>
      </x:c>
      <x:c r="G3206" t="str">
        <x:v>equals</x:v>
      </x:c>
      <x:c r="H3206" t="str">
        <x:f>IF(E3206=F3206,"PASS","FAIL")</x:f>
        <x:v>PASS</x:v>
      </x:c>
    </x:row>
    <x:row r="3207">
      <x:c r="B3207" t="str">
        <x:v>A-03161</x:v>
      </x:c>
      <x:c r="C3207" t="str">
        <x:v>GATE</x:v>
      </x:c>
      <x:c r="D3207" t="str">
        <x:v>release state mirrors governing ledger</x:v>
      </x:c>
      <x:c r="E3207" t="str">
        <x:f>'Release Gates'!I3167</x:f>
        <x:v>OPEN</x:v>
      </x:c>
      <x:c r="F3207" t="str">
        <x:f>IF('Release Gates'!C3167="PLANNING","PASS",IF('Release Gates'!C3167="PHYSICAL","OPEN","BLOCKED"))</x:f>
        <x:v>OPEN</x:v>
      </x:c>
      <x:c r="G3207" t="str">
        <x:v>equals</x:v>
      </x:c>
      <x:c r="H3207" t="str">
        <x:f>IF(E3207=F3207,"PASS","FAIL")</x:f>
        <x:v>PASS</x:v>
      </x:c>
    </x:row>
    <x:row r="3208">
      <x:c r="B3208" t="str">
        <x:v>A-03162</x:v>
      </x:c>
      <x:c r="C3208" t="str">
        <x:v>GATE</x:v>
      </x:c>
      <x:c r="D3208" t="str">
        <x:v>release state mirrors governing ledger</x:v>
      </x:c>
      <x:c r="E3208" t="str">
        <x:f>'Release Gates'!I3168</x:f>
        <x:v>OPEN</x:v>
      </x:c>
      <x:c r="F3208" t="str">
        <x:f>IF('Release Gates'!C3168="PLANNING","PASS",IF('Release Gates'!C3168="PHYSICAL","OPEN","BLOCKED"))</x:f>
        <x:v>OPEN</x:v>
      </x:c>
      <x:c r="G3208" t="str">
        <x:v>equals</x:v>
      </x:c>
      <x:c r="H3208" t="str">
        <x:f>IF(E3208=F3208,"PASS","FAIL")</x:f>
        <x:v>PASS</x:v>
      </x:c>
    </x:row>
    <x:row r="3209">
      <x:c r="B3209" t="str">
        <x:v>A-03163</x:v>
      </x:c>
      <x:c r="C3209" t="str">
        <x:v>GATE</x:v>
      </x:c>
      <x:c r="D3209" t="str">
        <x:v>release state mirrors governing ledger</x:v>
      </x:c>
      <x:c r="E3209" t="str">
        <x:f>'Release Gates'!I3169</x:f>
        <x:v>OPEN</x:v>
      </x:c>
      <x:c r="F3209" t="str">
        <x:f>IF('Release Gates'!C3169="PLANNING","PASS",IF('Release Gates'!C3169="PHYSICAL","OPEN","BLOCKED"))</x:f>
        <x:v>OPEN</x:v>
      </x:c>
      <x:c r="G3209" t="str">
        <x:v>equals</x:v>
      </x:c>
      <x:c r="H3209" t="str">
        <x:f>IF(E3209=F3209,"PASS","FAIL")</x:f>
        <x:v>PASS</x:v>
      </x:c>
    </x:row>
    <x:row r="3210">
      <x:c r="B3210" t="str">
        <x:v>A-03164</x:v>
      </x:c>
      <x:c r="C3210" t="str">
        <x:v>GATE</x:v>
      </x:c>
      <x:c r="D3210" t="str">
        <x:v>release state mirrors governing ledger</x:v>
      </x:c>
      <x:c r="E3210" t="str">
        <x:f>'Release Gates'!I3170</x:f>
        <x:v>OPEN</x:v>
      </x:c>
      <x:c r="F3210" t="str">
        <x:f>IF('Release Gates'!C3170="PLANNING","PASS",IF('Release Gates'!C3170="PHYSICAL","OPEN","BLOCKED"))</x:f>
        <x:v>OPEN</x:v>
      </x:c>
      <x:c r="G3210" t="str">
        <x:v>equals</x:v>
      </x:c>
      <x:c r="H3210" t="str">
        <x:f>IF(E3210=F3210,"PASS","FAIL")</x:f>
        <x:v>PASS</x:v>
      </x:c>
    </x:row>
    <x:row r="3211">
      <x:c r="B3211" t="str">
        <x:v>A-03165</x:v>
      </x:c>
      <x:c r="C3211" t="str">
        <x:v>GATE</x:v>
      </x:c>
      <x:c r="D3211" t="str">
        <x:v>release state mirrors governing ledger</x:v>
      </x:c>
      <x:c r="E3211" t="str">
        <x:f>'Release Gates'!I3171</x:f>
        <x:v>OPEN</x:v>
      </x:c>
      <x:c r="F3211" t="str">
        <x:f>IF('Release Gates'!C3171="PLANNING","PASS",IF('Release Gates'!C3171="PHYSICAL","OPEN","BLOCKED"))</x:f>
        <x:v>OPEN</x:v>
      </x:c>
      <x:c r="G3211" t="str">
        <x:v>equals</x:v>
      </x:c>
      <x:c r="H3211" t="str">
        <x:f>IF(E3211=F3211,"PASS","FAIL")</x:f>
        <x:v>PASS</x:v>
      </x:c>
    </x:row>
    <x:row r="3212">
      <x:c r="B3212" t="str">
        <x:v>A-03166</x:v>
      </x:c>
      <x:c r="C3212" t="str">
        <x:v>GATE</x:v>
      </x:c>
      <x:c r="D3212" t="str">
        <x:v>release state mirrors governing ledger</x:v>
      </x:c>
      <x:c r="E3212" t="str">
        <x:f>'Release Gates'!I3172</x:f>
        <x:v>OPEN</x:v>
      </x:c>
      <x:c r="F3212" t="str">
        <x:f>IF('Release Gates'!C3172="PLANNING","PASS",IF('Release Gates'!C3172="PHYSICAL","OPEN","BLOCKED"))</x:f>
        <x:v>OPEN</x:v>
      </x:c>
      <x:c r="G3212" t="str">
        <x:v>equals</x:v>
      </x:c>
      <x:c r="H3212" t="str">
        <x:f>IF(E3212=F3212,"PASS","FAIL")</x:f>
        <x:v>PASS</x:v>
      </x:c>
    </x:row>
    <x:row r="3213">
      <x:c r="B3213" t="str">
        <x:v>A-03167</x:v>
      </x:c>
      <x:c r="C3213" t="str">
        <x:v>GATE</x:v>
      </x:c>
      <x:c r="D3213" t="str">
        <x:v>release state mirrors governing ledger</x:v>
      </x:c>
      <x:c r="E3213" t="str">
        <x:f>'Release Gates'!I3173</x:f>
        <x:v>OPEN</x:v>
      </x:c>
      <x:c r="F3213" t="str">
        <x:f>IF('Release Gates'!C3173="PLANNING","PASS",IF('Release Gates'!C3173="PHYSICAL","OPEN","BLOCKED"))</x:f>
        <x:v>OPEN</x:v>
      </x:c>
      <x:c r="G3213" t="str">
        <x:v>equals</x:v>
      </x:c>
      <x:c r="H3213" t="str">
        <x:f>IF(E3213=F3213,"PASS","FAIL")</x:f>
        <x:v>PASS</x:v>
      </x:c>
    </x:row>
    <x:row r="3214">
      <x:c r="B3214" t="str">
        <x:v>A-03168</x:v>
      </x:c>
      <x:c r="C3214" t="str">
        <x:v>GATE</x:v>
      </x:c>
      <x:c r="D3214" t="str">
        <x:v>release state mirrors governing ledger</x:v>
      </x:c>
      <x:c r="E3214" t="str">
        <x:f>'Release Gates'!I3174</x:f>
        <x:v>OPEN</x:v>
      </x:c>
      <x:c r="F3214" t="str">
        <x:f>IF('Release Gates'!C3174="PLANNING","PASS",IF('Release Gates'!C3174="PHYSICAL","OPEN","BLOCKED"))</x:f>
        <x:v>OPEN</x:v>
      </x:c>
      <x:c r="G3214" t="str">
        <x:v>equals</x:v>
      </x:c>
      <x:c r="H3214" t="str">
        <x:f>IF(E3214=F3214,"PASS","FAIL")</x:f>
        <x:v>PASS</x:v>
      </x:c>
    </x:row>
    <x:row r="3215">
      <x:c r="B3215" t="str">
        <x:v>A-03169</x:v>
      </x:c>
      <x:c r="C3215" t="str">
        <x:v>GATE</x:v>
      </x:c>
      <x:c r="D3215" t="str">
        <x:v>release state mirrors governing ledger</x:v>
      </x:c>
      <x:c r="E3215" t="str">
        <x:f>'Release Gates'!I3175</x:f>
        <x:v>OPEN</x:v>
      </x:c>
      <x:c r="F3215" t="str">
        <x:f>IF('Release Gates'!C3175="PLANNING","PASS",IF('Release Gates'!C3175="PHYSICAL","OPEN","BLOCKED"))</x:f>
        <x:v>OPEN</x:v>
      </x:c>
      <x:c r="G3215" t="str">
        <x:v>equals</x:v>
      </x:c>
      <x:c r="H3215" t="str">
        <x:f>IF(E3215=F3215,"PASS","FAIL")</x:f>
        <x:v>PASS</x:v>
      </x:c>
    </x:row>
    <x:row r="3216">
      <x:c r="B3216" t="str">
        <x:v>A-03170</x:v>
      </x:c>
      <x:c r="C3216" t="str">
        <x:v>GATE</x:v>
      </x:c>
      <x:c r="D3216" t="str">
        <x:v>release state mirrors governing ledger</x:v>
      </x:c>
      <x:c r="E3216" t="str">
        <x:f>'Release Gates'!I3176</x:f>
        <x:v>OPEN</x:v>
      </x:c>
      <x:c r="F3216" t="str">
        <x:f>IF('Release Gates'!C3176="PLANNING","PASS",IF('Release Gates'!C3176="PHYSICAL","OPEN","BLOCKED"))</x:f>
        <x:v>OPEN</x:v>
      </x:c>
      <x:c r="G3216" t="str">
        <x:v>equals</x:v>
      </x:c>
      <x:c r="H3216" t="str">
        <x:f>IF(E3216=F3216,"PASS","FAIL")</x:f>
        <x:v>PASS</x:v>
      </x:c>
    </x:row>
    <x:row r="3217">
      <x:c r="B3217" t="str">
        <x:v>A-03171</x:v>
      </x:c>
      <x:c r="C3217" t="str">
        <x:v>GATE</x:v>
      </x:c>
      <x:c r="D3217" t="str">
        <x:v>release state mirrors governing ledger</x:v>
      </x:c>
      <x:c r="E3217" t="str">
        <x:f>'Release Gates'!I3177</x:f>
        <x:v>OPEN</x:v>
      </x:c>
      <x:c r="F3217" t="str">
        <x:f>IF('Release Gates'!C3177="PLANNING","PASS",IF('Release Gates'!C3177="PHYSICAL","OPEN","BLOCKED"))</x:f>
        <x:v>OPEN</x:v>
      </x:c>
      <x:c r="G3217" t="str">
        <x:v>equals</x:v>
      </x:c>
      <x:c r="H3217" t="str">
        <x:f>IF(E3217=F3217,"PASS","FAIL")</x:f>
        <x:v>PASS</x:v>
      </x:c>
    </x:row>
    <x:row r="3218">
      <x:c r="B3218" t="str">
        <x:v>A-03172</x:v>
      </x:c>
      <x:c r="C3218" t="str">
        <x:v>GATE</x:v>
      </x:c>
      <x:c r="D3218" t="str">
        <x:v>release state mirrors governing ledger</x:v>
      </x:c>
      <x:c r="E3218" t="str">
        <x:f>'Release Gates'!I3178</x:f>
        <x:v>OPEN</x:v>
      </x:c>
      <x:c r="F3218" t="str">
        <x:f>IF('Release Gates'!C3178="PLANNING","PASS",IF('Release Gates'!C3178="PHYSICAL","OPEN","BLOCKED"))</x:f>
        <x:v>OPEN</x:v>
      </x:c>
      <x:c r="G3218" t="str">
        <x:v>equals</x:v>
      </x:c>
      <x:c r="H3218" t="str">
        <x:f>IF(E3218=F3218,"PASS","FAIL")</x:f>
        <x:v>PASS</x:v>
      </x:c>
    </x:row>
    <x:row r="3219">
      <x:c r="B3219" t="str">
        <x:v>A-03173</x:v>
      </x:c>
      <x:c r="C3219" t="str">
        <x:v>GATE</x:v>
      </x:c>
      <x:c r="D3219" t="str">
        <x:v>release state mirrors governing ledger</x:v>
      </x:c>
      <x:c r="E3219" t="str">
        <x:f>'Release Gates'!I3179</x:f>
        <x:v>OPEN</x:v>
      </x:c>
      <x:c r="F3219" t="str">
        <x:f>IF('Release Gates'!C3179="PLANNING","PASS",IF('Release Gates'!C3179="PHYSICAL","OPEN","BLOCKED"))</x:f>
        <x:v>OPEN</x:v>
      </x:c>
      <x:c r="G3219" t="str">
        <x:v>equals</x:v>
      </x:c>
      <x:c r="H3219" t="str">
        <x:f>IF(E3219=F3219,"PASS","FAIL")</x:f>
        <x:v>PASS</x:v>
      </x:c>
    </x:row>
    <x:row r="3220">
      <x:c r="B3220" t="str">
        <x:v>A-03174</x:v>
      </x:c>
      <x:c r="C3220" t="str">
        <x:v>GATE</x:v>
      </x:c>
      <x:c r="D3220" t="str">
        <x:v>release state mirrors governing ledger</x:v>
      </x:c>
      <x:c r="E3220" t="str">
        <x:f>'Release Gates'!I3180</x:f>
        <x:v>OPEN</x:v>
      </x:c>
      <x:c r="F3220" t="str">
        <x:f>IF('Release Gates'!C3180="PLANNING","PASS",IF('Release Gates'!C3180="PHYSICAL","OPEN","BLOCKED"))</x:f>
        <x:v>OPEN</x:v>
      </x:c>
      <x:c r="G3220" t="str">
        <x:v>equals</x:v>
      </x:c>
      <x:c r="H3220" t="str">
        <x:f>IF(E3220=F3220,"PASS","FAIL")</x:f>
        <x:v>PASS</x:v>
      </x:c>
    </x:row>
    <x:row r="3221">
      <x:c r="B3221" t="str">
        <x:v>A-03175</x:v>
      </x:c>
      <x:c r="C3221" t="str">
        <x:v>GATE</x:v>
      </x:c>
      <x:c r="D3221" t="str">
        <x:v>release state mirrors governing ledger</x:v>
      </x:c>
      <x:c r="E3221" t="str">
        <x:f>'Release Gates'!I3181</x:f>
        <x:v>OPEN</x:v>
      </x:c>
      <x:c r="F3221" t="str">
        <x:f>IF('Release Gates'!C3181="PLANNING","PASS",IF('Release Gates'!C3181="PHYSICAL","OPEN","BLOCKED"))</x:f>
        <x:v>OPEN</x:v>
      </x:c>
      <x:c r="G3221" t="str">
        <x:v>equals</x:v>
      </x:c>
      <x:c r="H3221" t="str">
        <x:f>IF(E3221=F3221,"PASS","FAIL")</x:f>
        <x:v>PASS</x:v>
      </x:c>
    </x:row>
    <x:row r="3222">
      <x:c r="B3222" t="str">
        <x:v>A-03176</x:v>
      </x:c>
      <x:c r="C3222" t="str">
        <x:v>GATE</x:v>
      </x:c>
      <x:c r="D3222" t="str">
        <x:v>release state mirrors governing ledger</x:v>
      </x:c>
      <x:c r="E3222" t="str">
        <x:f>'Release Gates'!I3182</x:f>
        <x:v>OPEN</x:v>
      </x:c>
      <x:c r="F3222" t="str">
        <x:f>IF('Release Gates'!C3182="PLANNING","PASS",IF('Release Gates'!C3182="PHYSICAL","OPEN","BLOCKED"))</x:f>
        <x:v>OPEN</x:v>
      </x:c>
      <x:c r="G3222" t="str">
        <x:v>equals</x:v>
      </x:c>
      <x:c r="H3222" t="str">
        <x:f>IF(E3222=F3222,"PASS","FAIL")</x:f>
        <x:v>PASS</x:v>
      </x:c>
    </x:row>
    <x:row r="3223">
      <x:c r="B3223" t="str">
        <x:v>A-03177</x:v>
      </x:c>
      <x:c r="C3223" t="str">
        <x:v>GATE</x:v>
      </x:c>
      <x:c r="D3223" t="str">
        <x:v>release state mirrors governing ledger</x:v>
      </x:c>
      <x:c r="E3223" t="str">
        <x:f>'Release Gates'!I3183</x:f>
        <x:v>OPEN</x:v>
      </x:c>
      <x:c r="F3223" t="str">
        <x:f>IF('Release Gates'!C3183="PLANNING","PASS",IF('Release Gates'!C3183="PHYSICAL","OPEN","BLOCKED"))</x:f>
        <x:v>OPEN</x:v>
      </x:c>
      <x:c r="G3223" t="str">
        <x:v>equals</x:v>
      </x:c>
      <x:c r="H3223" t="str">
        <x:f>IF(E3223=F3223,"PASS","FAIL")</x:f>
        <x:v>PASS</x:v>
      </x:c>
    </x:row>
    <x:row r="3224">
      <x:c r="B3224" t="str">
        <x:v>A-03178</x:v>
      </x:c>
      <x:c r="C3224" t="str">
        <x:v>GATE</x:v>
      </x:c>
      <x:c r="D3224" t="str">
        <x:v>release state mirrors governing ledger</x:v>
      </x:c>
      <x:c r="E3224" t="str">
        <x:f>'Release Gates'!I3184</x:f>
        <x:v>OPEN</x:v>
      </x:c>
      <x:c r="F3224" t="str">
        <x:f>IF('Release Gates'!C3184="PLANNING","PASS",IF('Release Gates'!C3184="PHYSICAL","OPEN","BLOCKED"))</x:f>
        <x:v>OPEN</x:v>
      </x:c>
      <x:c r="G3224" t="str">
        <x:v>equals</x:v>
      </x:c>
      <x:c r="H3224" t="str">
        <x:f>IF(E3224=F3224,"PASS","FAIL")</x:f>
        <x:v>PASS</x:v>
      </x:c>
    </x:row>
    <x:row r="3225">
      <x:c r="B3225" t="str">
        <x:v>A-03179</x:v>
      </x:c>
      <x:c r="C3225" t="str">
        <x:v>GATE</x:v>
      </x:c>
      <x:c r="D3225" t="str">
        <x:v>release state mirrors governing ledger</x:v>
      </x:c>
      <x:c r="E3225" t="str">
        <x:f>'Release Gates'!I3185</x:f>
        <x:v>OPEN</x:v>
      </x:c>
      <x:c r="F3225" t="str">
        <x:f>IF('Release Gates'!C3185="PLANNING","PASS",IF('Release Gates'!C3185="PHYSICAL","OPEN","BLOCKED"))</x:f>
        <x:v>OPEN</x:v>
      </x:c>
      <x:c r="G3225" t="str">
        <x:v>equals</x:v>
      </x:c>
      <x:c r="H3225" t="str">
        <x:f>IF(E3225=F3225,"PASS","FAIL")</x:f>
        <x:v>PASS</x:v>
      </x:c>
    </x:row>
    <x:row r="3226">
      <x:c r="B3226" t="str">
        <x:v>A-03180</x:v>
      </x:c>
      <x:c r="C3226" t="str">
        <x:v>GATE</x:v>
      </x:c>
      <x:c r="D3226" t="str">
        <x:v>release state mirrors governing ledger</x:v>
      </x:c>
      <x:c r="E3226" t="str">
        <x:f>'Release Gates'!I3186</x:f>
        <x:v>OPEN</x:v>
      </x:c>
      <x:c r="F3226" t="str">
        <x:f>IF('Release Gates'!C3186="PLANNING","PASS",IF('Release Gates'!C3186="PHYSICAL","OPEN","BLOCKED"))</x:f>
        <x:v>OPEN</x:v>
      </x:c>
      <x:c r="G3226" t="str">
        <x:v>equals</x:v>
      </x:c>
      <x:c r="H3226" t="str">
        <x:f>IF(E3226=F3226,"PASS","FAIL")</x:f>
        <x:v>PASS</x:v>
      </x:c>
    </x:row>
    <x:row r="3227">
      <x:c r="B3227" t="str">
        <x:v>A-03181</x:v>
      </x:c>
      <x:c r="C3227" t="str">
        <x:v>GATE</x:v>
      </x:c>
      <x:c r="D3227" t="str">
        <x:v>release state mirrors governing ledger</x:v>
      </x:c>
      <x:c r="E3227" t="str">
        <x:f>'Release Gates'!I3187</x:f>
        <x:v>OPEN</x:v>
      </x:c>
      <x:c r="F3227" t="str">
        <x:f>IF('Release Gates'!C3187="PLANNING","PASS",IF('Release Gates'!C3187="PHYSICAL","OPEN","BLOCKED"))</x:f>
        <x:v>OPEN</x:v>
      </x:c>
      <x:c r="G3227" t="str">
        <x:v>equals</x:v>
      </x:c>
      <x:c r="H3227" t="str">
        <x:f>IF(E3227=F3227,"PASS","FAIL")</x:f>
        <x:v>PASS</x:v>
      </x:c>
    </x:row>
    <x:row r="3228">
      <x:c r="B3228" t="str">
        <x:v>A-03182</x:v>
      </x:c>
      <x:c r="C3228" t="str">
        <x:v>GATE</x:v>
      </x:c>
      <x:c r="D3228" t="str">
        <x:v>release state mirrors governing ledger</x:v>
      </x:c>
      <x:c r="E3228" t="str">
        <x:f>'Release Gates'!I3188</x:f>
        <x:v>OPEN</x:v>
      </x:c>
      <x:c r="F3228" t="str">
        <x:f>IF('Release Gates'!C3188="PLANNING","PASS",IF('Release Gates'!C3188="PHYSICAL","OPEN","BLOCKED"))</x:f>
        <x:v>OPEN</x:v>
      </x:c>
      <x:c r="G3228" t="str">
        <x:v>equals</x:v>
      </x:c>
      <x:c r="H3228" t="str">
        <x:f>IF(E3228=F3228,"PASS","FAIL")</x:f>
        <x:v>PASS</x:v>
      </x:c>
    </x:row>
    <x:row r="3229">
      <x:c r="B3229" t="str">
        <x:v>A-03183</x:v>
      </x:c>
      <x:c r="C3229" t="str">
        <x:v>GATE</x:v>
      </x:c>
      <x:c r="D3229" t="str">
        <x:v>release state mirrors governing ledger</x:v>
      </x:c>
      <x:c r="E3229" t="str">
        <x:f>'Release Gates'!I3189</x:f>
        <x:v>OPEN</x:v>
      </x:c>
      <x:c r="F3229" t="str">
        <x:f>IF('Release Gates'!C3189="PLANNING","PASS",IF('Release Gates'!C3189="PHYSICAL","OPEN","BLOCKED"))</x:f>
        <x:v>OPEN</x:v>
      </x:c>
      <x:c r="G3229" t="str">
        <x:v>equals</x:v>
      </x:c>
      <x:c r="H3229" t="str">
        <x:f>IF(E3229=F3229,"PASS","FAIL")</x:f>
        <x:v>PASS</x:v>
      </x:c>
    </x:row>
    <x:row r="3230">
      <x:c r="B3230" t="str">
        <x:v>A-03184</x:v>
      </x:c>
      <x:c r="C3230" t="str">
        <x:v>GATE</x:v>
      </x:c>
      <x:c r="D3230" t="str">
        <x:v>release state mirrors governing ledger</x:v>
      </x:c>
      <x:c r="E3230" t="str">
        <x:f>'Release Gates'!I3190</x:f>
        <x:v>OPEN</x:v>
      </x:c>
      <x:c r="F3230" t="str">
        <x:f>IF('Release Gates'!C3190="PLANNING","PASS",IF('Release Gates'!C3190="PHYSICAL","OPEN","BLOCKED"))</x:f>
        <x:v>OPEN</x:v>
      </x:c>
      <x:c r="G3230" t="str">
        <x:v>equals</x:v>
      </x:c>
      <x:c r="H3230" t="str">
        <x:f>IF(E3230=F3230,"PASS","FAIL")</x:f>
        <x:v>PASS</x:v>
      </x:c>
    </x:row>
    <x:row r="3231">
      <x:c r="B3231" t="str">
        <x:v>A-03185</x:v>
      </x:c>
      <x:c r="C3231" t="str">
        <x:v>GATE</x:v>
      </x:c>
      <x:c r="D3231" t="str">
        <x:v>release state mirrors governing ledger</x:v>
      </x:c>
      <x:c r="E3231" t="str">
        <x:f>'Release Gates'!I3191</x:f>
        <x:v>OPEN</x:v>
      </x:c>
      <x:c r="F3231" t="str">
        <x:f>IF('Release Gates'!C3191="PLANNING","PASS",IF('Release Gates'!C3191="PHYSICAL","OPEN","BLOCKED"))</x:f>
        <x:v>OPEN</x:v>
      </x:c>
      <x:c r="G3231" t="str">
        <x:v>equals</x:v>
      </x:c>
      <x:c r="H3231" t="str">
        <x:f>IF(E3231=F3231,"PASS","FAIL")</x:f>
        <x:v>PASS</x:v>
      </x:c>
    </x:row>
    <x:row r="3232">
      <x:c r="B3232" t="str">
        <x:v>A-03186</x:v>
      </x:c>
      <x:c r="C3232" t="str">
        <x:v>GATE</x:v>
      </x:c>
      <x:c r="D3232" t="str">
        <x:v>release state mirrors governing ledger</x:v>
      </x:c>
      <x:c r="E3232" t="str">
        <x:f>'Release Gates'!I3192</x:f>
        <x:v>OPEN</x:v>
      </x:c>
      <x:c r="F3232" t="str">
        <x:f>IF('Release Gates'!C3192="PLANNING","PASS",IF('Release Gates'!C3192="PHYSICAL","OPEN","BLOCKED"))</x:f>
        <x:v>OPEN</x:v>
      </x:c>
      <x:c r="G3232" t="str">
        <x:v>equals</x:v>
      </x:c>
      <x:c r="H3232" t="str">
        <x:f>IF(E3232=F3232,"PASS","FAIL")</x:f>
        <x:v>PASS</x:v>
      </x:c>
    </x:row>
    <x:row r="3233">
      <x:c r="B3233" t="str">
        <x:v>A-03187</x:v>
      </x:c>
      <x:c r="C3233" t="str">
        <x:v>GATE</x:v>
      </x:c>
      <x:c r="D3233" t="str">
        <x:v>release state mirrors governing ledger</x:v>
      </x:c>
      <x:c r="E3233" t="str">
        <x:f>'Release Gates'!I3193</x:f>
        <x:v>OPEN</x:v>
      </x:c>
      <x:c r="F3233" t="str">
        <x:f>IF('Release Gates'!C3193="PLANNING","PASS",IF('Release Gates'!C3193="PHYSICAL","OPEN","BLOCKED"))</x:f>
        <x:v>OPEN</x:v>
      </x:c>
      <x:c r="G3233" t="str">
        <x:v>equals</x:v>
      </x:c>
      <x:c r="H3233" t="str">
        <x:f>IF(E3233=F3233,"PASS","FAIL")</x:f>
        <x:v>PASS</x:v>
      </x:c>
    </x:row>
    <x:row r="3234">
      <x:c r="B3234" t="str">
        <x:v>A-03188</x:v>
      </x:c>
      <x:c r="C3234" t="str">
        <x:v>GATE</x:v>
      </x:c>
      <x:c r="D3234" t="str">
        <x:v>release state mirrors governing ledger</x:v>
      </x:c>
      <x:c r="E3234" t="str">
        <x:f>'Release Gates'!I3194</x:f>
        <x:v>OPEN</x:v>
      </x:c>
      <x:c r="F3234" t="str">
        <x:f>IF('Release Gates'!C3194="PLANNING","PASS",IF('Release Gates'!C3194="PHYSICAL","OPEN","BLOCKED"))</x:f>
        <x:v>OPEN</x:v>
      </x:c>
      <x:c r="G3234" t="str">
        <x:v>equals</x:v>
      </x:c>
      <x:c r="H3234" t="str">
        <x:f>IF(E3234=F3234,"PASS","FAIL")</x:f>
        <x:v>PASS</x:v>
      </x:c>
    </x:row>
    <x:row r="3235">
      <x:c r="B3235" t="str">
        <x:v>A-03189</x:v>
      </x:c>
      <x:c r="C3235" t="str">
        <x:v>GATE</x:v>
      </x:c>
      <x:c r="D3235" t="str">
        <x:v>release state mirrors governing ledger</x:v>
      </x:c>
      <x:c r="E3235" t="str">
        <x:f>'Release Gates'!I3195</x:f>
        <x:v>OPEN</x:v>
      </x:c>
      <x:c r="F3235" t="str">
        <x:f>IF('Release Gates'!C3195="PLANNING","PASS",IF('Release Gates'!C3195="PHYSICAL","OPEN","BLOCKED"))</x:f>
        <x:v>OPEN</x:v>
      </x:c>
      <x:c r="G3235" t="str">
        <x:v>equals</x:v>
      </x:c>
      <x:c r="H3235" t="str">
        <x:f>IF(E3235=F3235,"PASS","FAIL")</x:f>
        <x:v>PASS</x:v>
      </x:c>
    </x:row>
    <x:row r="3236">
      <x:c r="B3236" t="str">
        <x:v>A-03190</x:v>
      </x:c>
      <x:c r="C3236" t="str">
        <x:v>GATE</x:v>
      </x:c>
      <x:c r="D3236" t="str">
        <x:v>release state mirrors governing ledger</x:v>
      </x:c>
      <x:c r="E3236" t="str">
        <x:f>'Release Gates'!I3196</x:f>
        <x:v>OPEN</x:v>
      </x:c>
      <x:c r="F3236" t="str">
        <x:f>IF('Release Gates'!C3196="PLANNING","PASS",IF('Release Gates'!C3196="PHYSICAL","OPEN","BLOCKED"))</x:f>
        <x:v>OPEN</x:v>
      </x:c>
      <x:c r="G3236" t="str">
        <x:v>equals</x:v>
      </x:c>
      <x:c r="H3236" t="str">
        <x:f>IF(E3236=F3236,"PASS","FAIL")</x:f>
        <x:v>PASS</x:v>
      </x:c>
    </x:row>
    <x:row r="3237">
      <x:c r="B3237" t="str">
        <x:v>A-03191</x:v>
      </x:c>
      <x:c r="C3237" t="str">
        <x:v>GATE</x:v>
      </x:c>
      <x:c r="D3237" t="str">
        <x:v>release state mirrors governing ledger</x:v>
      </x:c>
      <x:c r="E3237" t="str">
        <x:f>'Release Gates'!I3197</x:f>
        <x:v>OPEN</x:v>
      </x:c>
      <x:c r="F3237" t="str">
        <x:f>IF('Release Gates'!C3197="PLANNING","PASS",IF('Release Gates'!C3197="PHYSICAL","OPEN","BLOCKED"))</x:f>
        <x:v>OPEN</x:v>
      </x:c>
      <x:c r="G3237" t="str">
        <x:v>equals</x:v>
      </x:c>
      <x:c r="H3237" t="str">
        <x:f>IF(E3237=F3237,"PASS","FAIL")</x:f>
        <x:v>PASS</x:v>
      </x:c>
    </x:row>
    <x:row r="3238">
      <x:c r="B3238" t="str">
        <x:v>A-03192</x:v>
      </x:c>
      <x:c r="C3238" t="str">
        <x:v>GATE</x:v>
      </x:c>
      <x:c r="D3238" t="str">
        <x:v>release state mirrors governing ledger</x:v>
      </x:c>
      <x:c r="E3238" t="str">
        <x:f>'Release Gates'!I3198</x:f>
        <x:v>OPEN</x:v>
      </x:c>
      <x:c r="F3238" t="str">
        <x:f>IF('Release Gates'!C3198="PLANNING","PASS",IF('Release Gates'!C3198="PHYSICAL","OPEN","BLOCKED"))</x:f>
        <x:v>OPEN</x:v>
      </x:c>
      <x:c r="G3238" t="str">
        <x:v>equals</x:v>
      </x:c>
      <x:c r="H3238" t="str">
        <x:f>IF(E3238=F3238,"PASS","FAIL")</x:f>
        <x:v>PASS</x:v>
      </x:c>
    </x:row>
    <x:row r="3239">
      <x:c r="B3239" t="str">
        <x:v>A-03193</x:v>
      </x:c>
      <x:c r="C3239" t="str">
        <x:v>GATE</x:v>
      </x:c>
      <x:c r="D3239" t="str">
        <x:v>release state mirrors governing ledger</x:v>
      </x:c>
      <x:c r="E3239" t="str">
        <x:f>'Release Gates'!I3199</x:f>
        <x:v>OPEN</x:v>
      </x:c>
      <x:c r="F3239" t="str">
        <x:f>IF('Release Gates'!C3199="PLANNING","PASS",IF('Release Gates'!C3199="PHYSICAL","OPEN","BLOCKED"))</x:f>
        <x:v>OPEN</x:v>
      </x:c>
      <x:c r="G3239" t="str">
        <x:v>equals</x:v>
      </x:c>
      <x:c r="H3239" t="str">
        <x:f>IF(E3239=F3239,"PASS","FAIL")</x:f>
        <x:v>PASS</x:v>
      </x:c>
    </x:row>
    <x:row r="3240">
      <x:c r="B3240" t="str">
        <x:v>A-03194</x:v>
      </x:c>
      <x:c r="C3240" t="str">
        <x:v>GATE</x:v>
      </x:c>
      <x:c r="D3240" t="str">
        <x:v>release state mirrors governing ledger</x:v>
      </x:c>
      <x:c r="E3240" t="str">
        <x:f>'Release Gates'!I3200</x:f>
        <x:v>OPEN</x:v>
      </x:c>
      <x:c r="F3240" t="str">
        <x:f>IF('Release Gates'!C3200="PLANNING","PASS",IF('Release Gates'!C3200="PHYSICAL","OPEN","BLOCKED"))</x:f>
        <x:v>OPEN</x:v>
      </x:c>
      <x:c r="G3240" t="str">
        <x:v>equals</x:v>
      </x:c>
      <x:c r="H3240" t="str">
        <x:f>IF(E3240=F3240,"PASS","FAIL")</x:f>
        <x:v>PASS</x:v>
      </x:c>
    </x:row>
    <x:row r="3241">
      <x:c r="B3241" t="str">
        <x:v>A-03195</x:v>
      </x:c>
      <x:c r="C3241" t="str">
        <x:v>GATE</x:v>
      </x:c>
      <x:c r="D3241" t="str">
        <x:v>release state mirrors governing ledger</x:v>
      </x:c>
      <x:c r="E3241" t="str">
        <x:f>'Release Gates'!I3201</x:f>
        <x:v>OPEN</x:v>
      </x:c>
      <x:c r="F3241" t="str">
        <x:f>IF('Release Gates'!C3201="PLANNING","PASS",IF('Release Gates'!C3201="PHYSICAL","OPEN","BLOCKED"))</x:f>
        <x:v>OPEN</x:v>
      </x:c>
      <x:c r="G3241" t="str">
        <x:v>equals</x:v>
      </x:c>
      <x:c r="H3241" t="str">
        <x:f>IF(E3241=F3241,"PASS","FAIL")</x:f>
        <x:v>PASS</x:v>
      </x:c>
    </x:row>
    <x:row r="3242">
      <x:c r="B3242" t="str">
        <x:v>A-03196</x:v>
      </x:c>
      <x:c r="C3242" t="str">
        <x:v>GATE</x:v>
      </x:c>
      <x:c r="D3242" t="str">
        <x:v>release state mirrors governing ledger</x:v>
      </x:c>
      <x:c r="E3242" t="str">
        <x:f>'Release Gates'!I3202</x:f>
        <x:v>OPEN</x:v>
      </x:c>
      <x:c r="F3242" t="str">
        <x:f>IF('Release Gates'!C3202="PLANNING","PASS",IF('Release Gates'!C3202="PHYSICAL","OPEN","BLOCKED"))</x:f>
        <x:v>OPEN</x:v>
      </x:c>
      <x:c r="G3242" t="str">
        <x:v>equals</x:v>
      </x:c>
      <x:c r="H3242" t="str">
        <x:f>IF(E3242=F3242,"PASS","FAIL")</x:f>
        <x:v>PASS</x:v>
      </x:c>
    </x:row>
    <x:row r="3243">
      <x:c r="B3243" t="str">
        <x:v>A-03197</x:v>
      </x:c>
      <x:c r="C3243" t="str">
        <x:v>GATE</x:v>
      </x:c>
      <x:c r="D3243" t="str">
        <x:v>release state mirrors governing ledger</x:v>
      </x:c>
      <x:c r="E3243" t="str">
        <x:f>'Release Gates'!I3203</x:f>
        <x:v>OPEN</x:v>
      </x:c>
      <x:c r="F3243" t="str">
        <x:f>IF('Release Gates'!C3203="PLANNING","PASS",IF('Release Gates'!C3203="PHYSICAL","OPEN","BLOCKED"))</x:f>
        <x:v>OPEN</x:v>
      </x:c>
      <x:c r="G3243" t="str">
        <x:v>equals</x:v>
      </x:c>
      <x:c r="H3243" t="str">
        <x:f>IF(E3243=F3243,"PASS","FAIL")</x:f>
        <x:v>PASS</x:v>
      </x:c>
    </x:row>
    <x:row r="3244">
      <x:c r="B3244" t="str">
        <x:v>A-03198</x:v>
      </x:c>
      <x:c r="C3244" t="str">
        <x:v>GATE</x:v>
      </x:c>
      <x:c r="D3244" t="str">
        <x:v>release state mirrors governing ledger</x:v>
      </x:c>
      <x:c r="E3244" t="str">
        <x:f>'Release Gates'!I3204</x:f>
        <x:v>OPEN</x:v>
      </x:c>
      <x:c r="F3244" t="str">
        <x:f>IF('Release Gates'!C3204="PLANNING","PASS",IF('Release Gates'!C3204="PHYSICAL","OPEN","BLOCKED"))</x:f>
        <x:v>OPEN</x:v>
      </x:c>
      <x:c r="G3244" t="str">
        <x:v>equals</x:v>
      </x:c>
      <x:c r="H3244" t="str">
        <x:f>IF(E3244=F3244,"PASS","FAIL")</x:f>
        <x:v>PASS</x:v>
      </x:c>
    </x:row>
    <x:row r="3245">
      <x:c r="B3245" t="str">
        <x:v>A-03199</x:v>
      </x:c>
      <x:c r="C3245" t="str">
        <x:v>GATE</x:v>
      </x:c>
      <x:c r="D3245" t="str">
        <x:v>release state mirrors governing ledger</x:v>
      </x:c>
      <x:c r="E3245" t="str">
        <x:f>'Release Gates'!I3205</x:f>
        <x:v>OPEN</x:v>
      </x:c>
      <x:c r="F3245" t="str">
        <x:f>IF('Release Gates'!C3205="PLANNING","PASS",IF('Release Gates'!C3205="PHYSICAL","OPEN","BLOCKED"))</x:f>
        <x:v>OPEN</x:v>
      </x:c>
      <x:c r="G3245" t="str">
        <x:v>equals</x:v>
      </x:c>
      <x:c r="H3245" t="str">
        <x:f>IF(E3245=F3245,"PASS","FAIL")</x:f>
        <x:v>PASS</x:v>
      </x:c>
    </x:row>
    <x:row r="3246">
      <x:c r="B3246" t="str">
        <x:v>A-03200</x:v>
      </x:c>
      <x:c r="C3246" t="str">
        <x:v>GATE</x:v>
      </x:c>
      <x:c r="D3246" t="str">
        <x:v>release state mirrors governing ledger</x:v>
      </x:c>
      <x:c r="E3246" t="str">
        <x:f>'Release Gates'!I3206</x:f>
        <x:v>OPEN</x:v>
      </x:c>
      <x:c r="F3246" t="str">
        <x:f>IF('Release Gates'!C3206="PLANNING","PASS",IF('Release Gates'!C3206="PHYSICAL","OPEN","BLOCKED"))</x:f>
        <x:v>OPEN</x:v>
      </x:c>
      <x:c r="G3246" t="str">
        <x:v>equals</x:v>
      </x:c>
      <x:c r="H3246" t="str">
        <x:f>IF(E3246=F3246,"PASS","FAIL")</x:f>
        <x:v>PASS</x:v>
      </x:c>
    </x:row>
    <x:row r="3247">
      <x:c r="B3247" t="str">
        <x:v>A-03201</x:v>
      </x:c>
      <x:c r="C3247" t="str">
        <x:v>GATE</x:v>
      </x:c>
      <x:c r="D3247" t="str">
        <x:v>release state mirrors governing ledger</x:v>
      </x:c>
      <x:c r="E3247" t="str">
        <x:f>'Release Gates'!I3207</x:f>
        <x:v>OPEN</x:v>
      </x:c>
      <x:c r="F3247" t="str">
        <x:f>IF('Release Gates'!C3207="PLANNING","PASS",IF('Release Gates'!C3207="PHYSICAL","OPEN","BLOCKED"))</x:f>
        <x:v>OPEN</x:v>
      </x:c>
      <x:c r="G3247" t="str">
        <x:v>equals</x:v>
      </x:c>
      <x:c r="H3247" t="str">
        <x:f>IF(E3247=F3247,"PASS","FAIL")</x:f>
        <x:v>PASS</x:v>
      </x:c>
    </x:row>
    <x:row r="3248">
      <x:c r="B3248" t="str">
        <x:v>A-03202</x:v>
      </x:c>
      <x:c r="C3248" t="str">
        <x:v>GATE</x:v>
      </x:c>
      <x:c r="D3248" t="str">
        <x:v>release state mirrors governing ledger</x:v>
      </x:c>
      <x:c r="E3248" t="str">
        <x:f>'Release Gates'!I3208</x:f>
        <x:v>OPEN</x:v>
      </x:c>
      <x:c r="F3248" t="str">
        <x:f>IF('Release Gates'!C3208="PLANNING","PASS",IF('Release Gates'!C3208="PHYSICAL","OPEN","BLOCKED"))</x:f>
        <x:v>OPEN</x:v>
      </x:c>
      <x:c r="G3248" t="str">
        <x:v>equals</x:v>
      </x:c>
      <x:c r="H3248" t="str">
        <x:f>IF(E3248=F3248,"PASS","FAIL")</x:f>
        <x:v>PASS</x:v>
      </x:c>
    </x:row>
    <x:row r="3249">
      <x:c r="B3249" t="str">
        <x:v>A-03203</x:v>
      </x:c>
      <x:c r="C3249" t="str">
        <x:v>GATE</x:v>
      </x:c>
      <x:c r="D3249" t="str">
        <x:v>release state mirrors governing ledger</x:v>
      </x:c>
      <x:c r="E3249" t="str">
        <x:f>'Release Gates'!I3209</x:f>
        <x:v>OPEN</x:v>
      </x:c>
      <x:c r="F3249" t="str">
        <x:f>IF('Release Gates'!C3209="PLANNING","PASS",IF('Release Gates'!C3209="PHYSICAL","OPEN","BLOCKED"))</x:f>
        <x:v>OPEN</x:v>
      </x:c>
      <x:c r="G3249" t="str">
        <x:v>equals</x:v>
      </x:c>
      <x:c r="H3249" t="str">
        <x:f>IF(E3249=F3249,"PASS","FAIL")</x:f>
        <x:v>PASS</x:v>
      </x:c>
    </x:row>
    <x:row r="3250">
      <x:c r="B3250" t="str">
        <x:v>A-03204</x:v>
      </x:c>
      <x:c r="C3250" t="str">
        <x:v>GATE</x:v>
      </x:c>
      <x:c r="D3250" t="str">
        <x:v>release state mirrors governing ledger</x:v>
      </x:c>
      <x:c r="E3250" t="str">
        <x:f>'Release Gates'!I3210</x:f>
        <x:v>OPEN</x:v>
      </x:c>
      <x:c r="F3250" t="str">
        <x:f>IF('Release Gates'!C3210="PLANNING","PASS",IF('Release Gates'!C3210="PHYSICAL","OPEN","BLOCKED"))</x:f>
        <x:v>OPEN</x:v>
      </x:c>
      <x:c r="G3250" t="str">
        <x:v>equals</x:v>
      </x:c>
      <x:c r="H3250" t="str">
        <x:f>IF(E3250=F3250,"PASS","FAIL")</x:f>
        <x:v>PASS</x:v>
      </x:c>
    </x:row>
    <x:row r="3251">
      <x:c r="B3251" t="str">
        <x:v>A-03205</x:v>
      </x:c>
      <x:c r="C3251" t="str">
        <x:v>GATE</x:v>
      </x:c>
      <x:c r="D3251" t="str">
        <x:v>release state mirrors governing ledger</x:v>
      </x:c>
      <x:c r="E3251" t="str">
        <x:f>'Release Gates'!I3211</x:f>
        <x:v>OPEN</x:v>
      </x:c>
      <x:c r="F3251" t="str">
        <x:f>IF('Release Gates'!C3211="PLANNING","PASS",IF('Release Gates'!C3211="PHYSICAL","OPEN","BLOCKED"))</x:f>
        <x:v>OPEN</x:v>
      </x:c>
      <x:c r="G3251" t="str">
        <x:v>equals</x:v>
      </x:c>
      <x:c r="H3251" t="str">
        <x:f>IF(E3251=F3251,"PASS","FAIL")</x:f>
        <x:v>PASS</x:v>
      </x:c>
    </x:row>
    <x:row r="3252">
      <x:c r="B3252" t="str">
        <x:v>A-03206</x:v>
      </x:c>
      <x:c r="C3252" t="str">
        <x:v>GATE</x:v>
      </x:c>
      <x:c r="D3252" t="str">
        <x:v>release state mirrors governing ledger</x:v>
      </x:c>
      <x:c r="E3252" t="str">
        <x:f>'Release Gates'!I3212</x:f>
        <x:v>OPEN</x:v>
      </x:c>
      <x:c r="F3252" t="str">
        <x:f>IF('Release Gates'!C3212="PLANNING","PASS",IF('Release Gates'!C3212="PHYSICAL","OPEN","BLOCKED"))</x:f>
        <x:v>OPEN</x:v>
      </x:c>
      <x:c r="G3252" t="str">
        <x:v>equals</x:v>
      </x:c>
      <x:c r="H3252" t="str">
        <x:f>IF(E3252=F3252,"PASS","FAIL")</x:f>
        <x:v>PASS</x:v>
      </x:c>
    </x:row>
    <x:row r="3253">
      <x:c r="B3253" t="str">
        <x:v>A-03207</x:v>
      </x:c>
      <x:c r="C3253" t="str">
        <x:v>GATE</x:v>
      </x:c>
      <x:c r="D3253" t="str">
        <x:v>release state mirrors governing ledger</x:v>
      </x:c>
      <x:c r="E3253" t="str">
        <x:f>'Release Gates'!I3213</x:f>
        <x:v>OPEN</x:v>
      </x:c>
      <x:c r="F3253" t="str">
        <x:f>IF('Release Gates'!C3213="PLANNING","PASS",IF('Release Gates'!C3213="PHYSICAL","OPEN","BLOCKED"))</x:f>
        <x:v>OPEN</x:v>
      </x:c>
      <x:c r="G3253" t="str">
        <x:v>equals</x:v>
      </x:c>
      <x:c r="H3253" t="str">
        <x:f>IF(E3253=F3253,"PASS","FAIL")</x:f>
        <x:v>PASS</x:v>
      </x:c>
    </x:row>
    <x:row r="3254">
      <x:c r="B3254" t="str">
        <x:v>A-03208</x:v>
      </x:c>
      <x:c r="C3254" t="str">
        <x:v>GATE</x:v>
      </x:c>
      <x:c r="D3254" t="str">
        <x:v>release state mirrors governing ledger</x:v>
      </x:c>
      <x:c r="E3254" t="str">
        <x:f>'Release Gates'!I3214</x:f>
        <x:v>OPEN</x:v>
      </x:c>
      <x:c r="F3254" t="str">
        <x:f>IF('Release Gates'!C3214="PLANNING","PASS",IF('Release Gates'!C3214="PHYSICAL","OPEN","BLOCKED"))</x:f>
        <x:v>OPEN</x:v>
      </x:c>
      <x:c r="G3254" t="str">
        <x:v>equals</x:v>
      </x:c>
      <x:c r="H3254" t="str">
        <x:f>IF(E3254=F3254,"PASS","FAIL")</x:f>
        <x:v>PASS</x:v>
      </x:c>
    </x:row>
    <x:row r="3255">
      <x:c r="B3255" t="str">
        <x:v>A-03209</x:v>
      </x:c>
      <x:c r="C3255" t="str">
        <x:v>GATE</x:v>
      </x:c>
      <x:c r="D3255" t="str">
        <x:v>release state mirrors governing ledger</x:v>
      </x:c>
      <x:c r="E3255" t="str">
        <x:f>'Release Gates'!I3215</x:f>
        <x:v>OPEN</x:v>
      </x:c>
      <x:c r="F3255" t="str">
        <x:f>IF('Release Gates'!C3215="PLANNING","PASS",IF('Release Gates'!C3215="PHYSICAL","OPEN","BLOCKED"))</x:f>
        <x:v>OPEN</x:v>
      </x:c>
      <x:c r="G3255" t="str">
        <x:v>equals</x:v>
      </x:c>
      <x:c r="H3255" t="str">
        <x:f>IF(E3255=F3255,"PASS","FAIL")</x:f>
        <x:v>PASS</x:v>
      </x:c>
    </x:row>
    <x:row r="3256">
      <x:c r="B3256" t="str">
        <x:v>A-03210</x:v>
      </x:c>
      <x:c r="C3256" t="str">
        <x:v>GATE</x:v>
      </x:c>
      <x:c r="D3256" t="str">
        <x:v>release state mirrors governing ledger</x:v>
      </x:c>
      <x:c r="E3256" t="str">
        <x:f>'Release Gates'!I3216</x:f>
        <x:v>OPEN</x:v>
      </x:c>
      <x:c r="F3256" t="str">
        <x:f>IF('Release Gates'!C3216="PLANNING","PASS",IF('Release Gates'!C3216="PHYSICAL","OPEN","BLOCKED"))</x:f>
        <x:v>OPEN</x:v>
      </x:c>
      <x:c r="G3256" t="str">
        <x:v>equals</x:v>
      </x:c>
      <x:c r="H3256" t="str">
        <x:f>IF(E3256=F3256,"PASS","FAIL")</x:f>
        <x:v>PASS</x:v>
      </x:c>
    </x:row>
    <x:row r="3257">
      <x:c r="B3257" t="str">
        <x:v>A-03211</x:v>
      </x:c>
      <x:c r="C3257" t="str">
        <x:v>GATE</x:v>
      </x:c>
      <x:c r="D3257" t="str">
        <x:v>release state mirrors governing ledger</x:v>
      </x:c>
      <x:c r="E3257" t="str">
        <x:f>'Release Gates'!I3217</x:f>
        <x:v>OPEN</x:v>
      </x:c>
      <x:c r="F3257" t="str">
        <x:f>IF('Release Gates'!C3217="PLANNING","PASS",IF('Release Gates'!C3217="PHYSICAL","OPEN","BLOCKED"))</x:f>
        <x:v>OPEN</x:v>
      </x:c>
      <x:c r="G3257" t="str">
        <x:v>equals</x:v>
      </x:c>
      <x:c r="H3257" t="str">
        <x:f>IF(E3257=F3257,"PASS","FAIL")</x:f>
        <x:v>PASS</x:v>
      </x:c>
    </x:row>
    <x:row r="3258">
      <x:c r="B3258" t="str">
        <x:v>A-03212</x:v>
      </x:c>
      <x:c r="C3258" t="str">
        <x:v>GATE</x:v>
      </x:c>
      <x:c r="D3258" t="str">
        <x:v>release state mirrors governing ledger</x:v>
      </x:c>
      <x:c r="E3258" t="str">
        <x:f>'Release Gates'!I3218</x:f>
        <x:v>OPEN</x:v>
      </x:c>
      <x:c r="F3258" t="str">
        <x:f>IF('Release Gates'!C3218="PLANNING","PASS",IF('Release Gates'!C3218="PHYSICAL","OPEN","BLOCKED"))</x:f>
        <x:v>OPEN</x:v>
      </x:c>
      <x:c r="G3258" t="str">
        <x:v>equals</x:v>
      </x:c>
      <x:c r="H3258" t="str">
        <x:f>IF(E3258=F3258,"PASS","FAIL")</x:f>
        <x:v>PASS</x:v>
      </x:c>
    </x:row>
    <x:row r="3259">
      <x:c r="B3259" t="str">
        <x:v>A-03213</x:v>
      </x:c>
      <x:c r="C3259" t="str">
        <x:v>GATE</x:v>
      </x:c>
      <x:c r="D3259" t="str">
        <x:v>release state mirrors governing ledger</x:v>
      </x:c>
      <x:c r="E3259" t="str">
        <x:f>'Release Gates'!I3219</x:f>
        <x:v>OPEN</x:v>
      </x:c>
      <x:c r="F3259" t="str">
        <x:f>IF('Release Gates'!C3219="PLANNING","PASS",IF('Release Gates'!C3219="PHYSICAL","OPEN","BLOCKED"))</x:f>
        <x:v>OPEN</x:v>
      </x:c>
      <x:c r="G3259" t="str">
        <x:v>equals</x:v>
      </x:c>
      <x:c r="H3259" t="str">
        <x:f>IF(E3259=F3259,"PASS","FAIL")</x:f>
        <x:v>PASS</x:v>
      </x:c>
    </x:row>
    <x:row r="3260">
      <x:c r="B3260" t="str">
        <x:v>A-03214</x:v>
      </x:c>
      <x:c r="C3260" t="str">
        <x:v>GATE</x:v>
      </x:c>
      <x:c r="D3260" t="str">
        <x:v>release state mirrors governing ledger</x:v>
      </x:c>
      <x:c r="E3260" t="str">
        <x:f>'Release Gates'!I3220</x:f>
        <x:v>OPEN</x:v>
      </x:c>
      <x:c r="F3260" t="str">
        <x:f>IF('Release Gates'!C3220="PLANNING","PASS",IF('Release Gates'!C3220="PHYSICAL","OPEN","BLOCKED"))</x:f>
        <x:v>OPEN</x:v>
      </x:c>
      <x:c r="G3260" t="str">
        <x:v>equals</x:v>
      </x:c>
      <x:c r="H3260" t="str">
        <x:f>IF(E3260=F3260,"PASS","FAIL")</x:f>
        <x:v>PASS</x:v>
      </x:c>
    </x:row>
    <x:row r="3261">
      <x:c r="B3261" t="str">
        <x:v>A-03215</x:v>
      </x:c>
      <x:c r="C3261" t="str">
        <x:v>GATE</x:v>
      </x:c>
      <x:c r="D3261" t="str">
        <x:v>release state mirrors governing ledger</x:v>
      </x:c>
      <x:c r="E3261" t="str">
        <x:f>'Release Gates'!I3221</x:f>
        <x:v>OPEN</x:v>
      </x:c>
      <x:c r="F3261" t="str">
        <x:f>IF('Release Gates'!C3221="PLANNING","PASS",IF('Release Gates'!C3221="PHYSICAL","OPEN","BLOCKED"))</x:f>
        <x:v>OPEN</x:v>
      </x:c>
      <x:c r="G3261" t="str">
        <x:v>equals</x:v>
      </x:c>
      <x:c r="H3261" t="str">
        <x:f>IF(E3261=F3261,"PASS","FAIL")</x:f>
        <x:v>PASS</x:v>
      </x:c>
    </x:row>
    <x:row r="3262">
      <x:c r="B3262" t="str">
        <x:v>A-03216</x:v>
      </x:c>
      <x:c r="C3262" t="str">
        <x:v>GATE</x:v>
      </x:c>
      <x:c r="D3262" t="str">
        <x:v>release state mirrors governing ledger</x:v>
      </x:c>
      <x:c r="E3262" t="str">
        <x:f>'Release Gates'!I3222</x:f>
        <x:v>OPEN</x:v>
      </x:c>
      <x:c r="F3262" t="str">
        <x:f>IF('Release Gates'!C3222="PLANNING","PASS",IF('Release Gates'!C3222="PHYSICAL","OPEN","BLOCKED"))</x:f>
        <x:v>OPEN</x:v>
      </x:c>
      <x:c r="G3262" t="str">
        <x:v>equals</x:v>
      </x:c>
      <x:c r="H3262" t="str">
        <x:f>IF(E3262=F3262,"PASS","FAIL")</x:f>
        <x:v>PASS</x:v>
      </x:c>
    </x:row>
    <x:row r="3263">
      <x:c r="B3263" t="str">
        <x:v>A-03217</x:v>
      </x:c>
      <x:c r="C3263" t="str">
        <x:v>GATE</x:v>
      </x:c>
      <x:c r="D3263" t="str">
        <x:v>release state mirrors governing ledger</x:v>
      </x:c>
      <x:c r="E3263" t="str">
        <x:f>'Release Gates'!I3223</x:f>
        <x:v>OPEN</x:v>
      </x:c>
      <x:c r="F3263" t="str">
        <x:f>IF('Release Gates'!C3223="PLANNING","PASS",IF('Release Gates'!C3223="PHYSICAL","OPEN","BLOCKED"))</x:f>
        <x:v>OPEN</x:v>
      </x:c>
      <x:c r="G3263" t="str">
        <x:v>equals</x:v>
      </x:c>
      <x:c r="H3263" t="str">
        <x:f>IF(E3263=F3263,"PASS","FAIL")</x:f>
        <x:v>PASS</x:v>
      </x:c>
    </x:row>
    <x:row r="3264">
      <x:c r="B3264" t="str">
        <x:v>A-03218</x:v>
      </x:c>
      <x:c r="C3264" t="str">
        <x:v>GATE</x:v>
      </x:c>
      <x:c r="D3264" t="str">
        <x:v>release state mirrors governing ledger</x:v>
      </x:c>
      <x:c r="E3264" t="str">
        <x:f>'Release Gates'!I3224</x:f>
        <x:v>OPEN</x:v>
      </x:c>
      <x:c r="F3264" t="str">
        <x:f>IF('Release Gates'!C3224="PLANNING","PASS",IF('Release Gates'!C3224="PHYSICAL","OPEN","BLOCKED"))</x:f>
        <x:v>OPEN</x:v>
      </x:c>
      <x:c r="G3264" t="str">
        <x:v>equals</x:v>
      </x:c>
      <x:c r="H3264" t="str">
        <x:f>IF(E3264=F3264,"PASS","FAIL")</x:f>
        <x:v>PASS</x:v>
      </x:c>
    </x:row>
    <x:row r="3265">
      <x:c r="B3265" t="str">
        <x:v>A-03219</x:v>
      </x:c>
      <x:c r="C3265" t="str">
        <x:v>GATE</x:v>
      </x:c>
      <x:c r="D3265" t="str">
        <x:v>release state mirrors governing ledger</x:v>
      </x:c>
      <x:c r="E3265" t="str">
        <x:f>'Release Gates'!I3225</x:f>
        <x:v>OPEN</x:v>
      </x:c>
      <x:c r="F3265" t="str">
        <x:f>IF('Release Gates'!C3225="PLANNING","PASS",IF('Release Gates'!C3225="PHYSICAL","OPEN","BLOCKED"))</x:f>
        <x:v>OPEN</x:v>
      </x:c>
      <x:c r="G3265" t="str">
        <x:v>equals</x:v>
      </x:c>
      <x:c r="H3265" t="str">
        <x:f>IF(E3265=F3265,"PASS","FAIL")</x:f>
        <x:v>PASS</x:v>
      </x:c>
    </x:row>
    <x:row r="3266">
      <x:c r="B3266" t="str">
        <x:v>A-03220</x:v>
      </x:c>
      <x:c r="C3266" t="str">
        <x:v>GATE</x:v>
      </x:c>
      <x:c r="D3266" t="str">
        <x:v>release state mirrors governing ledger</x:v>
      </x:c>
      <x:c r="E3266" t="str">
        <x:f>'Release Gates'!I3226</x:f>
        <x:v>OPEN</x:v>
      </x:c>
      <x:c r="F3266" t="str">
        <x:f>IF('Release Gates'!C3226="PLANNING","PASS",IF('Release Gates'!C3226="PHYSICAL","OPEN","BLOCKED"))</x:f>
        <x:v>OPEN</x:v>
      </x:c>
      <x:c r="G3266" t="str">
        <x:v>equals</x:v>
      </x:c>
      <x:c r="H3266" t="str">
        <x:f>IF(E3266=F3266,"PASS","FAIL")</x:f>
        <x:v>PASS</x:v>
      </x:c>
    </x:row>
    <x:row r="3267">
      <x:c r="B3267" t="str">
        <x:v>A-03221</x:v>
      </x:c>
      <x:c r="C3267" t="str">
        <x:v>GATE</x:v>
      </x:c>
      <x:c r="D3267" t="str">
        <x:v>release state mirrors governing ledger</x:v>
      </x:c>
      <x:c r="E3267" t="str">
        <x:f>'Release Gates'!I3227</x:f>
        <x:v>OPEN</x:v>
      </x:c>
      <x:c r="F3267" t="str">
        <x:f>IF('Release Gates'!C3227="PLANNING","PASS",IF('Release Gates'!C3227="PHYSICAL","OPEN","BLOCKED"))</x:f>
        <x:v>OPEN</x:v>
      </x:c>
      <x:c r="G3267" t="str">
        <x:v>equals</x:v>
      </x:c>
      <x:c r="H3267" t="str">
        <x:f>IF(E3267=F3267,"PASS","FAIL")</x:f>
        <x:v>PASS</x:v>
      </x:c>
    </x:row>
    <x:row r="3268">
      <x:c r="B3268" t="str">
        <x:v>A-03222</x:v>
      </x:c>
      <x:c r="C3268" t="str">
        <x:v>GATE</x:v>
      </x:c>
      <x:c r="D3268" t="str">
        <x:v>release state mirrors governing ledger</x:v>
      </x:c>
      <x:c r="E3268" t="str">
        <x:f>'Release Gates'!I3228</x:f>
        <x:v>OPEN</x:v>
      </x:c>
      <x:c r="F3268" t="str">
        <x:f>IF('Release Gates'!C3228="PLANNING","PASS",IF('Release Gates'!C3228="PHYSICAL","OPEN","BLOCKED"))</x:f>
        <x:v>OPEN</x:v>
      </x:c>
      <x:c r="G3268" t="str">
        <x:v>equals</x:v>
      </x:c>
      <x:c r="H3268" t="str">
        <x:f>IF(E3268=F3268,"PASS","FAIL")</x:f>
        <x:v>PASS</x:v>
      </x:c>
    </x:row>
    <x:row r="3269">
      <x:c r="B3269" t="str">
        <x:v>A-03223</x:v>
      </x:c>
      <x:c r="C3269" t="str">
        <x:v>GATE</x:v>
      </x:c>
      <x:c r="D3269" t="str">
        <x:v>release state mirrors governing ledger</x:v>
      </x:c>
      <x:c r="E3269" t="str">
        <x:f>'Release Gates'!I3229</x:f>
        <x:v>OPEN</x:v>
      </x:c>
      <x:c r="F3269" t="str">
        <x:f>IF('Release Gates'!C3229="PLANNING","PASS",IF('Release Gates'!C3229="PHYSICAL","OPEN","BLOCKED"))</x:f>
        <x:v>OPEN</x:v>
      </x:c>
      <x:c r="G3269" t="str">
        <x:v>equals</x:v>
      </x:c>
      <x:c r="H3269" t="str">
        <x:f>IF(E3269=F3269,"PASS","FAIL")</x:f>
        <x:v>PASS</x:v>
      </x:c>
    </x:row>
    <x:row r="3270">
      <x:c r="B3270" t="str">
        <x:v>A-03224</x:v>
      </x:c>
      <x:c r="C3270" t="str">
        <x:v>GATE</x:v>
      </x:c>
      <x:c r="D3270" t="str">
        <x:v>release state mirrors governing ledger</x:v>
      </x:c>
      <x:c r="E3270" t="str">
        <x:f>'Release Gates'!I3230</x:f>
        <x:v>OPEN</x:v>
      </x:c>
      <x:c r="F3270" t="str">
        <x:f>IF('Release Gates'!C3230="PLANNING","PASS",IF('Release Gates'!C3230="PHYSICAL","OPEN","BLOCKED"))</x:f>
        <x:v>OPEN</x:v>
      </x:c>
      <x:c r="G3270" t="str">
        <x:v>equals</x:v>
      </x:c>
      <x:c r="H3270" t="str">
        <x:f>IF(E3270=F3270,"PASS","FAIL")</x:f>
        <x:v>PASS</x:v>
      </x:c>
    </x:row>
    <x:row r="3271">
      <x:c r="B3271" t="str">
        <x:v>A-03225</x:v>
      </x:c>
      <x:c r="C3271" t="str">
        <x:v>GATE</x:v>
      </x:c>
      <x:c r="D3271" t="str">
        <x:v>release state mirrors governing ledger</x:v>
      </x:c>
      <x:c r="E3271" t="str">
        <x:f>'Release Gates'!I3231</x:f>
        <x:v>OPEN</x:v>
      </x:c>
      <x:c r="F3271" t="str">
        <x:f>IF('Release Gates'!C3231="PLANNING","PASS",IF('Release Gates'!C3231="PHYSICAL","OPEN","BLOCKED"))</x:f>
        <x:v>OPEN</x:v>
      </x:c>
      <x:c r="G3271" t="str">
        <x:v>equals</x:v>
      </x:c>
      <x:c r="H3271" t="str">
        <x:f>IF(E3271=F3271,"PASS","FAIL")</x:f>
        <x:v>PASS</x:v>
      </x:c>
    </x:row>
    <x:row r="3272">
      <x:c r="B3272" t="str">
        <x:v>A-03226</x:v>
      </x:c>
      <x:c r="C3272" t="str">
        <x:v>GATE</x:v>
      </x:c>
      <x:c r="D3272" t="str">
        <x:v>release state mirrors governing ledger</x:v>
      </x:c>
      <x:c r="E3272" t="str">
        <x:f>'Release Gates'!I3232</x:f>
        <x:v>OPEN</x:v>
      </x:c>
      <x:c r="F3272" t="str">
        <x:f>IF('Release Gates'!C3232="PLANNING","PASS",IF('Release Gates'!C3232="PHYSICAL","OPEN","BLOCKED"))</x:f>
        <x:v>OPEN</x:v>
      </x:c>
      <x:c r="G3272" t="str">
        <x:v>equals</x:v>
      </x:c>
      <x:c r="H3272" t="str">
        <x:f>IF(E3272=F3272,"PASS","FAIL")</x:f>
        <x:v>PASS</x:v>
      </x:c>
    </x:row>
    <x:row r="3273">
      <x:c r="B3273" t="str">
        <x:v>A-03227</x:v>
      </x:c>
      <x:c r="C3273" t="str">
        <x:v>GATE</x:v>
      </x:c>
      <x:c r="D3273" t="str">
        <x:v>release state mirrors governing ledger</x:v>
      </x:c>
      <x:c r="E3273" t="str">
        <x:f>'Release Gates'!I3233</x:f>
        <x:v>OPEN</x:v>
      </x:c>
      <x:c r="F3273" t="str">
        <x:f>IF('Release Gates'!C3233="PLANNING","PASS",IF('Release Gates'!C3233="PHYSICAL","OPEN","BLOCKED"))</x:f>
        <x:v>OPEN</x:v>
      </x:c>
      <x:c r="G3273" t="str">
        <x:v>equals</x:v>
      </x:c>
      <x:c r="H3273" t="str">
        <x:f>IF(E3273=F3273,"PASS","FAIL")</x:f>
        <x:v>PASS</x:v>
      </x:c>
    </x:row>
    <x:row r="3274">
      <x:c r="B3274" t="str">
        <x:v>A-03228</x:v>
      </x:c>
      <x:c r="C3274" t="str">
        <x:v>GATE</x:v>
      </x:c>
      <x:c r="D3274" t="str">
        <x:v>release state mirrors governing ledger</x:v>
      </x:c>
      <x:c r="E3274" t="str">
        <x:f>'Release Gates'!I3234</x:f>
        <x:v>OPEN</x:v>
      </x:c>
      <x:c r="F3274" t="str">
        <x:f>IF('Release Gates'!C3234="PLANNING","PASS",IF('Release Gates'!C3234="PHYSICAL","OPEN","BLOCKED"))</x:f>
        <x:v>OPEN</x:v>
      </x:c>
      <x:c r="G3274" t="str">
        <x:v>equals</x:v>
      </x:c>
      <x:c r="H3274" t="str">
        <x:f>IF(E3274=F3274,"PASS","FAIL")</x:f>
        <x:v>PASS</x:v>
      </x:c>
    </x:row>
    <x:row r="3275">
      <x:c r="B3275" t="str">
        <x:v>A-03229</x:v>
      </x:c>
      <x:c r="C3275" t="str">
        <x:v>GATE</x:v>
      </x:c>
      <x:c r="D3275" t="str">
        <x:v>release state mirrors governing ledger</x:v>
      </x:c>
      <x:c r="E3275" t="str">
        <x:f>'Release Gates'!I3235</x:f>
        <x:v>OPEN</x:v>
      </x:c>
      <x:c r="F3275" t="str">
        <x:f>IF('Release Gates'!C3235="PLANNING","PASS",IF('Release Gates'!C3235="PHYSICAL","OPEN","BLOCKED"))</x:f>
        <x:v>OPEN</x:v>
      </x:c>
      <x:c r="G3275" t="str">
        <x:v>equals</x:v>
      </x:c>
      <x:c r="H3275" t="str">
        <x:f>IF(E3275=F3275,"PASS","FAIL")</x:f>
        <x:v>PASS</x:v>
      </x:c>
    </x:row>
    <x:row r="3276">
      <x:c r="B3276" t="str">
        <x:v>A-03230</x:v>
      </x:c>
      <x:c r="C3276" t="str">
        <x:v>GATE</x:v>
      </x:c>
      <x:c r="D3276" t="str">
        <x:v>release state mirrors governing ledger</x:v>
      </x:c>
      <x:c r="E3276" t="str">
        <x:f>'Release Gates'!I3236</x:f>
        <x:v>OPEN</x:v>
      </x:c>
      <x:c r="F3276" t="str">
        <x:f>IF('Release Gates'!C3236="PLANNING","PASS",IF('Release Gates'!C3236="PHYSICAL","OPEN","BLOCKED"))</x:f>
        <x:v>OPEN</x:v>
      </x:c>
      <x:c r="G3276" t="str">
        <x:v>equals</x:v>
      </x:c>
      <x:c r="H3276" t="str">
        <x:f>IF(E3276=F3276,"PASS","FAIL")</x:f>
        <x:v>PASS</x:v>
      </x:c>
    </x:row>
    <x:row r="3277">
      <x:c r="B3277" t="str">
        <x:v>A-03231</x:v>
      </x:c>
      <x:c r="C3277" t="str">
        <x:v>GATE</x:v>
      </x:c>
      <x:c r="D3277" t="str">
        <x:v>release state mirrors governing ledger</x:v>
      </x:c>
      <x:c r="E3277" t="str">
        <x:f>'Release Gates'!I3237</x:f>
        <x:v>OPEN</x:v>
      </x:c>
      <x:c r="F3277" t="str">
        <x:f>IF('Release Gates'!C3237="PLANNING","PASS",IF('Release Gates'!C3237="PHYSICAL","OPEN","BLOCKED"))</x:f>
        <x:v>OPEN</x:v>
      </x:c>
      <x:c r="G3277" t="str">
        <x:v>equals</x:v>
      </x:c>
      <x:c r="H3277" t="str">
        <x:f>IF(E3277=F3277,"PASS","FAIL")</x:f>
        <x:v>PASS</x:v>
      </x:c>
    </x:row>
    <x:row r="3278">
      <x:c r="B3278" t="str">
        <x:v>A-03232</x:v>
      </x:c>
      <x:c r="C3278" t="str">
        <x:v>GATE</x:v>
      </x:c>
      <x:c r="D3278" t="str">
        <x:v>release state mirrors governing ledger</x:v>
      </x:c>
      <x:c r="E3278" t="str">
        <x:f>'Release Gates'!I3238</x:f>
        <x:v>OPEN</x:v>
      </x:c>
      <x:c r="F3278" t="str">
        <x:f>IF('Release Gates'!C3238="PLANNING","PASS",IF('Release Gates'!C3238="PHYSICAL","OPEN","BLOCKED"))</x:f>
        <x:v>OPEN</x:v>
      </x:c>
      <x:c r="G3278" t="str">
        <x:v>equals</x:v>
      </x:c>
      <x:c r="H3278" t="str">
        <x:f>IF(E3278=F3278,"PASS","FAIL")</x:f>
        <x:v>PASS</x:v>
      </x:c>
    </x:row>
    <x:row r="3279">
      <x:c r="B3279" t="str">
        <x:v>A-03233</x:v>
      </x:c>
      <x:c r="C3279" t="str">
        <x:v>GATE</x:v>
      </x:c>
      <x:c r="D3279" t="str">
        <x:v>release state mirrors governing ledger</x:v>
      </x:c>
      <x:c r="E3279" t="str">
        <x:f>'Release Gates'!I3239</x:f>
        <x:v>OPEN</x:v>
      </x:c>
      <x:c r="F3279" t="str">
        <x:f>IF('Release Gates'!C3239="PLANNING","PASS",IF('Release Gates'!C3239="PHYSICAL","OPEN","BLOCKED"))</x:f>
        <x:v>OPEN</x:v>
      </x:c>
      <x:c r="G3279" t="str">
        <x:v>equals</x:v>
      </x:c>
      <x:c r="H3279" t="str">
        <x:f>IF(E3279=F3279,"PASS","FAIL")</x:f>
        <x:v>PASS</x:v>
      </x:c>
    </x:row>
    <x:row r="3280">
      <x:c r="B3280" t="str">
        <x:v>A-03234</x:v>
      </x:c>
      <x:c r="C3280" t="str">
        <x:v>GATE</x:v>
      </x:c>
      <x:c r="D3280" t="str">
        <x:v>release state mirrors governing ledger</x:v>
      </x:c>
      <x:c r="E3280" t="str">
        <x:f>'Release Gates'!I3240</x:f>
        <x:v>OPEN</x:v>
      </x:c>
      <x:c r="F3280" t="str">
        <x:f>IF('Release Gates'!C3240="PLANNING","PASS",IF('Release Gates'!C3240="PHYSICAL","OPEN","BLOCKED"))</x:f>
        <x:v>OPEN</x:v>
      </x:c>
      <x:c r="G3280" t="str">
        <x:v>equals</x:v>
      </x:c>
      <x:c r="H3280" t="str">
        <x:f>IF(E3280=F3280,"PASS","FAIL")</x:f>
        <x:v>PASS</x:v>
      </x:c>
    </x:row>
    <x:row r="3281">
      <x:c r="B3281" t="str">
        <x:v>A-03235</x:v>
      </x:c>
      <x:c r="C3281" t="str">
        <x:v>GATE</x:v>
      </x:c>
      <x:c r="D3281" t="str">
        <x:v>release state mirrors governing ledger</x:v>
      </x:c>
      <x:c r="E3281" t="str">
        <x:f>'Release Gates'!I3241</x:f>
        <x:v>OPEN</x:v>
      </x:c>
      <x:c r="F3281" t="str">
        <x:f>IF('Release Gates'!C3241="PLANNING","PASS",IF('Release Gates'!C3241="PHYSICAL","OPEN","BLOCKED"))</x:f>
        <x:v>OPEN</x:v>
      </x:c>
      <x:c r="G3281" t="str">
        <x:v>equals</x:v>
      </x:c>
      <x:c r="H3281" t="str">
        <x:f>IF(E3281=F3281,"PASS","FAIL")</x:f>
        <x:v>PASS</x:v>
      </x:c>
    </x:row>
    <x:row r="3282">
      <x:c r="B3282" t="str">
        <x:v>A-03236</x:v>
      </x:c>
      <x:c r="C3282" t="str">
        <x:v>GATE</x:v>
      </x:c>
      <x:c r="D3282" t="str">
        <x:v>release state mirrors governing ledger</x:v>
      </x:c>
      <x:c r="E3282" t="str">
        <x:f>'Release Gates'!I3242</x:f>
        <x:v>OPEN</x:v>
      </x:c>
      <x:c r="F3282" t="str">
        <x:f>IF('Release Gates'!C3242="PLANNING","PASS",IF('Release Gates'!C3242="PHYSICAL","OPEN","BLOCKED"))</x:f>
        <x:v>OPEN</x:v>
      </x:c>
      <x:c r="G3282" t="str">
        <x:v>equals</x:v>
      </x:c>
      <x:c r="H3282" t="str">
        <x:f>IF(E3282=F3282,"PASS","FAIL")</x:f>
        <x:v>PASS</x:v>
      </x:c>
    </x:row>
    <x:row r="3283">
      <x:c r="B3283" t="str">
        <x:v>A-03237</x:v>
      </x:c>
      <x:c r="C3283" t="str">
        <x:v>GATE</x:v>
      </x:c>
      <x:c r="D3283" t="str">
        <x:v>release state mirrors governing ledger</x:v>
      </x:c>
      <x:c r="E3283" t="str">
        <x:f>'Release Gates'!I3243</x:f>
        <x:v>OPEN</x:v>
      </x:c>
      <x:c r="F3283" t="str">
        <x:f>IF('Release Gates'!C3243="PLANNING","PASS",IF('Release Gates'!C3243="PHYSICAL","OPEN","BLOCKED"))</x:f>
        <x:v>OPEN</x:v>
      </x:c>
      <x:c r="G3283" t="str">
        <x:v>equals</x:v>
      </x:c>
      <x:c r="H3283" t="str">
        <x:f>IF(E3283=F3283,"PASS","FAIL")</x:f>
        <x:v>PASS</x:v>
      </x:c>
    </x:row>
    <x:row r="3284">
      <x:c r="B3284" t="str">
        <x:v>A-03238</x:v>
      </x:c>
      <x:c r="C3284" t="str">
        <x:v>GATE</x:v>
      </x:c>
      <x:c r="D3284" t="str">
        <x:v>release state mirrors governing ledger</x:v>
      </x:c>
      <x:c r="E3284" t="str">
        <x:f>'Release Gates'!I3244</x:f>
        <x:v>OPEN</x:v>
      </x:c>
      <x:c r="F3284" t="str">
        <x:f>IF('Release Gates'!C3244="PLANNING","PASS",IF('Release Gates'!C3244="PHYSICAL","OPEN","BLOCKED"))</x:f>
        <x:v>OPEN</x:v>
      </x:c>
      <x:c r="G3284" t="str">
        <x:v>equals</x:v>
      </x:c>
      <x:c r="H3284" t="str">
        <x:f>IF(E3284=F3284,"PASS","FAIL")</x:f>
        <x:v>PASS</x:v>
      </x:c>
    </x:row>
    <x:row r="3285">
      <x:c r="B3285" t="str">
        <x:v>A-03239</x:v>
      </x:c>
      <x:c r="C3285" t="str">
        <x:v>GATE</x:v>
      </x:c>
      <x:c r="D3285" t="str">
        <x:v>release state mirrors governing ledger</x:v>
      </x:c>
      <x:c r="E3285" t="str">
        <x:f>'Release Gates'!I3245</x:f>
        <x:v>OPEN</x:v>
      </x:c>
      <x:c r="F3285" t="str">
        <x:f>IF('Release Gates'!C3245="PLANNING","PASS",IF('Release Gates'!C3245="PHYSICAL","OPEN","BLOCKED"))</x:f>
        <x:v>OPEN</x:v>
      </x:c>
      <x:c r="G3285" t="str">
        <x:v>equals</x:v>
      </x:c>
      <x:c r="H3285" t="str">
        <x:f>IF(E3285=F3285,"PASS","FAIL")</x:f>
        <x:v>PASS</x:v>
      </x:c>
    </x:row>
    <x:row r="3286">
      <x:c r="B3286" t="str">
        <x:v>A-03240</x:v>
      </x:c>
      <x:c r="C3286" t="str">
        <x:v>GATE</x:v>
      </x:c>
      <x:c r="D3286" t="str">
        <x:v>release state mirrors governing ledger</x:v>
      </x:c>
      <x:c r="E3286" t="str">
        <x:f>'Release Gates'!I3246</x:f>
        <x:v>OPEN</x:v>
      </x:c>
      <x:c r="F3286" t="str">
        <x:f>IF('Release Gates'!C3246="PLANNING","PASS",IF('Release Gates'!C3246="PHYSICAL","OPEN","BLOCKED"))</x:f>
        <x:v>OPEN</x:v>
      </x:c>
      <x:c r="G3286" t="str">
        <x:v>equals</x:v>
      </x:c>
      <x:c r="H3286" t="str">
        <x:f>IF(E3286=F3286,"PASS","FAIL")</x:f>
        <x:v>PASS</x:v>
      </x:c>
    </x:row>
    <x:row r="3287">
      <x:c r="B3287" t="str">
        <x:v>A-03241</x:v>
      </x:c>
      <x:c r="C3287" t="str">
        <x:v>GATE</x:v>
      </x:c>
      <x:c r="D3287" t="str">
        <x:v>release state mirrors governing ledger</x:v>
      </x:c>
      <x:c r="E3287" t="str">
        <x:f>'Release Gates'!I3247</x:f>
        <x:v>OPEN</x:v>
      </x:c>
      <x:c r="F3287" t="str">
        <x:f>IF('Release Gates'!C3247="PLANNING","PASS",IF('Release Gates'!C3247="PHYSICAL","OPEN","BLOCKED"))</x:f>
        <x:v>OPEN</x:v>
      </x:c>
      <x:c r="G3287" t="str">
        <x:v>equals</x:v>
      </x:c>
      <x:c r="H3287" t="str">
        <x:f>IF(E3287=F3287,"PASS","FAIL")</x:f>
        <x:v>PASS</x:v>
      </x:c>
    </x:row>
    <x:row r="3288">
      <x:c r="B3288" t="str">
        <x:v>A-03242</x:v>
      </x:c>
      <x:c r="C3288" t="str">
        <x:v>GATE</x:v>
      </x:c>
      <x:c r="D3288" t="str">
        <x:v>release state mirrors governing ledger</x:v>
      </x:c>
      <x:c r="E3288" t="str">
        <x:f>'Release Gates'!I3248</x:f>
        <x:v>OPEN</x:v>
      </x:c>
      <x:c r="F3288" t="str">
        <x:f>IF('Release Gates'!C3248="PLANNING","PASS",IF('Release Gates'!C3248="PHYSICAL","OPEN","BLOCKED"))</x:f>
        <x:v>OPEN</x:v>
      </x:c>
      <x:c r="G3288" t="str">
        <x:v>equals</x:v>
      </x:c>
      <x:c r="H3288" t="str">
        <x:f>IF(E3288=F3288,"PASS","FAIL")</x:f>
        <x:v>PASS</x:v>
      </x:c>
    </x:row>
    <x:row r="3289">
      <x:c r="B3289" t="str">
        <x:v>A-03243</x:v>
      </x:c>
      <x:c r="C3289" t="str">
        <x:v>GATE</x:v>
      </x:c>
      <x:c r="D3289" t="str">
        <x:v>release state mirrors governing ledger</x:v>
      </x:c>
      <x:c r="E3289" t="str">
        <x:f>'Release Gates'!I3249</x:f>
        <x:v>OPEN</x:v>
      </x:c>
      <x:c r="F3289" t="str">
        <x:f>IF('Release Gates'!C3249="PLANNING","PASS",IF('Release Gates'!C3249="PHYSICAL","OPEN","BLOCKED"))</x:f>
        <x:v>OPEN</x:v>
      </x:c>
      <x:c r="G3289" t="str">
        <x:v>equals</x:v>
      </x:c>
      <x:c r="H3289" t="str">
        <x:f>IF(E3289=F3289,"PASS","FAIL")</x:f>
        <x:v>PASS</x:v>
      </x:c>
    </x:row>
    <x:row r="3290">
      <x:c r="B3290" t="str">
        <x:v>A-03244</x:v>
      </x:c>
      <x:c r="C3290" t="str">
        <x:v>GATE</x:v>
      </x:c>
      <x:c r="D3290" t="str">
        <x:v>release state mirrors governing ledger</x:v>
      </x:c>
      <x:c r="E3290" t="str">
        <x:f>'Release Gates'!I3250</x:f>
        <x:v>OPEN</x:v>
      </x:c>
      <x:c r="F3290" t="str">
        <x:f>IF('Release Gates'!C3250="PLANNING","PASS",IF('Release Gates'!C3250="PHYSICAL","OPEN","BLOCKED"))</x:f>
        <x:v>OPEN</x:v>
      </x:c>
      <x:c r="G3290" t="str">
        <x:v>equals</x:v>
      </x:c>
      <x:c r="H3290" t="str">
        <x:f>IF(E3290=F3290,"PASS","FAIL")</x:f>
        <x:v>PASS</x:v>
      </x:c>
    </x:row>
    <x:row r="3291">
      <x:c r="B3291" t="str">
        <x:v>A-03245</x:v>
      </x:c>
      <x:c r="C3291" t="str">
        <x:v>GATE</x:v>
      </x:c>
      <x:c r="D3291" t="str">
        <x:v>release state mirrors governing ledger</x:v>
      </x:c>
      <x:c r="E3291" t="str">
        <x:f>'Release Gates'!I3251</x:f>
        <x:v>OPEN</x:v>
      </x:c>
      <x:c r="F3291" t="str">
        <x:f>IF('Release Gates'!C3251="PLANNING","PASS",IF('Release Gates'!C3251="PHYSICAL","OPEN","BLOCKED"))</x:f>
        <x:v>OPEN</x:v>
      </x:c>
      <x:c r="G3291" t="str">
        <x:v>equals</x:v>
      </x:c>
      <x:c r="H3291" t="str">
        <x:f>IF(E3291=F3291,"PASS","FAIL")</x:f>
        <x:v>PASS</x:v>
      </x:c>
    </x:row>
    <x:row r="3292">
      <x:c r="B3292" t="str">
        <x:v>A-03246</x:v>
      </x:c>
      <x:c r="C3292" t="str">
        <x:v>GATE</x:v>
      </x:c>
      <x:c r="D3292" t="str">
        <x:v>release state mirrors governing ledger</x:v>
      </x:c>
      <x:c r="E3292" t="str">
        <x:f>'Release Gates'!I3252</x:f>
        <x:v>OPEN</x:v>
      </x:c>
      <x:c r="F3292" t="str">
        <x:f>IF('Release Gates'!C3252="PLANNING","PASS",IF('Release Gates'!C3252="PHYSICAL","OPEN","BLOCKED"))</x:f>
        <x:v>OPEN</x:v>
      </x:c>
      <x:c r="G3292" t="str">
        <x:v>equals</x:v>
      </x:c>
      <x:c r="H3292" t="str">
        <x:f>IF(E3292=F3292,"PASS","FAIL")</x:f>
        <x:v>PASS</x:v>
      </x:c>
    </x:row>
    <x:row r="3293">
      <x:c r="B3293" t="str">
        <x:v>A-03247</x:v>
      </x:c>
      <x:c r="C3293" t="str">
        <x:v>GATE</x:v>
      </x:c>
      <x:c r="D3293" t="str">
        <x:v>release state mirrors governing ledger</x:v>
      </x:c>
      <x:c r="E3293" t="str">
        <x:f>'Release Gates'!I3253</x:f>
        <x:v>OPEN</x:v>
      </x:c>
      <x:c r="F3293" t="str">
        <x:f>IF('Release Gates'!C3253="PLANNING","PASS",IF('Release Gates'!C3253="PHYSICAL","OPEN","BLOCKED"))</x:f>
        <x:v>OPEN</x:v>
      </x:c>
      <x:c r="G3293" t="str">
        <x:v>equals</x:v>
      </x:c>
      <x:c r="H3293" t="str">
        <x:f>IF(E3293=F3293,"PASS","FAIL")</x:f>
        <x:v>PASS</x:v>
      </x:c>
    </x:row>
    <x:row r="3294">
      <x:c r="B3294" t="str">
        <x:v>A-03248</x:v>
      </x:c>
      <x:c r="C3294" t="str">
        <x:v>GATE</x:v>
      </x:c>
      <x:c r="D3294" t="str">
        <x:v>release state mirrors governing ledger</x:v>
      </x:c>
      <x:c r="E3294" t="str">
        <x:f>'Release Gates'!I3254</x:f>
        <x:v>OPEN</x:v>
      </x:c>
      <x:c r="F3294" t="str">
        <x:f>IF('Release Gates'!C3254="PLANNING","PASS",IF('Release Gates'!C3254="PHYSICAL","OPEN","BLOCKED"))</x:f>
        <x:v>OPEN</x:v>
      </x:c>
      <x:c r="G3294" t="str">
        <x:v>equals</x:v>
      </x:c>
      <x:c r="H3294" t="str">
        <x:f>IF(E3294=F3294,"PASS","FAIL")</x:f>
        <x:v>PASS</x:v>
      </x:c>
    </x:row>
    <x:row r="3295">
      <x:c r="B3295" t="str">
        <x:v>A-03249</x:v>
      </x:c>
      <x:c r="C3295" t="str">
        <x:v>GATE</x:v>
      </x:c>
      <x:c r="D3295" t="str">
        <x:v>release state mirrors governing ledger</x:v>
      </x:c>
      <x:c r="E3295" t="str">
        <x:f>'Release Gates'!I3255</x:f>
        <x:v>OPEN</x:v>
      </x:c>
      <x:c r="F3295" t="str">
        <x:f>IF('Release Gates'!C3255="PLANNING","PASS",IF('Release Gates'!C3255="PHYSICAL","OPEN","BLOCKED"))</x:f>
        <x:v>OPEN</x:v>
      </x:c>
      <x:c r="G3295" t="str">
        <x:v>equals</x:v>
      </x:c>
      <x:c r="H3295" t="str">
        <x:f>IF(E3295=F3295,"PASS","FAIL")</x:f>
        <x:v>PASS</x:v>
      </x:c>
    </x:row>
    <x:row r="3296">
      <x:c r="B3296" t="str">
        <x:v>A-03250</x:v>
      </x:c>
      <x:c r="C3296" t="str">
        <x:v>GATE</x:v>
      </x:c>
      <x:c r="D3296" t="str">
        <x:v>release state mirrors governing ledger</x:v>
      </x:c>
      <x:c r="E3296" t="str">
        <x:f>'Release Gates'!I3256</x:f>
        <x:v>OPEN</x:v>
      </x:c>
      <x:c r="F3296" t="str">
        <x:f>IF('Release Gates'!C3256="PLANNING","PASS",IF('Release Gates'!C3256="PHYSICAL","OPEN","BLOCKED"))</x:f>
        <x:v>OPEN</x:v>
      </x:c>
      <x:c r="G3296" t="str">
        <x:v>equals</x:v>
      </x:c>
      <x:c r="H3296" t="str">
        <x:f>IF(E3296=F3296,"PASS","FAIL")</x:f>
        <x:v>PASS</x:v>
      </x:c>
    </x:row>
    <x:row r="3297">
      <x:c r="B3297" t="str">
        <x:v>A-03251</x:v>
      </x:c>
      <x:c r="C3297" t="str">
        <x:v>GATE</x:v>
      </x:c>
      <x:c r="D3297" t="str">
        <x:v>release state mirrors governing ledger</x:v>
      </x:c>
      <x:c r="E3297" t="str">
        <x:f>'Release Gates'!I3257</x:f>
        <x:v>OPEN</x:v>
      </x:c>
      <x:c r="F3297" t="str">
        <x:f>IF('Release Gates'!C3257="PLANNING","PASS",IF('Release Gates'!C3257="PHYSICAL","OPEN","BLOCKED"))</x:f>
        <x:v>OPEN</x:v>
      </x:c>
      <x:c r="G3297" t="str">
        <x:v>equals</x:v>
      </x:c>
      <x:c r="H3297" t="str">
        <x:f>IF(E3297=F3297,"PASS","FAIL")</x:f>
        <x:v>PASS</x:v>
      </x:c>
    </x:row>
    <x:row r="3298">
      <x:c r="B3298" t="str">
        <x:v>A-03252</x:v>
      </x:c>
      <x:c r="C3298" t="str">
        <x:v>GATE</x:v>
      </x:c>
      <x:c r="D3298" t="str">
        <x:v>release state mirrors governing ledger</x:v>
      </x:c>
      <x:c r="E3298" t="str">
        <x:f>'Release Gates'!I3258</x:f>
        <x:v>OPEN</x:v>
      </x:c>
      <x:c r="F3298" t="str">
        <x:f>IF('Release Gates'!C3258="PLANNING","PASS",IF('Release Gates'!C3258="PHYSICAL","OPEN","BLOCKED"))</x:f>
        <x:v>OPEN</x:v>
      </x:c>
      <x:c r="G3298" t="str">
        <x:v>equals</x:v>
      </x:c>
      <x:c r="H3298" t="str">
        <x:f>IF(E3298=F3298,"PASS","FAIL")</x:f>
        <x:v>PASS</x:v>
      </x:c>
    </x:row>
    <x:row r="3299">
      <x:c r="B3299" t="str">
        <x:v>A-03253</x:v>
      </x:c>
      <x:c r="C3299" t="str">
        <x:v>GATE</x:v>
      </x:c>
      <x:c r="D3299" t="str">
        <x:v>release state mirrors governing ledger</x:v>
      </x:c>
      <x:c r="E3299" t="str">
        <x:f>'Release Gates'!I3259</x:f>
        <x:v>OPEN</x:v>
      </x:c>
      <x:c r="F3299" t="str">
        <x:f>IF('Release Gates'!C3259="PLANNING","PASS",IF('Release Gates'!C3259="PHYSICAL","OPEN","BLOCKED"))</x:f>
        <x:v>OPEN</x:v>
      </x:c>
      <x:c r="G3299" t="str">
        <x:v>equals</x:v>
      </x:c>
      <x:c r="H3299" t="str">
        <x:f>IF(E3299=F3299,"PASS","FAIL")</x:f>
        <x:v>PASS</x:v>
      </x:c>
    </x:row>
    <x:row r="3300">
      <x:c r="B3300" t="str">
        <x:v>A-03254</x:v>
      </x:c>
      <x:c r="C3300" t="str">
        <x:v>GATE</x:v>
      </x:c>
      <x:c r="D3300" t="str">
        <x:v>release state mirrors governing ledger</x:v>
      </x:c>
      <x:c r="E3300" t="str">
        <x:f>'Release Gates'!I3260</x:f>
        <x:v>OPEN</x:v>
      </x:c>
      <x:c r="F3300" t="str">
        <x:f>IF('Release Gates'!C3260="PLANNING","PASS",IF('Release Gates'!C3260="PHYSICAL","OPEN","BLOCKED"))</x:f>
        <x:v>OPEN</x:v>
      </x:c>
      <x:c r="G3300" t="str">
        <x:v>equals</x:v>
      </x:c>
      <x:c r="H3300" t="str">
        <x:f>IF(E3300=F3300,"PASS","FAIL")</x:f>
        <x:v>PASS</x:v>
      </x:c>
    </x:row>
    <x:row r="3301">
      <x:c r="B3301" t="str">
        <x:v>A-03255</x:v>
      </x:c>
      <x:c r="C3301" t="str">
        <x:v>GATE</x:v>
      </x:c>
      <x:c r="D3301" t="str">
        <x:v>release state mirrors governing ledger</x:v>
      </x:c>
      <x:c r="E3301" t="str">
        <x:f>'Release Gates'!I3261</x:f>
        <x:v>OPEN</x:v>
      </x:c>
      <x:c r="F3301" t="str">
        <x:f>IF('Release Gates'!C3261="PLANNING","PASS",IF('Release Gates'!C3261="PHYSICAL","OPEN","BLOCKED"))</x:f>
        <x:v>OPEN</x:v>
      </x:c>
      <x:c r="G3301" t="str">
        <x:v>equals</x:v>
      </x:c>
      <x:c r="H3301" t="str">
        <x:f>IF(E3301=F3301,"PASS","FAIL")</x:f>
        <x:v>PASS</x:v>
      </x:c>
    </x:row>
    <x:row r="3302">
      <x:c r="B3302" t="str">
        <x:v>A-03256</x:v>
      </x:c>
      <x:c r="C3302" t="str">
        <x:v>GATE</x:v>
      </x:c>
      <x:c r="D3302" t="str">
        <x:v>release state mirrors governing ledger</x:v>
      </x:c>
      <x:c r="E3302" t="str">
        <x:f>'Release Gates'!I3262</x:f>
        <x:v>OPEN</x:v>
      </x:c>
      <x:c r="F3302" t="str">
        <x:f>IF('Release Gates'!C3262="PLANNING","PASS",IF('Release Gates'!C3262="PHYSICAL","OPEN","BLOCKED"))</x:f>
        <x:v>OPEN</x:v>
      </x:c>
      <x:c r="G3302" t="str">
        <x:v>equals</x:v>
      </x:c>
      <x:c r="H3302" t="str">
        <x:f>IF(E3302=F3302,"PASS","FAIL")</x:f>
        <x:v>PASS</x:v>
      </x:c>
    </x:row>
    <x:row r="3303">
      <x:c r="B3303" t="str">
        <x:v>A-03257</x:v>
      </x:c>
      <x:c r="C3303" t="str">
        <x:v>GATE</x:v>
      </x:c>
      <x:c r="D3303" t="str">
        <x:v>release state mirrors governing ledger</x:v>
      </x:c>
      <x:c r="E3303" t="str">
        <x:f>'Release Gates'!I3263</x:f>
        <x:v>OPEN</x:v>
      </x:c>
      <x:c r="F3303" t="str">
        <x:f>IF('Release Gates'!C3263="PLANNING","PASS",IF('Release Gates'!C3263="PHYSICAL","OPEN","BLOCKED"))</x:f>
        <x:v>OPEN</x:v>
      </x:c>
      <x:c r="G3303" t="str">
        <x:v>equals</x:v>
      </x:c>
      <x:c r="H3303" t="str">
        <x:f>IF(E3303=F3303,"PASS","FAIL")</x:f>
        <x:v>PASS</x:v>
      </x:c>
    </x:row>
    <x:row r="3304">
      <x:c r="B3304" t="str">
        <x:v>A-03258</x:v>
      </x:c>
      <x:c r="C3304" t="str">
        <x:v>GATE</x:v>
      </x:c>
      <x:c r="D3304" t="str">
        <x:v>release state mirrors governing ledger</x:v>
      </x:c>
      <x:c r="E3304" t="str">
        <x:f>'Release Gates'!I3264</x:f>
        <x:v>OPEN</x:v>
      </x:c>
      <x:c r="F3304" t="str">
        <x:f>IF('Release Gates'!C3264="PLANNING","PASS",IF('Release Gates'!C3264="PHYSICAL","OPEN","BLOCKED"))</x:f>
        <x:v>OPEN</x:v>
      </x:c>
      <x:c r="G3304" t="str">
        <x:v>equals</x:v>
      </x:c>
      <x:c r="H3304" t="str">
        <x:f>IF(E3304=F3304,"PASS","FAIL")</x:f>
        <x:v>PASS</x:v>
      </x:c>
    </x:row>
    <x:row r="3305">
      <x:c r="B3305" t="str">
        <x:v>A-03259</x:v>
      </x:c>
      <x:c r="C3305" t="str">
        <x:v>GATE</x:v>
      </x:c>
      <x:c r="D3305" t="str">
        <x:v>release state mirrors governing ledger</x:v>
      </x:c>
      <x:c r="E3305" t="str">
        <x:f>'Release Gates'!I3265</x:f>
        <x:v>OPEN</x:v>
      </x:c>
      <x:c r="F3305" t="str">
        <x:f>IF('Release Gates'!C3265="PLANNING","PASS",IF('Release Gates'!C3265="PHYSICAL","OPEN","BLOCKED"))</x:f>
        <x:v>OPEN</x:v>
      </x:c>
      <x:c r="G3305" t="str">
        <x:v>equals</x:v>
      </x:c>
      <x:c r="H3305" t="str">
        <x:f>IF(E3305=F3305,"PASS","FAIL")</x:f>
        <x:v>PASS</x:v>
      </x:c>
    </x:row>
    <x:row r="3306">
      <x:c r="B3306" t="str">
        <x:v>A-03260</x:v>
      </x:c>
      <x:c r="C3306" t="str">
        <x:v>GATE</x:v>
      </x:c>
      <x:c r="D3306" t="str">
        <x:v>release state mirrors governing ledger</x:v>
      </x:c>
      <x:c r="E3306" t="str">
        <x:f>'Release Gates'!I3266</x:f>
        <x:v>OPEN</x:v>
      </x:c>
      <x:c r="F3306" t="str">
        <x:f>IF('Release Gates'!C3266="PLANNING","PASS",IF('Release Gates'!C3266="PHYSICAL","OPEN","BLOCKED"))</x:f>
        <x:v>OPEN</x:v>
      </x:c>
      <x:c r="G3306" t="str">
        <x:v>equals</x:v>
      </x:c>
      <x:c r="H3306" t="str">
        <x:f>IF(E3306=F3306,"PASS","FAIL")</x:f>
        <x:v>PASS</x:v>
      </x:c>
    </x:row>
    <x:row r="3307">
      <x:c r="B3307" t="str">
        <x:v>A-03261</x:v>
      </x:c>
      <x:c r="C3307" t="str">
        <x:v>GATE</x:v>
      </x:c>
      <x:c r="D3307" t="str">
        <x:v>release state mirrors governing ledger</x:v>
      </x:c>
      <x:c r="E3307" t="str">
        <x:f>'Release Gates'!I3267</x:f>
        <x:v>OPEN</x:v>
      </x:c>
      <x:c r="F3307" t="str">
        <x:f>IF('Release Gates'!C3267="PLANNING","PASS",IF('Release Gates'!C3267="PHYSICAL","OPEN","BLOCKED"))</x:f>
        <x:v>OPEN</x:v>
      </x:c>
      <x:c r="G3307" t="str">
        <x:v>equals</x:v>
      </x:c>
      <x:c r="H3307" t="str">
        <x:f>IF(E3307=F3307,"PASS","FAIL")</x:f>
        <x:v>PASS</x:v>
      </x:c>
    </x:row>
    <x:row r="3308">
      <x:c r="B3308" t="str">
        <x:v>A-03262</x:v>
      </x:c>
      <x:c r="C3308" t="str">
        <x:v>GATE</x:v>
      </x:c>
      <x:c r="D3308" t="str">
        <x:v>release state mirrors governing ledger</x:v>
      </x:c>
      <x:c r="E3308" t="str">
        <x:f>'Release Gates'!I3268</x:f>
        <x:v>OPEN</x:v>
      </x:c>
      <x:c r="F3308" t="str">
        <x:f>IF('Release Gates'!C3268="PLANNING","PASS",IF('Release Gates'!C3268="PHYSICAL","OPEN","BLOCKED"))</x:f>
        <x:v>OPEN</x:v>
      </x:c>
      <x:c r="G3308" t="str">
        <x:v>equals</x:v>
      </x:c>
      <x:c r="H3308" t="str">
        <x:f>IF(E3308=F3308,"PASS","FAIL")</x:f>
        <x:v>PASS</x:v>
      </x:c>
    </x:row>
    <x:row r="3309">
      <x:c r="B3309" t="str">
        <x:v>A-03263</x:v>
      </x:c>
      <x:c r="C3309" t="str">
        <x:v>GATE</x:v>
      </x:c>
      <x:c r="D3309" t="str">
        <x:v>release state mirrors governing ledger</x:v>
      </x:c>
      <x:c r="E3309" t="str">
        <x:f>'Release Gates'!I3269</x:f>
        <x:v>OPEN</x:v>
      </x:c>
      <x:c r="F3309" t="str">
        <x:f>IF('Release Gates'!C3269="PLANNING","PASS",IF('Release Gates'!C3269="PHYSICAL","OPEN","BLOCKED"))</x:f>
        <x:v>OPEN</x:v>
      </x:c>
      <x:c r="G3309" t="str">
        <x:v>equals</x:v>
      </x:c>
      <x:c r="H3309" t="str">
        <x:f>IF(E3309=F3309,"PASS","FAIL")</x:f>
        <x:v>PASS</x:v>
      </x:c>
    </x:row>
    <x:row r="3310">
      <x:c r="B3310" t="str">
        <x:v>A-03264</x:v>
      </x:c>
      <x:c r="C3310" t="str">
        <x:v>GATE</x:v>
      </x:c>
      <x:c r="D3310" t="str">
        <x:v>release state mirrors governing ledger</x:v>
      </x:c>
      <x:c r="E3310" t="str">
        <x:f>'Release Gates'!I3270</x:f>
        <x:v>OPEN</x:v>
      </x:c>
      <x:c r="F3310" t="str">
        <x:f>IF('Release Gates'!C3270="PLANNING","PASS",IF('Release Gates'!C3270="PHYSICAL","OPEN","BLOCKED"))</x:f>
        <x:v>OPEN</x:v>
      </x:c>
      <x:c r="G3310" t="str">
        <x:v>equals</x:v>
      </x:c>
      <x:c r="H3310" t="str">
        <x:f>IF(E3310=F3310,"PASS","FAIL")</x:f>
        <x:v>PASS</x:v>
      </x:c>
    </x:row>
    <x:row r="3311">
      <x:c r="B3311" t="str">
        <x:v>A-03265</x:v>
      </x:c>
      <x:c r="C3311" t="str">
        <x:v>GATE</x:v>
      </x:c>
      <x:c r="D3311" t="str">
        <x:v>release state mirrors governing ledger</x:v>
      </x:c>
      <x:c r="E3311" t="str">
        <x:f>'Release Gates'!I3271</x:f>
        <x:v>OPEN</x:v>
      </x:c>
      <x:c r="F3311" t="str">
        <x:f>IF('Release Gates'!C3271="PLANNING","PASS",IF('Release Gates'!C3271="PHYSICAL","OPEN","BLOCKED"))</x:f>
        <x:v>OPEN</x:v>
      </x:c>
      <x:c r="G3311" t="str">
        <x:v>equals</x:v>
      </x:c>
      <x:c r="H3311" t="str">
        <x:f>IF(E3311=F3311,"PASS","FAIL")</x:f>
        <x:v>PASS</x:v>
      </x:c>
    </x:row>
    <x:row r="3312">
      <x:c r="B3312" t="str">
        <x:v>A-03266</x:v>
      </x:c>
      <x:c r="C3312" t="str">
        <x:v>GATE</x:v>
      </x:c>
      <x:c r="D3312" t="str">
        <x:v>release state mirrors governing ledger</x:v>
      </x:c>
      <x:c r="E3312" t="str">
        <x:f>'Release Gates'!I3272</x:f>
        <x:v>OPEN</x:v>
      </x:c>
      <x:c r="F3312" t="str">
        <x:f>IF('Release Gates'!C3272="PLANNING","PASS",IF('Release Gates'!C3272="PHYSICAL","OPEN","BLOCKED"))</x:f>
        <x:v>OPEN</x:v>
      </x:c>
      <x:c r="G3312" t="str">
        <x:v>equals</x:v>
      </x:c>
      <x:c r="H3312" t="str">
        <x:f>IF(E3312=F3312,"PASS","FAIL")</x:f>
        <x:v>PASS</x:v>
      </x:c>
    </x:row>
    <x:row r="3313">
      <x:c r="B3313" t="str">
        <x:v>A-03267</x:v>
      </x:c>
      <x:c r="C3313" t="str">
        <x:v>GATE</x:v>
      </x:c>
      <x:c r="D3313" t="str">
        <x:v>release state mirrors governing ledger</x:v>
      </x:c>
      <x:c r="E3313" t="str">
        <x:f>'Release Gates'!I3273</x:f>
        <x:v>OPEN</x:v>
      </x:c>
      <x:c r="F3313" t="str">
        <x:f>IF('Release Gates'!C3273="PLANNING","PASS",IF('Release Gates'!C3273="PHYSICAL","OPEN","BLOCKED"))</x:f>
        <x:v>OPEN</x:v>
      </x:c>
      <x:c r="G3313" t="str">
        <x:v>equals</x:v>
      </x:c>
      <x:c r="H3313" t="str">
        <x:f>IF(E3313=F3313,"PASS","FAIL")</x:f>
        <x:v>PASS</x:v>
      </x:c>
    </x:row>
    <x:row r="3314">
      <x:c r="B3314" t="str">
        <x:v>A-03268</x:v>
      </x:c>
      <x:c r="C3314" t="str">
        <x:v>GATE</x:v>
      </x:c>
      <x:c r="D3314" t="str">
        <x:v>release state mirrors governing ledger</x:v>
      </x:c>
      <x:c r="E3314" t="str">
        <x:f>'Release Gates'!I3274</x:f>
        <x:v>OPEN</x:v>
      </x:c>
      <x:c r="F3314" t="str">
        <x:f>IF('Release Gates'!C3274="PLANNING","PASS",IF('Release Gates'!C3274="PHYSICAL","OPEN","BLOCKED"))</x:f>
        <x:v>OPEN</x:v>
      </x:c>
      <x:c r="G3314" t="str">
        <x:v>equals</x:v>
      </x:c>
      <x:c r="H3314" t="str">
        <x:f>IF(E3314=F3314,"PASS","FAIL")</x:f>
        <x:v>PASS</x:v>
      </x:c>
    </x:row>
    <x:row r="3315">
      <x:c r="B3315" t="str">
        <x:v>A-03269</x:v>
      </x:c>
      <x:c r="C3315" t="str">
        <x:v>GATE</x:v>
      </x:c>
      <x:c r="D3315" t="str">
        <x:v>release state mirrors governing ledger</x:v>
      </x:c>
      <x:c r="E3315" t="str">
        <x:f>'Release Gates'!I3275</x:f>
        <x:v>OPEN</x:v>
      </x:c>
      <x:c r="F3315" t="str">
        <x:f>IF('Release Gates'!C3275="PLANNING","PASS",IF('Release Gates'!C3275="PHYSICAL","OPEN","BLOCKED"))</x:f>
        <x:v>OPEN</x:v>
      </x:c>
      <x:c r="G3315" t="str">
        <x:v>equals</x:v>
      </x:c>
      <x:c r="H3315" t="str">
        <x:f>IF(E3315=F3315,"PASS","FAIL")</x:f>
        <x:v>PASS</x:v>
      </x:c>
    </x:row>
    <x:row r="3316">
      <x:c r="B3316" t="str">
        <x:v>A-03270</x:v>
      </x:c>
      <x:c r="C3316" t="str">
        <x:v>GATE</x:v>
      </x:c>
      <x:c r="D3316" t="str">
        <x:v>release state mirrors governing ledger</x:v>
      </x:c>
      <x:c r="E3316" t="str">
        <x:f>'Release Gates'!I3276</x:f>
        <x:v>OPEN</x:v>
      </x:c>
      <x:c r="F3316" t="str">
        <x:f>IF('Release Gates'!C3276="PLANNING","PASS",IF('Release Gates'!C3276="PHYSICAL","OPEN","BLOCKED"))</x:f>
        <x:v>OPEN</x:v>
      </x:c>
      <x:c r="G3316" t="str">
        <x:v>equals</x:v>
      </x:c>
      <x:c r="H3316" t="str">
        <x:f>IF(E3316=F3316,"PASS","FAIL")</x:f>
        <x:v>PASS</x:v>
      </x:c>
    </x:row>
    <x:row r="3317">
      <x:c r="B3317" t="str">
        <x:v>A-03271</x:v>
      </x:c>
      <x:c r="C3317" t="str">
        <x:v>GATE</x:v>
      </x:c>
      <x:c r="D3317" t="str">
        <x:v>release state mirrors governing ledger</x:v>
      </x:c>
      <x:c r="E3317" t="str">
        <x:f>'Release Gates'!I3277</x:f>
        <x:v>OPEN</x:v>
      </x:c>
      <x:c r="F3317" t="str">
        <x:f>IF('Release Gates'!C3277="PLANNING","PASS",IF('Release Gates'!C3277="PHYSICAL","OPEN","BLOCKED"))</x:f>
        <x:v>OPEN</x:v>
      </x:c>
      <x:c r="G3317" t="str">
        <x:v>equals</x:v>
      </x:c>
      <x:c r="H3317" t="str">
        <x:f>IF(E3317=F3317,"PASS","FAIL")</x:f>
        <x:v>PASS</x:v>
      </x:c>
    </x:row>
    <x:row r="3318">
      <x:c r="B3318" t="str">
        <x:v>A-03272</x:v>
      </x:c>
      <x:c r="C3318" t="str">
        <x:v>GATE</x:v>
      </x:c>
      <x:c r="D3318" t="str">
        <x:v>release state mirrors governing ledger</x:v>
      </x:c>
      <x:c r="E3318" t="str">
        <x:f>'Release Gates'!I3278</x:f>
        <x:v>OPEN</x:v>
      </x:c>
      <x:c r="F3318" t="str">
        <x:f>IF('Release Gates'!C3278="PLANNING","PASS",IF('Release Gates'!C3278="PHYSICAL","OPEN","BLOCKED"))</x:f>
        <x:v>OPEN</x:v>
      </x:c>
      <x:c r="G3318" t="str">
        <x:v>equals</x:v>
      </x:c>
      <x:c r="H3318" t="str">
        <x:f>IF(E3318=F3318,"PASS","FAIL")</x:f>
        <x:v>PASS</x:v>
      </x:c>
    </x:row>
    <x:row r="3319">
      <x:c r="B3319" t="str">
        <x:v>A-03273</x:v>
      </x:c>
      <x:c r="C3319" t="str">
        <x:v>GATE</x:v>
      </x:c>
      <x:c r="D3319" t="str">
        <x:v>release state mirrors governing ledger</x:v>
      </x:c>
      <x:c r="E3319" t="str">
        <x:f>'Release Gates'!I3279</x:f>
        <x:v>OPEN</x:v>
      </x:c>
      <x:c r="F3319" t="str">
        <x:f>IF('Release Gates'!C3279="PLANNING","PASS",IF('Release Gates'!C3279="PHYSICAL","OPEN","BLOCKED"))</x:f>
        <x:v>OPEN</x:v>
      </x:c>
      <x:c r="G3319" t="str">
        <x:v>equals</x:v>
      </x:c>
      <x:c r="H3319" t="str">
        <x:f>IF(E3319=F3319,"PASS","FAIL")</x:f>
        <x:v>PASS</x:v>
      </x:c>
    </x:row>
    <x:row r="3320">
      <x:c r="B3320" t="str">
        <x:v>A-03274</x:v>
      </x:c>
      <x:c r="C3320" t="str">
        <x:v>GATE</x:v>
      </x:c>
      <x:c r="D3320" t="str">
        <x:v>release state mirrors governing ledger</x:v>
      </x:c>
      <x:c r="E3320" t="str">
        <x:f>'Release Gates'!I3280</x:f>
        <x:v>OPEN</x:v>
      </x:c>
      <x:c r="F3320" t="str">
        <x:f>IF('Release Gates'!C3280="PLANNING","PASS",IF('Release Gates'!C3280="PHYSICAL","OPEN","BLOCKED"))</x:f>
        <x:v>OPEN</x:v>
      </x:c>
      <x:c r="G3320" t="str">
        <x:v>equals</x:v>
      </x:c>
      <x:c r="H3320" t="str">
        <x:f>IF(E3320=F3320,"PASS","FAIL")</x:f>
        <x:v>PASS</x:v>
      </x:c>
    </x:row>
    <x:row r="3321">
      <x:c r="B3321" t="str">
        <x:v>A-03275</x:v>
      </x:c>
      <x:c r="C3321" t="str">
        <x:v>GATE</x:v>
      </x:c>
      <x:c r="D3321" t="str">
        <x:v>release state mirrors governing ledger</x:v>
      </x:c>
      <x:c r="E3321" t="str">
        <x:f>'Release Gates'!I3281</x:f>
        <x:v>OPEN</x:v>
      </x:c>
      <x:c r="F3321" t="str">
        <x:f>IF('Release Gates'!C3281="PLANNING","PASS",IF('Release Gates'!C3281="PHYSICAL","OPEN","BLOCKED"))</x:f>
        <x:v>OPEN</x:v>
      </x:c>
      <x:c r="G3321" t="str">
        <x:v>equals</x:v>
      </x:c>
      <x:c r="H3321" t="str">
        <x:f>IF(E3321=F3321,"PASS","FAIL")</x:f>
        <x:v>PASS</x:v>
      </x:c>
    </x:row>
    <x:row r="3322">
      <x:c r="B3322" t="str">
        <x:v>A-03276</x:v>
      </x:c>
      <x:c r="C3322" t="str">
        <x:v>GATE</x:v>
      </x:c>
      <x:c r="D3322" t="str">
        <x:v>release state mirrors governing ledger</x:v>
      </x:c>
      <x:c r="E3322" t="str">
        <x:f>'Release Gates'!I3282</x:f>
        <x:v>OPEN</x:v>
      </x:c>
      <x:c r="F3322" t="str">
        <x:f>IF('Release Gates'!C3282="PLANNING","PASS",IF('Release Gates'!C3282="PHYSICAL","OPEN","BLOCKED"))</x:f>
        <x:v>OPEN</x:v>
      </x:c>
      <x:c r="G3322" t="str">
        <x:v>equals</x:v>
      </x:c>
      <x:c r="H3322" t="str">
        <x:f>IF(E3322=F3322,"PASS","FAIL")</x:f>
        <x:v>PASS</x:v>
      </x:c>
    </x:row>
    <x:row r="3323">
      <x:c r="B3323" t="str">
        <x:v>A-03277</x:v>
      </x:c>
      <x:c r="C3323" t="str">
        <x:v>GATE</x:v>
      </x:c>
      <x:c r="D3323" t="str">
        <x:v>release state mirrors governing ledger</x:v>
      </x:c>
      <x:c r="E3323" t="str">
        <x:f>'Release Gates'!I3283</x:f>
        <x:v>OPEN</x:v>
      </x:c>
      <x:c r="F3323" t="str">
        <x:f>IF('Release Gates'!C3283="PLANNING","PASS",IF('Release Gates'!C3283="PHYSICAL","OPEN","BLOCKED"))</x:f>
        <x:v>OPEN</x:v>
      </x:c>
      <x:c r="G3323" t="str">
        <x:v>equals</x:v>
      </x:c>
      <x:c r="H3323" t="str">
        <x:f>IF(E3323=F3323,"PASS","FAIL")</x:f>
        <x:v>PASS</x:v>
      </x:c>
    </x:row>
    <x:row r="3324">
      <x:c r="B3324" t="str">
        <x:v>A-03278</x:v>
      </x:c>
      <x:c r="C3324" t="str">
        <x:v>GATE</x:v>
      </x:c>
      <x:c r="D3324" t="str">
        <x:v>release state mirrors governing ledger</x:v>
      </x:c>
      <x:c r="E3324" t="str">
        <x:f>'Release Gates'!I3284</x:f>
        <x:v>OPEN</x:v>
      </x:c>
      <x:c r="F3324" t="str">
        <x:f>IF('Release Gates'!C3284="PLANNING","PASS",IF('Release Gates'!C3284="PHYSICAL","OPEN","BLOCKED"))</x:f>
        <x:v>OPEN</x:v>
      </x:c>
      <x:c r="G3324" t="str">
        <x:v>equals</x:v>
      </x:c>
      <x:c r="H3324" t="str">
        <x:f>IF(E3324=F3324,"PASS","FAIL")</x:f>
        <x:v>PASS</x:v>
      </x:c>
    </x:row>
    <x:row r="3325">
      <x:c r="B3325" t="str">
        <x:v>A-03279</x:v>
      </x:c>
      <x:c r="C3325" t="str">
        <x:v>GATE</x:v>
      </x:c>
      <x:c r="D3325" t="str">
        <x:v>release state mirrors governing ledger</x:v>
      </x:c>
      <x:c r="E3325" t="str">
        <x:f>'Release Gates'!I3285</x:f>
        <x:v>OPEN</x:v>
      </x:c>
      <x:c r="F3325" t="str">
        <x:f>IF('Release Gates'!C3285="PLANNING","PASS",IF('Release Gates'!C3285="PHYSICAL","OPEN","BLOCKED"))</x:f>
        <x:v>OPEN</x:v>
      </x:c>
      <x:c r="G3325" t="str">
        <x:v>equals</x:v>
      </x:c>
      <x:c r="H3325" t="str">
        <x:f>IF(E3325=F3325,"PASS","FAIL")</x:f>
        <x:v>PASS</x:v>
      </x:c>
    </x:row>
    <x:row r="3326">
      <x:c r="B3326" t="str">
        <x:v>A-03280</x:v>
      </x:c>
      <x:c r="C3326" t="str">
        <x:v>GATE</x:v>
      </x:c>
      <x:c r="D3326" t="str">
        <x:v>release state mirrors governing ledger</x:v>
      </x:c>
      <x:c r="E3326" t="str">
        <x:f>'Release Gates'!I3286</x:f>
        <x:v>OPEN</x:v>
      </x:c>
      <x:c r="F3326" t="str">
        <x:f>IF('Release Gates'!C3286="PLANNING","PASS",IF('Release Gates'!C3286="PHYSICAL","OPEN","BLOCKED"))</x:f>
        <x:v>OPEN</x:v>
      </x:c>
      <x:c r="G3326" t="str">
        <x:v>equals</x:v>
      </x:c>
      <x:c r="H3326" t="str">
        <x:f>IF(E3326=F3326,"PASS","FAIL")</x:f>
        <x:v>PASS</x:v>
      </x:c>
    </x:row>
    <x:row r="3327">
      <x:c r="B3327" t="str">
        <x:v>A-03281</x:v>
      </x:c>
      <x:c r="C3327" t="str">
        <x:v>GATE</x:v>
      </x:c>
      <x:c r="D3327" t="str">
        <x:v>release state mirrors governing ledger</x:v>
      </x:c>
      <x:c r="E3327" t="str">
        <x:f>'Release Gates'!I3287</x:f>
        <x:v>OPEN</x:v>
      </x:c>
      <x:c r="F3327" t="str">
        <x:f>IF('Release Gates'!C3287="PLANNING","PASS",IF('Release Gates'!C3287="PHYSICAL","OPEN","BLOCKED"))</x:f>
        <x:v>OPEN</x:v>
      </x:c>
      <x:c r="G3327" t="str">
        <x:v>equals</x:v>
      </x:c>
      <x:c r="H3327" t="str">
        <x:f>IF(E3327=F3327,"PASS","FAIL")</x:f>
        <x:v>PASS</x:v>
      </x:c>
    </x:row>
    <x:row r="3328">
      <x:c r="B3328" t="str">
        <x:v>A-03282</x:v>
      </x:c>
      <x:c r="C3328" t="str">
        <x:v>GATE</x:v>
      </x:c>
      <x:c r="D3328" t="str">
        <x:v>release state mirrors governing ledger</x:v>
      </x:c>
      <x:c r="E3328" t="str">
        <x:f>'Release Gates'!I3288</x:f>
        <x:v>OPEN</x:v>
      </x:c>
      <x:c r="F3328" t="str">
        <x:f>IF('Release Gates'!C3288="PLANNING","PASS",IF('Release Gates'!C3288="PHYSICAL","OPEN","BLOCKED"))</x:f>
        <x:v>OPEN</x:v>
      </x:c>
      <x:c r="G3328" t="str">
        <x:v>equals</x:v>
      </x:c>
      <x:c r="H3328" t="str">
        <x:f>IF(E3328=F3328,"PASS","FAIL")</x:f>
        <x:v>PASS</x:v>
      </x:c>
    </x:row>
    <x:row r="3329">
      <x:c r="B3329" t="str">
        <x:v>A-03283</x:v>
      </x:c>
      <x:c r="C3329" t="str">
        <x:v>GATE</x:v>
      </x:c>
      <x:c r="D3329" t="str">
        <x:v>release state mirrors governing ledger</x:v>
      </x:c>
      <x:c r="E3329" t="str">
        <x:f>'Release Gates'!I3289</x:f>
        <x:v>OPEN</x:v>
      </x:c>
      <x:c r="F3329" t="str">
        <x:f>IF('Release Gates'!C3289="PLANNING","PASS",IF('Release Gates'!C3289="PHYSICAL","OPEN","BLOCKED"))</x:f>
        <x:v>OPEN</x:v>
      </x:c>
      <x:c r="G3329" t="str">
        <x:v>equals</x:v>
      </x:c>
      <x:c r="H3329" t="str">
        <x:f>IF(E3329=F3329,"PASS","FAIL")</x:f>
        <x:v>PASS</x:v>
      </x:c>
    </x:row>
    <x:row r="3330">
      <x:c r="B3330" t="str">
        <x:v>A-03284</x:v>
      </x:c>
      <x:c r="C3330" t="str">
        <x:v>GATE</x:v>
      </x:c>
      <x:c r="D3330" t="str">
        <x:v>release state mirrors governing ledger</x:v>
      </x:c>
      <x:c r="E3330" t="str">
        <x:f>'Release Gates'!I3290</x:f>
        <x:v>OPEN</x:v>
      </x:c>
      <x:c r="F3330" t="str">
        <x:f>IF('Release Gates'!C3290="PLANNING","PASS",IF('Release Gates'!C3290="PHYSICAL","OPEN","BLOCKED"))</x:f>
        <x:v>OPEN</x:v>
      </x:c>
      <x:c r="G3330" t="str">
        <x:v>equals</x:v>
      </x:c>
      <x:c r="H3330" t="str">
        <x:f>IF(E3330=F3330,"PASS","FAIL")</x:f>
        <x:v>PASS</x:v>
      </x:c>
    </x:row>
    <x:row r="3331">
      <x:c r="B3331" t="str">
        <x:v>A-03285</x:v>
      </x:c>
      <x:c r="C3331" t="str">
        <x:v>GATE</x:v>
      </x:c>
      <x:c r="D3331" t="str">
        <x:v>release state mirrors governing ledger</x:v>
      </x:c>
      <x:c r="E3331" t="str">
        <x:f>'Release Gates'!I3291</x:f>
        <x:v>OPEN</x:v>
      </x:c>
      <x:c r="F3331" t="str">
        <x:f>IF('Release Gates'!C3291="PLANNING","PASS",IF('Release Gates'!C3291="PHYSICAL","OPEN","BLOCKED"))</x:f>
        <x:v>OPEN</x:v>
      </x:c>
      <x:c r="G3331" t="str">
        <x:v>equals</x:v>
      </x:c>
      <x:c r="H3331" t="str">
        <x:f>IF(E3331=F3331,"PASS","FAIL")</x:f>
        <x:v>PASS</x:v>
      </x:c>
    </x:row>
    <x:row r="3332">
      <x:c r="B3332" t="str">
        <x:v>A-03286</x:v>
      </x:c>
      <x:c r="C3332" t="str">
        <x:v>GATE</x:v>
      </x:c>
      <x:c r="D3332" t="str">
        <x:v>release state mirrors governing ledger</x:v>
      </x:c>
      <x:c r="E3332" t="str">
        <x:f>'Release Gates'!I3292</x:f>
        <x:v>OPEN</x:v>
      </x:c>
      <x:c r="F3332" t="str">
        <x:f>IF('Release Gates'!C3292="PLANNING","PASS",IF('Release Gates'!C3292="PHYSICAL","OPEN","BLOCKED"))</x:f>
        <x:v>OPEN</x:v>
      </x:c>
      <x:c r="G3332" t="str">
        <x:v>equals</x:v>
      </x:c>
      <x:c r="H3332" t="str">
        <x:f>IF(E3332=F3332,"PASS","FAIL")</x:f>
        <x:v>PASS</x:v>
      </x:c>
    </x:row>
    <x:row r="3333">
      <x:c r="B3333" t="str">
        <x:v>A-03287</x:v>
      </x:c>
      <x:c r="C3333" t="str">
        <x:v>GATE</x:v>
      </x:c>
      <x:c r="D3333" t="str">
        <x:v>release state mirrors governing ledger</x:v>
      </x:c>
      <x:c r="E3333" t="str">
        <x:f>'Release Gates'!I3293</x:f>
        <x:v>OPEN</x:v>
      </x:c>
      <x:c r="F3333" t="str">
        <x:f>IF('Release Gates'!C3293="PLANNING","PASS",IF('Release Gates'!C3293="PHYSICAL","OPEN","BLOCKED"))</x:f>
        <x:v>OPEN</x:v>
      </x:c>
      <x:c r="G3333" t="str">
        <x:v>equals</x:v>
      </x:c>
      <x:c r="H3333" t="str">
        <x:f>IF(E3333=F3333,"PASS","FAIL")</x:f>
        <x:v>PASS</x:v>
      </x:c>
    </x:row>
    <x:row r="3334">
      <x:c r="B3334" t="str">
        <x:v>A-03288</x:v>
      </x:c>
      <x:c r="C3334" t="str">
        <x:v>GATE</x:v>
      </x:c>
      <x:c r="D3334" t="str">
        <x:v>release state mirrors governing ledger</x:v>
      </x:c>
      <x:c r="E3334" t="str">
        <x:f>'Release Gates'!I3294</x:f>
        <x:v>OPEN</x:v>
      </x:c>
      <x:c r="F3334" t="str">
        <x:f>IF('Release Gates'!C3294="PLANNING","PASS",IF('Release Gates'!C3294="PHYSICAL","OPEN","BLOCKED"))</x:f>
        <x:v>OPEN</x:v>
      </x:c>
      <x:c r="G3334" t="str">
        <x:v>equals</x:v>
      </x:c>
      <x:c r="H3334" t="str">
        <x:f>IF(E3334=F3334,"PASS","FAIL")</x:f>
        <x:v>PASS</x:v>
      </x:c>
    </x:row>
    <x:row r="3335">
      <x:c r="B3335" t="str">
        <x:v>A-03289</x:v>
      </x:c>
      <x:c r="C3335" t="str">
        <x:v>GATE</x:v>
      </x:c>
      <x:c r="D3335" t="str">
        <x:v>release state mirrors governing ledger</x:v>
      </x:c>
      <x:c r="E3335" t="str">
        <x:f>'Release Gates'!I3295</x:f>
        <x:v>OPEN</x:v>
      </x:c>
      <x:c r="F3335" t="str">
        <x:f>IF('Release Gates'!C3295="PLANNING","PASS",IF('Release Gates'!C3295="PHYSICAL","OPEN","BLOCKED"))</x:f>
        <x:v>OPEN</x:v>
      </x:c>
      <x:c r="G3335" t="str">
        <x:v>equals</x:v>
      </x:c>
      <x:c r="H3335" t="str">
        <x:f>IF(E3335=F3335,"PASS","FAIL")</x:f>
        <x:v>PASS</x:v>
      </x:c>
    </x:row>
    <x:row r="3336">
      <x:c r="B3336" t="str">
        <x:v>A-03290</x:v>
      </x:c>
      <x:c r="C3336" t="str">
        <x:v>GATE</x:v>
      </x:c>
      <x:c r="D3336" t="str">
        <x:v>release state mirrors governing ledger</x:v>
      </x:c>
      <x:c r="E3336" t="str">
        <x:f>'Release Gates'!I3296</x:f>
        <x:v>OPEN</x:v>
      </x:c>
      <x:c r="F3336" t="str">
        <x:f>IF('Release Gates'!C3296="PLANNING","PASS",IF('Release Gates'!C3296="PHYSICAL","OPEN","BLOCKED"))</x:f>
        <x:v>OPEN</x:v>
      </x:c>
      <x:c r="G3336" t="str">
        <x:v>equals</x:v>
      </x:c>
      <x:c r="H3336" t="str">
        <x:f>IF(E3336=F3336,"PASS","FAIL")</x:f>
        <x:v>PASS</x:v>
      </x:c>
    </x:row>
    <x:row r="3337">
      <x:c r="B3337" t="str">
        <x:v>A-03291</x:v>
      </x:c>
      <x:c r="C3337" t="str">
        <x:v>GATE</x:v>
      </x:c>
      <x:c r="D3337" t="str">
        <x:v>release state mirrors governing ledger</x:v>
      </x:c>
      <x:c r="E3337" t="str">
        <x:f>'Release Gates'!I3297</x:f>
        <x:v>OPEN</x:v>
      </x:c>
      <x:c r="F3337" t="str">
        <x:f>IF('Release Gates'!C3297="PLANNING","PASS",IF('Release Gates'!C3297="PHYSICAL","OPEN","BLOCKED"))</x:f>
        <x:v>OPEN</x:v>
      </x:c>
      <x:c r="G3337" t="str">
        <x:v>equals</x:v>
      </x:c>
      <x:c r="H3337" t="str">
        <x:f>IF(E3337=F3337,"PASS","FAIL")</x:f>
        <x:v>PASS</x:v>
      </x:c>
    </x:row>
    <x:row r="3338">
      <x:c r="B3338" t="str">
        <x:v>A-03292</x:v>
      </x:c>
      <x:c r="C3338" t="str">
        <x:v>GATE</x:v>
      </x:c>
      <x:c r="D3338" t="str">
        <x:v>release state mirrors governing ledger</x:v>
      </x:c>
      <x:c r="E3338" t="str">
        <x:f>'Release Gates'!I3298</x:f>
        <x:v>OPEN</x:v>
      </x:c>
      <x:c r="F3338" t="str">
        <x:f>IF('Release Gates'!C3298="PLANNING","PASS",IF('Release Gates'!C3298="PHYSICAL","OPEN","BLOCKED"))</x:f>
        <x:v>OPEN</x:v>
      </x:c>
      <x:c r="G3338" t="str">
        <x:v>equals</x:v>
      </x:c>
      <x:c r="H3338" t="str">
        <x:f>IF(E3338=F3338,"PASS","FAIL")</x:f>
        <x:v>PASS</x:v>
      </x:c>
    </x:row>
    <x:row r="3339">
      <x:c r="B3339" t="str">
        <x:v>A-03293</x:v>
      </x:c>
      <x:c r="C3339" t="str">
        <x:v>GATE</x:v>
      </x:c>
      <x:c r="D3339" t="str">
        <x:v>release state mirrors governing ledger</x:v>
      </x:c>
      <x:c r="E3339" t="str">
        <x:f>'Release Gates'!I3299</x:f>
        <x:v>OPEN</x:v>
      </x:c>
      <x:c r="F3339" t="str">
        <x:f>IF('Release Gates'!C3299="PLANNING","PASS",IF('Release Gates'!C3299="PHYSICAL","OPEN","BLOCKED"))</x:f>
        <x:v>OPEN</x:v>
      </x:c>
      <x:c r="G3339" t="str">
        <x:v>equals</x:v>
      </x:c>
      <x:c r="H3339" t="str">
        <x:f>IF(E3339=F3339,"PASS","FAIL")</x:f>
        <x:v>PASS</x:v>
      </x:c>
    </x:row>
    <x:row r="3340">
      <x:c r="B3340" t="str">
        <x:v>A-03294</x:v>
      </x:c>
      <x:c r="C3340" t="str">
        <x:v>GATE</x:v>
      </x:c>
      <x:c r="D3340" t="str">
        <x:v>release state mirrors governing ledger</x:v>
      </x:c>
      <x:c r="E3340" t="str">
        <x:f>'Release Gates'!I3300</x:f>
        <x:v>OPEN</x:v>
      </x:c>
      <x:c r="F3340" t="str">
        <x:f>IF('Release Gates'!C3300="PLANNING","PASS",IF('Release Gates'!C3300="PHYSICAL","OPEN","BLOCKED"))</x:f>
        <x:v>OPEN</x:v>
      </x:c>
      <x:c r="G3340" t="str">
        <x:v>equals</x:v>
      </x:c>
      <x:c r="H3340" t="str">
        <x:f>IF(E3340=F3340,"PASS","FAIL")</x:f>
        <x:v>PASS</x:v>
      </x:c>
    </x:row>
    <x:row r="3341">
      <x:c r="B3341" t="str">
        <x:v>A-03295</x:v>
      </x:c>
      <x:c r="C3341" t="str">
        <x:v>GATE</x:v>
      </x:c>
      <x:c r="D3341" t="str">
        <x:v>release state mirrors governing ledger</x:v>
      </x:c>
      <x:c r="E3341" t="str">
        <x:f>'Release Gates'!I3301</x:f>
        <x:v>OPEN</x:v>
      </x:c>
      <x:c r="F3341" t="str">
        <x:f>IF('Release Gates'!C3301="PLANNING","PASS",IF('Release Gates'!C3301="PHYSICAL","OPEN","BLOCKED"))</x:f>
        <x:v>OPEN</x:v>
      </x:c>
      <x:c r="G3341" t="str">
        <x:v>equals</x:v>
      </x:c>
      <x:c r="H3341" t="str">
        <x:f>IF(E3341=F3341,"PASS","FAIL")</x:f>
        <x:v>PASS</x:v>
      </x:c>
    </x:row>
    <x:row r="3342">
      <x:c r="B3342" t="str">
        <x:v>A-03296</x:v>
      </x:c>
      <x:c r="C3342" t="str">
        <x:v>GATE</x:v>
      </x:c>
      <x:c r="D3342" t="str">
        <x:v>release state mirrors governing ledger</x:v>
      </x:c>
      <x:c r="E3342" t="str">
        <x:f>'Release Gates'!I3302</x:f>
        <x:v>OPEN</x:v>
      </x:c>
      <x:c r="F3342" t="str">
        <x:f>IF('Release Gates'!C3302="PLANNING","PASS",IF('Release Gates'!C3302="PHYSICAL","OPEN","BLOCKED"))</x:f>
        <x:v>OPEN</x:v>
      </x:c>
      <x:c r="G3342" t="str">
        <x:v>equals</x:v>
      </x:c>
      <x:c r="H3342" t="str">
        <x:f>IF(E3342=F3342,"PASS","FAIL")</x:f>
        <x:v>PASS</x:v>
      </x:c>
    </x:row>
    <x:row r="3343">
      <x:c r="B3343" t="str">
        <x:v>A-03297</x:v>
      </x:c>
      <x:c r="C3343" t="str">
        <x:v>GATE</x:v>
      </x:c>
      <x:c r="D3343" t="str">
        <x:v>release state mirrors governing ledger</x:v>
      </x:c>
      <x:c r="E3343" t="str">
        <x:f>'Release Gates'!I3303</x:f>
        <x:v>OPEN</x:v>
      </x:c>
      <x:c r="F3343" t="str">
        <x:f>IF('Release Gates'!C3303="PLANNING","PASS",IF('Release Gates'!C3303="PHYSICAL","OPEN","BLOCKED"))</x:f>
        <x:v>OPEN</x:v>
      </x:c>
      <x:c r="G3343" t="str">
        <x:v>equals</x:v>
      </x:c>
      <x:c r="H3343" t="str">
        <x:f>IF(E3343=F3343,"PASS","FAIL")</x:f>
        <x:v>PASS</x:v>
      </x:c>
    </x:row>
    <x:row r="3344">
      <x:c r="B3344" t="str">
        <x:v>A-03298</x:v>
      </x:c>
      <x:c r="C3344" t="str">
        <x:v>GATE</x:v>
      </x:c>
      <x:c r="D3344" t="str">
        <x:v>release state mirrors governing ledger</x:v>
      </x:c>
      <x:c r="E3344" t="str">
        <x:f>'Release Gates'!I3304</x:f>
        <x:v>OPEN</x:v>
      </x:c>
      <x:c r="F3344" t="str">
        <x:f>IF('Release Gates'!C3304="PLANNING","PASS",IF('Release Gates'!C3304="PHYSICAL","OPEN","BLOCKED"))</x:f>
        <x:v>OPEN</x:v>
      </x:c>
      <x:c r="G3344" t="str">
        <x:v>equals</x:v>
      </x:c>
      <x:c r="H3344" t="str">
        <x:f>IF(E3344=F3344,"PASS","FAIL")</x:f>
        <x:v>PASS</x:v>
      </x:c>
    </x:row>
    <x:row r="3345">
      <x:c r="B3345" t="str">
        <x:v>A-03299</x:v>
      </x:c>
      <x:c r="C3345" t="str">
        <x:v>GATE</x:v>
      </x:c>
      <x:c r="D3345" t="str">
        <x:v>release state mirrors governing ledger</x:v>
      </x:c>
      <x:c r="E3345" t="str">
        <x:f>'Release Gates'!I3305</x:f>
        <x:v>OPEN</x:v>
      </x:c>
      <x:c r="F3345" t="str">
        <x:f>IF('Release Gates'!C3305="PLANNING","PASS",IF('Release Gates'!C3305="PHYSICAL","OPEN","BLOCKED"))</x:f>
        <x:v>OPEN</x:v>
      </x:c>
      <x:c r="G3345" t="str">
        <x:v>equals</x:v>
      </x:c>
      <x:c r="H3345" t="str">
        <x:f>IF(E3345=F3345,"PASS","FAIL")</x:f>
        <x:v>PASS</x:v>
      </x:c>
    </x:row>
    <x:row r="3346">
      <x:c r="B3346" t="str">
        <x:v>A-03300</x:v>
      </x:c>
      <x:c r="C3346" t="str">
        <x:v>GATE</x:v>
      </x:c>
      <x:c r="D3346" t="str">
        <x:v>release state mirrors governing ledger</x:v>
      </x:c>
      <x:c r="E3346" t="str">
        <x:f>'Release Gates'!I3306</x:f>
        <x:v>OPEN</x:v>
      </x:c>
      <x:c r="F3346" t="str">
        <x:f>IF('Release Gates'!C3306="PLANNING","PASS",IF('Release Gates'!C3306="PHYSICAL","OPEN","BLOCKED"))</x:f>
        <x:v>OPEN</x:v>
      </x:c>
      <x:c r="G3346" t="str">
        <x:v>equals</x:v>
      </x:c>
      <x:c r="H3346" t="str">
        <x:f>IF(E3346=F3346,"PASS","FAIL")</x:f>
        <x:v>PASS</x:v>
      </x:c>
    </x:row>
    <x:row r="3347">
      <x:c r="B3347" t="str">
        <x:v>A-03301</x:v>
      </x:c>
      <x:c r="C3347" t="str">
        <x:v>GATE</x:v>
      </x:c>
      <x:c r="D3347" t="str">
        <x:v>release state mirrors governing ledger</x:v>
      </x:c>
      <x:c r="E3347" t="str">
        <x:f>'Release Gates'!I3307</x:f>
        <x:v>OPEN</x:v>
      </x:c>
      <x:c r="F3347" t="str">
        <x:f>IF('Release Gates'!C3307="PLANNING","PASS",IF('Release Gates'!C3307="PHYSICAL","OPEN","BLOCKED"))</x:f>
        <x:v>OPEN</x:v>
      </x:c>
      <x:c r="G3347" t="str">
        <x:v>equals</x:v>
      </x:c>
      <x:c r="H3347" t="str">
        <x:f>IF(E3347=F3347,"PASS","FAIL")</x:f>
        <x:v>PASS</x:v>
      </x:c>
    </x:row>
    <x:row r="3348">
      <x:c r="B3348" t="str">
        <x:v>A-03302</x:v>
      </x:c>
      <x:c r="C3348" t="str">
        <x:v>GATE</x:v>
      </x:c>
      <x:c r="D3348" t="str">
        <x:v>release state mirrors governing ledger</x:v>
      </x:c>
      <x:c r="E3348" t="str">
        <x:f>'Release Gates'!I3308</x:f>
        <x:v>OPEN</x:v>
      </x:c>
      <x:c r="F3348" t="str">
        <x:f>IF('Release Gates'!C3308="PLANNING","PASS",IF('Release Gates'!C3308="PHYSICAL","OPEN","BLOCKED"))</x:f>
        <x:v>OPEN</x:v>
      </x:c>
      <x:c r="G3348" t="str">
        <x:v>equals</x:v>
      </x:c>
      <x:c r="H3348" t="str">
        <x:f>IF(E3348=F3348,"PASS","FAIL")</x:f>
        <x:v>PASS</x:v>
      </x:c>
    </x:row>
    <x:row r="3349">
      <x:c r="B3349" t="str">
        <x:v>A-03303</x:v>
      </x:c>
      <x:c r="C3349" t="str">
        <x:v>GATE</x:v>
      </x:c>
      <x:c r="D3349" t="str">
        <x:v>release state mirrors governing ledger</x:v>
      </x:c>
      <x:c r="E3349" t="str">
        <x:f>'Release Gates'!I3309</x:f>
        <x:v>OPEN</x:v>
      </x:c>
      <x:c r="F3349" t="str">
        <x:f>IF('Release Gates'!C3309="PLANNING","PASS",IF('Release Gates'!C3309="PHYSICAL","OPEN","BLOCKED"))</x:f>
        <x:v>OPEN</x:v>
      </x:c>
      <x:c r="G3349" t="str">
        <x:v>equals</x:v>
      </x:c>
      <x:c r="H3349" t="str">
        <x:f>IF(E3349=F3349,"PASS","FAIL")</x:f>
        <x:v>PASS</x:v>
      </x:c>
    </x:row>
    <x:row r="3350">
      <x:c r="B3350" t="str">
        <x:v>A-03304</x:v>
      </x:c>
      <x:c r="C3350" t="str">
        <x:v>GATE</x:v>
      </x:c>
      <x:c r="D3350" t="str">
        <x:v>release state mirrors governing ledger</x:v>
      </x:c>
      <x:c r="E3350" t="str">
        <x:f>'Release Gates'!I3310</x:f>
        <x:v>OPEN</x:v>
      </x:c>
      <x:c r="F3350" t="str">
        <x:f>IF('Release Gates'!C3310="PLANNING","PASS",IF('Release Gates'!C3310="PHYSICAL","OPEN","BLOCKED"))</x:f>
        <x:v>OPEN</x:v>
      </x:c>
      <x:c r="G3350" t="str">
        <x:v>equals</x:v>
      </x:c>
      <x:c r="H3350" t="str">
        <x:f>IF(E3350=F3350,"PASS","FAIL")</x:f>
        <x:v>PASS</x:v>
      </x:c>
    </x:row>
    <x:row r="3351">
      <x:c r="B3351" t="str">
        <x:v>A-03305</x:v>
      </x:c>
      <x:c r="C3351" t="str">
        <x:v>GATE</x:v>
      </x:c>
      <x:c r="D3351" t="str">
        <x:v>release state mirrors governing ledger</x:v>
      </x:c>
      <x:c r="E3351" t="str">
        <x:f>'Release Gates'!I3311</x:f>
        <x:v>OPEN</x:v>
      </x:c>
      <x:c r="F3351" t="str">
        <x:f>IF('Release Gates'!C3311="PLANNING","PASS",IF('Release Gates'!C3311="PHYSICAL","OPEN","BLOCKED"))</x:f>
        <x:v>OPEN</x:v>
      </x:c>
      <x:c r="G3351" t="str">
        <x:v>equals</x:v>
      </x:c>
      <x:c r="H3351" t="str">
        <x:f>IF(E3351=F3351,"PASS","FAIL")</x:f>
        <x:v>PASS</x:v>
      </x:c>
    </x:row>
    <x:row r="3352">
      <x:c r="B3352" t="str">
        <x:v>A-03306</x:v>
      </x:c>
      <x:c r="C3352" t="str">
        <x:v>GATE</x:v>
      </x:c>
      <x:c r="D3352" t="str">
        <x:v>release state mirrors governing ledger</x:v>
      </x:c>
      <x:c r="E3352" t="str">
        <x:f>'Release Gates'!I3312</x:f>
        <x:v>OPEN</x:v>
      </x:c>
      <x:c r="F3352" t="str">
        <x:f>IF('Release Gates'!C3312="PLANNING","PASS",IF('Release Gates'!C3312="PHYSICAL","OPEN","BLOCKED"))</x:f>
        <x:v>OPEN</x:v>
      </x:c>
      <x:c r="G3352" t="str">
        <x:v>equals</x:v>
      </x:c>
      <x:c r="H3352" t="str">
        <x:f>IF(E3352=F3352,"PASS","FAIL")</x:f>
        <x:v>PASS</x:v>
      </x:c>
    </x:row>
    <x:row r="3353">
      <x:c r="B3353" t="str">
        <x:v>A-03307</x:v>
      </x:c>
      <x:c r="C3353" t="str">
        <x:v>GATE</x:v>
      </x:c>
      <x:c r="D3353" t="str">
        <x:v>release state mirrors governing ledger</x:v>
      </x:c>
      <x:c r="E3353" t="str">
        <x:f>'Release Gates'!I3313</x:f>
        <x:v>OPEN</x:v>
      </x:c>
      <x:c r="F3353" t="str">
        <x:f>IF('Release Gates'!C3313="PLANNING","PASS",IF('Release Gates'!C3313="PHYSICAL","OPEN","BLOCKED"))</x:f>
        <x:v>OPEN</x:v>
      </x:c>
      <x:c r="G3353" t="str">
        <x:v>equals</x:v>
      </x:c>
      <x:c r="H3353" t="str">
        <x:f>IF(E3353=F3353,"PASS","FAIL")</x:f>
        <x:v>PASS</x:v>
      </x:c>
    </x:row>
    <x:row r="3354">
      <x:c r="B3354" t="str">
        <x:v>A-03308</x:v>
      </x:c>
      <x:c r="C3354" t="str">
        <x:v>GATE</x:v>
      </x:c>
      <x:c r="D3354" t="str">
        <x:v>release state mirrors governing ledger</x:v>
      </x:c>
      <x:c r="E3354" t="str">
        <x:f>'Release Gates'!I3314</x:f>
        <x:v>OPEN</x:v>
      </x:c>
      <x:c r="F3354" t="str">
        <x:f>IF('Release Gates'!C3314="PLANNING","PASS",IF('Release Gates'!C3314="PHYSICAL","OPEN","BLOCKED"))</x:f>
        <x:v>OPEN</x:v>
      </x:c>
      <x:c r="G3354" t="str">
        <x:v>equals</x:v>
      </x:c>
      <x:c r="H3354" t="str">
        <x:f>IF(E3354=F3354,"PASS","FAIL")</x:f>
        <x:v>PASS</x:v>
      </x:c>
    </x:row>
    <x:row r="3355">
      <x:c r="B3355" t="str">
        <x:v>A-03309</x:v>
      </x:c>
      <x:c r="C3355" t="str">
        <x:v>GATE</x:v>
      </x:c>
      <x:c r="D3355" t="str">
        <x:v>release state mirrors governing ledger</x:v>
      </x:c>
      <x:c r="E3355" t="str">
        <x:f>'Release Gates'!I3315</x:f>
        <x:v>OPEN</x:v>
      </x:c>
      <x:c r="F3355" t="str">
        <x:f>IF('Release Gates'!C3315="PLANNING","PASS",IF('Release Gates'!C3315="PHYSICAL","OPEN","BLOCKED"))</x:f>
        <x:v>OPEN</x:v>
      </x:c>
      <x:c r="G3355" t="str">
        <x:v>equals</x:v>
      </x:c>
      <x:c r="H3355" t="str">
        <x:f>IF(E3355=F3355,"PASS","FAIL")</x:f>
        <x:v>PASS</x:v>
      </x:c>
    </x:row>
    <x:row r="3356">
      <x:c r="B3356" t="str">
        <x:v>A-03310</x:v>
      </x:c>
      <x:c r="C3356" t="str">
        <x:v>GATE</x:v>
      </x:c>
      <x:c r="D3356" t="str">
        <x:v>release state mirrors governing ledger</x:v>
      </x:c>
      <x:c r="E3356" t="str">
        <x:f>'Release Gates'!I3316</x:f>
        <x:v>OPEN</x:v>
      </x:c>
      <x:c r="F3356" t="str">
        <x:f>IF('Release Gates'!C3316="PLANNING","PASS",IF('Release Gates'!C3316="PHYSICAL","OPEN","BLOCKED"))</x:f>
        <x:v>OPEN</x:v>
      </x:c>
      <x:c r="G3356" t="str">
        <x:v>equals</x:v>
      </x:c>
      <x:c r="H3356" t="str">
        <x:f>IF(E3356=F3356,"PASS","FAIL")</x:f>
        <x:v>PASS</x:v>
      </x:c>
    </x:row>
    <x:row r="3357">
      <x:c r="B3357" t="str">
        <x:v>A-03311</x:v>
      </x:c>
      <x:c r="C3357" t="str">
        <x:v>GATE</x:v>
      </x:c>
      <x:c r="D3357" t="str">
        <x:v>release state mirrors governing ledger</x:v>
      </x:c>
      <x:c r="E3357" t="str">
        <x:f>'Release Gates'!I3317</x:f>
        <x:v>OPEN</x:v>
      </x:c>
      <x:c r="F3357" t="str">
        <x:f>IF('Release Gates'!C3317="PLANNING","PASS",IF('Release Gates'!C3317="PHYSICAL","OPEN","BLOCKED"))</x:f>
        <x:v>OPEN</x:v>
      </x:c>
      <x:c r="G3357" t="str">
        <x:v>equals</x:v>
      </x:c>
      <x:c r="H3357" t="str">
        <x:f>IF(E3357=F3357,"PASS","FAIL")</x:f>
        <x:v>PASS</x:v>
      </x:c>
    </x:row>
    <x:row r="3358">
      <x:c r="B3358" t="str">
        <x:v>A-03312</x:v>
      </x:c>
      <x:c r="C3358" t="str">
        <x:v>GATE</x:v>
      </x:c>
      <x:c r="D3358" t="str">
        <x:v>release state mirrors governing ledger</x:v>
      </x:c>
      <x:c r="E3358" t="str">
        <x:f>'Release Gates'!I3318</x:f>
        <x:v>OPEN</x:v>
      </x:c>
      <x:c r="F3358" t="str">
        <x:f>IF('Release Gates'!C3318="PLANNING","PASS",IF('Release Gates'!C3318="PHYSICAL","OPEN","BLOCKED"))</x:f>
        <x:v>OPEN</x:v>
      </x:c>
      <x:c r="G3358" t="str">
        <x:v>equals</x:v>
      </x:c>
      <x:c r="H3358" t="str">
        <x:f>IF(E3358=F3358,"PASS","FAIL")</x:f>
        <x:v>PASS</x:v>
      </x:c>
    </x:row>
    <x:row r="3359">
      <x:c r="B3359" t="str">
        <x:v>A-03313</x:v>
      </x:c>
      <x:c r="C3359" t="str">
        <x:v>GATE</x:v>
      </x:c>
      <x:c r="D3359" t="str">
        <x:v>release state mirrors governing ledger</x:v>
      </x:c>
      <x:c r="E3359" t="str">
        <x:f>'Release Gates'!I3319</x:f>
        <x:v>OPEN</x:v>
      </x:c>
      <x:c r="F3359" t="str">
        <x:f>IF('Release Gates'!C3319="PLANNING","PASS",IF('Release Gates'!C3319="PHYSICAL","OPEN","BLOCKED"))</x:f>
        <x:v>OPEN</x:v>
      </x:c>
      <x:c r="G3359" t="str">
        <x:v>equals</x:v>
      </x:c>
      <x:c r="H3359" t="str">
        <x:f>IF(E3359=F3359,"PASS","FAIL")</x:f>
        <x:v>PASS</x:v>
      </x:c>
    </x:row>
    <x:row r="3360">
      <x:c r="B3360" t="str">
        <x:v>A-03314</x:v>
      </x:c>
      <x:c r="C3360" t="str">
        <x:v>GATE</x:v>
      </x:c>
      <x:c r="D3360" t="str">
        <x:v>release state mirrors governing ledger</x:v>
      </x:c>
      <x:c r="E3360" t="str">
        <x:f>'Release Gates'!I3320</x:f>
        <x:v>OPEN</x:v>
      </x:c>
      <x:c r="F3360" t="str">
        <x:f>IF('Release Gates'!C3320="PLANNING","PASS",IF('Release Gates'!C3320="PHYSICAL","OPEN","BLOCKED"))</x:f>
        <x:v>OPEN</x:v>
      </x:c>
      <x:c r="G3360" t="str">
        <x:v>equals</x:v>
      </x:c>
      <x:c r="H3360" t="str">
        <x:f>IF(E3360=F3360,"PASS","FAIL")</x:f>
        <x:v>PASS</x:v>
      </x:c>
    </x:row>
    <x:row r="3361">
      <x:c r="B3361" t="str">
        <x:v>A-03315</x:v>
      </x:c>
      <x:c r="C3361" t="str">
        <x:v>GATE</x:v>
      </x:c>
      <x:c r="D3361" t="str">
        <x:v>release state mirrors governing ledger</x:v>
      </x:c>
      <x:c r="E3361" t="str">
        <x:f>'Release Gates'!I3321</x:f>
        <x:v>OPEN</x:v>
      </x:c>
      <x:c r="F3361" t="str">
        <x:f>IF('Release Gates'!C3321="PLANNING","PASS",IF('Release Gates'!C3321="PHYSICAL","OPEN","BLOCKED"))</x:f>
        <x:v>OPEN</x:v>
      </x:c>
      <x:c r="G3361" t="str">
        <x:v>equals</x:v>
      </x:c>
      <x:c r="H3361" t="str">
        <x:f>IF(E3361=F3361,"PASS","FAIL")</x:f>
        <x:v>PASS</x:v>
      </x:c>
    </x:row>
    <x:row r="3362">
      <x:c r="B3362" t="str">
        <x:v>A-03316</x:v>
      </x:c>
      <x:c r="C3362" t="str">
        <x:v>GATE</x:v>
      </x:c>
      <x:c r="D3362" t="str">
        <x:v>release state mirrors governing ledger</x:v>
      </x:c>
      <x:c r="E3362" t="str">
        <x:f>'Release Gates'!I3322</x:f>
        <x:v>OPEN</x:v>
      </x:c>
      <x:c r="F3362" t="str">
        <x:f>IF('Release Gates'!C3322="PLANNING","PASS",IF('Release Gates'!C3322="PHYSICAL","OPEN","BLOCKED"))</x:f>
        <x:v>OPEN</x:v>
      </x:c>
      <x:c r="G3362" t="str">
        <x:v>equals</x:v>
      </x:c>
      <x:c r="H3362" t="str">
        <x:f>IF(E3362=F3362,"PASS","FAIL")</x:f>
        <x:v>PASS</x:v>
      </x:c>
    </x:row>
    <x:row r="3363">
      <x:c r="B3363" t="str">
        <x:v>A-03317</x:v>
      </x:c>
      <x:c r="C3363" t="str">
        <x:v>GATE</x:v>
      </x:c>
      <x:c r="D3363" t="str">
        <x:v>release state mirrors governing ledger</x:v>
      </x:c>
      <x:c r="E3363" t="str">
        <x:f>'Release Gates'!I3323</x:f>
        <x:v>OPEN</x:v>
      </x:c>
      <x:c r="F3363" t="str">
        <x:f>IF('Release Gates'!C3323="PLANNING","PASS",IF('Release Gates'!C3323="PHYSICAL","OPEN","BLOCKED"))</x:f>
        <x:v>OPEN</x:v>
      </x:c>
      <x:c r="G3363" t="str">
        <x:v>equals</x:v>
      </x:c>
      <x:c r="H3363" t="str">
        <x:f>IF(E3363=F3363,"PASS","FAIL")</x:f>
        <x:v>PASS</x:v>
      </x:c>
    </x:row>
    <x:row r="3364">
      <x:c r="B3364" t="str">
        <x:v>A-03318</x:v>
      </x:c>
      <x:c r="C3364" t="str">
        <x:v>GATE</x:v>
      </x:c>
      <x:c r="D3364" t="str">
        <x:v>release state mirrors governing ledger</x:v>
      </x:c>
      <x:c r="E3364" t="str">
        <x:f>'Release Gates'!I3324</x:f>
        <x:v>OPEN</x:v>
      </x:c>
      <x:c r="F3364" t="str">
        <x:f>IF('Release Gates'!C3324="PLANNING","PASS",IF('Release Gates'!C3324="PHYSICAL","OPEN","BLOCKED"))</x:f>
        <x:v>OPEN</x:v>
      </x:c>
      <x:c r="G3364" t="str">
        <x:v>equals</x:v>
      </x:c>
      <x:c r="H3364" t="str">
        <x:f>IF(E3364=F3364,"PASS","FAIL")</x:f>
        <x:v>PASS</x:v>
      </x:c>
    </x:row>
    <x:row r="3365">
      <x:c r="B3365" t="str">
        <x:v>A-03319</x:v>
      </x:c>
      <x:c r="C3365" t="str">
        <x:v>GATE</x:v>
      </x:c>
      <x:c r="D3365" t="str">
        <x:v>release state mirrors governing ledger</x:v>
      </x:c>
      <x:c r="E3365" t="str">
        <x:f>'Release Gates'!I3325</x:f>
        <x:v>OPEN</x:v>
      </x:c>
      <x:c r="F3365" t="str">
        <x:f>IF('Release Gates'!C3325="PLANNING","PASS",IF('Release Gates'!C3325="PHYSICAL","OPEN","BLOCKED"))</x:f>
        <x:v>OPEN</x:v>
      </x:c>
      <x:c r="G3365" t="str">
        <x:v>equals</x:v>
      </x:c>
      <x:c r="H3365" t="str">
        <x:f>IF(E3365=F3365,"PASS","FAIL")</x:f>
        <x:v>PASS</x:v>
      </x:c>
    </x:row>
    <x:row r="3366">
      <x:c r="B3366" t="str">
        <x:v>A-03320</x:v>
      </x:c>
      <x:c r="C3366" t="str">
        <x:v>GATE</x:v>
      </x:c>
      <x:c r="D3366" t="str">
        <x:v>release state mirrors governing ledger</x:v>
      </x:c>
      <x:c r="E3366" t="str">
        <x:f>'Release Gates'!I3326</x:f>
        <x:v>OPEN</x:v>
      </x:c>
      <x:c r="F3366" t="str">
        <x:f>IF('Release Gates'!C3326="PLANNING","PASS",IF('Release Gates'!C3326="PHYSICAL","OPEN","BLOCKED"))</x:f>
        <x:v>OPEN</x:v>
      </x:c>
      <x:c r="G3366" t="str">
        <x:v>equals</x:v>
      </x:c>
      <x:c r="H3366" t="str">
        <x:f>IF(E3366=F3366,"PASS","FAIL")</x:f>
        <x:v>PASS</x:v>
      </x:c>
    </x:row>
    <x:row r="3367">
      <x:c r="B3367" t="str">
        <x:v>A-03321</x:v>
      </x:c>
      <x:c r="C3367" t="str">
        <x:v>GATE</x:v>
      </x:c>
      <x:c r="D3367" t="str">
        <x:v>release state mirrors governing ledger</x:v>
      </x:c>
      <x:c r="E3367" t="str">
        <x:f>'Release Gates'!I3327</x:f>
        <x:v>OPEN</x:v>
      </x:c>
      <x:c r="F3367" t="str">
        <x:f>IF('Release Gates'!C3327="PLANNING","PASS",IF('Release Gates'!C3327="PHYSICAL","OPEN","BLOCKED"))</x:f>
        <x:v>OPEN</x:v>
      </x:c>
      <x:c r="G3367" t="str">
        <x:v>equals</x:v>
      </x:c>
      <x:c r="H3367" t="str">
        <x:f>IF(E3367=F3367,"PASS","FAIL")</x:f>
        <x:v>PASS</x:v>
      </x:c>
    </x:row>
    <x:row r="3368">
      <x:c r="B3368" t="str">
        <x:v>A-03322</x:v>
      </x:c>
      <x:c r="C3368" t="str">
        <x:v>GATE</x:v>
      </x:c>
      <x:c r="D3368" t="str">
        <x:v>release state mirrors governing ledger</x:v>
      </x:c>
      <x:c r="E3368" t="str">
        <x:f>'Release Gates'!I3328</x:f>
        <x:v>OPEN</x:v>
      </x:c>
      <x:c r="F3368" t="str">
        <x:f>IF('Release Gates'!C3328="PLANNING","PASS",IF('Release Gates'!C3328="PHYSICAL","OPEN","BLOCKED"))</x:f>
        <x:v>OPEN</x:v>
      </x:c>
      <x:c r="G3368" t="str">
        <x:v>equals</x:v>
      </x:c>
      <x:c r="H3368" t="str">
        <x:f>IF(E3368=F3368,"PASS","FAIL")</x:f>
        <x:v>PASS</x:v>
      </x:c>
    </x:row>
    <x:row r="3369">
      <x:c r="B3369" t="str">
        <x:v>A-03323</x:v>
      </x:c>
      <x:c r="C3369" t="str">
        <x:v>GATE</x:v>
      </x:c>
      <x:c r="D3369" t="str">
        <x:v>release state mirrors governing ledger</x:v>
      </x:c>
      <x:c r="E3369" t="str">
        <x:f>'Release Gates'!I3329</x:f>
        <x:v>OPEN</x:v>
      </x:c>
      <x:c r="F3369" t="str">
        <x:f>IF('Release Gates'!C3329="PLANNING","PASS",IF('Release Gates'!C3329="PHYSICAL","OPEN","BLOCKED"))</x:f>
        <x:v>OPEN</x:v>
      </x:c>
      <x:c r="G3369" t="str">
        <x:v>equals</x:v>
      </x:c>
      <x:c r="H3369" t="str">
        <x:f>IF(E3369=F3369,"PASS","FAIL")</x:f>
        <x:v>PASS</x:v>
      </x:c>
    </x:row>
    <x:row r="3370">
      <x:c r="B3370" t="str">
        <x:v>A-03324</x:v>
      </x:c>
      <x:c r="C3370" t="str">
        <x:v>GATE</x:v>
      </x:c>
      <x:c r="D3370" t="str">
        <x:v>release state mirrors governing ledger</x:v>
      </x:c>
      <x:c r="E3370" t="str">
        <x:f>'Release Gates'!I3330</x:f>
        <x:v>OPEN</x:v>
      </x:c>
      <x:c r="F3370" t="str">
        <x:f>IF('Release Gates'!C3330="PLANNING","PASS",IF('Release Gates'!C3330="PHYSICAL","OPEN","BLOCKED"))</x:f>
        <x:v>OPEN</x:v>
      </x:c>
      <x:c r="G3370" t="str">
        <x:v>equals</x:v>
      </x:c>
      <x:c r="H3370" t="str">
        <x:f>IF(E3370=F3370,"PASS","FAIL")</x:f>
        <x:v>PASS</x:v>
      </x:c>
    </x:row>
    <x:row r="3371">
      <x:c r="B3371" t="str">
        <x:v>A-03325</x:v>
      </x:c>
      <x:c r="C3371" t="str">
        <x:v>GATE</x:v>
      </x:c>
      <x:c r="D3371" t="str">
        <x:v>release state mirrors governing ledger</x:v>
      </x:c>
      <x:c r="E3371" t="str">
        <x:f>'Release Gates'!I3331</x:f>
        <x:v>OPEN</x:v>
      </x:c>
      <x:c r="F3371" t="str">
        <x:f>IF('Release Gates'!C3331="PLANNING","PASS",IF('Release Gates'!C3331="PHYSICAL","OPEN","BLOCKED"))</x:f>
        <x:v>OPEN</x:v>
      </x:c>
      <x:c r="G3371" t="str">
        <x:v>equals</x:v>
      </x:c>
      <x:c r="H3371" t="str">
        <x:f>IF(E3371=F3371,"PASS","FAIL")</x:f>
        <x:v>PASS</x:v>
      </x:c>
    </x:row>
    <x:row r="3372">
      <x:c r="B3372" t="str">
        <x:v>A-03326</x:v>
      </x:c>
      <x:c r="C3372" t="str">
        <x:v>GATE</x:v>
      </x:c>
      <x:c r="D3372" t="str">
        <x:v>release state mirrors governing ledger</x:v>
      </x:c>
      <x:c r="E3372" t="str">
        <x:f>'Release Gates'!I3332</x:f>
        <x:v>OPEN</x:v>
      </x:c>
      <x:c r="F3372" t="str">
        <x:f>IF('Release Gates'!C3332="PLANNING","PASS",IF('Release Gates'!C3332="PHYSICAL","OPEN","BLOCKED"))</x:f>
        <x:v>OPEN</x:v>
      </x:c>
      <x:c r="G3372" t="str">
        <x:v>equals</x:v>
      </x:c>
      <x:c r="H3372" t="str">
        <x:f>IF(E3372=F3372,"PASS","FAIL")</x:f>
        <x:v>PASS</x:v>
      </x:c>
    </x:row>
    <x:row r="3373">
      <x:c r="B3373" t="str">
        <x:v>A-03327</x:v>
      </x:c>
      <x:c r="C3373" t="str">
        <x:v>GATE</x:v>
      </x:c>
      <x:c r="D3373" t="str">
        <x:v>release state mirrors governing ledger</x:v>
      </x:c>
      <x:c r="E3373" t="str">
        <x:f>'Release Gates'!I3333</x:f>
        <x:v>OPEN</x:v>
      </x:c>
      <x:c r="F3373" t="str">
        <x:f>IF('Release Gates'!C3333="PLANNING","PASS",IF('Release Gates'!C3333="PHYSICAL","OPEN","BLOCKED"))</x:f>
        <x:v>OPEN</x:v>
      </x:c>
      <x:c r="G3373" t="str">
        <x:v>equals</x:v>
      </x:c>
      <x:c r="H3373" t="str">
        <x:f>IF(E3373=F3373,"PASS","FAIL")</x:f>
        <x:v>PASS</x:v>
      </x:c>
    </x:row>
    <x:row r="3374">
      <x:c r="B3374" t="str">
        <x:v>A-03328</x:v>
      </x:c>
      <x:c r="C3374" t="str">
        <x:v>GATE</x:v>
      </x:c>
      <x:c r="D3374" t="str">
        <x:v>release state mirrors governing ledger</x:v>
      </x:c>
      <x:c r="E3374" t="str">
        <x:f>'Release Gates'!I3334</x:f>
        <x:v>OPEN</x:v>
      </x:c>
      <x:c r="F3374" t="str">
        <x:f>IF('Release Gates'!C3334="PLANNING","PASS",IF('Release Gates'!C3334="PHYSICAL","OPEN","BLOCKED"))</x:f>
        <x:v>OPEN</x:v>
      </x:c>
      <x:c r="G3374" t="str">
        <x:v>equals</x:v>
      </x:c>
      <x:c r="H3374" t="str">
        <x:f>IF(E3374=F3374,"PASS","FAIL")</x:f>
        <x:v>PASS</x:v>
      </x:c>
    </x:row>
    <x:row r="3375">
      <x:c r="B3375" t="str">
        <x:v>A-03329</x:v>
      </x:c>
      <x:c r="C3375" t="str">
        <x:v>GATE</x:v>
      </x:c>
      <x:c r="D3375" t="str">
        <x:v>release state mirrors governing ledger</x:v>
      </x:c>
      <x:c r="E3375" t="str">
        <x:f>'Release Gates'!I3335</x:f>
        <x:v>OPEN</x:v>
      </x:c>
      <x:c r="F3375" t="str">
        <x:f>IF('Release Gates'!C3335="PLANNING","PASS",IF('Release Gates'!C3335="PHYSICAL","OPEN","BLOCKED"))</x:f>
        <x:v>OPEN</x:v>
      </x:c>
      <x:c r="G3375" t="str">
        <x:v>equals</x:v>
      </x:c>
      <x:c r="H3375" t="str">
        <x:f>IF(E3375=F3375,"PASS","FAIL")</x:f>
        <x:v>PASS</x:v>
      </x:c>
    </x:row>
    <x:row r="3376">
      <x:c r="B3376" t="str">
        <x:v>A-03330</x:v>
      </x:c>
      <x:c r="C3376" t="str">
        <x:v>GATE</x:v>
      </x:c>
      <x:c r="D3376" t="str">
        <x:v>release state mirrors governing ledger</x:v>
      </x:c>
      <x:c r="E3376" t="str">
        <x:f>'Release Gates'!I3336</x:f>
        <x:v>OPEN</x:v>
      </x:c>
      <x:c r="F3376" t="str">
        <x:f>IF('Release Gates'!C3336="PLANNING","PASS",IF('Release Gates'!C3336="PHYSICAL","OPEN","BLOCKED"))</x:f>
        <x:v>OPEN</x:v>
      </x:c>
      <x:c r="G3376" t="str">
        <x:v>equals</x:v>
      </x:c>
      <x:c r="H3376" t="str">
        <x:f>IF(E3376=F3376,"PASS","FAIL")</x:f>
        <x:v>PASS</x:v>
      </x:c>
    </x:row>
    <x:row r="3377">
      <x:c r="B3377" t="str">
        <x:v>A-03331</x:v>
      </x:c>
      <x:c r="C3377" t="str">
        <x:v>GATE</x:v>
      </x:c>
      <x:c r="D3377" t="str">
        <x:v>release state mirrors governing ledger</x:v>
      </x:c>
      <x:c r="E3377" t="str">
        <x:f>'Release Gates'!I3337</x:f>
        <x:v>OPEN</x:v>
      </x:c>
      <x:c r="F3377" t="str">
        <x:f>IF('Release Gates'!C3337="PLANNING","PASS",IF('Release Gates'!C3337="PHYSICAL","OPEN","BLOCKED"))</x:f>
        <x:v>OPEN</x:v>
      </x:c>
      <x:c r="G3377" t="str">
        <x:v>equals</x:v>
      </x:c>
      <x:c r="H3377" t="str">
        <x:f>IF(E3377=F3377,"PASS","FAIL")</x:f>
        <x:v>PASS</x:v>
      </x:c>
    </x:row>
    <x:row r="3378">
      <x:c r="B3378" t="str">
        <x:v>A-03332</x:v>
      </x:c>
      <x:c r="C3378" t="str">
        <x:v>GATE</x:v>
      </x:c>
      <x:c r="D3378" t="str">
        <x:v>release state mirrors governing ledger</x:v>
      </x:c>
      <x:c r="E3378" t="str">
        <x:f>'Release Gates'!I3338</x:f>
        <x:v>OPEN</x:v>
      </x:c>
      <x:c r="F3378" t="str">
        <x:f>IF('Release Gates'!C3338="PLANNING","PASS",IF('Release Gates'!C3338="PHYSICAL","OPEN","BLOCKED"))</x:f>
        <x:v>OPEN</x:v>
      </x:c>
      <x:c r="G3378" t="str">
        <x:v>equals</x:v>
      </x:c>
      <x:c r="H3378" t="str">
        <x:f>IF(E3378=F3378,"PASS","FAIL")</x:f>
        <x:v>PASS</x:v>
      </x:c>
    </x:row>
    <x:row r="3379">
      <x:c r="B3379" t="str">
        <x:v>A-03333</x:v>
      </x:c>
      <x:c r="C3379" t="str">
        <x:v>GATE</x:v>
      </x:c>
      <x:c r="D3379" t="str">
        <x:v>release state mirrors governing ledger</x:v>
      </x:c>
      <x:c r="E3379" t="str">
        <x:f>'Release Gates'!I3339</x:f>
        <x:v>OPEN</x:v>
      </x:c>
      <x:c r="F3379" t="str">
        <x:f>IF('Release Gates'!C3339="PLANNING","PASS",IF('Release Gates'!C3339="PHYSICAL","OPEN","BLOCKED"))</x:f>
        <x:v>OPEN</x:v>
      </x:c>
      <x:c r="G3379" t="str">
        <x:v>equals</x:v>
      </x:c>
      <x:c r="H3379" t="str">
        <x:f>IF(E3379=F3379,"PASS","FAIL")</x:f>
        <x:v>PASS</x:v>
      </x:c>
    </x:row>
    <x:row r="3380">
      <x:c r="B3380" t="str">
        <x:v>A-03334</x:v>
      </x:c>
      <x:c r="C3380" t="str">
        <x:v>GATE</x:v>
      </x:c>
      <x:c r="D3380" t="str">
        <x:v>release state mirrors governing ledger</x:v>
      </x:c>
      <x:c r="E3380" t="str">
        <x:f>'Release Gates'!I3340</x:f>
        <x:v>OPEN</x:v>
      </x:c>
      <x:c r="F3380" t="str">
        <x:f>IF('Release Gates'!C3340="PLANNING","PASS",IF('Release Gates'!C3340="PHYSICAL","OPEN","BLOCKED"))</x:f>
        <x:v>OPEN</x:v>
      </x:c>
      <x:c r="G3380" t="str">
        <x:v>equals</x:v>
      </x:c>
      <x:c r="H3380" t="str">
        <x:f>IF(E3380=F3380,"PASS","FAIL")</x:f>
        <x:v>PASS</x:v>
      </x:c>
    </x:row>
    <x:row r="3381">
      <x:c r="B3381" t="str">
        <x:v>A-03335</x:v>
      </x:c>
      <x:c r="C3381" t="str">
        <x:v>GATE</x:v>
      </x:c>
      <x:c r="D3381" t="str">
        <x:v>release state mirrors governing ledger</x:v>
      </x:c>
      <x:c r="E3381" t="str">
        <x:f>'Release Gates'!I3341</x:f>
        <x:v>OPEN</x:v>
      </x:c>
      <x:c r="F3381" t="str">
        <x:f>IF('Release Gates'!C3341="PLANNING","PASS",IF('Release Gates'!C3341="PHYSICAL","OPEN","BLOCKED"))</x:f>
        <x:v>OPEN</x:v>
      </x:c>
      <x:c r="G3381" t="str">
        <x:v>equals</x:v>
      </x:c>
      <x:c r="H3381" t="str">
        <x:f>IF(E3381=F3381,"PASS","FAIL")</x:f>
        <x:v>PASS</x:v>
      </x:c>
    </x:row>
    <x:row r="3382">
      <x:c r="B3382" t="str">
        <x:v>A-03336</x:v>
      </x:c>
      <x:c r="C3382" t="str">
        <x:v>GATE</x:v>
      </x:c>
      <x:c r="D3382" t="str">
        <x:v>release state mirrors governing ledger</x:v>
      </x:c>
      <x:c r="E3382" t="str">
        <x:f>'Release Gates'!I3342</x:f>
        <x:v>OPEN</x:v>
      </x:c>
      <x:c r="F3382" t="str">
        <x:f>IF('Release Gates'!C3342="PLANNING","PASS",IF('Release Gates'!C3342="PHYSICAL","OPEN","BLOCKED"))</x:f>
        <x:v>OPEN</x:v>
      </x:c>
      <x:c r="G3382" t="str">
        <x:v>equals</x:v>
      </x:c>
      <x:c r="H3382" t="str">
        <x:f>IF(E3382=F3382,"PASS","FAIL")</x:f>
        <x:v>PASS</x:v>
      </x:c>
    </x:row>
    <x:row r="3383">
      <x:c r="B3383" t="str">
        <x:v>A-03337</x:v>
      </x:c>
      <x:c r="C3383" t="str">
        <x:v>GATE</x:v>
      </x:c>
      <x:c r="D3383" t="str">
        <x:v>release state mirrors governing ledger</x:v>
      </x:c>
      <x:c r="E3383" t="str">
        <x:f>'Release Gates'!I3343</x:f>
        <x:v>OPEN</x:v>
      </x:c>
      <x:c r="F3383" t="str">
        <x:f>IF('Release Gates'!C3343="PLANNING","PASS",IF('Release Gates'!C3343="PHYSICAL","OPEN","BLOCKED"))</x:f>
        <x:v>OPEN</x:v>
      </x:c>
      <x:c r="G3383" t="str">
        <x:v>equals</x:v>
      </x:c>
      <x:c r="H3383" t="str">
        <x:f>IF(E3383=F3383,"PASS","FAIL")</x:f>
        <x:v>PASS</x:v>
      </x:c>
    </x:row>
    <x:row r="3384">
      <x:c r="B3384" t="str">
        <x:v>A-03338</x:v>
      </x:c>
      <x:c r="C3384" t="str">
        <x:v>GATE</x:v>
      </x:c>
      <x:c r="D3384" t="str">
        <x:v>release state mirrors governing ledger</x:v>
      </x:c>
      <x:c r="E3384" t="str">
        <x:f>'Release Gates'!I3344</x:f>
        <x:v>OPEN</x:v>
      </x:c>
      <x:c r="F3384" t="str">
        <x:f>IF('Release Gates'!C3344="PLANNING","PASS",IF('Release Gates'!C3344="PHYSICAL","OPEN","BLOCKED"))</x:f>
        <x:v>OPEN</x:v>
      </x:c>
      <x:c r="G3384" t="str">
        <x:v>equals</x:v>
      </x:c>
      <x:c r="H3384" t="str">
        <x:f>IF(E3384=F3384,"PASS","FAIL")</x:f>
        <x:v>PASS</x:v>
      </x:c>
    </x:row>
    <x:row r="3385">
      <x:c r="B3385" t="str">
        <x:v>A-03339</x:v>
      </x:c>
      <x:c r="C3385" t="str">
        <x:v>GATE</x:v>
      </x:c>
      <x:c r="D3385" t="str">
        <x:v>release state mirrors governing ledger</x:v>
      </x:c>
      <x:c r="E3385" t="str">
        <x:f>'Release Gates'!I3345</x:f>
        <x:v>OPEN</x:v>
      </x:c>
      <x:c r="F3385" t="str">
        <x:f>IF('Release Gates'!C3345="PLANNING","PASS",IF('Release Gates'!C3345="PHYSICAL","OPEN","BLOCKED"))</x:f>
        <x:v>OPEN</x:v>
      </x:c>
      <x:c r="G3385" t="str">
        <x:v>equals</x:v>
      </x:c>
      <x:c r="H3385" t="str">
        <x:f>IF(E3385=F3385,"PASS","FAIL")</x:f>
        <x:v>PASS</x:v>
      </x:c>
    </x:row>
    <x:row r="3386">
      <x:c r="B3386" t="str">
        <x:v>A-03340</x:v>
      </x:c>
      <x:c r="C3386" t="str">
        <x:v>GATE</x:v>
      </x:c>
      <x:c r="D3386" t="str">
        <x:v>release state mirrors governing ledger</x:v>
      </x:c>
      <x:c r="E3386" t="str">
        <x:f>'Release Gates'!I3346</x:f>
        <x:v>OPEN</x:v>
      </x:c>
      <x:c r="F3386" t="str">
        <x:f>IF('Release Gates'!C3346="PLANNING","PASS",IF('Release Gates'!C3346="PHYSICAL","OPEN","BLOCKED"))</x:f>
        <x:v>OPEN</x:v>
      </x:c>
      <x:c r="G3386" t="str">
        <x:v>equals</x:v>
      </x:c>
      <x:c r="H3386" t="str">
        <x:f>IF(E3386=F3386,"PASS","FAIL")</x:f>
        <x:v>PASS</x:v>
      </x:c>
    </x:row>
    <x:row r="3387">
      <x:c r="B3387" t="str">
        <x:v>A-03341</x:v>
      </x:c>
      <x:c r="C3387" t="str">
        <x:v>GATE</x:v>
      </x:c>
      <x:c r="D3387" t="str">
        <x:v>release state mirrors governing ledger</x:v>
      </x:c>
      <x:c r="E3387" t="str">
        <x:f>'Release Gates'!I3347</x:f>
        <x:v>OPEN</x:v>
      </x:c>
      <x:c r="F3387" t="str">
        <x:f>IF('Release Gates'!C3347="PLANNING","PASS",IF('Release Gates'!C3347="PHYSICAL","OPEN","BLOCKED"))</x:f>
        <x:v>OPEN</x:v>
      </x:c>
      <x:c r="G3387" t="str">
        <x:v>equals</x:v>
      </x:c>
      <x:c r="H3387" t="str">
        <x:f>IF(E3387=F3387,"PASS","FAIL")</x:f>
        <x:v>PASS</x:v>
      </x:c>
    </x:row>
    <x:row r="3388">
      <x:c r="B3388" t="str">
        <x:v>A-03342</x:v>
      </x:c>
      <x:c r="C3388" t="str">
        <x:v>GATE</x:v>
      </x:c>
      <x:c r="D3388" t="str">
        <x:v>release state mirrors governing ledger</x:v>
      </x:c>
      <x:c r="E3388" t="str">
        <x:f>'Release Gates'!I3348</x:f>
        <x:v>OPEN</x:v>
      </x:c>
      <x:c r="F3388" t="str">
        <x:f>IF('Release Gates'!C3348="PLANNING","PASS",IF('Release Gates'!C3348="PHYSICAL","OPEN","BLOCKED"))</x:f>
        <x:v>OPEN</x:v>
      </x:c>
      <x:c r="G3388" t="str">
        <x:v>equals</x:v>
      </x:c>
      <x:c r="H3388" t="str">
        <x:f>IF(E3388=F3388,"PASS","FAIL")</x:f>
        <x:v>PASS</x:v>
      </x:c>
    </x:row>
    <x:row r="3389">
      <x:c r="B3389" t="str">
        <x:v>A-03343</x:v>
      </x:c>
      <x:c r="C3389" t="str">
        <x:v>GATE</x:v>
      </x:c>
      <x:c r="D3389" t="str">
        <x:v>release state mirrors governing ledger</x:v>
      </x:c>
      <x:c r="E3389" t="str">
        <x:f>'Release Gates'!I3349</x:f>
        <x:v>OPEN</x:v>
      </x:c>
      <x:c r="F3389" t="str">
        <x:f>IF('Release Gates'!C3349="PLANNING","PASS",IF('Release Gates'!C3349="PHYSICAL","OPEN","BLOCKED"))</x:f>
        <x:v>OPEN</x:v>
      </x:c>
      <x:c r="G3389" t="str">
        <x:v>equals</x:v>
      </x:c>
      <x:c r="H3389" t="str">
        <x:f>IF(E3389=F3389,"PASS","FAIL")</x:f>
        <x:v>PASS</x:v>
      </x:c>
    </x:row>
    <x:row r="3390">
      <x:c r="B3390" t="str">
        <x:v>A-03344</x:v>
      </x:c>
      <x:c r="C3390" t="str">
        <x:v>GATE</x:v>
      </x:c>
      <x:c r="D3390" t="str">
        <x:v>release state mirrors governing ledger</x:v>
      </x:c>
      <x:c r="E3390" t="str">
        <x:f>'Release Gates'!I3350</x:f>
        <x:v>OPEN</x:v>
      </x:c>
      <x:c r="F3390" t="str">
        <x:f>IF('Release Gates'!C3350="PLANNING","PASS",IF('Release Gates'!C3350="PHYSICAL","OPEN","BLOCKED"))</x:f>
        <x:v>OPEN</x:v>
      </x:c>
      <x:c r="G3390" t="str">
        <x:v>equals</x:v>
      </x:c>
      <x:c r="H3390" t="str">
        <x:f>IF(E3390=F3390,"PASS","FAIL")</x:f>
        <x:v>PASS</x:v>
      </x:c>
    </x:row>
    <x:row r="3391">
      <x:c r="B3391" t="str">
        <x:v>A-03345</x:v>
      </x:c>
      <x:c r="C3391" t="str">
        <x:v>GATE</x:v>
      </x:c>
      <x:c r="D3391" t="str">
        <x:v>release state mirrors governing ledger</x:v>
      </x:c>
      <x:c r="E3391" t="str">
        <x:f>'Release Gates'!I3351</x:f>
        <x:v>OPEN</x:v>
      </x:c>
      <x:c r="F3391" t="str">
        <x:f>IF('Release Gates'!C3351="PLANNING","PASS",IF('Release Gates'!C3351="PHYSICAL","OPEN","BLOCKED"))</x:f>
        <x:v>OPEN</x:v>
      </x:c>
      <x:c r="G3391" t="str">
        <x:v>equals</x:v>
      </x:c>
      <x:c r="H3391" t="str">
        <x:f>IF(E3391=F3391,"PASS","FAIL")</x:f>
        <x:v>PASS</x:v>
      </x:c>
    </x:row>
    <x:row r="3392">
      <x:c r="B3392" t="str">
        <x:v>A-03346</x:v>
      </x:c>
      <x:c r="C3392" t="str">
        <x:v>GATE</x:v>
      </x:c>
      <x:c r="D3392" t="str">
        <x:v>release state mirrors governing ledger</x:v>
      </x:c>
      <x:c r="E3392" t="str">
        <x:f>'Release Gates'!I3352</x:f>
        <x:v>OPEN</x:v>
      </x:c>
      <x:c r="F3392" t="str">
        <x:f>IF('Release Gates'!C3352="PLANNING","PASS",IF('Release Gates'!C3352="PHYSICAL","OPEN","BLOCKED"))</x:f>
        <x:v>OPEN</x:v>
      </x:c>
      <x:c r="G3392" t="str">
        <x:v>equals</x:v>
      </x:c>
      <x:c r="H3392" t="str">
        <x:f>IF(E3392=F3392,"PASS","FAIL")</x:f>
        <x:v>PASS</x:v>
      </x:c>
    </x:row>
    <x:row r="3393">
      <x:c r="B3393" t="str">
        <x:v>A-03347</x:v>
      </x:c>
      <x:c r="C3393" t="str">
        <x:v>GATE</x:v>
      </x:c>
      <x:c r="D3393" t="str">
        <x:v>release state mirrors governing ledger</x:v>
      </x:c>
      <x:c r="E3393" t="str">
        <x:f>'Release Gates'!I3353</x:f>
        <x:v>OPEN</x:v>
      </x:c>
      <x:c r="F3393" t="str">
        <x:f>IF('Release Gates'!C3353="PLANNING","PASS",IF('Release Gates'!C3353="PHYSICAL","OPEN","BLOCKED"))</x:f>
        <x:v>OPEN</x:v>
      </x:c>
      <x:c r="G3393" t="str">
        <x:v>equals</x:v>
      </x:c>
      <x:c r="H3393" t="str">
        <x:f>IF(E3393=F3393,"PASS","FAIL")</x:f>
        <x:v>PASS</x:v>
      </x:c>
    </x:row>
    <x:row r="3394">
      <x:c r="B3394" t="str">
        <x:v>A-03348</x:v>
      </x:c>
      <x:c r="C3394" t="str">
        <x:v>GATE</x:v>
      </x:c>
      <x:c r="D3394" t="str">
        <x:v>release state mirrors governing ledger</x:v>
      </x:c>
      <x:c r="E3394" t="str">
        <x:f>'Release Gates'!I3354</x:f>
        <x:v>OPEN</x:v>
      </x:c>
      <x:c r="F3394" t="str">
        <x:f>IF('Release Gates'!C3354="PLANNING","PASS",IF('Release Gates'!C3354="PHYSICAL","OPEN","BLOCKED"))</x:f>
        <x:v>OPEN</x:v>
      </x:c>
      <x:c r="G3394" t="str">
        <x:v>equals</x:v>
      </x:c>
      <x:c r="H3394" t="str">
        <x:f>IF(E3394=F3394,"PASS","FAIL")</x:f>
        <x:v>PASS</x:v>
      </x:c>
    </x:row>
    <x:row r="3395">
      <x:c r="B3395" t="str">
        <x:v>A-03349</x:v>
      </x:c>
      <x:c r="C3395" t="str">
        <x:v>GATE</x:v>
      </x:c>
      <x:c r="D3395" t="str">
        <x:v>release state mirrors governing ledger</x:v>
      </x:c>
      <x:c r="E3395" t="str">
        <x:f>'Release Gates'!I3355</x:f>
        <x:v>OPEN</x:v>
      </x:c>
      <x:c r="F3395" t="str">
        <x:f>IF('Release Gates'!C3355="PLANNING","PASS",IF('Release Gates'!C3355="PHYSICAL","OPEN","BLOCKED"))</x:f>
        <x:v>OPEN</x:v>
      </x:c>
      <x:c r="G3395" t="str">
        <x:v>equals</x:v>
      </x:c>
      <x:c r="H3395" t="str">
        <x:f>IF(E3395=F3395,"PASS","FAIL")</x:f>
        <x:v>PASS</x:v>
      </x:c>
    </x:row>
    <x:row r="3396">
      <x:c r="B3396" t="str">
        <x:v>A-03350</x:v>
      </x:c>
      <x:c r="C3396" t="str">
        <x:v>GATE</x:v>
      </x:c>
      <x:c r="D3396" t="str">
        <x:v>release state mirrors governing ledger</x:v>
      </x:c>
      <x:c r="E3396" t="str">
        <x:f>'Release Gates'!I3356</x:f>
        <x:v>OPEN</x:v>
      </x:c>
      <x:c r="F3396" t="str">
        <x:f>IF('Release Gates'!C3356="PLANNING","PASS",IF('Release Gates'!C3356="PHYSICAL","OPEN","BLOCKED"))</x:f>
        <x:v>OPEN</x:v>
      </x:c>
      <x:c r="G3396" t="str">
        <x:v>equals</x:v>
      </x:c>
      <x:c r="H3396" t="str">
        <x:f>IF(E3396=F3396,"PASS","FAIL")</x:f>
        <x:v>PASS</x:v>
      </x:c>
    </x:row>
    <x:row r="3397">
      <x:c r="B3397" t="str">
        <x:v>A-03351</x:v>
      </x:c>
      <x:c r="C3397" t="str">
        <x:v>GATE</x:v>
      </x:c>
      <x:c r="D3397" t="str">
        <x:v>release state mirrors governing ledger</x:v>
      </x:c>
      <x:c r="E3397" t="str">
        <x:f>'Release Gates'!I3357</x:f>
        <x:v>OPEN</x:v>
      </x:c>
      <x:c r="F3397" t="str">
        <x:f>IF('Release Gates'!C3357="PLANNING","PASS",IF('Release Gates'!C3357="PHYSICAL","OPEN","BLOCKED"))</x:f>
        <x:v>OPEN</x:v>
      </x:c>
      <x:c r="G3397" t="str">
        <x:v>equals</x:v>
      </x:c>
      <x:c r="H3397" t="str">
        <x:f>IF(E3397=F3397,"PASS","FAIL")</x:f>
        <x:v>PASS</x:v>
      </x:c>
    </x:row>
    <x:row r="3398">
      <x:c r="B3398" t="str">
        <x:v>A-03352</x:v>
      </x:c>
      <x:c r="C3398" t="str">
        <x:v>GATE</x:v>
      </x:c>
      <x:c r="D3398" t="str">
        <x:v>release state mirrors governing ledger</x:v>
      </x:c>
      <x:c r="E3398" t="str">
        <x:f>'Release Gates'!I3358</x:f>
        <x:v>OPEN</x:v>
      </x:c>
      <x:c r="F3398" t="str">
        <x:f>IF('Release Gates'!C3358="PLANNING","PASS",IF('Release Gates'!C3358="PHYSICAL","OPEN","BLOCKED"))</x:f>
        <x:v>OPEN</x:v>
      </x:c>
      <x:c r="G3398" t="str">
        <x:v>equals</x:v>
      </x:c>
      <x:c r="H3398" t="str">
        <x:f>IF(E3398=F3398,"PASS","FAIL")</x:f>
        <x:v>PASS</x:v>
      </x:c>
    </x:row>
    <x:row r="3399">
      <x:c r="B3399" t="str">
        <x:v>A-03353</x:v>
      </x:c>
      <x:c r="C3399" t="str">
        <x:v>GATE</x:v>
      </x:c>
      <x:c r="D3399" t="str">
        <x:v>release state mirrors governing ledger</x:v>
      </x:c>
      <x:c r="E3399" t="str">
        <x:f>'Release Gates'!I3359</x:f>
        <x:v>OPEN</x:v>
      </x:c>
      <x:c r="F3399" t="str">
        <x:f>IF('Release Gates'!C3359="PLANNING","PASS",IF('Release Gates'!C3359="PHYSICAL","OPEN","BLOCKED"))</x:f>
        <x:v>OPEN</x:v>
      </x:c>
      <x:c r="G3399" t="str">
        <x:v>equals</x:v>
      </x:c>
      <x:c r="H3399" t="str">
        <x:f>IF(E3399=F3399,"PASS","FAIL")</x:f>
        <x:v>PASS</x:v>
      </x:c>
    </x:row>
    <x:row r="3400">
      <x:c r="B3400" t="str">
        <x:v>A-03354</x:v>
      </x:c>
      <x:c r="C3400" t="str">
        <x:v>GATE</x:v>
      </x:c>
      <x:c r="D3400" t="str">
        <x:v>release state mirrors governing ledger</x:v>
      </x:c>
      <x:c r="E3400" t="str">
        <x:f>'Release Gates'!I3360</x:f>
        <x:v>OPEN</x:v>
      </x:c>
      <x:c r="F3400" t="str">
        <x:f>IF('Release Gates'!C3360="PLANNING","PASS",IF('Release Gates'!C3360="PHYSICAL","OPEN","BLOCKED"))</x:f>
        <x:v>OPEN</x:v>
      </x:c>
      <x:c r="G3400" t="str">
        <x:v>equals</x:v>
      </x:c>
      <x:c r="H3400" t="str">
        <x:f>IF(E3400=F3400,"PASS","FAIL")</x:f>
        <x:v>PASS</x:v>
      </x:c>
    </x:row>
    <x:row r="3401">
      <x:c r="B3401" t="str">
        <x:v>A-03355</x:v>
      </x:c>
      <x:c r="C3401" t="str">
        <x:v>GATE</x:v>
      </x:c>
      <x:c r="D3401" t="str">
        <x:v>release state mirrors governing ledger</x:v>
      </x:c>
      <x:c r="E3401" t="str">
        <x:f>'Release Gates'!I3361</x:f>
        <x:v>OPEN</x:v>
      </x:c>
      <x:c r="F3401" t="str">
        <x:f>IF('Release Gates'!C3361="PLANNING","PASS",IF('Release Gates'!C3361="PHYSICAL","OPEN","BLOCKED"))</x:f>
        <x:v>OPEN</x:v>
      </x:c>
      <x:c r="G3401" t="str">
        <x:v>equals</x:v>
      </x:c>
      <x:c r="H3401" t="str">
        <x:f>IF(E3401=F3401,"PASS","FAIL")</x:f>
        <x:v>PASS</x:v>
      </x:c>
    </x:row>
    <x:row r="3402">
      <x:c r="B3402" t="str">
        <x:v>A-03356</x:v>
      </x:c>
      <x:c r="C3402" t="str">
        <x:v>GATE</x:v>
      </x:c>
      <x:c r="D3402" t="str">
        <x:v>release state mirrors governing ledger</x:v>
      </x:c>
      <x:c r="E3402" t="str">
        <x:f>'Release Gates'!I3362</x:f>
        <x:v>OPEN</x:v>
      </x:c>
      <x:c r="F3402" t="str">
        <x:f>IF('Release Gates'!C3362="PLANNING","PASS",IF('Release Gates'!C3362="PHYSICAL","OPEN","BLOCKED"))</x:f>
        <x:v>OPEN</x:v>
      </x:c>
      <x:c r="G3402" t="str">
        <x:v>equals</x:v>
      </x:c>
      <x:c r="H3402" t="str">
        <x:f>IF(E3402=F3402,"PASS","FAIL")</x:f>
        <x:v>PASS</x:v>
      </x:c>
    </x:row>
    <x:row r="3403">
      <x:c r="B3403" t="str">
        <x:v>A-03357</x:v>
      </x:c>
      <x:c r="C3403" t="str">
        <x:v>GATE</x:v>
      </x:c>
      <x:c r="D3403" t="str">
        <x:v>release state mirrors governing ledger</x:v>
      </x:c>
      <x:c r="E3403" t="str">
        <x:f>'Release Gates'!I3363</x:f>
        <x:v>OPEN</x:v>
      </x:c>
      <x:c r="F3403" t="str">
        <x:f>IF('Release Gates'!C3363="PLANNING","PASS",IF('Release Gates'!C3363="PHYSICAL","OPEN","BLOCKED"))</x:f>
        <x:v>OPEN</x:v>
      </x:c>
      <x:c r="G3403" t="str">
        <x:v>equals</x:v>
      </x:c>
      <x:c r="H3403" t="str">
        <x:f>IF(E3403=F3403,"PASS","FAIL")</x:f>
        <x:v>PASS</x:v>
      </x:c>
    </x:row>
    <x:row r="3404">
      <x:c r="B3404" t="str">
        <x:v>A-03358</x:v>
      </x:c>
      <x:c r="C3404" t="str">
        <x:v>GATE</x:v>
      </x:c>
      <x:c r="D3404" t="str">
        <x:v>release state mirrors governing ledger</x:v>
      </x:c>
      <x:c r="E3404" t="str">
        <x:f>'Release Gates'!I3364</x:f>
        <x:v>OPEN</x:v>
      </x:c>
      <x:c r="F3404" t="str">
        <x:f>IF('Release Gates'!C3364="PLANNING","PASS",IF('Release Gates'!C3364="PHYSICAL","OPEN","BLOCKED"))</x:f>
        <x:v>OPEN</x:v>
      </x:c>
      <x:c r="G3404" t="str">
        <x:v>equals</x:v>
      </x:c>
      <x:c r="H3404" t="str">
        <x:f>IF(E3404=F3404,"PASS","FAIL")</x:f>
        <x:v>PASS</x:v>
      </x:c>
    </x:row>
    <x:row r="3405">
      <x:c r="B3405" t="str">
        <x:v>A-03359</x:v>
      </x:c>
      <x:c r="C3405" t="str">
        <x:v>GATE</x:v>
      </x:c>
      <x:c r="D3405" t="str">
        <x:v>release state mirrors governing ledger</x:v>
      </x:c>
      <x:c r="E3405" t="str">
        <x:f>'Release Gates'!I3365</x:f>
        <x:v>OPEN</x:v>
      </x:c>
      <x:c r="F3405" t="str">
        <x:f>IF('Release Gates'!C3365="PLANNING","PASS",IF('Release Gates'!C3365="PHYSICAL","OPEN","BLOCKED"))</x:f>
        <x:v>OPEN</x:v>
      </x:c>
      <x:c r="G3405" t="str">
        <x:v>equals</x:v>
      </x:c>
      <x:c r="H3405" t="str">
        <x:f>IF(E3405=F3405,"PASS","FAIL")</x:f>
        <x:v>PASS</x:v>
      </x:c>
    </x:row>
    <x:row r="3406">
      <x:c r="B3406" t="str">
        <x:v>A-03360</x:v>
      </x:c>
      <x:c r="C3406" t="str">
        <x:v>GATE</x:v>
      </x:c>
      <x:c r="D3406" t="str">
        <x:v>release state mirrors governing ledger</x:v>
      </x:c>
      <x:c r="E3406" t="str">
        <x:f>'Release Gates'!I3366</x:f>
        <x:v>OPEN</x:v>
      </x:c>
      <x:c r="F3406" t="str">
        <x:f>IF('Release Gates'!C3366="PLANNING","PASS",IF('Release Gates'!C3366="PHYSICAL","OPEN","BLOCKED"))</x:f>
        <x:v>OPEN</x:v>
      </x:c>
      <x:c r="G3406" t="str">
        <x:v>equals</x:v>
      </x:c>
      <x:c r="H3406" t="str">
        <x:f>IF(E3406=F3406,"PASS","FAIL")</x:f>
        <x:v>PASS</x:v>
      </x:c>
    </x:row>
    <x:row r="3407">
      <x:c r="B3407" t="str">
        <x:v>A-03361</x:v>
      </x:c>
      <x:c r="C3407" t="str">
        <x:v>GATE</x:v>
      </x:c>
      <x:c r="D3407" t="str">
        <x:v>release state mirrors governing ledger</x:v>
      </x:c>
      <x:c r="E3407" t="str">
        <x:f>'Release Gates'!I3367</x:f>
        <x:v>OPEN</x:v>
      </x:c>
      <x:c r="F3407" t="str">
        <x:f>IF('Release Gates'!C3367="PLANNING","PASS",IF('Release Gates'!C3367="PHYSICAL","OPEN","BLOCKED"))</x:f>
        <x:v>OPEN</x:v>
      </x:c>
      <x:c r="G3407" t="str">
        <x:v>equals</x:v>
      </x:c>
      <x:c r="H3407" t="str">
        <x:f>IF(E3407=F3407,"PASS","FAIL")</x:f>
        <x:v>PASS</x:v>
      </x:c>
    </x:row>
    <x:row r="3408">
      <x:c r="B3408" t="str">
        <x:v>A-03362</x:v>
      </x:c>
      <x:c r="C3408" t="str">
        <x:v>GATE</x:v>
      </x:c>
      <x:c r="D3408" t="str">
        <x:v>release state mirrors governing ledger</x:v>
      </x:c>
      <x:c r="E3408" t="str">
        <x:f>'Release Gates'!I3368</x:f>
        <x:v>OPEN</x:v>
      </x:c>
      <x:c r="F3408" t="str">
        <x:f>IF('Release Gates'!C3368="PLANNING","PASS",IF('Release Gates'!C3368="PHYSICAL","OPEN","BLOCKED"))</x:f>
        <x:v>OPEN</x:v>
      </x:c>
      <x:c r="G3408" t="str">
        <x:v>equals</x:v>
      </x:c>
      <x:c r="H3408" t="str">
        <x:f>IF(E3408=F3408,"PASS","FAIL")</x:f>
        <x:v>PASS</x:v>
      </x:c>
    </x:row>
    <x:row r="3409">
      <x:c r="B3409" t="str">
        <x:v>A-03363</x:v>
      </x:c>
      <x:c r="C3409" t="str">
        <x:v>GATE</x:v>
      </x:c>
      <x:c r="D3409" t="str">
        <x:v>release state mirrors governing ledger</x:v>
      </x:c>
      <x:c r="E3409" t="str">
        <x:f>'Release Gates'!I3369</x:f>
        <x:v>OPEN</x:v>
      </x:c>
      <x:c r="F3409" t="str">
        <x:f>IF('Release Gates'!C3369="PLANNING","PASS",IF('Release Gates'!C3369="PHYSICAL","OPEN","BLOCKED"))</x:f>
        <x:v>OPEN</x:v>
      </x:c>
      <x:c r="G3409" t="str">
        <x:v>equals</x:v>
      </x:c>
      <x:c r="H3409" t="str">
        <x:f>IF(E3409=F3409,"PASS","FAIL")</x:f>
        <x:v>PASS</x:v>
      </x:c>
    </x:row>
    <x:row r="3410">
      <x:c r="B3410" t="str">
        <x:v>A-03364</x:v>
      </x:c>
      <x:c r="C3410" t="str">
        <x:v>GATE</x:v>
      </x:c>
      <x:c r="D3410" t="str">
        <x:v>release state mirrors governing ledger</x:v>
      </x:c>
      <x:c r="E3410" t="str">
        <x:f>'Release Gates'!I3370</x:f>
        <x:v>OPEN</x:v>
      </x:c>
      <x:c r="F3410" t="str">
        <x:f>IF('Release Gates'!C3370="PLANNING","PASS",IF('Release Gates'!C3370="PHYSICAL","OPEN","BLOCKED"))</x:f>
        <x:v>OPEN</x:v>
      </x:c>
      <x:c r="G3410" t="str">
        <x:v>equals</x:v>
      </x:c>
      <x:c r="H3410" t="str">
        <x:f>IF(E3410=F3410,"PASS","FAIL")</x:f>
        <x:v>PASS</x:v>
      </x:c>
    </x:row>
    <x:row r="3411">
      <x:c r="B3411" t="str">
        <x:v>A-03365</x:v>
      </x:c>
      <x:c r="C3411" t="str">
        <x:v>GATE</x:v>
      </x:c>
      <x:c r="D3411" t="str">
        <x:v>release state mirrors governing ledger</x:v>
      </x:c>
      <x:c r="E3411" t="str">
        <x:f>'Release Gates'!I3371</x:f>
        <x:v>OPEN</x:v>
      </x:c>
      <x:c r="F3411" t="str">
        <x:f>IF('Release Gates'!C3371="PLANNING","PASS",IF('Release Gates'!C3371="PHYSICAL","OPEN","BLOCKED"))</x:f>
        <x:v>OPEN</x:v>
      </x:c>
      <x:c r="G3411" t="str">
        <x:v>equals</x:v>
      </x:c>
      <x:c r="H3411" t="str">
        <x:f>IF(E3411=F3411,"PASS","FAIL")</x:f>
        <x:v>PASS</x:v>
      </x:c>
    </x:row>
    <x:row r="3412">
      <x:c r="B3412" t="str">
        <x:v>A-03366</x:v>
      </x:c>
      <x:c r="C3412" t="str">
        <x:v>GATE</x:v>
      </x:c>
      <x:c r="D3412" t="str">
        <x:v>release state mirrors governing ledger</x:v>
      </x:c>
      <x:c r="E3412" t="str">
        <x:f>'Release Gates'!I3372</x:f>
        <x:v>OPEN</x:v>
      </x:c>
      <x:c r="F3412" t="str">
        <x:f>IF('Release Gates'!C3372="PLANNING","PASS",IF('Release Gates'!C3372="PHYSICAL","OPEN","BLOCKED"))</x:f>
        <x:v>OPEN</x:v>
      </x:c>
      <x:c r="G3412" t="str">
        <x:v>equals</x:v>
      </x:c>
      <x:c r="H3412" t="str">
        <x:f>IF(E3412=F3412,"PASS","FAIL")</x:f>
        <x:v>PASS</x:v>
      </x:c>
    </x:row>
    <x:row r="3413">
      <x:c r="B3413" t="str">
        <x:v>A-03367</x:v>
      </x:c>
      <x:c r="C3413" t="str">
        <x:v>GATE</x:v>
      </x:c>
      <x:c r="D3413" t="str">
        <x:v>release state mirrors governing ledger</x:v>
      </x:c>
      <x:c r="E3413" t="str">
        <x:f>'Release Gates'!I3373</x:f>
        <x:v>OPEN</x:v>
      </x:c>
      <x:c r="F3413" t="str">
        <x:f>IF('Release Gates'!C3373="PLANNING","PASS",IF('Release Gates'!C3373="PHYSICAL","OPEN","BLOCKED"))</x:f>
        <x:v>OPEN</x:v>
      </x:c>
      <x:c r="G3413" t="str">
        <x:v>equals</x:v>
      </x:c>
      <x:c r="H3413" t="str">
        <x:f>IF(E3413=F3413,"PASS","FAIL")</x:f>
        <x:v>PASS</x:v>
      </x:c>
    </x:row>
    <x:row r="3414">
      <x:c r="B3414" t="str">
        <x:v>A-03368</x:v>
      </x:c>
      <x:c r="C3414" t="str">
        <x:v>GATE</x:v>
      </x:c>
      <x:c r="D3414" t="str">
        <x:v>release state mirrors governing ledger</x:v>
      </x:c>
      <x:c r="E3414" t="str">
        <x:f>'Release Gates'!I3374</x:f>
        <x:v>OPEN</x:v>
      </x:c>
      <x:c r="F3414" t="str">
        <x:f>IF('Release Gates'!C3374="PLANNING","PASS",IF('Release Gates'!C3374="PHYSICAL","OPEN","BLOCKED"))</x:f>
        <x:v>OPEN</x:v>
      </x:c>
      <x:c r="G3414" t="str">
        <x:v>equals</x:v>
      </x:c>
      <x:c r="H3414" t="str">
        <x:f>IF(E3414=F3414,"PASS","FAIL")</x:f>
        <x:v>PASS</x:v>
      </x:c>
    </x:row>
    <x:row r="3415">
      <x:c r="B3415" t="str">
        <x:v>A-03369</x:v>
      </x:c>
      <x:c r="C3415" t="str">
        <x:v>GATE</x:v>
      </x:c>
      <x:c r="D3415" t="str">
        <x:v>release state mirrors governing ledger</x:v>
      </x:c>
      <x:c r="E3415" t="str">
        <x:f>'Release Gates'!I3375</x:f>
        <x:v>OPEN</x:v>
      </x:c>
      <x:c r="F3415" t="str">
        <x:f>IF('Release Gates'!C3375="PLANNING","PASS",IF('Release Gates'!C3375="PHYSICAL","OPEN","BLOCKED"))</x:f>
        <x:v>OPEN</x:v>
      </x:c>
      <x:c r="G3415" t="str">
        <x:v>equals</x:v>
      </x:c>
      <x:c r="H3415" t="str">
        <x:f>IF(E3415=F3415,"PASS","FAIL")</x:f>
        <x:v>PASS</x:v>
      </x:c>
    </x:row>
    <x:row r="3416">
      <x:c r="B3416" t="str">
        <x:v>A-03370</x:v>
      </x:c>
      <x:c r="C3416" t="str">
        <x:v>GATE</x:v>
      </x:c>
      <x:c r="D3416" t="str">
        <x:v>release state mirrors governing ledger</x:v>
      </x:c>
      <x:c r="E3416" t="str">
        <x:f>'Release Gates'!I3376</x:f>
        <x:v>OPEN</x:v>
      </x:c>
      <x:c r="F3416" t="str">
        <x:f>IF('Release Gates'!C3376="PLANNING","PASS",IF('Release Gates'!C3376="PHYSICAL","OPEN","BLOCKED"))</x:f>
        <x:v>OPEN</x:v>
      </x:c>
      <x:c r="G3416" t="str">
        <x:v>equals</x:v>
      </x:c>
      <x:c r="H3416" t="str">
        <x:f>IF(E3416=F3416,"PASS","FAIL")</x:f>
        <x:v>PASS</x:v>
      </x:c>
    </x:row>
    <x:row r="3417">
      <x:c r="B3417" t="str">
        <x:v>A-03371</x:v>
      </x:c>
      <x:c r="C3417" t="str">
        <x:v>GATE</x:v>
      </x:c>
      <x:c r="D3417" t="str">
        <x:v>release state mirrors governing ledger</x:v>
      </x:c>
      <x:c r="E3417" t="str">
        <x:f>'Release Gates'!I3377</x:f>
        <x:v>OPEN</x:v>
      </x:c>
      <x:c r="F3417" t="str">
        <x:f>IF('Release Gates'!C3377="PLANNING","PASS",IF('Release Gates'!C3377="PHYSICAL","OPEN","BLOCKED"))</x:f>
        <x:v>OPEN</x:v>
      </x:c>
      <x:c r="G3417" t="str">
        <x:v>equals</x:v>
      </x:c>
      <x:c r="H3417" t="str">
        <x:f>IF(E3417=F3417,"PASS","FAIL")</x:f>
        <x:v>PASS</x:v>
      </x:c>
    </x:row>
    <x:row r="3418">
      <x:c r="B3418" t="str">
        <x:v>A-03372</x:v>
      </x:c>
      <x:c r="C3418" t="str">
        <x:v>GATE</x:v>
      </x:c>
      <x:c r="D3418" t="str">
        <x:v>release state mirrors governing ledger</x:v>
      </x:c>
      <x:c r="E3418" t="str">
        <x:f>'Release Gates'!I3378</x:f>
        <x:v>OPEN</x:v>
      </x:c>
      <x:c r="F3418" t="str">
        <x:f>IF('Release Gates'!C3378="PLANNING","PASS",IF('Release Gates'!C3378="PHYSICAL","OPEN","BLOCKED"))</x:f>
        <x:v>OPEN</x:v>
      </x:c>
      <x:c r="G3418" t="str">
        <x:v>equals</x:v>
      </x:c>
      <x:c r="H3418" t="str">
        <x:f>IF(E3418=F3418,"PASS","FAIL")</x:f>
        <x:v>PASS</x:v>
      </x:c>
    </x:row>
    <x:row r="3419">
      <x:c r="B3419" t="str">
        <x:v>A-03373</x:v>
      </x:c>
      <x:c r="C3419" t="str">
        <x:v>GATE</x:v>
      </x:c>
      <x:c r="D3419" t="str">
        <x:v>release state mirrors governing ledger</x:v>
      </x:c>
      <x:c r="E3419" t="str">
        <x:f>'Release Gates'!I3379</x:f>
        <x:v>OPEN</x:v>
      </x:c>
      <x:c r="F3419" t="str">
        <x:f>IF('Release Gates'!C3379="PLANNING","PASS",IF('Release Gates'!C3379="PHYSICAL","OPEN","BLOCKED"))</x:f>
        <x:v>OPEN</x:v>
      </x:c>
      <x:c r="G3419" t="str">
        <x:v>equals</x:v>
      </x:c>
      <x:c r="H3419" t="str">
        <x:f>IF(E3419=F3419,"PASS","FAIL")</x:f>
        <x:v>PASS</x:v>
      </x:c>
    </x:row>
    <x:row r="3420">
      <x:c r="B3420" t="str">
        <x:v>A-03374</x:v>
      </x:c>
      <x:c r="C3420" t="str">
        <x:v>GATE</x:v>
      </x:c>
      <x:c r="D3420" t="str">
        <x:v>release state mirrors governing ledger</x:v>
      </x:c>
      <x:c r="E3420" t="str">
        <x:f>'Release Gates'!I3380</x:f>
        <x:v>OPEN</x:v>
      </x:c>
      <x:c r="F3420" t="str">
        <x:f>IF('Release Gates'!C3380="PLANNING","PASS",IF('Release Gates'!C3380="PHYSICAL","OPEN","BLOCKED"))</x:f>
        <x:v>OPEN</x:v>
      </x:c>
      <x:c r="G3420" t="str">
        <x:v>equals</x:v>
      </x:c>
      <x:c r="H3420" t="str">
        <x:f>IF(E3420=F3420,"PASS","FAIL")</x:f>
        <x:v>PASS</x:v>
      </x:c>
    </x:row>
    <x:row r="3421">
      <x:c r="B3421" t="str">
        <x:v>A-03375</x:v>
      </x:c>
      <x:c r="C3421" t="str">
        <x:v>GATE</x:v>
      </x:c>
      <x:c r="D3421" t="str">
        <x:v>release state mirrors governing ledger</x:v>
      </x:c>
      <x:c r="E3421" t="str">
        <x:f>'Release Gates'!I3381</x:f>
        <x:v>OPEN</x:v>
      </x:c>
      <x:c r="F3421" t="str">
        <x:f>IF('Release Gates'!C3381="PLANNING","PASS",IF('Release Gates'!C3381="PHYSICAL","OPEN","BLOCKED"))</x:f>
        <x:v>OPEN</x:v>
      </x:c>
      <x:c r="G3421" t="str">
        <x:v>equals</x:v>
      </x:c>
      <x:c r="H3421" t="str">
        <x:f>IF(E3421=F3421,"PASS","FAIL")</x:f>
        <x:v>PASS</x:v>
      </x:c>
    </x:row>
    <x:row r="3422">
      <x:c r="B3422" t="str">
        <x:v>A-03376</x:v>
      </x:c>
      <x:c r="C3422" t="str">
        <x:v>GATE</x:v>
      </x:c>
      <x:c r="D3422" t="str">
        <x:v>release state mirrors governing ledger</x:v>
      </x:c>
      <x:c r="E3422" t="str">
        <x:f>'Release Gates'!I3382</x:f>
        <x:v>OPEN</x:v>
      </x:c>
      <x:c r="F3422" t="str">
        <x:f>IF('Release Gates'!C3382="PLANNING","PASS",IF('Release Gates'!C3382="PHYSICAL","OPEN","BLOCKED"))</x:f>
        <x:v>OPEN</x:v>
      </x:c>
      <x:c r="G3422" t="str">
        <x:v>equals</x:v>
      </x:c>
      <x:c r="H3422" t="str">
        <x:f>IF(E3422=F3422,"PASS","FAIL")</x:f>
        <x:v>PASS</x:v>
      </x:c>
    </x:row>
    <x:row r="3423">
      <x:c r="B3423" t="str">
        <x:v>A-03377</x:v>
      </x:c>
      <x:c r="C3423" t="str">
        <x:v>GATE</x:v>
      </x:c>
      <x:c r="D3423" t="str">
        <x:v>release state mirrors governing ledger</x:v>
      </x:c>
      <x:c r="E3423" t="str">
        <x:f>'Release Gates'!I3383</x:f>
        <x:v>OPEN</x:v>
      </x:c>
      <x:c r="F3423" t="str">
        <x:f>IF('Release Gates'!C3383="PLANNING","PASS",IF('Release Gates'!C3383="PHYSICAL","OPEN","BLOCKED"))</x:f>
        <x:v>OPEN</x:v>
      </x:c>
      <x:c r="G3423" t="str">
        <x:v>equals</x:v>
      </x:c>
      <x:c r="H3423" t="str">
        <x:f>IF(E3423=F3423,"PASS","FAIL")</x:f>
        <x:v>PASS</x:v>
      </x:c>
    </x:row>
    <x:row r="3424">
      <x:c r="B3424" t="str">
        <x:v>A-03378</x:v>
      </x:c>
      <x:c r="C3424" t="str">
        <x:v>GATE</x:v>
      </x:c>
      <x:c r="D3424" t="str">
        <x:v>release state mirrors governing ledger</x:v>
      </x:c>
      <x:c r="E3424" t="str">
        <x:f>'Release Gates'!I3384</x:f>
        <x:v>OPEN</x:v>
      </x:c>
      <x:c r="F3424" t="str">
        <x:f>IF('Release Gates'!C3384="PLANNING","PASS",IF('Release Gates'!C3384="PHYSICAL","OPEN","BLOCKED"))</x:f>
        <x:v>OPEN</x:v>
      </x:c>
      <x:c r="G3424" t="str">
        <x:v>equals</x:v>
      </x:c>
      <x:c r="H3424" t="str">
        <x:f>IF(E3424=F3424,"PASS","FAIL")</x:f>
        <x:v>PASS</x:v>
      </x:c>
    </x:row>
    <x:row r="3425">
      <x:c r="B3425" t="str">
        <x:v>A-03379</x:v>
      </x:c>
      <x:c r="C3425" t="str">
        <x:v>GATE</x:v>
      </x:c>
      <x:c r="D3425" t="str">
        <x:v>release state mirrors governing ledger</x:v>
      </x:c>
      <x:c r="E3425" t="str">
        <x:f>'Release Gates'!I3385</x:f>
        <x:v>OPEN</x:v>
      </x:c>
      <x:c r="F3425" t="str">
        <x:f>IF('Release Gates'!C3385="PLANNING","PASS",IF('Release Gates'!C3385="PHYSICAL","OPEN","BLOCKED"))</x:f>
        <x:v>OPEN</x:v>
      </x:c>
      <x:c r="G3425" t="str">
        <x:v>equals</x:v>
      </x:c>
      <x:c r="H3425" t="str">
        <x:f>IF(E3425=F3425,"PASS","FAIL")</x:f>
        <x:v>PASS</x:v>
      </x:c>
    </x:row>
    <x:row r="3426">
      <x:c r="B3426" t="str">
        <x:v>A-03380</x:v>
      </x:c>
      <x:c r="C3426" t="str">
        <x:v>GATE</x:v>
      </x:c>
      <x:c r="D3426" t="str">
        <x:v>release state mirrors governing ledger</x:v>
      </x:c>
      <x:c r="E3426" t="str">
        <x:f>'Release Gates'!I3386</x:f>
        <x:v>OPEN</x:v>
      </x:c>
      <x:c r="F3426" t="str">
        <x:f>IF('Release Gates'!C3386="PLANNING","PASS",IF('Release Gates'!C3386="PHYSICAL","OPEN","BLOCKED"))</x:f>
        <x:v>OPEN</x:v>
      </x:c>
      <x:c r="G3426" t="str">
        <x:v>equals</x:v>
      </x:c>
      <x:c r="H3426" t="str">
        <x:f>IF(E3426=F3426,"PASS","FAIL")</x:f>
        <x:v>PASS</x:v>
      </x:c>
    </x:row>
    <x:row r="3427">
      <x:c r="B3427" t="str">
        <x:v>A-03381</x:v>
      </x:c>
      <x:c r="C3427" t="str">
        <x:v>GATE</x:v>
      </x:c>
      <x:c r="D3427" t="str">
        <x:v>release state mirrors governing ledger</x:v>
      </x:c>
      <x:c r="E3427" t="str">
        <x:f>'Release Gates'!I3387</x:f>
        <x:v>OPEN</x:v>
      </x:c>
      <x:c r="F3427" t="str">
        <x:f>IF('Release Gates'!C3387="PLANNING","PASS",IF('Release Gates'!C3387="PHYSICAL","OPEN","BLOCKED"))</x:f>
        <x:v>OPEN</x:v>
      </x:c>
      <x:c r="G3427" t="str">
        <x:v>equals</x:v>
      </x:c>
      <x:c r="H3427" t="str">
        <x:f>IF(E3427=F3427,"PASS","FAIL")</x:f>
        <x:v>PASS</x:v>
      </x:c>
    </x:row>
    <x:row r="3428">
      <x:c r="B3428" t="str">
        <x:v>A-03382</x:v>
      </x:c>
      <x:c r="C3428" t="str">
        <x:v>GATE</x:v>
      </x:c>
      <x:c r="D3428" t="str">
        <x:v>release state mirrors governing ledger</x:v>
      </x:c>
      <x:c r="E3428" t="str">
        <x:f>'Release Gates'!I3388</x:f>
        <x:v>OPEN</x:v>
      </x:c>
      <x:c r="F3428" t="str">
        <x:f>IF('Release Gates'!C3388="PLANNING","PASS",IF('Release Gates'!C3388="PHYSICAL","OPEN","BLOCKED"))</x:f>
        <x:v>OPEN</x:v>
      </x:c>
      <x:c r="G3428" t="str">
        <x:v>equals</x:v>
      </x:c>
      <x:c r="H3428" t="str">
        <x:f>IF(E3428=F3428,"PASS","FAIL")</x:f>
        <x:v>PASS</x:v>
      </x:c>
    </x:row>
    <x:row r="3429">
      <x:c r="B3429" t="str">
        <x:v>A-03383</x:v>
      </x:c>
      <x:c r="C3429" t="str">
        <x:v>GATE</x:v>
      </x:c>
      <x:c r="D3429" t="str">
        <x:v>release state mirrors governing ledger</x:v>
      </x:c>
      <x:c r="E3429" t="str">
        <x:f>'Release Gates'!I3389</x:f>
        <x:v>OPEN</x:v>
      </x:c>
      <x:c r="F3429" t="str">
        <x:f>IF('Release Gates'!C3389="PLANNING","PASS",IF('Release Gates'!C3389="PHYSICAL","OPEN","BLOCKED"))</x:f>
        <x:v>OPEN</x:v>
      </x:c>
      <x:c r="G3429" t="str">
        <x:v>equals</x:v>
      </x:c>
      <x:c r="H3429" t="str">
        <x:f>IF(E3429=F3429,"PASS","FAIL")</x:f>
        <x:v>PASS</x:v>
      </x:c>
    </x:row>
    <x:row r="3430">
      <x:c r="B3430" t="str">
        <x:v>A-03384</x:v>
      </x:c>
      <x:c r="C3430" t="str">
        <x:v>GATE</x:v>
      </x:c>
      <x:c r="D3430" t="str">
        <x:v>release state mirrors governing ledger</x:v>
      </x:c>
      <x:c r="E3430" t="str">
        <x:f>'Release Gates'!I3390</x:f>
        <x:v>OPEN</x:v>
      </x:c>
      <x:c r="F3430" t="str">
        <x:f>IF('Release Gates'!C3390="PLANNING","PASS",IF('Release Gates'!C3390="PHYSICAL","OPEN","BLOCKED"))</x:f>
        <x:v>OPEN</x:v>
      </x:c>
      <x:c r="G3430" t="str">
        <x:v>equals</x:v>
      </x:c>
      <x:c r="H3430" t="str">
        <x:f>IF(E3430=F3430,"PASS","FAIL")</x:f>
        <x:v>PASS</x:v>
      </x:c>
    </x:row>
    <x:row r="3431">
      <x:c r="B3431" t="str">
        <x:v>A-03385</x:v>
      </x:c>
      <x:c r="C3431" t="str">
        <x:v>GATE</x:v>
      </x:c>
      <x:c r="D3431" t="str">
        <x:v>release state mirrors governing ledger</x:v>
      </x:c>
      <x:c r="E3431" t="str">
        <x:f>'Release Gates'!I3391</x:f>
        <x:v>OPEN</x:v>
      </x:c>
      <x:c r="F3431" t="str">
        <x:f>IF('Release Gates'!C3391="PLANNING","PASS",IF('Release Gates'!C3391="PHYSICAL","OPEN","BLOCKED"))</x:f>
        <x:v>OPEN</x:v>
      </x:c>
      <x:c r="G3431" t="str">
        <x:v>equals</x:v>
      </x:c>
      <x:c r="H3431" t="str">
        <x:f>IF(E3431=F3431,"PASS","FAIL")</x:f>
        <x:v>PASS</x:v>
      </x:c>
    </x:row>
    <x:row r="3432">
      <x:c r="B3432" t="str">
        <x:v>A-03386</x:v>
      </x:c>
      <x:c r="C3432" t="str">
        <x:v>GATE</x:v>
      </x:c>
      <x:c r="D3432" t="str">
        <x:v>release state mirrors governing ledger</x:v>
      </x:c>
      <x:c r="E3432" t="str">
        <x:f>'Release Gates'!I3392</x:f>
        <x:v>OPEN</x:v>
      </x:c>
      <x:c r="F3432" t="str">
        <x:f>IF('Release Gates'!C3392="PLANNING","PASS",IF('Release Gates'!C3392="PHYSICAL","OPEN","BLOCKED"))</x:f>
        <x:v>OPEN</x:v>
      </x:c>
      <x:c r="G3432" t="str">
        <x:v>equals</x:v>
      </x:c>
      <x:c r="H3432" t="str">
        <x:f>IF(E3432=F3432,"PASS","FAIL")</x:f>
        <x:v>PASS</x:v>
      </x:c>
    </x:row>
    <x:row r="3433">
      <x:c r="B3433" t="str">
        <x:v>A-03387</x:v>
      </x:c>
      <x:c r="C3433" t="str">
        <x:v>GATE</x:v>
      </x:c>
      <x:c r="D3433" t="str">
        <x:v>release state mirrors governing ledger</x:v>
      </x:c>
      <x:c r="E3433" t="str">
        <x:f>'Release Gates'!I3393</x:f>
        <x:v>OPEN</x:v>
      </x:c>
      <x:c r="F3433" t="str">
        <x:f>IF('Release Gates'!C3393="PLANNING","PASS",IF('Release Gates'!C3393="PHYSICAL","OPEN","BLOCKED"))</x:f>
        <x:v>OPEN</x:v>
      </x:c>
      <x:c r="G3433" t="str">
        <x:v>equals</x:v>
      </x:c>
      <x:c r="H3433" t="str">
        <x:f>IF(E3433=F3433,"PASS","FAIL")</x:f>
        <x:v>PASS</x:v>
      </x:c>
    </x:row>
    <x:row r="3434">
      <x:c r="B3434" t="str">
        <x:v>A-03388</x:v>
      </x:c>
      <x:c r="C3434" t="str">
        <x:v>GATE</x:v>
      </x:c>
      <x:c r="D3434" t="str">
        <x:v>release state mirrors governing ledger</x:v>
      </x:c>
      <x:c r="E3434" t="str">
        <x:f>'Release Gates'!I3394</x:f>
        <x:v>OPEN</x:v>
      </x:c>
      <x:c r="F3434" t="str">
        <x:f>IF('Release Gates'!C3394="PLANNING","PASS",IF('Release Gates'!C3394="PHYSICAL","OPEN","BLOCKED"))</x:f>
        <x:v>OPEN</x:v>
      </x:c>
      <x:c r="G3434" t="str">
        <x:v>equals</x:v>
      </x:c>
      <x:c r="H3434" t="str">
        <x:f>IF(E3434=F3434,"PASS","FAIL")</x:f>
        <x:v>PASS</x:v>
      </x:c>
    </x:row>
    <x:row r="3435">
      <x:c r="B3435" t="str">
        <x:v>A-03389</x:v>
      </x:c>
      <x:c r="C3435" t="str">
        <x:v>GATE</x:v>
      </x:c>
      <x:c r="D3435" t="str">
        <x:v>release state mirrors governing ledger</x:v>
      </x:c>
      <x:c r="E3435" t="str">
        <x:f>'Release Gates'!I3395</x:f>
        <x:v>OPEN</x:v>
      </x:c>
      <x:c r="F3435" t="str">
        <x:f>IF('Release Gates'!C3395="PLANNING","PASS",IF('Release Gates'!C3395="PHYSICAL","OPEN","BLOCKED"))</x:f>
        <x:v>OPEN</x:v>
      </x:c>
      <x:c r="G3435" t="str">
        <x:v>equals</x:v>
      </x:c>
      <x:c r="H3435" t="str">
        <x:f>IF(E3435=F3435,"PASS","FAIL")</x:f>
        <x:v>PASS</x:v>
      </x:c>
    </x:row>
    <x:row r="3436">
      <x:c r="B3436" t="str">
        <x:v>A-03390</x:v>
      </x:c>
      <x:c r="C3436" t="str">
        <x:v>GATE</x:v>
      </x:c>
      <x:c r="D3436" t="str">
        <x:v>release state mirrors governing ledger</x:v>
      </x:c>
      <x:c r="E3436" t="str">
        <x:f>'Release Gates'!I3396</x:f>
        <x:v>OPEN</x:v>
      </x:c>
      <x:c r="F3436" t="str">
        <x:f>IF('Release Gates'!C3396="PLANNING","PASS",IF('Release Gates'!C3396="PHYSICAL","OPEN","BLOCKED"))</x:f>
        <x:v>OPEN</x:v>
      </x:c>
      <x:c r="G3436" t="str">
        <x:v>equals</x:v>
      </x:c>
      <x:c r="H3436" t="str">
        <x:f>IF(E3436=F3436,"PASS","FAIL")</x:f>
        <x:v>PASS</x:v>
      </x:c>
    </x:row>
    <x:row r="3437">
      <x:c r="B3437" t="str">
        <x:v>A-03391</x:v>
      </x:c>
      <x:c r="C3437" t="str">
        <x:v>GATE</x:v>
      </x:c>
      <x:c r="D3437" t="str">
        <x:v>release state mirrors governing ledger</x:v>
      </x:c>
      <x:c r="E3437" t="str">
        <x:f>'Release Gates'!I3397</x:f>
        <x:v>OPEN</x:v>
      </x:c>
      <x:c r="F3437" t="str">
        <x:f>IF('Release Gates'!C3397="PLANNING","PASS",IF('Release Gates'!C3397="PHYSICAL","OPEN","BLOCKED"))</x:f>
        <x:v>OPEN</x:v>
      </x:c>
      <x:c r="G3437" t="str">
        <x:v>equals</x:v>
      </x:c>
      <x:c r="H3437" t="str">
        <x:f>IF(E3437=F3437,"PASS","FAIL")</x:f>
        <x:v>PASS</x:v>
      </x:c>
    </x:row>
    <x:row r="3438">
      <x:c r="B3438" t="str">
        <x:v>A-03392</x:v>
      </x:c>
      <x:c r="C3438" t="str">
        <x:v>GATE</x:v>
      </x:c>
      <x:c r="D3438" t="str">
        <x:v>release state mirrors governing ledger</x:v>
      </x:c>
      <x:c r="E3438" t="str">
        <x:f>'Release Gates'!I3398</x:f>
        <x:v>OPEN</x:v>
      </x:c>
      <x:c r="F3438" t="str">
        <x:f>IF('Release Gates'!C3398="PLANNING","PASS",IF('Release Gates'!C3398="PHYSICAL","OPEN","BLOCKED"))</x:f>
        <x:v>OPEN</x:v>
      </x:c>
      <x:c r="G3438" t="str">
        <x:v>equals</x:v>
      </x:c>
      <x:c r="H3438" t="str">
        <x:f>IF(E3438=F3438,"PASS","FAIL")</x:f>
        <x:v>PASS</x:v>
      </x:c>
    </x:row>
    <x:row r="3439">
      <x:c r="B3439" t="str">
        <x:v>A-03393</x:v>
      </x:c>
      <x:c r="C3439" t="str">
        <x:v>GATE</x:v>
      </x:c>
      <x:c r="D3439" t="str">
        <x:v>release state mirrors governing ledger</x:v>
      </x:c>
      <x:c r="E3439" t="str">
        <x:f>'Release Gates'!I3399</x:f>
        <x:v>OPEN</x:v>
      </x:c>
      <x:c r="F3439" t="str">
        <x:f>IF('Release Gates'!C3399="PLANNING","PASS",IF('Release Gates'!C3399="PHYSICAL","OPEN","BLOCKED"))</x:f>
        <x:v>OPEN</x:v>
      </x:c>
      <x:c r="G3439" t="str">
        <x:v>equals</x:v>
      </x:c>
      <x:c r="H3439" t="str">
        <x:f>IF(E3439=F3439,"PASS","FAIL")</x:f>
        <x:v>PASS</x:v>
      </x:c>
    </x:row>
    <x:row r="3440">
      <x:c r="B3440" t="str">
        <x:v>A-03394</x:v>
      </x:c>
      <x:c r="C3440" t="str">
        <x:v>GATE</x:v>
      </x:c>
      <x:c r="D3440" t="str">
        <x:v>release state mirrors governing ledger</x:v>
      </x:c>
      <x:c r="E3440" t="str">
        <x:f>'Release Gates'!I3400</x:f>
        <x:v>OPEN</x:v>
      </x:c>
      <x:c r="F3440" t="str">
        <x:f>IF('Release Gates'!C3400="PLANNING","PASS",IF('Release Gates'!C3400="PHYSICAL","OPEN","BLOCKED"))</x:f>
        <x:v>OPEN</x:v>
      </x:c>
      <x:c r="G3440" t="str">
        <x:v>equals</x:v>
      </x:c>
      <x:c r="H3440" t="str">
        <x:f>IF(E3440=F3440,"PASS","FAIL")</x:f>
        <x:v>PASS</x:v>
      </x:c>
    </x:row>
    <x:row r="3441">
      <x:c r="B3441" t="str">
        <x:v>A-03395</x:v>
      </x:c>
      <x:c r="C3441" t="str">
        <x:v>GATE</x:v>
      </x:c>
      <x:c r="D3441" t="str">
        <x:v>release state mirrors governing ledger</x:v>
      </x:c>
      <x:c r="E3441" t="str">
        <x:f>'Release Gates'!I3401</x:f>
        <x:v>OPEN</x:v>
      </x:c>
      <x:c r="F3441" t="str">
        <x:f>IF('Release Gates'!C3401="PLANNING","PASS",IF('Release Gates'!C3401="PHYSICAL","OPEN","BLOCKED"))</x:f>
        <x:v>OPEN</x:v>
      </x:c>
      <x:c r="G3441" t="str">
        <x:v>equals</x:v>
      </x:c>
      <x:c r="H3441" t="str">
        <x:f>IF(E3441=F3441,"PASS","FAIL")</x:f>
        <x:v>PASS</x:v>
      </x:c>
    </x:row>
    <x:row r="3442">
      <x:c r="B3442" t="str">
        <x:v>A-03396</x:v>
      </x:c>
      <x:c r="C3442" t="str">
        <x:v>GATE</x:v>
      </x:c>
      <x:c r="D3442" t="str">
        <x:v>release state mirrors governing ledger</x:v>
      </x:c>
      <x:c r="E3442" t="str">
        <x:f>'Release Gates'!I3402</x:f>
        <x:v>OPEN</x:v>
      </x:c>
      <x:c r="F3442" t="str">
        <x:f>IF('Release Gates'!C3402="PLANNING","PASS",IF('Release Gates'!C3402="PHYSICAL","OPEN","BLOCKED"))</x:f>
        <x:v>OPEN</x:v>
      </x:c>
      <x:c r="G3442" t="str">
        <x:v>equals</x:v>
      </x:c>
      <x:c r="H3442" t="str">
        <x:f>IF(E3442=F3442,"PASS","FAIL")</x:f>
        <x:v>PASS</x:v>
      </x:c>
    </x:row>
    <x:row r="3443">
      <x:c r="B3443" t="str">
        <x:v>A-03397</x:v>
      </x:c>
      <x:c r="C3443" t="str">
        <x:v>GATE</x:v>
      </x:c>
      <x:c r="D3443" t="str">
        <x:v>release state mirrors governing ledger</x:v>
      </x:c>
      <x:c r="E3443" t="str">
        <x:f>'Release Gates'!I3403</x:f>
        <x:v>OPEN</x:v>
      </x:c>
      <x:c r="F3443" t="str">
        <x:f>IF('Release Gates'!C3403="PLANNING","PASS",IF('Release Gates'!C3403="PHYSICAL","OPEN","BLOCKED"))</x:f>
        <x:v>OPEN</x:v>
      </x:c>
      <x:c r="G3443" t="str">
        <x:v>equals</x:v>
      </x:c>
      <x:c r="H3443" t="str">
        <x:f>IF(E3443=F3443,"PASS","FAIL")</x:f>
        <x:v>PASS</x:v>
      </x:c>
    </x:row>
    <x:row r="3444">
      <x:c r="B3444" t="str">
        <x:v>A-03398</x:v>
      </x:c>
      <x:c r="C3444" t="str">
        <x:v>GATE</x:v>
      </x:c>
      <x:c r="D3444" t="str">
        <x:v>release state mirrors governing ledger</x:v>
      </x:c>
      <x:c r="E3444" t="str">
        <x:f>'Release Gates'!I3404</x:f>
        <x:v>OPEN</x:v>
      </x:c>
      <x:c r="F3444" t="str">
        <x:f>IF('Release Gates'!C3404="PLANNING","PASS",IF('Release Gates'!C3404="PHYSICAL","OPEN","BLOCKED"))</x:f>
        <x:v>OPEN</x:v>
      </x:c>
      <x:c r="G3444" t="str">
        <x:v>equals</x:v>
      </x:c>
      <x:c r="H3444" t="str">
        <x:f>IF(E3444=F3444,"PASS","FAIL")</x:f>
        <x:v>PASS</x:v>
      </x:c>
    </x:row>
    <x:row r="3445">
      <x:c r="B3445" t="str">
        <x:v>A-03399</x:v>
      </x:c>
      <x:c r="C3445" t="str">
        <x:v>GATE</x:v>
      </x:c>
      <x:c r="D3445" t="str">
        <x:v>release state mirrors governing ledger</x:v>
      </x:c>
      <x:c r="E3445" t="str">
        <x:f>'Release Gates'!I3405</x:f>
        <x:v>OPEN</x:v>
      </x:c>
      <x:c r="F3445" t="str">
        <x:f>IF('Release Gates'!C3405="PLANNING","PASS",IF('Release Gates'!C3405="PHYSICAL","OPEN","BLOCKED"))</x:f>
        <x:v>OPEN</x:v>
      </x:c>
      <x:c r="G3445" t="str">
        <x:v>equals</x:v>
      </x:c>
      <x:c r="H3445" t="str">
        <x:f>IF(E3445=F3445,"PASS","FAIL")</x:f>
        <x:v>PASS</x:v>
      </x:c>
    </x:row>
    <x:row r="3446">
      <x:c r="B3446" t="str">
        <x:v>A-03400</x:v>
      </x:c>
      <x:c r="C3446" t="str">
        <x:v>GATE</x:v>
      </x:c>
      <x:c r="D3446" t="str">
        <x:v>release state mirrors governing ledger</x:v>
      </x:c>
      <x:c r="E3446" t="str">
        <x:f>'Release Gates'!I3406</x:f>
        <x:v>OPEN</x:v>
      </x:c>
      <x:c r="F3446" t="str">
        <x:f>IF('Release Gates'!C3406="PLANNING","PASS",IF('Release Gates'!C3406="PHYSICAL","OPEN","BLOCKED"))</x:f>
        <x:v>OPEN</x:v>
      </x:c>
      <x:c r="G3446" t="str">
        <x:v>equals</x:v>
      </x:c>
      <x:c r="H3446" t="str">
        <x:f>IF(E3446=F3446,"PASS","FAIL")</x:f>
        <x:v>PASS</x:v>
      </x:c>
    </x:row>
    <x:row r="3447">
      <x:c r="B3447" t="str">
        <x:v>A-03401</x:v>
      </x:c>
      <x:c r="C3447" t="str">
        <x:v>GATE</x:v>
      </x:c>
      <x:c r="D3447" t="str">
        <x:v>release state mirrors governing ledger</x:v>
      </x:c>
      <x:c r="E3447" t="str">
        <x:f>'Release Gates'!I3407</x:f>
        <x:v>OPEN</x:v>
      </x:c>
      <x:c r="F3447" t="str">
        <x:f>IF('Release Gates'!C3407="PLANNING","PASS",IF('Release Gates'!C3407="PHYSICAL","OPEN","BLOCKED"))</x:f>
        <x:v>OPEN</x:v>
      </x:c>
      <x:c r="G3447" t="str">
        <x:v>equals</x:v>
      </x:c>
      <x:c r="H3447" t="str">
        <x:f>IF(E3447=F3447,"PASS","FAIL")</x:f>
        <x:v>PASS</x:v>
      </x:c>
    </x:row>
    <x:row r="3448">
      <x:c r="B3448" t="str">
        <x:v>A-03402</x:v>
      </x:c>
      <x:c r="C3448" t="str">
        <x:v>GATE</x:v>
      </x:c>
      <x:c r="D3448" t="str">
        <x:v>release state mirrors governing ledger</x:v>
      </x:c>
      <x:c r="E3448" t="str">
        <x:f>'Release Gates'!I3408</x:f>
        <x:v>OPEN</x:v>
      </x:c>
      <x:c r="F3448" t="str">
        <x:f>IF('Release Gates'!C3408="PLANNING","PASS",IF('Release Gates'!C3408="PHYSICAL","OPEN","BLOCKED"))</x:f>
        <x:v>OPEN</x:v>
      </x:c>
      <x:c r="G3448" t="str">
        <x:v>equals</x:v>
      </x:c>
      <x:c r="H3448" t="str">
        <x:f>IF(E3448=F3448,"PASS","FAIL")</x:f>
        <x:v>PASS</x:v>
      </x:c>
    </x:row>
    <x:row r="3449">
      <x:c r="B3449" t="str">
        <x:v>A-03403</x:v>
      </x:c>
      <x:c r="C3449" t="str">
        <x:v>GATE</x:v>
      </x:c>
      <x:c r="D3449" t="str">
        <x:v>release state mirrors governing ledger</x:v>
      </x:c>
      <x:c r="E3449" t="str">
        <x:f>'Release Gates'!I3409</x:f>
        <x:v>OPEN</x:v>
      </x:c>
      <x:c r="F3449" t="str">
        <x:f>IF('Release Gates'!C3409="PLANNING","PASS",IF('Release Gates'!C3409="PHYSICAL","OPEN","BLOCKED"))</x:f>
        <x:v>OPEN</x:v>
      </x:c>
      <x:c r="G3449" t="str">
        <x:v>equals</x:v>
      </x:c>
      <x:c r="H3449" t="str">
        <x:f>IF(E3449=F3449,"PASS","FAIL")</x:f>
        <x:v>PASS</x:v>
      </x:c>
    </x:row>
    <x:row r="3450">
      <x:c r="B3450" t="str">
        <x:v>A-03404</x:v>
      </x:c>
      <x:c r="C3450" t="str">
        <x:v>GATE</x:v>
      </x:c>
      <x:c r="D3450" t="str">
        <x:v>release state mirrors governing ledger</x:v>
      </x:c>
      <x:c r="E3450" t="str">
        <x:f>'Release Gates'!I3410</x:f>
        <x:v>OPEN</x:v>
      </x:c>
      <x:c r="F3450" t="str">
        <x:f>IF('Release Gates'!C3410="PLANNING","PASS",IF('Release Gates'!C3410="PHYSICAL","OPEN","BLOCKED"))</x:f>
        <x:v>OPEN</x:v>
      </x:c>
      <x:c r="G3450" t="str">
        <x:v>equals</x:v>
      </x:c>
      <x:c r="H3450" t="str">
        <x:f>IF(E3450=F3450,"PASS","FAIL")</x:f>
        <x:v>PASS</x:v>
      </x:c>
    </x:row>
    <x:row r="3451">
      <x:c r="B3451" t="str">
        <x:v>A-03405</x:v>
      </x:c>
      <x:c r="C3451" t="str">
        <x:v>GATE</x:v>
      </x:c>
      <x:c r="D3451" t="str">
        <x:v>release state mirrors governing ledger</x:v>
      </x:c>
      <x:c r="E3451" t="str">
        <x:f>'Release Gates'!I3411</x:f>
        <x:v>OPEN</x:v>
      </x:c>
      <x:c r="F3451" t="str">
        <x:f>IF('Release Gates'!C3411="PLANNING","PASS",IF('Release Gates'!C3411="PHYSICAL","OPEN","BLOCKED"))</x:f>
        <x:v>OPEN</x:v>
      </x:c>
      <x:c r="G3451" t="str">
        <x:v>equals</x:v>
      </x:c>
      <x:c r="H3451" t="str">
        <x:f>IF(E3451=F3451,"PASS","FAIL")</x:f>
        <x:v>PASS</x:v>
      </x:c>
    </x:row>
    <x:row r="3452">
      <x:c r="B3452" t="str">
        <x:v>A-03406</x:v>
      </x:c>
      <x:c r="C3452" t="str">
        <x:v>GATE</x:v>
      </x:c>
      <x:c r="D3452" t="str">
        <x:v>release state mirrors governing ledger</x:v>
      </x:c>
      <x:c r="E3452" t="str">
        <x:f>'Release Gates'!I3412</x:f>
        <x:v>OPEN</x:v>
      </x:c>
      <x:c r="F3452" t="str">
        <x:f>IF('Release Gates'!C3412="PLANNING","PASS",IF('Release Gates'!C3412="PHYSICAL","OPEN","BLOCKED"))</x:f>
        <x:v>OPEN</x:v>
      </x:c>
      <x:c r="G3452" t="str">
        <x:v>equals</x:v>
      </x:c>
      <x:c r="H3452" t="str">
        <x:f>IF(E3452=F3452,"PASS","FAIL")</x:f>
        <x:v>PASS</x:v>
      </x:c>
    </x:row>
    <x:row r="3453">
      <x:c r="B3453" t="str">
        <x:v>A-03407</x:v>
      </x:c>
      <x:c r="C3453" t="str">
        <x:v>GATE</x:v>
      </x:c>
      <x:c r="D3453" t="str">
        <x:v>release state mirrors governing ledger</x:v>
      </x:c>
      <x:c r="E3453" t="str">
        <x:f>'Release Gates'!I3413</x:f>
        <x:v>OPEN</x:v>
      </x:c>
      <x:c r="F3453" t="str">
        <x:f>IF('Release Gates'!C3413="PLANNING","PASS",IF('Release Gates'!C3413="PHYSICAL","OPEN","BLOCKED"))</x:f>
        <x:v>OPEN</x:v>
      </x:c>
      <x:c r="G3453" t="str">
        <x:v>equals</x:v>
      </x:c>
      <x:c r="H3453" t="str">
        <x:f>IF(E3453=F3453,"PASS","FAIL")</x:f>
        <x:v>PASS</x:v>
      </x:c>
    </x:row>
    <x:row r="3454">
      <x:c r="B3454" t="str">
        <x:v>A-03408</x:v>
      </x:c>
      <x:c r="C3454" t="str">
        <x:v>GATE</x:v>
      </x:c>
      <x:c r="D3454" t="str">
        <x:v>release state mirrors governing ledger</x:v>
      </x:c>
      <x:c r="E3454" t="str">
        <x:f>'Release Gates'!I3414</x:f>
        <x:v>OPEN</x:v>
      </x:c>
      <x:c r="F3454" t="str">
        <x:f>IF('Release Gates'!C3414="PLANNING","PASS",IF('Release Gates'!C3414="PHYSICAL","OPEN","BLOCKED"))</x:f>
        <x:v>OPEN</x:v>
      </x:c>
      <x:c r="G3454" t="str">
        <x:v>equals</x:v>
      </x:c>
      <x:c r="H3454" t="str">
        <x:f>IF(E3454=F3454,"PASS","FAIL")</x:f>
        <x:v>PASS</x:v>
      </x:c>
    </x:row>
    <x:row r="3455">
      <x:c r="B3455" t="str">
        <x:v>A-03409</x:v>
      </x:c>
      <x:c r="C3455" t="str">
        <x:v>GATE</x:v>
      </x:c>
      <x:c r="D3455" t="str">
        <x:v>release state mirrors governing ledger</x:v>
      </x:c>
      <x:c r="E3455" t="str">
        <x:f>'Release Gates'!I3415</x:f>
        <x:v>OPEN</x:v>
      </x:c>
      <x:c r="F3455" t="str">
        <x:f>IF('Release Gates'!C3415="PLANNING","PASS",IF('Release Gates'!C3415="PHYSICAL","OPEN","BLOCKED"))</x:f>
        <x:v>OPEN</x:v>
      </x:c>
      <x:c r="G3455" t="str">
        <x:v>equals</x:v>
      </x:c>
      <x:c r="H3455" t="str">
        <x:f>IF(E3455=F3455,"PASS","FAIL")</x:f>
        <x:v>PASS</x:v>
      </x:c>
    </x:row>
    <x:row r="3456">
      <x:c r="B3456" t="str">
        <x:v>A-03410</x:v>
      </x:c>
      <x:c r="C3456" t="str">
        <x:v>GATE</x:v>
      </x:c>
      <x:c r="D3456" t="str">
        <x:v>release state mirrors governing ledger</x:v>
      </x:c>
      <x:c r="E3456" t="str">
        <x:f>'Release Gates'!I3416</x:f>
        <x:v>OPEN</x:v>
      </x:c>
      <x:c r="F3456" t="str">
        <x:f>IF('Release Gates'!C3416="PLANNING","PASS",IF('Release Gates'!C3416="PHYSICAL","OPEN","BLOCKED"))</x:f>
        <x:v>OPEN</x:v>
      </x:c>
      <x:c r="G3456" t="str">
        <x:v>equals</x:v>
      </x:c>
      <x:c r="H3456" t="str">
        <x:f>IF(E3456=F3456,"PASS","FAIL")</x:f>
        <x:v>PASS</x:v>
      </x:c>
    </x:row>
    <x:row r="3457">
      <x:c r="B3457" t="str">
        <x:v>A-03411</x:v>
      </x:c>
      <x:c r="C3457" t="str">
        <x:v>GATE</x:v>
      </x:c>
      <x:c r="D3457" t="str">
        <x:v>release state mirrors governing ledger</x:v>
      </x:c>
      <x:c r="E3457" t="str">
        <x:f>'Release Gates'!I3417</x:f>
        <x:v>OPEN</x:v>
      </x:c>
      <x:c r="F3457" t="str">
        <x:f>IF('Release Gates'!C3417="PLANNING","PASS",IF('Release Gates'!C3417="PHYSICAL","OPEN","BLOCKED"))</x:f>
        <x:v>OPEN</x:v>
      </x:c>
      <x:c r="G3457" t="str">
        <x:v>equals</x:v>
      </x:c>
      <x:c r="H3457" t="str">
        <x:f>IF(E3457=F3457,"PASS","FAIL")</x:f>
        <x:v>PASS</x:v>
      </x:c>
    </x:row>
    <x:row r="3458">
      <x:c r="B3458" t="str">
        <x:v>A-03412</x:v>
      </x:c>
      <x:c r="C3458" t="str">
        <x:v>GATE</x:v>
      </x:c>
      <x:c r="D3458" t="str">
        <x:v>release state mirrors governing ledger</x:v>
      </x:c>
      <x:c r="E3458" t="str">
        <x:f>'Release Gates'!I3418</x:f>
        <x:v>OPEN</x:v>
      </x:c>
      <x:c r="F3458" t="str">
        <x:f>IF('Release Gates'!C3418="PLANNING","PASS",IF('Release Gates'!C3418="PHYSICAL","OPEN","BLOCKED"))</x:f>
        <x:v>OPEN</x:v>
      </x:c>
      <x:c r="G3458" t="str">
        <x:v>equals</x:v>
      </x:c>
      <x:c r="H3458" t="str">
        <x:f>IF(E3458=F3458,"PASS","FAIL")</x:f>
        <x:v>PASS</x:v>
      </x:c>
    </x:row>
    <x:row r="3459">
      <x:c r="B3459" t="str">
        <x:v>A-03413</x:v>
      </x:c>
      <x:c r="C3459" t="str">
        <x:v>GATE</x:v>
      </x:c>
      <x:c r="D3459" t="str">
        <x:v>release state mirrors governing ledger</x:v>
      </x:c>
      <x:c r="E3459" t="str">
        <x:f>'Release Gates'!I3419</x:f>
        <x:v>OPEN</x:v>
      </x:c>
      <x:c r="F3459" t="str">
        <x:f>IF('Release Gates'!C3419="PLANNING","PASS",IF('Release Gates'!C3419="PHYSICAL","OPEN","BLOCKED"))</x:f>
        <x:v>OPEN</x:v>
      </x:c>
      <x:c r="G3459" t="str">
        <x:v>equals</x:v>
      </x:c>
      <x:c r="H3459" t="str">
        <x:f>IF(E3459=F3459,"PASS","FAIL")</x:f>
        <x:v>PASS</x:v>
      </x:c>
    </x:row>
    <x:row r="3460">
      <x:c r="B3460" t="str">
        <x:v>A-03414</x:v>
      </x:c>
      <x:c r="C3460" t="str">
        <x:v>GATE</x:v>
      </x:c>
      <x:c r="D3460" t="str">
        <x:v>release state mirrors governing ledger</x:v>
      </x:c>
      <x:c r="E3460" t="str">
        <x:f>'Release Gates'!I3420</x:f>
        <x:v>OPEN</x:v>
      </x:c>
      <x:c r="F3460" t="str">
        <x:f>IF('Release Gates'!C3420="PLANNING","PASS",IF('Release Gates'!C3420="PHYSICAL","OPEN","BLOCKED"))</x:f>
        <x:v>OPEN</x:v>
      </x:c>
      <x:c r="G3460" t="str">
        <x:v>equals</x:v>
      </x:c>
      <x:c r="H3460" t="str">
        <x:f>IF(E3460=F3460,"PASS","FAIL")</x:f>
        <x:v>PASS</x:v>
      </x:c>
    </x:row>
    <x:row r="3461">
      <x:c r="B3461" t="str">
        <x:v>A-03415</x:v>
      </x:c>
      <x:c r="C3461" t="str">
        <x:v>GATE</x:v>
      </x:c>
      <x:c r="D3461" t="str">
        <x:v>release state mirrors governing ledger</x:v>
      </x:c>
      <x:c r="E3461" t="str">
        <x:f>'Release Gates'!I3421</x:f>
        <x:v>OPEN</x:v>
      </x:c>
      <x:c r="F3461" t="str">
        <x:f>IF('Release Gates'!C3421="PLANNING","PASS",IF('Release Gates'!C3421="PHYSICAL","OPEN","BLOCKED"))</x:f>
        <x:v>OPEN</x:v>
      </x:c>
      <x:c r="G3461" t="str">
        <x:v>equals</x:v>
      </x:c>
      <x:c r="H3461" t="str">
        <x:f>IF(E3461=F3461,"PASS","FAIL")</x:f>
        <x:v>PASS</x:v>
      </x:c>
    </x:row>
    <x:row r="3462">
      <x:c r="B3462" t="str">
        <x:v>A-03416</x:v>
      </x:c>
      <x:c r="C3462" t="str">
        <x:v>GATE</x:v>
      </x:c>
      <x:c r="D3462" t="str">
        <x:v>release state mirrors governing ledger</x:v>
      </x:c>
      <x:c r="E3462" t="str">
        <x:f>'Release Gates'!I3422</x:f>
        <x:v>OPEN</x:v>
      </x:c>
      <x:c r="F3462" t="str">
        <x:f>IF('Release Gates'!C3422="PLANNING","PASS",IF('Release Gates'!C3422="PHYSICAL","OPEN","BLOCKED"))</x:f>
        <x:v>OPEN</x:v>
      </x:c>
      <x:c r="G3462" t="str">
        <x:v>equals</x:v>
      </x:c>
      <x:c r="H3462" t="str">
        <x:f>IF(E3462=F3462,"PASS","FAIL")</x:f>
        <x:v>PASS</x:v>
      </x:c>
    </x:row>
    <x:row r="3463">
      <x:c r="B3463" t="str">
        <x:v>A-03417</x:v>
      </x:c>
      <x:c r="C3463" t="str">
        <x:v>GATE</x:v>
      </x:c>
      <x:c r="D3463" t="str">
        <x:v>release state mirrors governing ledger</x:v>
      </x:c>
      <x:c r="E3463" t="str">
        <x:f>'Release Gates'!I3423</x:f>
        <x:v>OPEN</x:v>
      </x:c>
      <x:c r="F3463" t="str">
        <x:f>IF('Release Gates'!C3423="PLANNING","PASS",IF('Release Gates'!C3423="PHYSICAL","OPEN","BLOCKED"))</x:f>
        <x:v>OPEN</x:v>
      </x:c>
      <x:c r="G3463" t="str">
        <x:v>equals</x:v>
      </x:c>
      <x:c r="H3463" t="str">
        <x:f>IF(E3463=F3463,"PASS","FAIL")</x:f>
        <x:v>PASS</x:v>
      </x:c>
    </x:row>
    <x:row r="3464">
      <x:c r="B3464" t="str">
        <x:v>A-03418</x:v>
      </x:c>
      <x:c r="C3464" t="str">
        <x:v>GATE</x:v>
      </x:c>
      <x:c r="D3464" t="str">
        <x:v>release state mirrors governing ledger</x:v>
      </x:c>
      <x:c r="E3464" t="str">
        <x:f>'Release Gates'!I3424</x:f>
        <x:v>OPEN</x:v>
      </x:c>
      <x:c r="F3464" t="str">
        <x:f>IF('Release Gates'!C3424="PLANNING","PASS",IF('Release Gates'!C3424="PHYSICAL","OPEN","BLOCKED"))</x:f>
        <x:v>OPEN</x:v>
      </x:c>
      <x:c r="G3464" t="str">
        <x:v>equals</x:v>
      </x:c>
      <x:c r="H3464" t="str">
        <x:f>IF(E3464=F3464,"PASS","FAIL")</x:f>
        <x:v>PASS</x:v>
      </x:c>
    </x:row>
    <x:row r="3465">
      <x:c r="B3465" t="str">
        <x:v>A-03419</x:v>
      </x:c>
      <x:c r="C3465" t="str">
        <x:v>GATE</x:v>
      </x:c>
      <x:c r="D3465" t="str">
        <x:v>release state mirrors governing ledger</x:v>
      </x:c>
      <x:c r="E3465" t="str">
        <x:f>'Release Gates'!I3425</x:f>
        <x:v>OPEN</x:v>
      </x:c>
      <x:c r="F3465" t="str">
        <x:f>IF('Release Gates'!C3425="PLANNING","PASS",IF('Release Gates'!C3425="PHYSICAL","OPEN","BLOCKED"))</x:f>
        <x:v>OPEN</x:v>
      </x:c>
      <x:c r="G3465" t="str">
        <x:v>equals</x:v>
      </x:c>
      <x:c r="H3465" t="str">
        <x:f>IF(E3465=F3465,"PASS","FAIL")</x:f>
        <x:v>PASS</x:v>
      </x:c>
    </x:row>
    <x:row r="3466">
      <x:c r="B3466" t="str">
        <x:v>A-03420</x:v>
      </x:c>
      <x:c r="C3466" t="str">
        <x:v>GATE</x:v>
      </x:c>
      <x:c r="D3466" t="str">
        <x:v>release state mirrors governing ledger</x:v>
      </x:c>
      <x:c r="E3466" t="str">
        <x:f>'Release Gates'!I3426</x:f>
        <x:v>OPEN</x:v>
      </x:c>
      <x:c r="F3466" t="str">
        <x:f>IF('Release Gates'!C3426="PLANNING","PASS",IF('Release Gates'!C3426="PHYSICAL","OPEN","BLOCKED"))</x:f>
        <x:v>OPEN</x:v>
      </x:c>
      <x:c r="G3466" t="str">
        <x:v>equals</x:v>
      </x:c>
      <x:c r="H3466" t="str">
        <x:f>IF(E3466=F3466,"PASS","FAIL")</x:f>
        <x:v>PASS</x:v>
      </x:c>
    </x:row>
    <x:row r="3467">
      <x:c r="B3467" t="str">
        <x:v>A-03421</x:v>
      </x:c>
      <x:c r="C3467" t="str">
        <x:v>GATE</x:v>
      </x:c>
      <x:c r="D3467" t="str">
        <x:v>release state mirrors governing ledger</x:v>
      </x:c>
      <x:c r="E3467" t="str">
        <x:f>'Release Gates'!I3427</x:f>
        <x:v>OPEN</x:v>
      </x:c>
      <x:c r="F3467" t="str">
        <x:f>IF('Release Gates'!C3427="PLANNING","PASS",IF('Release Gates'!C3427="PHYSICAL","OPEN","BLOCKED"))</x:f>
        <x:v>OPEN</x:v>
      </x:c>
      <x:c r="G3467" t="str">
        <x:v>equals</x:v>
      </x:c>
      <x:c r="H3467" t="str">
        <x:f>IF(E3467=F3467,"PASS","FAIL")</x:f>
        <x:v>PASS</x:v>
      </x:c>
    </x:row>
    <x:row r="3468">
      <x:c r="B3468" t="str">
        <x:v>A-03422</x:v>
      </x:c>
      <x:c r="C3468" t="str">
        <x:v>GATE</x:v>
      </x:c>
      <x:c r="D3468" t="str">
        <x:v>release state mirrors governing ledger</x:v>
      </x:c>
      <x:c r="E3468" t="str">
        <x:f>'Release Gates'!I3428</x:f>
        <x:v>OPEN</x:v>
      </x:c>
      <x:c r="F3468" t="str">
        <x:f>IF('Release Gates'!C3428="PLANNING","PASS",IF('Release Gates'!C3428="PHYSICAL","OPEN","BLOCKED"))</x:f>
        <x:v>OPEN</x:v>
      </x:c>
      <x:c r="G3468" t="str">
        <x:v>equals</x:v>
      </x:c>
      <x:c r="H3468" t="str">
        <x:f>IF(E3468=F3468,"PASS","FAIL")</x:f>
        <x:v>PASS</x:v>
      </x:c>
    </x:row>
    <x:row r="3469">
      <x:c r="B3469" t="str">
        <x:v>A-03423</x:v>
      </x:c>
      <x:c r="C3469" t="str">
        <x:v>GATE</x:v>
      </x:c>
      <x:c r="D3469" t="str">
        <x:v>release state mirrors governing ledger</x:v>
      </x:c>
      <x:c r="E3469" t="str">
        <x:f>'Release Gates'!I3429</x:f>
        <x:v>OPEN</x:v>
      </x:c>
      <x:c r="F3469" t="str">
        <x:f>IF('Release Gates'!C3429="PLANNING","PASS",IF('Release Gates'!C3429="PHYSICAL","OPEN","BLOCKED"))</x:f>
        <x:v>OPEN</x:v>
      </x:c>
      <x:c r="G3469" t="str">
        <x:v>equals</x:v>
      </x:c>
      <x:c r="H3469" t="str">
        <x:f>IF(E3469=F3469,"PASS","FAIL")</x:f>
        <x:v>PASS</x:v>
      </x:c>
    </x:row>
    <x:row r="3470">
      <x:c r="B3470" t="str">
        <x:v>A-03424</x:v>
      </x:c>
      <x:c r="C3470" t="str">
        <x:v>GATE</x:v>
      </x:c>
      <x:c r="D3470" t="str">
        <x:v>release state mirrors governing ledger</x:v>
      </x:c>
      <x:c r="E3470" t="str">
        <x:f>'Release Gates'!I3430</x:f>
        <x:v>OPEN</x:v>
      </x:c>
      <x:c r="F3470" t="str">
        <x:f>IF('Release Gates'!C3430="PLANNING","PASS",IF('Release Gates'!C3430="PHYSICAL","OPEN","BLOCKED"))</x:f>
        <x:v>OPEN</x:v>
      </x:c>
      <x:c r="G3470" t="str">
        <x:v>equals</x:v>
      </x:c>
      <x:c r="H3470" t="str">
        <x:f>IF(E3470=F3470,"PASS","FAIL")</x:f>
        <x:v>PASS</x:v>
      </x:c>
    </x:row>
    <x:row r="3471">
      <x:c r="B3471" t="str">
        <x:v>A-03425</x:v>
      </x:c>
      <x:c r="C3471" t="str">
        <x:v>GATE</x:v>
      </x:c>
      <x:c r="D3471" t="str">
        <x:v>release state mirrors governing ledger</x:v>
      </x:c>
      <x:c r="E3471" t="str">
        <x:f>'Release Gates'!I3431</x:f>
        <x:v>OPEN</x:v>
      </x:c>
      <x:c r="F3471" t="str">
        <x:f>IF('Release Gates'!C3431="PLANNING","PASS",IF('Release Gates'!C3431="PHYSICAL","OPEN","BLOCKED"))</x:f>
        <x:v>OPEN</x:v>
      </x:c>
      <x:c r="G3471" t="str">
        <x:v>equals</x:v>
      </x:c>
      <x:c r="H3471" t="str">
        <x:f>IF(E3471=F3471,"PASS","FAIL")</x:f>
        <x:v>PASS</x:v>
      </x:c>
    </x:row>
    <x:row r="3472">
      <x:c r="B3472" t="str">
        <x:v>A-03426</x:v>
      </x:c>
      <x:c r="C3472" t="str">
        <x:v>GATE</x:v>
      </x:c>
      <x:c r="D3472" t="str">
        <x:v>release state mirrors governing ledger</x:v>
      </x:c>
      <x:c r="E3472" t="str">
        <x:f>'Release Gates'!I3432</x:f>
        <x:v>OPEN</x:v>
      </x:c>
      <x:c r="F3472" t="str">
        <x:f>IF('Release Gates'!C3432="PLANNING","PASS",IF('Release Gates'!C3432="PHYSICAL","OPEN","BLOCKED"))</x:f>
        <x:v>OPEN</x:v>
      </x:c>
      <x:c r="G3472" t="str">
        <x:v>equals</x:v>
      </x:c>
      <x:c r="H3472" t="str">
        <x:f>IF(E3472=F3472,"PASS","FAIL")</x:f>
        <x:v>PASS</x:v>
      </x:c>
    </x:row>
    <x:row r="3473">
      <x:c r="B3473" t="str">
        <x:v>A-03427</x:v>
      </x:c>
      <x:c r="C3473" t="str">
        <x:v>GATE</x:v>
      </x:c>
      <x:c r="D3473" t="str">
        <x:v>release state mirrors governing ledger</x:v>
      </x:c>
      <x:c r="E3473" t="str">
        <x:f>'Release Gates'!I3433</x:f>
        <x:v>OPEN</x:v>
      </x:c>
      <x:c r="F3473" t="str">
        <x:f>IF('Release Gates'!C3433="PLANNING","PASS",IF('Release Gates'!C3433="PHYSICAL","OPEN","BLOCKED"))</x:f>
        <x:v>OPEN</x:v>
      </x:c>
      <x:c r="G3473" t="str">
        <x:v>equals</x:v>
      </x:c>
      <x:c r="H3473" t="str">
        <x:f>IF(E3473=F3473,"PASS","FAIL")</x:f>
        <x:v>PASS</x:v>
      </x:c>
    </x:row>
    <x:row r="3474">
      <x:c r="B3474" t="str">
        <x:v>A-03428</x:v>
      </x:c>
      <x:c r="C3474" t="str">
        <x:v>GATE</x:v>
      </x:c>
      <x:c r="D3474" t="str">
        <x:v>release state mirrors governing ledger</x:v>
      </x:c>
      <x:c r="E3474" t="str">
        <x:f>'Release Gates'!I3434</x:f>
        <x:v>OPEN</x:v>
      </x:c>
      <x:c r="F3474" t="str">
        <x:f>IF('Release Gates'!C3434="PLANNING","PASS",IF('Release Gates'!C3434="PHYSICAL","OPEN","BLOCKED"))</x:f>
        <x:v>OPEN</x:v>
      </x:c>
      <x:c r="G3474" t="str">
        <x:v>equals</x:v>
      </x:c>
      <x:c r="H3474" t="str">
        <x:f>IF(E3474=F3474,"PASS","FAIL")</x:f>
        <x:v>PASS</x:v>
      </x:c>
    </x:row>
    <x:row r="3475">
      <x:c r="B3475" t="str">
        <x:v>A-03429</x:v>
      </x:c>
      <x:c r="C3475" t="str">
        <x:v>GATE</x:v>
      </x:c>
      <x:c r="D3475" t="str">
        <x:v>release state mirrors governing ledger</x:v>
      </x:c>
      <x:c r="E3475" t="str">
        <x:f>'Release Gates'!I3435</x:f>
        <x:v>OPEN</x:v>
      </x:c>
      <x:c r="F3475" t="str">
        <x:f>IF('Release Gates'!C3435="PLANNING","PASS",IF('Release Gates'!C3435="PHYSICAL","OPEN","BLOCKED"))</x:f>
        <x:v>OPEN</x:v>
      </x:c>
      <x:c r="G3475" t="str">
        <x:v>equals</x:v>
      </x:c>
      <x:c r="H3475" t="str">
        <x:f>IF(E3475=F3475,"PASS","FAIL")</x:f>
        <x:v>PASS</x:v>
      </x:c>
    </x:row>
    <x:row r="3476">
      <x:c r="B3476" t="str">
        <x:v>A-03430</x:v>
      </x:c>
      <x:c r="C3476" t="str">
        <x:v>GATE</x:v>
      </x:c>
      <x:c r="D3476" t="str">
        <x:v>release state mirrors governing ledger</x:v>
      </x:c>
      <x:c r="E3476" t="str">
        <x:f>'Release Gates'!I3436</x:f>
        <x:v>OPEN</x:v>
      </x:c>
      <x:c r="F3476" t="str">
        <x:f>IF('Release Gates'!C3436="PLANNING","PASS",IF('Release Gates'!C3436="PHYSICAL","OPEN","BLOCKED"))</x:f>
        <x:v>OPEN</x:v>
      </x:c>
      <x:c r="G3476" t="str">
        <x:v>equals</x:v>
      </x:c>
      <x:c r="H3476" t="str">
        <x:f>IF(E3476=F3476,"PASS","FAIL")</x:f>
        <x:v>PASS</x:v>
      </x:c>
    </x:row>
    <x:row r="3477">
      <x:c r="B3477" t="str">
        <x:v>A-03431</x:v>
      </x:c>
      <x:c r="C3477" t="str">
        <x:v>GATE</x:v>
      </x:c>
      <x:c r="D3477" t="str">
        <x:v>release state mirrors governing ledger</x:v>
      </x:c>
      <x:c r="E3477" t="str">
        <x:f>'Release Gates'!I3437</x:f>
        <x:v>OPEN</x:v>
      </x:c>
      <x:c r="F3477" t="str">
        <x:f>IF('Release Gates'!C3437="PLANNING","PASS",IF('Release Gates'!C3437="PHYSICAL","OPEN","BLOCKED"))</x:f>
        <x:v>OPEN</x:v>
      </x:c>
      <x:c r="G3477" t="str">
        <x:v>equals</x:v>
      </x:c>
      <x:c r="H3477" t="str">
        <x:f>IF(E3477=F3477,"PASS","FAIL")</x:f>
        <x:v>PASS</x:v>
      </x:c>
    </x:row>
    <x:row r="3478">
      <x:c r="B3478" t="str">
        <x:v>A-03432</x:v>
      </x:c>
      <x:c r="C3478" t="str">
        <x:v>GATE</x:v>
      </x:c>
      <x:c r="D3478" t="str">
        <x:v>release state mirrors governing ledger</x:v>
      </x:c>
      <x:c r="E3478" t="str">
        <x:f>'Release Gates'!I3438</x:f>
        <x:v>OPEN</x:v>
      </x:c>
      <x:c r="F3478" t="str">
        <x:f>IF('Release Gates'!C3438="PLANNING","PASS",IF('Release Gates'!C3438="PHYSICAL","OPEN","BLOCKED"))</x:f>
        <x:v>OPEN</x:v>
      </x:c>
      <x:c r="G3478" t="str">
        <x:v>equals</x:v>
      </x:c>
      <x:c r="H3478" t="str">
        <x:f>IF(E3478=F3478,"PASS","FAIL")</x:f>
        <x:v>PASS</x:v>
      </x:c>
    </x:row>
    <x:row r="3479">
      <x:c r="B3479" t="str">
        <x:v>A-03433</x:v>
      </x:c>
      <x:c r="C3479" t="str">
        <x:v>GATE</x:v>
      </x:c>
      <x:c r="D3479" t="str">
        <x:v>release state mirrors governing ledger</x:v>
      </x:c>
      <x:c r="E3479" t="str">
        <x:f>'Release Gates'!I3439</x:f>
        <x:v>OPEN</x:v>
      </x:c>
      <x:c r="F3479" t="str">
        <x:f>IF('Release Gates'!C3439="PLANNING","PASS",IF('Release Gates'!C3439="PHYSICAL","OPEN","BLOCKED"))</x:f>
        <x:v>OPEN</x:v>
      </x:c>
      <x:c r="G3479" t="str">
        <x:v>equals</x:v>
      </x:c>
      <x:c r="H3479" t="str">
        <x:f>IF(E3479=F3479,"PASS","FAIL")</x:f>
        <x:v>PASS</x:v>
      </x:c>
    </x:row>
    <x:row r="3480">
      <x:c r="B3480" t="str">
        <x:v>A-03434</x:v>
      </x:c>
      <x:c r="C3480" t="str">
        <x:v>GATE</x:v>
      </x:c>
      <x:c r="D3480" t="str">
        <x:v>release state mirrors governing ledger</x:v>
      </x:c>
      <x:c r="E3480" t="str">
        <x:f>'Release Gates'!I3440</x:f>
        <x:v>OPEN</x:v>
      </x:c>
      <x:c r="F3480" t="str">
        <x:f>IF('Release Gates'!C3440="PLANNING","PASS",IF('Release Gates'!C3440="PHYSICAL","OPEN","BLOCKED"))</x:f>
        <x:v>OPEN</x:v>
      </x:c>
      <x:c r="G3480" t="str">
        <x:v>equals</x:v>
      </x:c>
      <x:c r="H3480" t="str">
        <x:f>IF(E3480=F3480,"PASS","FAIL")</x:f>
        <x:v>PASS</x:v>
      </x:c>
    </x:row>
    <x:row r="3481">
      <x:c r="B3481" t="str">
        <x:v>A-03435</x:v>
      </x:c>
      <x:c r="C3481" t="str">
        <x:v>GATE</x:v>
      </x:c>
      <x:c r="D3481" t="str">
        <x:v>release state mirrors governing ledger</x:v>
      </x:c>
      <x:c r="E3481" t="str">
        <x:f>'Release Gates'!I3441</x:f>
        <x:v>OPEN</x:v>
      </x:c>
      <x:c r="F3481" t="str">
        <x:f>IF('Release Gates'!C3441="PLANNING","PASS",IF('Release Gates'!C3441="PHYSICAL","OPEN","BLOCKED"))</x:f>
        <x:v>OPEN</x:v>
      </x:c>
      <x:c r="G3481" t="str">
        <x:v>equals</x:v>
      </x:c>
      <x:c r="H3481" t="str">
        <x:f>IF(E3481=F3481,"PASS","FAIL")</x:f>
        <x:v>PASS</x:v>
      </x:c>
    </x:row>
    <x:row r="3482">
      <x:c r="B3482" t="str">
        <x:v>A-03436</x:v>
      </x:c>
      <x:c r="C3482" t="str">
        <x:v>GATE</x:v>
      </x:c>
      <x:c r="D3482" t="str">
        <x:v>release state mirrors governing ledger</x:v>
      </x:c>
      <x:c r="E3482" t="str">
        <x:f>'Release Gates'!I3442</x:f>
        <x:v>OPEN</x:v>
      </x:c>
      <x:c r="F3482" t="str">
        <x:f>IF('Release Gates'!C3442="PLANNING","PASS",IF('Release Gates'!C3442="PHYSICAL","OPEN","BLOCKED"))</x:f>
        <x:v>OPEN</x:v>
      </x:c>
      <x:c r="G3482" t="str">
        <x:v>equals</x:v>
      </x:c>
      <x:c r="H3482" t="str">
        <x:f>IF(E3482=F3482,"PASS","FAIL")</x:f>
        <x:v>PASS</x:v>
      </x:c>
    </x:row>
    <x:row r="3483">
      <x:c r="B3483" t="str">
        <x:v>A-03437</x:v>
      </x:c>
      <x:c r="C3483" t="str">
        <x:v>GATE</x:v>
      </x:c>
      <x:c r="D3483" t="str">
        <x:v>release state mirrors governing ledger</x:v>
      </x:c>
      <x:c r="E3483" t="str">
        <x:f>'Release Gates'!I3443</x:f>
        <x:v>OPEN</x:v>
      </x:c>
      <x:c r="F3483" t="str">
        <x:f>IF('Release Gates'!C3443="PLANNING","PASS",IF('Release Gates'!C3443="PHYSICAL","OPEN","BLOCKED"))</x:f>
        <x:v>OPEN</x:v>
      </x:c>
      <x:c r="G3483" t="str">
        <x:v>equals</x:v>
      </x:c>
      <x:c r="H3483" t="str">
        <x:f>IF(E3483=F3483,"PASS","FAIL")</x:f>
        <x:v>PASS</x:v>
      </x:c>
    </x:row>
    <x:row r="3484">
      <x:c r="B3484" t="str">
        <x:v>A-03438</x:v>
      </x:c>
      <x:c r="C3484" t="str">
        <x:v>GATE</x:v>
      </x:c>
      <x:c r="D3484" t="str">
        <x:v>release state mirrors governing ledger</x:v>
      </x:c>
      <x:c r="E3484" t="str">
        <x:f>'Release Gates'!I3444</x:f>
        <x:v>OPEN</x:v>
      </x:c>
      <x:c r="F3484" t="str">
        <x:f>IF('Release Gates'!C3444="PLANNING","PASS",IF('Release Gates'!C3444="PHYSICAL","OPEN","BLOCKED"))</x:f>
        <x:v>OPEN</x:v>
      </x:c>
      <x:c r="G3484" t="str">
        <x:v>equals</x:v>
      </x:c>
      <x:c r="H3484" t="str">
        <x:f>IF(E3484=F3484,"PASS","FAIL")</x:f>
        <x:v>PASS</x:v>
      </x:c>
    </x:row>
    <x:row r="3485">
      <x:c r="B3485" t="str">
        <x:v>A-03439</x:v>
      </x:c>
      <x:c r="C3485" t="str">
        <x:v>GATE</x:v>
      </x:c>
      <x:c r="D3485" t="str">
        <x:v>release state mirrors governing ledger</x:v>
      </x:c>
      <x:c r="E3485" t="str">
        <x:f>'Release Gates'!I3445</x:f>
        <x:v>OPEN</x:v>
      </x:c>
      <x:c r="F3485" t="str">
        <x:f>IF('Release Gates'!C3445="PLANNING","PASS",IF('Release Gates'!C3445="PHYSICAL","OPEN","BLOCKED"))</x:f>
        <x:v>OPEN</x:v>
      </x:c>
      <x:c r="G3485" t="str">
        <x:v>equals</x:v>
      </x:c>
      <x:c r="H3485" t="str">
        <x:f>IF(E3485=F3485,"PASS","FAIL")</x:f>
        <x:v>PASS</x:v>
      </x:c>
    </x:row>
    <x:row r="3486">
      <x:c r="B3486" t="str">
        <x:v>A-03440</x:v>
      </x:c>
      <x:c r="C3486" t="str">
        <x:v>GATE</x:v>
      </x:c>
      <x:c r="D3486" t="str">
        <x:v>release state mirrors governing ledger</x:v>
      </x:c>
      <x:c r="E3486" t="str">
        <x:f>'Release Gates'!I3446</x:f>
        <x:v>OPEN</x:v>
      </x:c>
      <x:c r="F3486" t="str">
        <x:f>IF('Release Gates'!C3446="PLANNING","PASS",IF('Release Gates'!C3446="PHYSICAL","OPEN","BLOCKED"))</x:f>
        <x:v>OPEN</x:v>
      </x:c>
      <x:c r="G3486" t="str">
        <x:v>equals</x:v>
      </x:c>
      <x:c r="H3486" t="str">
        <x:f>IF(E3486=F3486,"PASS","FAIL")</x:f>
        <x:v>PASS</x:v>
      </x:c>
    </x:row>
    <x:row r="3487">
      <x:c r="B3487" t="str">
        <x:v>A-03441</x:v>
      </x:c>
      <x:c r="C3487" t="str">
        <x:v>GATE</x:v>
      </x:c>
      <x:c r="D3487" t="str">
        <x:v>release state mirrors governing ledger</x:v>
      </x:c>
      <x:c r="E3487" t="str">
        <x:f>'Release Gates'!I3447</x:f>
        <x:v>OPEN</x:v>
      </x:c>
      <x:c r="F3487" t="str">
        <x:f>IF('Release Gates'!C3447="PLANNING","PASS",IF('Release Gates'!C3447="PHYSICAL","OPEN","BLOCKED"))</x:f>
        <x:v>OPEN</x:v>
      </x:c>
      <x:c r="G3487" t="str">
        <x:v>equals</x:v>
      </x:c>
      <x:c r="H3487" t="str">
        <x:f>IF(E3487=F3487,"PASS","FAIL")</x:f>
        <x:v>PASS</x:v>
      </x:c>
    </x:row>
    <x:row r="3488">
      <x:c r="B3488" t="str">
        <x:v>A-03442</x:v>
      </x:c>
      <x:c r="C3488" t="str">
        <x:v>GATE</x:v>
      </x:c>
      <x:c r="D3488" t="str">
        <x:v>release state mirrors governing ledger</x:v>
      </x:c>
      <x:c r="E3488" t="str">
        <x:f>'Release Gates'!I3448</x:f>
        <x:v>OPEN</x:v>
      </x:c>
      <x:c r="F3488" t="str">
        <x:f>IF('Release Gates'!C3448="PLANNING","PASS",IF('Release Gates'!C3448="PHYSICAL","OPEN","BLOCKED"))</x:f>
        <x:v>OPEN</x:v>
      </x:c>
      <x:c r="G3488" t="str">
        <x:v>equals</x:v>
      </x:c>
      <x:c r="H3488" t="str">
        <x:f>IF(E3488=F3488,"PASS","FAIL")</x:f>
        <x:v>PASS</x:v>
      </x:c>
    </x:row>
    <x:row r="3489">
      <x:c r="B3489" t="str">
        <x:v>A-03443</x:v>
      </x:c>
      <x:c r="C3489" t="str">
        <x:v>GATE</x:v>
      </x:c>
      <x:c r="D3489" t="str">
        <x:v>release state mirrors governing ledger</x:v>
      </x:c>
      <x:c r="E3489" t="str">
        <x:f>'Release Gates'!I3449</x:f>
        <x:v>OPEN</x:v>
      </x:c>
      <x:c r="F3489" t="str">
        <x:f>IF('Release Gates'!C3449="PLANNING","PASS",IF('Release Gates'!C3449="PHYSICAL","OPEN","BLOCKED"))</x:f>
        <x:v>OPEN</x:v>
      </x:c>
      <x:c r="G3489" t="str">
        <x:v>equals</x:v>
      </x:c>
      <x:c r="H3489" t="str">
        <x:f>IF(E3489=F3489,"PASS","FAIL")</x:f>
        <x:v>PASS</x:v>
      </x:c>
    </x:row>
    <x:row r="3490">
      <x:c r="B3490" t="str">
        <x:v>A-03444</x:v>
      </x:c>
      <x:c r="C3490" t="str">
        <x:v>GATE</x:v>
      </x:c>
      <x:c r="D3490" t="str">
        <x:v>release state mirrors governing ledger</x:v>
      </x:c>
      <x:c r="E3490" t="str">
        <x:f>'Release Gates'!I3450</x:f>
        <x:v>OPEN</x:v>
      </x:c>
      <x:c r="F3490" t="str">
        <x:f>IF('Release Gates'!C3450="PLANNING","PASS",IF('Release Gates'!C3450="PHYSICAL","OPEN","BLOCKED"))</x:f>
        <x:v>OPEN</x:v>
      </x:c>
      <x:c r="G3490" t="str">
        <x:v>equals</x:v>
      </x:c>
      <x:c r="H3490" t="str">
        <x:f>IF(E3490=F3490,"PASS","FAIL")</x:f>
        <x:v>PASS</x:v>
      </x:c>
    </x:row>
    <x:row r="3491">
      <x:c r="B3491" t="str">
        <x:v>A-03445</x:v>
      </x:c>
      <x:c r="C3491" t="str">
        <x:v>GATE</x:v>
      </x:c>
      <x:c r="D3491" t="str">
        <x:v>release state mirrors governing ledger</x:v>
      </x:c>
      <x:c r="E3491" t="str">
        <x:f>'Release Gates'!I3451</x:f>
        <x:v>OPEN</x:v>
      </x:c>
      <x:c r="F3491" t="str">
        <x:f>IF('Release Gates'!C3451="PLANNING","PASS",IF('Release Gates'!C3451="PHYSICAL","OPEN","BLOCKED"))</x:f>
        <x:v>OPEN</x:v>
      </x:c>
      <x:c r="G3491" t="str">
        <x:v>equals</x:v>
      </x:c>
      <x:c r="H3491" t="str">
        <x:f>IF(E3491=F3491,"PASS","FAIL")</x:f>
        <x:v>PASS</x:v>
      </x:c>
    </x:row>
    <x:row r="3492">
      <x:c r="B3492" t="str">
        <x:v>A-03446</x:v>
      </x:c>
      <x:c r="C3492" t="str">
        <x:v>GATE</x:v>
      </x:c>
      <x:c r="D3492" t="str">
        <x:v>release state mirrors governing ledger</x:v>
      </x:c>
      <x:c r="E3492" t="str">
        <x:f>'Release Gates'!I3452</x:f>
        <x:v>OPEN</x:v>
      </x:c>
      <x:c r="F3492" t="str">
        <x:f>IF('Release Gates'!C3452="PLANNING","PASS",IF('Release Gates'!C3452="PHYSICAL","OPEN","BLOCKED"))</x:f>
        <x:v>OPEN</x:v>
      </x:c>
      <x:c r="G3492" t="str">
        <x:v>equals</x:v>
      </x:c>
      <x:c r="H3492" t="str">
        <x:f>IF(E3492=F3492,"PASS","FAIL")</x:f>
        <x:v>PASS</x:v>
      </x:c>
    </x:row>
    <x:row r="3493">
      <x:c r="B3493" t="str">
        <x:v>A-03447</x:v>
      </x:c>
      <x:c r="C3493" t="str">
        <x:v>GATE</x:v>
      </x:c>
      <x:c r="D3493" t="str">
        <x:v>release state mirrors governing ledger</x:v>
      </x:c>
      <x:c r="E3493" t="str">
        <x:f>'Release Gates'!I3453</x:f>
        <x:v>OPEN</x:v>
      </x:c>
      <x:c r="F3493" t="str">
        <x:f>IF('Release Gates'!C3453="PLANNING","PASS",IF('Release Gates'!C3453="PHYSICAL","OPEN","BLOCKED"))</x:f>
        <x:v>OPEN</x:v>
      </x:c>
      <x:c r="G3493" t="str">
        <x:v>equals</x:v>
      </x:c>
      <x:c r="H3493" t="str">
        <x:f>IF(E3493=F3493,"PASS","FAIL")</x:f>
        <x:v>PASS</x:v>
      </x:c>
    </x:row>
    <x:row r="3494">
      <x:c r="B3494" t="str">
        <x:v>A-03448</x:v>
      </x:c>
      <x:c r="C3494" t="str">
        <x:v>GATE</x:v>
      </x:c>
      <x:c r="D3494" t="str">
        <x:v>release state mirrors governing ledger</x:v>
      </x:c>
      <x:c r="E3494" t="str">
        <x:f>'Release Gates'!I3454</x:f>
        <x:v>OPEN</x:v>
      </x:c>
      <x:c r="F3494" t="str">
        <x:f>IF('Release Gates'!C3454="PLANNING","PASS",IF('Release Gates'!C3454="PHYSICAL","OPEN","BLOCKED"))</x:f>
        <x:v>OPEN</x:v>
      </x:c>
      <x:c r="G3494" t="str">
        <x:v>equals</x:v>
      </x:c>
      <x:c r="H3494" t="str">
        <x:f>IF(E3494=F3494,"PASS","FAIL")</x:f>
        <x:v>PASS</x:v>
      </x:c>
    </x:row>
    <x:row r="3495">
      <x:c r="B3495" t="str">
        <x:v>A-03449</x:v>
      </x:c>
      <x:c r="C3495" t="str">
        <x:v>GATE</x:v>
      </x:c>
      <x:c r="D3495" t="str">
        <x:v>release state mirrors governing ledger</x:v>
      </x:c>
      <x:c r="E3495" t="str">
        <x:f>'Release Gates'!I3455</x:f>
        <x:v>OPEN</x:v>
      </x:c>
      <x:c r="F3495" t="str">
        <x:f>IF('Release Gates'!C3455="PLANNING","PASS",IF('Release Gates'!C3455="PHYSICAL","OPEN","BLOCKED"))</x:f>
        <x:v>OPEN</x:v>
      </x:c>
      <x:c r="G3495" t="str">
        <x:v>equals</x:v>
      </x:c>
      <x:c r="H3495" t="str">
        <x:f>IF(E3495=F3495,"PASS","FAIL")</x:f>
        <x:v>PASS</x:v>
      </x:c>
    </x:row>
    <x:row r="3496">
      <x:c r="B3496" t="str">
        <x:v>A-03450</x:v>
      </x:c>
      <x:c r="C3496" t="str">
        <x:v>GATE</x:v>
      </x:c>
      <x:c r="D3496" t="str">
        <x:v>release state mirrors governing ledger</x:v>
      </x:c>
      <x:c r="E3496" t="str">
        <x:f>'Release Gates'!I3456</x:f>
        <x:v>OPEN</x:v>
      </x:c>
      <x:c r="F3496" t="str">
        <x:f>IF('Release Gates'!C3456="PLANNING","PASS",IF('Release Gates'!C3456="PHYSICAL","OPEN","BLOCKED"))</x:f>
        <x:v>OPEN</x:v>
      </x:c>
      <x:c r="G3496" t="str">
        <x:v>equals</x:v>
      </x:c>
      <x:c r="H3496" t="str">
        <x:f>IF(E3496=F3496,"PASS","FAIL")</x:f>
        <x:v>PASS</x:v>
      </x:c>
    </x:row>
    <x:row r="3497">
      <x:c r="B3497" t="str">
        <x:v>A-03451</x:v>
      </x:c>
      <x:c r="C3497" t="str">
        <x:v>GATE</x:v>
      </x:c>
      <x:c r="D3497" t="str">
        <x:v>release state mirrors governing ledger</x:v>
      </x:c>
      <x:c r="E3497" t="str">
        <x:f>'Release Gates'!I3457</x:f>
        <x:v>OPEN</x:v>
      </x:c>
      <x:c r="F3497" t="str">
        <x:f>IF('Release Gates'!C3457="PLANNING","PASS",IF('Release Gates'!C3457="PHYSICAL","OPEN","BLOCKED"))</x:f>
        <x:v>OPEN</x:v>
      </x:c>
      <x:c r="G3497" t="str">
        <x:v>equals</x:v>
      </x:c>
      <x:c r="H3497" t="str">
        <x:f>IF(E3497=F3497,"PASS","FAIL")</x:f>
        <x:v>PASS</x:v>
      </x:c>
    </x:row>
    <x:row r="3498">
      <x:c r="B3498" t="str">
        <x:v>A-03452</x:v>
      </x:c>
      <x:c r="C3498" t="str">
        <x:v>GATE</x:v>
      </x:c>
      <x:c r="D3498" t="str">
        <x:v>release state mirrors governing ledger</x:v>
      </x:c>
      <x:c r="E3498" t="str">
        <x:f>'Release Gates'!I3458</x:f>
        <x:v>OPEN</x:v>
      </x:c>
      <x:c r="F3498" t="str">
        <x:f>IF('Release Gates'!C3458="PLANNING","PASS",IF('Release Gates'!C3458="PHYSICAL","OPEN","BLOCKED"))</x:f>
        <x:v>OPEN</x:v>
      </x:c>
      <x:c r="G3498" t="str">
        <x:v>equals</x:v>
      </x:c>
      <x:c r="H3498" t="str">
        <x:f>IF(E3498=F3498,"PASS","FAIL")</x:f>
        <x:v>PASS</x:v>
      </x:c>
    </x:row>
    <x:row r="3499">
      <x:c r="B3499" t="str">
        <x:v>A-03453</x:v>
      </x:c>
      <x:c r="C3499" t="str">
        <x:v>GATE</x:v>
      </x:c>
      <x:c r="D3499" t="str">
        <x:v>release state mirrors governing ledger</x:v>
      </x:c>
      <x:c r="E3499" t="str">
        <x:f>'Release Gates'!I3459</x:f>
        <x:v>OPEN</x:v>
      </x:c>
      <x:c r="F3499" t="str">
        <x:f>IF('Release Gates'!C3459="PLANNING","PASS",IF('Release Gates'!C3459="PHYSICAL","OPEN","BLOCKED"))</x:f>
        <x:v>OPEN</x:v>
      </x:c>
      <x:c r="G3499" t="str">
        <x:v>equals</x:v>
      </x:c>
      <x:c r="H3499" t="str">
        <x:f>IF(E3499=F3499,"PASS","FAIL")</x:f>
        <x:v>PASS</x:v>
      </x:c>
    </x:row>
    <x:row r="3500">
      <x:c r="B3500" t="str">
        <x:v>A-03454</x:v>
      </x:c>
      <x:c r="C3500" t="str">
        <x:v>GATE</x:v>
      </x:c>
      <x:c r="D3500" t="str">
        <x:v>release state mirrors governing ledger</x:v>
      </x:c>
      <x:c r="E3500" t="str">
        <x:f>'Release Gates'!I3460</x:f>
        <x:v>OPEN</x:v>
      </x:c>
      <x:c r="F3500" t="str">
        <x:f>IF('Release Gates'!C3460="PLANNING","PASS",IF('Release Gates'!C3460="PHYSICAL","OPEN","BLOCKED"))</x:f>
        <x:v>OPEN</x:v>
      </x:c>
      <x:c r="G3500" t="str">
        <x:v>equals</x:v>
      </x:c>
      <x:c r="H3500" t="str">
        <x:f>IF(E3500=F3500,"PASS","FAIL")</x:f>
        <x:v>PASS</x:v>
      </x:c>
    </x:row>
    <x:row r="3501">
      <x:c r="B3501" t="str">
        <x:v>A-03455</x:v>
      </x:c>
      <x:c r="C3501" t="str">
        <x:v>GATE</x:v>
      </x:c>
      <x:c r="D3501" t="str">
        <x:v>release state mirrors governing ledger</x:v>
      </x:c>
      <x:c r="E3501" t="str">
        <x:f>'Release Gates'!I3461</x:f>
        <x:v>OPEN</x:v>
      </x:c>
      <x:c r="F3501" t="str">
        <x:f>IF('Release Gates'!C3461="PLANNING","PASS",IF('Release Gates'!C3461="PHYSICAL","OPEN","BLOCKED"))</x:f>
        <x:v>OPEN</x:v>
      </x:c>
      <x:c r="G3501" t="str">
        <x:v>equals</x:v>
      </x:c>
      <x:c r="H3501" t="str">
        <x:f>IF(E3501=F3501,"PASS","FAIL")</x:f>
        <x:v>PASS</x:v>
      </x:c>
    </x:row>
    <x:row r="3502">
      <x:c r="B3502" t="str">
        <x:v>A-03456</x:v>
      </x:c>
      <x:c r="C3502" t="str">
        <x:v>GATE</x:v>
      </x:c>
      <x:c r="D3502" t="str">
        <x:v>release state mirrors governing ledger</x:v>
      </x:c>
      <x:c r="E3502" t="str">
        <x:f>'Release Gates'!I3462</x:f>
        <x:v>OPEN</x:v>
      </x:c>
      <x:c r="F3502" t="str">
        <x:f>IF('Release Gates'!C3462="PLANNING","PASS",IF('Release Gates'!C3462="PHYSICAL","OPEN","BLOCKED"))</x:f>
        <x:v>OPEN</x:v>
      </x:c>
      <x:c r="G3502" t="str">
        <x:v>equals</x:v>
      </x:c>
      <x:c r="H3502" t="str">
        <x:f>IF(E3502=F3502,"PASS","FAIL")</x:f>
        <x:v>PASS</x:v>
      </x:c>
    </x:row>
    <x:row r="3503">
      <x:c r="B3503" t="str">
        <x:v>A-03457</x:v>
      </x:c>
      <x:c r="C3503" t="str">
        <x:v>GATE</x:v>
      </x:c>
      <x:c r="D3503" t="str">
        <x:v>release state mirrors governing ledger</x:v>
      </x:c>
      <x:c r="E3503" t="str">
        <x:f>'Release Gates'!I3463</x:f>
        <x:v>OPEN</x:v>
      </x:c>
      <x:c r="F3503" t="str">
        <x:f>IF('Release Gates'!C3463="PLANNING","PASS",IF('Release Gates'!C3463="PHYSICAL","OPEN","BLOCKED"))</x:f>
        <x:v>OPEN</x:v>
      </x:c>
      <x:c r="G3503" t="str">
        <x:v>equals</x:v>
      </x:c>
      <x:c r="H3503" t="str">
        <x:f>IF(E3503=F3503,"PASS","FAIL")</x:f>
        <x:v>PASS</x:v>
      </x:c>
    </x:row>
    <x:row r="3504">
      <x:c r="B3504" t="str">
        <x:v>A-03458</x:v>
      </x:c>
      <x:c r="C3504" t="str">
        <x:v>GATE</x:v>
      </x:c>
      <x:c r="D3504" t="str">
        <x:v>release state mirrors governing ledger</x:v>
      </x:c>
      <x:c r="E3504" t="str">
        <x:f>'Release Gates'!I3464</x:f>
        <x:v>OPEN</x:v>
      </x:c>
      <x:c r="F3504" t="str">
        <x:f>IF('Release Gates'!C3464="PLANNING","PASS",IF('Release Gates'!C3464="PHYSICAL","OPEN","BLOCKED"))</x:f>
        <x:v>OPEN</x:v>
      </x:c>
      <x:c r="G3504" t="str">
        <x:v>equals</x:v>
      </x:c>
      <x:c r="H3504" t="str">
        <x:f>IF(E3504=F3504,"PASS","FAIL")</x:f>
        <x:v>PASS</x:v>
      </x:c>
    </x:row>
    <x:row r="3505">
      <x:c r="B3505" t="str">
        <x:v>A-03459</x:v>
      </x:c>
      <x:c r="C3505" t="str">
        <x:v>GATE</x:v>
      </x:c>
      <x:c r="D3505" t="str">
        <x:v>release state mirrors governing ledger</x:v>
      </x:c>
      <x:c r="E3505" t="str">
        <x:f>'Release Gates'!I3465</x:f>
        <x:v>OPEN</x:v>
      </x:c>
      <x:c r="F3505" t="str">
        <x:f>IF('Release Gates'!C3465="PLANNING","PASS",IF('Release Gates'!C3465="PHYSICAL","OPEN","BLOCKED"))</x:f>
        <x:v>OPEN</x:v>
      </x:c>
      <x:c r="G3505" t="str">
        <x:v>equals</x:v>
      </x:c>
      <x:c r="H3505" t="str">
        <x:f>IF(E3505=F3505,"PASS","FAIL")</x:f>
        <x:v>PASS</x:v>
      </x:c>
    </x:row>
    <x:row r="3506">
      <x:c r="B3506" t="str">
        <x:v>A-03460</x:v>
      </x:c>
      <x:c r="C3506" t="str">
        <x:v>GATE</x:v>
      </x:c>
      <x:c r="D3506" t="str">
        <x:v>release state mirrors governing ledger</x:v>
      </x:c>
      <x:c r="E3506" t="str">
        <x:f>'Release Gates'!I3466</x:f>
        <x:v>OPEN</x:v>
      </x:c>
      <x:c r="F3506" t="str">
        <x:f>IF('Release Gates'!C3466="PLANNING","PASS",IF('Release Gates'!C3466="PHYSICAL","OPEN","BLOCKED"))</x:f>
        <x:v>OPEN</x:v>
      </x:c>
      <x:c r="G3506" t="str">
        <x:v>equals</x:v>
      </x:c>
      <x:c r="H3506" t="str">
        <x:f>IF(E3506=F3506,"PASS","FAIL")</x:f>
        <x:v>PASS</x:v>
      </x:c>
    </x:row>
    <x:row r="3507">
      <x:c r="B3507" t="str">
        <x:v>A-03461</x:v>
      </x:c>
      <x:c r="C3507" t="str">
        <x:v>GATE</x:v>
      </x:c>
      <x:c r="D3507" t="str">
        <x:v>release state mirrors governing ledger</x:v>
      </x:c>
      <x:c r="E3507" t="str">
        <x:f>'Release Gates'!I3467</x:f>
        <x:v>OPEN</x:v>
      </x:c>
      <x:c r="F3507" t="str">
        <x:f>IF('Release Gates'!C3467="PLANNING","PASS",IF('Release Gates'!C3467="PHYSICAL","OPEN","BLOCKED"))</x:f>
        <x:v>OPEN</x:v>
      </x:c>
      <x:c r="G3507" t="str">
        <x:v>equals</x:v>
      </x:c>
      <x:c r="H3507" t="str">
        <x:f>IF(E3507=F3507,"PASS","FAIL")</x:f>
        <x:v>PASS</x:v>
      </x:c>
    </x:row>
    <x:row r="3508">
      <x:c r="B3508" t="str">
        <x:v>A-03462</x:v>
      </x:c>
      <x:c r="C3508" t="str">
        <x:v>GATE</x:v>
      </x:c>
      <x:c r="D3508" t="str">
        <x:v>release state mirrors governing ledger</x:v>
      </x:c>
      <x:c r="E3508" t="str">
        <x:f>'Release Gates'!I3468</x:f>
        <x:v>OPEN</x:v>
      </x:c>
      <x:c r="F3508" t="str">
        <x:f>IF('Release Gates'!C3468="PLANNING","PASS",IF('Release Gates'!C3468="PHYSICAL","OPEN","BLOCKED"))</x:f>
        <x:v>OPEN</x:v>
      </x:c>
      <x:c r="G3508" t="str">
        <x:v>equals</x:v>
      </x:c>
      <x:c r="H3508" t="str">
        <x:f>IF(E3508=F3508,"PASS","FAIL")</x:f>
        <x:v>PASS</x:v>
      </x:c>
    </x:row>
    <x:row r="3509">
      <x:c r="B3509" t="str">
        <x:v>A-03463</x:v>
      </x:c>
      <x:c r="C3509" t="str">
        <x:v>GATE</x:v>
      </x:c>
      <x:c r="D3509" t="str">
        <x:v>release state mirrors governing ledger</x:v>
      </x:c>
      <x:c r="E3509" t="str">
        <x:f>'Release Gates'!I3469</x:f>
        <x:v>OPEN</x:v>
      </x:c>
      <x:c r="F3509" t="str">
        <x:f>IF('Release Gates'!C3469="PLANNING","PASS",IF('Release Gates'!C3469="PHYSICAL","OPEN","BLOCKED"))</x:f>
        <x:v>OPEN</x:v>
      </x:c>
      <x:c r="G3509" t="str">
        <x:v>equals</x:v>
      </x:c>
      <x:c r="H3509" t="str">
        <x:f>IF(E3509=F3509,"PASS","FAIL")</x:f>
        <x:v>PASS</x:v>
      </x:c>
    </x:row>
    <x:row r="3510">
      <x:c r="B3510" t="str">
        <x:v>A-03464</x:v>
      </x:c>
      <x:c r="C3510" t="str">
        <x:v>GATE</x:v>
      </x:c>
      <x:c r="D3510" t="str">
        <x:v>release state mirrors governing ledger</x:v>
      </x:c>
      <x:c r="E3510" t="str">
        <x:f>'Release Gates'!I3470</x:f>
        <x:v>OPEN</x:v>
      </x:c>
      <x:c r="F3510" t="str">
        <x:f>IF('Release Gates'!C3470="PLANNING","PASS",IF('Release Gates'!C3470="PHYSICAL","OPEN","BLOCKED"))</x:f>
        <x:v>OPEN</x:v>
      </x:c>
      <x:c r="G3510" t="str">
        <x:v>equals</x:v>
      </x:c>
      <x:c r="H3510" t="str">
        <x:f>IF(E3510=F3510,"PASS","FAIL")</x:f>
        <x:v>PASS</x:v>
      </x:c>
    </x:row>
    <x:row r="3511">
      <x:c r="B3511" t="str">
        <x:v>A-03465</x:v>
      </x:c>
      <x:c r="C3511" t="str">
        <x:v>GATE</x:v>
      </x:c>
      <x:c r="D3511" t="str">
        <x:v>release state mirrors governing ledger</x:v>
      </x:c>
      <x:c r="E3511" t="str">
        <x:f>'Release Gates'!I3471</x:f>
        <x:v>OPEN</x:v>
      </x:c>
      <x:c r="F3511" t="str">
        <x:f>IF('Release Gates'!C3471="PLANNING","PASS",IF('Release Gates'!C3471="PHYSICAL","OPEN","BLOCKED"))</x:f>
        <x:v>OPEN</x:v>
      </x:c>
      <x:c r="G3511" t="str">
        <x:v>equals</x:v>
      </x:c>
      <x:c r="H3511" t="str">
        <x:f>IF(E3511=F3511,"PASS","FAIL")</x:f>
        <x:v>PASS</x:v>
      </x:c>
    </x:row>
    <x:row r="3512">
      <x:c r="B3512" t="str">
        <x:v>A-03466</x:v>
      </x:c>
      <x:c r="C3512" t="str">
        <x:v>GATE</x:v>
      </x:c>
      <x:c r="D3512" t="str">
        <x:v>release state mirrors governing ledger</x:v>
      </x:c>
      <x:c r="E3512" t="str">
        <x:f>'Release Gates'!I3472</x:f>
        <x:v>OPEN</x:v>
      </x:c>
      <x:c r="F3512" t="str">
        <x:f>IF('Release Gates'!C3472="PLANNING","PASS",IF('Release Gates'!C3472="PHYSICAL","OPEN","BLOCKED"))</x:f>
        <x:v>OPEN</x:v>
      </x:c>
      <x:c r="G3512" t="str">
        <x:v>equals</x:v>
      </x:c>
      <x:c r="H3512" t="str">
        <x:f>IF(E3512=F3512,"PASS","FAIL")</x:f>
        <x:v>PASS</x:v>
      </x:c>
    </x:row>
    <x:row r="3513">
      <x:c r="B3513" t="str">
        <x:v>A-03467</x:v>
      </x:c>
      <x:c r="C3513" t="str">
        <x:v>GATE</x:v>
      </x:c>
      <x:c r="D3513" t="str">
        <x:v>release state mirrors governing ledger</x:v>
      </x:c>
      <x:c r="E3513" t="str">
        <x:f>'Release Gates'!I3473</x:f>
        <x:v>OPEN</x:v>
      </x:c>
      <x:c r="F3513" t="str">
        <x:f>IF('Release Gates'!C3473="PLANNING","PASS",IF('Release Gates'!C3473="PHYSICAL","OPEN","BLOCKED"))</x:f>
        <x:v>OPEN</x:v>
      </x:c>
      <x:c r="G3513" t="str">
        <x:v>equals</x:v>
      </x:c>
      <x:c r="H3513" t="str">
        <x:f>IF(E3513=F3513,"PASS","FAIL")</x:f>
        <x:v>PASS</x:v>
      </x:c>
    </x:row>
    <x:row r="3514">
      <x:c r="B3514" t="str">
        <x:v>A-03468</x:v>
      </x:c>
      <x:c r="C3514" t="str">
        <x:v>GATE</x:v>
      </x:c>
      <x:c r="D3514" t="str">
        <x:v>release state mirrors governing ledger</x:v>
      </x:c>
      <x:c r="E3514" t="str">
        <x:f>'Release Gates'!I3474</x:f>
        <x:v>OPEN</x:v>
      </x:c>
      <x:c r="F3514" t="str">
        <x:f>IF('Release Gates'!C3474="PLANNING","PASS",IF('Release Gates'!C3474="PHYSICAL","OPEN","BLOCKED"))</x:f>
        <x:v>OPEN</x:v>
      </x:c>
      <x:c r="G3514" t="str">
        <x:v>equals</x:v>
      </x:c>
      <x:c r="H3514" t="str">
        <x:f>IF(E3514=F3514,"PASS","FAIL")</x:f>
        <x:v>PASS</x:v>
      </x:c>
    </x:row>
    <x:row r="3515">
      <x:c r="B3515" t="str">
        <x:v>A-03469</x:v>
      </x:c>
      <x:c r="C3515" t="str">
        <x:v>GATE</x:v>
      </x:c>
      <x:c r="D3515" t="str">
        <x:v>release state mirrors governing ledger</x:v>
      </x:c>
      <x:c r="E3515" t="str">
        <x:f>'Release Gates'!I3475</x:f>
        <x:v>OPEN</x:v>
      </x:c>
      <x:c r="F3515" t="str">
        <x:f>IF('Release Gates'!C3475="PLANNING","PASS",IF('Release Gates'!C3475="PHYSICAL","OPEN","BLOCKED"))</x:f>
        <x:v>OPEN</x:v>
      </x:c>
      <x:c r="G3515" t="str">
        <x:v>equals</x:v>
      </x:c>
      <x:c r="H3515" t="str">
        <x:f>IF(E3515=F3515,"PASS","FAIL")</x:f>
        <x:v>PASS</x:v>
      </x:c>
    </x:row>
    <x:row r="3516">
      <x:c r="B3516" t="str">
        <x:v>A-03470</x:v>
      </x:c>
      <x:c r="C3516" t="str">
        <x:v>GATE</x:v>
      </x:c>
      <x:c r="D3516" t="str">
        <x:v>release state mirrors governing ledger</x:v>
      </x:c>
      <x:c r="E3516" t="str">
        <x:f>'Release Gates'!I3476</x:f>
        <x:v>OPEN</x:v>
      </x:c>
      <x:c r="F3516" t="str">
        <x:f>IF('Release Gates'!C3476="PLANNING","PASS",IF('Release Gates'!C3476="PHYSICAL","OPEN","BLOCKED"))</x:f>
        <x:v>OPEN</x:v>
      </x:c>
      <x:c r="G3516" t="str">
        <x:v>equals</x:v>
      </x:c>
      <x:c r="H3516" t="str">
        <x:f>IF(E3516=F3516,"PASS","FAIL")</x:f>
        <x:v>PASS</x:v>
      </x:c>
    </x:row>
    <x:row r="3517">
      <x:c r="B3517" t="str">
        <x:v>A-03471</x:v>
      </x:c>
      <x:c r="C3517" t="str">
        <x:v>GATE</x:v>
      </x:c>
      <x:c r="D3517" t="str">
        <x:v>release state mirrors governing ledger</x:v>
      </x:c>
      <x:c r="E3517" t="str">
        <x:f>'Release Gates'!I3477</x:f>
        <x:v>OPEN</x:v>
      </x:c>
      <x:c r="F3517" t="str">
        <x:f>IF('Release Gates'!C3477="PLANNING","PASS",IF('Release Gates'!C3477="PHYSICAL","OPEN","BLOCKED"))</x:f>
        <x:v>OPEN</x:v>
      </x:c>
      <x:c r="G3517" t="str">
        <x:v>equals</x:v>
      </x:c>
      <x:c r="H3517" t="str">
        <x:f>IF(E3517=F3517,"PASS","FAIL")</x:f>
        <x:v>PASS</x:v>
      </x:c>
    </x:row>
    <x:row r="3518">
      <x:c r="B3518" t="str">
        <x:v>A-03472</x:v>
      </x:c>
      <x:c r="C3518" t="str">
        <x:v>GATE</x:v>
      </x:c>
      <x:c r="D3518" t="str">
        <x:v>release state mirrors governing ledger</x:v>
      </x:c>
      <x:c r="E3518" t="str">
        <x:f>'Release Gates'!I3478</x:f>
        <x:v>OPEN</x:v>
      </x:c>
      <x:c r="F3518" t="str">
        <x:f>IF('Release Gates'!C3478="PLANNING","PASS",IF('Release Gates'!C3478="PHYSICAL","OPEN","BLOCKED"))</x:f>
        <x:v>OPEN</x:v>
      </x:c>
      <x:c r="G3518" t="str">
        <x:v>equals</x:v>
      </x:c>
      <x:c r="H3518" t="str">
        <x:f>IF(E3518=F3518,"PASS","FAIL")</x:f>
        <x:v>PASS</x:v>
      </x:c>
    </x:row>
    <x:row r="3519">
      <x:c r="B3519" t="str">
        <x:v>A-03473</x:v>
      </x:c>
      <x:c r="C3519" t="str">
        <x:v>GATE</x:v>
      </x:c>
      <x:c r="D3519" t="str">
        <x:v>release state mirrors governing ledger</x:v>
      </x:c>
      <x:c r="E3519" t="str">
        <x:f>'Release Gates'!I3479</x:f>
        <x:v>OPEN</x:v>
      </x:c>
      <x:c r="F3519" t="str">
        <x:f>IF('Release Gates'!C3479="PLANNING","PASS",IF('Release Gates'!C3479="PHYSICAL","OPEN","BLOCKED"))</x:f>
        <x:v>OPEN</x:v>
      </x:c>
      <x:c r="G3519" t="str">
        <x:v>equals</x:v>
      </x:c>
      <x:c r="H3519" t="str">
        <x:f>IF(E3519=F3519,"PASS","FAIL")</x:f>
        <x:v>PASS</x:v>
      </x:c>
    </x:row>
    <x:row r="3520">
      <x:c r="B3520" t="str">
        <x:v>A-03474</x:v>
      </x:c>
      <x:c r="C3520" t="str">
        <x:v>GATE</x:v>
      </x:c>
      <x:c r="D3520" t="str">
        <x:v>release state mirrors governing ledger</x:v>
      </x:c>
      <x:c r="E3520" t="str">
        <x:f>'Release Gates'!I3480</x:f>
        <x:v>OPEN</x:v>
      </x:c>
      <x:c r="F3520" t="str">
        <x:f>IF('Release Gates'!C3480="PLANNING","PASS",IF('Release Gates'!C3480="PHYSICAL","OPEN","BLOCKED"))</x:f>
        <x:v>OPEN</x:v>
      </x:c>
      <x:c r="G3520" t="str">
        <x:v>equals</x:v>
      </x:c>
      <x:c r="H3520" t="str">
        <x:f>IF(E3520=F3520,"PASS","FAIL")</x:f>
        <x:v>PASS</x:v>
      </x:c>
    </x:row>
    <x:row r="3521">
      <x:c r="B3521" t="str">
        <x:v>A-03475</x:v>
      </x:c>
      <x:c r="C3521" t="str">
        <x:v>GATE</x:v>
      </x:c>
      <x:c r="D3521" t="str">
        <x:v>release state mirrors governing ledger</x:v>
      </x:c>
      <x:c r="E3521" t="str">
        <x:f>'Release Gates'!I3481</x:f>
        <x:v>OPEN</x:v>
      </x:c>
      <x:c r="F3521" t="str">
        <x:f>IF('Release Gates'!C3481="PLANNING","PASS",IF('Release Gates'!C3481="PHYSICAL","OPEN","BLOCKED"))</x:f>
        <x:v>OPEN</x:v>
      </x:c>
      <x:c r="G3521" t="str">
        <x:v>equals</x:v>
      </x:c>
      <x:c r="H3521" t="str">
        <x:f>IF(E3521=F3521,"PASS","FAIL")</x:f>
        <x:v>PASS</x:v>
      </x:c>
    </x:row>
    <x:row r="3522">
      <x:c r="B3522" t="str">
        <x:v>A-03476</x:v>
      </x:c>
      <x:c r="C3522" t="str">
        <x:v>GATE</x:v>
      </x:c>
      <x:c r="D3522" t="str">
        <x:v>release state mirrors governing ledger</x:v>
      </x:c>
      <x:c r="E3522" t="str">
        <x:f>'Release Gates'!I3482</x:f>
        <x:v>OPEN</x:v>
      </x:c>
      <x:c r="F3522" t="str">
        <x:f>IF('Release Gates'!C3482="PLANNING","PASS",IF('Release Gates'!C3482="PHYSICAL","OPEN","BLOCKED"))</x:f>
        <x:v>OPEN</x:v>
      </x:c>
      <x:c r="G3522" t="str">
        <x:v>equals</x:v>
      </x:c>
      <x:c r="H3522" t="str">
        <x:f>IF(E3522=F3522,"PASS","FAIL")</x:f>
        <x:v>PASS</x:v>
      </x:c>
    </x:row>
    <x:row r="3523">
      <x:c r="B3523" t="str">
        <x:v>A-03477</x:v>
      </x:c>
      <x:c r="C3523" t="str">
        <x:v>GATE</x:v>
      </x:c>
      <x:c r="D3523" t="str">
        <x:v>release state mirrors governing ledger</x:v>
      </x:c>
      <x:c r="E3523" t="str">
        <x:f>'Release Gates'!I3483</x:f>
        <x:v>OPEN</x:v>
      </x:c>
      <x:c r="F3523" t="str">
        <x:f>IF('Release Gates'!C3483="PLANNING","PASS",IF('Release Gates'!C3483="PHYSICAL","OPEN","BLOCKED"))</x:f>
        <x:v>OPEN</x:v>
      </x:c>
      <x:c r="G3523" t="str">
        <x:v>equals</x:v>
      </x:c>
      <x:c r="H3523" t="str">
        <x:f>IF(E3523=F3523,"PASS","FAIL")</x:f>
        <x:v>PASS</x:v>
      </x:c>
    </x:row>
    <x:row r="3524">
      <x:c r="B3524" t="str">
        <x:v>A-03478</x:v>
      </x:c>
      <x:c r="C3524" t="str">
        <x:v>GATE</x:v>
      </x:c>
      <x:c r="D3524" t="str">
        <x:v>release state mirrors governing ledger</x:v>
      </x:c>
      <x:c r="E3524" t="str">
        <x:f>'Release Gates'!I3484</x:f>
        <x:v>OPEN</x:v>
      </x:c>
      <x:c r="F3524" t="str">
        <x:f>IF('Release Gates'!C3484="PLANNING","PASS",IF('Release Gates'!C3484="PHYSICAL","OPEN","BLOCKED"))</x:f>
        <x:v>OPEN</x:v>
      </x:c>
      <x:c r="G3524" t="str">
        <x:v>equals</x:v>
      </x:c>
      <x:c r="H3524" t="str">
        <x:f>IF(E3524=F3524,"PASS","FAIL")</x:f>
        <x:v>PASS</x:v>
      </x:c>
    </x:row>
    <x:row r="3525">
      <x:c r="B3525" t="str">
        <x:v>A-03479</x:v>
      </x:c>
      <x:c r="C3525" t="str">
        <x:v>GATE</x:v>
      </x:c>
      <x:c r="D3525" t="str">
        <x:v>release state mirrors governing ledger</x:v>
      </x:c>
      <x:c r="E3525" t="str">
        <x:f>'Release Gates'!I3485</x:f>
        <x:v>OPEN</x:v>
      </x:c>
      <x:c r="F3525" t="str">
        <x:f>IF('Release Gates'!C3485="PLANNING","PASS",IF('Release Gates'!C3485="PHYSICAL","OPEN","BLOCKED"))</x:f>
        <x:v>OPEN</x:v>
      </x:c>
      <x:c r="G3525" t="str">
        <x:v>equals</x:v>
      </x:c>
      <x:c r="H3525" t="str">
        <x:f>IF(E3525=F3525,"PASS","FAIL")</x:f>
        <x:v>PASS</x:v>
      </x:c>
    </x:row>
    <x:row r="3526">
      <x:c r="B3526" t="str">
        <x:v>A-03480</x:v>
      </x:c>
      <x:c r="C3526" t="str">
        <x:v>GATE</x:v>
      </x:c>
      <x:c r="D3526" t="str">
        <x:v>release state mirrors governing ledger</x:v>
      </x:c>
      <x:c r="E3526" t="str">
        <x:f>'Release Gates'!I3486</x:f>
        <x:v>OPEN</x:v>
      </x:c>
      <x:c r="F3526" t="str">
        <x:f>IF('Release Gates'!C3486="PLANNING","PASS",IF('Release Gates'!C3486="PHYSICAL","OPEN","BLOCKED"))</x:f>
        <x:v>OPEN</x:v>
      </x:c>
      <x:c r="G3526" t="str">
        <x:v>equals</x:v>
      </x:c>
      <x:c r="H3526" t="str">
        <x:f>IF(E3526=F3526,"PASS","FAIL")</x:f>
        <x:v>PASS</x:v>
      </x:c>
    </x:row>
    <x:row r="3527">
      <x:c r="B3527" t="str">
        <x:v>A-03481</x:v>
      </x:c>
      <x:c r="C3527" t="str">
        <x:v>GATE</x:v>
      </x:c>
      <x:c r="D3527" t="str">
        <x:v>release state mirrors governing ledger</x:v>
      </x:c>
      <x:c r="E3527" t="str">
        <x:f>'Release Gates'!I3487</x:f>
        <x:v>OPEN</x:v>
      </x:c>
      <x:c r="F3527" t="str">
        <x:f>IF('Release Gates'!C3487="PLANNING","PASS",IF('Release Gates'!C3487="PHYSICAL","OPEN","BLOCKED"))</x:f>
        <x:v>OPEN</x:v>
      </x:c>
      <x:c r="G3527" t="str">
        <x:v>equals</x:v>
      </x:c>
      <x:c r="H3527" t="str">
        <x:f>IF(E3527=F3527,"PASS","FAIL")</x:f>
        <x:v>PASS</x:v>
      </x:c>
    </x:row>
    <x:row r="3528">
      <x:c r="B3528" t="str">
        <x:v>A-03482</x:v>
      </x:c>
      <x:c r="C3528" t="str">
        <x:v>GATE</x:v>
      </x:c>
      <x:c r="D3528" t="str">
        <x:v>release state mirrors governing ledger</x:v>
      </x:c>
      <x:c r="E3528" t="str">
        <x:f>'Release Gates'!I3488</x:f>
        <x:v>OPEN</x:v>
      </x:c>
      <x:c r="F3528" t="str">
        <x:f>IF('Release Gates'!C3488="PLANNING","PASS",IF('Release Gates'!C3488="PHYSICAL","OPEN","BLOCKED"))</x:f>
        <x:v>OPEN</x:v>
      </x:c>
      <x:c r="G3528" t="str">
        <x:v>equals</x:v>
      </x:c>
      <x:c r="H3528" t="str">
        <x:f>IF(E3528=F3528,"PASS","FAIL")</x:f>
        <x:v>PASS</x:v>
      </x:c>
    </x:row>
    <x:row r="3529">
      <x:c r="B3529" t="str">
        <x:v>A-03483</x:v>
      </x:c>
      <x:c r="C3529" t="str">
        <x:v>GATE</x:v>
      </x:c>
      <x:c r="D3529" t="str">
        <x:v>release state mirrors governing ledger</x:v>
      </x:c>
      <x:c r="E3529" t="str">
        <x:f>'Release Gates'!I3489</x:f>
        <x:v>OPEN</x:v>
      </x:c>
      <x:c r="F3529" t="str">
        <x:f>IF('Release Gates'!C3489="PLANNING","PASS",IF('Release Gates'!C3489="PHYSICAL","OPEN","BLOCKED"))</x:f>
        <x:v>OPEN</x:v>
      </x:c>
      <x:c r="G3529" t="str">
        <x:v>equals</x:v>
      </x:c>
      <x:c r="H3529" t="str">
        <x:f>IF(E3529=F3529,"PASS","FAIL")</x:f>
        <x:v>PASS</x:v>
      </x:c>
    </x:row>
    <x:row r="3530">
      <x:c r="B3530" t="str">
        <x:v>A-03484</x:v>
      </x:c>
      <x:c r="C3530" t="str">
        <x:v>GATE</x:v>
      </x:c>
      <x:c r="D3530" t="str">
        <x:v>release state mirrors governing ledger</x:v>
      </x:c>
      <x:c r="E3530" t="str">
        <x:f>'Release Gates'!I3490</x:f>
        <x:v>OPEN</x:v>
      </x:c>
      <x:c r="F3530" t="str">
        <x:f>IF('Release Gates'!C3490="PLANNING","PASS",IF('Release Gates'!C3490="PHYSICAL","OPEN","BLOCKED"))</x:f>
        <x:v>OPEN</x:v>
      </x:c>
      <x:c r="G3530" t="str">
        <x:v>equals</x:v>
      </x:c>
      <x:c r="H3530" t="str">
        <x:f>IF(E3530=F3530,"PASS","FAIL")</x:f>
        <x:v>PASS</x:v>
      </x:c>
    </x:row>
    <x:row r="3531">
      <x:c r="B3531" t="str">
        <x:v>A-03485</x:v>
      </x:c>
      <x:c r="C3531" t="str">
        <x:v>GATE</x:v>
      </x:c>
      <x:c r="D3531" t="str">
        <x:v>release state mirrors governing ledger</x:v>
      </x:c>
      <x:c r="E3531" t="str">
        <x:f>'Release Gates'!I3491</x:f>
        <x:v>OPEN</x:v>
      </x:c>
      <x:c r="F3531" t="str">
        <x:f>IF('Release Gates'!C3491="PLANNING","PASS",IF('Release Gates'!C3491="PHYSICAL","OPEN","BLOCKED"))</x:f>
        <x:v>OPEN</x:v>
      </x:c>
      <x:c r="G3531" t="str">
        <x:v>equals</x:v>
      </x:c>
      <x:c r="H3531" t="str">
        <x:f>IF(E3531=F3531,"PASS","FAIL")</x:f>
        <x:v>PASS</x:v>
      </x:c>
    </x:row>
    <x:row r="3532">
      <x:c r="B3532" t="str">
        <x:v>A-03486</x:v>
      </x:c>
      <x:c r="C3532" t="str">
        <x:v>GATE</x:v>
      </x:c>
      <x:c r="D3532" t="str">
        <x:v>release state mirrors governing ledger</x:v>
      </x:c>
      <x:c r="E3532" t="str">
        <x:f>'Release Gates'!I3492</x:f>
        <x:v>OPEN</x:v>
      </x:c>
      <x:c r="F3532" t="str">
        <x:f>IF('Release Gates'!C3492="PLANNING","PASS",IF('Release Gates'!C3492="PHYSICAL","OPEN","BLOCKED"))</x:f>
        <x:v>OPEN</x:v>
      </x:c>
      <x:c r="G3532" t="str">
        <x:v>equals</x:v>
      </x:c>
      <x:c r="H3532" t="str">
        <x:f>IF(E3532=F3532,"PASS","FAIL")</x:f>
        <x:v>PASS</x:v>
      </x:c>
    </x:row>
    <x:row r="3533">
      <x:c r="B3533" t="str">
        <x:v>A-03487</x:v>
      </x:c>
      <x:c r="C3533" t="str">
        <x:v>GATE</x:v>
      </x:c>
      <x:c r="D3533" t="str">
        <x:v>release state mirrors governing ledger</x:v>
      </x:c>
      <x:c r="E3533" t="str">
        <x:f>'Release Gates'!I3493</x:f>
        <x:v>OPEN</x:v>
      </x:c>
      <x:c r="F3533" t="str">
        <x:f>IF('Release Gates'!C3493="PLANNING","PASS",IF('Release Gates'!C3493="PHYSICAL","OPEN","BLOCKED"))</x:f>
        <x:v>OPEN</x:v>
      </x:c>
      <x:c r="G3533" t="str">
        <x:v>equals</x:v>
      </x:c>
      <x:c r="H3533" t="str">
        <x:f>IF(E3533=F3533,"PASS","FAIL")</x:f>
        <x:v>PASS</x:v>
      </x:c>
    </x:row>
    <x:row r="3534">
      <x:c r="B3534" t="str">
        <x:v>A-03488</x:v>
      </x:c>
      <x:c r="C3534" t="str">
        <x:v>GATE</x:v>
      </x:c>
      <x:c r="D3534" t="str">
        <x:v>release state mirrors governing ledger</x:v>
      </x:c>
      <x:c r="E3534" t="str">
        <x:f>'Release Gates'!I3494</x:f>
        <x:v>OPEN</x:v>
      </x:c>
      <x:c r="F3534" t="str">
        <x:f>IF('Release Gates'!C3494="PLANNING","PASS",IF('Release Gates'!C3494="PHYSICAL","OPEN","BLOCKED"))</x:f>
        <x:v>OPEN</x:v>
      </x:c>
      <x:c r="G3534" t="str">
        <x:v>equals</x:v>
      </x:c>
      <x:c r="H3534" t="str">
        <x:f>IF(E3534=F3534,"PASS","FAIL")</x:f>
        <x:v>PASS</x:v>
      </x:c>
    </x:row>
    <x:row r="3535">
      <x:c r="B3535" t="str">
        <x:v>A-03489</x:v>
      </x:c>
      <x:c r="C3535" t="str">
        <x:v>GATE</x:v>
      </x:c>
      <x:c r="D3535" t="str">
        <x:v>release state mirrors governing ledger</x:v>
      </x:c>
      <x:c r="E3535" t="str">
        <x:f>'Release Gates'!I3495</x:f>
        <x:v>OPEN</x:v>
      </x:c>
      <x:c r="F3535" t="str">
        <x:f>IF('Release Gates'!C3495="PLANNING","PASS",IF('Release Gates'!C3495="PHYSICAL","OPEN","BLOCKED"))</x:f>
        <x:v>OPEN</x:v>
      </x:c>
      <x:c r="G3535" t="str">
        <x:v>equals</x:v>
      </x:c>
      <x:c r="H3535" t="str">
        <x:f>IF(E3535=F3535,"PASS","FAIL")</x:f>
        <x:v>PASS</x:v>
      </x:c>
    </x:row>
    <x:row r="3536">
      <x:c r="B3536" t="str">
        <x:v>A-03490</x:v>
      </x:c>
      <x:c r="C3536" t="str">
        <x:v>GATE</x:v>
      </x:c>
      <x:c r="D3536" t="str">
        <x:v>release state mirrors governing ledger</x:v>
      </x:c>
      <x:c r="E3536" t="str">
        <x:f>'Release Gates'!I3496</x:f>
        <x:v>OPEN</x:v>
      </x:c>
      <x:c r="F3536" t="str">
        <x:f>IF('Release Gates'!C3496="PLANNING","PASS",IF('Release Gates'!C3496="PHYSICAL","OPEN","BLOCKED"))</x:f>
        <x:v>OPEN</x:v>
      </x:c>
      <x:c r="G3536" t="str">
        <x:v>equals</x:v>
      </x:c>
      <x:c r="H3536" t="str">
        <x:f>IF(E3536=F3536,"PASS","FAIL")</x:f>
        <x:v>PASS</x:v>
      </x:c>
    </x:row>
    <x:row r="3537">
      <x:c r="B3537" t="str">
        <x:v>A-03491</x:v>
      </x:c>
      <x:c r="C3537" t="str">
        <x:v>GATE</x:v>
      </x:c>
      <x:c r="D3537" t="str">
        <x:v>release state mirrors governing ledger</x:v>
      </x:c>
      <x:c r="E3537" t="str">
        <x:f>'Release Gates'!I3497</x:f>
        <x:v>OPEN</x:v>
      </x:c>
      <x:c r="F3537" t="str">
        <x:f>IF('Release Gates'!C3497="PLANNING","PASS",IF('Release Gates'!C3497="PHYSICAL","OPEN","BLOCKED"))</x:f>
        <x:v>OPEN</x:v>
      </x:c>
      <x:c r="G3537" t="str">
        <x:v>equals</x:v>
      </x:c>
      <x:c r="H3537" t="str">
        <x:f>IF(E3537=F3537,"PASS","FAIL")</x:f>
        <x:v>PASS</x:v>
      </x:c>
    </x:row>
    <x:row r="3538">
      <x:c r="B3538" t="str">
        <x:v>A-03492</x:v>
      </x:c>
      <x:c r="C3538" t="str">
        <x:v>GATE</x:v>
      </x:c>
      <x:c r="D3538" t="str">
        <x:v>release state mirrors governing ledger</x:v>
      </x:c>
      <x:c r="E3538" t="str">
        <x:f>'Release Gates'!I3498</x:f>
        <x:v>OPEN</x:v>
      </x:c>
      <x:c r="F3538" t="str">
        <x:f>IF('Release Gates'!C3498="PLANNING","PASS",IF('Release Gates'!C3498="PHYSICAL","OPEN","BLOCKED"))</x:f>
        <x:v>OPEN</x:v>
      </x:c>
      <x:c r="G3538" t="str">
        <x:v>equals</x:v>
      </x:c>
      <x:c r="H3538" t="str">
        <x:f>IF(E3538=F3538,"PASS","FAIL")</x:f>
        <x:v>PASS</x:v>
      </x:c>
    </x:row>
    <x:row r="3539">
      <x:c r="B3539" t="str">
        <x:v>A-03493</x:v>
      </x:c>
      <x:c r="C3539" t="str">
        <x:v>GATE</x:v>
      </x:c>
      <x:c r="D3539" t="str">
        <x:v>release state mirrors governing ledger</x:v>
      </x:c>
      <x:c r="E3539" t="str">
        <x:f>'Release Gates'!I3499</x:f>
        <x:v>OPEN</x:v>
      </x:c>
      <x:c r="F3539" t="str">
        <x:f>IF('Release Gates'!C3499="PLANNING","PASS",IF('Release Gates'!C3499="PHYSICAL","OPEN","BLOCKED"))</x:f>
        <x:v>OPEN</x:v>
      </x:c>
      <x:c r="G3539" t="str">
        <x:v>equals</x:v>
      </x:c>
      <x:c r="H3539" t="str">
        <x:f>IF(E3539=F3539,"PASS","FAIL")</x:f>
        <x:v>PASS</x:v>
      </x:c>
    </x:row>
    <x:row r="3540">
      <x:c r="B3540" t="str">
        <x:v>A-03494</x:v>
      </x:c>
      <x:c r="C3540" t="str">
        <x:v>GATE</x:v>
      </x:c>
      <x:c r="D3540" t="str">
        <x:v>release state mirrors governing ledger</x:v>
      </x:c>
      <x:c r="E3540" t="str">
        <x:f>'Release Gates'!I3500</x:f>
        <x:v>OPEN</x:v>
      </x:c>
      <x:c r="F3540" t="str">
        <x:f>IF('Release Gates'!C3500="PLANNING","PASS",IF('Release Gates'!C3500="PHYSICAL","OPEN","BLOCKED"))</x:f>
        <x:v>OPEN</x:v>
      </x:c>
      <x:c r="G3540" t="str">
        <x:v>equals</x:v>
      </x:c>
      <x:c r="H3540" t="str">
        <x:f>IF(E3540=F3540,"PASS","FAIL")</x:f>
        <x:v>PASS</x:v>
      </x:c>
    </x:row>
    <x:row r="3541">
      <x:c r="B3541" t="str">
        <x:v>A-03495</x:v>
      </x:c>
      <x:c r="C3541" t="str">
        <x:v>GATE</x:v>
      </x:c>
      <x:c r="D3541" t="str">
        <x:v>release state mirrors governing ledger</x:v>
      </x:c>
      <x:c r="E3541" t="str">
        <x:f>'Release Gates'!I3501</x:f>
        <x:v>OPEN</x:v>
      </x:c>
      <x:c r="F3541" t="str">
        <x:f>IF('Release Gates'!C3501="PLANNING","PASS",IF('Release Gates'!C3501="PHYSICAL","OPEN","BLOCKED"))</x:f>
        <x:v>OPEN</x:v>
      </x:c>
      <x:c r="G3541" t="str">
        <x:v>equals</x:v>
      </x:c>
      <x:c r="H3541" t="str">
        <x:f>IF(E3541=F3541,"PASS","FAIL")</x:f>
        <x:v>PASS</x:v>
      </x:c>
    </x:row>
    <x:row r="3542">
      <x:c r="B3542" t="str">
        <x:v>A-03496</x:v>
      </x:c>
      <x:c r="C3542" t="str">
        <x:v>GATE</x:v>
      </x:c>
      <x:c r="D3542" t="str">
        <x:v>release state mirrors governing ledger</x:v>
      </x:c>
      <x:c r="E3542" t="str">
        <x:f>'Release Gates'!I3502</x:f>
        <x:v>OPEN</x:v>
      </x:c>
      <x:c r="F3542" t="str">
        <x:f>IF('Release Gates'!C3502="PLANNING","PASS",IF('Release Gates'!C3502="PHYSICAL","OPEN","BLOCKED"))</x:f>
        <x:v>OPEN</x:v>
      </x:c>
      <x:c r="G3542" t="str">
        <x:v>equals</x:v>
      </x:c>
      <x:c r="H3542" t="str">
        <x:f>IF(E3542=F3542,"PASS","FAIL")</x:f>
        <x:v>PASS</x:v>
      </x:c>
    </x:row>
    <x:row r="3543">
      <x:c r="B3543" t="str">
        <x:v>A-03497</x:v>
      </x:c>
      <x:c r="C3543" t="str">
        <x:v>GATE</x:v>
      </x:c>
      <x:c r="D3543" t="str">
        <x:v>release state mirrors governing ledger</x:v>
      </x:c>
      <x:c r="E3543" t="str">
        <x:f>'Release Gates'!I3503</x:f>
        <x:v>OPEN</x:v>
      </x:c>
      <x:c r="F3543" t="str">
        <x:f>IF('Release Gates'!C3503="PLANNING","PASS",IF('Release Gates'!C3503="PHYSICAL","OPEN","BLOCKED"))</x:f>
        <x:v>OPEN</x:v>
      </x:c>
      <x:c r="G3543" t="str">
        <x:v>equals</x:v>
      </x:c>
      <x:c r="H3543" t="str">
        <x:f>IF(E3543=F3543,"PASS","FAIL")</x:f>
        <x:v>PASS</x:v>
      </x:c>
    </x:row>
    <x:row r="3544">
      <x:c r="B3544" t="str">
        <x:v>A-03498</x:v>
      </x:c>
      <x:c r="C3544" t="str">
        <x:v>GATE</x:v>
      </x:c>
      <x:c r="D3544" t="str">
        <x:v>release state mirrors governing ledger</x:v>
      </x:c>
      <x:c r="E3544" t="str">
        <x:f>'Release Gates'!I3504</x:f>
        <x:v>OPEN</x:v>
      </x:c>
      <x:c r="F3544" t="str">
        <x:f>IF('Release Gates'!C3504="PLANNING","PASS",IF('Release Gates'!C3504="PHYSICAL","OPEN","BLOCKED"))</x:f>
        <x:v>OPEN</x:v>
      </x:c>
      <x:c r="G3544" t="str">
        <x:v>equals</x:v>
      </x:c>
      <x:c r="H3544" t="str">
        <x:f>IF(E3544=F3544,"PASS","FAIL")</x:f>
        <x:v>PASS</x:v>
      </x:c>
    </x:row>
    <x:row r="3545">
      <x:c r="B3545" t="str">
        <x:v>A-03499</x:v>
      </x:c>
      <x:c r="C3545" t="str">
        <x:v>GATE</x:v>
      </x:c>
      <x:c r="D3545" t="str">
        <x:v>release state mirrors governing ledger</x:v>
      </x:c>
      <x:c r="E3545" t="str">
        <x:f>'Release Gates'!I3505</x:f>
        <x:v>OPEN</x:v>
      </x:c>
      <x:c r="F3545" t="str">
        <x:f>IF('Release Gates'!C3505="PLANNING","PASS",IF('Release Gates'!C3505="PHYSICAL","OPEN","BLOCKED"))</x:f>
        <x:v>OPEN</x:v>
      </x:c>
      <x:c r="G3545" t="str">
        <x:v>equals</x:v>
      </x:c>
      <x:c r="H3545" t="str">
        <x:f>IF(E3545=F3545,"PASS","FAIL")</x:f>
        <x:v>PASS</x:v>
      </x:c>
    </x:row>
    <x:row r="3546">
      <x:c r="B3546" t="str">
        <x:v>A-03500</x:v>
      </x:c>
      <x:c r="C3546" t="str">
        <x:v>GATE</x:v>
      </x:c>
      <x:c r="D3546" t="str">
        <x:v>release state mirrors governing ledger</x:v>
      </x:c>
      <x:c r="E3546" t="str">
        <x:f>'Release Gates'!I3506</x:f>
        <x:v>OPEN</x:v>
      </x:c>
      <x:c r="F3546" t="str">
        <x:f>IF('Release Gates'!C3506="PLANNING","PASS",IF('Release Gates'!C3506="PHYSICAL","OPEN","BLOCKED"))</x:f>
        <x:v>OPEN</x:v>
      </x:c>
      <x:c r="G3546" t="str">
        <x:v>equals</x:v>
      </x:c>
      <x:c r="H3546" t="str">
        <x:f>IF(E3546=F3546,"PASS","FAIL")</x:f>
        <x:v>PASS</x:v>
      </x:c>
    </x:row>
    <x:row r="3547">
      <x:c r="B3547" t="str">
        <x:v>A-03501</x:v>
      </x:c>
      <x:c r="C3547" t="str">
        <x:v>GATE</x:v>
      </x:c>
      <x:c r="D3547" t="str">
        <x:v>release state mirrors governing ledger</x:v>
      </x:c>
      <x:c r="E3547" t="str">
        <x:f>'Release Gates'!I3507</x:f>
        <x:v>OPEN</x:v>
      </x:c>
      <x:c r="F3547" t="str">
        <x:f>IF('Release Gates'!C3507="PLANNING","PASS",IF('Release Gates'!C3507="PHYSICAL","OPEN","BLOCKED"))</x:f>
        <x:v>OPEN</x:v>
      </x:c>
      <x:c r="G3547" t="str">
        <x:v>equals</x:v>
      </x:c>
      <x:c r="H3547" t="str">
        <x:f>IF(E3547=F3547,"PASS","FAIL")</x:f>
        <x:v>PASS</x:v>
      </x:c>
    </x:row>
    <x:row r="3548">
      <x:c r="B3548" t="str">
        <x:v>A-03502</x:v>
      </x:c>
      <x:c r="C3548" t="str">
        <x:v>GATE</x:v>
      </x:c>
      <x:c r="D3548" t="str">
        <x:v>release state mirrors governing ledger</x:v>
      </x:c>
      <x:c r="E3548" t="str">
        <x:f>'Release Gates'!I3508</x:f>
        <x:v>OPEN</x:v>
      </x:c>
      <x:c r="F3548" t="str">
        <x:f>IF('Release Gates'!C3508="PLANNING","PASS",IF('Release Gates'!C3508="PHYSICAL","OPEN","BLOCKED"))</x:f>
        <x:v>OPEN</x:v>
      </x:c>
      <x:c r="G3548" t="str">
        <x:v>equals</x:v>
      </x:c>
      <x:c r="H3548" t="str">
        <x:f>IF(E3548=F3548,"PASS","FAIL")</x:f>
        <x:v>PASS</x:v>
      </x:c>
    </x:row>
    <x:row r="3549">
      <x:c r="B3549" t="str">
        <x:v>A-03503</x:v>
      </x:c>
      <x:c r="C3549" t="str">
        <x:v>GATE</x:v>
      </x:c>
      <x:c r="D3549" t="str">
        <x:v>release state mirrors governing ledger</x:v>
      </x:c>
      <x:c r="E3549" t="str">
        <x:f>'Release Gates'!I3509</x:f>
        <x:v>OPEN</x:v>
      </x:c>
      <x:c r="F3549" t="str">
        <x:f>IF('Release Gates'!C3509="PLANNING","PASS",IF('Release Gates'!C3509="PHYSICAL","OPEN","BLOCKED"))</x:f>
        <x:v>OPEN</x:v>
      </x:c>
      <x:c r="G3549" t="str">
        <x:v>equals</x:v>
      </x:c>
      <x:c r="H3549" t="str">
        <x:f>IF(E3549=F3549,"PASS","FAIL")</x:f>
        <x:v>PASS</x:v>
      </x:c>
    </x:row>
    <x:row r="3550">
      <x:c r="B3550" t="str">
        <x:v>A-03504</x:v>
      </x:c>
      <x:c r="C3550" t="str">
        <x:v>GATE</x:v>
      </x:c>
      <x:c r="D3550" t="str">
        <x:v>release state mirrors governing ledger</x:v>
      </x:c>
      <x:c r="E3550" t="str">
        <x:f>'Release Gates'!I3510</x:f>
        <x:v>OPEN</x:v>
      </x:c>
      <x:c r="F3550" t="str">
        <x:f>IF('Release Gates'!C3510="PLANNING","PASS",IF('Release Gates'!C3510="PHYSICAL","OPEN","BLOCKED"))</x:f>
        <x:v>OPEN</x:v>
      </x:c>
      <x:c r="G3550" t="str">
        <x:v>equals</x:v>
      </x:c>
      <x:c r="H3550" t="str">
        <x:f>IF(E3550=F3550,"PASS","FAIL")</x:f>
        <x:v>PASS</x:v>
      </x:c>
    </x:row>
    <x:row r="3551">
      <x:c r="B3551" t="str">
        <x:v>A-03505</x:v>
      </x:c>
      <x:c r="C3551" t="str">
        <x:v>GATE</x:v>
      </x:c>
      <x:c r="D3551" t="str">
        <x:v>release state mirrors governing ledger</x:v>
      </x:c>
      <x:c r="E3551" t="str">
        <x:f>'Release Gates'!I3511</x:f>
        <x:v>OPEN</x:v>
      </x:c>
      <x:c r="F3551" t="str">
        <x:f>IF('Release Gates'!C3511="PLANNING","PASS",IF('Release Gates'!C3511="PHYSICAL","OPEN","BLOCKED"))</x:f>
        <x:v>OPEN</x:v>
      </x:c>
      <x:c r="G3551" t="str">
        <x:v>equals</x:v>
      </x:c>
      <x:c r="H3551" t="str">
        <x:f>IF(E3551=F3551,"PASS","FAIL")</x:f>
        <x:v>PASS</x:v>
      </x:c>
    </x:row>
    <x:row r="3552">
      <x:c r="B3552" t="str">
        <x:v>A-03506</x:v>
      </x:c>
      <x:c r="C3552" t="str">
        <x:v>GATE</x:v>
      </x:c>
      <x:c r="D3552" t="str">
        <x:v>release state mirrors governing ledger</x:v>
      </x:c>
      <x:c r="E3552" t="str">
        <x:f>'Release Gates'!I3512</x:f>
        <x:v>OPEN</x:v>
      </x:c>
      <x:c r="F3552" t="str">
        <x:f>IF('Release Gates'!C3512="PLANNING","PASS",IF('Release Gates'!C3512="PHYSICAL","OPEN","BLOCKED"))</x:f>
        <x:v>OPEN</x:v>
      </x:c>
      <x:c r="G3552" t="str">
        <x:v>equals</x:v>
      </x:c>
      <x:c r="H3552" t="str">
        <x:f>IF(E3552=F3552,"PASS","FAIL")</x:f>
        <x:v>PASS</x:v>
      </x:c>
    </x:row>
    <x:row r="3553">
      <x:c r="B3553" t="str">
        <x:v>A-03507</x:v>
      </x:c>
      <x:c r="C3553" t="str">
        <x:v>GATE</x:v>
      </x:c>
      <x:c r="D3553" t="str">
        <x:v>release state mirrors governing ledger</x:v>
      </x:c>
      <x:c r="E3553" t="str">
        <x:f>'Release Gates'!I3513</x:f>
        <x:v>OPEN</x:v>
      </x:c>
      <x:c r="F3553" t="str">
        <x:f>IF('Release Gates'!C3513="PLANNING","PASS",IF('Release Gates'!C3513="PHYSICAL","OPEN","BLOCKED"))</x:f>
        <x:v>OPEN</x:v>
      </x:c>
      <x:c r="G3553" t="str">
        <x:v>equals</x:v>
      </x:c>
      <x:c r="H3553" t="str">
        <x:f>IF(E3553=F3553,"PASS","FAIL")</x:f>
        <x:v>PASS</x:v>
      </x:c>
    </x:row>
    <x:row r="3554">
      <x:c r="B3554" t="str">
        <x:v>A-03508</x:v>
      </x:c>
      <x:c r="C3554" t="str">
        <x:v>GATE</x:v>
      </x:c>
      <x:c r="D3554" t="str">
        <x:v>release state mirrors governing ledger</x:v>
      </x:c>
      <x:c r="E3554" t="str">
        <x:f>'Release Gates'!I3514</x:f>
        <x:v>OPEN</x:v>
      </x:c>
      <x:c r="F3554" t="str">
        <x:f>IF('Release Gates'!C3514="PLANNING","PASS",IF('Release Gates'!C3514="PHYSICAL","OPEN","BLOCKED"))</x:f>
        <x:v>OPEN</x:v>
      </x:c>
      <x:c r="G3554" t="str">
        <x:v>equals</x:v>
      </x:c>
      <x:c r="H3554" t="str">
        <x:f>IF(E3554=F3554,"PASS","FAIL")</x:f>
        <x:v>PASS</x:v>
      </x:c>
    </x:row>
    <x:row r="3555">
      <x:c r="B3555" t="str">
        <x:v>A-03509</x:v>
      </x:c>
      <x:c r="C3555" t="str">
        <x:v>GATE</x:v>
      </x:c>
      <x:c r="D3555" t="str">
        <x:v>release state mirrors governing ledger</x:v>
      </x:c>
      <x:c r="E3555" t="str">
        <x:f>'Release Gates'!I3515</x:f>
        <x:v>OPEN</x:v>
      </x:c>
      <x:c r="F3555" t="str">
        <x:f>IF('Release Gates'!C3515="PLANNING","PASS",IF('Release Gates'!C3515="PHYSICAL","OPEN","BLOCKED"))</x:f>
        <x:v>OPEN</x:v>
      </x:c>
      <x:c r="G3555" t="str">
        <x:v>equals</x:v>
      </x:c>
      <x:c r="H3555" t="str">
        <x:f>IF(E3555=F3555,"PASS","FAIL")</x:f>
        <x:v>PASS</x:v>
      </x:c>
    </x:row>
    <x:row r="3556">
      <x:c r="B3556" t="str">
        <x:v>A-03510</x:v>
      </x:c>
      <x:c r="C3556" t="str">
        <x:v>GATE</x:v>
      </x:c>
      <x:c r="D3556" t="str">
        <x:v>release state mirrors governing ledger</x:v>
      </x:c>
      <x:c r="E3556" t="str">
        <x:f>'Release Gates'!I3516</x:f>
        <x:v>OPEN</x:v>
      </x:c>
      <x:c r="F3556" t="str">
        <x:f>IF('Release Gates'!C3516="PLANNING","PASS",IF('Release Gates'!C3516="PHYSICAL","OPEN","BLOCKED"))</x:f>
        <x:v>OPEN</x:v>
      </x:c>
      <x:c r="G3556" t="str">
        <x:v>equals</x:v>
      </x:c>
      <x:c r="H3556" t="str">
        <x:f>IF(E3556=F3556,"PASS","FAIL")</x:f>
        <x:v>PASS</x:v>
      </x:c>
    </x:row>
    <x:row r="3557">
      <x:c r="B3557" t="str">
        <x:v>A-03511</x:v>
      </x:c>
      <x:c r="C3557" t="str">
        <x:v>GATE</x:v>
      </x:c>
      <x:c r="D3557" t="str">
        <x:v>release state mirrors governing ledger</x:v>
      </x:c>
      <x:c r="E3557" t="str">
        <x:f>'Release Gates'!I3517</x:f>
        <x:v>OPEN</x:v>
      </x:c>
      <x:c r="F3557" t="str">
        <x:f>IF('Release Gates'!C3517="PLANNING","PASS",IF('Release Gates'!C3517="PHYSICAL","OPEN","BLOCKED"))</x:f>
        <x:v>OPEN</x:v>
      </x:c>
      <x:c r="G3557" t="str">
        <x:v>equals</x:v>
      </x:c>
      <x:c r="H3557" t="str">
        <x:f>IF(E3557=F3557,"PASS","FAIL")</x:f>
        <x:v>PASS</x:v>
      </x:c>
    </x:row>
    <x:row r="3558">
      <x:c r="B3558" t="str">
        <x:v>A-03512</x:v>
      </x:c>
      <x:c r="C3558" t="str">
        <x:v>GATE</x:v>
      </x:c>
      <x:c r="D3558" t="str">
        <x:v>release state mirrors governing ledger</x:v>
      </x:c>
      <x:c r="E3558" t="str">
        <x:f>'Release Gates'!I3518</x:f>
        <x:v>OPEN</x:v>
      </x:c>
      <x:c r="F3558" t="str">
        <x:f>IF('Release Gates'!C3518="PLANNING","PASS",IF('Release Gates'!C3518="PHYSICAL","OPEN","BLOCKED"))</x:f>
        <x:v>OPEN</x:v>
      </x:c>
      <x:c r="G3558" t="str">
        <x:v>equals</x:v>
      </x:c>
      <x:c r="H3558" t="str">
        <x:f>IF(E3558=F3558,"PASS","FAIL")</x:f>
        <x:v>PASS</x:v>
      </x:c>
    </x:row>
    <x:row r="3559">
      <x:c r="B3559" t="str">
        <x:v>A-03513</x:v>
      </x:c>
      <x:c r="C3559" t="str">
        <x:v>GATE</x:v>
      </x:c>
      <x:c r="D3559" t="str">
        <x:v>release state mirrors governing ledger</x:v>
      </x:c>
      <x:c r="E3559" t="str">
        <x:f>'Release Gates'!I3519</x:f>
        <x:v>OPEN</x:v>
      </x:c>
      <x:c r="F3559" t="str">
        <x:f>IF('Release Gates'!C3519="PLANNING","PASS",IF('Release Gates'!C3519="PHYSICAL","OPEN","BLOCKED"))</x:f>
        <x:v>OPEN</x:v>
      </x:c>
      <x:c r="G3559" t="str">
        <x:v>equals</x:v>
      </x:c>
      <x:c r="H3559" t="str">
        <x:f>IF(E3559=F3559,"PASS","FAIL")</x:f>
        <x:v>PASS</x:v>
      </x:c>
    </x:row>
    <x:row r="3560">
      <x:c r="B3560" t="str">
        <x:v>A-03514</x:v>
      </x:c>
      <x:c r="C3560" t="str">
        <x:v>GATE</x:v>
      </x:c>
      <x:c r="D3560" t="str">
        <x:v>release state mirrors governing ledger</x:v>
      </x:c>
      <x:c r="E3560" t="str">
        <x:f>'Release Gates'!I3520</x:f>
        <x:v>OPEN</x:v>
      </x:c>
      <x:c r="F3560" t="str">
        <x:f>IF('Release Gates'!C3520="PLANNING","PASS",IF('Release Gates'!C3520="PHYSICAL","OPEN","BLOCKED"))</x:f>
        <x:v>OPEN</x:v>
      </x:c>
      <x:c r="G3560" t="str">
        <x:v>equals</x:v>
      </x:c>
      <x:c r="H3560" t="str">
        <x:f>IF(E3560=F3560,"PASS","FAIL")</x:f>
        <x:v>PASS</x:v>
      </x:c>
    </x:row>
    <x:row r="3561">
      <x:c r="B3561" t="str">
        <x:v>A-03515</x:v>
      </x:c>
      <x:c r="C3561" t="str">
        <x:v>GATE</x:v>
      </x:c>
      <x:c r="D3561" t="str">
        <x:v>release state mirrors governing ledger</x:v>
      </x:c>
      <x:c r="E3561" t="str">
        <x:f>'Release Gates'!I3521</x:f>
        <x:v>OPEN</x:v>
      </x:c>
      <x:c r="F3561" t="str">
        <x:f>IF('Release Gates'!C3521="PLANNING","PASS",IF('Release Gates'!C3521="PHYSICAL","OPEN","BLOCKED"))</x:f>
        <x:v>OPEN</x:v>
      </x:c>
      <x:c r="G3561" t="str">
        <x:v>equals</x:v>
      </x:c>
      <x:c r="H3561" t="str">
        <x:f>IF(E3561=F3561,"PASS","FAIL")</x:f>
        <x:v>PASS</x:v>
      </x:c>
    </x:row>
    <x:row r="3562">
      <x:c r="B3562" t="str">
        <x:v>A-03516</x:v>
      </x:c>
      <x:c r="C3562" t="str">
        <x:v>GATE</x:v>
      </x:c>
      <x:c r="D3562" t="str">
        <x:v>release state mirrors governing ledger</x:v>
      </x:c>
      <x:c r="E3562" t="str">
        <x:f>'Release Gates'!I3522</x:f>
        <x:v>OPEN</x:v>
      </x:c>
      <x:c r="F3562" t="str">
        <x:f>IF('Release Gates'!C3522="PLANNING","PASS",IF('Release Gates'!C3522="PHYSICAL","OPEN","BLOCKED"))</x:f>
        <x:v>OPEN</x:v>
      </x:c>
      <x:c r="G3562" t="str">
        <x:v>equals</x:v>
      </x:c>
      <x:c r="H3562" t="str">
        <x:f>IF(E3562=F3562,"PASS","FAIL")</x:f>
        <x:v>PASS</x:v>
      </x:c>
    </x:row>
    <x:row r="3563">
      <x:c r="B3563" t="str">
        <x:v>A-03517</x:v>
      </x:c>
      <x:c r="C3563" t="str">
        <x:v>GATE</x:v>
      </x:c>
      <x:c r="D3563" t="str">
        <x:v>release state mirrors governing ledger</x:v>
      </x:c>
      <x:c r="E3563" t="str">
        <x:f>'Release Gates'!I3523</x:f>
        <x:v>OPEN</x:v>
      </x:c>
      <x:c r="F3563" t="str">
        <x:f>IF('Release Gates'!C3523="PLANNING","PASS",IF('Release Gates'!C3523="PHYSICAL","OPEN","BLOCKED"))</x:f>
        <x:v>OPEN</x:v>
      </x:c>
      <x:c r="G3563" t="str">
        <x:v>equals</x:v>
      </x:c>
      <x:c r="H3563" t="str">
        <x:f>IF(E3563=F3563,"PASS","FAIL")</x:f>
        <x:v>PASS</x:v>
      </x:c>
    </x:row>
    <x:row r="3564">
      <x:c r="B3564" t="str">
        <x:v>A-03518</x:v>
      </x:c>
      <x:c r="C3564" t="str">
        <x:v>GATE</x:v>
      </x:c>
      <x:c r="D3564" t="str">
        <x:v>release state mirrors governing ledger</x:v>
      </x:c>
      <x:c r="E3564" t="str">
        <x:f>'Release Gates'!I3524</x:f>
        <x:v>OPEN</x:v>
      </x:c>
      <x:c r="F3564" t="str">
        <x:f>IF('Release Gates'!C3524="PLANNING","PASS",IF('Release Gates'!C3524="PHYSICAL","OPEN","BLOCKED"))</x:f>
        <x:v>OPEN</x:v>
      </x:c>
      <x:c r="G3564" t="str">
        <x:v>equals</x:v>
      </x:c>
      <x:c r="H3564" t="str">
        <x:f>IF(E3564=F3564,"PASS","FAIL")</x:f>
        <x:v>PASS</x:v>
      </x:c>
    </x:row>
    <x:row r="3565">
      <x:c r="B3565" t="str">
        <x:v>A-03519</x:v>
      </x:c>
      <x:c r="C3565" t="str">
        <x:v>GATE</x:v>
      </x:c>
      <x:c r="D3565" t="str">
        <x:v>release state mirrors governing ledger</x:v>
      </x:c>
      <x:c r="E3565" t="str">
        <x:f>'Release Gates'!I3525</x:f>
        <x:v>OPEN</x:v>
      </x:c>
      <x:c r="F3565" t="str">
        <x:f>IF('Release Gates'!C3525="PLANNING","PASS",IF('Release Gates'!C3525="PHYSICAL","OPEN","BLOCKED"))</x:f>
        <x:v>OPEN</x:v>
      </x:c>
      <x:c r="G3565" t="str">
        <x:v>equals</x:v>
      </x:c>
      <x:c r="H3565" t="str">
        <x:f>IF(E3565=F3565,"PASS","FAIL")</x:f>
        <x:v>PASS</x:v>
      </x:c>
    </x:row>
    <x:row r="3566">
      <x:c r="B3566" t="str">
        <x:v>A-03520</x:v>
      </x:c>
      <x:c r="C3566" t="str">
        <x:v>GATE</x:v>
      </x:c>
      <x:c r="D3566" t="str">
        <x:v>release state mirrors governing ledger</x:v>
      </x:c>
      <x:c r="E3566" t="str">
        <x:f>'Release Gates'!I3526</x:f>
        <x:v>OPEN</x:v>
      </x:c>
      <x:c r="F3566" t="str">
        <x:f>IF('Release Gates'!C3526="PLANNING","PASS",IF('Release Gates'!C3526="PHYSICAL","OPEN","BLOCKED"))</x:f>
        <x:v>OPEN</x:v>
      </x:c>
      <x:c r="G3566" t="str">
        <x:v>equals</x:v>
      </x:c>
      <x:c r="H3566" t="str">
        <x:f>IF(E3566=F3566,"PASS","FAIL")</x:f>
        <x:v>PASS</x:v>
      </x:c>
    </x:row>
    <x:row r="3567">
      <x:c r="B3567" t="str">
        <x:v>A-03521</x:v>
      </x:c>
      <x:c r="C3567" t="str">
        <x:v>GATE</x:v>
      </x:c>
      <x:c r="D3567" t="str">
        <x:v>release state mirrors governing ledger</x:v>
      </x:c>
      <x:c r="E3567" t="str">
        <x:f>'Release Gates'!I3527</x:f>
        <x:v>OPEN</x:v>
      </x:c>
      <x:c r="F3567" t="str">
        <x:f>IF('Release Gates'!C3527="PLANNING","PASS",IF('Release Gates'!C3527="PHYSICAL","OPEN","BLOCKED"))</x:f>
        <x:v>OPEN</x:v>
      </x:c>
      <x:c r="G3567" t="str">
        <x:v>equals</x:v>
      </x:c>
      <x:c r="H3567" t="str">
        <x:f>IF(E3567=F3567,"PASS","FAIL")</x:f>
        <x:v>PASS</x:v>
      </x:c>
    </x:row>
    <x:row r="3568">
      <x:c r="B3568" t="str">
        <x:v>A-03522</x:v>
      </x:c>
      <x:c r="C3568" t="str">
        <x:v>GATE</x:v>
      </x:c>
      <x:c r="D3568" t="str">
        <x:v>release state mirrors governing ledger</x:v>
      </x:c>
      <x:c r="E3568" t="str">
        <x:f>'Release Gates'!I3528</x:f>
        <x:v>OPEN</x:v>
      </x:c>
      <x:c r="F3568" t="str">
        <x:f>IF('Release Gates'!C3528="PLANNING","PASS",IF('Release Gates'!C3528="PHYSICAL","OPEN","BLOCKED"))</x:f>
        <x:v>OPEN</x:v>
      </x:c>
      <x:c r="G3568" t="str">
        <x:v>equals</x:v>
      </x:c>
      <x:c r="H3568" t="str">
        <x:f>IF(E3568=F3568,"PASS","FAIL")</x:f>
        <x:v>PASS</x:v>
      </x:c>
    </x:row>
    <x:row r="3569">
      <x:c r="B3569" t="str">
        <x:v>A-03523</x:v>
      </x:c>
      <x:c r="C3569" t="str">
        <x:v>GATE</x:v>
      </x:c>
      <x:c r="D3569" t="str">
        <x:v>release state mirrors governing ledger</x:v>
      </x:c>
      <x:c r="E3569" t="str">
        <x:f>'Release Gates'!I3529</x:f>
        <x:v>OPEN</x:v>
      </x:c>
      <x:c r="F3569" t="str">
        <x:f>IF('Release Gates'!C3529="PLANNING","PASS",IF('Release Gates'!C3529="PHYSICAL","OPEN","BLOCKED"))</x:f>
        <x:v>OPEN</x:v>
      </x:c>
      <x:c r="G3569" t="str">
        <x:v>equals</x:v>
      </x:c>
      <x:c r="H3569" t="str">
        <x:f>IF(E3569=F3569,"PASS","FAIL")</x:f>
        <x:v>PASS</x:v>
      </x:c>
    </x:row>
    <x:row r="3570">
      <x:c r="B3570" t="str">
        <x:v>A-03524</x:v>
      </x:c>
      <x:c r="C3570" t="str">
        <x:v>GATE</x:v>
      </x:c>
      <x:c r="D3570" t="str">
        <x:v>release state mirrors governing ledger</x:v>
      </x:c>
      <x:c r="E3570" t="str">
        <x:f>'Release Gates'!I3530</x:f>
        <x:v>OPEN</x:v>
      </x:c>
      <x:c r="F3570" t="str">
        <x:f>IF('Release Gates'!C3530="PLANNING","PASS",IF('Release Gates'!C3530="PHYSICAL","OPEN","BLOCKED"))</x:f>
        <x:v>OPEN</x:v>
      </x:c>
      <x:c r="G3570" t="str">
        <x:v>equals</x:v>
      </x:c>
      <x:c r="H3570" t="str">
        <x:f>IF(E3570=F3570,"PASS","FAIL")</x:f>
        <x:v>PASS</x:v>
      </x:c>
    </x:row>
    <x:row r="3571">
      <x:c r="B3571" t="str">
        <x:v>A-03525</x:v>
      </x:c>
      <x:c r="C3571" t="str">
        <x:v>GATE</x:v>
      </x:c>
      <x:c r="D3571" t="str">
        <x:v>release state mirrors governing ledger</x:v>
      </x:c>
      <x:c r="E3571" t="str">
        <x:f>'Release Gates'!I3531</x:f>
        <x:v>OPEN</x:v>
      </x:c>
      <x:c r="F3571" t="str">
        <x:f>IF('Release Gates'!C3531="PLANNING","PASS",IF('Release Gates'!C3531="PHYSICAL","OPEN","BLOCKED"))</x:f>
        <x:v>OPEN</x:v>
      </x:c>
      <x:c r="G3571" t="str">
        <x:v>equals</x:v>
      </x:c>
      <x:c r="H3571" t="str">
        <x:f>IF(E3571=F3571,"PASS","FAIL")</x:f>
        <x:v>PASS</x:v>
      </x:c>
    </x:row>
    <x:row r="3572">
      <x:c r="B3572" t="str">
        <x:v>A-03526</x:v>
      </x:c>
      <x:c r="C3572" t="str">
        <x:v>GATE</x:v>
      </x:c>
      <x:c r="D3572" t="str">
        <x:v>release state mirrors governing ledger</x:v>
      </x:c>
      <x:c r="E3572" t="str">
        <x:f>'Release Gates'!I3532</x:f>
        <x:v>OPEN</x:v>
      </x:c>
      <x:c r="F3572" t="str">
        <x:f>IF('Release Gates'!C3532="PLANNING","PASS",IF('Release Gates'!C3532="PHYSICAL","OPEN","BLOCKED"))</x:f>
        <x:v>OPEN</x:v>
      </x:c>
      <x:c r="G3572" t="str">
        <x:v>equals</x:v>
      </x:c>
      <x:c r="H3572" t="str">
        <x:f>IF(E3572=F3572,"PASS","FAIL")</x:f>
        <x:v>PASS</x:v>
      </x:c>
    </x:row>
    <x:row r="3573">
      <x:c r="B3573" t="str">
        <x:v>A-03527</x:v>
      </x:c>
      <x:c r="C3573" t="str">
        <x:v>GATE</x:v>
      </x:c>
      <x:c r="D3573" t="str">
        <x:v>release state mirrors governing ledger</x:v>
      </x:c>
      <x:c r="E3573" t="str">
        <x:f>'Release Gates'!I3533</x:f>
        <x:v>OPEN</x:v>
      </x:c>
      <x:c r="F3573" t="str">
        <x:f>IF('Release Gates'!C3533="PLANNING","PASS",IF('Release Gates'!C3533="PHYSICAL","OPEN","BLOCKED"))</x:f>
        <x:v>OPEN</x:v>
      </x:c>
      <x:c r="G3573" t="str">
        <x:v>equals</x:v>
      </x:c>
      <x:c r="H3573" t="str">
        <x:f>IF(E3573=F3573,"PASS","FAIL")</x:f>
        <x:v>PASS</x:v>
      </x:c>
    </x:row>
    <x:row r="3574">
      <x:c r="B3574" t="str">
        <x:v>A-03528</x:v>
      </x:c>
      <x:c r="C3574" t="str">
        <x:v>GATE</x:v>
      </x:c>
      <x:c r="D3574" t="str">
        <x:v>release state mirrors governing ledger</x:v>
      </x:c>
      <x:c r="E3574" t="str">
        <x:f>'Release Gates'!I3534</x:f>
        <x:v>OPEN</x:v>
      </x:c>
      <x:c r="F3574" t="str">
        <x:f>IF('Release Gates'!C3534="PLANNING","PASS",IF('Release Gates'!C3534="PHYSICAL","OPEN","BLOCKED"))</x:f>
        <x:v>OPEN</x:v>
      </x:c>
      <x:c r="G3574" t="str">
        <x:v>equals</x:v>
      </x:c>
      <x:c r="H3574" t="str">
        <x:f>IF(E3574=F3574,"PASS","FAIL")</x:f>
        <x:v>PASS</x:v>
      </x:c>
    </x:row>
    <x:row r="3575">
      <x:c r="B3575" t="str">
        <x:v>A-03529</x:v>
      </x:c>
      <x:c r="C3575" t="str">
        <x:v>GATE</x:v>
      </x:c>
      <x:c r="D3575" t="str">
        <x:v>release state mirrors governing ledger</x:v>
      </x:c>
      <x:c r="E3575" t="str">
        <x:f>'Release Gates'!I3535</x:f>
        <x:v>OPEN</x:v>
      </x:c>
      <x:c r="F3575" t="str">
        <x:f>IF('Release Gates'!C3535="PLANNING","PASS",IF('Release Gates'!C3535="PHYSICAL","OPEN","BLOCKED"))</x:f>
        <x:v>OPEN</x:v>
      </x:c>
      <x:c r="G3575" t="str">
        <x:v>equals</x:v>
      </x:c>
      <x:c r="H3575" t="str">
        <x:f>IF(E3575=F3575,"PASS","FAIL")</x:f>
        <x:v>PASS</x:v>
      </x:c>
    </x:row>
    <x:row r="3576">
      <x:c r="B3576" t="str">
        <x:v>A-03530</x:v>
      </x:c>
      <x:c r="C3576" t="str">
        <x:v>GATE</x:v>
      </x:c>
      <x:c r="D3576" t="str">
        <x:v>release state mirrors governing ledger</x:v>
      </x:c>
      <x:c r="E3576" t="str">
        <x:f>'Release Gates'!I3536</x:f>
        <x:v>OPEN</x:v>
      </x:c>
      <x:c r="F3576" t="str">
        <x:f>IF('Release Gates'!C3536="PLANNING","PASS",IF('Release Gates'!C3536="PHYSICAL","OPEN","BLOCKED"))</x:f>
        <x:v>OPEN</x:v>
      </x:c>
      <x:c r="G3576" t="str">
        <x:v>equals</x:v>
      </x:c>
      <x:c r="H3576" t="str">
        <x:f>IF(E3576=F3576,"PASS","FAIL")</x:f>
        <x:v>PASS</x:v>
      </x:c>
    </x:row>
    <x:row r="3577">
      <x:c r="B3577" t="str">
        <x:v>A-03531</x:v>
      </x:c>
      <x:c r="C3577" t="str">
        <x:v>GATE</x:v>
      </x:c>
      <x:c r="D3577" t="str">
        <x:v>release state mirrors governing ledger</x:v>
      </x:c>
      <x:c r="E3577" t="str">
        <x:f>'Release Gates'!I3537</x:f>
        <x:v>OPEN</x:v>
      </x:c>
      <x:c r="F3577" t="str">
        <x:f>IF('Release Gates'!C3537="PLANNING","PASS",IF('Release Gates'!C3537="PHYSICAL","OPEN","BLOCKED"))</x:f>
        <x:v>OPEN</x:v>
      </x:c>
      <x:c r="G3577" t="str">
        <x:v>equals</x:v>
      </x:c>
      <x:c r="H3577" t="str">
        <x:f>IF(E3577=F3577,"PASS","FAIL")</x:f>
        <x:v>PASS</x:v>
      </x:c>
    </x:row>
    <x:row r="3578">
      <x:c r="B3578" t="str">
        <x:v>A-03532</x:v>
      </x:c>
      <x:c r="C3578" t="str">
        <x:v>GATE</x:v>
      </x:c>
      <x:c r="D3578" t="str">
        <x:v>release state mirrors governing ledger</x:v>
      </x:c>
      <x:c r="E3578" t="str">
        <x:f>'Release Gates'!I3538</x:f>
        <x:v>OPEN</x:v>
      </x:c>
      <x:c r="F3578" t="str">
        <x:f>IF('Release Gates'!C3538="PLANNING","PASS",IF('Release Gates'!C3538="PHYSICAL","OPEN","BLOCKED"))</x:f>
        <x:v>OPEN</x:v>
      </x:c>
      <x:c r="G3578" t="str">
        <x:v>equals</x:v>
      </x:c>
      <x:c r="H3578" t="str">
        <x:f>IF(E3578=F3578,"PASS","FAIL")</x:f>
        <x:v>PASS</x:v>
      </x:c>
    </x:row>
    <x:row r="3579">
      <x:c r="B3579" t="str">
        <x:v>A-03533</x:v>
      </x:c>
      <x:c r="C3579" t="str">
        <x:v>GATE</x:v>
      </x:c>
      <x:c r="D3579" t="str">
        <x:v>release state mirrors governing ledger</x:v>
      </x:c>
      <x:c r="E3579" t="str">
        <x:f>'Release Gates'!I3539</x:f>
        <x:v>OPEN</x:v>
      </x:c>
      <x:c r="F3579" t="str">
        <x:f>IF('Release Gates'!C3539="PLANNING","PASS",IF('Release Gates'!C3539="PHYSICAL","OPEN","BLOCKED"))</x:f>
        <x:v>OPEN</x:v>
      </x:c>
      <x:c r="G3579" t="str">
        <x:v>equals</x:v>
      </x:c>
      <x:c r="H3579" t="str">
        <x:f>IF(E3579=F3579,"PASS","FAIL")</x:f>
        <x:v>PASS</x:v>
      </x:c>
    </x:row>
    <x:row r="3580">
      <x:c r="B3580" t="str">
        <x:v>A-03534</x:v>
      </x:c>
      <x:c r="C3580" t="str">
        <x:v>GATE</x:v>
      </x:c>
      <x:c r="D3580" t="str">
        <x:v>release state mirrors governing ledger</x:v>
      </x:c>
      <x:c r="E3580" t="str">
        <x:f>'Release Gates'!I3540</x:f>
        <x:v>OPEN</x:v>
      </x:c>
      <x:c r="F3580" t="str">
        <x:f>IF('Release Gates'!C3540="PLANNING","PASS",IF('Release Gates'!C3540="PHYSICAL","OPEN","BLOCKED"))</x:f>
        <x:v>OPEN</x:v>
      </x:c>
      <x:c r="G3580" t="str">
        <x:v>equals</x:v>
      </x:c>
      <x:c r="H3580" t="str">
        <x:f>IF(E3580=F3580,"PASS","FAIL")</x:f>
        <x:v>PASS</x:v>
      </x:c>
    </x:row>
    <x:row r="3581">
      <x:c r="B3581" t="str">
        <x:v>A-03535</x:v>
      </x:c>
      <x:c r="C3581" t="str">
        <x:v>GATE</x:v>
      </x:c>
      <x:c r="D3581" t="str">
        <x:v>release state mirrors governing ledger</x:v>
      </x:c>
      <x:c r="E3581" t="str">
        <x:f>'Release Gates'!I3541</x:f>
        <x:v>OPEN</x:v>
      </x:c>
      <x:c r="F3581" t="str">
        <x:f>IF('Release Gates'!C3541="PLANNING","PASS",IF('Release Gates'!C3541="PHYSICAL","OPEN","BLOCKED"))</x:f>
        <x:v>OPEN</x:v>
      </x:c>
      <x:c r="G3581" t="str">
        <x:v>equals</x:v>
      </x:c>
      <x:c r="H3581" t="str">
        <x:f>IF(E3581=F3581,"PASS","FAIL")</x:f>
        <x:v>PASS</x:v>
      </x:c>
    </x:row>
    <x:row r="3582">
      <x:c r="B3582" t="str">
        <x:v>A-03536</x:v>
      </x:c>
      <x:c r="C3582" t="str">
        <x:v>GATE</x:v>
      </x:c>
      <x:c r="D3582" t="str">
        <x:v>release state mirrors governing ledger</x:v>
      </x:c>
      <x:c r="E3582" t="str">
        <x:f>'Release Gates'!I3542</x:f>
        <x:v>OPEN</x:v>
      </x:c>
      <x:c r="F3582" t="str">
        <x:f>IF('Release Gates'!C3542="PLANNING","PASS",IF('Release Gates'!C3542="PHYSICAL","OPEN","BLOCKED"))</x:f>
        <x:v>OPEN</x:v>
      </x:c>
      <x:c r="G3582" t="str">
        <x:v>equals</x:v>
      </x:c>
      <x:c r="H3582" t="str">
        <x:f>IF(E3582=F3582,"PASS","FAIL")</x:f>
        <x:v>PASS</x:v>
      </x:c>
    </x:row>
    <x:row r="3583">
      <x:c r="B3583" t="str">
        <x:v>A-03537</x:v>
      </x:c>
      <x:c r="C3583" t="str">
        <x:v>GATE</x:v>
      </x:c>
      <x:c r="D3583" t="str">
        <x:v>release state mirrors governing ledger</x:v>
      </x:c>
      <x:c r="E3583" t="str">
        <x:f>'Release Gates'!I3543</x:f>
        <x:v>OPEN</x:v>
      </x:c>
      <x:c r="F3583" t="str">
        <x:f>IF('Release Gates'!C3543="PLANNING","PASS",IF('Release Gates'!C3543="PHYSICAL","OPEN","BLOCKED"))</x:f>
        <x:v>OPEN</x:v>
      </x:c>
      <x:c r="G3583" t="str">
        <x:v>equals</x:v>
      </x:c>
      <x:c r="H3583" t="str">
        <x:f>IF(E3583=F3583,"PASS","FAIL")</x:f>
        <x:v>PASS</x:v>
      </x:c>
    </x:row>
    <x:row r="3584">
      <x:c r="B3584" t="str">
        <x:v>A-03538</x:v>
      </x:c>
      <x:c r="C3584" t="str">
        <x:v>GATE</x:v>
      </x:c>
      <x:c r="D3584" t="str">
        <x:v>release state mirrors governing ledger</x:v>
      </x:c>
      <x:c r="E3584" t="str">
        <x:f>'Release Gates'!I3544</x:f>
        <x:v>OPEN</x:v>
      </x:c>
      <x:c r="F3584" t="str">
        <x:f>IF('Release Gates'!C3544="PLANNING","PASS",IF('Release Gates'!C3544="PHYSICAL","OPEN","BLOCKED"))</x:f>
        <x:v>OPEN</x:v>
      </x:c>
      <x:c r="G3584" t="str">
        <x:v>equals</x:v>
      </x:c>
      <x:c r="H3584" t="str">
        <x:f>IF(E3584=F3584,"PASS","FAIL")</x:f>
        <x:v>PASS</x:v>
      </x:c>
    </x:row>
    <x:row r="3585">
      <x:c r="B3585" t="str">
        <x:v>A-03539</x:v>
      </x:c>
      <x:c r="C3585" t="str">
        <x:v>GATE</x:v>
      </x:c>
      <x:c r="D3585" t="str">
        <x:v>release state mirrors governing ledger</x:v>
      </x:c>
      <x:c r="E3585" t="str">
        <x:f>'Release Gates'!I3545</x:f>
        <x:v>OPEN</x:v>
      </x:c>
      <x:c r="F3585" t="str">
        <x:f>IF('Release Gates'!C3545="PLANNING","PASS",IF('Release Gates'!C3545="PHYSICAL","OPEN","BLOCKED"))</x:f>
        <x:v>OPEN</x:v>
      </x:c>
      <x:c r="G3585" t="str">
        <x:v>equals</x:v>
      </x:c>
      <x:c r="H3585" t="str">
        <x:f>IF(E3585=F3585,"PASS","FAIL")</x:f>
        <x:v>PASS</x:v>
      </x:c>
    </x:row>
    <x:row r="3586">
      <x:c r="B3586" t="str">
        <x:v>A-03540</x:v>
      </x:c>
      <x:c r="C3586" t="str">
        <x:v>GATE</x:v>
      </x:c>
      <x:c r="D3586" t="str">
        <x:v>release state mirrors governing ledger</x:v>
      </x:c>
      <x:c r="E3586" t="str">
        <x:f>'Release Gates'!I3546</x:f>
        <x:v>OPEN</x:v>
      </x:c>
      <x:c r="F3586" t="str">
        <x:f>IF('Release Gates'!C3546="PLANNING","PASS",IF('Release Gates'!C3546="PHYSICAL","OPEN","BLOCKED"))</x:f>
        <x:v>OPEN</x:v>
      </x:c>
      <x:c r="G3586" t="str">
        <x:v>equals</x:v>
      </x:c>
      <x:c r="H3586" t="str">
        <x:f>IF(E3586=F3586,"PASS","FAIL")</x:f>
        <x:v>PASS</x:v>
      </x:c>
    </x:row>
    <x:row r="3587">
      <x:c r="B3587" t="str">
        <x:v>A-03541</x:v>
      </x:c>
      <x:c r="C3587" t="str">
        <x:v>GATE</x:v>
      </x:c>
      <x:c r="D3587" t="str">
        <x:v>release state mirrors governing ledger</x:v>
      </x:c>
      <x:c r="E3587" t="str">
        <x:f>'Release Gates'!I3547</x:f>
        <x:v>OPEN</x:v>
      </x:c>
      <x:c r="F3587" t="str">
        <x:f>IF('Release Gates'!C3547="PLANNING","PASS",IF('Release Gates'!C3547="PHYSICAL","OPEN","BLOCKED"))</x:f>
        <x:v>OPEN</x:v>
      </x:c>
      <x:c r="G3587" t="str">
        <x:v>equals</x:v>
      </x:c>
      <x:c r="H3587" t="str">
        <x:f>IF(E3587=F3587,"PASS","FAIL")</x:f>
        <x:v>PASS</x:v>
      </x:c>
    </x:row>
    <x:row r="3588">
      <x:c r="B3588" t="str">
        <x:v>A-03542</x:v>
      </x:c>
      <x:c r="C3588" t="str">
        <x:v>GATE</x:v>
      </x:c>
      <x:c r="D3588" t="str">
        <x:v>release state mirrors governing ledger</x:v>
      </x:c>
      <x:c r="E3588" t="str">
        <x:f>'Release Gates'!I3548</x:f>
        <x:v>OPEN</x:v>
      </x:c>
      <x:c r="F3588" t="str">
        <x:f>IF('Release Gates'!C3548="PLANNING","PASS",IF('Release Gates'!C3548="PHYSICAL","OPEN","BLOCKED"))</x:f>
        <x:v>OPEN</x:v>
      </x:c>
      <x:c r="G3588" t="str">
        <x:v>equals</x:v>
      </x:c>
      <x:c r="H3588" t="str">
        <x:f>IF(E3588=F3588,"PASS","FAIL")</x:f>
        <x:v>PASS</x:v>
      </x:c>
    </x:row>
    <x:row r="3589">
      <x:c r="B3589" t="str">
        <x:v>A-03543</x:v>
      </x:c>
      <x:c r="C3589" t="str">
        <x:v>GATE</x:v>
      </x:c>
      <x:c r="D3589" t="str">
        <x:v>release state mirrors governing ledger</x:v>
      </x:c>
      <x:c r="E3589" t="str">
        <x:f>'Release Gates'!I3549</x:f>
        <x:v>OPEN</x:v>
      </x:c>
      <x:c r="F3589" t="str">
        <x:f>IF('Release Gates'!C3549="PLANNING","PASS",IF('Release Gates'!C3549="PHYSICAL","OPEN","BLOCKED"))</x:f>
        <x:v>OPEN</x:v>
      </x:c>
      <x:c r="G3589" t="str">
        <x:v>equals</x:v>
      </x:c>
      <x:c r="H3589" t="str">
        <x:f>IF(E3589=F3589,"PASS","FAIL")</x:f>
        <x:v>PASS</x:v>
      </x:c>
    </x:row>
    <x:row r="3590">
      <x:c r="B3590" t="str">
        <x:v>A-03544</x:v>
      </x:c>
      <x:c r="C3590" t="str">
        <x:v>GATE</x:v>
      </x:c>
      <x:c r="D3590" t="str">
        <x:v>release state mirrors governing ledger</x:v>
      </x:c>
      <x:c r="E3590" t="str">
        <x:f>'Release Gates'!I3550</x:f>
        <x:v>OPEN</x:v>
      </x:c>
      <x:c r="F3590" t="str">
        <x:f>IF('Release Gates'!C3550="PLANNING","PASS",IF('Release Gates'!C3550="PHYSICAL","OPEN","BLOCKED"))</x:f>
        <x:v>OPEN</x:v>
      </x:c>
      <x:c r="G3590" t="str">
        <x:v>equals</x:v>
      </x:c>
      <x:c r="H3590" t="str">
        <x:f>IF(E3590=F3590,"PASS","FAIL")</x:f>
        <x:v>PASS</x:v>
      </x:c>
    </x:row>
    <x:row r="3591">
      <x:c r="B3591" t="str">
        <x:v>A-03545</x:v>
      </x:c>
      <x:c r="C3591" t="str">
        <x:v>GATE</x:v>
      </x:c>
      <x:c r="D3591" t="str">
        <x:v>release state mirrors governing ledger</x:v>
      </x:c>
      <x:c r="E3591" t="str">
        <x:f>'Release Gates'!I3551</x:f>
        <x:v>OPEN</x:v>
      </x:c>
      <x:c r="F3591" t="str">
        <x:f>IF('Release Gates'!C3551="PLANNING","PASS",IF('Release Gates'!C3551="PHYSICAL","OPEN","BLOCKED"))</x:f>
        <x:v>OPEN</x:v>
      </x:c>
      <x:c r="G3591" t="str">
        <x:v>equals</x:v>
      </x:c>
      <x:c r="H3591" t="str">
        <x:f>IF(E3591=F3591,"PASS","FAIL")</x:f>
        <x:v>PASS</x:v>
      </x:c>
    </x:row>
    <x:row r="3592">
      <x:c r="B3592" t="str">
        <x:v>A-03546</x:v>
      </x:c>
      <x:c r="C3592" t="str">
        <x:v>GATE</x:v>
      </x:c>
      <x:c r="D3592" t="str">
        <x:v>release state mirrors governing ledger</x:v>
      </x:c>
      <x:c r="E3592" t="str">
        <x:f>'Release Gates'!I3552</x:f>
        <x:v>OPEN</x:v>
      </x:c>
      <x:c r="F3592" t="str">
        <x:f>IF('Release Gates'!C3552="PLANNING","PASS",IF('Release Gates'!C3552="PHYSICAL","OPEN","BLOCKED"))</x:f>
        <x:v>OPEN</x:v>
      </x:c>
      <x:c r="G3592" t="str">
        <x:v>equals</x:v>
      </x:c>
      <x:c r="H3592" t="str">
        <x:f>IF(E3592=F3592,"PASS","FAIL")</x:f>
        <x:v>PASS</x:v>
      </x:c>
    </x:row>
    <x:row r="3593">
      <x:c r="B3593" t="str">
        <x:v>A-03547</x:v>
      </x:c>
      <x:c r="C3593" t="str">
        <x:v>GATE</x:v>
      </x:c>
      <x:c r="D3593" t="str">
        <x:v>release state mirrors governing ledger</x:v>
      </x:c>
      <x:c r="E3593" t="str">
        <x:f>'Release Gates'!I3553</x:f>
        <x:v>OPEN</x:v>
      </x:c>
      <x:c r="F3593" t="str">
        <x:f>IF('Release Gates'!C3553="PLANNING","PASS",IF('Release Gates'!C3553="PHYSICAL","OPEN","BLOCKED"))</x:f>
        <x:v>OPEN</x:v>
      </x:c>
      <x:c r="G3593" t="str">
        <x:v>equals</x:v>
      </x:c>
      <x:c r="H3593" t="str">
        <x:f>IF(E3593=F3593,"PASS","FAIL")</x:f>
        <x:v>PASS</x:v>
      </x:c>
    </x:row>
    <x:row r="3594">
      <x:c r="B3594" t="str">
        <x:v>A-03548</x:v>
      </x:c>
      <x:c r="C3594" t="str">
        <x:v>GATE</x:v>
      </x:c>
      <x:c r="D3594" t="str">
        <x:v>release state mirrors governing ledger</x:v>
      </x:c>
      <x:c r="E3594" t="str">
        <x:f>'Release Gates'!I3554</x:f>
        <x:v>OPEN</x:v>
      </x:c>
      <x:c r="F3594" t="str">
        <x:f>IF('Release Gates'!C3554="PLANNING","PASS",IF('Release Gates'!C3554="PHYSICAL","OPEN","BLOCKED"))</x:f>
        <x:v>OPEN</x:v>
      </x:c>
      <x:c r="G3594" t="str">
        <x:v>equals</x:v>
      </x:c>
      <x:c r="H3594" t="str">
        <x:f>IF(E3594=F3594,"PASS","FAIL")</x:f>
        <x:v>PASS</x:v>
      </x:c>
    </x:row>
    <x:row r="3595">
      <x:c r="B3595" t="str">
        <x:v>A-03549</x:v>
      </x:c>
      <x:c r="C3595" t="str">
        <x:v>GATE</x:v>
      </x:c>
      <x:c r="D3595" t="str">
        <x:v>release state mirrors governing ledger</x:v>
      </x:c>
      <x:c r="E3595" t="str">
        <x:f>'Release Gates'!I3555</x:f>
        <x:v>OPEN</x:v>
      </x:c>
      <x:c r="F3595" t="str">
        <x:f>IF('Release Gates'!C3555="PLANNING","PASS",IF('Release Gates'!C3555="PHYSICAL","OPEN","BLOCKED"))</x:f>
        <x:v>OPEN</x:v>
      </x:c>
      <x:c r="G3595" t="str">
        <x:v>equals</x:v>
      </x:c>
      <x:c r="H3595" t="str">
        <x:f>IF(E3595=F3595,"PASS","FAIL")</x:f>
        <x:v>PASS</x:v>
      </x:c>
    </x:row>
    <x:row r="3596">
      <x:c r="B3596" t="str">
        <x:v>A-03550</x:v>
      </x:c>
      <x:c r="C3596" t="str">
        <x:v>GATE</x:v>
      </x:c>
      <x:c r="D3596" t="str">
        <x:v>release state mirrors governing ledger</x:v>
      </x:c>
      <x:c r="E3596" t="str">
        <x:f>'Release Gates'!I3556</x:f>
        <x:v>OPEN</x:v>
      </x:c>
      <x:c r="F3596" t="str">
        <x:f>IF('Release Gates'!C3556="PLANNING","PASS",IF('Release Gates'!C3556="PHYSICAL","OPEN","BLOCKED"))</x:f>
        <x:v>OPEN</x:v>
      </x:c>
      <x:c r="G3596" t="str">
        <x:v>equals</x:v>
      </x:c>
      <x:c r="H3596" t="str">
        <x:f>IF(E3596=F3596,"PASS","FAIL")</x:f>
        <x:v>PASS</x:v>
      </x:c>
    </x:row>
    <x:row r="3597">
      <x:c r="B3597" t="str">
        <x:v>A-03551</x:v>
      </x:c>
      <x:c r="C3597" t="str">
        <x:v>GATE</x:v>
      </x:c>
      <x:c r="D3597" t="str">
        <x:v>release state mirrors governing ledger</x:v>
      </x:c>
      <x:c r="E3597" t="str">
        <x:f>'Release Gates'!I3557</x:f>
        <x:v>OPEN</x:v>
      </x:c>
      <x:c r="F3597" t="str">
        <x:f>IF('Release Gates'!C3557="PLANNING","PASS",IF('Release Gates'!C3557="PHYSICAL","OPEN","BLOCKED"))</x:f>
        <x:v>OPEN</x:v>
      </x:c>
      <x:c r="G3597" t="str">
        <x:v>equals</x:v>
      </x:c>
      <x:c r="H3597" t="str">
        <x:f>IF(E3597=F3597,"PASS","FAIL")</x:f>
        <x:v>PASS</x:v>
      </x:c>
    </x:row>
    <x:row r="3598">
      <x:c r="B3598" t="str">
        <x:v>A-03552</x:v>
      </x:c>
      <x:c r="C3598" t="str">
        <x:v>GATE</x:v>
      </x:c>
      <x:c r="D3598" t="str">
        <x:v>release state mirrors governing ledger</x:v>
      </x:c>
      <x:c r="E3598" t="str">
        <x:f>'Release Gates'!I3558</x:f>
        <x:v>OPEN</x:v>
      </x:c>
      <x:c r="F3598" t="str">
        <x:f>IF('Release Gates'!C3558="PLANNING","PASS",IF('Release Gates'!C3558="PHYSICAL","OPEN","BLOCKED"))</x:f>
        <x:v>OPEN</x:v>
      </x:c>
      <x:c r="G3598" t="str">
        <x:v>equals</x:v>
      </x:c>
      <x:c r="H3598" t="str">
        <x:f>IF(E3598=F3598,"PASS","FAIL")</x:f>
        <x:v>PASS</x:v>
      </x:c>
    </x:row>
    <x:row r="3599">
      <x:c r="B3599" t="str">
        <x:v>A-03553</x:v>
      </x:c>
      <x:c r="C3599" t="str">
        <x:v>GATE</x:v>
      </x:c>
      <x:c r="D3599" t="str">
        <x:v>release state mirrors governing ledger</x:v>
      </x:c>
      <x:c r="E3599" t="str">
        <x:f>'Release Gates'!I3559</x:f>
        <x:v>OPEN</x:v>
      </x:c>
      <x:c r="F3599" t="str">
        <x:f>IF('Release Gates'!C3559="PLANNING","PASS",IF('Release Gates'!C3559="PHYSICAL","OPEN","BLOCKED"))</x:f>
        <x:v>OPEN</x:v>
      </x:c>
      <x:c r="G3599" t="str">
        <x:v>equals</x:v>
      </x:c>
      <x:c r="H3599" t="str">
        <x:f>IF(E3599=F3599,"PASS","FAIL")</x:f>
        <x:v>PASS</x:v>
      </x:c>
    </x:row>
    <x:row r="3600">
      <x:c r="B3600" t="str">
        <x:v>A-03554</x:v>
      </x:c>
      <x:c r="C3600" t="str">
        <x:v>GATE</x:v>
      </x:c>
      <x:c r="D3600" t="str">
        <x:v>release state mirrors governing ledger</x:v>
      </x:c>
      <x:c r="E3600" t="str">
        <x:f>'Release Gates'!I3560</x:f>
        <x:v>OPEN</x:v>
      </x:c>
      <x:c r="F3600" t="str">
        <x:f>IF('Release Gates'!C3560="PLANNING","PASS",IF('Release Gates'!C3560="PHYSICAL","OPEN","BLOCKED"))</x:f>
        <x:v>OPEN</x:v>
      </x:c>
      <x:c r="G3600" t="str">
        <x:v>equals</x:v>
      </x:c>
      <x:c r="H3600" t="str">
        <x:f>IF(E3600=F3600,"PASS","FAIL")</x:f>
        <x:v>PASS</x:v>
      </x:c>
    </x:row>
    <x:row r="3601">
      <x:c r="B3601" t="str">
        <x:v>A-03555</x:v>
      </x:c>
      <x:c r="C3601" t="str">
        <x:v>GATE</x:v>
      </x:c>
      <x:c r="D3601" t="str">
        <x:v>release state mirrors governing ledger</x:v>
      </x:c>
      <x:c r="E3601" t="str">
        <x:f>'Release Gates'!I3561</x:f>
        <x:v>OPEN</x:v>
      </x:c>
      <x:c r="F3601" t="str">
        <x:f>IF('Release Gates'!C3561="PLANNING","PASS",IF('Release Gates'!C3561="PHYSICAL","OPEN","BLOCKED"))</x:f>
        <x:v>OPEN</x:v>
      </x:c>
      <x:c r="G3601" t="str">
        <x:v>equals</x:v>
      </x:c>
      <x:c r="H3601" t="str">
        <x:f>IF(E3601=F3601,"PASS","FAIL")</x:f>
        <x:v>PASS</x:v>
      </x:c>
    </x:row>
    <x:row r="3602">
      <x:c r="B3602" t="str">
        <x:v>A-03556</x:v>
      </x:c>
      <x:c r="C3602" t="str">
        <x:v>GATE</x:v>
      </x:c>
      <x:c r="D3602" t="str">
        <x:v>release state mirrors governing ledger</x:v>
      </x:c>
      <x:c r="E3602" t="str">
        <x:f>'Release Gates'!I3562</x:f>
        <x:v>OPEN</x:v>
      </x:c>
      <x:c r="F3602" t="str">
        <x:f>IF('Release Gates'!C3562="PLANNING","PASS",IF('Release Gates'!C3562="PHYSICAL","OPEN","BLOCKED"))</x:f>
        <x:v>OPEN</x:v>
      </x:c>
      <x:c r="G3602" t="str">
        <x:v>equals</x:v>
      </x:c>
      <x:c r="H3602" t="str">
        <x:f>IF(E3602=F3602,"PASS","FAIL")</x:f>
        <x:v>PASS</x:v>
      </x:c>
    </x:row>
    <x:row r="3603">
      <x:c r="B3603" t="str">
        <x:v>A-03557</x:v>
      </x:c>
      <x:c r="C3603" t="str">
        <x:v>GATE</x:v>
      </x:c>
      <x:c r="D3603" t="str">
        <x:v>release state mirrors governing ledger</x:v>
      </x:c>
      <x:c r="E3603" t="str">
        <x:f>'Release Gates'!I3563</x:f>
        <x:v>OPEN</x:v>
      </x:c>
      <x:c r="F3603" t="str">
        <x:f>IF('Release Gates'!C3563="PLANNING","PASS",IF('Release Gates'!C3563="PHYSICAL","OPEN","BLOCKED"))</x:f>
        <x:v>OPEN</x:v>
      </x:c>
      <x:c r="G3603" t="str">
        <x:v>equals</x:v>
      </x:c>
      <x:c r="H3603" t="str">
        <x:f>IF(E3603=F3603,"PASS","FAIL")</x:f>
        <x:v>PASS</x:v>
      </x:c>
    </x:row>
    <x:row r="3604">
      <x:c r="B3604" t="str">
        <x:v>A-03558</x:v>
      </x:c>
      <x:c r="C3604" t="str">
        <x:v>GATE</x:v>
      </x:c>
      <x:c r="D3604" t="str">
        <x:v>release state mirrors governing ledger</x:v>
      </x:c>
      <x:c r="E3604" t="str">
        <x:f>'Release Gates'!I3564</x:f>
        <x:v>OPEN</x:v>
      </x:c>
      <x:c r="F3604" t="str">
        <x:f>IF('Release Gates'!C3564="PLANNING","PASS",IF('Release Gates'!C3564="PHYSICAL","OPEN","BLOCKED"))</x:f>
        <x:v>OPEN</x:v>
      </x:c>
      <x:c r="G3604" t="str">
        <x:v>equals</x:v>
      </x:c>
      <x:c r="H3604" t="str">
        <x:f>IF(E3604=F3604,"PASS","FAIL")</x:f>
        <x:v>PASS</x:v>
      </x:c>
    </x:row>
    <x:row r="3605">
      <x:c r="B3605" t="str">
        <x:v>A-03559</x:v>
      </x:c>
      <x:c r="C3605" t="str">
        <x:v>GATE</x:v>
      </x:c>
      <x:c r="D3605" t="str">
        <x:v>release state mirrors governing ledger</x:v>
      </x:c>
      <x:c r="E3605" t="str">
        <x:f>'Release Gates'!I3565</x:f>
        <x:v>OPEN</x:v>
      </x:c>
      <x:c r="F3605" t="str">
        <x:f>IF('Release Gates'!C3565="PLANNING","PASS",IF('Release Gates'!C3565="PHYSICAL","OPEN","BLOCKED"))</x:f>
        <x:v>OPEN</x:v>
      </x:c>
      <x:c r="G3605" t="str">
        <x:v>equals</x:v>
      </x:c>
      <x:c r="H3605" t="str">
        <x:f>IF(E3605=F3605,"PASS","FAIL")</x:f>
        <x:v>PASS</x:v>
      </x:c>
    </x:row>
    <x:row r="3606">
      <x:c r="B3606" t="str">
        <x:v>A-03560</x:v>
      </x:c>
      <x:c r="C3606" t="str">
        <x:v>GATE</x:v>
      </x:c>
      <x:c r="D3606" t="str">
        <x:v>release state mirrors governing ledger</x:v>
      </x:c>
      <x:c r="E3606" t="str">
        <x:f>'Release Gates'!I3566</x:f>
        <x:v>OPEN</x:v>
      </x:c>
      <x:c r="F3606" t="str">
        <x:f>IF('Release Gates'!C3566="PLANNING","PASS",IF('Release Gates'!C3566="PHYSICAL","OPEN","BLOCKED"))</x:f>
        <x:v>OPEN</x:v>
      </x:c>
      <x:c r="G3606" t="str">
        <x:v>equals</x:v>
      </x:c>
      <x:c r="H3606" t="str">
        <x:f>IF(E3606=F3606,"PASS","FAIL")</x:f>
        <x:v>PASS</x:v>
      </x:c>
    </x:row>
    <x:row r="3607">
      <x:c r="B3607" t="str">
        <x:v>A-03561</x:v>
      </x:c>
      <x:c r="C3607" t="str">
        <x:v>GATE</x:v>
      </x:c>
      <x:c r="D3607" t="str">
        <x:v>release state mirrors governing ledger</x:v>
      </x:c>
      <x:c r="E3607" t="str">
        <x:f>'Release Gates'!I3567</x:f>
        <x:v>OPEN</x:v>
      </x:c>
      <x:c r="F3607" t="str">
        <x:f>IF('Release Gates'!C3567="PLANNING","PASS",IF('Release Gates'!C3567="PHYSICAL","OPEN","BLOCKED"))</x:f>
        <x:v>OPEN</x:v>
      </x:c>
      <x:c r="G3607" t="str">
        <x:v>equals</x:v>
      </x:c>
      <x:c r="H3607" t="str">
        <x:f>IF(E3607=F3607,"PASS","FAIL")</x:f>
        <x:v>PASS</x:v>
      </x:c>
    </x:row>
    <x:row r="3608">
      <x:c r="B3608" t="str">
        <x:v>A-03562</x:v>
      </x:c>
      <x:c r="C3608" t="str">
        <x:v>GATE</x:v>
      </x:c>
      <x:c r="D3608" t="str">
        <x:v>release state mirrors governing ledger</x:v>
      </x:c>
      <x:c r="E3608" t="str">
        <x:f>'Release Gates'!I3568</x:f>
        <x:v>OPEN</x:v>
      </x:c>
      <x:c r="F3608" t="str">
        <x:f>IF('Release Gates'!C3568="PLANNING","PASS",IF('Release Gates'!C3568="PHYSICAL","OPEN","BLOCKED"))</x:f>
        <x:v>OPEN</x:v>
      </x:c>
      <x:c r="G3608" t="str">
        <x:v>equals</x:v>
      </x:c>
      <x:c r="H3608" t="str">
        <x:f>IF(E3608=F3608,"PASS","FAIL")</x:f>
        <x:v>PASS</x:v>
      </x:c>
    </x:row>
    <x:row r="3609">
      <x:c r="B3609" t="str">
        <x:v>A-03563</x:v>
      </x:c>
      <x:c r="C3609" t="str">
        <x:v>GATE</x:v>
      </x:c>
      <x:c r="D3609" t="str">
        <x:v>release state mirrors governing ledger</x:v>
      </x:c>
      <x:c r="E3609" t="str">
        <x:f>'Release Gates'!I3569</x:f>
        <x:v>OPEN</x:v>
      </x:c>
      <x:c r="F3609" t="str">
        <x:f>IF('Release Gates'!C3569="PLANNING","PASS",IF('Release Gates'!C3569="PHYSICAL","OPEN","BLOCKED"))</x:f>
        <x:v>OPEN</x:v>
      </x:c>
      <x:c r="G3609" t="str">
        <x:v>equals</x:v>
      </x:c>
      <x:c r="H3609" t="str">
        <x:f>IF(E3609=F3609,"PASS","FAIL")</x:f>
        <x:v>PASS</x:v>
      </x:c>
    </x:row>
    <x:row r="3610">
      <x:c r="B3610" t="str">
        <x:v>A-03564</x:v>
      </x:c>
      <x:c r="C3610" t="str">
        <x:v>GATE</x:v>
      </x:c>
      <x:c r="D3610" t="str">
        <x:v>release state mirrors governing ledger</x:v>
      </x:c>
      <x:c r="E3610" t="str">
        <x:f>'Release Gates'!I3570</x:f>
        <x:v>OPEN</x:v>
      </x:c>
      <x:c r="F3610" t="str">
        <x:f>IF('Release Gates'!C3570="PLANNING","PASS",IF('Release Gates'!C3570="PHYSICAL","OPEN","BLOCKED"))</x:f>
        <x:v>OPEN</x:v>
      </x:c>
      <x:c r="G3610" t="str">
        <x:v>equals</x:v>
      </x:c>
      <x:c r="H3610" t="str">
        <x:f>IF(E3610=F3610,"PASS","FAIL")</x:f>
        <x:v>PASS</x:v>
      </x:c>
    </x:row>
    <x:row r="3611">
      <x:c r="B3611" t="str">
        <x:v>A-03565</x:v>
      </x:c>
      <x:c r="C3611" t="str">
        <x:v>GATE</x:v>
      </x:c>
      <x:c r="D3611" t="str">
        <x:v>release state mirrors governing ledger</x:v>
      </x:c>
      <x:c r="E3611" t="str">
        <x:f>'Release Gates'!I3571</x:f>
        <x:v>OPEN</x:v>
      </x:c>
      <x:c r="F3611" t="str">
        <x:f>IF('Release Gates'!C3571="PLANNING","PASS",IF('Release Gates'!C3571="PHYSICAL","OPEN","BLOCKED"))</x:f>
        <x:v>OPEN</x:v>
      </x:c>
      <x:c r="G3611" t="str">
        <x:v>equals</x:v>
      </x:c>
      <x:c r="H3611" t="str">
        <x:f>IF(E3611=F3611,"PASS","FAIL")</x:f>
        <x:v>PASS</x:v>
      </x:c>
    </x:row>
    <x:row r="3612">
      <x:c r="B3612" t="str">
        <x:v>A-03566</x:v>
      </x:c>
      <x:c r="C3612" t="str">
        <x:v>GATE</x:v>
      </x:c>
      <x:c r="D3612" t="str">
        <x:v>release state mirrors governing ledger</x:v>
      </x:c>
      <x:c r="E3612" t="str">
        <x:f>'Release Gates'!I3572</x:f>
        <x:v>OPEN</x:v>
      </x:c>
      <x:c r="F3612" t="str">
        <x:f>IF('Release Gates'!C3572="PLANNING","PASS",IF('Release Gates'!C3572="PHYSICAL","OPEN","BLOCKED"))</x:f>
        <x:v>OPEN</x:v>
      </x:c>
      <x:c r="G3612" t="str">
        <x:v>equals</x:v>
      </x:c>
      <x:c r="H3612" t="str">
        <x:f>IF(E3612=F3612,"PASS","FAIL")</x:f>
        <x:v>PASS</x:v>
      </x:c>
    </x:row>
    <x:row r="3613">
      <x:c r="B3613" t="str">
        <x:v>A-03567</x:v>
      </x:c>
      <x:c r="C3613" t="str">
        <x:v>GATE</x:v>
      </x:c>
      <x:c r="D3613" t="str">
        <x:v>release state mirrors governing ledger</x:v>
      </x:c>
      <x:c r="E3613" t="str">
        <x:f>'Release Gates'!I3573</x:f>
        <x:v>OPEN</x:v>
      </x:c>
      <x:c r="F3613" t="str">
        <x:f>IF('Release Gates'!C3573="PLANNING","PASS",IF('Release Gates'!C3573="PHYSICAL","OPEN","BLOCKED"))</x:f>
        <x:v>OPEN</x:v>
      </x:c>
      <x:c r="G3613" t="str">
        <x:v>equals</x:v>
      </x:c>
      <x:c r="H3613" t="str">
        <x:f>IF(E3613=F3613,"PASS","FAIL")</x:f>
        <x:v>PASS</x:v>
      </x:c>
    </x:row>
    <x:row r="3614">
      <x:c r="B3614" t="str">
        <x:v>A-03568</x:v>
      </x:c>
      <x:c r="C3614" t="str">
        <x:v>GATE</x:v>
      </x:c>
      <x:c r="D3614" t="str">
        <x:v>release state mirrors governing ledger</x:v>
      </x:c>
      <x:c r="E3614" t="str">
        <x:f>'Release Gates'!I3574</x:f>
        <x:v>OPEN</x:v>
      </x:c>
      <x:c r="F3614" t="str">
        <x:f>IF('Release Gates'!C3574="PLANNING","PASS",IF('Release Gates'!C3574="PHYSICAL","OPEN","BLOCKED"))</x:f>
        <x:v>OPEN</x:v>
      </x:c>
      <x:c r="G3614" t="str">
        <x:v>equals</x:v>
      </x:c>
      <x:c r="H3614" t="str">
        <x:f>IF(E3614=F3614,"PASS","FAIL")</x:f>
        <x:v>PASS</x:v>
      </x:c>
    </x:row>
    <x:row r="3615">
      <x:c r="B3615" t="str">
        <x:v>A-03569</x:v>
      </x:c>
      <x:c r="C3615" t="str">
        <x:v>GATE</x:v>
      </x:c>
      <x:c r="D3615" t="str">
        <x:v>release state mirrors governing ledger</x:v>
      </x:c>
      <x:c r="E3615" t="str">
        <x:f>'Release Gates'!I3575</x:f>
        <x:v>OPEN</x:v>
      </x:c>
      <x:c r="F3615" t="str">
        <x:f>IF('Release Gates'!C3575="PLANNING","PASS",IF('Release Gates'!C3575="PHYSICAL","OPEN","BLOCKED"))</x:f>
        <x:v>OPEN</x:v>
      </x:c>
      <x:c r="G3615" t="str">
        <x:v>equals</x:v>
      </x:c>
      <x:c r="H3615" t="str">
        <x:f>IF(E3615=F3615,"PASS","FAIL")</x:f>
        <x:v>PASS</x:v>
      </x:c>
    </x:row>
    <x:row r="3616">
      <x:c r="B3616" t="str">
        <x:v>A-03570</x:v>
      </x:c>
      <x:c r="C3616" t="str">
        <x:v>GATE</x:v>
      </x:c>
      <x:c r="D3616" t="str">
        <x:v>release state mirrors governing ledger</x:v>
      </x:c>
      <x:c r="E3616" t="str">
        <x:f>'Release Gates'!I3576</x:f>
        <x:v>OPEN</x:v>
      </x:c>
      <x:c r="F3616" t="str">
        <x:f>IF('Release Gates'!C3576="PLANNING","PASS",IF('Release Gates'!C3576="PHYSICAL","OPEN","BLOCKED"))</x:f>
        <x:v>OPEN</x:v>
      </x:c>
      <x:c r="G3616" t="str">
        <x:v>equals</x:v>
      </x:c>
      <x:c r="H3616" t="str">
        <x:f>IF(E3616=F3616,"PASS","FAIL")</x:f>
        <x:v>PASS</x:v>
      </x:c>
    </x:row>
    <x:row r="3617">
      <x:c r="B3617" t="str">
        <x:v>A-03571</x:v>
      </x:c>
      <x:c r="C3617" t="str">
        <x:v>GATE</x:v>
      </x:c>
      <x:c r="D3617" t="str">
        <x:v>release state mirrors governing ledger</x:v>
      </x:c>
      <x:c r="E3617" t="str">
        <x:f>'Release Gates'!I3577</x:f>
        <x:v>OPEN</x:v>
      </x:c>
      <x:c r="F3617" t="str">
        <x:f>IF('Release Gates'!C3577="PLANNING","PASS",IF('Release Gates'!C3577="PHYSICAL","OPEN","BLOCKED"))</x:f>
        <x:v>OPEN</x:v>
      </x:c>
      <x:c r="G3617" t="str">
        <x:v>equals</x:v>
      </x:c>
      <x:c r="H3617" t="str">
        <x:f>IF(E3617=F3617,"PASS","FAIL")</x:f>
        <x:v>PASS</x:v>
      </x:c>
    </x:row>
    <x:row r="3618">
      <x:c r="B3618" t="str">
        <x:v>A-03572</x:v>
      </x:c>
      <x:c r="C3618" t="str">
        <x:v>GATE</x:v>
      </x:c>
      <x:c r="D3618" t="str">
        <x:v>release state mirrors governing ledger</x:v>
      </x:c>
      <x:c r="E3618" t="str">
        <x:f>'Release Gates'!I3578</x:f>
        <x:v>OPEN</x:v>
      </x:c>
      <x:c r="F3618" t="str">
        <x:f>IF('Release Gates'!C3578="PLANNING","PASS",IF('Release Gates'!C3578="PHYSICAL","OPEN","BLOCKED"))</x:f>
        <x:v>OPEN</x:v>
      </x:c>
      <x:c r="G3618" t="str">
        <x:v>equals</x:v>
      </x:c>
      <x:c r="H3618" t="str">
        <x:f>IF(E3618=F3618,"PASS","FAIL")</x:f>
        <x:v>PASS</x:v>
      </x:c>
    </x:row>
    <x:row r="3619">
      <x:c r="B3619" t="str">
        <x:v>A-03573</x:v>
      </x:c>
      <x:c r="C3619" t="str">
        <x:v>GATE</x:v>
      </x:c>
      <x:c r="D3619" t="str">
        <x:v>release state mirrors governing ledger</x:v>
      </x:c>
      <x:c r="E3619" t="str">
        <x:f>'Release Gates'!I3579</x:f>
        <x:v>OPEN</x:v>
      </x:c>
      <x:c r="F3619" t="str">
        <x:f>IF('Release Gates'!C3579="PLANNING","PASS",IF('Release Gates'!C3579="PHYSICAL","OPEN","BLOCKED"))</x:f>
        <x:v>OPEN</x:v>
      </x:c>
      <x:c r="G3619" t="str">
        <x:v>equals</x:v>
      </x:c>
      <x:c r="H3619" t="str">
        <x:f>IF(E3619=F3619,"PASS","FAIL")</x:f>
        <x:v>PASS</x:v>
      </x:c>
    </x:row>
    <x:row r="3620">
      <x:c r="B3620" t="str">
        <x:v>A-03574</x:v>
      </x:c>
      <x:c r="C3620" t="str">
        <x:v>GATE</x:v>
      </x:c>
      <x:c r="D3620" t="str">
        <x:v>release state mirrors governing ledger</x:v>
      </x:c>
      <x:c r="E3620" t="str">
        <x:f>'Release Gates'!I3580</x:f>
        <x:v>OPEN</x:v>
      </x:c>
      <x:c r="F3620" t="str">
        <x:f>IF('Release Gates'!C3580="PLANNING","PASS",IF('Release Gates'!C3580="PHYSICAL","OPEN","BLOCKED"))</x:f>
        <x:v>OPEN</x:v>
      </x:c>
      <x:c r="G3620" t="str">
        <x:v>equals</x:v>
      </x:c>
      <x:c r="H3620" t="str">
        <x:f>IF(E3620=F3620,"PASS","FAIL")</x:f>
        <x:v>PASS</x:v>
      </x:c>
    </x:row>
    <x:row r="3621">
      <x:c r="B3621" t="str">
        <x:v>A-03575</x:v>
      </x:c>
      <x:c r="C3621" t="str">
        <x:v>GATE</x:v>
      </x:c>
      <x:c r="D3621" t="str">
        <x:v>release state mirrors governing ledger</x:v>
      </x:c>
      <x:c r="E3621" t="str">
        <x:f>'Release Gates'!I3581</x:f>
        <x:v>OPEN</x:v>
      </x:c>
      <x:c r="F3621" t="str">
        <x:f>IF('Release Gates'!C3581="PLANNING","PASS",IF('Release Gates'!C3581="PHYSICAL","OPEN","BLOCKED"))</x:f>
        <x:v>OPEN</x:v>
      </x:c>
      <x:c r="G3621" t="str">
        <x:v>equals</x:v>
      </x:c>
      <x:c r="H3621" t="str">
        <x:f>IF(E3621=F3621,"PASS","FAIL")</x:f>
        <x:v>PASS</x:v>
      </x:c>
    </x:row>
    <x:row r="3622">
      <x:c r="B3622" t="str">
        <x:v>A-03576</x:v>
      </x:c>
      <x:c r="C3622" t="str">
        <x:v>GATE</x:v>
      </x:c>
      <x:c r="D3622" t="str">
        <x:v>release state mirrors governing ledger</x:v>
      </x:c>
      <x:c r="E3622" t="str">
        <x:f>'Release Gates'!I3582</x:f>
        <x:v>OPEN</x:v>
      </x:c>
      <x:c r="F3622" t="str">
        <x:f>IF('Release Gates'!C3582="PLANNING","PASS",IF('Release Gates'!C3582="PHYSICAL","OPEN","BLOCKED"))</x:f>
        <x:v>OPEN</x:v>
      </x:c>
      <x:c r="G3622" t="str">
        <x:v>equals</x:v>
      </x:c>
      <x:c r="H3622" t="str">
        <x:f>IF(E3622=F3622,"PASS","FAIL")</x:f>
        <x:v>PASS</x:v>
      </x:c>
    </x:row>
    <x:row r="3623">
      <x:c r="B3623" t="str">
        <x:v>A-03577</x:v>
      </x:c>
      <x:c r="C3623" t="str">
        <x:v>GATE</x:v>
      </x:c>
      <x:c r="D3623" t="str">
        <x:v>release state mirrors governing ledger</x:v>
      </x:c>
      <x:c r="E3623" t="str">
        <x:f>'Release Gates'!I3583</x:f>
        <x:v>OPEN</x:v>
      </x:c>
      <x:c r="F3623" t="str">
        <x:f>IF('Release Gates'!C3583="PLANNING","PASS",IF('Release Gates'!C3583="PHYSICAL","OPEN","BLOCKED"))</x:f>
        <x:v>OPEN</x:v>
      </x:c>
      <x:c r="G3623" t="str">
        <x:v>equals</x:v>
      </x:c>
      <x:c r="H3623" t="str">
        <x:f>IF(E3623=F3623,"PASS","FAIL")</x:f>
        <x:v>PASS</x:v>
      </x:c>
    </x:row>
    <x:row r="3624">
      <x:c r="B3624" t="str">
        <x:v>A-03578</x:v>
      </x:c>
      <x:c r="C3624" t="str">
        <x:v>GATE</x:v>
      </x:c>
      <x:c r="D3624" t="str">
        <x:v>release state mirrors governing ledger</x:v>
      </x:c>
      <x:c r="E3624" t="str">
        <x:f>'Release Gates'!I3584</x:f>
        <x:v>OPEN</x:v>
      </x:c>
      <x:c r="F3624" t="str">
        <x:f>IF('Release Gates'!C3584="PLANNING","PASS",IF('Release Gates'!C3584="PHYSICAL","OPEN","BLOCKED"))</x:f>
        <x:v>OPEN</x:v>
      </x:c>
      <x:c r="G3624" t="str">
        <x:v>equals</x:v>
      </x:c>
      <x:c r="H3624" t="str">
        <x:f>IF(E3624=F3624,"PASS","FAIL")</x:f>
        <x:v>PASS</x:v>
      </x:c>
    </x:row>
    <x:row r="3625">
      <x:c r="B3625" t="str">
        <x:v>A-03579</x:v>
      </x:c>
      <x:c r="C3625" t="str">
        <x:v>GATE</x:v>
      </x:c>
      <x:c r="D3625" t="str">
        <x:v>release state mirrors governing ledger</x:v>
      </x:c>
      <x:c r="E3625" t="str">
        <x:f>'Release Gates'!I3585</x:f>
        <x:v>OPEN</x:v>
      </x:c>
      <x:c r="F3625" t="str">
        <x:f>IF('Release Gates'!C3585="PLANNING","PASS",IF('Release Gates'!C3585="PHYSICAL","OPEN","BLOCKED"))</x:f>
        <x:v>OPEN</x:v>
      </x:c>
      <x:c r="G3625" t="str">
        <x:v>equals</x:v>
      </x:c>
      <x:c r="H3625" t="str">
        <x:f>IF(E3625=F3625,"PASS","FAIL")</x:f>
        <x:v>PASS</x:v>
      </x:c>
    </x:row>
    <x:row r="3626">
      <x:c r="B3626" t="str">
        <x:v>A-03580</x:v>
      </x:c>
      <x:c r="C3626" t="str">
        <x:v>GATE</x:v>
      </x:c>
      <x:c r="D3626" t="str">
        <x:v>release state mirrors governing ledger</x:v>
      </x:c>
      <x:c r="E3626" t="str">
        <x:f>'Release Gates'!I3586</x:f>
        <x:v>OPEN</x:v>
      </x:c>
      <x:c r="F3626" t="str">
        <x:f>IF('Release Gates'!C3586="PLANNING","PASS",IF('Release Gates'!C3586="PHYSICAL","OPEN","BLOCKED"))</x:f>
        <x:v>OPEN</x:v>
      </x:c>
      <x:c r="G3626" t="str">
        <x:v>equals</x:v>
      </x:c>
      <x:c r="H3626" t="str">
        <x:f>IF(E3626=F3626,"PASS","FAIL")</x:f>
        <x:v>PASS</x:v>
      </x:c>
    </x:row>
    <x:row r="3627">
      <x:c r="B3627" t="str">
        <x:v>A-03581</x:v>
      </x:c>
      <x:c r="C3627" t="str">
        <x:v>GATE</x:v>
      </x:c>
      <x:c r="D3627" t="str">
        <x:v>release state mirrors governing ledger</x:v>
      </x:c>
      <x:c r="E3627" t="str">
        <x:f>'Release Gates'!I3587</x:f>
        <x:v>OPEN</x:v>
      </x:c>
      <x:c r="F3627" t="str">
        <x:f>IF('Release Gates'!C3587="PLANNING","PASS",IF('Release Gates'!C3587="PHYSICAL","OPEN","BLOCKED"))</x:f>
        <x:v>OPEN</x:v>
      </x:c>
      <x:c r="G3627" t="str">
        <x:v>equals</x:v>
      </x:c>
      <x:c r="H3627" t="str">
        <x:f>IF(E3627=F3627,"PASS","FAIL")</x:f>
        <x:v>PASS</x:v>
      </x:c>
    </x:row>
    <x:row r="3628">
      <x:c r="B3628" t="str">
        <x:v>A-03582</x:v>
      </x:c>
      <x:c r="C3628" t="str">
        <x:v>GATE</x:v>
      </x:c>
      <x:c r="D3628" t="str">
        <x:v>release state mirrors governing ledger</x:v>
      </x:c>
      <x:c r="E3628" t="str">
        <x:f>'Release Gates'!I3588</x:f>
        <x:v>OPEN</x:v>
      </x:c>
      <x:c r="F3628" t="str">
        <x:f>IF('Release Gates'!C3588="PLANNING","PASS",IF('Release Gates'!C3588="PHYSICAL","OPEN","BLOCKED"))</x:f>
        <x:v>OPEN</x:v>
      </x:c>
      <x:c r="G3628" t="str">
        <x:v>equals</x:v>
      </x:c>
      <x:c r="H3628" t="str">
        <x:f>IF(E3628=F3628,"PASS","FAIL")</x:f>
        <x:v>PASS</x:v>
      </x:c>
    </x:row>
    <x:row r="3629">
      <x:c r="B3629" t="str">
        <x:v>A-03583</x:v>
      </x:c>
      <x:c r="C3629" t="str">
        <x:v>GATE</x:v>
      </x:c>
      <x:c r="D3629" t="str">
        <x:v>release state mirrors governing ledger</x:v>
      </x:c>
      <x:c r="E3629" t="str">
        <x:f>'Release Gates'!I3589</x:f>
        <x:v>OPEN</x:v>
      </x:c>
      <x:c r="F3629" t="str">
        <x:f>IF('Release Gates'!C3589="PLANNING","PASS",IF('Release Gates'!C3589="PHYSICAL","OPEN","BLOCKED"))</x:f>
        <x:v>OPEN</x:v>
      </x:c>
      <x:c r="G3629" t="str">
        <x:v>equals</x:v>
      </x:c>
      <x:c r="H3629" t="str">
        <x:f>IF(E3629=F3629,"PASS","FAIL")</x:f>
        <x:v>PASS</x:v>
      </x:c>
    </x:row>
    <x:row r="3630">
      <x:c r="B3630" t="str">
        <x:v>A-03584</x:v>
      </x:c>
      <x:c r="C3630" t="str">
        <x:v>GATE</x:v>
      </x:c>
      <x:c r="D3630" t="str">
        <x:v>release state mirrors governing ledger</x:v>
      </x:c>
      <x:c r="E3630" t="str">
        <x:f>'Release Gates'!I3590</x:f>
        <x:v>OPEN</x:v>
      </x:c>
      <x:c r="F3630" t="str">
        <x:f>IF('Release Gates'!C3590="PLANNING","PASS",IF('Release Gates'!C3590="PHYSICAL","OPEN","BLOCKED"))</x:f>
        <x:v>OPEN</x:v>
      </x:c>
      <x:c r="G3630" t="str">
        <x:v>equals</x:v>
      </x:c>
      <x:c r="H3630" t="str">
        <x:f>IF(E3630=F3630,"PASS","FAIL")</x:f>
        <x:v>PASS</x:v>
      </x:c>
    </x:row>
    <x:row r="3631">
      <x:c r="B3631" t="str">
        <x:v>A-03585</x:v>
      </x:c>
      <x:c r="C3631" t="str">
        <x:v>GATE</x:v>
      </x:c>
      <x:c r="D3631" t="str">
        <x:v>release state mirrors governing ledger</x:v>
      </x:c>
      <x:c r="E3631" t="str">
        <x:f>'Release Gates'!I3591</x:f>
        <x:v>OPEN</x:v>
      </x:c>
      <x:c r="F3631" t="str">
        <x:f>IF('Release Gates'!C3591="PLANNING","PASS",IF('Release Gates'!C3591="PHYSICAL","OPEN","BLOCKED"))</x:f>
        <x:v>OPEN</x:v>
      </x:c>
      <x:c r="G3631" t="str">
        <x:v>equals</x:v>
      </x:c>
      <x:c r="H3631" t="str">
        <x:f>IF(E3631=F3631,"PASS","FAIL")</x:f>
        <x:v>PASS</x:v>
      </x:c>
    </x:row>
    <x:row r="3632">
      <x:c r="B3632" t="str">
        <x:v>A-03586</x:v>
      </x:c>
      <x:c r="C3632" t="str">
        <x:v>GATE</x:v>
      </x:c>
      <x:c r="D3632" t="str">
        <x:v>release state mirrors governing ledger</x:v>
      </x:c>
      <x:c r="E3632" t="str">
        <x:f>'Release Gates'!I3592</x:f>
        <x:v>OPEN</x:v>
      </x:c>
      <x:c r="F3632" t="str">
        <x:f>IF('Release Gates'!C3592="PLANNING","PASS",IF('Release Gates'!C3592="PHYSICAL","OPEN","BLOCKED"))</x:f>
        <x:v>OPEN</x:v>
      </x:c>
      <x:c r="G3632" t="str">
        <x:v>equals</x:v>
      </x:c>
      <x:c r="H3632" t="str">
        <x:f>IF(E3632=F3632,"PASS","FAIL")</x:f>
        <x:v>PASS</x:v>
      </x:c>
    </x:row>
    <x:row r="3633">
      <x:c r="B3633" t="str">
        <x:v>A-03587</x:v>
      </x:c>
      <x:c r="C3633" t="str">
        <x:v>GATE</x:v>
      </x:c>
      <x:c r="D3633" t="str">
        <x:v>release state mirrors governing ledger</x:v>
      </x:c>
      <x:c r="E3633" t="str">
        <x:f>'Release Gates'!I3593</x:f>
        <x:v>OPEN</x:v>
      </x:c>
      <x:c r="F3633" t="str">
        <x:f>IF('Release Gates'!C3593="PLANNING","PASS",IF('Release Gates'!C3593="PHYSICAL","OPEN","BLOCKED"))</x:f>
        <x:v>OPEN</x:v>
      </x:c>
      <x:c r="G3633" t="str">
        <x:v>equals</x:v>
      </x:c>
      <x:c r="H3633" t="str">
        <x:f>IF(E3633=F3633,"PASS","FAIL")</x:f>
        <x:v>PASS</x:v>
      </x:c>
    </x:row>
    <x:row r="3634">
      <x:c r="B3634" t="str">
        <x:v>A-03588</x:v>
      </x:c>
      <x:c r="C3634" t="str">
        <x:v>GATE</x:v>
      </x:c>
      <x:c r="D3634" t="str">
        <x:v>release state mirrors governing ledger</x:v>
      </x:c>
      <x:c r="E3634" t="str">
        <x:f>'Release Gates'!I3594</x:f>
        <x:v>OPEN</x:v>
      </x:c>
      <x:c r="F3634" t="str">
        <x:f>IF('Release Gates'!C3594="PLANNING","PASS",IF('Release Gates'!C3594="PHYSICAL","OPEN","BLOCKED"))</x:f>
        <x:v>OPEN</x:v>
      </x:c>
      <x:c r="G3634" t="str">
        <x:v>equals</x:v>
      </x:c>
      <x:c r="H3634" t="str">
        <x:f>IF(E3634=F3634,"PASS","FAIL")</x:f>
        <x:v>PASS</x:v>
      </x:c>
    </x:row>
    <x:row r="3635">
      <x:c r="B3635" t="str">
        <x:v>A-03589</x:v>
      </x:c>
      <x:c r="C3635" t="str">
        <x:v>GATE</x:v>
      </x:c>
      <x:c r="D3635" t="str">
        <x:v>release state mirrors governing ledger</x:v>
      </x:c>
      <x:c r="E3635" t="str">
        <x:f>'Release Gates'!I3595</x:f>
        <x:v>OPEN</x:v>
      </x:c>
      <x:c r="F3635" t="str">
        <x:f>IF('Release Gates'!C3595="PLANNING","PASS",IF('Release Gates'!C3595="PHYSICAL","OPEN","BLOCKED"))</x:f>
        <x:v>OPEN</x:v>
      </x:c>
      <x:c r="G3635" t="str">
        <x:v>equals</x:v>
      </x:c>
      <x:c r="H3635" t="str">
        <x:f>IF(E3635=F3635,"PASS","FAIL")</x:f>
        <x:v>PASS</x:v>
      </x:c>
    </x:row>
    <x:row r="3636">
      <x:c r="B3636" t="str">
        <x:v>A-03590</x:v>
      </x:c>
      <x:c r="C3636" t="str">
        <x:v>GATE</x:v>
      </x:c>
      <x:c r="D3636" t="str">
        <x:v>release state mirrors governing ledger</x:v>
      </x:c>
      <x:c r="E3636" t="str">
        <x:f>'Release Gates'!I3596</x:f>
        <x:v>OPEN</x:v>
      </x:c>
      <x:c r="F3636" t="str">
        <x:f>IF('Release Gates'!C3596="PLANNING","PASS",IF('Release Gates'!C3596="PHYSICAL","OPEN","BLOCKED"))</x:f>
        <x:v>OPEN</x:v>
      </x:c>
      <x:c r="G3636" t="str">
        <x:v>equals</x:v>
      </x:c>
      <x:c r="H3636" t="str">
        <x:f>IF(E3636=F3636,"PASS","FAIL")</x:f>
        <x:v>PASS</x:v>
      </x:c>
    </x:row>
    <x:row r="3637">
      <x:c r="B3637" t="str">
        <x:v>A-03591</x:v>
      </x:c>
      <x:c r="C3637" t="str">
        <x:v>GATE</x:v>
      </x:c>
      <x:c r="D3637" t="str">
        <x:v>release state mirrors governing ledger</x:v>
      </x:c>
      <x:c r="E3637" t="str">
        <x:f>'Release Gates'!I3597</x:f>
        <x:v>OPEN</x:v>
      </x:c>
      <x:c r="F3637" t="str">
        <x:f>IF('Release Gates'!C3597="PLANNING","PASS",IF('Release Gates'!C3597="PHYSICAL","OPEN","BLOCKED"))</x:f>
        <x:v>OPEN</x:v>
      </x:c>
      <x:c r="G3637" t="str">
        <x:v>equals</x:v>
      </x:c>
      <x:c r="H3637" t="str">
        <x:f>IF(E3637=F3637,"PASS","FAIL")</x:f>
        <x:v>PASS</x:v>
      </x:c>
    </x:row>
    <x:row r="3638">
      <x:c r="B3638" t="str">
        <x:v>A-03592</x:v>
      </x:c>
      <x:c r="C3638" t="str">
        <x:v>GATE</x:v>
      </x:c>
      <x:c r="D3638" t="str">
        <x:v>release state mirrors governing ledger</x:v>
      </x:c>
      <x:c r="E3638" t="str">
        <x:f>'Release Gates'!I3598</x:f>
        <x:v>OPEN</x:v>
      </x:c>
      <x:c r="F3638" t="str">
        <x:f>IF('Release Gates'!C3598="PLANNING","PASS",IF('Release Gates'!C3598="PHYSICAL","OPEN","BLOCKED"))</x:f>
        <x:v>OPEN</x:v>
      </x:c>
      <x:c r="G3638" t="str">
        <x:v>equals</x:v>
      </x:c>
      <x:c r="H3638" t="str">
        <x:f>IF(E3638=F3638,"PASS","FAIL")</x:f>
        <x:v>PASS</x:v>
      </x:c>
    </x:row>
    <x:row r="3639">
      <x:c r="B3639" t="str">
        <x:v>A-03593</x:v>
      </x:c>
      <x:c r="C3639" t="str">
        <x:v>GATE</x:v>
      </x:c>
      <x:c r="D3639" t="str">
        <x:v>release state mirrors governing ledger</x:v>
      </x:c>
      <x:c r="E3639" t="str">
        <x:f>'Release Gates'!I3599</x:f>
        <x:v>OPEN</x:v>
      </x:c>
      <x:c r="F3639" t="str">
        <x:f>IF('Release Gates'!C3599="PLANNING","PASS",IF('Release Gates'!C3599="PHYSICAL","OPEN","BLOCKED"))</x:f>
        <x:v>OPEN</x:v>
      </x:c>
      <x:c r="G3639" t="str">
        <x:v>equals</x:v>
      </x:c>
      <x:c r="H3639" t="str">
        <x:f>IF(E3639=F3639,"PASS","FAIL")</x:f>
        <x:v>PASS</x:v>
      </x:c>
    </x:row>
    <x:row r="3640">
      <x:c r="B3640" t="str">
        <x:v>A-03594</x:v>
      </x:c>
      <x:c r="C3640" t="str">
        <x:v>GATE</x:v>
      </x:c>
      <x:c r="D3640" t="str">
        <x:v>release state mirrors governing ledger</x:v>
      </x:c>
      <x:c r="E3640" t="str">
        <x:f>'Release Gates'!I3600</x:f>
        <x:v>OPEN</x:v>
      </x:c>
      <x:c r="F3640" t="str">
        <x:f>IF('Release Gates'!C3600="PLANNING","PASS",IF('Release Gates'!C3600="PHYSICAL","OPEN","BLOCKED"))</x:f>
        <x:v>OPEN</x:v>
      </x:c>
      <x:c r="G3640" t="str">
        <x:v>equals</x:v>
      </x:c>
      <x:c r="H3640" t="str">
        <x:f>IF(E3640=F3640,"PASS","FAIL")</x:f>
        <x:v>PASS</x:v>
      </x:c>
    </x:row>
    <x:row r="3641">
      <x:c r="B3641" t="str">
        <x:v>A-03595</x:v>
      </x:c>
      <x:c r="C3641" t="str">
        <x:v>GATE</x:v>
      </x:c>
      <x:c r="D3641" t="str">
        <x:v>release state mirrors governing ledger</x:v>
      </x:c>
      <x:c r="E3641" t="str">
        <x:f>'Release Gates'!I3601</x:f>
        <x:v>OPEN</x:v>
      </x:c>
      <x:c r="F3641" t="str">
        <x:f>IF('Release Gates'!C3601="PLANNING","PASS",IF('Release Gates'!C3601="PHYSICAL","OPEN","BLOCKED"))</x:f>
        <x:v>OPEN</x:v>
      </x:c>
      <x:c r="G3641" t="str">
        <x:v>equals</x:v>
      </x:c>
      <x:c r="H3641" t="str">
        <x:f>IF(E3641=F3641,"PASS","FAIL")</x:f>
        <x:v>PASS</x:v>
      </x:c>
    </x:row>
    <x:row r="3642">
      <x:c r="B3642" t="str">
        <x:v>A-03596</x:v>
      </x:c>
      <x:c r="C3642" t="str">
        <x:v>GATE</x:v>
      </x:c>
      <x:c r="D3642" t="str">
        <x:v>release state mirrors governing ledger</x:v>
      </x:c>
      <x:c r="E3642" t="str">
        <x:f>'Release Gates'!I3602</x:f>
        <x:v>OPEN</x:v>
      </x:c>
      <x:c r="F3642" t="str">
        <x:f>IF('Release Gates'!C3602="PLANNING","PASS",IF('Release Gates'!C3602="PHYSICAL","OPEN","BLOCKED"))</x:f>
        <x:v>OPEN</x:v>
      </x:c>
      <x:c r="G3642" t="str">
        <x:v>equals</x:v>
      </x:c>
      <x:c r="H3642" t="str">
        <x:f>IF(E3642=F3642,"PASS","FAIL")</x:f>
        <x:v>PASS</x:v>
      </x:c>
    </x:row>
    <x:row r="3643">
      <x:c r="B3643" t="str">
        <x:v>A-03597</x:v>
      </x:c>
      <x:c r="C3643" t="str">
        <x:v>GATE</x:v>
      </x:c>
      <x:c r="D3643" t="str">
        <x:v>release state mirrors governing ledger</x:v>
      </x:c>
      <x:c r="E3643" t="str">
        <x:f>'Release Gates'!I3603</x:f>
        <x:v>OPEN</x:v>
      </x:c>
      <x:c r="F3643" t="str">
        <x:f>IF('Release Gates'!C3603="PLANNING","PASS",IF('Release Gates'!C3603="PHYSICAL","OPEN","BLOCKED"))</x:f>
        <x:v>OPEN</x:v>
      </x:c>
      <x:c r="G3643" t="str">
        <x:v>equals</x:v>
      </x:c>
      <x:c r="H3643" t="str">
        <x:f>IF(E3643=F3643,"PASS","FAIL")</x:f>
        <x:v>PASS</x:v>
      </x:c>
    </x:row>
    <x:row r="3644">
      <x:c r="B3644" t="str">
        <x:v>A-03598</x:v>
      </x:c>
      <x:c r="C3644" t="str">
        <x:v>GATE</x:v>
      </x:c>
      <x:c r="D3644" t="str">
        <x:v>release state mirrors governing ledger</x:v>
      </x:c>
      <x:c r="E3644" t="str">
        <x:f>'Release Gates'!I3604</x:f>
        <x:v>OPEN</x:v>
      </x:c>
      <x:c r="F3644" t="str">
        <x:f>IF('Release Gates'!C3604="PLANNING","PASS",IF('Release Gates'!C3604="PHYSICAL","OPEN","BLOCKED"))</x:f>
        <x:v>OPEN</x:v>
      </x:c>
      <x:c r="G3644" t="str">
        <x:v>equals</x:v>
      </x:c>
      <x:c r="H3644" t="str">
        <x:f>IF(E3644=F3644,"PASS","FAIL")</x:f>
        <x:v>PASS</x:v>
      </x:c>
    </x:row>
    <x:row r="3645">
      <x:c r="B3645" t="str">
        <x:v>A-03599</x:v>
      </x:c>
      <x:c r="C3645" t="str">
        <x:v>GATE</x:v>
      </x:c>
      <x:c r="D3645" t="str">
        <x:v>release state mirrors governing ledger</x:v>
      </x:c>
      <x:c r="E3645" t="str">
        <x:f>'Release Gates'!I3605</x:f>
        <x:v>OPEN</x:v>
      </x:c>
      <x:c r="F3645" t="str">
        <x:f>IF('Release Gates'!C3605="PLANNING","PASS",IF('Release Gates'!C3605="PHYSICAL","OPEN","BLOCKED"))</x:f>
        <x:v>OPEN</x:v>
      </x:c>
      <x:c r="G3645" t="str">
        <x:v>equals</x:v>
      </x:c>
      <x:c r="H3645" t="str">
        <x:f>IF(E3645=F3645,"PASS","FAIL")</x:f>
        <x:v>PASS</x:v>
      </x:c>
    </x:row>
    <x:row r="3646">
      <x:c r="B3646" t="str">
        <x:v>A-03600</x:v>
      </x:c>
      <x:c r="C3646" t="str">
        <x:v>GATE</x:v>
      </x:c>
      <x:c r="D3646" t="str">
        <x:v>release state mirrors governing ledger</x:v>
      </x:c>
      <x:c r="E3646" t="str">
        <x:f>'Release Gates'!I3606</x:f>
        <x:v>OPEN</x:v>
      </x:c>
      <x:c r="F3646" t="str">
        <x:f>IF('Release Gates'!C3606="PLANNING","PASS",IF('Release Gates'!C3606="PHYSICAL","OPEN","BLOCKED"))</x:f>
        <x:v>OPEN</x:v>
      </x:c>
      <x:c r="G3646" t="str">
        <x:v>equals</x:v>
      </x:c>
      <x:c r="H3646" t="str">
        <x:f>IF(E3646=F3646,"PASS","FAIL")</x:f>
        <x:v>PASS</x:v>
      </x:c>
    </x:row>
    <x:row r="3647">
      <x:c r="B3647" t="str">
        <x:v>A-03601</x:v>
      </x:c>
      <x:c r="C3647" t="str">
        <x:v>GATE</x:v>
      </x:c>
      <x:c r="D3647" t="str">
        <x:v>release state mirrors governing ledger</x:v>
      </x:c>
      <x:c r="E3647" t="str">
        <x:f>'Release Gates'!I3607</x:f>
        <x:v>OPEN</x:v>
      </x:c>
      <x:c r="F3647" t="str">
        <x:f>IF('Release Gates'!C3607="PLANNING","PASS",IF('Release Gates'!C3607="PHYSICAL","OPEN","BLOCKED"))</x:f>
        <x:v>OPEN</x:v>
      </x:c>
      <x:c r="G3647" t="str">
        <x:v>equals</x:v>
      </x:c>
      <x:c r="H3647" t="str">
        <x:f>IF(E3647=F3647,"PASS","FAIL")</x:f>
        <x:v>PASS</x:v>
      </x:c>
    </x:row>
    <x:row r="3648">
      <x:c r="B3648" t="str">
        <x:v>A-03602</x:v>
      </x:c>
      <x:c r="C3648" t="str">
        <x:v>GATE</x:v>
      </x:c>
      <x:c r="D3648" t="str">
        <x:v>release state mirrors governing ledger</x:v>
      </x:c>
      <x:c r="E3648" t="str">
        <x:f>'Release Gates'!I3608</x:f>
        <x:v>OPEN</x:v>
      </x:c>
      <x:c r="F3648" t="str">
        <x:f>IF('Release Gates'!C3608="PLANNING","PASS",IF('Release Gates'!C3608="PHYSICAL","OPEN","BLOCKED"))</x:f>
        <x:v>OPEN</x:v>
      </x:c>
      <x:c r="G3648" t="str">
        <x:v>equals</x:v>
      </x:c>
      <x:c r="H3648" t="str">
        <x:f>IF(E3648=F3648,"PASS","FAIL")</x:f>
        <x:v>PASS</x:v>
      </x:c>
    </x:row>
    <x:row r="3649">
      <x:c r="B3649" t="str">
        <x:v>A-03603</x:v>
      </x:c>
      <x:c r="C3649" t="str">
        <x:v>GATE</x:v>
      </x:c>
      <x:c r="D3649" t="str">
        <x:v>release state mirrors governing ledger</x:v>
      </x:c>
      <x:c r="E3649" t="str">
        <x:f>'Release Gates'!I3609</x:f>
        <x:v>OPEN</x:v>
      </x:c>
      <x:c r="F3649" t="str">
        <x:f>IF('Release Gates'!C3609="PLANNING","PASS",IF('Release Gates'!C3609="PHYSICAL","OPEN","BLOCKED"))</x:f>
        <x:v>OPEN</x:v>
      </x:c>
      <x:c r="G3649" t="str">
        <x:v>equals</x:v>
      </x:c>
      <x:c r="H3649" t="str">
        <x:f>IF(E3649=F3649,"PASS","FAIL")</x:f>
        <x:v>PASS</x:v>
      </x:c>
    </x:row>
    <x:row r="3650">
      <x:c r="B3650" t="str">
        <x:v>A-03604</x:v>
      </x:c>
      <x:c r="C3650" t="str">
        <x:v>GATE</x:v>
      </x:c>
      <x:c r="D3650" t="str">
        <x:v>release state mirrors governing ledger</x:v>
      </x:c>
      <x:c r="E3650" t="str">
        <x:f>'Release Gates'!I3610</x:f>
        <x:v>OPEN</x:v>
      </x:c>
      <x:c r="F3650" t="str">
        <x:f>IF('Release Gates'!C3610="PLANNING","PASS",IF('Release Gates'!C3610="PHYSICAL","OPEN","BLOCKED"))</x:f>
        <x:v>OPEN</x:v>
      </x:c>
      <x:c r="G3650" t="str">
        <x:v>equals</x:v>
      </x:c>
      <x:c r="H3650" t="str">
        <x:f>IF(E3650=F3650,"PASS","FAIL")</x:f>
        <x:v>PASS</x:v>
      </x:c>
    </x:row>
    <x:row r="3651">
      <x:c r="B3651" t="str">
        <x:v>A-03605</x:v>
      </x:c>
      <x:c r="C3651" t="str">
        <x:v>GATE</x:v>
      </x:c>
      <x:c r="D3651" t="str">
        <x:v>release state mirrors governing ledger</x:v>
      </x:c>
      <x:c r="E3651" t="str">
        <x:f>'Release Gates'!I3611</x:f>
        <x:v>OPEN</x:v>
      </x:c>
      <x:c r="F3651" t="str">
        <x:f>IF('Release Gates'!C3611="PLANNING","PASS",IF('Release Gates'!C3611="PHYSICAL","OPEN","BLOCKED"))</x:f>
        <x:v>OPEN</x:v>
      </x:c>
      <x:c r="G3651" t="str">
        <x:v>equals</x:v>
      </x:c>
      <x:c r="H3651" t="str">
        <x:f>IF(E3651=F3651,"PASS","FAIL")</x:f>
        <x:v>PASS</x:v>
      </x:c>
    </x:row>
    <x:row r="3652">
      <x:c r="B3652" t="str">
        <x:v>A-03606</x:v>
      </x:c>
      <x:c r="C3652" t="str">
        <x:v>GATE</x:v>
      </x:c>
      <x:c r="D3652" t="str">
        <x:v>release state mirrors governing ledger</x:v>
      </x:c>
      <x:c r="E3652" t="str">
        <x:f>'Release Gates'!I3612</x:f>
        <x:v>OPEN</x:v>
      </x:c>
      <x:c r="F3652" t="str">
        <x:f>IF('Release Gates'!C3612="PLANNING","PASS",IF('Release Gates'!C3612="PHYSICAL","OPEN","BLOCKED"))</x:f>
        <x:v>OPEN</x:v>
      </x:c>
      <x:c r="G3652" t="str">
        <x:v>equals</x:v>
      </x:c>
      <x:c r="H3652" t="str">
        <x:f>IF(E3652=F3652,"PASS","FAIL")</x:f>
        <x:v>PASS</x:v>
      </x:c>
    </x:row>
    <x:row r="3653">
      <x:c r="B3653" t="str">
        <x:v>A-03607</x:v>
      </x:c>
      <x:c r="C3653" t="str">
        <x:v>GATE</x:v>
      </x:c>
      <x:c r="D3653" t="str">
        <x:v>release state mirrors governing ledger</x:v>
      </x:c>
      <x:c r="E3653" t="str">
        <x:f>'Release Gates'!I3613</x:f>
        <x:v>OPEN</x:v>
      </x:c>
      <x:c r="F3653" t="str">
        <x:f>IF('Release Gates'!C3613="PLANNING","PASS",IF('Release Gates'!C3613="PHYSICAL","OPEN","BLOCKED"))</x:f>
        <x:v>OPEN</x:v>
      </x:c>
      <x:c r="G3653" t="str">
        <x:v>equals</x:v>
      </x:c>
      <x:c r="H3653" t="str">
        <x:f>IF(E3653=F3653,"PASS","FAIL")</x:f>
        <x:v>PASS</x:v>
      </x:c>
    </x:row>
    <x:row r="3654">
      <x:c r="B3654" t="str">
        <x:v>A-03608</x:v>
      </x:c>
      <x:c r="C3654" t="str">
        <x:v>GATE</x:v>
      </x:c>
      <x:c r="D3654" t="str">
        <x:v>release state mirrors governing ledger</x:v>
      </x:c>
      <x:c r="E3654" t="str">
        <x:f>'Release Gates'!I3614</x:f>
        <x:v>OPEN</x:v>
      </x:c>
      <x:c r="F3654" t="str">
        <x:f>IF('Release Gates'!C3614="PLANNING","PASS",IF('Release Gates'!C3614="PHYSICAL","OPEN","BLOCKED"))</x:f>
        <x:v>OPEN</x:v>
      </x:c>
      <x:c r="G3654" t="str">
        <x:v>equals</x:v>
      </x:c>
      <x:c r="H3654" t="str">
        <x:f>IF(E3654=F3654,"PASS","FAIL")</x:f>
        <x:v>PASS</x:v>
      </x:c>
    </x:row>
    <x:row r="3655">
      <x:c r="B3655" t="str">
        <x:v>A-03609</x:v>
      </x:c>
      <x:c r="C3655" t="str">
        <x:v>GATE</x:v>
      </x:c>
      <x:c r="D3655" t="str">
        <x:v>release state mirrors governing ledger</x:v>
      </x:c>
      <x:c r="E3655" t="str">
        <x:f>'Release Gates'!I3615</x:f>
        <x:v>OPEN</x:v>
      </x:c>
      <x:c r="F3655" t="str">
        <x:f>IF('Release Gates'!C3615="PLANNING","PASS",IF('Release Gates'!C3615="PHYSICAL","OPEN","BLOCKED"))</x:f>
        <x:v>OPEN</x:v>
      </x:c>
      <x:c r="G3655" t="str">
        <x:v>equals</x:v>
      </x:c>
      <x:c r="H3655" t="str">
        <x:f>IF(E3655=F3655,"PASS","FAIL")</x:f>
        <x:v>PASS</x:v>
      </x:c>
    </x:row>
    <x:row r="3656">
      <x:c r="B3656" t="str">
        <x:v>A-03610</x:v>
      </x:c>
      <x:c r="C3656" t="str">
        <x:v>GATE</x:v>
      </x:c>
      <x:c r="D3656" t="str">
        <x:v>release state mirrors governing ledger</x:v>
      </x:c>
      <x:c r="E3656" t="str">
        <x:f>'Release Gates'!I3616</x:f>
        <x:v>OPEN</x:v>
      </x:c>
      <x:c r="F3656" t="str">
        <x:f>IF('Release Gates'!C3616="PLANNING","PASS",IF('Release Gates'!C3616="PHYSICAL","OPEN","BLOCKED"))</x:f>
        <x:v>OPEN</x:v>
      </x:c>
      <x:c r="G3656" t="str">
        <x:v>equals</x:v>
      </x:c>
      <x:c r="H3656" t="str">
        <x:f>IF(E3656=F3656,"PASS","FAIL")</x:f>
        <x:v>PASS</x:v>
      </x:c>
    </x:row>
    <x:row r="3657">
      <x:c r="B3657" t="str">
        <x:v>A-03611</x:v>
      </x:c>
      <x:c r="C3657" t="str">
        <x:v>GATE</x:v>
      </x:c>
      <x:c r="D3657" t="str">
        <x:v>release state mirrors governing ledger</x:v>
      </x:c>
      <x:c r="E3657" t="str">
        <x:f>'Release Gates'!I3617</x:f>
        <x:v>OPEN</x:v>
      </x:c>
      <x:c r="F3657" t="str">
        <x:f>IF('Release Gates'!C3617="PLANNING","PASS",IF('Release Gates'!C3617="PHYSICAL","OPEN","BLOCKED"))</x:f>
        <x:v>OPEN</x:v>
      </x:c>
      <x:c r="G3657" t="str">
        <x:v>equals</x:v>
      </x:c>
      <x:c r="H3657" t="str">
        <x:f>IF(E3657=F3657,"PASS","FAIL")</x:f>
        <x:v>PASS</x:v>
      </x:c>
    </x:row>
    <x:row r="3658">
      <x:c r="B3658" t="str">
        <x:v>A-03612</x:v>
      </x:c>
      <x:c r="C3658" t="str">
        <x:v>GATE</x:v>
      </x:c>
      <x:c r="D3658" t="str">
        <x:v>release state mirrors governing ledger</x:v>
      </x:c>
      <x:c r="E3658" t="str">
        <x:f>'Release Gates'!I3618</x:f>
        <x:v>OPEN</x:v>
      </x:c>
      <x:c r="F3658" t="str">
        <x:f>IF('Release Gates'!C3618="PLANNING","PASS",IF('Release Gates'!C3618="PHYSICAL","OPEN","BLOCKED"))</x:f>
        <x:v>OPEN</x:v>
      </x:c>
      <x:c r="G3658" t="str">
        <x:v>equals</x:v>
      </x:c>
      <x:c r="H3658" t="str">
        <x:f>IF(E3658=F3658,"PASS","FAIL")</x:f>
        <x:v>PASS</x:v>
      </x:c>
    </x:row>
    <x:row r="3659">
      <x:c r="B3659" t="str">
        <x:v>A-03613</x:v>
      </x:c>
      <x:c r="C3659" t="str">
        <x:v>GATE</x:v>
      </x:c>
      <x:c r="D3659" t="str">
        <x:v>release state mirrors governing ledger</x:v>
      </x:c>
      <x:c r="E3659" t="str">
        <x:f>'Release Gates'!I3619</x:f>
        <x:v>OPEN</x:v>
      </x:c>
      <x:c r="F3659" t="str">
        <x:f>IF('Release Gates'!C3619="PLANNING","PASS",IF('Release Gates'!C3619="PHYSICAL","OPEN","BLOCKED"))</x:f>
        <x:v>OPEN</x:v>
      </x:c>
      <x:c r="G3659" t="str">
        <x:v>equals</x:v>
      </x:c>
      <x:c r="H3659" t="str">
        <x:f>IF(E3659=F3659,"PASS","FAIL")</x:f>
        <x:v>PASS</x:v>
      </x:c>
    </x:row>
    <x:row r="3660">
      <x:c r="B3660" t="str">
        <x:v>A-03614</x:v>
      </x:c>
      <x:c r="C3660" t="str">
        <x:v>GATE</x:v>
      </x:c>
      <x:c r="D3660" t="str">
        <x:v>release state mirrors governing ledger</x:v>
      </x:c>
      <x:c r="E3660" t="str">
        <x:f>'Release Gates'!I3620</x:f>
        <x:v>OPEN</x:v>
      </x:c>
      <x:c r="F3660" t="str">
        <x:f>IF('Release Gates'!C3620="PLANNING","PASS",IF('Release Gates'!C3620="PHYSICAL","OPEN","BLOCKED"))</x:f>
        <x:v>OPEN</x:v>
      </x:c>
      <x:c r="G3660" t="str">
        <x:v>equals</x:v>
      </x:c>
      <x:c r="H3660" t="str">
        <x:f>IF(E3660=F3660,"PASS","FAIL")</x:f>
        <x:v>PASS</x:v>
      </x:c>
    </x:row>
    <x:row r="3661">
      <x:c r="B3661" t="str">
        <x:v>A-03615</x:v>
      </x:c>
      <x:c r="C3661" t="str">
        <x:v>GATE</x:v>
      </x:c>
      <x:c r="D3661" t="str">
        <x:v>release state mirrors governing ledger</x:v>
      </x:c>
      <x:c r="E3661" t="str">
        <x:f>'Release Gates'!I3621</x:f>
        <x:v>OPEN</x:v>
      </x:c>
      <x:c r="F3661" t="str">
        <x:f>IF('Release Gates'!C3621="PLANNING","PASS",IF('Release Gates'!C3621="PHYSICAL","OPEN","BLOCKED"))</x:f>
        <x:v>OPEN</x:v>
      </x:c>
      <x:c r="G3661" t="str">
        <x:v>equals</x:v>
      </x:c>
      <x:c r="H3661" t="str">
        <x:f>IF(E3661=F3661,"PASS","FAIL")</x:f>
        <x:v>PASS</x:v>
      </x:c>
    </x:row>
    <x:row r="3662">
      <x:c r="B3662" t="str">
        <x:v>A-03616</x:v>
      </x:c>
      <x:c r="C3662" t="str">
        <x:v>GATE</x:v>
      </x:c>
      <x:c r="D3662" t="str">
        <x:v>release state mirrors governing ledger</x:v>
      </x:c>
      <x:c r="E3662" t="str">
        <x:f>'Release Gates'!I3622</x:f>
        <x:v>OPEN</x:v>
      </x:c>
      <x:c r="F3662" t="str">
        <x:f>IF('Release Gates'!C3622="PLANNING","PASS",IF('Release Gates'!C3622="PHYSICAL","OPEN","BLOCKED"))</x:f>
        <x:v>OPEN</x:v>
      </x:c>
      <x:c r="G3662" t="str">
        <x:v>equals</x:v>
      </x:c>
      <x:c r="H3662" t="str">
        <x:f>IF(E3662=F3662,"PASS","FAIL")</x:f>
        <x:v>PASS</x:v>
      </x:c>
    </x:row>
    <x:row r="3663">
      <x:c r="B3663" t="str">
        <x:v>A-03617</x:v>
      </x:c>
      <x:c r="C3663" t="str">
        <x:v>GATE</x:v>
      </x:c>
      <x:c r="D3663" t="str">
        <x:v>release state mirrors governing ledger</x:v>
      </x:c>
      <x:c r="E3663" t="str">
        <x:f>'Release Gates'!I3623</x:f>
        <x:v>OPEN</x:v>
      </x:c>
      <x:c r="F3663" t="str">
        <x:f>IF('Release Gates'!C3623="PLANNING","PASS",IF('Release Gates'!C3623="PHYSICAL","OPEN","BLOCKED"))</x:f>
        <x:v>OPEN</x:v>
      </x:c>
      <x:c r="G3663" t="str">
        <x:v>equals</x:v>
      </x:c>
      <x:c r="H3663" t="str">
        <x:f>IF(E3663=F3663,"PASS","FAIL")</x:f>
        <x:v>PASS</x:v>
      </x:c>
    </x:row>
    <x:row r="3664">
      <x:c r="B3664" t="str">
        <x:v>A-03618</x:v>
      </x:c>
      <x:c r="C3664" t="str">
        <x:v>GATE</x:v>
      </x:c>
      <x:c r="D3664" t="str">
        <x:v>release state mirrors governing ledger</x:v>
      </x:c>
      <x:c r="E3664" t="str">
        <x:f>'Release Gates'!I3624</x:f>
        <x:v>OPEN</x:v>
      </x:c>
      <x:c r="F3664" t="str">
        <x:f>IF('Release Gates'!C3624="PLANNING","PASS",IF('Release Gates'!C3624="PHYSICAL","OPEN","BLOCKED"))</x:f>
        <x:v>OPEN</x:v>
      </x:c>
      <x:c r="G3664" t="str">
        <x:v>equals</x:v>
      </x:c>
      <x:c r="H3664" t="str">
        <x:f>IF(E3664=F3664,"PASS","FAIL")</x:f>
        <x:v>PASS</x:v>
      </x:c>
    </x:row>
    <x:row r="3665">
      <x:c r="B3665" t="str">
        <x:v>A-03619</x:v>
      </x:c>
      <x:c r="C3665" t="str">
        <x:v>GATE</x:v>
      </x:c>
      <x:c r="D3665" t="str">
        <x:v>release state mirrors governing ledger</x:v>
      </x:c>
      <x:c r="E3665" t="str">
        <x:f>'Release Gates'!I3625</x:f>
        <x:v>OPEN</x:v>
      </x:c>
      <x:c r="F3665" t="str">
        <x:f>IF('Release Gates'!C3625="PLANNING","PASS",IF('Release Gates'!C3625="PHYSICAL","OPEN","BLOCKED"))</x:f>
        <x:v>OPEN</x:v>
      </x:c>
      <x:c r="G3665" t="str">
        <x:v>equals</x:v>
      </x:c>
      <x:c r="H3665" t="str">
        <x:f>IF(E3665=F3665,"PASS","FAIL")</x:f>
        <x:v>PASS</x:v>
      </x:c>
    </x:row>
    <x:row r="3666">
      <x:c r="B3666" t="str">
        <x:v>A-03620</x:v>
      </x:c>
      <x:c r="C3666" t="str">
        <x:v>GATE</x:v>
      </x:c>
      <x:c r="D3666" t="str">
        <x:v>release state mirrors governing ledger</x:v>
      </x:c>
      <x:c r="E3666" t="str">
        <x:f>'Release Gates'!I3626</x:f>
        <x:v>OPEN</x:v>
      </x:c>
      <x:c r="F3666" t="str">
        <x:f>IF('Release Gates'!C3626="PLANNING","PASS",IF('Release Gates'!C3626="PHYSICAL","OPEN","BLOCKED"))</x:f>
        <x:v>OPEN</x:v>
      </x:c>
      <x:c r="G3666" t="str">
        <x:v>equals</x:v>
      </x:c>
      <x:c r="H3666" t="str">
        <x:f>IF(E3666=F3666,"PASS","FAIL")</x:f>
        <x:v>PASS</x:v>
      </x:c>
    </x:row>
    <x:row r="3667">
      <x:c r="B3667" t="str">
        <x:v>A-03621</x:v>
      </x:c>
      <x:c r="C3667" t="str">
        <x:v>GATE</x:v>
      </x:c>
      <x:c r="D3667" t="str">
        <x:v>release state mirrors governing ledger</x:v>
      </x:c>
      <x:c r="E3667" t="str">
        <x:f>'Release Gates'!I3627</x:f>
        <x:v>OPEN</x:v>
      </x:c>
      <x:c r="F3667" t="str">
        <x:f>IF('Release Gates'!C3627="PLANNING","PASS",IF('Release Gates'!C3627="PHYSICAL","OPEN","BLOCKED"))</x:f>
        <x:v>OPEN</x:v>
      </x:c>
      <x:c r="G3667" t="str">
        <x:v>equals</x:v>
      </x:c>
      <x:c r="H3667" t="str">
        <x:f>IF(E3667=F3667,"PASS","FAIL")</x:f>
        <x:v>PASS</x:v>
      </x:c>
    </x:row>
    <x:row r="3668">
      <x:c r="B3668" t="str">
        <x:v>A-03622</x:v>
      </x:c>
      <x:c r="C3668" t="str">
        <x:v>GATE</x:v>
      </x:c>
      <x:c r="D3668" t="str">
        <x:v>release state mirrors governing ledger</x:v>
      </x:c>
      <x:c r="E3668" t="str">
        <x:f>'Release Gates'!I3628</x:f>
        <x:v>OPEN</x:v>
      </x:c>
      <x:c r="F3668" t="str">
        <x:f>IF('Release Gates'!C3628="PLANNING","PASS",IF('Release Gates'!C3628="PHYSICAL","OPEN","BLOCKED"))</x:f>
        <x:v>OPEN</x:v>
      </x:c>
      <x:c r="G3668" t="str">
        <x:v>equals</x:v>
      </x:c>
      <x:c r="H3668" t="str">
        <x:f>IF(E3668=F3668,"PASS","FAIL")</x:f>
        <x:v>PASS</x:v>
      </x:c>
    </x:row>
    <x:row r="3669">
      <x:c r="B3669" t="str">
        <x:v>A-03623</x:v>
      </x:c>
      <x:c r="C3669" t="str">
        <x:v>GATE</x:v>
      </x:c>
      <x:c r="D3669" t="str">
        <x:v>release state mirrors governing ledger</x:v>
      </x:c>
      <x:c r="E3669" t="str">
        <x:f>'Release Gates'!I3629</x:f>
        <x:v>OPEN</x:v>
      </x:c>
      <x:c r="F3669" t="str">
        <x:f>IF('Release Gates'!C3629="PLANNING","PASS",IF('Release Gates'!C3629="PHYSICAL","OPEN","BLOCKED"))</x:f>
        <x:v>OPEN</x:v>
      </x:c>
      <x:c r="G3669" t="str">
        <x:v>equals</x:v>
      </x:c>
      <x:c r="H3669" t="str">
        <x:f>IF(E3669=F3669,"PASS","FAIL")</x:f>
        <x:v>PASS</x:v>
      </x:c>
    </x:row>
    <x:row r="3670">
      <x:c r="B3670" t="str">
        <x:v>A-03624</x:v>
      </x:c>
      <x:c r="C3670" t="str">
        <x:v>GATE</x:v>
      </x:c>
      <x:c r="D3670" t="str">
        <x:v>release state mirrors governing ledger</x:v>
      </x:c>
      <x:c r="E3670" t="str">
        <x:f>'Release Gates'!I3630</x:f>
        <x:v>OPEN</x:v>
      </x:c>
      <x:c r="F3670" t="str">
        <x:f>IF('Release Gates'!C3630="PLANNING","PASS",IF('Release Gates'!C3630="PHYSICAL","OPEN","BLOCKED"))</x:f>
        <x:v>OPEN</x:v>
      </x:c>
      <x:c r="G3670" t="str">
        <x:v>equals</x:v>
      </x:c>
      <x:c r="H3670" t="str">
        <x:f>IF(E3670=F3670,"PASS","FAIL")</x:f>
        <x:v>PASS</x:v>
      </x:c>
    </x:row>
    <x:row r="3671">
      <x:c r="B3671" t="str">
        <x:v>A-03625</x:v>
      </x:c>
      <x:c r="C3671" t="str">
        <x:v>GATE</x:v>
      </x:c>
      <x:c r="D3671" t="str">
        <x:v>release state mirrors governing ledger</x:v>
      </x:c>
      <x:c r="E3671" t="str">
        <x:f>'Release Gates'!I3631</x:f>
        <x:v>OPEN</x:v>
      </x:c>
      <x:c r="F3671" t="str">
        <x:f>IF('Release Gates'!C3631="PLANNING","PASS",IF('Release Gates'!C3631="PHYSICAL","OPEN","BLOCKED"))</x:f>
        <x:v>OPEN</x:v>
      </x:c>
      <x:c r="G3671" t="str">
        <x:v>equals</x:v>
      </x:c>
      <x:c r="H3671" t="str">
        <x:f>IF(E3671=F3671,"PASS","FAIL")</x:f>
        <x:v>PASS</x:v>
      </x:c>
    </x:row>
    <x:row r="3672">
      <x:c r="B3672" t="str">
        <x:v>A-03626</x:v>
      </x:c>
      <x:c r="C3672" t="str">
        <x:v>GATE</x:v>
      </x:c>
      <x:c r="D3672" t="str">
        <x:v>release state mirrors governing ledger</x:v>
      </x:c>
      <x:c r="E3672" t="str">
        <x:f>'Release Gates'!I3632</x:f>
        <x:v>OPEN</x:v>
      </x:c>
      <x:c r="F3672" t="str">
        <x:f>IF('Release Gates'!C3632="PLANNING","PASS",IF('Release Gates'!C3632="PHYSICAL","OPEN","BLOCKED"))</x:f>
        <x:v>OPEN</x:v>
      </x:c>
      <x:c r="G3672" t="str">
        <x:v>equals</x:v>
      </x:c>
      <x:c r="H3672" t="str">
        <x:f>IF(E3672=F3672,"PASS","FAIL")</x:f>
        <x:v>PASS</x:v>
      </x:c>
    </x:row>
    <x:row r="3673">
      <x:c r="B3673" t="str">
        <x:v>A-03627</x:v>
      </x:c>
      <x:c r="C3673" t="str">
        <x:v>GATE</x:v>
      </x:c>
      <x:c r="D3673" t="str">
        <x:v>release state mirrors governing ledger</x:v>
      </x:c>
      <x:c r="E3673" t="str">
        <x:f>'Release Gates'!I3633</x:f>
        <x:v>OPEN</x:v>
      </x:c>
      <x:c r="F3673" t="str">
        <x:f>IF('Release Gates'!C3633="PLANNING","PASS",IF('Release Gates'!C3633="PHYSICAL","OPEN","BLOCKED"))</x:f>
        <x:v>OPEN</x:v>
      </x:c>
      <x:c r="G3673" t="str">
        <x:v>equals</x:v>
      </x:c>
      <x:c r="H3673" t="str">
        <x:f>IF(E3673=F3673,"PASS","FAIL")</x:f>
        <x:v>PASS</x:v>
      </x:c>
    </x:row>
    <x:row r="3674">
      <x:c r="B3674" t="str">
        <x:v>A-03628</x:v>
      </x:c>
      <x:c r="C3674" t="str">
        <x:v>GATE</x:v>
      </x:c>
      <x:c r="D3674" t="str">
        <x:v>release state mirrors governing ledger</x:v>
      </x:c>
      <x:c r="E3674" t="str">
        <x:f>'Release Gates'!I3634</x:f>
        <x:v>OPEN</x:v>
      </x:c>
      <x:c r="F3674" t="str">
        <x:f>IF('Release Gates'!C3634="PLANNING","PASS",IF('Release Gates'!C3634="PHYSICAL","OPEN","BLOCKED"))</x:f>
        <x:v>OPEN</x:v>
      </x:c>
      <x:c r="G3674" t="str">
        <x:v>equals</x:v>
      </x:c>
      <x:c r="H3674" t="str">
        <x:f>IF(E3674=F3674,"PASS","FAIL")</x:f>
        <x:v>PASS</x:v>
      </x:c>
    </x:row>
    <x:row r="3675">
      <x:c r="B3675" t="str">
        <x:v>A-03629</x:v>
      </x:c>
      <x:c r="C3675" t="str">
        <x:v>GATE</x:v>
      </x:c>
      <x:c r="D3675" t="str">
        <x:v>release state mirrors governing ledger</x:v>
      </x:c>
      <x:c r="E3675" t="str">
        <x:f>'Release Gates'!I3635</x:f>
        <x:v>OPEN</x:v>
      </x:c>
      <x:c r="F3675" t="str">
        <x:f>IF('Release Gates'!C3635="PLANNING","PASS",IF('Release Gates'!C3635="PHYSICAL","OPEN","BLOCKED"))</x:f>
        <x:v>OPEN</x:v>
      </x:c>
      <x:c r="G3675" t="str">
        <x:v>equals</x:v>
      </x:c>
      <x:c r="H3675" t="str">
        <x:f>IF(E3675=F3675,"PASS","FAIL")</x:f>
        <x:v>PASS</x:v>
      </x:c>
    </x:row>
    <x:row r="3676">
      <x:c r="B3676" t="str">
        <x:v>A-03630</x:v>
      </x:c>
      <x:c r="C3676" t="str">
        <x:v>GATE</x:v>
      </x:c>
      <x:c r="D3676" t="str">
        <x:v>release state mirrors governing ledger</x:v>
      </x:c>
      <x:c r="E3676" t="str">
        <x:f>'Release Gates'!I3636</x:f>
        <x:v>OPEN</x:v>
      </x:c>
      <x:c r="F3676" t="str">
        <x:f>IF('Release Gates'!C3636="PLANNING","PASS",IF('Release Gates'!C3636="PHYSICAL","OPEN","BLOCKED"))</x:f>
        <x:v>OPEN</x:v>
      </x:c>
      <x:c r="G3676" t="str">
        <x:v>equals</x:v>
      </x:c>
      <x:c r="H3676" t="str">
        <x:f>IF(E3676=F3676,"PASS","FAIL")</x:f>
        <x:v>PASS</x:v>
      </x:c>
    </x:row>
    <x:row r="3677">
      <x:c r="B3677" t="str">
        <x:v>A-03631</x:v>
      </x:c>
      <x:c r="C3677" t="str">
        <x:v>GATE</x:v>
      </x:c>
      <x:c r="D3677" t="str">
        <x:v>release state mirrors governing ledger</x:v>
      </x:c>
      <x:c r="E3677" t="str">
        <x:f>'Release Gates'!I3637</x:f>
        <x:v>OPEN</x:v>
      </x:c>
      <x:c r="F3677" t="str">
        <x:f>IF('Release Gates'!C3637="PLANNING","PASS",IF('Release Gates'!C3637="PHYSICAL","OPEN","BLOCKED"))</x:f>
        <x:v>OPEN</x:v>
      </x:c>
      <x:c r="G3677" t="str">
        <x:v>equals</x:v>
      </x:c>
      <x:c r="H3677" t="str">
        <x:f>IF(E3677=F3677,"PASS","FAIL")</x:f>
        <x:v>PASS</x:v>
      </x:c>
    </x:row>
    <x:row r="3678">
      <x:c r="B3678" t="str">
        <x:v>A-03632</x:v>
      </x:c>
      <x:c r="C3678" t="str">
        <x:v>GATE</x:v>
      </x:c>
      <x:c r="D3678" t="str">
        <x:v>release state mirrors governing ledger</x:v>
      </x:c>
      <x:c r="E3678" t="str">
        <x:f>'Release Gates'!I3638</x:f>
        <x:v>OPEN</x:v>
      </x:c>
      <x:c r="F3678" t="str">
        <x:f>IF('Release Gates'!C3638="PLANNING","PASS",IF('Release Gates'!C3638="PHYSICAL","OPEN","BLOCKED"))</x:f>
        <x:v>OPEN</x:v>
      </x:c>
      <x:c r="G3678" t="str">
        <x:v>equals</x:v>
      </x:c>
      <x:c r="H3678" t="str">
        <x:f>IF(E3678=F3678,"PASS","FAIL")</x:f>
        <x:v>PASS</x:v>
      </x:c>
    </x:row>
    <x:row r="3679">
      <x:c r="B3679" t="str">
        <x:v>A-03633</x:v>
      </x:c>
      <x:c r="C3679" t="str">
        <x:v>GATE</x:v>
      </x:c>
      <x:c r="D3679" t="str">
        <x:v>release state mirrors governing ledger</x:v>
      </x:c>
      <x:c r="E3679" t="str">
        <x:f>'Release Gates'!I3639</x:f>
        <x:v>OPEN</x:v>
      </x:c>
      <x:c r="F3679" t="str">
        <x:f>IF('Release Gates'!C3639="PLANNING","PASS",IF('Release Gates'!C3639="PHYSICAL","OPEN","BLOCKED"))</x:f>
        <x:v>OPEN</x:v>
      </x:c>
      <x:c r="G3679" t="str">
        <x:v>equals</x:v>
      </x:c>
      <x:c r="H3679" t="str">
        <x:f>IF(E3679=F3679,"PASS","FAIL")</x:f>
        <x:v>PASS</x:v>
      </x:c>
    </x:row>
    <x:row r="3680">
      <x:c r="B3680" t="str">
        <x:v>A-03634</x:v>
      </x:c>
      <x:c r="C3680" t="str">
        <x:v>GATE</x:v>
      </x:c>
      <x:c r="D3680" t="str">
        <x:v>release state mirrors governing ledger</x:v>
      </x:c>
      <x:c r="E3680" t="str">
        <x:f>'Release Gates'!I3640</x:f>
        <x:v>OPEN</x:v>
      </x:c>
      <x:c r="F3680" t="str">
        <x:f>IF('Release Gates'!C3640="PLANNING","PASS",IF('Release Gates'!C3640="PHYSICAL","OPEN","BLOCKED"))</x:f>
        <x:v>OPEN</x:v>
      </x:c>
      <x:c r="G3680" t="str">
        <x:v>equals</x:v>
      </x:c>
      <x:c r="H3680" t="str">
        <x:f>IF(E3680=F3680,"PASS","FAIL")</x:f>
        <x:v>PASS</x:v>
      </x:c>
    </x:row>
    <x:row r="3681">
      <x:c r="B3681" t="str">
        <x:v>A-03635</x:v>
      </x:c>
      <x:c r="C3681" t="str">
        <x:v>GATE</x:v>
      </x:c>
      <x:c r="D3681" t="str">
        <x:v>release state mirrors governing ledger</x:v>
      </x:c>
      <x:c r="E3681" t="str">
        <x:f>'Release Gates'!I3641</x:f>
        <x:v>OPEN</x:v>
      </x:c>
      <x:c r="F3681" t="str">
        <x:f>IF('Release Gates'!C3641="PLANNING","PASS",IF('Release Gates'!C3641="PHYSICAL","OPEN","BLOCKED"))</x:f>
        <x:v>OPEN</x:v>
      </x:c>
      <x:c r="G3681" t="str">
        <x:v>equals</x:v>
      </x:c>
      <x:c r="H3681" t="str">
        <x:f>IF(E3681=F3681,"PASS","FAIL")</x:f>
        <x:v>PASS</x:v>
      </x:c>
    </x:row>
    <x:row r="3682">
      <x:c r="B3682" t="str">
        <x:v>A-03636</x:v>
      </x:c>
      <x:c r="C3682" t="str">
        <x:v>GATE</x:v>
      </x:c>
      <x:c r="D3682" t="str">
        <x:v>release state mirrors governing ledger</x:v>
      </x:c>
      <x:c r="E3682" t="str">
        <x:f>'Release Gates'!I3642</x:f>
        <x:v>OPEN</x:v>
      </x:c>
      <x:c r="F3682" t="str">
        <x:f>IF('Release Gates'!C3642="PLANNING","PASS",IF('Release Gates'!C3642="PHYSICAL","OPEN","BLOCKED"))</x:f>
        <x:v>OPEN</x:v>
      </x:c>
      <x:c r="G3682" t="str">
        <x:v>equals</x:v>
      </x:c>
      <x:c r="H3682" t="str">
        <x:f>IF(E3682=F3682,"PASS","FAIL")</x:f>
        <x:v>PASS</x:v>
      </x:c>
    </x:row>
    <x:row r="3683">
      <x:c r="B3683" t="str">
        <x:v>A-03637</x:v>
      </x:c>
      <x:c r="C3683" t="str">
        <x:v>GATE</x:v>
      </x:c>
      <x:c r="D3683" t="str">
        <x:v>release state mirrors governing ledger</x:v>
      </x:c>
      <x:c r="E3683" t="str">
        <x:f>'Release Gates'!I3643</x:f>
        <x:v>OPEN</x:v>
      </x:c>
      <x:c r="F3683" t="str">
        <x:f>IF('Release Gates'!C3643="PLANNING","PASS",IF('Release Gates'!C3643="PHYSICAL","OPEN","BLOCKED"))</x:f>
        <x:v>OPEN</x:v>
      </x:c>
      <x:c r="G3683" t="str">
        <x:v>equals</x:v>
      </x:c>
      <x:c r="H3683" t="str">
        <x:f>IF(E3683=F3683,"PASS","FAIL")</x:f>
        <x:v>PASS</x:v>
      </x:c>
    </x:row>
    <x:row r="3684">
      <x:c r="B3684" t="str">
        <x:v>A-03638</x:v>
      </x:c>
      <x:c r="C3684" t="str">
        <x:v>GATE</x:v>
      </x:c>
      <x:c r="D3684" t="str">
        <x:v>release state mirrors governing ledger</x:v>
      </x:c>
      <x:c r="E3684" t="str">
        <x:f>'Release Gates'!I3644</x:f>
        <x:v>OPEN</x:v>
      </x:c>
      <x:c r="F3684" t="str">
        <x:f>IF('Release Gates'!C3644="PLANNING","PASS",IF('Release Gates'!C3644="PHYSICAL","OPEN","BLOCKED"))</x:f>
        <x:v>OPEN</x:v>
      </x:c>
      <x:c r="G3684" t="str">
        <x:v>equals</x:v>
      </x:c>
      <x:c r="H3684" t="str">
        <x:f>IF(E3684=F3684,"PASS","FAIL")</x:f>
        <x:v>PASS</x:v>
      </x:c>
    </x:row>
    <x:row r="3685">
      <x:c r="B3685" t="str">
        <x:v>A-03639</x:v>
      </x:c>
      <x:c r="C3685" t="str">
        <x:v>GATE</x:v>
      </x:c>
      <x:c r="D3685" t="str">
        <x:v>release state mirrors governing ledger</x:v>
      </x:c>
      <x:c r="E3685" t="str">
        <x:f>'Release Gates'!I3645</x:f>
        <x:v>OPEN</x:v>
      </x:c>
      <x:c r="F3685" t="str">
        <x:f>IF('Release Gates'!C3645="PLANNING","PASS",IF('Release Gates'!C3645="PHYSICAL","OPEN","BLOCKED"))</x:f>
        <x:v>OPEN</x:v>
      </x:c>
      <x:c r="G3685" t="str">
        <x:v>equals</x:v>
      </x:c>
      <x:c r="H3685" t="str">
        <x:f>IF(E3685=F3685,"PASS","FAIL")</x:f>
        <x:v>PASS</x:v>
      </x:c>
    </x:row>
    <x:row r="3686">
      <x:c r="B3686" t="str">
        <x:v>A-03640</x:v>
      </x:c>
      <x:c r="C3686" t="str">
        <x:v>GATE</x:v>
      </x:c>
      <x:c r="D3686" t="str">
        <x:v>release state mirrors governing ledger</x:v>
      </x:c>
      <x:c r="E3686" t="str">
        <x:f>'Release Gates'!I3646</x:f>
        <x:v>OPEN</x:v>
      </x:c>
      <x:c r="F3686" t="str">
        <x:f>IF('Release Gates'!C3646="PLANNING","PASS",IF('Release Gates'!C3646="PHYSICAL","OPEN","BLOCKED"))</x:f>
        <x:v>OPEN</x:v>
      </x:c>
      <x:c r="G3686" t="str">
        <x:v>equals</x:v>
      </x:c>
      <x:c r="H3686" t="str">
        <x:f>IF(E3686=F3686,"PASS","FAIL")</x:f>
        <x:v>PASS</x:v>
      </x:c>
    </x:row>
    <x:row r="3687">
      <x:c r="B3687" t="str">
        <x:v>A-03641</x:v>
      </x:c>
      <x:c r="C3687" t="str">
        <x:v>GATE</x:v>
      </x:c>
      <x:c r="D3687" t="str">
        <x:v>release state mirrors governing ledger</x:v>
      </x:c>
      <x:c r="E3687" t="str">
        <x:f>'Release Gates'!I3647</x:f>
        <x:v>OPEN</x:v>
      </x:c>
      <x:c r="F3687" t="str">
        <x:f>IF('Release Gates'!C3647="PLANNING","PASS",IF('Release Gates'!C3647="PHYSICAL","OPEN","BLOCKED"))</x:f>
        <x:v>OPEN</x:v>
      </x:c>
      <x:c r="G3687" t="str">
        <x:v>equals</x:v>
      </x:c>
      <x:c r="H3687" t="str">
        <x:f>IF(E3687=F3687,"PASS","FAIL")</x:f>
        <x:v>PASS</x:v>
      </x:c>
    </x:row>
    <x:row r="3688">
      <x:c r="B3688" t="str">
        <x:v>A-03642</x:v>
      </x:c>
      <x:c r="C3688" t="str">
        <x:v>GATE</x:v>
      </x:c>
      <x:c r="D3688" t="str">
        <x:v>release state mirrors governing ledger</x:v>
      </x:c>
      <x:c r="E3688" t="str">
        <x:f>'Release Gates'!I3648</x:f>
        <x:v>OPEN</x:v>
      </x:c>
      <x:c r="F3688" t="str">
        <x:f>IF('Release Gates'!C3648="PLANNING","PASS",IF('Release Gates'!C3648="PHYSICAL","OPEN","BLOCKED"))</x:f>
        <x:v>OPEN</x:v>
      </x:c>
      <x:c r="G3688" t="str">
        <x:v>equals</x:v>
      </x:c>
      <x:c r="H3688" t="str">
        <x:f>IF(E3688=F3688,"PASS","FAIL")</x:f>
        <x:v>PASS</x:v>
      </x:c>
    </x:row>
    <x:row r="3689">
      <x:c r="B3689" t="str">
        <x:v>A-03643</x:v>
      </x:c>
      <x:c r="C3689" t="str">
        <x:v>GATE</x:v>
      </x:c>
      <x:c r="D3689" t="str">
        <x:v>release state mirrors governing ledger</x:v>
      </x:c>
      <x:c r="E3689" t="str">
        <x:f>'Release Gates'!I3649</x:f>
        <x:v>OPEN</x:v>
      </x:c>
      <x:c r="F3689" t="str">
        <x:f>IF('Release Gates'!C3649="PLANNING","PASS",IF('Release Gates'!C3649="PHYSICAL","OPEN","BLOCKED"))</x:f>
        <x:v>OPEN</x:v>
      </x:c>
      <x:c r="G3689" t="str">
        <x:v>equals</x:v>
      </x:c>
      <x:c r="H3689" t="str">
        <x:f>IF(E3689=F3689,"PASS","FAIL")</x:f>
        <x:v>PASS</x:v>
      </x:c>
    </x:row>
    <x:row r="3690">
      <x:c r="B3690" t="str">
        <x:v>A-03644</x:v>
      </x:c>
      <x:c r="C3690" t="str">
        <x:v>GATE</x:v>
      </x:c>
      <x:c r="D3690" t="str">
        <x:v>release state mirrors governing ledger</x:v>
      </x:c>
      <x:c r="E3690" t="str">
        <x:f>'Release Gates'!I3650</x:f>
        <x:v>OPEN</x:v>
      </x:c>
      <x:c r="F3690" t="str">
        <x:f>IF('Release Gates'!C3650="PLANNING","PASS",IF('Release Gates'!C3650="PHYSICAL","OPEN","BLOCKED"))</x:f>
        <x:v>OPEN</x:v>
      </x:c>
      <x:c r="G3690" t="str">
        <x:v>equals</x:v>
      </x:c>
      <x:c r="H3690" t="str">
        <x:f>IF(E3690=F3690,"PASS","FAIL")</x:f>
        <x:v>PASS</x:v>
      </x:c>
    </x:row>
    <x:row r="3691">
      <x:c r="B3691" t="str">
        <x:v>A-03645</x:v>
      </x:c>
      <x:c r="C3691" t="str">
        <x:v>GATE</x:v>
      </x:c>
      <x:c r="D3691" t="str">
        <x:v>release state mirrors governing ledger</x:v>
      </x:c>
      <x:c r="E3691" t="str">
        <x:f>'Release Gates'!I3651</x:f>
        <x:v>OPEN</x:v>
      </x:c>
      <x:c r="F3691" t="str">
        <x:f>IF('Release Gates'!C3651="PLANNING","PASS",IF('Release Gates'!C3651="PHYSICAL","OPEN","BLOCKED"))</x:f>
        <x:v>OPEN</x:v>
      </x:c>
      <x:c r="G3691" t="str">
        <x:v>equals</x:v>
      </x:c>
      <x:c r="H3691" t="str">
        <x:f>IF(E3691=F3691,"PASS","FAIL")</x:f>
        <x:v>PASS</x:v>
      </x:c>
    </x:row>
    <x:row r="3692">
      <x:c r="B3692" t="str">
        <x:v>A-03646</x:v>
      </x:c>
      <x:c r="C3692" t="str">
        <x:v>GATE</x:v>
      </x:c>
      <x:c r="D3692" t="str">
        <x:v>release state mirrors governing ledger</x:v>
      </x:c>
      <x:c r="E3692" t="str">
        <x:f>'Release Gates'!I3652</x:f>
        <x:v>OPEN</x:v>
      </x:c>
      <x:c r="F3692" t="str">
        <x:f>IF('Release Gates'!C3652="PLANNING","PASS",IF('Release Gates'!C3652="PHYSICAL","OPEN","BLOCKED"))</x:f>
        <x:v>OPEN</x:v>
      </x:c>
      <x:c r="G3692" t="str">
        <x:v>equals</x:v>
      </x:c>
      <x:c r="H3692" t="str">
        <x:f>IF(E3692=F3692,"PASS","FAIL")</x:f>
        <x:v>PASS</x:v>
      </x:c>
    </x:row>
    <x:row r="3693">
      <x:c r="B3693" t="str">
        <x:v>A-03647</x:v>
      </x:c>
      <x:c r="C3693" t="str">
        <x:v>GATE</x:v>
      </x:c>
      <x:c r="D3693" t="str">
        <x:v>release state mirrors governing ledger</x:v>
      </x:c>
      <x:c r="E3693" t="str">
        <x:f>'Release Gates'!I3653</x:f>
        <x:v>OPEN</x:v>
      </x:c>
      <x:c r="F3693" t="str">
        <x:f>IF('Release Gates'!C3653="PLANNING","PASS",IF('Release Gates'!C3653="PHYSICAL","OPEN","BLOCKED"))</x:f>
        <x:v>OPEN</x:v>
      </x:c>
      <x:c r="G3693" t="str">
        <x:v>equals</x:v>
      </x:c>
      <x:c r="H3693" t="str">
        <x:f>IF(E3693=F3693,"PASS","FAIL")</x:f>
        <x:v>PASS</x:v>
      </x:c>
    </x:row>
    <x:row r="3694">
      <x:c r="B3694" t="str">
        <x:v>A-03648</x:v>
      </x:c>
      <x:c r="C3694" t="str">
        <x:v>GATE</x:v>
      </x:c>
      <x:c r="D3694" t="str">
        <x:v>release state mirrors governing ledger</x:v>
      </x:c>
      <x:c r="E3694" t="str">
        <x:f>'Release Gates'!I3654</x:f>
        <x:v>OPEN</x:v>
      </x:c>
      <x:c r="F3694" t="str">
        <x:f>IF('Release Gates'!C3654="PLANNING","PASS",IF('Release Gates'!C3654="PHYSICAL","OPEN","BLOCKED"))</x:f>
        <x:v>OPEN</x:v>
      </x:c>
      <x:c r="G3694" t="str">
        <x:v>equals</x:v>
      </x:c>
      <x:c r="H3694" t="str">
        <x:f>IF(E3694=F3694,"PASS","FAIL")</x:f>
        <x:v>PASS</x:v>
      </x:c>
    </x:row>
    <x:row r="3695">
      <x:c r="B3695" t="str">
        <x:v>A-03649</x:v>
      </x:c>
      <x:c r="C3695" t="str">
        <x:v>GATE</x:v>
      </x:c>
      <x:c r="D3695" t="str">
        <x:v>release state mirrors governing ledger</x:v>
      </x:c>
      <x:c r="E3695" t="str">
        <x:f>'Release Gates'!I3655</x:f>
        <x:v>OPEN</x:v>
      </x:c>
      <x:c r="F3695" t="str">
        <x:f>IF('Release Gates'!C3655="PLANNING","PASS",IF('Release Gates'!C3655="PHYSICAL","OPEN","BLOCKED"))</x:f>
        <x:v>OPEN</x:v>
      </x:c>
      <x:c r="G3695" t="str">
        <x:v>equals</x:v>
      </x:c>
      <x:c r="H3695" t="str">
        <x:f>IF(E3695=F3695,"PASS","FAIL")</x:f>
        <x:v>PASS</x:v>
      </x:c>
    </x:row>
    <x:row r="3696">
      <x:c r="B3696" t="str">
        <x:v>A-03650</x:v>
      </x:c>
      <x:c r="C3696" t="str">
        <x:v>GATE</x:v>
      </x:c>
      <x:c r="D3696" t="str">
        <x:v>release state mirrors governing ledger</x:v>
      </x:c>
      <x:c r="E3696" t="str">
        <x:f>'Release Gates'!I3656</x:f>
        <x:v>OPEN</x:v>
      </x:c>
      <x:c r="F3696" t="str">
        <x:f>IF('Release Gates'!C3656="PLANNING","PASS",IF('Release Gates'!C3656="PHYSICAL","OPEN","BLOCKED"))</x:f>
        <x:v>OPEN</x:v>
      </x:c>
      <x:c r="G3696" t="str">
        <x:v>equals</x:v>
      </x:c>
      <x:c r="H3696" t="str">
        <x:f>IF(E3696=F3696,"PASS","FAIL")</x:f>
        <x:v>PASS</x:v>
      </x:c>
    </x:row>
    <x:row r="3697">
      <x:c r="B3697" t="str">
        <x:v>A-03651</x:v>
      </x:c>
      <x:c r="C3697" t="str">
        <x:v>GATE</x:v>
      </x:c>
      <x:c r="D3697" t="str">
        <x:v>release state mirrors governing ledger</x:v>
      </x:c>
      <x:c r="E3697" t="str">
        <x:f>'Release Gates'!I3657</x:f>
        <x:v>OPEN</x:v>
      </x:c>
      <x:c r="F3697" t="str">
        <x:f>IF('Release Gates'!C3657="PLANNING","PASS",IF('Release Gates'!C3657="PHYSICAL","OPEN","BLOCKED"))</x:f>
        <x:v>OPEN</x:v>
      </x:c>
      <x:c r="G3697" t="str">
        <x:v>equals</x:v>
      </x:c>
      <x:c r="H3697" t="str">
        <x:f>IF(E3697=F3697,"PASS","FAIL")</x:f>
        <x:v>PASS</x:v>
      </x:c>
    </x:row>
    <x:row r="3698">
      <x:c r="B3698" t="str">
        <x:v>A-03652</x:v>
      </x:c>
      <x:c r="C3698" t="str">
        <x:v>GATE</x:v>
      </x:c>
      <x:c r="D3698" t="str">
        <x:v>release state mirrors governing ledger</x:v>
      </x:c>
      <x:c r="E3698" t="str">
        <x:f>'Release Gates'!I3658</x:f>
        <x:v>OPEN</x:v>
      </x:c>
      <x:c r="F3698" t="str">
        <x:f>IF('Release Gates'!C3658="PLANNING","PASS",IF('Release Gates'!C3658="PHYSICAL","OPEN","BLOCKED"))</x:f>
        <x:v>OPEN</x:v>
      </x:c>
      <x:c r="G3698" t="str">
        <x:v>equals</x:v>
      </x:c>
      <x:c r="H3698" t="str">
        <x:f>IF(E3698=F3698,"PASS","FAIL")</x:f>
        <x:v>PASS</x:v>
      </x:c>
    </x:row>
    <x:row r="3699">
      <x:c r="B3699" t="str">
        <x:v>A-03653</x:v>
      </x:c>
      <x:c r="C3699" t="str">
        <x:v>GATE</x:v>
      </x:c>
      <x:c r="D3699" t="str">
        <x:v>release state mirrors governing ledger</x:v>
      </x:c>
      <x:c r="E3699" t="str">
        <x:f>'Release Gates'!I3659</x:f>
        <x:v>OPEN</x:v>
      </x:c>
      <x:c r="F3699" t="str">
        <x:f>IF('Release Gates'!C3659="PLANNING","PASS",IF('Release Gates'!C3659="PHYSICAL","OPEN","BLOCKED"))</x:f>
        <x:v>OPEN</x:v>
      </x:c>
      <x:c r="G3699" t="str">
        <x:v>equals</x:v>
      </x:c>
      <x:c r="H3699" t="str">
        <x:f>IF(E3699=F3699,"PASS","FAIL")</x:f>
        <x:v>PASS</x:v>
      </x:c>
    </x:row>
    <x:row r="3700">
      <x:c r="B3700" t="str">
        <x:v>A-03654</x:v>
      </x:c>
      <x:c r="C3700" t="str">
        <x:v>GATE</x:v>
      </x:c>
      <x:c r="D3700" t="str">
        <x:v>release state mirrors governing ledger</x:v>
      </x:c>
      <x:c r="E3700" t="str">
        <x:f>'Release Gates'!I3660</x:f>
        <x:v>OPEN</x:v>
      </x:c>
      <x:c r="F3700" t="str">
        <x:f>IF('Release Gates'!C3660="PLANNING","PASS",IF('Release Gates'!C3660="PHYSICAL","OPEN","BLOCKED"))</x:f>
        <x:v>OPEN</x:v>
      </x:c>
      <x:c r="G3700" t="str">
        <x:v>equals</x:v>
      </x:c>
      <x:c r="H3700" t="str">
        <x:f>IF(E3700=F3700,"PASS","FAIL")</x:f>
        <x:v>PASS</x:v>
      </x:c>
    </x:row>
    <x:row r="3701">
      <x:c r="B3701" t="str">
        <x:v>A-03655</x:v>
      </x:c>
      <x:c r="C3701" t="str">
        <x:v>GATE</x:v>
      </x:c>
      <x:c r="D3701" t="str">
        <x:v>release state mirrors governing ledger</x:v>
      </x:c>
      <x:c r="E3701" t="str">
        <x:f>'Release Gates'!I3661</x:f>
        <x:v>OPEN</x:v>
      </x:c>
      <x:c r="F3701" t="str">
        <x:f>IF('Release Gates'!C3661="PLANNING","PASS",IF('Release Gates'!C3661="PHYSICAL","OPEN","BLOCKED"))</x:f>
        <x:v>OPEN</x:v>
      </x:c>
      <x:c r="G3701" t="str">
        <x:v>equals</x:v>
      </x:c>
      <x:c r="H3701" t="str">
        <x:f>IF(E3701=F3701,"PASS","FAIL")</x:f>
        <x:v>PASS</x:v>
      </x:c>
    </x:row>
    <x:row r="3702">
      <x:c r="B3702" t="str">
        <x:v>A-03656</x:v>
      </x:c>
      <x:c r="C3702" t="str">
        <x:v>GATE</x:v>
      </x:c>
      <x:c r="D3702" t="str">
        <x:v>release state mirrors governing ledger</x:v>
      </x:c>
      <x:c r="E3702" t="str">
        <x:f>'Release Gates'!I3662</x:f>
        <x:v>OPEN</x:v>
      </x:c>
      <x:c r="F3702" t="str">
        <x:f>IF('Release Gates'!C3662="PLANNING","PASS",IF('Release Gates'!C3662="PHYSICAL","OPEN","BLOCKED"))</x:f>
        <x:v>OPEN</x:v>
      </x:c>
      <x:c r="G3702" t="str">
        <x:v>equals</x:v>
      </x:c>
      <x:c r="H3702" t="str">
        <x:f>IF(E3702=F3702,"PASS","FAIL")</x:f>
        <x:v>PASS</x:v>
      </x:c>
    </x:row>
    <x:row r="3703">
      <x:c r="B3703" t="str">
        <x:v>A-03657</x:v>
      </x:c>
      <x:c r="C3703" t="str">
        <x:v>GATE</x:v>
      </x:c>
      <x:c r="D3703" t="str">
        <x:v>release state mirrors governing ledger</x:v>
      </x:c>
      <x:c r="E3703" t="str">
        <x:f>'Release Gates'!I3663</x:f>
        <x:v>OPEN</x:v>
      </x:c>
      <x:c r="F3703" t="str">
        <x:f>IF('Release Gates'!C3663="PLANNING","PASS",IF('Release Gates'!C3663="PHYSICAL","OPEN","BLOCKED"))</x:f>
        <x:v>OPEN</x:v>
      </x:c>
      <x:c r="G3703" t="str">
        <x:v>equals</x:v>
      </x:c>
      <x:c r="H3703" t="str">
        <x:f>IF(E3703=F3703,"PASS","FAIL")</x:f>
        <x:v>PASS</x:v>
      </x:c>
    </x:row>
    <x:row r="3704">
      <x:c r="B3704" t="str">
        <x:v>A-03658</x:v>
      </x:c>
      <x:c r="C3704" t="str">
        <x:v>GATE</x:v>
      </x:c>
      <x:c r="D3704" t="str">
        <x:v>release state mirrors governing ledger</x:v>
      </x:c>
      <x:c r="E3704" t="str">
        <x:f>'Release Gates'!I3664</x:f>
        <x:v>OPEN</x:v>
      </x:c>
      <x:c r="F3704" t="str">
        <x:f>IF('Release Gates'!C3664="PLANNING","PASS",IF('Release Gates'!C3664="PHYSICAL","OPEN","BLOCKED"))</x:f>
        <x:v>OPEN</x:v>
      </x:c>
      <x:c r="G3704" t="str">
        <x:v>equals</x:v>
      </x:c>
      <x:c r="H3704" t="str">
        <x:f>IF(E3704=F3704,"PASS","FAIL")</x:f>
        <x:v>PASS</x:v>
      </x:c>
    </x:row>
    <x:row r="3705">
      <x:c r="B3705" t="str">
        <x:v>A-03659</x:v>
      </x:c>
      <x:c r="C3705" t="str">
        <x:v>GATE</x:v>
      </x:c>
      <x:c r="D3705" t="str">
        <x:v>release state mirrors governing ledger</x:v>
      </x:c>
      <x:c r="E3705" t="str">
        <x:f>'Release Gates'!I3665</x:f>
        <x:v>OPEN</x:v>
      </x:c>
      <x:c r="F3705" t="str">
        <x:f>IF('Release Gates'!C3665="PLANNING","PASS",IF('Release Gates'!C3665="PHYSICAL","OPEN","BLOCKED"))</x:f>
        <x:v>OPEN</x:v>
      </x:c>
      <x:c r="G3705" t="str">
        <x:v>equals</x:v>
      </x:c>
      <x:c r="H3705" t="str">
        <x:f>IF(E3705=F3705,"PASS","FAIL")</x:f>
        <x:v>PASS</x:v>
      </x:c>
    </x:row>
    <x:row r="3706">
      <x:c r="B3706" t="str">
        <x:v>A-03660</x:v>
      </x:c>
      <x:c r="C3706" t="str">
        <x:v>GATE</x:v>
      </x:c>
      <x:c r="D3706" t="str">
        <x:v>release state mirrors governing ledger</x:v>
      </x:c>
      <x:c r="E3706" t="str">
        <x:f>'Release Gates'!I3666</x:f>
        <x:v>OPEN</x:v>
      </x:c>
      <x:c r="F3706" t="str">
        <x:f>IF('Release Gates'!C3666="PLANNING","PASS",IF('Release Gates'!C3666="PHYSICAL","OPEN","BLOCKED"))</x:f>
        <x:v>OPEN</x:v>
      </x:c>
      <x:c r="G3706" t="str">
        <x:v>equals</x:v>
      </x:c>
      <x:c r="H3706" t="str">
        <x:f>IF(E3706=F3706,"PASS","FAIL")</x:f>
        <x:v>PASS</x:v>
      </x:c>
    </x:row>
    <x:row r="3707">
      <x:c r="B3707" t="str">
        <x:v>A-03661</x:v>
      </x:c>
      <x:c r="C3707" t="str">
        <x:v>GATE</x:v>
      </x:c>
      <x:c r="D3707" t="str">
        <x:v>release state mirrors governing ledger</x:v>
      </x:c>
      <x:c r="E3707" t="str">
        <x:f>'Release Gates'!I3667</x:f>
        <x:v>OPEN</x:v>
      </x:c>
      <x:c r="F3707" t="str">
        <x:f>IF('Release Gates'!C3667="PLANNING","PASS",IF('Release Gates'!C3667="PHYSICAL","OPEN","BLOCKED"))</x:f>
        <x:v>OPEN</x:v>
      </x:c>
      <x:c r="G3707" t="str">
        <x:v>equals</x:v>
      </x:c>
      <x:c r="H3707" t="str">
        <x:f>IF(E3707=F3707,"PASS","FAIL")</x:f>
        <x:v>PASS</x:v>
      </x:c>
    </x:row>
    <x:row r="3708">
      <x:c r="B3708" t="str">
        <x:v>A-03662</x:v>
      </x:c>
      <x:c r="C3708" t="str">
        <x:v>GATE</x:v>
      </x:c>
      <x:c r="D3708" t="str">
        <x:v>release state mirrors governing ledger</x:v>
      </x:c>
      <x:c r="E3708" t="str">
        <x:f>'Release Gates'!I3668</x:f>
        <x:v>OPEN</x:v>
      </x:c>
      <x:c r="F3708" t="str">
        <x:f>IF('Release Gates'!C3668="PLANNING","PASS",IF('Release Gates'!C3668="PHYSICAL","OPEN","BLOCKED"))</x:f>
        <x:v>OPEN</x:v>
      </x:c>
      <x:c r="G3708" t="str">
        <x:v>equals</x:v>
      </x:c>
      <x:c r="H3708" t="str">
        <x:f>IF(E3708=F3708,"PASS","FAIL")</x:f>
        <x:v>PASS</x:v>
      </x:c>
    </x:row>
    <x:row r="3709">
      <x:c r="B3709" t="str">
        <x:v>A-03663</x:v>
      </x:c>
      <x:c r="C3709" t="str">
        <x:v>GATE</x:v>
      </x:c>
      <x:c r="D3709" t="str">
        <x:v>release state mirrors governing ledger</x:v>
      </x:c>
      <x:c r="E3709" t="str">
        <x:f>'Release Gates'!I3669</x:f>
        <x:v>OPEN</x:v>
      </x:c>
      <x:c r="F3709" t="str">
        <x:f>IF('Release Gates'!C3669="PLANNING","PASS",IF('Release Gates'!C3669="PHYSICAL","OPEN","BLOCKED"))</x:f>
        <x:v>OPEN</x:v>
      </x:c>
      <x:c r="G3709" t="str">
        <x:v>equals</x:v>
      </x:c>
      <x:c r="H3709" t="str">
        <x:f>IF(E3709=F3709,"PASS","FAIL")</x:f>
        <x:v>PASS</x:v>
      </x:c>
    </x:row>
    <x:row r="3710">
      <x:c r="B3710" t="str">
        <x:v>A-03664</x:v>
      </x:c>
      <x:c r="C3710" t="str">
        <x:v>GATE</x:v>
      </x:c>
      <x:c r="D3710" t="str">
        <x:v>release state mirrors governing ledger</x:v>
      </x:c>
      <x:c r="E3710" t="str">
        <x:f>'Release Gates'!I3670</x:f>
        <x:v>OPEN</x:v>
      </x:c>
      <x:c r="F3710" t="str">
        <x:f>IF('Release Gates'!C3670="PLANNING","PASS",IF('Release Gates'!C3670="PHYSICAL","OPEN","BLOCKED"))</x:f>
        <x:v>OPEN</x:v>
      </x:c>
      <x:c r="G3710" t="str">
        <x:v>equals</x:v>
      </x:c>
      <x:c r="H3710" t="str">
        <x:f>IF(E3710=F3710,"PASS","FAIL")</x:f>
        <x:v>PASS</x:v>
      </x:c>
    </x:row>
    <x:row r="3711">
      <x:c r="B3711" t="str">
        <x:v>A-03665</x:v>
      </x:c>
      <x:c r="C3711" t="str">
        <x:v>GATE</x:v>
      </x:c>
      <x:c r="D3711" t="str">
        <x:v>release state mirrors governing ledger</x:v>
      </x:c>
      <x:c r="E3711" t="str">
        <x:f>'Release Gates'!I3671</x:f>
        <x:v>OPEN</x:v>
      </x:c>
      <x:c r="F3711" t="str">
        <x:f>IF('Release Gates'!C3671="PLANNING","PASS",IF('Release Gates'!C3671="PHYSICAL","OPEN","BLOCKED"))</x:f>
        <x:v>OPEN</x:v>
      </x:c>
      <x:c r="G3711" t="str">
        <x:v>equals</x:v>
      </x:c>
      <x:c r="H3711" t="str">
        <x:f>IF(E3711=F3711,"PASS","FAIL")</x:f>
        <x:v>PASS</x:v>
      </x:c>
    </x:row>
    <x:row r="3712">
      <x:c r="B3712" t="str">
        <x:v>A-03666</x:v>
      </x:c>
      <x:c r="C3712" t="str">
        <x:v>GATE</x:v>
      </x:c>
      <x:c r="D3712" t="str">
        <x:v>release state mirrors governing ledger</x:v>
      </x:c>
      <x:c r="E3712" t="str">
        <x:f>'Release Gates'!I3672</x:f>
        <x:v>OPEN</x:v>
      </x:c>
      <x:c r="F3712" t="str">
        <x:f>IF('Release Gates'!C3672="PLANNING","PASS",IF('Release Gates'!C3672="PHYSICAL","OPEN","BLOCKED"))</x:f>
        <x:v>OPEN</x:v>
      </x:c>
      <x:c r="G3712" t="str">
        <x:v>equals</x:v>
      </x:c>
      <x:c r="H3712" t="str">
        <x:f>IF(E3712=F3712,"PASS","FAIL")</x:f>
        <x:v>PASS</x:v>
      </x:c>
    </x:row>
    <x:row r="3713">
      <x:c r="B3713" t="str">
        <x:v>A-03667</x:v>
      </x:c>
      <x:c r="C3713" t="str">
        <x:v>GATE</x:v>
      </x:c>
      <x:c r="D3713" t="str">
        <x:v>release state mirrors governing ledger</x:v>
      </x:c>
      <x:c r="E3713" t="str">
        <x:f>'Release Gates'!I3673</x:f>
        <x:v>OPEN</x:v>
      </x:c>
      <x:c r="F3713" t="str">
        <x:f>IF('Release Gates'!C3673="PLANNING","PASS",IF('Release Gates'!C3673="PHYSICAL","OPEN","BLOCKED"))</x:f>
        <x:v>OPEN</x:v>
      </x:c>
      <x:c r="G3713" t="str">
        <x:v>equals</x:v>
      </x:c>
      <x:c r="H3713" t="str">
        <x:f>IF(E3713=F3713,"PASS","FAIL")</x:f>
        <x:v>PASS</x:v>
      </x:c>
    </x:row>
    <x:row r="3714">
      <x:c r="B3714" t="str">
        <x:v>A-03668</x:v>
      </x:c>
      <x:c r="C3714" t="str">
        <x:v>GATE</x:v>
      </x:c>
      <x:c r="D3714" t="str">
        <x:v>release state mirrors governing ledger</x:v>
      </x:c>
      <x:c r="E3714" t="str">
        <x:f>'Release Gates'!I3674</x:f>
        <x:v>OPEN</x:v>
      </x:c>
      <x:c r="F3714" t="str">
        <x:f>IF('Release Gates'!C3674="PLANNING","PASS",IF('Release Gates'!C3674="PHYSICAL","OPEN","BLOCKED"))</x:f>
        <x:v>OPEN</x:v>
      </x:c>
      <x:c r="G3714" t="str">
        <x:v>equals</x:v>
      </x:c>
      <x:c r="H3714" t="str">
        <x:f>IF(E3714=F3714,"PASS","FAIL")</x:f>
        <x:v>PASS</x:v>
      </x:c>
    </x:row>
    <x:row r="3715">
      <x:c r="B3715" t="str">
        <x:v>A-03669</x:v>
      </x:c>
      <x:c r="C3715" t="str">
        <x:v>GATE</x:v>
      </x:c>
      <x:c r="D3715" t="str">
        <x:v>release state mirrors governing ledger</x:v>
      </x:c>
      <x:c r="E3715" t="str">
        <x:f>'Release Gates'!I3675</x:f>
        <x:v>OPEN</x:v>
      </x:c>
      <x:c r="F3715" t="str">
        <x:f>IF('Release Gates'!C3675="PLANNING","PASS",IF('Release Gates'!C3675="PHYSICAL","OPEN","BLOCKED"))</x:f>
        <x:v>OPEN</x:v>
      </x:c>
      <x:c r="G3715" t="str">
        <x:v>equals</x:v>
      </x:c>
      <x:c r="H3715" t="str">
        <x:f>IF(E3715=F3715,"PASS","FAIL")</x:f>
        <x:v>PASS</x:v>
      </x:c>
    </x:row>
    <x:row r="3716">
      <x:c r="B3716" t="str">
        <x:v>A-03670</x:v>
      </x:c>
      <x:c r="C3716" t="str">
        <x:v>GATE</x:v>
      </x:c>
      <x:c r="D3716" t="str">
        <x:v>release state mirrors governing ledger</x:v>
      </x:c>
      <x:c r="E3716" t="str">
        <x:f>'Release Gates'!I3676</x:f>
        <x:v>OPEN</x:v>
      </x:c>
      <x:c r="F3716" t="str">
        <x:f>IF('Release Gates'!C3676="PLANNING","PASS",IF('Release Gates'!C3676="PHYSICAL","OPEN","BLOCKED"))</x:f>
        <x:v>OPEN</x:v>
      </x:c>
      <x:c r="G3716" t="str">
        <x:v>equals</x:v>
      </x:c>
      <x:c r="H3716" t="str">
        <x:f>IF(E3716=F3716,"PASS","FAIL")</x:f>
        <x:v>PASS</x:v>
      </x:c>
    </x:row>
    <x:row r="3717">
      <x:c r="B3717" t="str">
        <x:v>A-03671</x:v>
      </x:c>
      <x:c r="C3717" t="str">
        <x:v>GATE</x:v>
      </x:c>
      <x:c r="D3717" t="str">
        <x:v>release state mirrors governing ledger</x:v>
      </x:c>
      <x:c r="E3717" t="str">
        <x:f>'Release Gates'!I3677</x:f>
        <x:v>OPEN</x:v>
      </x:c>
      <x:c r="F3717" t="str">
        <x:f>IF('Release Gates'!C3677="PLANNING","PASS",IF('Release Gates'!C3677="PHYSICAL","OPEN","BLOCKED"))</x:f>
        <x:v>OPEN</x:v>
      </x:c>
      <x:c r="G3717" t="str">
        <x:v>equals</x:v>
      </x:c>
      <x:c r="H3717" t="str">
        <x:f>IF(E3717=F3717,"PASS","FAIL")</x:f>
        <x:v>PASS</x:v>
      </x:c>
    </x:row>
    <x:row r="3718">
      <x:c r="B3718" t="str">
        <x:v>A-03672</x:v>
      </x:c>
      <x:c r="C3718" t="str">
        <x:v>GATE</x:v>
      </x:c>
      <x:c r="D3718" t="str">
        <x:v>release state mirrors governing ledger</x:v>
      </x:c>
      <x:c r="E3718" t="str">
        <x:f>'Release Gates'!I3678</x:f>
        <x:v>OPEN</x:v>
      </x:c>
      <x:c r="F3718" t="str">
        <x:f>IF('Release Gates'!C3678="PLANNING","PASS",IF('Release Gates'!C3678="PHYSICAL","OPEN","BLOCKED"))</x:f>
        <x:v>OPEN</x:v>
      </x:c>
      <x:c r="G3718" t="str">
        <x:v>equals</x:v>
      </x:c>
      <x:c r="H3718" t="str">
        <x:f>IF(E3718=F3718,"PASS","FAIL")</x:f>
        <x:v>PASS</x:v>
      </x:c>
    </x:row>
    <x:row r="3719">
      <x:c r="B3719" t="str">
        <x:v>A-03673</x:v>
      </x:c>
      <x:c r="C3719" t="str">
        <x:v>GATE</x:v>
      </x:c>
      <x:c r="D3719" t="str">
        <x:v>release state mirrors governing ledger</x:v>
      </x:c>
      <x:c r="E3719" t="str">
        <x:f>'Release Gates'!I3679</x:f>
        <x:v>OPEN</x:v>
      </x:c>
      <x:c r="F3719" t="str">
        <x:f>IF('Release Gates'!C3679="PLANNING","PASS",IF('Release Gates'!C3679="PHYSICAL","OPEN","BLOCKED"))</x:f>
        <x:v>OPEN</x:v>
      </x:c>
      <x:c r="G3719" t="str">
        <x:v>equals</x:v>
      </x:c>
      <x:c r="H3719" t="str">
        <x:f>IF(E3719=F3719,"PASS","FAIL")</x:f>
        <x:v>PASS</x:v>
      </x:c>
    </x:row>
    <x:row r="3720">
      <x:c r="B3720" t="str">
        <x:v>A-03674</x:v>
      </x:c>
      <x:c r="C3720" t="str">
        <x:v>GATE</x:v>
      </x:c>
      <x:c r="D3720" t="str">
        <x:v>release state mirrors governing ledger</x:v>
      </x:c>
      <x:c r="E3720" t="str">
        <x:f>'Release Gates'!I3680</x:f>
        <x:v>OPEN</x:v>
      </x:c>
      <x:c r="F3720" t="str">
        <x:f>IF('Release Gates'!C3680="PLANNING","PASS",IF('Release Gates'!C3680="PHYSICAL","OPEN","BLOCKED"))</x:f>
        <x:v>OPEN</x:v>
      </x:c>
      <x:c r="G3720" t="str">
        <x:v>equals</x:v>
      </x:c>
      <x:c r="H3720" t="str">
        <x:f>IF(E3720=F3720,"PASS","FAIL")</x:f>
        <x:v>PASS</x:v>
      </x:c>
    </x:row>
    <x:row r="3721">
      <x:c r="B3721" t="str">
        <x:v>A-03675</x:v>
      </x:c>
      <x:c r="C3721" t="str">
        <x:v>GATE</x:v>
      </x:c>
      <x:c r="D3721" t="str">
        <x:v>release state mirrors governing ledger</x:v>
      </x:c>
      <x:c r="E3721" t="str">
        <x:f>'Release Gates'!I3681</x:f>
        <x:v>OPEN</x:v>
      </x:c>
      <x:c r="F3721" t="str">
        <x:f>IF('Release Gates'!C3681="PLANNING","PASS",IF('Release Gates'!C3681="PHYSICAL","OPEN","BLOCKED"))</x:f>
        <x:v>OPEN</x:v>
      </x:c>
      <x:c r="G3721" t="str">
        <x:v>equals</x:v>
      </x:c>
      <x:c r="H3721" t="str">
        <x:f>IF(E3721=F3721,"PASS","FAIL")</x:f>
        <x:v>PASS</x:v>
      </x:c>
    </x:row>
    <x:row r="3722">
      <x:c r="B3722" t="str">
        <x:v>A-03676</x:v>
      </x:c>
      <x:c r="C3722" t="str">
        <x:v>GATE</x:v>
      </x:c>
      <x:c r="D3722" t="str">
        <x:v>release state mirrors governing ledger</x:v>
      </x:c>
      <x:c r="E3722" t="str">
        <x:f>'Release Gates'!I3682</x:f>
        <x:v>OPEN</x:v>
      </x:c>
      <x:c r="F3722" t="str">
        <x:f>IF('Release Gates'!C3682="PLANNING","PASS",IF('Release Gates'!C3682="PHYSICAL","OPEN","BLOCKED"))</x:f>
        <x:v>OPEN</x:v>
      </x:c>
      <x:c r="G3722" t="str">
        <x:v>equals</x:v>
      </x:c>
      <x:c r="H3722" t="str">
        <x:f>IF(E3722=F3722,"PASS","FAIL")</x:f>
        <x:v>PASS</x:v>
      </x:c>
    </x:row>
    <x:row r="3723">
      <x:c r="B3723" t="str">
        <x:v>A-03677</x:v>
      </x:c>
      <x:c r="C3723" t="str">
        <x:v>GATE</x:v>
      </x:c>
      <x:c r="D3723" t="str">
        <x:v>release state mirrors governing ledger</x:v>
      </x:c>
      <x:c r="E3723" t="str">
        <x:f>'Release Gates'!I3683</x:f>
        <x:v>OPEN</x:v>
      </x:c>
      <x:c r="F3723" t="str">
        <x:f>IF('Release Gates'!C3683="PLANNING","PASS",IF('Release Gates'!C3683="PHYSICAL","OPEN","BLOCKED"))</x:f>
        <x:v>OPEN</x:v>
      </x:c>
      <x:c r="G3723" t="str">
        <x:v>equals</x:v>
      </x:c>
      <x:c r="H3723" t="str">
        <x:f>IF(E3723=F3723,"PASS","FAIL")</x:f>
        <x:v>PASS</x:v>
      </x:c>
    </x:row>
    <x:row r="3724">
      <x:c r="B3724" t="str">
        <x:v>A-03678</x:v>
      </x:c>
      <x:c r="C3724" t="str">
        <x:v>GATE</x:v>
      </x:c>
      <x:c r="D3724" t="str">
        <x:v>release state mirrors governing ledger</x:v>
      </x:c>
      <x:c r="E3724" t="str">
        <x:f>'Release Gates'!I3684</x:f>
        <x:v>OPEN</x:v>
      </x:c>
      <x:c r="F3724" t="str">
        <x:f>IF('Release Gates'!C3684="PLANNING","PASS",IF('Release Gates'!C3684="PHYSICAL","OPEN","BLOCKED"))</x:f>
        <x:v>OPEN</x:v>
      </x:c>
      <x:c r="G3724" t="str">
        <x:v>equals</x:v>
      </x:c>
      <x:c r="H3724" t="str">
        <x:f>IF(E3724=F3724,"PASS","FAIL")</x:f>
        <x:v>PASS</x:v>
      </x:c>
    </x:row>
    <x:row r="3725">
      <x:c r="B3725" t="str">
        <x:v>A-03679</x:v>
      </x:c>
      <x:c r="C3725" t="str">
        <x:v>GATE</x:v>
      </x:c>
      <x:c r="D3725" t="str">
        <x:v>release state mirrors governing ledger</x:v>
      </x:c>
      <x:c r="E3725" t="str">
        <x:f>'Release Gates'!I3685</x:f>
        <x:v>OPEN</x:v>
      </x:c>
      <x:c r="F3725" t="str">
        <x:f>IF('Release Gates'!C3685="PLANNING","PASS",IF('Release Gates'!C3685="PHYSICAL","OPEN","BLOCKED"))</x:f>
        <x:v>OPEN</x:v>
      </x:c>
      <x:c r="G3725" t="str">
        <x:v>equals</x:v>
      </x:c>
      <x:c r="H3725" t="str">
        <x:f>IF(E3725=F3725,"PASS","FAIL")</x:f>
        <x:v>PASS</x:v>
      </x:c>
    </x:row>
    <x:row r="3726">
      <x:c r="B3726" t="str">
        <x:v>A-03680</x:v>
      </x:c>
      <x:c r="C3726" t="str">
        <x:v>GATE</x:v>
      </x:c>
      <x:c r="D3726" t="str">
        <x:v>release state mirrors governing ledger</x:v>
      </x:c>
      <x:c r="E3726" t="str">
        <x:f>'Release Gates'!I3686</x:f>
        <x:v>OPEN</x:v>
      </x:c>
      <x:c r="F3726" t="str">
        <x:f>IF('Release Gates'!C3686="PLANNING","PASS",IF('Release Gates'!C3686="PHYSICAL","OPEN","BLOCKED"))</x:f>
        <x:v>OPEN</x:v>
      </x:c>
      <x:c r="G3726" t="str">
        <x:v>equals</x:v>
      </x:c>
      <x:c r="H3726" t="str">
        <x:f>IF(E3726=F3726,"PASS","FAIL")</x:f>
        <x:v>PASS</x:v>
      </x:c>
    </x:row>
    <x:row r="3727">
      <x:c r="B3727" t="str">
        <x:v>A-03681</x:v>
      </x:c>
      <x:c r="C3727" t="str">
        <x:v>GATE</x:v>
      </x:c>
      <x:c r="D3727" t="str">
        <x:v>release state mirrors governing ledger</x:v>
      </x:c>
      <x:c r="E3727" t="str">
        <x:f>'Release Gates'!I3687</x:f>
        <x:v>OPEN</x:v>
      </x:c>
      <x:c r="F3727" t="str">
        <x:f>IF('Release Gates'!C3687="PLANNING","PASS",IF('Release Gates'!C3687="PHYSICAL","OPEN","BLOCKED"))</x:f>
        <x:v>OPEN</x:v>
      </x:c>
      <x:c r="G3727" t="str">
        <x:v>equals</x:v>
      </x:c>
      <x:c r="H3727" t="str">
        <x:f>IF(E3727=F3727,"PASS","FAIL")</x:f>
        <x:v>PASS</x:v>
      </x:c>
    </x:row>
    <x:row r="3728">
      <x:c r="B3728" t="str">
        <x:v>A-03682</x:v>
      </x:c>
      <x:c r="C3728" t="str">
        <x:v>GATE</x:v>
      </x:c>
      <x:c r="D3728" t="str">
        <x:v>release state mirrors governing ledger</x:v>
      </x:c>
      <x:c r="E3728" t="str">
        <x:f>'Release Gates'!I3688</x:f>
        <x:v>OPEN</x:v>
      </x:c>
      <x:c r="F3728" t="str">
        <x:f>IF('Release Gates'!C3688="PLANNING","PASS",IF('Release Gates'!C3688="PHYSICAL","OPEN","BLOCKED"))</x:f>
        <x:v>OPEN</x:v>
      </x:c>
      <x:c r="G3728" t="str">
        <x:v>equals</x:v>
      </x:c>
      <x:c r="H3728" t="str">
        <x:f>IF(E3728=F3728,"PASS","FAIL")</x:f>
        <x:v>PASS</x:v>
      </x:c>
    </x:row>
    <x:row r="3729">
      <x:c r="B3729" t="str">
        <x:v>A-03683</x:v>
      </x:c>
      <x:c r="C3729" t="str">
        <x:v>GATE</x:v>
      </x:c>
      <x:c r="D3729" t="str">
        <x:v>release state mirrors governing ledger</x:v>
      </x:c>
      <x:c r="E3729" t="str">
        <x:f>'Release Gates'!I3689</x:f>
        <x:v>OPEN</x:v>
      </x:c>
      <x:c r="F3729" t="str">
        <x:f>IF('Release Gates'!C3689="PLANNING","PASS",IF('Release Gates'!C3689="PHYSICAL","OPEN","BLOCKED"))</x:f>
        <x:v>OPEN</x:v>
      </x:c>
      <x:c r="G3729" t="str">
        <x:v>equals</x:v>
      </x:c>
      <x:c r="H3729" t="str">
        <x:f>IF(E3729=F3729,"PASS","FAIL")</x:f>
        <x:v>PASS</x:v>
      </x:c>
    </x:row>
    <x:row r="3730">
      <x:c r="B3730" t="str">
        <x:v>A-03684</x:v>
      </x:c>
      <x:c r="C3730" t="str">
        <x:v>GATE</x:v>
      </x:c>
      <x:c r="D3730" t="str">
        <x:v>release state mirrors governing ledger</x:v>
      </x:c>
      <x:c r="E3730" t="str">
        <x:f>'Release Gates'!I3690</x:f>
        <x:v>OPEN</x:v>
      </x:c>
      <x:c r="F3730" t="str">
        <x:f>IF('Release Gates'!C3690="PLANNING","PASS",IF('Release Gates'!C3690="PHYSICAL","OPEN","BLOCKED"))</x:f>
        <x:v>OPEN</x:v>
      </x:c>
      <x:c r="G3730" t="str">
        <x:v>equals</x:v>
      </x:c>
      <x:c r="H3730" t="str">
        <x:f>IF(E3730=F3730,"PASS","FAIL")</x:f>
        <x:v>PASS</x:v>
      </x:c>
    </x:row>
    <x:row r="3731">
      <x:c r="B3731" t="str">
        <x:v>A-03685</x:v>
      </x:c>
      <x:c r="C3731" t="str">
        <x:v>GATE</x:v>
      </x:c>
      <x:c r="D3731" t="str">
        <x:v>release state mirrors governing ledger</x:v>
      </x:c>
      <x:c r="E3731" t="str">
        <x:f>'Release Gates'!I3691</x:f>
        <x:v>OPEN</x:v>
      </x:c>
      <x:c r="F3731" t="str">
        <x:f>IF('Release Gates'!C3691="PLANNING","PASS",IF('Release Gates'!C3691="PHYSICAL","OPEN","BLOCKED"))</x:f>
        <x:v>OPEN</x:v>
      </x:c>
      <x:c r="G3731" t="str">
        <x:v>equals</x:v>
      </x:c>
      <x:c r="H3731" t="str">
        <x:f>IF(E3731=F3731,"PASS","FAIL")</x:f>
        <x:v>PASS</x:v>
      </x:c>
    </x:row>
    <x:row r="3732">
      <x:c r="B3732" t="str">
        <x:v>A-03686</x:v>
      </x:c>
      <x:c r="C3732" t="str">
        <x:v>GATE</x:v>
      </x:c>
      <x:c r="D3732" t="str">
        <x:v>release state mirrors governing ledger</x:v>
      </x:c>
      <x:c r="E3732" t="str">
        <x:f>'Release Gates'!I3692</x:f>
        <x:v>OPEN</x:v>
      </x:c>
      <x:c r="F3732" t="str">
        <x:f>IF('Release Gates'!C3692="PLANNING","PASS",IF('Release Gates'!C3692="PHYSICAL","OPEN","BLOCKED"))</x:f>
        <x:v>OPEN</x:v>
      </x:c>
      <x:c r="G3732" t="str">
        <x:v>equals</x:v>
      </x:c>
      <x:c r="H3732" t="str">
        <x:f>IF(E3732=F3732,"PASS","FAIL")</x:f>
        <x:v>PASS</x:v>
      </x:c>
    </x:row>
    <x:row r="3733">
      <x:c r="B3733" t="str">
        <x:v>A-03687</x:v>
      </x:c>
      <x:c r="C3733" t="str">
        <x:v>GATE</x:v>
      </x:c>
      <x:c r="D3733" t="str">
        <x:v>release state mirrors governing ledger</x:v>
      </x:c>
      <x:c r="E3733" t="str">
        <x:f>'Release Gates'!I3693</x:f>
        <x:v>OPEN</x:v>
      </x:c>
      <x:c r="F3733" t="str">
        <x:f>IF('Release Gates'!C3693="PLANNING","PASS",IF('Release Gates'!C3693="PHYSICAL","OPEN","BLOCKED"))</x:f>
        <x:v>OPEN</x:v>
      </x:c>
      <x:c r="G3733" t="str">
        <x:v>equals</x:v>
      </x:c>
      <x:c r="H3733" t="str">
        <x:f>IF(E3733=F3733,"PASS","FAIL")</x:f>
        <x:v>PASS</x:v>
      </x:c>
    </x:row>
    <x:row r="3734">
      <x:c r="B3734" t="str">
        <x:v>A-03688</x:v>
      </x:c>
      <x:c r="C3734" t="str">
        <x:v>GATE</x:v>
      </x:c>
      <x:c r="D3734" t="str">
        <x:v>release state mirrors governing ledger</x:v>
      </x:c>
      <x:c r="E3734" t="str">
        <x:f>'Release Gates'!I3694</x:f>
        <x:v>OPEN</x:v>
      </x:c>
      <x:c r="F3734" t="str">
        <x:f>IF('Release Gates'!C3694="PLANNING","PASS",IF('Release Gates'!C3694="PHYSICAL","OPEN","BLOCKED"))</x:f>
        <x:v>OPEN</x:v>
      </x:c>
      <x:c r="G3734" t="str">
        <x:v>equals</x:v>
      </x:c>
      <x:c r="H3734" t="str">
        <x:f>IF(E3734=F3734,"PASS","FAIL")</x:f>
        <x:v>PASS</x:v>
      </x:c>
    </x:row>
    <x:row r="3735">
      <x:c r="B3735" t="str">
        <x:v>A-03689</x:v>
      </x:c>
      <x:c r="C3735" t="str">
        <x:v>GATE</x:v>
      </x:c>
      <x:c r="D3735" t="str">
        <x:v>release state mirrors governing ledger</x:v>
      </x:c>
      <x:c r="E3735" t="str">
        <x:f>'Release Gates'!I3695</x:f>
        <x:v>OPEN</x:v>
      </x:c>
      <x:c r="F3735" t="str">
        <x:f>IF('Release Gates'!C3695="PLANNING","PASS",IF('Release Gates'!C3695="PHYSICAL","OPEN","BLOCKED"))</x:f>
        <x:v>OPEN</x:v>
      </x:c>
      <x:c r="G3735" t="str">
        <x:v>equals</x:v>
      </x:c>
      <x:c r="H3735" t="str">
        <x:f>IF(E3735=F3735,"PASS","FAIL")</x:f>
        <x:v>PASS</x:v>
      </x:c>
    </x:row>
    <x:row r="3736">
      <x:c r="B3736" t="str">
        <x:v>A-03690</x:v>
      </x:c>
      <x:c r="C3736" t="str">
        <x:v>GATE</x:v>
      </x:c>
      <x:c r="D3736" t="str">
        <x:v>release state mirrors governing ledger</x:v>
      </x:c>
      <x:c r="E3736" t="str">
        <x:f>'Release Gates'!I3696</x:f>
        <x:v>OPEN</x:v>
      </x:c>
      <x:c r="F3736" t="str">
        <x:f>IF('Release Gates'!C3696="PLANNING","PASS",IF('Release Gates'!C3696="PHYSICAL","OPEN","BLOCKED"))</x:f>
        <x:v>OPEN</x:v>
      </x:c>
      <x:c r="G3736" t="str">
        <x:v>equals</x:v>
      </x:c>
      <x:c r="H3736" t="str">
        <x:f>IF(E3736=F3736,"PASS","FAIL")</x:f>
        <x:v>PASS</x:v>
      </x:c>
    </x:row>
    <x:row r="3737">
      <x:c r="B3737" t="str">
        <x:v>A-03691</x:v>
      </x:c>
      <x:c r="C3737" t="str">
        <x:v>GATE</x:v>
      </x:c>
      <x:c r="D3737" t="str">
        <x:v>release state mirrors governing ledger</x:v>
      </x:c>
      <x:c r="E3737" t="str">
        <x:f>'Release Gates'!I3697</x:f>
        <x:v>OPEN</x:v>
      </x:c>
      <x:c r="F3737" t="str">
        <x:f>IF('Release Gates'!C3697="PLANNING","PASS",IF('Release Gates'!C3697="PHYSICAL","OPEN","BLOCKED"))</x:f>
        <x:v>OPEN</x:v>
      </x:c>
      <x:c r="G3737" t="str">
        <x:v>equals</x:v>
      </x:c>
      <x:c r="H3737" t="str">
        <x:f>IF(E3737=F3737,"PASS","FAIL")</x:f>
        <x:v>PASS</x:v>
      </x:c>
    </x:row>
    <x:row r="3738">
      <x:c r="B3738" t="str">
        <x:v>A-03692</x:v>
      </x:c>
      <x:c r="C3738" t="str">
        <x:v>GATE</x:v>
      </x:c>
      <x:c r="D3738" t="str">
        <x:v>release state mirrors governing ledger</x:v>
      </x:c>
      <x:c r="E3738" t="str">
        <x:f>'Release Gates'!I3698</x:f>
        <x:v>OPEN</x:v>
      </x:c>
      <x:c r="F3738" t="str">
        <x:f>IF('Release Gates'!C3698="PLANNING","PASS",IF('Release Gates'!C3698="PHYSICAL","OPEN","BLOCKED"))</x:f>
        <x:v>OPEN</x:v>
      </x:c>
      <x:c r="G3738" t="str">
        <x:v>equals</x:v>
      </x:c>
      <x:c r="H3738" t="str">
        <x:f>IF(E3738=F3738,"PASS","FAIL")</x:f>
        <x:v>PASS</x:v>
      </x:c>
    </x:row>
    <x:row r="3739">
      <x:c r="B3739" t="str">
        <x:v>A-03693</x:v>
      </x:c>
      <x:c r="C3739" t="str">
        <x:v>GATE</x:v>
      </x:c>
      <x:c r="D3739" t="str">
        <x:v>release state mirrors governing ledger</x:v>
      </x:c>
      <x:c r="E3739" t="str">
        <x:f>'Release Gates'!I3699</x:f>
        <x:v>OPEN</x:v>
      </x:c>
      <x:c r="F3739" t="str">
        <x:f>IF('Release Gates'!C3699="PLANNING","PASS",IF('Release Gates'!C3699="PHYSICAL","OPEN","BLOCKED"))</x:f>
        <x:v>OPEN</x:v>
      </x:c>
      <x:c r="G3739" t="str">
        <x:v>equals</x:v>
      </x:c>
      <x:c r="H3739" t="str">
        <x:f>IF(E3739=F3739,"PASS","FAIL")</x:f>
        <x:v>PASS</x:v>
      </x:c>
    </x:row>
    <x:row r="3740">
      <x:c r="B3740" t="str">
        <x:v>A-03694</x:v>
      </x:c>
      <x:c r="C3740" t="str">
        <x:v>GATE</x:v>
      </x:c>
      <x:c r="D3740" t="str">
        <x:v>release state mirrors governing ledger</x:v>
      </x:c>
      <x:c r="E3740" t="str">
        <x:f>'Release Gates'!I3700</x:f>
        <x:v>OPEN</x:v>
      </x:c>
      <x:c r="F3740" t="str">
        <x:f>IF('Release Gates'!C3700="PLANNING","PASS",IF('Release Gates'!C3700="PHYSICAL","OPEN","BLOCKED"))</x:f>
        <x:v>OPEN</x:v>
      </x:c>
      <x:c r="G3740" t="str">
        <x:v>equals</x:v>
      </x:c>
      <x:c r="H3740" t="str">
        <x:f>IF(E3740=F3740,"PASS","FAIL")</x:f>
        <x:v>PASS</x:v>
      </x:c>
    </x:row>
    <x:row r="3741">
      <x:c r="B3741" t="str">
        <x:v>A-03695</x:v>
      </x:c>
      <x:c r="C3741" t="str">
        <x:v>GATE</x:v>
      </x:c>
      <x:c r="D3741" t="str">
        <x:v>release state mirrors governing ledger</x:v>
      </x:c>
      <x:c r="E3741" t="str">
        <x:f>'Release Gates'!I3701</x:f>
        <x:v>OPEN</x:v>
      </x:c>
      <x:c r="F3741" t="str">
        <x:f>IF('Release Gates'!C3701="PLANNING","PASS",IF('Release Gates'!C3701="PHYSICAL","OPEN","BLOCKED"))</x:f>
        <x:v>OPEN</x:v>
      </x:c>
      <x:c r="G3741" t="str">
        <x:v>equals</x:v>
      </x:c>
      <x:c r="H3741" t="str">
        <x:f>IF(E3741=F3741,"PASS","FAIL")</x:f>
        <x:v>PASS</x:v>
      </x:c>
    </x:row>
    <x:row r="3742">
      <x:c r="B3742" t="str">
        <x:v>A-03696</x:v>
      </x:c>
      <x:c r="C3742" t="str">
        <x:v>GATE</x:v>
      </x:c>
      <x:c r="D3742" t="str">
        <x:v>release state mirrors governing ledger</x:v>
      </x:c>
      <x:c r="E3742" t="str">
        <x:f>'Release Gates'!I3702</x:f>
        <x:v>OPEN</x:v>
      </x:c>
      <x:c r="F3742" t="str">
        <x:f>IF('Release Gates'!C3702="PLANNING","PASS",IF('Release Gates'!C3702="PHYSICAL","OPEN","BLOCKED"))</x:f>
        <x:v>OPEN</x:v>
      </x:c>
      <x:c r="G3742" t="str">
        <x:v>equals</x:v>
      </x:c>
      <x:c r="H3742" t="str">
        <x:f>IF(E3742=F3742,"PASS","FAIL")</x:f>
        <x:v>PASS</x:v>
      </x:c>
    </x:row>
    <x:row r="3743">
      <x:c r="B3743" t="str">
        <x:v>A-03697</x:v>
      </x:c>
      <x:c r="C3743" t="str">
        <x:v>GATE</x:v>
      </x:c>
      <x:c r="D3743" t="str">
        <x:v>release state mirrors governing ledger</x:v>
      </x:c>
      <x:c r="E3743" t="str">
        <x:f>'Release Gates'!I3703</x:f>
        <x:v>OPEN</x:v>
      </x:c>
      <x:c r="F3743" t="str">
        <x:f>IF('Release Gates'!C3703="PLANNING","PASS",IF('Release Gates'!C3703="PHYSICAL","OPEN","BLOCKED"))</x:f>
        <x:v>OPEN</x:v>
      </x:c>
      <x:c r="G3743" t="str">
        <x:v>equals</x:v>
      </x:c>
      <x:c r="H3743" t="str">
        <x:f>IF(E3743=F3743,"PASS","FAIL")</x:f>
        <x:v>PASS</x:v>
      </x:c>
    </x:row>
    <x:row r="3744">
      <x:c r="B3744" t="str">
        <x:v>A-03698</x:v>
      </x:c>
      <x:c r="C3744" t="str">
        <x:v>GATE</x:v>
      </x:c>
      <x:c r="D3744" t="str">
        <x:v>release state mirrors governing ledger</x:v>
      </x:c>
      <x:c r="E3744" t="str">
        <x:f>'Release Gates'!I3704</x:f>
        <x:v>OPEN</x:v>
      </x:c>
      <x:c r="F3744" t="str">
        <x:f>IF('Release Gates'!C3704="PLANNING","PASS",IF('Release Gates'!C3704="PHYSICAL","OPEN","BLOCKED"))</x:f>
        <x:v>OPEN</x:v>
      </x:c>
      <x:c r="G3744" t="str">
        <x:v>equals</x:v>
      </x:c>
      <x:c r="H3744" t="str">
        <x:f>IF(E3744=F3744,"PASS","FAIL")</x:f>
        <x:v>PASS</x:v>
      </x:c>
    </x:row>
    <x:row r="3745">
      <x:c r="B3745" t="str">
        <x:v>A-03699</x:v>
      </x:c>
      <x:c r="C3745" t="str">
        <x:v>GATE</x:v>
      </x:c>
      <x:c r="D3745" t="str">
        <x:v>release state mirrors governing ledger</x:v>
      </x:c>
      <x:c r="E3745" t="str">
        <x:f>'Release Gates'!I3705</x:f>
        <x:v>OPEN</x:v>
      </x:c>
      <x:c r="F3745" t="str">
        <x:f>IF('Release Gates'!C3705="PLANNING","PASS",IF('Release Gates'!C3705="PHYSICAL","OPEN","BLOCKED"))</x:f>
        <x:v>OPEN</x:v>
      </x:c>
      <x:c r="G3745" t="str">
        <x:v>equals</x:v>
      </x:c>
      <x:c r="H3745" t="str">
        <x:f>IF(E3745=F3745,"PASS","FAIL")</x:f>
        <x:v>PASS</x:v>
      </x:c>
    </x:row>
    <x:row r="3746">
      <x:c r="B3746" t="str">
        <x:v>A-03700</x:v>
      </x:c>
      <x:c r="C3746" t="str">
        <x:v>GATE</x:v>
      </x:c>
      <x:c r="D3746" t="str">
        <x:v>release state mirrors governing ledger</x:v>
      </x:c>
      <x:c r="E3746" t="str">
        <x:f>'Release Gates'!I3706</x:f>
        <x:v>OPEN</x:v>
      </x:c>
      <x:c r="F3746" t="str">
        <x:f>IF('Release Gates'!C3706="PLANNING","PASS",IF('Release Gates'!C3706="PHYSICAL","OPEN","BLOCKED"))</x:f>
        <x:v>OPEN</x:v>
      </x:c>
      <x:c r="G3746" t="str">
        <x:v>equals</x:v>
      </x:c>
      <x:c r="H3746" t="str">
        <x:f>IF(E3746=F3746,"PASS","FAIL")</x:f>
        <x:v>PASS</x:v>
      </x:c>
    </x:row>
    <x:row r="3747">
      <x:c r="B3747" t="str">
        <x:v>A-03701</x:v>
      </x:c>
      <x:c r="C3747" t="str">
        <x:v>GATE</x:v>
      </x:c>
      <x:c r="D3747" t="str">
        <x:v>release state mirrors governing ledger</x:v>
      </x:c>
      <x:c r="E3747" t="str">
        <x:f>'Release Gates'!I3707</x:f>
        <x:v>OPEN</x:v>
      </x:c>
      <x:c r="F3747" t="str">
        <x:f>IF('Release Gates'!C3707="PLANNING","PASS",IF('Release Gates'!C3707="PHYSICAL","OPEN","BLOCKED"))</x:f>
        <x:v>OPEN</x:v>
      </x:c>
      <x:c r="G3747" t="str">
        <x:v>equals</x:v>
      </x:c>
      <x:c r="H3747" t="str">
        <x:f>IF(E3747=F3747,"PASS","FAIL")</x:f>
        <x:v>PASS</x:v>
      </x:c>
    </x:row>
    <x:row r="3748">
      <x:c r="B3748" t="str">
        <x:v>A-03702</x:v>
      </x:c>
      <x:c r="C3748" t="str">
        <x:v>GATE</x:v>
      </x:c>
      <x:c r="D3748" t="str">
        <x:v>release state mirrors governing ledger</x:v>
      </x:c>
      <x:c r="E3748" t="str">
        <x:f>'Release Gates'!I3708</x:f>
        <x:v>OPEN</x:v>
      </x:c>
      <x:c r="F3748" t="str">
        <x:f>IF('Release Gates'!C3708="PLANNING","PASS",IF('Release Gates'!C3708="PHYSICAL","OPEN","BLOCKED"))</x:f>
        <x:v>OPEN</x:v>
      </x:c>
      <x:c r="G3748" t="str">
        <x:v>equals</x:v>
      </x:c>
      <x:c r="H3748" t="str">
        <x:f>IF(E3748=F3748,"PASS","FAIL")</x:f>
        <x:v>PASS</x:v>
      </x:c>
    </x:row>
    <x:row r="3749">
      <x:c r="B3749" t="str">
        <x:v>A-03703</x:v>
      </x:c>
      <x:c r="C3749" t="str">
        <x:v>GATE</x:v>
      </x:c>
      <x:c r="D3749" t="str">
        <x:v>release state mirrors governing ledger</x:v>
      </x:c>
      <x:c r="E3749" t="str">
        <x:f>'Release Gates'!I3709</x:f>
        <x:v>OPEN</x:v>
      </x:c>
      <x:c r="F3749" t="str">
        <x:f>IF('Release Gates'!C3709="PLANNING","PASS",IF('Release Gates'!C3709="PHYSICAL","OPEN","BLOCKED"))</x:f>
        <x:v>OPEN</x:v>
      </x:c>
      <x:c r="G3749" t="str">
        <x:v>equals</x:v>
      </x:c>
      <x:c r="H3749" t="str">
        <x:f>IF(E3749=F3749,"PASS","FAIL")</x:f>
        <x:v>PASS</x:v>
      </x:c>
    </x:row>
    <x:row r="3750">
      <x:c r="B3750" t="str">
        <x:v>A-03704</x:v>
      </x:c>
      <x:c r="C3750" t="str">
        <x:v>GATE</x:v>
      </x:c>
      <x:c r="D3750" t="str">
        <x:v>release state mirrors governing ledger</x:v>
      </x:c>
      <x:c r="E3750" t="str">
        <x:f>'Release Gates'!I3710</x:f>
        <x:v>OPEN</x:v>
      </x:c>
      <x:c r="F3750" t="str">
        <x:f>IF('Release Gates'!C3710="PLANNING","PASS",IF('Release Gates'!C3710="PHYSICAL","OPEN","BLOCKED"))</x:f>
        <x:v>OPEN</x:v>
      </x:c>
      <x:c r="G3750" t="str">
        <x:v>equals</x:v>
      </x:c>
      <x:c r="H3750" t="str">
        <x:f>IF(E3750=F3750,"PASS","FAIL")</x:f>
        <x:v>PASS</x:v>
      </x:c>
    </x:row>
    <x:row r="3751">
      <x:c r="B3751" t="str">
        <x:v>A-03705</x:v>
      </x:c>
      <x:c r="C3751" t="str">
        <x:v>GATE</x:v>
      </x:c>
      <x:c r="D3751" t="str">
        <x:v>release state mirrors governing ledger</x:v>
      </x:c>
      <x:c r="E3751" t="str">
        <x:f>'Release Gates'!I3711</x:f>
        <x:v>OPEN</x:v>
      </x:c>
      <x:c r="F3751" t="str">
        <x:f>IF('Release Gates'!C3711="PLANNING","PASS",IF('Release Gates'!C3711="PHYSICAL","OPEN","BLOCKED"))</x:f>
        <x:v>OPEN</x:v>
      </x:c>
      <x:c r="G3751" t="str">
        <x:v>equals</x:v>
      </x:c>
      <x:c r="H3751" t="str">
        <x:f>IF(E3751=F3751,"PASS","FAIL")</x:f>
        <x:v>PASS</x:v>
      </x:c>
    </x:row>
    <x:row r="3752">
      <x:c r="B3752" t="str">
        <x:v>A-03706</x:v>
      </x:c>
      <x:c r="C3752" t="str">
        <x:v>GATE</x:v>
      </x:c>
      <x:c r="D3752" t="str">
        <x:v>release state mirrors governing ledger</x:v>
      </x:c>
      <x:c r="E3752" t="str">
        <x:f>'Release Gates'!I3712</x:f>
        <x:v>OPEN</x:v>
      </x:c>
      <x:c r="F3752" t="str">
        <x:f>IF('Release Gates'!C3712="PLANNING","PASS",IF('Release Gates'!C3712="PHYSICAL","OPEN","BLOCKED"))</x:f>
        <x:v>OPEN</x:v>
      </x:c>
      <x:c r="G3752" t="str">
        <x:v>equals</x:v>
      </x:c>
      <x:c r="H3752" t="str">
        <x:f>IF(E3752=F3752,"PASS","FAIL")</x:f>
        <x:v>PASS</x:v>
      </x:c>
    </x:row>
    <x:row r="3753">
      <x:c r="B3753" t="str">
        <x:v>A-03707</x:v>
      </x:c>
      <x:c r="C3753" t="str">
        <x:v>GATE</x:v>
      </x:c>
      <x:c r="D3753" t="str">
        <x:v>release state mirrors governing ledger</x:v>
      </x:c>
      <x:c r="E3753" t="str">
        <x:f>'Release Gates'!I3713</x:f>
        <x:v>OPEN</x:v>
      </x:c>
      <x:c r="F3753" t="str">
        <x:f>IF('Release Gates'!C3713="PLANNING","PASS",IF('Release Gates'!C3713="PHYSICAL","OPEN","BLOCKED"))</x:f>
        <x:v>OPEN</x:v>
      </x:c>
      <x:c r="G3753" t="str">
        <x:v>equals</x:v>
      </x:c>
      <x:c r="H3753" t="str">
        <x:f>IF(E3753=F3753,"PASS","FAIL")</x:f>
        <x:v>PASS</x:v>
      </x:c>
    </x:row>
    <x:row r="3754">
      <x:c r="B3754" t="str">
        <x:v>A-03708</x:v>
      </x:c>
      <x:c r="C3754" t="str">
        <x:v>GATE</x:v>
      </x:c>
      <x:c r="D3754" t="str">
        <x:v>release state mirrors governing ledger</x:v>
      </x:c>
      <x:c r="E3754" t="str">
        <x:f>'Release Gates'!I3714</x:f>
        <x:v>OPEN</x:v>
      </x:c>
      <x:c r="F3754" t="str">
        <x:f>IF('Release Gates'!C3714="PLANNING","PASS",IF('Release Gates'!C3714="PHYSICAL","OPEN","BLOCKED"))</x:f>
        <x:v>OPEN</x:v>
      </x:c>
      <x:c r="G3754" t="str">
        <x:v>equals</x:v>
      </x:c>
      <x:c r="H3754" t="str">
        <x:f>IF(E3754=F3754,"PASS","FAIL")</x:f>
        <x:v>PASS</x:v>
      </x:c>
    </x:row>
    <x:row r="3755">
      <x:c r="B3755" t="str">
        <x:v>A-03709</x:v>
      </x:c>
      <x:c r="C3755" t="str">
        <x:v>GATE</x:v>
      </x:c>
      <x:c r="D3755" t="str">
        <x:v>release state mirrors governing ledger</x:v>
      </x:c>
      <x:c r="E3755" t="str">
        <x:f>'Release Gates'!I3715</x:f>
        <x:v>OPEN</x:v>
      </x:c>
      <x:c r="F3755" t="str">
        <x:f>IF('Release Gates'!C3715="PLANNING","PASS",IF('Release Gates'!C3715="PHYSICAL","OPEN","BLOCKED"))</x:f>
        <x:v>OPEN</x:v>
      </x:c>
      <x:c r="G3755" t="str">
        <x:v>equals</x:v>
      </x:c>
      <x:c r="H3755" t="str">
        <x:f>IF(E3755=F3755,"PASS","FAIL")</x:f>
        <x:v>PASS</x:v>
      </x:c>
    </x:row>
    <x:row r="3756">
      <x:c r="B3756" t="str">
        <x:v>A-03710</x:v>
      </x:c>
      <x:c r="C3756" t="str">
        <x:v>GATE</x:v>
      </x:c>
      <x:c r="D3756" t="str">
        <x:v>release state mirrors governing ledger</x:v>
      </x:c>
      <x:c r="E3756" t="str">
        <x:f>'Release Gates'!I3716</x:f>
        <x:v>OPEN</x:v>
      </x:c>
      <x:c r="F3756" t="str">
        <x:f>IF('Release Gates'!C3716="PLANNING","PASS",IF('Release Gates'!C3716="PHYSICAL","OPEN","BLOCKED"))</x:f>
        <x:v>OPEN</x:v>
      </x:c>
      <x:c r="G3756" t="str">
        <x:v>equals</x:v>
      </x:c>
      <x:c r="H3756" t="str">
        <x:f>IF(E3756=F3756,"PASS","FAIL")</x:f>
        <x:v>PASS</x:v>
      </x:c>
    </x:row>
    <x:row r="3757">
      <x:c r="B3757" t="str">
        <x:v>A-03711</x:v>
      </x:c>
      <x:c r="C3757" t="str">
        <x:v>GATE</x:v>
      </x:c>
      <x:c r="D3757" t="str">
        <x:v>release state mirrors governing ledger</x:v>
      </x:c>
      <x:c r="E3757" t="str">
        <x:f>'Release Gates'!I3717</x:f>
        <x:v>OPEN</x:v>
      </x:c>
      <x:c r="F3757" t="str">
        <x:f>IF('Release Gates'!C3717="PLANNING","PASS",IF('Release Gates'!C3717="PHYSICAL","OPEN","BLOCKED"))</x:f>
        <x:v>OPEN</x:v>
      </x:c>
      <x:c r="G3757" t="str">
        <x:v>equals</x:v>
      </x:c>
      <x:c r="H3757" t="str">
        <x:f>IF(E3757=F3757,"PASS","FAIL")</x:f>
        <x:v>PASS</x:v>
      </x:c>
    </x:row>
    <x:row r="3758">
      <x:c r="B3758" t="str">
        <x:v>A-03712</x:v>
      </x:c>
      <x:c r="C3758" t="str">
        <x:v>GATE</x:v>
      </x:c>
      <x:c r="D3758" t="str">
        <x:v>release state mirrors governing ledger</x:v>
      </x:c>
      <x:c r="E3758" t="str">
        <x:f>'Release Gates'!I3718</x:f>
        <x:v>OPEN</x:v>
      </x:c>
      <x:c r="F3758" t="str">
        <x:f>IF('Release Gates'!C3718="PLANNING","PASS",IF('Release Gates'!C3718="PHYSICAL","OPEN","BLOCKED"))</x:f>
        <x:v>OPEN</x:v>
      </x:c>
      <x:c r="G3758" t="str">
        <x:v>equals</x:v>
      </x:c>
      <x:c r="H3758" t="str">
        <x:f>IF(E3758=F3758,"PASS","FAIL")</x:f>
        <x:v>PASS</x:v>
      </x:c>
    </x:row>
    <x:row r="3759">
      <x:c r="B3759" t="str">
        <x:v>A-03713</x:v>
      </x:c>
      <x:c r="C3759" t="str">
        <x:v>GATE</x:v>
      </x:c>
      <x:c r="D3759" t="str">
        <x:v>release state mirrors governing ledger</x:v>
      </x:c>
      <x:c r="E3759" t="str">
        <x:f>'Release Gates'!I3719</x:f>
        <x:v>OPEN</x:v>
      </x:c>
      <x:c r="F3759" t="str">
        <x:f>IF('Release Gates'!C3719="PLANNING","PASS",IF('Release Gates'!C3719="PHYSICAL","OPEN","BLOCKED"))</x:f>
        <x:v>OPEN</x:v>
      </x:c>
      <x:c r="G3759" t="str">
        <x:v>equals</x:v>
      </x:c>
      <x:c r="H3759" t="str">
        <x:f>IF(E3759=F3759,"PASS","FAIL")</x:f>
        <x:v>PASS</x:v>
      </x:c>
    </x:row>
    <x:row r="3760">
      <x:c r="B3760" t="str">
        <x:v>A-03714</x:v>
      </x:c>
      <x:c r="C3760" t="str">
        <x:v>GATE</x:v>
      </x:c>
      <x:c r="D3760" t="str">
        <x:v>release state mirrors governing ledger</x:v>
      </x:c>
      <x:c r="E3760" t="str">
        <x:f>'Release Gates'!I3720</x:f>
        <x:v>OPEN</x:v>
      </x:c>
      <x:c r="F3760" t="str">
        <x:f>IF('Release Gates'!C3720="PLANNING","PASS",IF('Release Gates'!C3720="PHYSICAL","OPEN","BLOCKED"))</x:f>
        <x:v>OPEN</x:v>
      </x:c>
      <x:c r="G3760" t="str">
        <x:v>equals</x:v>
      </x:c>
      <x:c r="H3760" t="str">
        <x:f>IF(E3760=F3760,"PASS","FAIL")</x:f>
        <x:v>PASS</x:v>
      </x:c>
    </x:row>
    <x:row r="3761">
      <x:c r="B3761" t="str">
        <x:v>A-03715</x:v>
      </x:c>
      <x:c r="C3761" t="str">
        <x:v>GATE</x:v>
      </x:c>
      <x:c r="D3761" t="str">
        <x:v>release state mirrors governing ledger</x:v>
      </x:c>
      <x:c r="E3761" t="str">
        <x:f>'Release Gates'!I3721</x:f>
        <x:v>OPEN</x:v>
      </x:c>
      <x:c r="F3761" t="str">
        <x:f>IF('Release Gates'!C3721="PLANNING","PASS",IF('Release Gates'!C3721="PHYSICAL","OPEN","BLOCKED"))</x:f>
        <x:v>OPEN</x:v>
      </x:c>
      <x:c r="G3761" t="str">
        <x:v>equals</x:v>
      </x:c>
      <x:c r="H3761" t="str">
        <x:f>IF(E3761=F3761,"PASS","FAIL")</x:f>
        <x:v>PASS</x:v>
      </x:c>
    </x:row>
    <x:row r="3762">
      <x:c r="B3762" t="str">
        <x:v>A-03716</x:v>
      </x:c>
      <x:c r="C3762" t="str">
        <x:v>GATE</x:v>
      </x:c>
      <x:c r="D3762" t="str">
        <x:v>release state mirrors governing ledger</x:v>
      </x:c>
      <x:c r="E3762" t="str">
        <x:f>'Release Gates'!I3722</x:f>
        <x:v>OPEN</x:v>
      </x:c>
      <x:c r="F3762" t="str">
        <x:f>IF('Release Gates'!C3722="PLANNING","PASS",IF('Release Gates'!C3722="PHYSICAL","OPEN","BLOCKED"))</x:f>
        <x:v>OPEN</x:v>
      </x:c>
      <x:c r="G3762" t="str">
        <x:v>equals</x:v>
      </x:c>
      <x:c r="H3762" t="str">
        <x:f>IF(E3762=F3762,"PASS","FAIL")</x:f>
        <x:v>PASS</x:v>
      </x:c>
    </x:row>
    <x:row r="3763">
      <x:c r="B3763" t="str">
        <x:v>A-03717</x:v>
      </x:c>
      <x:c r="C3763" t="str">
        <x:v>GATE</x:v>
      </x:c>
      <x:c r="D3763" t="str">
        <x:v>release state mirrors governing ledger</x:v>
      </x:c>
      <x:c r="E3763" t="str">
        <x:f>'Release Gates'!I3723</x:f>
        <x:v>OPEN</x:v>
      </x:c>
      <x:c r="F3763" t="str">
        <x:f>IF('Release Gates'!C3723="PLANNING","PASS",IF('Release Gates'!C3723="PHYSICAL","OPEN","BLOCKED"))</x:f>
        <x:v>OPEN</x:v>
      </x:c>
      <x:c r="G3763" t="str">
        <x:v>equals</x:v>
      </x:c>
      <x:c r="H3763" t="str">
        <x:f>IF(E3763=F3763,"PASS","FAIL")</x:f>
        <x:v>PASS</x:v>
      </x:c>
    </x:row>
    <x:row r="3764">
      <x:c r="B3764" t="str">
        <x:v>A-03718</x:v>
      </x:c>
      <x:c r="C3764" t="str">
        <x:v>GATE</x:v>
      </x:c>
      <x:c r="D3764" t="str">
        <x:v>release state mirrors governing ledger</x:v>
      </x:c>
      <x:c r="E3764" t="str">
        <x:f>'Release Gates'!I3724</x:f>
        <x:v>OPEN</x:v>
      </x:c>
      <x:c r="F3764" t="str">
        <x:f>IF('Release Gates'!C3724="PLANNING","PASS",IF('Release Gates'!C3724="PHYSICAL","OPEN","BLOCKED"))</x:f>
        <x:v>OPEN</x:v>
      </x:c>
      <x:c r="G3764" t="str">
        <x:v>equals</x:v>
      </x:c>
      <x:c r="H3764" t="str">
        <x:f>IF(E3764=F3764,"PASS","FAIL")</x:f>
        <x:v>PASS</x:v>
      </x:c>
    </x:row>
    <x:row r="3765">
      <x:c r="B3765" t="str">
        <x:v>A-03719</x:v>
      </x:c>
      <x:c r="C3765" t="str">
        <x:v>GATE</x:v>
      </x:c>
      <x:c r="D3765" t="str">
        <x:v>release state mirrors governing ledger</x:v>
      </x:c>
      <x:c r="E3765" t="str">
        <x:f>'Release Gates'!I3725</x:f>
        <x:v>OPEN</x:v>
      </x:c>
      <x:c r="F3765" t="str">
        <x:f>IF('Release Gates'!C3725="PLANNING","PASS",IF('Release Gates'!C3725="PHYSICAL","OPEN","BLOCKED"))</x:f>
        <x:v>OPEN</x:v>
      </x:c>
      <x:c r="G3765" t="str">
        <x:v>equals</x:v>
      </x:c>
      <x:c r="H3765" t="str">
        <x:f>IF(E3765=F3765,"PASS","FAIL")</x:f>
        <x:v>PASS</x:v>
      </x:c>
    </x:row>
    <x:row r="3766">
      <x:c r="B3766" t="str">
        <x:v>A-03720</x:v>
      </x:c>
      <x:c r="C3766" t="str">
        <x:v>GATE</x:v>
      </x:c>
      <x:c r="D3766" t="str">
        <x:v>release state mirrors governing ledger</x:v>
      </x:c>
      <x:c r="E3766" t="str">
        <x:f>'Release Gates'!I3726</x:f>
        <x:v>OPEN</x:v>
      </x:c>
      <x:c r="F3766" t="str">
        <x:f>IF('Release Gates'!C3726="PLANNING","PASS",IF('Release Gates'!C3726="PHYSICAL","OPEN","BLOCKED"))</x:f>
        <x:v>OPEN</x:v>
      </x:c>
      <x:c r="G3766" t="str">
        <x:v>equals</x:v>
      </x:c>
      <x:c r="H3766" t="str">
        <x:f>IF(E3766=F3766,"PASS","FAIL")</x:f>
        <x:v>PASS</x:v>
      </x:c>
    </x:row>
    <x:row r="3767">
      <x:c r="B3767" t="str">
        <x:v>A-03721</x:v>
      </x:c>
      <x:c r="C3767" t="str">
        <x:v>GATE</x:v>
      </x:c>
      <x:c r="D3767" t="str">
        <x:v>release state mirrors governing ledger</x:v>
      </x:c>
      <x:c r="E3767" t="str">
        <x:f>'Release Gates'!I3727</x:f>
        <x:v>OPEN</x:v>
      </x:c>
      <x:c r="F3767" t="str">
        <x:f>IF('Release Gates'!C3727="PLANNING","PASS",IF('Release Gates'!C3727="PHYSICAL","OPEN","BLOCKED"))</x:f>
        <x:v>OPEN</x:v>
      </x:c>
      <x:c r="G3767" t="str">
        <x:v>equals</x:v>
      </x:c>
      <x:c r="H3767" t="str">
        <x:f>IF(E3767=F3767,"PASS","FAIL")</x:f>
        <x:v>PASS</x:v>
      </x:c>
    </x:row>
    <x:row r="3768">
      <x:c r="B3768" t="str">
        <x:v>A-03722</x:v>
      </x:c>
      <x:c r="C3768" t="str">
        <x:v>GATE</x:v>
      </x:c>
      <x:c r="D3768" t="str">
        <x:v>release state mirrors governing ledger</x:v>
      </x:c>
      <x:c r="E3768" t="str">
        <x:f>'Release Gates'!I3728</x:f>
        <x:v>OPEN</x:v>
      </x:c>
      <x:c r="F3768" t="str">
        <x:f>IF('Release Gates'!C3728="PLANNING","PASS",IF('Release Gates'!C3728="PHYSICAL","OPEN","BLOCKED"))</x:f>
        <x:v>OPEN</x:v>
      </x:c>
      <x:c r="G3768" t="str">
        <x:v>equals</x:v>
      </x:c>
      <x:c r="H3768" t="str">
        <x:f>IF(E3768=F3768,"PASS","FAIL")</x:f>
        <x:v>PASS</x:v>
      </x:c>
    </x:row>
    <x:row r="3769">
      <x:c r="B3769" t="str">
        <x:v>A-03723</x:v>
      </x:c>
      <x:c r="C3769" t="str">
        <x:v>GATE</x:v>
      </x:c>
      <x:c r="D3769" t="str">
        <x:v>release state mirrors governing ledger</x:v>
      </x:c>
      <x:c r="E3769" t="str">
        <x:f>'Release Gates'!I3729</x:f>
        <x:v>OPEN</x:v>
      </x:c>
      <x:c r="F3769" t="str">
        <x:f>IF('Release Gates'!C3729="PLANNING","PASS",IF('Release Gates'!C3729="PHYSICAL","OPEN","BLOCKED"))</x:f>
        <x:v>OPEN</x:v>
      </x:c>
      <x:c r="G3769" t="str">
        <x:v>equals</x:v>
      </x:c>
      <x:c r="H3769" t="str">
        <x:f>IF(E3769=F3769,"PASS","FAIL")</x:f>
        <x:v>PASS</x:v>
      </x:c>
    </x:row>
    <x:row r="3770">
      <x:c r="B3770" t="str">
        <x:v>A-03724</x:v>
      </x:c>
      <x:c r="C3770" t="str">
        <x:v>GATE</x:v>
      </x:c>
      <x:c r="D3770" t="str">
        <x:v>release state mirrors governing ledger</x:v>
      </x:c>
      <x:c r="E3770" t="str">
        <x:f>'Release Gates'!I3730</x:f>
        <x:v>OPEN</x:v>
      </x:c>
      <x:c r="F3770" t="str">
        <x:f>IF('Release Gates'!C3730="PLANNING","PASS",IF('Release Gates'!C3730="PHYSICAL","OPEN","BLOCKED"))</x:f>
        <x:v>OPEN</x:v>
      </x:c>
      <x:c r="G3770" t="str">
        <x:v>equals</x:v>
      </x:c>
      <x:c r="H3770" t="str">
        <x:f>IF(E3770=F3770,"PASS","FAIL")</x:f>
        <x:v>PASS</x:v>
      </x:c>
    </x:row>
    <x:row r="3771">
      <x:c r="B3771" t="str">
        <x:v>A-03725</x:v>
      </x:c>
      <x:c r="C3771" t="str">
        <x:v>GATE</x:v>
      </x:c>
      <x:c r="D3771" t="str">
        <x:v>release state mirrors governing ledger</x:v>
      </x:c>
      <x:c r="E3771" t="str">
        <x:f>'Release Gates'!I3731</x:f>
        <x:v>OPEN</x:v>
      </x:c>
      <x:c r="F3771" t="str">
        <x:f>IF('Release Gates'!C3731="PLANNING","PASS",IF('Release Gates'!C3731="PHYSICAL","OPEN","BLOCKED"))</x:f>
        <x:v>OPEN</x:v>
      </x:c>
      <x:c r="G3771" t="str">
        <x:v>equals</x:v>
      </x:c>
      <x:c r="H3771" t="str">
        <x:f>IF(E3771=F3771,"PASS","FAIL")</x:f>
        <x:v>PASS</x:v>
      </x:c>
    </x:row>
    <x:row r="3772">
      <x:c r="B3772" t="str">
        <x:v>A-03726</x:v>
      </x:c>
      <x:c r="C3772" t="str">
        <x:v>GATE</x:v>
      </x:c>
      <x:c r="D3772" t="str">
        <x:v>release state mirrors governing ledger</x:v>
      </x:c>
      <x:c r="E3772" t="str">
        <x:f>'Release Gates'!I3732</x:f>
        <x:v>OPEN</x:v>
      </x:c>
      <x:c r="F3772" t="str">
        <x:f>IF('Release Gates'!C3732="PLANNING","PASS",IF('Release Gates'!C3732="PHYSICAL","OPEN","BLOCKED"))</x:f>
        <x:v>OPEN</x:v>
      </x:c>
      <x:c r="G3772" t="str">
        <x:v>equals</x:v>
      </x:c>
      <x:c r="H3772" t="str">
        <x:f>IF(E3772=F3772,"PASS","FAIL")</x:f>
        <x:v>PASS</x:v>
      </x:c>
    </x:row>
    <x:row r="3773">
      <x:c r="B3773" t="str">
        <x:v>A-03727</x:v>
      </x:c>
      <x:c r="C3773" t="str">
        <x:v>GATE</x:v>
      </x:c>
      <x:c r="D3773" t="str">
        <x:v>release state mirrors governing ledger</x:v>
      </x:c>
      <x:c r="E3773" t="str">
        <x:f>'Release Gates'!I3733</x:f>
        <x:v>OPEN</x:v>
      </x:c>
      <x:c r="F3773" t="str">
        <x:f>IF('Release Gates'!C3733="PLANNING","PASS",IF('Release Gates'!C3733="PHYSICAL","OPEN","BLOCKED"))</x:f>
        <x:v>OPEN</x:v>
      </x:c>
      <x:c r="G3773" t="str">
        <x:v>equals</x:v>
      </x:c>
      <x:c r="H3773" t="str">
        <x:f>IF(E3773=F3773,"PASS","FAIL")</x:f>
        <x:v>PASS</x:v>
      </x:c>
    </x:row>
    <x:row r="3774">
      <x:c r="B3774" t="str">
        <x:v>A-03728</x:v>
      </x:c>
      <x:c r="C3774" t="str">
        <x:v>GATE</x:v>
      </x:c>
      <x:c r="D3774" t="str">
        <x:v>release state mirrors governing ledger</x:v>
      </x:c>
      <x:c r="E3774" t="str">
        <x:f>'Release Gates'!I3734</x:f>
        <x:v>OPEN</x:v>
      </x:c>
      <x:c r="F3774" t="str">
        <x:f>IF('Release Gates'!C3734="PLANNING","PASS",IF('Release Gates'!C3734="PHYSICAL","OPEN","BLOCKED"))</x:f>
        <x:v>OPEN</x:v>
      </x:c>
      <x:c r="G3774" t="str">
        <x:v>equals</x:v>
      </x:c>
      <x:c r="H3774" t="str">
        <x:f>IF(E3774=F3774,"PASS","FAIL")</x:f>
        <x:v>PASS</x:v>
      </x:c>
    </x:row>
    <x:row r="3775">
      <x:c r="B3775" t="str">
        <x:v>A-03729</x:v>
      </x:c>
      <x:c r="C3775" t="str">
        <x:v>GATE</x:v>
      </x:c>
      <x:c r="D3775" t="str">
        <x:v>release state mirrors governing ledger</x:v>
      </x:c>
      <x:c r="E3775" t="str">
        <x:f>'Release Gates'!I3735</x:f>
        <x:v>OPEN</x:v>
      </x:c>
      <x:c r="F3775" t="str">
        <x:f>IF('Release Gates'!C3735="PLANNING","PASS",IF('Release Gates'!C3735="PHYSICAL","OPEN","BLOCKED"))</x:f>
        <x:v>OPEN</x:v>
      </x:c>
      <x:c r="G3775" t="str">
        <x:v>equals</x:v>
      </x:c>
      <x:c r="H3775" t="str">
        <x:f>IF(E3775=F3775,"PASS","FAIL")</x:f>
        <x:v>PASS</x:v>
      </x:c>
    </x:row>
    <x:row r="3776">
      <x:c r="B3776" t="str">
        <x:v>A-03730</x:v>
      </x:c>
      <x:c r="C3776" t="str">
        <x:v>GATE</x:v>
      </x:c>
      <x:c r="D3776" t="str">
        <x:v>release state mirrors governing ledger</x:v>
      </x:c>
      <x:c r="E3776" t="str">
        <x:f>'Release Gates'!I3736</x:f>
        <x:v>OPEN</x:v>
      </x:c>
      <x:c r="F3776" t="str">
        <x:f>IF('Release Gates'!C3736="PLANNING","PASS",IF('Release Gates'!C3736="PHYSICAL","OPEN","BLOCKED"))</x:f>
        <x:v>OPEN</x:v>
      </x:c>
      <x:c r="G3776" t="str">
        <x:v>equals</x:v>
      </x:c>
      <x:c r="H3776" t="str">
        <x:f>IF(E3776=F3776,"PASS","FAIL")</x:f>
        <x:v>PASS</x:v>
      </x:c>
    </x:row>
    <x:row r="3777">
      <x:c r="B3777" t="str">
        <x:v>A-03731</x:v>
      </x:c>
      <x:c r="C3777" t="str">
        <x:v>GATE</x:v>
      </x:c>
      <x:c r="D3777" t="str">
        <x:v>release state mirrors governing ledger</x:v>
      </x:c>
      <x:c r="E3777" t="str">
        <x:f>'Release Gates'!I3737</x:f>
        <x:v>OPEN</x:v>
      </x:c>
      <x:c r="F3777" t="str">
        <x:f>IF('Release Gates'!C3737="PLANNING","PASS",IF('Release Gates'!C3737="PHYSICAL","OPEN","BLOCKED"))</x:f>
        <x:v>OPEN</x:v>
      </x:c>
      <x:c r="G3777" t="str">
        <x:v>equals</x:v>
      </x:c>
      <x:c r="H3777" t="str">
        <x:f>IF(E3777=F3777,"PASS","FAIL")</x:f>
        <x:v>PASS</x:v>
      </x:c>
    </x:row>
    <x:row r="3778">
      <x:c r="B3778" t="str">
        <x:v>A-03732</x:v>
      </x:c>
      <x:c r="C3778" t="str">
        <x:v>GATE</x:v>
      </x:c>
      <x:c r="D3778" t="str">
        <x:v>release state mirrors governing ledger</x:v>
      </x:c>
      <x:c r="E3778" t="str">
        <x:f>'Release Gates'!I3738</x:f>
        <x:v>OPEN</x:v>
      </x:c>
      <x:c r="F3778" t="str">
        <x:f>IF('Release Gates'!C3738="PLANNING","PASS",IF('Release Gates'!C3738="PHYSICAL","OPEN","BLOCKED"))</x:f>
        <x:v>OPEN</x:v>
      </x:c>
      <x:c r="G3778" t="str">
        <x:v>equals</x:v>
      </x:c>
      <x:c r="H3778" t="str">
        <x:f>IF(E3778=F3778,"PASS","FAIL")</x:f>
        <x:v>PASS</x:v>
      </x:c>
    </x:row>
    <x:row r="3779">
      <x:c r="B3779" t="str">
        <x:v>A-03733</x:v>
      </x:c>
      <x:c r="C3779" t="str">
        <x:v>GATE</x:v>
      </x:c>
      <x:c r="D3779" t="str">
        <x:v>release state mirrors governing ledger</x:v>
      </x:c>
      <x:c r="E3779" t="str">
        <x:f>'Release Gates'!I3739</x:f>
        <x:v>OPEN</x:v>
      </x:c>
      <x:c r="F3779" t="str">
        <x:f>IF('Release Gates'!C3739="PLANNING","PASS",IF('Release Gates'!C3739="PHYSICAL","OPEN","BLOCKED"))</x:f>
        <x:v>OPEN</x:v>
      </x:c>
      <x:c r="G3779" t="str">
        <x:v>equals</x:v>
      </x:c>
      <x:c r="H3779" t="str">
        <x:f>IF(E3779=F3779,"PASS","FAIL")</x:f>
        <x:v>PASS</x:v>
      </x:c>
    </x:row>
    <x:row r="3780">
      <x:c r="B3780" t="str">
        <x:v>A-03734</x:v>
      </x:c>
      <x:c r="C3780" t="str">
        <x:v>GATE</x:v>
      </x:c>
      <x:c r="D3780" t="str">
        <x:v>release state mirrors governing ledger</x:v>
      </x:c>
      <x:c r="E3780" t="str">
        <x:f>'Release Gates'!I3740</x:f>
        <x:v>OPEN</x:v>
      </x:c>
      <x:c r="F3780" t="str">
        <x:f>IF('Release Gates'!C3740="PLANNING","PASS",IF('Release Gates'!C3740="PHYSICAL","OPEN","BLOCKED"))</x:f>
        <x:v>OPEN</x:v>
      </x:c>
      <x:c r="G3780" t="str">
        <x:v>equals</x:v>
      </x:c>
      <x:c r="H3780" t="str">
        <x:f>IF(E3780=F3780,"PASS","FAIL")</x:f>
        <x:v>PASS</x:v>
      </x:c>
    </x:row>
    <x:row r="3781">
      <x:c r="B3781" t="str">
        <x:v>A-03735</x:v>
      </x:c>
      <x:c r="C3781" t="str">
        <x:v>GATE</x:v>
      </x:c>
      <x:c r="D3781" t="str">
        <x:v>release state mirrors governing ledger</x:v>
      </x:c>
      <x:c r="E3781" t="str">
        <x:f>'Release Gates'!I3741</x:f>
        <x:v>OPEN</x:v>
      </x:c>
      <x:c r="F3781" t="str">
        <x:f>IF('Release Gates'!C3741="PLANNING","PASS",IF('Release Gates'!C3741="PHYSICAL","OPEN","BLOCKED"))</x:f>
        <x:v>OPEN</x:v>
      </x:c>
      <x:c r="G3781" t="str">
        <x:v>equals</x:v>
      </x:c>
      <x:c r="H3781" t="str">
        <x:f>IF(E3781=F3781,"PASS","FAIL")</x:f>
        <x:v>PASS</x:v>
      </x:c>
    </x:row>
    <x:row r="3782">
      <x:c r="B3782" t="str">
        <x:v>A-03736</x:v>
      </x:c>
      <x:c r="C3782" t="str">
        <x:v>GATE</x:v>
      </x:c>
      <x:c r="D3782" t="str">
        <x:v>release state mirrors governing ledger</x:v>
      </x:c>
      <x:c r="E3782" t="str">
        <x:f>'Release Gates'!I3742</x:f>
        <x:v>OPEN</x:v>
      </x:c>
      <x:c r="F3782" t="str">
        <x:f>IF('Release Gates'!C3742="PLANNING","PASS",IF('Release Gates'!C3742="PHYSICAL","OPEN","BLOCKED"))</x:f>
        <x:v>OPEN</x:v>
      </x:c>
      <x:c r="G3782" t="str">
        <x:v>equals</x:v>
      </x:c>
      <x:c r="H3782" t="str">
        <x:f>IF(E3782=F3782,"PASS","FAIL")</x:f>
        <x:v>PASS</x:v>
      </x:c>
    </x:row>
    <x:row r="3783">
      <x:c r="B3783" t="str">
        <x:v>A-03737</x:v>
      </x:c>
      <x:c r="C3783" t="str">
        <x:v>GATE</x:v>
      </x:c>
      <x:c r="D3783" t="str">
        <x:v>release state mirrors governing ledger</x:v>
      </x:c>
      <x:c r="E3783" t="str">
        <x:f>'Release Gates'!I3743</x:f>
        <x:v>OPEN</x:v>
      </x:c>
      <x:c r="F3783" t="str">
        <x:f>IF('Release Gates'!C3743="PLANNING","PASS",IF('Release Gates'!C3743="PHYSICAL","OPEN","BLOCKED"))</x:f>
        <x:v>OPEN</x:v>
      </x:c>
      <x:c r="G3783" t="str">
        <x:v>equals</x:v>
      </x:c>
      <x:c r="H3783" t="str">
        <x:f>IF(E3783=F3783,"PASS","FAIL")</x:f>
        <x:v>PASS</x:v>
      </x:c>
    </x:row>
    <x:row r="3784">
      <x:c r="B3784" t="str">
        <x:v>A-03738</x:v>
      </x:c>
      <x:c r="C3784" t="str">
        <x:v>GATE</x:v>
      </x:c>
      <x:c r="D3784" t="str">
        <x:v>release state mirrors governing ledger</x:v>
      </x:c>
      <x:c r="E3784" t="str">
        <x:f>'Release Gates'!I3744</x:f>
        <x:v>OPEN</x:v>
      </x:c>
      <x:c r="F3784" t="str">
        <x:f>IF('Release Gates'!C3744="PLANNING","PASS",IF('Release Gates'!C3744="PHYSICAL","OPEN","BLOCKED"))</x:f>
        <x:v>OPEN</x:v>
      </x:c>
      <x:c r="G3784" t="str">
        <x:v>equals</x:v>
      </x:c>
      <x:c r="H3784" t="str">
        <x:f>IF(E3784=F3784,"PASS","FAIL")</x:f>
        <x:v>PASS</x:v>
      </x:c>
    </x:row>
    <x:row r="3785">
      <x:c r="B3785" t="str">
        <x:v>A-03739</x:v>
      </x:c>
      <x:c r="C3785" t="str">
        <x:v>GATE</x:v>
      </x:c>
      <x:c r="D3785" t="str">
        <x:v>release state mirrors governing ledger</x:v>
      </x:c>
      <x:c r="E3785" t="str">
        <x:f>'Release Gates'!I3745</x:f>
        <x:v>OPEN</x:v>
      </x:c>
      <x:c r="F3785" t="str">
        <x:f>IF('Release Gates'!C3745="PLANNING","PASS",IF('Release Gates'!C3745="PHYSICAL","OPEN","BLOCKED"))</x:f>
        <x:v>OPEN</x:v>
      </x:c>
      <x:c r="G3785" t="str">
        <x:v>equals</x:v>
      </x:c>
      <x:c r="H3785" t="str">
        <x:f>IF(E3785=F3785,"PASS","FAIL")</x:f>
        <x:v>PASS</x:v>
      </x:c>
    </x:row>
    <x:row r="3786">
      <x:c r="B3786" t="str">
        <x:v>A-03740</x:v>
      </x:c>
      <x:c r="C3786" t="str">
        <x:v>GATE</x:v>
      </x:c>
      <x:c r="D3786" t="str">
        <x:v>release state mirrors governing ledger</x:v>
      </x:c>
      <x:c r="E3786" t="str">
        <x:f>'Release Gates'!I3746</x:f>
        <x:v>OPEN</x:v>
      </x:c>
      <x:c r="F3786" t="str">
        <x:f>IF('Release Gates'!C3746="PLANNING","PASS",IF('Release Gates'!C3746="PHYSICAL","OPEN","BLOCKED"))</x:f>
        <x:v>OPEN</x:v>
      </x:c>
      <x:c r="G3786" t="str">
        <x:v>equals</x:v>
      </x:c>
      <x:c r="H3786" t="str">
        <x:f>IF(E3786=F3786,"PASS","FAIL")</x:f>
        <x:v>PASS</x:v>
      </x:c>
    </x:row>
    <x:row r="3787">
      <x:c r="B3787" t="str">
        <x:v>A-03741</x:v>
      </x:c>
      <x:c r="C3787" t="str">
        <x:v>GATE</x:v>
      </x:c>
      <x:c r="D3787" t="str">
        <x:v>release state mirrors governing ledger</x:v>
      </x:c>
      <x:c r="E3787" t="str">
        <x:f>'Release Gates'!I3747</x:f>
        <x:v>OPEN</x:v>
      </x:c>
      <x:c r="F3787" t="str">
        <x:f>IF('Release Gates'!C3747="PLANNING","PASS",IF('Release Gates'!C3747="PHYSICAL","OPEN","BLOCKED"))</x:f>
        <x:v>OPEN</x:v>
      </x:c>
      <x:c r="G3787" t="str">
        <x:v>equals</x:v>
      </x:c>
      <x:c r="H3787" t="str">
        <x:f>IF(E3787=F3787,"PASS","FAIL")</x:f>
        <x:v>PASS</x:v>
      </x:c>
    </x:row>
    <x:row r="3788">
      <x:c r="B3788" t="str">
        <x:v>A-03742</x:v>
      </x:c>
      <x:c r="C3788" t="str">
        <x:v>GATE</x:v>
      </x:c>
      <x:c r="D3788" t="str">
        <x:v>release state mirrors governing ledger</x:v>
      </x:c>
      <x:c r="E3788" t="str">
        <x:f>'Release Gates'!I3748</x:f>
        <x:v>OPEN</x:v>
      </x:c>
      <x:c r="F3788" t="str">
        <x:f>IF('Release Gates'!C3748="PLANNING","PASS",IF('Release Gates'!C3748="PHYSICAL","OPEN","BLOCKED"))</x:f>
        <x:v>OPEN</x:v>
      </x:c>
      <x:c r="G3788" t="str">
        <x:v>equals</x:v>
      </x:c>
      <x:c r="H3788" t="str">
        <x:f>IF(E3788=F3788,"PASS","FAIL")</x:f>
        <x:v>PASS</x:v>
      </x:c>
    </x:row>
    <x:row r="3789">
      <x:c r="B3789" t="str">
        <x:v>A-03743</x:v>
      </x:c>
      <x:c r="C3789" t="str">
        <x:v>GATE</x:v>
      </x:c>
      <x:c r="D3789" t="str">
        <x:v>release state mirrors governing ledger</x:v>
      </x:c>
      <x:c r="E3789" t="str">
        <x:f>'Release Gates'!I3749</x:f>
        <x:v>OPEN</x:v>
      </x:c>
      <x:c r="F3789" t="str">
        <x:f>IF('Release Gates'!C3749="PLANNING","PASS",IF('Release Gates'!C3749="PHYSICAL","OPEN","BLOCKED"))</x:f>
        <x:v>OPEN</x:v>
      </x:c>
      <x:c r="G3789" t="str">
        <x:v>equals</x:v>
      </x:c>
      <x:c r="H3789" t="str">
        <x:f>IF(E3789=F3789,"PASS","FAIL")</x:f>
        <x:v>PASS</x:v>
      </x:c>
    </x:row>
    <x:row r="3790">
      <x:c r="B3790" t="str">
        <x:v>A-03744</x:v>
      </x:c>
      <x:c r="C3790" t="str">
        <x:v>GATE</x:v>
      </x:c>
      <x:c r="D3790" t="str">
        <x:v>release state mirrors governing ledger</x:v>
      </x:c>
      <x:c r="E3790" t="str">
        <x:f>'Release Gates'!I3750</x:f>
        <x:v>OPEN</x:v>
      </x:c>
      <x:c r="F3790" t="str">
        <x:f>IF('Release Gates'!C3750="PLANNING","PASS",IF('Release Gates'!C3750="PHYSICAL","OPEN","BLOCKED"))</x:f>
        <x:v>OPEN</x:v>
      </x:c>
      <x:c r="G3790" t="str">
        <x:v>equals</x:v>
      </x:c>
      <x:c r="H3790" t="str">
        <x:f>IF(E3790=F3790,"PASS","FAIL")</x:f>
        <x:v>PASS</x:v>
      </x:c>
    </x:row>
    <x:row r="3791">
      <x:c r="B3791" t="str">
        <x:v>A-03745</x:v>
      </x:c>
      <x:c r="C3791" t="str">
        <x:v>GATE</x:v>
      </x:c>
      <x:c r="D3791" t="str">
        <x:v>release state mirrors governing ledger</x:v>
      </x:c>
      <x:c r="E3791" t="str">
        <x:f>'Release Gates'!I3751</x:f>
        <x:v>OPEN</x:v>
      </x:c>
      <x:c r="F3791" t="str">
        <x:f>IF('Release Gates'!C3751="PLANNING","PASS",IF('Release Gates'!C3751="PHYSICAL","OPEN","BLOCKED"))</x:f>
        <x:v>OPEN</x:v>
      </x:c>
      <x:c r="G3791" t="str">
        <x:v>equals</x:v>
      </x:c>
      <x:c r="H3791" t="str">
        <x:f>IF(E3791=F3791,"PASS","FAIL")</x:f>
        <x:v>PASS</x:v>
      </x:c>
    </x:row>
    <x:row r="3792">
      <x:c r="B3792" t="str">
        <x:v>A-03746</x:v>
      </x:c>
      <x:c r="C3792" t="str">
        <x:v>GATE</x:v>
      </x:c>
      <x:c r="D3792" t="str">
        <x:v>release state mirrors governing ledger</x:v>
      </x:c>
      <x:c r="E3792" t="str">
        <x:f>'Release Gates'!I3752</x:f>
        <x:v>OPEN</x:v>
      </x:c>
      <x:c r="F3792" t="str">
        <x:f>IF('Release Gates'!C3752="PLANNING","PASS",IF('Release Gates'!C3752="PHYSICAL","OPEN","BLOCKED"))</x:f>
        <x:v>OPEN</x:v>
      </x:c>
      <x:c r="G3792" t="str">
        <x:v>equals</x:v>
      </x:c>
      <x:c r="H3792" t="str">
        <x:f>IF(E3792=F3792,"PASS","FAIL")</x:f>
        <x:v>PASS</x:v>
      </x:c>
    </x:row>
    <x:row r="3793">
      <x:c r="B3793" t="str">
        <x:v>A-03747</x:v>
      </x:c>
      <x:c r="C3793" t="str">
        <x:v>GATE</x:v>
      </x:c>
      <x:c r="D3793" t="str">
        <x:v>release state mirrors governing ledger</x:v>
      </x:c>
      <x:c r="E3793" t="str">
        <x:f>'Release Gates'!I3753</x:f>
        <x:v>OPEN</x:v>
      </x:c>
      <x:c r="F3793" t="str">
        <x:f>IF('Release Gates'!C3753="PLANNING","PASS",IF('Release Gates'!C3753="PHYSICAL","OPEN","BLOCKED"))</x:f>
        <x:v>OPEN</x:v>
      </x:c>
      <x:c r="G3793" t="str">
        <x:v>equals</x:v>
      </x:c>
      <x:c r="H3793" t="str">
        <x:f>IF(E3793=F3793,"PASS","FAIL")</x:f>
        <x:v>PASS</x:v>
      </x:c>
    </x:row>
    <x:row r="3794">
      <x:c r="B3794" t="str">
        <x:v>A-03748</x:v>
      </x:c>
      <x:c r="C3794" t="str">
        <x:v>GATE</x:v>
      </x:c>
      <x:c r="D3794" t="str">
        <x:v>release state mirrors governing ledger</x:v>
      </x:c>
      <x:c r="E3794" t="str">
        <x:f>'Release Gates'!I3754</x:f>
        <x:v>OPEN</x:v>
      </x:c>
      <x:c r="F3794" t="str">
        <x:f>IF('Release Gates'!C3754="PLANNING","PASS",IF('Release Gates'!C3754="PHYSICAL","OPEN","BLOCKED"))</x:f>
        <x:v>OPEN</x:v>
      </x:c>
      <x:c r="G3794" t="str">
        <x:v>equals</x:v>
      </x:c>
      <x:c r="H3794" t="str">
        <x:f>IF(E3794=F3794,"PASS","FAIL")</x:f>
        <x:v>PASS</x:v>
      </x:c>
    </x:row>
    <x:row r="3795">
      <x:c r="B3795" t="str">
        <x:v>A-03749</x:v>
      </x:c>
      <x:c r="C3795" t="str">
        <x:v>GATE</x:v>
      </x:c>
      <x:c r="D3795" t="str">
        <x:v>release state mirrors governing ledger</x:v>
      </x:c>
      <x:c r="E3795" t="str">
        <x:f>'Release Gates'!I3755</x:f>
        <x:v>OPEN</x:v>
      </x:c>
      <x:c r="F3795" t="str">
        <x:f>IF('Release Gates'!C3755="PLANNING","PASS",IF('Release Gates'!C3755="PHYSICAL","OPEN","BLOCKED"))</x:f>
        <x:v>OPEN</x:v>
      </x:c>
      <x:c r="G3795" t="str">
        <x:v>equals</x:v>
      </x:c>
      <x:c r="H3795" t="str">
        <x:f>IF(E3795=F3795,"PASS","FAIL")</x:f>
        <x:v>PASS</x:v>
      </x:c>
    </x:row>
    <x:row r="3796">
      <x:c r="B3796" t="str">
        <x:v>A-03750</x:v>
      </x:c>
      <x:c r="C3796" t="str">
        <x:v>GATE</x:v>
      </x:c>
      <x:c r="D3796" t="str">
        <x:v>release state mirrors governing ledger</x:v>
      </x:c>
      <x:c r="E3796" t="str">
        <x:f>'Release Gates'!I3756</x:f>
        <x:v>OPEN</x:v>
      </x:c>
      <x:c r="F3796" t="str">
        <x:f>IF('Release Gates'!C3756="PLANNING","PASS",IF('Release Gates'!C3756="PHYSICAL","OPEN","BLOCKED"))</x:f>
        <x:v>OPEN</x:v>
      </x:c>
      <x:c r="G3796" t="str">
        <x:v>equals</x:v>
      </x:c>
      <x:c r="H3796" t="str">
        <x:f>IF(E3796=F3796,"PASS","FAIL")</x:f>
        <x:v>PASS</x:v>
      </x:c>
    </x:row>
    <x:row r="3797">
      <x:c r="B3797" t="str">
        <x:v>A-03751</x:v>
      </x:c>
      <x:c r="C3797" t="str">
        <x:v>GATE</x:v>
      </x:c>
      <x:c r="D3797" t="str">
        <x:v>release state mirrors governing ledger</x:v>
      </x:c>
      <x:c r="E3797" t="str">
        <x:f>'Release Gates'!I3757</x:f>
        <x:v>OPEN</x:v>
      </x:c>
      <x:c r="F3797" t="str">
        <x:f>IF('Release Gates'!C3757="PLANNING","PASS",IF('Release Gates'!C3757="PHYSICAL","OPEN","BLOCKED"))</x:f>
        <x:v>OPEN</x:v>
      </x:c>
      <x:c r="G3797" t="str">
        <x:v>equals</x:v>
      </x:c>
      <x:c r="H3797" t="str">
        <x:f>IF(E3797=F3797,"PASS","FAIL")</x:f>
        <x:v>PASS</x:v>
      </x:c>
    </x:row>
    <x:row r="3798">
      <x:c r="B3798" t="str">
        <x:v>A-03752</x:v>
      </x:c>
      <x:c r="C3798" t="str">
        <x:v>GATE</x:v>
      </x:c>
      <x:c r="D3798" t="str">
        <x:v>release state mirrors governing ledger</x:v>
      </x:c>
      <x:c r="E3798" t="str">
        <x:f>'Release Gates'!I3758</x:f>
        <x:v>OPEN</x:v>
      </x:c>
      <x:c r="F3798" t="str">
        <x:f>IF('Release Gates'!C3758="PLANNING","PASS",IF('Release Gates'!C3758="PHYSICAL","OPEN","BLOCKED"))</x:f>
        <x:v>OPEN</x:v>
      </x:c>
      <x:c r="G3798" t="str">
        <x:v>equals</x:v>
      </x:c>
      <x:c r="H3798" t="str">
        <x:f>IF(E3798=F3798,"PASS","FAIL")</x:f>
        <x:v>PASS</x:v>
      </x:c>
    </x:row>
    <x:row r="3799">
      <x:c r="B3799" t="str">
        <x:v>A-03753</x:v>
      </x:c>
      <x:c r="C3799" t="str">
        <x:v>GATE</x:v>
      </x:c>
      <x:c r="D3799" t="str">
        <x:v>release state mirrors governing ledger</x:v>
      </x:c>
      <x:c r="E3799" t="str">
        <x:f>'Release Gates'!I3759</x:f>
        <x:v>OPEN</x:v>
      </x:c>
      <x:c r="F3799" t="str">
        <x:f>IF('Release Gates'!C3759="PLANNING","PASS",IF('Release Gates'!C3759="PHYSICAL","OPEN","BLOCKED"))</x:f>
        <x:v>OPEN</x:v>
      </x:c>
      <x:c r="G3799" t="str">
        <x:v>equals</x:v>
      </x:c>
      <x:c r="H3799" t="str">
        <x:f>IF(E3799=F3799,"PASS","FAIL")</x:f>
        <x:v>PASS</x:v>
      </x:c>
    </x:row>
    <x:row r="3800">
      <x:c r="B3800" t="str">
        <x:v>A-03754</x:v>
      </x:c>
      <x:c r="C3800" t="str">
        <x:v>GATE</x:v>
      </x:c>
      <x:c r="D3800" t="str">
        <x:v>release state mirrors governing ledger</x:v>
      </x:c>
      <x:c r="E3800" t="str">
        <x:f>'Release Gates'!I3760</x:f>
        <x:v>OPEN</x:v>
      </x:c>
      <x:c r="F3800" t="str">
        <x:f>IF('Release Gates'!C3760="PLANNING","PASS",IF('Release Gates'!C3760="PHYSICAL","OPEN","BLOCKED"))</x:f>
        <x:v>OPEN</x:v>
      </x:c>
      <x:c r="G3800" t="str">
        <x:v>equals</x:v>
      </x:c>
      <x:c r="H3800" t="str">
        <x:f>IF(E3800=F3800,"PASS","FAIL")</x:f>
        <x:v>PASS</x:v>
      </x:c>
    </x:row>
    <x:row r="3801">
      <x:c r="B3801" t="str">
        <x:v>A-03755</x:v>
      </x:c>
      <x:c r="C3801" t="str">
        <x:v>GATE</x:v>
      </x:c>
      <x:c r="D3801" t="str">
        <x:v>release state mirrors governing ledger</x:v>
      </x:c>
      <x:c r="E3801" t="str">
        <x:f>'Release Gates'!I3761</x:f>
        <x:v>OPEN</x:v>
      </x:c>
      <x:c r="F3801" t="str">
        <x:f>IF('Release Gates'!C3761="PLANNING","PASS",IF('Release Gates'!C3761="PHYSICAL","OPEN","BLOCKED"))</x:f>
        <x:v>OPEN</x:v>
      </x:c>
      <x:c r="G3801" t="str">
        <x:v>equals</x:v>
      </x:c>
      <x:c r="H3801" t="str">
        <x:f>IF(E3801=F3801,"PASS","FAIL")</x:f>
        <x:v>PASS</x:v>
      </x:c>
    </x:row>
    <x:row r="3802">
      <x:c r="B3802" t="str">
        <x:v>A-03756</x:v>
      </x:c>
      <x:c r="C3802" t="str">
        <x:v>GATE</x:v>
      </x:c>
      <x:c r="D3802" t="str">
        <x:v>release state mirrors governing ledger</x:v>
      </x:c>
      <x:c r="E3802" t="str">
        <x:f>'Release Gates'!I3762</x:f>
        <x:v>OPEN</x:v>
      </x:c>
      <x:c r="F3802" t="str">
        <x:f>IF('Release Gates'!C3762="PLANNING","PASS",IF('Release Gates'!C3762="PHYSICAL","OPEN","BLOCKED"))</x:f>
        <x:v>OPEN</x:v>
      </x:c>
      <x:c r="G3802" t="str">
        <x:v>equals</x:v>
      </x:c>
      <x:c r="H3802" t="str">
        <x:f>IF(E3802=F3802,"PASS","FAIL")</x:f>
        <x:v>PASS</x:v>
      </x:c>
    </x:row>
    <x:row r="3803">
      <x:c r="B3803" t="str">
        <x:v>A-03757</x:v>
      </x:c>
      <x:c r="C3803" t="str">
        <x:v>GATE</x:v>
      </x:c>
      <x:c r="D3803" t="str">
        <x:v>release state mirrors governing ledger</x:v>
      </x:c>
      <x:c r="E3803" t="str">
        <x:f>'Release Gates'!I3763</x:f>
        <x:v>OPEN</x:v>
      </x:c>
      <x:c r="F3803" t="str">
        <x:f>IF('Release Gates'!C3763="PLANNING","PASS",IF('Release Gates'!C3763="PHYSICAL","OPEN","BLOCKED"))</x:f>
        <x:v>OPEN</x:v>
      </x:c>
      <x:c r="G3803" t="str">
        <x:v>equals</x:v>
      </x:c>
      <x:c r="H3803" t="str">
        <x:f>IF(E3803=F3803,"PASS","FAIL")</x:f>
        <x:v>PASS</x:v>
      </x:c>
    </x:row>
    <x:row r="3804">
      <x:c r="B3804" t="str">
        <x:v>A-03758</x:v>
      </x:c>
      <x:c r="C3804" t="str">
        <x:v>GATE</x:v>
      </x:c>
      <x:c r="D3804" t="str">
        <x:v>release state mirrors governing ledger</x:v>
      </x:c>
      <x:c r="E3804" t="str">
        <x:f>'Release Gates'!I3764</x:f>
        <x:v>OPEN</x:v>
      </x:c>
      <x:c r="F3804" t="str">
        <x:f>IF('Release Gates'!C3764="PLANNING","PASS",IF('Release Gates'!C3764="PHYSICAL","OPEN","BLOCKED"))</x:f>
        <x:v>OPEN</x:v>
      </x:c>
      <x:c r="G3804" t="str">
        <x:v>equals</x:v>
      </x:c>
      <x:c r="H3804" t="str">
        <x:f>IF(E3804=F3804,"PASS","FAIL")</x:f>
        <x:v>PASS</x:v>
      </x:c>
    </x:row>
    <x:row r="3805">
      <x:c r="B3805" t="str">
        <x:v>A-03759</x:v>
      </x:c>
      <x:c r="C3805" t="str">
        <x:v>GATE</x:v>
      </x:c>
      <x:c r="D3805" t="str">
        <x:v>release state mirrors governing ledger</x:v>
      </x:c>
      <x:c r="E3805" t="str">
        <x:f>'Release Gates'!I3765</x:f>
        <x:v>OPEN</x:v>
      </x:c>
      <x:c r="F3805" t="str">
        <x:f>IF('Release Gates'!C3765="PLANNING","PASS",IF('Release Gates'!C3765="PHYSICAL","OPEN","BLOCKED"))</x:f>
        <x:v>OPEN</x:v>
      </x:c>
      <x:c r="G3805" t="str">
        <x:v>equals</x:v>
      </x:c>
      <x:c r="H3805" t="str">
        <x:f>IF(E3805=F3805,"PASS","FAIL")</x:f>
        <x:v>PASS</x:v>
      </x:c>
    </x:row>
    <x:row r="3806">
      <x:c r="B3806" t="str">
        <x:v>A-03760</x:v>
      </x:c>
      <x:c r="C3806" t="str">
        <x:v>GATE</x:v>
      </x:c>
      <x:c r="D3806" t="str">
        <x:v>release state mirrors governing ledger</x:v>
      </x:c>
      <x:c r="E3806" t="str">
        <x:f>'Release Gates'!I3766</x:f>
        <x:v>OPEN</x:v>
      </x:c>
      <x:c r="F3806" t="str">
        <x:f>IF('Release Gates'!C3766="PLANNING","PASS",IF('Release Gates'!C3766="PHYSICAL","OPEN","BLOCKED"))</x:f>
        <x:v>OPEN</x:v>
      </x:c>
      <x:c r="G3806" t="str">
        <x:v>equals</x:v>
      </x:c>
      <x:c r="H3806" t="str">
        <x:f>IF(E3806=F3806,"PASS","FAIL")</x:f>
        <x:v>PASS</x:v>
      </x:c>
    </x:row>
    <x:row r="3807">
      <x:c r="B3807" t="str">
        <x:v>A-03761</x:v>
      </x:c>
      <x:c r="C3807" t="str">
        <x:v>GATE</x:v>
      </x:c>
      <x:c r="D3807" t="str">
        <x:v>release state mirrors governing ledger</x:v>
      </x:c>
      <x:c r="E3807" t="str">
        <x:f>'Release Gates'!I3767</x:f>
        <x:v>OPEN</x:v>
      </x:c>
      <x:c r="F3807" t="str">
        <x:f>IF('Release Gates'!C3767="PLANNING","PASS",IF('Release Gates'!C3767="PHYSICAL","OPEN","BLOCKED"))</x:f>
        <x:v>OPEN</x:v>
      </x:c>
      <x:c r="G3807" t="str">
        <x:v>equals</x:v>
      </x:c>
      <x:c r="H3807" t="str">
        <x:f>IF(E3807=F3807,"PASS","FAIL")</x:f>
        <x:v>PASS</x:v>
      </x:c>
    </x:row>
    <x:row r="3808">
      <x:c r="B3808" t="str">
        <x:v>A-03762</x:v>
      </x:c>
      <x:c r="C3808" t="str">
        <x:v>GATE</x:v>
      </x:c>
      <x:c r="D3808" t="str">
        <x:v>release state mirrors governing ledger</x:v>
      </x:c>
      <x:c r="E3808" t="str">
        <x:f>'Release Gates'!I3768</x:f>
        <x:v>OPEN</x:v>
      </x:c>
      <x:c r="F3808" t="str">
        <x:f>IF('Release Gates'!C3768="PLANNING","PASS",IF('Release Gates'!C3768="PHYSICAL","OPEN","BLOCKED"))</x:f>
        <x:v>OPEN</x:v>
      </x:c>
      <x:c r="G3808" t="str">
        <x:v>equals</x:v>
      </x:c>
      <x:c r="H3808" t="str">
        <x:f>IF(E3808=F3808,"PASS","FAIL")</x:f>
        <x:v>PASS</x:v>
      </x:c>
    </x:row>
    <x:row r="3809">
      <x:c r="B3809" t="str">
        <x:v>A-03763</x:v>
      </x:c>
      <x:c r="C3809" t="str">
        <x:v>GATE</x:v>
      </x:c>
      <x:c r="D3809" t="str">
        <x:v>release state mirrors governing ledger</x:v>
      </x:c>
      <x:c r="E3809" t="str">
        <x:f>'Release Gates'!I3769</x:f>
        <x:v>OPEN</x:v>
      </x:c>
      <x:c r="F3809" t="str">
        <x:f>IF('Release Gates'!C3769="PLANNING","PASS",IF('Release Gates'!C3769="PHYSICAL","OPEN","BLOCKED"))</x:f>
        <x:v>OPEN</x:v>
      </x:c>
      <x:c r="G3809" t="str">
        <x:v>equals</x:v>
      </x:c>
      <x:c r="H3809" t="str">
        <x:f>IF(E3809=F3809,"PASS","FAIL")</x:f>
        <x:v>PASS</x:v>
      </x:c>
    </x:row>
    <x:row r="3810">
      <x:c r="B3810" t="str">
        <x:v>A-03764</x:v>
      </x:c>
      <x:c r="C3810" t="str">
        <x:v>GATE</x:v>
      </x:c>
      <x:c r="D3810" t="str">
        <x:v>release state mirrors governing ledger</x:v>
      </x:c>
      <x:c r="E3810" t="str">
        <x:f>'Release Gates'!I3770</x:f>
        <x:v>OPEN</x:v>
      </x:c>
      <x:c r="F3810" t="str">
        <x:f>IF('Release Gates'!C3770="PLANNING","PASS",IF('Release Gates'!C3770="PHYSICAL","OPEN","BLOCKED"))</x:f>
        <x:v>OPEN</x:v>
      </x:c>
      <x:c r="G3810" t="str">
        <x:v>equals</x:v>
      </x:c>
      <x:c r="H3810" t="str">
        <x:f>IF(E3810=F3810,"PASS","FAIL")</x:f>
        <x:v>PASS</x:v>
      </x:c>
    </x:row>
    <x:row r="3811">
      <x:c r="B3811" t="str">
        <x:v>A-03765</x:v>
      </x:c>
      <x:c r="C3811" t="str">
        <x:v>GATE</x:v>
      </x:c>
      <x:c r="D3811" t="str">
        <x:v>release state mirrors governing ledger</x:v>
      </x:c>
      <x:c r="E3811" t="str">
        <x:f>'Release Gates'!I3771</x:f>
        <x:v>OPEN</x:v>
      </x:c>
      <x:c r="F3811" t="str">
        <x:f>IF('Release Gates'!C3771="PLANNING","PASS",IF('Release Gates'!C3771="PHYSICAL","OPEN","BLOCKED"))</x:f>
        <x:v>OPEN</x:v>
      </x:c>
      <x:c r="G3811" t="str">
        <x:v>equals</x:v>
      </x:c>
      <x:c r="H3811" t="str">
        <x:f>IF(E3811=F3811,"PASS","FAIL")</x:f>
        <x:v>PASS</x:v>
      </x:c>
    </x:row>
    <x:row r="3812">
      <x:c r="B3812" t="str">
        <x:v>A-03766</x:v>
      </x:c>
      <x:c r="C3812" t="str">
        <x:v>GATE</x:v>
      </x:c>
      <x:c r="D3812" t="str">
        <x:v>release state mirrors governing ledger</x:v>
      </x:c>
      <x:c r="E3812" t="str">
        <x:f>'Release Gates'!I3772</x:f>
        <x:v>OPEN</x:v>
      </x:c>
      <x:c r="F3812" t="str">
        <x:f>IF('Release Gates'!C3772="PLANNING","PASS",IF('Release Gates'!C3772="PHYSICAL","OPEN","BLOCKED"))</x:f>
        <x:v>OPEN</x:v>
      </x:c>
      <x:c r="G3812" t="str">
        <x:v>equals</x:v>
      </x:c>
      <x:c r="H3812" t="str">
        <x:f>IF(E3812=F3812,"PASS","FAIL")</x:f>
        <x:v>PASS</x:v>
      </x:c>
    </x:row>
    <x:row r="3813">
      <x:c r="B3813" t="str">
        <x:v>A-03767</x:v>
      </x:c>
      <x:c r="C3813" t="str">
        <x:v>GATE</x:v>
      </x:c>
      <x:c r="D3813" t="str">
        <x:v>release state mirrors governing ledger</x:v>
      </x:c>
      <x:c r="E3813" t="str">
        <x:f>'Release Gates'!I3773</x:f>
        <x:v>OPEN</x:v>
      </x:c>
      <x:c r="F3813" t="str">
        <x:f>IF('Release Gates'!C3773="PLANNING","PASS",IF('Release Gates'!C3773="PHYSICAL","OPEN","BLOCKED"))</x:f>
        <x:v>OPEN</x:v>
      </x:c>
      <x:c r="G3813" t="str">
        <x:v>equals</x:v>
      </x:c>
      <x:c r="H3813" t="str">
        <x:f>IF(E3813=F3813,"PASS","FAIL")</x:f>
        <x:v>PASS</x:v>
      </x:c>
    </x:row>
    <x:row r="3814">
      <x:c r="B3814" t="str">
        <x:v>A-03768</x:v>
      </x:c>
      <x:c r="C3814" t="str">
        <x:v>GATE</x:v>
      </x:c>
      <x:c r="D3814" t="str">
        <x:v>release state mirrors governing ledger</x:v>
      </x:c>
      <x:c r="E3814" t="str">
        <x:f>'Release Gates'!I3774</x:f>
        <x:v>OPEN</x:v>
      </x:c>
      <x:c r="F3814" t="str">
        <x:f>IF('Release Gates'!C3774="PLANNING","PASS",IF('Release Gates'!C3774="PHYSICAL","OPEN","BLOCKED"))</x:f>
        <x:v>OPEN</x:v>
      </x:c>
      <x:c r="G3814" t="str">
        <x:v>equals</x:v>
      </x:c>
      <x:c r="H3814" t="str">
        <x:f>IF(E3814=F3814,"PASS","FAIL")</x:f>
        <x:v>PASS</x:v>
      </x:c>
    </x:row>
    <x:row r="3815">
      <x:c r="B3815" t="str">
        <x:v>A-03769</x:v>
      </x:c>
      <x:c r="C3815" t="str">
        <x:v>GATE</x:v>
      </x:c>
      <x:c r="D3815" t="str">
        <x:v>release state mirrors governing ledger</x:v>
      </x:c>
      <x:c r="E3815" t="str">
        <x:f>'Release Gates'!I3775</x:f>
        <x:v>OPEN</x:v>
      </x:c>
      <x:c r="F3815" t="str">
        <x:f>IF('Release Gates'!C3775="PLANNING","PASS",IF('Release Gates'!C3775="PHYSICAL","OPEN","BLOCKED"))</x:f>
        <x:v>OPEN</x:v>
      </x:c>
      <x:c r="G3815" t="str">
        <x:v>equals</x:v>
      </x:c>
      <x:c r="H3815" t="str">
        <x:f>IF(E3815=F3815,"PASS","FAIL")</x:f>
        <x:v>PASS</x:v>
      </x:c>
    </x:row>
    <x:row r="3816">
      <x:c r="B3816" t="str">
        <x:v>A-03770</x:v>
      </x:c>
      <x:c r="C3816" t="str">
        <x:v>GATE</x:v>
      </x:c>
      <x:c r="D3816" t="str">
        <x:v>release state mirrors governing ledger</x:v>
      </x:c>
      <x:c r="E3816" t="str">
        <x:f>'Release Gates'!I3776</x:f>
        <x:v>OPEN</x:v>
      </x:c>
      <x:c r="F3816" t="str">
        <x:f>IF('Release Gates'!C3776="PLANNING","PASS",IF('Release Gates'!C3776="PHYSICAL","OPEN","BLOCKED"))</x:f>
        <x:v>OPEN</x:v>
      </x:c>
      <x:c r="G3816" t="str">
        <x:v>equals</x:v>
      </x:c>
      <x:c r="H3816" t="str">
        <x:f>IF(E3816=F3816,"PASS","FAIL")</x:f>
        <x:v>PASS</x:v>
      </x:c>
    </x:row>
    <x:row r="3817">
      <x:c r="B3817" t="str">
        <x:v>A-03771</x:v>
      </x:c>
      <x:c r="C3817" t="str">
        <x:v>GATE</x:v>
      </x:c>
      <x:c r="D3817" t="str">
        <x:v>release state mirrors governing ledger</x:v>
      </x:c>
      <x:c r="E3817" t="str">
        <x:f>'Release Gates'!I3777</x:f>
        <x:v>OPEN</x:v>
      </x:c>
      <x:c r="F3817" t="str">
        <x:f>IF('Release Gates'!C3777="PLANNING","PASS",IF('Release Gates'!C3777="PHYSICAL","OPEN","BLOCKED"))</x:f>
        <x:v>OPEN</x:v>
      </x:c>
      <x:c r="G3817" t="str">
        <x:v>equals</x:v>
      </x:c>
      <x:c r="H3817" t="str">
        <x:f>IF(E3817=F3817,"PASS","FAIL")</x:f>
        <x:v>PASS</x:v>
      </x:c>
    </x:row>
    <x:row r="3818">
      <x:c r="B3818" t="str">
        <x:v>A-03772</x:v>
      </x:c>
      <x:c r="C3818" t="str">
        <x:v>GATE</x:v>
      </x:c>
      <x:c r="D3818" t="str">
        <x:v>release state mirrors governing ledger</x:v>
      </x:c>
      <x:c r="E3818" t="str">
        <x:f>'Release Gates'!I3778</x:f>
        <x:v>OPEN</x:v>
      </x:c>
      <x:c r="F3818" t="str">
        <x:f>IF('Release Gates'!C3778="PLANNING","PASS",IF('Release Gates'!C3778="PHYSICAL","OPEN","BLOCKED"))</x:f>
        <x:v>OPEN</x:v>
      </x:c>
      <x:c r="G3818" t="str">
        <x:v>equals</x:v>
      </x:c>
      <x:c r="H3818" t="str">
        <x:f>IF(E3818=F3818,"PASS","FAIL")</x:f>
        <x:v>PASS</x:v>
      </x:c>
    </x:row>
    <x:row r="3819">
      <x:c r="B3819" t="str">
        <x:v>A-03773</x:v>
      </x:c>
      <x:c r="C3819" t="str">
        <x:v>GATE</x:v>
      </x:c>
      <x:c r="D3819" t="str">
        <x:v>release state mirrors governing ledger</x:v>
      </x:c>
      <x:c r="E3819" t="str">
        <x:f>'Release Gates'!I3779</x:f>
        <x:v>OPEN</x:v>
      </x:c>
      <x:c r="F3819" t="str">
        <x:f>IF('Release Gates'!C3779="PLANNING","PASS",IF('Release Gates'!C3779="PHYSICAL","OPEN","BLOCKED"))</x:f>
        <x:v>OPEN</x:v>
      </x:c>
      <x:c r="G3819" t="str">
        <x:v>equals</x:v>
      </x:c>
      <x:c r="H3819" t="str">
        <x:f>IF(E3819=F3819,"PASS","FAIL")</x:f>
        <x:v>PASS</x:v>
      </x:c>
    </x:row>
    <x:row r="3820">
      <x:c r="B3820" t="str">
        <x:v>A-03774</x:v>
      </x:c>
      <x:c r="C3820" t="str">
        <x:v>GATE</x:v>
      </x:c>
      <x:c r="D3820" t="str">
        <x:v>release state mirrors governing ledger</x:v>
      </x:c>
      <x:c r="E3820" t="str">
        <x:f>'Release Gates'!I3780</x:f>
        <x:v>OPEN</x:v>
      </x:c>
      <x:c r="F3820" t="str">
        <x:f>IF('Release Gates'!C3780="PLANNING","PASS",IF('Release Gates'!C3780="PHYSICAL","OPEN","BLOCKED"))</x:f>
        <x:v>OPEN</x:v>
      </x:c>
      <x:c r="G3820" t="str">
        <x:v>equals</x:v>
      </x:c>
      <x:c r="H3820" t="str">
        <x:f>IF(E3820=F3820,"PASS","FAIL")</x:f>
        <x:v>PASS</x:v>
      </x:c>
    </x:row>
    <x:row r="3821">
      <x:c r="B3821" t="str">
        <x:v>A-03775</x:v>
      </x:c>
      <x:c r="C3821" t="str">
        <x:v>GATE</x:v>
      </x:c>
      <x:c r="D3821" t="str">
        <x:v>release state mirrors governing ledger</x:v>
      </x:c>
      <x:c r="E3821" t="str">
        <x:f>'Release Gates'!I3781</x:f>
        <x:v>OPEN</x:v>
      </x:c>
      <x:c r="F3821" t="str">
        <x:f>IF('Release Gates'!C3781="PLANNING","PASS",IF('Release Gates'!C3781="PHYSICAL","OPEN","BLOCKED"))</x:f>
        <x:v>OPEN</x:v>
      </x:c>
      <x:c r="G3821" t="str">
        <x:v>equals</x:v>
      </x:c>
      <x:c r="H3821" t="str">
        <x:f>IF(E3821=F3821,"PASS","FAIL")</x:f>
        <x:v>PASS</x:v>
      </x:c>
    </x:row>
    <x:row r="3822">
      <x:c r="B3822" t="str">
        <x:v>A-03776</x:v>
      </x:c>
      <x:c r="C3822" t="str">
        <x:v>GATE</x:v>
      </x:c>
      <x:c r="D3822" t="str">
        <x:v>release state mirrors governing ledger</x:v>
      </x:c>
      <x:c r="E3822" t="str">
        <x:f>'Release Gates'!I3782</x:f>
        <x:v>OPEN</x:v>
      </x:c>
      <x:c r="F3822" t="str">
        <x:f>IF('Release Gates'!C3782="PLANNING","PASS",IF('Release Gates'!C3782="PHYSICAL","OPEN","BLOCKED"))</x:f>
        <x:v>OPEN</x:v>
      </x:c>
      <x:c r="G3822" t="str">
        <x:v>equals</x:v>
      </x:c>
      <x:c r="H3822" t="str">
        <x:f>IF(E3822=F3822,"PASS","FAIL")</x:f>
        <x:v>PASS</x:v>
      </x:c>
    </x:row>
    <x:row r="3823">
      <x:c r="B3823" t="str">
        <x:v>A-03777</x:v>
      </x:c>
      <x:c r="C3823" t="str">
        <x:v>GATE</x:v>
      </x:c>
      <x:c r="D3823" t="str">
        <x:v>release state mirrors governing ledger</x:v>
      </x:c>
      <x:c r="E3823" t="str">
        <x:f>'Release Gates'!I3783</x:f>
        <x:v>OPEN</x:v>
      </x:c>
      <x:c r="F3823" t="str">
        <x:f>IF('Release Gates'!C3783="PLANNING","PASS",IF('Release Gates'!C3783="PHYSICAL","OPEN","BLOCKED"))</x:f>
        <x:v>OPEN</x:v>
      </x:c>
      <x:c r="G3823" t="str">
        <x:v>equals</x:v>
      </x:c>
      <x:c r="H3823" t="str">
        <x:f>IF(E3823=F3823,"PASS","FAIL")</x:f>
        <x:v>PASS</x:v>
      </x:c>
    </x:row>
    <x:row r="3824">
      <x:c r="B3824" t="str">
        <x:v>A-03778</x:v>
      </x:c>
      <x:c r="C3824" t="str">
        <x:v>GATE</x:v>
      </x:c>
      <x:c r="D3824" t="str">
        <x:v>release state mirrors governing ledger</x:v>
      </x:c>
      <x:c r="E3824" t="str">
        <x:f>'Release Gates'!I3784</x:f>
        <x:v>OPEN</x:v>
      </x:c>
      <x:c r="F3824" t="str">
        <x:f>IF('Release Gates'!C3784="PLANNING","PASS",IF('Release Gates'!C3784="PHYSICAL","OPEN","BLOCKED"))</x:f>
        <x:v>OPEN</x:v>
      </x:c>
      <x:c r="G3824" t="str">
        <x:v>equals</x:v>
      </x:c>
      <x:c r="H3824" t="str">
        <x:f>IF(E3824=F3824,"PASS","FAIL")</x:f>
        <x:v>PASS</x:v>
      </x:c>
    </x:row>
    <x:row r="3825">
      <x:c r="B3825" t="str">
        <x:v>A-03779</x:v>
      </x:c>
      <x:c r="C3825" t="str">
        <x:v>GATE</x:v>
      </x:c>
      <x:c r="D3825" t="str">
        <x:v>release state mirrors governing ledger</x:v>
      </x:c>
      <x:c r="E3825" t="str">
        <x:f>'Release Gates'!I3785</x:f>
        <x:v>OPEN</x:v>
      </x:c>
      <x:c r="F3825" t="str">
        <x:f>IF('Release Gates'!C3785="PLANNING","PASS",IF('Release Gates'!C3785="PHYSICAL","OPEN","BLOCKED"))</x:f>
        <x:v>OPEN</x:v>
      </x:c>
      <x:c r="G3825" t="str">
        <x:v>equals</x:v>
      </x:c>
      <x:c r="H3825" t="str">
        <x:f>IF(E3825=F3825,"PASS","FAIL")</x:f>
        <x:v>PASS</x:v>
      </x:c>
    </x:row>
    <x:row r="3826">
      <x:c r="B3826" t="str">
        <x:v>A-03780</x:v>
      </x:c>
      <x:c r="C3826" t="str">
        <x:v>GATE</x:v>
      </x:c>
      <x:c r="D3826" t="str">
        <x:v>release state mirrors governing ledger</x:v>
      </x:c>
      <x:c r="E3826" t="str">
        <x:f>'Release Gates'!I3786</x:f>
        <x:v>OPEN</x:v>
      </x:c>
      <x:c r="F3826" t="str">
        <x:f>IF('Release Gates'!C3786="PLANNING","PASS",IF('Release Gates'!C3786="PHYSICAL","OPEN","BLOCKED"))</x:f>
        <x:v>OPEN</x:v>
      </x:c>
      <x:c r="G3826" t="str">
        <x:v>equals</x:v>
      </x:c>
      <x:c r="H3826" t="str">
        <x:f>IF(E3826=F3826,"PASS","FAIL")</x:f>
        <x:v>PASS</x:v>
      </x:c>
    </x:row>
    <x:row r="3827">
      <x:c r="B3827" t="str">
        <x:v>A-03781</x:v>
      </x:c>
      <x:c r="C3827" t="str">
        <x:v>GATE</x:v>
      </x:c>
      <x:c r="D3827" t="str">
        <x:v>release state mirrors governing ledger</x:v>
      </x:c>
      <x:c r="E3827" t="str">
        <x:f>'Release Gates'!I3787</x:f>
        <x:v>OPEN</x:v>
      </x:c>
      <x:c r="F3827" t="str">
        <x:f>IF('Release Gates'!C3787="PLANNING","PASS",IF('Release Gates'!C3787="PHYSICAL","OPEN","BLOCKED"))</x:f>
        <x:v>OPEN</x:v>
      </x:c>
      <x:c r="G3827" t="str">
        <x:v>equals</x:v>
      </x:c>
      <x:c r="H3827" t="str">
        <x:f>IF(E3827=F3827,"PASS","FAIL")</x:f>
        <x:v>PASS</x:v>
      </x:c>
    </x:row>
    <x:row r="3828">
      <x:c r="B3828" t="str">
        <x:v>A-03782</x:v>
      </x:c>
      <x:c r="C3828" t="str">
        <x:v>GATE</x:v>
      </x:c>
      <x:c r="D3828" t="str">
        <x:v>release state mirrors governing ledger</x:v>
      </x:c>
      <x:c r="E3828" t="str">
        <x:f>'Release Gates'!I3788</x:f>
        <x:v>OPEN</x:v>
      </x:c>
      <x:c r="F3828" t="str">
        <x:f>IF('Release Gates'!C3788="PLANNING","PASS",IF('Release Gates'!C3788="PHYSICAL","OPEN","BLOCKED"))</x:f>
        <x:v>OPEN</x:v>
      </x:c>
      <x:c r="G3828" t="str">
        <x:v>equals</x:v>
      </x:c>
      <x:c r="H3828" t="str">
        <x:f>IF(E3828=F3828,"PASS","FAIL")</x:f>
        <x:v>PASS</x:v>
      </x:c>
    </x:row>
    <x:row r="3829">
      <x:c r="B3829" t="str">
        <x:v>A-03783</x:v>
      </x:c>
      <x:c r="C3829" t="str">
        <x:v>GATE</x:v>
      </x:c>
      <x:c r="D3829" t="str">
        <x:v>release state mirrors governing ledger</x:v>
      </x:c>
      <x:c r="E3829" t="str">
        <x:f>'Release Gates'!I3789</x:f>
        <x:v>OPEN</x:v>
      </x:c>
      <x:c r="F3829" t="str">
        <x:f>IF('Release Gates'!C3789="PLANNING","PASS",IF('Release Gates'!C3789="PHYSICAL","OPEN","BLOCKED"))</x:f>
        <x:v>OPEN</x:v>
      </x:c>
      <x:c r="G3829" t="str">
        <x:v>equals</x:v>
      </x:c>
      <x:c r="H3829" t="str">
        <x:f>IF(E3829=F3829,"PASS","FAIL")</x:f>
        <x:v>PASS</x:v>
      </x:c>
    </x:row>
    <x:row r="3830">
      <x:c r="B3830" t="str">
        <x:v>A-03784</x:v>
      </x:c>
      <x:c r="C3830" t="str">
        <x:v>GATE</x:v>
      </x:c>
      <x:c r="D3830" t="str">
        <x:v>release state mirrors governing ledger</x:v>
      </x:c>
      <x:c r="E3830" t="str">
        <x:f>'Release Gates'!I3790</x:f>
        <x:v>OPEN</x:v>
      </x:c>
      <x:c r="F3830" t="str">
        <x:f>IF('Release Gates'!C3790="PLANNING","PASS",IF('Release Gates'!C3790="PHYSICAL","OPEN","BLOCKED"))</x:f>
        <x:v>OPEN</x:v>
      </x:c>
      <x:c r="G3830" t="str">
        <x:v>equals</x:v>
      </x:c>
      <x:c r="H3830" t="str">
        <x:f>IF(E3830=F3830,"PASS","FAIL")</x:f>
        <x:v>PASS</x:v>
      </x:c>
    </x:row>
    <x:row r="3831">
      <x:c r="B3831" t="str">
        <x:v>A-03785</x:v>
      </x:c>
      <x:c r="C3831" t="str">
        <x:v>GATE</x:v>
      </x:c>
      <x:c r="D3831" t="str">
        <x:v>release state mirrors governing ledger</x:v>
      </x:c>
      <x:c r="E3831" t="str">
        <x:f>'Release Gates'!I3791</x:f>
        <x:v>OPEN</x:v>
      </x:c>
      <x:c r="F3831" t="str">
        <x:f>IF('Release Gates'!C3791="PLANNING","PASS",IF('Release Gates'!C3791="PHYSICAL","OPEN","BLOCKED"))</x:f>
        <x:v>OPEN</x:v>
      </x:c>
      <x:c r="G3831" t="str">
        <x:v>equals</x:v>
      </x:c>
      <x:c r="H3831" t="str">
        <x:f>IF(E3831=F3831,"PASS","FAIL")</x:f>
        <x:v>PASS</x:v>
      </x:c>
    </x:row>
    <x:row r="3832">
      <x:c r="B3832" t="str">
        <x:v>A-03786</x:v>
      </x:c>
      <x:c r="C3832" t="str">
        <x:v>GATE</x:v>
      </x:c>
      <x:c r="D3832" t="str">
        <x:v>release state mirrors governing ledger</x:v>
      </x:c>
      <x:c r="E3832" t="str">
        <x:f>'Release Gates'!I3792</x:f>
        <x:v>OPEN</x:v>
      </x:c>
      <x:c r="F3832" t="str">
        <x:f>IF('Release Gates'!C3792="PLANNING","PASS",IF('Release Gates'!C3792="PHYSICAL","OPEN","BLOCKED"))</x:f>
        <x:v>OPEN</x:v>
      </x:c>
      <x:c r="G3832" t="str">
        <x:v>equals</x:v>
      </x:c>
      <x:c r="H3832" t="str">
        <x:f>IF(E3832=F3832,"PASS","FAIL")</x:f>
        <x:v>PASS</x:v>
      </x:c>
    </x:row>
    <x:row r="3833">
      <x:c r="B3833" t="str">
        <x:v>A-03787</x:v>
      </x:c>
      <x:c r="C3833" t="str">
        <x:v>GATE</x:v>
      </x:c>
      <x:c r="D3833" t="str">
        <x:v>release state mirrors governing ledger</x:v>
      </x:c>
      <x:c r="E3833" t="str">
        <x:f>'Release Gates'!I3793</x:f>
        <x:v>OPEN</x:v>
      </x:c>
      <x:c r="F3833" t="str">
        <x:f>IF('Release Gates'!C3793="PLANNING","PASS",IF('Release Gates'!C3793="PHYSICAL","OPEN","BLOCKED"))</x:f>
        <x:v>OPEN</x:v>
      </x:c>
      <x:c r="G3833" t="str">
        <x:v>equals</x:v>
      </x:c>
      <x:c r="H3833" t="str">
        <x:f>IF(E3833=F3833,"PASS","FAIL")</x:f>
        <x:v>PASS</x:v>
      </x:c>
    </x:row>
    <x:row r="3834">
      <x:c r="B3834" t="str">
        <x:v>A-03788</x:v>
      </x:c>
      <x:c r="C3834" t="str">
        <x:v>GATE</x:v>
      </x:c>
      <x:c r="D3834" t="str">
        <x:v>release state mirrors governing ledger</x:v>
      </x:c>
      <x:c r="E3834" t="str">
        <x:f>'Release Gates'!I3794</x:f>
        <x:v>OPEN</x:v>
      </x:c>
      <x:c r="F3834" t="str">
        <x:f>IF('Release Gates'!C3794="PLANNING","PASS",IF('Release Gates'!C3794="PHYSICAL","OPEN","BLOCKED"))</x:f>
        <x:v>OPEN</x:v>
      </x:c>
      <x:c r="G3834" t="str">
        <x:v>equals</x:v>
      </x:c>
      <x:c r="H3834" t="str">
        <x:f>IF(E3834=F3834,"PASS","FAIL")</x:f>
        <x:v>PASS</x:v>
      </x:c>
    </x:row>
    <x:row r="3835">
      <x:c r="B3835" t="str">
        <x:v>A-03789</x:v>
      </x:c>
      <x:c r="C3835" t="str">
        <x:v>GATE</x:v>
      </x:c>
      <x:c r="D3835" t="str">
        <x:v>release state mirrors governing ledger</x:v>
      </x:c>
      <x:c r="E3835" t="str">
        <x:f>'Release Gates'!I3795</x:f>
        <x:v>OPEN</x:v>
      </x:c>
      <x:c r="F3835" t="str">
        <x:f>IF('Release Gates'!C3795="PLANNING","PASS",IF('Release Gates'!C3795="PHYSICAL","OPEN","BLOCKED"))</x:f>
        <x:v>OPEN</x:v>
      </x:c>
      <x:c r="G3835" t="str">
        <x:v>equals</x:v>
      </x:c>
      <x:c r="H3835" t="str">
        <x:f>IF(E3835=F3835,"PASS","FAIL")</x:f>
        <x:v>PASS</x:v>
      </x:c>
    </x:row>
    <x:row r="3836">
      <x:c r="B3836" t="str">
        <x:v>A-03790</x:v>
      </x:c>
      <x:c r="C3836" t="str">
        <x:v>GATE</x:v>
      </x:c>
      <x:c r="D3836" t="str">
        <x:v>release state mirrors governing ledger</x:v>
      </x:c>
      <x:c r="E3836" t="str">
        <x:f>'Release Gates'!I3796</x:f>
        <x:v>OPEN</x:v>
      </x:c>
      <x:c r="F3836" t="str">
        <x:f>IF('Release Gates'!C3796="PLANNING","PASS",IF('Release Gates'!C3796="PHYSICAL","OPEN","BLOCKED"))</x:f>
        <x:v>OPEN</x:v>
      </x:c>
      <x:c r="G3836" t="str">
        <x:v>equals</x:v>
      </x:c>
      <x:c r="H3836" t="str">
        <x:f>IF(E3836=F3836,"PASS","FAIL")</x:f>
        <x:v>PASS</x:v>
      </x:c>
    </x:row>
    <x:row r="3837">
      <x:c r="B3837" t="str">
        <x:v>A-03791</x:v>
      </x:c>
      <x:c r="C3837" t="str">
        <x:v>GATE</x:v>
      </x:c>
      <x:c r="D3837" t="str">
        <x:v>release state mirrors governing ledger</x:v>
      </x:c>
      <x:c r="E3837" t="str">
        <x:f>'Release Gates'!I3797</x:f>
        <x:v>OPEN</x:v>
      </x:c>
      <x:c r="F3837" t="str">
        <x:f>IF('Release Gates'!C3797="PLANNING","PASS",IF('Release Gates'!C3797="PHYSICAL","OPEN","BLOCKED"))</x:f>
        <x:v>OPEN</x:v>
      </x:c>
      <x:c r="G3837" t="str">
        <x:v>equals</x:v>
      </x:c>
      <x:c r="H3837" t="str">
        <x:f>IF(E3837=F3837,"PASS","FAIL")</x:f>
        <x:v>PASS</x:v>
      </x:c>
    </x:row>
    <x:row r="3838">
      <x:c r="B3838" t="str">
        <x:v>A-03792</x:v>
      </x:c>
      <x:c r="C3838" t="str">
        <x:v>GATE</x:v>
      </x:c>
      <x:c r="D3838" t="str">
        <x:v>release state mirrors governing ledger</x:v>
      </x:c>
      <x:c r="E3838" t="str">
        <x:f>'Release Gates'!I3798</x:f>
        <x:v>OPEN</x:v>
      </x:c>
      <x:c r="F3838" t="str">
        <x:f>IF('Release Gates'!C3798="PLANNING","PASS",IF('Release Gates'!C3798="PHYSICAL","OPEN","BLOCKED"))</x:f>
        <x:v>OPEN</x:v>
      </x:c>
      <x:c r="G3838" t="str">
        <x:v>equals</x:v>
      </x:c>
      <x:c r="H3838" t="str">
        <x:f>IF(E3838=F3838,"PASS","FAIL")</x:f>
        <x:v>PASS</x:v>
      </x:c>
    </x:row>
    <x:row r="3839">
      <x:c r="B3839" t="str">
        <x:v>A-03793</x:v>
      </x:c>
      <x:c r="C3839" t="str">
        <x:v>GATE</x:v>
      </x:c>
      <x:c r="D3839" t="str">
        <x:v>release state mirrors governing ledger</x:v>
      </x:c>
      <x:c r="E3839" t="str">
        <x:f>'Release Gates'!I3799</x:f>
        <x:v>OPEN</x:v>
      </x:c>
      <x:c r="F3839" t="str">
        <x:f>IF('Release Gates'!C3799="PLANNING","PASS",IF('Release Gates'!C3799="PHYSICAL","OPEN","BLOCKED"))</x:f>
        <x:v>OPEN</x:v>
      </x:c>
      <x:c r="G3839" t="str">
        <x:v>equals</x:v>
      </x:c>
      <x:c r="H3839" t="str">
        <x:f>IF(E3839=F3839,"PASS","FAIL")</x:f>
        <x:v>PASS</x:v>
      </x:c>
    </x:row>
    <x:row r="3840">
      <x:c r="B3840" t="str">
        <x:v>A-03794</x:v>
      </x:c>
      <x:c r="C3840" t="str">
        <x:v>GATE</x:v>
      </x:c>
      <x:c r="D3840" t="str">
        <x:v>release state mirrors governing ledger</x:v>
      </x:c>
      <x:c r="E3840" t="str">
        <x:f>'Release Gates'!I3800</x:f>
        <x:v>OPEN</x:v>
      </x:c>
      <x:c r="F3840" t="str">
        <x:f>IF('Release Gates'!C3800="PLANNING","PASS",IF('Release Gates'!C3800="PHYSICAL","OPEN","BLOCKED"))</x:f>
        <x:v>OPEN</x:v>
      </x:c>
      <x:c r="G3840" t="str">
        <x:v>equals</x:v>
      </x:c>
      <x:c r="H3840" t="str">
        <x:f>IF(E3840=F3840,"PASS","FAIL")</x:f>
        <x:v>PASS</x:v>
      </x:c>
    </x:row>
    <x:row r="3841">
      <x:c r="B3841" t="str">
        <x:v>A-03795</x:v>
      </x:c>
      <x:c r="C3841" t="str">
        <x:v>GATE</x:v>
      </x:c>
      <x:c r="D3841" t="str">
        <x:v>release state mirrors governing ledger</x:v>
      </x:c>
      <x:c r="E3841" t="str">
        <x:f>'Release Gates'!I3801</x:f>
        <x:v>OPEN</x:v>
      </x:c>
      <x:c r="F3841" t="str">
        <x:f>IF('Release Gates'!C3801="PLANNING","PASS",IF('Release Gates'!C3801="PHYSICAL","OPEN","BLOCKED"))</x:f>
        <x:v>OPEN</x:v>
      </x:c>
      <x:c r="G3841" t="str">
        <x:v>equals</x:v>
      </x:c>
      <x:c r="H3841" t="str">
        <x:f>IF(E3841=F3841,"PASS","FAIL")</x:f>
        <x:v>PASS</x:v>
      </x:c>
    </x:row>
    <x:row r="3842">
      <x:c r="B3842" t="str">
        <x:v>A-03796</x:v>
      </x:c>
      <x:c r="C3842" t="str">
        <x:v>GATE</x:v>
      </x:c>
      <x:c r="D3842" t="str">
        <x:v>release state mirrors governing ledger</x:v>
      </x:c>
      <x:c r="E3842" t="str">
        <x:f>'Release Gates'!I3802</x:f>
        <x:v>OPEN</x:v>
      </x:c>
      <x:c r="F3842" t="str">
        <x:f>IF('Release Gates'!C3802="PLANNING","PASS",IF('Release Gates'!C3802="PHYSICAL","OPEN","BLOCKED"))</x:f>
        <x:v>OPEN</x:v>
      </x:c>
      <x:c r="G3842" t="str">
        <x:v>equals</x:v>
      </x:c>
      <x:c r="H3842" t="str">
        <x:f>IF(E3842=F3842,"PASS","FAIL")</x:f>
        <x:v>PASS</x:v>
      </x:c>
    </x:row>
    <x:row r="3843">
      <x:c r="B3843" t="str">
        <x:v>A-03797</x:v>
      </x:c>
      <x:c r="C3843" t="str">
        <x:v>GATE</x:v>
      </x:c>
      <x:c r="D3843" t="str">
        <x:v>release state mirrors governing ledger</x:v>
      </x:c>
      <x:c r="E3843" t="str">
        <x:f>'Release Gates'!I3803</x:f>
        <x:v>OPEN</x:v>
      </x:c>
      <x:c r="F3843" t="str">
        <x:f>IF('Release Gates'!C3803="PLANNING","PASS",IF('Release Gates'!C3803="PHYSICAL","OPEN","BLOCKED"))</x:f>
        <x:v>OPEN</x:v>
      </x:c>
      <x:c r="G3843" t="str">
        <x:v>equals</x:v>
      </x:c>
      <x:c r="H3843" t="str">
        <x:f>IF(E3843=F3843,"PASS","FAIL")</x:f>
        <x:v>PASS</x:v>
      </x:c>
    </x:row>
    <x:row r="3844">
      <x:c r="B3844" t="str">
        <x:v>A-03798</x:v>
      </x:c>
      <x:c r="C3844" t="str">
        <x:v>GATE</x:v>
      </x:c>
      <x:c r="D3844" t="str">
        <x:v>release state mirrors governing ledger</x:v>
      </x:c>
      <x:c r="E3844" t="str">
        <x:f>'Release Gates'!I3804</x:f>
        <x:v>OPEN</x:v>
      </x:c>
      <x:c r="F3844" t="str">
        <x:f>IF('Release Gates'!C3804="PLANNING","PASS",IF('Release Gates'!C3804="PHYSICAL","OPEN","BLOCKED"))</x:f>
        <x:v>OPEN</x:v>
      </x:c>
      <x:c r="G3844" t="str">
        <x:v>equals</x:v>
      </x:c>
      <x:c r="H3844" t="str">
        <x:f>IF(E3844=F3844,"PASS","FAIL")</x:f>
        <x:v>PASS</x:v>
      </x:c>
    </x:row>
    <x:row r="3845">
      <x:c r="B3845" t="str">
        <x:v>A-03799</x:v>
      </x:c>
      <x:c r="C3845" t="str">
        <x:v>GATE</x:v>
      </x:c>
      <x:c r="D3845" t="str">
        <x:v>release state mirrors governing ledger</x:v>
      </x:c>
      <x:c r="E3845" t="str">
        <x:f>'Release Gates'!I3805</x:f>
        <x:v>OPEN</x:v>
      </x:c>
      <x:c r="F3845" t="str">
        <x:f>IF('Release Gates'!C3805="PLANNING","PASS",IF('Release Gates'!C3805="PHYSICAL","OPEN","BLOCKED"))</x:f>
        <x:v>OPEN</x:v>
      </x:c>
      <x:c r="G3845" t="str">
        <x:v>equals</x:v>
      </x:c>
      <x:c r="H3845" t="str">
        <x:f>IF(E3845=F3845,"PASS","FAIL")</x:f>
        <x:v>PASS</x:v>
      </x:c>
    </x:row>
    <x:row r="3846">
      <x:c r="B3846" t="str">
        <x:v>A-03800</x:v>
      </x:c>
      <x:c r="C3846" t="str">
        <x:v>GATE</x:v>
      </x:c>
      <x:c r="D3846" t="str">
        <x:v>release state mirrors governing ledger</x:v>
      </x:c>
      <x:c r="E3846" t="str">
        <x:f>'Release Gates'!I3806</x:f>
        <x:v>OPEN</x:v>
      </x:c>
      <x:c r="F3846" t="str">
        <x:f>IF('Release Gates'!C3806="PLANNING","PASS",IF('Release Gates'!C3806="PHYSICAL","OPEN","BLOCKED"))</x:f>
        <x:v>OPEN</x:v>
      </x:c>
      <x:c r="G3846" t="str">
        <x:v>equals</x:v>
      </x:c>
      <x:c r="H3846" t="str">
        <x:f>IF(E3846=F3846,"PASS","FAIL")</x:f>
        <x:v>PASS</x:v>
      </x:c>
    </x:row>
    <x:row r="3847">
      <x:c r="B3847" t="str">
        <x:v>A-03801</x:v>
      </x:c>
      <x:c r="C3847" t="str">
        <x:v>GATE</x:v>
      </x:c>
      <x:c r="D3847" t="str">
        <x:v>release state mirrors governing ledger</x:v>
      </x:c>
      <x:c r="E3847" t="str">
        <x:f>'Release Gates'!I3807</x:f>
        <x:v>OPEN</x:v>
      </x:c>
      <x:c r="F3847" t="str">
        <x:f>IF('Release Gates'!C3807="PLANNING","PASS",IF('Release Gates'!C3807="PHYSICAL","OPEN","BLOCKED"))</x:f>
        <x:v>OPEN</x:v>
      </x:c>
      <x:c r="G3847" t="str">
        <x:v>equals</x:v>
      </x:c>
      <x:c r="H3847" t="str">
        <x:f>IF(E3847=F3847,"PASS","FAIL")</x:f>
        <x:v>PASS</x:v>
      </x:c>
    </x:row>
    <x:row r="3848">
      <x:c r="B3848" t="str">
        <x:v>A-03802</x:v>
      </x:c>
      <x:c r="C3848" t="str">
        <x:v>GATE</x:v>
      </x:c>
      <x:c r="D3848" t="str">
        <x:v>release state mirrors governing ledger</x:v>
      </x:c>
      <x:c r="E3848" t="str">
        <x:f>'Release Gates'!I3808</x:f>
        <x:v>OPEN</x:v>
      </x:c>
      <x:c r="F3848" t="str">
        <x:f>IF('Release Gates'!C3808="PLANNING","PASS",IF('Release Gates'!C3808="PHYSICAL","OPEN","BLOCKED"))</x:f>
        <x:v>OPEN</x:v>
      </x:c>
      <x:c r="G3848" t="str">
        <x:v>equals</x:v>
      </x:c>
      <x:c r="H3848" t="str">
        <x:f>IF(E3848=F3848,"PASS","FAIL")</x:f>
        <x:v>PASS</x:v>
      </x:c>
    </x:row>
    <x:row r="3849">
      <x:c r="B3849" t="str">
        <x:v>A-03803</x:v>
      </x:c>
      <x:c r="C3849" t="str">
        <x:v>GATE</x:v>
      </x:c>
      <x:c r="D3849" t="str">
        <x:v>release state mirrors governing ledger</x:v>
      </x:c>
      <x:c r="E3849" t="str">
        <x:f>'Release Gates'!I3809</x:f>
        <x:v>OPEN</x:v>
      </x:c>
      <x:c r="F3849" t="str">
        <x:f>IF('Release Gates'!C3809="PLANNING","PASS",IF('Release Gates'!C3809="PHYSICAL","OPEN","BLOCKED"))</x:f>
        <x:v>OPEN</x:v>
      </x:c>
      <x:c r="G3849" t="str">
        <x:v>equals</x:v>
      </x:c>
      <x:c r="H3849" t="str">
        <x:f>IF(E3849=F3849,"PASS","FAIL")</x:f>
        <x:v>PASS</x:v>
      </x:c>
    </x:row>
    <x:row r="3850">
      <x:c r="B3850" t="str">
        <x:v>A-03804</x:v>
      </x:c>
      <x:c r="C3850" t="str">
        <x:v>GATE</x:v>
      </x:c>
      <x:c r="D3850" t="str">
        <x:v>release state mirrors governing ledger</x:v>
      </x:c>
      <x:c r="E3850" t="str">
        <x:f>'Release Gates'!I3810</x:f>
        <x:v>OPEN</x:v>
      </x:c>
      <x:c r="F3850" t="str">
        <x:f>IF('Release Gates'!C3810="PLANNING","PASS",IF('Release Gates'!C3810="PHYSICAL","OPEN","BLOCKED"))</x:f>
        <x:v>OPEN</x:v>
      </x:c>
      <x:c r="G3850" t="str">
        <x:v>equals</x:v>
      </x:c>
      <x:c r="H3850" t="str">
        <x:f>IF(E3850=F3850,"PASS","FAIL")</x:f>
        <x:v>PASS</x:v>
      </x:c>
    </x:row>
    <x:row r="3851">
      <x:c r="B3851" t="str">
        <x:v>A-03805</x:v>
      </x:c>
      <x:c r="C3851" t="str">
        <x:v>GATE</x:v>
      </x:c>
      <x:c r="D3851" t="str">
        <x:v>release state mirrors governing ledger</x:v>
      </x:c>
      <x:c r="E3851" t="str">
        <x:f>'Release Gates'!I3811</x:f>
        <x:v>OPEN</x:v>
      </x:c>
      <x:c r="F3851" t="str">
        <x:f>IF('Release Gates'!C3811="PLANNING","PASS",IF('Release Gates'!C3811="PHYSICAL","OPEN","BLOCKED"))</x:f>
        <x:v>OPEN</x:v>
      </x:c>
      <x:c r="G3851" t="str">
        <x:v>equals</x:v>
      </x:c>
      <x:c r="H3851" t="str">
        <x:f>IF(E3851=F3851,"PASS","FAIL")</x:f>
        <x:v>PASS</x:v>
      </x:c>
    </x:row>
    <x:row r="3852">
      <x:c r="B3852" t="str">
        <x:v>A-03806</x:v>
      </x:c>
      <x:c r="C3852" t="str">
        <x:v>GATE</x:v>
      </x:c>
      <x:c r="D3852" t="str">
        <x:v>release state mirrors governing ledger</x:v>
      </x:c>
      <x:c r="E3852" t="str">
        <x:f>'Release Gates'!I3812</x:f>
        <x:v>OPEN</x:v>
      </x:c>
      <x:c r="F3852" t="str">
        <x:f>IF('Release Gates'!C3812="PLANNING","PASS",IF('Release Gates'!C3812="PHYSICAL","OPEN","BLOCKED"))</x:f>
        <x:v>OPEN</x:v>
      </x:c>
      <x:c r="G3852" t="str">
        <x:v>equals</x:v>
      </x:c>
      <x:c r="H3852" t="str">
        <x:f>IF(E3852=F3852,"PASS","FAIL")</x:f>
        <x:v>PASS</x:v>
      </x:c>
    </x:row>
    <x:row r="3853">
      <x:c r="B3853" t="str">
        <x:v>A-03807</x:v>
      </x:c>
      <x:c r="C3853" t="str">
        <x:v>GATE</x:v>
      </x:c>
      <x:c r="D3853" t="str">
        <x:v>release state mirrors governing ledger</x:v>
      </x:c>
      <x:c r="E3853" t="str">
        <x:f>'Release Gates'!I3813</x:f>
        <x:v>OPEN</x:v>
      </x:c>
      <x:c r="F3853" t="str">
        <x:f>IF('Release Gates'!C3813="PLANNING","PASS",IF('Release Gates'!C3813="PHYSICAL","OPEN","BLOCKED"))</x:f>
        <x:v>OPEN</x:v>
      </x:c>
      <x:c r="G3853" t="str">
        <x:v>equals</x:v>
      </x:c>
      <x:c r="H3853" t="str">
        <x:f>IF(E3853=F3853,"PASS","FAIL")</x:f>
        <x:v>PASS</x:v>
      </x:c>
    </x:row>
    <x:row r="3854">
      <x:c r="B3854" t="str">
        <x:v>A-03808</x:v>
      </x:c>
      <x:c r="C3854" t="str">
        <x:v>GATE</x:v>
      </x:c>
      <x:c r="D3854" t="str">
        <x:v>release state mirrors governing ledger</x:v>
      </x:c>
      <x:c r="E3854" t="str">
        <x:f>'Release Gates'!I3814</x:f>
        <x:v>OPEN</x:v>
      </x:c>
      <x:c r="F3854" t="str">
        <x:f>IF('Release Gates'!C3814="PLANNING","PASS",IF('Release Gates'!C3814="PHYSICAL","OPEN","BLOCKED"))</x:f>
        <x:v>OPEN</x:v>
      </x:c>
      <x:c r="G3854" t="str">
        <x:v>equals</x:v>
      </x:c>
      <x:c r="H3854" t="str">
        <x:f>IF(E3854=F3854,"PASS","FAIL")</x:f>
        <x:v>PASS</x:v>
      </x:c>
    </x:row>
    <x:row r="3855">
      <x:c r="B3855" t="str">
        <x:v>A-03809</x:v>
      </x:c>
      <x:c r="C3855" t="str">
        <x:v>GATE</x:v>
      </x:c>
      <x:c r="D3855" t="str">
        <x:v>release state mirrors governing ledger</x:v>
      </x:c>
      <x:c r="E3855" t="str">
        <x:f>'Release Gates'!I3815</x:f>
        <x:v>OPEN</x:v>
      </x:c>
      <x:c r="F3855" t="str">
        <x:f>IF('Release Gates'!C3815="PLANNING","PASS",IF('Release Gates'!C3815="PHYSICAL","OPEN","BLOCKED"))</x:f>
        <x:v>OPEN</x:v>
      </x:c>
      <x:c r="G3855" t="str">
        <x:v>equals</x:v>
      </x:c>
      <x:c r="H3855" t="str">
        <x:f>IF(E3855=F3855,"PASS","FAIL")</x:f>
        <x:v>PASS</x:v>
      </x:c>
    </x:row>
    <x:row r="3856">
      <x:c r="B3856" t="str">
        <x:v>A-03810</x:v>
      </x:c>
      <x:c r="C3856" t="str">
        <x:v>GATE</x:v>
      </x:c>
      <x:c r="D3856" t="str">
        <x:v>release state mirrors governing ledger</x:v>
      </x:c>
      <x:c r="E3856" t="str">
        <x:f>'Release Gates'!I3816</x:f>
        <x:v>OPEN</x:v>
      </x:c>
      <x:c r="F3856" t="str">
        <x:f>IF('Release Gates'!C3816="PLANNING","PASS",IF('Release Gates'!C3816="PHYSICAL","OPEN","BLOCKED"))</x:f>
        <x:v>OPEN</x:v>
      </x:c>
      <x:c r="G3856" t="str">
        <x:v>equals</x:v>
      </x:c>
      <x:c r="H3856" t="str">
        <x:f>IF(E3856=F3856,"PASS","FAIL")</x:f>
        <x:v>PASS</x:v>
      </x:c>
    </x:row>
    <x:row r="3857">
      <x:c r="B3857" t="str">
        <x:v>A-03811</x:v>
      </x:c>
      <x:c r="C3857" t="str">
        <x:v>GATE</x:v>
      </x:c>
      <x:c r="D3857" t="str">
        <x:v>release state mirrors governing ledger</x:v>
      </x:c>
      <x:c r="E3857" t="str">
        <x:f>'Release Gates'!I3817</x:f>
        <x:v>OPEN</x:v>
      </x:c>
      <x:c r="F3857" t="str">
        <x:f>IF('Release Gates'!C3817="PLANNING","PASS",IF('Release Gates'!C3817="PHYSICAL","OPEN","BLOCKED"))</x:f>
        <x:v>OPEN</x:v>
      </x:c>
      <x:c r="G3857" t="str">
        <x:v>equals</x:v>
      </x:c>
      <x:c r="H3857" t="str">
        <x:f>IF(E3857=F3857,"PASS","FAIL")</x:f>
        <x:v>PASS</x:v>
      </x:c>
    </x:row>
    <x:row r="3858">
      <x:c r="B3858" t="str">
        <x:v>A-03812</x:v>
      </x:c>
      <x:c r="C3858" t="str">
        <x:v>GATE</x:v>
      </x:c>
      <x:c r="D3858" t="str">
        <x:v>release state mirrors governing ledger</x:v>
      </x:c>
      <x:c r="E3858" t="str">
        <x:f>'Release Gates'!I3818</x:f>
        <x:v>OPEN</x:v>
      </x:c>
      <x:c r="F3858" t="str">
        <x:f>IF('Release Gates'!C3818="PLANNING","PASS",IF('Release Gates'!C3818="PHYSICAL","OPEN","BLOCKED"))</x:f>
        <x:v>OPEN</x:v>
      </x:c>
      <x:c r="G3858" t="str">
        <x:v>equals</x:v>
      </x:c>
      <x:c r="H3858" t="str">
        <x:f>IF(E3858=F3858,"PASS","FAIL")</x:f>
        <x:v>PASS</x:v>
      </x:c>
    </x:row>
    <x:row r="3859">
      <x:c r="B3859" t="str">
        <x:v>A-03813</x:v>
      </x:c>
      <x:c r="C3859" t="str">
        <x:v>GATE</x:v>
      </x:c>
      <x:c r="D3859" t="str">
        <x:v>release state mirrors governing ledger</x:v>
      </x:c>
      <x:c r="E3859" t="str">
        <x:f>'Release Gates'!I3819</x:f>
        <x:v>OPEN</x:v>
      </x:c>
      <x:c r="F3859" t="str">
        <x:f>IF('Release Gates'!C3819="PLANNING","PASS",IF('Release Gates'!C3819="PHYSICAL","OPEN","BLOCKED"))</x:f>
        <x:v>OPEN</x:v>
      </x:c>
      <x:c r="G3859" t="str">
        <x:v>equals</x:v>
      </x:c>
      <x:c r="H3859" t="str">
        <x:f>IF(E3859=F3859,"PASS","FAIL")</x:f>
        <x:v>PASS</x:v>
      </x:c>
    </x:row>
    <x:row r="3860">
      <x:c r="B3860" t="str">
        <x:v>A-03814</x:v>
      </x:c>
      <x:c r="C3860" t="str">
        <x:v>GATE</x:v>
      </x:c>
      <x:c r="D3860" t="str">
        <x:v>release state mirrors governing ledger</x:v>
      </x:c>
      <x:c r="E3860" t="str">
        <x:f>'Release Gates'!I3820</x:f>
        <x:v>OPEN</x:v>
      </x:c>
      <x:c r="F3860" t="str">
        <x:f>IF('Release Gates'!C3820="PLANNING","PASS",IF('Release Gates'!C3820="PHYSICAL","OPEN","BLOCKED"))</x:f>
        <x:v>OPEN</x:v>
      </x:c>
      <x:c r="G3860" t="str">
        <x:v>equals</x:v>
      </x:c>
      <x:c r="H3860" t="str">
        <x:f>IF(E3860=F3860,"PASS","FAIL")</x:f>
        <x:v>PASS</x:v>
      </x:c>
    </x:row>
    <x:row r="3861">
      <x:c r="B3861" t="str">
        <x:v>A-03815</x:v>
      </x:c>
      <x:c r="C3861" t="str">
        <x:v>GATE</x:v>
      </x:c>
      <x:c r="D3861" t="str">
        <x:v>release state mirrors governing ledger</x:v>
      </x:c>
      <x:c r="E3861" t="str">
        <x:f>'Release Gates'!I3821</x:f>
        <x:v>OPEN</x:v>
      </x:c>
      <x:c r="F3861" t="str">
        <x:f>IF('Release Gates'!C3821="PLANNING","PASS",IF('Release Gates'!C3821="PHYSICAL","OPEN","BLOCKED"))</x:f>
        <x:v>OPEN</x:v>
      </x:c>
      <x:c r="G3861" t="str">
        <x:v>equals</x:v>
      </x:c>
      <x:c r="H3861" t="str">
        <x:f>IF(E3861=F3861,"PASS","FAIL")</x:f>
        <x:v>PASS</x:v>
      </x:c>
    </x:row>
    <x:row r="3862">
      <x:c r="B3862" t="str">
        <x:v>A-03816</x:v>
      </x:c>
      <x:c r="C3862" t="str">
        <x:v>GATE</x:v>
      </x:c>
      <x:c r="D3862" t="str">
        <x:v>release state mirrors governing ledger</x:v>
      </x:c>
      <x:c r="E3862" t="str">
        <x:f>'Release Gates'!I3822</x:f>
        <x:v>OPEN</x:v>
      </x:c>
      <x:c r="F3862" t="str">
        <x:f>IF('Release Gates'!C3822="PLANNING","PASS",IF('Release Gates'!C3822="PHYSICAL","OPEN","BLOCKED"))</x:f>
        <x:v>OPEN</x:v>
      </x:c>
      <x:c r="G3862" t="str">
        <x:v>equals</x:v>
      </x:c>
      <x:c r="H3862" t="str">
        <x:f>IF(E3862=F3862,"PASS","FAIL")</x:f>
        <x:v>PASS</x:v>
      </x:c>
    </x:row>
    <x:row r="3863">
      <x:c r="B3863" t="str">
        <x:v>A-03817</x:v>
      </x:c>
      <x:c r="C3863" t="str">
        <x:v>GATE</x:v>
      </x:c>
      <x:c r="D3863" t="str">
        <x:v>release state mirrors governing ledger</x:v>
      </x:c>
      <x:c r="E3863" t="str">
        <x:f>'Release Gates'!I3823</x:f>
        <x:v>OPEN</x:v>
      </x:c>
      <x:c r="F3863" t="str">
        <x:f>IF('Release Gates'!C3823="PLANNING","PASS",IF('Release Gates'!C3823="PHYSICAL","OPEN","BLOCKED"))</x:f>
        <x:v>OPEN</x:v>
      </x:c>
      <x:c r="G3863" t="str">
        <x:v>equals</x:v>
      </x:c>
      <x:c r="H3863" t="str">
        <x:f>IF(E3863=F3863,"PASS","FAIL")</x:f>
        <x:v>PASS</x:v>
      </x:c>
    </x:row>
    <x:row r="3864">
      <x:c r="B3864" t="str">
        <x:v>A-03818</x:v>
      </x:c>
      <x:c r="C3864" t="str">
        <x:v>GATE</x:v>
      </x:c>
      <x:c r="D3864" t="str">
        <x:v>release state mirrors governing ledger</x:v>
      </x:c>
      <x:c r="E3864" t="str">
        <x:f>'Release Gates'!I3824</x:f>
        <x:v>OPEN</x:v>
      </x:c>
      <x:c r="F3864" t="str">
        <x:f>IF('Release Gates'!C3824="PLANNING","PASS",IF('Release Gates'!C3824="PHYSICAL","OPEN","BLOCKED"))</x:f>
        <x:v>OPEN</x:v>
      </x:c>
      <x:c r="G3864" t="str">
        <x:v>equals</x:v>
      </x:c>
      <x:c r="H3864" t="str">
        <x:f>IF(E3864=F3864,"PASS","FAIL")</x:f>
        <x:v>PASS</x:v>
      </x:c>
    </x:row>
    <x:row r="3865">
      <x:c r="B3865" t="str">
        <x:v>A-03819</x:v>
      </x:c>
      <x:c r="C3865" t="str">
        <x:v>GATE</x:v>
      </x:c>
      <x:c r="D3865" t="str">
        <x:v>release state mirrors governing ledger</x:v>
      </x:c>
      <x:c r="E3865" t="str">
        <x:f>'Release Gates'!I3825</x:f>
        <x:v>OPEN</x:v>
      </x:c>
      <x:c r="F3865" t="str">
        <x:f>IF('Release Gates'!C3825="PLANNING","PASS",IF('Release Gates'!C3825="PHYSICAL","OPEN","BLOCKED"))</x:f>
        <x:v>OPEN</x:v>
      </x:c>
      <x:c r="G3865" t="str">
        <x:v>equals</x:v>
      </x:c>
      <x:c r="H3865" t="str">
        <x:f>IF(E3865=F3865,"PASS","FAIL")</x:f>
        <x:v>PASS</x:v>
      </x:c>
    </x:row>
    <x:row r="3866">
      <x:c r="B3866" t="str">
        <x:v>A-03820</x:v>
      </x:c>
      <x:c r="C3866" t="str">
        <x:v>GATE</x:v>
      </x:c>
      <x:c r="D3866" t="str">
        <x:v>release state mirrors governing ledger</x:v>
      </x:c>
      <x:c r="E3866" t="str">
        <x:f>'Release Gates'!I3826</x:f>
        <x:v>OPEN</x:v>
      </x:c>
      <x:c r="F3866" t="str">
        <x:f>IF('Release Gates'!C3826="PLANNING","PASS",IF('Release Gates'!C3826="PHYSICAL","OPEN","BLOCKED"))</x:f>
        <x:v>OPEN</x:v>
      </x:c>
      <x:c r="G3866" t="str">
        <x:v>equals</x:v>
      </x:c>
      <x:c r="H3866" t="str">
        <x:f>IF(E3866=F3866,"PASS","FAIL")</x:f>
        <x:v>PASS</x:v>
      </x:c>
    </x:row>
    <x:row r="3867">
      <x:c r="B3867" t="str">
        <x:v>A-03821</x:v>
      </x:c>
      <x:c r="C3867" t="str">
        <x:v>GATE</x:v>
      </x:c>
      <x:c r="D3867" t="str">
        <x:v>release state mirrors governing ledger</x:v>
      </x:c>
      <x:c r="E3867" t="str">
        <x:f>'Release Gates'!I3827</x:f>
        <x:v>OPEN</x:v>
      </x:c>
      <x:c r="F3867" t="str">
        <x:f>IF('Release Gates'!C3827="PLANNING","PASS",IF('Release Gates'!C3827="PHYSICAL","OPEN","BLOCKED"))</x:f>
        <x:v>OPEN</x:v>
      </x:c>
      <x:c r="G3867" t="str">
        <x:v>equals</x:v>
      </x:c>
      <x:c r="H3867" t="str">
        <x:f>IF(E3867=F3867,"PASS","FAIL")</x:f>
        <x:v>PASS</x:v>
      </x:c>
    </x:row>
    <x:row r="3868">
      <x:c r="B3868" t="str">
        <x:v>A-03822</x:v>
      </x:c>
      <x:c r="C3868" t="str">
        <x:v>GATE</x:v>
      </x:c>
      <x:c r="D3868" t="str">
        <x:v>release state mirrors governing ledger</x:v>
      </x:c>
      <x:c r="E3868" t="str">
        <x:f>'Release Gates'!I3828</x:f>
        <x:v>OPEN</x:v>
      </x:c>
      <x:c r="F3868" t="str">
        <x:f>IF('Release Gates'!C3828="PLANNING","PASS",IF('Release Gates'!C3828="PHYSICAL","OPEN","BLOCKED"))</x:f>
        <x:v>OPEN</x:v>
      </x:c>
      <x:c r="G3868" t="str">
        <x:v>equals</x:v>
      </x:c>
      <x:c r="H3868" t="str">
        <x:f>IF(E3868=F3868,"PASS","FAIL")</x:f>
        <x:v>PASS</x:v>
      </x:c>
    </x:row>
    <x:row r="3869">
      <x:c r="B3869" t="str">
        <x:v>A-03823</x:v>
      </x:c>
      <x:c r="C3869" t="str">
        <x:v>GATE</x:v>
      </x:c>
      <x:c r="D3869" t="str">
        <x:v>release state mirrors governing ledger</x:v>
      </x:c>
      <x:c r="E3869" t="str">
        <x:f>'Release Gates'!I3829</x:f>
        <x:v>OPEN</x:v>
      </x:c>
      <x:c r="F3869" t="str">
        <x:f>IF('Release Gates'!C3829="PLANNING","PASS",IF('Release Gates'!C3829="PHYSICAL","OPEN","BLOCKED"))</x:f>
        <x:v>OPEN</x:v>
      </x:c>
      <x:c r="G3869" t="str">
        <x:v>equals</x:v>
      </x:c>
      <x:c r="H3869" t="str">
        <x:f>IF(E3869=F3869,"PASS","FAIL")</x:f>
        <x:v>PASS</x:v>
      </x:c>
    </x:row>
    <x:row r="3870">
      <x:c r="B3870" t="str">
        <x:v>A-03824</x:v>
      </x:c>
      <x:c r="C3870" t="str">
        <x:v>GATE</x:v>
      </x:c>
      <x:c r="D3870" t="str">
        <x:v>release state mirrors governing ledger</x:v>
      </x:c>
      <x:c r="E3870" t="str">
        <x:f>'Release Gates'!I3830</x:f>
        <x:v>OPEN</x:v>
      </x:c>
      <x:c r="F3870" t="str">
        <x:f>IF('Release Gates'!C3830="PLANNING","PASS",IF('Release Gates'!C3830="PHYSICAL","OPEN","BLOCKED"))</x:f>
        <x:v>OPEN</x:v>
      </x:c>
      <x:c r="G3870" t="str">
        <x:v>equals</x:v>
      </x:c>
      <x:c r="H3870" t="str">
        <x:f>IF(E3870=F3870,"PASS","FAIL")</x:f>
        <x:v>PASS</x:v>
      </x:c>
    </x:row>
    <x:row r="3871">
      <x:c r="B3871" t="str">
        <x:v>A-03825</x:v>
      </x:c>
      <x:c r="C3871" t="str">
        <x:v>GATE</x:v>
      </x:c>
      <x:c r="D3871" t="str">
        <x:v>release state mirrors governing ledger</x:v>
      </x:c>
      <x:c r="E3871" t="str">
        <x:f>'Release Gates'!I3831</x:f>
        <x:v>OPEN</x:v>
      </x:c>
      <x:c r="F3871" t="str">
        <x:f>IF('Release Gates'!C3831="PLANNING","PASS",IF('Release Gates'!C3831="PHYSICAL","OPEN","BLOCKED"))</x:f>
        <x:v>OPEN</x:v>
      </x:c>
      <x:c r="G3871" t="str">
        <x:v>equals</x:v>
      </x:c>
      <x:c r="H3871" t="str">
        <x:f>IF(E3871=F3871,"PASS","FAIL")</x:f>
        <x:v>PASS</x:v>
      </x:c>
    </x:row>
    <x:row r="3872">
      <x:c r="B3872" t="str">
        <x:v>A-03826</x:v>
      </x:c>
      <x:c r="C3872" t="str">
        <x:v>GATE</x:v>
      </x:c>
      <x:c r="D3872" t="str">
        <x:v>release state mirrors governing ledger</x:v>
      </x:c>
      <x:c r="E3872" t="str">
        <x:f>'Release Gates'!I3832</x:f>
        <x:v>OPEN</x:v>
      </x:c>
      <x:c r="F3872" t="str">
        <x:f>IF('Release Gates'!C3832="PLANNING","PASS",IF('Release Gates'!C3832="PHYSICAL","OPEN","BLOCKED"))</x:f>
        <x:v>OPEN</x:v>
      </x:c>
      <x:c r="G3872" t="str">
        <x:v>equals</x:v>
      </x:c>
      <x:c r="H3872" t="str">
        <x:f>IF(E3872=F3872,"PASS","FAIL")</x:f>
        <x:v>PASS</x:v>
      </x:c>
    </x:row>
    <x:row r="3873">
      <x:c r="B3873" t="str">
        <x:v>A-03827</x:v>
      </x:c>
      <x:c r="C3873" t="str">
        <x:v>GATE</x:v>
      </x:c>
      <x:c r="D3873" t="str">
        <x:v>release state mirrors governing ledger</x:v>
      </x:c>
      <x:c r="E3873" t="str">
        <x:f>'Release Gates'!I3833</x:f>
        <x:v>OPEN</x:v>
      </x:c>
      <x:c r="F3873" t="str">
        <x:f>IF('Release Gates'!C3833="PLANNING","PASS",IF('Release Gates'!C3833="PHYSICAL","OPEN","BLOCKED"))</x:f>
        <x:v>OPEN</x:v>
      </x:c>
      <x:c r="G3873" t="str">
        <x:v>equals</x:v>
      </x:c>
      <x:c r="H3873" t="str">
        <x:f>IF(E3873=F3873,"PASS","FAIL")</x:f>
        <x:v>PASS</x:v>
      </x:c>
    </x:row>
    <x:row r="3874">
      <x:c r="B3874" t="str">
        <x:v>A-03828</x:v>
      </x:c>
      <x:c r="C3874" t="str">
        <x:v>GATE</x:v>
      </x:c>
      <x:c r="D3874" t="str">
        <x:v>release state mirrors governing ledger</x:v>
      </x:c>
      <x:c r="E3874" t="str">
        <x:f>'Release Gates'!I3834</x:f>
        <x:v>OPEN</x:v>
      </x:c>
      <x:c r="F3874" t="str">
        <x:f>IF('Release Gates'!C3834="PLANNING","PASS",IF('Release Gates'!C3834="PHYSICAL","OPEN","BLOCKED"))</x:f>
        <x:v>OPEN</x:v>
      </x:c>
      <x:c r="G3874" t="str">
        <x:v>equals</x:v>
      </x:c>
      <x:c r="H3874" t="str">
        <x:f>IF(E3874=F3874,"PASS","FAIL")</x:f>
        <x:v>PASS</x:v>
      </x:c>
    </x:row>
    <x:row r="3875">
      <x:c r="B3875" t="str">
        <x:v>A-03829</x:v>
      </x:c>
      <x:c r="C3875" t="str">
        <x:v>GATE</x:v>
      </x:c>
      <x:c r="D3875" t="str">
        <x:v>release state mirrors governing ledger</x:v>
      </x:c>
      <x:c r="E3875" t="str">
        <x:f>'Release Gates'!I3835</x:f>
        <x:v>OPEN</x:v>
      </x:c>
      <x:c r="F3875" t="str">
        <x:f>IF('Release Gates'!C3835="PLANNING","PASS",IF('Release Gates'!C3835="PHYSICAL","OPEN","BLOCKED"))</x:f>
        <x:v>OPEN</x:v>
      </x:c>
      <x:c r="G3875" t="str">
        <x:v>equals</x:v>
      </x:c>
      <x:c r="H3875" t="str">
        <x:f>IF(E3875=F3875,"PASS","FAIL")</x:f>
        <x:v>PASS</x:v>
      </x:c>
    </x:row>
    <x:row r="3876">
      <x:c r="B3876" t="str">
        <x:v>A-03830</x:v>
      </x:c>
      <x:c r="C3876" t="str">
        <x:v>GATE</x:v>
      </x:c>
      <x:c r="D3876" t="str">
        <x:v>release state mirrors governing ledger</x:v>
      </x:c>
      <x:c r="E3876" t="str">
        <x:f>'Release Gates'!I3836</x:f>
        <x:v>OPEN</x:v>
      </x:c>
      <x:c r="F3876" t="str">
        <x:f>IF('Release Gates'!C3836="PLANNING","PASS",IF('Release Gates'!C3836="PHYSICAL","OPEN","BLOCKED"))</x:f>
        <x:v>OPEN</x:v>
      </x:c>
      <x:c r="G3876" t="str">
        <x:v>equals</x:v>
      </x:c>
      <x:c r="H3876" t="str">
        <x:f>IF(E3876=F3876,"PASS","FAIL")</x:f>
        <x:v>PASS</x:v>
      </x:c>
    </x:row>
    <x:row r="3877">
      <x:c r="B3877" t="str">
        <x:v>A-03831</x:v>
      </x:c>
      <x:c r="C3877" t="str">
        <x:v>GATE</x:v>
      </x:c>
      <x:c r="D3877" t="str">
        <x:v>release state mirrors governing ledger</x:v>
      </x:c>
      <x:c r="E3877" t="str">
        <x:f>'Release Gates'!I3837</x:f>
        <x:v>OPEN</x:v>
      </x:c>
      <x:c r="F3877" t="str">
        <x:f>IF('Release Gates'!C3837="PLANNING","PASS",IF('Release Gates'!C3837="PHYSICAL","OPEN","BLOCKED"))</x:f>
        <x:v>OPEN</x:v>
      </x:c>
      <x:c r="G3877" t="str">
        <x:v>equals</x:v>
      </x:c>
      <x:c r="H3877" t="str">
        <x:f>IF(E3877=F3877,"PASS","FAIL")</x:f>
        <x:v>PASS</x:v>
      </x:c>
    </x:row>
    <x:row r="3878">
      <x:c r="B3878" t="str">
        <x:v>A-03832</x:v>
      </x:c>
      <x:c r="C3878" t="str">
        <x:v>GATE</x:v>
      </x:c>
      <x:c r="D3878" t="str">
        <x:v>release state mirrors governing ledger</x:v>
      </x:c>
      <x:c r="E3878" t="str">
        <x:f>'Release Gates'!I3838</x:f>
        <x:v>OPEN</x:v>
      </x:c>
      <x:c r="F3878" t="str">
        <x:f>IF('Release Gates'!C3838="PLANNING","PASS",IF('Release Gates'!C3838="PHYSICAL","OPEN","BLOCKED"))</x:f>
        <x:v>OPEN</x:v>
      </x:c>
      <x:c r="G3878" t="str">
        <x:v>equals</x:v>
      </x:c>
      <x:c r="H3878" t="str">
        <x:f>IF(E3878=F3878,"PASS","FAIL")</x:f>
        <x:v>PASS</x:v>
      </x:c>
    </x:row>
    <x:row r="3879">
      <x:c r="B3879" t="str">
        <x:v>A-03833</x:v>
      </x:c>
      <x:c r="C3879" t="str">
        <x:v>GATE</x:v>
      </x:c>
      <x:c r="D3879" t="str">
        <x:v>release state mirrors governing ledger</x:v>
      </x:c>
      <x:c r="E3879" t="str">
        <x:f>'Release Gates'!I3839</x:f>
        <x:v>OPEN</x:v>
      </x:c>
      <x:c r="F3879" t="str">
        <x:f>IF('Release Gates'!C3839="PLANNING","PASS",IF('Release Gates'!C3839="PHYSICAL","OPEN","BLOCKED"))</x:f>
        <x:v>OPEN</x:v>
      </x:c>
      <x:c r="G3879" t="str">
        <x:v>equals</x:v>
      </x:c>
      <x:c r="H3879" t="str">
        <x:f>IF(E3879=F3879,"PASS","FAIL")</x:f>
        <x:v>PASS</x:v>
      </x:c>
    </x:row>
    <x:row r="3880">
      <x:c r="B3880" t="str">
        <x:v>A-03834</x:v>
      </x:c>
      <x:c r="C3880" t="str">
        <x:v>GATE</x:v>
      </x:c>
      <x:c r="D3880" t="str">
        <x:v>release state mirrors governing ledger</x:v>
      </x:c>
      <x:c r="E3880" t="str">
        <x:f>'Release Gates'!I3840</x:f>
        <x:v>OPEN</x:v>
      </x:c>
      <x:c r="F3880" t="str">
        <x:f>IF('Release Gates'!C3840="PLANNING","PASS",IF('Release Gates'!C3840="PHYSICAL","OPEN","BLOCKED"))</x:f>
        <x:v>OPEN</x:v>
      </x:c>
      <x:c r="G3880" t="str">
        <x:v>equals</x:v>
      </x:c>
      <x:c r="H3880" t="str">
        <x:f>IF(E3880=F3880,"PASS","FAIL")</x:f>
        <x:v>PASS</x:v>
      </x:c>
    </x:row>
    <x:row r="3881">
      <x:c r="B3881" t="str">
        <x:v>A-03835</x:v>
      </x:c>
      <x:c r="C3881" t="str">
        <x:v>GATE</x:v>
      </x:c>
      <x:c r="D3881" t="str">
        <x:v>release state mirrors governing ledger</x:v>
      </x:c>
      <x:c r="E3881" t="str">
        <x:f>'Release Gates'!I3841</x:f>
        <x:v>OPEN</x:v>
      </x:c>
      <x:c r="F3881" t="str">
        <x:f>IF('Release Gates'!C3841="PLANNING","PASS",IF('Release Gates'!C3841="PHYSICAL","OPEN","BLOCKED"))</x:f>
        <x:v>OPEN</x:v>
      </x:c>
      <x:c r="G3881" t="str">
        <x:v>equals</x:v>
      </x:c>
      <x:c r="H3881" t="str">
        <x:f>IF(E3881=F3881,"PASS","FAIL")</x:f>
        <x:v>PASS</x:v>
      </x:c>
    </x:row>
    <x:row r="3882">
      <x:c r="B3882" t="str">
        <x:v>A-03836</x:v>
      </x:c>
      <x:c r="C3882" t="str">
        <x:v>GATE</x:v>
      </x:c>
      <x:c r="D3882" t="str">
        <x:v>release state mirrors governing ledger</x:v>
      </x:c>
      <x:c r="E3882" t="str">
        <x:f>'Release Gates'!I3842</x:f>
        <x:v>OPEN</x:v>
      </x:c>
      <x:c r="F3882" t="str">
        <x:f>IF('Release Gates'!C3842="PLANNING","PASS",IF('Release Gates'!C3842="PHYSICAL","OPEN","BLOCKED"))</x:f>
        <x:v>OPEN</x:v>
      </x:c>
      <x:c r="G3882" t="str">
        <x:v>equals</x:v>
      </x:c>
      <x:c r="H3882" t="str">
        <x:f>IF(E3882=F3882,"PASS","FAIL")</x:f>
        <x:v>PASS</x:v>
      </x:c>
    </x:row>
    <x:row r="3883">
      <x:c r="B3883" t="str">
        <x:v>A-03837</x:v>
      </x:c>
      <x:c r="C3883" t="str">
        <x:v>GATE</x:v>
      </x:c>
      <x:c r="D3883" t="str">
        <x:v>release state mirrors governing ledger</x:v>
      </x:c>
      <x:c r="E3883" t="str">
        <x:f>'Release Gates'!I3843</x:f>
        <x:v>OPEN</x:v>
      </x:c>
      <x:c r="F3883" t="str">
        <x:f>IF('Release Gates'!C3843="PLANNING","PASS",IF('Release Gates'!C3843="PHYSICAL","OPEN","BLOCKED"))</x:f>
        <x:v>OPEN</x:v>
      </x:c>
      <x:c r="G3883" t="str">
        <x:v>equals</x:v>
      </x:c>
      <x:c r="H3883" t="str">
        <x:f>IF(E3883=F3883,"PASS","FAIL")</x:f>
        <x:v>PASS</x:v>
      </x:c>
    </x:row>
    <x:row r="3884">
      <x:c r="B3884" t="str">
        <x:v>A-03838</x:v>
      </x:c>
      <x:c r="C3884" t="str">
        <x:v>GATE</x:v>
      </x:c>
      <x:c r="D3884" t="str">
        <x:v>release state mirrors governing ledger</x:v>
      </x:c>
      <x:c r="E3884" t="str">
        <x:f>'Release Gates'!I3844</x:f>
        <x:v>OPEN</x:v>
      </x:c>
      <x:c r="F3884" t="str">
        <x:f>IF('Release Gates'!C3844="PLANNING","PASS",IF('Release Gates'!C3844="PHYSICAL","OPEN","BLOCKED"))</x:f>
        <x:v>OPEN</x:v>
      </x:c>
      <x:c r="G3884" t="str">
        <x:v>equals</x:v>
      </x:c>
      <x:c r="H3884" t="str">
        <x:f>IF(E3884=F3884,"PASS","FAIL")</x:f>
        <x:v>PASS</x:v>
      </x:c>
    </x:row>
    <x:row r="3885">
      <x:c r="B3885" t="str">
        <x:v>A-03839</x:v>
      </x:c>
      <x:c r="C3885" t="str">
        <x:v>GATE</x:v>
      </x:c>
      <x:c r="D3885" t="str">
        <x:v>release state mirrors governing ledger</x:v>
      </x:c>
      <x:c r="E3885" t="str">
        <x:f>'Release Gates'!I3845</x:f>
        <x:v>OPEN</x:v>
      </x:c>
      <x:c r="F3885" t="str">
        <x:f>IF('Release Gates'!C3845="PLANNING","PASS",IF('Release Gates'!C3845="PHYSICAL","OPEN","BLOCKED"))</x:f>
        <x:v>OPEN</x:v>
      </x:c>
      <x:c r="G3885" t="str">
        <x:v>equals</x:v>
      </x:c>
      <x:c r="H3885" t="str">
        <x:f>IF(E3885=F3885,"PASS","FAIL")</x:f>
        <x:v>PASS</x:v>
      </x:c>
    </x:row>
    <x:row r="3886">
      <x:c r="B3886" t="str">
        <x:v>A-03840</x:v>
      </x:c>
      <x:c r="C3886" t="str">
        <x:v>GATE</x:v>
      </x:c>
      <x:c r="D3886" t="str">
        <x:v>release state mirrors governing ledger</x:v>
      </x:c>
      <x:c r="E3886" t="str">
        <x:f>'Release Gates'!I3846</x:f>
        <x:v>OPEN</x:v>
      </x:c>
      <x:c r="F3886" t="str">
        <x:f>IF('Release Gates'!C3846="PLANNING","PASS",IF('Release Gates'!C3846="PHYSICAL","OPEN","BLOCKED"))</x:f>
        <x:v>OPEN</x:v>
      </x:c>
      <x:c r="G3886" t="str">
        <x:v>equals</x:v>
      </x:c>
      <x:c r="H3886" t="str">
        <x:f>IF(E3886=F3886,"PASS","FAIL")</x:f>
        <x:v>PASS</x:v>
      </x:c>
    </x:row>
    <x:row r="3887">
      <x:c r="B3887" t="str">
        <x:v>A-03841</x:v>
      </x:c>
      <x:c r="C3887" t="str">
        <x:v>GATE</x:v>
      </x:c>
      <x:c r="D3887" t="str">
        <x:v>release state mirrors governing ledger</x:v>
      </x:c>
      <x:c r="E3887" t="str">
        <x:f>'Release Gates'!I3847</x:f>
        <x:v>OPEN</x:v>
      </x:c>
      <x:c r="F3887" t="str">
        <x:f>IF('Release Gates'!C3847="PLANNING","PASS",IF('Release Gates'!C3847="PHYSICAL","OPEN","BLOCKED"))</x:f>
        <x:v>OPEN</x:v>
      </x:c>
      <x:c r="G3887" t="str">
        <x:v>equals</x:v>
      </x:c>
      <x:c r="H3887" t="str">
        <x:f>IF(E3887=F3887,"PASS","FAIL")</x:f>
        <x:v>PASS</x:v>
      </x:c>
    </x:row>
    <x:row r="3888">
      <x:c r="B3888" t="str">
        <x:v>A-03842</x:v>
      </x:c>
      <x:c r="C3888" t="str">
        <x:v>GATE</x:v>
      </x:c>
      <x:c r="D3888" t="str">
        <x:v>release state mirrors governing ledger</x:v>
      </x:c>
      <x:c r="E3888" t="str">
        <x:f>'Release Gates'!I3848</x:f>
        <x:v>OPEN</x:v>
      </x:c>
      <x:c r="F3888" t="str">
        <x:f>IF('Release Gates'!C3848="PLANNING","PASS",IF('Release Gates'!C3848="PHYSICAL","OPEN","BLOCKED"))</x:f>
        <x:v>OPEN</x:v>
      </x:c>
      <x:c r="G3888" t="str">
        <x:v>equals</x:v>
      </x:c>
      <x:c r="H3888" t="str">
        <x:f>IF(E3888=F3888,"PASS","FAIL")</x:f>
        <x:v>PASS</x:v>
      </x:c>
    </x:row>
    <x:row r="3889">
      <x:c r="B3889" t="str">
        <x:v>A-03843</x:v>
      </x:c>
      <x:c r="C3889" t="str">
        <x:v>GATE</x:v>
      </x:c>
      <x:c r="D3889" t="str">
        <x:v>release state mirrors governing ledger</x:v>
      </x:c>
      <x:c r="E3889" t="str">
        <x:f>'Release Gates'!I3849</x:f>
        <x:v>OPEN</x:v>
      </x:c>
      <x:c r="F3889" t="str">
        <x:f>IF('Release Gates'!C3849="PLANNING","PASS",IF('Release Gates'!C3849="PHYSICAL","OPEN","BLOCKED"))</x:f>
        <x:v>OPEN</x:v>
      </x:c>
      <x:c r="G3889" t="str">
        <x:v>equals</x:v>
      </x:c>
      <x:c r="H3889" t="str">
        <x:f>IF(E3889=F3889,"PASS","FAIL")</x:f>
        <x:v>PASS</x:v>
      </x:c>
    </x:row>
    <x:row r="3890">
      <x:c r="B3890" t="str">
        <x:v>A-03844</x:v>
      </x:c>
      <x:c r="C3890" t="str">
        <x:v>GATE</x:v>
      </x:c>
      <x:c r="D3890" t="str">
        <x:v>release state mirrors governing ledger</x:v>
      </x:c>
      <x:c r="E3890" t="str">
        <x:f>'Release Gates'!I3850</x:f>
        <x:v>OPEN</x:v>
      </x:c>
      <x:c r="F3890" t="str">
        <x:f>IF('Release Gates'!C3850="PLANNING","PASS",IF('Release Gates'!C3850="PHYSICAL","OPEN","BLOCKED"))</x:f>
        <x:v>OPEN</x:v>
      </x:c>
      <x:c r="G3890" t="str">
        <x:v>equals</x:v>
      </x:c>
      <x:c r="H3890" t="str">
        <x:f>IF(E3890=F3890,"PASS","FAIL")</x:f>
        <x:v>PASS</x:v>
      </x:c>
    </x:row>
    <x:row r="3891">
      <x:c r="B3891" t="str">
        <x:v>A-03845</x:v>
      </x:c>
      <x:c r="C3891" t="str">
        <x:v>GATE</x:v>
      </x:c>
      <x:c r="D3891" t="str">
        <x:v>release state mirrors governing ledger</x:v>
      </x:c>
      <x:c r="E3891" t="str">
        <x:f>'Release Gates'!I3851</x:f>
        <x:v>OPEN</x:v>
      </x:c>
      <x:c r="F3891" t="str">
        <x:f>IF('Release Gates'!C3851="PLANNING","PASS",IF('Release Gates'!C3851="PHYSICAL","OPEN","BLOCKED"))</x:f>
        <x:v>OPEN</x:v>
      </x:c>
      <x:c r="G3891" t="str">
        <x:v>equals</x:v>
      </x:c>
      <x:c r="H3891" t="str">
        <x:f>IF(E3891=F3891,"PASS","FAIL")</x:f>
        <x:v>PASS</x:v>
      </x:c>
    </x:row>
    <x:row r="3892">
      <x:c r="B3892" t="str">
        <x:v>A-03846</x:v>
      </x:c>
      <x:c r="C3892" t="str">
        <x:v>GATE</x:v>
      </x:c>
      <x:c r="D3892" t="str">
        <x:v>release state mirrors governing ledger</x:v>
      </x:c>
      <x:c r="E3892" t="str">
        <x:f>'Release Gates'!I3852</x:f>
        <x:v>OPEN</x:v>
      </x:c>
      <x:c r="F3892" t="str">
        <x:f>IF('Release Gates'!C3852="PLANNING","PASS",IF('Release Gates'!C3852="PHYSICAL","OPEN","BLOCKED"))</x:f>
        <x:v>OPEN</x:v>
      </x:c>
      <x:c r="G3892" t="str">
        <x:v>equals</x:v>
      </x:c>
      <x:c r="H3892" t="str">
        <x:f>IF(E3892=F3892,"PASS","FAIL")</x:f>
        <x:v>PASS</x:v>
      </x:c>
    </x:row>
    <x:row r="3893">
      <x:c r="B3893" t="str">
        <x:v>A-03847</x:v>
      </x:c>
      <x:c r="C3893" t="str">
        <x:v>GATE</x:v>
      </x:c>
      <x:c r="D3893" t="str">
        <x:v>release state mirrors governing ledger</x:v>
      </x:c>
      <x:c r="E3893" t="str">
        <x:f>'Release Gates'!I3853</x:f>
        <x:v>OPEN</x:v>
      </x:c>
      <x:c r="F3893" t="str">
        <x:f>IF('Release Gates'!C3853="PLANNING","PASS",IF('Release Gates'!C3853="PHYSICAL","OPEN","BLOCKED"))</x:f>
        <x:v>OPEN</x:v>
      </x:c>
      <x:c r="G3893" t="str">
        <x:v>equals</x:v>
      </x:c>
      <x:c r="H3893" t="str">
        <x:f>IF(E3893=F3893,"PASS","FAIL")</x:f>
        <x:v>PASS</x:v>
      </x:c>
    </x:row>
    <x:row r="3894">
      <x:c r="B3894" t="str">
        <x:v>A-03848</x:v>
      </x:c>
      <x:c r="C3894" t="str">
        <x:v>GATE</x:v>
      </x:c>
      <x:c r="D3894" t="str">
        <x:v>release state mirrors governing ledger</x:v>
      </x:c>
      <x:c r="E3894" t="str">
        <x:f>'Release Gates'!I3854</x:f>
        <x:v>OPEN</x:v>
      </x:c>
      <x:c r="F3894" t="str">
        <x:f>IF('Release Gates'!C3854="PLANNING","PASS",IF('Release Gates'!C3854="PHYSICAL","OPEN","BLOCKED"))</x:f>
        <x:v>OPEN</x:v>
      </x:c>
      <x:c r="G3894" t="str">
        <x:v>equals</x:v>
      </x:c>
      <x:c r="H3894" t="str">
        <x:f>IF(E3894=F3894,"PASS","FAIL")</x:f>
        <x:v>PASS</x:v>
      </x:c>
    </x:row>
    <x:row r="3895">
      <x:c r="B3895" t="str">
        <x:v>A-03849</x:v>
      </x:c>
      <x:c r="C3895" t="str">
        <x:v>GATE</x:v>
      </x:c>
      <x:c r="D3895" t="str">
        <x:v>release state mirrors governing ledger</x:v>
      </x:c>
      <x:c r="E3895" t="str">
        <x:f>'Release Gates'!I3855</x:f>
        <x:v>OPEN</x:v>
      </x:c>
      <x:c r="F3895" t="str">
        <x:f>IF('Release Gates'!C3855="PLANNING","PASS",IF('Release Gates'!C3855="PHYSICAL","OPEN","BLOCKED"))</x:f>
        <x:v>OPEN</x:v>
      </x:c>
      <x:c r="G3895" t="str">
        <x:v>equals</x:v>
      </x:c>
      <x:c r="H3895" t="str">
        <x:f>IF(E3895=F3895,"PASS","FAIL")</x:f>
        <x:v>PASS</x:v>
      </x:c>
    </x:row>
    <x:row r="3896">
      <x:c r="B3896" t="str">
        <x:v>A-03850</x:v>
      </x:c>
      <x:c r="C3896" t="str">
        <x:v>GATE</x:v>
      </x:c>
      <x:c r="D3896" t="str">
        <x:v>release state mirrors governing ledger</x:v>
      </x:c>
      <x:c r="E3896" t="str">
        <x:f>'Release Gates'!I3856</x:f>
        <x:v>OPEN</x:v>
      </x:c>
      <x:c r="F3896" t="str">
        <x:f>IF('Release Gates'!C3856="PLANNING","PASS",IF('Release Gates'!C3856="PHYSICAL","OPEN","BLOCKED"))</x:f>
        <x:v>OPEN</x:v>
      </x:c>
      <x:c r="G3896" t="str">
        <x:v>equals</x:v>
      </x:c>
      <x:c r="H3896" t="str">
        <x:f>IF(E3896=F3896,"PASS","FAIL")</x:f>
        <x:v>PASS</x:v>
      </x:c>
    </x:row>
    <x:row r="3897">
      <x:c r="B3897" t="str">
        <x:v>A-03851</x:v>
      </x:c>
      <x:c r="C3897" t="str">
        <x:v>GATE</x:v>
      </x:c>
      <x:c r="D3897" t="str">
        <x:v>release state mirrors governing ledger</x:v>
      </x:c>
      <x:c r="E3897" t="str">
        <x:f>'Release Gates'!I3857</x:f>
        <x:v>OPEN</x:v>
      </x:c>
      <x:c r="F3897" t="str">
        <x:f>IF('Release Gates'!C3857="PLANNING","PASS",IF('Release Gates'!C3857="PHYSICAL","OPEN","BLOCKED"))</x:f>
        <x:v>OPEN</x:v>
      </x:c>
      <x:c r="G3897" t="str">
        <x:v>equals</x:v>
      </x:c>
      <x:c r="H3897" t="str">
        <x:f>IF(E3897=F3897,"PASS","FAIL")</x:f>
        <x:v>PASS</x:v>
      </x:c>
    </x:row>
    <x:row r="3898">
      <x:c r="B3898" t="str">
        <x:v>A-03852</x:v>
      </x:c>
      <x:c r="C3898" t="str">
        <x:v>GATE</x:v>
      </x:c>
      <x:c r="D3898" t="str">
        <x:v>release state mirrors governing ledger</x:v>
      </x:c>
      <x:c r="E3898" t="str">
        <x:f>'Release Gates'!I3858</x:f>
        <x:v>OPEN</x:v>
      </x:c>
      <x:c r="F3898" t="str">
        <x:f>IF('Release Gates'!C3858="PLANNING","PASS",IF('Release Gates'!C3858="PHYSICAL","OPEN","BLOCKED"))</x:f>
        <x:v>OPEN</x:v>
      </x:c>
      <x:c r="G3898" t="str">
        <x:v>equals</x:v>
      </x:c>
      <x:c r="H3898" t="str">
        <x:f>IF(E3898=F3898,"PASS","FAIL")</x:f>
        <x:v>PASS</x:v>
      </x:c>
    </x:row>
    <x:row r="3899">
      <x:c r="B3899" t="str">
        <x:v>A-03853</x:v>
      </x:c>
      <x:c r="C3899" t="str">
        <x:v>GATE</x:v>
      </x:c>
      <x:c r="D3899" t="str">
        <x:v>release state mirrors governing ledger</x:v>
      </x:c>
      <x:c r="E3899" t="str">
        <x:f>'Release Gates'!I3859</x:f>
        <x:v>OPEN</x:v>
      </x:c>
      <x:c r="F3899" t="str">
        <x:f>IF('Release Gates'!C3859="PLANNING","PASS",IF('Release Gates'!C3859="PHYSICAL","OPEN","BLOCKED"))</x:f>
        <x:v>OPEN</x:v>
      </x:c>
      <x:c r="G3899" t="str">
        <x:v>equals</x:v>
      </x:c>
      <x:c r="H3899" t="str">
        <x:f>IF(E3899=F3899,"PASS","FAIL")</x:f>
        <x:v>PASS</x:v>
      </x:c>
    </x:row>
    <x:row r="3900">
      <x:c r="B3900" t="str">
        <x:v>A-03854</x:v>
      </x:c>
      <x:c r="C3900" t="str">
        <x:v>GATE</x:v>
      </x:c>
      <x:c r="D3900" t="str">
        <x:v>release state mirrors governing ledger</x:v>
      </x:c>
      <x:c r="E3900" t="str">
        <x:f>'Release Gates'!I3860</x:f>
        <x:v>OPEN</x:v>
      </x:c>
      <x:c r="F3900" t="str">
        <x:f>IF('Release Gates'!C3860="PLANNING","PASS",IF('Release Gates'!C3860="PHYSICAL","OPEN","BLOCKED"))</x:f>
        <x:v>OPEN</x:v>
      </x:c>
      <x:c r="G3900" t="str">
        <x:v>equals</x:v>
      </x:c>
      <x:c r="H3900" t="str">
        <x:f>IF(E3900=F3900,"PASS","FAIL")</x:f>
        <x:v>PASS</x:v>
      </x:c>
    </x:row>
    <x:row r="3901">
      <x:c r="B3901" t="str">
        <x:v>A-03855</x:v>
      </x:c>
      <x:c r="C3901" t="str">
        <x:v>GATE</x:v>
      </x:c>
      <x:c r="D3901" t="str">
        <x:v>release state mirrors governing ledger</x:v>
      </x:c>
      <x:c r="E3901" t="str">
        <x:f>'Release Gates'!I3861</x:f>
        <x:v>OPEN</x:v>
      </x:c>
      <x:c r="F3901" t="str">
        <x:f>IF('Release Gates'!C3861="PLANNING","PASS",IF('Release Gates'!C3861="PHYSICAL","OPEN","BLOCKED"))</x:f>
        <x:v>OPEN</x:v>
      </x:c>
      <x:c r="G3901" t="str">
        <x:v>equals</x:v>
      </x:c>
      <x:c r="H3901" t="str">
        <x:f>IF(E3901=F3901,"PASS","FAIL")</x:f>
        <x:v>PASS</x:v>
      </x:c>
    </x:row>
    <x:row r="3902">
      <x:c r="B3902" t="str">
        <x:v>A-03856</x:v>
      </x:c>
      <x:c r="C3902" t="str">
        <x:v>GATE</x:v>
      </x:c>
      <x:c r="D3902" t="str">
        <x:v>release state mirrors governing ledger</x:v>
      </x:c>
      <x:c r="E3902" t="str">
        <x:f>'Release Gates'!I3862</x:f>
        <x:v>OPEN</x:v>
      </x:c>
      <x:c r="F3902" t="str">
        <x:f>IF('Release Gates'!C3862="PLANNING","PASS",IF('Release Gates'!C3862="PHYSICAL","OPEN","BLOCKED"))</x:f>
        <x:v>OPEN</x:v>
      </x:c>
      <x:c r="G3902" t="str">
        <x:v>equals</x:v>
      </x:c>
      <x:c r="H3902" t="str">
        <x:f>IF(E3902=F3902,"PASS","FAIL")</x:f>
        <x:v>PASS</x:v>
      </x:c>
    </x:row>
    <x:row r="3903">
      <x:c r="B3903" t="str">
        <x:v>A-03857</x:v>
      </x:c>
      <x:c r="C3903" t="str">
        <x:v>GATE</x:v>
      </x:c>
      <x:c r="D3903" t="str">
        <x:v>release state mirrors governing ledger</x:v>
      </x:c>
      <x:c r="E3903" t="str">
        <x:f>'Release Gates'!I3863</x:f>
        <x:v>OPEN</x:v>
      </x:c>
      <x:c r="F3903" t="str">
        <x:f>IF('Release Gates'!C3863="PLANNING","PASS",IF('Release Gates'!C3863="PHYSICAL","OPEN","BLOCKED"))</x:f>
        <x:v>OPEN</x:v>
      </x:c>
      <x:c r="G3903" t="str">
        <x:v>equals</x:v>
      </x:c>
      <x:c r="H3903" t="str">
        <x:f>IF(E3903=F3903,"PASS","FAIL")</x:f>
        <x:v>PASS</x:v>
      </x:c>
    </x:row>
    <x:row r="3904">
      <x:c r="B3904" t="str">
        <x:v>A-03858</x:v>
      </x:c>
      <x:c r="C3904" t="str">
        <x:v>GATE</x:v>
      </x:c>
      <x:c r="D3904" t="str">
        <x:v>release state mirrors governing ledger</x:v>
      </x:c>
      <x:c r="E3904" t="str">
        <x:f>'Release Gates'!I3864</x:f>
        <x:v>OPEN</x:v>
      </x:c>
      <x:c r="F3904" t="str">
        <x:f>IF('Release Gates'!C3864="PLANNING","PASS",IF('Release Gates'!C3864="PHYSICAL","OPEN","BLOCKED"))</x:f>
        <x:v>OPEN</x:v>
      </x:c>
      <x:c r="G3904" t="str">
        <x:v>equals</x:v>
      </x:c>
      <x:c r="H3904" t="str">
        <x:f>IF(E3904=F3904,"PASS","FAIL")</x:f>
        <x:v>PASS</x:v>
      </x:c>
    </x:row>
    <x:row r="3905">
      <x:c r="B3905" t="str">
        <x:v>A-03859</x:v>
      </x:c>
      <x:c r="C3905" t="str">
        <x:v>GATE</x:v>
      </x:c>
      <x:c r="D3905" t="str">
        <x:v>release state mirrors governing ledger</x:v>
      </x:c>
      <x:c r="E3905" t="str">
        <x:f>'Release Gates'!I3865</x:f>
        <x:v>OPEN</x:v>
      </x:c>
      <x:c r="F3905" t="str">
        <x:f>IF('Release Gates'!C3865="PLANNING","PASS",IF('Release Gates'!C3865="PHYSICAL","OPEN","BLOCKED"))</x:f>
        <x:v>OPEN</x:v>
      </x:c>
      <x:c r="G3905" t="str">
        <x:v>equals</x:v>
      </x:c>
      <x:c r="H3905" t="str">
        <x:f>IF(E3905=F3905,"PASS","FAIL")</x:f>
        <x:v>PASS</x:v>
      </x:c>
    </x:row>
    <x:row r="3906">
      <x:c r="B3906" t="str">
        <x:v>A-03860</x:v>
      </x:c>
      <x:c r="C3906" t="str">
        <x:v>GATE</x:v>
      </x:c>
      <x:c r="D3906" t="str">
        <x:v>release state mirrors governing ledger</x:v>
      </x:c>
      <x:c r="E3906" t="str">
        <x:f>'Release Gates'!I3866</x:f>
        <x:v>OPEN</x:v>
      </x:c>
      <x:c r="F3906" t="str">
        <x:f>IF('Release Gates'!C3866="PLANNING","PASS",IF('Release Gates'!C3866="PHYSICAL","OPEN","BLOCKED"))</x:f>
        <x:v>OPEN</x:v>
      </x:c>
      <x:c r="G3906" t="str">
        <x:v>equals</x:v>
      </x:c>
      <x:c r="H3906" t="str">
        <x:f>IF(E3906=F3906,"PASS","FAIL")</x:f>
        <x:v>PASS</x:v>
      </x:c>
    </x:row>
    <x:row r="3907">
      <x:c r="B3907" t="str">
        <x:v>A-03861</x:v>
      </x:c>
      <x:c r="C3907" t="str">
        <x:v>GATE</x:v>
      </x:c>
      <x:c r="D3907" t="str">
        <x:v>release state mirrors governing ledger</x:v>
      </x:c>
      <x:c r="E3907" t="str">
        <x:f>'Release Gates'!I3867</x:f>
        <x:v>OPEN</x:v>
      </x:c>
      <x:c r="F3907" t="str">
        <x:f>IF('Release Gates'!C3867="PLANNING","PASS",IF('Release Gates'!C3867="PHYSICAL","OPEN","BLOCKED"))</x:f>
        <x:v>OPEN</x:v>
      </x:c>
      <x:c r="G3907" t="str">
        <x:v>equals</x:v>
      </x:c>
      <x:c r="H3907" t="str">
        <x:f>IF(E3907=F3907,"PASS","FAIL")</x:f>
        <x:v>PASS</x:v>
      </x:c>
    </x:row>
    <x:row r="3908">
      <x:c r="B3908" t="str">
        <x:v>A-03862</x:v>
      </x:c>
      <x:c r="C3908" t="str">
        <x:v>GATE</x:v>
      </x:c>
      <x:c r="D3908" t="str">
        <x:v>release state mirrors governing ledger</x:v>
      </x:c>
      <x:c r="E3908" t="str">
        <x:f>'Release Gates'!I3868</x:f>
        <x:v>OPEN</x:v>
      </x:c>
      <x:c r="F3908" t="str">
        <x:f>IF('Release Gates'!C3868="PLANNING","PASS",IF('Release Gates'!C3868="PHYSICAL","OPEN","BLOCKED"))</x:f>
        <x:v>OPEN</x:v>
      </x:c>
      <x:c r="G3908" t="str">
        <x:v>equals</x:v>
      </x:c>
      <x:c r="H3908" t="str">
        <x:f>IF(E3908=F3908,"PASS","FAIL")</x:f>
        <x:v>PASS</x:v>
      </x:c>
    </x:row>
    <x:row r="3909">
      <x:c r="B3909" t="str">
        <x:v>A-03863</x:v>
      </x:c>
      <x:c r="C3909" t="str">
        <x:v>GATE</x:v>
      </x:c>
      <x:c r="D3909" t="str">
        <x:v>release state mirrors governing ledger</x:v>
      </x:c>
      <x:c r="E3909" t="str">
        <x:f>'Release Gates'!I3869</x:f>
        <x:v>OPEN</x:v>
      </x:c>
      <x:c r="F3909" t="str">
        <x:f>IF('Release Gates'!C3869="PLANNING","PASS",IF('Release Gates'!C3869="PHYSICAL","OPEN","BLOCKED"))</x:f>
        <x:v>OPEN</x:v>
      </x:c>
      <x:c r="G3909" t="str">
        <x:v>equals</x:v>
      </x:c>
      <x:c r="H3909" t="str">
        <x:f>IF(E3909=F3909,"PASS","FAIL")</x:f>
        <x:v>PASS</x:v>
      </x:c>
    </x:row>
    <x:row r="3910">
      <x:c r="B3910" t="str">
        <x:v>A-03864</x:v>
      </x:c>
      <x:c r="C3910" t="str">
        <x:v>GATE</x:v>
      </x:c>
      <x:c r="D3910" t="str">
        <x:v>release state mirrors governing ledger</x:v>
      </x:c>
      <x:c r="E3910" t="str">
        <x:f>'Release Gates'!I3870</x:f>
        <x:v>OPEN</x:v>
      </x:c>
      <x:c r="F3910" t="str">
        <x:f>IF('Release Gates'!C3870="PLANNING","PASS",IF('Release Gates'!C3870="PHYSICAL","OPEN","BLOCKED"))</x:f>
        <x:v>OPEN</x:v>
      </x:c>
      <x:c r="G3910" t="str">
        <x:v>equals</x:v>
      </x:c>
      <x:c r="H3910" t="str">
        <x:f>IF(E3910=F3910,"PASS","FAIL")</x:f>
        <x:v>PASS</x:v>
      </x:c>
    </x:row>
    <x:row r="3911">
      <x:c r="B3911" t="str">
        <x:v>A-03865</x:v>
      </x:c>
      <x:c r="C3911" t="str">
        <x:v>GATE</x:v>
      </x:c>
      <x:c r="D3911" t="str">
        <x:v>release state mirrors governing ledger</x:v>
      </x:c>
      <x:c r="E3911" t="str">
        <x:f>'Release Gates'!I3871</x:f>
        <x:v>OPEN</x:v>
      </x:c>
      <x:c r="F3911" t="str">
        <x:f>IF('Release Gates'!C3871="PLANNING","PASS",IF('Release Gates'!C3871="PHYSICAL","OPEN","BLOCKED"))</x:f>
        <x:v>OPEN</x:v>
      </x:c>
      <x:c r="G3911" t="str">
        <x:v>equals</x:v>
      </x:c>
      <x:c r="H3911" t="str">
        <x:f>IF(E3911=F3911,"PASS","FAIL")</x:f>
        <x:v>PASS</x:v>
      </x:c>
    </x:row>
    <x:row r="3912">
      <x:c r="B3912" t="str">
        <x:v>A-03866</x:v>
      </x:c>
      <x:c r="C3912" t="str">
        <x:v>GATE</x:v>
      </x:c>
      <x:c r="D3912" t="str">
        <x:v>release state mirrors governing ledger</x:v>
      </x:c>
      <x:c r="E3912" t="str">
        <x:f>'Release Gates'!I3872</x:f>
        <x:v>OPEN</x:v>
      </x:c>
      <x:c r="F3912" t="str">
        <x:f>IF('Release Gates'!C3872="PLANNING","PASS",IF('Release Gates'!C3872="PHYSICAL","OPEN","BLOCKED"))</x:f>
        <x:v>OPEN</x:v>
      </x:c>
      <x:c r="G3912" t="str">
        <x:v>equals</x:v>
      </x:c>
      <x:c r="H3912" t="str">
        <x:f>IF(E3912=F3912,"PASS","FAIL")</x:f>
        <x:v>PASS</x:v>
      </x:c>
    </x:row>
    <x:row r="3913">
      <x:c r="B3913" t="str">
        <x:v>A-03867</x:v>
      </x:c>
      <x:c r="C3913" t="str">
        <x:v>GATE</x:v>
      </x:c>
      <x:c r="D3913" t="str">
        <x:v>release state mirrors governing ledger</x:v>
      </x:c>
      <x:c r="E3913" t="str">
        <x:f>'Release Gates'!I3873</x:f>
        <x:v>OPEN</x:v>
      </x:c>
      <x:c r="F3913" t="str">
        <x:f>IF('Release Gates'!C3873="PLANNING","PASS",IF('Release Gates'!C3873="PHYSICAL","OPEN","BLOCKED"))</x:f>
        <x:v>OPEN</x:v>
      </x:c>
      <x:c r="G3913" t="str">
        <x:v>equals</x:v>
      </x:c>
      <x:c r="H3913" t="str">
        <x:f>IF(E3913=F3913,"PASS","FAIL")</x:f>
        <x:v>PASS</x:v>
      </x:c>
    </x:row>
    <x:row r="3914">
      <x:c r="B3914" t="str">
        <x:v>A-03868</x:v>
      </x:c>
      <x:c r="C3914" t="str">
        <x:v>GATE</x:v>
      </x:c>
      <x:c r="D3914" t="str">
        <x:v>release state mirrors governing ledger</x:v>
      </x:c>
      <x:c r="E3914" t="str">
        <x:f>'Release Gates'!I3874</x:f>
        <x:v>OPEN</x:v>
      </x:c>
      <x:c r="F3914" t="str">
        <x:f>IF('Release Gates'!C3874="PLANNING","PASS",IF('Release Gates'!C3874="PHYSICAL","OPEN","BLOCKED"))</x:f>
        <x:v>OPEN</x:v>
      </x:c>
      <x:c r="G3914" t="str">
        <x:v>equals</x:v>
      </x:c>
      <x:c r="H3914" t="str">
        <x:f>IF(E3914=F3914,"PASS","FAIL")</x:f>
        <x:v>PASS</x:v>
      </x:c>
    </x:row>
    <x:row r="3915">
      <x:c r="B3915" t="str">
        <x:v>A-03869</x:v>
      </x:c>
      <x:c r="C3915" t="str">
        <x:v>GATE</x:v>
      </x:c>
      <x:c r="D3915" t="str">
        <x:v>release state mirrors governing ledger</x:v>
      </x:c>
      <x:c r="E3915" t="str">
        <x:f>'Release Gates'!I3875</x:f>
        <x:v>OPEN</x:v>
      </x:c>
      <x:c r="F3915" t="str">
        <x:f>IF('Release Gates'!C3875="PLANNING","PASS",IF('Release Gates'!C3875="PHYSICAL","OPEN","BLOCKED"))</x:f>
        <x:v>OPEN</x:v>
      </x:c>
      <x:c r="G3915" t="str">
        <x:v>equals</x:v>
      </x:c>
      <x:c r="H3915" t="str">
        <x:f>IF(E3915=F3915,"PASS","FAIL")</x:f>
        <x:v>PASS</x:v>
      </x:c>
    </x:row>
    <x:row r="3916">
      <x:c r="B3916" t="str">
        <x:v>A-03870</x:v>
      </x:c>
      <x:c r="C3916" t="str">
        <x:v>GATE</x:v>
      </x:c>
      <x:c r="D3916" t="str">
        <x:v>release state mirrors governing ledger</x:v>
      </x:c>
      <x:c r="E3916" t="str">
        <x:f>'Release Gates'!I3876</x:f>
        <x:v>OPEN</x:v>
      </x:c>
      <x:c r="F3916" t="str">
        <x:f>IF('Release Gates'!C3876="PLANNING","PASS",IF('Release Gates'!C3876="PHYSICAL","OPEN","BLOCKED"))</x:f>
        <x:v>OPEN</x:v>
      </x:c>
      <x:c r="G3916" t="str">
        <x:v>equals</x:v>
      </x:c>
      <x:c r="H3916" t="str">
        <x:f>IF(E3916=F3916,"PASS","FAIL")</x:f>
        <x:v>PASS</x:v>
      </x:c>
    </x:row>
    <x:row r="3917">
      <x:c r="B3917" t="str">
        <x:v>A-03871</x:v>
      </x:c>
      <x:c r="C3917" t="str">
        <x:v>GATE</x:v>
      </x:c>
      <x:c r="D3917" t="str">
        <x:v>release state mirrors governing ledger</x:v>
      </x:c>
      <x:c r="E3917" t="str">
        <x:f>'Release Gates'!I3877</x:f>
        <x:v>OPEN</x:v>
      </x:c>
      <x:c r="F3917" t="str">
        <x:f>IF('Release Gates'!C3877="PLANNING","PASS",IF('Release Gates'!C3877="PHYSICAL","OPEN","BLOCKED"))</x:f>
        <x:v>OPEN</x:v>
      </x:c>
      <x:c r="G3917" t="str">
        <x:v>equals</x:v>
      </x:c>
      <x:c r="H3917" t="str">
        <x:f>IF(E3917=F3917,"PASS","FAIL")</x:f>
        <x:v>PASS</x:v>
      </x:c>
    </x:row>
    <x:row r="3918">
      <x:c r="B3918" t="str">
        <x:v>A-03872</x:v>
      </x:c>
      <x:c r="C3918" t="str">
        <x:v>GATE</x:v>
      </x:c>
      <x:c r="D3918" t="str">
        <x:v>release state mirrors governing ledger</x:v>
      </x:c>
      <x:c r="E3918" t="str">
        <x:f>'Release Gates'!I3878</x:f>
        <x:v>OPEN</x:v>
      </x:c>
      <x:c r="F3918" t="str">
        <x:f>IF('Release Gates'!C3878="PLANNING","PASS",IF('Release Gates'!C3878="PHYSICAL","OPEN","BLOCKED"))</x:f>
        <x:v>OPEN</x:v>
      </x:c>
      <x:c r="G3918" t="str">
        <x:v>equals</x:v>
      </x:c>
      <x:c r="H3918" t="str">
        <x:f>IF(E3918=F3918,"PASS","FAIL")</x:f>
        <x:v>PASS</x:v>
      </x:c>
    </x:row>
    <x:row r="3919">
      <x:c r="B3919" t="str">
        <x:v>A-03873</x:v>
      </x:c>
      <x:c r="C3919" t="str">
        <x:v>GATE</x:v>
      </x:c>
      <x:c r="D3919" t="str">
        <x:v>release state mirrors governing ledger</x:v>
      </x:c>
      <x:c r="E3919" t="str">
        <x:f>'Release Gates'!I3879</x:f>
        <x:v>OPEN</x:v>
      </x:c>
      <x:c r="F3919" t="str">
        <x:f>IF('Release Gates'!C3879="PLANNING","PASS",IF('Release Gates'!C3879="PHYSICAL","OPEN","BLOCKED"))</x:f>
        <x:v>OPEN</x:v>
      </x:c>
      <x:c r="G3919" t="str">
        <x:v>equals</x:v>
      </x:c>
      <x:c r="H3919" t="str">
        <x:f>IF(E3919=F3919,"PASS","FAIL")</x:f>
        <x:v>PASS</x:v>
      </x:c>
    </x:row>
    <x:row r="3920">
      <x:c r="B3920" t="str">
        <x:v>A-03874</x:v>
      </x:c>
      <x:c r="C3920" t="str">
        <x:v>GATE</x:v>
      </x:c>
      <x:c r="D3920" t="str">
        <x:v>release state mirrors governing ledger</x:v>
      </x:c>
      <x:c r="E3920" t="str">
        <x:f>'Release Gates'!I3880</x:f>
        <x:v>OPEN</x:v>
      </x:c>
      <x:c r="F3920" t="str">
        <x:f>IF('Release Gates'!C3880="PLANNING","PASS",IF('Release Gates'!C3880="PHYSICAL","OPEN","BLOCKED"))</x:f>
        <x:v>OPEN</x:v>
      </x:c>
      <x:c r="G3920" t="str">
        <x:v>equals</x:v>
      </x:c>
      <x:c r="H3920" t="str">
        <x:f>IF(E3920=F3920,"PASS","FAIL")</x:f>
        <x:v>PASS</x:v>
      </x:c>
    </x:row>
    <x:row r="3921">
      <x:c r="B3921" t="str">
        <x:v>A-03875</x:v>
      </x:c>
      <x:c r="C3921" t="str">
        <x:v>GATE</x:v>
      </x:c>
      <x:c r="D3921" t="str">
        <x:v>release state mirrors governing ledger</x:v>
      </x:c>
      <x:c r="E3921" t="str">
        <x:f>'Release Gates'!I3881</x:f>
        <x:v>OPEN</x:v>
      </x:c>
      <x:c r="F3921" t="str">
        <x:f>IF('Release Gates'!C3881="PLANNING","PASS",IF('Release Gates'!C3881="PHYSICAL","OPEN","BLOCKED"))</x:f>
        <x:v>OPEN</x:v>
      </x:c>
      <x:c r="G3921" t="str">
        <x:v>equals</x:v>
      </x:c>
      <x:c r="H3921" t="str">
        <x:f>IF(E3921=F3921,"PASS","FAIL")</x:f>
        <x:v>PASS</x:v>
      </x:c>
    </x:row>
    <x:row r="3922">
      <x:c r="B3922" t="str">
        <x:v>A-03876</x:v>
      </x:c>
      <x:c r="C3922" t="str">
        <x:v>GATE</x:v>
      </x:c>
      <x:c r="D3922" t="str">
        <x:v>release state mirrors governing ledger</x:v>
      </x:c>
      <x:c r="E3922" t="str">
        <x:f>'Release Gates'!I3882</x:f>
        <x:v>OPEN</x:v>
      </x:c>
      <x:c r="F3922" t="str">
        <x:f>IF('Release Gates'!C3882="PLANNING","PASS",IF('Release Gates'!C3882="PHYSICAL","OPEN","BLOCKED"))</x:f>
        <x:v>OPEN</x:v>
      </x:c>
      <x:c r="G3922" t="str">
        <x:v>equals</x:v>
      </x:c>
      <x:c r="H3922" t="str">
        <x:f>IF(E3922=F3922,"PASS","FAIL")</x:f>
        <x:v>PASS</x:v>
      </x:c>
    </x:row>
    <x:row r="3923">
      <x:c r="B3923" t="str">
        <x:v>A-03877</x:v>
      </x:c>
      <x:c r="C3923" t="str">
        <x:v>GATE</x:v>
      </x:c>
      <x:c r="D3923" t="str">
        <x:v>release state mirrors governing ledger</x:v>
      </x:c>
      <x:c r="E3923" t="str">
        <x:f>'Release Gates'!I3883</x:f>
        <x:v>OPEN</x:v>
      </x:c>
      <x:c r="F3923" t="str">
        <x:f>IF('Release Gates'!C3883="PLANNING","PASS",IF('Release Gates'!C3883="PHYSICAL","OPEN","BLOCKED"))</x:f>
        <x:v>OPEN</x:v>
      </x:c>
      <x:c r="G3923" t="str">
        <x:v>equals</x:v>
      </x:c>
      <x:c r="H3923" t="str">
        <x:f>IF(E3923=F3923,"PASS","FAIL")</x:f>
        <x:v>PASS</x:v>
      </x:c>
    </x:row>
    <x:row r="3924">
      <x:c r="B3924" t="str">
        <x:v>A-03878</x:v>
      </x:c>
      <x:c r="C3924" t="str">
        <x:v>GATE</x:v>
      </x:c>
      <x:c r="D3924" t="str">
        <x:v>release state mirrors governing ledger</x:v>
      </x:c>
      <x:c r="E3924" t="str">
        <x:f>'Release Gates'!I3884</x:f>
        <x:v>OPEN</x:v>
      </x:c>
      <x:c r="F3924" t="str">
        <x:f>IF('Release Gates'!C3884="PLANNING","PASS",IF('Release Gates'!C3884="PHYSICAL","OPEN","BLOCKED"))</x:f>
        <x:v>OPEN</x:v>
      </x:c>
      <x:c r="G3924" t="str">
        <x:v>equals</x:v>
      </x:c>
      <x:c r="H3924" t="str">
        <x:f>IF(E3924=F3924,"PASS","FAIL")</x:f>
        <x:v>PASS</x:v>
      </x:c>
    </x:row>
    <x:row r="3925">
      <x:c r="B3925" t="str">
        <x:v>A-03879</x:v>
      </x:c>
      <x:c r="C3925" t="str">
        <x:v>GATE</x:v>
      </x:c>
      <x:c r="D3925" t="str">
        <x:v>release state mirrors governing ledger</x:v>
      </x:c>
      <x:c r="E3925" t="str">
        <x:f>'Release Gates'!I3885</x:f>
        <x:v>OPEN</x:v>
      </x:c>
      <x:c r="F3925" t="str">
        <x:f>IF('Release Gates'!C3885="PLANNING","PASS",IF('Release Gates'!C3885="PHYSICAL","OPEN","BLOCKED"))</x:f>
        <x:v>OPEN</x:v>
      </x:c>
      <x:c r="G3925" t="str">
        <x:v>equals</x:v>
      </x:c>
      <x:c r="H3925" t="str">
        <x:f>IF(E3925=F3925,"PASS","FAIL")</x:f>
        <x:v>PASS</x:v>
      </x:c>
    </x:row>
    <x:row r="3926">
      <x:c r="B3926" t="str">
        <x:v>A-03880</x:v>
      </x:c>
      <x:c r="C3926" t="str">
        <x:v>GATE</x:v>
      </x:c>
      <x:c r="D3926" t="str">
        <x:v>release state mirrors governing ledger</x:v>
      </x:c>
      <x:c r="E3926" t="str">
        <x:f>'Release Gates'!I3886</x:f>
        <x:v>OPEN</x:v>
      </x:c>
      <x:c r="F3926" t="str">
        <x:f>IF('Release Gates'!C3886="PLANNING","PASS",IF('Release Gates'!C3886="PHYSICAL","OPEN","BLOCKED"))</x:f>
        <x:v>OPEN</x:v>
      </x:c>
      <x:c r="G3926" t="str">
        <x:v>equals</x:v>
      </x:c>
      <x:c r="H3926" t="str">
        <x:f>IF(E3926=F3926,"PASS","FAIL")</x:f>
        <x:v>PASS</x:v>
      </x:c>
    </x:row>
    <x:row r="3927">
      <x:c r="B3927" t="str">
        <x:v>A-03881</x:v>
      </x:c>
      <x:c r="C3927" t="str">
        <x:v>GATE</x:v>
      </x:c>
      <x:c r="D3927" t="str">
        <x:v>release state mirrors governing ledger</x:v>
      </x:c>
      <x:c r="E3927" t="str">
        <x:f>'Release Gates'!I3887</x:f>
        <x:v>OPEN</x:v>
      </x:c>
      <x:c r="F3927" t="str">
        <x:f>IF('Release Gates'!C3887="PLANNING","PASS",IF('Release Gates'!C3887="PHYSICAL","OPEN","BLOCKED"))</x:f>
        <x:v>OPEN</x:v>
      </x:c>
      <x:c r="G3927" t="str">
        <x:v>equals</x:v>
      </x:c>
      <x:c r="H3927" t="str">
        <x:f>IF(E3927=F3927,"PASS","FAIL")</x:f>
        <x:v>PASS</x:v>
      </x:c>
    </x:row>
    <x:row r="3928">
      <x:c r="B3928" t="str">
        <x:v>A-03882</x:v>
      </x:c>
      <x:c r="C3928" t="str">
        <x:v>GATE</x:v>
      </x:c>
      <x:c r="D3928" t="str">
        <x:v>release state mirrors governing ledger</x:v>
      </x:c>
      <x:c r="E3928" t="str">
        <x:f>'Release Gates'!I3888</x:f>
        <x:v>OPEN</x:v>
      </x:c>
      <x:c r="F3928" t="str">
        <x:f>IF('Release Gates'!C3888="PLANNING","PASS",IF('Release Gates'!C3888="PHYSICAL","OPEN","BLOCKED"))</x:f>
        <x:v>OPEN</x:v>
      </x:c>
      <x:c r="G3928" t="str">
        <x:v>equals</x:v>
      </x:c>
      <x:c r="H3928" t="str">
        <x:f>IF(E3928=F3928,"PASS","FAIL")</x:f>
        <x:v>PASS</x:v>
      </x:c>
    </x:row>
    <x:row r="3929">
      <x:c r="B3929" t="str">
        <x:v>A-03883</x:v>
      </x:c>
      <x:c r="C3929" t="str">
        <x:v>GATE</x:v>
      </x:c>
      <x:c r="D3929" t="str">
        <x:v>release state mirrors governing ledger</x:v>
      </x:c>
      <x:c r="E3929" t="str">
        <x:f>'Release Gates'!I3889</x:f>
        <x:v>OPEN</x:v>
      </x:c>
      <x:c r="F3929" t="str">
        <x:f>IF('Release Gates'!C3889="PLANNING","PASS",IF('Release Gates'!C3889="PHYSICAL","OPEN","BLOCKED"))</x:f>
        <x:v>OPEN</x:v>
      </x:c>
      <x:c r="G3929" t="str">
        <x:v>equals</x:v>
      </x:c>
      <x:c r="H3929" t="str">
        <x:f>IF(E3929=F3929,"PASS","FAIL")</x:f>
        <x:v>PASS</x:v>
      </x:c>
    </x:row>
    <x:row r="3930">
      <x:c r="B3930" t="str">
        <x:v>A-03884</x:v>
      </x:c>
      <x:c r="C3930" t="str">
        <x:v>GATE</x:v>
      </x:c>
      <x:c r="D3930" t="str">
        <x:v>release state mirrors governing ledger</x:v>
      </x:c>
      <x:c r="E3930" t="str">
        <x:f>'Release Gates'!I3890</x:f>
        <x:v>OPEN</x:v>
      </x:c>
      <x:c r="F3930" t="str">
        <x:f>IF('Release Gates'!C3890="PLANNING","PASS",IF('Release Gates'!C3890="PHYSICAL","OPEN","BLOCKED"))</x:f>
        <x:v>OPEN</x:v>
      </x:c>
      <x:c r="G3930" t="str">
        <x:v>equals</x:v>
      </x:c>
      <x:c r="H3930" t="str">
        <x:f>IF(E3930=F3930,"PASS","FAIL")</x:f>
        <x:v>PASS</x:v>
      </x:c>
    </x:row>
    <x:row r="3931">
      <x:c r="B3931" t="str">
        <x:v>A-03885</x:v>
      </x:c>
      <x:c r="C3931" t="str">
        <x:v>GATE</x:v>
      </x:c>
      <x:c r="D3931" t="str">
        <x:v>release state mirrors governing ledger</x:v>
      </x:c>
      <x:c r="E3931" t="str">
        <x:f>'Release Gates'!I3891</x:f>
        <x:v>OPEN</x:v>
      </x:c>
      <x:c r="F3931" t="str">
        <x:f>IF('Release Gates'!C3891="PLANNING","PASS",IF('Release Gates'!C3891="PHYSICAL","OPEN","BLOCKED"))</x:f>
        <x:v>OPEN</x:v>
      </x:c>
      <x:c r="G3931" t="str">
        <x:v>equals</x:v>
      </x:c>
      <x:c r="H3931" t="str">
        <x:f>IF(E3931=F3931,"PASS","FAIL")</x:f>
        <x:v>PASS</x:v>
      </x:c>
    </x:row>
    <x:row r="3932">
      <x:c r="B3932" t="str">
        <x:v>A-03886</x:v>
      </x:c>
      <x:c r="C3932" t="str">
        <x:v>GATE</x:v>
      </x:c>
      <x:c r="D3932" t="str">
        <x:v>release state mirrors governing ledger</x:v>
      </x:c>
      <x:c r="E3932" t="str">
        <x:f>'Release Gates'!I3892</x:f>
        <x:v>OPEN</x:v>
      </x:c>
      <x:c r="F3932" t="str">
        <x:f>IF('Release Gates'!C3892="PLANNING","PASS",IF('Release Gates'!C3892="PHYSICAL","OPEN","BLOCKED"))</x:f>
        <x:v>OPEN</x:v>
      </x:c>
      <x:c r="G3932" t="str">
        <x:v>equals</x:v>
      </x:c>
      <x:c r="H3932" t="str">
        <x:f>IF(E3932=F3932,"PASS","FAIL")</x:f>
        <x:v>PASS</x:v>
      </x:c>
    </x:row>
    <x:row r="3933">
      <x:c r="B3933" t="str">
        <x:v>A-03887</x:v>
      </x:c>
      <x:c r="C3933" t="str">
        <x:v>GATE</x:v>
      </x:c>
      <x:c r="D3933" t="str">
        <x:v>release state mirrors governing ledger</x:v>
      </x:c>
      <x:c r="E3933" t="str">
        <x:f>'Release Gates'!I3893</x:f>
        <x:v>OPEN</x:v>
      </x:c>
      <x:c r="F3933" t="str">
        <x:f>IF('Release Gates'!C3893="PLANNING","PASS",IF('Release Gates'!C3893="PHYSICAL","OPEN","BLOCKED"))</x:f>
        <x:v>OPEN</x:v>
      </x:c>
      <x:c r="G3933" t="str">
        <x:v>equals</x:v>
      </x:c>
      <x:c r="H3933" t="str">
        <x:f>IF(E3933=F3933,"PASS","FAIL")</x:f>
        <x:v>PASS</x:v>
      </x:c>
    </x:row>
    <x:row r="3934">
      <x:c r="B3934" t="str">
        <x:v>A-03888</x:v>
      </x:c>
      <x:c r="C3934" t="str">
        <x:v>GATE</x:v>
      </x:c>
      <x:c r="D3934" t="str">
        <x:v>release state mirrors governing ledger</x:v>
      </x:c>
      <x:c r="E3934" t="str">
        <x:f>'Release Gates'!I3894</x:f>
        <x:v>OPEN</x:v>
      </x:c>
      <x:c r="F3934" t="str">
        <x:f>IF('Release Gates'!C3894="PLANNING","PASS",IF('Release Gates'!C3894="PHYSICAL","OPEN","BLOCKED"))</x:f>
        <x:v>OPEN</x:v>
      </x:c>
      <x:c r="G3934" t="str">
        <x:v>equals</x:v>
      </x:c>
      <x:c r="H3934" t="str">
        <x:f>IF(E3934=F3934,"PASS","FAIL")</x:f>
        <x:v>PASS</x:v>
      </x:c>
    </x:row>
    <x:row r="3935">
      <x:c r="B3935" t="str">
        <x:v>A-03889</x:v>
      </x:c>
      <x:c r="C3935" t="str">
        <x:v>GATE</x:v>
      </x:c>
      <x:c r="D3935" t="str">
        <x:v>release state mirrors governing ledger</x:v>
      </x:c>
      <x:c r="E3935" t="str">
        <x:f>'Release Gates'!I3895</x:f>
        <x:v>OPEN</x:v>
      </x:c>
      <x:c r="F3935" t="str">
        <x:f>IF('Release Gates'!C3895="PLANNING","PASS",IF('Release Gates'!C3895="PHYSICAL","OPEN","BLOCKED"))</x:f>
        <x:v>OPEN</x:v>
      </x:c>
      <x:c r="G3935" t="str">
        <x:v>equals</x:v>
      </x:c>
      <x:c r="H3935" t="str">
        <x:f>IF(E3935=F3935,"PASS","FAIL")</x:f>
        <x:v>PASS</x:v>
      </x:c>
    </x:row>
    <x:row r="3936">
      <x:c r="B3936" t="str">
        <x:v>A-03890</x:v>
      </x:c>
      <x:c r="C3936" t="str">
        <x:v>GATE</x:v>
      </x:c>
      <x:c r="D3936" t="str">
        <x:v>release state mirrors governing ledger</x:v>
      </x:c>
      <x:c r="E3936" t="str">
        <x:f>'Release Gates'!I3896</x:f>
        <x:v>OPEN</x:v>
      </x:c>
      <x:c r="F3936" t="str">
        <x:f>IF('Release Gates'!C3896="PLANNING","PASS",IF('Release Gates'!C3896="PHYSICAL","OPEN","BLOCKED"))</x:f>
        <x:v>OPEN</x:v>
      </x:c>
      <x:c r="G3936" t="str">
        <x:v>equals</x:v>
      </x:c>
      <x:c r="H3936" t="str">
        <x:f>IF(E3936=F3936,"PASS","FAIL")</x:f>
        <x:v>PASS</x:v>
      </x:c>
    </x:row>
    <x:row r="3937">
      <x:c r="B3937" t="str">
        <x:v>A-03891</x:v>
      </x:c>
      <x:c r="C3937" t="str">
        <x:v>GATE</x:v>
      </x:c>
      <x:c r="D3937" t="str">
        <x:v>release state mirrors governing ledger</x:v>
      </x:c>
      <x:c r="E3937" t="str">
        <x:f>'Release Gates'!I3897</x:f>
        <x:v>OPEN</x:v>
      </x:c>
      <x:c r="F3937" t="str">
        <x:f>IF('Release Gates'!C3897="PLANNING","PASS",IF('Release Gates'!C3897="PHYSICAL","OPEN","BLOCKED"))</x:f>
        <x:v>OPEN</x:v>
      </x:c>
      <x:c r="G3937" t="str">
        <x:v>equals</x:v>
      </x:c>
      <x:c r="H3937" t="str">
        <x:f>IF(E3937=F3937,"PASS","FAIL")</x:f>
        <x:v>PASS</x:v>
      </x:c>
    </x:row>
    <x:row r="3938">
      <x:c r="B3938" t="str">
        <x:v>A-03892</x:v>
      </x:c>
      <x:c r="C3938" t="str">
        <x:v>GATE</x:v>
      </x:c>
      <x:c r="D3938" t="str">
        <x:v>release state mirrors governing ledger</x:v>
      </x:c>
      <x:c r="E3938" t="str">
        <x:f>'Release Gates'!I3898</x:f>
        <x:v>OPEN</x:v>
      </x:c>
      <x:c r="F3938" t="str">
        <x:f>IF('Release Gates'!C3898="PLANNING","PASS",IF('Release Gates'!C3898="PHYSICAL","OPEN","BLOCKED"))</x:f>
        <x:v>OPEN</x:v>
      </x:c>
      <x:c r="G3938" t="str">
        <x:v>equals</x:v>
      </x:c>
      <x:c r="H3938" t="str">
        <x:f>IF(E3938=F3938,"PASS","FAIL")</x:f>
        <x:v>PASS</x:v>
      </x:c>
    </x:row>
    <x:row r="3939">
      <x:c r="B3939" t="str">
        <x:v>A-03893</x:v>
      </x:c>
      <x:c r="C3939" t="str">
        <x:v>GATE</x:v>
      </x:c>
      <x:c r="D3939" t="str">
        <x:v>release state mirrors governing ledger</x:v>
      </x:c>
      <x:c r="E3939" t="str">
        <x:f>'Release Gates'!I3899</x:f>
        <x:v>OPEN</x:v>
      </x:c>
      <x:c r="F3939" t="str">
        <x:f>IF('Release Gates'!C3899="PLANNING","PASS",IF('Release Gates'!C3899="PHYSICAL","OPEN","BLOCKED"))</x:f>
        <x:v>OPEN</x:v>
      </x:c>
      <x:c r="G3939" t="str">
        <x:v>equals</x:v>
      </x:c>
      <x:c r="H3939" t="str">
        <x:f>IF(E3939=F3939,"PASS","FAIL")</x:f>
        <x:v>PASS</x:v>
      </x:c>
    </x:row>
    <x:row r="3940">
      <x:c r="B3940" t="str">
        <x:v>A-03894</x:v>
      </x:c>
      <x:c r="C3940" t="str">
        <x:v>GATE</x:v>
      </x:c>
      <x:c r="D3940" t="str">
        <x:v>release state mirrors governing ledger</x:v>
      </x:c>
      <x:c r="E3940" t="str">
        <x:f>'Release Gates'!I3900</x:f>
        <x:v>OPEN</x:v>
      </x:c>
      <x:c r="F3940" t="str">
        <x:f>IF('Release Gates'!C3900="PLANNING","PASS",IF('Release Gates'!C3900="PHYSICAL","OPEN","BLOCKED"))</x:f>
        <x:v>OPEN</x:v>
      </x:c>
      <x:c r="G3940" t="str">
        <x:v>equals</x:v>
      </x:c>
      <x:c r="H3940" t="str">
        <x:f>IF(E3940=F3940,"PASS","FAIL")</x:f>
        <x:v>PASS</x:v>
      </x:c>
    </x:row>
    <x:row r="3941">
      <x:c r="B3941" t="str">
        <x:v>A-03895</x:v>
      </x:c>
      <x:c r="C3941" t="str">
        <x:v>GATE</x:v>
      </x:c>
      <x:c r="D3941" t="str">
        <x:v>release state mirrors governing ledger</x:v>
      </x:c>
      <x:c r="E3941" t="str">
        <x:f>'Release Gates'!I3901</x:f>
        <x:v>OPEN</x:v>
      </x:c>
      <x:c r="F3941" t="str">
        <x:f>IF('Release Gates'!C3901="PLANNING","PASS",IF('Release Gates'!C3901="PHYSICAL","OPEN","BLOCKED"))</x:f>
        <x:v>OPEN</x:v>
      </x:c>
      <x:c r="G3941" t="str">
        <x:v>equals</x:v>
      </x:c>
      <x:c r="H3941" t="str">
        <x:f>IF(E3941=F3941,"PASS","FAIL")</x:f>
        <x:v>PASS</x:v>
      </x:c>
    </x:row>
    <x:row r="3942">
      <x:c r="B3942" t="str">
        <x:v>A-03896</x:v>
      </x:c>
      <x:c r="C3942" t="str">
        <x:v>GATE</x:v>
      </x:c>
      <x:c r="D3942" t="str">
        <x:v>release state mirrors governing ledger</x:v>
      </x:c>
      <x:c r="E3942" t="str">
        <x:f>'Release Gates'!I3902</x:f>
        <x:v>OPEN</x:v>
      </x:c>
      <x:c r="F3942" t="str">
        <x:f>IF('Release Gates'!C3902="PLANNING","PASS",IF('Release Gates'!C3902="PHYSICAL","OPEN","BLOCKED"))</x:f>
        <x:v>OPEN</x:v>
      </x:c>
      <x:c r="G3942" t="str">
        <x:v>equals</x:v>
      </x:c>
      <x:c r="H3942" t="str">
        <x:f>IF(E3942=F3942,"PASS","FAIL")</x:f>
        <x:v>PASS</x:v>
      </x:c>
    </x:row>
    <x:row r="3943">
      <x:c r="B3943" t="str">
        <x:v>A-03897</x:v>
      </x:c>
      <x:c r="C3943" t="str">
        <x:v>GATE</x:v>
      </x:c>
      <x:c r="D3943" t="str">
        <x:v>release state mirrors governing ledger</x:v>
      </x:c>
      <x:c r="E3943" t="str">
        <x:f>'Release Gates'!I3903</x:f>
        <x:v>OPEN</x:v>
      </x:c>
      <x:c r="F3943" t="str">
        <x:f>IF('Release Gates'!C3903="PLANNING","PASS",IF('Release Gates'!C3903="PHYSICAL","OPEN","BLOCKED"))</x:f>
        <x:v>OPEN</x:v>
      </x:c>
      <x:c r="G3943" t="str">
        <x:v>equals</x:v>
      </x:c>
      <x:c r="H3943" t="str">
        <x:f>IF(E3943=F3943,"PASS","FAIL")</x:f>
        <x:v>PASS</x:v>
      </x:c>
    </x:row>
    <x:row r="3944">
      <x:c r="B3944" t="str">
        <x:v>A-03898</x:v>
      </x:c>
      <x:c r="C3944" t="str">
        <x:v>GATE</x:v>
      </x:c>
      <x:c r="D3944" t="str">
        <x:v>release state mirrors governing ledger</x:v>
      </x:c>
      <x:c r="E3944" t="str">
        <x:f>'Release Gates'!I3904</x:f>
        <x:v>OPEN</x:v>
      </x:c>
      <x:c r="F3944" t="str">
        <x:f>IF('Release Gates'!C3904="PLANNING","PASS",IF('Release Gates'!C3904="PHYSICAL","OPEN","BLOCKED"))</x:f>
        <x:v>OPEN</x:v>
      </x:c>
      <x:c r="G3944" t="str">
        <x:v>equals</x:v>
      </x:c>
      <x:c r="H3944" t="str">
        <x:f>IF(E3944=F3944,"PASS","FAIL")</x:f>
        <x:v>PASS</x:v>
      </x:c>
    </x:row>
    <x:row r="3945">
      <x:c r="B3945" t="str">
        <x:v>A-03899</x:v>
      </x:c>
      <x:c r="C3945" t="str">
        <x:v>GATE</x:v>
      </x:c>
      <x:c r="D3945" t="str">
        <x:v>release state mirrors governing ledger</x:v>
      </x:c>
      <x:c r="E3945" t="str">
        <x:f>'Release Gates'!I3905</x:f>
        <x:v>OPEN</x:v>
      </x:c>
      <x:c r="F3945" t="str">
        <x:f>IF('Release Gates'!C3905="PLANNING","PASS",IF('Release Gates'!C3905="PHYSICAL","OPEN","BLOCKED"))</x:f>
        <x:v>OPEN</x:v>
      </x:c>
      <x:c r="G3945" t="str">
        <x:v>equals</x:v>
      </x:c>
      <x:c r="H3945" t="str">
        <x:f>IF(E3945=F3945,"PASS","FAIL")</x:f>
        <x:v>PASS</x:v>
      </x:c>
    </x:row>
    <x:row r="3946">
      <x:c r="B3946" t="str">
        <x:v>A-03900</x:v>
      </x:c>
      <x:c r="C3946" t="str">
        <x:v>GATE</x:v>
      </x:c>
      <x:c r="D3946" t="str">
        <x:v>release state mirrors governing ledger</x:v>
      </x:c>
      <x:c r="E3946" t="str">
        <x:f>'Release Gates'!I3906</x:f>
        <x:v>OPEN</x:v>
      </x:c>
      <x:c r="F3946" t="str">
        <x:f>IF('Release Gates'!C3906="PLANNING","PASS",IF('Release Gates'!C3906="PHYSICAL","OPEN","BLOCKED"))</x:f>
        <x:v>OPEN</x:v>
      </x:c>
      <x:c r="G3946" t="str">
        <x:v>equals</x:v>
      </x:c>
      <x:c r="H3946" t="str">
        <x:f>IF(E3946=F3946,"PASS","FAIL")</x:f>
        <x:v>PASS</x:v>
      </x:c>
    </x:row>
    <x:row r="3947">
      <x:c r="B3947" t="str">
        <x:v>A-03901</x:v>
      </x:c>
      <x:c r="C3947" t="str">
        <x:v>GATE</x:v>
      </x:c>
      <x:c r="D3947" t="str">
        <x:v>release state mirrors governing ledger</x:v>
      </x:c>
      <x:c r="E3947" t="str">
        <x:f>'Release Gates'!I3907</x:f>
        <x:v>OPEN</x:v>
      </x:c>
      <x:c r="F3947" t="str">
        <x:f>IF('Release Gates'!C3907="PLANNING","PASS",IF('Release Gates'!C3907="PHYSICAL","OPEN","BLOCKED"))</x:f>
        <x:v>OPEN</x:v>
      </x:c>
      <x:c r="G3947" t="str">
        <x:v>equals</x:v>
      </x:c>
      <x:c r="H3947" t="str">
        <x:f>IF(E3947=F3947,"PASS","FAIL")</x:f>
        <x:v>PASS</x:v>
      </x:c>
    </x:row>
    <x:row r="3948">
      <x:c r="B3948" t="str">
        <x:v>A-03902</x:v>
      </x:c>
      <x:c r="C3948" t="str">
        <x:v>GATE</x:v>
      </x:c>
      <x:c r="D3948" t="str">
        <x:v>release state mirrors governing ledger</x:v>
      </x:c>
      <x:c r="E3948" t="str">
        <x:f>'Release Gates'!I3908</x:f>
        <x:v>OPEN</x:v>
      </x:c>
      <x:c r="F3948" t="str">
        <x:f>IF('Release Gates'!C3908="PLANNING","PASS",IF('Release Gates'!C3908="PHYSICAL","OPEN","BLOCKED"))</x:f>
        <x:v>OPEN</x:v>
      </x:c>
      <x:c r="G3948" t="str">
        <x:v>equals</x:v>
      </x:c>
      <x:c r="H3948" t="str">
        <x:f>IF(E3948=F3948,"PASS","FAIL")</x:f>
        <x:v>PASS</x:v>
      </x:c>
    </x:row>
    <x:row r="3949">
      <x:c r="B3949" t="str">
        <x:v>A-03903</x:v>
      </x:c>
      <x:c r="C3949" t="str">
        <x:v>GATE</x:v>
      </x:c>
      <x:c r="D3949" t="str">
        <x:v>release state mirrors governing ledger</x:v>
      </x:c>
      <x:c r="E3949" t="str">
        <x:f>'Release Gates'!I3909</x:f>
        <x:v>OPEN</x:v>
      </x:c>
      <x:c r="F3949" t="str">
        <x:f>IF('Release Gates'!C3909="PLANNING","PASS",IF('Release Gates'!C3909="PHYSICAL","OPEN","BLOCKED"))</x:f>
        <x:v>OPEN</x:v>
      </x:c>
      <x:c r="G3949" t="str">
        <x:v>equals</x:v>
      </x:c>
      <x:c r="H3949" t="str">
        <x:f>IF(E3949=F3949,"PASS","FAIL")</x:f>
        <x:v>PASS</x:v>
      </x:c>
    </x:row>
    <x:row r="3950">
      <x:c r="B3950" t="str">
        <x:v>A-03904</x:v>
      </x:c>
      <x:c r="C3950" t="str">
        <x:v>GATE</x:v>
      </x:c>
      <x:c r="D3950" t="str">
        <x:v>release state mirrors governing ledger</x:v>
      </x:c>
      <x:c r="E3950" t="str">
        <x:f>'Release Gates'!I3910</x:f>
        <x:v>OPEN</x:v>
      </x:c>
      <x:c r="F3950" t="str">
        <x:f>IF('Release Gates'!C3910="PLANNING","PASS",IF('Release Gates'!C3910="PHYSICAL","OPEN","BLOCKED"))</x:f>
        <x:v>OPEN</x:v>
      </x:c>
      <x:c r="G3950" t="str">
        <x:v>equals</x:v>
      </x:c>
      <x:c r="H3950" t="str">
        <x:f>IF(E3950=F3950,"PASS","FAIL")</x:f>
        <x:v>PASS</x:v>
      </x:c>
    </x:row>
    <x:row r="3951">
      <x:c r="B3951" t="str">
        <x:v>A-03905</x:v>
      </x:c>
      <x:c r="C3951" t="str">
        <x:v>GATE</x:v>
      </x:c>
      <x:c r="D3951" t="str">
        <x:v>release state mirrors governing ledger</x:v>
      </x:c>
      <x:c r="E3951" t="str">
        <x:f>'Release Gates'!I3911</x:f>
        <x:v>OPEN</x:v>
      </x:c>
      <x:c r="F3951" t="str">
        <x:f>IF('Release Gates'!C3911="PLANNING","PASS",IF('Release Gates'!C3911="PHYSICAL","OPEN","BLOCKED"))</x:f>
        <x:v>OPEN</x:v>
      </x:c>
      <x:c r="G3951" t="str">
        <x:v>equals</x:v>
      </x:c>
      <x:c r="H3951" t="str">
        <x:f>IF(E3951=F3951,"PASS","FAIL")</x:f>
        <x:v>PASS</x:v>
      </x:c>
    </x:row>
    <x:row r="3952">
      <x:c r="B3952" t="str">
        <x:v>A-03906</x:v>
      </x:c>
      <x:c r="C3952" t="str">
        <x:v>GATE</x:v>
      </x:c>
      <x:c r="D3952" t="str">
        <x:v>release state mirrors governing ledger</x:v>
      </x:c>
      <x:c r="E3952" t="str">
        <x:f>'Release Gates'!I3912</x:f>
        <x:v>OPEN</x:v>
      </x:c>
      <x:c r="F3952" t="str">
        <x:f>IF('Release Gates'!C3912="PLANNING","PASS",IF('Release Gates'!C3912="PHYSICAL","OPEN","BLOCKED"))</x:f>
        <x:v>OPEN</x:v>
      </x:c>
      <x:c r="G3952" t="str">
        <x:v>equals</x:v>
      </x:c>
      <x:c r="H3952" t="str">
        <x:f>IF(E3952=F3952,"PASS","FAIL")</x:f>
        <x:v>PASS</x:v>
      </x:c>
    </x:row>
    <x:row r="3953">
      <x:c r="B3953" t="str">
        <x:v>A-03907</x:v>
      </x:c>
      <x:c r="C3953" t="str">
        <x:v>GATE</x:v>
      </x:c>
      <x:c r="D3953" t="str">
        <x:v>release state mirrors governing ledger</x:v>
      </x:c>
      <x:c r="E3953" t="str">
        <x:f>'Release Gates'!I3913</x:f>
        <x:v>OPEN</x:v>
      </x:c>
      <x:c r="F3953" t="str">
        <x:f>IF('Release Gates'!C3913="PLANNING","PASS",IF('Release Gates'!C3913="PHYSICAL","OPEN","BLOCKED"))</x:f>
        <x:v>OPEN</x:v>
      </x:c>
      <x:c r="G3953" t="str">
        <x:v>equals</x:v>
      </x:c>
      <x:c r="H3953" t="str">
        <x:f>IF(E3953=F3953,"PASS","FAIL")</x:f>
        <x:v>PASS</x:v>
      </x:c>
    </x:row>
    <x:row r="3954">
      <x:c r="B3954" t="str">
        <x:v>A-03908</x:v>
      </x:c>
      <x:c r="C3954" t="str">
        <x:v>GATE</x:v>
      </x:c>
      <x:c r="D3954" t="str">
        <x:v>release state mirrors governing ledger</x:v>
      </x:c>
      <x:c r="E3954" t="str">
        <x:f>'Release Gates'!I3914</x:f>
        <x:v>OPEN</x:v>
      </x:c>
      <x:c r="F3954" t="str">
        <x:f>IF('Release Gates'!C3914="PLANNING","PASS",IF('Release Gates'!C3914="PHYSICAL","OPEN","BLOCKED"))</x:f>
        <x:v>OPEN</x:v>
      </x:c>
      <x:c r="G3954" t="str">
        <x:v>equals</x:v>
      </x:c>
      <x:c r="H3954" t="str">
        <x:f>IF(E3954=F3954,"PASS","FAIL")</x:f>
        <x:v>PASS</x:v>
      </x:c>
    </x:row>
    <x:row r="3955">
      <x:c r="B3955" t="str">
        <x:v>A-03909</x:v>
      </x:c>
      <x:c r="C3955" t="str">
        <x:v>GATE</x:v>
      </x:c>
      <x:c r="D3955" t="str">
        <x:v>release state mirrors governing ledger</x:v>
      </x:c>
      <x:c r="E3955" t="str">
        <x:f>'Release Gates'!I3915</x:f>
        <x:v>OPEN</x:v>
      </x:c>
      <x:c r="F3955" t="str">
        <x:f>IF('Release Gates'!C3915="PLANNING","PASS",IF('Release Gates'!C3915="PHYSICAL","OPEN","BLOCKED"))</x:f>
        <x:v>OPEN</x:v>
      </x:c>
      <x:c r="G3955" t="str">
        <x:v>equals</x:v>
      </x:c>
      <x:c r="H3955" t="str">
        <x:f>IF(E3955=F3955,"PASS","FAIL")</x:f>
        <x:v>PASS</x:v>
      </x:c>
    </x:row>
    <x:row r="3956">
      <x:c r="B3956" t="str">
        <x:v>A-03910</x:v>
      </x:c>
      <x:c r="C3956" t="str">
        <x:v>GATE</x:v>
      </x:c>
      <x:c r="D3956" t="str">
        <x:v>release state mirrors governing ledger</x:v>
      </x:c>
      <x:c r="E3956" t="str">
        <x:f>'Release Gates'!I3916</x:f>
        <x:v>OPEN</x:v>
      </x:c>
      <x:c r="F3956" t="str">
        <x:f>IF('Release Gates'!C3916="PLANNING","PASS",IF('Release Gates'!C3916="PHYSICAL","OPEN","BLOCKED"))</x:f>
        <x:v>OPEN</x:v>
      </x:c>
      <x:c r="G3956" t="str">
        <x:v>equals</x:v>
      </x:c>
      <x:c r="H3956" t="str">
        <x:f>IF(E3956=F3956,"PASS","FAIL")</x:f>
        <x:v>PASS</x:v>
      </x:c>
    </x:row>
    <x:row r="3957">
      <x:c r="B3957" t="str">
        <x:v>A-03911</x:v>
      </x:c>
      <x:c r="C3957" t="str">
        <x:v>GATE</x:v>
      </x:c>
      <x:c r="D3957" t="str">
        <x:v>release state mirrors governing ledger</x:v>
      </x:c>
      <x:c r="E3957" t="str">
        <x:f>'Release Gates'!I3917</x:f>
        <x:v>OPEN</x:v>
      </x:c>
      <x:c r="F3957" t="str">
        <x:f>IF('Release Gates'!C3917="PLANNING","PASS",IF('Release Gates'!C3917="PHYSICAL","OPEN","BLOCKED"))</x:f>
        <x:v>OPEN</x:v>
      </x:c>
      <x:c r="G3957" t="str">
        <x:v>equals</x:v>
      </x:c>
      <x:c r="H3957" t="str">
        <x:f>IF(E3957=F3957,"PASS","FAIL")</x:f>
        <x:v>PASS</x:v>
      </x:c>
    </x:row>
    <x:row r="3958">
      <x:c r="B3958" t="str">
        <x:v>A-03912</x:v>
      </x:c>
      <x:c r="C3958" t="str">
        <x:v>GATE</x:v>
      </x:c>
      <x:c r="D3958" t="str">
        <x:v>release state mirrors governing ledger</x:v>
      </x:c>
      <x:c r="E3958" t="str">
        <x:f>'Release Gates'!I3918</x:f>
        <x:v>OPEN</x:v>
      </x:c>
      <x:c r="F3958" t="str">
        <x:f>IF('Release Gates'!C3918="PLANNING","PASS",IF('Release Gates'!C3918="PHYSICAL","OPEN","BLOCKED"))</x:f>
        <x:v>OPEN</x:v>
      </x:c>
      <x:c r="G3958" t="str">
        <x:v>equals</x:v>
      </x:c>
      <x:c r="H3958" t="str">
        <x:f>IF(E3958=F3958,"PASS","FAIL")</x:f>
        <x:v>PASS</x:v>
      </x:c>
    </x:row>
    <x:row r="3959">
      <x:c r="B3959" t="str">
        <x:v>A-03913</x:v>
      </x:c>
      <x:c r="C3959" t="str">
        <x:v>GATE</x:v>
      </x:c>
      <x:c r="D3959" t="str">
        <x:v>release state mirrors governing ledger</x:v>
      </x:c>
      <x:c r="E3959" t="str">
        <x:f>'Release Gates'!I3919</x:f>
        <x:v>OPEN</x:v>
      </x:c>
      <x:c r="F3959" t="str">
        <x:f>IF('Release Gates'!C3919="PLANNING","PASS",IF('Release Gates'!C3919="PHYSICAL","OPEN","BLOCKED"))</x:f>
        <x:v>OPEN</x:v>
      </x:c>
      <x:c r="G3959" t="str">
        <x:v>equals</x:v>
      </x:c>
      <x:c r="H3959" t="str">
        <x:f>IF(E3959=F3959,"PASS","FAIL")</x:f>
        <x:v>PASS</x:v>
      </x:c>
    </x:row>
    <x:row r="3960">
      <x:c r="B3960" t="str">
        <x:v>A-03914</x:v>
      </x:c>
      <x:c r="C3960" t="str">
        <x:v>GATE</x:v>
      </x:c>
      <x:c r="D3960" t="str">
        <x:v>release state mirrors governing ledger</x:v>
      </x:c>
      <x:c r="E3960" t="str">
        <x:f>'Release Gates'!I3920</x:f>
        <x:v>OPEN</x:v>
      </x:c>
      <x:c r="F3960" t="str">
        <x:f>IF('Release Gates'!C3920="PLANNING","PASS",IF('Release Gates'!C3920="PHYSICAL","OPEN","BLOCKED"))</x:f>
        <x:v>OPEN</x:v>
      </x:c>
      <x:c r="G3960" t="str">
        <x:v>equals</x:v>
      </x:c>
      <x:c r="H3960" t="str">
        <x:f>IF(E3960=F3960,"PASS","FAIL")</x:f>
        <x:v>PASS</x:v>
      </x:c>
    </x:row>
    <x:row r="3961">
      <x:c r="B3961" t="str">
        <x:v>A-03915</x:v>
      </x:c>
      <x:c r="C3961" t="str">
        <x:v>GATE</x:v>
      </x:c>
      <x:c r="D3961" t="str">
        <x:v>release state mirrors governing ledger</x:v>
      </x:c>
      <x:c r="E3961" t="str">
        <x:f>'Release Gates'!I3921</x:f>
        <x:v>OPEN</x:v>
      </x:c>
      <x:c r="F3961" t="str">
        <x:f>IF('Release Gates'!C3921="PLANNING","PASS",IF('Release Gates'!C3921="PHYSICAL","OPEN","BLOCKED"))</x:f>
        <x:v>OPEN</x:v>
      </x:c>
      <x:c r="G3961" t="str">
        <x:v>equals</x:v>
      </x:c>
      <x:c r="H3961" t="str">
        <x:f>IF(E3961=F3961,"PASS","FAIL")</x:f>
        <x:v>PASS</x:v>
      </x:c>
    </x:row>
    <x:row r="3962">
      <x:c r="B3962" t="str">
        <x:v>A-03916</x:v>
      </x:c>
      <x:c r="C3962" t="str">
        <x:v>GATE</x:v>
      </x:c>
      <x:c r="D3962" t="str">
        <x:v>release state mirrors governing ledger</x:v>
      </x:c>
      <x:c r="E3962" t="str">
        <x:f>'Release Gates'!I3922</x:f>
        <x:v>OPEN</x:v>
      </x:c>
      <x:c r="F3962" t="str">
        <x:f>IF('Release Gates'!C3922="PLANNING","PASS",IF('Release Gates'!C3922="PHYSICAL","OPEN","BLOCKED"))</x:f>
        <x:v>OPEN</x:v>
      </x:c>
      <x:c r="G3962" t="str">
        <x:v>equals</x:v>
      </x:c>
      <x:c r="H3962" t="str">
        <x:f>IF(E3962=F3962,"PASS","FAIL")</x:f>
        <x:v>PASS</x:v>
      </x:c>
    </x:row>
    <x:row r="3963">
      <x:c r="B3963" t="str">
        <x:v>A-03917</x:v>
      </x:c>
      <x:c r="C3963" t="str">
        <x:v>GATE</x:v>
      </x:c>
      <x:c r="D3963" t="str">
        <x:v>release state mirrors governing ledger</x:v>
      </x:c>
      <x:c r="E3963" t="str">
        <x:f>'Release Gates'!I3923</x:f>
        <x:v>OPEN</x:v>
      </x:c>
      <x:c r="F3963" t="str">
        <x:f>IF('Release Gates'!C3923="PLANNING","PASS",IF('Release Gates'!C3923="PHYSICAL","OPEN","BLOCKED"))</x:f>
        <x:v>OPEN</x:v>
      </x:c>
      <x:c r="G3963" t="str">
        <x:v>equals</x:v>
      </x:c>
      <x:c r="H3963" t="str">
        <x:f>IF(E3963=F3963,"PASS","FAIL")</x:f>
        <x:v>PASS</x:v>
      </x:c>
    </x:row>
    <x:row r="3964">
      <x:c r="B3964" t="str">
        <x:v>A-03918</x:v>
      </x:c>
      <x:c r="C3964" t="str">
        <x:v>GATE</x:v>
      </x:c>
      <x:c r="D3964" t="str">
        <x:v>release state mirrors governing ledger</x:v>
      </x:c>
      <x:c r="E3964" t="str">
        <x:f>'Release Gates'!I3924</x:f>
        <x:v>OPEN</x:v>
      </x:c>
      <x:c r="F3964" t="str">
        <x:f>IF('Release Gates'!C3924="PLANNING","PASS",IF('Release Gates'!C3924="PHYSICAL","OPEN","BLOCKED"))</x:f>
        <x:v>OPEN</x:v>
      </x:c>
      <x:c r="G3964" t="str">
        <x:v>equals</x:v>
      </x:c>
      <x:c r="H3964" t="str">
        <x:f>IF(E3964=F3964,"PASS","FAIL")</x:f>
        <x:v>PASS</x:v>
      </x:c>
    </x:row>
    <x:row r="3965">
      <x:c r="B3965" t="str">
        <x:v>A-03919</x:v>
      </x:c>
      <x:c r="C3965" t="str">
        <x:v>GATE</x:v>
      </x:c>
      <x:c r="D3965" t="str">
        <x:v>release state mirrors governing ledger</x:v>
      </x:c>
      <x:c r="E3965" t="str">
        <x:f>'Release Gates'!I3925</x:f>
        <x:v>OPEN</x:v>
      </x:c>
      <x:c r="F3965" t="str">
        <x:f>IF('Release Gates'!C3925="PLANNING","PASS",IF('Release Gates'!C3925="PHYSICAL","OPEN","BLOCKED"))</x:f>
        <x:v>OPEN</x:v>
      </x:c>
      <x:c r="G3965" t="str">
        <x:v>equals</x:v>
      </x:c>
      <x:c r="H3965" t="str">
        <x:f>IF(E3965=F3965,"PASS","FAIL")</x:f>
        <x:v>PASS</x:v>
      </x:c>
    </x:row>
    <x:row r="3966">
      <x:c r="B3966" t="str">
        <x:v>A-03920</x:v>
      </x:c>
      <x:c r="C3966" t="str">
        <x:v>GATE</x:v>
      </x:c>
      <x:c r="D3966" t="str">
        <x:v>release state mirrors governing ledger</x:v>
      </x:c>
      <x:c r="E3966" t="str">
        <x:f>'Release Gates'!I3926</x:f>
        <x:v>OPEN</x:v>
      </x:c>
      <x:c r="F3966" t="str">
        <x:f>IF('Release Gates'!C3926="PLANNING","PASS",IF('Release Gates'!C3926="PHYSICAL","OPEN","BLOCKED"))</x:f>
        <x:v>OPEN</x:v>
      </x:c>
      <x:c r="G3966" t="str">
        <x:v>equals</x:v>
      </x:c>
      <x:c r="H3966" t="str">
        <x:f>IF(E3966=F3966,"PASS","FAIL")</x:f>
        <x:v>PASS</x:v>
      </x:c>
    </x:row>
    <x:row r="3967">
      <x:c r="B3967" t="str">
        <x:v>A-03921</x:v>
      </x:c>
      <x:c r="C3967" t="str">
        <x:v>GATE</x:v>
      </x:c>
      <x:c r="D3967" t="str">
        <x:v>release state mirrors governing ledger</x:v>
      </x:c>
      <x:c r="E3967" t="str">
        <x:f>'Release Gates'!I3927</x:f>
        <x:v>OPEN</x:v>
      </x:c>
      <x:c r="F3967" t="str">
        <x:f>IF('Release Gates'!C3927="PLANNING","PASS",IF('Release Gates'!C3927="PHYSICAL","OPEN","BLOCKED"))</x:f>
        <x:v>OPEN</x:v>
      </x:c>
      <x:c r="G3967" t="str">
        <x:v>equals</x:v>
      </x:c>
      <x:c r="H3967" t="str">
        <x:f>IF(E3967=F3967,"PASS","FAIL")</x:f>
        <x:v>PASS</x:v>
      </x:c>
    </x:row>
    <x:row r="3968">
      <x:c r="B3968" t="str">
        <x:v>A-03922</x:v>
      </x:c>
      <x:c r="C3968" t="str">
        <x:v>GATE</x:v>
      </x:c>
      <x:c r="D3968" t="str">
        <x:v>release state mirrors governing ledger</x:v>
      </x:c>
      <x:c r="E3968" t="str">
        <x:f>'Release Gates'!I3928</x:f>
        <x:v>OPEN</x:v>
      </x:c>
      <x:c r="F3968" t="str">
        <x:f>IF('Release Gates'!C3928="PLANNING","PASS",IF('Release Gates'!C3928="PHYSICAL","OPEN","BLOCKED"))</x:f>
        <x:v>OPEN</x:v>
      </x:c>
      <x:c r="G3968" t="str">
        <x:v>equals</x:v>
      </x:c>
      <x:c r="H3968" t="str">
        <x:f>IF(E3968=F3968,"PASS","FAIL")</x:f>
        <x:v>PASS</x:v>
      </x:c>
    </x:row>
    <x:row r="3969">
      <x:c r="B3969" t="str">
        <x:v>A-03923</x:v>
      </x:c>
      <x:c r="C3969" t="str">
        <x:v>GATE</x:v>
      </x:c>
      <x:c r="D3969" t="str">
        <x:v>release state mirrors governing ledger</x:v>
      </x:c>
      <x:c r="E3969" t="str">
        <x:f>'Release Gates'!I3929</x:f>
        <x:v>OPEN</x:v>
      </x:c>
      <x:c r="F3969" t="str">
        <x:f>IF('Release Gates'!C3929="PLANNING","PASS",IF('Release Gates'!C3929="PHYSICAL","OPEN","BLOCKED"))</x:f>
        <x:v>OPEN</x:v>
      </x:c>
      <x:c r="G3969" t="str">
        <x:v>equals</x:v>
      </x:c>
      <x:c r="H3969" t="str">
        <x:f>IF(E3969=F3969,"PASS","FAIL")</x:f>
        <x:v>PASS</x:v>
      </x:c>
    </x:row>
    <x:row r="3970">
      <x:c r="B3970" t="str">
        <x:v>A-03924</x:v>
      </x:c>
      <x:c r="C3970" t="str">
        <x:v>GATE</x:v>
      </x:c>
      <x:c r="D3970" t="str">
        <x:v>release state mirrors governing ledger</x:v>
      </x:c>
      <x:c r="E3970" t="str">
        <x:f>'Release Gates'!I3930</x:f>
        <x:v>OPEN</x:v>
      </x:c>
      <x:c r="F3970" t="str">
        <x:f>IF('Release Gates'!C3930="PLANNING","PASS",IF('Release Gates'!C3930="PHYSICAL","OPEN","BLOCKED"))</x:f>
        <x:v>OPEN</x:v>
      </x:c>
      <x:c r="G3970" t="str">
        <x:v>equals</x:v>
      </x:c>
      <x:c r="H3970" t="str">
        <x:f>IF(E3970=F3970,"PASS","FAIL")</x:f>
        <x:v>PASS</x:v>
      </x:c>
    </x:row>
    <x:row r="3971">
      <x:c r="B3971" t="str">
        <x:v>A-03925</x:v>
      </x:c>
      <x:c r="C3971" t="str">
        <x:v>GATE</x:v>
      </x:c>
      <x:c r="D3971" t="str">
        <x:v>release state mirrors governing ledger</x:v>
      </x:c>
      <x:c r="E3971" t="str">
        <x:f>'Release Gates'!I3931</x:f>
        <x:v>OPEN</x:v>
      </x:c>
      <x:c r="F3971" t="str">
        <x:f>IF('Release Gates'!C3931="PLANNING","PASS",IF('Release Gates'!C3931="PHYSICAL","OPEN","BLOCKED"))</x:f>
        <x:v>OPEN</x:v>
      </x:c>
      <x:c r="G3971" t="str">
        <x:v>equals</x:v>
      </x:c>
      <x:c r="H3971" t="str">
        <x:f>IF(E3971=F3971,"PASS","FAIL")</x:f>
        <x:v>PASS</x:v>
      </x:c>
    </x:row>
    <x:row r="3972">
      <x:c r="B3972" t="str">
        <x:v>A-03926</x:v>
      </x:c>
      <x:c r="C3972" t="str">
        <x:v>GATE</x:v>
      </x:c>
      <x:c r="D3972" t="str">
        <x:v>release state mirrors governing ledger</x:v>
      </x:c>
      <x:c r="E3972" t="str">
        <x:f>'Release Gates'!I3932</x:f>
        <x:v>OPEN</x:v>
      </x:c>
      <x:c r="F3972" t="str">
        <x:f>IF('Release Gates'!C3932="PLANNING","PASS",IF('Release Gates'!C3932="PHYSICAL","OPEN","BLOCKED"))</x:f>
        <x:v>OPEN</x:v>
      </x:c>
      <x:c r="G3972" t="str">
        <x:v>equals</x:v>
      </x:c>
      <x:c r="H3972" t="str">
        <x:f>IF(E3972=F3972,"PASS","FAIL")</x:f>
        <x:v>PASS</x:v>
      </x:c>
    </x:row>
    <x:row r="3973">
      <x:c r="B3973" t="str">
        <x:v>A-03927</x:v>
      </x:c>
      <x:c r="C3973" t="str">
        <x:v>GATE</x:v>
      </x:c>
      <x:c r="D3973" t="str">
        <x:v>release state mirrors governing ledger</x:v>
      </x:c>
      <x:c r="E3973" t="str">
        <x:f>'Release Gates'!I3933</x:f>
        <x:v>OPEN</x:v>
      </x:c>
      <x:c r="F3973" t="str">
        <x:f>IF('Release Gates'!C3933="PLANNING","PASS",IF('Release Gates'!C3933="PHYSICAL","OPEN","BLOCKED"))</x:f>
        <x:v>OPEN</x:v>
      </x:c>
      <x:c r="G3973" t="str">
        <x:v>equals</x:v>
      </x:c>
      <x:c r="H3973" t="str">
        <x:f>IF(E3973=F3973,"PASS","FAIL")</x:f>
        <x:v>PASS</x:v>
      </x:c>
    </x:row>
    <x:row r="3974">
      <x:c r="B3974" t="str">
        <x:v>A-03928</x:v>
      </x:c>
      <x:c r="C3974" t="str">
        <x:v>GATE</x:v>
      </x:c>
      <x:c r="D3974" t="str">
        <x:v>release state mirrors governing ledger</x:v>
      </x:c>
      <x:c r="E3974" t="str">
        <x:f>'Release Gates'!I3934</x:f>
        <x:v>OPEN</x:v>
      </x:c>
      <x:c r="F3974" t="str">
        <x:f>IF('Release Gates'!C3934="PLANNING","PASS",IF('Release Gates'!C3934="PHYSICAL","OPEN","BLOCKED"))</x:f>
        <x:v>OPEN</x:v>
      </x:c>
      <x:c r="G3974" t="str">
        <x:v>equals</x:v>
      </x:c>
      <x:c r="H3974" t="str">
        <x:f>IF(E3974=F3974,"PASS","FAIL")</x:f>
        <x:v>PASS</x:v>
      </x:c>
    </x:row>
    <x:row r="3975">
      <x:c r="B3975" t="str">
        <x:v>A-03929</x:v>
      </x:c>
      <x:c r="C3975" t="str">
        <x:v>GATE</x:v>
      </x:c>
      <x:c r="D3975" t="str">
        <x:v>release state mirrors governing ledger</x:v>
      </x:c>
      <x:c r="E3975" t="str">
        <x:f>'Release Gates'!I3935</x:f>
        <x:v>OPEN</x:v>
      </x:c>
      <x:c r="F3975" t="str">
        <x:f>IF('Release Gates'!C3935="PLANNING","PASS",IF('Release Gates'!C3935="PHYSICAL","OPEN","BLOCKED"))</x:f>
        <x:v>OPEN</x:v>
      </x:c>
      <x:c r="G3975" t="str">
        <x:v>equals</x:v>
      </x:c>
      <x:c r="H3975" t="str">
        <x:f>IF(E3975=F3975,"PASS","FAIL")</x:f>
        <x:v>PASS</x:v>
      </x:c>
    </x:row>
    <x:row r="3976">
      <x:c r="B3976" t="str">
        <x:v>A-03930</x:v>
      </x:c>
      <x:c r="C3976" t="str">
        <x:v>GATE</x:v>
      </x:c>
      <x:c r="D3976" t="str">
        <x:v>release state mirrors governing ledger</x:v>
      </x:c>
      <x:c r="E3976" t="str">
        <x:f>'Release Gates'!I3936</x:f>
        <x:v>OPEN</x:v>
      </x:c>
      <x:c r="F3976" t="str">
        <x:f>IF('Release Gates'!C3936="PLANNING","PASS",IF('Release Gates'!C3936="PHYSICAL","OPEN","BLOCKED"))</x:f>
        <x:v>OPEN</x:v>
      </x:c>
      <x:c r="G3976" t="str">
        <x:v>equals</x:v>
      </x:c>
      <x:c r="H3976" t="str">
        <x:f>IF(E3976=F3976,"PASS","FAIL")</x:f>
        <x:v>PASS</x:v>
      </x:c>
    </x:row>
    <x:row r="3977">
      <x:c r="B3977" t="str">
        <x:v>A-03931</x:v>
      </x:c>
      <x:c r="C3977" t="str">
        <x:v>GATE</x:v>
      </x:c>
      <x:c r="D3977" t="str">
        <x:v>release state mirrors governing ledger</x:v>
      </x:c>
      <x:c r="E3977" t="str">
        <x:f>'Release Gates'!I3937</x:f>
        <x:v>OPEN</x:v>
      </x:c>
      <x:c r="F3977" t="str">
        <x:f>IF('Release Gates'!C3937="PLANNING","PASS",IF('Release Gates'!C3937="PHYSICAL","OPEN","BLOCKED"))</x:f>
        <x:v>OPEN</x:v>
      </x:c>
      <x:c r="G3977" t="str">
        <x:v>equals</x:v>
      </x:c>
      <x:c r="H3977" t="str">
        <x:f>IF(E3977=F3977,"PASS","FAIL")</x:f>
        <x:v>PASS</x:v>
      </x:c>
    </x:row>
    <x:row r="3978">
      <x:c r="B3978" t="str">
        <x:v>A-03932</x:v>
      </x:c>
      <x:c r="C3978" t="str">
        <x:v>GATE</x:v>
      </x:c>
      <x:c r="D3978" t="str">
        <x:v>release state mirrors governing ledger</x:v>
      </x:c>
      <x:c r="E3978" t="str">
        <x:f>'Release Gates'!I3938</x:f>
        <x:v>OPEN</x:v>
      </x:c>
      <x:c r="F3978" t="str">
        <x:f>IF('Release Gates'!C3938="PLANNING","PASS",IF('Release Gates'!C3938="PHYSICAL","OPEN","BLOCKED"))</x:f>
        <x:v>OPEN</x:v>
      </x:c>
      <x:c r="G3978" t="str">
        <x:v>equals</x:v>
      </x:c>
      <x:c r="H3978" t="str">
        <x:f>IF(E3978=F3978,"PASS","FAIL")</x:f>
        <x:v>PASS</x:v>
      </x:c>
    </x:row>
    <x:row r="3979">
      <x:c r="B3979" t="str">
        <x:v>A-03933</x:v>
      </x:c>
      <x:c r="C3979" t="str">
        <x:v>GATE</x:v>
      </x:c>
      <x:c r="D3979" t="str">
        <x:v>release state mirrors governing ledger</x:v>
      </x:c>
      <x:c r="E3979" t="str">
        <x:f>'Release Gates'!I3939</x:f>
        <x:v>OPEN</x:v>
      </x:c>
      <x:c r="F3979" t="str">
        <x:f>IF('Release Gates'!C3939="PLANNING","PASS",IF('Release Gates'!C3939="PHYSICAL","OPEN","BLOCKED"))</x:f>
        <x:v>OPEN</x:v>
      </x:c>
      <x:c r="G3979" t="str">
        <x:v>equals</x:v>
      </x:c>
      <x:c r="H3979" t="str">
        <x:f>IF(E3979=F3979,"PASS","FAIL")</x:f>
        <x:v>PASS</x:v>
      </x:c>
    </x:row>
    <x:row r="3980">
      <x:c r="B3980" t="str">
        <x:v>A-03934</x:v>
      </x:c>
      <x:c r="C3980" t="str">
        <x:v>GATE</x:v>
      </x:c>
      <x:c r="D3980" t="str">
        <x:v>release state mirrors governing ledger</x:v>
      </x:c>
      <x:c r="E3980" t="str">
        <x:f>'Release Gates'!I3940</x:f>
        <x:v>OPEN</x:v>
      </x:c>
      <x:c r="F3980" t="str">
        <x:f>IF('Release Gates'!C3940="PLANNING","PASS",IF('Release Gates'!C3940="PHYSICAL","OPEN","BLOCKED"))</x:f>
        <x:v>OPEN</x:v>
      </x:c>
      <x:c r="G3980" t="str">
        <x:v>equals</x:v>
      </x:c>
      <x:c r="H3980" t="str">
        <x:f>IF(E3980=F3980,"PASS","FAIL")</x:f>
        <x:v>PASS</x:v>
      </x:c>
    </x:row>
    <x:row r="3981">
      <x:c r="B3981" t="str">
        <x:v>A-03935</x:v>
      </x:c>
      <x:c r="C3981" t="str">
        <x:v>GATE</x:v>
      </x:c>
      <x:c r="D3981" t="str">
        <x:v>release state mirrors governing ledger</x:v>
      </x:c>
      <x:c r="E3981" t="str">
        <x:f>'Release Gates'!I3941</x:f>
        <x:v>OPEN</x:v>
      </x:c>
      <x:c r="F3981" t="str">
        <x:f>IF('Release Gates'!C3941="PLANNING","PASS",IF('Release Gates'!C3941="PHYSICAL","OPEN","BLOCKED"))</x:f>
        <x:v>OPEN</x:v>
      </x:c>
      <x:c r="G3981" t="str">
        <x:v>equals</x:v>
      </x:c>
      <x:c r="H3981" t="str">
        <x:f>IF(E3981=F3981,"PASS","FAIL")</x:f>
        <x:v>PASS</x:v>
      </x:c>
    </x:row>
    <x:row r="3982">
      <x:c r="B3982" t="str">
        <x:v>A-03936</x:v>
      </x:c>
      <x:c r="C3982" t="str">
        <x:v>GATE</x:v>
      </x:c>
      <x:c r="D3982" t="str">
        <x:v>release state mirrors governing ledger</x:v>
      </x:c>
      <x:c r="E3982" t="str">
        <x:f>'Release Gates'!I3942</x:f>
        <x:v>OPEN</x:v>
      </x:c>
      <x:c r="F3982" t="str">
        <x:f>IF('Release Gates'!C3942="PLANNING","PASS",IF('Release Gates'!C3942="PHYSICAL","OPEN","BLOCKED"))</x:f>
        <x:v>OPEN</x:v>
      </x:c>
      <x:c r="G3982" t="str">
        <x:v>equals</x:v>
      </x:c>
      <x:c r="H3982" t="str">
        <x:f>IF(E3982=F3982,"PASS","FAIL")</x:f>
        <x:v>PASS</x:v>
      </x:c>
    </x:row>
    <x:row r="3983">
      <x:c r="B3983" t="str">
        <x:v>A-03937</x:v>
      </x:c>
      <x:c r="C3983" t="str">
        <x:v>GATE</x:v>
      </x:c>
      <x:c r="D3983" t="str">
        <x:v>release state mirrors governing ledger</x:v>
      </x:c>
      <x:c r="E3983" t="str">
        <x:f>'Release Gates'!I3943</x:f>
        <x:v>OPEN</x:v>
      </x:c>
      <x:c r="F3983" t="str">
        <x:f>IF('Release Gates'!C3943="PLANNING","PASS",IF('Release Gates'!C3943="PHYSICAL","OPEN","BLOCKED"))</x:f>
        <x:v>OPEN</x:v>
      </x:c>
      <x:c r="G3983" t="str">
        <x:v>equals</x:v>
      </x:c>
      <x:c r="H3983" t="str">
        <x:f>IF(E3983=F3983,"PASS","FAIL")</x:f>
        <x:v>PASS</x:v>
      </x:c>
    </x:row>
    <x:row r="3984">
      <x:c r="B3984" t="str">
        <x:v>A-03938</x:v>
      </x:c>
      <x:c r="C3984" t="str">
        <x:v>GATE</x:v>
      </x:c>
      <x:c r="D3984" t="str">
        <x:v>release state mirrors governing ledger</x:v>
      </x:c>
      <x:c r="E3984" t="str">
        <x:f>'Release Gates'!I3944</x:f>
        <x:v>OPEN</x:v>
      </x:c>
      <x:c r="F3984" t="str">
        <x:f>IF('Release Gates'!C3944="PLANNING","PASS",IF('Release Gates'!C3944="PHYSICAL","OPEN","BLOCKED"))</x:f>
        <x:v>OPEN</x:v>
      </x:c>
      <x:c r="G3984" t="str">
        <x:v>equals</x:v>
      </x:c>
      <x:c r="H3984" t="str">
        <x:f>IF(E3984=F3984,"PASS","FAIL")</x:f>
        <x:v>PASS</x:v>
      </x:c>
    </x:row>
    <x:row r="3985">
      <x:c r="B3985" t="str">
        <x:v>A-03939</x:v>
      </x:c>
      <x:c r="C3985" t="str">
        <x:v>GATE</x:v>
      </x:c>
      <x:c r="D3985" t="str">
        <x:v>release state mirrors governing ledger</x:v>
      </x:c>
      <x:c r="E3985" t="str">
        <x:f>'Release Gates'!I3945</x:f>
        <x:v>OPEN</x:v>
      </x:c>
      <x:c r="F3985" t="str">
        <x:f>IF('Release Gates'!C3945="PLANNING","PASS",IF('Release Gates'!C3945="PHYSICAL","OPEN","BLOCKED"))</x:f>
        <x:v>OPEN</x:v>
      </x:c>
      <x:c r="G3985" t="str">
        <x:v>equals</x:v>
      </x:c>
      <x:c r="H3985" t="str">
        <x:f>IF(E3985=F3985,"PASS","FAIL")</x:f>
        <x:v>PASS</x:v>
      </x:c>
    </x:row>
    <x:row r="3986">
      <x:c r="B3986" t="str">
        <x:v>A-03940</x:v>
      </x:c>
      <x:c r="C3986" t="str">
        <x:v>GATE</x:v>
      </x:c>
      <x:c r="D3986" t="str">
        <x:v>release state mirrors governing ledger</x:v>
      </x:c>
      <x:c r="E3986" t="str">
        <x:f>'Release Gates'!I3946</x:f>
        <x:v>OPEN</x:v>
      </x:c>
      <x:c r="F3986" t="str">
        <x:f>IF('Release Gates'!C3946="PLANNING","PASS",IF('Release Gates'!C3946="PHYSICAL","OPEN","BLOCKED"))</x:f>
        <x:v>OPEN</x:v>
      </x:c>
      <x:c r="G3986" t="str">
        <x:v>equals</x:v>
      </x:c>
      <x:c r="H3986" t="str">
        <x:f>IF(E3986=F3986,"PASS","FAIL")</x:f>
        <x:v>PASS</x:v>
      </x:c>
    </x:row>
    <x:row r="3987">
      <x:c r="B3987" t="str">
        <x:v>A-03941</x:v>
      </x:c>
      <x:c r="C3987" t="str">
        <x:v>GATE</x:v>
      </x:c>
      <x:c r="D3987" t="str">
        <x:v>release state mirrors governing ledger</x:v>
      </x:c>
      <x:c r="E3987" t="str">
        <x:f>'Release Gates'!I3947</x:f>
        <x:v>OPEN</x:v>
      </x:c>
      <x:c r="F3987" t="str">
        <x:f>IF('Release Gates'!C3947="PLANNING","PASS",IF('Release Gates'!C3947="PHYSICAL","OPEN","BLOCKED"))</x:f>
        <x:v>OPEN</x:v>
      </x:c>
      <x:c r="G3987" t="str">
        <x:v>equals</x:v>
      </x:c>
      <x:c r="H3987" t="str">
        <x:f>IF(E3987=F3987,"PASS","FAIL")</x:f>
        <x:v>PASS</x:v>
      </x:c>
    </x:row>
    <x:row r="3988">
      <x:c r="B3988" t="str">
        <x:v>A-03942</x:v>
      </x:c>
      <x:c r="C3988" t="str">
        <x:v>GATE</x:v>
      </x:c>
      <x:c r="D3988" t="str">
        <x:v>release state mirrors governing ledger</x:v>
      </x:c>
      <x:c r="E3988" t="str">
        <x:f>'Release Gates'!I3948</x:f>
        <x:v>OPEN</x:v>
      </x:c>
      <x:c r="F3988" t="str">
        <x:f>IF('Release Gates'!C3948="PLANNING","PASS",IF('Release Gates'!C3948="PHYSICAL","OPEN","BLOCKED"))</x:f>
        <x:v>OPEN</x:v>
      </x:c>
      <x:c r="G3988" t="str">
        <x:v>equals</x:v>
      </x:c>
      <x:c r="H3988" t="str">
        <x:f>IF(E3988=F3988,"PASS","FAIL")</x:f>
        <x:v>PASS</x:v>
      </x:c>
    </x:row>
    <x:row r="3989">
      <x:c r="B3989" t="str">
        <x:v>A-03943</x:v>
      </x:c>
      <x:c r="C3989" t="str">
        <x:v>GATE</x:v>
      </x:c>
      <x:c r="D3989" t="str">
        <x:v>release state mirrors governing ledger</x:v>
      </x:c>
      <x:c r="E3989" t="str">
        <x:f>'Release Gates'!I3949</x:f>
        <x:v>OPEN</x:v>
      </x:c>
      <x:c r="F3989" t="str">
        <x:f>IF('Release Gates'!C3949="PLANNING","PASS",IF('Release Gates'!C3949="PHYSICAL","OPEN","BLOCKED"))</x:f>
        <x:v>OPEN</x:v>
      </x:c>
      <x:c r="G3989" t="str">
        <x:v>equals</x:v>
      </x:c>
      <x:c r="H3989" t="str">
        <x:f>IF(E3989=F3989,"PASS","FAIL")</x:f>
        <x:v>PASS</x:v>
      </x:c>
    </x:row>
    <x:row r="3990">
      <x:c r="B3990" t="str">
        <x:v>A-03944</x:v>
      </x:c>
      <x:c r="C3990" t="str">
        <x:v>GATE</x:v>
      </x:c>
      <x:c r="D3990" t="str">
        <x:v>release state mirrors governing ledger</x:v>
      </x:c>
      <x:c r="E3990" t="str">
        <x:f>'Release Gates'!I3950</x:f>
        <x:v>OPEN</x:v>
      </x:c>
      <x:c r="F3990" t="str">
        <x:f>IF('Release Gates'!C3950="PLANNING","PASS",IF('Release Gates'!C3950="PHYSICAL","OPEN","BLOCKED"))</x:f>
        <x:v>OPEN</x:v>
      </x:c>
      <x:c r="G3990" t="str">
        <x:v>equals</x:v>
      </x:c>
      <x:c r="H3990" t="str">
        <x:f>IF(E3990=F3990,"PASS","FAIL")</x:f>
        <x:v>PASS</x:v>
      </x:c>
    </x:row>
    <x:row r="3991">
      <x:c r="B3991" t="str">
        <x:v>A-03945</x:v>
      </x:c>
      <x:c r="C3991" t="str">
        <x:v>GATE</x:v>
      </x:c>
      <x:c r="D3991" t="str">
        <x:v>release state mirrors governing ledger</x:v>
      </x:c>
      <x:c r="E3991" t="str">
        <x:f>'Release Gates'!I3951</x:f>
        <x:v>OPEN</x:v>
      </x:c>
      <x:c r="F3991" t="str">
        <x:f>IF('Release Gates'!C3951="PLANNING","PASS",IF('Release Gates'!C3951="PHYSICAL","OPEN","BLOCKED"))</x:f>
        <x:v>OPEN</x:v>
      </x:c>
      <x:c r="G3991" t="str">
        <x:v>equals</x:v>
      </x:c>
      <x:c r="H3991" t="str">
        <x:f>IF(E3991=F3991,"PASS","FAIL")</x:f>
        <x:v>PASS</x:v>
      </x:c>
    </x:row>
    <x:row r="3992">
      <x:c r="B3992" t="str">
        <x:v>A-03946</x:v>
      </x:c>
      <x:c r="C3992" t="str">
        <x:v>GATE</x:v>
      </x:c>
      <x:c r="D3992" t="str">
        <x:v>release state mirrors governing ledger</x:v>
      </x:c>
      <x:c r="E3992" t="str">
        <x:f>'Release Gates'!I3952</x:f>
        <x:v>OPEN</x:v>
      </x:c>
      <x:c r="F3992" t="str">
        <x:f>IF('Release Gates'!C3952="PLANNING","PASS",IF('Release Gates'!C3952="PHYSICAL","OPEN","BLOCKED"))</x:f>
        <x:v>OPEN</x:v>
      </x:c>
      <x:c r="G3992" t="str">
        <x:v>equals</x:v>
      </x:c>
      <x:c r="H3992" t="str">
        <x:f>IF(E3992=F3992,"PASS","FAIL")</x:f>
        <x:v>PASS</x:v>
      </x:c>
    </x:row>
    <x:row r="3993">
      <x:c r="B3993" t="str">
        <x:v>A-03947</x:v>
      </x:c>
      <x:c r="C3993" t="str">
        <x:v>GATE</x:v>
      </x:c>
      <x:c r="D3993" t="str">
        <x:v>release state mirrors governing ledger</x:v>
      </x:c>
      <x:c r="E3993" t="str">
        <x:f>'Release Gates'!I3953</x:f>
        <x:v>OPEN</x:v>
      </x:c>
      <x:c r="F3993" t="str">
        <x:f>IF('Release Gates'!C3953="PLANNING","PASS",IF('Release Gates'!C3953="PHYSICAL","OPEN","BLOCKED"))</x:f>
        <x:v>OPEN</x:v>
      </x:c>
      <x:c r="G3993" t="str">
        <x:v>equals</x:v>
      </x:c>
      <x:c r="H3993" t="str">
        <x:f>IF(E3993=F3993,"PASS","FAIL")</x:f>
        <x:v>PASS</x:v>
      </x:c>
    </x:row>
    <x:row r="3994">
      <x:c r="B3994" t="str">
        <x:v>A-03948</x:v>
      </x:c>
      <x:c r="C3994" t="str">
        <x:v>GATE</x:v>
      </x:c>
      <x:c r="D3994" t="str">
        <x:v>release state mirrors governing ledger</x:v>
      </x:c>
      <x:c r="E3994" t="str">
        <x:f>'Release Gates'!I3954</x:f>
        <x:v>OPEN</x:v>
      </x:c>
      <x:c r="F3994" t="str">
        <x:f>IF('Release Gates'!C3954="PLANNING","PASS",IF('Release Gates'!C3954="PHYSICAL","OPEN","BLOCKED"))</x:f>
        <x:v>OPEN</x:v>
      </x:c>
      <x:c r="G3994" t="str">
        <x:v>equals</x:v>
      </x:c>
      <x:c r="H3994" t="str">
        <x:f>IF(E3994=F3994,"PASS","FAIL")</x:f>
        <x:v>PASS</x:v>
      </x:c>
    </x:row>
    <x:row r="3995">
      <x:c r="B3995" t="str">
        <x:v>A-03949</x:v>
      </x:c>
      <x:c r="C3995" t="str">
        <x:v>GATE</x:v>
      </x:c>
      <x:c r="D3995" t="str">
        <x:v>release state mirrors governing ledger</x:v>
      </x:c>
      <x:c r="E3995" t="str">
        <x:f>'Release Gates'!I3955</x:f>
        <x:v>OPEN</x:v>
      </x:c>
      <x:c r="F3995" t="str">
        <x:f>IF('Release Gates'!C3955="PLANNING","PASS",IF('Release Gates'!C3955="PHYSICAL","OPEN","BLOCKED"))</x:f>
        <x:v>OPEN</x:v>
      </x:c>
      <x:c r="G3995" t="str">
        <x:v>equals</x:v>
      </x:c>
      <x:c r="H3995" t="str">
        <x:f>IF(E3995=F3995,"PASS","FAIL")</x:f>
        <x:v>PASS</x:v>
      </x:c>
    </x:row>
    <x:row r="3996">
      <x:c r="B3996" t="str">
        <x:v>A-03950</x:v>
      </x:c>
      <x:c r="C3996" t="str">
        <x:v>GATE</x:v>
      </x:c>
      <x:c r="D3996" t="str">
        <x:v>release state mirrors governing ledger</x:v>
      </x:c>
      <x:c r="E3996" t="str">
        <x:f>'Release Gates'!I3956</x:f>
        <x:v>OPEN</x:v>
      </x:c>
      <x:c r="F3996" t="str">
        <x:f>IF('Release Gates'!C3956="PLANNING","PASS",IF('Release Gates'!C3956="PHYSICAL","OPEN","BLOCKED"))</x:f>
        <x:v>OPEN</x:v>
      </x:c>
      <x:c r="G3996" t="str">
        <x:v>equals</x:v>
      </x:c>
      <x:c r="H3996" t="str">
        <x:f>IF(E3996=F3996,"PASS","FAIL")</x:f>
        <x:v>PASS</x:v>
      </x:c>
    </x:row>
    <x:row r="3997">
      <x:c r="B3997" t="str">
        <x:v>A-03951</x:v>
      </x:c>
      <x:c r="C3997" t="str">
        <x:v>GATE</x:v>
      </x:c>
      <x:c r="D3997" t="str">
        <x:v>release state mirrors governing ledger</x:v>
      </x:c>
      <x:c r="E3997" t="str">
        <x:f>'Release Gates'!I3957</x:f>
        <x:v>OPEN</x:v>
      </x:c>
      <x:c r="F3997" t="str">
        <x:f>IF('Release Gates'!C3957="PLANNING","PASS",IF('Release Gates'!C3957="PHYSICAL","OPEN","BLOCKED"))</x:f>
        <x:v>OPEN</x:v>
      </x:c>
      <x:c r="G3997" t="str">
        <x:v>equals</x:v>
      </x:c>
      <x:c r="H3997" t="str">
        <x:f>IF(E3997=F3997,"PASS","FAIL")</x:f>
        <x:v>PASS</x:v>
      </x:c>
    </x:row>
    <x:row r="3998">
      <x:c r="B3998" t="str">
        <x:v>A-03952</x:v>
      </x:c>
      <x:c r="C3998" t="str">
        <x:v>GATE</x:v>
      </x:c>
      <x:c r="D3998" t="str">
        <x:v>release state mirrors governing ledger</x:v>
      </x:c>
      <x:c r="E3998" t="str">
        <x:f>'Release Gates'!I3958</x:f>
        <x:v>OPEN</x:v>
      </x:c>
      <x:c r="F3998" t="str">
        <x:f>IF('Release Gates'!C3958="PLANNING","PASS",IF('Release Gates'!C3958="PHYSICAL","OPEN","BLOCKED"))</x:f>
        <x:v>OPEN</x:v>
      </x:c>
      <x:c r="G3998" t="str">
        <x:v>equals</x:v>
      </x:c>
      <x:c r="H3998" t="str">
        <x:f>IF(E3998=F3998,"PASS","FAIL")</x:f>
        <x:v>PASS</x:v>
      </x:c>
    </x:row>
    <x:row r="3999">
      <x:c r="B3999" t="str">
        <x:v>A-03953</x:v>
      </x:c>
      <x:c r="C3999" t="str">
        <x:v>GATE</x:v>
      </x:c>
      <x:c r="D3999" t="str">
        <x:v>release state mirrors governing ledger</x:v>
      </x:c>
      <x:c r="E3999" t="str">
        <x:f>'Release Gates'!I3959</x:f>
        <x:v>OPEN</x:v>
      </x:c>
      <x:c r="F3999" t="str">
        <x:f>IF('Release Gates'!C3959="PLANNING","PASS",IF('Release Gates'!C3959="PHYSICAL","OPEN","BLOCKED"))</x:f>
        <x:v>OPEN</x:v>
      </x:c>
      <x:c r="G3999" t="str">
        <x:v>equals</x:v>
      </x:c>
      <x:c r="H3999" t="str">
        <x:f>IF(E3999=F3999,"PASS","FAIL")</x:f>
        <x:v>PASS</x:v>
      </x:c>
    </x:row>
    <x:row r="4000">
      <x:c r="B4000" t="str">
        <x:v>A-03954</x:v>
      </x:c>
      <x:c r="C4000" t="str">
        <x:v>GATE</x:v>
      </x:c>
      <x:c r="D4000" t="str">
        <x:v>release state mirrors governing ledger</x:v>
      </x:c>
      <x:c r="E4000" t="str">
        <x:f>'Release Gates'!I3960</x:f>
        <x:v>OPEN</x:v>
      </x:c>
      <x:c r="F4000" t="str">
        <x:f>IF('Release Gates'!C3960="PLANNING","PASS",IF('Release Gates'!C3960="PHYSICAL","OPEN","BLOCKED"))</x:f>
        <x:v>OPEN</x:v>
      </x:c>
      <x:c r="G4000" t="str">
        <x:v>equals</x:v>
      </x:c>
      <x:c r="H4000" t="str">
        <x:f>IF(E4000=F4000,"PASS","FAIL")</x:f>
        <x:v>PASS</x:v>
      </x:c>
    </x:row>
    <x:row r="4001">
      <x:c r="B4001" t="str">
        <x:v>A-03955</x:v>
      </x:c>
      <x:c r="C4001" t="str">
        <x:v>GATE</x:v>
      </x:c>
      <x:c r="D4001" t="str">
        <x:v>release state mirrors governing ledger</x:v>
      </x:c>
      <x:c r="E4001" t="str">
        <x:f>'Release Gates'!I3961</x:f>
        <x:v>OPEN</x:v>
      </x:c>
      <x:c r="F4001" t="str">
        <x:f>IF('Release Gates'!C3961="PLANNING","PASS",IF('Release Gates'!C3961="PHYSICAL","OPEN","BLOCKED"))</x:f>
        <x:v>OPEN</x:v>
      </x:c>
      <x:c r="G4001" t="str">
        <x:v>equals</x:v>
      </x:c>
      <x:c r="H4001" t="str">
        <x:f>IF(E4001=F4001,"PASS","FAIL")</x:f>
        <x:v>PASS</x:v>
      </x:c>
    </x:row>
    <x:row r="4002">
      <x:c r="B4002" t="str">
        <x:v>A-03956</x:v>
      </x:c>
      <x:c r="C4002" t="str">
        <x:v>GATE</x:v>
      </x:c>
      <x:c r="D4002" t="str">
        <x:v>release state mirrors governing ledger</x:v>
      </x:c>
      <x:c r="E4002" t="str">
        <x:f>'Release Gates'!I3962</x:f>
        <x:v>OPEN</x:v>
      </x:c>
      <x:c r="F4002" t="str">
        <x:f>IF('Release Gates'!C3962="PLANNING","PASS",IF('Release Gates'!C3962="PHYSICAL","OPEN","BLOCKED"))</x:f>
        <x:v>OPEN</x:v>
      </x:c>
      <x:c r="G4002" t="str">
        <x:v>equals</x:v>
      </x:c>
      <x:c r="H4002" t="str">
        <x:f>IF(E4002=F4002,"PASS","FAIL")</x:f>
        <x:v>PASS</x:v>
      </x:c>
    </x:row>
    <x:row r="4003">
      <x:c r="B4003" t="str">
        <x:v>A-03957</x:v>
      </x:c>
      <x:c r="C4003" t="str">
        <x:v>GATE</x:v>
      </x:c>
      <x:c r="D4003" t="str">
        <x:v>release state mirrors governing ledger</x:v>
      </x:c>
      <x:c r="E4003" t="str">
        <x:f>'Release Gates'!I3963</x:f>
        <x:v>OPEN</x:v>
      </x:c>
      <x:c r="F4003" t="str">
        <x:f>IF('Release Gates'!C3963="PLANNING","PASS",IF('Release Gates'!C3963="PHYSICAL","OPEN","BLOCKED"))</x:f>
        <x:v>OPEN</x:v>
      </x:c>
      <x:c r="G4003" t="str">
        <x:v>equals</x:v>
      </x:c>
      <x:c r="H4003" t="str">
        <x:f>IF(E4003=F4003,"PASS","FAIL")</x:f>
        <x:v>PASS</x:v>
      </x:c>
    </x:row>
    <x:row r="4004">
      <x:c r="B4004" t="str">
        <x:v>A-03958</x:v>
      </x:c>
      <x:c r="C4004" t="str">
        <x:v>GATE</x:v>
      </x:c>
      <x:c r="D4004" t="str">
        <x:v>release state mirrors governing ledger</x:v>
      </x:c>
      <x:c r="E4004" t="str">
        <x:f>'Release Gates'!I3964</x:f>
        <x:v>OPEN</x:v>
      </x:c>
      <x:c r="F4004" t="str">
        <x:f>IF('Release Gates'!C3964="PLANNING","PASS",IF('Release Gates'!C3964="PHYSICAL","OPEN","BLOCKED"))</x:f>
        <x:v>OPEN</x:v>
      </x:c>
      <x:c r="G4004" t="str">
        <x:v>equals</x:v>
      </x:c>
      <x:c r="H4004" t="str">
        <x:f>IF(E4004=F4004,"PASS","FAIL")</x:f>
        <x:v>PASS</x:v>
      </x:c>
    </x:row>
    <x:row r="4005">
      <x:c r="B4005" t="str">
        <x:v>A-03959</x:v>
      </x:c>
      <x:c r="C4005" t="str">
        <x:v>GATE</x:v>
      </x:c>
      <x:c r="D4005" t="str">
        <x:v>release state mirrors governing ledger</x:v>
      </x:c>
      <x:c r="E4005" t="str">
        <x:f>'Release Gates'!I3965</x:f>
        <x:v>OPEN</x:v>
      </x:c>
      <x:c r="F4005" t="str">
        <x:f>IF('Release Gates'!C3965="PLANNING","PASS",IF('Release Gates'!C3965="PHYSICAL","OPEN","BLOCKED"))</x:f>
        <x:v>OPEN</x:v>
      </x:c>
      <x:c r="G4005" t="str">
        <x:v>equals</x:v>
      </x:c>
      <x:c r="H4005" t="str">
        <x:f>IF(E4005=F4005,"PASS","FAIL")</x:f>
        <x:v>PASS</x:v>
      </x:c>
    </x:row>
    <x:row r="4006">
      <x:c r="B4006" t="str">
        <x:v>A-03960</x:v>
      </x:c>
      <x:c r="C4006" t="str">
        <x:v>GATE</x:v>
      </x:c>
      <x:c r="D4006" t="str">
        <x:v>release state mirrors governing ledger</x:v>
      </x:c>
      <x:c r="E4006" t="str">
        <x:f>'Release Gates'!I3966</x:f>
        <x:v>OPEN</x:v>
      </x:c>
      <x:c r="F4006" t="str">
        <x:f>IF('Release Gates'!C3966="PLANNING","PASS",IF('Release Gates'!C3966="PHYSICAL","OPEN","BLOCKED"))</x:f>
        <x:v>OPEN</x:v>
      </x:c>
      <x:c r="G4006" t="str">
        <x:v>equals</x:v>
      </x:c>
      <x:c r="H4006" t="str">
        <x:f>IF(E4006=F4006,"PASS","FAIL")</x:f>
        <x:v>PASS</x:v>
      </x:c>
    </x:row>
    <x:row r="4007">
      <x:c r="B4007" t="str">
        <x:v>A-03961</x:v>
      </x:c>
      <x:c r="C4007" t="str">
        <x:v>GATE</x:v>
      </x:c>
      <x:c r="D4007" t="str">
        <x:v>release state mirrors governing ledger</x:v>
      </x:c>
      <x:c r="E4007" t="str">
        <x:f>'Release Gates'!I3967</x:f>
        <x:v>OPEN</x:v>
      </x:c>
      <x:c r="F4007" t="str">
        <x:f>IF('Release Gates'!C3967="PLANNING","PASS",IF('Release Gates'!C3967="PHYSICAL","OPEN","BLOCKED"))</x:f>
        <x:v>OPEN</x:v>
      </x:c>
      <x:c r="G4007" t="str">
        <x:v>equals</x:v>
      </x:c>
      <x:c r="H4007" t="str">
        <x:f>IF(E4007=F4007,"PASS","FAIL")</x:f>
        <x:v>PASS</x:v>
      </x:c>
    </x:row>
    <x:row r="4008">
      <x:c r="B4008" t="str">
        <x:v>A-03962</x:v>
      </x:c>
      <x:c r="C4008" t="str">
        <x:v>GATE</x:v>
      </x:c>
      <x:c r="D4008" t="str">
        <x:v>release state mirrors governing ledger</x:v>
      </x:c>
      <x:c r="E4008" t="str">
        <x:f>'Release Gates'!I3968</x:f>
        <x:v>OPEN</x:v>
      </x:c>
      <x:c r="F4008" t="str">
        <x:f>IF('Release Gates'!C3968="PLANNING","PASS",IF('Release Gates'!C3968="PHYSICAL","OPEN","BLOCKED"))</x:f>
        <x:v>OPEN</x:v>
      </x:c>
      <x:c r="G4008" t="str">
        <x:v>equals</x:v>
      </x:c>
      <x:c r="H4008" t="str">
        <x:f>IF(E4008=F4008,"PASS","FAIL")</x:f>
        <x:v>PASS</x:v>
      </x:c>
    </x:row>
    <x:row r="4009">
      <x:c r="B4009" t="str">
        <x:v>A-03963</x:v>
      </x:c>
      <x:c r="C4009" t="str">
        <x:v>GATE</x:v>
      </x:c>
      <x:c r="D4009" t="str">
        <x:v>release state mirrors governing ledger</x:v>
      </x:c>
      <x:c r="E4009" t="str">
        <x:f>'Release Gates'!I3969</x:f>
        <x:v>OPEN</x:v>
      </x:c>
      <x:c r="F4009" t="str">
        <x:f>IF('Release Gates'!C3969="PLANNING","PASS",IF('Release Gates'!C3969="PHYSICAL","OPEN","BLOCKED"))</x:f>
        <x:v>OPEN</x:v>
      </x:c>
      <x:c r="G4009" t="str">
        <x:v>equals</x:v>
      </x:c>
      <x:c r="H4009" t="str">
        <x:f>IF(E4009=F4009,"PASS","FAIL")</x:f>
        <x:v>PASS</x:v>
      </x:c>
    </x:row>
    <x:row r="4010">
      <x:c r="B4010" t="str">
        <x:v>A-03964</x:v>
      </x:c>
      <x:c r="C4010" t="str">
        <x:v>GATE</x:v>
      </x:c>
      <x:c r="D4010" t="str">
        <x:v>release state mirrors governing ledger</x:v>
      </x:c>
      <x:c r="E4010" t="str">
        <x:f>'Release Gates'!I3970</x:f>
        <x:v>OPEN</x:v>
      </x:c>
      <x:c r="F4010" t="str">
        <x:f>IF('Release Gates'!C3970="PLANNING","PASS",IF('Release Gates'!C3970="PHYSICAL","OPEN","BLOCKED"))</x:f>
        <x:v>OPEN</x:v>
      </x:c>
      <x:c r="G4010" t="str">
        <x:v>equals</x:v>
      </x:c>
      <x:c r="H4010" t="str">
        <x:f>IF(E4010=F4010,"PASS","FAIL")</x:f>
        <x:v>PASS</x:v>
      </x:c>
    </x:row>
    <x:row r="4011">
      <x:c r="B4011" t="str">
        <x:v>A-03965</x:v>
      </x:c>
      <x:c r="C4011" t="str">
        <x:v>GATE</x:v>
      </x:c>
      <x:c r="D4011" t="str">
        <x:v>release state mirrors governing ledger</x:v>
      </x:c>
      <x:c r="E4011" t="str">
        <x:f>'Release Gates'!I3971</x:f>
        <x:v>OPEN</x:v>
      </x:c>
      <x:c r="F4011" t="str">
        <x:f>IF('Release Gates'!C3971="PLANNING","PASS",IF('Release Gates'!C3971="PHYSICAL","OPEN","BLOCKED"))</x:f>
        <x:v>OPEN</x:v>
      </x:c>
      <x:c r="G4011" t="str">
        <x:v>equals</x:v>
      </x:c>
      <x:c r="H4011" t="str">
        <x:f>IF(E4011=F4011,"PASS","FAIL")</x:f>
        <x:v>PASS</x:v>
      </x:c>
    </x:row>
    <x:row r="4012">
      <x:c r="B4012" t="str">
        <x:v>A-03966</x:v>
      </x:c>
      <x:c r="C4012" t="str">
        <x:v>GATE</x:v>
      </x:c>
      <x:c r="D4012" t="str">
        <x:v>release state mirrors governing ledger</x:v>
      </x:c>
      <x:c r="E4012" t="str">
        <x:f>'Release Gates'!I3972</x:f>
        <x:v>OPEN</x:v>
      </x:c>
      <x:c r="F4012" t="str">
        <x:f>IF('Release Gates'!C3972="PLANNING","PASS",IF('Release Gates'!C3972="PHYSICAL","OPEN","BLOCKED"))</x:f>
        <x:v>OPEN</x:v>
      </x:c>
      <x:c r="G4012" t="str">
        <x:v>equals</x:v>
      </x:c>
      <x:c r="H4012" t="str">
        <x:f>IF(E4012=F4012,"PASS","FAIL")</x:f>
        <x:v>PASS</x:v>
      </x:c>
    </x:row>
    <x:row r="4013">
      <x:c r="B4013" t="str">
        <x:v>A-03967</x:v>
      </x:c>
      <x:c r="C4013" t="str">
        <x:v>GATE</x:v>
      </x:c>
      <x:c r="D4013" t="str">
        <x:v>release state mirrors governing ledger</x:v>
      </x:c>
      <x:c r="E4013" t="str">
        <x:f>'Release Gates'!I3973</x:f>
        <x:v>OPEN</x:v>
      </x:c>
      <x:c r="F4013" t="str">
        <x:f>IF('Release Gates'!C3973="PLANNING","PASS",IF('Release Gates'!C3973="PHYSICAL","OPEN","BLOCKED"))</x:f>
        <x:v>OPEN</x:v>
      </x:c>
      <x:c r="G4013" t="str">
        <x:v>equals</x:v>
      </x:c>
      <x:c r="H4013" t="str">
        <x:f>IF(E4013=F4013,"PASS","FAIL")</x:f>
        <x:v>PASS</x:v>
      </x:c>
    </x:row>
    <x:row r="4014">
      <x:c r="B4014" t="str">
        <x:v>A-03968</x:v>
      </x:c>
      <x:c r="C4014" t="str">
        <x:v>GATE</x:v>
      </x:c>
      <x:c r="D4014" t="str">
        <x:v>release state mirrors governing ledger</x:v>
      </x:c>
      <x:c r="E4014" t="str">
        <x:f>'Release Gates'!I3974</x:f>
        <x:v>OPEN</x:v>
      </x:c>
      <x:c r="F4014" t="str">
        <x:f>IF('Release Gates'!C3974="PLANNING","PASS",IF('Release Gates'!C3974="PHYSICAL","OPEN","BLOCKED"))</x:f>
        <x:v>OPEN</x:v>
      </x:c>
      <x:c r="G4014" t="str">
        <x:v>equals</x:v>
      </x:c>
      <x:c r="H4014" t="str">
        <x:f>IF(E4014=F4014,"PASS","FAIL")</x:f>
        <x:v>PASS</x:v>
      </x:c>
    </x:row>
    <x:row r="4015">
      <x:c r="B4015" t="str">
        <x:v>A-03969</x:v>
      </x:c>
      <x:c r="C4015" t="str">
        <x:v>GATE</x:v>
      </x:c>
      <x:c r="D4015" t="str">
        <x:v>release state mirrors governing ledger</x:v>
      </x:c>
      <x:c r="E4015" t="str">
        <x:f>'Release Gates'!I3975</x:f>
        <x:v>OPEN</x:v>
      </x:c>
      <x:c r="F4015" t="str">
        <x:f>IF('Release Gates'!C3975="PLANNING","PASS",IF('Release Gates'!C3975="PHYSICAL","OPEN","BLOCKED"))</x:f>
        <x:v>OPEN</x:v>
      </x:c>
      <x:c r="G4015" t="str">
        <x:v>equals</x:v>
      </x:c>
      <x:c r="H4015" t="str">
        <x:f>IF(E4015=F4015,"PASS","FAIL")</x:f>
        <x:v>PASS</x:v>
      </x:c>
    </x:row>
    <x:row r="4016">
      <x:c r="B4016" t="str">
        <x:v>A-03970</x:v>
      </x:c>
      <x:c r="C4016" t="str">
        <x:v>GATE</x:v>
      </x:c>
      <x:c r="D4016" t="str">
        <x:v>release state mirrors governing ledger</x:v>
      </x:c>
      <x:c r="E4016" t="str">
        <x:f>'Release Gates'!I3976</x:f>
        <x:v>OPEN</x:v>
      </x:c>
      <x:c r="F4016" t="str">
        <x:f>IF('Release Gates'!C3976="PLANNING","PASS",IF('Release Gates'!C3976="PHYSICAL","OPEN","BLOCKED"))</x:f>
        <x:v>OPEN</x:v>
      </x:c>
      <x:c r="G4016" t="str">
        <x:v>equals</x:v>
      </x:c>
      <x:c r="H4016" t="str">
        <x:f>IF(E4016=F4016,"PASS","FAIL")</x:f>
        <x:v>PASS</x:v>
      </x:c>
    </x:row>
    <x:row r="4017">
      <x:c r="B4017" t="str">
        <x:v>A-03971</x:v>
      </x:c>
      <x:c r="C4017" t="str">
        <x:v>GATE</x:v>
      </x:c>
      <x:c r="D4017" t="str">
        <x:v>release state mirrors governing ledger</x:v>
      </x:c>
      <x:c r="E4017" t="str">
        <x:f>'Release Gates'!I3977</x:f>
        <x:v>OPEN</x:v>
      </x:c>
      <x:c r="F4017" t="str">
        <x:f>IF('Release Gates'!C3977="PLANNING","PASS",IF('Release Gates'!C3977="PHYSICAL","OPEN","BLOCKED"))</x:f>
        <x:v>OPEN</x:v>
      </x:c>
      <x:c r="G4017" t="str">
        <x:v>equals</x:v>
      </x:c>
      <x:c r="H4017" t="str">
        <x:f>IF(E4017=F4017,"PASS","FAIL")</x:f>
        <x:v>PASS</x:v>
      </x:c>
    </x:row>
    <x:row r="4018">
      <x:c r="B4018" t="str">
        <x:v>A-03972</x:v>
      </x:c>
      <x:c r="C4018" t="str">
        <x:v>GATE</x:v>
      </x:c>
      <x:c r="D4018" t="str">
        <x:v>release state mirrors governing ledger</x:v>
      </x:c>
      <x:c r="E4018" t="str">
        <x:f>'Release Gates'!I3978</x:f>
        <x:v>OPEN</x:v>
      </x:c>
      <x:c r="F4018" t="str">
        <x:f>IF('Release Gates'!C3978="PLANNING","PASS",IF('Release Gates'!C3978="PHYSICAL","OPEN","BLOCKED"))</x:f>
        <x:v>OPEN</x:v>
      </x:c>
      <x:c r="G4018" t="str">
        <x:v>equals</x:v>
      </x:c>
      <x:c r="H4018" t="str">
        <x:f>IF(E4018=F4018,"PASS","FAIL")</x:f>
        <x:v>PASS</x:v>
      </x:c>
    </x:row>
    <x:row r="4019">
      <x:c r="B4019" t="str">
        <x:v>A-03973</x:v>
      </x:c>
      <x:c r="C4019" t="str">
        <x:v>GATE</x:v>
      </x:c>
      <x:c r="D4019" t="str">
        <x:v>release state mirrors governing ledger</x:v>
      </x:c>
      <x:c r="E4019" t="str">
        <x:f>'Release Gates'!I3979</x:f>
        <x:v>OPEN</x:v>
      </x:c>
      <x:c r="F4019" t="str">
        <x:f>IF('Release Gates'!C3979="PLANNING","PASS",IF('Release Gates'!C3979="PHYSICAL","OPEN","BLOCKED"))</x:f>
        <x:v>OPEN</x:v>
      </x:c>
      <x:c r="G4019" t="str">
        <x:v>equals</x:v>
      </x:c>
      <x:c r="H4019" t="str">
        <x:f>IF(E4019=F4019,"PASS","FAIL")</x:f>
        <x:v>PASS</x:v>
      </x:c>
    </x:row>
    <x:row r="4020">
      <x:c r="B4020" t="str">
        <x:v>A-03974</x:v>
      </x:c>
      <x:c r="C4020" t="str">
        <x:v>GATE</x:v>
      </x:c>
      <x:c r="D4020" t="str">
        <x:v>release state mirrors governing ledger</x:v>
      </x:c>
      <x:c r="E4020" t="str">
        <x:f>'Release Gates'!I3980</x:f>
        <x:v>OPEN</x:v>
      </x:c>
      <x:c r="F4020" t="str">
        <x:f>IF('Release Gates'!C3980="PLANNING","PASS",IF('Release Gates'!C3980="PHYSICAL","OPEN","BLOCKED"))</x:f>
        <x:v>OPEN</x:v>
      </x:c>
      <x:c r="G4020" t="str">
        <x:v>equals</x:v>
      </x:c>
      <x:c r="H4020" t="str">
        <x:f>IF(E4020=F4020,"PASS","FAIL")</x:f>
        <x:v>PASS</x:v>
      </x:c>
    </x:row>
    <x:row r="4021">
      <x:c r="B4021" t="str">
        <x:v>A-03975</x:v>
      </x:c>
      <x:c r="C4021" t="str">
        <x:v>GATE</x:v>
      </x:c>
      <x:c r="D4021" t="str">
        <x:v>release state mirrors governing ledger</x:v>
      </x:c>
      <x:c r="E4021" t="str">
        <x:f>'Release Gates'!I3981</x:f>
        <x:v>OPEN</x:v>
      </x:c>
      <x:c r="F4021" t="str">
        <x:f>IF('Release Gates'!C3981="PLANNING","PASS",IF('Release Gates'!C3981="PHYSICAL","OPEN","BLOCKED"))</x:f>
        <x:v>OPEN</x:v>
      </x:c>
      <x:c r="G4021" t="str">
        <x:v>equals</x:v>
      </x:c>
      <x:c r="H4021" t="str">
        <x:f>IF(E4021=F4021,"PASS","FAIL")</x:f>
        <x:v>PASS</x:v>
      </x:c>
    </x:row>
    <x:row r="4022">
      <x:c r="B4022" t="str">
        <x:v>A-03976</x:v>
      </x:c>
      <x:c r="C4022" t="str">
        <x:v>GATE</x:v>
      </x:c>
      <x:c r="D4022" t="str">
        <x:v>release state mirrors governing ledger</x:v>
      </x:c>
      <x:c r="E4022" t="str">
        <x:f>'Release Gates'!I3982</x:f>
        <x:v>OPEN</x:v>
      </x:c>
      <x:c r="F4022" t="str">
        <x:f>IF('Release Gates'!C3982="PLANNING","PASS",IF('Release Gates'!C3982="PHYSICAL","OPEN","BLOCKED"))</x:f>
        <x:v>OPEN</x:v>
      </x:c>
      <x:c r="G4022" t="str">
        <x:v>equals</x:v>
      </x:c>
      <x:c r="H4022" t="str">
        <x:f>IF(E4022=F4022,"PASS","FAIL")</x:f>
        <x:v>PASS</x:v>
      </x:c>
    </x:row>
    <x:row r="4023">
      <x:c r="B4023" t="str">
        <x:v>A-03977</x:v>
      </x:c>
      <x:c r="C4023" t="str">
        <x:v>GATE</x:v>
      </x:c>
      <x:c r="D4023" t="str">
        <x:v>release state mirrors governing ledger</x:v>
      </x:c>
      <x:c r="E4023" t="str">
        <x:f>'Release Gates'!I3983</x:f>
        <x:v>OPEN</x:v>
      </x:c>
      <x:c r="F4023" t="str">
        <x:f>IF('Release Gates'!C3983="PLANNING","PASS",IF('Release Gates'!C3983="PHYSICAL","OPEN","BLOCKED"))</x:f>
        <x:v>OPEN</x:v>
      </x:c>
      <x:c r="G4023" t="str">
        <x:v>equals</x:v>
      </x:c>
      <x:c r="H4023" t="str">
        <x:f>IF(E4023=F4023,"PASS","FAIL")</x:f>
        <x:v>PASS</x:v>
      </x:c>
    </x:row>
    <x:row r="4024">
      <x:c r="B4024" t="str">
        <x:v>A-03978</x:v>
      </x:c>
      <x:c r="C4024" t="str">
        <x:v>GATE</x:v>
      </x:c>
      <x:c r="D4024" t="str">
        <x:v>release state mirrors governing ledger</x:v>
      </x:c>
      <x:c r="E4024" t="str">
        <x:f>'Release Gates'!I3984</x:f>
        <x:v>OPEN</x:v>
      </x:c>
      <x:c r="F4024" t="str">
        <x:f>IF('Release Gates'!C3984="PLANNING","PASS",IF('Release Gates'!C3984="PHYSICAL","OPEN","BLOCKED"))</x:f>
        <x:v>OPEN</x:v>
      </x:c>
      <x:c r="G4024" t="str">
        <x:v>equals</x:v>
      </x:c>
      <x:c r="H4024" t="str">
        <x:f>IF(E4024=F4024,"PASS","FAIL")</x:f>
        <x:v>PASS</x:v>
      </x:c>
    </x:row>
    <x:row r="4025">
      <x:c r="B4025" t="str">
        <x:v>A-03979</x:v>
      </x:c>
      <x:c r="C4025" t="str">
        <x:v>GATE</x:v>
      </x:c>
      <x:c r="D4025" t="str">
        <x:v>release state mirrors governing ledger</x:v>
      </x:c>
      <x:c r="E4025" t="str">
        <x:f>'Release Gates'!I3985</x:f>
        <x:v>OPEN</x:v>
      </x:c>
      <x:c r="F4025" t="str">
        <x:f>IF('Release Gates'!C3985="PLANNING","PASS",IF('Release Gates'!C3985="PHYSICAL","OPEN","BLOCKED"))</x:f>
        <x:v>OPEN</x:v>
      </x:c>
      <x:c r="G4025" t="str">
        <x:v>equals</x:v>
      </x:c>
      <x:c r="H4025" t="str">
        <x:f>IF(E4025=F4025,"PASS","FAIL")</x:f>
        <x:v>PASS</x:v>
      </x:c>
    </x:row>
    <x:row r="4026">
      <x:c r="B4026" t="str">
        <x:v>A-03980</x:v>
      </x:c>
      <x:c r="C4026" t="str">
        <x:v>GATE</x:v>
      </x:c>
      <x:c r="D4026" t="str">
        <x:v>release state mirrors governing ledger</x:v>
      </x:c>
      <x:c r="E4026" t="str">
        <x:f>'Release Gates'!I3986</x:f>
        <x:v>OPEN</x:v>
      </x:c>
      <x:c r="F4026" t="str">
        <x:f>IF('Release Gates'!C3986="PLANNING","PASS",IF('Release Gates'!C3986="PHYSICAL","OPEN","BLOCKED"))</x:f>
        <x:v>OPEN</x:v>
      </x:c>
      <x:c r="G4026" t="str">
        <x:v>equals</x:v>
      </x:c>
      <x:c r="H4026" t="str">
        <x:f>IF(E4026=F4026,"PASS","FAIL")</x:f>
        <x:v>PASS</x:v>
      </x:c>
    </x:row>
    <x:row r="4027">
      <x:c r="B4027" t="str">
        <x:v>A-03981</x:v>
      </x:c>
      <x:c r="C4027" t="str">
        <x:v>GATE</x:v>
      </x:c>
      <x:c r="D4027" t="str">
        <x:v>release state mirrors governing ledger</x:v>
      </x:c>
      <x:c r="E4027" t="str">
        <x:f>'Release Gates'!I3987</x:f>
        <x:v>OPEN</x:v>
      </x:c>
      <x:c r="F4027" t="str">
        <x:f>IF('Release Gates'!C3987="PLANNING","PASS",IF('Release Gates'!C3987="PHYSICAL","OPEN","BLOCKED"))</x:f>
        <x:v>OPEN</x:v>
      </x:c>
      <x:c r="G4027" t="str">
        <x:v>equals</x:v>
      </x:c>
      <x:c r="H4027" t="str">
        <x:f>IF(E4027=F4027,"PASS","FAIL")</x:f>
        <x:v>PASS</x:v>
      </x:c>
    </x:row>
    <x:row r="4028">
      <x:c r="B4028" t="str">
        <x:v>A-03982</x:v>
      </x:c>
      <x:c r="C4028" t="str">
        <x:v>GATE</x:v>
      </x:c>
      <x:c r="D4028" t="str">
        <x:v>release state mirrors governing ledger</x:v>
      </x:c>
      <x:c r="E4028" t="str">
        <x:f>'Release Gates'!I3988</x:f>
        <x:v>OPEN</x:v>
      </x:c>
      <x:c r="F4028" t="str">
        <x:f>IF('Release Gates'!C3988="PLANNING","PASS",IF('Release Gates'!C3988="PHYSICAL","OPEN","BLOCKED"))</x:f>
        <x:v>OPEN</x:v>
      </x:c>
      <x:c r="G4028" t="str">
        <x:v>equals</x:v>
      </x:c>
      <x:c r="H4028" t="str">
        <x:f>IF(E4028=F4028,"PASS","FAIL")</x:f>
        <x:v>PASS</x:v>
      </x:c>
    </x:row>
    <x:row r="4029">
      <x:c r="B4029" t="str">
        <x:v>A-03983</x:v>
      </x:c>
      <x:c r="C4029" t="str">
        <x:v>GATE</x:v>
      </x:c>
      <x:c r="D4029" t="str">
        <x:v>release state mirrors governing ledger</x:v>
      </x:c>
      <x:c r="E4029" t="str">
        <x:f>'Release Gates'!I3989</x:f>
        <x:v>OPEN</x:v>
      </x:c>
      <x:c r="F4029" t="str">
        <x:f>IF('Release Gates'!C3989="PLANNING","PASS",IF('Release Gates'!C3989="PHYSICAL","OPEN","BLOCKED"))</x:f>
        <x:v>OPEN</x:v>
      </x:c>
      <x:c r="G4029" t="str">
        <x:v>equals</x:v>
      </x:c>
      <x:c r="H4029" t="str">
        <x:f>IF(E4029=F4029,"PASS","FAIL")</x:f>
        <x:v>PASS</x:v>
      </x:c>
    </x:row>
    <x:row r="4030">
      <x:c r="B4030" t="str">
        <x:v>A-03984</x:v>
      </x:c>
      <x:c r="C4030" t="str">
        <x:v>GATE</x:v>
      </x:c>
      <x:c r="D4030" t="str">
        <x:v>release state mirrors governing ledger</x:v>
      </x:c>
      <x:c r="E4030" t="str">
        <x:f>'Release Gates'!I3990</x:f>
        <x:v>OPEN</x:v>
      </x:c>
      <x:c r="F4030" t="str">
        <x:f>IF('Release Gates'!C3990="PLANNING","PASS",IF('Release Gates'!C3990="PHYSICAL","OPEN","BLOCKED"))</x:f>
        <x:v>OPEN</x:v>
      </x:c>
      <x:c r="G4030" t="str">
        <x:v>equals</x:v>
      </x:c>
      <x:c r="H4030" t="str">
        <x:f>IF(E4030=F4030,"PASS","FAIL")</x:f>
        <x:v>PASS</x:v>
      </x:c>
    </x:row>
    <x:row r="4031">
      <x:c r="B4031" t="str">
        <x:v>A-03985</x:v>
      </x:c>
      <x:c r="C4031" t="str">
        <x:v>GATE</x:v>
      </x:c>
      <x:c r="D4031" t="str">
        <x:v>release state mirrors governing ledger</x:v>
      </x:c>
      <x:c r="E4031" t="str">
        <x:f>'Release Gates'!I3991</x:f>
        <x:v>OPEN</x:v>
      </x:c>
      <x:c r="F4031" t="str">
        <x:f>IF('Release Gates'!C3991="PLANNING","PASS",IF('Release Gates'!C3991="PHYSICAL","OPEN","BLOCKED"))</x:f>
        <x:v>OPEN</x:v>
      </x:c>
      <x:c r="G4031" t="str">
        <x:v>equals</x:v>
      </x:c>
      <x:c r="H4031" t="str">
        <x:f>IF(E4031=F4031,"PASS","FAIL")</x:f>
        <x:v>PASS</x:v>
      </x:c>
    </x:row>
    <x:row r="4032">
      <x:c r="B4032" t="str">
        <x:v>A-03986</x:v>
      </x:c>
      <x:c r="C4032" t="str">
        <x:v>GATE</x:v>
      </x:c>
      <x:c r="D4032" t="str">
        <x:v>release state mirrors governing ledger</x:v>
      </x:c>
      <x:c r="E4032" t="str">
        <x:f>'Release Gates'!I3992</x:f>
        <x:v>OPEN</x:v>
      </x:c>
      <x:c r="F4032" t="str">
        <x:f>IF('Release Gates'!C3992="PLANNING","PASS",IF('Release Gates'!C3992="PHYSICAL","OPEN","BLOCKED"))</x:f>
        <x:v>OPEN</x:v>
      </x:c>
      <x:c r="G4032" t="str">
        <x:v>equals</x:v>
      </x:c>
      <x:c r="H4032" t="str">
        <x:f>IF(E4032=F4032,"PASS","FAIL")</x:f>
        <x:v>PASS</x:v>
      </x:c>
    </x:row>
    <x:row r="4033">
      <x:c r="B4033" t="str">
        <x:v>A-03987</x:v>
      </x:c>
      <x:c r="C4033" t="str">
        <x:v>GATE</x:v>
      </x:c>
      <x:c r="D4033" t="str">
        <x:v>release state mirrors governing ledger</x:v>
      </x:c>
      <x:c r="E4033" t="str">
        <x:f>'Release Gates'!I3993</x:f>
        <x:v>OPEN</x:v>
      </x:c>
      <x:c r="F4033" t="str">
        <x:f>IF('Release Gates'!C3993="PLANNING","PASS",IF('Release Gates'!C3993="PHYSICAL","OPEN","BLOCKED"))</x:f>
        <x:v>OPEN</x:v>
      </x:c>
      <x:c r="G4033" t="str">
        <x:v>equals</x:v>
      </x:c>
      <x:c r="H4033" t="str">
        <x:f>IF(E4033=F4033,"PASS","FAIL")</x:f>
        <x:v>PASS</x:v>
      </x:c>
    </x:row>
    <x:row r="4034">
      <x:c r="B4034" t="str">
        <x:v>A-03988</x:v>
      </x:c>
      <x:c r="C4034" t="str">
        <x:v>GATE</x:v>
      </x:c>
      <x:c r="D4034" t="str">
        <x:v>release state mirrors governing ledger</x:v>
      </x:c>
      <x:c r="E4034" t="str">
        <x:f>'Release Gates'!I3994</x:f>
        <x:v>OPEN</x:v>
      </x:c>
      <x:c r="F4034" t="str">
        <x:f>IF('Release Gates'!C3994="PLANNING","PASS",IF('Release Gates'!C3994="PHYSICAL","OPEN","BLOCKED"))</x:f>
        <x:v>OPEN</x:v>
      </x:c>
      <x:c r="G4034" t="str">
        <x:v>equals</x:v>
      </x:c>
      <x:c r="H4034" t="str">
        <x:f>IF(E4034=F4034,"PASS","FAIL")</x:f>
        <x:v>PASS</x:v>
      </x:c>
    </x:row>
    <x:row r="4035">
      <x:c r="B4035" t="str">
        <x:v>A-03989</x:v>
      </x:c>
      <x:c r="C4035" t="str">
        <x:v>GATE</x:v>
      </x:c>
      <x:c r="D4035" t="str">
        <x:v>release state mirrors governing ledger</x:v>
      </x:c>
      <x:c r="E4035" t="str">
        <x:f>'Release Gates'!I3995</x:f>
        <x:v>OPEN</x:v>
      </x:c>
      <x:c r="F4035" t="str">
        <x:f>IF('Release Gates'!C3995="PLANNING","PASS",IF('Release Gates'!C3995="PHYSICAL","OPEN","BLOCKED"))</x:f>
        <x:v>OPEN</x:v>
      </x:c>
      <x:c r="G4035" t="str">
        <x:v>equals</x:v>
      </x:c>
      <x:c r="H4035" t="str">
        <x:f>IF(E4035=F4035,"PASS","FAIL")</x:f>
        <x:v>PASS</x:v>
      </x:c>
    </x:row>
    <x:row r="4036">
      <x:c r="B4036" t="str">
        <x:v>A-03990</x:v>
      </x:c>
      <x:c r="C4036" t="str">
        <x:v>GATE</x:v>
      </x:c>
      <x:c r="D4036" t="str">
        <x:v>release state mirrors governing ledger</x:v>
      </x:c>
      <x:c r="E4036" t="str">
        <x:f>'Release Gates'!I3996</x:f>
        <x:v>OPEN</x:v>
      </x:c>
      <x:c r="F4036" t="str">
        <x:f>IF('Release Gates'!C3996="PLANNING","PASS",IF('Release Gates'!C3996="PHYSICAL","OPEN","BLOCKED"))</x:f>
        <x:v>OPEN</x:v>
      </x:c>
      <x:c r="G4036" t="str">
        <x:v>equals</x:v>
      </x:c>
      <x:c r="H4036" t="str">
        <x:f>IF(E4036=F4036,"PASS","FAIL")</x:f>
        <x:v>PASS</x:v>
      </x:c>
    </x:row>
    <x:row r="4037">
      <x:c r="B4037" t="str">
        <x:v>A-03991</x:v>
      </x:c>
      <x:c r="C4037" t="str">
        <x:v>GATE</x:v>
      </x:c>
      <x:c r="D4037" t="str">
        <x:v>release state mirrors governing ledger</x:v>
      </x:c>
      <x:c r="E4037" t="str">
        <x:f>'Release Gates'!I3997</x:f>
        <x:v>OPEN</x:v>
      </x:c>
      <x:c r="F4037" t="str">
        <x:f>IF('Release Gates'!C3997="PLANNING","PASS",IF('Release Gates'!C3997="PHYSICAL","OPEN","BLOCKED"))</x:f>
        <x:v>OPEN</x:v>
      </x:c>
      <x:c r="G4037" t="str">
        <x:v>equals</x:v>
      </x:c>
      <x:c r="H4037" t="str">
        <x:f>IF(E4037=F4037,"PASS","FAIL")</x:f>
        <x:v>PASS</x:v>
      </x:c>
    </x:row>
    <x:row r="4038">
      <x:c r="B4038" t="str">
        <x:v>A-03992</x:v>
      </x:c>
      <x:c r="C4038" t="str">
        <x:v>GATE</x:v>
      </x:c>
      <x:c r="D4038" t="str">
        <x:v>release state mirrors governing ledger</x:v>
      </x:c>
      <x:c r="E4038" t="str">
        <x:f>'Release Gates'!I3998</x:f>
        <x:v>OPEN</x:v>
      </x:c>
      <x:c r="F4038" t="str">
        <x:f>IF('Release Gates'!C3998="PLANNING","PASS",IF('Release Gates'!C3998="PHYSICAL","OPEN","BLOCKED"))</x:f>
        <x:v>OPEN</x:v>
      </x:c>
      <x:c r="G4038" t="str">
        <x:v>equals</x:v>
      </x:c>
      <x:c r="H4038" t="str">
        <x:f>IF(E4038=F4038,"PASS","FAIL")</x:f>
        <x:v>PASS</x:v>
      </x:c>
    </x:row>
    <x:row r="4039">
      <x:c r="B4039" t="str">
        <x:v>A-03993</x:v>
      </x:c>
      <x:c r="C4039" t="str">
        <x:v>GATE</x:v>
      </x:c>
      <x:c r="D4039" t="str">
        <x:v>release state mirrors governing ledger</x:v>
      </x:c>
      <x:c r="E4039" t="str">
        <x:f>'Release Gates'!I3999</x:f>
        <x:v>OPEN</x:v>
      </x:c>
      <x:c r="F4039" t="str">
        <x:f>IF('Release Gates'!C3999="PLANNING","PASS",IF('Release Gates'!C3999="PHYSICAL","OPEN","BLOCKED"))</x:f>
        <x:v>OPEN</x:v>
      </x:c>
      <x:c r="G4039" t="str">
        <x:v>equals</x:v>
      </x:c>
      <x:c r="H4039" t="str">
        <x:f>IF(E4039=F4039,"PASS","FAIL")</x:f>
        <x:v>PASS</x:v>
      </x:c>
    </x:row>
    <x:row r="4040">
      <x:c r="B4040" t="str">
        <x:v>A-03994</x:v>
      </x:c>
      <x:c r="C4040" t="str">
        <x:v>GATE</x:v>
      </x:c>
      <x:c r="D4040" t="str">
        <x:v>release state mirrors governing ledger</x:v>
      </x:c>
      <x:c r="E4040" t="str">
        <x:f>'Release Gates'!I4000</x:f>
        <x:v>OPEN</x:v>
      </x:c>
      <x:c r="F4040" t="str">
        <x:f>IF('Release Gates'!C4000="PLANNING","PASS",IF('Release Gates'!C4000="PHYSICAL","OPEN","BLOCKED"))</x:f>
        <x:v>OPEN</x:v>
      </x:c>
      <x:c r="G4040" t="str">
        <x:v>equals</x:v>
      </x:c>
      <x:c r="H4040" t="str">
        <x:f>IF(E4040=F4040,"PASS","FAIL")</x:f>
        <x:v>PASS</x:v>
      </x:c>
    </x:row>
    <x:row r="4041">
      <x:c r="B4041" t="str">
        <x:v>A-03995</x:v>
      </x:c>
      <x:c r="C4041" t="str">
        <x:v>GATE</x:v>
      </x:c>
      <x:c r="D4041" t="str">
        <x:v>release state mirrors governing ledger</x:v>
      </x:c>
      <x:c r="E4041" t="str">
        <x:f>'Release Gates'!I4001</x:f>
        <x:v>OPEN</x:v>
      </x:c>
      <x:c r="F4041" t="str">
        <x:f>IF('Release Gates'!C4001="PLANNING","PASS",IF('Release Gates'!C4001="PHYSICAL","OPEN","BLOCKED"))</x:f>
        <x:v>OPEN</x:v>
      </x:c>
      <x:c r="G4041" t="str">
        <x:v>equals</x:v>
      </x:c>
      <x:c r="H4041" t="str">
        <x:f>IF(E4041=F4041,"PASS","FAIL")</x:f>
        <x:v>PASS</x:v>
      </x:c>
    </x:row>
    <x:row r="4042">
      <x:c r="B4042" t="str">
        <x:v>A-03996</x:v>
      </x:c>
      <x:c r="C4042" t="str">
        <x:v>GATE</x:v>
      </x:c>
      <x:c r="D4042" t="str">
        <x:v>release state mirrors governing ledger</x:v>
      </x:c>
      <x:c r="E4042" t="str">
        <x:f>'Release Gates'!I4002</x:f>
        <x:v>OPEN</x:v>
      </x:c>
      <x:c r="F4042" t="str">
        <x:f>IF('Release Gates'!C4002="PLANNING","PASS",IF('Release Gates'!C4002="PHYSICAL","OPEN","BLOCKED"))</x:f>
        <x:v>OPEN</x:v>
      </x:c>
      <x:c r="G4042" t="str">
        <x:v>equals</x:v>
      </x:c>
      <x:c r="H4042" t="str">
        <x:f>IF(E4042=F4042,"PASS","FAIL")</x:f>
        <x:v>PASS</x:v>
      </x:c>
    </x:row>
    <x:row r="4043">
      <x:c r="B4043" t="str">
        <x:v>A-03997</x:v>
      </x:c>
      <x:c r="C4043" t="str">
        <x:v>GATE</x:v>
      </x:c>
      <x:c r="D4043" t="str">
        <x:v>release state mirrors governing ledger</x:v>
      </x:c>
      <x:c r="E4043" t="str">
        <x:f>'Release Gates'!I4003</x:f>
        <x:v>OPEN</x:v>
      </x:c>
      <x:c r="F4043" t="str">
        <x:f>IF('Release Gates'!C4003="PLANNING","PASS",IF('Release Gates'!C4003="PHYSICAL","OPEN","BLOCKED"))</x:f>
        <x:v>OPEN</x:v>
      </x:c>
      <x:c r="G4043" t="str">
        <x:v>equals</x:v>
      </x:c>
      <x:c r="H4043" t="str">
        <x:f>IF(E4043=F4043,"PASS","FAIL")</x:f>
        <x:v>PASS</x:v>
      </x:c>
    </x:row>
    <x:row r="4044">
      <x:c r="B4044" t="str">
        <x:v>A-03998</x:v>
      </x:c>
      <x:c r="C4044" t="str">
        <x:v>GATE</x:v>
      </x:c>
      <x:c r="D4044" t="str">
        <x:v>release state mirrors governing ledger</x:v>
      </x:c>
      <x:c r="E4044" t="str">
        <x:f>'Release Gates'!I4004</x:f>
        <x:v>OPEN</x:v>
      </x:c>
      <x:c r="F4044" t="str">
        <x:f>IF('Release Gates'!C4004="PLANNING","PASS",IF('Release Gates'!C4004="PHYSICAL","OPEN","BLOCKED"))</x:f>
        <x:v>OPEN</x:v>
      </x:c>
      <x:c r="G4044" t="str">
        <x:v>equals</x:v>
      </x:c>
      <x:c r="H4044" t="str">
        <x:f>IF(E4044=F4044,"PASS","FAIL")</x:f>
        <x:v>PASS</x:v>
      </x:c>
    </x:row>
    <x:row r="4045">
      <x:c r="B4045" t="str">
        <x:v>A-03999</x:v>
      </x:c>
      <x:c r="C4045" t="str">
        <x:v>GATE</x:v>
      </x:c>
      <x:c r="D4045" t="str">
        <x:v>release state mirrors governing ledger</x:v>
      </x:c>
      <x:c r="E4045" t="str">
        <x:f>'Release Gates'!I4005</x:f>
        <x:v>OPEN</x:v>
      </x:c>
      <x:c r="F4045" t="str">
        <x:f>IF('Release Gates'!C4005="PLANNING","PASS",IF('Release Gates'!C4005="PHYSICAL","OPEN","BLOCKED"))</x:f>
        <x:v>OPEN</x:v>
      </x:c>
      <x:c r="G4045" t="str">
        <x:v>equals</x:v>
      </x:c>
      <x:c r="H4045" t="str">
        <x:f>IF(E4045=F4045,"PASS","FAIL")</x:f>
        <x:v>PASS</x:v>
      </x:c>
    </x:row>
    <x:row r="4046">
      <x:c r="B4046" t="str">
        <x:v>A-04000</x:v>
      </x:c>
      <x:c r="C4046" t="str">
        <x:v>GATE</x:v>
      </x:c>
      <x:c r="D4046" t="str">
        <x:v>release state mirrors governing ledger</x:v>
      </x:c>
      <x:c r="E4046" t="str">
        <x:f>'Release Gates'!I4006</x:f>
        <x:v>OPEN</x:v>
      </x:c>
      <x:c r="F4046" t="str">
        <x:f>IF('Release Gates'!C4006="PLANNING","PASS",IF('Release Gates'!C4006="PHYSICAL","OPEN","BLOCKED"))</x:f>
        <x:v>OPEN</x:v>
      </x:c>
      <x:c r="G4046" t="str">
        <x:v>equals</x:v>
      </x:c>
      <x:c r="H4046" t="str">
        <x:f>IF(E4046=F4046,"PASS","FAIL")</x:f>
        <x:v>PASS</x:v>
      </x:c>
    </x:row>
    <x:row r="4047">
      <x:c r="B4047" t="str">
        <x:v>A-04001</x:v>
      </x:c>
      <x:c r="C4047" t="str">
        <x:v>GATE</x:v>
      </x:c>
      <x:c r="D4047" t="str">
        <x:v>release state mirrors governing ledger</x:v>
      </x:c>
      <x:c r="E4047" t="str">
        <x:f>'Release Gates'!I4007</x:f>
        <x:v>OPEN</x:v>
      </x:c>
      <x:c r="F4047" t="str">
        <x:f>IF('Release Gates'!C4007="PLANNING","PASS",IF('Release Gates'!C4007="PHYSICAL","OPEN","BLOCKED"))</x:f>
        <x:v>OPEN</x:v>
      </x:c>
      <x:c r="G4047" t="str">
        <x:v>equals</x:v>
      </x:c>
      <x:c r="H4047" t="str">
        <x:f>IF(E4047=F4047,"PASS","FAIL")</x:f>
        <x:v>PASS</x:v>
      </x:c>
    </x:row>
    <x:row r="4048">
      <x:c r="B4048" t="str">
        <x:v>A-04002</x:v>
      </x:c>
      <x:c r="C4048" t="str">
        <x:v>GATE</x:v>
      </x:c>
      <x:c r="D4048" t="str">
        <x:v>release state mirrors governing ledger</x:v>
      </x:c>
      <x:c r="E4048" t="str">
        <x:f>'Release Gates'!I4008</x:f>
        <x:v>OPEN</x:v>
      </x:c>
      <x:c r="F4048" t="str">
        <x:f>IF('Release Gates'!C4008="PLANNING","PASS",IF('Release Gates'!C4008="PHYSICAL","OPEN","BLOCKED"))</x:f>
        <x:v>OPEN</x:v>
      </x:c>
      <x:c r="G4048" t="str">
        <x:v>equals</x:v>
      </x:c>
      <x:c r="H4048" t="str">
        <x:f>IF(E4048=F4048,"PASS","FAIL")</x:f>
        <x:v>PASS</x:v>
      </x:c>
    </x:row>
    <x:row r="4049">
      <x:c r="B4049" t="str">
        <x:v>A-04003</x:v>
      </x:c>
      <x:c r="C4049" t="str">
        <x:v>GATE</x:v>
      </x:c>
      <x:c r="D4049" t="str">
        <x:v>release state mirrors governing ledger</x:v>
      </x:c>
      <x:c r="E4049" t="str">
        <x:f>'Release Gates'!I4009</x:f>
        <x:v>OPEN</x:v>
      </x:c>
      <x:c r="F4049" t="str">
        <x:f>IF('Release Gates'!C4009="PLANNING","PASS",IF('Release Gates'!C4009="PHYSICAL","OPEN","BLOCKED"))</x:f>
        <x:v>OPEN</x:v>
      </x:c>
      <x:c r="G4049" t="str">
        <x:v>equals</x:v>
      </x:c>
      <x:c r="H4049" t="str">
        <x:f>IF(E4049=F4049,"PASS","FAIL")</x:f>
        <x:v>PASS</x:v>
      </x:c>
    </x:row>
    <x:row r="4050">
      <x:c r="B4050" t="str">
        <x:v>A-04004</x:v>
      </x:c>
      <x:c r="C4050" t="str">
        <x:v>GATE</x:v>
      </x:c>
      <x:c r="D4050" t="str">
        <x:v>release state mirrors governing ledger</x:v>
      </x:c>
      <x:c r="E4050" t="str">
        <x:f>'Release Gates'!I4010</x:f>
        <x:v>OPEN</x:v>
      </x:c>
      <x:c r="F4050" t="str">
        <x:f>IF('Release Gates'!C4010="PLANNING","PASS",IF('Release Gates'!C4010="PHYSICAL","OPEN","BLOCKED"))</x:f>
        <x:v>OPEN</x:v>
      </x:c>
      <x:c r="G4050" t="str">
        <x:v>equals</x:v>
      </x:c>
      <x:c r="H4050" t="str">
        <x:f>IF(E4050=F4050,"PASS","FAIL")</x:f>
        <x:v>PASS</x:v>
      </x:c>
    </x:row>
    <x:row r="4051">
      <x:c r="B4051" t="str">
        <x:v>A-04005</x:v>
      </x:c>
      <x:c r="C4051" t="str">
        <x:v>GATE</x:v>
      </x:c>
      <x:c r="D4051" t="str">
        <x:v>release state mirrors governing ledger</x:v>
      </x:c>
      <x:c r="E4051" t="str">
        <x:f>'Release Gates'!I4011</x:f>
        <x:v>OPEN</x:v>
      </x:c>
      <x:c r="F4051" t="str">
        <x:f>IF('Release Gates'!C4011="PLANNING","PASS",IF('Release Gates'!C4011="PHYSICAL","OPEN","BLOCKED"))</x:f>
        <x:v>OPEN</x:v>
      </x:c>
      <x:c r="G4051" t="str">
        <x:v>equals</x:v>
      </x:c>
      <x:c r="H4051" t="str">
        <x:f>IF(E4051=F4051,"PASS","FAIL")</x:f>
        <x:v>PASS</x:v>
      </x:c>
    </x:row>
    <x:row r="4052">
      <x:c r="B4052" t="str">
        <x:v>A-04006</x:v>
      </x:c>
      <x:c r="C4052" t="str">
        <x:v>GATE</x:v>
      </x:c>
      <x:c r="D4052" t="str">
        <x:v>release state mirrors governing ledger</x:v>
      </x:c>
      <x:c r="E4052" t="str">
        <x:f>'Release Gates'!I4012</x:f>
        <x:v>OPEN</x:v>
      </x:c>
      <x:c r="F4052" t="str">
        <x:f>IF('Release Gates'!C4012="PLANNING","PASS",IF('Release Gates'!C4012="PHYSICAL","OPEN","BLOCKED"))</x:f>
        <x:v>OPEN</x:v>
      </x:c>
      <x:c r="G4052" t="str">
        <x:v>equals</x:v>
      </x:c>
      <x:c r="H4052" t="str">
        <x:f>IF(E4052=F4052,"PASS","FAIL")</x:f>
        <x:v>PASS</x:v>
      </x:c>
    </x:row>
    <x:row r="4053">
      <x:c r="B4053" t="str">
        <x:v>A-04007</x:v>
      </x:c>
      <x:c r="C4053" t="str">
        <x:v>GATE</x:v>
      </x:c>
      <x:c r="D4053" t="str">
        <x:v>release state mirrors governing ledger</x:v>
      </x:c>
      <x:c r="E4053" t="str">
        <x:f>'Release Gates'!I4013</x:f>
        <x:v>OPEN</x:v>
      </x:c>
      <x:c r="F4053" t="str">
        <x:f>IF('Release Gates'!C4013="PLANNING","PASS",IF('Release Gates'!C4013="PHYSICAL","OPEN","BLOCKED"))</x:f>
        <x:v>OPEN</x:v>
      </x:c>
      <x:c r="G4053" t="str">
        <x:v>equals</x:v>
      </x:c>
      <x:c r="H4053" t="str">
        <x:f>IF(E4053=F4053,"PASS","FAIL")</x:f>
        <x:v>PASS</x:v>
      </x:c>
    </x:row>
    <x:row r="4054">
      <x:c r="B4054" t="str">
        <x:v>A-04008</x:v>
      </x:c>
      <x:c r="C4054" t="str">
        <x:v>GATE</x:v>
      </x:c>
      <x:c r="D4054" t="str">
        <x:v>release state mirrors governing ledger</x:v>
      </x:c>
      <x:c r="E4054" t="str">
        <x:f>'Release Gates'!I4014</x:f>
        <x:v>OPEN</x:v>
      </x:c>
      <x:c r="F4054" t="str">
        <x:f>IF('Release Gates'!C4014="PLANNING","PASS",IF('Release Gates'!C4014="PHYSICAL","OPEN","BLOCKED"))</x:f>
        <x:v>OPEN</x:v>
      </x:c>
      <x:c r="G4054" t="str">
        <x:v>equals</x:v>
      </x:c>
      <x:c r="H4054" t="str">
        <x:f>IF(E4054=F4054,"PASS","FAIL")</x:f>
        <x:v>PASS</x:v>
      </x:c>
    </x:row>
    <x:row r="4055">
      <x:c r="B4055" t="str">
        <x:v>A-04009</x:v>
      </x:c>
      <x:c r="C4055" t="str">
        <x:v>GATE</x:v>
      </x:c>
      <x:c r="D4055" t="str">
        <x:v>release state mirrors governing ledger</x:v>
      </x:c>
      <x:c r="E4055" t="str">
        <x:f>'Release Gates'!I4015</x:f>
        <x:v>OPEN</x:v>
      </x:c>
      <x:c r="F4055" t="str">
        <x:f>IF('Release Gates'!C4015="PLANNING","PASS",IF('Release Gates'!C4015="PHYSICAL","OPEN","BLOCKED"))</x:f>
        <x:v>OPEN</x:v>
      </x:c>
      <x:c r="G4055" t="str">
        <x:v>equals</x:v>
      </x:c>
      <x:c r="H4055" t="str">
        <x:f>IF(E4055=F4055,"PASS","FAIL")</x:f>
        <x:v>PASS</x:v>
      </x:c>
    </x:row>
    <x:row r="4056">
      <x:c r="B4056" t="str">
        <x:v>A-04010</x:v>
      </x:c>
      <x:c r="C4056" t="str">
        <x:v>GATE</x:v>
      </x:c>
      <x:c r="D4056" t="str">
        <x:v>release state mirrors governing ledger</x:v>
      </x:c>
      <x:c r="E4056" t="str">
        <x:f>'Release Gates'!I4016</x:f>
        <x:v>OPEN</x:v>
      </x:c>
      <x:c r="F4056" t="str">
        <x:f>IF('Release Gates'!C4016="PLANNING","PASS",IF('Release Gates'!C4016="PHYSICAL","OPEN","BLOCKED"))</x:f>
        <x:v>OPEN</x:v>
      </x:c>
      <x:c r="G4056" t="str">
        <x:v>equals</x:v>
      </x:c>
      <x:c r="H4056" t="str">
        <x:f>IF(E4056=F4056,"PASS","FAIL")</x:f>
        <x:v>PASS</x:v>
      </x:c>
    </x:row>
    <x:row r="4057">
      <x:c r="B4057" t="str">
        <x:v>A-04011</x:v>
      </x:c>
      <x:c r="C4057" t="str">
        <x:v>GATE</x:v>
      </x:c>
      <x:c r="D4057" t="str">
        <x:v>release state mirrors governing ledger</x:v>
      </x:c>
      <x:c r="E4057" t="str">
        <x:f>'Release Gates'!I4017</x:f>
        <x:v>OPEN</x:v>
      </x:c>
      <x:c r="F4057" t="str">
        <x:f>IF('Release Gates'!C4017="PLANNING","PASS",IF('Release Gates'!C4017="PHYSICAL","OPEN","BLOCKED"))</x:f>
        <x:v>OPEN</x:v>
      </x:c>
      <x:c r="G4057" t="str">
        <x:v>equals</x:v>
      </x:c>
      <x:c r="H4057" t="str">
        <x:f>IF(E4057=F4057,"PASS","FAIL")</x:f>
        <x:v>PASS</x:v>
      </x:c>
    </x:row>
    <x:row r="4058">
      <x:c r="B4058" t="str">
        <x:v>A-04012</x:v>
      </x:c>
      <x:c r="C4058" t="str">
        <x:v>GATE</x:v>
      </x:c>
      <x:c r="D4058" t="str">
        <x:v>release state mirrors governing ledger</x:v>
      </x:c>
      <x:c r="E4058" t="str">
        <x:f>'Release Gates'!I4018</x:f>
        <x:v>OPEN</x:v>
      </x:c>
      <x:c r="F4058" t="str">
        <x:f>IF('Release Gates'!C4018="PLANNING","PASS",IF('Release Gates'!C4018="PHYSICAL","OPEN","BLOCKED"))</x:f>
        <x:v>OPEN</x:v>
      </x:c>
      <x:c r="G4058" t="str">
        <x:v>equals</x:v>
      </x:c>
      <x:c r="H4058" t="str">
        <x:f>IF(E4058=F4058,"PASS","FAIL")</x:f>
        <x:v>PASS</x:v>
      </x:c>
    </x:row>
    <x:row r="4059">
      <x:c r="B4059" t="str">
        <x:v>A-04013</x:v>
      </x:c>
      <x:c r="C4059" t="str">
        <x:v>GATE</x:v>
      </x:c>
      <x:c r="D4059" t="str">
        <x:v>release state mirrors governing ledger</x:v>
      </x:c>
      <x:c r="E4059" t="str">
        <x:f>'Release Gates'!I4019</x:f>
        <x:v>OPEN</x:v>
      </x:c>
      <x:c r="F4059" t="str">
        <x:f>IF('Release Gates'!C4019="PLANNING","PASS",IF('Release Gates'!C4019="PHYSICAL","OPEN","BLOCKED"))</x:f>
        <x:v>OPEN</x:v>
      </x:c>
      <x:c r="G4059" t="str">
        <x:v>equals</x:v>
      </x:c>
      <x:c r="H4059" t="str">
        <x:f>IF(E4059=F4059,"PASS","FAIL")</x:f>
        <x:v>PASS</x:v>
      </x:c>
    </x:row>
    <x:row r="4060">
      <x:c r="B4060" t="str">
        <x:v>A-04014</x:v>
      </x:c>
      <x:c r="C4060" t="str">
        <x:v>GATE</x:v>
      </x:c>
      <x:c r="D4060" t="str">
        <x:v>release state mirrors governing ledger</x:v>
      </x:c>
      <x:c r="E4060" t="str">
        <x:f>'Release Gates'!I4020</x:f>
        <x:v>OPEN</x:v>
      </x:c>
      <x:c r="F4060" t="str">
        <x:f>IF('Release Gates'!C4020="PLANNING","PASS",IF('Release Gates'!C4020="PHYSICAL","OPEN","BLOCKED"))</x:f>
        <x:v>OPEN</x:v>
      </x:c>
      <x:c r="G4060" t="str">
        <x:v>equals</x:v>
      </x:c>
      <x:c r="H4060" t="str">
        <x:f>IF(E4060=F4060,"PASS","FAIL")</x:f>
        <x:v>PASS</x:v>
      </x:c>
    </x:row>
    <x:row r="4061">
      <x:c r="B4061" t="str">
        <x:v>A-04015</x:v>
      </x:c>
      <x:c r="C4061" t="str">
        <x:v>GATE</x:v>
      </x:c>
      <x:c r="D4061" t="str">
        <x:v>release state mirrors governing ledger</x:v>
      </x:c>
      <x:c r="E4061" t="str">
        <x:f>'Release Gates'!I4021</x:f>
        <x:v>OPEN</x:v>
      </x:c>
      <x:c r="F4061" t="str">
        <x:f>IF('Release Gates'!C4021="PLANNING","PASS",IF('Release Gates'!C4021="PHYSICAL","OPEN","BLOCKED"))</x:f>
        <x:v>OPEN</x:v>
      </x:c>
      <x:c r="G4061" t="str">
        <x:v>equals</x:v>
      </x:c>
      <x:c r="H4061" t="str">
        <x:f>IF(E4061=F4061,"PASS","FAIL")</x:f>
        <x:v>PASS</x:v>
      </x:c>
    </x:row>
    <x:row r="4062">
      <x:c r="B4062" t="str">
        <x:v>A-04016</x:v>
      </x:c>
      <x:c r="C4062" t="str">
        <x:v>GATE</x:v>
      </x:c>
      <x:c r="D4062" t="str">
        <x:v>release state mirrors governing ledger</x:v>
      </x:c>
      <x:c r="E4062" t="str">
        <x:f>'Release Gates'!I4022</x:f>
        <x:v>OPEN</x:v>
      </x:c>
      <x:c r="F4062" t="str">
        <x:f>IF('Release Gates'!C4022="PLANNING","PASS",IF('Release Gates'!C4022="PHYSICAL","OPEN","BLOCKED"))</x:f>
        <x:v>OPEN</x:v>
      </x:c>
      <x:c r="G4062" t="str">
        <x:v>equals</x:v>
      </x:c>
      <x:c r="H4062" t="str">
        <x:f>IF(E4062=F4062,"PASS","FAIL")</x:f>
        <x:v>PASS</x:v>
      </x:c>
    </x:row>
    <x:row r="4063">
      <x:c r="B4063" t="str">
        <x:v>A-04017</x:v>
      </x:c>
      <x:c r="C4063" t="str">
        <x:v>GATE</x:v>
      </x:c>
      <x:c r="D4063" t="str">
        <x:v>release state mirrors governing ledger</x:v>
      </x:c>
      <x:c r="E4063" t="str">
        <x:f>'Release Gates'!I4023</x:f>
        <x:v>OPEN</x:v>
      </x:c>
      <x:c r="F4063" t="str">
        <x:f>IF('Release Gates'!C4023="PLANNING","PASS",IF('Release Gates'!C4023="PHYSICAL","OPEN","BLOCKED"))</x:f>
        <x:v>OPEN</x:v>
      </x:c>
      <x:c r="G4063" t="str">
        <x:v>equals</x:v>
      </x:c>
      <x:c r="H4063" t="str">
        <x:f>IF(E4063=F4063,"PASS","FAIL")</x:f>
        <x:v>PASS</x:v>
      </x:c>
    </x:row>
    <x:row r="4064">
      <x:c r="B4064" t="str">
        <x:v>A-04018</x:v>
      </x:c>
      <x:c r="C4064" t="str">
        <x:v>GATE</x:v>
      </x:c>
      <x:c r="D4064" t="str">
        <x:v>release state mirrors governing ledger</x:v>
      </x:c>
      <x:c r="E4064" t="str">
        <x:f>'Release Gates'!I4024</x:f>
        <x:v>OPEN</x:v>
      </x:c>
      <x:c r="F4064" t="str">
        <x:f>IF('Release Gates'!C4024="PLANNING","PASS",IF('Release Gates'!C4024="PHYSICAL","OPEN","BLOCKED"))</x:f>
        <x:v>OPEN</x:v>
      </x:c>
      <x:c r="G4064" t="str">
        <x:v>equals</x:v>
      </x:c>
      <x:c r="H4064" t="str">
        <x:f>IF(E4064=F4064,"PASS","FAIL")</x:f>
        <x:v>PASS</x:v>
      </x:c>
    </x:row>
    <x:row r="4065">
      <x:c r="B4065" t="str">
        <x:v>A-04019</x:v>
      </x:c>
      <x:c r="C4065" t="str">
        <x:v>GATE</x:v>
      </x:c>
      <x:c r="D4065" t="str">
        <x:v>release state mirrors governing ledger</x:v>
      </x:c>
      <x:c r="E4065" t="str">
        <x:f>'Release Gates'!I4025</x:f>
        <x:v>OPEN</x:v>
      </x:c>
      <x:c r="F4065" t="str">
        <x:f>IF('Release Gates'!C4025="PLANNING","PASS",IF('Release Gates'!C4025="PHYSICAL","OPEN","BLOCKED"))</x:f>
        <x:v>OPEN</x:v>
      </x:c>
      <x:c r="G4065" t="str">
        <x:v>equals</x:v>
      </x:c>
      <x:c r="H4065" t="str">
        <x:f>IF(E4065=F4065,"PASS","FAIL")</x:f>
        <x:v>PASS</x:v>
      </x:c>
    </x:row>
    <x:row r="4066">
      <x:c r="B4066" t="str">
        <x:v>A-04020</x:v>
      </x:c>
      <x:c r="C4066" t="str">
        <x:v>GATE</x:v>
      </x:c>
      <x:c r="D4066" t="str">
        <x:v>release state mirrors governing ledger</x:v>
      </x:c>
      <x:c r="E4066" t="str">
        <x:f>'Release Gates'!I4026</x:f>
        <x:v>OPEN</x:v>
      </x:c>
      <x:c r="F4066" t="str">
        <x:f>IF('Release Gates'!C4026="PLANNING","PASS",IF('Release Gates'!C4026="PHYSICAL","OPEN","BLOCKED"))</x:f>
        <x:v>OPEN</x:v>
      </x:c>
      <x:c r="G4066" t="str">
        <x:v>equals</x:v>
      </x:c>
      <x:c r="H4066" t="str">
        <x:f>IF(E4066=F4066,"PASS","FAIL")</x:f>
        <x:v>PASS</x:v>
      </x:c>
    </x:row>
    <x:row r="4067">
      <x:c r="B4067" t="str">
        <x:v>A-04021</x:v>
      </x:c>
      <x:c r="C4067" t="str">
        <x:v>GATE</x:v>
      </x:c>
      <x:c r="D4067" t="str">
        <x:v>release state mirrors governing ledger</x:v>
      </x:c>
      <x:c r="E4067" t="str">
        <x:f>'Release Gates'!I4027</x:f>
        <x:v>OPEN</x:v>
      </x:c>
      <x:c r="F4067" t="str">
        <x:f>IF('Release Gates'!C4027="PLANNING","PASS",IF('Release Gates'!C4027="PHYSICAL","OPEN","BLOCKED"))</x:f>
        <x:v>OPEN</x:v>
      </x:c>
      <x:c r="G4067" t="str">
        <x:v>equals</x:v>
      </x:c>
      <x:c r="H4067" t="str">
        <x:f>IF(E4067=F4067,"PASS","FAIL")</x:f>
        <x:v>PASS</x:v>
      </x:c>
    </x:row>
    <x:row r="4068">
      <x:c r="B4068" t="str">
        <x:v>A-04022</x:v>
      </x:c>
      <x:c r="C4068" t="str">
        <x:v>GATE</x:v>
      </x:c>
      <x:c r="D4068" t="str">
        <x:v>release state mirrors governing ledger</x:v>
      </x:c>
      <x:c r="E4068" t="str">
        <x:f>'Release Gates'!I4028</x:f>
        <x:v>OPEN</x:v>
      </x:c>
      <x:c r="F4068" t="str">
        <x:f>IF('Release Gates'!C4028="PLANNING","PASS",IF('Release Gates'!C4028="PHYSICAL","OPEN","BLOCKED"))</x:f>
        <x:v>OPEN</x:v>
      </x:c>
      <x:c r="G4068" t="str">
        <x:v>equals</x:v>
      </x:c>
      <x:c r="H4068" t="str">
        <x:f>IF(E4068=F4068,"PASS","FAIL")</x:f>
        <x:v>PASS</x:v>
      </x:c>
    </x:row>
    <x:row r="4069">
      <x:c r="B4069" t="str">
        <x:v>A-04023</x:v>
      </x:c>
      <x:c r="C4069" t="str">
        <x:v>GATE</x:v>
      </x:c>
      <x:c r="D4069" t="str">
        <x:v>release state mirrors governing ledger</x:v>
      </x:c>
      <x:c r="E4069" t="str">
        <x:f>'Release Gates'!I4029</x:f>
        <x:v>OPEN</x:v>
      </x:c>
      <x:c r="F4069" t="str">
        <x:f>IF('Release Gates'!C4029="PLANNING","PASS",IF('Release Gates'!C4029="PHYSICAL","OPEN","BLOCKED"))</x:f>
        <x:v>OPEN</x:v>
      </x:c>
      <x:c r="G4069" t="str">
        <x:v>equals</x:v>
      </x:c>
      <x:c r="H4069" t="str">
        <x:f>IF(E4069=F4069,"PASS","FAIL")</x:f>
        <x:v>PASS</x:v>
      </x:c>
    </x:row>
    <x:row r="4070">
      <x:c r="B4070" t="str">
        <x:v>A-04024</x:v>
      </x:c>
      <x:c r="C4070" t="str">
        <x:v>GATE</x:v>
      </x:c>
      <x:c r="D4070" t="str">
        <x:v>release state mirrors governing ledger</x:v>
      </x:c>
      <x:c r="E4070" t="str">
        <x:f>'Release Gates'!I4030</x:f>
        <x:v>OPEN</x:v>
      </x:c>
      <x:c r="F4070" t="str">
        <x:f>IF('Release Gates'!C4030="PLANNING","PASS",IF('Release Gates'!C4030="PHYSICAL","OPEN","BLOCKED"))</x:f>
        <x:v>OPEN</x:v>
      </x:c>
      <x:c r="G4070" t="str">
        <x:v>equals</x:v>
      </x:c>
      <x:c r="H4070" t="str">
        <x:f>IF(E4070=F4070,"PASS","FAIL")</x:f>
        <x:v>PASS</x:v>
      </x:c>
    </x:row>
    <x:row r="4071">
      <x:c r="B4071" t="str">
        <x:v>A-04025</x:v>
      </x:c>
      <x:c r="C4071" t="str">
        <x:v>GATE</x:v>
      </x:c>
      <x:c r="D4071" t="str">
        <x:v>release state mirrors governing ledger</x:v>
      </x:c>
      <x:c r="E4071" t="str">
        <x:f>'Release Gates'!I4031</x:f>
        <x:v>OPEN</x:v>
      </x:c>
      <x:c r="F4071" t="str">
        <x:f>IF('Release Gates'!C4031="PLANNING","PASS",IF('Release Gates'!C4031="PHYSICAL","OPEN","BLOCKED"))</x:f>
        <x:v>OPEN</x:v>
      </x:c>
      <x:c r="G4071" t="str">
        <x:v>equals</x:v>
      </x:c>
      <x:c r="H4071" t="str">
        <x:f>IF(E4071=F4071,"PASS","FAIL")</x:f>
        <x:v>PASS</x:v>
      </x:c>
    </x:row>
    <x:row r="4072">
      <x:c r="B4072" t="str">
        <x:v>A-04026</x:v>
      </x:c>
      <x:c r="C4072" t="str">
        <x:v>GATE</x:v>
      </x:c>
      <x:c r="D4072" t="str">
        <x:v>release state mirrors governing ledger</x:v>
      </x:c>
      <x:c r="E4072" t="str">
        <x:f>'Release Gates'!I4032</x:f>
        <x:v>OPEN</x:v>
      </x:c>
      <x:c r="F4072" t="str">
        <x:f>IF('Release Gates'!C4032="PLANNING","PASS",IF('Release Gates'!C4032="PHYSICAL","OPEN","BLOCKED"))</x:f>
        <x:v>OPEN</x:v>
      </x:c>
      <x:c r="G4072" t="str">
        <x:v>equals</x:v>
      </x:c>
      <x:c r="H4072" t="str">
        <x:f>IF(E4072=F4072,"PASS","FAIL")</x:f>
        <x:v>PASS</x:v>
      </x:c>
    </x:row>
    <x:row r="4073">
      <x:c r="B4073" t="str">
        <x:v>A-04027</x:v>
      </x:c>
      <x:c r="C4073" t="str">
        <x:v>GATE</x:v>
      </x:c>
      <x:c r="D4073" t="str">
        <x:v>release state mirrors governing ledger</x:v>
      </x:c>
      <x:c r="E4073" t="str">
        <x:f>'Release Gates'!I4033</x:f>
        <x:v>OPEN</x:v>
      </x:c>
      <x:c r="F4073" t="str">
        <x:f>IF('Release Gates'!C4033="PLANNING","PASS",IF('Release Gates'!C4033="PHYSICAL","OPEN","BLOCKED"))</x:f>
        <x:v>OPEN</x:v>
      </x:c>
      <x:c r="G4073" t="str">
        <x:v>equals</x:v>
      </x:c>
      <x:c r="H4073" t="str">
        <x:f>IF(E4073=F4073,"PASS","FAIL")</x:f>
        <x:v>PASS</x:v>
      </x:c>
    </x:row>
    <x:row r="4074">
      <x:c r="B4074" t="str">
        <x:v>A-04028</x:v>
      </x:c>
      <x:c r="C4074" t="str">
        <x:v>GATE</x:v>
      </x:c>
      <x:c r="D4074" t="str">
        <x:v>release state mirrors governing ledger</x:v>
      </x:c>
      <x:c r="E4074" t="str">
        <x:f>'Release Gates'!I4034</x:f>
        <x:v>OPEN</x:v>
      </x:c>
      <x:c r="F4074" t="str">
        <x:f>IF('Release Gates'!C4034="PLANNING","PASS",IF('Release Gates'!C4034="PHYSICAL","OPEN","BLOCKED"))</x:f>
        <x:v>OPEN</x:v>
      </x:c>
      <x:c r="G4074" t="str">
        <x:v>equals</x:v>
      </x:c>
      <x:c r="H4074" t="str">
        <x:f>IF(E4074=F4074,"PASS","FAIL")</x:f>
        <x:v>PASS</x:v>
      </x:c>
    </x:row>
    <x:row r="4075">
      <x:c r="B4075" t="str">
        <x:v>A-04029</x:v>
      </x:c>
      <x:c r="C4075" t="str">
        <x:v>GATE</x:v>
      </x:c>
      <x:c r="D4075" t="str">
        <x:v>release state mirrors governing ledger</x:v>
      </x:c>
      <x:c r="E4075" t="str">
        <x:f>'Release Gates'!I4035</x:f>
        <x:v>OPEN</x:v>
      </x:c>
      <x:c r="F4075" t="str">
        <x:f>IF('Release Gates'!C4035="PLANNING","PASS",IF('Release Gates'!C4035="PHYSICAL","OPEN","BLOCKED"))</x:f>
        <x:v>OPEN</x:v>
      </x:c>
      <x:c r="G4075" t="str">
        <x:v>equals</x:v>
      </x:c>
      <x:c r="H4075" t="str">
        <x:f>IF(E4075=F4075,"PASS","FAIL")</x:f>
        <x:v>PASS</x:v>
      </x:c>
    </x:row>
    <x:row r="4076">
      <x:c r="B4076" t="str">
        <x:v>A-04030</x:v>
      </x:c>
      <x:c r="C4076" t="str">
        <x:v>GATE</x:v>
      </x:c>
      <x:c r="D4076" t="str">
        <x:v>release state mirrors governing ledger</x:v>
      </x:c>
      <x:c r="E4076" t="str">
        <x:f>'Release Gates'!I4036</x:f>
        <x:v>OPEN</x:v>
      </x:c>
      <x:c r="F4076" t="str">
        <x:f>IF('Release Gates'!C4036="PLANNING","PASS",IF('Release Gates'!C4036="PHYSICAL","OPEN","BLOCKED"))</x:f>
        <x:v>OPEN</x:v>
      </x:c>
      <x:c r="G4076" t="str">
        <x:v>equals</x:v>
      </x:c>
      <x:c r="H4076" t="str">
        <x:f>IF(E4076=F4076,"PASS","FAIL")</x:f>
        <x:v>PASS</x:v>
      </x:c>
    </x:row>
    <x:row r="4077">
      <x:c r="B4077" t="str">
        <x:v>A-04031</x:v>
      </x:c>
      <x:c r="C4077" t="str">
        <x:v>GATE</x:v>
      </x:c>
      <x:c r="D4077" t="str">
        <x:v>release state mirrors governing ledger</x:v>
      </x:c>
      <x:c r="E4077" t="str">
        <x:f>'Release Gates'!I4037</x:f>
        <x:v>OPEN</x:v>
      </x:c>
      <x:c r="F4077" t="str">
        <x:f>IF('Release Gates'!C4037="PLANNING","PASS",IF('Release Gates'!C4037="PHYSICAL","OPEN","BLOCKED"))</x:f>
        <x:v>OPEN</x:v>
      </x:c>
      <x:c r="G4077" t="str">
        <x:v>equals</x:v>
      </x:c>
      <x:c r="H4077" t="str">
        <x:f>IF(E4077=F4077,"PASS","FAIL")</x:f>
        <x:v>PASS</x:v>
      </x:c>
    </x:row>
    <x:row r="4078">
      <x:c r="B4078" t="str">
        <x:v>A-04032</x:v>
      </x:c>
      <x:c r="C4078" t="str">
        <x:v>GATE</x:v>
      </x:c>
      <x:c r="D4078" t="str">
        <x:v>release state mirrors governing ledger</x:v>
      </x:c>
      <x:c r="E4078" t="str">
        <x:f>'Release Gates'!I4038</x:f>
        <x:v>OPEN</x:v>
      </x:c>
      <x:c r="F4078" t="str">
        <x:f>IF('Release Gates'!C4038="PLANNING","PASS",IF('Release Gates'!C4038="PHYSICAL","OPEN","BLOCKED"))</x:f>
        <x:v>OPEN</x:v>
      </x:c>
      <x:c r="G4078" t="str">
        <x:v>equals</x:v>
      </x:c>
      <x:c r="H4078" t="str">
        <x:f>IF(E4078=F4078,"PASS","FAIL")</x:f>
        <x:v>PASS</x:v>
      </x:c>
    </x:row>
    <x:row r="4079">
      <x:c r="B4079" t="str">
        <x:v>A-04033</x:v>
      </x:c>
      <x:c r="C4079" t="str">
        <x:v>GATE</x:v>
      </x:c>
      <x:c r="D4079" t="str">
        <x:v>release state mirrors governing ledger</x:v>
      </x:c>
      <x:c r="E4079" t="str">
        <x:f>'Release Gates'!I4039</x:f>
        <x:v>OPEN</x:v>
      </x:c>
      <x:c r="F4079" t="str">
        <x:f>IF('Release Gates'!C4039="PLANNING","PASS",IF('Release Gates'!C4039="PHYSICAL","OPEN","BLOCKED"))</x:f>
        <x:v>OPEN</x:v>
      </x:c>
      <x:c r="G4079" t="str">
        <x:v>equals</x:v>
      </x:c>
      <x:c r="H4079" t="str">
        <x:f>IF(E4079=F4079,"PASS","FAIL")</x:f>
        <x:v>PASS</x:v>
      </x:c>
    </x:row>
    <x:row r="4080">
      <x:c r="B4080" t="str">
        <x:v>A-04034</x:v>
      </x:c>
      <x:c r="C4080" t="str">
        <x:v>GATE</x:v>
      </x:c>
      <x:c r="D4080" t="str">
        <x:v>release state mirrors governing ledger</x:v>
      </x:c>
      <x:c r="E4080" t="str">
        <x:f>'Release Gates'!I4040</x:f>
        <x:v>OPEN</x:v>
      </x:c>
      <x:c r="F4080" t="str">
        <x:f>IF('Release Gates'!C4040="PLANNING","PASS",IF('Release Gates'!C4040="PHYSICAL","OPEN","BLOCKED"))</x:f>
        <x:v>OPEN</x:v>
      </x:c>
      <x:c r="G4080" t="str">
        <x:v>equals</x:v>
      </x:c>
      <x:c r="H4080" t="str">
        <x:f>IF(E4080=F4080,"PASS","FAIL")</x:f>
        <x:v>PASS</x:v>
      </x:c>
    </x:row>
    <x:row r="4081">
      <x:c r="B4081" t="str">
        <x:v>A-04035</x:v>
      </x:c>
      <x:c r="C4081" t="str">
        <x:v>GATE</x:v>
      </x:c>
      <x:c r="D4081" t="str">
        <x:v>release state mirrors governing ledger</x:v>
      </x:c>
      <x:c r="E4081" t="str">
        <x:f>'Release Gates'!I4041</x:f>
        <x:v>OPEN</x:v>
      </x:c>
      <x:c r="F4081" t="str">
        <x:f>IF('Release Gates'!C4041="PLANNING","PASS",IF('Release Gates'!C4041="PHYSICAL","OPEN","BLOCKED"))</x:f>
        <x:v>OPEN</x:v>
      </x:c>
      <x:c r="G4081" t="str">
        <x:v>equals</x:v>
      </x:c>
      <x:c r="H4081" t="str">
        <x:f>IF(E4081=F4081,"PASS","FAIL")</x:f>
        <x:v>PASS</x:v>
      </x:c>
    </x:row>
    <x:row r="4082">
      <x:c r="B4082" t="str">
        <x:v>A-04036</x:v>
      </x:c>
      <x:c r="C4082" t="str">
        <x:v>GATE</x:v>
      </x:c>
      <x:c r="D4082" t="str">
        <x:v>release state mirrors governing ledger</x:v>
      </x:c>
      <x:c r="E4082" t="str">
        <x:f>'Release Gates'!I4042</x:f>
        <x:v>OPEN</x:v>
      </x:c>
      <x:c r="F4082" t="str">
        <x:f>IF('Release Gates'!C4042="PLANNING","PASS",IF('Release Gates'!C4042="PHYSICAL","OPEN","BLOCKED"))</x:f>
        <x:v>OPEN</x:v>
      </x:c>
      <x:c r="G4082" t="str">
        <x:v>equals</x:v>
      </x:c>
      <x:c r="H4082" t="str">
        <x:f>IF(E4082=F4082,"PASS","FAIL")</x:f>
        <x:v>PASS</x:v>
      </x:c>
    </x:row>
    <x:row r="4083">
      <x:c r="B4083" t="str">
        <x:v>A-04037</x:v>
      </x:c>
      <x:c r="C4083" t="str">
        <x:v>GATE</x:v>
      </x:c>
      <x:c r="D4083" t="str">
        <x:v>release state mirrors governing ledger</x:v>
      </x:c>
      <x:c r="E4083" t="str">
        <x:f>'Release Gates'!I4043</x:f>
        <x:v>OPEN</x:v>
      </x:c>
      <x:c r="F4083" t="str">
        <x:f>IF('Release Gates'!C4043="PLANNING","PASS",IF('Release Gates'!C4043="PHYSICAL","OPEN","BLOCKED"))</x:f>
        <x:v>OPEN</x:v>
      </x:c>
      <x:c r="G4083" t="str">
        <x:v>equals</x:v>
      </x:c>
      <x:c r="H4083" t="str">
        <x:f>IF(E4083=F4083,"PASS","FAIL")</x:f>
        <x:v>PASS</x:v>
      </x:c>
    </x:row>
    <x:row r="4084">
      <x:c r="B4084" t="str">
        <x:v>A-04038</x:v>
      </x:c>
      <x:c r="C4084" t="str">
        <x:v>GATE</x:v>
      </x:c>
      <x:c r="D4084" t="str">
        <x:v>release state mirrors governing ledger</x:v>
      </x:c>
      <x:c r="E4084" t="str">
        <x:f>'Release Gates'!I4044</x:f>
        <x:v>OPEN</x:v>
      </x:c>
      <x:c r="F4084" t="str">
        <x:f>IF('Release Gates'!C4044="PLANNING","PASS",IF('Release Gates'!C4044="PHYSICAL","OPEN","BLOCKED"))</x:f>
        <x:v>OPEN</x:v>
      </x:c>
      <x:c r="G4084" t="str">
        <x:v>equals</x:v>
      </x:c>
      <x:c r="H4084" t="str">
        <x:f>IF(E4084=F4084,"PASS","FAIL")</x:f>
        <x:v>PASS</x:v>
      </x:c>
    </x:row>
    <x:row r="4085">
      <x:c r="B4085" t="str">
        <x:v>A-04039</x:v>
      </x:c>
      <x:c r="C4085" t="str">
        <x:v>GATE</x:v>
      </x:c>
      <x:c r="D4085" t="str">
        <x:v>release state mirrors governing ledger</x:v>
      </x:c>
      <x:c r="E4085" t="str">
        <x:f>'Release Gates'!I4045</x:f>
        <x:v>OPEN</x:v>
      </x:c>
      <x:c r="F4085" t="str">
        <x:f>IF('Release Gates'!C4045="PLANNING","PASS",IF('Release Gates'!C4045="PHYSICAL","OPEN","BLOCKED"))</x:f>
        <x:v>OPEN</x:v>
      </x:c>
      <x:c r="G4085" t="str">
        <x:v>equals</x:v>
      </x:c>
      <x:c r="H4085" t="str">
        <x:f>IF(E4085=F4085,"PASS","FAIL")</x:f>
        <x:v>PASS</x:v>
      </x:c>
    </x:row>
    <x:row r="4086">
      <x:c r="B4086" t="str">
        <x:v>A-04040</x:v>
      </x:c>
      <x:c r="C4086" t="str">
        <x:v>GATE</x:v>
      </x:c>
      <x:c r="D4086" t="str">
        <x:v>release state mirrors governing ledger</x:v>
      </x:c>
      <x:c r="E4086" t="str">
        <x:f>'Release Gates'!I4046</x:f>
        <x:v>OPEN</x:v>
      </x:c>
      <x:c r="F4086" t="str">
        <x:f>IF('Release Gates'!C4046="PLANNING","PASS",IF('Release Gates'!C4046="PHYSICAL","OPEN","BLOCKED"))</x:f>
        <x:v>OPEN</x:v>
      </x:c>
      <x:c r="G4086" t="str">
        <x:v>equals</x:v>
      </x:c>
      <x:c r="H4086" t="str">
        <x:f>IF(E4086=F4086,"PASS","FAIL")</x:f>
        <x:v>PASS</x:v>
      </x:c>
    </x:row>
    <x:row r="4087">
      <x:c r="B4087" t="str">
        <x:v>A-04041</x:v>
      </x:c>
      <x:c r="C4087" t="str">
        <x:v>GATE</x:v>
      </x:c>
      <x:c r="D4087" t="str">
        <x:v>release state mirrors governing ledger</x:v>
      </x:c>
      <x:c r="E4087" t="str">
        <x:f>'Release Gates'!I4047</x:f>
        <x:v>OPEN</x:v>
      </x:c>
      <x:c r="F4087" t="str">
        <x:f>IF('Release Gates'!C4047="PLANNING","PASS",IF('Release Gates'!C4047="PHYSICAL","OPEN","BLOCKED"))</x:f>
        <x:v>OPEN</x:v>
      </x:c>
      <x:c r="G4087" t="str">
        <x:v>equals</x:v>
      </x:c>
      <x:c r="H4087" t="str">
        <x:f>IF(E4087=F4087,"PASS","FAIL")</x:f>
        <x:v>PASS</x:v>
      </x:c>
    </x:row>
    <x:row r="4088">
      <x:c r="B4088" t="str">
        <x:v>A-04042</x:v>
      </x:c>
      <x:c r="C4088" t="str">
        <x:v>GATE</x:v>
      </x:c>
      <x:c r="D4088" t="str">
        <x:v>release state mirrors governing ledger</x:v>
      </x:c>
      <x:c r="E4088" t="str">
        <x:f>'Release Gates'!I4048</x:f>
        <x:v>OPEN</x:v>
      </x:c>
      <x:c r="F4088" t="str">
        <x:f>IF('Release Gates'!C4048="PLANNING","PASS",IF('Release Gates'!C4048="PHYSICAL","OPEN","BLOCKED"))</x:f>
        <x:v>OPEN</x:v>
      </x:c>
      <x:c r="G4088" t="str">
        <x:v>equals</x:v>
      </x:c>
      <x:c r="H4088" t="str">
        <x:f>IF(E4088=F4088,"PASS","FAIL")</x:f>
        <x:v>PASS</x:v>
      </x:c>
    </x:row>
    <x:row r="4089">
      <x:c r="B4089" t="str">
        <x:v>A-04043</x:v>
      </x:c>
      <x:c r="C4089" t="str">
        <x:v>GATE</x:v>
      </x:c>
      <x:c r="D4089" t="str">
        <x:v>release state mirrors governing ledger</x:v>
      </x:c>
      <x:c r="E4089" t="str">
        <x:f>'Release Gates'!I4049</x:f>
        <x:v>OPEN</x:v>
      </x:c>
      <x:c r="F4089" t="str">
        <x:f>IF('Release Gates'!C4049="PLANNING","PASS",IF('Release Gates'!C4049="PHYSICAL","OPEN","BLOCKED"))</x:f>
        <x:v>OPEN</x:v>
      </x:c>
      <x:c r="G4089" t="str">
        <x:v>equals</x:v>
      </x:c>
      <x:c r="H4089" t="str">
        <x:f>IF(E4089=F4089,"PASS","FAIL")</x:f>
        <x:v>PASS</x:v>
      </x:c>
    </x:row>
    <x:row r="4090">
      <x:c r="B4090" t="str">
        <x:v>A-04044</x:v>
      </x:c>
      <x:c r="C4090" t="str">
        <x:v>GATE</x:v>
      </x:c>
      <x:c r="D4090" t="str">
        <x:v>release state mirrors governing ledger</x:v>
      </x:c>
      <x:c r="E4090" t="str">
        <x:f>'Release Gates'!I4050</x:f>
        <x:v>OPEN</x:v>
      </x:c>
      <x:c r="F4090" t="str">
        <x:f>IF('Release Gates'!C4050="PLANNING","PASS",IF('Release Gates'!C4050="PHYSICAL","OPEN","BLOCKED"))</x:f>
        <x:v>OPEN</x:v>
      </x:c>
      <x:c r="G4090" t="str">
        <x:v>equals</x:v>
      </x:c>
      <x:c r="H4090" t="str">
        <x:f>IF(E4090=F4090,"PASS","FAIL")</x:f>
        <x:v>PASS</x:v>
      </x:c>
    </x:row>
    <x:row r="4091">
      <x:c r="B4091" t="str">
        <x:v>A-04045</x:v>
      </x:c>
      <x:c r="C4091" t="str">
        <x:v>GATE</x:v>
      </x:c>
      <x:c r="D4091" t="str">
        <x:v>release state mirrors governing ledger</x:v>
      </x:c>
      <x:c r="E4091" t="str">
        <x:f>'Release Gates'!I4051</x:f>
        <x:v>OPEN</x:v>
      </x:c>
      <x:c r="F4091" t="str">
        <x:f>IF('Release Gates'!C4051="PLANNING","PASS",IF('Release Gates'!C4051="PHYSICAL","OPEN","BLOCKED"))</x:f>
        <x:v>OPEN</x:v>
      </x:c>
      <x:c r="G4091" t="str">
        <x:v>equals</x:v>
      </x:c>
      <x:c r="H4091" t="str">
        <x:f>IF(E4091=F4091,"PASS","FAIL")</x:f>
        <x:v>PASS</x:v>
      </x:c>
    </x:row>
    <x:row r="4092">
      <x:c r="B4092" t="str">
        <x:v>A-04046</x:v>
      </x:c>
      <x:c r="C4092" t="str">
        <x:v>GATE</x:v>
      </x:c>
      <x:c r="D4092" t="str">
        <x:v>release state mirrors governing ledger</x:v>
      </x:c>
      <x:c r="E4092" t="str">
        <x:f>'Release Gates'!I4052</x:f>
        <x:v>OPEN</x:v>
      </x:c>
      <x:c r="F4092" t="str">
        <x:f>IF('Release Gates'!C4052="PLANNING","PASS",IF('Release Gates'!C4052="PHYSICAL","OPEN","BLOCKED"))</x:f>
        <x:v>OPEN</x:v>
      </x:c>
      <x:c r="G4092" t="str">
        <x:v>equals</x:v>
      </x:c>
      <x:c r="H4092" t="str">
        <x:f>IF(E4092=F4092,"PASS","FAIL")</x:f>
        <x:v>PASS</x:v>
      </x:c>
    </x:row>
    <x:row r="4093">
      <x:c r="B4093" t="str">
        <x:v>A-04047</x:v>
      </x:c>
      <x:c r="C4093" t="str">
        <x:v>GATE</x:v>
      </x:c>
      <x:c r="D4093" t="str">
        <x:v>release state mirrors governing ledger</x:v>
      </x:c>
      <x:c r="E4093" t="str">
        <x:f>'Release Gates'!I4053</x:f>
        <x:v>OPEN</x:v>
      </x:c>
      <x:c r="F4093" t="str">
        <x:f>IF('Release Gates'!C4053="PLANNING","PASS",IF('Release Gates'!C4053="PHYSICAL","OPEN","BLOCKED"))</x:f>
        <x:v>OPEN</x:v>
      </x:c>
      <x:c r="G4093" t="str">
        <x:v>equals</x:v>
      </x:c>
      <x:c r="H4093" t="str">
        <x:f>IF(E4093=F4093,"PASS","FAIL")</x:f>
        <x:v>PASS</x:v>
      </x:c>
    </x:row>
    <x:row r="4094">
      <x:c r="B4094" t="str">
        <x:v>A-04048</x:v>
      </x:c>
      <x:c r="C4094" t="str">
        <x:v>GATE</x:v>
      </x:c>
      <x:c r="D4094" t="str">
        <x:v>release state mirrors governing ledger</x:v>
      </x:c>
      <x:c r="E4094" t="str">
        <x:f>'Release Gates'!I4054</x:f>
        <x:v>OPEN</x:v>
      </x:c>
      <x:c r="F4094" t="str">
        <x:f>IF('Release Gates'!C4054="PLANNING","PASS",IF('Release Gates'!C4054="PHYSICAL","OPEN","BLOCKED"))</x:f>
        <x:v>OPEN</x:v>
      </x:c>
      <x:c r="G4094" t="str">
        <x:v>equals</x:v>
      </x:c>
      <x:c r="H4094" t="str">
        <x:f>IF(E4094=F4094,"PASS","FAIL")</x:f>
        <x:v>PASS</x:v>
      </x:c>
    </x:row>
    <x:row r="4095">
      <x:c r="B4095" t="str">
        <x:v>A-04049</x:v>
      </x:c>
      <x:c r="C4095" t="str">
        <x:v>GATE</x:v>
      </x:c>
      <x:c r="D4095" t="str">
        <x:v>release state mirrors governing ledger</x:v>
      </x:c>
      <x:c r="E4095" t="str">
        <x:f>'Release Gates'!I4055</x:f>
        <x:v>OPEN</x:v>
      </x:c>
      <x:c r="F4095" t="str">
        <x:f>IF('Release Gates'!C4055="PLANNING","PASS",IF('Release Gates'!C4055="PHYSICAL","OPEN","BLOCKED"))</x:f>
        <x:v>OPEN</x:v>
      </x:c>
      <x:c r="G4095" t="str">
        <x:v>equals</x:v>
      </x:c>
      <x:c r="H4095" t="str">
        <x:f>IF(E4095=F4095,"PASS","FAIL")</x:f>
        <x:v>PASS</x:v>
      </x:c>
    </x:row>
    <x:row r="4096">
      <x:c r="B4096" t="str">
        <x:v>A-04050</x:v>
      </x:c>
      <x:c r="C4096" t="str">
        <x:v>GATE</x:v>
      </x:c>
      <x:c r="D4096" t="str">
        <x:v>release state mirrors governing ledger</x:v>
      </x:c>
      <x:c r="E4096" t="str">
        <x:f>'Release Gates'!I4056</x:f>
        <x:v>OPEN</x:v>
      </x:c>
      <x:c r="F4096" t="str">
        <x:f>IF('Release Gates'!C4056="PLANNING","PASS",IF('Release Gates'!C4056="PHYSICAL","OPEN","BLOCKED"))</x:f>
        <x:v>OPEN</x:v>
      </x:c>
      <x:c r="G4096" t="str">
        <x:v>equals</x:v>
      </x:c>
      <x:c r="H4096" t="str">
        <x:f>IF(E4096=F4096,"PASS","FAIL")</x:f>
        <x:v>PASS</x:v>
      </x:c>
    </x:row>
    <x:row r="4097">
      <x:c r="B4097" t="str">
        <x:v>A-04051</x:v>
      </x:c>
      <x:c r="C4097" t="str">
        <x:v>GATE</x:v>
      </x:c>
      <x:c r="D4097" t="str">
        <x:v>release state mirrors governing ledger</x:v>
      </x:c>
      <x:c r="E4097" t="str">
        <x:f>'Release Gates'!I4057</x:f>
        <x:v>OPEN</x:v>
      </x:c>
      <x:c r="F4097" t="str">
        <x:f>IF('Release Gates'!C4057="PLANNING","PASS",IF('Release Gates'!C4057="PHYSICAL","OPEN","BLOCKED"))</x:f>
        <x:v>OPEN</x:v>
      </x:c>
      <x:c r="G4097" t="str">
        <x:v>equals</x:v>
      </x:c>
      <x:c r="H4097" t="str">
        <x:f>IF(E4097=F4097,"PASS","FAIL")</x:f>
        <x:v>PASS</x:v>
      </x:c>
    </x:row>
    <x:row r="4098">
      <x:c r="B4098" t="str">
        <x:v>A-04052</x:v>
      </x:c>
      <x:c r="C4098" t="str">
        <x:v>GATE</x:v>
      </x:c>
      <x:c r="D4098" t="str">
        <x:v>release state mirrors governing ledger</x:v>
      </x:c>
      <x:c r="E4098" t="str">
        <x:f>'Release Gates'!I4058</x:f>
        <x:v>OPEN</x:v>
      </x:c>
      <x:c r="F4098" t="str">
        <x:f>IF('Release Gates'!C4058="PLANNING","PASS",IF('Release Gates'!C4058="PHYSICAL","OPEN","BLOCKED"))</x:f>
        <x:v>OPEN</x:v>
      </x:c>
      <x:c r="G4098" t="str">
        <x:v>equals</x:v>
      </x:c>
      <x:c r="H4098" t="str">
        <x:f>IF(E4098=F4098,"PASS","FAIL")</x:f>
        <x:v>PASS</x:v>
      </x:c>
    </x:row>
    <x:row r="4099">
      <x:c r="B4099" t="str">
        <x:v>A-04053</x:v>
      </x:c>
      <x:c r="C4099" t="str">
        <x:v>GATE</x:v>
      </x:c>
      <x:c r="D4099" t="str">
        <x:v>release state mirrors governing ledger</x:v>
      </x:c>
      <x:c r="E4099" t="str">
        <x:f>'Release Gates'!I4059</x:f>
        <x:v>OPEN</x:v>
      </x:c>
      <x:c r="F4099" t="str">
        <x:f>IF('Release Gates'!C4059="PLANNING","PASS",IF('Release Gates'!C4059="PHYSICAL","OPEN","BLOCKED"))</x:f>
        <x:v>OPEN</x:v>
      </x:c>
      <x:c r="G4099" t="str">
        <x:v>equals</x:v>
      </x:c>
      <x:c r="H4099" t="str">
        <x:f>IF(E4099=F4099,"PASS","FAIL")</x:f>
        <x:v>PASS</x:v>
      </x:c>
    </x:row>
    <x:row r="4100">
      <x:c r="B4100" t="str">
        <x:v>A-04054</x:v>
      </x:c>
      <x:c r="C4100" t="str">
        <x:v>GATE</x:v>
      </x:c>
      <x:c r="D4100" t="str">
        <x:v>release state mirrors governing ledger</x:v>
      </x:c>
      <x:c r="E4100" t="str">
        <x:f>'Release Gates'!I4060</x:f>
        <x:v>OPEN</x:v>
      </x:c>
      <x:c r="F4100" t="str">
        <x:f>IF('Release Gates'!C4060="PLANNING","PASS",IF('Release Gates'!C4060="PHYSICAL","OPEN","BLOCKED"))</x:f>
        <x:v>OPEN</x:v>
      </x:c>
      <x:c r="G4100" t="str">
        <x:v>equals</x:v>
      </x:c>
      <x:c r="H4100" t="str">
        <x:f>IF(E4100=F4100,"PASS","FAIL")</x:f>
        <x:v>PASS</x:v>
      </x:c>
    </x:row>
    <x:row r="4101">
      <x:c r="B4101" t="str">
        <x:v>A-04055</x:v>
      </x:c>
      <x:c r="C4101" t="str">
        <x:v>GATE</x:v>
      </x:c>
      <x:c r="D4101" t="str">
        <x:v>release state mirrors governing ledger</x:v>
      </x:c>
      <x:c r="E4101" t="str">
        <x:f>'Release Gates'!I4061</x:f>
        <x:v>OPEN</x:v>
      </x:c>
      <x:c r="F4101" t="str">
        <x:f>IF('Release Gates'!C4061="PLANNING","PASS",IF('Release Gates'!C4061="PHYSICAL","OPEN","BLOCKED"))</x:f>
        <x:v>OPEN</x:v>
      </x:c>
      <x:c r="G4101" t="str">
        <x:v>equals</x:v>
      </x:c>
      <x:c r="H4101" t="str">
        <x:f>IF(E4101=F4101,"PASS","FAIL")</x:f>
        <x:v>PASS</x:v>
      </x:c>
    </x:row>
    <x:row r="4102">
      <x:c r="B4102" t="str">
        <x:v>A-04056</x:v>
      </x:c>
      <x:c r="C4102" t="str">
        <x:v>GATE</x:v>
      </x:c>
      <x:c r="D4102" t="str">
        <x:v>release state mirrors governing ledger</x:v>
      </x:c>
      <x:c r="E4102" t="str">
        <x:f>'Release Gates'!I4062</x:f>
        <x:v>OPEN</x:v>
      </x:c>
      <x:c r="F4102" t="str">
        <x:f>IF('Release Gates'!C4062="PLANNING","PASS",IF('Release Gates'!C4062="PHYSICAL","OPEN","BLOCKED"))</x:f>
        <x:v>OPEN</x:v>
      </x:c>
      <x:c r="G4102" t="str">
        <x:v>equals</x:v>
      </x:c>
      <x:c r="H4102" t="str">
        <x:f>IF(E4102=F4102,"PASS","FAIL")</x:f>
        <x:v>PASS</x:v>
      </x:c>
    </x:row>
    <x:row r="4103">
      <x:c r="B4103" t="str">
        <x:v>A-04057</x:v>
      </x:c>
      <x:c r="C4103" t="str">
        <x:v>GATE</x:v>
      </x:c>
      <x:c r="D4103" t="str">
        <x:v>release state mirrors governing ledger</x:v>
      </x:c>
      <x:c r="E4103" t="str">
        <x:f>'Release Gates'!I4063</x:f>
        <x:v>OPEN</x:v>
      </x:c>
      <x:c r="F4103" t="str">
        <x:f>IF('Release Gates'!C4063="PLANNING","PASS",IF('Release Gates'!C4063="PHYSICAL","OPEN","BLOCKED"))</x:f>
        <x:v>OPEN</x:v>
      </x:c>
      <x:c r="G4103" t="str">
        <x:v>equals</x:v>
      </x:c>
      <x:c r="H4103" t="str">
        <x:f>IF(E4103=F4103,"PASS","FAIL")</x:f>
        <x:v>PASS</x:v>
      </x:c>
    </x:row>
    <x:row r="4104">
      <x:c r="B4104" t="str">
        <x:v>A-04058</x:v>
      </x:c>
      <x:c r="C4104" t="str">
        <x:v>GATE</x:v>
      </x:c>
      <x:c r="D4104" t="str">
        <x:v>release state mirrors governing ledger</x:v>
      </x:c>
      <x:c r="E4104" t="str">
        <x:f>'Release Gates'!I4064</x:f>
        <x:v>OPEN</x:v>
      </x:c>
      <x:c r="F4104" t="str">
        <x:f>IF('Release Gates'!C4064="PLANNING","PASS",IF('Release Gates'!C4064="PHYSICAL","OPEN","BLOCKED"))</x:f>
        <x:v>OPEN</x:v>
      </x:c>
      <x:c r="G4104" t="str">
        <x:v>equals</x:v>
      </x:c>
      <x:c r="H4104" t="str">
        <x:f>IF(E4104=F4104,"PASS","FAIL")</x:f>
        <x:v>PASS</x:v>
      </x:c>
    </x:row>
    <x:row r="4105">
      <x:c r="B4105" t="str">
        <x:v>A-04059</x:v>
      </x:c>
      <x:c r="C4105" t="str">
        <x:v>GATE</x:v>
      </x:c>
      <x:c r="D4105" t="str">
        <x:v>release state mirrors governing ledger</x:v>
      </x:c>
      <x:c r="E4105" t="str">
        <x:f>'Release Gates'!I4065</x:f>
        <x:v>OPEN</x:v>
      </x:c>
      <x:c r="F4105" t="str">
        <x:f>IF('Release Gates'!C4065="PLANNING","PASS",IF('Release Gates'!C4065="PHYSICAL","OPEN","BLOCKED"))</x:f>
        <x:v>OPEN</x:v>
      </x:c>
      <x:c r="G4105" t="str">
        <x:v>equals</x:v>
      </x:c>
      <x:c r="H4105" t="str">
        <x:f>IF(E4105=F4105,"PASS","FAIL")</x:f>
        <x:v>PASS</x:v>
      </x:c>
    </x:row>
    <x:row r="4106">
      <x:c r="B4106" t="str">
        <x:v>A-04060</x:v>
      </x:c>
      <x:c r="C4106" t="str">
        <x:v>GATE</x:v>
      </x:c>
      <x:c r="D4106" t="str">
        <x:v>release state mirrors governing ledger</x:v>
      </x:c>
      <x:c r="E4106" t="str">
        <x:f>'Release Gates'!I4066</x:f>
        <x:v>OPEN</x:v>
      </x:c>
      <x:c r="F4106" t="str">
        <x:f>IF('Release Gates'!C4066="PLANNING","PASS",IF('Release Gates'!C4066="PHYSICAL","OPEN","BLOCKED"))</x:f>
        <x:v>OPEN</x:v>
      </x:c>
      <x:c r="G4106" t="str">
        <x:v>equals</x:v>
      </x:c>
      <x:c r="H4106" t="str">
        <x:f>IF(E4106=F4106,"PASS","FAIL")</x:f>
        <x:v>PASS</x:v>
      </x:c>
    </x:row>
    <x:row r="4107">
      <x:c r="B4107" t="str">
        <x:v>A-04061</x:v>
      </x:c>
      <x:c r="C4107" t="str">
        <x:v>GATE</x:v>
      </x:c>
      <x:c r="D4107" t="str">
        <x:v>release state mirrors governing ledger</x:v>
      </x:c>
      <x:c r="E4107" t="str">
        <x:f>'Release Gates'!I4067</x:f>
        <x:v>OPEN</x:v>
      </x:c>
      <x:c r="F4107" t="str">
        <x:f>IF('Release Gates'!C4067="PLANNING","PASS",IF('Release Gates'!C4067="PHYSICAL","OPEN","BLOCKED"))</x:f>
        <x:v>OPEN</x:v>
      </x:c>
      <x:c r="G4107" t="str">
        <x:v>equals</x:v>
      </x:c>
      <x:c r="H4107" t="str">
        <x:f>IF(E4107=F4107,"PASS","FAIL")</x:f>
        <x:v>PASS</x:v>
      </x:c>
    </x:row>
    <x:row r="4108">
      <x:c r="B4108" t="str">
        <x:v>A-04062</x:v>
      </x:c>
      <x:c r="C4108" t="str">
        <x:v>GATE</x:v>
      </x:c>
      <x:c r="D4108" t="str">
        <x:v>release state mirrors governing ledger</x:v>
      </x:c>
      <x:c r="E4108" t="str">
        <x:f>'Release Gates'!I4068</x:f>
        <x:v>OPEN</x:v>
      </x:c>
      <x:c r="F4108" t="str">
        <x:f>IF('Release Gates'!C4068="PLANNING","PASS",IF('Release Gates'!C4068="PHYSICAL","OPEN","BLOCKED"))</x:f>
        <x:v>OPEN</x:v>
      </x:c>
      <x:c r="G4108" t="str">
        <x:v>equals</x:v>
      </x:c>
      <x:c r="H4108" t="str">
        <x:f>IF(E4108=F4108,"PASS","FAIL")</x:f>
        <x:v>PASS</x:v>
      </x:c>
    </x:row>
    <x:row r="4109">
      <x:c r="B4109" t="str">
        <x:v>A-04063</x:v>
      </x:c>
      <x:c r="C4109" t="str">
        <x:v>GATE</x:v>
      </x:c>
      <x:c r="D4109" t="str">
        <x:v>release state mirrors governing ledger</x:v>
      </x:c>
      <x:c r="E4109" t="str">
        <x:f>'Release Gates'!I4069</x:f>
        <x:v>OPEN</x:v>
      </x:c>
      <x:c r="F4109" t="str">
        <x:f>IF('Release Gates'!C4069="PLANNING","PASS",IF('Release Gates'!C4069="PHYSICAL","OPEN","BLOCKED"))</x:f>
        <x:v>OPEN</x:v>
      </x:c>
      <x:c r="G4109" t="str">
        <x:v>equals</x:v>
      </x:c>
      <x:c r="H4109" t="str">
        <x:f>IF(E4109=F4109,"PASS","FAIL")</x:f>
        <x:v>PASS</x:v>
      </x:c>
    </x:row>
    <x:row r="4110">
      <x:c r="B4110" t="str">
        <x:v>A-04064</x:v>
      </x:c>
      <x:c r="C4110" t="str">
        <x:v>GATE</x:v>
      </x:c>
      <x:c r="D4110" t="str">
        <x:v>release state mirrors governing ledger</x:v>
      </x:c>
      <x:c r="E4110" t="str">
        <x:f>'Release Gates'!I4070</x:f>
        <x:v>OPEN</x:v>
      </x:c>
      <x:c r="F4110" t="str">
        <x:f>IF('Release Gates'!C4070="PLANNING","PASS",IF('Release Gates'!C4070="PHYSICAL","OPEN","BLOCKED"))</x:f>
        <x:v>OPEN</x:v>
      </x:c>
      <x:c r="G4110" t="str">
        <x:v>equals</x:v>
      </x:c>
      <x:c r="H4110" t="str">
        <x:f>IF(E4110=F4110,"PASS","FAIL")</x:f>
        <x:v>PASS</x:v>
      </x:c>
    </x:row>
    <x:row r="4111">
      <x:c r="B4111" t="str">
        <x:v>A-04065</x:v>
      </x:c>
      <x:c r="C4111" t="str">
        <x:v>GATE</x:v>
      </x:c>
      <x:c r="D4111" t="str">
        <x:v>release state mirrors governing ledger</x:v>
      </x:c>
      <x:c r="E4111" t="str">
        <x:f>'Release Gates'!I4071</x:f>
        <x:v>OPEN</x:v>
      </x:c>
      <x:c r="F4111" t="str">
        <x:f>IF('Release Gates'!C4071="PLANNING","PASS",IF('Release Gates'!C4071="PHYSICAL","OPEN","BLOCKED"))</x:f>
        <x:v>OPEN</x:v>
      </x:c>
      <x:c r="G4111" t="str">
        <x:v>equals</x:v>
      </x:c>
      <x:c r="H4111" t="str">
        <x:f>IF(E4111=F4111,"PASS","FAIL")</x:f>
        <x:v>PASS</x:v>
      </x:c>
    </x:row>
    <x:row r="4112">
      <x:c r="B4112" t="str">
        <x:v>A-04066</x:v>
      </x:c>
      <x:c r="C4112" t="str">
        <x:v>GATE</x:v>
      </x:c>
      <x:c r="D4112" t="str">
        <x:v>release state mirrors governing ledger</x:v>
      </x:c>
      <x:c r="E4112" t="str">
        <x:f>'Release Gates'!I4072</x:f>
        <x:v>OPEN</x:v>
      </x:c>
      <x:c r="F4112" t="str">
        <x:f>IF('Release Gates'!C4072="PLANNING","PASS",IF('Release Gates'!C4072="PHYSICAL","OPEN","BLOCKED"))</x:f>
        <x:v>OPEN</x:v>
      </x:c>
      <x:c r="G4112" t="str">
        <x:v>equals</x:v>
      </x:c>
      <x:c r="H4112" t="str">
        <x:f>IF(E4112=F4112,"PASS","FAIL")</x:f>
        <x:v>PASS</x:v>
      </x:c>
    </x:row>
    <x:row r="4113">
      <x:c r="B4113" t="str">
        <x:v>A-04067</x:v>
      </x:c>
      <x:c r="C4113" t="str">
        <x:v>GATE</x:v>
      </x:c>
      <x:c r="D4113" t="str">
        <x:v>release state mirrors governing ledger</x:v>
      </x:c>
      <x:c r="E4113" t="str">
        <x:f>'Release Gates'!I4073</x:f>
        <x:v>OPEN</x:v>
      </x:c>
      <x:c r="F4113" t="str">
        <x:f>IF('Release Gates'!C4073="PLANNING","PASS",IF('Release Gates'!C4073="PHYSICAL","OPEN","BLOCKED"))</x:f>
        <x:v>OPEN</x:v>
      </x:c>
      <x:c r="G4113" t="str">
        <x:v>equals</x:v>
      </x:c>
      <x:c r="H4113" t="str">
        <x:f>IF(E4113=F4113,"PASS","FAIL")</x:f>
        <x:v>PASS</x:v>
      </x:c>
    </x:row>
    <x:row r="4114">
      <x:c r="B4114" t="str">
        <x:v>A-04068</x:v>
      </x:c>
      <x:c r="C4114" t="str">
        <x:v>GATE</x:v>
      </x:c>
      <x:c r="D4114" t="str">
        <x:v>release state mirrors governing ledger</x:v>
      </x:c>
      <x:c r="E4114" t="str">
        <x:f>'Release Gates'!I4074</x:f>
        <x:v>OPEN</x:v>
      </x:c>
      <x:c r="F4114" t="str">
        <x:f>IF('Release Gates'!C4074="PLANNING","PASS",IF('Release Gates'!C4074="PHYSICAL","OPEN","BLOCKED"))</x:f>
        <x:v>OPEN</x:v>
      </x:c>
      <x:c r="G4114" t="str">
        <x:v>equals</x:v>
      </x:c>
      <x:c r="H4114" t="str">
        <x:f>IF(E4114=F4114,"PASS","FAIL")</x:f>
        <x:v>PASS</x:v>
      </x:c>
    </x:row>
    <x:row r="4115">
      <x:c r="B4115" t="str">
        <x:v>A-04069</x:v>
      </x:c>
      <x:c r="C4115" t="str">
        <x:v>GATE</x:v>
      </x:c>
      <x:c r="D4115" t="str">
        <x:v>release state mirrors governing ledger</x:v>
      </x:c>
      <x:c r="E4115" t="str">
        <x:f>'Release Gates'!I4075</x:f>
        <x:v>OPEN</x:v>
      </x:c>
      <x:c r="F4115" t="str">
        <x:f>IF('Release Gates'!C4075="PLANNING","PASS",IF('Release Gates'!C4075="PHYSICAL","OPEN","BLOCKED"))</x:f>
        <x:v>OPEN</x:v>
      </x:c>
      <x:c r="G4115" t="str">
        <x:v>equals</x:v>
      </x:c>
      <x:c r="H4115" t="str">
        <x:f>IF(E4115=F4115,"PASS","FAIL")</x:f>
        <x:v>PASS</x:v>
      </x:c>
    </x:row>
    <x:row r="4116">
      <x:c r="B4116" t="str">
        <x:v>A-04070</x:v>
      </x:c>
      <x:c r="C4116" t="str">
        <x:v>GATE</x:v>
      </x:c>
      <x:c r="D4116" t="str">
        <x:v>release state mirrors governing ledger</x:v>
      </x:c>
      <x:c r="E4116" t="str">
        <x:f>'Release Gates'!I4076</x:f>
        <x:v>OPEN</x:v>
      </x:c>
      <x:c r="F4116" t="str">
        <x:f>IF('Release Gates'!C4076="PLANNING","PASS",IF('Release Gates'!C4076="PHYSICAL","OPEN","BLOCKED"))</x:f>
        <x:v>OPEN</x:v>
      </x:c>
      <x:c r="G4116" t="str">
        <x:v>equals</x:v>
      </x:c>
      <x:c r="H4116" t="str">
        <x:f>IF(E4116=F4116,"PASS","FAIL")</x:f>
        <x:v>PASS</x:v>
      </x:c>
    </x:row>
    <x:row r="4117">
      <x:c r="B4117" t="str">
        <x:v>A-04071</x:v>
      </x:c>
      <x:c r="C4117" t="str">
        <x:v>GATE</x:v>
      </x:c>
      <x:c r="D4117" t="str">
        <x:v>release state mirrors governing ledger</x:v>
      </x:c>
      <x:c r="E4117" t="str">
        <x:f>'Release Gates'!I4077</x:f>
        <x:v>OPEN</x:v>
      </x:c>
      <x:c r="F4117" t="str">
        <x:f>IF('Release Gates'!C4077="PLANNING","PASS",IF('Release Gates'!C4077="PHYSICAL","OPEN","BLOCKED"))</x:f>
        <x:v>OPEN</x:v>
      </x:c>
      <x:c r="G4117" t="str">
        <x:v>equals</x:v>
      </x:c>
      <x:c r="H4117" t="str">
        <x:f>IF(E4117=F4117,"PASS","FAIL")</x:f>
        <x:v>PASS</x:v>
      </x:c>
    </x:row>
    <x:row r="4118">
      <x:c r="B4118" t="str">
        <x:v>A-04072</x:v>
      </x:c>
      <x:c r="C4118" t="str">
        <x:v>GATE</x:v>
      </x:c>
      <x:c r="D4118" t="str">
        <x:v>release state mirrors governing ledger</x:v>
      </x:c>
      <x:c r="E4118" t="str">
        <x:f>'Release Gates'!I4078</x:f>
        <x:v>OPEN</x:v>
      </x:c>
      <x:c r="F4118" t="str">
        <x:f>IF('Release Gates'!C4078="PLANNING","PASS",IF('Release Gates'!C4078="PHYSICAL","OPEN","BLOCKED"))</x:f>
        <x:v>OPEN</x:v>
      </x:c>
      <x:c r="G4118" t="str">
        <x:v>equals</x:v>
      </x:c>
      <x:c r="H4118" t="str">
        <x:f>IF(E4118=F4118,"PASS","FAIL")</x:f>
        <x:v>PASS</x:v>
      </x:c>
    </x:row>
    <x:row r="4119">
      <x:c r="B4119" t="str">
        <x:v>A-04073</x:v>
      </x:c>
      <x:c r="C4119" t="str">
        <x:v>GATE</x:v>
      </x:c>
      <x:c r="D4119" t="str">
        <x:v>release state mirrors governing ledger</x:v>
      </x:c>
      <x:c r="E4119" t="str">
        <x:f>'Release Gates'!I4079</x:f>
        <x:v>OPEN</x:v>
      </x:c>
      <x:c r="F4119" t="str">
        <x:f>IF('Release Gates'!C4079="PLANNING","PASS",IF('Release Gates'!C4079="PHYSICAL","OPEN","BLOCKED"))</x:f>
        <x:v>OPEN</x:v>
      </x:c>
      <x:c r="G4119" t="str">
        <x:v>equals</x:v>
      </x:c>
      <x:c r="H4119" t="str">
        <x:f>IF(E4119=F4119,"PASS","FAIL")</x:f>
        <x:v>PASS</x:v>
      </x:c>
    </x:row>
    <x:row r="4120">
      <x:c r="B4120" t="str">
        <x:v>A-04074</x:v>
      </x:c>
      <x:c r="C4120" t="str">
        <x:v>GATE</x:v>
      </x:c>
      <x:c r="D4120" t="str">
        <x:v>release state mirrors governing ledger</x:v>
      </x:c>
      <x:c r="E4120" t="str">
        <x:f>'Release Gates'!I4080</x:f>
        <x:v>OPEN</x:v>
      </x:c>
      <x:c r="F4120" t="str">
        <x:f>IF('Release Gates'!C4080="PLANNING","PASS",IF('Release Gates'!C4080="PHYSICAL","OPEN","BLOCKED"))</x:f>
        <x:v>OPEN</x:v>
      </x:c>
      <x:c r="G4120" t="str">
        <x:v>equals</x:v>
      </x:c>
      <x:c r="H4120" t="str">
        <x:f>IF(E4120=F4120,"PASS","FAIL")</x:f>
        <x:v>PASS</x:v>
      </x:c>
    </x:row>
    <x:row r="4121">
      <x:c r="B4121" t="str">
        <x:v>A-04075</x:v>
      </x:c>
      <x:c r="C4121" t="str">
        <x:v>GATE</x:v>
      </x:c>
      <x:c r="D4121" t="str">
        <x:v>release state mirrors governing ledger</x:v>
      </x:c>
      <x:c r="E4121" t="str">
        <x:f>'Release Gates'!I4081</x:f>
        <x:v>OPEN</x:v>
      </x:c>
      <x:c r="F4121" t="str">
        <x:f>IF('Release Gates'!C4081="PLANNING","PASS",IF('Release Gates'!C4081="PHYSICAL","OPEN","BLOCKED"))</x:f>
        <x:v>OPEN</x:v>
      </x:c>
      <x:c r="G4121" t="str">
        <x:v>equals</x:v>
      </x:c>
      <x:c r="H4121" t="str">
        <x:f>IF(E4121=F4121,"PASS","FAIL")</x:f>
        <x:v>PASS</x:v>
      </x:c>
    </x:row>
    <x:row r="4122">
      <x:c r="B4122" t="str">
        <x:v>A-04076</x:v>
      </x:c>
      <x:c r="C4122" t="str">
        <x:v>GATE</x:v>
      </x:c>
      <x:c r="D4122" t="str">
        <x:v>release state mirrors governing ledger</x:v>
      </x:c>
      <x:c r="E4122" t="str">
        <x:f>'Release Gates'!I4082</x:f>
        <x:v>OPEN</x:v>
      </x:c>
      <x:c r="F4122" t="str">
        <x:f>IF('Release Gates'!C4082="PLANNING","PASS",IF('Release Gates'!C4082="PHYSICAL","OPEN","BLOCKED"))</x:f>
        <x:v>OPEN</x:v>
      </x:c>
      <x:c r="G4122" t="str">
        <x:v>equals</x:v>
      </x:c>
      <x:c r="H4122" t="str">
        <x:f>IF(E4122=F4122,"PASS","FAIL")</x:f>
        <x:v>PASS</x:v>
      </x:c>
    </x:row>
    <x:row r="4123">
      <x:c r="B4123" t="str">
        <x:v>A-04077</x:v>
      </x:c>
      <x:c r="C4123" t="str">
        <x:v>GATE</x:v>
      </x:c>
      <x:c r="D4123" t="str">
        <x:v>release state mirrors governing ledger</x:v>
      </x:c>
      <x:c r="E4123" t="str">
        <x:f>'Release Gates'!I4083</x:f>
        <x:v>OPEN</x:v>
      </x:c>
      <x:c r="F4123" t="str">
        <x:f>IF('Release Gates'!C4083="PLANNING","PASS",IF('Release Gates'!C4083="PHYSICAL","OPEN","BLOCKED"))</x:f>
        <x:v>OPEN</x:v>
      </x:c>
      <x:c r="G4123" t="str">
        <x:v>equals</x:v>
      </x:c>
      <x:c r="H4123" t="str">
        <x:f>IF(E4123=F4123,"PASS","FAIL")</x:f>
        <x:v>PASS</x:v>
      </x:c>
    </x:row>
    <x:row r="4124">
      <x:c r="B4124" t="str">
        <x:v>A-04078</x:v>
      </x:c>
      <x:c r="C4124" t="str">
        <x:v>GATE</x:v>
      </x:c>
      <x:c r="D4124" t="str">
        <x:v>release state mirrors governing ledger</x:v>
      </x:c>
      <x:c r="E4124" t="str">
        <x:f>'Release Gates'!I4084</x:f>
        <x:v>OPEN</x:v>
      </x:c>
      <x:c r="F4124" t="str">
        <x:f>IF('Release Gates'!C4084="PLANNING","PASS",IF('Release Gates'!C4084="PHYSICAL","OPEN","BLOCKED"))</x:f>
        <x:v>OPEN</x:v>
      </x:c>
      <x:c r="G4124" t="str">
        <x:v>equals</x:v>
      </x:c>
      <x:c r="H4124" t="str">
        <x:f>IF(E4124=F4124,"PASS","FAIL")</x:f>
        <x:v>PASS</x:v>
      </x:c>
    </x:row>
    <x:row r="4125">
      <x:c r="B4125" t="str">
        <x:v>A-04079</x:v>
      </x:c>
      <x:c r="C4125" t="str">
        <x:v>GATE</x:v>
      </x:c>
      <x:c r="D4125" t="str">
        <x:v>release state mirrors governing ledger</x:v>
      </x:c>
      <x:c r="E4125" t="str">
        <x:f>'Release Gates'!I4085</x:f>
        <x:v>OPEN</x:v>
      </x:c>
      <x:c r="F4125" t="str">
        <x:f>IF('Release Gates'!C4085="PLANNING","PASS",IF('Release Gates'!C4085="PHYSICAL","OPEN","BLOCKED"))</x:f>
        <x:v>OPEN</x:v>
      </x:c>
      <x:c r="G4125" t="str">
        <x:v>equals</x:v>
      </x:c>
      <x:c r="H4125" t="str">
        <x:f>IF(E4125=F4125,"PASS","FAIL")</x:f>
        <x:v>PASS</x:v>
      </x:c>
    </x:row>
    <x:row r="4126">
      <x:c r="B4126" t="str">
        <x:v>A-04080</x:v>
      </x:c>
      <x:c r="C4126" t="str">
        <x:v>GATE</x:v>
      </x:c>
      <x:c r="D4126" t="str">
        <x:v>release state mirrors governing ledger</x:v>
      </x:c>
      <x:c r="E4126" t="str">
        <x:f>'Release Gates'!I4086</x:f>
        <x:v>OPEN</x:v>
      </x:c>
      <x:c r="F4126" t="str">
        <x:f>IF('Release Gates'!C4086="PLANNING","PASS",IF('Release Gates'!C4086="PHYSICAL","OPEN","BLOCKED"))</x:f>
        <x:v>OPEN</x:v>
      </x:c>
      <x:c r="G4126" t="str">
        <x:v>equals</x:v>
      </x:c>
      <x:c r="H4126" t="str">
        <x:f>IF(E4126=F4126,"PASS","FAIL")</x:f>
        <x:v>PASS</x:v>
      </x:c>
    </x:row>
    <x:row r="4127">
      <x:c r="B4127" t="str">
        <x:v>A-04081</x:v>
      </x:c>
      <x:c r="C4127" t="str">
        <x:v>GATE</x:v>
      </x:c>
      <x:c r="D4127" t="str">
        <x:v>release state mirrors governing ledger</x:v>
      </x:c>
      <x:c r="E4127" t="str">
        <x:f>'Release Gates'!I4087</x:f>
        <x:v>OPEN</x:v>
      </x:c>
      <x:c r="F4127" t="str">
        <x:f>IF('Release Gates'!C4087="PLANNING","PASS",IF('Release Gates'!C4087="PHYSICAL","OPEN","BLOCKED"))</x:f>
        <x:v>OPEN</x:v>
      </x:c>
      <x:c r="G4127" t="str">
        <x:v>equals</x:v>
      </x:c>
      <x:c r="H4127" t="str">
        <x:f>IF(E4127=F4127,"PASS","FAIL")</x:f>
        <x:v>PASS</x:v>
      </x:c>
    </x:row>
    <x:row r="4128">
      <x:c r="B4128" t="str">
        <x:v>A-04082</x:v>
      </x:c>
      <x:c r="C4128" t="str">
        <x:v>GATE</x:v>
      </x:c>
      <x:c r="D4128" t="str">
        <x:v>release state mirrors governing ledger</x:v>
      </x:c>
      <x:c r="E4128" t="str">
        <x:f>'Release Gates'!I4088</x:f>
        <x:v>OPEN</x:v>
      </x:c>
      <x:c r="F4128" t="str">
        <x:f>IF('Release Gates'!C4088="PLANNING","PASS",IF('Release Gates'!C4088="PHYSICAL","OPEN","BLOCKED"))</x:f>
        <x:v>OPEN</x:v>
      </x:c>
      <x:c r="G4128" t="str">
        <x:v>equals</x:v>
      </x:c>
      <x:c r="H4128" t="str">
        <x:f>IF(E4128=F4128,"PASS","FAIL")</x:f>
        <x:v>PASS</x:v>
      </x:c>
    </x:row>
    <x:row r="4129">
      <x:c r="B4129" t="str">
        <x:v>A-04083</x:v>
      </x:c>
      <x:c r="C4129" t="str">
        <x:v>GATE</x:v>
      </x:c>
      <x:c r="D4129" t="str">
        <x:v>release state mirrors governing ledger</x:v>
      </x:c>
      <x:c r="E4129" t="str">
        <x:f>'Release Gates'!I4089</x:f>
        <x:v>OPEN</x:v>
      </x:c>
      <x:c r="F4129" t="str">
        <x:f>IF('Release Gates'!C4089="PLANNING","PASS",IF('Release Gates'!C4089="PHYSICAL","OPEN","BLOCKED"))</x:f>
        <x:v>OPEN</x:v>
      </x:c>
      <x:c r="G4129" t="str">
        <x:v>equals</x:v>
      </x:c>
      <x:c r="H4129" t="str">
        <x:f>IF(E4129=F4129,"PASS","FAIL")</x:f>
        <x:v>PASS</x:v>
      </x:c>
    </x:row>
    <x:row r="4130">
      <x:c r="B4130" t="str">
        <x:v>A-04084</x:v>
      </x:c>
      <x:c r="C4130" t="str">
        <x:v>GATE</x:v>
      </x:c>
      <x:c r="D4130" t="str">
        <x:v>release state mirrors governing ledger</x:v>
      </x:c>
      <x:c r="E4130" t="str">
        <x:f>'Release Gates'!I4090</x:f>
        <x:v>OPEN</x:v>
      </x:c>
      <x:c r="F4130" t="str">
        <x:f>IF('Release Gates'!C4090="PLANNING","PASS",IF('Release Gates'!C4090="PHYSICAL","OPEN","BLOCKED"))</x:f>
        <x:v>OPEN</x:v>
      </x:c>
      <x:c r="G4130" t="str">
        <x:v>equals</x:v>
      </x:c>
      <x:c r="H4130" t="str">
        <x:f>IF(E4130=F4130,"PASS","FAIL")</x:f>
        <x:v>PASS</x:v>
      </x:c>
    </x:row>
    <x:row r="4131">
      <x:c r="B4131" t="str">
        <x:v>A-04085</x:v>
      </x:c>
      <x:c r="C4131" t="str">
        <x:v>GATE</x:v>
      </x:c>
      <x:c r="D4131" t="str">
        <x:v>release state mirrors governing ledger</x:v>
      </x:c>
      <x:c r="E4131" t="str">
        <x:f>'Release Gates'!I4091</x:f>
        <x:v>OPEN</x:v>
      </x:c>
      <x:c r="F4131" t="str">
        <x:f>IF('Release Gates'!C4091="PLANNING","PASS",IF('Release Gates'!C4091="PHYSICAL","OPEN","BLOCKED"))</x:f>
        <x:v>OPEN</x:v>
      </x:c>
      <x:c r="G4131" t="str">
        <x:v>equals</x:v>
      </x:c>
      <x:c r="H4131" t="str">
        <x:f>IF(E4131=F4131,"PASS","FAIL")</x:f>
        <x:v>PASS</x:v>
      </x:c>
    </x:row>
    <x:row r="4132">
      <x:c r="B4132" t="str">
        <x:v>A-04086</x:v>
      </x:c>
      <x:c r="C4132" t="str">
        <x:v>GATE</x:v>
      </x:c>
      <x:c r="D4132" t="str">
        <x:v>release state mirrors governing ledger</x:v>
      </x:c>
      <x:c r="E4132" t="str">
        <x:f>'Release Gates'!I4092</x:f>
        <x:v>OPEN</x:v>
      </x:c>
      <x:c r="F4132" t="str">
        <x:f>IF('Release Gates'!C4092="PLANNING","PASS",IF('Release Gates'!C4092="PHYSICAL","OPEN","BLOCKED"))</x:f>
        <x:v>OPEN</x:v>
      </x:c>
      <x:c r="G4132" t="str">
        <x:v>equals</x:v>
      </x:c>
      <x:c r="H4132" t="str">
        <x:f>IF(E4132=F4132,"PASS","FAIL")</x:f>
        <x:v>PASS</x:v>
      </x:c>
    </x:row>
    <x:row r="4133">
      <x:c r="B4133" t="str">
        <x:v>A-04087</x:v>
      </x:c>
      <x:c r="C4133" t="str">
        <x:v>GATE</x:v>
      </x:c>
      <x:c r="D4133" t="str">
        <x:v>release state mirrors governing ledger</x:v>
      </x:c>
      <x:c r="E4133" t="str">
        <x:f>'Release Gates'!I4093</x:f>
        <x:v>OPEN</x:v>
      </x:c>
      <x:c r="F4133" t="str">
        <x:f>IF('Release Gates'!C4093="PLANNING","PASS",IF('Release Gates'!C4093="PHYSICAL","OPEN","BLOCKED"))</x:f>
        <x:v>OPEN</x:v>
      </x:c>
      <x:c r="G4133" t="str">
        <x:v>equals</x:v>
      </x:c>
      <x:c r="H4133" t="str">
        <x:f>IF(E4133=F4133,"PASS","FAIL")</x:f>
        <x:v>PASS</x:v>
      </x:c>
    </x:row>
    <x:row r="4134">
      <x:c r="B4134" t="str">
        <x:v>A-04088</x:v>
      </x:c>
      <x:c r="C4134" t="str">
        <x:v>GATE</x:v>
      </x:c>
      <x:c r="D4134" t="str">
        <x:v>release state mirrors governing ledger</x:v>
      </x:c>
      <x:c r="E4134" t="str">
        <x:f>'Release Gates'!I4094</x:f>
        <x:v>OPEN</x:v>
      </x:c>
      <x:c r="F4134" t="str">
        <x:f>IF('Release Gates'!C4094="PLANNING","PASS",IF('Release Gates'!C4094="PHYSICAL","OPEN","BLOCKED"))</x:f>
        <x:v>OPEN</x:v>
      </x:c>
      <x:c r="G4134" t="str">
        <x:v>equals</x:v>
      </x:c>
      <x:c r="H4134" t="str">
        <x:f>IF(E4134=F4134,"PASS","FAIL")</x:f>
        <x:v>PASS</x:v>
      </x:c>
    </x:row>
    <x:row r="4135">
      <x:c r="B4135" t="str">
        <x:v>A-04089</x:v>
      </x:c>
      <x:c r="C4135" t="str">
        <x:v>GATE</x:v>
      </x:c>
      <x:c r="D4135" t="str">
        <x:v>release state mirrors governing ledger</x:v>
      </x:c>
      <x:c r="E4135" t="str">
        <x:f>'Release Gates'!I4095</x:f>
        <x:v>OPEN</x:v>
      </x:c>
      <x:c r="F4135" t="str">
        <x:f>IF('Release Gates'!C4095="PLANNING","PASS",IF('Release Gates'!C4095="PHYSICAL","OPEN","BLOCKED"))</x:f>
        <x:v>OPEN</x:v>
      </x:c>
      <x:c r="G4135" t="str">
        <x:v>equals</x:v>
      </x:c>
      <x:c r="H4135" t="str">
        <x:f>IF(E4135=F4135,"PASS","FAIL")</x:f>
        <x:v>PASS</x:v>
      </x:c>
    </x:row>
    <x:row r="4136">
      <x:c r="B4136" t="str">
        <x:v>A-04090</x:v>
      </x:c>
      <x:c r="C4136" t="str">
        <x:v>GATE</x:v>
      </x:c>
      <x:c r="D4136" t="str">
        <x:v>release state mirrors governing ledger</x:v>
      </x:c>
      <x:c r="E4136" t="str">
        <x:f>'Release Gates'!I4096</x:f>
        <x:v>OPEN</x:v>
      </x:c>
      <x:c r="F4136" t="str">
        <x:f>IF('Release Gates'!C4096="PLANNING","PASS",IF('Release Gates'!C4096="PHYSICAL","OPEN","BLOCKED"))</x:f>
        <x:v>OPEN</x:v>
      </x:c>
      <x:c r="G4136" t="str">
        <x:v>equals</x:v>
      </x:c>
      <x:c r="H4136" t="str">
        <x:f>IF(E4136=F4136,"PASS","FAIL")</x:f>
        <x:v>PASS</x:v>
      </x:c>
    </x:row>
    <x:row r="4137">
      <x:c r="B4137" t="str">
        <x:v>A-04091</x:v>
      </x:c>
      <x:c r="C4137" t="str">
        <x:v>GATE</x:v>
      </x:c>
      <x:c r="D4137" t="str">
        <x:v>release state mirrors governing ledger</x:v>
      </x:c>
      <x:c r="E4137" t="str">
        <x:f>'Release Gates'!I4097</x:f>
        <x:v>OPEN</x:v>
      </x:c>
      <x:c r="F4137" t="str">
        <x:f>IF('Release Gates'!C4097="PLANNING","PASS",IF('Release Gates'!C4097="PHYSICAL","OPEN","BLOCKED"))</x:f>
        <x:v>OPEN</x:v>
      </x:c>
      <x:c r="G4137" t="str">
        <x:v>equals</x:v>
      </x:c>
      <x:c r="H4137" t="str">
        <x:f>IF(E4137=F4137,"PASS","FAIL")</x:f>
        <x:v>PASS</x:v>
      </x:c>
    </x:row>
    <x:row r="4138">
      <x:c r="B4138" t="str">
        <x:v>A-04092</x:v>
      </x:c>
      <x:c r="C4138" t="str">
        <x:v>GATE</x:v>
      </x:c>
      <x:c r="D4138" t="str">
        <x:v>release state mirrors governing ledger</x:v>
      </x:c>
      <x:c r="E4138" t="str">
        <x:f>'Release Gates'!I4098</x:f>
        <x:v>OPEN</x:v>
      </x:c>
      <x:c r="F4138" t="str">
        <x:f>IF('Release Gates'!C4098="PLANNING","PASS",IF('Release Gates'!C4098="PHYSICAL","OPEN","BLOCKED"))</x:f>
        <x:v>OPEN</x:v>
      </x:c>
      <x:c r="G4138" t="str">
        <x:v>equals</x:v>
      </x:c>
      <x:c r="H4138" t="str">
        <x:f>IF(E4138=F4138,"PASS","FAIL")</x:f>
        <x:v>PASS</x:v>
      </x:c>
    </x:row>
    <x:row r="4139">
      <x:c r="B4139" t="str">
        <x:v>A-04093</x:v>
      </x:c>
      <x:c r="C4139" t="str">
        <x:v>GATE</x:v>
      </x:c>
      <x:c r="D4139" t="str">
        <x:v>release state mirrors governing ledger</x:v>
      </x:c>
      <x:c r="E4139" t="str">
        <x:f>'Release Gates'!I4099</x:f>
        <x:v>OPEN</x:v>
      </x:c>
      <x:c r="F4139" t="str">
        <x:f>IF('Release Gates'!C4099="PLANNING","PASS",IF('Release Gates'!C4099="PHYSICAL","OPEN","BLOCKED"))</x:f>
        <x:v>OPEN</x:v>
      </x:c>
      <x:c r="G4139" t="str">
        <x:v>equals</x:v>
      </x:c>
      <x:c r="H4139" t="str">
        <x:f>IF(E4139=F4139,"PASS","FAIL")</x:f>
        <x:v>PASS</x:v>
      </x:c>
    </x:row>
    <x:row r="4140">
      <x:c r="B4140" t="str">
        <x:v>A-04094</x:v>
      </x:c>
      <x:c r="C4140" t="str">
        <x:v>GATE</x:v>
      </x:c>
      <x:c r="D4140" t="str">
        <x:v>release state mirrors governing ledger</x:v>
      </x:c>
      <x:c r="E4140" t="str">
        <x:f>'Release Gates'!I4100</x:f>
        <x:v>OPEN</x:v>
      </x:c>
      <x:c r="F4140" t="str">
        <x:f>IF('Release Gates'!C4100="PLANNING","PASS",IF('Release Gates'!C4100="PHYSICAL","OPEN","BLOCKED"))</x:f>
        <x:v>OPEN</x:v>
      </x:c>
      <x:c r="G4140" t="str">
        <x:v>equals</x:v>
      </x:c>
      <x:c r="H4140" t="str">
        <x:f>IF(E4140=F4140,"PASS","FAIL")</x:f>
        <x:v>PASS</x:v>
      </x:c>
    </x:row>
    <x:row r="4141">
      <x:c r="B4141" t="str">
        <x:v>A-04095</x:v>
      </x:c>
      <x:c r="C4141" t="str">
        <x:v>GATE</x:v>
      </x:c>
      <x:c r="D4141" t="str">
        <x:v>release state mirrors governing ledger</x:v>
      </x:c>
      <x:c r="E4141" t="str">
        <x:f>'Release Gates'!I4101</x:f>
        <x:v>OPEN</x:v>
      </x:c>
      <x:c r="F4141" t="str">
        <x:f>IF('Release Gates'!C4101="PLANNING","PASS",IF('Release Gates'!C4101="PHYSICAL","OPEN","BLOCKED"))</x:f>
        <x:v>OPEN</x:v>
      </x:c>
      <x:c r="G4141" t="str">
        <x:v>equals</x:v>
      </x:c>
      <x:c r="H4141" t="str">
        <x:f>IF(E4141=F4141,"PASS","FAIL")</x:f>
        <x:v>PASS</x:v>
      </x:c>
    </x:row>
    <x:row r="4142">
      <x:c r="B4142" t="str">
        <x:v>A-04096</x:v>
      </x:c>
      <x:c r="C4142" t="str">
        <x:v>GATE</x:v>
      </x:c>
      <x:c r="D4142" t="str">
        <x:v>release state mirrors governing ledger</x:v>
      </x:c>
      <x:c r="E4142" t="str">
        <x:f>'Release Gates'!I4102</x:f>
        <x:v>OPEN</x:v>
      </x:c>
      <x:c r="F4142" t="str">
        <x:f>IF('Release Gates'!C4102="PLANNING","PASS",IF('Release Gates'!C4102="PHYSICAL","OPEN","BLOCKED"))</x:f>
        <x:v>OPEN</x:v>
      </x:c>
      <x:c r="G4142" t="str">
        <x:v>equals</x:v>
      </x:c>
      <x:c r="H4142" t="str">
        <x:f>IF(E4142=F4142,"PASS","FAIL")</x:f>
        <x:v>PASS</x:v>
      </x:c>
    </x:row>
    <x:row r="4143">
      <x:c r="B4143" t="str">
        <x:v>A-04097</x:v>
      </x:c>
      <x:c r="C4143" t="str">
        <x:v>GATE</x:v>
      </x:c>
      <x:c r="D4143" t="str">
        <x:v>release state mirrors governing ledger</x:v>
      </x:c>
      <x:c r="E4143" t="str">
        <x:f>'Release Gates'!I4103</x:f>
        <x:v>OPEN</x:v>
      </x:c>
      <x:c r="F4143" t="str">
        <x:f>IF('Release Gates'!C4103="PLANNING","PASS",IF('Release Gates'!C4103="PHYSICAL","OPEN","BLOCKED"))</x:f>
        <x:v>OPEN</x:v>
      </x:c>
      <x:c r="G4143" t="str">
        <x:v>equals</x:v>
      </x:c>
      <x:c r="H4143" t="str">
        <x:f>IF(E4143=F4143,"PASS","FAIL")</x:f>
        <x:v>PASS</x:v>
      </x:c>
    </x:row>
    <x:row r="4144">
      <x:c r="B4144" t="str">
        <x:v>A-04098</x:v>
      </x:c>
      <x:c r="C4144" t="str">
        <x:v>GATE</x:v>
      </x:c>
      <x:c r="D4144" t="str">
        <x:v>release state mirrors governing ledger</x:v>
      </x:c>
      <x:c r="E4144" t="str">
        <x:f>'Release Gates'!I4104</x:f>
        <x:v>OPEN</x:v>
      </x:c>
      <x:c r="F4144" t="str">
        <x:f>IF('Release Gates'!C4104="PLANNING","PASS",IF('Release Gates'!C4104="PHYSICAL","OPEN","BLOCKED"))</x:f>
        <x:v>OPEN</x:v>
      </x:c>
      <x:c r="G4144" t="str">
        <x:v>equals</x:v>
      </x:c>
      <x:c r="H4144" t="str">
        <x:f>IF(E4144=F4144,"PASS","FAIL")</x:f>
        <x:v>PASS</x:v>
      </x:c>
    </x:row>
    <x:row r="4145">
      <x:c r="B4145" t="str">
        <x:v>A-04099</x:v>
      </x:c>
      <x:c r="C4145" t="str">
        <x:v>GATE</x:v>
      </x:c>
      <x:c r="D4145" t="str">
        <x:v>release state mirrors governing ledger</x:v>
      </x:c>
      <x:c r="E4145" t="str">
        <x:f>'Release Gates'!I4105</x:f>
        <x:v>OPEN</x:v>
      </x:c>
      <x:c r="F4145" t="str">
        <x:f>IF('Release Gates'!C4105="PLANNING","PASS",IF('Release Gates'!C4105="PHYSICAL","OPEN","BLOCKED"))</x:f>
        <x:v>OPEN</x:v>
      </x:c>
      <x:c r="G4145" t="str">
        <x:v>equals</x:v>
      </x:c>
      <x:c r="H4145" t="str">
        <x:f>IF(E4145=F4145,"PASS","FAIL")</x:f>
        <x:v>PASS</x:v>
      </x:c>
    </x:row>
    <x:row r="4146">
      <x:c r="B4146" t="str">
        <x:v>A-04100</x:v>
      </x:c>
      <x:c r="C4146" t="str">
        <x:v>GATE</x:v>
      </x:c>
      <x:c r="D4146" t="str">
        <x:v>release state mirrors governing ledger</x:v>
      </x:c>
      <x:c r="E4146" t="str">
        <x:f>'Release Gates'!I4106</x:f>
        <x:v>OPEN</x:v>
      </x:c>
      <x:c r="F4146" t="str">
        <x:f>IF('Release Gates'!C4106="PLANNING","PASS",IF('Release Gates'!C4106="PHYSICAL","OPEN","BLOCKED"))</x:f>
        <x:v>OPEN</x:v>
      </x:c>
      <x:c r="G4146" t="str">
        <x:v>equals</x:v>
      </x:c>
      <x:c r="H4146" t="str">
        <x:f>IF(E4146=F4146,"PASS","FAIL")</x:f>
        <x:v>PASS</x:v>
      </x:c>
    </x:row>
    <x:row r="4147">
      <x:c r="B4147" t="str">
        <x:v>A-04101</x:v>
      </x:c>
      <x:c r="C4147" t="str">
        <x:v>GATE</x:v>
      </x:c>
      <x:c r="D4147" t="str">
        <x:v>release state mirrors governing ledger</x:v>
      </x:c>
      <x:c r="E4147" t="str">
        <x:f>'Release Gates'!I4107</x:f>
        <x:v>OPEN</x:v>
      </x:c>
      <x:c r="F4147" t="str">
        <x:f>IF('Release Gates'!C4107="PLANNING","PASS",IF('Release Gates'!C4107="PHYSICAL","OPEN","BLOCKED"))</x:f>
        <x:v>OPEN</x:v>
      </x:c>
      <x:c r="G4147" t="str">
        <x:v>equals</x:v>
      </x:c>
      <x:c r="H4147" t="str">
        <x:f>IF(E4147=F4147,"PASS","FAIL")</x:f>
        <x:v>PASS</x:v>
      </x:c>
    </x:row>
    <x:row r="4148">
      <x:c r="B4148" t="str">
        <x:v>A-04102</x:v>
      </x:c>
      <x:c r="C4148" t="str">
        <x:v>GATE</x:v>
      </x:c>
      <x:c r="D4148" t="str">
        <x:v>release state mirrors governing ledger</x:v>
      </x:c>
      <x:c r="E4148" t="str">
        <x:f>'Release Gates'!I4108</x:f>
        <x:v>OPEN</x:v>
      </x:c>
      <x:c r="F4148" t="str">
        <x:f>IF('Release Gates'!C4108="PLANNING","PASS",IF('Release Gates'!C4108="PHYSICAL","OPEN","BLOCKED"))</x:f>
        <x:v>OPEN</x:v>
      </x:c>
      <x:c r="G4148" t="str">
        <x:v>equals</x:v>
      </x:c>
      <x:c r="H4148" t="str">
        <x:f>IF(E4148=F4148,"PASS","FAIL")</x:f>
        <x:v>PASS</x:v>
      </x:c>
    </x:row>
    <x:row r="4149">
      <x:c r="B4149" t="str">
        <x:v>A-04103</x:v>
      </x:c>
      <x:c r="C4149" t="str">
        <x:v>GATE</x:v>
      </x:c>
      <x:c r="D4149" t="str">
        <x:v>release state mirrors governing ledger</x:v>
      </x:c>
      <x:c r="E4149" t="str">
        <x:f>'Release Gates'!I4109</x:f>
        <x:v>OPEN</x:v>
      </x:c>
      <x:c r="F4149" t="str">
        <x:f>IF('Release Gates'!C4109="PLANNING","PASS",IF('Release Gates'!C4109="PHYSICAL","OPEN","BLOCKED"))</x:f>
        <x:v>OPEN</x:v>
      </x:c>
      <x:c r="G4149" t="str">
        <x:v>equals</x:v>
      </x:c>
      <x:c r="H4149" t="str">
        <x:f>IF(E4149=F4149,"PASS","FAIL")</x:f>
        <x:v>PASS</x:v>
      </x:c>
    </x:row>
    <x:row r="4150">
      <x:c r="B4150" t="str">
        <x:v>A-04104</x:v>
      </x:c>
      <x:c r="C4150" t="str">
        <x:v>GATE</x:v>
      </x:c>
      <x:c r="D4150" t="str">
        <x:v>release state mirrors governing ledger</x:v>
      </x:c>
      <x:c r="E4150" t="str">
        <x:f>'Release Gates'!I4110</x:f>
        <x:v>OPEN</x:v>
      </x:c>
      <x:c r="F4150" t="str">
        <x:f>IF('Release Gates'!C4110="PLANNING","PASS",IF('Release Gates'!C4110="PHYSICAL","OPEN","BLOCKED"))</x:f>
        <x:v>OPEN</x:v>
      </x:c>
      <x:c r="G4150" t="str">
        <x:v>equals</x:v>
      </x:c>
      <x:c r="H4150" t="str">
        <x:f>IF(E4150=F4150,"PASS","FAIL")</x:f>
        <x:v>PASS</x:v>
      </x:c>
    </x:row>
    <x:row r="4151">
      <x:c r="B4151" t="str">
        <x:v>A-04105</x:v>
      </x:c>
      <x:c r="C4151" t="str">
        <x:v>GATE</x:v>
      </x:c>
      <x:c r="D4151" t="str">
        <x:v>release state mirrors governing ledger</x:v>
      </x:c>
      <x:c r="E4151" t="str">
        <x:f>'Release Gates'!I4111</x:f>
        <x:v>OPEN</x:v>
      </x:c>
      <x:c r="F4151" t="str">
        <x:f>IF('Release Gates'!C4111="PLANNING","PASS",IF('Release Gates'!C4111="PHYSICAL","OPEN","BLOCKED"))</x:f>
        <x:v>OPEN</x:v>
      </x:c>
      <x:c r="G4151" t="str">
        <x:v>equals</x:v>
      </x:c>
      <x:c r="H4151" t="str">
        <x:f>IF(E4151=F4151,"PASS","FAIL")</x:f>
        <x:v>PASS</x:v>
      </x:c>
    </x:row>
    <x:row r="4152">
      <x:c r="B4152" t="str">
        <x:v>A-04106</x:v>
      </x:c>
      <x:c r="C4152" t="str">
        <x:v>GATE</x:v>
      </x:c>
      <x:c r="D4152" t="str">
        <x:v>release state mirrors governing ledger</x:v>
      </x:c>
      <x:c r="E4152" t="str">
        <x:f>'Release Gates'!I4112</x:f>
        <x:v>OPEN</x:v>
      </x:c>
      <x:c r="F4152" t="str">
        <x:f>IF('Release Gates'!C4112="PLANNING","PASS",IF('Release Gates'!C4112="PHYSICAL","OPEN","BLOCKED"))</x:f>
        <x:v>OPEN</x:v>
      </x:c>
      <x:c r="G4152" t="str">
        <x:v>equals</x:v>
      </x:c>
      <x:c r="H4152" t="str">
        <x:f>IF(E4152=F4152,"PASS","FAIL")</x:f>
        <x:v>PASS</x:v>
      </x:c>
    </x:row>
    <x:row r="4153">
      <x:c r="B4153" t="str">
        <x:v>A-04107</x:v>
      </x:c>
      <x:c r="C4153" t="str">
        <x:v>GATE</x:v>
      </x:c>
      <x:c r="D4153" t="str">
        <x:v>release state mirrors governing ledger</x:v>
      </x:c>
      <x:c r="E4153" t="str">
        <x:f>'Release Gates'!I4113</x:f>
        <x:v>OPEN</x:v>
      </x:c>
      <x:c r="F4153" t="str">
        <x:f>IF('Release Gates'!C4113="PLANNING","PASS",IF('Release Gates'!C4113="PHYSICAL","OPEN","BLOCKED"))</x:f>
        <x:v>OPEN</x:v>
      </x:c>
      <x:c r="G4153" t="str">
        <x:v>equals</x:v>
      </x:c>
      <x:c r="H4153" t="str">
        <x:f>IF(E4153=F4153,"PASS","FAIL")</x:f>
        <x:v>PASS</x:v>
      </x:c>
    </x:row>
    <x:row r="4154">
      <x:c r="B4154" t="str">
        <x:v>A-04108</x:v>
      </x:c>
      <x:c r="C4154" t="str">
        <x:v>GATE</x:v>
      </x:c>
      <x:c r="D4154" t="str">
        <x:v>release state mirrors governing ledger</x:v>
      </x:c>
      <x:c r="E4154" t="str">
        <x:f>'Release Gates'!I4114</x:f>
        <x:v>OPEN</x:v>
      </x:c>
      <x:c r="F4154" t="str">
        <x:f>IF('Release Gates'!C4114="PLANNING","PASS",IF('Release Gates'!C4114="PHYSICAL","OPEN","BLOCKED"))</x:f>
        <x:v>OPEN</x:v>
      </x:c>
      <x:c r="G4154" t="str">
        <x:v>equals</x:v>
      </x:c>
      <x:c r="H4154" t="str">
        <x:f>IF(E4154=F4154,"PASS","FAIL")</x:f>
        <x:v>PASS</x:v>
      </x:c>
    </x:row>
    <x:row r="4155">
      <x:c r="B4155" t="str">
        <x:v>A-04109</x:v>
      </x:c>
      <x:c r="C4155" t="str">
        <x:v>GATE</x:v>
      </x:c>
      <x:c r="D4155" t="str">
        <x:v>release state mirrors governing ledger</x:v>
      </x:c>
      <x:c r="E4155" t="str">
        <x:f>'Release Gates'!I4115</x:f>
        <x:v>OPEN</x:v>
      </x:c>
      <x:c r="F4155" t="str">
        <x:f>IF('Release Gates'!C4115="PLANNING","PASS",IF('Release Gates'!C4115="PHYSICAL","OPEN","BLOCKED"))</x:f>
        <x:v>OPEN</x:v>
      </x:c>
      <x:c r="G4155" t="str">
        <x:v>equals</x:v>
      </x:c>
      <x:c r="H4155" t="str">
        <x:f>IF(E4155=F4155,"PASS","FAIL")</x:f>
        <x:v>PASS</x:v>
      </x:c>
    </x:row>
    <x:row r="4156">
      <x:c r="B4156" t="str">
        <x:v>A-04110</x:v>
      </x:c>
      <x:c r="C4156" t="str">
        <x:v>GATE</x:v>
      </x:c>
      <x:c r="D4156" t="str">
        <x:v>release state mirrors governing ledger</x:v>
      </x:c>
      <x:c r="E4156" t="str">
        <x:f>'Release Gates'!I4116</x:f>
        <x:v>OPEN</x:v>
      </x:c>
      <x:c r="F4156" t="str">
        <x:f>IF('Release Gates'!C4116="PLANNING","PASS",IF('Release Gates'!C4116="PHYSICAL","OPEN","BLOCKED"))</x:f>
        <x:v>OPEN</x:v>
      </x:c>
      <x:c r="G4156" t="str">
        <x:v>equals</x:v>
      </x:c>
      <x:c r="H4156" t="str">
        <x:f>IF(E4156=F4156,"PASS","FAIL")</x:f>
        <x:v>PASS</x:v>
      </x:c>
    </x:row>
    <x:row r="4157">
      <x:c r="B4157" t="str">
        <x:v>A-04111</x:v>
      </x:c>
      <x:c r="C4157" t="str">
        <x:v>GATE</x:v>
      </x:c>
      <x:c r="D4157" t="str">
        <x:v>release state mirrors governing ledger</x:v>
      </x:c>
      <x:c r="E4157" t="str">
        <x:f>'Release Gates'!I4117</x:f>
        <x:v>OPEN</x:v>
      </x:c>
      <x:c r="F4157" t="str">
        <x:f>IF('Release Gates'!C4117="PLANNING","PASS",IF('Release Gates'!C4117="PHYSICAL","OPEN","BLOCKED"))</x:f>
        <x:v>OPEN</x:v>
      </x:c>
      <x:c r="G4157" t="str">
        <x:v>equals</x:v>
      </x:c>
      <x:c r="H4157" t="str">
        <x:f>IF(E4157=F4157,"PASS","FAIL")</x:f>
        <x:v>PASS</x:v>
      </x:c>
    </x:row>
    <x:row r="4158">
      <x:c r="B4158" t="str">
        <x:v>A-04112</x:v>
      </x:c>
      <x:c r="C4158" t="str">
        <x:v>GATE</x:v>
      </x:c>
      <x:c r="D4158" t="str">
        <x:v>release state mirrors governing ledger</x:v>
      </x:c>
      <x:c r="E4158" t="str">
        <x:f>'Release Gates'!I4118</x:f>
        <x:v>OPEN</x:v>
      </x:c>
      <x:c r="F4158" t="str">
        <x:f>IF('Release Gates'!C4118="PLANNING","PASS",IF('Release Gates'!C4118="PHYSICAL","OPEN","BLOCKED"))</x:f>
        <x:v>OPEN</x:v>
      </x:c>
      <x:c r="G4158" t="str">
        <x:v>equals</x:v>
      </x:c>
      <x:c r="H4158" t="str">
        <x:f>IF(E4158=F4158,"PASS","FAIL")</x:f>
        <x:v>PASS</x:v>
      </x:c>
    </x:row>
    <x:row r="4159">
      <x:c r="B4159" t="str">
        <x:v>A-04113</x:v>
      </x:c>
      <x:c r="C4159" t="str">
        <x:v>GATE</x:v>
      </x:c>
      <x:c r="D4159" t="str">
        <x:v>release state mirrors governing ledger</x:v>
      </x:c>
      <x:c r="E4159" t="str">
        <x:f>'Release Gates'!I4119</x:f>
        <x:v>OPEN</x:v>
      </x:c>
      <x:c r="F4159" t="str">
        <x:f>IF('Release Gates'!C4119="PLANNING","PASS",IF('Release Gates'!C4119="PHYSICAL","OPEN","BLOCKED"))</x:f>
        <x:v>OPEN</x:v>
      </x:c>
      <x:c r="G4159" t="str">
        <x:v>equals</x:v>
      </x:c>
      <x:c r="H4159" t="str">
        <x:f>IF(E4159=F4159,"PASS","FAIL")</x:f>
        <x:v>PASS</x:v>
      </x:c>
    </x:row>
    <x:row r="4160">
      <x:c r="B4160" t="str">
        <x:v>A-04114</x:v>
      </x:c>
      <x:c r="C4160" t="str">
        <x:v>GATE</x:v>
      </x:c>
      <x:c r="D4160" t="str">
        <x:v>release state mirrors governing ledger</x:v>
      </x:c>
      <x:c r="E4160" t="str">
        <x:f>'Release Gates'!I4120</x:f>
        <x:v>OPEN</x:v>
      </x:c>
      <x:c r="F4160" t="str">
        <x:f>IF('Release Gates'!C4120="PLANNING","PASS",IF('Release Gates'!C4120="PHYSICAL","OPEN","BLOCKED"))</x:f>
        <x:v>OPEN</x:v>
      </x:c>
      <x:c r="G4160" t="str">
        <x:v>equals</x:v>
      </x:c>
      <x:c r="H4160" t="str">
        <x:f>IF(E4160=F4160,"PASS","FAIL")</x:f>
        <x:v>PASS</x:v>
      </x:c>
    </x:row>
    <x:row r="4161">
      <x:c r="B4161" t="str">
        <x:v>A-04115</x:v>
      </x:c>
      <x:c r="C4161" t="str">
        <x:v>GATE</x:v>
      </x:c>
      <x:c r="D4161" t="str">
        <x:v>release state mirrors governing ledger</x:v>
      </x:c>
      <x:c r="E4161" t="str">
        <x:f>'Release Gates'!I4121</x:f>
        <x:v>OPEN</x:v>
      </x:c>
      <x:c r="F4161" t="str">
        <x:f>IF('Release Gates'!C4121="PLANNING","PASS",IF('Release Gates'!C4121="PHYSICAL","OPEN","BLOCKED"))</x:f>
        <x:v>OPEN</x:v>
      </x:c>
      <x:c r="G4161" t="str">
        <x:v>equals</x:v>
      </x:c>
      <x:c r="H4161" t="str">
        <x:f>IF(E4161=F4161,"PASS","FAIL")</x:f>
        <x:v>PASS</x:v>
      </x:c>
    </x:row>
    <x:row r="4162">
      <x:c r="B4162" t="str">
        <x:v>A-04116</x:v>
      </x:c>
      <x:c r="C4162" t="str">
        <x:v>GATE</x:v>
      </x:c>
      <x:c r="D4162" t="str">
        <x:v>release state mirrors governing ledger</x:v>
      </x:c>
      <x:c r="E4162" t="str">
        <x:f>'Release Gates'!I4122</x:f>
        <x:v>OPEN</x:v>
      </x:c>
      <x:c r="F4162" t="str">
        <x:f>IF('Release Gates'!C4122="PLANNING","PASS",IF('Release Gates'!C4122="PHYSICAL","OPEN","BLOCKED"))</x:f>
        <x:v>OPEN</x:v>
      </x:c>
      <x:c r="G4162" t="str">
        <x:v>equals</x:v>
      </x:c>
      <x:c r="H4162" t="str">
        <x:f>IF(E4162=F4162,"PASS","FAIL")</x:f>
        <x:v>PASS</x:v>
      </x:c>
    </x:row>
    <x:row r="4163">
      <x:c r="B4163" t="str">
        <x:v>A-04117</x:v>
      </x:c>
      <x:c r="C4163" t="str">
        <x:v>GATE</x:v>
      </x:c>
      <x:c r="D4163" t="str">
        <x:v>release state mirrors governing ledger</x:v>
      </x:c>
      <x:c r="E4163" t="str">
        <x:f>'Release Gates'!I4123</x:f>
        <x:v>OPEN</x:v>
      </x:c>
      <x:c r="F4163" t="str">
        <x:f>IF('Release Gates'!C4123="PLANNING","PASS",IF('Release Gates'!C4123="PHYSICAL","OPEN","BLOCKED"))</x:f>
        <x:v>OPEN</x:v>
      </x:c>
      <x:c r="G4163" t="str">
        <x:v>equals</x:v>
      </x:c>
      <x:c r="H4163" t="str">
        <x:f>IF(E4163=F4163,"PASS","FAIL")</x:f>
        <x:v>PASS</x:v>
      </x:c>
    </x:row>
    <x:row r="4164">
      <x:c r="B4164" t="str">
        <x:v>A-04118</x:v>
      </x:c>
      <x:c r="C4164" t="str">
        <x:v>GATE</x:v>
      </x:c>
      <x:c r="D4164" t="str">
        <x:v>release state mirrors governing ledger</x:v>
      </x:c>
      <x:c r="E4164" t="str">
        <x:f>'Release Gates'!I4124</x:f>
        <x:v>OPEN</x:v>
      </x:c>
      <x:c r="F4164" t="str">
        <x:f>IF('Release Gates'!C4124="PLANNING","PASS",IF('Release Gates'!C4124="PHYSICAL","OPEN","BLOCKED"))</x:f>
        <x:v>OPEN</x:v>
      </x:c>
      <x:c r="G4164" t="str">
        <x:v>equals</x:v>
      </x:c>
      <x:c r="H4164" t="str">
        <x:f>IF(E4164=F4164,"PASS","FAIL")</x:f>
        <x:v>PASS</x:v>
      </x:c>
    </x:row>
    <x:row r="4165">
      <x:c r="B4165" t="str">
        <x:v>A-04119</x:v>
      </x:c>
      <x:c r="C4165" t="str">
        <x:v>GATE</x:v>
      </x:c>
      <x:c r="D4165" t="str">
        <x:v>release state mirrors governing ledger</x:v>
      </x:c>
      <x:c r="E4165" t="str">
        <x:f>'Release Gates'!I4125</x:f>
        <x:v>OPEN</x:v>
      </x:c>
      <x:c r="F4165" t="str">
        <x:f>IF('Release Gates'!C4125="PLANNING","PASS",IF('Release Gates'!C4125="PHYSICAL","OPEN","BLOCKED"))</x:f>
        <x:v>OPEN</x:v>
      </x:c>
      <x:c r="G4165" t="str">
        <x:v>equals</x:v>
      </x:c>
      <x:c r="H4165" t="str">
        <x:f>IF(E4165=F4165,"PASS","FAIL")</x:f>
        <x:v>PASS</x:v>
      </x:c>
    </x:row>
    <x:row r="4166">
      <x:c r="B4166" t="str">
        <x:v>A-04120</x:v>
      </x:c>
      <x:c r="C4166" t="str">
        <x:v>GATE</x:v>
      </x:c>
      <x:c r="D4166" t="str">
        <x:v>release state mirrors governing ledger</x:v>
      </x:c>
      <x:c r="E4166" t="str">
        <x:f>'Release Gates'!I4126</x:f>
        <x:v>OPEN</x:v>
      </x:c>
      <x:c r="F4166" t="str">
        <x:f>IF('Release Gates'!C4126="PLANNING","PASS",IF('Release Gates'!C4126="PHYSICAL","OPEN","BLOCKED"))</x:f>
        <x:v>OPEN</x:v>
      </x:c>
      <x:c r="G4166" t="str">
        <x:v>equals</x:v>
      </x:c>
      <x:c r="H4166" t="str">
        <x:f>IF(E4166=F4166,"PASS","FAIL")</x:f>
        <x:v>PASS</x:v>
      </x:c>
    </x:row>
    <x:row r="4167">
      <x:c r="B4167" t="str">
        <x:v>A-04121</x:v>
      </x:c>
      <x:c r="C4167" t="str">
        <x:v>GATE</x:v>
      </x:c>
      <x:c r="D4167" t="str">
        <x:v>release state mirrors governing ledger</x:v>
      </x:c>
      <x:c r="E4167" t="str">
        <x:f>'Release Gates'!I4127</x:f>
        <x:v>OPEN</x:v>
      </x:c>
      <x:c r="F4167" t="str">
        <x:f>IF('Release Gates'!C4127="PLANNING","PASS",IF('Release Gates'!C4127="PHYSICAL","OPEN","BLOCKED"))</x:f>
        <x:v>OPEN</x:v>
      </x:c>
      <x:c r="G4167" t="str">
        <x:v>equals</x:v>
      </x:c>
      <x:c r="H4167" t="str">
        <x:f>IF(E4167=F4167,"PASS","FAIL")</x:f>
        <x:v>PASS</x:v>
      </x:c>
    </x:row>
    <x:row r="4168">
      <x:c r="B4168" t="str">
        <x:v>A-04122</x:v>
      </x:c>
      <x:c r="C4168" t="str">
        <x:v>GATE</x:v>
      </x:c>
      <x:c r="D4168" t="str">
        <x:v>release state mirrors governing ledger</x:v>
      </x:c>
      <x:c r="E4168" t="str">
        <x:f>'Release Gates'!I4128</x:f>
        <x:v>OPEN</x:v>
      </x:c>
      <x:c r="F4168" t="str">
        <x:f>IF('Release Gates'!C4128="PLANNING","PASS",IF('Release Gates'!C4128="PHYSICAL","OPEN","BLOCKED"))</x:f>
        <x:v>OPEN</x:v>
      </x:c>
      <x:c r="G4168" t="str">
        <x:v>equals</x:v>
      </x:c>
      <x:c r="H4168" t="str">
        <x:f>IF(E4168=F4168,"PASS","FAIL")</x:f>
        <x:v>PASS</x:v>
      </x:c>
    </x:row>
    <x:row r="4169">
      <x:c r="B4169" t="str">
        <x:v>A-04123</x:v>
      </x:c>
      <x:c r="C4169" t="str">
        <x:v>GATE</x:v>
      </x:c>
      <x:c r="D4169" t="str">
        <x:v>release state mirrors governing ledger</x:v>
      </x:c>
      <x:c r="E4169" t="str">
        <x:f>'Release Gates'!I4129</x:f>
        <x:v>OPEN</x:v>
      </x:c>
      <x:c r="F4169" t="str">
        <x:f>IF('Release Gates'!C4129="PLANNING","PASS",IF('Release Gates'!C4129="PHYSICAL","OPEN","BLOCKED"))</x:f>
        <x:v>OPEN</x:v>
      </x:c>
      <x:c r="G4169" t="str">
        <x:v>equals</x:v>
      </x:c>
      <x:c r="H4169" t="str">
        <x:f>IF(E4169=F4169,"PASS","FAIL")</x:f>
        <x:v>PASS</x:v>
      </x:c>
    </x:row>
    <x:row r="4170">
      <x:c r="B4170" t="str">
        <x:v>A-04124</x:v>
      </x:c>
      <x:c r="C4170" t="str">
        <x:v>GATE</x:v>
      </x:c>
      <x:c r="D4170" t="str">
        <x:v>release state mirrors governing ledger</x:v>
      </x:c>
      <x:c r="E4170" t="str">
        <x:f>'Release Gates'!I4130</x:f>
        <x:v>OPEN</x:v>
      </x:c>
      <x:c r="F4170" t="str">
        <x:f>IF('Release Gates'!C4130="PLANNING","PASS",IF('Release Gates'!C4130="PHYSICAL","OPEN","BLOCKED"))</x:f>
        <x:v>OPEN</x:v>
      </x:c>
      <x:c r="G4170" t="str">
        <x:v>equals</x:v>
      </x:c>
      <x:c r="H4170" t="str">
        <x:f>IF(E4170=F4170,"PASS","FAIL")</x:f>
        <x:v>PASS</x:v>
      </x:c>
    </x:row>
    <x:row r="4171">
      <x:c r="B4171" t="str">
        <x:v>A-04125</x:v>
      </x:c>
      <x:c r="C4171" t="str">
        <x:v>GATE</x:v>
      </x:c>
      <x:c r="D4171" t="str">
        <x:v>release state mirrors governing ledger</x:v>
      </x:c>
      <x:c r="E4171" t="str">
        <x:f>'Release Gates'!I4131</x:f>
        <x:v>OPEN</x:v>
      </x:c>
      <x:c r="F4171" t="str">
        <x:f>IF('Release Gates'!C4131="PLANNING","PASS",IF('Release Gates'!C4131="PHYSICAL","OPEN","BLOCKED"))</x:f>
        <x:v>OPEN</x:v>
      </x:c>
      <x:c r="G4171" t="str">
        <x:v>equals</x:v>
      </x:c>
      <x:c r="H4171" t="str">
        <x:f>IF(E4171=F4171,"PASS","FAIL")</x:f>
        <x:v>PASS</x:v>
      </x:c>
    </x:row>
    <x:row r="4172">
      <x:c r="B4172" t="str">
        <x:v>A-04126</x:v>
      </x:c>
      <x:c r="C4172" t="str">
        <x:v>GATE</x:v>
      </x:c>
      <x:c r="D4172" t="str">
        <x:v>release state mirrors governing ledger</x:v>
      </x:c>
      <x:c r="E4172" t="str">
        <x:f>'Release Gates'!I4132</x:f>
        <x:v>OPEN</x:v>
      </x:c>
      <x:c r="F4172" t="str">
        <x:f>IF('Release Gates'!C4132="PLANNING","PASS",IF('Release Gates'!C4132="PHYSICAL","OPEN","BLOCKED"))</x:f>
        <x:v>OPEN</x:v>
      </x:c>
      <x:c r="G4172" t="str">
        <x:v>equals</x:v>
      </x:c>
      <x:c r="H4172" t="str">
        <x:f>IF(E4172=F4172,"PASS","FAIL")</x:f>
        <x:v>PASS</x:v>
      </x:c>
    </x:row>
    <x:row r="4173">
      <x:c r="B4173" t="str">
        <x:v>A-04127</x:v>
      </x:c>
      <x:c r="C4173" t="str">
        <x:v>GATE</x:v>
      </x:c>
      <x:c r="D4173" t="str">
        <x:v>release state mirrors governing ledger</x:v>
      </x:c>
      <x:c r="E4173" t="str">
        <x:f>'Release Gates'!I4133</x:f>
        <x:v>OPEN</x:v>
      </x:c>
      <x:c r="F4173" t="str">
        <x:f>IF('Release Gates'!C4133="PLANNING","PASS",IF('Release Gates'!C4133="PHYSICAL","OPEN","BLOCKED"))</x:f>
        <x:v>OPEN</x:v>
      </x:c>
      <x:c r="G4173" t="str">
        <x:v>equals</x:v>
      </x:c>
      <x:c r="H4173" t="str">
        <x:f>IF(E4173=F4173,"PASS","FAIL")</x:f>
        <x:v>PASS</x:v>
      </x:c>
    </x:row>
    <x:row r="4174">
      <x:c r="B4174" t="str">
        <x:v>A-04128</x:v>
      </x:c>
      <x:c r="C4174" t="str">
        <x:v>GATE</x:v>
      </x:c>
      <x:c r="D4174" t="str">
        <x:v>release state mirrors governing ledger</x:v>
      </x:c>
      <x:c r="E4174" t="str">
        <x:f>'Release Gates'!I4134</x:f>
        <x:v>OPEN</x:v>
      </x:c>
      <x:c r="F4174" t="str">
        <x:f>IF('Release Gates'!C4134="PLANNING","PASS",IF('Release Gates'!C4134="PHYSICAL","OPEN","BLOCKED"))</x:f>
        <x:v>OPEN</x:v>
      </x:c>
      <x:c r="G4174" t="str">
        <x:v>equals</x:v>
      </x:c>
      <x:c r="H4174" t="str">
        <x:f>IF(E4174=F4174,"PASS","FAIL")</x:f>
        <x:v>PASS</x:v>
      </x:c>
    </x:row>
    <x:row r="4175">
      <x:c r="B4175" t="str">
        <x:v>A-04129</x:v>
      </x:c>
      <x:c r="C4175" t="str">
        <x:v>GATE</x:v>
      </x:c>
      <x:c r="D4175" t="str">
        <x:v>release state mirrors governing ledger</x:v>
      </x:c>
      <x:c r="E4175" t="str">
        <x:f>'Release Gates'!I4135</x:f>
        <x:v>OPEN</x:v>
      </x:c>
      <x:c r="F4175" t="str">
        <x:f>IF('Release Gates'!C4135="PLANNING","PASS",IF('Release Gates'!C4135="PHYSICAL","OPEN","BLOCKED"))</x:f>
        <x:v>OPEN</x:v>
      </x:c>
      <x:c r="G4175" t="str">
        <x:v>equals</x:v>
      </x:c>
      <x:c r="H4175" t="str">
        <x:f>IF(E4175=F4175,"PASS","FAIL")</x:f>
        <x:v>PASS</x:v>
      </x:c>
    </x:row>
    <x:row r="4176">
      <x:c r="B4176" t="str">
        <x:v>A-04130</x:v>
      </x:c>
      <x:c r="C4176" t="str">
        <x:v>GATE</x:v>
      </x:c>
      <x:c r="D4176" t="str">
        <x:v>release state mirrors governing ledger</x:v>
      </x:c>
      <x:c r="E4176" t="str">
        <x:f>'Release Gates'!I4136</x:f>
        <x:v>OPEN</x:v>
      </x:c>
      <x:c r="F4176" t="str">
        <x:f>IF('Release Gates'!C4136="PLANNING","PASS",IF('Release Gates'!C4136="PHYSICAL","OPEN","BLOCKED"))</x:f>
        <x:v>OPEN</x:v>
      </x:c>
      <x:c r="G4176" t="str">
        <x:v>equals</x:v>
      </x:c>
      <x:c r="H4176" t="str">
        <x:f>IF(E4176=F4176,"PASS","FAIL")</x:f>
        <x:v>PASS</x:v>
      </x:c>
    </x:row>
    <x:row r="4177">
      <x:c r="B4177" t="str">
        <x:v>A-04131</x:v>
      </x:c>
      <x:c r="C4177" t="str">
        <x:v>GATE</x:v>
      </x:c>
      <x:c r="D4177" t="str">
        <x:v>release state mirrors governing ledger</x:v>
      </x:c>
      <x:c r="E4177" t="str">
        <x:f>'Release Gates'!I4137</x:f>
        <x:v>OPEN</x:v>
      </x:c>
      <x:c r="F4177" t="str">
        <x:f>IF('Release Gates'!C4137="PLANNING","PASS",IF('Release Gates'!C4137="PHYSICAL","OPEN","BLOCKED"))</x:f>
        <x:v>OPEN</x:v>
      </x:c>
      <x:c r="G4177" t="str">
        <x:v>equals</x:v>
      </x:c>
      <x:c r="H4177" t="str">
        <x:f>IF(E4177=F4177,"PASS","FAIL")</x:f>
        <x:v>PASS</x:v>
      </x:c>
    </x:row>
    <x:row r="4178">
      <x:c r="B4178" t="str">
        <x:v>A-04132</x:v>
      </x:c>
      <x:c r="C4178" t="str">
        <x:v>GATE</x:v>
      </x:c>
      <x:c r="D4178" t="str">
        <x:v>release state mirrors governing ledger</x:v>
      </x:c>
      <x:c r="E4178" t="str">
        <x:f>'Release Gates'!I4138</x:f>
        <x:v>OPEN</x:v>
      </x:c>
      <x:c r="F4178" t="str">
        <x:f>IF('Release Gates'!C4138="PLANNING","PASS",IF('Release Gates'!C4138="PHYSICAL","OPEN","BLOCKED"))</x:f>
        <x:v>OPEN</x:v>
      </x:c>
      <x:c r="G4178" t="str">
        <x:v>equals</x:v>
      </x:c>
      <x:c r="H4178" t="str">
        <x:f>IF(E4178=F4178,"PASS","FAIL")</x:f>
        <x:v>PASS</x:v>
      </x:c>
    </x:row>
    <x:row r="4179">
      <x:c r="B4179" t="str">
        <x:v>A-04133</x:v>
      </x:c>
      <x:c r="C4179" t="str">
        <x:v>GATE</x:v>
      </x:c>
      <x:c r="D4179" t="str">
        <x:v>release state mirrors governing ledger</x:v>
      </x:c>
      <x:c r="E4179" t="str">
        <x:f>'Release Gates'!I4139</x:f>
        <x:v>OPEN</x:v>
      </x:c>
      <x:c r="F4179" t="str">
        <x:f>IF('Release Gates'!C4139="PLANNING","PASS",IF('Release Gates'!C4139="PHYSICAL","OPEN","BLOCKED"))</x:f>
        <x:v>OPEN</x:v>
      </x:c>
      <x:c r="G4179" t="str">
        <x:v>equals</x:v>
      </x:c>
      <x:c r="H4179" t="str">
        <x:f>IF(E4179=F4179,"PASS","FAIL")</x:f>
        <x:v>PASS</x:v>
      </x:c>
    </x:row>
    <x:row r="4180">
      <x:c r="B4180" t="str">
        <x:v>A-04134</x:v>
      </x:c>
      <x:c r="C4180" t="str">
        <x:v>GATE</x:v>
      </x:c>
      <x:c r="D4180" t="str">
        <x:v>release state mirrors governing ledger</x:v>
      </x:c>
      <x:c r="E4180" t="str">
        <x:f>'Release Gates'!I4140</x:f>
        <x:v>OPEN</x:v>
      </x:c>
      <x:c r="F4180" t="str">
        <x:f>IF('Release Gates'!C4140="PLANNING","PASS",IF('Release Gates'!C4140="PHYSICAL","OPEN","BLOCKED"))</x:f>
        <x:v>OPEN</x:v>
      </x:c>
      <x:c r="G4180" t="str">
        <x:v>equals</x:v>
      </x:c>
      <x:c r="H4180" t="str">
        <x:f>IF(E4180=F4180,"PASS","FAIL")</x:f>
        <x:v>PASS</x:v>
      </x:c>
    </x:row>
    <x:row r="4181">
      <x:c r="B4181" t="str">
        <x:v>A-04135</x:v>
      </x:c>
      <x:c r="C4181" t="str">
        <x:v>GATE</x:v>
      </x:c>
      <x:c r="D4181" t="str">
        <x:v>release state mirrors governing ledger</x:v>
      </x:c>
      <x:c r="E4181" t="str">
        <x:f>'Release Gates'!I4141</x:f>
        <x:v>OPEN</x:v>
      </x:c>
      <x:c r="F4181" t="str">
        <x:f>IF('Release Gates'!C4141="PLANNING","PASS",IF('Release Gates'!C4141="PHYSICAL","OPEN","BLOCKED"))</x:f>
        <x:v>OPEN</x:v>
      </x:c>
      <x:c r="G4181" t="str">
        <x:v>equals</x:v>
      </x:c>
      <x:c r="H4181" t="str">
        <x:f>IF(E4181=F4181,"PASS","FAIL")</x:f>
        <x:v>PASS</x:v>
      </x:c>
    </x:row>
    <x:row r="4182">
      <x:c r="B4182" t="str">
        <x:v>A-04136</x:v>
      </x:c>
      <x:c r="C4182" t="str">
        <x:v>GATE</x:v>
      </x:c>
      <x:c r="D4182" t="str">
        <x:v>release state mirrors governing ledger</x:v>
      </x:c>
      <x:c r="E4182" t="str">
        <x:f>'Release Gates'!I4142</x:f>
        <x:v>OPEN</x:v>
      </x:c>
      <x:c r="F4182" t="str">
        <x:f>IF('Release Gates'!C4142="PLANNING","PASS",IF('Release Gates'!C4142="PHYSICAL","OPEN","BLOCKED"))</x:f>
        <x:v>OPEN</x:v>
      </x:c>
      <x:c r="G4182" t="str">
        <x:v>equals</x:v>
      </x:c>
      <x:c r="H4182" t="str">
        <x:f>IF(E4182=F4182,"PASS","FAIL")</x:f>
        <x:v>PASS</x:v>
      </x:c>
    </x:row>
    <x:row r="4183">
      <x:c r="B4183" t="str">
        <x:v>A-04137</x:v>
      </x:c>
      <x:c r="C4183" t="str">
        <x:v>GATE</x:v>
      </x:c>
      <x:c r="D4183" t="str">
        <x:v>release state mirrors governing ledger</x:v>
      </x:c>
      <x:c r="E4183" t="str">
        <x:f>'Release Gates'!I4143</x:f>
        <x:v>OPEN</x:v>
      </x:c>
      <x:c r="F4183" t="str">
        <x:f>IF('Release Gates'!C4143="PLANNING","PASS",IF('Release Gates'!C4143="PHYSICAL","OPEN","BLOCKED"))</x:f>
        <x:v>OPEN</x:v>
      </x:c>
      <x:c r="G4183" t="str">
        <x:v>equals</x:v>
      </x:c>
      <x:c r="H4183" t="str">
        <x:f>IF(E4183=F4183,"PASS","FAIL")</x:f>
        <x:v>PASS</x:v>
      </x:c>
    </x:row>
    <x:row r="4184">
      <x:c r="B4184" t="str">
        <x:v>A-04138</x:v>
      </x:c>
      <x:c r="C4184" t="str">
        <x:v>GATE</x:v>
      </x:c>
      <x:c r="D4184" t="str">
        <x:v>release state mirrors governing ledger</x:v>
      </x:c>
      <x:c r="E4184" t="str">
        <x:f>'Release Gates'!I4144</x:f>
        <x:v>OPEN</x:v>
      </x:c>
      <x:c r="F4184" t="str">
        <x:f>IF('Release Gates'!C4144="PLANNING","PASS",IF('Release Gates'!C4144="PHYSICAL","OPEN","BLOCKED"))</x:f>
        <x:v>OPEN</x:v>
      </x:c>
      <x:c r="G4184" t="str">
        <x:v>equals</x:v>
      </x:c>
      <x:c r="H4184" t="str">
        <x:f>IF(E4184=F4184,"PASS","FAIL")</x:f>
        <x:v>PASS</x:v>
      </x:c>
    </x:row>
    <x:row r="4185">
      <x:c r="B4185" t="str">
        <x:v>A-04139</x:v>
      </x:c>
      <x:c r="C4185" t="str">
        <x:v>GATE</x:v>
      </x:c>
      <x:c r="D4185" t="str">
        <x:v>release state mirrors governing ledger</x:v>
      </x:c>
      <x:c r="E4185" t="str">
        <x:f>'Release Gates'!I4145</x:f>
        <x:v>OPEN</x:v>
      </x:c>
      <x:c r="F4185" t="str">
        <x:f>IF('Release Gates'!C4145="PLANNING","PASS",IF('Release Gates'!C4145="PHYSICAL","OPEN","BLOCKED"))</x:f>
        <x:v>OPEN</x:v>
      </x:c>
      <x:c r="G4185" t="str">
        <x:v>equals</x:v>
      </x:c>
      <x:c r="H4185" t="str">
        <x:f>IF(E4185=F4185,"PASS","FAIL")</x:f>
        <x:v>PASS</x:v>
      </x:c>
    </x:row>
    <x:row r="4186">
      <x:c r="B4186" t="str">
        <x:v>A-04140</x:v>
      </x:c>
      <x:c r="C4186" t="str">
        <x:v>GATE</x:v>
      </x:c>
      <x:c r="D4186" t="str">
        <x:v>release state mirrors governing ledger</x:v>
      </x:c>
      <x:c r="E4186" t="str">
        <x:f>'Release Gates'!I4146</x:f>
        <x:v>OPEN</x:v>
      </x:c>
      <x:c r="F4186" t="str">
        <x:f>IF('Release Gates'!C4146="PLANNING","PASS",IF('Release Gates'!C4146="PHYSICAL","OPEN","BLOCKED"))</x:f>
        <x:v>OPEN</x:v>
      </x:c>
      <x:c r="G4186" t="str">
        <x:v>equals</x:v>
      </x:c>
      <x:c r="H4186" t="str">
        <x:f>IF(E4186=F4186,"PASS","FAIL")</x:f>
        <x:v>PASS</x:v>
      </x:c>
    </x:row>
    <x:row r="4187">
      <x:c r="B4187" t="str">
        <x:v>A-04141</x:v>
      </x:c>
      <x:c r="C4187" t="str">
        <x:v>GATE</x:v>
      </x:c>
      <x:c r="D4187" t="str">
        <x:v>release state mirrors governing ledger</x:v>
      </x:c>
      <x:c r="E4187" t="str">
        <x:f>'Release Gates'!I4147</x:f>
        <x:v>OPEN</x:v>
      </x:c>
      <x:c r="F4187" t="str">
        <x:f>IF('Release Gates'!C4147="PLANNING","PASS",IF('Release Gates'!C4147="PHYSICAL","OPEN","BLOCKED"))</x:f>
        <x:v>OPEN</x:v>
      </x:c>
      <x:c r="G4187" t="str">
        <x:v>equals</x:v>
      </x:c>
      <x:c r="H4187" t="str">
        <x:f>IF(E4187=F4187,"PASS","FAIL")</x:f>
        <x:v>PASS</x:v>
      </x:c>
    </x:row>
    <x:row r="4188">
      <x:c r="B4188" t="str">
        <x:v>A-04142</x:v>
      </x:c>
      <x:c r="C4188" t="str">
        <x:v>GATE</x:v>
      </x:c>
      <x:c r="D4188" t="str">
        <x:v>release state mirrors governing ledger</x:v>
      </x:c>
      <x:c r="E4188" t="str">
        <x:f>'Release Gates'!I4148</x:f>
        <x:v>OPEN</x:v>
      </x:c>
      <x:c r="F4188" t="str">
        <x:f>IF('Release Gates'!C4148="PLANNING","PASS",IF('Release Gates'!C4148="PHYSICAL","OPEN","BLOCKED"))</x:f>
        <x:v>OPEN</x:v>
      </x:c>
      <x:c r="G4188" t="str">
        <x:v>equals</x:v>
      </x:c>
      <x:c r="H4188" t="str">
        <x:f>IF(E4188=F4188,"PASS","FAIL")</x:f>
        <x:v>PASS</x:v>
      </x:c>
    </x:row>
    <x:row r="4189">
      <x:c r="B4189" t="str">
        <x:v>A-04143</x:v>
      </x:c>
      <x:c r="C4189" t="str">
        <x:v>GATE</x:v>
      </x:c>
      <x:c r="D4189" t="str">
        <x:v>release state mirrors governing ledger</x:v>
      </x:c>
      <x:c r="E4189" t="str">
        <x:f>'Release Gates'!I4149</x:f>
        <x:v>OPEN</x:v>
      </x:c>
      <x:c r="F4189" t="str">
        <x:f>IF('Release Gates'!C4149="PLANNING","PASS",IF('Release Gates'!C4149="PHYSICAL","OPEN","BLOCKED"))</x:f>
        <x:v>OPEN</x:v>
      </x:c>
      <x:c r="G4189" t="str">
        <x:v>equals</x:v>
      </x:c>
      <x:c r="H4189" t="str">
        <x:f>IF(E4189=F4189,"PASS","FAIL")</x:f>
        <x:v>PASS</x:v>
      </x:c>
    </x:row>
    <x:row r="4190">
      <x:c r="B4190" t="str">
        <x:v>A-04144</x:v>
      </x:c>
      <x:c r="C4190" t="str">
        <x:v>GATE</x:v>
      </x:c>
      <x:c r="D4190" t="str">
        <x:v>release state mirrors governing ledger</x:v>
      </x:c>
      <x:c r="E4190" t="str">
        <x:f>'Release Gates'!I4150</x:f>
        <x:v>OPEN</x:v>
      </x:c>
      <x:c r="F4190" t="str">
        <x:f>IF('Release Gates'!C4150="PLANNING","PASS",IF('Release Gates'!C4150="PHYSICAL","OPEN","BLOCKED"))</x:f>
        <x:v>OPEN</x:v>
      </x:c>
      <x:c r="G4190" t="str">
        <x:v>equals</x:v>
      </x:c>
      <x:c r="H4190" t="str">
        <x:f>IF(E4190=F4190,"PASS","FAIL")</x:f>
        <x:v>PASS</x:v>
      </x:c>
    </x:row>
    <x:row r="4191">
      <x:c r="B4191" t="str">
        <x:v>A-04145</x:v>
      </x:c>
      <x:c r="C4191" t="str">
        <x:v>GATE</x:v>
      </x:c>
      <x:c r="D4191" t="str">
        <x:v>release state mirrors governing ledger</x:v>
      </x:c>
      <x:c r="E4191" t="str">
        <x:f>'Release Gates'!I4151</x:f>
        <x:v>OPEN</x:v>
      </x:c>
      <x:c r="F4191" t="str">
        <x:f>IF('Release Gates'!C4151="PLANNING","PASS",IF('Release Gates'!C4151="PHYSICAL","OPEN","BLOCKED"))</x:f>
        <x:v>OPEN</x:v>
      </x:c>
      <x:c r="G4191" t="str">
        <x:v>equals</x:v>
      </x:c>
      <x:c r="H4191" t="str">
        <x:f>IF(E4191=F4191,"PASS","FAIL")</x:f>
        <x:v>PASS</x:v>
      </x:c>
    </x:row>
    <x:row r="4192">
      <x:c r="B4192" t="str">
        <x:v>A-04146</x:v>
      </x:c>
      <x:c r="C4192" t="str">
        <x:v>GATE</x:v>
      </x:c>
      <x:c r="D4192" t="str">
        <x:v>release state mirrors governing ledger</x:v>
      </x:c>
      <x:c r="E4192" t="str">
        <x:f>'Release Gates'!I4152</x:f>
        <x:v>OPEN</x:v>
      </x:c>
      <x:c r="F4192" t="str">
        <x:f>IF('Release Gates'!C4152="PLANNING","PASS",IF('Release Gates'!C4152="PHYSICAL","OPEN","BLOCKED"))</x:f>
        <x:v>OPEN</x:v>
      </x:c>
      <x:c r="G4192" t="str">
        <x:v>equals</x:v>
      </x:c>
      <x:c r="H4192" t="str">
        <x:f>IF(E4192=F4192,"PASS","FAIL")</x:f>
        <x:v>PASS</x:v>
      </x:c>
    </x:row>
    <x:row r="4193">
      <x:c r="B4193" t="str">
        <x:v>A-04147</x:v>
      </x:c>
      <x:c r="C4193" t="str">
        <x:v>GATE</x:v>
      </x:c>
      <x:c r="D4193" t="str">
        <x:v>release state mirrors governing ledger</x:v>
      </x:c>
      <x:c r="E4193" t="str">
        <x:f>'Release Gates'!I4153</x:f>
        <x:v>OPEN</x:v>
      </x:c>
      <x:c r="F4193" t="str">
        <x:f>IF('Release Gates'!C4153="PLANNING","PASS",IF('Release Gates'!C4153="PHYSICAL","OPEN","BLOCKED"))</x:f>
        <x:v>OPEN</x:v>
      </x:c>
      <x:c r="G4193" t="str">
        <x:v>equals</x:v>
      </x:c>
      <x:c r="H4193" t="str">
        <x:f>IF(E4193=F4193,"PASS","FAIL")</x:f>
        <x:v>PASS</x:v>
      </x:c>
    </x:row>
    <x:row r="4194">
      <x:c r="B4194" t="str">
        <x:v>A-04148</x:v>
      </x:c>
      <x:c r="C4194" t="str">
        <x:v>GATE</x:v>
      </x:c>
      <x:c r="D4194" t="str">
        <x:v>release state mirrors governing ledger</x:v>
      </x:c>
      <x:c r="E4194" t="str">
        <x:f>'Release Gates'!I4154</x:f>
        <x:v>OPEN</x:v>
      </x:c>
      <x:c r="F4194" t="str">
        <x:f>IF('Release Gates'!C4154="PLANNING","PASS",IF('Release Gates'!C4154="PHYSICAL","OPEN","BLOCKED"))</x:f>
        <x:v>OPEN</x:v>
      </x:c>
      <x:c r="G4194" t="str">
        <x:v>equals</x:v>
      </x:c>
      <x:c r="H4194" t="str">
        <x:f>IF(E4194=F4194,"PASS","FAIL")</x:f>
        <x:v>PASS</x:v>
      </x:c>
    </x:row>
    <x:row r="4195">
      <x:c r="B4195" t="str">
        <x:v>A-04149</x:v>
      </x:c>
      <x:c r="C4195" t="str">
        <x:v>GATE</x:v>
      </x:c>
      <x:c r="D4195" t="str">
        <x:v>release state mirrors governing ledger</x:v>
      </x:c>
      <x:c r="E4195" t="str">
        <x:f>'Release Gates'!I4155</x:f>
        <x:v>OPEN</x:v>
      </x:c>
      <x:c r="F4195" t="str">
        <x:f>IF('Release Gates'!C4155="PLANNING","PASS",IF('Release Gates'!C4155="PHYSICAL","OPEN","BLOCKED"))</x:f>
        <x:v>OPEN</x:v>
      </x:c>
      <x:c r="G4195" t="str">
        <x:v>equals</x:v>
      </x:c>
      <x:c r="H4195" t="str">
        <x:f>IF(E4195=F4195,"PASS","FAIL")</x:f>
        <x:v>PASS</x:v>
      </x:c>
    </x:row>
    <x:row r="4196">
      <x:c r="B4196" t="str">
        <x:v>A-04150</x:v>
      </x:c>
      <x:c r="C4196" t="str">
        <x:v>GATE</x:v>
      </x:c>
      <x:c r="D4196" t="str">
        <x:v>release state mirrors governing ledger</x:v>
      </x:c>
      <x:c r="E4196" t="str">
        <x:f>'Release Gates'!I4156</x:f>
        <x:v>OPEN</x:v>
      </x:c>
      <x:c r="F4196" t="str">
        <x:f>IF('Release Gates'!C4156="PLANNING","PASS",IF('Release Gates'!C4156="PHYSICAL","OPEN","BLOCKED"))</x:f>
        <x:v>OPEN</x:v>
      </x:c>
      <x:c r="G4196" t="str">
        <x:v>equals</x:v>
      </x:c>
      <x:c r="H4196" t="str">
        <x:f>IF(E4196=F4196,"PASS","FAIL")</x:f>
        <x:v>PASS</x:v>
      </x:c>
    </x:row>
    <x:row r="4197">
      <x:c r="B4197" t="str">
        <x:v>A-04151</x:v>
      </x:c>
      <x:c r="C4197" t="str">
        <x:v>GATE</x:v>
      </x:c>
      <x:c r="D4197" t="str">
        <x:v>release state mirrors governing ledger</x:v>
      </x:c>
      <x:c r="E4197" t="str">
        <x:f>'Release Gates'!I4157</x:f>
        <x:v>OPEN</x:v>
      </x:c>
      <x:c r="F4197" t="str">
        <x:f>IF('Release Gates'!C4157="PLANNING","PASS",IF('Release Gates'!C4157="PHYSICAL","OPEN","BLOCKED"))</x:f>
        <x:v>OPEN</x:v>
      </x:c>
      <x:c r="G4197" t="str">
        <x:v>equals</x:v>
      </x:c>
      <x:c r="H4197" t="str">
        <x:f>IF(E4197=F4197,"PASS","FAIL")</x:f>
        <x:v>PASS</x:v>
      </x:c>
    </x:row>
    <x:row r="4198">
      <x:c r="B4198" t="str">
        <x:v>A-04152</x:v>
      </x:c>
      <x:c r="C4198" t="str">
        <x:v>GATE</x:v>
      </x:c>
      <x:c r="D4198" t="str">
        <x:v>release state mirrors governing ledger</x:v>
      </x:c>
      <x:c r="E4198" t="str">
        <x:f>'Release Gates'!I4158</x:f>
        <x:v>OPEN</x:v>
      </x:c>
      <x:c r="F4198" t="str">
        <x:f>IF('Release Gates'!C4158="PLANNING","PASS",IF('Release Gates'!C4158="PHYSICAL","OPEN","BLOCKED"))</x:f>
        <x:v>OPEN</x:v>
      </x:c>
      <x:c r="G4198" t="str">
        <x:v>equals</x:v>
      </x:c>
      <x:c r="H4198" t="str">
        <x:f>IF(E4198=F4198,"PASS","FAIL")</x:f>
        <x:v>PASS</x:v>
      </x:c>
    </x:row>
    <x:row r="4199">
      <x:c r="B4199" t="str">
        <x:v>A-04153</x:v>
      </x:c>
      <x:c r="C4199" t="str">
        <x:v>GATE</x:v>
      </x:c>
      <x:c r="D4199" t="str">
        <x:v>release state mirrors governing ledger</x:v>
      </x:c>
      <x:c r="E4199" t="str">
        <x:f>'Release Gates'!I4159</x:f>
        <x:v>OPEN</x:v>
      </x:c>
      <x:c r="F4199" t="str">
        <x:f>IF('Release Gates'!C4159="PLANNING","PASS",IF('Release Gates'!C4159="PHYSICAL","OPEN","BLOCKED"))</x:f>
        <x:v>OPEN</x:v>
      </x:c>
      <x:c r="G4199" t="str">
        <x:v>equals</x:v>
      </x:c>
      <x:c r="H4199" t="str">
        <x:f>IF(E4199=F4199,"PASS","FAIL")</x:f>
        <x:v>PASS</x:v>
      </x:c>
    </x:row>
    <x:row r="4200">
      <x:c r="B4200" t="str">
        <x:v>A-04154</x:v>
      </x:c>
      <x:c r="C4200" t="str">
        <x:v>GATE</x:v>
      </x:c>
      <x:c r="D4200" t="str">
        <x:v>release state mirrors governing ledger</x:v>
      </x:c>
      <x:c r="E4200" t="str">
        <x:f>'Release Gates'!I4160</x:f>
        <x:v>OPEN</x:v>
      </x:c>
      <x:c r="F4200" t="str">
        <x:f>IF('Release Gates'!C4160="PLANNING","PASS",IF('Release Gates'!C4160="PHYSICAL","OPEN","BLOCKED"))</x:f>
        <x:v>OPEN</x:v>
      </x:c>
      <x:c r="G4200" t="str">
        <x:v>equals</x:v>
      </x:c>
      <x:c r="H4200" t="str">
        <x:f>IF(E4200=F4200,"PASS","FAIL")</x:f>
        <x:v>PASS</x:v>
      </x:c>
    </x:row>
    <x:row r="4201">
      <x:c r="B4201" t="str">
        <x:v>A-04155</x:v>
      </x:c>
      <x:c r="C4201" t="str">
        <x:v>GATE</x:v>
      </x:c>
      <x:c r="D4201" t="str">
        <x:v>release state mirrors governing ledger</x:v>
      </x:c>
      <x:c r="E4201" t="str">
        <x:f>'Release Gates'!I4161</x:f>
        <x:v>OPEN</x:v>
      </x:c>
      <x:c r="F4201" t="str">
        <x:f>IF('Release Gates'!C4161="PLANNING","PASS",IF('Release Gates'!C4161="PHYSICAL","OPEN","BLOCKED"))</x:f>
        <x:v>OPEN</x:v>
      </x:c>
      <x:c r="G4201" t="str">
        <x:v>equals</x:v>
      </x:c>
      <x:c r="H4201" t="str">
        <x:f>IF(E4201=F4201,"PASS","FAIL")</x:f>
        <x:v>PASS</x:v>
      </x:c>
    </x:row>
    <x:row r="4202">
      <x:c r="B4202" t="str">
        <x:v>A-04156</x:v>
      </x:c>
      <x:c r="C4202" t="str">
        <x:v>GATE</x:v>
      </x:c>
      <x:c r="D4202" t="str">
        <x:v>release state mirrors governing ledger</x:v>
      </x:c>
      <x:c r="E4202" t="str">
        <x:f>'Release Gates'!I4162</x:f>
        <x:v>OPEN</x:v>
      </x:c>
      <x:c r="F4202" t="str">
        <x:f>IF('Release Gates'!C4162="PLANNING","PASS",IF('Release Gates'!C4162="PHYSICAL","OPEN","BLOCKED"))</x:f>
        <x:v>OPEN</x:v>
      </x:c>
      <x:c r="G4202" t="str">
        <x:v>equals</x:v>
      </x:c>
      <x:c r="H4202" t="str">
        <x:f>IF(E4202=F4202,"PASS","FAIL")</x:f>
        <x:v>PASS</x:v>
      </x:c>
    </x:row>
    <x:row r="4203">
      <x:c r="B4203" t="str">
        <x:v>A-04157</x:v>
      </x:c>
      <x:c r="C4203" t="str">
        <x:v>GATE</x:v>
      </x:c>
      <x:c r="D4203" t="str">
        <x:v>release state mirrors governing ledger</x:v>
      </x:c>
      <x:c r="E4203" t="str">
        <x:f>'Release Gates'!I4163</x:f>
        <x:v>OPEN</x:v>
      </x:c>
      <x:c r="F4203" t="str">
        <x:f>IF('Release Gates'!C4163="PLANNING","PASS",IF('Release Gates'!C4163="PHYSICAL","OPEN","BLOCKED"))</x:f>
        <x:v>OPEN</x:v>
      </x:c>
      <x:c r="G4203" t="str">
        <x:v>equals</x:v>
      </x:c>
      <x:c r="H4203" t="str">
        <x:f>IF(E4203=F4203,"PASS","FAIL")</x:f>
        <x:v>PASS</x:v>
      </x:c>
    </x:row>
    <x:row r="4204">
      <x:c r="B4204" t="str">
        <x:v>A-04158</x:v>
      </x:c>
      <x:c r="C4204" t="str">
        <x:v>GATE</x:v>
      </x:c>
      <x:c r="D4204" t="str">
        <x:v>release state mirrors governing ledger</x:v>
      </x:c>
      <x:c r="E4204" t="str">
        <x:f>'Release Gates'!I4164</x:f>
        <x:v>OPEN</x:v>
      </x:c>
      <x:c r="F4204" t="str">
        <x:f>IF('Release Gates'!C4164="PLANNING","PASS",IF('Release Gates'!C4164="PHYSICAL","OPEN","BLOCKED"))</x:f>
        <x:v>OPEN</x:v>
      </x:c>
      <x:c r="G4204" t="str">
        <x:v>equals</x:v>
      </x:c>
      <x:c r="H4204" t="str">
        <x:f>IF(E4204=F4204,"PASS","FAIL")</x:f>
        <x:v>PASS</x:v>
      </x:c>
    </x:row>
    <x:row r="4205">
      <x:c r="B4205" t="str">
        <x:v>A-04159</x:v>
      </x:c>
      <x:c r="C4205" t="str">
        <x:v>GATE</x:v>
      </x:c>
      <x:c r="D4205" t="str">
        <x:v>release state mirrors governing ledger</x:v>
      </x:c>
      <x:c r="E4205" t="str">
        <x:f>'Release Gates'!I4165</x:f>
        <x:v>OPEN</x:v>
      </x:c>
      <x:c r="F4205" t="str">
        <x:f>IF('Release Gates'!C4165="PLANNING","PASS",IF('Release Gates'!C4165="PHYSICAL","OPEN","BLOCKED"))</x:f>
        <x:v>OPEN</x:v>
      </x:c>
      <x:c r="G4205" t="str">
        <x:v>equals</x:v>
      </x:c>
      <x:c r="H4205" t="str">
        <x:f>IF(E4205=F4205,"PASS","FAIL")</x:f>
        <x:v>PASS</x:v>
      </x:c>
    </x:row>
    <x:row r="4206">
      <x:c r="B4206" t="str">
        <x:v>A-04160</x:v>
      </x:c>
      <x:c r="C4206" t="str">
        <x:v>GATE</x:v>
      </x:c>
      <x:c r="D4206" t="str">
        <x:v>release state mirrors governing ledger</x:v>
      </x:c>
      <x:c r="E4206" t="str">
        <x:f>'Release Gates'!I4166</x:f>
        <x:v>OPEN</x:v>
      </x:c>
      <x:c r="F4206" t="str">
        <x:f>IF('Release Gates'!C4166="PLANNING","PASS",IF('Release Gates'!C4166="PHYSICAL","OPEN","BLOCKED"))</x:f>
        <x:v>OPEN</x:v>
      </x:c>
      <x:c r="G4206" t="str">
        <x:v>equals</x:v>
      </x:c>
      <x:c r="H4206" t="str">
        <x:f>IF(E4206=F4206,"PASS","FAIL")</x:f>
        <x:v>PASS</x:v>
      </x:c>
    </x:row>
    <x:row r="4207">
      <x:c r="B4207" t="str">
        <x:v>A-04161</x:v>
      </x:c>
      <x:c r="C4207" t="str">
        <x:v>GATE</x:v>
      </x:c>
      <x:c r="D4207" t="str">
        <x:v>release state mirrors governing ledger</x:v>
      </x:c>
      <x:c r="E4207" t="str">
        <x:f>'Release Gates'!I4167</x:f>
        <x:v>OPEN</x:v>
      </x:c>
      <x:c r="F4207" t="str">
        <x:f>IF('Release Gates'!C4167="PLANNING","PASS",IF('Release Gates'!C4167="PHYSICAL","OPEN","BLOCKED"))</x:f>
        <x:v>OPEN</x:v>
      </x:c>
      <x:c r="G4207" t="str">
        <x:v>equals</x:v>
      </x:c>
      <x:c r="H4207" t="str">
        <x:f>IF(E4207=F4207,"PASS","FAIL")</x:f>
        <x:v>PASS</x:v>
      </x:c>
    </x:row>
    <x:row r="4208">
      <x:c r="B4208" t="str">
        <x:v>A-04162</x:v>
      </x:c>
      <x:c r="C4208" t="str">
        <x:v>GATE</x:v>
      </x:c>
      <x:c r="D4208" t="str">
        <x:v>release state mirrors governing ledger</x:v>
      </x:c>
      <x:c r="E4208" t="str">
        <x:f>'Release Gates'!I4168</x:f>
        <x:v>OPEN</x:v>
      </x:c>
      <x:c r="F4208" t="str">
        <x:f>IF('Release Gates'!C4168="PLANNING","PASS",IF('Release Gates'!C4168="PHYSICAL","OPEN","BLOCKED"))</x:f>
        <x:v>OPEN</x:v>
      </x:c>
      <x:c r="G4208" t="str">
        <x:v>equals</x:v>
      </x:c>
      <x:c r="H4208" t="str">
        <x:f>IF(E4208=F4208,"PASS","FAIL")</x:f>
        <x:v>PASS</x:v>
      </x:c>
    </x:row>
    <x:row r="4209">
      <x:c r="B4209" t="str">
        <x:v>A-04163</x:v>
      </x:c>
      <x:c r="C4209" t="str">
        <x:v>GATE</x:v>
      </x:c>
      <x:c r="D4209" t="str">
        <x:v>release state mirrors governing ledger</x:v>
      </x:c>
      <x:c r="E4209" t="str">
        <x:f>'Release Gates'!I4169</x:f>
        <x:v>OPEN</x:v>
      </x:c>
      <x:c r="F4209" t="str">
        <x:f>IF('Release Gates'!C4169="PLANNING","PASS",IF('Release Gates'!C4169="PHYSICAL","OPEN","BLOCKED"))</x:f>
        <x:v>OPEN</x:v>
      </x:c>
      <x:c r="G4209" t="str">
        <x:v>equals</x:v>
      </x:c>
      <x:c r="H4209" t="str">
        <x:f>IF(E4209=F4209,"PASS","FAIL")</x:f>
        <x:v>PASS</x:v>
      </x:c>
    </x:row>
    <x:row r="4210">
      <x:c r="B4210" t="str">
        <x:v>A-04164</x:v>
      </x:c>
      <x:c r="C4210" t="str">
        <x:v>GATE</x:v>
      </x:c>
      <x:c r="D4210" t="str">
        <x:v>release state mirrors governing ledger</x:v>
      </x:c>
      <x:c r="E4210" t="str">
        <x:f>'Release Gates'!I4170</x:f>
        <x:v>OPEN</x:v>
      </x:c>
      <x:c r="F4210" t="str">
        <x:f>IF('Release Gates'!C4170="PLANNING","PASS",IF('Release Gates'!C4170="PHYSICAL","OPEN","BLOCKED"))</x:f>
        <x:v>OPEN</x:v>
      </x:c>
      <x:c r="G4210" t="str">
        <x:v>equals</x:v>
      </x:c>
      <x:c r="H4210" t="str">
        <x:f>IF(E4210=F4210,"PASS","FAIL")</x:f>
        <x:v>PASS</x:v>
      </x:c>
    </x:row>
    <x:row r="4211">
      <x:c r="B4211" t="str">
        <x:v>A-04165</x:v>
      </x:c>
      <x:c r="C4211" t="str">
        <x:v>GATE</x:v>
      </x:c>
      <x:c r="D4211" t="str">
        <x:v>release state mirrors governing ledger</x:v>
      </x:c>
      <x:c r="E4211" t="str">
        <x:f>'Release Gates'!I4171</x:f>
        <x:v>OPEN</x:v>
      </x:c>
      <x:c r="F4211" t="str">
        <x:f>IF('Release Gates'!C4171="PLANNING","PASS",IF('Release Gates'!C4171="PHYSICAL","OPEN","BLOCKED"))</x:f>
        <x:v>OPEN</x:v>
      </x:c>
      <x:c r="G4211" t="str">
        <x:v>equals</x:v>
      </x:c>
      <x:c r="H4211" t="str">
        <x:f>IF(E4211=F4211,"PASS","FAIL")</x:f>
        <x:v>PASS</x:v>
      </x:c>
    </x:row>
    <x:row r="4212">
      <x:c r="B4212" t="str">
        <x:v>A-04166</x:v>
      </x:c>
      <x:c r="C4212" t="str">
        <x:v>GATE</x:v>
      </x:c>
      <x:c r="D4212" t="str">
        <x:v>release state mirrors governing ledger</x:v>
      </x:c>
      <x:c r="E4212" t="str">
        <x:f>'Release Gates'!I4172</x:f>
        <x:v>OPEN</x:v>
      </x:c>
      <x:c r="F4212" t="str">
        <x:f>IF('Release Gates'!C4172="PLANNING","PASS",IF('Release Gates'!C4172="PHYSICAL","OPEN","BLOCKED"))</x:f>
        <x:v>OPEN</x:v>
      </x:c>
      <x:c r="G4212" t="str">
        <x:v>equals</x:v>
      </x:c>
      <x:c r="H4212" t="str">
        <x:f>IF(E4212=F4212,"PASS","FAIL")</x:f>
        <x:v>PASS</x:v>
      </x:c>
    </x:row>
    <x:row r="4213">
      <x:c r="B4213" t="str">
        <x:v>A-04167</x:v>
      </x:c>
      <x:c r="C4213" t="str">
        <x:v>GATE</x:v>
      </x:c>
      <x:c r="D4213" t="str">
        <x:v>release state mirrors governing ledger</x:v>
      </x:c>
      <x:c r="E4213" t="str">
        <x:f>'Release Gates'!I4173</x:f>
        <x:v>OPEN</x:v>
      </x:c>
      <x:c r="F4213" t="str">
        <x:f>IF('Release Gates'!C4173="PLANNING","PASS",IF('Release Gates'!C4173="PHYSICAL","OPEN","BLOCKED"))</x:f>
        <x:v>OPEN</x:v>
      </x:c>
      <x:c r="G4213" t="str">
        <x:v>equals</x:v>
      </x:c>
      <x:c r="H4213" t="str">
        <x:f>IF(E4213=F4213,"PASS","FAIL")</x:f>
        <x:v>PASS</x:v>
      </x:c>
    </x:row>
    <x:row r="4214">
      <x:c r="B4214" t="str">
        <x:v>A-04168</x:v>
      </x:c>
      <x:c r="C4214" t="str">
        <x:v>GATE</x:v>
      </x:c>
      <x:c r="D4214" t="str">
        <x:v>release state mirrors governing ledger</x:v>
      </x:c>
      <x:c r="E4214" t="str">
        <x:f>'Release Gates'!I4174</x:f>
        <x:v>OPEN</x:v>
      </x:c>
      <x:c r="F4214" t="str">
        <x:f>IF('Release Gates'!C4174="PLANNING","PASS",IF('Release Gates'!C4174="PHYSICAL","OPEN","BLOCKED"))</x:f>
        <x:v>OPEN</x:v>
      </x:c>
      <x:c r="G4214" t="str">
        <x:v>equals</x:v>
      </x:c>
      <x:c r="H4214" t="str">
        <x:f>IF(E4214=F4214,"PASS","FAIL")</x:f>
        <x:v>PASS</x:v>
      </x:c>
    </x:row>
    <x:row r="4215">
      <x:c r="B4215" t="str">
        <x:v>A-04169</x:v>
      </x:c>
      <x:c r="C4215" t="str">
        <x:v>GATE</x:v>
      </x:c>
      <x:c r="D4215" t="str">
        <x:v>release state mirrors governing ledger</x:v>
      </x:c>
      <x:c r="E4215" t="str">
        <x:f>'Release Gates'!I4175</x:f>
        <x:v>OPEN</x:v>
      </x:c>
      <x:c r="F4215" t="str">
        <x:f>IF('Release Gates'!C4175="PLANNING","PASS",IF('Release Gates'!C4175="PHYSICAL","OPEN","BLOCKED"))</x:f>
        <x:v>OPEN</x:v>
      </x:c>
      <x:c r="G4215" t="str">
        <x:v>equals</x:v>
      </x:c>
      <x:c r="H4215" t="str">
        <x:f>IF(E4215=F4215,"PASS","FAIL")</x:f>
        <x:v>PASS</x:v>
      </x:c>
    </x:row>
    <x:row r="4216">
      <x:c r="B4216" t="str">
        <x:v>A-04170</x:v>
      </x:c>
      <x:c r="C4216" t="str">
        <x:v>GATE</x:v>
      </x:c>
      <x:c r="D4216" t="str">
        <x:v>release state mirrors governing ledger</x:v>
      </x:c>
      <x:c r="E4216" t="str">
        <x:f>'Release Gates'!I4176</x:f>
        <x:v>OPEN</x:v>
      </x:c>
      <x:c r="F4216" t="str">
        <x:f>IF('Release Gates'!C4176="PLANNING","PASS",IF('Release Gates'!C4176="PHYSICAL","OPEN","BLOCKED"))</x:f>
        <x:v>OPEN</x:v>
      </x:c>
      <x:c r="G4216" t="str">
        <x:v>equals</x:v>
      </x:c>
      <x:c r="H4216" t="str">
        <x:f>IF(E4216=F4216,"PASS","FAIL")</x:f>
        <x:v>PASS</x:v>
      </x:c>
    </x:row>
    <x:row r="4217">
      <x:c r="B4217" t="str">
        <x:v>A-04171</x:v>
      </x:c>
      <x:c r="C4217" t="str">
        <x:v>GATE</x:v>
      </x:c>
      <x:c r="D4217" t="str">
        <x:v>release state mirrors governing ledger</x:v>
      </x:c>
      <x:c r="E4217" t="str">
        <x:f>'Release Gates'!I4177</x:f>
        <x:v>OPEN</x:v>
      </x:c>
      <x:c r="F4217" t="str">
        <x:f>IF('Release Gates'!C4177="PLANNING","PASS",IF('Release Gates'!C4177="PHYSICAL","OPEN","BLOCKED"))</x:f>
        <x:v>OPEN</x:v>
      </x:c>
      <x:c r="G4217" t="str">
        <x:v>equals</x:v>
      </x:c>
      <x:c r="H4217" t="str">
        <x:f>IF(E4217=F4217,"PASS","FAIL")</x:f>
        <x:v>PASS</x:v>
      </x:c>
    </x:row>
    <x:row r="4218">
      <x:c r="B4218" t="str">
        <x:v>A-04172</x:v>
      </x:c>
      <x:c r="C4218" t="str">
        <x:v>GATE</x:v>
      </x:c>
      <x:c r="D4218" t="str">
        <x:v>release state mirrors governing ledger</x:v>
      </x:c>
      <x:c r="E4218" t="str">
        <x:f>'Release Gates'!I4178</x:f>
        <x:v>OPEN</x:v>
      </x:c>
      <x:c r="F4218" t="str">
        <x:f>IF('Release Gates'!C4178="PLANNING","PASS",IF('Release Gates'!C4178="PHYSICAL","OPEN","BLOCKED"))</x:f>
        <x:v>OPEN</x:v>
      </x:c>
      <x:c r="G4218" t="str">
        <x:v>equals</x:v>
      </x:c>
      <x:c r="H4218" t="str">
        <x:f>IF(E4218=F4218,"PASS","FAIL")</x:f>
        <x:v>PASS</x:v>
      </x:c>
    </x:row>
    <x:row r="4219">
      <x:c r="B4219" t="str">
        <x:v>A-04173</x:v>
      </x:c>
      <x:c r="C4219" t="str">
        <x:v>GATE</x:v>
      </x:c>
      <x:c r="D4219" t="str">
        <x:v>release state mirrors governing ledger</x:v>
      </x:c>
      <x:c r="E4219" t="str">
        <x:f>'Release Gates'!I4179</x:f>
        <x:v>OPEN</x:v>
      </x:c>
      <x:c r="F4219" t="str">
        <x:f>IF('Release Gates'!C4179="PLANNING","PASS",IF('Release Gates'!C4179="PHYSICAL","OPEN","BLOCKED"))</x:f>
        <x:v>OPEN</x:v>
      </x:c>
      <x:c r="G4219" t="str">
        <x:v>equals</x:v>
      </x:c>
      <x:c r="H4219" t="str">
        <x:f>IF(E4219=F4219,"PASS","FAIL")</x:f>
        <x:v>PASS</x:v>
      </x:c>
    </x:row>
    <x:row r="4220">
      <x:c r="B4220" t="str">
        <x:v>A-04174</x:v>
      </x:c>
      <x:c r="C4220" t="str">
        <x:v>GATE</x:v>
      </x:c>
      <x:c r="D4220" t="str">
        <x:v>release state mirrors governing ledger</x:v>
      </x:c>
      <x:c r="E4220" t="str">
        <x:f>'Release Gates'!I4180</x:f>
        <x:v>OPEN</x:v>
      </x:c>
      <x:c r="F4220" t="str">
        <x:f>IF('Release Gates'!C4180="PLANNING","PASS",IF('Release Gates'!C4180="PHYSICAL","OPEN","BLOCKED"))</x:f>
        <x:v>OPEN</x:v>
      </x:c>
      <x:c r="G4220" t="str">
        <x:v>equals</x:v>
      </x:c>
      <x:c r="H4220" t="str">
        <x:f>IF(E4220=F4220,"PASS","FAIL")</x:f>
        <x:v>PASS</x:v>
      </x:c>
    </x:row>
    <x:row r="4221">
      <x:c r="B4221" t="str">
        <x:v>A-04175</x:v>
      </x:c>
      <x:c r="C4221" t="str">
        <x:v>GATE</x:v>
      </x:c>
      <x:c r="D4221" t="str">
        <x:v>release state mirrors governing ledger</x:v>
      </x:c>
      <x:c r="E4221" t="str">
        <x:f>'Release Gates'!I4181</x:f>
        <x:v>OPEN</x:v>
      </x:c>
      <x:c r="F4221" t="str">
        <x:f>IF('Release Gates'!C4181="PLANNING","PASS",IF('Release Gates'!C4181="PHYSICAL","OPEN","BLOCKED"))</x:f>
        <x:v>OPEN</x:v>
      </x:c>
      <x:c r="G4221" t="str">
        <x:v>equals</x:v>
      </x:c>
      <x:c r="H4221" t="str">
        <x:f>IF(E4221=F4221,"PASS","FAIL")</x:f>
        <x:v>PASS</x:v>
      </x:c>
    </x:row>
    <x:row r="4222">
      <x:c r="B4222" t="str">
        <x:v>A-04176</x:v>
      </x:c>
      <x:c r="C4222" t="str">
        <x:v>GATE</x:v>
      </x:c>
      <x:c r="D4222" t="str">
        <x:v>release state mirrors governing ledger</x:v>
      </x:c>
      <x:c r="E4222" t="str">
        <x:f>'Release Gates'!I4182</x:f>
        <x:v>OPEN</x:v>
      </x:c>
      <x:c r="F4222" t="str">
        <x:f>IF('Release Gates'!C4182="PLANNING","PASS",IF('Release Gates'!C4182="PHYSICAL","OPEN","BLOCKED"))</x:f>
        <x:v>OPEN</x:v>
      </x:c>
      <x:c r="G4222" t="str">
        <x:v>equals</x:v>
      </x:c>
      <x:c r="H4222" t="str">
        <x:f>IF(E4222=F4222,"PASS","FAIL")</x:f>
        <x:v>PASS</x:v>
      </x:c>
    </x:row>
    <x:row r="4223">
      <x:c r="B4223" t="str">
        <x:v>A-04177</x:v>
      </x:c>
      <x:c r="C4223" t="str">
        <x:v>GATE</x:v>
      </x:c>
      <x:c r="D4223" t="str">
        <x:v>release state mirrors governing ledger</x:v>
      </x:c>
      <x:c r="E4223" t="str">
        <x:f>'Release Gates'!I4183</x:f>
        <x:v>OPEN</x:v>
      </x:c>
      <x:c r="F4223" t="str">
        <x:f>IF('Release Gates'!C4183="PLANNING","PASS",IF('Release Gates'!C4183="PHYSICAL","OPEN","BLOCKED"))</x:f>
        <x:v>OPEN</x:v>
      </x:c>
      <x:c r="G4223" t="str">
        <x:v>equals</x:v>
      </x:c>
      <x:c r="H4223" t="str">
        <x:f>IF(E4223=F4223,"PASS","FAIL")</x:f>
        <x:v>PASS</x:v>
      </x:c>
    </x:row>
    <x:row r="4224">
      <x:c r="B4224" t="str">
        <x:v>A-04178</x:v>
      </x:c>
      <x:c r="C4224" t="str">
        <x:v>GATE</x:v>
      </x:c>
      <x:c r="D4224" t="str">
        <x:v>release state mirrors governing ledger</x:v>
      </x:c>
      <x:c r="E4224" t="str">
        <x:f>'Release Gates'!I4184</x:f>
        <x:v>OPEN</x:v>
      </x:c>
      <x:c r="F4224" t="str">
        <x:f>IF('Release Gates'!C4184="PLANNING","PASS",IF('Release Gates'!C4184="PHYSICAL","OPEN","BLOCKED"))</x:f>
        <x:v>OPEN</x:v>
      </x:c>
      <x:c r="G4224" t="str">
        <x:v>equals</x:v>
      </x:c>
      <x:c r="H4224" t="str">
        <x:f>IF(E4224=F4224,"PASS","FAIL")</x:f>
        <x:v>PASS</x:v>
      </x:c>
    </x:row>
    <x:row r="4225">
      <x:c r="B4225" t="str">
        <x:v>A-04179</x:v>
      </x:c>
      <x:c r="C4225" t="str">
        <x:v>GATE</x:v>
      </x:c>
      <x:c r="D4225" t="str">
        <x:v>release state mirrors governing ledger</x:v>
      </x:c>
      <x:c r="E4225" t="str">
        <x:f>'Release Gates'!I4185</x:f>
        <x:v>OPEN</x:v>
      </x:c>
      <x:c r="F4225" t="str">
        <x:f>IF('Release Gates'!C4185="PLANNING","PASS",IF('Release Gates'!C4185="PHYSICAL","OPEN","BLOCKED"))</x:f>
        <x:v>OPEN</x:v>
      </x:c>
      <x:c r="G4225" t="str">
        <x:v>equals</x:v>
      </x:c>
      <x:c r="H4225" t="str">
        <x:f>IF(E4225=F4225,"PASS","FAIL")</x:f>
        <x:v>PASS</x:v>
      </x:c>
    </x:row>
    <x:row r="4226">
      <x:c r="B4226" t="str">
        <x:v>A-04180</x:v>
      </x:c>
      <x:c r="C4226" t="str">
        <x:v>GATE</x:v>
      </x:c>
      <x:c r="D4226" t="str">
        <x:v>release state mirrors governing ledger</x:v>
      </x:c>
      <x:c r="E4226" t="str">
        <x:f>'Release Gates'!I4186</x:f>
        <x:v>OPEN</x:v>
      </x:c>
      <x:c r="F4226" t="str">
        <x:f>IF('Release Gates'!C4186="PLANNING","PASS",IF('Release Gates'!C4186="PHYSICAL","OPEN","BLOCKED"))</x:f>
        <x:v>OPEN</x:v>
      </x:c>
      <x:c r="G4226" t="str">
        <x:v>equals</x:v>
      </x:c>
      <x:c r="H4226" t="str">
        <x:f>IF(E4226=F4226,"PASS","FAIL")</x:f>
        <x:v>PASS</x:v>
      </x:c>
    </x:row>
    <x:row r="4227">
      <x:c r="B4227" t="str">
        <x:v>A-04181</x:v>
      </x:c>
      <x:c r="C4227" t="str">
        <x:v>GATE</x:v>
      </x:c>
      <x:c r="D4227" t="str">
        <x:v>release state mirrors governing ledger</x:v>
      </x:c>
      <x:c r="E4227" t="str">
        <x:f>'Release Gates'!I4187</x:f>
        <x:v>OPEN</x:v>
      </x:c>
      <x:c r="F4227" t="str">
        <x:f>IF('Release Gates'!C4187="PLANNING","PASS",IF('Release Gates'!C4187="PHYSICAL","OPEN","BLOCKED"))</x:f>
        <x:v>OPEN</x:v>
      </x:c>
      <x:c r="G4227" t="str">
        <x:v>equals</x:v>
      </x:c>
      <x:c r="H4227" t="str">
        <x:f>IF(E4227=F4227,"PASS","FAIL")</x:f>
        <x:v>PASS</x:v>
      </x:c>
    </x:row>
    <x:row r="4228">
      <x:c r="B4228" t="str">
        <x:v>A-04182</x:v>
      </x:c>
      <x:c r="C4228" t="str">
        <x:v>GATE</x:v>
      </x:c>
      <x:c r="D4228" t="str">
        <x:v>release state mirrors governing ledger</x:v>
      </x:c>
      <x:c r="E4228" t="str">
        <x:f>'Release Gates'!I4188</x:f>
        <x:v>OPEN</x:v>
      </x:c>
      <x:c r="F4228" t="str">
        <x:f>IF('Release Gates'!C4188="PLANNING","PASS",IF('Release Gates'!C4188="PHYSICAL","OPEN","BLOCKED"))</x:f>
        <x:v>OPEN</x:v>
      </x:c>
      <x:c r="G4228" t="str">
        <x:v>equals</x:v>
      </x:c>
      <x:c r="H4228" t="str">
        <x:f>IF(E4228=F4228,"PASS","FAIL")</x:f>
        <x:v>PASS</x:v>
      </x:c>
    </x:row>
    <x:row r="4229">
      <x:c r="B4229" t="str">
        <x:v>A-04183</x:v>
      </x:c>
      <x:c r="C4229" t="str">
        <x:v>GATE</x:v>
      </x:c>
      <x:c r="D4229" t="str">
        <x:v>release state mirrors governing ledger</x:v>
      </x:c>
      <x:c r="E4229" t="str">
        <x:f>'Release Gates'!I4189</x:f>
        <x:v>OPEN</x:v>
      </x:c>
      <x:c r="F4229" t="str">
        <x:f>IF('Release Gates'!C4189="PLANNING","PASS",IF('Release Gates'!C4189="PHYSICAL","OPEN","BLOCKED"))</x:f>
        <x:v>OPEN</x:v>
      </x:c>
      <x:c r="G4229" t="str">
        <x:v>equals</x:v>
      </x:c>
      <x:c r="H4229" t="str">
        <x:f>IF(E4229=F4229,"PASS","FAIL")</x:f>
        <x:v>PASS</x:v>
      </x:c>
    </x:row>
    <x:row r="4230">
      <x:c r="B4230" t="str">
        <x:v>A-04184</x:v>
      </x:c>
      <x:c r="C4230" t="str">
        <x:v>GATE</x:v>
      </x:c>
      <x:c r="D4230" t="str">
        <x:v>release state mirrors governing ledger</x:v>
      </x:c>
      <x:c r="E4230" t="str">
        <x:f>'Release Gates'!I4190</x:f>
        <x:v>OPEN</x:v>
      </x:c>
      <x:c r="F4230" t="str">
        <x:f>IF('Release Gates'!C4190="PLANNING","PASS",IF('Release Gates'!C4190="PHYSICAL","OPEN","BLOCKED"))</x:f>
        <x:v>OPEN</x:v>
      </x:c>
      <x:c r="G4230" t="str">
        <x:v>equals</x:v>
      </x:c>
      <x:c r="H4230" t="str">
        <x:f>IF(E4230=F4230,"PASS","FAIL")</x:f>
        <x:v>PASS</x:v>
      </x:c>
    </x:row>
    <x:row r="4231">
      <x:c r="B4231" t="str">
        <x:v>A-04185</x:v>
      </x:c>
      <x:c r="C4231" t="str">
        <x:v>GATE</x:v>
      </x:c>
      <x:c r="D4231" t="str">
        <x:v>release state mirrors governing ledger</x:v>
      </x:c>
      <x:c r="E4231" t="str">
        <x:f>'Release Gates'!I4191</x:f>
        <x:v>OPEN</x:v>
      </x:c>
      <x:c r="F4231" t="str">
        <x:f>IF('Release Gates'!C4191="PLANNING","PASS",IF('Release Gates'!C4191="PHYSICAL","OPEN","BLOCKED"))</x:f>
        <x:v>OPEN</x:v>
      </x:c>
      <x:c r="G4231" t="str">
        <x:v>equals</x:v>
      </x:c>
      <x:c r="H4231" t="str">
        <x:f>IF(E4231=F4231,"PASS","FAIL")</x:f>
        <x:v>PASS</x:v>
      </x:c>
    </x:row>
    <x:row r="4232">
      <x:c r="B4232" t="str">
        <x:v>A-04186</x:v>
      </x:c>
      <x:c r="C4232" t="str">
        <x:v>GATE</x:v>
      </x:c>
      <x:c r="D4232" t="str">
        <x:v>release state mirrors governing ledger</x:v>
      </x:c>
      <x:c r="E4232" t="str">
        <x:f>'Release Gates'!I4192</x:f>
        <x:v>OPEN</x:v>
      </x:c>
      <x:c r="F4232" t="str">
        <x:f>IF('Release Gates'!C4192="PLANNING","PASS",IF('Release Gates'!C4192="PHYSICAL","OPEN","BLOCKED"))</x:f>
        <x:v>OPEN</x:v>
      </x:c>
      <x:c r="G4232" t="str">
        <x:v>equals</x:v>
      </x:c>
      <x:c r="H4232" t="str">
        <x:f>IF(E4232=F4232,"PASS","FAIL")</x:f>
        <x:v>PASS</x:v>
      </x:c>
    </x:row>
    <x:row r="4233">
      <x:c r="B4233" t="str">
        <x:v>A-04187</x:v>
      </x:c>
      <x:c r="C4233" t="str">
        <x:v>GATE</x:v>
      </x:c>
      <x:c r="D4233" t="str">
        <x:v>release state mirrors governing ledger</x:v>
      </x:c>
      <x:c r="E4233" t="str">
        <x:f>'Release Gates'!I4193</x:f>
        <x:v>OPEN</x:v>
      </x:c>
      <x:c r="F4233" t="str">
        <x:f>IF('Release Gates'!C4193="PLANNING","PASS",IF('Release Gates'!C4193="PHYSICAL","OPEN","BLOCKED"))</x:f>
        <x:v>OPEN</x:v>
      </x:c>
      <x:c r="G4233" t="str">
        <x:v>equals</x:v>
      </x:c>
      <x:c r="H4233" t="str">
        <x:f>IF(E4233=F4233,"PASS","FAIL")</x:f>
        <x:v>PASS</x:v>
      </x:c>
    </x:row>
    <x:row r="4234">
      <x:c r="B4234" t="str">
        <x:v>A-04188</x:v>
      </x:c>
      <x:c r="C4234" t="str">
        <x:v>GATE</x:v>
      </x:c>
      <x:c r="D4234" t="str">
        <x:v>release state mirrors governing ledger</x:v>
      </x:c>
      <x:c r="E4234" t="str">
        <x:f>'Release Gates'!I4194</x:f>
        <x:v>OPEN</x:v>
      </x:c>
      <x:c r="F4234" t="str">
        <x:f>IF('Release Gates'!C4194="PLANNING","PASS",IF('Release Gates'!C4194="PHYSICAL","OPEN","BLOCKED"))</x:f>
        <x:v>OPEN</x:v>
      </x:c>
      <x:c r="G4234" t="str">
        <x:v>equals</x:v>
      </x:c>
      <x:c r="H4234" t="str">
        <x:f>IF(E4234=F4234,"PASS","FAIL")</x:f>
        <x:v>PASS</x:v>
      </x:c>
    </x:row>
    <x:row r="4235">
      <x:c r="B4235" t="str">
        <x:v>A-04189</x:v>
      </x:c>
      <x:c r="C4235" t="str">
        <x:v>GATE</x:v>
      </x:c>
      <x:c r="D4235" t="str">
        <x:v>release state mirrors governing ledger</x:v>
      </x:c>
      <x:c r="E4235" t="str">
        <x:f>'Release Gates'!I4195</x:f>
        <x:v>OPEN</x:v>
      </x:c>
      <x:c r="F4235" t="str">
        <x:f>IF('Release Gates'!C4195="PLANNING","PASS",IF('Release Gates'!C4195="PHYSICAL","OPEN","BLOCKED"))</x:f>
        <x:v>OPEN</x:v>
      </x:c>
      <x:c r="G4235" t="str">
        <x:v>equals</x:v>
      </x:c>
      <x:c r="H4235" t="str">
        <x:f>IF(E4235=F4235,"PASS","FAIL")</x:f>
        <x:v>PASS</x:v>
      </x:c>
    </x:row>
    <x:row r="4236">
      <x:c r="B4236" t="str">
        <x:v>A-04190</x:v>
      </x:c>
      <x:c r="C4236" t="str">
        <x:v>GATE</x:v>
      </x:c>
      <x:c r="D4236" t="str">
        <x:v>release state mirrors governing ledger</x:v>
      </x:c>
      <x:c r="E4236" t="str">
        <x:f>'Release Gates'!I4196</x:f>
        <x:v>OPEN</x:v>
      </x:c>
      <x:c r="F4236" t="str">
        <x:f>IF('Release Gates'!C4196="PLANNING","PASS",IF('Release Gates'!C4196="PHYSICAL","OPEN","BLOCKED"))</x:f>
        <x:v>OPEN</x:v>
      </x:c>
      <x:c r="G4236" t="str">
        <x:v>equals</x:v>
      </x:c>
      <x:c r="H4236" t="str">
        <x:f>IF(E4236=F4236,"PASS","FAIL")</x:f>
        <x:v>PASS</x:v>
      </x:c>
    </x:row>
    <x:row r="4237">
      <x:c r="B4237" t="str">
        <x:v>A-04191</x:v>
      </x:c>
      <x:c r="C4237" t="str">
        <x:v>GATE</x:v>
      </x:c>
      <x:c r="D4237" t="str">
        <x:v>release state mirrors governing ledger</x:v>
      </x:c>
      <x:c r="E4237" t="str">
        <x:f>'Release Gates'!I4197</x:f>
        <x:v>OPEN</x:v>
      </x:c>
      <x:c r="F4237" t="str">
        <x:f>IF('Release Gates'!C4197="PLANNING","PASS",IF('Release Gates'!C4197="PHYSICAL","OPEN","BLOCKED"))</x:f>
        <x:v>OPEN</x:v>
      </x:c>
      <x:c r="G4237" t="str">
        <x:v>equals</x:v>
      </x:c>
      <x:c r="H4237" t="str">
        <x:f>IF(E4237=F4237,"PASS","FAIL")</x:f>
        <x:v>PASS</x:v>
      </x:c>
    </x:row>
    <x:row r="4238">
      <x:c r="B4238" t="str">
        <x:v>A-04192</x:v>
      </x:c>
      <x:c r="C4238" t="str">
        <x:v>GATE</x:v>
      </x:c>
      <x:c r="D4238" t="str">
        <x:v>release state mirrors governing ledger</x:v>
      </x:c>
      <x:c r="E4238" t="str">
        <x:f>'Release Gates'!I4198</x:f>
        <x:v>OPEN</x:v>
      </x:c>
      <x:c r="F4238" t="str">
        <x:f>IF('Release Gates'!C4198="PLANNING","PASS",IF('Release Gates'!C4198="PHYSICAL","OPEN","BLOCKED"))</x:f>
        <x:v>OPEN</x:v>
      </x:c>
      <x:c r="G4238" t="str">
        <x:v>equals</x:v>
      </x:c>
      <x:c r="H4238" t="str">
        <x:f>IF(E4238=F4238,"PASS","FAIL")</x:f>
        <x:v>PASS</x:v>
      </x:c>
    </x:row>
    <x:row r="4239">
      <x:c r="B4239" t="str">
        <x:v>A-04193</x:v>
      </x:c>
      <x:c r="C4239" t="str">
        <x:v>GATE</x:v>
      </x:c>
      <x:c r="D4239" t="str">
        <x:v>release state mirrors governing ledger</x:v>
      </x:c>
      <x:c r="E4239" t="str">
        <x:f>'Release Gates'!I4199</x:f>
        <x:v>OPEN</x:v>
      </x:c>
      <x:c r="F4239" t="str">
        <x:f>IF('Release Gates'!C4199="PLANNING","PASS",IF('Release Gates'!C4199="PHYSICAL","OPEN","BLOCKED"))</x:f>
        <x:v>OPEN</x:v>
      </x:c>
      <x:c r="G4239" t="str">
        <x:v>equals</x:v>
      </x:c>
      <x:c r="H4239" t="str">
        <x:f>IF(E4239=F4239,"PASS","FAIL")</x:f>
        <x:v>PASS</x:v>
      </x:c>
    </x:row>
    <x:row r="4240">
      <x:c r="B4240" t="str">
        <x:v>A-04194</x:v>
      </x:c>
      <x:c r="C4240" t="str">
        <x:v>GATE</x:v>
      </x:c>
      <x:c r="D4240" t="str">
        <x:v>release state mirrors governing ledger</x:v>
      </x:c>
      <x:c r="E4240" t="str">
        <x:f>'Release Gates'!I4200</x:f>
        <x:v>OPEN</x:v>
      </x:c>
      <x:c r="F4240" t="str">
        <x:f>IF('Release Gates'!C4200="PLANNING","PASS",IF('Release Gates'!C4200="PHYSICAL","OPEN","BLOCKED"))</x:f>
        <x:v>OPEN</x:v>
      </x:c>
      <x:c r="G4240" t="str">
        <x:v>equals</x:v>
      </x:c>
      <x:c r="H4240" t="str">
        <x:f>IF(E4240=F4240,"PASS","FAIL")</x:f>
        <x:v>PASS</x:v>
      </x:c>
    </x:row>
    <x:row r="4241">
      <x:c r="B4241" t="str">
        <x:v>A-04195</x:v>
      </x:c>
      <x:c r="C4241" t="str">
        <x:v>GATE</x:v>
      </x:c>
      <x:c r="D4241" t="str">
        <x:v>release state mirrors governing ledger</x:v>
      </x:c>
      <x:c r="E4241" t="str">
        <x:f>'Release Gates'!I4201</x:f>
        <x:v>OPEN</x:v>
      </x:c>
      <x:c r="F4241" t="str">
        <x:f>IF('Release Gates'!C4201="PLANNING","PASS",IF('Release Gates'!C4201="PHYSICAL","OPEN","BLOCKED"))</x:f>
        <x:v>OPEN</x:v>
      </x:c>
      <x:c r="G4241" t="str">
        <x:v>equals</x:v>
      </x:c>
      <x:c r="H4241" t="str">
        <x:f>IF(E4241=F4241,"PASS","FAIL")</x:f>
        <x:v>PASS</x:v>
      </x:c>
    </x:row>
    <x:row r="4242">
      <x:c r="B4242" t="str">
        <x:v>A-04196</x:v>
      </x:c>
      <x:c r="C4242" t="str">
        <x:v>GATE</x:v>
      </x:c>
      <x:c r="D4242" t="str">
        <x:v>release state mirrors governing ledger</x:v>
      </x:c>
      <x:c r="E4242" t="str">
        <x:f>'Release Gates'!I4202</x:f>
        <x:v>OPEN</x:v>
      </x:c>
      <x:c r="F4242" t="str">
        <x:f>IF('Release Gates'!C4202="PLANNING","PASS",IF('Release Gates'!C4202="PHYSICAL","OPEN","BLOCKED"))</x:f>
        <x:v>OPEN</x:v>
      </x:c>
      <x:c r="G4242" t="str">
        <x:v>equals</x:v>
      </x:c>
      <x:c r="H4242" t="str">
        <x:f>IF(E4242=F4242,"PASS","FAIL")</x:f>
        <x:v>PASS</x:v>
      </x:c>
    </x:row>
    <x:row r="4243">
      <x:c r="B4243" t="str">
        <x:v>A-04197</x:v>
      </x:c>
      <x:c r="C4243" t="str">
        <x:v>GATE</x:v>
      </x:c>
      <x:c r="D4243" t="str">
        <x:v>release state mirrors governing ledger</x:v>
      </x:c>
      <x:c r="E4243" t="str">
        <x:f>'Release Gates'!I4203</x:f>
        <x:v>OPEN</x:v>
      </x:c>
      <x:c r="F4243" t="str">
        <x:f>IF('Release Gates'!C4203="PLANNING","PASS",IF('Release Gates'!C4203="PHYSICAL","OPEN","BLOCKED"))</x:f>
        <x:v>OPEN</x:v>
      </x:c>
      <x:c r="G4243" t="str">
        <x:v>equals</x:v>
      </x:c>
      <x:c r="H4243" t="str">
        <x:f>IF(E4243=F4243,"PASS","FAIL")</x:f>
        <x:v>PASS</x:v>
      </x:c>
    </x:row>
    <x:row r="4244">
      <x:c r="B4244" t="str">
        <x:v>A-04198</x:v>
      </x:c>
      <x:c r="C4244" t="str">
        <x:v>GATE</x:v>
      </x:c>
      <x:c r="D4244" t="str">
        <x:v>release state mirrors governing ledger</x:v>
      </x:c>
      <x:c r="E4244" t="str">
        <x:f>'Release Gates'!I4204</x:f>
        <x:v>OPEN</x:v>
      </x:c>
      <x:c r="F4244" t="str">
        <x:f>IF('Release Gates'!C4204="PLANNING","PASS",IF('Release Gates'!C4204="PHYSICAL","OPEN","BLOCKED"))</x:f>
        <x:v>OPEN</x:v>
      </x:c>
      <x:c r="G4244" t="str">
        <x:v>equals</x:v>
      </x:c>
      <x:c r="H4244" t="str">
        <x:f>IF(E4244=F4244,"PASS","FAIL")</x:f>
        <x:v>PASS</x:v>
      </x:c>
    </x:row>
    <x:row r="4245">
      <x:c r="B4245" t="str">
        <x:v>A-04199</x:v>
      </x:c>
      <x:c r="C4245" t="str">
        <x:v>GATE</x:v>
      </x:c>
      <x:c r="D4245" t="str">
        <x:v>release state mirrors governing ledger</x:v>
      </x:c>
      <x:c r="E4245" t="str">
        <x:f>'Release Gates'!I4205</x:f>
        <x:v>OPEN</x:v>
      </x:c>
      <x:c r="F4245" t="str">
        <x:f>IF('Release Gates'!C4205="PLANNING","PASS",IF('Release Gates'!C4205="PHYSICAL","OPEN","BLOCKED"))</x:f>
        <x:v>OPEN</x:v>
      </x:c>
      <x:c r="G4245" t="str">
        <x:v>equals</x:v>
      </x:c>
      <x:c r="H4245" t="str">
        <x:f>IF(E4245=F4245,"PASS","FAIL")</x:f>
        <x:v>PASS</x:v>
      </x:c>
    </x:row>
    <x:row r="4246">
      <x:c r="B4246" t="str">
        <x:v>A-04200</x:v>
      </x:c>
      <x:c r="C4246" t="str">
        <x:v>GATE</x:v>
      </x:c>
      <x:c r="D4246" t="str">
        <x:v>release state mirrors governing ledger</x:v>
      </x:c>
      <x:c r="E4246" t="str">
        <x:f>'Release Gates'!I4206</x:f>
        <x:v>OPEN</x:v>
      </x:c>
      <x:c r="F4246" t="str">
        <x:f>IF('Release Gates'!C4206="PLANNING","PASS",IF('Release Gates'!C4206="PHYSICAL","OPEN","BLOCKED"))</x:f>
        <x:v>OPEN</x:v>
      </x:c>
      <x:c r="G4246" t="str">
        <x:v>equals</x:v>
      </x:c>
      <x:c r="H4246" t="str">
        <x:f>IF(E4246=F4246,"PASS","FAIL")</x:f>
        <x:v>PASS</x:v>
      </x:c>
    </x:row>
    <x:row r="4247">
      <x:c r="B4247" t="str">
        <x:v>A-04201</x:v>
      </x:c>
      <x:c r="C4247" t="str">
        <x:v>GATE</x:v>
      </x:c>
      <x:c r="D4247" t="str">
        <x:v>release state mirrors governing ledger</x:v>
      </x:c>
      <x:c r="E4247" t="str">
        <x:f>'Release Gates'!I4207</x:f>
        <x:v>OPEN</x:v>
      </x:c>
      <x:c r="F4247" t="str">
        <x:f>IF('Release Gates'!C4207="PLANNING","PASS",IF('Release Gates'!C4207="PHYSICAL","OPEN","BLOCKED"))</x:f>
        <x:v>OPEN</x:v>
      </x:c>
      <x:c r="G4247" t="str">
        <x:v>equals</x:v>
      </x:c>
      <x:c r="H4247" t="str">
        <x:f>IF(E4247=F4247,"PASS","FAIL")</x:f>
        <x:v>PASS</x:v>
      </x:c>
    </x:row>
    <x:row r="4248">
      <x:c r="B4248" t="str">
        <x:v>A-04202</x:v>
      </x:c>
      <x:c r="C4248" t="str">
        <x:v>GATE</x:v>
      </x:c>
      <x:c r="D4248" t="str">
        <x:v>release state mirrors governing ledger</x:v>
      </x:c>
      <x:c r="E4248" t="str">
        <x:f>'Release Gates'!I4208</x:f>
        <x:v>OPEN</x:v>
      </x:c>
      <x:c r="F4248" t="str">
        <x:f>IF('Release Gates'!C4208="PLANNING","PASS",IF('Release Gates'!C4208="PHYSICAL","OPEN","BLOCKED"))</x:f>
        <x:v>OPEN</x:v>
      </x:c>
      <x:c r="G4248" t="str">
        <x:v>equals</x:v>
      </x:c>
      <x:c r="H4248" t="str">
        <x:f>IF(E4248=F4248,"PASS","FAIL")</x:f>
        <x:v>PASS</x:v>
      </x:c>
    </x:row>
    <x:row r="4249">
      <x:c r="B4249" t="str">
        <x:v>A-04203</x:v>
      </x:c>
      <x:c r="C4249" t="str">
        <x:v>GATE</x:v>
      </x:c>
      <x:c r="D4249" t="str">
        <x:v>release state mirrors governing ledger</x:v>
      </x:c>
      <x:c r="E4249" t="str">
        <x:f>'Release Gates'!I4209</x:f>
        <x:v>OPEN</x:v>
      </x:c>
      <x:c r="F4249" t="str">
        <x:f>IF('Release Gates'!C4209="PLANNING","PASS",IF('Release Gates'!C4209="PHYSICAL","OPEN","BLOCKED"))</x:f>
        <x:v>OPEN</x:v>
      </x:c>
      <x:c r="G4249" t="str">
        <x:v>equals</x:v>
      </x:c>
      <x:c r="H4249" t="str">
        <x:f>IF(E4249=F4249,"PASS","FAIL")</x:f>
        <x:v>PASS</x:v>
      </x:c>
    </x:row>
    <x:row r="4250">
      <x:c r="B4250" t="str">
        <x:v>A-04204</x:v>
      </x:c>
      <x:c r="C4250" t="str">
        <x:v>GATE</x:v>
      </x:c>
      <x:c r="D4250" t="str">
        <x:v>release state mirrors governing ledger</x:v>
      </x:c>
      <x:c r="E4250" t="str">
        <x:f>'Release Gates'!I4210</x:f>
        <x:v>OPEN</x:v>
      </x:c>
      <x:c r="F4250" t="str">
        <x:f>IF('Release Gates'!C4210="PLANNING","PASS",IF('Release Gates'!C4210="PHYSICAL","OPEN","BLOCKED"))</x:f>
        <x:v>OPEN</x:v>
      </x:c>
      <x:c r="G4250" t="str">
        <x:v>equals</x:v>
      </x:c>
      <x:c r="H4250" t="str">
        <x:f>IF(E4250=F4250,"PASS","FAIL")</x:f>
        <x:v>PASS</x:v>
      </x:c>
    </x:row>
    <x:row r="4251">
      <x:c r="B4251" t="str">
        <x:v>A-04205</x:v>
      </x:c>
      <x:c r="C4251" t="str">
        <x:v>GATE</x:v>
      </x:c>
      <x:c r="D4251" t="str">
        <x:v>release state mirrors governing ledger</x:v>
      </x:c>
      <x:c r="E4251" t="str">
        <x:f>'Release Gates'!I4211</x:f>
        <x:v>OPEN</x:v>
      </x:c>
      <x:c r="F4251" t="str">
        <x:f>IF('Release Gates'!C4211="PLANNING","PASS",IF('Release Gates'!C4211="PHYSICAL","OPEN","BLOCKED"))</x:f>
        <x:v>OPEN</x:v>
      </x:c>
      <x:c r="G4251" t="str">
        <x:v>equals</x:v>
      </x:c>
      <x:c r="H4251" t="str">
        <x:f>IF(E4251=F4251,"PASS","FAIL")</x:f>
        <x:v>PASS</x:v>
      </x:c>
    </x:row>
    <x:row r="4252">
      <x:c r="B4252" t="str">
        <x:v>A-04206</x:v>
      </x:c>
      <x:c r="C4252" t="str">
        <x:v>GATE</x:v>
      </x:c>
      <x:c r="D4252" t="str">
        <x:v>release state mirrors governing ledger</x:v>
      </x:c>
      <x:c r="E4252" t="str">
        <x:f>'Release Gates'!I4212</x:f>
        <x:v>OPEN</x:v>
      </x:c>
      <x:c r="F4252" t="str">
        <x:f>IF('Release Gates'!C4212="PLANNING","PASS",IF('Release Gates'!C4212="PHYSICAL","OPEN","BLOCKED"))</x:f>
        <x:v>OPEN</x:v>
      </x:c>
      <x:c r="G4252" t="str">
        <x:v>equals</x:v>
      </x:c>
      <x:c r="H4252" t="str">
        <x:f>IF(E4252=F4252,"PASS","FAIL")</x:f>
        <x:v>PASS</x:v>
      </x:c>
    </x:row>
    <x:row r="4253">
      <x:c r="B4253" t="str">
        <x:v>A-04207</x:v>
      </x:c>
      <x:c r="C4253" t="str">
        <x:v>GATE</x:v>
      </x:c>
      <x:c r="D4253" t="str">
        <x:v>release state mirrors governing ledger</x:v>
      </x:c>
      <x:c r="E4253" t="str">
        <x:f>'Release Gates'!I4213</x:f>
        <x:v>OPEN</x:v>
      </x:c>
      <x:c r="F4253" t="str">
        <x:f>IF('Release Gates'!C4213="PLANNING","PASS",IF('Release Gates'!C4213="PHYSICAL","OPEN","BLOCKED"))</x:f>
        <x:v>OPEN</x:v>
      </x:c>
      <x:c r="G4253" t="str">
        <x:v>equals</x:v>
      </x:c>
      <x:c r="H4253" t="str">
        <x:f>IF(E4253=F4253,"PASS","FAIL")</x:f>
        <x:v>PASS</x:v>
      </x:c>
    </x:row>
    <x:row r="4254">
      <x:c r="B4254" t="str">
        <x:v>A-04208</x:v>
      </x:c>
      <x:c r="C4254" t="str">
        <x:v>GATE</x:v>
      </x:c>
      <x:c r="D4254" t="str">
        <x:v>release state mirrors governing ledger</x:v>
      </x:c>
      <x:c r="E4254" t="str">
        <x:f>'Release Gates'!I4214</x:f>
        <x:v>OPEN</x:v>
      </x:c>
      <x:c r="F4254" t="str">
        <x:f>IF('Release Gates'!C4214="PLANNING","PASS",IF('Release Gates'!C4214="PHYSICAL","OPEN","BLOCKED"))</x:f>
        <x:v>OPEN</x:v>
      </x:c>
      <x:c r="G4254" t="str">
        <x:v>equals</x:v>
      </x:c>
      <x:c r="H4254" t="str">
        <x:f>IF(E4254=F4254,"PASS","FAIL")</x:f>
        <x:v>PASS</x:v>
      </x:c>
    </x:row>
    <x:row r="4255">
      <x:c r="B4255" t="str">
        <x:v>A-04209</x:v>
      </x:c>
      <x:c r="C4255" t="str">
        <x:v>GATE</x:v>
      </x:c>
      <x:c r="D4255" t="str">
        <x:v>release state mirrors governing ledger</x:v>
      </x:c>
      <x:c r="E4255" t="str">
        <x:f>'Release Gates'!I4215</x:f>
        <x:v>OPEN</x:v>
      </x:c>
      <x:c r="F4255" t="str">
        <x:f>IF('Release Gates'!C4215="PLANNING","PASS",IF('Release Gates'!C4215="PHYSICAL","OPEN","BLOCKED"))</x:f>
        <x:v>OPEN</x:v>
      </x:c>
      <x:c r="G4255" t="str">
        <x:v>equals</x:v>
      </x:c>
      <x:c r="H4255" t="str">
        <x:f>IF(E4255=F4255,"PASS","FAIL")</x:f>
        <x:v>PASS</x:v>
      </x:c>
    </x:row>
    <x:row r="4256">
      <x:c r="B4256" t="str">
        <x:v>A-04210</x:v>
      </x:c>
      <x:c r="C4256" t="str">
        <x:v>GATE</x:v>
      </x:c>
      <x:c r="D4256" t="str">
        <x:v>release state mirrors governing ledger</x:v>
      </x:c>
      <x:c r="E4256" t="str">
        <x:f>'Release Gates'!I4216</x:f>
        <x:v>OPEN</x:v>
      </x:c>
      <x:c r="F4256" t="str">
        <x:f>IF('Release Gates'!C4216="PLANNING","PASS",IF('Release Gates'!C4216="PHYSICAL","OPEN","BLOCKED"))</x:f>
        <x:v>OPEN</x:v>
      </x:c>
      <x:c r="G4256" t="str">
        <x:v>equals</x:v>
      </x:c>
      <x:c r="H4256" t="str">
        <x:f>IF(E4256=F4256,"PASS","FAIL")</x:f>
        <x:v>PASS</x:v>
      </x:c>
    </x:row>
    <x:row r="4257">
      <x:c r="B4257" t="str">
        <x:v>A-04211</x:v>
      </x:c>
      <x:c r="C4257" t="str">
        <x:v>GATE</x:v>
      </x:c>
      <x:c r="D4257" t="str">
        <x:v>release state mirrors governing ledger</x:v>
      </x:c>
      <x:c r="E4257" t="str">
        <x:f>'Release Gates'!I4217</x:f>
        <x:v>OPEN</x:v>
      </x:c>
      <x:c r="F4257" t="str">
        <x:f>IF('Release Gates'!C4217="PLANNING","PASS",IF('Release Gates'!C4217="PHYSICAL","OPEN","BLOCKED"))</x:f>
        <x:v>OPEN</x:v>
      </x:c>
      <x:c r="G4257" t="str">
        <x:v>equals</x:v>
      </x:c>
      <x:c r="H4257" t="str">
        <x:f>IF(E4257=F4257,"PASS","FAIL")</x:f>
        <x:v>PASS</x:v>
      </x:c>
    </x:row>
    <x:row r="4258">
      <x:c r="B4258" t="str">
        <x:v>A-04212</x:v>
      </x:c>
      <x:c r="C4258" t="str">
        <x:v>GATE</x:v>
      </x:c>
      <x:c r="D4258" t="str">
        <x:v>release state mirrors governing ledger</x:v>
      </x:c>
      <x:c r="E4258" t="str">
        <x:f>'Release Gates'!I4218</x:f>
        <x:v>OPEN</x:v>
      </x:c>
      <x:c r="F4258" t="str">
        <x:f>IF('Release Gates'!C4218="PLANNING","PASS",IF('Release Gates'!C4218="PHYSICAL","OPEN","BLOCKED"))</x:f>
        <x:v>OPEN</x:v>
      </x:c>
      <x:c r="G4258" t="str">
        <x:v>equals</x:v>
      </x:c>
      <x:c r="H4258" t="str">
        <x:f>IF(E4258=F4258,"PASS","FAIL")</x:f>
        <x:v>PASS</x:v>
      </x:c>
    </x:row>
    <x:row r="4259">
      <x:c r="B4259" t="str">
        <x:v>A-04213</x:v>
      </x:c>
      <x:c r="C4259" t="str">
        <x:v>GATE</x:v>
      </x:c>
      <x:c r="D4259" t="str">
        <x:v>release state mirrors governing ledger</x:v>
      </x:c>
      <x:c r="E4259" t="str">
        <x:f>'Release Gates'!I4219</x:f>
        <x:v>OPEN</x:v>
      </x:c>
      <x:c r="F4259" t="str">
        <x:f>IF('Release Gates'!C4219="PLANNING","PASS",IF('Release Gates'!C4219="PHYSICAL","OPEN","BLOCKED"))</x:f>
        <x:v>OPEN</x:v>
      </x:c>
      <x:c r="G4259" t="str">
        <x:v>equals</x:v>
      </x:c>
      <x:c r="H4259" t="str">
        <x:f>IF(E4259=F4259,"PASS","FAIL")</x:f>
        <x:v>PASS</x:v>
      </x:c>
    </x:row>
    <x:row r="4260">
      <x:c r="B4260" t="str">
        <x:v>A-04214</x:v>
      </x:c>
      <x:c r="C4260" t="str">
        <x:v>GATE</x:v>
      </x:c>
      <x:c r="D4260" t="str">
        <x:v>release state mirrors governing ledger</x:v>
      </x:c>
      <x:c r="E4260" t="str">
        <x:f>'Release Gates'!I4220</x:f>
        <x:v>OPEN</x:v>
      </x:c>
      <x:c r="F4260" t="str">
        <x:f>IF('Release Gates'!C4220="PLANNING","PASS",IF('Release Gates'!C4220="PHYSICAL","OPEN","BLOCKED"))</x:f>
        <x:v>OPEN</x:v>
      </x:c>
      <x:c r="G4260" t="str">
        <x:v>equals</x:v>
      </x:c>
      <x:c r="H4260" t="str">
        <x:f>IF(E4260=F4260,"PASS","FAIL")</x:f>
        <x:v>PASS</x:v>
      </x:c>
    </x:row>
    <x:row r="4261">
      <x:c r="B4261" t="str">
        <x:v>A-04215</x:v>
      </x:c>
      <x:c r="C4261" t="str">
        <x:v>GATE</x:v>
      </x:c>
      <x:c r="D4261" t="str">
        <x:v>release state mirrors governing ledger</x:v>
      </x:c>
      <x:c r="E4261" t="str">
        <x:f>'Release Gates'!I4221</x:f>
        <x:v>OPEN</x:v>
      </x:c>
      <x:c r="F4261" t="str">
        <x:f>IF('Release Gates'!C4221="PLANNING","PASS",IF('Release Gates'!C4221="PHYSICAL","OPEN","BLOCKED"))</x:f>
        <x:v>OPEN</x:v>
      </x:c>
      <x:c r="G4261" t="str">
        <x:v>equals</x:v>
      </x:c>
      <x:c r="H4261" t="str">
        <x:f>IF(E4261=F4261,"PASS","FAIL")</x:f>
        <x:v>PASS</x:v>
      </x:c>
    </x:row>
    <x:row r="4262">
      <x:c r="B4262" t="str">
        <x:v>A-04216</x:v>
      </x:c>
      <x:c r="C4262" t="str">
        <x:v>GATE</x:v>
      </x:c>
      <x:c r="D4262" t="str">
        <x:v>release state mirrors governing ledger</x:v>
      </x:c>
      <x:c r="E4262" t="str">
        <x:f>'Release Gates'!I4222</x:f>
        <x:v>OPEN</x:v>
      </x:c>
      <x:c r="F4262" t="str">
        <x:f>IF('Release Gates'!C4222="PLANNING","PASS",IF('Release Gates'!C4222="PHYSICAL","OPEN","BLOCKED"))</x:f>
        <x:v>OPEN</x:v>
      </x:c>
      <x:c r="G4262" t="str">
        <x:v>equals</x:v>
      </x:c>
      <x:c r="H4262" t="str">
        <x:f>IF(E4262=F4262,"PASS","FAIL")</x:f>
        <x:v>PASS</x:v>
      </x:c>
    </x:row>
    <x:row r="4263">
      <x:c r="B4263" t="str">
        <x:v>A-04217</x:v>
      </x:c>
      <x:c r="C4263" t="str">
        <x:v>GATE</x:v>
      </x:c>
      <x:c r="D4263" t="str">
        <x:v>release state mirrors governing ledger</x:v>
      </x:c>
      <x:c r="E4263" t="str">
        <x:f>'Release Gates'!I4223</x:f>
        <x:v>OPEN</x:v>
      </x:c>
      <x:c r="F4263" t="str">
        <x:f>IF('Release Gates'!C4223="PLANNING","PASS",IF('Release Gates'!C4223="PHYSICAL","OPEN","BLOCKED"))</x:f>
        <x:v>OPEN</x:v>
      </x:c>
      <x:c r="G4263" t="str">
        <x:v>equals</x:v>
      </x:c>
      <x:c r="H4263" t="str">
        <x:f>IF(E4263=F4263,"PASS","FAIL")</x:f>
        <x:v>PASS</x:v>
      </x:c>
    </x:row>
    <x:row r="4264">
      <x:c r="B4264" t="str">
        <x:v>A-04218</x:v>
      </x:c>
      <x:c r="C4264" t="str">
        <x:v>GATE</x:v>
      </x:c>
      <x:c r="D4264" t="str">
        <x:v>release state mirrors governing ledger</x:v>
      </x:c>
      <x:c r="E4264" t="str">
        <x:f>'Release Gates'!I4224</x:f>
        <x:v>OPEN</x:v>
      </x:c>
      <x:c r="F4264" t="str">
        <x:f>IF('Release Gates'!C4224="PLANNING","PASS",IF('Release Gates'!C4224="PHYSICAL","OPEN","BLOCKED"))</x:f>
        <x:v>OPEN</x:v>
      </x:c>
      <x:c r="G4264" t="str">
        <x:v>equals</x:v>
      </x:c>
      <x:c r="H4264" t="str">
        <x:f>IF(E4264=F4264,"PASS","FAIL")</x:f>
        <x:v>PASS</x:v>
      </x:c>
    </x:row>
    <x:row r="4265">
      <x:c r="B4265" t="str">
        <x:v>A-04219</x:v>
      </x:c>
      <x:c r="C4265" t="str">
        <x:v>GATE</x:v>
      </x:c>
      <x:c r="D4265" t="str">
        <x:v>release state mirrors governing ledger</x:v>
      </x:c>
      <x:c r="E4265" t="str">
        <x:f>'Release Gates'!I4225</x:f>
        <x:v>OPEN</x:v>
      </x:c>
      <x:c r="F4265" t="str">
        <x:f>IF('Release Gates'!C4225="PLANNING","PASS",IF('Release Gates'!C4225="PHYSICAL","OPEN","BLOCKED"))</x:f>
        <x:v>OPEN</x:v>
      </x:c>
      <x:c r="G4265" t="str">
        <x:v>equals</x:v>
      </x:c>
      <x:c r="H4265" t="str">
        <x:f>IF(E4265=F4265,"PASS","FAIL")</x:f>
        <x:v>PASS</x:v>
      </x:c>
    </x:row>
    <x:row r="4266">
      <x:c r="B4266" t="str">
        <x:v>A-04220</x:v>
      </x:c>
      <x:c r="C4266" t="str">
        <x:v>GATE</x:v>
      </x:c>
      <x:c r="D4266" t="str">
        <x:v>release state mirrors governing ledger</x:v>
      </x:c>
      <x:c r="E4266" t="str">
        <x:f>'Release Gates'!I4226</x:f>
        <x:v>OPEN</x:v>
      </x:c>
      <x:c r="F4266" t="str">
        <x:f>IF('Release Gates'!C4226="PLANNING","PASS",IF('Release Gates'!C4226="PHYSICAL","OPEN","BLOCKED"))</x:f>
        <x:v>OPEN</x:v>
      </x:c>
      <x:c r="G4266" t="str">
        <x:v>equals</x:v>
      </x:c>
      <x:c r="H4266" t="str">
        <x:f>IF(E4266=F4266,"PASS","FAIL")</x:f>
        <x:v>PASS</x:v>
      </x:c>
    </x:row>
    <x:row r="4267">
      <x:c r="B4267" t="str">
        <x:v>A-04221</x:v>
      </x:c>
      <x:c r="C4267" t="str">
        <x:v>GATE</x:v>
      </x:c>
      <x:c r="D4267" t="str">
        <x:v>release state mirrors governing ledger</x:v>
      </x:c>
      <x:c r="E4267" t="str">
        <x:f>'Release Gates'!I4227</x:f>
        <x:v>OPEN</x:v>
      </x:c>
      <x:c r="F4267" t="str">
        <x:f>IF('Release Gates'!C4227="PLANNING","PASS",IF('Release Gates'!C4227="PHYSICAL","OPEN","BLOCKED"))</x:f>
        <x:v>OPEN</x:v>
      </x:c>
      <x:c r="G4267" t="str">
        <x:v>equals</x:v>
      </x:c>
      <x:c r="H4267" t="str">
        <x:f>IF(E4267=F4267,"PASS","FAIL")</x:f>
        <x:v>PASS</x:v>
      </x:c>
    </x:row>
    <x:row r="4268">
      <x:c r="B4268" t="str">
        <x:v>A-04222</x:v>
      </x:c>
      <x:c r="C4268" t="str">
        <x:v>GATE</x:v>
      </x:c>
      <x:c r="D4268" t="str">
        <x:v>release state mirrors governing ledger</x:v>
      </x:c>
      <x:c r="E4268" t="str">
        <x:f>'Release Gates'!I4228</x:f>
        <x:v>OPEN</x:v>
      </x:c>
      <x:c r="F4268" t="str">
        <x:f>IF('Release Gates'!C4228="PLANNING","PASS",IF('Release Gates'!C4228="PHYSICAL","OPEN","BLOCKED"))</x:f>
        <x:v>OPEN</x:v>
      </x:c>
      <x:c r="G4268" t="str">
        <x:v>equals</x:v>
      </x:c>
      <x:c r="H4268" t="str">
        <x:f>IF(E4268=F4268,"PASS","FAIL")</x:f>
        <x:v>PASS</x:v>
      </x:c>
    </x:row>
    <x:row r="4269">
      <x:c r="B4269" t="str">
        <x:v>A-04223</x:v>
      </x:c>
      <x:c r="C4269" t="str">
        <x:v>GATE</x:v>
      </x:c>
      <x:c r="D4269" t="str">
        <x:v>release state mirrors governing ledger</x:v>
      </x:c>
      <x:c r="E4269" t="str">
        <x:f>'Release Gates'!I4229</x:f>
        <x:v>OPEN</x:v>
      </x:c>
      <x:c r="F4269" t="str">
        <x:f>IF('Release Gates'!C4229="PLANNING","PASS",IF('Release Gates'!C4229="PHYSICAL","OPEN","BLOCKED"))</x:f>
        <x:v>OPEN</x:v>
      </x:c>
      <x:c r="G4269" t="str">
        <x:v>equals</x:v>
      </x:c>
      <x:c r="H4269" t="str">
        <x:f>IF(E4269=F4269,"PASS","FAIL")</x:f>
        <x:v>PASS</x:v>
      </x:c>
    </x:row>
    <x:row r="4270">
      <x:c r="B4270" t="str">
        <x:v>A-04224</x:v>
      </x:c>
      <x:c r="C4270" t="str">
        <x:v>GATE</x:v>
      </x:c>
      <x:c r="D4270" t="str">
        <x:v>release state mirrors governing ledger</x:v>
      </x:c>
      <x:c r="E4270" t="str">
        <x:f>'Release Gates'!I4230</x:f>
        <x:v>OPEN</x:v>
      </x:c>
      <x:c r="F4270" t="str">
        <x:f>IF('Release Gates'!C4230="PLANNING","PASS",IF('Release Gates'!C4230="PHYSICAL","OPEN","BLOCKED"))</x:f>
        <x:v>OPEN</x:v>
      </x:c>
      <x:c r="G4270" t="str">
        <x:v>equals</x:v>
      </x:c>
      <x:c r="H4270" t="str">
        <x:f>IF(E4270=F4270,"PASS","FAIL")</x:f>
        <x:v>PASS</x:v>
      </x:c>
    </x:row>
    <x:row r="4271">
      <x:c r="B4271" t="str">
        <x:v>A-04225</x:v>
      </x:c>
      <x:c r="C4271" t="str">
        <x:v>GATE</x:v>
      </x:c>
      <x:c r="D4271" t="str">
        <x:v>release state mirrors governing ledger</x:v>
      </x:c>
      <x:c r="E4271" t="str">
        <x:f>'Release Gates'!I4231</x:f>
        <x:v>OPEN</x:v>
      </x:c>
      <x:c r="F4271" t="str">
        <x:f>IF('Release Gates'!C4231="PLANNING","PASS",IF('Release Gates'!C4231="PHYSICAL","OPEN","BLOCKED"))</x:f>
        <x:v>OPEN</x:v>
      </x:c>
      <x:c r="G4271" t="str">
        <x:v>equals</x:v>
      </x:c>
      <x:c r="H4271" t="str">
        <x:f>IF(E4271=F4271,"PASS","FAIL")</x:f>
        <x:v>PASS</x:v>
      </x:c>
    </x:row>
    <x:row r="4272">
      <x:c r="B4272" t="str">
        <x:v>A-04226</x:v>
      </x:c>
      <x:c r="C4272" t="str">
        <x:v>GATE</x:v>
      </x:c>
      <x:c r="D4272" t="str">
        <x:v>release state mirrors governing ledger</x:v>
      </x:c>
      <x:c r="E4272" t="str">
        <x:f>'Release Gates'!I4232</x:f>
        <x:v>OPEN</x:v>
      </x:c>
      <x:c r="F4272" t="str">
        <x:f>IF('Release Gates'!C4232="PLANNING","PASS",IF('Release Gates'!C4232="PHYSICAL","OPEN","BLOCKED"))</x:f>
        <x:v>OPEN</x:v>
      </x:c>
      <x:c r="G4272" t="str">
        <x:v>equals</x:v>
      </x:c>
      <x:c r="H4272" t="str">
        <x:f>IF(E4272=F4272,"PASS","FAIL")</x:f>
        <x:v>PASS</x:v>
      </x:c>
    </x:row>
    <x:row r="4273">
      <x:c r="B4273" t="str">
        <x:v>A-04227</x:v>
      </x:c>
      <x:c r="C4273" t="str">
        <x:v>GATE</x:v>
      </x:c>
      <x:c r="D4273" t="str">
        <x:v>release state mirrors governing ledger</x:v>
      </x:c>
      <x:c r="E4273" t="str">
        <x:f>'Release Gates'!I4233</x:f>
        <x:v>OPEN</x:v>
      </x:c>
      <x:c r="F4273" t="str">
        <x:f>IF('Release Gates'!C4233="PLANNING","PASS",IF('Release Gates'!C4233="PHYSICAL","OPEN","BLOCKED"))</x:f>
        <x:v>OPEN</x:v>
      </x:c>
      <x:c r="G4273" t="str">
        <x:v>equals</x:v>
      </x:c>
      <x:c r="H4273" t="str">
        <x:f>IF(E4273=F4273,"PASS","FAIL")</x:f>
        <x:v>PASS</x:v>
      </x:c>
    </x:row>
    <x:row r="4274">
      <x:c r="B4274" t="str">
        <x:v>A-04228</x:v>
      </x:c>
      <x:c r="C4274" t="str">
        <x:v>GATE</x:v>
      </x:c>
      <x:c r="D4274" t="str">
        <x:v>release state mirrors governing ledger</x:v>
      </x:c>
      <x:c r="E4274" t="str">
        <x:f>'Release Gates'!I4234</x:f>
        <x:v>OPEN</x:v>
      </x:c>
      <x:c r="F4274" t="str">
        <x:f>IF('Release Gates'!C4234="PLANNING","PASS",IF('Release Gates'!C4234="PHYSICAL","OPEN","BLOCKED"))</x:f>
        <x:v>OPEN</x:v>
      </x:c>
      <x:c r="G4274" t="str">
        <x:v>equals</x:v>
      </x:c>
      <x:c r="H4274" t="str">
        <x:f>IF(E4274=F4274,"PASS","FAIL")</x:f>
        <x:v>PASS</x:v>
      </x:c>
    </x:row>
    <x:row r="4275">
      <x:c r="B4275" t="str">
        <x:v>A-04229</x:v>
      </x:c>
      <x:c r="C4275" t="str">
        <x:v>GATE</x:v>
      </x:c>
      <x:c r="D4275" t="str">
        <x:v>release state mirrors governing ledger</x:v>
      </x:c>
      <x:c r="E4275" t="str">
        <x:f>'Release Gates'!I4235</x:f>
        <x:v>OPEN</x:v>
      </x:c>
      <x:c r="F4275" t="str">
        <x:f>IF('Release Gates'!C4235="PLANNING","PASS",IF('Release Gates'!C4235="PHYSICAL","OPEN","BLOCKED"))</x:f>
        <x:v>OPEN</x:v>
      </x:c>
      <x:c r="G4275" t="str">
        <x:v>equals</x:v>
      </x:c>
      <x:c r="H4275" t="str">
        <x:f>IF(E4275=F4275,"PASS","FAIL")</x:f>
        <x:v>PASS</x:v>
      </x:c>
    </x:row>
    <x:row r="4276">
      <x:c r="B4276" t="str">
        <x:v>A-04230</x:v>
      </x:c>
      <x:c r="C4276" t="str">
        <x:v>GATE</x:v>
      </x:c>
      <x:c r="D4276" t="str">
        <x:v>release state mirrors governing ledger</x:v>
      </x:c>
      <x:c r="E4276" t="str">
        <x:f>'Release Gates'!I4236</x:f>
        <x:v>OPEN</x:v>
      </x:c>
      <x:c r="F4276" t="str">
        <x:f>IF('Release Gates'!C4236="PLANNING","PASS",IF('Release Gates'!C4236="PHYSICAL","OPEN","BLOCKED"))</x:f>
        <x:v>OPEN</x:v>
      </x:c>
      <x:c r="G4276" t="str">
        <x:v>equals</x:v>
      </x:c>
      <x:c r="H4276" t="str">
        <x:f>IF(E4276=F4276,"PASS","FAIL")</x:f>
        <x:v>PASS</x:v>
      </x:c>
    </x:row>
    <x:row r="4277">
      <x:c r="B4277" t="str">
        <x:v>A-04231</x:v>
      </x:c>
      <x:c r="C4277" t="str">
        <x:v>GATE</x:v>
      </x:c>
      <x:c r="D4277" t="str">
        <x:v>release state mirrors governing ledger</x:v>
      </x:c>
      <x:c r="E4277" t="str">
        <x:f>'Release Gates'!I4237</x:f>
        <x:v>OPEN</x:v>
      </x:c>
      <x:c r="F4277" t="str">
        <x:f>IF('Release Gates'!C4237="PLANNING","PASS",IF('Release Gates'!C4237="PHYSICAL","OPEN","BLOCKED"))</x:f>
        <x:v>OPEN</x:v>
      </x:c>
      <x:c r="G4277" t="str">
        <x:v>equals</x:v>
      </x:c>
      <x:c r="H4277" t="str">
        <x:f>IF(E4277=F4277,"PASS","FAIL")</x:f>
        <x:v>PASS</x:v>
      </x:c>
    </x:row>
    <x:row r="4278">
      <x:c r="B4278" t="str">
        <x:v>A-04232</x:v>
      </x:c>
      <x:c r="C4278" t="str">
        <x:v>GATE</x:v>
      </x:c>
      <x:c r="D4278" t="str">
        <x:v>release state mirrors governing ledger</x:v>
      </x:c>
      <x:c r="E4278" t="str">
        <x:f>'Release Gates'!I4238</x:f>
        <x:v>OPEN</x:v>
      </x:c>
      <x:c r="F4278" t="str">
        <x:f>IF('Release Gates'!C4238="PLANNING","PASS",IF('Release Gates'!C4238="PHYSICAL","OPEN","BLOCKED"))</x:f>
        <x:v>OPEN</x:v>
      </x:c>
      <x:c r="G4278" t="str">
        <x:v>equals</x:v>
      </x:c>
      <x:c r="H4278" t="str">
        <x:f>IF(E4278=F4278,"PASS","FAIL")</x:f>
        <x:v>PASS</x:v>
      </x:c>
    </x:row>
    <x:row r="4279">
      <x:c r="B4279" t="str">
        <x:v>A-04233</x:v>
      </x:c>
      <x:c r="C4279" t="str">
        <x:v>GATE</x:v>
      </x:c>
      <x:c r="D4279" t="str">
        <x:v>release state mirrors governing ledger</x:v>
      </x:c>
      <x:c r="E4279" t="str">
        <x:f>'Release Gates'!I4239</x:f>
        <x:v>OPEN</x:v>
      </x:c>
      <x:c r="F4279" t="str">
        <x:f>IF('Release Gates'!C4239="PLANNING","PASS",IF('Release Gates'!C4239="PHYSICAL","OPEN","BLOCKED"))</x:f>
        <x:v>OPEN</x:v>
      </x:c>
      <x:c r="G4279" t="str">
        <x:v>equals</x:v>
      </x:c>
      <x:c r="H4279" t="str">
        <x:f>IF(E4279=F4279,"PASS","FAIL")</x:f>
        <x:v>PASS</x:v>
      </x:c>
    </x:row>
    <x:row r="4280">
      <x:c r="B4280" t="str">
        <x:v>A-04234</x:v>
      </x:c>
      <x:c r="C4280" t="str">
        <x:v>GATE</x:v>
      </x:c>
      <x:c r="D4280" t="str">
        <x:v>release state mirrors governing ledger</x:v>
      </x:c>
      <x:c r="E4280" t="str">
        <x:f>'Release Gates'!I4240</x:f>
        <x:v>OPEN</x:v>
      </x:c>
      <x:c r="F4280" t="str">
        <x:f>IF('Release Gates'!C4240="PLANNING","PASS",IF('Release Gates'!C4240="PHYSICAL","OPEN","BLOCKED"))</x:f>
        <x:v>OPEN</x:v>
      </x:c>
      <x:c r="G4280" t="str">
        <x:v>equals</x:v>
      </x:c>
      <x:c r="H4280" t="str">
        <x:f>IF(E4280=F4280,"PASS","FAIL")</x:f>
        <x:v>PASS</x:v>
      </x:c>
    </x:row>
    <x:row r="4281">
      <x:c r="B4281" t="str">
        <x:v>A-04235</x:v>
      </x:c>
      <x:c r="C4281" t="str">
        <x:v>GATE</x:v>
      </x:c>
      <x:c r="D4281" t="str">
        <x:v>release state mirrors governing ledger</x:v>
      </x:c>
      <x:c r="E4281" t="str">
        <x:f>'Release Gates'!I4241</x:f>
        <x:v>OPEN</x:v>
      </x:c>
      <x:c r="F4281" t="str">
        <x:f>IF('Release Gates'!C4241="PLANNING","PASS",IF('Release Gates'!C4241="PHYSICAL","OPEN","BLOCKED"))</x:f>
        <x:v>OPEN</x:v>
      </x:c>
      <x:c r="G4281" t="str">
        <x:v>equals</x:v>
      </x:c>
      <x:c r="H4281" t="str">
        <x:f>IF(E4281=F4281,"PASS","FAIL")</x:f>
        <x:v>PASS</x:v>
      </x:c>
    </x:row>
    <x:row r="4282">
      <x:c r="B4282" t="str">
        <x:v>A-04236</x:v>
      </x:c>
      <x:c r="C4282" t="str">
        <x:v>GATE</x:v>
      </x:c>
      <x:c r="D4282" t="str">
        <x:v>release state mirrors governing ledger</x:v>
      </x:c>
      <x:c r="E4282" t="str">
        <x:f>'Release Gates'!I4242</x:f>
        <x:v>OPEN</x:v>
      </x:c>
      <x:c r="F4282" t="str">
        <x:f>IF('Release Gates'!C4242="PLANNING","PASS",IF('Release Gates'!C4242="PHYSICAL","OPEN","BLOCKED"))</x:f>
        <x:v>OPEN</x:v>
      </x:c>
      <x:c r="G4282" t="str">
        <x:v>equals</x:v>
      </x:c>
      <x:c r="H4282" t="str">
        <x:f>IF(E4282=F4282,"PASS","FAIL")</x:f>
        <x:v>PASS</x:v>
      </x:c>
    </x:row>
    <x:row r="4283">
      <x:c r="B4283" t="str">
        <x:v>A-04237</x:v>
      </x:c>
      <x:c r="C4283" t="str">
        <x:v>GATE</x:v>
      </x:c>
      <x:c r="D4283" t="str">
        <x:v>release state mirrors governing ledger</x:v>
      </x:c>
      <x:c r="E4283" t="str">
        <x:f>'Release Gates'!I4243</x:f>
        <x:v>OPEN</x:v>
      </x:c>
      <x:c r="F4283" t="str">
        <x:f>IF('Release Gates'!C4243="PLANNING","PASS",IF('Release Gates'!C4243="PHYSICAL","OPEN","BLOCKED"))</x:f>
        <x:v>OPEN</x:v>
      </x:c>
      <x:c r="G4283" t="str">
        <x:v>equals</x:v>
      </x:c>
      <x:c r="H4283" t="str">
        <x:f>IF(E4283=F4283,"PASS","FAIL")</x:f>
        <x:v>PASS</x:v>
      </x:c>
    </x:row>
    <x:row r="4284">
      <x:c r="B4284" t="str">
        <x:v>A-04238</x:v>
      </x:c>
      <x:c r="C4284" t="str">
        <x:v>GATE</x:v>
      </x:c>
      <x:c r="D4284" t="str">
        <x:v>release state mirrors governing ledger</x:v>
      </x:c>
      <x:c r="E4284" t="str">
        <x:f>'Release Gates'!I4244</x:f>
        <x:v>OPEN</x:v>
      </x:c>
      <x:c r="F4284" t="str">
        <x:f>IF('Release Gates'!C4244="PLANNING","PASS",IF('Release Gates'!C4244="PHYSICAL","OPEN","BLOCKED"))</x:f>
        <x:v>OPEN</x:v>
      </x:c>
      <x:c r="G4284" t="str">
        <x:v>equals</x:v>
      </x:c>
      <x:c r="H4284" t="str">
        <x:f>IF(E4284=F4284,"PASS","FAIL")</x:f>
        <x:v>PASS</x:v>
      </x:c>
    </x:row>
    <x:row r="4285">
      <x:c r="B4285" t="str">
        <x:v>A-04239</x:v>
      </x:c>
      <x:c r="C4285" t="str">
        <x:v>GATE</x:v>
      </x:c>
      <x:c r="D4285" t="str">
        <x:v>release state mirrors governing ledger</x:v>
      </x:c>
      <x:c r="E4285" t="str">
        <x:f>'Release Gates'!I4245</x:f>
        <x:v>OPEN</x:v>
      </x:c>
      <x:c r="F4285" t="str">
        <x:f>IF('Release Gates'!C4245="PLANNING","PASS",IF('Release Gates'!C4245="PHYSICAL","OPEN","BLOCKED"))</x:f>
        <x:v>OPEN</x:v>
      </x:c>
      <x:c r="G4285" t="str">
        <x:v>equals</x:v>
      </x:c>
      <x:c r="H4285" t="str">
        <x:f>IF(E4285=F4285,"PASS","FAIL")</x:f>
        <x:v>PASS</x:v>
      </x:c>
    </x:row>
    <x:row r="4286">
      <x:c r="B4286" t="str">
        <x:v>A-04240</x:v>
      </x:c>
      <x:c r="C4286" t="str">
        <x:v>GATE</x:v>
      </x:c>
      <x:c r="D4286" t="str">
        <x:v>release state mirrors governing ledger</x:v>
      </x:c>
      <x:c r="E4286" t="str">
        <x:f>'Release Gates'!I4246</x:f>
        <x:v>OPEN</x:v>
      </x:c>
      <x:c r="F4286" t="str">
        <x:f>IF('Release Gates'!C4246="PLANNING","PASS",IF('Release Gates'!C4246="PHYSICAL","OPEN","BLOCKED"))</x:f>
        <x:v>OPEN</x:v>
      </x:c>
      <x:c r="G4286" t="str">
        <x:v>equals</x:v>
      </x:c>
      <x:c r="H4286" t="str">
        <x:f>IF(E4286=F4286,"PASS","FAIL")</x:f>
        <x:v>PASS</x:v>
      </x:c>
    </x:row>
    <x:row r="4287">
      <x:c r="B4287" t="str">
        <x:v>A-04241</x:v>
      </x:c>
      <x:c r="C4287" t="str">
        <x:v>GATE</x:v>
      </x:c>
      <x:c r="D4287" t="str">
        <x:v>release state mirrors governing ledger</x:v>
      </x:c>
      <x:c r="E4287" t="str">
        <x:f>'Release Gates'!I4247</x:f>
        <x:v>OPEN</x:v>
      </x:c>
      <x:c r="F4287" t="str">
        <x:f>IF('Release Gates'!C4247="PLANNING","PASS",IF('Release Gates'!C4247="PHYSICAL","OPEN","BLOCKED"))</x:f>
        <x:v>OPEN</x:v>
      </x:c>
      <x:c r="G4287" t="str">
        <x:v>equals</x:v>
      </x:c>
      <x:c r="H4287" t="str">
        <x:f>IF(E4287=F4287,"PASS","FAIL")</x:f>
        <x:v>PASS</x:v>
      </x:c>
    </x:row>
    <x:row r="4288">
      <x:c r="B4288" t="str">
        <x:v>A-04242</x:v>
      </x:c>
      <x:c r="C4288" t="str">
        <x:v>GATE</x:v>
      </x:c>
      <x:c r="D4288" t="str">
        <x:v>release state mirrors governing ledger</x:v>
      </x:c>
      <x:c r="E4288" t="str">
        <x:f>'Release Gates'!I4248</x:f>
        <x:v>OPEN</x:v>
      </x:c>
      <x:c r="F4288" t="str">
        <x:f>IF('Release Gates'!C4248="PLANNING","PASS",IF('Release Gates'!C4248="PHYSICAL","OPEN","BLOCKED"))</x:f>
        <x:v>OPEN</x:v>
      </x:c>
      <x:c r="G4288" t="str">
        <x:v>equals</x:v>
      </x:c>
      <x:c r="H4288" t="str">
        <x:f>IF(E4288=F4288,"PASS","FAIL")</x:f>
        <x:v>PASS</x:v>
      </x:c>
    </x:row>
    <x:row r="4289">
      <x:c r="B4289" t="str">
        <x:v>A-04243</x:v>
      </x:c>
      <x:c r="C4289" t="str">
        <x:v>GATE</x:v>
      </x:c>
      <x:c r="D4289" t="str">
        <x:v>release state mirrors governing ledger</x:v>
      </x:c>
      <x:c r="E4289" t="str">
        <x:f>'Release Gates'!I4249</x:f>
        <x:v>OPEN</x:v>
      </x:c>
      <x:c r="F4289" t="str">
        <x:f>IF('Release Gates'!C4249="PLANNING","PASS",IF('Release Gates'!C4249="PHYSICAL","OPEN","BLOCKED"))</x:f>
        <x:v>OPEN</x:v>
      </x:c>
      <x:c r="G4289" t="str">
        <x:v>equals</x:v>
      </x:c>
      <x:c r="H4289" t="str">
        <x:f>IF(E4289=F4289,"PASS","FAIL")</x:f>
        <x:v>PASS</x:v>
      </x:c>
    </x:row>
    <x:row r="4290">
      <x:c r="B4290" t="str">
        <x:v>A-04244</x:v>
      </x:c>
      <x:c r="C4290" t="str">
        <x:v>GATE</x:v>
      </x:c>
      <x:c r="D4290" t="str">
        <x:v>release state mirrors governing ledger</x:v>
      </x:c>
      <x:c r="E4290" t="str">
        <x:f>'Release Gates'!I4250</x:f>
        <x:v>OPEN</x:v>
      </x:c>
      <x:c r="F4290" t="str">
        <x:f>IF('Release Gates'!C4250="PLANNING","PASS",IF('Release Gates'!C4250="PHYSICAL","OPEN","BLOCKED"))</x:f>
        <x:v>OPEN</x:v>
      </x:c>
      <x:c r="G4290" t="str">
        <x:v>equals</x:v>
      </x:c>
      <x:c r="H4290" t="str">
        <x:f>IF(E4290=F4290,"PASS","FAIL")</x:f>
        <x:v>PASS</x:v>
      </x:c>
    </x:row>
    <x:row r="4291">
      <x:c r="B4291" t="str">
        <x:v>A-04245</x:v>
      </x:c>
      <x:c r="C4291" t="str">
        <x:v>GATE</x:v>
      </x:c>
      <x:c r="D4291" t="str">
        <x:v>release state mirrors governing ledger</x:v>
      </x:c>
      <x:c r="E4291" t="str">
        <x:f>'Release Gates'!I4251</x:f>
        <x:v>OPEN</x:v>
      </x:c>
      <x:c r="F4291" t="str">
        <x:f>IF('Release Gates'!C4251="PLANNING","PASS",IF('Release Gates'!C4251="PHYSICAL","OPEN","BLOCKED"))</x:f>
        <x:v>OPEN</x:v>
      </x:c>
      <x:c r="G4291" t="str">
        <x:v>equals</x:v>
      </x:c>
      <x:c r="H4291" t="str">
        <x:f>IF(E4291=F4291,"PASS","FAIL")</x:f>
        <x:v>PASS</x:v>
      </x:c>
    </x:row>
    <x:row r="4292">
      <x:c r="B4292" t="str">
        <x:v>A-04246</x:v>
      </x:c>
      <x:c r="C4292" t="str">
        <x:v>GATE</x:v>
      </x:c>
      <x:c r="D4292" t="str">
        <x:v>release state mirrors governing ledger</x:v>
      </x:c>
      <x:c r="E4292" t="str">
        <x:f>'Release Gates'!I4252</x:f>
        <x:v>OPEN</x:v>
      </x:c>
      <x:c r="F4292" t="str">
        <x:f>IF('Release Gates'!C4252="PLANNING","PASS",IF('Release Gates'!C4252="PHYSICAL","OPEN","BLOCKED"))</x:f>
        <x:v>OPEN</x:v>
      </x:c>
      <x:c r="G4292" t="str">
        <x:v>equals</x:v>
      </x:c>
      <x:c r="H4292" t="str">
        <x:f>IF(E4292=F4292,"PASS","FAIL")</x:f>
        <x:v>PASS</x:v>
      </x:c>
    </x:row>
    <x:row r="4293">
      <x:c r="B4293" t="str">
        <x:v>A-04247</x:v>
      </x:c>
      <x:c r="C4293" t="str">
        <x:v>GATE</x:v>
      </x:c>
      <x:c r="D4293" t="str">
        <x:v>release state mirrors governing ledger</x:v>
      </x:c>
      <x:c r="E4293" t="str">
        <x:f>'Release Gates'!I4253</x:f>
        <x:v>OPEN</x:v>
      </x:c>
      <x:c r="F4293" t="str">
        <x:f>IF('Release Gates'!C4253="PLANNING","PASS",IF('Release Gates'!C4253="PHYSICAL","OPEN","BLOCKED"))</x:f>
        <x:v>OPEN</x:v>
      </x:c>
      <x:c r="G4293" t="str">
        <x:v>equals</x:v>
      </x:c>
      <x:c r="H4293" t="str">
        <x:f>IF(E4293=F4293,"PASS","FAIL")</x:f>
        <x:v>PASS</x:v>
      </x:c>
    </x:row>
    <x:row r="4294">
      <x:c r="B4294" t="str">
        <x:v>A-04248</x:v>
      </x:c>
      <x:c r="C4294" t="str">
        <x:v>GATE</x:v>
      </x:c>
      <x:c r="D4294" t="str">
        <x:v>release state mirrors governing ledger</x:v>
      </x:c>
      <x:c r="E4294" t="str">
        <x:f>'Release Gates'!I4254</x:f>
        <x:v>OPEN</x:v>
      </x:c>
      <x:c r="F4294" t="str">
        <x:f>IF('Release Gates'!C4254="PLANNING","PASS",IF('Release Gates'!C4254="PHYSICAL","OPEN","BLOCKED"))</x:f>
        <x:v>OPEN</x:v>
      </x:c>
      <x:c r="G4294" t="str">
        <x:v>equals</x:v>
      </x:c>
      <x:c r="H4294" t="str">
        <x:f>IF(E4294=F4294,"PASS","FAIL")</x:f>
        <x:v>PASS</x:v>
      </x:c>
    </x:row>
    <x:row r="4295">
      <x:c r="B4295" t="str">
        <x:v>A-04249</x:v>
      </x:c>
      <x:c r="C4295" t="str">
        <x:v>GATE</x:v>
      </x:c>
      <x:c r="D4295" t="str">
        <x:v>release state mirrors governing ledger</x:v>
      </x:c>
      <x:c r="E4295" t="str">
        <x:f>'Release Gates'!I4255</x:f>
        <x:v>OPEN</x:v>
      </x:c>
      <x:c r="F4295" t="str">
        <x:f>IF('Release Gates'!C4255="PLANNING","PASS",IF('Release Gates'!C4255="PHYSICAL","OPEN","BLOCKED"))</x:f>
        <x:v>OPEN</x:v>
      </x:c>
      <x:c r="G4295" t="str">
        <x:v>equals</x:v>
      </x:c>
      <x:c r="H4295" t="str">
        <x:f>IF(E4295=F4295,"PASS","FAIL")</x:f>
        <x:v>PASS</x:v>
      </x:c>
    </x:row>
    <x:row r="4296">
      <x:c r="B4296" t="str">
        <x:v>A-04250</x:v>
      </x:c>
      <x:c r="C4296" t="str">
        <x:v>GATE</x:v>
      </x:c>
      <x:c r="D4296" t="str">
        <x:v>release state mirrors governing ledger</x:v>
      </x:c>
      <x:c r="E4296" t="str">
        <x:f>'Release Gates'!I4256</x:f>
        <x:v>OPEN</x:v>
      </x:c>
      <x:c r="F4296" t="str">
        <x:f>IF('Release Gates'!C4256="PLANNING","PASS",IF('Release Gates'!C4256="PHYSICAL","OPEN","BLOCKED"))</x:f>
        <x:v>OPEN</x:v>
      </x:c>
      <x:c r="G4296" t="str">
        <x:v>equals</x:v>
      </x:c>
      <x:c r="H4296" t="str">
        <x:f>IF(E4296=F4296,"PASS","FAIL")</x:f>
        <x:v>PASS</x:v>
      </x:c>
    </x:row>
    <x:row r="4297">
      <x:c r="B4297" t="str">
        <x:v>A-04251</x:v>
      </x:c>
      <x:c r="C4297" t="str">
        <x:v>GATE</x:v>
      </x:c>
      <x:c r="D4297" t="str">
        <x:v>release state mirrors governing ledger</x:v>
      </x:c>
      <x:c r="E4297" t="str">
        <x:f>'Release Gates'!I4257</x:f>
        <x:v>OPEN</x:v>
      </x:c>
      <x:c r="F4297" t="str">
        <x:f>IF('Release Gates'!C4257="PLANNING","PASS",IF('Release Gates'!C4257="PHYSICAL","OPEN","BLOCKED"))</x:f>
        <x:v>OPEN</x:v>
      </x:c>
      <x:c r="G4297" t="str">
        <x:v>equals</x:v>
      </x:c>
      <x:c r="H4297" t="str">
        <x:f>IF(E4297=F4297,"PASS","FAIL")</x:f>
        <x:v>PASS</x:v>
      </x:c>
    </x:row>
    <x:row r="4298">
      <x:c r="B4298" t="str">
        <x:v>A-04252</x:v>
      </x:c>
      <x:c r="C4298" t="str">
        <x:v>GATE</x:v>
      </x:c>
      <x:c r="D4298" t="str">
        <x:v>release state mirrors governing ledger</x:v>
      </x:c>
      <x:c r="E4298" t="str">
        <x:f>'Release Gates'!I4258</x:f>
        <x:v>OPEN</x:v>
      </x:c>
      <x:c r="F4298" t="str">
        <x:f>IF('Release Gates'!C4258="PLANNING","PASS",IF('Release Gates'!C4258="PHYSICAL","OPEN","BLOCKED"))</x:f>
        <x:v>OPEN</x:v>
      </x:c>
      <x:c r="G4298" t="str">
        <x:v>equals</x:v>
      </x:c>
      <x:c r="H4298" t="str">
        <x:f>IF(E4298=F4298,"PASS","FAIL")</x:f>
        <x:v>PASS</x:v>
      </x:c>
    </x:row>
    <x:row r="4299">
      <x:c r="B4299" t="str">
        <x:v>A-04253</x:v>
      </x:c>
      <x:c r="C4299" t="str">
        <x:v>GATE</x:v>
      </x:c>
      <x:c r="D4299" t="str">
        <x:v>release state mirrors governing ledger</x:v>
      </x:c>
      <x:c r="E4299" t="str">
        <x:f>'Release Gates'!I4259</x:f>
        <x:v>OPEN</x:v>
      </x:c>
      <x:c r="F4299" t="str">
        <x:f>IF('Release Gates'!C4259="PLANNING","PASS",IF('Release Gates'!C4259="PHYSICAL","OPEN","BLOCKED"))</x:f>
        <x:v>OPEN</x:v>
      </x:c>
      <x:c r="G4299" t="str">
        <x:v>equals</x:v>
      </x:c>
      <x:c r="H4299" t="str">
        <x:f>IF(E4299=F4299,"PASS","FAIL")</x:f>
        <x:v>PASS</x:v>
      </x:c>
    </x:row>
    <x:row r="4300">
      <x:c r="B4300" t="str">
        <x:v>A-04254</x:v>
      </x:c>
      <x:c r="C4300" t="str">
        <x:v>GATE</x:v>
      </x:c>
      <x:c r="D4300" t="str">
        <x:v>release state mirrors governing ledger</x:v>
      </x:c>
      <x:c r="E4300" t="str">
        <x:f>'Release Gates'!I4260</x:f>
        <x:v>OPEN</x:v>
      </x:c>
      <x:c r="F4300" t="str">
        <x:f>IF('Release Gates'!C4260="PLANNING","PASS",IF('Release Gates'!C4260="PHYSICAL","OPEN","BLOCKED"))</x:f>
        <x:v>OPEN</x:v>
      </x:c>
      <x:c r="G4300" t="str">
        <x:v>equals</x:v>
      </x:c>
      <x:c r="H4300" t="str">
        <x:f>IF(E4300=F4300,"PASS","FAIL")</x:f>
        <x:v>PASS</x:v>
      </x:c>
    </x:row>
    <x:row r="4301">
      <x:c r="B4301" t="str">
        <x:v>A-04255</x:v>
      </x:c>
      <x:c r="C4301" t="str">
        <x:v>GATE</x:v>
      </x:c>
      <x:c r="D4301" t="str">
        <x:v>release state mirrors governing ledger</x:v>
      </x:c>
      <x:c r="E4301" t="str">
        <x:f>'Release Gates'!I4261</x:f>
        <x:v>OPEN</x:v>
      </x:c>
      <x:c r="F4301" t="str">
        <x:f>IF('Release Gates'!C4261="PLANNING","PASS",IF('Release Gates'!C4261="PHYSICAL","OPEN","BLOCKED"))</x:f>
        <x:v>OPEN</x:v>
      </x:c>
      <x:c r="G4301" t="str">
        <x:v>equals</x:v>
      </x:c>
      <x:c r="H4301" t="str">
        <x:f>IF(E4301=F4301,"PASS","FAIL")</x:f>
        <x:v>PASS</x:v>
      </x:c>
    </x:row>
    <x:row r="4302">
      <x:c r="B4302" t="str">
        <x:v>A-04256</x:v>
      </x:c>
      <x:c r="C4302" t="str">
        <x:v>GATE</x:v>
      </x:c>
      <x:c r="D4302" t="str">
        <x:v>release state mirrors governing ledger</x:v>
      </x:c>
      <x:c r="E4302" t="str">
        <x:f>'Release Gates'!I4262</x:f>
        <x:v>OPEN</x:v>
      </x:c>
      <x:c r="F4302" t="str">
        <x:f>IF('Release Gates'!C4262="PLANNING","PASS",IF('Release Gates'!C4262="PHYSICAL","OPEN","BLOCKED"))</x:f>
        <x:v>OPEN</x:v>
      </x:c>
      <x:c r="G4302" t="str">
        <x:v>equals</x:v>
      </x:c>
      <x:c r="H4302" t="str">
        <x:f>IF(E4302=F4302,"PASS","FAIL")</x:f>
        <x:v>PASS</x:v>
      </x:c>
    </x:row>
    <x:row r="4303">
      <x:c r="B4303" t="str">
        <x:v>A-04257</x:v>
      </x:c>
      <x:c r="C4303" t="str">
        <x:v>GATE</x:v>
      </x:c>
      <x:c r="D4303" t="str">
        <x:v>release state mirrors governing ledger</x:v>
      </x:c>
      <x:c r="E4303" t="str">
        <x:f>'Release Gates'!I4263</x:f>
        <x:v>OPEN</x:v>
      </x:c>
      <x:c r="F4303" t="str">
        <x:f>IF('Release Gates'!C4263="PLANNING","PASS",IF('Release Gates'!C4263="PHYSICAL","OPEN","BLOCKED"))</x:f>
        <x:v>OPEN</x:v>
      </x:c>
      <x:c r="G4303" t="str">
        <x:v>equals</x:v>
      </x:c>
      <x:c r="H4303" t="str">
        <x:f>IF(E4303=F4303,"PASS","FAIL")</x:f>
        <x:v>PASS</x:v>
      </x:c>
    </x:row>
    <x:row r="4304">
      <x:c r="B4304" t="str">
        <x:v>A-04258</x:v>
      </x:c>
      <x:c r="C4304" t="str">
        <x:v>GATE</x:v>
      </x:c>
      <x:c r="D4304" t="str">
        <x:v>release state mirrors governing ledger</x:v>
      </x:c>
      <x:c r="E4304" t="str">
        <x:f>'Release Gates'!I4264</x:f>
        <x:v>OPEN</x:v>
      </x:c>
      <x:c r="F4304" t="str">
        <x:f>IF('Release Gates'!C4264="PLANNING","PASS",IF('Release Gates'!C4264="PHYSICAL","OPEN","BLOCKED"))</x:f>
        <x:v>OPEN</x:v>
      </x:c>
      <x:c r="G4304" t="str">
        <x:v>equals</x:v>
      </x:c>
      <x:c r="H4304" t="str">
        <x:f>IF(E4304=F4304,"PASS","FAIL")</x:f>
        <x:v>PASS</x:v>
      </x:c>
    </x:row>
    <x:row r="4305">
      <x:c r="B4305" t="str">
        <x:v>A-04259</x:v>
      </x:c>
      <x:c r="C4305" t="str">
        <x:v>GATE</x:v>
      </x:c>
      <x:c r="D4305" t="str">
        <x:v>release state mirrors governing ledger</x:v>
      </x:c>
      <x:c r="E4305" t="str">
        <x:f>'Release Gates'!I4265</x:f>
        <x:v>OPEN</x:v>
      </x:c>
      <x:c r="F4305" t="str">
        <x:f>IF('Release Gates'!C4265="PLANNING","PASS",IF('Release Gates'!C4265="PHYSICAL","OPEN","BLOCKED"))</x:f>
        <x:v>OPEN</x:v>
      </x:c>
      <x:c r="G4305" t="str">
        <x:v>equals</x:v>
      </x:c>
      <x:c r="H4305" t="str">
        <x:f>IF(E4305=F4305,"PASS","FAIL")</x:f>
        <x:v>PASS</x:v>
      </x:c>
    </x:row>
    <x:row r="4306">
      <x:c r="B4306" t="str">
        <x:v>A-04260</x:v>
      </x:c>
      <x:c r="C4306" t="str">
        <x:v>GATE</x:v>
      </x:c>
      <x:c r="D4306" t="str">
        <x:v>release state mirrors governing ledger</x:v>
      </x:c>
      <x:c r="E4306" t="str">
        <x:f>'Release Gates'!I4266</x:f>
        <x:v>OPEN</x:v>
      </x:c>
      <x:c r="F4306" t="str">
        <x:f>IF('Release Gates'!C4266="PLANNING","PASS",IF('Release Gates'!C4266="PHYSICAL","OPEN","BLOCKED"))</x:f>
        <x:v>OPEN</x:v>
      </x:c>
      <x:c r="G4306" t="str">
        <x:v>equals</x:v>
      </x:c>
      <x:c r="H4306" t="str">
        <x:f>IF(E4306=F4306,"PASS","FAIL")</x:f>
        <x:v>PASS</x:v>
      </x:c>
    </x:row>
    <x:row r="4307">
      <x:c r="B4307" t="str">
        <x:v>A-04261</x:v>
      </x:c>
      <x:c r="C4307" t="str">
        <x:v>GATE</x:v>
      </x:c>
      <x:c r="D4307" t="str">
        <x:v>release state mirrors governing ledger</x:v>
      </x:c>
      <x:c r="E4307" t="str">
        <x:f>'Release Gates'!I4267</x:f>
        <x:v>OPEN</x:v>
      </x:c>
      <x:c r="F4307" t="str">
        <x:f>IF('Release Gates'!C4267="PLANNING","PASS",IF('Release Gates'!C4267="PHYSICAL","OPEN","BLOCKED"))</x:f>
        <x:v>OPEN</x:v>
      </x:c>
      <x:c r="G4307" t="str">
        <x:v>equals</x:v>
      </x:c>
      <x:c r="H4307" t="str">
        <x:f>IF(E4307=F4307,"PASS","FAIL")</x:f>
        <x:v>PASS</x:v>
      </x:c>
    </x:row>
    <x:row r="4308">
      <x:c r="B4308" t="str">
        <x:v>A-04262</x:v>
      </x:c>
      <x:c r="C4308" t="str">
        <x:v>GATE</x:v>
      </x:c>
      <x:c r="D4308" t="str">
        <x:v>release state mirrors governing ledger</x:v>
      </x:c>
      <x:c r="E4308" t="str">
        <x:f>'Release Gates'!I4268</x:f>
        <x:v>OPEN</x:v>
      </x:c>
      <x:c r="F4308" t="str">
        <x:f>IF('Release Gates'!C4268="PLANNING","PASS",IF('Release Gates'!C4268="PHYSICAL","OPEN","BLOCKED"))</x:f>
        <x:v>OPEN</x:v>
      </x:c>
      <x:c r="G4308" t="str">
        <x:v>equals</x:v>
      </x:c>
      <x:c r="H4308" t="str">
        <x:f>IF(E4308=F4308,"PASS","FAIL")</x:f>
        <x:v>PASS</x:v>
      </x:c>
    </x:row>
    <x:row r="4309">
      <x:c r="B4309" t="str">
        <x:v>A-04263</x:v>
      </x:c>
      <x:c r="C4309" t="str">
        <x:v>GATE</x:v>
      </x:c>
      <x:c r="D4309" t="str">
        <x:v>release state mirrors governing ledger</x:v>
      </x:c>
      <x:c r="E4309" t="str">
        <x:f>'Release Gates'!I4269</x:f>
        <x:v>OPEN</x:v>
      </x:c>
      <x:c r="F4309" t="str">
        <x:f>IF('Release Gates'!C4269="PLANNING","PASS",IF('Release Gates'!C4269="PHYSICAL","OPEN","BLOCKED"))</x:f>
        <x:v>OPEN</x:v>
      </x:c>
      <x:c r="G4309" t="str">
        <x:v>equals</x:v>
      </x:c>
      <x:c r="H4309" t="str">
        <x:f>IF(E4309=F4309,"PASS","FAIL")</x:f>
        <x:v>PASS</x:v>
      </x:c>
    </x:row>
    <x:row r="4310">
      <x:c r="B4310" t="str">
        <x:v>A-04264</x:v>
      </x:c>
      <x:c r="C4310" t="str">
        <x:v>GATE</x:v>
      </x:c>
      <x:c r="D4310" t="str">
        <x:v>release state mirrors governing ledger</x:v>
      </x:c>
      <x:c r="E4310" t="str">
        <x:f>'Release Gates'!I4270</x:f>
        <x:v>OPEN</x:v>
      </x:c>
      <x:c r="F4310" t="str">
        <x:f>IF('Release Gates'!C4270="PLANNING","PASS",IF('Release Gates'!C4270="PHYSICAL","OPEN","BLOCKED"))</x:f>
        <x:v>OPEN</x:v>
      </x:c>
      <x:c r="G4310" t="str">
        <x:v>equals</x:v>
      </x:c>
      <x:c r="H4310" t="str">
        <x:f>IF(E4310=F4310,"PASS","FAIL")</x:f>
        <x:v>PASS</x:v>
      </x:c>
    </x:row>
    <x:row r="4311">
      <x:c r="B4311" t="str">
        <x:v>A-04265</x:v>
      </x:c>
      <x:c r="C4311" t="str">
        <x:v>GATE</x:v>
      </x:c>
      <x:c r="D4311" t="str">
        <x:v>release state mirrors governing ledger</x:v>
      </x:c>
      <x:c r="E4311" t="str">
        <x:f>'Release Gates'!I4271</x:f>
        <x:v>OPEN</x:v>
      </x:c>
      <x:c r="F4311" t="str">
        <x:f>IF('Release Gates'!C4271="PLANNING","PASS",IF('Release Gates'!C4271="PHYSICAL","OPEN","BLOCKED"))</x:f>
        <x:v>OPEN</x:v>
      </x:c>
      <x:c r="G4311" t="str">
        <x:v>equals</x:v>
      </x:c>
      <x:c r="H4311" t="str">
        <x:f>IF(E4311=F4311,"PASS","FAIL")</x:f>
        <x:v>PASS</x:v>
      </x:c>
    </x:row>
    <x:row r="4312">
      <x:c r="B4312" t="str">
        <x:v>A-04266</x:v>
      </x:c>
      <x:c r="C4312" t="str">
        <x:v>GATE</x:v>
      </x:c>
      <x:c r="D4312" t="str">
        <x:v>release state mirrors governing ledger</x:v>
      </x:c>
      <x:c r="E4312" t="str">
        <x:f>'Release Gates'!I4272</x:f>
        <x:v>OPEN</x:v>
      </x:c>
      <x:c r="F4312" t="str">
        <x:f>IF('Release Gates'!C4272="PLANNING","PASS",IF('Release Gates'!C4272="PHYSICAL","OPEN","BLOCKED"))</x:f>
        <x:v>OPEN</x:v>
      </x:c>
      <x:c r="G4312" t="str">
        <x:v>equals</x:v>
      </x:c>
      <x:c r="H4312" t="str">
        <x:f>IF(E4312=F4312,"PASS","FAIL")</x:f>
        <x:v>PASS</x:v>
      </x:c>
    </x:row>
    <x:row r="4313">
      <x:c r="B4313" t="str">
        <x:v>A-04267</x:v>
      </x:c>
      <x:c r="C4313" t="str">
        <x:v>GATE</x:v>
      </x:c>
      <x:c r="D4313" t="str">
        <x:v>release state mirrors governing ledger</x:v>
      </x:c>
      <x:c r="E4313" t="str">
        <x:f>'Release Gates'!I4273</x:f>
        <x:v>OPEN</x:v>
      </x:c>
      <x:c r="F4313" t="str">
        <x:f>IF('Release Gates'!C4273="PLANNING","PASS",IF('Release Gates'!C4273="PHYSICAL","OPEN","BLOCKED"))</x:f>
        <x:v>OPEN</x:v>
      </x:c>
      <x:c r="G4313" t="str">
        <x:v>equals</x:v>
      </x:c>
      <x:c r="H4313" t="str">
        <x:f>IF(E4313=F4313,"PASS","FAIL")</x:f>
        <x:v>PASS</x:v>
      </x:c>
    </x:row>
    <x:row r="4314">
      <x:c r="B4314" t="str">
        <x:v>A-04268</x:v>
      </x:c>
      <x:c r="C4314" t="str">
        <x:v>GATE</x:v>
      </x:c>
      <x:c r="D4314" t="str">
        <x:v>release state mirrors governing ledger</x:v>
      </x:c>
      <x:c r="E4314" t="str">
        <x:f>'Release Gates'!I4274</x:f>
        <x:v>OPEN</x:v>
      </x:c>
      <x:c r="F4314" t="str">
        <x:f>IF('Release Gates'!C4274="PLANNING","PASS",IF('Release Gates'!C4274="PHYSICAL","OPEN","BLOCKED"))</x:f>
        <x:v>OPEN</x:v>
      </x:c>
      <x:c r="G4314" t="str">
        <x:v>equals</x:v>
      </x:c>
      <x:c r="H4314" t="str">
        <x:f>IF(E4314=F4314,"PASS","FAIL")</x:f>
        <x:v>PASS</x:v>
      </x:c>
    </x:row>
    <x:row r="4315">
      <x:c r="B4315" t="str">
        <x:v>A-04269</x:v>
      </x:c>
      <x:c r="C4315" t="str">
        <x:v>GATE</x:v>
      </x:c>
      <x:c r="D4315" t="str">
        <x:v>release state mirrors governing ledger</x:v>
      </x:c>
      <x:c r="E4315" t="str">
        <x:f>'Release Gates'!I4275</x:f>
        <x:v>OPEN</x:v>
      </x:c>
      <x:c r="F4315" t="str">
        <x:f>IF('Release Gates'!C4275="PLANNING","PASS",IF('Release Gates'!C4275="PHYSICAL","OPEN","BLOCKED"))</x:f>
        <x:v>OPEN</x:v>
      </x:c>
      <x:c r="G4315" t="str">
        <x:v>equals</x:v>
      </x:c>
      <x:c r="H4315" t="str">
        <x:f>IF(E4315=F4315,"PASS","FAIL")</x:f>
        <x:v>PASS</x:v>
      </x:c>
    </x:row>
    <x:row r="4316">
      <x:c r="B4316" t="str">
        <x:v>A-04270</x:v>
      </x:c>
      <x:c r="C4316" t="str">
        <x:v>GATE</x:v>
      </x:c>
      <x:c r="D4316" t="str">
        <x:v>release state mirrors governing ledger</x:v>
      </x:c>
      <x:c r="E4316" t="str">
        <x:f>'Release Gates'!I4276</x:f>
        <x:v>OPEN</x:v>
      </x:c>
      <x:c r="F4316" t="str">
        <x:f>IF('Release Gates'!C4276="PLANNING","PASS",IF('Release Gates'!C4276="PHYSICAL","OPEN","BLOCKED"))</x:f>
        <x:v>OPEN</x:v>
      </x:c>
      <x:c r="G4316" t="str">
        <x:v>equals</x:v>
      </x:c>
      <x:c r="H4316" t="str">
        <x:f>IF(E4316=F4316,"PASS","FAIL")</x:f>
        <x:v>PASS</x:v>
      </x:c>
    </x:row>
    <x:row r="4317">
      <x:c r="B4317" t="str">
        <x:v>A-04271</x:v>
      </x:c>
      <x:c r="C4317" t="str">
        <x:v>GATE</x:v>
      </x:c>
      <x:c r="D4317" t="str">
        <x:v>release state mirrors governing ledger</x:v>
      </x:c>
      <x:c r="E4317" t="str">
        <x:f>'Release Gates'!I4277</x:f>
        <x:v>OPEN</x:v>
      </x:c>
      <x:c r="F4317" t="str">
        <x:f>IF('Release Gates'!C4277="PLANNING","PASS",IF('Release Gates'!C4277="PHYSICAL","OPEN","BLOCKED"))</x:f>
        <x:v>OPEN</x:v>
      </x:c>
      <x:c r="G4317" t="str">
        <x:v>equals</x:v>
      </x:c>
      <x:c r="H4317" t="str">
        <x:f>IF(E4317=F4317,"PASS","FAIL")</x:f>
        <x:v>PASS</x:v>
      </x:c>
    </x:row>
    <x:row r="4318">
      <x:c r="B4318" t="str">
        <x:v>A-04272</x:v>
      </x:c>
      <x:c r="C4318" t="str">
        <x:v>GATE</x:v>
      </x:c>
      <x:c r="D4318" t="str">
        <x:v>release state mirrors governing ledger</x:v>
      </x:c>
      <x:c r="E4318" t="str">
        <x:f>'Release Gates'!I4278</x:f>
        <x:v>OPEN</x:v>
      </x:c>
      <x:c r="F4318" t="str">
        <x:f>IF('Release Gates'!C4278="PLANNING","PASS",IF('Release Gates'!C4278="PHYSICAL","OPEN","BLOCKED"))</x:f>
        <x:v>OPEN</x:v>
      </x:c>
      <x:c r="G4318" t="str">
        <x:v>equals</x:v>
      </x:c>
      <x:c r="H4318" t="str">
        <x:f>IF(E4318=F4318,"PASS","FAIL")</x:f>
        <x:v>PASS</x:v>
      </x:c>
    </x:row>
    <x:row r="4319">
      <x:c r="B4319" t="str">
        <x:v>A-04273</x:v>
      </x:c>
      <x:c r="C4319" t="str">
        <x:v>GATE</x:v>
      </x:c>
      <x:c r="D4319" t="str">
        <x:v>release state mirrors governing ledger</x:v>
      </x:c>
      <x:c r="E4319" t="str">
        <x:f>'Release Gates'!I4279</x:f>
        <x:v>OPEN</x:v>
      </x:c>
      <x:c r="F4319" t="str">
        <x:f>IF('Release Gates'!C4279="PLANNING","PASS",IF('Release Gates'!C4279="PHYSICAL","OPEN","BLOCKED"))</x:f>
        <x:v>OPEN</x:v>
      </x:c>
      <x:c r="G4319" t="str">
        <x:v>equals</x:v>
      </x:c>
      <x:c r="H4319" t="str">
        <x:f>IF(E4319=F4319,"PASS","FAIL")</x:f>
        <x:v>PASS</x:v>
      </x:c>
    </x:row>
    <x:row r="4320">
      <x:c r="B4320" t="str">
        <x:v>A-04274</x:v>
      </x:c>
      <x:c r="C4320" t="str">
        <x:v>GATE</x:v>
      </x:c>
      <x:c r="D4320" t="str">
        <x:v>release state mirrors governing ledger</x:v>
      </x:c>
      <x:c r="E4320" t="str">
        <x:f>'Release Gates'!I4280</x:f>
        <x:v>OPEN</x:v>
      </x:c>
      <x:c r="F4320" t="str">
        <x:f>IF('Release Gates'!C4280="PLANNING","PASS",IF('Release Gates'!C4280="PHYSICAL","OPEN","BLOCKED"))</x:f>
        <x:v>OPEN</x:v>
      </x:c>
      <x:c r="G4320" t="str">
        <x:v>equals</x:v>
      </x:c>
      <x:c r="H4320" t="str">
        <x:f>IF(E4320=F4320,"PASS","FAIL")</x:f>
        <x:v>PASS</x:v>
      </x:c>
    </x:row>
    <x:row r="4321">
      <x:c r="B4321" t="str">
        <x:v>A-04275</x:v>
      </x:c>
      <x:c r="C4321" t="str">
        <x:v>GATE</x:v>
      </x:c>
      <x:c r="D4321" t="str">
        <x:v>release state mirrors governing ledger</x:v>
      </x:c>
      <x:c r="E4321" t="str">
        <x:f>'Release Gates'!I4281</x:f>
        <x:v>OPEN</x:v>
      </x:c>
      <x:c r="F4321" t="str">
        <x:f>IF('Release Gates'!C4281="PLANNING","PASS",IF('Release Gates'!C4281="PHYSICAL","OPEN","BLOCKED"))</x:f>
        <x:v>OPEN</x:v>
      </x:c>
      <x:c r="G4321" t="str">
        <x:v>equals</x:v>
      </x:c>
      <x:c r="H4321" t="str">
        <x:f>IF(E4321=F4321,"PASS","FAIL")</x:f>
        <x:v>PASS</x:v>
      </x:c>
    </x:row>
    <x:row r="4322">
      <x:c r="B4322" t="str">
        <x:v>A-04276</x:v>
      </x:c>
      <x:c r="C4322" t="str">
        <x:v>GATE</x:v>
      </x:c>
      <x:c r="D4322" t="str">
        <x:v>release state mirrors governing ledger</x:v>
      </x:c>
      <x:c r="E4322" t="str">
        <x:f>'Release Gates'!I4282</x:f>
        <x:v>OPEN</x:v>
      </x:c>
      <x:c r="F4322" t="str">
        <x:f>IF('Release Gates'!C4282="PLANNING","PASS",IF('Release Gates'!C4282="PHYSICAL","OPEN","BLOCKED"))</x:f>
        <x:v>OPEN</x:v>
      </x:c>
      <x:c r="G4322" t="str">
        <x:v>equals</x:v>
      </x:c>
      <x:c r="H4322" t="str">
        <x:f>IF(E4322=F4322,"PASS","FAIL")</x:f>
        <x:v>PASS</x:v>
      </x:c>
    </x:row>
    <x:row r="4323">
      <x:c r="B4323" t="str">
        <x:v>A-04277</x:v>
      </x:c>
      <x:c r="C4323" t="str">
        <x:v>GATE</x:v>
      </x:c>
      <x:c r="D4323" t="str">
        <x:v>release state mirrors governing ledger</x:v>
      </x:c>
      <x:c r="E4323" t="str">
        <x:f>'Release Gates'!I4283</x:f>
        <x:v>OPEN</x:v>
      </x:c>
      <x:c r="F4323" t="str">
        <x:f>IF('Release Gates'!C4283="PLANNING","PASS",IF('Release Gates'!C4283="PHYSICAL","OPEN","BLOCKED"))</x:f>
        <x:v>OPEN</x:v>
      </x:c>
      <x:c r="G4323" t="str">
        <x:v>equals</x:v>
      </x:c>
      <x:c r="H4323" t="str">
        <x:f>IF(E4323=F4323,"PASS","FAIL")</x:f>
        <x:v>PASS</x:v>
      </x:c>
    </x:row>
    <x:row r="4324">
      <x:c r="B4324" t="str">
        <x:v>A-04278</x:v>
      </x:c>
      <x:c r="C4324" t="str">
        <x:v>GATE</x:v>
      </x:c>
      <x:c r="D4324" t="str">
        <x:v>release state mirrors governing ledger</x:v>
      </x:c>
      <x:c r="E4324" t="str">
        <x:f>'Release Gates'!I4284</x:f>
        <x:v>OPEN</x:v>
      </x:c>
      <x:c r="F4324" t="str">
        <x:f>IF('Release Gates'!C4284="PLANNING","PASS",IF('Release Gates'!C4284="PHYSICAL","OPEN","BLOCKED"))</x:f>
        <x:v>OPEN</x:v>
      </x:c>
      <x:c r="G4324" t="str">
        <x:v>equals</x:v>
      </x:c>
      <x:c r="H4324" t="str">
        <x:f>IF(E4324=F4324,"PASS","FAIL")</x:f>
        <x:v>PASS</x:v>
      </x:c>
    </x:row>
    <x:row r="4325">
      <x:c r="B4325" t="str">
        <x:v>A-04279</x:v>
      </x:c>
      <x:c r="C4325" t="str">
        <x:v>GATE</x:v>
      </x:c>
      <x:c r="D4325" t="str">
        <x:v>release state mirrors governing ledger</x:v>
      </x:c>
      <x:c r="E4325" t="str">
        <x:f>'Release Gates'!I4285</x:f>
        <x:v>OPEN</x:v>
      </x:c>
      <x:c r="F4325" t="str">
        <x:f>IF('Release Gates'!C4285="PLANNING","PASS",IF('Release Gates'!C4285="PHYSICAL","OPEN","BLOCKED"))</x:f>
        <x:v>OPEN</x:v>
      </x:c>
      <x:c r="G4325" t="str">
        <x:v>equals</x:v>
      </x:c>
      <x:c r="H4325" t="str">
        <x:f>IF(E4325=F4325,"PASS","FAIL")</x:f>
        <x:v>PASS</x:v>
      </x:c>
    </x:row>
    <x:row r="4326">
      <x:c r="B4326" t="str">
        <x:v>A-04280</x:v>
      </x:c>
      <x:c r="C4326" t="str">
        <x:v>GATE</x:v>
      </x:c>
      <x:c r="D4326" t="str">
        <x:v>release state mirrors governing ledger</x:v>
      </x:c>
      <x:c r="E4326" t="str">
        <x:f>'Release Gates'!I4286</x:f>
        <x:v>OPEN</x:v>
      </x:c>
      <x:c r="F4326" t="str">
        <x:f>IF('Release Gates'!C4286="PLANNING","PASS",IF('Release Gates'!C4286="PHYSICAL","OPEN","BLOCKED"))</x:f>
        <x:v>OPEN</x:v>
      </x:c>
      <x:c r="G4326" t="str">
        <x:v>equals</x:v>
      </x:c>
      <x:c r="H4326" t="str">
        <x:f>IF(E4326=F4326,"PASS","FAIL")</x:f>
        <x:v>PASS</x:v>
      </x:c>
    </x:row>
    <x:row r="4327">
      <x:c r="B4327" t="str">
        <x:v>A-04281</x:v>
      </x:c>
      <x:c r="C4327" t="str">
        <x:v>GATE</x:v>
      </x:c>
      <x:c r="D4327" t="str">
        <x:v>release state mirrors governing ledger</x:v>
      </x:c>
      <x:c r="E4327" t="str">
        <x:f>'Release Gates'!I4287</x:f>
        <x:v>OPEN</x:v>
      </x:c>
      <x:c r="F4327" t="str">
        <x:f>IF('Release Gates'!C4287="PLANNING","PASS",IF('Release Gates'!C4287="PHYSICAL","OPEN","BLOCKED"))</x:f>
        <x:v>OPEN</x:v>
      </x:c>
      <x:c r="G4327" t="str">
        <x:v>equals</x:v>
      </x:c>
      <x:c r="H4327" t="str">
        <x:f>IF(E4327=F4327,"PASS","FAIL")</x:f>
        <x:v>PASS</x:v>
      </x:c>
    </x:row>
    <x:row r="4328">
      <x:c r="B4328" t="str">
        <x:v>A-04282</x:v>
      </x:c>
      <x:c r="C4328" t="str">
        <x:v>GATE</x:v>
      </x:c>
      <x:c r="D4328" t="str">
        <x:v>release state mirrors governing ledger</x:v>
      </x:c>
      <x:c r="E4328" t="str">
        <x:f>'Release Gates'!I4288</x:f>
        <x:v>OPEN</x:v>
      </x:c>
      <x:c r="F4328" t="str">
        <x:f>IF('Release Gates'!C4288="PLANNING","PASS",IF('Release Gates'!C4288="PHYSICAL","OPEN","BLOCKED"))</x:f>
        <x:v>OPEN</x:v>
      </x:c>
      <x:c r="G4328" t="str">
        <x:v>equals</x:v>
      </x:c>
      <x:c r="H4328" t="str">
        <x:f>IF(E4328=F4328,"PASS","FAIL")</x:f>
        <x:v>PASS</x:v>
      </x:c>
    </x:row>
    <x:row r="4329">
      <x:c r="B4329" t="str">
        <x:v>A-04283</x:v>
      </x:c>
      <x:c r="C4329" t="str">
        <x:v>GATE</x:v>
      </x:c>
      <x:c r="D4329" t="str">
        <x:v>release state mirrors governing ledger</x:v>
      </x:c>
      <x:c r="E4329" t="str">
        <x:f>'Release Gates'!I4289</x:f>
        <x:v>OPEN</x:v>
      </x:c>
      <x:c r="F4329" t="str">
        <x:f>IF('Release Gates'!C4289="PLANNING","PASS",IF('Release Gates'!C4289="PHYSICAL","OPEN","BLOCKED"))</x:f>
        <x:v>OPEN</x:v>
      </x:c>
      <x:c r="G4329" t="str">
        <x:v>equals</x:v>
      </x:c>
      <x:c r="H4329" t="str">
        <x:f>IF(E4329=F4329,"PASS","FAIL")</x:f>
        <x:v>PASS</x:v>
      </x:c>
    </x:row>
    <x:row r="4330">
      <x:c r="B4330" t="str">
        <x:v>A-04284</x:v>
      </x:c>
      <x:c r="C4330" t="str">
        <x:v>GATE</x:v>
      </x:c>
      <x:c r="D4330" t="str">
        <x:v>release state mirrors governing ledger</x:v>
      </x:c>
      <x:c r="E4330" t="str">
        <x:f>'Release Gates'!I4290</x:f>
        <x:v>OPEN</x:v>
      </x:c>
      <x:c r="F4330" t="str">
        <x:f>IF('Release Gates'!C4290="PLANNING","PASS",IF('Release Gates'!C4290="PHYSICAL","OPEN","BLOCKED"))</x:f>
        <x:v>OPEN</x:v>
      </x:c>
      <x:c r="G4330" t="str">
        <x:v>equals</x:v>
      </x:c>
      <x:c r="H4330" t="str">
        <x:f>IF(E4330=F4330,"PASS","FAIL")</x:f>
        <x:v>PASS</x:v>
      </x:c>
    </x:row>
    <x:row r="4331">
      <x:c r="B4331" t="str">
        <x:v>A-04285</x:v>
      </x:c>
      <x:c r="C4331" t="str">
        <x:v>GATE</x:v>
      </x:c>
      <x:c r="D4331" t="str">
        <x:v>release state mirrors governing ledger</x:v>
      </x:c>
      <x:c r="E4331" t="str">
        <x:f>'Release Gates'!I4291</x:f>
        <x:v>OPEN</x:v>
      </x:c>
      <x:c r="F4331" t="str">
        <x:f>IF('Release Gates'!C4291="PLANNING","PASS",IF('Release Gates'!C4291="PHYSICAL","OPEN","BLOCKED"))</x:f>
        <x:v>OPEN</x:v>
      </x:c>
      <x:c r="G4331" t="str">
        <x:v>equals</x:v>
      </x:c>
      <x:c r="H4331" t="str">
        <x:f>IF(E4331=F4331,"PASS","FAIL")</x:f>
        <x:v>PASS</x:v>
      </x:c>
    </x:row>
    <x:row r="4332">
      <x:c r="B4332" t="str">
        <x:v>A-04286</x:v>
      </x:c>
      <x:c r="C4332" t="str">
        <x:v>GATE</x:v>
      </x:c>
      <x:c r="D4332" t="str">
        <x:v>release state mirrors governing ledger</x:v>
      </x:c>
      <x:c r="E4332" t="str">
        <x:f>'Release Gates'!I4292</x:f>
        <x:v>OPEN</x:v>
      </x:c>
      <x:c r="F4332" t="str">
        <x:f>IF('Release Gates'!C4292="PLANNING","PASS",IF('Release Gates'!C4292="PHYSICAL","OPEN","BLOCKED"))</x:f>
        <x:v>OPEN</x:v>
      </x:c>
      <x:c r="G4332" t="str">
        <x:v>equals</x:v>
      </x:c>
      <x:c r="H4332" t="str">
        <x:f>IF(E4332=F4332,"PASS","FAIL")</x:f>
        <x:v>PASS</x:v>
      </x:c>
    </x:row>
    <x:row r="4333">
      <x:c r="B4333" t="str">
        <x:v>A-04287</x:v>
      </x:c>
      <x:c r="C4333" t="str">
        <x:v>GATE</x:v>
      </x:c>
      <x:c r="D4333" t="str">
        <x:v>release state mirrors governing ledger</x:v>
      </x:c>
      <x:c r="E4333" t="str">
        <x:f>'Release Gates'!I4293</x:f>
        <x:v>OPEN</x:v>
      </x:c>
      <x:c r="F4333" t="str">
        <x:f>IF('Release Gates'!C4293="PLANNING","PASS",IF('Release Gates'!C4293="PHYSICAL","OPEN","BLOCKED"))</x:f>
        <x:v>OPEN</x:v>
      </x:c>
      <x:c r="G4333" t="str">
        <x:v>equals</x:v>
      </x:c>
      <x:c r="H4333" t="str">
        <x:f>IF(E4333=F4333,"PASS","FAIL")</x:f>
        <x:v>PASS</x:v>
      </x:c>
    </x:row>
    <x:row r="4334">
      <x:c r="B4334" t="str">
        <x:v>A-04288</x:v>
      </x:c>
      <x:c r="C4334" t="str">
        <x:v>GATE</x:v>
      </x:c>
      <x:c r="D4334" t="str">
        <x:v>release state mirrors governing ledger</x:v>
      </x:c>
      <x:c r="E4334" t="str">
        <x:f>'Release Gates'!I4294</x:f>
        <x:v>OPEN</x:v>
      </x:c>
      <x:c r="F4334" t="str">
        <x:f>IF('Release Gates'!C4294="PLANNING","PASS",IF('Release Gates'!C4294="PHYSICAL","OPEN","BLOCKED"))</x:f>
        <x:v>OPEN</x:v>
      </x:c>
      <x:c r="G4334" t="str">
        <x:v>equals</x:v>
      </x:c>
      <x:c r="H4334" t="str">
        <x:f>IF(E4334=F4334,"PASS","FAIL")</x:f>
        <x:v>PASS</x:v>
      </x:c>
    </x:row>
    <x:row r="4335">
      <x:c r="B4335" t="str">
        <x:v>A-04289</x:v>
      </x:c>
      <x:c r="C4335" t="str">
        <x:v>GATE</x:v>
      </x:c>
      <x:c r="D4335" t="str">
        <x:v>release state mirrors governing ledger</x:v>
      </x:c>
      <x:c r="E4335" t="str">
        <x:f>'Release Gates'!I4295</x:f>
        <x:v>OPEN</x:v>
      </x:c>
      <x:c r="F4335" t="str">
        <x:f>IF('Release Gates'!C4295="PLANNING","PASS",IF('Release Gates'!C4295="PHYSICAL","OPEN","BLOCKED"))</x:f>
        <x:v>OPEN</x:v>
      </x:c>
      <x:c r="G4335" t="str">
        <x:v>equals</x:v>
      </x:c>
      <x:c r="H4335" t="str">
        <x:f>IF(E4335=F4335,"PASS","FAIL")</x:f>
        <x:v>PASS</x:v>
      </x:c>
    </x:row>
    <x:row r="4336">
      <x:c r="B4336" t="str">
        <x:v>A-04290</x:v>
      </x:c>
      <x:c r="C4336" t="str">
        <x:v>GATE</x:v>
      </x:c>
      <x:c r="D4336" t="str">
        <x:v>release state mirrors governing ledger</x:v>
      </x:c>
      <x:c r="E4336" t="str">
        <x:f>'Release Gates'!I4296</x:f>
        <x:v>OPEN</x:v>
      </x:c>
      <x:c r="F4336" t="str">
        <x:f>IF('Release Gates'!C4296="PLANNING","PASS",IF('Release Gates'!C4296="PHYSICAL","OPEN","BLOCKED"))</x:f>
        <x:v>OPEN</x:v>
      </x:c>
      <x:c r="G4336" t="str">
        <x:v>equals</x:v>
      </x:c>
      <x:c r="H4336" t="str">
        <x:f>IF(E4336=F4336,"PASS","FAIL")</x:f>
        <x:v>PASS</x:v>
      </x:c>
    </x:row>
    <x:row r="4337">
      <x:c r="B4337" t="str">
        <x:v>A-04291</x:v>
      </x:c>
      <x:c r="C4337" t="str">
        <x:v>GATE</x:v>
      </x:c>
      <x:c r="D4337" t="str">
        <x:v>release state mirrors governing ledger</x:v>
      </x:c>
      <x:c r="E4337" t="str">
        <x:f>'Release Gates'!I4297</x:f>
        <x:v>OPEN</x:v>
      </x:c>
      <x:c r="F4337" t="str">
        <x:f>IF('Release Gates'!C4297="PLANNING","PASS",IF('Release Gates'!C4297="PHYSICAL","OPEN","BLOCKED"))</x:f>
        <x:v>OPEN</x:v>
      </x:c>
      <x:c r="G4337" t="str">
        <x:v>equals</x:v>
      </x:c>
      <x:c r="H4337" t="str">
        <x:f>IF(E4337=F4337,"PASS","FAIL")</x:f>
        <x:v>PASS</x:v>
      </x:c>
    </x:row>
    <x:row r="4338">
      <x:c r="B4338" t="str">
        <x:v>A-04292</x:v>
      </x:c>
      <x:c r="C4338" t="str">
        <x:v>GATE</x:v>
      </x:c>
      <x:c r="D4338" t="str">
        <x:v>release state mirrors governing ledger</x:v>
      </x:c>
      <x:c r="E4338" t="str">
        <x:f>'Release Gates'!I4298</x:f>
        <x:v>OPEN</x:v>
      </x:c>
      <x:c r="F4338" t="str">
        <x:f>IF('Release Gates'!C4298="PLANNING","PASS",IF('Release Gates'!C4298="PHYSICAL","OPEN","BLOCKED"))</x:f>
        <x:v>OPEN</x:v>
      </x:c>
      <x:c r="G4338" t="str">
        <x:v>equals</x:v>
      </x:c>
      <x:c r="H4338" t="str">
        <x:f>IF(E4338=F4338,"PASS","FAIL")</x:f>
        <x:v>PASS</x:v>
      </x:c>
    </x:row>
    <x:row r="4339">
      <x:c r="B4339" t="str">
        <x:v>A-04293</x:v>
      </x:c>
      <x:c r="C4339" t="str">
        <x:v>GATE</x:v>
      </x:c>
      <x:c r="D4339" t="str">
        <x:v>release state mirrors governing ledger</x:v>
      </x:c>
      <x:c r="E4339" t="str">
        <x:f>'Release Gates'!I4299</x:f>
        <x:v>OPEN</x:v>
      </x:c>
      <x:c r="F4339" t="str">
        <x:f>IF('Release Gates'!C4299="PLANNING","PASS",IF('Release Gates'!C4299="PHYSICAL","OPEN","BLOCKED"))</x:f>
        <x:v>OPEN</x:v>
      </x:c>
      <x:c r="G4339" t="str">
        <x:v>equals</x:v>
      </x:c>
      <x:c r="H4339" t="str">
        <x:f>IF(E4339=F4339,"PASS","FAIL")</x:f>
        <x:v>PASS</x:v>
      </x:c>
    </x:row>
    <x:row r="4340">
      <x:c r="B4340" t="str">
        <x:v>A-04294</x:v>
      </x:c>
      <x:c r="C4340" t="str">
        <x:v>GATE</x:v>
      </x:c>
      <x:c r="D4340" t="str">
        <x:v>release state mirrors governing ledger</x:v>
      </x:c>
      <x:c r="E4340" t="str">
        <x:f>'Release Gates'!I4300</x:f>
        <x:v>OPEN</x:v>
      </x:c>
      <x:c r="F4340" t="str">
        <x:f>IF('Release Gates'!C4300="PLANNING","PASS",IF('Release Gates'!C4300="PHYSICAL","OPEN","BLOCKED"))</x:f>
        <x:v>OPEN</x:v>
      </x:c>
      <x:c r="G4340" t="str">
        <x:v>equals</x:v>
      </x:c>
      <x:c r="H4340" t="str">
        <x:f>IF(E4340=F4340,"PASS","FAIL")</x:f>
        <x:v>PASS</x:v>
      </x:c>
    </x:row>
    <x:row r="4341">
      <x:c r="B4341" t="str">
        <x:v>A-04295</x:v>
      </x:c>
      <x:c r="C4341" t="str">
        <x:v>GATE</x:v>
      </x:c>
      <x:c r="D4341" t="str">
        <x:v>release state mirrors governing ledger</x:v>
      </x:c>
      <x:c r="E4341" t="str">
        <x:f>'Release Gates'!I4301</x:f>
        <x:v>OPEN</x:v>
      </x:c>
      <x:c r="F4341" t="str">
        <x:f>IF('Release Gates'!C4301="PLANNING","PASS",IF('Release Gates'!C4301="PHYSICAL","OPEN","BLOCKED"))</x:f>
        <x:v>OPEN</x:v>
      </x:c>
      <x:c r="G4341" t="str">
        <x:v>equals</x:v>
      </x:c>
      <x:c r="H4341" t="str">
        <x:f>IF(E4341=F4341,"PASS","FAIL")</x:f>
        <x:v>PASS</x:v>
      </x:c>
    </x:row>
    <x:row r="4342">
      <x:c r="B4342" t="str">
        <x:v>A-04296</x:v>
      </x:c>
      <x:c r="C4342" t="str">
        <x:v>GATE</x:v>
      </x:c>
      <x:c r="D4342" t="str">
        <x:v>release state mirrors governing ledger</x:v>
      </x:c>
      <x:c r="E4342" t="str">
        <x:f>'Release Gates'!I4302</x:f>
        <x:v>OPEN</x:v>
      </x:c>
      <x:c r="F4342" t="str">
        <x:f>IF('Release Gates'!C4302="PLANNING","PASS",IF('Release Gates'!C4302="PHYSICAL","OPEN","BLOCKED"))</x:f>
        <x:v>OPEN</x:v>
      </x:c>
      <x:c r="G4342" t="str">
        <x:v>equals</x:v>
      </x:c>
      <x:c r="H4342" t="str">
        <x:f>IF(E4342=F4342,"PASS","FAIL")</x:f>
        <x:v>PASS</x:v>
      </x:c>
    </x:row>
    <x:row r="4343">
      <x:c r="B4343" t="str">
        <x:v>A-04297</x:v>
      </x:c>
      <x:c r="C4343" t="str">
        <x:v>GATE</x:v>
      </x:c>
      <x:c r="D4343" t="str">
        <x:v>release state mirrors governing ledger</x:v>
      </x:c>
      <x:c r="E4343" t="str">
        <x:f>'Release Gates'!I4303</x:f>
        <x:v>OPEN</x:v>
      </x:c>
      <x:c r="F4343" t="str">
        <x:f>IF('Release Gates'!C4303="PLANNING","PASS",IF('Release Gates'!C4303="PHYSICAL","OPEN","BLOCKED"))</x:f>
        <x:v>OPEN</x:v>
      </x:c>
      <x:c r="G4343" t="str">
        <x:v>equals</x:v>
      </x:c>
      <x:c r="H4343" t="str">
        <x:f>IF(E4343=F4343,"PASS","FAIL")</x:f>
        <x:v>PASS</x:v>
      </x:c>
    </x:row>
    <x:row r="4344">
      <x:c r="B4344" t="str">
        <x:v>A-04298</x:v>
      </x:c>
      <x:c r="C4344" t="str">
        <x:v>GATE</x:v>
      </x:c>
      <x:c r="D4344" t="str">
        <x:v>release state mirrors governing ledger</x:v>
      </x:c>
      <x:c r="E4344" t="str">
        <x:f>'Release Gates'!I4304</x:f>
        <x:v>OPEN</x:v>
      </x:c>
      <x:c r="F4344" t="str">
        <x:f>IF('Release Gates'!C4304="PLANNING","PASS",IF('Release Gates'!C4304="PHYSICAL","OPEN","BLOCKED"))</x:f>
        <x:v>OPEN</x:v>
      </x:c>
      <x:c r="G4344" t="str">
        <x:v>equals</x:v>
      </x:c>
      <x:c r="H4344" t="str">
        <x:f>IF(E4344=F4344,"PASS","FAIL")</x:f>
        <x:v>PASS</x:v>
      </x:c>
    </x:row>
    <x:row r="4345">
      <x:c r="B4345" t="str">
        <x:v>A-04299</x:v>
      </x:c>
      <x:c r="C4345" t="str">
        <x:v>GATE</x:v>
      </x:c>
      <x:c r="D4345" t="str">
        <x:v>release state mirrors governing ledger</x:v>
      </x:c>
      <x:c r="E4345" t="str">
        <x:f>'Release Gates'!I4305</x:f>
        <x:v>OPEN</x:v>
      </x:c>
      <x:c r="F4345" t="str">
        <x:f>IF('Release Gates'!C4305="PLANNING","PASS",IF('Release Gates'!C4305="PHYSICAL","OPEN","BLOCKED"))</x:f>
        <x:v>OPEN</x:v>
      </x:c>
      <x:c r="G4345" t="str">
        <x:v>equals</x:v>
      </x:c>
      <x:c r="H4345" t="str">
        <x:f>IF(E4345=F4345,"PASS","FAIL")</x:f>
        <x:v>PASS</x:v>
      </x:c>
    </x:row>
    <x:row r="4346">
      <x:c r="B4346" t="str">
        <x:v>A-04300</x:v>
      </x:c>
      <x:c r="C4346" t="str">
        <x:v>GATE</x:v>
      </x:c>
      <x:c r="D4346" t="str">
        <x:v>release state mirrors governing ledger</x:v>
      </x:c>
      <x:c r="E4346" t="str">
        <x:f>'Release Gates'!I4306</x:f>
        <x:v>OPEN</x:v>
      </x:c>
      <x:c r="F4346" t="str">
        <x:f>IF('Release Gates'!C4306="PLANNING","PASS",IF('Release Gates'!C4306="PHYSICAL","OPEN","BLOCKED"))</x:f>
        <x:v>OPEN</x:v>
      </x:c>
      <x:c r="G4346" t="str">
        <x:v>equals</x:v>
      </x:c>
      <x:c r="H4346" t="str">
        <x:f>IF(E4346=F4346,"PASS","FAIL")</x:f>
        <x:v>PASS</x:v>
      </x:c>
    </x:row>
    <x:row r="4347">
      <x:c r="B4347" t="str">
        <x:v>A-04301</x:v>
      </x:c>
      <x:c r="C4347" t="str">
        <x:v>GATE</x:v>
      </x:c>
      <x:c r="D4347" t="str">
        <x:v>release state mirrors governing ledger</x:v>
      </x:c>
      <x:c r="E4347" t="str">
        <x:f>'Release Gates'!I4307</x:f>
        <x:v>OPEN</x:v>
      </x:c>
      <x:c r="F4347" t="str">
        <x:f>IF('Release Gates'!C4307="PLANNING","PASS",IF('Release Gates'!C4307="PHYSICAL","OPEN","BLOCKED"))</x:f>
        <x:v>OPEN</x:v>
      </x:c>
      <x:c r="G4347" t="str">
        <x:v>equals</x:v>
      </x:c>
      <x:c r="H4347" t="str">
        <x:f>IF(E4347=F4347,"PASS","FAIL")</x:f>
        <x:v>PASS</x:v>
      </x:c>
    </x:row>
    <x:row r="4348">
      <x:c r="B4348" t="str">
        <x:v>A-04302</x:v>
      </x:c>
      <x:c r="C4348" t="str">
        <x:v>GATE</x:v>
      </x:c>
      <x:c r="D4348" t="str">
        <x:v>release state mirrors governing ledger</x:v>
      </x:c>
      <x:c r="E4348" t="str">
        <x:f>'Release Gates'!I4308</x:f>
        <x:v>OPEN</x:v>
      </x:c>
      <x:c r="F4348" t="str">
        <x:f>IF('Release Gates'!C4308="PLANNING","PASS",IF('Release Gates'!C4308="PHYSICAL","OPEN","BLOCKED"))</x:f>
        <x:v>OPEN</x:v>
      </x:c>
      <x:c r="G4348" t="str">
        <x:v>equals</x:v>
      </x:c>
      <x:c r="H4348" t="str">
        <x:f>IF(E4348=F4348,"PASS","FAIL")</x:f>
        <x:v>PASS</x:v>
      </x:c>
    </x:row>
    <x:row r="4349">
      <x:c r="B4349" t="str">
        <x:v>A-04303</x:v>
      </x:c>
      <x:c r="C4349" t="str">
        <x:v>GATE</x:v>
      </x:c>
      <x:c r="D4349" t="str">
        <x:v>release state mirrors governing ledger</x:v>
      </x:c>
      <x:c r="E4349" t="str">
        <x:f>'Release Gates'!I4309</x:f>
        <x:v>OPEN</x:v>
      </x:c>
      <x:c r="F4349" t="str">
        <x:f>IF('Release Gates'!C4309="PLANNING","PASS",IF('Release Gates'!C4309="PHYSICAL","OPEN","BLOCKED"))</x:f>
        <x:v>OPEN</x:v>
      </x:c>
      <x:c r="G4349" t="str">
        <x:v>equals</x:v>
      </x:c>
      <x:c r="H4349" t="str">
        <x:f>IF(E4349=F4349,"PASS","FAIL")</x:f>
        <x:v>PASS</x:v>
      </x:c>
    </x:row>
    <x:row r="4350">
      <x:c r="B4350" t="str">
        <x:v>A-04304</x:v>
      </x:c>
      <x:c r="C4350" t="str">
        <x:v>GATE</x:v>
      </x:c>
      <x:c r="D4350" t="str">
        <x:v>release state mirrors governing ledger</x:v>
      </x:c>
      <x:c r="E4350" t="str">
        <x:f>'Release Gates'!I4310</x:f>
        <x:v>OPEN</x:v>
      </x:c>
      <x:c r="F4350" t="str">
        <x:f>IF('Release Gates'!C4310="PLANNING","PASS",IF('Release Gates'!C4310="PHYSICAL","OPEN","BLOCKED"))</x:f>
        <x:v>OPEN</x:v>
      </x:c>
      <x:c r="G4350" t="str">
        <x:v>equals</x:v>
      </x:c>
      <x:c r="H4350" t="str">
        <x:f>IF(E4350=F4350,"PASS","FAIL")</x:f>
        <x:v>PASS</x:v>
      </x:c>
    </x:row>
    <x:row r="4351">
      <x:c r="B4351" t="str">
        <x:v>A-04305</x:v>
      </x:c>
      <x:c r="C4351" t="str">
        <x:v>GATE</x:v>
      </x:c>
      <x:c r="D4351" t="str">
        <x:v>release state mirrors governing ledger</x:v>
      </x:c>
      <x:c r="E4351" t="str">
        <x:f>'Release Gates'!I4311</x:f>
        <x:v>OPEN</x:v>
      </x:c>
      <x:c r="F4351" t="str">
        <x:f>IF('Release Gates'!C4311="PLANNING","PASS",IF('Release Gates'!C4311="PHYSICAL","OPEN","BLOCKED"))</x:f>
        <x:v>OPEN</x:v>
      </x:c>
      <x:c r="G4351" t="str">
        <x:v>equals</x:v>
      </x:c>
      <x:c r="H4351" t="str">
        <x:f>IF(E4351=F4351,"PASS","FAIL")</x:f>
        <x:v>PASS</x:v>
      </x:c>
    </x:row>
    <x:row r="4352">
      <x:c r="B4352" t="str">
        <x:v>A-04306</x:v>
      </x:c>
      <x:c r="C4352" t="str">
        <x:v>GATE</x:v>
      </x:c>
      <x:c r="D4352" t="str">
        <x:v>release state mirrors governing ledger</x:v>
      </x:c>
      <x:c r="E4352" t="str">
        <x:f>'Release Gates'!I4312</x:f>
        <x:v>OPEN</x:v>
      </x:c>
      <x:c r="F4352" t="str">
        <x:f>IF('Release Gates'!C4312="PLANNING","PASS",IF('Release Gates'!C4312="PHYSICAL","OPEN","BLOCKED"))</x:f>
        <x:v>OPEN</x:v>
      </x:c>
      <x:c r="G4352" t="str">
        <x:v>equals</x:v>
      </x:c>
      <x:c r="H4352" t="str">
        <x:f>IF(E4352=F4352,"PASS","FAIL")</x:f>
        <x:v>PASS</x:v>
      </x:c>
    </x:row>
    <x:row r="4353">
      <x:c r="B4353" t="str">
        <x:v>A-04307</x:v>
      </x:c>
      <x:c r="C4353" t="str">
        <x:v>GATE</x:v>
      </x:c>
      <x:c r="D4353" t="str">
        <x:v>release state mirrors governing ledger</x:v>
      </x:c>
      <x:c r="E4353" t="str">
        <x:f>'Release Gates'!I4313</x:f>
        <x:v>OPEN</x:v>
      </x:c>
      <x:c r="F4353" t="str">
        <x:f>IF('Release Gates'!C4313="PLANNING","PASS",IF('Release Gates'!C4313="PHYSICAL","OPEN","BLOCKED"))</x:f>
        <x:v>OPEN</x:v>
      </x:c>
      <x:c r="G4353" t="str">
        <x:v>equals</x:v>
      </x:c>
      <x:c r="H4353" t="str">
        <x:f>IF(E4353=F4353,"PASS","FAIL")</x:f>
        <x:v>PASS</x:v>
      </x:c>
    </x:row>
    <x:row r="4354">
      <x:c r="B4354" t="str">
        <x:v>A-04308</x:v>
      </x:c>
      <x:c r="C4354" t="str">
        <x:v>GATE</x:v>
      </x:c>
      <x:c r="D4354" t="str">
        <x:v>release state mirrors governing ledger</x:v>
      </x:c>
      <x:c r="E4354" t="str">
        <x:f>'Release Gates'!I4314</x:f>
        <x:v>OPEN</x:v>
      </x:c>
      <x:c r="F4354" t="str">
        <x:f>IF('Release Gates'!C4314="PLANNING","PASS",IF('Release Gates'!C4314="PHYSICAL","OPEN","BLOCKED"))</x:f>
        <x:v>OPEN</x:v>
      </x:c>
      <x:c r="G4354" t="str">
        <x:v>equals</x:v>
      </x:c>
      <x:c r="H4354" t="str">
        <x:f>IF(E4354=F4354,"PASS","FAIL")</x:f>
        <x:v>PASS</x:v>
      </x:c>
    </x:row>
    <x:row r="4355">
      <x:c r="B4355" t="str">
        <x:v>A-04309</x:v>
      </x:c>
      <x:c r="C4355" t="str">
        <x:v>GATE</x:v>
      </x:c>
      <x:c r="D4355" t="str">
        <x:v>release state mirrors governing ledger</x:v>
      </x:c>
      <x:c r="E4355" t="str">
        <x:f>'Release Gates'!I4315</x:f>
        <x:v>OPEN</x:v>
      </x:c>
      <x:c r="F4355" t="str">
        <x:f>IF('Release Gates'!C4315="PLANNING","PASS",IF('Release Gates'!C4315="PHYSICAL","OPEN","BLOCKED"))</x:f>
        <x:v>OPEN</x:v>
      </x:c>
      <x:c r="G4355" t="str">
        <x:v>equals</x:v>
      </x:c>
      <x:c r="H4355" t="str">
        <x:f>IF(E4355=F4355,"PASS","FAIL")</x:f>
        <x:v>PASS</x:v>
      </x:c>
    </x:row>
    <x:row r="4356">
      <x:c r="B4356" t="str">
        <x:v>A-04310</x:v>
      </x:c>
      <x:c r="C4356" t="str">
        <x:v>GATE</x:v>
      </x:c>
      <x:c r="D4356" t="str">
        <x:v>release state mirrors governing ledger</x:v>
      </x:c>
      <x:c r="E4356" t="str">
        <x:f>'Release Gates'!I4316</x:f>
        <x:v>OPEN</x:v>
      </x:c>
      <x:c r="F4356" t="str">
        <x:f>IF('Release Gates'!C4316="PLANNING","PASS",IF('Release Gates'!C4316="PHYSICAL","OPEN","BLOCKED"))</x:f>
        <x:v>OPEN</x:v>
      </x:c>
      <x:c r="G4356" t="str">
        <x:v>equals</x:v>
      </x:c>
      <x:c r="H4356" t="str">
        <x:f>IF(E4356=F4356,"PASS","FAIL")</x:f>
        <x:v>PASS</x:v>
      </x:c>
    </x:row>
    <x:row r="4357">
      <x:c r="B4357" t="str">
        <x:v>A-04311</x:v>
      </x:c>
      <x:c r="C4357" t="str">
        <x:v>GATE</x:v>
      </x:c>
      <x:c r="D4357" t="str">
        <x:v>release state mirrors governing ledger</x:v>
      </x:c>
      <x:c r="E4357" t="str">
        <x:f>'Release Gates'!I4317</x:f>
        <x:v>OPEN</x:v>
      </x:c>
      <x:c r="F4357" t="str">
        <x:f>IF('Release Gates'!C4317="PLANNING","PASS",IF('Release Gates'!C4317="PHYSICAL","OPEN","BLOCKED"))</x:f>
        <x:v>OPEN</x:v>
      </x:c>
      <x:c r="G4357" t="str">
        <x:v>equals</x:v>
      </x:c>
      <x:c r="H4357" t="str">
        <x:f>IF(E4357=F4357,"PASS","FAIL")</x:f>
        <x:v>PASS</x:v>
      </x:c>
    </x:row>
    <x:row r="4358">
      <x:c r="B4358" t="str">
        <x:v>A-04312</x:v>
      </x:c>
      <x:c r="C4358" t="str">
        <x:v>GATE</x:v>
      </x:c>
      <x:c r="D4358" t="str">
        <x:v>release state mirrors governing ledger</x:v>
      </x:c>
      <x:c r="E4358" t="str">
        <x:f>'Release Gates'!I4318</x:f>
        <x:v>OPEN</x:v>
      </x:c>
      <x:c r="F4358" t="str">
        <x:f>IF('Release Gates'!C4318="PLANNING","PASS",IF('Release Gates'!C4318="PHYSICAL","OPEN","BLOCKED"))</x:f>
        <x:v>OPEN</x:v>
      </x:c>
      <x:c r="G4358" t="str">
        <x:v>equals</x:v>
      </x:c>
      <x:c r="H4358" t="str">
        <x:f>IF(E4358=F4358,"PASS","FAIL")</x:f>
        <x:v>PASS</x:v>
      </x:c>
    </x:row>
    <x:row r="4359">
      <x:c r="B4359" t="str">
        <x:v>A-04313</x:v>
      </x:c>
      <x:c r="C4359" t="str">
        <x:v>GATE</x:v>
      </x:c>
      <x:c r="D4359" t="str">
        <x:v>release state mirrors governing ledger</x:v>
      </x:c>
      <x:c r="E4359" t="str">
        <x:f>'Release Gates'!I4319</x:f>
        <x:v>OPEN</x:v>
      </x:c>
      <x:c r="F4359" t="str">
        <x:f>IF('Release Gates'!C4319="PLANNING","PASS",IF('Release Gates'!C4319="PHYSICAL","OPEN","BLOCKED"))</x:f>
        <x:v>OPEN</x:v>
      </x:c>
      <x:c r="G4359" t="str">
        <x:v>equals</x:v>
      </x:c>
      <x:c r="H4359" t="str">
        <x:f>IF(E4359=F4359,"PASS","FAIL")</x:f>
        <x:v>PASS</x:v>
      </x:c>
    </x:row>
    <x:row r="4360">
      <x:c r="B4360" t="str">
        <x:v>A-04314</x:v>
      </x:c>
      <x:c r="C4360" t="str">
        <x:v>GATE</x:v>
      </x:c>
      <x:c r="D4360" t="str">
        <x:v>release state mirrors governing ledger</x:v>
      </x:c>
      <x:c r="E4360" t="str">
        <x:f>'Release Gates'!I4320</x:f>
        <x:v>OPEN</x:v>
      </x:c>
      <x:c r="F4360" t="str">
        <x:f>IF('Release Gates'!C4320="PLANNING","PASS",IF('Release Gates'!C4320="PHYSICAL","OPEN","BLOCKED"))</x:f>
        <x:v>OPEN</x:v>
      </x:c>
      <x:c r="G4360" t="str">
        <x:v>equals</x:v>
      </x:c>
      <x:c r="H4360" t="str">
        <x:f>IF(E4360=F4360,"PASS","FAIL")</x:f>
        <x:v>PASS</x:v>
      </x:c>
    </x:row>
    <x:row r="4361">
      <x:c r="B4361" t="str">
        <x:v>A-04315</x:v>
      </x:c>
      <x:c r="C4361" t="str">
        <x:v>GATE</x:v>
      </x:c>
      <x:c r="D4361" t="str">
        <x:v>release state mirrors governing ledger</x:v>
      </x:c>
      <x:c r="E4361" t="str">
        <x:f>'Release Gates'!I4321</x:f>
        <x:v>OPEN</x:v>
      </x:c>
      <x:c r="F4361" t="str">
        <x:f>IF('Release Gates'!C4321="PLANNING","PASS",IF('Release Gates'!C4321="PHYSICAL","OPEN","BLOCKED"))</x:f>
        <x:v>OPEN</x:v>
      </x:c>
      <x:c r="G4361" t="str">
        <x:v>equals</x:v>
      </x:c>
      <x:c r="H4361" t="str">
        <x:f>IF(E4361=F4361,"PASS","FAIL")</x:f>
        <x:v>PASS</x:v>
      </x:c>
    </x:row>
    <x:row r="4362">
      <x:c r="B4362" t="str">
        <x:v>A-04316</x:v>
      </x:c>
      <x:c r="C4362" t="str">
        <x:v>GATE</x:v>
      </x:c>
      <x:c r="D4362" t="str">
        <x:v>release state mirrors governing ledger</x:v>
      </x:c>
      <x:c r="E4362" t="str">
        <x:f>'Release Gates'!I4322</x:f>
        <x:v>OPEN</x:v>
      </x:c>
      <x:c r="F4362" t="str">
        <x:f>IF('Release Gates'!C4322="PLANNING","PASS",IF('Release Gates'!C4322="PHYSICAL","OPEN","BLOCKED"))</x:f>
        <x:v>OPEN</x:v>
      </x:c>
      <x:c r="G4362" t="str">
        <x:v>equals</x:v>
      </x:c>
      <x:c r="H4362" t="str">
        <x:f>IF(E4362=F4362,"PASS","FAIL")</x:f>
        <x:v>PASS</x:v>
      </x:c>
    </x:row>
    <x:row r="4363">
      <x:c r="B4363" t="str">
        <x:v>A-04317</x:v>
      </x:c>
      <x:c r="C4363" t="str">
        <x:v>GATE</x:v>
      </x:c>
      <x:c r="D4363" t="str">
        <x:v>release state mirrors governing ledger</x:v>
      </x:c>
      <x:c r="E4363" t="str">
        <x:f>'Release Gates'!I4323</x:f>
        <x:v>OPEN</x:v>
      </x:c>
      <x:c r="F4363" t="str">
        <x:f>IF('Release Gates'!C4323="PLANNING","PASS",IF('Release Gates'!C4323="PHYSICAL","OPEN","BLOCKED"))</x:f>
        <x:v>OPEN</x:v>
      </x:c>
      <x:c r="G4363" t="str">
        <x:v>equals</x:v>
      </x:c>
      <x:c r="H4363" t="str">
        <x:f>IF(E4363=F4363,"PASS","FAIL")</x:f>
        <x:v>PASS</x:v>
      </x:c>
    </x:row>
    <x:row r="4364">
      <x:c r="B4364" t="str">
        <x:v>A-04318</x:v>
      </x:c>
      <x:c r="C4364" t="str">
        <x:v>GATE</x:v>
      </x:c>
      <x:c r="D4364" t="str">
        <x:v>release state mirrors governing ledger</x:v>
      </x:c>
      <x:c r="E4364" t="str">
        <x:f>'Release Gates'!I4324</x:f>
        <x:v>OPEN</x:v>
      </x:c>
      <x:c r="F4364" t="str">
        <x:f>IF('Release Gates'!C4324="PLANNING","PASS",IF('Release Gates'!C4324="PHYSICAL","OPEN","BLOCKED"))</x:f>
        <x:v>OPEN</x:v>
      </x:c>
      <x:c r="G4364" t="str">
        <x:v>equals</x:v>
      </x:c>
      <x:c r="H4364" t="str">
        <x:f>IF(E4364=F4364,"PASS","FAIL")</x:f>
        <x:v>PASS</x:v>
      </x:c>
    </x:row>
    <x:row r="4365">
      <x:c r="B4365" t="str">
        <x:v>A-04319</x:v>
      </x:c>
      <x:c r="C4365" t="str">
        <x:v>GATE</x:v>
      </x:c>
      <x:c r="D4365" t="str">
        <x:v>release state mirrors governing ledger</x:v>
      </x:c>
      <x:c r="E4365" t="str">
        <x:f>'Release Gates'!I4325</x:f>
        <x:v>OPEN</x:v>
      </x:c>
      <x:c r="F4365" t="str">
        <x:f>IF('Release Gates'!C4325="PLANNING","PASS",IF('Release Gates'!C4325="PHYSICAL","OPEN","BLOCKED"))</x:f>
        <x:v>OPEN</x:v>
      </x:c>
      <x:c r="G4365" t="str">
        <x:v>equals</x:v>
      </x:c>
      <x:c r="H4365" t="str">
        <x:f>IF(E4365=F4365,"PASS","FAIL")</x:f>
        <x:v>PASS</x:v>
      </x:c>
    </x:row>
    <x:row r="4366">
      <x:c r="B4366" t="str">
        <x:v>A-04320</x:v>
      </x:c>
      <x:c r="C4366" t="str">
        <x:v>GATE</x:v>
      </x:c>
      <x:c r="D4366" t="str">
        <x:v>release state mirrors governing ledger</x:v>
      </x:c>
      <x:c r="E4366" t="str">
        <x:f>'Release Gates'!I4326</x:f>
        <x:v>OPEN</x:v>
      </x:c>
      <x:c r="F4366" t="str">
        <x:f>IF('Release Gates'!C4326="PLANNING","PASS",IF('Release Gates'!C4326="PHYSICAL","OPEN","BLOCKED"))</x:f>
        <x:v>OPEN</x:v>
      </x:c>
      <x:c r="G4366" t="str">
        <x:v>equals</x:v>
      </x:c>
      <x:c r="H4366" t="str">
        <x:f>IF(E4366=F4366,"PASS","FAIL")</x:f>
        <x:v>PASS</x:v>
      </x:c>
    </x:row>
    <x:row r="4367">
      <x:c r="B4367" t="str">
        <x:v>A-04321</x:v>
      </x:c>
      <x:c r="C4367" t="str">
        <x:v>GATE</x:v>
      </x:c>
      <x:c r="D4367" t="str">
        <x:v>release state mirrors governing ledger</x:v>
      </x:c>
      <x:c r="E4367" t="str">
        <x:f>'Release Gates'!I4327</x:f>
        <x:v>OPEN</x:v>
      </x:c>
      <x:c r="F4367" t="str">
        <x:f>IF('Release Gates'!C4327="PLANNING","PASS",IF('Release Gates'!C4327="PHYSICAL","OPEN","BLOCKED"))</x:f>
        <x:v>OPEN</x:v>
      </x:c>
      <x:c r="G4367" t="str">
        <x:v>equals</x:v>
      </x:c>
      <x:c r="H4367" t="str">
        <x:f>IF(E4367=F4367,"PASS","FAIL")</x:f>
        <x:v>PASS</x:v>
      </x:c>
    </x:row>
    <x:row r="4368">
      <x:c r="B4368" t="str">
        <x:v>A-04322</x:v>
      </x:c>
      <x:c r="C4368" t="str">
        <x:v>GATE</x:v>
      </x:c>
      <x:c r="D4368" t="str">
        <x:v>release state mirrors governing ledger</x:v>
      </x:c>
      <x:c r="E4368" t="str">
        <x:f>'Release Gates'!I4328</x:f>
        <x:v>OPEN</x:v>
      </x:c>
      <x:c r="F4368" t="str">
        <x:f>IF('Release Gates'!C4328="PLANNING","PASS",IF('Release Gates'!C4328="PHYSICAL","OPEN","BLOCKED"))</x:f>
        <x:v>OPEN</x:v>
      </x:c>
      <x:c r="G4368" t="str">
        <x:v>equals</x:v>
      </x:c>
      <x:c r="H4368" t="str">
        <x:f>IF(E4368=F4368,"PASS","FAIL")</x:f>
        <x:v>PASS</x:v>
      </x:c>
    </x:row>
    <x:row r="4369">
      <x:c r="B4369" t="str">
        <x:v>A-04323</x:v>
      </x:c>
      <x:c r="C4369" t="str">
        <x:v>GATE</x:v>
      </x:c>
      <x:c r="D4369" t="str">
        <x:v>release state mirrors governing ledger</x:v>
      </x:c>
      <x:c r="E4369" t="str">
        <x:f>'Release Gates'!I4329</x:f>
        <x:v>OPEN</x:v>
      </x:c>
      <x:c r="F4369" t="str">
        <x:f>IF('Release Gates'!C4329="PLANNING","PASS",IF('Release Gates'!C4329="PHYSICAL","OPEN","BLOCKED"))</x:f>
        <x:v>OPEN</x:v>
      </x:c>
      <x:c r="G4369" t="str">
        <x:v>equals</x:v>
      </x:c>
      <x:c r="H4369" t="str">
        <x:f>IF(E4369=F4369,"PASS","FAIL")</x:f>
        <x:v>PASS</x:v>
      </x:c>
    </x:row>
    <x:row r="4370">
      <x:c r="B4370" t="str">
        <x:v>A-04324</x:v>
      </x:c>
      <x:c r="C4370" t="str">
        <x:v>GATE</x:v>
      </x:c>
      <x:c r="D4370" t="str">
        <x:v>release state mirrors governing ledger</x:v>
      </x:c>
      <x:c r="E4370" t="str">
        <x:f>'Release Gates'!I4330</x:f>
        <x:v>OPEN</x:v>
      </x:c>
      <x:c r="F4370" t="str">
        <x:f>IF('Release Gates'!C4330="PLANNING","PASS",IF('Release Gates'!C4330="PHYSICAL","OPEN","BLOCKED"))</x:f>
        <x:v>OPEN</x:v>
      </x:c>
      <x:c r="G4370" t="str">
        <x:v>equals</x:v>
      </x:c>
      <x:c r="H4370" t="str">
        <x:f>IF(E4370=F4370,"PASS","FAIL")</x:f>
        <x:v>PASS</x:v>
      </x:c>
    </x:row>
    <x:row r="4371">
      <x:c r="B4371" t="str">
        <x:v>A-04325</x:v>
      </x:c>
      <x:c r="C4371" t="str">
        <x:v>GATE</x:v>
      </x:c>
      <x:c r="D4371" t="str">
        <x:v>release state mirrors governing ledger</x:v>
      </x:c>
      <x:c r="E4371" t="str">
        <x:f>'Release Gates'!I4331</x:f>
        <x:v>OPEN</x:v>
      </x:c>
      <x:c r="F4371" t="str">
        <x:f>IF('Release Gates'!C4331="PLANNING","PASS",IF('Release Gates'!C4331="PHYSICAL","OPEN","BLOCKED"))</x:f>
        <x:v>OPEN</x:v>
      </x:c>
      <x:c r="G4371" t="str">
        <x:v>equals</x:v>
      </x:c>
      <x:c r="H4371" t="str">
        <x:f>IF(E4371=F4371,"PASS","FAIL")</x:f>
        <x:v>PASS</x:v>
      </x:c>
    </x:row>
    <x:row r="4372">
      <x:c r="B4372" t="str">
        <x:v>A-04326</x:v>
      </x:c>
      <x:c r="C4372" t="str">
        <x:v>GATE</x:v>
      </x:c>
      <x:c r="D4372" t="str">
        <x:v>release state mirrors governing ledger</x:v>
      </x:c>
      <x:c r="E4372" t="str">
        <x:f>'Release Gates'!I4332</x:f>
        <x:v>OPEN</x:v>
      </x:c>
      <x:c r="F4372" t="str">
        <x:f>IF('Release Gates'!C4332="PLANNING","PASS",IF('Release Gates'!C4332="PHYSICAL","OPEN","BLOCKED"))</x:f>
        <x:v>OPEN</x:v>
      </x:c>
      <x:c r="G4372" t="str">
        <x:v>equals</x:v>
      </x:c>
      <x:c r="H4372" t="str">
        <x:f>IF(E4372=F4372,"PASS","FAIL")</x:f>
        <x:v>PASS</x:v>
      </x:c>
    </x:row>
    <x:row r="4373">
      <x:c r="B4373" t="str">
        <x:v>A-04327</x:v>
      </x:c>
      <x:c r="C4373" t="str">
        <x:v>GATE</x:v>
      </x:c>
      <x:c r="D4373" t="str">
        <x:v>release state mirrors governing ledger</x:v>
      </x:c>
      <x:c r="E4373" t="str">
        <x:f>'Release Gates'!I4333</x:f>
        <x:v>OPEN</x:v>
      </x:c>
      <x:c r="F4373" t="str">
        <x:f>IF('Release Gates'!C4333="PLANNING","PASS",IF('Release Gates'!C4333="PHYSICAL","OPEN","BLOCKED"))</x:f>
        <x:v>OPEN</x:v>
      </x:c>
      <x:c r="G4373" t="str">
        <x:v>equals</x:v>
      </x:c>
      <x:c r="H4373" t="str">
        <x:f>IF(E4373=F4373,"PASS","FAIL")</x:f>
        <x:v>PASS</x:v>
      </x:c>
    </x:row>
    <x:row r="4374">
      <x:c r="B4374" t="str">
        <x:v>A-04328</x:v>
      </x:c>
      <x:c r="C4374" t="str">
        <x:v>GATE</x:v>
      </x:c>
      <x:c r="D4374" t="str">
        <x:v>release state mirrors governing ledger</x:v>
      </x:c>
      <x:c r="E4374" t="str">
        <x:f>'Release Gates'!I4334</x:f>
        <x:v>OPEN</x:v>
      </x:c>
      <x:c r="F4374" t="str">
        <x:f>IF('Release Gates'!C4334="PLANNING","PASS",IF('Release Gates'!C4334="PHYSICAL","OPEN","BLOCKED"))</x:f>
        <x:v>OPEN</x:v>
      </x:c>
      <x:c r="G4374" t="str">
        <x:v>equals</x:v>
      </x:c>
      <x:c r="H4374" t="str">
        <x:f>IF(E4374=F4374,"PASS","FAIL")</x:f>
        <x:v>PASS</x:v>
      </x:c>
    </x:row>
    <x:row r="4375">
      <x:c r="B4375" t="str">
        <x:v>A-04329</x:v>
      </x:c>
      <x:c r="C4375" t="str">
        <x:v>GATE</x:v>
      </x:c>
      <x:c r="D4375" t="str">
        <x:v>release state mirrors governing ledger</x:v>
      </x:c>
      <x:c r="E4375" t="str">
        <x:f>'Release Gates'!I4335</x:f>
        <x:v>OPEN</x:v>
      </x:c>
      <x:c r="F4375" t="str">
        <x:f>IF('Release Gates'!C4335="PLANNING","PASS",IF('Release Gates'!C4335="PHYSICAL","OPEN","BLOCKED"))</x:f>
        <x:v>OPEN</x:v>
      </x:c>
      <x:c r="G4375" t="str">
        <x:v>equals</x:v>
      </x:c>
      <x:c r="H4375" t="str">
        <x:f>IF(E4375=F4375,"PASS","FAIL")</x:f>
        <x:v>PASS</x:v>
      </x:c>
    </x:row>
    <x:row r="4376">
      <x:c r="B4376" t="str">
        <x:v>A-04330</x:v>
      </x:c>
      <x:c r="C4376" t="str">
        <x:v>GATE</x:v>
      </x:c>
      <x:c r="D4376" t="str">
        <x:v>release state mirrors governing ledger</x:v>
      </x:c>
      <x:c r="E4376" t="str">
        <x:f>'Release Gates'!I4336</x:f>
        <x:v>OPEN</x:v>
      </x:c>
      <x:c r="F4376" t="str">
        <x:f>IF('Release Gates'!C4336="PLANNING","PASS",IF('Release Gates'!C4336="PHYSICAL","OPEN","BLOCKED"))</x:f>
        <x:v>OPEN</x:v>
      </x:c>
      <x:c r="G4376" t="str">
        <x:v>equals</x:v>
      </x:c>
      <x:c r="H4376" t="str">
        <x:f>IF(E4376=F4376,"PASS","FAIL")</x:f>
        <x:v>PASS</x:v>
      </x:c>
    </x:row>
    <x:row r="4377">
      <x:c r="B4377" t="str">
        <x:v>A-04331</x:v>
      </x:c>
      <x:c r="C4377" t="str">
        <x:v>GATE</x:v>
      </x:c>
      <x:c r="D4377" t="str">
        <x:v>release state mirrors governing ledger</x:v>
      </x:c>
      <x:c r="E4377" t="str">
        <x:f>'Release Gates'!I4337</x:f>
        <x:v>OPEN</x:v>
      </x:c>
      <x:c r="F4377" t="str">
        <x:f>IF('Release Gates'!C4337="PLANNING","PASS",IF('Release Gates'!C4337="PHYSICAL","OPEN","BLOCKED"))</x:f>
        <x:v>OPEN</x:v>
      </x:c>
      <x:c r="G4377" t="str">
        <x:v>equals</x:v>
      </x:c>
      <x:c r="H4377" t="str">
        <x:f>IF(E4377=F4377,"PASS","FAIL")</x:f>
        <x:v>PASS</x:v>
      </x:c>
    </x:row>
    <x:row r="4378">
      <x:c r="B4378" t="str">
        <x:v>A-04332</x:v>
      </x:c>
      <x:c r="C4378" t="str">
        <x:v>GATE</x:v>
      </x:c>
      <x:c r="D4378" t="str">
        <x:v>release state mirrors governing ledger</x:v>
      </x:c>
      <x:c r="E4378" t="str">
        <x:f>'Release Gates'!I4338</x:f>
        <x:v>OPEN</x:v>
      </x:c>
      <x:c r="F4378" t="str">
        <x:f>IF('Release Gates'!C4338="PLANNING","PASS",IF('Release Gates'!C4338="PHYSICAL","OPEN","BLOCKED"))</x:f>
        <x:v>OPEN</x:v>
      </x:c>
      <x:c r="G4378" t="str">
        <x:v>equals</x:v>
      </x:c>
      <x:c r="H4378" t="str">
        <x:f>IF(E4378=F4378,"PASS","FAIL")</x:f>
        <x:v>PASS</x:v>
      </x:c>
    </x:row>
    <x:row r="4379">
      <x:c r="B4379" t="str">
        <x:v>A-04333</x:v>
      </x:c>
      <x:c r="C4379" t="str">
        <x:v>GATE</x:v>
      </x:c>
      <x:c r="D4379" t="str">
        <x:v>release state mirrors governing ledger</x:v>
      </x:c>
      <x:c r="E4379" t="str">
        <x:f>'Release Gates'!I4339</x:f>
        <x:v>OPEN</x:v>
      </x:c>
      <x:c r="F4379" t="str">
        <x:f>IF('Release Gates'!C4339="PLANNING","PASS",IF('Release Gates'!C4339="PHYSICAL","OPEN","BLOCKED"))</x:f>
        <x:v>OPEN</x:v>
      </x:c>
      <x:c r="G4379" t="str">
        <x:v>equals</x:v>
      </x:c>
      <x:c r="H4379" t="str">
        <x:f>IF(E4379=F4379,"PASS","FAIL")</x:f>
        <x:v>PASS</x:v>
      </x:c>
    </x:row>
    <x:row r="4380">
      <x:c r="B4380" t="str">
        <x:v>A-04334</x:v>
      </x:c>
      <x:c r="C4380" t="str">
        <x:v>GATE</x:v>
      </x:c>
      <x:c r="D4380" t="str">
        <x:v>release state mirrors governing ledger</x:v>
      </x:c>
      <x:c r="E4380" t="str">
        <x:f>'Release Gates'!I4340</x:f>
        <x:v>OPEN</x:v>
      </x:c>
      <x:c r="F4380" t="str">
        <x:f>IF('Release Gates'!C4340="PLANNING","PASS",IF('Release Gates'!C4340="PHYSICAL","OPEN","BLOCKED"))</x:f>
        <x:v>OPEN</x:v>
      </x:c>
      <x:c r="G4380" t="str">
        <x:v>equals</x:v>
      </x:c>
      <x:c r="H4380" t="str">
        <x:f>IF(E4380=F4380,"PASS","FAIL")</x:f>
        <x:v>PASS</x:v>
      </x:c>
    </x:row>
    <x:row r="4381">
      <x:c r="B4381" t="str">
        <x:v>A-04335</x:v>
      </x:c>
      <x:c r="C4381" t="str">
        <x:v>GATE</x:v>
      </x:c>
      <x:c r="D4381" t="str">
        <x:v>release state mirrors governing ledger</x:v>
      </x:c>
      <x:c r="E4381" t="str">
        <x:f>'Release Gates'!I4341</x:f>
        <x:v>OPEN</x:v>
      </x:c>
      <x:c r="F4381" t="str">
        <x:f>IF('Release Gates'!C4341="PLANNING","PASS",IF('Release Gates'!C4341="PHYSICAL","OPEN","BLOCKED"))</x:f>
        <x:v>OPEN</x:v>
      </x:c>
      <x:c r="G4381" t="str">
        <x:v>equals</x:v>
      </x:c>
      <x:c r="H4381" t="str">
        <x:f>IF(E4381=F4381,"PASS","FAIL")</x:f>
        <x:v>PASS</x:v>
      </x:c>
    </x:row>
    <x:row r="4382">
      <x:c r="B4382" t="str">
        <x:v>A-04336</x:v>
      </x:c>
      <x:c r="C4382" t="str">
        <x:v>GATE</x:v>
      </x:c>
      <x:c r="D4382" t="str">
        <x:v>release state mirrors governing ledger</x:v>
      </x:c>
      <x:c r="E4382" t="str">
        <x:f>'Release Gates'!I4342</x:f>
        <x:v>OPEN</x:v>
      </x:c>
      <x:c r="F4382" t="str">
        <x:f>IF('Release Gates'!C4342="PLANNING","PASS",IF('Release Gates'!C4342="PHYSICAL","OPEN","BLOCKED"))</x:f>
        <x:v>OPEN</x:v>
      </x:c>
      <x:c r="G4382" t="str">
        <x:v>equals</x:v>
      </x:c>
      <x:c r="H4382" t="str">
        <x:f>IF(E4382=F4382,"PASS","FAIL")</x:f>
        <x:v>PASS</x:v>
      </x:c>
    </x:row>
    <x:row r="4383">
      <x:c r="B4383" t="str">
        <x:v>A-04337</x:v>
      </x:c>
      <x:c r="C4383" t="str">
        <x:v>GATE</x:v>
      </x:c>
      <x:c r="D4383" t="str">
        <x:v>release state mirrors governing ledger</x:v>
      </x:c>
      <x:c r="E4383" t="str">
        <x:f>'Release Gates'!I4343</x:f>
        <x:v>OPEN</x:v>
      </x:c>
      <x:c r="F4383" t="str">
        <x:f>IF('Release Gates'!C4343="PLANNING","PASS",IF('Release Gates'!C4343="PHYSICAL","OPEN","BLOCKED"))</x:f>
        <x:v>OPEN</x:v>
      </x:c>
      <x:c r="G4383" t="str">
        <x:v>equals</x:v>
      </x:c>
      <x:c r="H4383" t="str">
        <x:f>IF(E4383=F4383,"PASS","FAIL")</x:f>
        <x:v>PASS</x:v>
      </x:c>
    </x:row>
    <x:row r="4384">
      <x:c r="B4384" t="str">
        <x:v>A-04338</x:v>
      </x:c>
      <x:c r="C4384" t="str">
        <x:v>GATE</x:v>
      </x:c>
      <x:c r="D4384" t="str">
        <x:v>release state mirrors governing ledger</x:v>
      </x:c>
      <x:c r="E4384" t="str">
        <x:f>'Release Gates'!I4344</x:f>
        <x:v>OPEN</x:v>
      </x:c>
      <x:c r="F4384" t="str">
        <x:f>IF('Release Gates'!C4344="PLANNING","PASS",IF('Release Gates'!C4344="PHYSICAL","OPEN","BLOCKED"))</x:f>
        <x:v>OPEN</x:v>
      </x:c>
      <x:c r="G4384" t="str">
        <x:v>equals</x:v>
      </x:c>
      <x:c r="H4384" t="str">
        <x:f>IF(E4384=F4384,"PASS","FAIL")</x:f>
        <x:v>PASS</x:v>
      </x:c>
    </x:row>
    <x:row r="4385">
      <x:c r="B4385" t="str">
        <x:v>A-04339</x:v>
      </x:c>
      <x:c r="C4385" t="str">
        <x:v>GATE</x:v>
      </x:c>
      <x:c r="D4385" t="str">
        <x:v>release state mirrors governing ledger</x:v>
      </x:c>
      <x:c r="E4385" t="str">
        <x:f>'Release Gates'!I4345</x:f>
        <x:v>OPEN</x:v>
      </x:c>
      <x:c r="F4385" t="str">
        <x:f>IF('Release Gates'!C4345="PLANNING","PASS",IF('Release Gates'!C4345="PHYSICAL","OPEN","BLOCKED"))</x:f>
        <x:v>OPEN</x:v>
      </x:c>
      <x:c r="G4385" t="str">
        <x:v>equals</x:v>
      </x:c>
      <x:c r="H4385" t="str">
        <x:f>IF(E4385=F4385,"PASS","FAIL")</x:f>
        <x:v>PASS</x:v>
      </x:c>
    </x:row>
    <x:row r="4386">
      <x:c r="B4386" t="str">
        <x:v>A-04340</x:v>
      </x:c>
      <x:c r="C4386" t="str">
        <x:v>GATE</x:v>
      </x:c>
      <x:c r="D4386" t="str">
        <x:v>release state mirrors governing ledger</x:v>
      </x:c>
      <x:c r="E4386" t="str">
        <x:f>'Release Gates'!I4346</x:f>
        <x:v>OPEN</x:v>
      </x:c>
      <x:c r="F4386" t="str">
        <x:f>IF('Release Gates'!C4346="PLANNING","PASS",IF('Release Gates'!C4346="PHYSICAL","OPEN","BLOCKED"))</x:f>
        <x:v>OPEN</x:v>
      </x:c>
      <x:c r="G4386" t="str">
        <x:v>equals</x:v>
      </x:c>
      <x:c r="H4386" t="str">
        <x:f>IF(E4386=F4386,"PASS","FAIL")</x:f>
        <x:v>PASS</x:v>
      </x:c>
    </x:row>
    <x:row r="4387">
      <x:c r="B4387" t="str">
        <x:v>A-04341</x:v>
      </x:c>
      <x:c r="C4387" t="str">
        <x:v>GATE</x:v>
      </x:c>
      <x:c r="D4387" t="str">
        <x:v>release state mirrors governing ledger</x:v>
      </x:c>
      <x:c r="E4387" t="str">
        <x:f>'Release Gates'!I4347</x:f>
        <x:v>OPEN</x:v>
      </x:c>
      <x:c r="F4387" t="str">
        <x:f>IF('Release Gates'!C4347="PLANNING","PASS",IF('Release Gates'!C4347="PHYSICAL","OPEN","BLOCKED"))</x:f>
        <x:v>OPEN</x:v>
      </x:c>
      <x:c r="G4387" t="str">
        <x:v>equals</x:v>
      </x:c>
      <x:c r="H4387" t="str">
        <x:f>IF(E4387=F4387,"PASS","FAIL")</x:f>
        <x:v>PASS</x:v>
      </x:c>
    </x:row>
    <x:row r="4388">
      <x:c r="B4388" t="str">
        <x:v>A-04342</x:v>
      </x:c>
      <x:c r="C4388" t="str">
        <x:v>GATE</x:v>
      </x:c>
      <x:c r="D4388" t="str">
        <x:v>release state mirrors governing ledger</x:v>
      </x:c>
      <x:c r="E4388" t="str">
        <x:f>'Release Gates'!I4348</x:f>
        <x:v>OPEN</x:v>
      </x:c>
      <x:c r="F4388" t="str">
        <x:f>IF('Release Gates'!C4348="PLANNING","PASS",IF('Release Gates'!C4348="PHYSICAL","OPEN","BLOCKED"))</x:f>
        <x:v>OPEN</x:v>
      </x:c>
      <x:c r="G4388" t="str">
        <x:v>equals</x:v>
      </x:c>
      <x:c r="H4388" t="str">
        <x:f>IF(E4388=F4388,"PASS","FAIL")</x:f>
        <x:v>PASS</x:v>
      </x:c>
    </x:row>
    <x:row r="4389">
      <x:c r="B4389" t="str">
        <x:v>A-04343</x:v>
      </x:c>
      <x:c r="C4389" t="str">
        <x:v>GATE</x:v>
      </x:c>
      <x:c r="D4389" t="str">
        <x:v>release state mirrors governing ledger</x:v>
      </x:c>
      <x:c r="E4389" t="str">
        <x:f>'Release Gates'!I4349</x:f>
        <x:v>OPEN</x:v>
      </x:c>
      <x:c r="F4389" t="str">
        <x:f>IF('Release Gates'!C4349="PLANNING","PASS",IF('Release Gates'!C4349="PHYSICAL","OPEN","BLOCKED"))</x:f>
        <x:v>OPEN</x:v>
      </x:c>
      <x:c r="G4389" t="str">
        <x:v>equals</x:v>
      </x:c>
      <x:c r="H4389" t="str">
        <x:f>IF(E4389=F4389,"PASS","FAIL")</x:f>
        <x:v>PASS</x:v>
      </x:c>
    </x:row>
    <x:row r="4390">
      <x:c r="B4390" t="str">
        <x:v>A-04344</x:v>
      </x:c>
      <x:c r="C4390" t="str">
        <x:v>GATE</x:v>
      </x:c>
      <x:c r="D4390" t="str">
        <x:v>release state mirrors governing ledger</x:v>
      </x:c>
      <x:c r="E4390" t="str">
        <x:f>'Release Gates'!I4350</x:f>
        <x:v>OPEN</x:v>
      </x:c>
      <x:c r="F4390" t="str">
        <x:f>IF('Release Gates'!C4350="PLANNING","PASS",IF('Release Gates'!C4350="PHYSICAL","OPEN","BLOCKED"))</x:f>
        <x:v>OPEN</x:v>
      </x:c>
      <x:c r="G4390" t="str">
        <x:v>equals</x:v>
      </x:c>
      <x:c r="H4390" t="str">
        <x:f>IF(E4390=F4390,"PASS","FAIL")</x:f>
        <x:v>PASS</x:v>
      </x:c>
    </x:row>
    <x:row r="4391">
      <x:c r="B4391" t="str">
        <x:v>A-04345</x:v>
      </x:c>
      <x:c r="C4391" t="str">
        <x:v>GATE</x:v>
      </x:c>
      <x:c r="D4391" t="str">
        <x:v>release state mirrors governing ledger</x:v>
      </x:c>
      <x:c r="E4391" t="str">
        <x:f>'Release Gates'!I4351</x:f>
        <x:v>OPEN</x:v>
      </x:c>
      <x:c r="F4391" t="str">
        <x:f>IF('Release Gates'!C4351="PLANNING","PASS",IF('Release Gates'!C4351="PHYSICAL","OPEN","BLOCKED"))</x:f>
        <x:v>OPEN</x:v>
      </x:c>
      <x:c r="G4391" t="str">
        <x:v>equals</x:v>
      </x:c>
      <x:c r="H4391" t="str">
        <x:f>IF(E4391=F4391,"PASS","FAIL")</x:f>
        <x:v>PASS</x:v>
      </x:c>
    </x:row>
    <x:row r="4392">
      <x:c r="B4392" t="str">
        <x:v>A-04346</x:v>
      </x:c>
      <x:c r="C4392" t="str">
        <x:v>GATE</x:v>
      </x:c>
      <x:c r="D4392" t="str">
        <x:v>release state mirrors governing ledger</x:v>
      </x:c>
      <x:c r="E4392" t="str">
        <x:f>'Release Gates'!I4352</x:f>
        <x:v>OPEN</x:v>
      </x:c>
      <x:c r="F4392" t="str">
        <x:f>IF('Release Gates'!C4352="PLANNING","PASS",IF('Release Gates'!C4352="PHYSICAL","OPEN","BLOCKED"))</x:f>
        <x:v>OPEN</x:v>
      </x:c>
      <x:c r="G4392" t="str">
        <x:v>equals</x:v>
      </x:c>
      <x:c r="H4392" t="str">
        <x:f>IF(E4392=F4392,"PASS","FAIL")</x:f>
        <x:v>PASS</x:v>
      </x:c>
    </x:row>
    <x:row r="4393">
      <x:c r="B4393" t="str">
        <x:v>A-04347</x:v>
      </x:c>
      <x:c r="C4393" t="str">
        <x:v>GATE</x:v>
      </x:c>
      <x:c r="D4393" t="str">
        <x:v>release state mirrors governing ledger</x:v>
      </x:c>
      <x:c r="E4393" t="str">
        <x:f>'Release Gates'!I4353</x:f>
        <x:v>OPEN</x:v>
      </x:c>
      <x:c r="F4393" t="str">
        <x:f>IF('Release Gates'!C4353="PLANNING","PASS",IF('Release Gates'!C4353="PHYSICAL","OPEN","BLOCKED"))</x:f>
        <x:v>OPEN</x:v>
      </x:c>
      <x:c r="G4393" t="str">
        <x:v>equals</x:v>
      </x:c>
      <x:c r="H4393" t="str">
        <x:f>IF(E4393=F4393,"PASS","FAIL")</x:f>
        <x:v>PASS</x:v>
      </x:c>
    </x:row>
    <x:row r="4394">
      <x:c r="B4394" t="str">
        <x:v>A-04348</x:v>
      </x:c>
      <x:c r="C4394" t="str">
        <x:v>GATE</x:v>
      </x:c>
      <x:c r="D4394" t="str">
        <x:v>release state mirrors governing ledger</x:v>
      </x:c>
      <x:c r="E4394" t="str">
        <x:f>'Release Gates'!I4354</x:f>
        <x:v>OPEN</x:v>
      </x:c>
      <x:c r="F4394" t="str">
        <x:f>IF('Release Gates'!C4354="PLANNING","PASS",IF('Release Gates'!C4354="PHYSICAL","OPEN","BLOCKED"))</x:f>
        <x:v>OPEN</x:v>
      </x:c>
      <x:c r="G4394" t="str">
        <x:v>equals</x:v>
      </x:c>
      <x:c r="H4394" t="str">
        <x:f>IF(E4394=F4394,"PASS","FAIL")</x:f>
        <x:v>PASS</x:v>
      </x:c>
    </x:row>
    <x:row r="4395">
      <x:c r="B4395" t="str">
        <x:v>A-04349</x:v>
      </x:c>
      <x:c r="C4395" t="str">
        <x:v>GATE</x:v>
      </x:c>
      <x:c r="D4395" t="str">
        <x:v>release state mirrors governing ledger</x:v>
      </x:c>
      <x:c r="E4395" t="str">
        <x:f>'Release Gates'!I4355</x:f>
        <x:v>OPEN</x:v>
      </x:c>
      <x:c r="F4395" t="str">
        <x:f>IF('Release Gates'!C4355="PLANNING","PASS",IF('Release Gates'!C4355="PHYSICAL","OPEN","BLOCKED"))</x:f>
        <x:v>OPEN</x:v>
      </x:c>
      <x:c r="G4395" t="str">
        <x:v>equals</x:v>
      </x:c>
      <x:c r="H4395" t="str">
        <x:f>IF(E4395=F4395,"PASS","FAIL")</x:f>
        <x:v>PASS</x:v>
      </x:c>
    </x:row>
    <x:row r="4396">
      <x:c r="B4396" t="str">
        <x:v>A-04350</x:v>
      </x:c>
      <x:c r="C4396" t="str">
        <x:v>GATE</x:v>
      </x:c>
      <x:c r="D4396" t="str">
        <x:v>release state mirrors governing ledger</x:v>
      </x:c>
      <x:c r="E4396" t="str">
        <x:f>'Release Gates'!I4356</x:f>
        <x:v>OPEN</x:v>
      </x:c>
      <x:c r="F4396" t="str">
        <x:f>IF('Release Gates'!C4356="PLANNING","PASS",IF('Release Gates'!C4356="PHYSICAL","OPEN","BLOCKED"))</x:f>
        <x:v>OPEN</x:v>
      </x:c>
      <x:c r="G4396" t="str">
        <x:v>equals</x:v>
      </x:c>
      <x:c r="H4396" t="str">
        <x:f>IF(E4396=F4396,"PASS","FAIL")</x:f>
        <x:v>PASS</x:v>
      </x:c>
    </x:row>
    <x:row r="4397">
      <x:c r="B4397" t="str">
        <x:v>A-04351</x:v>
      </x:c>
      <x:c r="C4397" t="str">
        <x:v>GATE</x:v>
      </x:c>
      <x:c r="D4397" t="str">
        <x:v>release state mirrors governing ledger</x:v>
      </x:c>
      <x:c r="E4397" t="str">
        <x:f>'Release Gates'!I4357</x:f>
        <x:v>OPEN</x:v>
      </x:c>
      <x:c r="F4397" t="str">
        <x:f>IF('Release Gates'!C4357="PLANNING","PASS",IF('Release Gates'!C4357="PHYSICAL","OPEN","BLOCKED"))</x:f>
        <x:v>OPEN</x:v>
      </x:c>
      <x:c r="G4397" t="str">
        <x:v>equals</x:v>
      </x:c>
      <x:c r="H4397" t="str">
        <x:f>IF(E4397=F4397,"PASS","FAIL")</x:f>
        <x:v>PASS</x:v>
      </x:c>
    </x:row>
    <x:row r="4398">
      <x:c r="B4398" t="str">
        <x:v>A-04352</x:v>
      </x:c>
      <x:c r="C4398" t="str">
        <x:v>GATE</x:v>
      </x:c>
      <x:c r="D4398" t="str">
        <x:v>release state mirrors governing ledger</x:v>
      </x:c>
      <x:c r="E4398" t="str">
        <x:f>'Release Gates'!I4358</x:f>
        <x:v>OPEN</x:v>
      </x:c>
      <x:c r="F4398" t="str">
        <x:f>IF('Release Gates'!C4358="PLANNING","PASS",IF('Release Gates'!C4358="PHYSICAL","OPEN","BLOCKED"))</x:f>
        <x:v>OPEN</x:v>
      </x:c>
      <x:c r="G4398" t="str">
        <x:v>equals</x:v>
      </x:c>
      <x:c r="H4398" t="str">
        <x:f>IF(E4398=F4398,"PASS","FAIL")</x:f>
        <x:v>PASS</x:v>
      </x:c>
    </x:row>
    <x:row r="4399">
      <x:c r="B4399" t="str">
        <x:v>A-04353</x:v>
      </x:c>
      <x:c r="C4399" t="str">
        <x:v>GATE</x:v>
      </x:c>
      <x:c r="D4399" t="str">
        <x:v>release state mirrors governing ledger</x:v>
      </x:c>
      <x:c r="E4399" t="str">
        <x:f>'Release Gates'!I4359</x:f>
        <x:v>OPEN</x:v>
      </x:c>
      <x:c r="F4399" t="str">
        <x:f>IF('Release Gates'!C4359="PLANNING","PASS",IF('Release Gates'!C4359="PHYSICAL","OPEN","BLOCKED"))</x:f>
        <x:v>OPEN</x:v>
      </x:c>
      <x:c r="G4399" t="str">
        <x:v>equals</x:v>
      </x:c>
      <x:c r="H4399" t="str">
        <x:f>IF(E4399=F4399,"PASS","FAIL")</x:f>
        <x:v>PASS</x:v>
      </x:c>
    </x:row>
    <x:row r="4400">
      <x:c r="B4400" t="str">
        <x:v>A-04354</x:v>
      </x:c>
      <x:c r="C4400" t="str">
        <x:v>GATE</x:v>
      </x:c>
      <x:c r="D4400" t="str">
        <x:v>release state mirrors governing ledger</x:v>
      </x:c>
      <x:c r="E4400" t="str">
        <x:f>'Release Gates'!I4360</x:f>
        <x:v>OPEN</x:v>
      </x:c>
      <x:c r="F4400" t="str">
        <x:f>IF('Release Gates'!C4360="PLANNING","PASS",IF('Release Gates'!C4360="PHYSICAL","OPEN","BLOCKED"))</x:f>
        <x:v>OPEN</x:v>
      </x:c>
      <x:c r="G4400" t="str">
        <x:v>equals</x:v>
      </x:c>
      <x:c r="H4400" t="str">
        <x:f>IF(E4400=F4400,"PASS","FAIL")</x:f>
        <x:v>PASS</x:v>
      </x:c>
    </x:row>
    <x:row r="4401">
      <x:c r="B4401" t="str">
        <x:v>A-04355</x:v>
      </x:c>
      <x:c r="C4401" t="str">
        <x:v>GATE</x:v>
      </x:c>
      <x:c r="D4401" t="str">
        <x:v>release state mirrors governing ledger</x:v>
      </x:c>
      <x:c r="E4401" t="str">
        <x:f>'Release Gates'!I4361</x:f>
        <x:v>OPEN</x:v>
      </x:c>
      <x:c r="F4401" t="str">
        <x:f>IF('Release Gates'!C4361="PLANNING","PASS",IF('Release Gates'!C4361="PHYSICAL","OPEN","BLOCKED"))</x:f>
        <x:v>OPEN</x:v>
      </x:c>
      <x:c r="G4401" t="str">
        <x:v>equals</x:v>
      </x:c>
      <x:c r="H4401" t="str">
        <x:f>IF(E4401=F4401,"PASS","FAIL")</x:f>
        <x:v>PASS</x:v>
      </x:c>
    </x:row>
    <x:row r="4402">
      <x:c r="B4402" t="str">
        <x:v>A-04356</x:v>
      </x:c>
      <x:c r="C4402" t="str">
        <x:v>GATE</x:v>
      </x:c>
      <x:c r="D4402" t="str">
        <x:v>release state mirrors governing ledger</x:v>
      </x:c>
      <x:c r="E4402" t="str">
        <x:f>'Release Gates'!I4362</x:f>
        <x:v>OPEN</x:v>
      </x:c>
      <x:c r="F4402" t="str">
        <x:f>IF('Release Gates'!C4362="PLANNING","PASS",IF('Release Gates'!C4362="PHYSICAL","OPEN","BLOCKED"))</x:f>
        <x:v>OPEN</x:v>
      </x:c>
      <x:c r="G4402" t="str">
        <x:v>equals</x:v>
      </x:c>
      <x:c r="H4402" t="str">
        <x:f>IF(E4402=F4402,"PASS","FAIL")</x:f>
        <x:v>PASS</x:v>
      </x:c>
    </x:row>
    <x:row r="4403">
      <x:c r="B4403" t="str">
        <x:v>A-04357</x:v>
      </x:c>
      <x:c r="C4403" t="str">
        <x:v>GATE</x:v>
      </x:c>
      <x:c r="D4403" t="str">
        <x:v>release state mirrors governing ledger</x:v>
      </x:c>
      <x:c r="E4403" t="str">
        <x:f>'Release Gates'!I4363</x:f>
        <x:v>OPEN</x:v>
      </x:c>
      <x:c r="F4403" t="str">
        <x:f>IF('Release Gates'!C4363="PLANNING","PASS",IF('Release Gates'!C4363="PHYSICAL","OPEN","BLOCKED"))</x:f>
        <x:v>OPEN</x:v>
      </x:c>
      <x:c r="G4403" t="str">
        <x:v>equals</x:v>
      </x:c>
      <x:c r="H4403" t="str">
        <x:f>IF(E4403=F4403,"PASS","FAIL")</x:f>
        <x:v>PASS</x:v>
      </x:c>
    </x:row>
    <x:row r="4404">
      <x:c r="B4404" t="str">
        <x:v>A-04358</x:v>
      </x:c>
      <x:c r="C4404" t="str">
        <x:v>GATE</x:v>
      </x:c>
      <x:c r="D4404" t="str">
        <x:v>release state mirrors governing ledger</x:v>
      </x:c>
      <x:c r="E4404" t="str">
        <x:f>'Release Gates'!I4364</x:f>
        <x:v>OPEN</x:v>
      </x:c>
      <x:c r="F4404" t="str">
        <x:f>IF('Release Gates'!C4364="PLANNING","PASS",IF('Release Gates'!C4364="PHYSICAL","OPEN","BLOCKED"))</x:f>
        <x:v>OPEN</x:v>
      </x:c>
      <x:c r="G4404" t="str">
        <x:v>equals</x:v>
      </x:c>
      <x:c r="H4404" t="str">
        <x:f>IF(E4404=F4404,"PASS","FAIL")</x:f>
        <x:v>PASS</x:v>
      </x:c>
    </x:row>
    <x:row r="4405">
      <x:c r="B4405" t="str">
        <x:v>A-04359</x:v>
      </x:c>
      <x:c r="C4405" t="str">
        <x:v>GATE</x:v>
      </x:c>
      <x:c r="D4405" t="str">
        <x:v>release state mirrors governing ledger</x:v>
      </x:c>
      <x:c r="E4405" t="str">
        <x:f>'Release Gates'!I4365</x:f>
        <x:v>OPEN</x:v>
      </x:c>
      <x:c r="F4405" t="str">
        <x:f>IF('Release Gates'!C4365="PLANNING","PASS",IF('Release Gates'!C4365="PHYSICAL","OPEN","BLOCKED"))</x:f>
        <x:v>OPEN</x:v>
      </x:c>
      <x:c r="G4405" t="str">
        <x:v>equals</x:v>
      </x:c>
      <x:c r="H4405" t="str">
        <x:f>IF(E4405=F4405,"PASS","FAIL")</x:f>
        <x:v>PASS</x:v>
      </x:c>
    </x:row>
    <x:row r="4406">
      <x:c r="B4406" t="str">
        <x:v>A-04360</x:v>
      </x:c>
      <x:c r="C4406" t="str">
        <x:v>GATE</x:v>
      </x:c>
      <x:c r="D4406" t="str">
        <x:v>release state mirrors governing ledger</x:v>
      </x:c>
      <x:c r="E4406" t="str">
        <x:f>'Release Gates'!I4366</x:f>
        <x:v>OPEN</x:v>
      </x:c>
      <x:c r="F4406" t="str">
        <x:f>IF('Release Gates'!C4366="PLANNING","PASS",IF('Release Gates'!C4366="PHYSICAL","OPEN","BLOCKED"))</x:f>
        <x:v>OPEN</x:v>
      </x:c>
      <x:c r="G4406" t="str">
        <x:v>equals</x:v>
      </x:c>
      <x:c r="H4406" t="str">
        <x:f>IF(E4406=F4406,"PASS","FAIL")</x:f>
        <x:v>PASS</x:v>
      </x:c>
    </x:row>
    <x:row r="4407">
      <x:c r="B4407" t="str">
        <x:v>A-04361</x:v>
      </x:c>
      <x:c r="C4407" t="str">
        <x:v>GATE</x:v>
      </x:c>
      <x:c r="D4407" t="str">
        <x:v>release state mirrors governing ledger</x:v>
      </x:c>
      <x:c r="E4407" t="str">
        <x:f>'Release Gates'!I4367</x:f>
        <x:v>OPEN</x:v>
      </x:c>
      <x:c r="F4407" t="str">
        <x:f>IF('Release Gates'!C4367="PLANNING","PASS",IF('Release Gates'!C4367="PHYSICAL","OPEN","BLOCKED"))</x:f>
        <x:v>OPEN</x:v>
      </x:c>
      <x:c r="G4407" t="str">
        <x:v>equals</x:v>
      </x:c>
      <x:c r="H4407" t="str">
        <x:f>IF(E4407=F4407,"PASS","FAIL")</x:f>
        <x:v>PASS</x:v>
      </x:c>
    </x:row>
    <x:row r="4408">
      <x:c r="B4408" t="str">
        <x:v>A-04362</x:v>
      </x:c>
      <x:c r="C4408" t="str">
        <x:v>GATE</x:v>
      </x:c>
      <x:c r="D4408" t="str">
        <x:v>release state mirrors governing ledger</x:v>
      </x:c>
      <x:c r="E4408" t="str">
        <x:f>'Release Gates'!I4368</x:f>
        <x:v>OPEN</x:v>
      </x:c>
      <x:c r="F4408" t="str">
        <x:f>IF('Release Gates'!C4368="PLANNING","PASS",IF('Release Gates'!C4368="PHYSICAL","OPEN","BLOCKED"))</x:f>
        <x:v>OPEN</x:v>
      </x:c>
      <x:c r="G4408" t="str">
        <x:v>equals</x:v>
      </x:c>
      <x:c r="H4408" t="str">
        <x:f>IF(E4408=F4408,"PASS","FAIL")</x:f>
        <x:v>PASS</x:v>
      </x:c>
    </x:row>
    <x:row r="4409">
      <x:c r="B4409" t="str">
        <x:v>A-04363</x:v>
      </x:c>
      <x:c r="C4409" t="str">
        <x:v>GATE</x:v>
      </x:c>
      <x:c r="D4409" t="str">
        <x:v>release state mirrors governing ledger</x:v>
      </x:c>
      <x:c r="E4409" t="str">
        <x:f>'Release Gates'!I4369</x:f>
        <x:v>OPEN</x:v>
      </x:c>
      <x:c r="F4409" t="str">
        <x:f>IF('Release Gates'!C4369="PLANNING","PASS",IF('Release Gates'!C4369="PHYSICAL","OPEN","BLOCKED"))</x:f>
        <x:v>OPEN</x:v>
      </x:c>
      <x:c r="G4409" t="str">
        <x:v>equals</x:v>
      </x:c>
      <x:c r="H4409" t="str">
        <x:f>IF(E4409=F4409,"PASS","FAIL")</x:f>
        <x:v>PASS</x:v>
      </x:c>
    </x:row>
    <x:row r="4410">
      <x:c r="B4410" t="str">
        <x:v>A-04364</x:v>
      </x:c>
      <x:c r="C4410" t="str">
        <x:v>GATE</x:v>
      </x:c>
      <x:c r="D4410" t="str">
        <x:v>release state mirrors governing ledger</x:v>
      </x:c>
      <x:c r="E4410" t="str">
        <x:f>'Release Gates'!I4370</x:f>
        <x:v>OPEN</x:v>
      </x:c>
      <x:c r="F4410" t="str">
        <x:f>IF('Release Gates'!C4370="PLANNING","PASS",IF('Release Gates'!C4370="PHYSICAL","OPEN","BLOCKED"))</x:f>
        <x:v>OPEN</x:v>
      </x:c>
      <x:c r="G4410" t="str">
        <x:v>equals</x:v>
      </x:c>
      <x:c r="H4410" t="str">
        <x:f>IF(E4410=F4410,"PASS","FAIL")</x:f>
        <x:v>PASS</x:v>
      </x:c>
    </x:row>
    <x:row r="4411">
      <x:c r="B4411" t="str">
        <x:v>A-04365</x:v>
      </x:c>
      <x:c r="C4411" t="str">
        <x:v>GATE</x:v>
      </x:c>
      <x:c r="D4411" t="str">
        <x:v>release state mirrors governing ledger</x:v>
      </x:c>
      <x:c r="E4411" t="str">
        <x:f>'Release Gates'!I4371</x:f>
        <x:v>OPEN</x:v>
      </x:c>
      <x:c r="F4411" t="str">
        <x:f>IF('Release Gates'!C4371="PLANNING","PASS",IF('Release Gates'!C4371="PHYSICAL","OPEN","BLOCKED"))</x:f>
        <x:v>OPEN</x:v>
      </x:c>
      <x:c r="G4411" t="str">
        <x:v>equals</x:v>
      </x:c>
      <x:c r="H4411" t="str">
        <x:f>IF(E4411=F4411,"PASS","FAIL")</x:f>
        <x:v>PASS</x:v>
      </x:c>
    </x:row>
    <x:row r="4412">
      <x:c r="B4412" t="str">
        <x:v>A-04366</x:v>
      </x:c>
      <x:c r="C4412" t="str">
        <x:v>GATE</x:v>
      </x:c>
      <x:c r="D4412" t="str">
        <x:v>release state mirrors governing ledger</x:v>
      </x:c>
      <x:c r="E4412" t="str">
        <x:f>'Release Gates'!I4372</x:f>
        <x:v>OPEN</x:v>
      </x:c>
      <x:c r="F4412" t="str">
        <x:f>IF('Release Gates'!C4372="PLANNING","PASS",IF('Release Gates'!C4372="PHYSICAL","OPEN","BLOCKED"))</x:f>
        <x:v>OPEN</x:v>
      </x:c>
      <x:c r="G4412" t="str">
        <x:v>equals</x:v>
      </x:c>
      <x:c r="H4412" t="str">
        <x:f>IF(E4412=F4412,"PASS","FAIL")</x:f>
        <x:v>PASS</x:v>
      </x:c>
    </x:row>
    <x:row r="4413">
      <x:c r="B4413" t="str">
        <x:v>A-04367</x:v>
      </x:c>
      <x:c r="C4413" t="str">
        <x:v>GATE</x:v>
      </x:c>
      <x:c r="D4413" t="str">
        <x:v>release state mirrors governing ledger</x:v>
      </x:c>
      <x:c r="E4413" t="str">
        <x:f>'Release Gates'!I4373</x:f>
        <x:v>OPEN</x:v>
      </x:c>
      <x:c r="F4413" t="str">
        <x:f>IF('Release Gates'!C4373="PLANNING","PASS",IF('Release Gates'!C4373="PHYSICAL","OPEN","BLOCKED"))</x:f>
        <x:v>OPEN</x:v>
      </x:c>
      <x:c r="G4413" t="str">
        <x:v>equals</x:v>
      </x:c>
      <x:c r="H4413" t="str">
        <x:f>IF(E4413=F4413,"PASS","FAIL")</x:f>
        <x:v>PASS</x:v>
      </x:c>
    </x:row>
    <x:row r="4414">
      <x:c r="B4414" t="str">
        <x:v>A-04368</x:v>
      </x:c>
      <x:c r="C4414" t="str">
        <x:v>GATE</x:v>
      </x:c>
      <x:c r="D4414" t="str">
        <x:v>release state mirrors governing ledger</x:v>
      </x:c>
      <x:c r="E4414" t="str">
        <x:f>'Release Gates'!I4374</x:f>
        <x:v>OPEN</x:v>
      </x:c>
      <x:c r="F4414" t="str">
        <x:f>IF('Release Gates'!C4374="PLANNING","PASS",IF('Release Gates'!C4374="PHYSICAL","OPEN","BLOCKED"))</x:f>
        <x:v>OPEN</x:v>
      </x:c>
      <x:c r="G4414" t="str">
        <x:v>equals</x:v>
      </x:c>
      <x:c r="H4414" t="str">
        <x:f>IF(E4414=F4414,"PASS","FAIL")</x:f>
        <x:v>PASS</x:v>
      </x:c>
    </x:row>
    <x:row r="4415">
      <x:c r="B4415" t="str">
        <x:v>A-04369</x:v>
      </x:c>
      <x:c r="C4415" t="str">
        <x:v>GATE</x:v>
      </x:c>
      <x:c r="D4415" t="str">
        <x:v>release state mirrors governing ledger</x:v>
      </x:c>
      <x:c r="E4415" t="str">
        <x:f>'Release Gates'!I4375</x:f>
        <x:v>OPEN</x:v>
      </x:c>
      <x:c r="F4415" t="str">
        <x:f>IF('Release Gates'!C4375="PLANNING","PASS",IF('Release Gates'!C4375="PHYSICAL","OPEN","BLOCKED"))</x:f>
        <x:v>OPEN</x:v>
      </x:c>
      <x:c r="G4415" t="str">
        <x:v>equals</x:v>
      </x:c>
      <x:c r="H4415" t="str">
        <x:f>IF(E4415=F4415,"PASS","FAIL")</x:f>
        <x:v>PASS</x:v>
      </x:c>
    </x:row>
    <x:row r="4416">
      <x:c r="B4416" t="str">
        <x:v>A-04370</x:v>
      </x:c>
      <x:c r="C4416" t="str">
        <x:v>GATE</x:v>
      </x:c>
      <x:c r="D4416" t="str">
        <x:v>release state mirrors governing ledger</x:v>
      </x:c>
      <x:c r="E4416" t="str">
        <x:f>'Release Gates'!I4376</x:f>
        <x:v>OPEN</x:v>
      </x:c>
      <x:c r="F4416" t="str">
        <x:f>IF('Release Gates'!C4376="PLANNING","PASS",IF('Release Gates'!C4376="PHYSICAL","OPEN","BLOCKED"))</x:f>
        <x:v>OPEN</x:v>
      </x:c>
      <x:c r="G4416" t="str">
        <x:v>equals</x:v>
      </x:c>
      <x:c r="H4416" t="str">
        <x:f>IF(E4416=F4416,"PASS","FAIL")</x:f>
        <x:v>PASS</x:v>
      </x:c>
    </x:row>
    <x:row r="4417">
      <x:c r="B4417" t="str">
        <x:v>A-04371</x:v>
      </x:c>
      <x:c r="C4417" t="str">
        <x:v>GATE</x:v>
      </x:c>
      <x:c r="D4417" t="str">
        <x:v>release state mirrors governing ledger</x:v>
      </x:c>
      <x:c r="E4417" t="str">
        <x:f>'Release Gates'!I4377</x:f>
        <x:v>OPEN</x:v>
      </x:c>
      <x:c r="F4417" t="str">
        <x:f>IF('Release Gates'!C4377="PLANNING","PASS",IF('Release Gates'!C4377="PHYSICAL","OPEN","BLOCKED"))</x:f>
        <x:v>OPEN</x:v>
      </x:c>
      <x:c r="G4417" t="str">
        <x:v>equals</x:v>
      </x:c>
      <x:c r="H4417" t="str">
        <x:f>IF(E4417=F4417,"PASS","FAIL")</x:f>
        <x:v>PASS</x:v>
      </x:c>
    </x:row>
    <x:row r="4418">
      <x:c r="B4418" t="str">
        <x:v>A-04372</x:v>
      </x:c>
      <x:c r="C4418" t="str">
        <x:v>GATE</x:v>
      </x:c>
      <x:c r="D4418" t="str">
        <x:v>release state mirrors governing ledger</x:v>
      </x:c>
      <x:c r="E4418" t="str">
        <x:f>'Release Gates'!I4378</x:f>
        <x:v>OPEN</x:v>
      </x:c>
      <x:c r="F4418" t="str">
        <x:f>IF('Release Gates'!C4378="PLANNING","PASS",IF('Release Gates'!C4378="PHYSICAL","OPEN","BLOCKED"))</x:f>
        <x:v>OPEN</x:v>
      </x:c>
      <x:c r="G4418" t="str">
        <x:v>equals</x:v>
      </x:c>
      <x:c r="H4418" t="str">
        <x:f>IF(E4418=F4418,"PASS","FAIL")</x:f>
        <x:v>PASS</x:v>
      </x:c>
    </x:row>
    <x:row r="4419">
      <x:c r="B4419" t="str">
        <x:v>A-04373</x:v>
      </x:c>
      <x:c r="C4419" t="str">
        <x:v>GATE</x:v>
      </x:c>
      <x:c r="D4419" t="str">
        <x:v>release state mirrors governing ledger</x:v>
      </x:c>
      <x:c r="E4419" t="str">
        <x:f>'Release Gates'!I4379</x:f>
        <x:v>OPEN</x:v>
      </x:c>
      <x:c r="F4419" t="str">
        <x:f>IF('Release Gates'!C4379="PLANNING","PASS",IF('Release Gates'!C4379="PHYSICAL","OPEN","BLOCKED"))</x:f>
        <x:v>OPEN</x:v>
      </x:c>
      <x:c r="G4419" t="str">
        <x:v>equals</x:v>
      </x:c>
      <x:c r="H4419" t="str">
        <x:f>IF(E4419=F4419,"PASS","FAIL")</x:f>
        <x:v>PASS</x:v>
      </x:c>
    </x:row>
    <x:row r="4420">
      <x:c r="B4420" t="str">
        <x:v>A-04374</x:v>
      </x:c>
      <x:c r="C4420" t="str">
        <x:v>GATE</x:v>
      </x:c>
      <x:c r="D4420" t="str">
        <x:v>release state mirrors governing ledger</x:v>
      </x:c>
      <x:c r="E4420" t="str">
        <x:f>'Release Gates'!I4380</x:f>
        <x:v>OPEN</x:v>
      </x:c>
      <x:c r="F4420" t="str">
        <x:f>IF('Release Gates'!C4380="PLANNING","PASS",IF('Release Gates'!C4380="PHYSICAL","OPEN","BLOCKED"))</x:f>
        <x:v>OPEN</x:v>
      </x:c>
      <x:c r="G4420" t="str">
        <x:v>equals</x:v>
      </x:c>
      <x:c r="H4420" t="str">
        <x:f>IF(E4420=F4420,"PASS","FAIL")</x:f>
        <x:v>PASS</x:v>
      </x:c>
    </x:row>
    <x:row r="4421">
      <x:c r="B4421" t="str">
        <x:v>A-04375</x:v>
      </x:c>
      <x:c r="C4421" t="str">
        <x:v>GATE</x:v>
      </x:c>
      <x:c r="D4421" t="str">
        <x:v>release state mirrors governing ledger</x:v>
      </x:c>
      <x:c r="E4421" t="str">
        <x:f>'Release Gates'!I4381</x:f>
        <x:v>OPEN</x:v>
      </x:c>
      <x:c r="F4421" t="str">
        <x:f>IF('Release Gates'!C4381="PLANNING","PASS",IF('Release Gates'!C4381="PHYSICAL","OPEN","BLOCKED"))</x:f>
        <x:v>OPEN</x:v>
      </x:c>
      <x:c r="G4421" t="str">
        <x:v>equals</x:v>
      </x:c>
      <x:c r="H4421" t="str">
        <x:f>IF(E4421=F4421,"PASS","FAIL")</x:f>
        <x:v>PASS</x:v>
      </x:c>
    </x:row>
    <x:row r="4422">
      <x:c r="B4422" t="str">
        <x:v>A-04376</x:v>
      </x:c>
      <x:c r="C4422" t="str">
        <x:v>GATE</x:v>
      </x:c>
      <x:c r="D4422" t="str">
        <x:v>release state mirrors governing ledger</x:v>
      </x:c>
      <x:c r="E4422" t="str">
        <x:f>'Release Gates'!I4382</x:f>
        <x:v>OPEN</x:v>
      </x:c>
      <x:c r="F4422" t="str">
        <x:f>IF('Release Gates'!C4382="PLANNING","PASS",IF('Release Gates'!C4382="PHYSICAL","OPEN","BLOCKED"))</x:f>
        <x:v>OPEN</x:v>
      </x:c>
      <x:c r="G4422" t="str">
        <x:v>equals</x:v>
      </x:c>
      <x:c r="H4422" t="str">
        <x:f>IF(E4422=F4422,"PASS","FAIL")</x:f>
        <x:v>PASS</x:v>
      </x:c>
    </x:row>
    <x:row r="4423">
      <x:c r="B4423" t="str">
        <x:v>A-04377</x:v>
      </x:c>
      <x:c r="C4423" t="str">
        <x:v>GATE</x:v>
      </x:c>
      <x:c r="D4423" t="str">
        <x:v>release state mirrors governing ledger</x:v>
      </x:c>
      <x:c r="E4423" t="str">
        <x:f>'Release Gates'!I4383</x:f>
        <x:v>OPEN</x:v>
      </x:c>
      <x:c r="F4423" t="str">
        <x:f>IF('Release Gates'!C4383="PLANNING","PASS",IF('Release Gates'!C4383="PHYSICAL","OPEN","BLOCKED"))</x:f>
        <x:v>OPEN</x:v>
      </x:c>
      <x:c r="G4423" t="str">
        <x:v>equals</x:v>
      </x:c>
      <x:c r="H4423" t="str">
        <x:f>IF(E4423=F4423,"PASS","FAIL")</x:f>
        <x:v>PASS</x:v>
      </x:c>
    </x:row>
    <x:row r="4424">
      <x:c r="B4424" t="str">
        <x:v>A-04378</x:v>
      </x:c>
      <x:c r="C4424" t="str">
        <x:v>GATE</x:v>
      </x:c>
      <x:c r="D4424" t="str">
        <x:v>release state mirrors governing ledger</x:v>
      </x:c>
      <x:c r="E4424" t="str">
        <x:f>'Release Gates'!I4384</x:f>
        <x:v>OPEN</x:v>
      </x:c>
      <x:c r="F4424" t="str">
        <x:f>IF('Release Gates'!C4384="PLANNING","PASS",IF('Release Gates'!C4384="PHYSICAL","OPEN","BLOCKED"))</x:f>
        <x:v>OPEN</x:v>
      </x:c>
      <x:c r="G4424" t="str">
        <x:v>equals</x:v>
      </x:c>
      <x:c r="H4424" t="str">
        <x:f>IF(E4424=F4424,"PASS","FAIL")</x:f>
        <x:v>PASS</x:v>
      </x:c>
    </x:row>
    <x:row r="4425">
      <x:c r="B4425" t="str">
        <x:v>A-04379</x:v>
      </x:c>
      <x:c r="C4425" t="str">
        <x:v>GATE</x:v>
      </x:c>
      <x:c r="D4425" t="str">
        <x:v>release state mirrors governing ledger</x:v>
      </x:c>
      <x:c r="E4425" t="str">
        <x:f>'Release Gates'!I4385</x:f>
        <x:v>OPEN</x:v>
      </x:c>
      <x:c r="F4425" t="str">
        <x:f>IF('Release Gates'!C4385="PLANNING","PASS",IF('Release Gates'!C4385="PHYSICAL","OPEN","BLOCKED"))</x:f>
        <x:v>OPEN</x:v>
      </x:c>
      <x:c r="G4425" t="str">
        <x:v>equals</x:v>
      </x:c>
      <x:c r="H4425" t="str">
        <x:f>IF(E4425=F4425,"PASS","FAIL")</x:f>
        <x:v>PASS</x:v>
      </x:c>
    </x:row>
    <x:row r="4426">
      <x:c r="B4426" t="str">
        <x:v>A-04380</x:v>
      </x:c>
      <x:c r="C4426" t="str">
        <x:v>GATE</x:v>
      </x:c>
      <x:c r="D4426" t="str">
        <x:v>release state mirrors governing ledger</x:v>
      </x:c>
      <x:c r="E4426" t="str">
        <x:f>'Release Gates'!I4386</x:f>
        <x:v>OPEN</x:v>
      </x:c>
      <x:c r="F4426" t="str">
        <x:f>IF('Release Gates'!C4386="PLANNING","PASS",IF('Release Gates'!C4386="PHYSICAL","OPEN","BLOCKED"))</x:f>
        <x:v>OPEN</x:v>
      </x:c>
      <x:c r="G4426" t="str">
        <x:v>equals</x:v>
      </x:c>
      <x:c r="H4426" t="str">
        <x:f>IF(E4426=F4426,"PASS","FAIL")</x:f>
        <x:v>PASS</x:v>
      </x:c>
    </x:row>
    <x:row r="4427">
      <x:c r="B4427" t="str">
        <x:v>A-04381</x:v>
      </x:c>
      <x:c r="C4427" t="str">
        <x:v>GATE</x:v>
      </x:c>
      <x:c r="D4427" t="str">
        <x:v>release state mirrors governing ledger</x:v>
      </x:c>
      <x:c r="E4427" t="str">
        <x:f>'Release Gates'!I4387</x:f>
        <x:v>OPEN</x:v>
      </x:c>
      <x:c r="F4427" t="str">
        <x:f>IF('Release Gates'!C4387="PLANNING","PASS",IF('Release Gates'!C4387="PHYSICAL","OPEN","BLOCKED"))</x:f>
        <x:v>OPEN</x:v>
      </x:c>
      <x:c r="G4427" t="str">
        <x:v>equals</x:v>
      </x:c>
      <x:c r="H4427" t="str">
        <x:f>IF(E4427=F4427,"PASS","FAIL")</x:f>
        <x:v>PASS</x:v>
      </x:c>
    </x:row>
    <x:row r="4428">
      <x:c r="B4428" t="str">
        <x:v>A-04382</x:v>
      </x:c>
      <x:c r="C4428" t="str">
        <x:v>GATE</x:v>
      </x:c>
      <x:c r="D4428" t="str">
        <x:v>release state mirrors governing ledger</x:v>
      </x:c>
      <x:c r="E4428" t="str">
        <x:f>'Release Gates'!I4388</x:f>
        <x:v>OPEN</x:v>
      </x:c>
      <x:c r="F4428" t="str">
        <x:f>IF('Release Gates'!C4388="PLANNING","PASS",IF('Release Gates'!C4388="PHYSICAL","OPEN","BLOCKED"))</x:f>
        <x:v>OPEN</x:v>
      </x:c>
      <x:c r="G4428" t="str">
        <x:v>equals</x:v>
      </x:c>
      <x:c r="H4428" t="str">
        <x:f>IF(E4428=F4428,"PASS","FAIL")</x:f>
        <x:v>PASS</x:v>
      </x:c>
    </x:row>
    <x:row r="4429">
      <x:c r="B4429" t="str">
        <x:v>A-04383</x:v>
      </x:c>
      <x:c r="C4429" t="str">
        <x:v>GATE</x:v>
      </x:c>
      <x:c r="D4429" t="str">
        <x:v>release state mirrors governing ledger</x:v>
      </x:c>
      <x:c r="E4429" t="str">
        <x:f>'Release Gates'!I4389</x:f>
        <x:v>OPEN</x:v>
      </x:c>
      <x:c r="F4429" t="str">
        <x:f>IF('Release Gates'!C4389="PLANNING","PASS",IF('Release Gates'!C4389="PHYSICAL","OPEN","BLOCKED"))</x:f>
        <x:v>OPEN</x:v>
      </x:c>
      <x:c r="G4429" t="str">
        <x:v>equals</x:v>
      </x:c>
      <x:c r="H4429" t="str">
        <x:f>IF(E4429=F4429,"PASS","FAIL")</x:f>
        <x:v>PASS</x:v>
      </x:c>
    </x:row>
    <x:row r="4430">
      <x:c r="B4430" t="str">
        <x:v>A-04384</x:v>
      </x:c>
      <x:c r="C4430" t="str">
        <x:v>GATE</x:v>
      </x:c>
      <x:c r="D4430" t="str">
        <x:v>release state mirrors governing ledger</x:v>
      </x:c>
      <x:c r="E4430" t="str">
        <x:f>'Release Gates'!I4390</x:f>
        <x:v>OPEN</x:v>
      </x:c>
      <x:c r="F4430" t="str">
        <x:f>IF('Release Gates'!C4390="PLANNING","PASS",IF('Release Gates'!C4390="PHYSICAL","OPEN","BLOCKED"))</x:f>
        <x:v>OPEN</x:v>
      </x:c>
      <x:c r="G4430" t="str">
        <x:v>equals</x:v>
      </x:c>
      <x:c r="H4430" t="str">
        <x:f>IF(E4430=F4430,"PASS","FAIL")</x:f>
        <x:v>PASS</x:v>
      </x:c>
    </x:row>
    <x:row r="4431">
      <x:c r="B4431" t="str">
        <x:v>A-04385</x:v>
      </x:c>
      <x:c r="C4431" t="str">
        <x:v>GATE</x:v>
      </x:c>
      <x:c r="D4431" t="str">
        <x:v>release state mirrors governing ledger</x:v>
      </x:c>
      <x:c r="E4431" t="str">
        <x:f>'Release Gates'!I4391</x:f>
        <x:v>OPEN</x:v>
      </x:c>
      <x:c r="F4431" t="str">
        <x:f>IF('Release Gates'!C4391="PLANNING","PASS",IF('Release Gates'!C4391="PHYSICAL","OPEN","BLOCKED"))</x:f>
        <x:v>OPEN</x:v>
      </x:c>
      <x:c r="G4431" t="str">
        <x:v>equals</x:v>
      </x:c>
      <x:c r="H4431" t="str">
        <x:f>IF(E4431=F4431,"PASS","FAIL")</x:f>
        <x:v>PASS</x:v>
      </x:c>
    </x:row>
    <x:row r="4432">
      <x:c r="B4432" t="str">
        <x:v>A-04386</x:v>
      </x:c>
      <x:c r="C4432" t="str">
        <x:v>GATE</x:v>
      </x:c>
      <x:c r="D4432" t="str">
        <x:v>release state mirrors governing ledger</x:v>
      </x:c>
      <x:c r="E4432" t="str">
        <x:f>'Release Gates'!I4392</x:f>
        <x:v>OPEN</x:v>
      </x:c>
      <x:c r="F4432" t="str">
        <x:f>IF('Release Gates'!C4392="PLANNING","PASS",IF('Release Gates'!C4392="PHYSICAL","OPEN","BLOCKED"))</x:f>
        <x:v>OPEN</x:v>
      </x:c>
      <x:c r="G4432" t="str">
        <x:v>equals</x:v>
      </x:c>
      <x:c r="H4432" t="str">
        <x:f>IF(E4432=F4432,"PASS","FAIL")</x:f>
        <x:v>PASS</x:v>
      </x:c>
    </x:row>
    <x:row r="4433">
      <x:c r="B4433" t="str">
        <x:v>A-04387</x:v>
      </x:c>
      <x:c r="C4433" t="str">
        <x:v>GATE</x:v>
      </x:c>
      <x:c r="D4433" t="str">
        <x:v>release state mirrors governing ledger</x:v>
      </x:c>
      <x:c r="E4433" t="str">
        <x:f>'Release Gates'!I4393</x:f>
        <x:v>OPEN</x:v>
      </x:c>
      <x:c r="F4433" t="str">
        <x:f>IF('Release Gates'!C4393="PLANNING","PASS",IF('Release Gates'!C4393="PHYSICAL","OPEN","BLOCKED"))</x:f>
        <x:v>OPEN</x:v>
      </x:c>
      <x:c r="G4433" t="str">
        <x:v>equals</x:v>
      </x:c>
      <x:c r="H4433" t="str">
        <x:f>IF(E4433=F4433,"PASS","FAIL")</x:f>
        <x:v>PASS</x:v>
      </x:c>
    </x:row>
    <x:row r="4434">
      <x:c r="B4434" t="str">
        <x:v>A-04388</x:v>
      </x:c>
      <x:c r="C4434" t="str">
        <x:v>GATE</x:v>
      </x:c>
      <x:c r="D4434" t="str">
        <x:v>release state mirrors governing ledger</x:v>
      </x:c>
      <x:c r="E4434" t="str">
        <x:f>'Release Gates'!I4394</x:f>
        <x:v>OPEN</x:v>
      </x:c>
      <x:c r="F4434" t="str">
        <x:f>IF('Release Gates'!C4394="PLANNING","PASS",IF('Release Gates'!C4394="PHYSICAL","OPEN","BLOCKED"))</x:f>
        <x:v>OPEN</x:v>
      </x:c>
      <x:c r="G4434" t="str">
        <x:v>equals</x:v>
      </x:c>
      <x:c r="H4434" t="str">
        <x:f>IF(E4434=F4434,"PASS","FAIL")</x:f>
        <x:v>PASS</x:v>
      </x:c>
    </x:row>
    <x:row r="4435">
      <x:c r="B4435" t="str">
        <x:v>A-04389</x:v>
      </x:c>
      <x:c r="C4435" t="str">
        <x:v>GATE</x:v>
      </x:c>
      <x:c r="D4435" t="str">
        <x:v>release state mirrors governing ledger</x:v>
      </x:c>
      <x:c r="E4435" t="str">
        <x:f>'Release Gates'!I4395</x:f>
        <x:v>OPEN</x:v>
      </x:c>
      <x:c r="F4435" t="str">
        <x:f>IF('Release Gates'!C4395="PLANNING","PASS",IF('Release Gates'!C4395="PHYSICAL","OPEN","BLOCKED"))</x:f>
        <x:v>OPEN</x:v>
      </x:c>
      <x:c r="G4435" t="str">
        <x:v>equals</x:v>
      </x:c>
      <x:c r="H4435" t="str">
        <x:f>IF(E4435=F4435,"PASS","FAIL")</x:f>
        <x:v>PASS</x:v>
      </x:c>
    </x:row>
    <x:row r="4436">
      <x:c r="B4436" t="str">
        <x:v>A-04390</x:v>
      </x:c>
      <x:c r="C4436" t="str">
        <x:v>GATE</x:v>
      </x:c>
      <x:c r="D4436" t="str">
        <x:v>release state mirrors governing ledger</x:v>
      </x:c>
      <x:c r="E4436" t="str">
        <x:f>'Release Gates'!I4396</x:f>
        <x:v>OPEN</x:v>
      </x:c>
      <x:c r="F4436" t="str">
        <x:f>IF('Release Gates'!C4396="PLANNING","PASS",IF('Release Gates'!C4396="PHYSICAL","OPEN","BLOCKED"))</x:f>
        <x:v>OPEN</x:v>
      </x:c>
      <x:c r="G4436" t="str">
        <x:v>equals</x:v>
      </x:c>
      <x:c r="H4436" t="str">
        <x:f>IF(E4436=F4436,"PASS","FAIL")</x:f>
        <x:v>PASS</x:v>
      </x:c>
    </x:row>
    <x:row r="4437">
      <x:c r="B4437" t="str">
        <x:v>A-04391</x:v>
      </x:c>
      <x:c r="C4437" t="str">
        <x:v>GATE</x:v>
      </x:c>
      <x:c r="D4437" t="str">
        <x:v>release state mirrors governing ledger</x:v>
      </x:c>
      <x:c r="E4437" t="str">
        <x:f>'Release Gates'!I4397</x:f>
        <x:v>OPEN</x:v>
      </x:c>
      <x:c r="F4437" t="str">
        <x:f>IF('Release Gates'!C4397="PLANNING","PASS",IF('Release Gates'!C4397="PHYSICAL","OPEN","BLOCKED"))</x:f>
        <x:v>OPEN</x:v>
      </x:c>
      <x:c r="G4437" t="str">
        <x:v>equals</x:v>
      </x:c>
      <x:c r="H4437" t="str">
        <x:f>IF(E4437=F4437,"PASS","FAIL")</x:f>
        <x:v>PASS</x:v>
      </x:c>
    </x:row>
    <x:row r="4438">
      <x:c r="B4438" t="str">
        <x:v>A-04392</x:v>
      </x:c>
      <x:c r="C4438" t="str">
        <x:v>GATE</x:v>
      </x:c>
      <x:c r="D4438" t="str">
        <x:v>release state mirrors governing ledger</x:v>
      </x:c>
      <x:c r="E4438" t="str">
        <x:f>'Release Gates'!I4398</x:f>
        <x:v>OPEN</x:v>
      </x:c>
      <x:c r="F4438" t="str">
        <x:f>IF('Release Gates'!C4398="PLANNING","PASS",IF('Release Gates'!C4398="PHYSICAL","OPEN","BLOCKED"))</x:f>
        <x:v>OPEN</x:v>
      </x:c>
      <x:c r="G4438" t="str">
        <x:v>equals</x:v>
      </x:c>
      <x:c r="H4438" t="str">
        <x:f>IF(E4438=F4438,"PASS","FAIL")</x:f>
        <x:v>PASS</x:v>
      </x:c>
    </x:row>
    <x:row r="4439">
      <x:c r="B4439" t="str">
        <x:v>A-04393</x:v>
      </x:c>
      <x:c r="C4439" t="str">
        <x:v>GATE</x:v>
      </x:c>
      <x:c r="D4439" t="str">
        <x:v>release state mirrors governing ledger</x:v>
      </x:c>
      <x:c r="E4439" t="str">
        <x:f>'Release Gates'!I4399</x:f>
        <x:v>OPEN</x:v>
      </x:c>
      <x:c r="F4439" t="str">
        <x:f>IF('Release Gates'!C4399="PLANNING","PASS",IF('Release Gates'!C4399="PHYSICAL","OPEN","BLOCKED"))</x:f>
        <x:v>OPEN</x:v>
      </x:c>
      <x:c r="G4439" t="str">
        <x:v>equals</x:v>
      </x:c>
      <x:c r="H4439" t="str">
        <x:f>IF(E4439=F4439,"PASS","FAIL")</x:f>
        <x:v>PASS</x:v>
      </x:c>
    </x:row>
    <x:row r="4440">
      <x:c r="B4440" t="str">
        <x:v>A-04394</x:v>
      </x:c>
      <x:c r="C4440" t="str">
        <x:v>GATE</x:v>
      </x:c>
      <x:c r="D4440" t="str">
        <x:v>release state mirrors governing ledger</x:v>
      </x:c>
      <x:c r="E4440" t="str">
        <x:f>'Release Gates'!I4400</x:f>
        <x:v>OPEN</x:v>
      </x:c>
      <x:c r="F4440" t="str">
        <x:f>IF('Release Gates'!C4400="PLANNING","PASS",IF('Release Gates'!C4400="PHYSICAL","OPEN","BLOCKED"))</x:f>
        <x:v>OPEN</x:v>
      </x:c>
      <x:c r="G4440" t="str">
        <x:v>equals</x:v>
      </x:c>
      <x:c r="H4440" t="str">
        <x:f>IF(E4440=F4440,"PASS","FAIL")</x:f>
        <x:v>PASS</x:v>
      </x:c>
    </x:row>
    <x:row r="4441">
      <x:c r="B4441" t="str">
        <x:v>A-04395</x:v>
      </x:c>
      <x:c r="C4441" t="str">
        <x:v>GATE</x:v>
      </x:c>
      <x:c r="D4441" t="str">
        <x:v>release state mirrors governing ledger</x:v>
      </x:c>
      <x:c r="E4441" t="str">
        <x:f>'Release Gates'!I4401</x:f>
        <x:v>OPEN</x:v>
      </x:c>
      <x:c r="F4441" t="str">
        <x:f>IF('Release Gates'!C4401="PLANNING","PASS",IF('Release Gates'!C4401="PHYSICAL","OPEN","BLOCKED"))</x:f>
        <x:v>OPEN</x:v>
      </x:c>
      <x:c r="G4441" t="str">
        <x:v>equals</x:v>
      </x:c>
      <x:c r="H4441" t="str">
        <x:f>IF(E4441=F4441,"PASS","FAIL")</x:f>
        <x:v>PASS</x:v>
      </x:c>
    </x:row>
    <x:row r="4442">
      <x:c r="B4442" t="str">
        <x:v>A-04396</x:v>
      </x:c>
      <x:c r="C4442" t="str">
        <x:v>GATE</x:v>
      </x:c>
      <x:c r="D4442" t="str">
        <x:v>release state mirrors governing ledger</x:v>
      </x:c>
      <x:c r="E4442" t="str">
        <x:f>'Release Gates'!I4402</x:f>
        <x:v>OPEN</x:v>
      </x:c>
      <x:c r="F4442" t="str">
        <x:f>IF('Release Gates'!C4402="PLANNING","PASS",IF('Release Gates'!C4402="PHYSICAL","OPEN","BLOCKED"))</x:f>
        <x:v>OPEN</x:v>
      </x:c>
      <x:c r="G4442" t="str">
        <x:v>equals</x:v>
      </x:c>
      <x:c r="H4442" t="str">
        <x:f>IF(E4442=F4442,"PASS","FAIL")</x:f>
        <x:v>PASS</x:v>
      </x:c>
    </x:row>
    <x:row r="4443">
      <x:c r="B4443" t="str">
        <x:v>A-04397</x:v>
      </x:c>
      <x:c r="C4443" t="str">
        <x:v>GATE</x:v>
      </x:c>
      <x:c r="D4443" t="str">
        <x:v>release state mirrors governing ledger</x:v>
      </x:c>
      <x:c r="E4443" t="str">
        <x:f>'Release Gates'!I4403</x:f>
        <x:v>OPEN</x:v>
      </x:c>
      <x:c r="F4443" t="str">
        <x:f>IF('Release Gates'!C4403="PLANNING","PASS",IF('Release Gates'!C4403="PHYSICAL","OPEN","BLOCKED"))</x:f>
        <x:v>OPEN</x:v>
      </x:c>
      <x:c r="G4443" t="str">
        <x:v>equals</x:v>
      </x:c>
      <x:c r="H4443" t="str">
        <x:f>IF(E4443=F4443,"PASS","FAIL")</x:f>
        <x:v>PASS</x:v>
      </x:c>
    </x:row>
    <x:row r="4444">
      <x:c r="B4444" t="str">
        <x:v>A-04398</x:v>
      </x:c>
      <x:c r="C4444" t="str">
        <x:v>GATE</x:v>
      </x:c>
      <x:c r="D4444" t="str">
        <x:v>release state mirrors governing ledger</x:v>
      </x:c>
      <x:c r="E4444" t="str">
        <x:f>'Release Gates'!I4404</x:f>
        <x:v>OPEN</x:v>
      </x:c>
      <x:c r="F4444" t="str">
        <x:f>IF('Release Gates'!C4404="PLANNING","PASS",IF('Release Gates'!C4404="PHYSICAL","OPEN","BLOCKED"))</x:f>
        <x:v>OPEN</x:v>
      </x:c>
      <x:c r="G4444" t="str">
        <x:v>equals</x:v>
      </x:c>
      <x:c r="H4444" t="str">
        <x:f>IF(E4444=F4444,"PASS","FAIL")</x:f>
        <x:v>PASS</x:v>
      </x:c>
    </x:row>
    <x:row r="4445">
      <x:c r="B4445" t="str">
        <x:v>A-04399</x:v>
      </x:c>
      <x:c r="C4445" t="str">
        <x:v>GATE</x:v>
      </x:c>
      <x:c r="D4445" t="str">
        <x:v>release state mirrors governing ledger</x:v>
      </x:c>
      <x:c r="E4445" t="str">
        <x:f>'Release Gates'!I4405</x:f>
        <x:v>OPEN</x:v>
      </x:c>
      <x:c r="F4445" t="str">
        <x:f>IF('Release Gates'!C4405="PLANNING","PASS",IF('Release Gates'!C4405="PHYSICAL","OPEN","BLOCKED"))</x:f>
        <x:v>OPEN</x:v>
      </x:c>
      <x:c r="G4445" t="str">
        <x:v>equals</x:v>
      </x:c>
      <x:c r="H4445" t="str">
        <x:f>IF(E4445=F4445,"PASS","FAIL")</x:f>
        <x:v>PASS</x:v>
      </x:c>
    </x:row>
    <x:row r="4446">
      <x:c r="B4446" t="str">
        <x:v>A-04400</x:v>
      </x:c>
      <x:c r="C4446" t="str">
        <x:v>GATE</x:v>
      </x:c>
      <x:c r="D4446" t="str">
        <x:v>release state mirrors governing ledger</x:v>
      </x:c>
      <x:c r="E4446" t="str">
        <x:f>'Release Gates'!I4406</x:f>
        <x:v>OPEN</x:v>
      </x:c>
      <x:c r="F4446" t="str">
        <x:f>IF('Release Gates'!C4406="PLANNING","PASS",IF('Release Gates'!C4406="PHYSICAL","OPEN","BLOCKED"))</x:f>
        <x:v>OPEN</x:v>
      </x:c>
      <x:c r="G4446" t="str">
        <x:v>equals</x:v>
      </x:c>
      <x:c r="H4446" t="str">
        <x:f>IF(E4446=F4446,"PASS","FAIL")</x:f>
        <x:v>PASS</x:v>
      </x:c>
    </x:row>
    <x:row r="4447">
      <x:c r="B4447" t="str">
        <x:v>A-04401</x:v>
      </x:c>
      <x:c r="C4447" t="str">
        <x:v>GATE</x:v>
      </x:c>
      <x:c r="D4447" t="str">
        <x:v>release state mirrors governing ledger</x:v>
      </x:c>
      <x:c r="E4447" t="str">
        <x:f>'Release Gates'!I4407</x:f>
        <x:v>OPEN</x:v>
      </x:c>
      <x:c r="F4447" t="str">
        <x:f>IF('Release Gates'!C4407="PLANNING","PASS",IF('Release Gates'!C4407="PHYSICAL","OPEN","BLOCKED"))</x:f>
        <x:v>OPEN</x:v>
      </x:c>
      <x:c r="G4447" t="str">
        <x:v>equals</x:v>
      </x:c>
      <x:c r="H4447" t="str">
        <x:f>IF(E4447=F4447,"PASS","FAIL")</x:f>
        <x:v>PASS</x:v>
      </x:c>
    </x:row>
    <x:row r="4448">
      <x:c r="B4448" t="str">
        <x:v>A-04402</x:v>
      </x:c>
      <x:c r="C4448" t="str">
        <x:v>GATE</x:v>
      </x:c>
      <x:c r="D4448" t="str">
        <x:v>release state mirrors governing ledger</x:v>
      </x:c>
      <x:c r="E4448" t="str">
        <x:f>'Release Gates'!I4408</x:f>
        <x:v>OPEN</x:v>
      </x:c>
      <x:c r="F4448" t="str">
        <x:f>IF('Release Gates'!C4408="PLANNING","PASS",IF('Release Gates'!C4408="PHYSICAL","OPEN","BLOCKED"))</x:f>
        <x:v>OPEN</x:v>
      </x:c>
      <x:c r="G4448" t="str">
        <x:v>equals</x:v>
      </x:c>
      <x:c r="H4448" t="str">
        <x:f>IF(E4448=F4448,"PASS","FAIL")</x:f>
        <x:v>PASS</x:v>
      </x:c>
    </x:row>
    <x:row r="4449">
      <x:c r="B4449" t="str">
        <x:v>A-04403</x:v>
      </x:c>
      <x:c r="C4449" t="str">
        <x:v>GATE</x:v>
      </x:c>
      <x:c r="D4449" t="str">
        <x:v>release state mirrors governing ledger</x:v>
      </x:c>
      <x:c r="E4449" t="str">
        <x:f>'Release Gates'!I4409</x:f>
        <x:v>OPEN</x:v>
      </x:c>
      <x:c r="F4449" t="str">
        <x:f>IF('Release Gates'!C4409="PLANNING","PASS",IF('Release Gates'!C4409="PHYSICAL","OPEN","BLOCKED"))</x:f>
        <x:v>OPEN</x:v>
      </x:c>
      <x:c r="G4449" t="str">
        <x:v>equals</x:v>
      </x:c>
      <x:c r="H4449" t="str">
        <x:f>IF(E4449=F4449,"PASS","FAIL")</x:f>
        <x:v>PASS</x:v>
      </x:c>
    </x:row>
    <x:row r="4450">
      <x:c r="B4450" t="str">
        <x:v>A-04404</x:v>
      </x:c>
      <x:c r="C4450" t="str">
        <x:v>GATE</x:v>
      </x:c>
      <x:c r="D4450" t="str">
        <x:v>release state mirrors governing ledger</x:v>
      </x:c>
      <x:c r="E4450" t="str">
        <x:f>'Release Gates'!I4410</x:f>
        <x:v>OPEN</x:v>
      </x:c>
      <x:c r="F4450" t="str">
        <x:f>IF('Release Gates'!C4410="PLANNING","PASS",IF('Release Gates'!C4410="PHYSICAL","OPEN","BLOCKED"))</x:f>
        <x:v>OPEN</x:v>
      </x:c>
      <x:c r="G4450" t="str">
        <x:v>equals</x:v>
      </x:c>
      <x:c r="H4450" t="str">
        <x:f>IF(E4450=F4450,"PASS","FAIL")</x:f>
        <x:v>PASS</x:v>
      </x:c>
    </x:row>
    <x:row r="4451">
      <x:c r="B4451" t="str">
        <x:v>A-04405</x:v>
      </x:c>
      <x:c r="C4451" t="str">
        <x:v>GATE</x:v>
      </x:c>
      <x:c r="D4451" t="str">
        <x:v>release state mirrors governing ledger</x:v>
      </x:c>
      <x:c r="E4451" t="str">
        <x:f>'Release Gates'!I4411</x:f>
        <x:v>OPEN</x:v>
      </x:c>
      <x:c r="F4451" t="str">
        <x:f>IF('Release Gates'!C4411="PLANNING","PASS",IF('Release Gates'!C4411="PHYSICAL","OPEN","BLOCKED"))</x:f>
        <x:v>OPEN</x:v>
      </x:c>
      <x:c r="G4451" t="str">
        <x:v>equals</x:v>
      </x:c>
      <x:c r="H4451" t="str">
        <x:f>IF(E4451=F4451,"PASS","FAIL")</x:f>
        <x:v>PASS</x:v>
      </x:c>
    </x:row>
    <x:row r="4452">
      <x:c r="B4452" t="str">
        <x:v>A-04406</x:v>
      </x:c>
      <x:c r="C4452" t="str">
        <x:v>GATE</x:v>
      </x:c>
      <x:c r="D4452" t="str">
        <x:v>release state mirrors governing ledger</x:v>
      </x:c>
      <x:c r="E4452" t="str">
        <x:f>'Release Gates'!I4412</x:f>
        <x:v>OPEN</x:v>
      </x:c>
      <x:c r="F4452" t="str">
        <x:f>IF('Release Gates'!C4412="PLANNING","PASS",IF('Release Gates'!C4412="PHYSICAL","OPEN","BLOCKED"))</x:f>
        <x:v>OPEN</x:v>
      </x:c>
      <x:c r="G4452" t="str">
        <x:v>equals</x:v>
      </x:c>
      <x:c r="H4452" t="str">
        <x:f>IF(E4452=F4452,"PASS","FAIL")</x:f>
        <x:v>PASS</x:v>
      </x:c>
    </x:row>
    <x:row r="4453">
      <x:c r="B4453" t="str">
        <x:v>A-04407</x:v>
      </x:c>
      <x:c r="C4453" t="str">
        <x:v>GATE</x:v>
      </x:c>
      <x:c r="D4453" t="str">
        <x:v>release state mirrors governing ledger</x:v>
      </x:c>
      <x:c r="E4453" t="str">
        <x:f>'Release Gates'!I4413</x:f>
        <x:v>OPEN</x:v>
      </x:c>
      <x:c r="F4453" t="str">
        <x:f>IF('Release Gates'!C4413="PLANNING","PASS",IF('Release Gates'!C4413="PHYSICAL","OPEN","BLOCKED"))</x:f>
        <x:v>OPEN</x:v>
      </x:c>
      <x:c r="G4453" t="str">
        <x:v>equals</x:v>
      </x:c>
      <x:c r="H4453" t="str">
        <x:f>IF(E4453=F4453,"PASS","FAIL")</x:f>
        <x:v>PASS</x:v>
      </x:c>
    </x:row>
    <x:row r="4454">
      <x:c r="B4454" t="str">
        <x:v>A-04408</x:v>
      </x:c>
      <x:c r="C4454" t="str">
        <x:v>GATE</x:v>
      </x:c>
      <x:c r="D4454" t="str">
        <x:v>release state mirrors governing ledger</x:v>
      </x:c>
      <x:c r="E4454" t="str">
        <x:f>'Release Gates'!I4414</x:f>
        <x:v>OPEN</x:v>
      </x:c>
      <x:c r="F4454" t="str">
        <x:f>IF('Release Gates'!C4414="PLANNING","PASS",IF('Release Gates'!C4414="PHYSICAL","OPEN","BLOCKED"))</x:f>
        <x:v>OPEN</x:v>
      </x:c>
      <x:c r="G4454" t="str">
        <x:v>equals</x:v>
      </x:c>
      <x:c r="H4454" t="str">
        <x:f>IF(E4454=F4454,"PASS","FAIL")</x:f>
        <x:v>PASS</x:v>
      </x:c>
    </x:row>
    <x:row r="4455">
      <x:c r="B4455" t="str">
        <x:v>A-04409</x:v>
      </x:c>
      <x:c r="C4455" t="str">
        <x:v>GATE</x:v>
      </x:c>
      <x:c r="D4455" t="str">
        <x:v>release state mirrors governing ledger</x:v>
      </x:c>
      <x:c r="E4455" t="str">
        <x:f>'Release Gates'!I4415</x:f>
        <x:v>OPEN</x:v>
      </x:c>
      <x:c r="F4455" t="str">
        <x:f>IF('Release Gates'!C4415="PLANNING","PASS",IF('Release Gates'!C4415="PHYSICAL","OPEN","BLOCKED"))</x:f>
        <x:v>OPEN</x:v>
      </x:c>
      <x:c r="G4455" t="str">
        <x:v>equals</x:v>
      </x:c>
      <x:c r="H4455" t="str">
        <x:f>IF(E4455=F4455,"PASS","FAIL")</x:f>
        <x:v>PASS</x:v>
      </x:c>
    </x:row>
    <x:row r="4456">
      <x:c r="B4456" t="str">
        <x:v>A-04410</x:v>
      </x:c>
      <x:c r="C4456" t="str">
        <x:v>GATE</x:v>
      </x:c>
      <x:c r="D4456" t="str">
        <x:v>release state mirrors governing ledger</x:v>
      </x:c>
      <x:c r="E4456" t="str">
        <x:f>'Release Gates'!I4416</x:f>
        <x:v>OPEN</x:v>
      </x:c>
      <x:c r="F4456" t="str">
        <x:f>IF('Release Gates'!C4416="PLANNING","PASS",IF('Release Gates'!C4416="PHYSICAL","OPEN","BLOCKED"))</x:f>
        <x:v>OPEN</x:v>
      </x:c>
      <x:c r="G4456" t="str">
        <x:v>equals</x:v>
      </x:c>
      <x:c r="H4456" t="str">
        <x:f>IF(E4456=F4456,"PASS","FAIL")</x:f>
        <x:v>PASS</x:v>
      </x:c>
    </x:row>
    <x:row r="4457">
      <x:c r="B4457" t="str">
        <x:v>A-04411</x:v>
      </x:c>
      <x:c r="C4457" t="str">
        <x:v>GATE</x:v>
      </x:c>
      <x:c r="D4457" t="str">
        <x:v>release state mirrors governing ledger</x:v>
      </x:c>
      <x:c r="E4457" t="str">
        <x:f>'Release Gates'!I4417</x:f>
        <x:v>OPEN</x:v>
      </x:c>
      <x:c r="F4457" t="str">
        <x:f>IF('Release Gates'!C4417="PLANNING","PASS",IF('Release Gates'!C4417="PHYSICAL","OPEN","BLOCKED"))</x:f>
        <x:v>OPEN</x:v>
      </x:c>
      <x:c r="G4457" t="str">
        <x:v>equals</x:v>
      </x:c>
      <x:c r="H4457" t="str">
        <x:f>IF(E4457=F4457,"PASS","FAIL")</x:f>
        <x:v>PASS</x:v>
      </x:c>
    </x:row>
    <x:row r="4458">
      <x:c r="B4458" t="str">
        <x:v>A-04412</x:v>
      </x:c>
      <x:c r="C4458" t="str">
        <x:v>GATE</x:v>
      </x:c>
      <x:c r="D4458" t="str">
        <x:v>release state mirrors governing ledger</x:v>
      </x:c>
      <x:c r="E4458" t="str">
        <x:f>'Release Gates'!I4418</x:f>
        <x:v>OPEN</x:v>
      </x:c>
      <x:c r="F4458" t="str">
        <x:f>IF('Release Gates'!C4418="PLANNING","PASS",IF('Release Gates'!C4418="PHYSICAL","OPEN","BLOCKED"))</x:f>
        <x:v>OPEN</x:v>
      </x:c>
      <x:c r="G4458" t="str">
        <x:v>equals</x:v>
      </x:c>
      <x:c r="H4458" t="str">
        <x:f>IF(E4458=F4458,"PASS","FAIL")</x:f>
        <x:v>PASS</x:v>
      </x:c>
    </x:row>
    <x:row r="4459">
      <x:c r="B4459" t="str">
        <x:v>A-04413</x:v>
      </x:c>
      <x:c r="C4459" t="str">
        <x:v>GATE</x:v>
      </x:c>
      <x:c r="D4459" t="str">
        <x:v>release state mirrors governing ledger</x:v>
      </x:c>
      <x:c r="E4459" t="str">
        <x:f>'Release Gates'!I4419</x:f>
        <x:v>OPEN</x:v>
      </x:c>
      <x:c r="F4459" t="str">
        <x:f>IF('Release Gates'!C4419="PLANNING","PASS",IF('Release Gates'!C4419="PHYSICAL","OPEN","BLOCKED"))</x:f>
        <x:v>OPEN</x:v>
      </x:c>
      <x:c r="G4459" t="str">
        <x:v>equals</x:v>
      </x:c>
      <x:c r="H4459" t="str">
        <x:f>IF(E4459=F4459,"PASS","FAIL")</x:f>
        <x:v>PASS</x:v>
      </x:c>
    </x:row>
    <x:row r="4460">
      <x:c r="B4460" t="str">
        <x:v>A-04414</x:v>
      </x:c>
      <x:c r="C4460" t="str">
        <x:v>GATE</x:v>
      </x:c>
      <x:c r="D4460" t="str">
        <x:v>release state mirrors governing ledger</x:v>
      </x:c>
      <x:c r="E4460" t="str">
        <x:f>'Release Gates'!I4420</x:f>
        <x:v>OPEN</x:v>
      </x:c>
      <x:c r="F4460" t="str">
        <x:f>IF('Release Gates'!C4420="PLANNING","PASS",IF('Release Gates'!C4420="PHYSICAL","OPEN","BLOCKED"))</x:f>
        <x:v>OPEN</x:v>
      </x:c>
      <x:c r="G4460" t="str">
        <x:v>equals</x:v>
      </x:c>
      <x:c r="H4460" t="str">
        <x:f>IF(E4460=F4460,"PASS","FAIL")</x:f>
        <x:v>PASS</x:v>
      </x:c>
    </x:row>
    <x:row r="4461">
      <x:c r="B4461" t="str">
        <x:v>A-04415</x:v>
      </x:c>
      <x:c r="C4461" t="str">
        <x:v>GATE</x:v>
      </x:c>
      <x:c r="D4461" t="str">
        <x:v>release state mirrors governing ledger</x:v>
      </x:c>
      <x:c r="E4461" t="str">
        <x:f>'Release Gates'!I4421</x:f>
        <x:v>OPEN</x:v>
      </x:c>
      <x:c r="F4461" t="str">
        <x:f>IF('Release Gates'!C4421="PLANNING","PASS",IF('Release Gates'!C4421="PHYSICAL","OPEN","BLOCKED"))</x:f>
        <x:v>OPEN</x:v>
      </x:c>
      <x:c r="G4461" t="str">
        <x:v>equals</x:v>
      </x:c>
      <x:c r="H4461" t="str">
        <x:f>IF(E4461=F4461,"PASS","FAIL")</x:f>
        <x:v>PASS</x:v>
      </x:c>
    </x:row>
    <x:row r="4462">
      <x:c r="B4462" t="str">
        <x:v>A-04416</x:v>
      </x:c>
      <x:c r="C4462" t="str">
        <x:v>GATE</x:v>
      </x:c>
      <x:c r="D4462" t="str">
        <x:v>release state mirrors governing ledger</x:v>
      </x:c>
      <x:c r="E4462" t="str">
        <x:f>'Release Gates'!I4422</x:f>
        <x:v>OPEN</x:v>
      </x:c>
      <x:c r="F4462" t="str">
        <x:f>IF('Release Gates'!C4422="PLANNING","PASS",IF('Release Gates'!C4422="PHYSICAL","OPEN","BLOCKED"))</x:f>
        <x:v>OPEN</x:v>
      </x:c>
      <x:c r="G4462" t="str">
        <x:v>equals</x:v>
      </x:c>
      <x:c r="H4462" t="str">
        <x:f>IF(E4462=F4462,"PASS","FAIL")</x:f>
        <x:v>PASS</x:v>
      </x:c>
    </x:row>
    <x:row r="4463">
      <x:c r="B4463" t="str">
        <x:v>A-04417</x:v>
      </x:c>
      <x:c r="C4463" t="str">
        <x:v>GATE</x:v>
      </x:c>
      <x:c r="D4463" t="str">
        <x:v>release state mirrors governing ledger</x:v>
      </x:c>
      <x:c r="E4463" t="str">
        <x:f>'Release Gates'!I4423</x:f>
        <x:v>OPEN</x:v>
      </x:c>
      <x:c r="F4463" t="str">
        <x:f>IF('Release Gates'!C4423="PLANNING","PASS",IF('Release Gates'!C4423="PHYSICAL","OPEN","BLOCKED"))</x:f>
        <x:v>OPEN</x:v>
      </x:c>
      <x:c r="G4463" t="str">
        <x:v>equals</x:v>
      </x:c>
      <x:c r="H4463" t="str">
        <x:f>IF(E4463=F4463,"PASS","FAIL")</x:f>
        <x:v>PASS</x:v>
      </x:c>
    </x:row>
    <x:row r="4464">
      <x:c r="B4464" t="str">
        <x:v>A-04418</x:v>
      </x:c>
      <x:c r="C4464" t="str">
        <x:v>GATE</x:v>
      </x:c>
      <x:c r="D4464" t="str">
        <x:v>release state mirrors governing ledger</x:v>
      </x:c>
      <x:c r="E4464" t="str">
        <x:f>'Release Gates'!I4424</x:f>
        <x:v>BLOCKED</x:v>
      </x:c>
      <x:c r="F4464" t="str">
        <x:f>IF('Release Gates'!C4424="PLANNING","PASS",IF('Release Gates'!C4424="PHYSICAL","OPEN","BLOCKED"))</x:f>
        <x:v>BLOCKED</x:v>
      </x:c>
      <x:c r="G4464" t="str">
        <x:v>equals</x:v>
      </x:c>
      <x:c r="H4464" t="str">
        <x:f>IF(E4464=F4464,"PASS","FAIL")</x:f>
        <x:v>PASS</x:v>
      </x:c>
    </x:row>
    <x:row r="4465">
      <x:c r="B4465" t="str">
        <x:v>A-04419</x:v>
      </x:c>
      <x:c r="C4465" t="str">
        <x:v>GATE</x:v>
      </x:c>
      <x:c r="D4465" t="str">
        <x:v>release state mirrors governing ledger</x:v>
      </x:c>
      <x:c r="E4465" t="str">
        <x:f>'Release Gates'!I4425</x:f>
        <x:v>BLOCKED</x:v>
      </x:c>
      <x:c r="F4465" t="str">
        <x:f>IF('Release Gates'!C4425="PLANNING","PASS",IF('Release Gates'!C4425="PHYSICAL","OPEN","BLOCKED"))</x:f>
        <x:v>BLOCKED</x:v>
      </x:c>
      <x:c r="G4465" t="str">
        <x:v>equals</x:v>
      </x:c>
      <x:c r="H4465" t="str">
        <x:f>IF(E4465=F4465,"PASS","FAIL")</x:f>
        <x:v>PASS</x:v>
      </x:c>
    </x:row>
    <x:row r="4466">
      <x:c r="B4466" t="str">
        <x:v>A-04420</x:v>
      </x:c>
      <x:c r="C4466" t="str">
        <x:v>GATE</x:v>
      </x:c>
      <x:c r="D4466" t="str">
        <x:v>release state mirrors governing ledger</x:v>
      </x:c>
      <x:c r="E4466" t="str">
        <x:f>'Release Gates'!I4426</x:f>
        <x:v>BLOCKED</x:v>
      </x:c>
      <x:c r="F4466" t="str">
        <x:f>IF('Release Gates'!C4426="PLANNING","PASS",IF('Release Gates'!C4426="PHYSICAL","OPEN","BLOCKED"))</x:f>
        <x:v>BLOCKED</x:v>
      </x:c>
      <x:c r="G4466" t="str">
        <x:v>equals</x:v>
      </x:c>
      <x:c r="H4466" t="str">
        <x:f>IF(E4466=F4466,"PASS","FAIL")</x:f>
        <x:v>PASS</x:v>
      </x:c>
    </x:row>
    <x:row r="4467">
      <x:c r="B4467" t="str">
        <x:v>A-04421</x:v>
      </x:c>
      <x:c r="C4467" t="str">
        <x:v>GATE</x:v>
      </x:c>
      <x:c r="D4467" t="str">
        <x:v>release state mirrors governing ledger</x:v>
      </x:c>
      <x:c r="E4467" t="str">
        <x:f>'Release Gates'!I4427</x:f>
        <x:v>BLOCKED</x:v>
      </x:c>
      <x:c r="F4467" t="str">
        <x:f>IF('Release Gates'!C4427="PLANNING","PASS",IF('Release Gates'!C4427="PHYSICAL","OPEN","BLOCKED"))</x:f>
        <x:v>BLOCKED</x:v>
      </x:c>
      <x:c r="G4467" t="str">
        <x:v>equals</x:v>
      </x:c>
      <x:c r="H4467" t="str">
        <x:f>IF(E4467=F4467,"PASS","FAIL")</x:f>
        <x:v>PASS</x:v>
      </x:c>
    </x:row>
    <x:row r="4468">
      <x:c r="B4468" t="str">
        <x:v>A-04422</x:v>
      </x:c>
      <x:c r="C4468" t="str">
        <x:v>GATE</x:v>
      </x:c>
      <x:c r="D4468" t="str">
        <x:v>release state mirrors governing ledger</x:v>
      </x:c>
      <x:c r="E4468" t="str">
        <x:f>'Release Gates'!I4428</x:f>
        <x:v>BLOCKED</x:v>
      </x:c>
      <x:c r="F4468" t="str">
        <x:f>IF('Release Gates'!C4428="PLANNING","PASS",IF('Release Gates'!C4428="PHYSICAL","OPEN","BLOCKED"))</x:f>
        <x:v>BLOCKED</x:v>
      </x:c>
      <x:c r="G4468" t="str">
        <x:v>equals</x:v>
      </x:c>
      <x:c r="H4468" t="str">
        <x:f>IF(E4468=F4468,"PASS","FAIL")</x:f>
        <x:v>PASS</x:v>
      </x:c>
    </x:row>
    <x:row r="4469">
      <x:c r="B4469" t="str">
        <x:v>A-04423</x:v>
      </x:c>
      <x:c r="C4469" t="str">
        <x:v>GATE</x:v>
      </x:c>
      <x:c r="D4469" t="str">
        <x:v>release state mirrors governing ledger</x:v>
      </x:c>
      <x:c r="E4469" t="str">
        <x:f>'Release Gates'!I4429</x:f>
        <x:v>BLOCKED</x:v>
      </x:c>
      <x:c r="F4469" t="str">
        <x:f>IF('Release Gates'!C4429="PLANNING","PASS",IF('Release Gates'!C4429="PHYSICAL","OPEN","BLOCKED"))</x:f>
        <x:v>BLOCKED</x:v>
      </x:c>
      <x:c r="G4469" t="str">
        <x:v>equals</x:v>
      </x:c>
      <x:c r="H4469" t="str">
        <x:f>IF(E4469=F4469,"PASS","FAIL")</x:f>
        <x:v>PASS</x:v>
      </x:c>
    </x:row>
    <x:row r="4470">
      <x:c r="B4470" t="str">
        <x:v>A-04424</x:v>
      </x:c>
      <x:c r="C4470" t="str">
        <x:v>GATE</x:v>
      </x:c>
      <x:c r="D4470" t="str">
        <x:v>release state mirrors governing ledger</x:v>
      </x:c>
      <x:c r="E4470" t="str">
        <x:f>'Release Gates'!I4430</x:f>
        <x:v>BLOCKED</x:v>
      </x:c>
      <x:c r="F4470" t="str">
        <x:f>IF('Release Gates'!C4430="PLANNING","PASS",IF('Release Gates'!C4430="PHYSICAL","OPEN","BLOCKED"))</x:f>
        <x:v>BLOCKED</x:v>
      </x:c>
      <x:c r="G4470" t="str">
        <x:v>equals</x:v>
      </x:c>
      <x:c r="H4470" t="str">
        <x:f>IF(E4470=F4470,"PASS","FAIL")</x:f>
        <x:v>PASS</x:v>
      </x:c>
    </x:row>
    <x:row r="4471">
      <x:c r="B4471" t="str">
        <x:v>A-04425</x:v>
      </x:c>
      <x:c r="C4471" t="str">
        <x:v>GATE</x:v>
      </x:c>
      <x:c r="D4471" t="str">
        <x:v>release state mirrors governing ledger</x:v>
      </x:c>
      <x:c r="E4471" t="str">
        <x:f>'Release Gates'!I4431</x:f>
        <x:v>BLOCKED</x:v>
      </x:c>
      <x:c r="F4471" t="str">
        <x:f>IF('Release Gates'!C4431="PLANNING","PASS",IF('Release Gates'!C4431="PHYSICAL","OPEN","BLOCKED"))</x:f>
        <x:v>BLOCKED</x:v>
      </x:c>
      <x:c r="G4471" t="str">
        <x:v>equals</x:v>
      </x:c>
      <x:c r="H4471" t="str">
        <x:f>IF(E4471=F4471,"PASS","FAIL")</x:f>
        <x:v>PASS</x:v>
      </x:c>
    </x:row>
    <x:row r="4472">
      <x:c r="B4472" t="str">
        <x:v>A-04426</x:v>
      </x:c>
      <x:c r="C4472" t="str">
        <x:v>GATE</x:v>
      </x:c>
      <x:c r="D4472" t="str">
        <x:v>release state mirrors governing ledger</x:v>
      </x:c>
      <x:c r="E4472" t="str">
        <x:f>'Release Gates'!I4432</x:f>
        <x:v>BLOCKED</x:v>
      </x:c>
      <x:c r="F4472" t="str">
        <x:f>IF('Release Gates'!C4432="PLANNING","PASS",IF('Release Gates'!C4432="PHYSICAL","OPEN","BLOCKED"))</x:f>
        <x:v>BLOCKED</x:v>
      </x:c>
      <x:c r="G4472" t="str">
        <x:v>equals</x:v>
      </x:c>
      <x:c r="H4472" t="str">
        <x:f>IF(E4472=F4472,"PASS","FAIL")</x:f>
        <x:v>PASS</x:v>
      </x:c>
    </x:row>
  </x:sheetData>
  <x:conditionalFormatting sqref="H7:H4472">
    <x:cfRule type="containsText" dxfId="224" priority="1" operator="containsText" text="FAIL"/>
    <x:cfRule type="containsText" dxfId="225" priority="2" operator="containsText" text="INVALID"/>
    <x:cfRule type="containsText" dxfId="226" priority="3" operator="containsText" text="BLOCKED"/>
    <x:cfRule type="containsText" dxfId="227" priority="4" operator="containsText" text="OPEN"/>
    <x:cfRule type="containsText" dxfId="228" priority="5" operator="containsText" text="GAP"/>
    <x:cfRule type="containsText" dxfId="229" priority="6" operator="containsText" text="DORMANT"/>
    <x:cfRule type="containsText" dxfId="230" priority="7" operator="containsText" text="PASS"/>
    <x:cfRule type="containsText" dxfId="231" priority="8" operator="containsText" text="VALID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5" hidden="0" customWidth="1"/>
    <x:col min="4" max="4" width="37" hidden="0" customWidth="1"/>
    <x:col min="5" max="5" width="62" hidden="0" customWidth="1"/>
    <x:col min="6" max="6" width="14" hidden="0" customWidth="1"/>
    <x:col min="7" max="7" width="15" hidden="0" customWidth="1"/>
  </x:cols>
  <x:sheetData>
    <x:row r="2">
      <x:c r="B2" s="1" t="str">
        <x:v>Ten separated qualification authorities</x:v>
      </x:c>
    </x:row>
    <x:row r="3">
      <x:c r="B3" s="2" t="str">
        <x:v>No candidate, truth supplier, rig operator or workbook can release its own method.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Authority</x:v>
      </x:c>
      <x:c r="C6" s="7" t="str">
        <x:v>Decision</x:v>
      </x:c>
      <x:c r="D6" s="7" t="str">
        <x:v>Owner</x:v>
      </x:c>
      <x:c r="E6" s="7" t="str">
        <x:v>Scope</x:v>
      </x:c>
      <x:c r="F6" s="7" t="str">
        <x:v>Value</x:v>
      </x:c>
      <x:c r="G6" s="7" t="str">
        <x:v>State</x:v>
      </x:c>
    </x:row>
    <x:row r="7" ht="40" customHeight="1">
      <x:c r="B7" t="str">
        <x:v>AU-01</x:v>
      </x:c>
      <x:c r="C7" t="str">
        <x:v>qualification design</x:v>
      </x:c>
      <x:c r="D7" t="str">
        <x:v>RAW design authority</x:v>
      </x:c>
      <x:c r="E7" s="10" t="str">
        <x:v>truth roots, trials, estimators and change law</x:v>
      </x:c>
      <x:c r="F7" t="n">
        <x:v>1</x:v>
      </x:c>
      <x:c r="G7" t="str">
        <x:v>ACTIVE</x:v>
      </x:c>
    </x:row>
    <x:row r="8" ht="40" customHeight="1">
      <x:c r="B8" t="str">
        <x:v>AU-02</x:v>
      </x:c>
      <x:c r="C8" t="str">
        <x:v>physical article acceptance</x:v>
      </x:c>
      <x:c r="D8" t="str">
        <x:v>independent truth-artifact board</x:v>
      </x:c>
      <x:c r="E8" s="10" t="str">
        <x:v>articles, characteristics and custody</x:v>
      </x:c>
      <x:c r="F8" t="n">
        <x:v>0</x:v>
      </x:c>
      <x:c r="G8" t="str">
        <x:v>OPEN</x:v>
      </x:c>
    </x:row>
    <x:row r="9" ht="40" customHeight="1">
      <x:c r="B9" t="str">
        <x:v>AU-03</x:v>
      </x:c>
      <x:c r="C9" t="str">
        <x:v>AM-00 release</x:v>
      </x:c>
      <x:c r="D9" t="str">
        <x:v>geometry method board</x:v>
      </x:c>
      <x:c r="E9" s="10" t="str">
        <x:v>dry geometry and state</x:v>
      </x:c>
      <x:c r="F9" t="n">
        <x:v>0</x:v>
      </x:c>
      <x:c r="G9" t="str">
        <x:v>BLOCKED</x:v>
      </x:c>
    </x:row>
    <x:row r="10" ht="40" customHeight="1">
      <x:c r="B10" t="str">
        <x:v>AU-04</x:v>
      </x:c>
      <x:c r="C10" t="str">
        <x:v>AM-01 release</x:v>
      </x:c>
      <x:c r="D10" t="str">
        <x:v>hydraulic method board</x:v>
      </x:c>
      <x:c r="E10" s="10" t="str">
        <x:v>clean-water methods</x:v>
      </x:c>
      <x:c r="F10" t="n">
        <x:v>0</x:v>
      </x:c>
      <x:c r="G10" t="str">
        <x:v>BLOCKED</x:v>
      </x:c>
    </x:row>
    <x:row r="11" ht="40" customHeight="1">
      <x:c r="B11" t="str">
        <x:v>AU-05</x:v>
      </x:c>
      <x:c r="C11" t="str">
        <x:v>AM-02 release</x:v>
      </x:c>
      <x:c r="D11" t="str">
        <x:v>surrogate method board</x:v>
      </x:c>
      <x:c r="E11" s="10" t="str">
        <x:v>safe-property methods</x:v>
      </x:c>
      <x:c r="F11" t="n">
        <x:v>0</x:v>
      </x:c>
      <x:c r="G11" t="str">
        <x:v>BLOCKED</x:v>
      </x:c>
    </x:row>
    <x:row r="12" ht="40" customHeight="1">
      <x:c r="B12" t="str">
        <x:v>AU-06</x:v>
      </x:c>
      <x:c r="C12" t="str">
        <x:v>AM-03 release</x:v>
      </x:c>
      <x:c r="D12" t="str">
        <x:v>terrain and debris board</x:v>
      </x:c>
      <x:c r="E12" s="10" t="str">
        <x:v>debris and damaged terrain</x:v>
      </x:c>
      <x:c r="F12" t="n">
        <x:v>0</x:v>
      </x:c>
      <x:c r="G12" t="str">
        <x:v>BLOCKED</x:v>
      </x:c>
    </x:row>
    <x:row r="13" ht="40" customHeight="1">
      <x:c r="B13" t="str">
        <x:v>AU-07</x:v>
      </x:c>
      <x:c r="C13" t="str">
        <x:v>AM-04 release</x:v>
      </x:c>
      <x:c r="D13" t="str">
        <x:v>ancestry method board</x:v>
      </x:c>
      <x:c r="E13" s="10" t="str">
        <x:v>dual-code source and water custody</x:v>
      </x:c>
      <x:c r="F13" t="n">
        <x:v>0</x:v>
      </x:c>
      <x:c r="G13" t="str">
        <x:v>BLOCKED</x:v>
      </x:c>
    </x:row>
    <x:row r="14" ht="40" customHeight="1">
      <x:c r="B14" t="str">
        <x:v>AU-08</x:v>
      </x:c>
      <x:c r="C14" t="str">
        <x:v>quarter-source authority</x:v>
      </x:c>
      <x:c r="D14" t="str">
        <x:v>source and safety boards</x:v>
      </x:c>
      <x:c r="E14" s="10" t="str">
        <x:v>AM-05 and AM-06</x:v>
      </x:c>
      <x:c r="F14" t="n">
        <x:v>0</x:v>
      </x:c>
      <x:c r="G14" t="str">
        <x:v>BLOCKED</x:v>
      </x:c>
    </x:row>
    <x:row r="15" ht="40" customHeight="1">
      <x:c r="B15" t="str">
        <x:v>AU-09</x:v>
      </x:c>
      <x:c r="C15" t="str">
        <x:v>Root A source campaign</x:v>
      </x:c>
      <x:c r="D15" t="str">
        <x:v>independent campaign authority</x:v>
      </x:c>
      <x:c r="E15" s="10" t="str">
        <x:v>candidate entry and source escalation</x:v>
      </x:c>
      <x:c r="F15" t="n">
        <x:v>0</x:v>
      </x:c>
      <x:c r="G15" t="str">
        <x:v>BLOCKED</x:v>
      </x:c>
    </x:row>
    <x:row r="16" ht="40" customHeight="1">
      <x:c r="B16" t="str">
        <x:v>AU-10</x:v>
      </x:c>
      <x:c r="C16" t="str">
        <x:v>exterior rendering</x:v>
      </x:c>
      <x:c r="D16" t="str">
        <x:v>research-program authority</x:v>
      </x:c>
      <x:c r="E16" s="10" t="str">
        <x:v>external form after physical learning</x:v>
      </x:c>
      <x:c r="F16" t="n">
        <x:v>0</x:v>
      </x:c>
      <x:c r="G16" t="str">
        <x:v>BLOCKED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67" hidden="0" customWidth="1"/>
    <x:col min="4" max="4" width="108" hidden="0" customWidth="1"/>
    <x:col min="5" max="5" width="48" hidden="0" customWidth="1"/>
  </x:cols>
  <x:sheetData>
    <x:row r="2">
      <x:c r="B2" s="1" t="str">
        <x:v>Internal research authority</x:v>
      </x:c>
    </x:row>
    <x:row r="3">
      <x:c r="B3" s="2" t="str">
        <x:v>No external-site research is used in RAW-1.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Source</x:v>
      </x:c>
      <x:c r="C6" s="7" t="str">
        <x:v>Title</x:v>
      </x:c>
      <x:c r="D6" s="7" t="str">
        <x:v>Repository path</x:v>
      </x:c>
      <x:c r="E6" s="7" t="str">
        <x:v>Claims used</x:v>
      </x:c>
    </x:row>
    <x:row r="7" ht="43" customHeight="1">
      <x:c r="B7" t="str">
        <x:v>SRC-01</x:v>
      </x:c>
      <x:c r="C7" s="10" t="str">
        <x:v>CISA-1 coupled utility module and receiver-spine physical specification</x:v>
      </x:c>
      <x:c r="D7" s="10" t="str">
        <x:v>research/force/generation/f36-coupled-utility-module-and-receiver-spine-physical-specification.md</x:v>
      </x:c>
      <x:c r="E7" s="10" t="str">
        <x:v>parent article and fiscal boundary</x:v>
      </x:c>
    </x:row>
    <x:row r="8" ht="43" customHeight="1">
      <x:c r="B8" t="str">
        <x:v>SRC-02</x:v>
      </x:c>
      <x:c r="C8" s="10" t="str">
        <x:v>PTC-0 public test complex and phase-zero commissioning constitution</x:v>
      </x:c>
      <x:c r="D8" s="10" t="str">
        <x:v>research/force/generation/f36-cisa40-public-test-complex-and-phase-zero-commissioning-constitution.md</x:v>
      </x:c>
      <x:c r="E8" s="10" t="str">
        <x:v>three-campus proving estate</x:v>
      </x:c>
    </x:row>
    <x:row r="9" ht="43" customHeight="1">
      <x:c r="B9" t="str">
        <x:v>SRC-03</x:v>
      </x:c>
      <x:c r="C9" s="10" t="str">
        <x:v>MCR-1 maximum-credible-release constitution</x:v>
      </x:c>
      <x:c r="D9" s="10" t="str">
        <x:v>research/force/generation/f36-cisa40-sa6-maximum-credible-release-and-source-preserving-containment-constitution.md</x:v>
      </x:c>
      <x:c r="E9" s="10" t="str">
        <x:v>source and consequence discipline</x:v>
      </x:c>
    </x:row>
    <x:row r="10" ht="43" customHeight="1">
      <x:c r="B10" t="str">
        <x:v>SRC-04</x:v>
      </x:c>
      <x:c r="C10" s="10" t="str">
        <x:v>SBD-1 internal cell and source-boundary constitution</x:v>
      </x:c>
      <x:c r="D10" s="10" t="str">
        <x:v>research/force/generation/f36-cisa40-sa6-internal-cell-and-source-boundary-design-constitution.md</x:v>
      </x:c>
      <x:c r="E10" s="10" t="str">
        <x:v>separate source and firewater boundaries</x:v>
      </x:c>
    </x:row>
    <x:row r="11" ht="43" customHeight="1">
      <x:c r="B11" t="str">
        <x:v>SRC-05</x:v>
      </x:c>
      <x:c r="C11" s="10" t="str">
        <x:v>RFA-1 Root A technology constitution</x:v>
      </x:c>
      <x:c r="D11" s="10" t="str">
        <x:v>research/force/generation/f36-cisa40-sa6-root-a-drainage-firewater-and-recovery-technology-constitution.md</x:v>
      </x:c>
      <x:c r="E11" s="10" t="str">
        <x:v>candidates, challenges and water law</x:v>
      </x:c>
    </x:row>
    <x:row r="12" ht="43" customHeight="1">
      <x:c r="B12" t="str">
        <x:v>SRC-06</x:v>
      </x:c>
      <x:c r="C12" s="10" t="str">
        <x:v>RFP-1 Root A public-rig specification</x:v>
      </x:c>
      <x:c r="D12" s="10" t="str">
        <x:v>research/force/generation/f36-cisa40-sa6-root-a-full-scale-fire-hydraulic-rig-physical-specification.md</x:v>
      </x:c>
      <x:c r="E12" s="10" t="str">
        <x:v>six rigs and native evidence</x:v>
      </x:c>
    </x:row>
    <x:row r="13" ht="43" customHeight="1">
      <x:c r="B13" t="str">
        <x:v>SRC-07</x:v>
      </x:c>
      <x:c r="C13" s="10" t="str">
        <x:v>RFE-1 Root A execution constitution</x:v>
      </x:c>
      <x:c r="D13" s="10" t="str">
        <x:v>research/force/generation/f36-cisa40-sa6-root-a-fire-hydraulic-rig-execution-and-source-escalation-constitution.md</x:v>
      </x:c>
      <x:c r="E13" s="10" t="str">
        <x:v>event population and common clock</x:v>
      </x:c>
    </x:row>
    <x:row r="14" ht="43" customHeight="1">
      <x:c r="B14" t="str">
        <x:v>SRC-08</x:v>
      </x:c>
      <x:c r="C14" s="10" t="str">
        <x:v>RAM-1 Root A method constitution</x:v>
      </x:c>
      <x:c r="D14" s="10" t="str">
        <x:v>research/force/generation/f36-cisa40-sa6-root-a-method-card-and-causal-estimator-constitution.md</x:v>
      </x:c>
      <x:c r="E14" s="10" t="str">
        <x:v>methods, features and estimator law</x:v>
      </x:c>
    </x:row>
    <x:row r="15" ht="43" customHeight="1">
      <x:c r="B15" t="str">
        <x:v>SRC-09</x:v>
      </x:c>
      <x:c r="C15" s="10" t="str">
        <x:v>RHE-1 Root B execution constitution</x:v>
      </x:c>
      <x:c r="D15" s="10" t="str">
        <x:v>research/force/generation/f36-cisa40-sa6-root-b-transient-rig-execution-and-source-escalation-constitution.md</x:v>
      </x:c>
      <x:c r="E15" s="10" t="str">
        <x:v>reserve-token precedent</x:v>
      </x:c>
    </x:row>
    <x:row r="16" ht="43" customHeight="1">
      <x:c r="B16" t="str">
        <x:v>SRC-10</x:v>
      </x:c>
      <x:c r="C16" s="10" t="str">
        <x:v>RHM-1 Root B method constitution</x:v>
      </x:c>
      <x:c r="D16" s="10" t="str">
        <x:v>research/force/generation/f36-cisa40-sa6-root-b-method-card-and-causal-estimator-constitution.md</x:v>
      </x:c>
      <x:c r="E16" s="10" t="str">
        <x:v>unlike truth and replay precedent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13" hidden="0" customWidth="1"/>
  </x:cols>
  <x:sheetData>
    <x:row r="2">
      <x:c r="B2" s="1" t="str">
        <x:v>Workbook use and authority</x:v>
      </x:c>
    </x:row>
    <x:row r="3">
      <x:c r="B3" s="2" t="str">
        <x:v>RAW-1 is a planning and analytical constitution. It does not execute a qualification trial.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Topic</x:v>
      </x:c>
      <x:c r="C6" s="7" t="str">
        <x:v>Rule</x:v>
      </x:c>
    </x:row>
    <x:row r="7" ht="42" customHeight="1">
      <x:c r="B7" t="str">
        <x:v>Decision</x:v>
      </x:c>
      <x:c r="C7" s="10" t="str">
        <x:v>Qualify AM-00 through AM-04 through unlike truth roots, blinded faults, decisive-chain denial and outside-origin replay without claiming execution.</x:v>
      </x:c>
    </x:row>
    <x:row r="8" ht="42" customHeight="1">
      <x:c r="B8" t="str">
        <x:v>Population</x:v>
      </x:c>
      <x:c r="C8" s="10" t="str">
        <x:v>360 required valid credits: five methods by two truth roots by six rigs by six trial classes.</x:v>
      </x:c>
    </x:row>
    <x:row r="9" ht="42" customHeight="1">
      <x:c r="B9" t="str">
        <x:v>Truth articles</x:v>
      </x:c>
      <x:c r="C9" s="10" t="str">
        <x:v>120 serial articles: six active, two reference, two destructive and two quarantine in every method-root family.</x:v>
      </x:c>
    </x:row>
    <x:row r="10" ht="42" customHeight="1">
      <x:c r="B10" t="str">
        <x:v>Trial classes</x:v>
      </x:c>
      <x:c r="C10" s="10" t="str">
        <x:v>Datum, lower corner, upper corner, blinded defect, decisive-chain denial and outside-origin replay.</x:v>
      </x:c>
    </x:row>
    <x:row r="11" ht="42" customHeight="1">
      <x:c r="B11" t="str">
        <x:v>Truth</x:v>
      </x:c>
      <x:c r="C11" s="10" t="str">
        <x:v>A physical state is established by artifact identity, measured envelope, dwell and unlike witness; labels and commands are insufficient.</x:v>
      </x:c>
    </x:row>
    <x:row r="12" ht="42" customHeight="1">
      <x:c r="B12" t="str">
        <x:v>Results</x:v>
      </x:c>
      <x:c r="C12" s="10" t="str">
        <x:v>Reported value and uncertainty remain blank until observed. Truth containment and absolute error remain separate tests.</x:v>
      </x:c>
    </x:row>
    <x:row r="13" ht="42" customHeight="1">
      <x:c r="B13" t="str">
        <x:v>Agreement</x:v>
      </x:c>
      <x:c r="C13" s="10" t="str">
        <x:v>Both truth roots must pass all six classes on every rig. All six rigs must then close cross-campus equivalence.</x:v>
      </x:c>
    </x:row>
    <x:row r="14" ht="42" customHeight="1">
      <x:c r="B14" t="str">
        <x:v>Denial</x:v>
      </x:c>
      <x:c r="C14" s="10" t="str">
        <x:v>A method survives denial only when a physically unlike witness retains the proposition and native evidence.</x:v>
      </x:c>
    </x:row>
    <x:row r="15" ht="42" customHeight="1">
      <x:c r="B15" t="str">
        <x:v>Replay</x:v>
      </x:c>
      <x:c r="C15" s="10" t="str">
        <x:v>The receiving campus reproduces truth, uncertainty and disposition from portable originals without origin-site service.</x:v>
      </x:c>
    </x:row>
    <x:row r="16" ht="42" customHeight="1">
      <x:c r="B16" t="str">
        <x:v>Reserve</x:v>
      </x:c>
      <x:c r="C16" s="10" t="str">
        <x:v>Seventy-five dormant tokens replace only independently invalid attempts and never erase valid adverse trials.</x:v>
      </x:c>
    </x:row>
    <x:row r="17" ht="42" customHeight="1">
      <x:c r="B17" t="str">
        <x:v>Evidence</x:v>
      </x:c>
      <x:c r="C17" s="10" t="str">
        <x:v>Approximately 42.357 TB for base credits and 66.536 TB for base plus reserve and forensic provision.</x:v>
      </x:c>
    </x:row>
    <x:row r="18" ht="42" customHeight="1">
      <x:c r="B18" t="str">
        <x:v>Technology</x:v>
      </x:c>
      <x:c r="C18" s="10" t="str">
        <x:v>Twelve campaigns create public inventory, ancestry, terrain, timing, causal-compute, recovery and replay capability.</x:v>
      </x:c>
    </x:row>
    <x:row r="19" ht="42" customHeight="1">
      <x:c r="B19" t="str">
        <x:v>Institution</x:v>
      </x:c>
      <x:c r="C19" s="10" t="str">
        <x:v>436 public positions own truth artifacts, metrology, methods, safety, evidence, replay and adjudication.</x:v>
      </x:c>
    </x:row>
    <x:row r="20" ht="42" customHeight="1">
      <x:c r="B20" t="str">
        <x:v>Finance</x:v>
      </x:c>
      <x:c r="C20" s="10" t="str">
        <x:v>USD 480 million capital and USD 188 million per year; program-period exposure is USD 950 million.</x:v>
      </x:c>
    </x:row>
    <x:row r="21" ht="42" customHeight="1">
      <x:c r="B21" t="str">
        <x:v>Authority</x:v>
      </x:c>
      <x:c r="C21" s="10" t="str">
        <x:v>Planning cannot release a method, quarter source, candidate article, source campaign, production decision or exterior form.</x:v>
      </x:c>
    </x:row>
    <x:row r="22" ht="42" customHeight="1">
      <x:c r="B22" t="str">
        <x:v>Rendering</x:v>
      </x:c>
      <x:c r="C22" s="10" t="str">
        <x:v>Exterior rendering remains blocked. Measured truth-artifact sections and sensor fields are the next permissible visuals.</x:v>
      </x:c>
    </x:row>
    <x:row r="23" ht="42" customHeight="1">
      <x:c r="B23" t="str">
        <x:v>Sources</x:v>
      </x:c>
      <x:c r="C23" s="10" t="str">
        <x:v>Ten internal repository artifacts. No external-site research is used.</x:v>
      </x:c>
    </x:row>
  </x:sheetData>
  <x:pageMargins left="0.7" right="0.7" top="0.75" bottom="0.75" header="0.3" footer="0.3"/>
</x:worksheet>
</file>