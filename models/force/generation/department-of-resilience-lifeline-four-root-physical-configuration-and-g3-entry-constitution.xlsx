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bb42012e6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c074954cb7664b7d"/>
    <x:sheet xmlns:r="http://schemas.openxmlformats.org/officeDocument/2006/relationships" name="System Screen" sheetId="2" r:id="Rc0f2066e9e964bd9"/>
    <x:sheet xmlns:r="http://schemas.openxmlformats.org/officeDocument/2006/relationships" name="Service Contract" sheetId="3" r:id="R7310deae46d14b02"/>
    <x:sheet xmlns:r="http://schemas.openxmlformats.org/officeDocument/2006/relationships" name="Root Summary" sheetId="4" r:id="R1becf91a8c9b46ad"/>
    <x:sheet xmlns:r="http://schemas.openxmlformats.org/officeDocument/2006/relationships" name="Position Register" sheetId="5" r:id="Rd8599f25c2a64782"/>
    <x:sheet xmlns:r="http://schemas.openxmlformats.org/officeDocument/2006/relationships" name="Article Bill" sheetId="6" r:id="R7350080bcd544da4"/>
    <x:sheet xmlns:r="http://schemas.openxmlformats.org/officeDocument/2006/relationships" name="Capacity Build" sheetId="7" r:id="R8fe4b7e805c84d74"/>
    <x:sheet xmlns:r="http://schemas.openxmlformats.org/officeDocument/2006/relationships" name="Source Balance" sheetId="8" r:id="R6ea87614ac7c436b"/>
    <x:sheet xmlns:r="http://schemas.openxmlformats.org/officeDocument/2006/relationships" name="Water Balance" sheetId="9" r:id="Re2c072d1395948ea"/>
    <x:sheet xmlns:r="http://schemas.openxmlformats.org/officeDocument/2006/relationships" name="Corridor Build" sheetId="10" r:id="R8cc35ee7c98c4bc3"/>
    <x:sheet xmlns:r="http://schemas.openxmlformats.org/officeDocument/2006/relationships" name="Workforce" sheetId="11" r:id="Rf4c2b32419ce4c30"/>
    <x:sheet xmlns:r="http://schemas.openxmlformats.org/officeDocument/2006/relationships" name="Failure Worlds" sheetId="12" r:id="R9e63c39ed78c4f55"/>
    <x:sheet xmlns:r="http://schemas.openxmlformats.org/officeDocument/2006/relationships" name="Ancestry Ledger" sheetId="13" r:id="R1a34234056c9479b"/>
    <x:sheet xmlns:r="http://schemas.openxmlformats.org/officeDocument/2006/relationships" name="G3 Gates" sheetId="14" r:id="R2b6f9e8e15dc42e1"/>
    <x:sheet xmlns:r="http://schemas.openxmlformats.org/officeDocument/2006/relationships" name="Technology Programs" sheetId="15" r:id="Re56e87b6d67a4227"/>
    <x:sheet xmlns:r="http://schemas.openxmlformats.org/officeDocument/2006/relationships" name="Finance" sheetId="16" r:id="R98d5d11afb864da7"/>
    <x:sheet xmlns:r="http://schemas.openxmlformats.org/officeDocument/2006/relationships" name="Controls" sheetId="17" r:id="R1945f865343543eb"/>
    <x:sheet xmlns:r="http://schemas.openxmlformats.org/officeDocument/2006/relationships" name="Audits" sheetId="18" r:id="Rd40b8550dc504e4b"/>
    <x:sheet xmlns:r="http://schemas.openxmlformats.org/officeDocument/2006/relationships" name="Sources" sheetId="19" r:id="Rddc0438c64b542be"/>
    <x:sheet xmlns:r="http://schemas.openxmlformats.org/officeDocument/2006/relationships" name="Read Me" sheetId="20" r:id="R21c8a6a7e812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0.0%"/>
    <x:numFmt numFmtId="202" formatCode="#,##0.00"/>
    <x:numFmt numFmtId="203" formatCode="#,##0.000"/>
  </x:numFmts>
  <x:fonts count="10">
    <x:font>
      <x:sz val="11"/>
      <x:name val="Carlito"/>
    </x:font>
    <x:font>
      <x:b/>
      <x:sz val="15"/>
      <x:color rgb="FF17365D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b/>
      <x:sz val="9"/>
      <x:color rgb="FF17365D"/>
      <x:name val="Arial"/>
    </x:font>
    <x:font>
      <x:b/>
      <x:sz val="8"/>
      <x:color rgb="FFFFFFFF"/>
      <x:name val="Arial"/>
    </x:font>
    <x:font>
      <x:sz val="8"/>
      <x:color rgb="FF1F2937"/>
      <x:name val="Arial"/>
    </x:font>
    <x:font>
      <x:sz val="8"/>
      <x:color rgb="FF0000FF"/>
      <x:name val="Arial"/>
    </x:font>
    <x:font>
      <x:sz val="9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1F7A78"/>
      </x:patternFill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200" fontId="7" fillId="0" borderId="3" xfId="0" applyNumberFormat="1" applyFont="1" applyFill="1" applyBorder="1" applyAlignment="1">
      <x:alignment vertical="top" wrapText="1"/>
    </x:xf>
    <x:xf numFmtId="201" fontId="7" fillId="0" borderId="2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vertical="center" wrapText="1"/>
    </x:xf>
    <x:xf numFmtId="202" fontId="7" fillId="0" borderId="2" xfId="0" applyNumberFormat="1" applyFont="1" applyFill="1" applyBorder="1" applyAlignment="1">
      <x:alignment vertical="center" wrapText="1"/>
    </x:xf>
    <x:xf numFmtId="202" fontId="7" fillId="0" borderId="3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1" fontId="7" fillId="0" borderId="2" xfId="0" applyNumberFormat="1" applyFont="1" applyFill="1" applyBorder="1" applyAlignment="1">
      <x:alignment vertical="center" wrapText="1"/>
    </x:xf>
    <x:xf numFmtId="201" fontId="7" fillId="0" borderId="3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top" wrapText="1"/>
    </x:xf>
    <x:xf numFmtId="201" fontId="7" fillId="0" borderId="3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center" wrapText="1"/>
    </x:xf>
    <x:xf numFmtId="200" fontId="7" fillId="0" borderId="2" xfId="0" applyNumberFormat="1" applyFont="1" applyFill="1" applyBorder="1" applyAlignment="1">
      <x:alignment vertical="center" wrapText="1"/>
    </x:xf>
    <x:xf numFmtId="200" fontId="7" fillId="0" borderId="3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203" fontId="7" fillId="0" borderId="2" xfId="0" applyNumberFormat="1" applyFont="1" applyFill="1" applyBorder="1" applyAlignment="1">
      <x:alignment vertical="top" wrapText="1"/>
    </x:xf>
    <x:xf numFmtId="203" fontId="7" fillId="0" borderId="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203" fontId="9" fillId="0" borderId="1" xfId="0" applyNumberFormat="1" applyFont="1" applyFill="1" applyBorder="1" applyAlignment="1">
      <x:alignment vertical="center" wrapText="1"/>
    </x:xf>
    <x:xf numFmtId="203" fontId="9" fillId="0" borderId="2" xfId="0" applyNumberFormat="1" applyFont="1" applyFill="1" applyBorder="1" applyAlignment="1">
      <x:alignment vertical="center" wrapText="1"/>
    </x:xf>
    <x:xf numFmtId="203" fontId="9" fillId="0" borderId="3" xfId="0" applyNumberFormat="1" applyFont="1" applyFill="1" applyBorder="1" applyAlignment="1">
      <x:alignment vertical="center" wrapText="1"/>
    </x:xf>
    <x:xf numFmtId="201" fontId="9" fillId="0" borderId="2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3" fontId="4" fillId="0" borderId="2" xfId="0" applyNumberFormat="1" applyFont="1" applyFill="1" applyBorder="1" applyAlignment="1">
      <x:alignment vertical="center" wrapText="1"/>
    </x:xf>
    <x:xf numFmtId="203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6"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color rgb="FF006100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dc1666c3b43e2" /><Relationship Type="http://schemas.openxmlformats.org/officeDocument/2006/relationships/theme" Target="/xl/theme/theme1.xml" Id="Rca17d67f7cb04137" /><Relationship Type="http://schemas.openxmlformats.org/officeDocument/2006/relationships/sharedStrings" Target="/xl/sharedStrings.xml" Id="R871f8b1c79d84b0b" /><Relationship Type="http://schemas.openxmlformats.org/officeDocument/2006/relationships/worksheet" Target="/xl/worksheets/sheet1.xml" Id="Rc074954cb7664b7d" /><Relationship Type="http://schemas.openxmlformats.org/officeDocument/2006/relationships/worksheet" Target="/xl/worksheets/sheet2.xml" Id="Rc0f2066e9e964bd9" /><Relationship Type="http://schemas.openxmlformats.org/officeDocument/2006/relationships/worksheet" Target="/xl/worksheets/sheet3.xml" Id="R7310deae46d14b02" /><Relationship Type="http://schemas.openxmlformats.org/officeDocument/2006/relationships/worksheet" Target="/xl/worksheets/sheet4.xml" Id="R1becf91a8c9b46ad" /><Relationship Type="http://schemas.openxmlformats.org/officeDocument/2006/relationships/worksheet" Target="/xl/worksheets/sheet5.xml" Id="Rd8599f25c2a64782" /><Relationship Type="http://schemas.openxmlformats.org/officeDocument/2006/relationships/worksheet" Target="/xl/worksheets/sheet6.xml" Id="R7350080bcd544da4" /><Relationship Type="http://schemas.openxmlformats.org/officeDocument/2006/relationships/worksheet" Target="/xl/worksheets/sheet7.xml" Id="R8fe4b7e805c84d74" /><Relationship Type="http://schemas.openxmlformats.org/officeDocument/2006/relationships/worksheet" Target="/xl/worksheets/sheet8.xml" Id="R6ea87614ac7c436b" /><Relationship Type="http://schemas.openxmlformats.org/officeDocument/2006/relationships/worksheet" Target="/xl/worksheets/sheet9.xml" Id="Re2c072d1395948ea" /><Relationship Type="http://schemas.openxmlformats.org/officeDocument/2006/relationships/worksheet" Target="/xl/worksheets/sheet10.xml" Id="R8cc35ee7c98c4bc3" /><Relationship Type="http://schemas.openxmlformats.org/officeDocument/2006/relationships/worksheet" Target="/xl/worksheets/sheet11.xml" Id="Rf4c2b32419ce4c30" /><Relationship Type="http://schemas.openxmlformats.org/officeDocument/2006/relationships/worksheet" Target="/xl/worksheets/sheet12.xml" Id="R9e63c39ed78c4f55" /><Relationship Type="http://schemas.openxmlformats.org/officeDocument/2006/relationships/worksheet" Target="/xl/worksheets/sheet13.xml" Id="R1a34234056c9479b" /><Relationship Type="http://schemas.openxmlformats.org/officeDocument/2006/relationships/worksheet" Target="/xl/worksheets/sheet14.xml" Id="R2b6f9e8e15dc42e1" /><Relationship Type="http://schemas.openxmlformats.org/officeDocument/2006/relationships/worksheet" Target="/xl/worksheets/sheet15.xml" Id="Re56e87b6d67a4227" /><Relationship Type="http://schemas.openxmlformats.org/officeDocument/2006/relationships/worksheet" Target="/xl/worksheets/sheet16.xml" Id="R98d5d11afb864da7" /><Relationship Type="http://schemas.openxmlformats.org/officeDocument/2006/relationships/worksheet" Target="/xl/worksheets/sheet17.xml" Id="R1945f865343543eb" /><Relationship Type="http://schemas.openxmlformats.org/officeDocument/2006/relationships/worksheet" Target="/xl/worksheets/sheet18.xml" Id="Rd40b8550dc504e4b" /><Relationship Type="http://schemas.openxmlformats.org/officeDocument/2006/relationships/worksheet" Target="/xl/worksheets/sheet19.xml" Id="Rddc0438c64b542be" /><Relationship Type="http://schemas.openxmlformats.org/officeDocument/2006/relationships/worksheet" Target="/xl/worksheets/sheet20.xml" Id="R21c8a6a7e8124d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d8731b6cea4e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Controlled dry-mass screen by root (kt)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Dry mass (kt)</c:v>
          </c:tx>
          <c:cat>
            <c:strRef>
              <c:f>'Root Summary'!$U$5:$U$8</c:f>
              <c:strCache>
                <c:ptCount val="0"/>
              </c:strCache>
            </c:strRef>
          </c:cat>
          <c:val>
            <c:numRef>
              <c:f>'Root Summary'!$V$5:$V$8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20</xdr:col>
      <xdr:colOff>0</xdr:colOff>
      <xdr:row>9</xdr:row>
      <xdr:rowOff>0</xdr:rowOff>
    </xdr:from>
    <xdr:to>
      <xdr:col>29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d8731b6cea4e2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0f1bf58625b44c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3" max="3" width="20" hidden="0" customWidth="1"/>
    <x:col min="4" max="4" width="28.889999389648438" hidden="0" customWidth="1"/>
    <x:col min="5" max="5" width="68.88999938964844" hidden="0" customWidth="1"/>
  </x:cols>
  <x:sheetData>
    <x:row r="2">
      <x:c r="C2" s="1" t="str">
        <x:v>Pass 176 decision</x:v>
      </x:c>
    </x:row>
    <x:row r="3">
      <x:c r="C3" s="2" t="str">
        <x:v>The constitution selects the first physical mission system and freezes testable bills without granting G3 release.</x:v>
      </x:c>
    </x:row>
    <x:row r="4" ht="30" customHeight="1">
      <x:c r="C4" s="7" t="str">
        <x:v>Decision element</x:v>
      </x:c>
      <x:c r="D4" s="7" t="str">
        <x:v>Constitution</x:v>
      </x:c>
      <x:c r="E4" s="7" t="str">
        <x:v>Consequence</x:v>
      </x:c>
    </x:row>
    <x:row r="5" ht="46" customHeight="1">
      <x:c r="C5" s="17" t="str">
        <x:v>Verdict</x:v>
      </x:c>
      <x:c r="D5" s="11" t="str">
        <x:v>CLOSE C3-LFG3-1</x:v>
      </x:c>
      <x:c r="E5" s="11" t="str">
        <x:v>Lifelines become the first complete four-root physical campaign.</x:v>
      </x:c>
    </x:row>
    <x:row r="6" ht="46" customHeight="1">
      <x:c r="C6" s="18" t="str">
        <x:v>Selected system</x:v>
      </x:c>
      <x:c r="D6" s="12" t="str">
        <x:v>MS-LF</x:v>
      </x:c>
      <x:c r="E6" s="12" t="str">
        <x:v>Only candidate to pass all eight noncompensable gates.</x:v>
      </x:c>
    </x:row>
    <x:row r="7" ht="46" customHeight="1">
      <x:c r="C7" s="18" t="str">
        <x:v>Public unit</x:v>
      </x:c>
      <x:c r="D7" s="12" t="str">
        <x:v>2,000,000-person utility zone</x:v>
      </x:c>
      <x:c r="E7" s="12" t="str">
        <x:v>Water, wastewater, power and thermal service close together.</x:v>
      </x:c>
    </x:row>
    <x:row r="8" ht="46" customHeight="1">
      <x:c r="C8" s="18" t="str">
        <x:v>Full service</x:v>
      </x:c>
      <x:c r="D8" s="12" t="str">
        <x:v>Day 21</x:v>
      </x:c>
      <x:c r="E8" s="12" t="str">
        <x:v>100,000 m³/day water; 100 MW firm; 80 MWth; 80,000 m³/day residual intake.</x:v>
      </x:c>
    </x:row>
    <x:row r="9" ht="46" customHeight="1">
      <x:c r="C9" s="18" t="str">
        <x:v>Root slate</x:v>
      </x:c>
      <x:c r="D9" s="12" t="str">
        <x:v>LF-A/B/C/D-CF1</x:v>
      </x:c>
      <x:c r="E9" s="12" t="str">
        <x:v>Nuclear-oceanic, geothermal-inland, renewable-electrochemical and synthetic-fuel.</x:v>
      </x:c>
    </x:row>
    <x:row r="10" ht="46" customHeight="1">
      <x:c r="C10" s="18" t="str">
        <x:v>Formation denominator</x:v>
      </x:c>
      <x:c r="D10" s="12" t="str">
        <x:v>38 positions/root</x:v>
      </x:c>
      <x:c r="E10" s="12" t="str">
        <x:v>4 source + 8 water/waste + 10 local power + 8 grid bridge + 8 thermal.</x:v>
      </x:c>
    </x:row>
    <x:row r="11" ht="46" customHeight="1">
      <x:c r="C11" s="18" t="str">
        <x:v>Physical screen</x:v>
      </x:c>
      <x:c r="D11" s="12" t="str">
        <x:v>73,400–171,300 dry tonnes/root</x:v>
      </x:c>
      <x:c r="E11" s="12" t="str">
        <x:v>Controlled hypotheses; not transport manifests or procurement baselines.</x:v>
      </x:c>
    </x:row>
    <x:row r="12" ht="46" customHeight="1">
      <x:c r="C12" s="18" t="str">
        <x:v>Workforce screen</x:v>
      </x:c>
      <x:c r="D12" s="12" t="str">
        <x:v>4,000–5,330 deployed/root</x:v>
      </x:c>
      <x:c r="E12" s="12" t="str">
        <x:v>Rotational establishments remain planning results.</x:v>
      </x:c>
    </x:row>
    <x:row r="13" ht="46" customHeight="1">
      <x:c r="C13" s="18" t="str">
        <x:v>G0–G3 boundary</x:v>
      </x:c>
      <x:c r="D13" s="12" t="str">
        <x:v>USD 35.98B</x:v>
      </x:c>
      <x:c r="E13" s="12" t="str">
        <x:v>Four equal USD 8.99B learning options inside the conserved program.</x:v>
      </x:c>
    </x:row>
    <x:row r="14" ht="46" customHeight="1">
      <x:c r="C14" s="19" t="str">
        <x:v>Evidence</x:v>
      </x:c>
      <x:c r="D14" s="13" t="str">
        <x:v>48 ancestry declarations; 56 gates</x:v>
      </x:c>
      <x:c r="E14" s="13" t="str">
        <x:v>All remain open; force credit and rendering remain zero.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9.4399995803833" hidden="0" customWidth="1"/>
    <x:col min="4" max="4" width="23.329999923706055" hidden="0" customWidth="1"/>
    <x:col min="5" max="5" width="11.670000076293945" hidden="0" customWidth="1"/>
    <x:col min="6" max="6" width="12.220000267028809" hidden="0" customWidth="1"/>
    <x:col min="7" max="7" width="11.670000076293945" hidden="0" customWidth="1"/>
    <x:col min="8" max="8" width="12.779999732971191" hidden="0" customWidth="1"/>
    <x:col min="9" max="9" width="11.67000007629394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7.78000020980835" hidden="0" customWidth="1"/>
    <x:col min="14" max="14" width="9.4399995803833" hidden="0" customWidth="1"/>
  </x:cols>
  <x:sheetData>
    <x:row r="2">
      <x:c r="C2" s="1" t="str">
        <x:v>First physical mission-system screen</x:v>
      </x:c>
    </x:row>
    <x:row r="3">
      <x:c r="C3" s="2" t="str">
        <x:v>Selection requires all eight gates; counts do not compensate for a failed gate.</x:v>
      </x:c>
    </x:row>
    <x:row r="4" ht="30" customHeight="1">
      <x:c r="C4" s="23" t="str">
        <x:v>System</x:v>
      </x:c>
      <x:c r="D4" s="23" t="str">
        <x:v>Mission chain</x:v>
      </x:c>
      <x:c r="E4" s="23" t="str">
        <x:v>Multiple public utilities</x:v>
      </x:c>
      <x:c r="F4" s="23" t="str">
        <x:v>Four primary energy roots</x:v>
      </x:c>
      <x:c r="G4" s="23" t="str">
        <x:v>Maritime and inland</x:v>
      </x:c>
      <x:c r="H4" s="23" t="str">
        <x:v>Source-to-user owner</x:v>
      </x:c>
      <x:c r="I4" s="23" t="str">
        <x:v>Serves other systems</x:v>
      </x:c>
      <x:c r="J4" s="23" t="str">
        <x:v>Physical antecedents</x:v>
      </x:c>
      <x:c r="K4" s="23" t="str">
        <x:v>Complete denominator</x:v>
      </x:c>
      <x:c r="L4" s="23" t="str">
        <x:v>Inside G3 boundary</x:v>
      </x:c>
      <x:c r="M4" s="23" t="str">
        <x:v>Gates</x:v>
      </x:c>
      <x:c r="N4" s="23" t="str">
        <x:v>Decision</x:v>
      </x:c>
    </x:row>
    <x:row r="5" ht="42" customHeight="1">
      <x:c r="C5" s="27" t="str">
        <x:v>MS-ET</x:v>
      </x:c>
      <x:c r="D5" s="27" t="str">
        <x:v>Enter a broken theater</x:v>
      </x:c>
      <x:c r="E5" s="27" t="str">
        <x:v>PASS</x:v>
      </x:c>
      <x:c r="F5" s="27" t="str">
        <x:v>FAIL</x:v>
      </x:c>
      <x:c r="G5" s="27" t="str">
        <x:v>PASS</x:v>
      </x:c>
      <x:c r="H5" s="27" t="str">
        <x:v>FAIL</x:v>
      </x:c>
      <x:c r="I5" s="27" t="str">
        <x:v>PASS</x:v>
      </x:c>
      <x:c r="J5" s="27" t="str">
        <x:v>PASS</x:v>
      </x:c>
      <x:c r="K5" s="27" t="str">
        <x:v>PASS</x:v>
      </x:c>
      <x:c r="L5" s="27" t="str">
        <x:v>PASS</x:v>
      </x:c>
      <x:c r="M5" s="27" t="n">
        <x:f>COUNTIFS(E5:L5,"PASS")</x:f>
        <x:v>6</x:v>
      </x:c>
      <x:c r="N5" s="27" t="str">
        <x:f>IF(M5=8,"SELECT","REJECT")</x:f>
        <x:v>REJECT</x:v>
      </x:c>
    </x:row>
    <x:row r="6" ht="42" customHeight="1">
      <x:c r="C6" s="28" t="str">
        <x:v>MS-CT</x:v>
      </x:c>
      <x:c r="D6" s="28" t="str">
        <x:v>Reach occupied civil terrain</x:v>
      </x:c>
      <x:c r="E6" s="28" t="str">
        <x:v>PASS</x:v>
      </x:c>
      <x:c r="F6" s="28" t="str">
        <x:v>FAIL</x:v>
      </x:c>
      <x:c r="G6" s="28" t="str">
        <x:v>FAIL</x:v>
      </x:c>
      <x:c r="H6" s="28" t="str">
        <x:v>FAIL</x:v>
      </x:c>
      <x:c r="I6" s="28" t="str">
        <x:v>PASS</x:v>
      </x:c>
      <x:c r="J6" s="28" t="str">
        <x:v>FAIL</x:v>
      </x:c>
      <x:c r="K6" s="28" t="str">
        <x:v>PASS</x:v>
      </x:c>
      <x:c r="L6" s="28" t="str">
        <x:v>PASS</x:v>
      </x:c>
      <x:c r="M6" s="28" t="n">
        <x:f>COUNTIFS(E6:L6,"PASS")</x:f>
        <x:v>4</x:v>
      </x:c>
      <x:c r="N6" s="28" t="str">
        <x:f>IF(M6=8,"SELECT","REJECT")</x:f>
        <x:v>REJECT</x:v>
      </x:c>
    </x:row>
    <x:row r="7" ht="42" customHeight="1">
      <x:c r="C7" s="28" t="str">
        <x:v>MS-HC</x:v>
      </x:c>
      <x:c r="D7" s="28" t="str">
        <x:v>Control an active hazard</x:v>
      </x:c>
      <x:c r="E7" s="28" t="str">
        <x:v>PASS</x:v>
      </x:c>
      <x:c r="F7" s="28" t="str">
        <x:v>FAIL</x:v>
      </x:c>
      <x:c r="G7" s="28" t="str">
        <x:v>PASS</x:v>
      </x:c>
      <x:c r="H7" s="28" t="str">
        <x:v>FAIL</x:v>
      </x:c>
      <x:c r="I7" s="28" t="str">
        <x:v>PASS</x:v>
      </x:c>
      <x:c r="J7" s="28" t="str">
        <x:v>PASS</x:v>
      </x:c>
      <x:c r="K7" s="28" t="str">
        <x:v>PASS</x:v>
      </x:c>
      <x:c r="L7" s="28" t="str">
        <x:v>PASS</x:v>
      </x:c>
      <x:c r="M7" s="28" t="n">
        <x:f>COUNTIFS(E7:L7,"PASS")</x:f>
        <x:v>6</x:v>
      </x:c>
      <x:c r="N7" s="28" t="str">
        <x:f>IF(M7=8,"SELECT","REJECT")</x:f>
        <x:v>REJECT</x:v>
      </x:c>
    </x:row>
    <x:row r="8" ht="42" customHeight="1">
      <x:c r="C8" s="28" t="str">
        <x:v>MS-LF</x:v>
      </x:c>
      <x:c r="D8" s="28" t="str">
        <x:v>Produce and distribute lifelines</x:v>
      </x:c>
      <x:c r="E8" s="28" t="str">
        <x:v>PASS</x:v>
      </x:c>
      <x:c r="F8" s="28" t="str">
        <x:v>PASS</x:v>
      </x:c>
      <x:c r="G8" s="28" t="str">
        <x:v>PASS</x:v>
      </x:c>
      <x:c r="H8" s="28" t="str">
        <x:v>PASS</x:v>
      </x:c>
      <x:c r="I8" s="28" t="str">
        <x:v>PASS</x:v>
      </x:c>
      <x:c r="J8" s="28" t="str">
        <x:v>PASS</x:v>
      </x:c>
      <x:c r="K8" s="28" t="str">
        <x:v>PASS</x:v>
      </x:c>
      <x:c r="L8" s="28" t="str">
        <x:v>PASS</x:v>
      </x:c>
      <x:c r="M8" s="28" t="n">
        <x:f>COUNTIFS(E8:L8,"PASS")</x:f>
        <x:v>8</x:v>
      </x:c>
      <x:c r="N8" s="28" t="str">
        <x:f>IF(M8=8,"SELECT","REJECT")</x:f>
        <x:v>SELECT</x:v>
      </x:c>
    </x:row>
    <x:row r="9" ht="42" customHeight="1">
      <x:c r="C9" s="28" t="str">
        <x:v>MS-HU</x:v>
      </x:c>
      <x:c r="D9" s="28" t="str">
        <x:v>Preserve care and human continuity</x:v>
      </x:c>
      <x:c r="E9" s="28" t="str">
        <x:v>PASS</x:v>
      </x:c>
      <x:c r="F9" s="28" t="str">
        <x:v>FAIL</x:v>
      </x:c>
      <x:c r="G9" s="28" t="str">
        <x:v>PASS</x:v>
      </x:c>
      <x:c r="H9" s="28" t="str">
        <x:v>PASS</x:v>
      </x:c>
      <x:c r="I9" s="28" t="str">
        <x:v>PASS</x:v>
      </x:c>
      <x:c r="J9" s="28" t="str">
        <x:v>PASS</x:v>
      </x:c>
      <x:c r="K9" s="28" t="str">
        <x:v>PASS</x:v>
      </x:c>
      <x:c r="L9" s="28" t="str">
        <x:v>PASS</x:v>
      </x:c>
      <x:c r="M9" s="28" t="n">
        <x:f>COUNTIFS(E9:L9,"PASS")</x:f>
        <x:v>7</x:v>
      </x:c>
      <x:c r="N9" s="28" t="str">
        <x:f>IF(M9=8,"SELECT","REJECT")</x:f>
        <x:v>REJECT</x:v>
      </x:c>
    </x:row>
    <x:row r="10" ht="42" customHeight="1">
      <x:c r="C10" s="29" t="str">
        <x:v>MS-RT</x:v>
      </x:c>
      <x:c r="D10" s="29" t="str">
        <x:v>Sustain, transfer and regenerate</x:v>
      </x:c>
      <x:c r="E10" s="29" t="str">
        <x:v>PASS</x:v>
      </x:c>
      <x:c r="F10" s="29" t="str">
        <x:v>FAIL</x:v>
      </x:c>
      <x:c r="G10" s="29" t="str">
        <x:v>PASS</x:v>
      </x:c>
      <x:c r="H10" s="29" t="str">
        <x:v>FAIL</x:v>
      </x:c>
      <x:c r="I10" s="29" t="str">
        <x:v>PASS</x:v>
      </x:c>
      <x:c r="J10" s="29" t="str">
        <x:v>PASS</x:v>
      </x:c>
      <x:c r="K10" s="29" t="str">
        <x:v>PASS</x:v>
      </x:c>
      <x:c r="L10" s="29" t="str">
        <x:v>PASS</x:v>
      </x:c>
      <x:c r="M10" s="29" t="n">
        <x:f>COUNTIFS(E10:L10,"PASS")</x:f>
        <x:v>6</x:v>
      </x:c>
      <x:c r="N10" s="29" t="str">
        <x:f>IF(M10=8,"SELECT","REJECT")</x:f>
        <x:v>REJECT</x:v>
      </x:c>
    </x:row>
  </x:sheetData>
  <x:conditionalFormatting sqref="E5:N10">
    <x:cfRule type="containsText" dxfId="0" priority="1" operator="containsText" text="FAIL"/>
    <x:cfRule type="containsText" dxfId="1" priority="2" operator="containsText" text="OPEN"/>
    <x:cfRule type="containsText" dxfId="2" priority="3" operator="containsText" text="HOLD"/>
    <x:cfRule type="containsText" dxfId="3" priority="4" operator="containsText" text="SELECT"/>
    <x:cfRule type="containsText" dxfId="4" priority="5" operator="containsText" text="PASS"/>
    <x:cfRule type="containsText" dxfId="5" priority="6" operator="containsText" text="BLOCK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8.890000343322754" hidden="0" customWidth="1"/>
    <x:col min="4" max="4" width="32.220001220703125" hidden="0" customWidth="1"/>
    <x:col min="5" max="5" width="6.670000076293945" hidden="0" customWidth="1"/>
    <x:col min="6" max="6" width="11.109999656677246" hidden="0" customWidth="1"/>
    <x:col min="7" max="7" width="11.670000076293945" hidden="0" customWidth="1"/>
    <x:col min="8" max="8" width="10" hidden="0" customWidth="1"/>
    <x:col min="9" max="9" width="9.4399995803833" hidden="0" customWidth="1"/>
    <x:col min="10" max="10" width="9.4399995803833" hidden="0" customWidth="1"/>
    <x:col min="11" max="11" width="11.670000076293945" hidden="0" customWidth="1"/>
    <x:col min="12" max="12" width="38.88999938964844" hidden="0" customWidth="1"/>
  </x:cols>
  <x:sheetData>
    <x:row r="2">
      <x:c r="C2" s="1" t="str">
        <x:v>Common lifeline service contract</x:v>
      </x:c>
    </x:row>
    <x:row r="3">
      <x:c r="C3" s="2" t="str">
        <x:v>Outputs are point-of-use obligations. Planning closure does not constitute physical evidence.</x:v>
      </x:c>
    </x:row>
    <x:row r="4" ht="30" customHeight="1">
      <x:c r="C4" s="23" t="str">
        <x:v>Requirement</x:v>
      </x:c>
      <x:c r="D4" s="23" t="str">
        <x:v>Public obligation</x:v>
      </x:c>
      <x:c r="E4" s="23" t="str">
        <x:v>Test</x:v>
      </x:c>
      <x:c r="F4" s="23" t="str">
        <x:v>Threshold</x:v>
      </x:c>
      <x:c r="G4" s="23" t="str">
        <x:v>Frozen target</x:v>
      </x:c>
      <x:c r="H4" s="23" t="str">
        <x:v>Unit</x:v>
      </x:c>
      <x:c r="I4" s="23" t="str">
        <x:v>Planning</x:v>
      </x:c>
      <x:c r="J4" s="23" t="str">
        <x:v>Evidence</x:v>
      </x:c>
      <x:c r="K4" s="23" t="str">
        <x:v>Physical authority</x:v>
      </x:c>
      <x:c r="L4" s="23" t="str">
        <x:v>Interpretation</x:v>
      </x:c>
    </x:row>
    <x:row r="5" ht="40" customHeight="1">
      <x:c r="C5" s="32" t="str">
        <x:v>SC01</x:v>
      </x:c>
      <x:c r="D5" s="32" t="str">
        <x:v>Population service identity</x:v>
      </x:c>
      <x:c r="E5" s="32" t="str">
        <x:v>&gt;=</x:v>
      </x:c>
      <x:c r="F5" s="35" t="n">
        <x:v>2000000</x:v>
      </x:c>
      <x:c r="G5" s="35" t="n">
        <x:v>2000000</x:v>
      </x:c>
      <x:c r="H5" s="32" t="str">
        <x:v>people</x:v>
      </x:c>
      <x:c r="I5" s="32" t="str">
        <x:f>IF(E5="&gt;=",IF(G5&gt;=F5,"PASS","FAIL"),IF(E5="&lt;=",IF(G5&lt;=F5,"PASS","FAIL"),IF(G5=F5,"PASS","FAIL")))</x:f>
        <x:v>PASS</x:v>
      </x:c>
      <x:c r="J5" s="32" t="str">
        <x:v>OPEN</x:v>
      </x:c>
      <x:c r="K5" s="32" t="str">
        <x:v>HOLD</x:v>
      </x:c>
      <x:c r="L5" s="32" t="str">
        <x:v>One accountable utility zone</x:v>
      </x:c>
    </x:row>
    <x:row r="6" ht="40" customHeight="1">
      <x:c r="C6" s="33" t="str">
        <x:v>SC02</x:v>
      </x:c>
      <x:c r="D6" s="33" t="str">
        <x:v>Hour-72 potable water</x:v>
      </x:c>
      <x:c r="E6" s="33" t="str">
        <x:v>&gt;=</x:v>
      </x:c>
      <x:c r="F6" s="36" t="n">
        <x:v>25000</x:v>
      </x:c>
      <x:c r="G6" s="36" t="n">
        <x:v>25000</x:v>
      </x:c>
      <x:c r="H6" s="33" t="str">
        <x:v>m³/day</x:v>
      </x:c>
      <x:c r="I6" s="33" t="str">
        <x:f>IF(E6="&gt;=",IF(G6&gt;=F6,"PASS","FAIL"),IF(E6="&lt;=",IF(G6&lt;=F6,"PASS","FAIL"),IF(G6=F6,"PASS","FAIL")))</x:f>
        <x:v>PASS</x:v>
      </x:c>
      <x:c r="J6" s="33" t="str">
        <x:v>OPEN</x:v>
      </x:c>
      <x:c r="K6" s="33" t="str">
        <x:v>HOLD</x:v>
      </x:c>
      <x:c r="L6" s="33" t="str">
        <x:v>Quality released at public interface</x:v>
      </x:c>
    </x:row>
    <x:row r="7" ht="40" customHeight="1">
      <x:c r="C7" s="33" t="str">
        <x:v>SC03</x:v>
      </x:c>
      <x:c r="D7" s="33" t="str">
        <x:v>Hour-72 firm electricity</x:v>
      </x:c>
      <x:c r="E7" s="33" t="str">
        <x:v>&gt;=</x:v>
      </x:c>
      <x:c r="F7" s="36" t="n">
        <x:v>25</x:v>
      </x:c>
      <x:c r="G7" s="36" t="n">
        <x:v>25</x:v>
      </x:c>
      <x:c r="H7" s="33" t="str">
        <x:v>MW</x:v>
      </x:c>
      <x:c r="I7" s="33" t="str">
        <x:f>IF(E7="&gt;=",IF(G7&gt;=F7,"PASS","FAIL"),IF(E7="&lt;=",IF(G7&lt;=F7,"PASS","FAIL"),IF(G7=F7,"PASS","FAIL")))</x:f>
        <x:v>PASS</x:v>
      </x:c>
      <x:c r="J7" s="33" t="str">
        <x:v>OPEN</x:v>
      </x:c>
      <x:c r="K7" s="33" t="str">
        <x:v>HOLD</x:v>
      </x:c>
      <x:c r="L7" s="33" t="str">
        <x:v>Authorized load bus</x:v>
      </x:c>
    </x:row>
    <x:row r="8" ht="40" customHeight="1">
      <x:c r="C8" s="33" t="str">
        <x:v>SC04</x:v>
      </x:c>
      <x:c r="D8" s="33" t="str">
        <x:v>Hour-72 thermal safety</x:v>
      </x:c>
      <x:c r="E8" s="33" t="str">
        <x:v>&gt;=</x:v>
      </x:c>
      <x:c r="F8" s="36" t="n">
        <x:v>20</x:v>
      </x:c>
      <x:c r="G8" s="36" t="n">
        <x:v>20</x:v>
      </x:c>
      <x:c r="H8" s="33" t="str">
        <x:v>MWth</x:v>
      </x:c>
      <x:c r="I8" s="33" t="str">
        <x:f>IF(E8="&gt;=",IF(G8&gt;=F8,"PASS","FAIL"),IF(E8="&lt;=",IF(G8&lt;=F8,"PASS","FAIL"),IF(G8=F8,"PASS","FAIL")))</x:f>
        <x:v>PASS</x:v>
      </x:c>
      <x:c r="J8" s="33" t="str">
        <x:v>OPEN</x:v>
      </x:c>
      <x:c r="K8" s="33" t="str">
        <x:v>HOLD</x:v>
      </x:c>
      <x:c r="L8" s="33" t="str">
        <x:v>Heating or cooling at occupied interface</x:v>
      </x:c>
    </x:row>
    <x:row r="9" ht="40" customHeight="1">
      <x:c r="C9" s="33" t="str">
        <x:v>SC05</x:v>
      </x:c>
      <x:c r="D9" s="33" t="str">
        <x:v>Day-seven potable water</x:v>
      </x:c>
      <x:c r="E9" s="33" t="str">
        <x:v>&gt;=</x:v>
      </x:c>
      <x:c r="F9" s="36" t="n">
        <x:v>50000</x:v>
      </x:c>
      <x:c r="G9" s="36" t="n">
        <x:v>50000</x:v>
      </x:c>
      <x:c r="H9" s="33" t="str">
        <x:v>m³/day</x:v>
      </x:c>
      <x:c r="I9" s="33" t="str">
        <x:f>IF(E9="&gt;=",IF(G9&gt;=F9,"PASS","FAIL"),IF(E9="&lt;=",IF(G9&lt;=F9,"PASS","FAIL"),IF(G9=F9,"PASS","FAIL")))</x:f>
        <x:v>PASS</x:v>
      </x:c>
      <x:c r="J9" s="33" t="str">
        <x:v>OPEN</x:v>
      </x:c>
      <x:c r="K9" s="33" t="str">
        <x:v>HOLD</x:v>
      </x:c>
      <x:c r="L9" s="33" t="str">
        <x:v>Intermediate service block</x:v>
      </x:c>
    </x:row>
    <x:row r="10" ht="40" customHeight="1">
      <x:c r="C10" s="33" t="str">
        <x:v>SC06</x:v>
      </x:c>
      <x:c r="D10" s="33" t="str">
        <x:v>Day-seven firm electricity</x:v>
      </x:c>
      <x:c r="E10" s="33" t="str">
        <x:v>&gt;=</x:v>
      </x:c>
      <x:c r="F10" s="36" t="n">
        <x:v>50</x:v>
      </x:c>
      <x:c r="G10" s="36" t="n">
        <x:v>50</x:v>
      </x:c>
      <x:c r="H10" s="33" t="str">
        <x:v>MW</x:v>
      </x:c>
      <x:c r="I10" s="33" t="str">
        <x:f>IF(E10="&gt;=",IF(G10&gt;=F10,"PASS","FAIL"),IF(E10="&lt;=",IF(G10&lt;=F10,"PASS","FAIL"),IF(G10=F10,"PASS","FAIL")))</x:f>
        <x:v>PASS</x:v>
      </x:c>
      <x:c r="J10" s="33" t="str">
        <x:v>OPEN</x:v>
      </x:c>
      <x:c r="K10" s="33" t="str">
        <x:v>HOLD</x:v>
      </x:c>
      <x:c r="L10" s="33" t="str">
        <x:v>Intermediate service block</x:v>
      </x:c>
    </x:row>
    <x:row r="11" ht="40" customHeight="1">
      <x:c r="C11" s="33" t="str">
        <x:v>SC07</x:v>
      </x:c>
      <x:c r="D11" s="33" t="str">
        <x:v>Day-seven thermal safety</x:v>
      </x:c>
      <x:c r="E11" s="33" t="str">
        <x:v>&gt;=</x:v>
      </x:c>
      <x:c r="F11" s="36" t="n">
        <x:v>40</x:v>
      </x:c>
      <x:c r="G11" s="36" t="n">
        <x:v>40</x:v>
      </x:c>
      <x:c r="H11" s="33" t="str">
        <x:v>MWth</x:v>
      </x:c>
      <x:c r="I11" s="33" t="str">
        <x:f>IF(E11="&gt;=",IF(G11&gt;=F11,"PASS","FAIL"),IF(E11="&lt;=",IF(G11&lt;=F11,"PASS","FAIL"),IF(G11=F11,"PASS","FAIL")))</x:f>
        <x:v>PASS</x:v>
      </x:c>
      <x:c r="J11" s="33" t="str">
        <x:v>OPEN</x:v>
      </x:c>
      <x:c r="K11" s="33" t="str">
        <x:v>HOLD</x:v>
      </x:c>
      <x:c r="L11" s="33" t="str">
        <x:v>Intermediate service block</x:v>
      </x:c>
    </x:row>
    <x:row r="12" ht="40" customHeight="1">
      <x:c r="C12" s="33" t="str">
        <x:v>SC08</x:v>
      </x:c>
      <x:c r="D12" s="33" t="str">
        <x:v>Full-service deadline</x:v>
      </x:c>
      <x:c r="E12" s="33" t="str">
        <x:v>&lt;=</x:v>
      </x:c>
      <x:c r="F12" s="36" t="n">
        <x:v>21</x:v>
      </x:c>
      <x:c r="G12" s="36" t="n">
        <x:v>21</x:v>
      </x:c>
      <x:c r="H12" s="33" t="str">
        <x:v>days</x:v>
      </x:c>
      <x:c r="I12" s="33" t="str">
        <x:f>IF(E12="&gt;=",IF(G12&gt;=F12,"PASS","FAIL"),IF(E12="&lt;=",IF(G12&lt;=F12,"PASS","FAIL"),IF(G12=F12,"PASS","FAIL")))</x:f>
        <x:v>PASS</x:v>
      </x:c>
      <x:c r="J12" s="33" t="str">
        <x:v>OPEN</x:v>
      </x:c>
      <x:c r="K12" s="33" t="str">
        <x:v>HOLD</x:v>
      </x:c>
      <x:c r="L12" s="33" t="str">
        <x:v>All complete routes accepted</x:v>
      </x:c>
    </x:row>
    <x:row r="13" ht="40" customHeight="1">
      <x:c r="C13" s="33" t="str">
        <x:v>SC09</x:v>
      </x:c>
      <x:c r="D13" s="33" t="str">
        <x:v>Full potable water</x:v>
      </x:c>
      <x:c r="E13" s="33" t="str">
        <x:v>&gt;=</x:v>
      </x:c>
      <x:c r="F13" s="36" t="n">
        <x:v>100000</x:v>
      </x:c>
      <x:c r="G13" s="36" t="n">
        <x:v>100000</x:v>
      </x:c>
      <x:c r="H13" s="33" t="str">
        <x:v>m³/day</x:v>
      </x:c>
      <x:c r="I13" s="33" t="str">
        <x:f>IF(E13="&gt;=",IF(G13&gt;=F13,"PASS","FAIL"),IF(E13="&lt;=",IF(G13&lt;=F13,"PASS","FAIL"),IF(G13=F13,"PASS","FAIL")))</x:f>
        <x:v>PASS</x:v>
      </x:c>
      <x:c r="J13" s="33" t="str">
        <x:v>OPEN</x:v>
      </x:c>
      <x:c r="K13" s="33" t="str">
        <x:v>HOLD</x:v>
      </x:c>
      <x:c r="L13" s="33" t="str">
        <x:v>Delivered, not nameplate</x:v>
      </x:c>
    </x:row>
    <x:row r="14" ht="40" customHeight="1">
      <x:c r="C14" s="33" t="str">
        <x:v>SC10</x:v>
      </x:c>
      <x:c r="D14" s="33" t="str">
        <x:v>Wastewater or residual intake</x:v>
      </x:c>
      <x:c r="E14" s="33" t="str">
        <x:v>&gt;=</x:v>
      </x:c>
      <x:c r="F14" s="36" t="n">
        <x:v>80000</x:v>
      </x:c>
      <x:c r="G14" s="36" t="n">
        <x:v>80000</x:v>
      </x:c>
      <x:c r="H14" s="33" t="str">
        <x:v>m³/day</x:v>
      </x:c>
      <x:c r="I14" s="33" t="str">
        <x:f>IF(E14="&gt;=",IF(G14&gt;=F14,"PASS","FAIL"),IF(E14="&lt;=",IF(G14&lt;=F14,"PASS","FAIL"),IF(G14=F14,"PASS","FAIL")))</x:f>
        <x:v>PASS</x:v>
      </x:c>
      <x:c r="J14" s="33" t="str">
        <x:v>OPEN</x:v>
      </x:c>
      <x:c r="K14" s="33" t="str">
        <x:v>HOLD</x:v>
      </x:c>
      <x:c r="L14" s="33" t="str">
        <x:v>Accepted receiving stream</x:v>
      </x:c>
    </x:row>
    <x:row r="15" ht="40" customHeight="1">
      <x:c r="C15" s="33" t="str">
        <x:v>SC11</x:v>
      </x:c>
      <x:c r="D15" s="33" t="str">
        <x:v>Full firm electricity</x:v>
      </x:c>
      <x:c r="E15" s="33" t="str">
        <x:v>&gt;=</x:v>
      </x:c>
      <x:c r="F15" s="36" t="n">
        <x:v>100</x:v>
      </x:c>
      <x:c r="G15" s="36" t="n">
        <x:v>100</x:v>
      </x:c>
      <x:c r="H15" s="33" t="str">
        <x:v>MW</x:v>
      </x:c>
      <x:c r="I15" s="33" t="str">
        <x:f>IF(E15="&gt;=",IF(G15&gt;=F15,"PASS","FAIL"),IF(E15="&lt;=",IF(G15&lt;=F15,"PASS","FAIL"),IF(G15=F15,"PASS","FAIL")))</x:f>
        <x:v>PASS</x:v>
      </x:c>
      <x:c r="J15" s="33" t="str">
        <x:v>OPEN</x:v>
      </x:c>
      <x:c r="K15" s="33" t="str">
        <x:v>HOLD</x:v>
      </x:c>
      <x:c r="L15" s="33" t="str">
        <x:v>Point-of-use and grid bridge</x:v>
      </x:c>
    </x:row>
    <x:row r="16" ht="40" customHeight="1">
      <x:c r="C16" s="33" t="str">
        <x:v>SC12</x:v>
      </x:c>
      <x:c r="D16" s="33" t="str">
        <x:v>Full thermal safety</x:v>
      </x:c>
      <x:c r="E16" s="33" t="str">
        <x:v>&gt;=</x:v>
      </x:c>
      <x:c r="F16" s="36" t="n">
        <x:v>80</x:v>
      </x:c>
      <x:c r="G16" s="36" t="n">
        <x:v>80</x:v>
      </x:c>
      <x:c r="H16" s="33" t="str">
        <x:v>MWth</x:v>
      </x:c>
      <x:c r="I16" s="33" t="str">
        <x:f>IF(E16="&gt;=",IF(G16&gt;=F16,"PASS","FAIL"),IF(E16="&lt;=",IF(G16&lt;=F16,"PASS","FAIL"),IF(G16=F16,"PASS","FAIL")))</x:f>
        <x:v>PASS</x:v>
      </x:c>
      <x:c r="J16" s="33" t="str">
        <x:v>OPEN</x:v>
      </x:c>
      <x:c r="K16" s="33" t="str">
        <x:v>HOLD</x:v>
      </x:c>
      <x:c r="L16" s="33" t="str">
        <x:v>Occupied-service output</x:v>
      </x:c>
    </x:row>
    <x:row r="17" ht="40" customHeight="1">
      <x:c r="C17" s="33" t="str">
        <x:v>SC13</x:v>
      </x:c>
      <x:c r="D17" s="33" t="str">
        <x:v>Full-service water buffer</x:v>
      </x:c>
      <x:c r="E17" s="33" t="str">
        <x:v>&gt;=</x:v>
      </x:c>
      <x:c r="F17" s="36" t="n">
        <x:v>24</x:v>
      </x:c>
      <x:c r="G17" s="36" t="n">
        <x:v>24</x:v>
      </x:c>
      <x:c r="H17" s="33" t="str">
        <x:v>hours</x:v>
      </x:c>
      <x:c r="I17" s="33" t="str">
        <x:f>IF(E17="&gt;=",IF(G17&gt;=F17,"PASS","FAIL"),IF(E17="&lt;=",IF(G17&lt;=F17,"PASS","FAIL"),IF(G17=F17,"PASS","FAIL")))</x:f>
        <x:v>PASS</x:v>
      </x:c>
      <x:c r="J17" s="33" t="str">
        <x:v>OPEN</x:v>
      </x:c>
      <x:c r="K17" s="33" t="str">
        <x:v>HOLD</x:v>
      </x:c>
      <x:c r="L17" s="33" t="str">
        <x:v>100,000 m³ distributed storage</x:v>
      </x:c>
    </x:row>
    <x:row r="18" ht="40" customHeight="1">
      <x:c r="C18" s="33" t="str">
        <x:v>SC14</x:v>
      </x:c>
      <x:c r="D18" s="33" t="str">
        <x:v>Sustained service</x:v>
      </x:c>
      <x:c r="E18" s="33" t="str">
        <x:v>&gt;=</x:v>
      </x:c>
      <x:c r="F18" s="36" t="n">
        <x:v>30</x:v>
      </x:c>
      <x:c r="G18" s="36" t="n">
        <x:v>30</x:v>
      </x:c>
      <x:c r="H18" s="33" t="str">
        <x:v>days</x:v>
      </x:c>
      <x:c r="I18" s="33" t="str">
        <x:f>IF(E18="&gt;=",IF(G18&gt;=F18,"PASS","FAIL"),IF(E18="&lt;=",IF(G18&lt;=F18,"PASS","FAIL"),IF(G18=F18,"PASS","FAIL")))</x:f>
        <x:v>PASS</x:v>
      </x:c>
      <x:c r="J18" s="33" t="str">
        <x:v>OPEN</x:v>
      </x:c>
      <x:c r="K18" s="33" t="str">
        <x:v>HOLD</x:v>
      </x:c>
      <x:c r="L18" s="33" t="str">
        <x:v>Before handback or renewed authority</x:v>
      </x:c>
    </x:row>
    <x:row r="19" ht="40" customHeight="1">
      <x:c r="C19" s="33" t="str">
        <x:v>SC15</x:v>
      </x:c>
      <x:c r="D19" s="33" t="str">
        <x:v>Source-plus-corridor loss floor</x:v>
      </x:c>
      <x:c r="E19" s="33" t="str">
        <x:v>&gt;=</x:v>
      </x:c>
      <x:c r="F19" s="38" t="n">
        <x:v>0.5</x:v>
      </x:c>
      <x:c r="G19" s="38" t="n">
        <x:v>0.5</x:v>
      </x:c>
      <x:c r="H19" s="33" t="str">
        <x:v>share</x:v>
      </x:c>
      <x:c r="I19" s="33" t="str">
        <x:f>IF(E19="&gt;=",IF(G19&gt;=F19,"PASS","FAIL"),IF(E19="&lt;=",IF(G19&lt;=F19,"PASS","FAIL"),IF(G19=F19,"PASS","FAIL")))</x:f>
        <x:v>PASS</x:v>
      </x:c>
      <x:c r="J19" s="33" t="str">
        <x:v>OPEN</x:v>
      </x:c>
      <x:c r="K19" s="33" t="str">
        <x:v>HOLD</x:v>
      </x:c>
      <x:c r="L19" s="33" t="str">
        <x:v>After protected buffer interval</x:v>
      </x:c>
    </x:row>
    <x:row r="20" ht="40" customHeight="1">
      <x:c r="C20" s="33" t="str">
        <x:v>SC16</x:v>
      </x:c>
      <x:c r="D20" s="33" t="str">
        <x:v>Disconnected local control</x:v>
      </x:c>
      <x:c r="E20" s="33" t="str">
        <x:v>&gt;=</x:v>
      </x:c>
      <x:c r="F20" s="36" t="n">
        <x:v>24</x:v>
      </x:c>
      <x:c r="G20" s="36" t="n">
        <x:v>24</x:v>
      </x:c>
      <x:c r="H20" s="33" t="str">
        <x:v>hours</x:v>
      </x:c>
      <x:c r="I20" s="33" t="str">
        <x:f>IF(E20="&gt;=",IF(G20&gt;=F20,"PASS","FAIL"),IF(E20="&lt;=",IF(G20&lt;=F20,"PASS","FAIL"),IF(G20=F20,"PASS","FAIL")))</x:f>
        <x:v>PASS</x:v>
      </x:c>
      <x:c r="J20" s="33" t="str">
        <x:v>OPEN</x:v>
      </x:c>
      <x:c r="K20" s="33" t="str">
        <x:v>HOLD</x:v>
      </x:c>
      <x:c r="L20" s="33" t="str">
        <x:v>No cloud, vendor or wide-area time</x:v>
      </x:c>
    </x:row>
    <x:row r="21" ht="40" customHeight="1">
      <x:c r="C21" s="33" t="str">
        <x:v>SC17</x:v>
      </x:c>
      <x:c r="D21" s="33" t="str">
        <x:v>Residual mass assigned</x:v>
      </x:c>
      <x:c r="E21" s="33" t="str">
        <x:v>&gt;=</x:v>
      </x:c>
      <x:c r="F21" s="36" t="n">
        <x:v>1</x:v>
      </x:c>
      <x:c r="G21" s="36" t="n">
        <x:v>1</x:v>
      </x:c>
      <x:c r="H21" s="33" t="str">
        <x:v>share</x:v>
      </x:c>
      <x:c r="I21" s="33" t="str">
        <x:f>IF(E21="&gt;=",IF(G21&gt;=F21,"PASS","FAIL"),IF(E21="&lt;=",IF(G21&lt;=F21,"PASS","FAIL"),IF(G21=F21,"PASS","FAIL")))</x:f>
        <x:v>PASS</x:v>
      </x:c>
      <x:c r="J21" s="33" t="str">
        <x:v>OPEN</x:v>
      </x:c>
      <x:c r="K21" s="33" t="str">
        <x:v>HOLD</x:v>
      </x:c>
      <x:c r="L21" s="33" t="str">
        <x:v>Intake, concentrate, emissions and return</x:v>
      </x:c>
    </x:row>
    <x:row r="22" ht="40" customHeight="1">
      <x:c r="C22" s="33" t="str">
        <x:v>SC18</x:v>
      </x:c>
      <x:c r="D22" s="33" t="str">
        <x:v>Regeneration ceiling</x:v>
      </x:c>
      <x:c r="E22" s="33" t="str">
        <x:v>&lt;=</x:v>
      </x:c>
      <x:c r="F22" s="36" t="n">
        <x:v>720</x:v>
      </x:c>
      <x:c r="G22" s="36" t="n">
        <x:v>720</x:v>
      </x:c>
      <x:c r="H22" s="33" t="str">
        <x:v>hours</x:v>
      </x:c>
      <x:c r="I22" s="33" t="str">
        <x:f>IF(E22="&gt;=",IF(G22&gt;=F22,"PASS","FAIL"),IF(E22="&lt;=",IF(G22&lt;=F22,"PASS","FAIL"),IF(G22=F22,"PASS","FAIL")))</x:f>
        <x:v>PASS</x:v>
      </x:c>
      <x:c r="J22" s="33" t="str">
        <x:v>OPEN</x:v>
      </x:c>
      <x:c r="K22" s="33" t="str">
        <x:v>HOLD</x:v>
      </x:c>
      <x:c r="L22" s="33" t="str">
        <x:v>Cold return to controlled configuration</x:v>
      </x:c>
    </x:row>
    <x:row r="23" ht="40" customHeight="1">
      <x:c r="C23" s="33" t="str">
        <x:v>SC19</x:v>
      </x:c>
      <x:c r="D23" s="33" t="str">
        <x:v>Service routes</x:v>
      </x:c>
      <x:c r="E23" s="33" t="str">
        <x:v>EQ</x:v>
      </x:c>
      <x:c r="F23" s="36" t="n">
        <x:v>5</x:v>
      </x:c>
      <x:c r="G23" s="36" t="n">
        <x:v>5</x:v>
      </x:c>
      <x:c r="H23" s="33" t="str">
        <x:v>routes</x:v>
      </x:c>
      <x:c r="I23" s="33" t="str">
        <x:f>IF(E23="&gt;=",IF(G23&gt;=F23,"PASS","FAIL"),IF(E23="&lt;=",IF(G23&lt;=F23,"PASS","FAIL"),IF(G23=F23,"PASS","FAIL")))</x:f>
        <x:v>PASS</x:v>
      </x:c>
      <x:c r="J23" s="33" t="str">
        <x:v>OPEN</x:v>
      </x:c>
      <x:c r="K23" s="33" t="str">
        <x:v>HOLD</x:v>
      </x:c>
      <x:c r="L23" s="33" t="str">
        <x:v>No route may be omitted</x:v>
      </x:c>
    </x:row>
    <x:row r="24" ht="40" customHeight="1">
      <x:c r="C24" s="34" t="str">
        <x:v>SC20</x:v>
      </x:c>
      <x:c r="D24" s="34" t="str">
        <x:v>Formation positions</x:v>
      </x:c>
      <x:c r="E24" s="34" t="str">
        <x:v>EQ</x:v>
      </x:c>
      <x:c r="F24" s="37" t="n">
        <x:v>38</x:v>
      </x:c>
      <x:c r="G24" s="37" t="n">
        <x:v>38</x:v>
      </x:c>
      <x:c r="H24" s="34" t="str">
        <x:v>positions</x:v>
      </x:c>
      <x:c r="I24" s="34" t="str">
        <x:f>IF(E24="&gt;=",IF(G24&gt;=F24,"PASS","FAIL"),IF(E24="&lt;=",IF(G24&lt;=F24,"PASS","FAIL"),IF(G24=F24,"PASS","FAIL")))</x:f>
        <x:v>PASS</x:v>
      </x:c>
      <x:c r="J24" s="34" t="str">
        <x:v>OPEN</x:v>
      </x:c>
      <x:c r="K24" s="34" t="str">
        <x:v>HOLD</x:v>
      </x:c>
      <x:c r="L24" s="34" t="str">
        <x:v>Inherited serialized denominator</x:v>
      </x:c>
    </x:row>
  </x:sheetData>
  <x:conditionalFormatting sqref="I5:K24">
    <x:cfRule type="containsText" dxfId="6" priority="1" operator="containsText" text="FAIL"/>
    <x:cfRule type="containsText" dxfId="7" priority="2" operator="containsText" text="OPEN"/>
    <x:cfRule type="containsText" dxfId="8" priority="3" operator="containsText" text="HOLD"/>
    <x:cfRule type="containsText" dxfId="9" priority="4" operator="containsText" text="SELECT"/>
    <x:cfRule type="containsText" dxfId="10" priority="5" operator="containsText" text="PASS"/>
    <x:cfRule type="containsText" dxfId="11" priority="6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7A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0.5600004196167" hidden="0" customWidth="1"/>
    <x:col min="4" max="4" width="6.110000133514404" hidden="0" customWidth="1"/>
    <x:col min="5" max="5" width="21.110000610351562" hidden="0" customWidth="1"/>
    <x:col min="6" max="6" width="30" hidden="0" customWidth="1"/>
    <x:col min="7" max="7" width="10" hidden="0" customWidth="1"/>
    <x:col min="8" max="8" width="8.890000343322754" hidden="0" customWidth="1"/>
    <x:col min="9" max="9" width="11.670000076293945" hidden="0" customWidth="1"/>
    <x:col min="10" max="10" width="16.670000076293945" hidden="0" customWidth="1"/>
    <x:col min="11" max="11" width="11.670000076293945" hidden="0" customWidth="1"/>
    <x:col min="12" max="12" width="16.110000610351562" hidden="0" customWidth="1"/>
    <x:col min="13" max="13" width="15" hidden="0" customWidth="1"/>
    <x:col min="14" max="14" width="15" hidden="0" customWidth="1"/>
    <x:col min="15" max="15" width="10" hidden="0" customWidth="1"/>
    <x:col min="16" max="16" width="11.670000076293945" hidden="0" customWidth="1"/>
    <x:col min="17" max="17" width="9.4399995803833" hidden="0" customWidth="1"/>
    <x:col min="18" max="18" width="7.78000020980835" hidden="0" customWidth="1"/>
    <x:col min="19" max="19" width="10" hidden="0" customWidth="1"/>
  </x:cols>
  <x:sheetData>
    <x:row r="2">
      <x:c r="C2" s="1" t="str">
        <x:v>Four controlled lifeline roots</x:v>
      </x:c>
    </x:row>
    <x:row r="3">
      <x:c r="C3" s="2" t="str">
        <x:v>Equal public service does not imply equal mass, footprint, workforce or logistics.</x:v>
      </x:c>
    </x:row>
    <x:row r="4" ht="30" customHeight="1">
      <x:c r="C4" s="23" t="str">
        <x:v>Configuration</x:v>
      </x:c>
      <x:c r="D4" s="23" t="str">
        <x:v>Root</x:v>
      </x:c>
      <x:c r="E4" s="23" t="str">
        <x:v>Architecture</x:v>
      </x:c>
      <x:c r="F4" s="23" t="str">
        <x:v>Primary physics</x:v>
      </x:c>
      <x:c r="G4" s="23" t="str">
        <x:v>Source blocks</x:v>
      </x:c>
      <x:c r="H4" s="23" t="str">
        <x:v>Positions</x:v>
      </x:c>
      <x:c r="I4" s="23" t="str">
        <x:v>Dry mass t</x:v>
      </x:c>
      <x:c r="J4" s="23" t="str">
        <x:v>Imported 30-day consumable t</x:v>
      </x:c>
      <x:c r="K4" s="23" t="str">
        <x:v>Deployed crew</x:v>
      </x:c>
      <x:c r="L4" s="23" t="str">
        <x:v>Rotational establishment</x:v>
      </x:c>
      <x:c r="M4" s="23" t="str">
        <x:v>Sustained bus/block MW</x:v>
      </x:c>
      <x:c r="N4" s="23" t="str">
        <x:v>Required bus/block MW</x:v>
      </x:c>
      <x:c r="O4" s="23" t="str">
        <x:v>Margin MW</x:v>
      </x:c>
      <x:c r="P4" s="23" t="str">
        <x:v>G3 gates passed</x:v>
      </x:c>
      <x:c r="Q4" s="23" t="str">
        <x:v>Release</x:v>
      </x:c>
      <x:c r="R4" s="23" t="str">
        <x:v>Credit</x:v>
      </x:c>
      <x:c r="S4" s="23" t="str">
        <x:v>Rendering</x:v>
      </x:c>
      <x:c r="U4" t="str">
        <x:v>Root</x:v>
      </x:c>
      <x:c r="V4" t="str">
        <x:v>Dry mass (kt)</x:v>
      </x:c>
    </x:row>
    <x:row r="5" ht="44" customHeight="1">
      <x:c r="C5" s="32" t="str">
        <x:v>LF-A-CF1</x:v>
      </x:c>
      <x:c r="D5" s="32" t="str">
        <x:v>A</x:v>
      </x:c>
      <x:c r="E5" s="32" t="str">
        <x:v>Oceanic nuclear utility</x:v>
      </x:c>
      <x:c r="F5" s="32" t="str">
        <x:v>Segmented OUC-75 nuclear water-energy cell</x:v>
      </x:c>
      <x:c r="G5" s="32" t="n">
        <x:v>4</x:v>
      </x:c>
      <x:c r="H5" s="32" t="n">
        <x:f>COUNTIFS('Position Register'!$D$5:$D$156,$C5)</x:f>
        <x:v>38</x:v>
      </x:c>
      <x:c r="I5" s="35" t="n">
        <x:f>SUMIFS('Article Bill'!$K$5:$K$44,'Article Bill'!$D$5:$D$44,$C5)</x:f>
        <x:v>171300</x:v>
      </x:c>
      <x:c r="J5" s="35" t="n">
        <x:f>SUMIFS('Article Bill'!$O$5:$O$44,'Article Bill'!$D$5:$D$44,$C5)</x:f>
        <x:v>1000</x:v>
      </x:c>
      <x:c r="K5" s="35" t="n">
        <x:f>SUMIFS('Article Bill'!$M$5:$M$44,'Article Bill'!$D$5:$D$44,$C5)</x:f>
        <x:v>5090</x:v>
      </x:c>
      <x:c r="L5" s="35" t="n">
        <x:f>K5*'Controls'!$D$31</x:f>
        <x:v>16288</x:v>
      </x:c>
      <x:c r="M5" s="35" t="n">
        <x:f>INDEX('Source Balance'!$H$5:$H$8,MATCH($C5,'Source Balance'!$C$5:$C$8,0))</x:f>
        <x:v>62.099999999999994</x:v>
      </x:c>
      <x:c r="N5" s="35" t="n">
        <x:f>INDEX('Source Balance'!$O$5:$O$8,MATCH($C5,'Source Balance'!$C$5:$C$8,0))</x:f>
        <x:v>37.35104166666666</x:v>
      </x:c>
      <x:c r="O5" s="35" t="n">
        <x:f>M5-N5</x:f>
        <x:v>24.748958333333334</x:v>
      </x:c>
      <x:c r="P5" s="32" t="n">
        <x:f>COUNTIFS('G3 Gates'!$D$5:$D$60,$C5,'G3 Gates'!$I$5:$I$60,"PASS")</x:f>
        <x:v>0</x:v>
      </x:c>
      <x:c r="Q5" s="32" t="str">
        <x:f>IF(AND(P5=14,COUNTIFS('Ancestry Ledger'!$D$5:$D$52,$C5,'Ancestry Ledger'!$L$5:$L$52,"PASS")=12,COUNTIFS('Capacity Build'!$D$5:$D$44,$C5,'Capacity Build'!$K$5:$K$44,"PASS")=10,INDEX('Source Balance'!$Q$5:$Q$8,MATCH($C5,'Source Balance'!$C$5:$C$8,0))="PASS"),"G3 RELEASE","HOLD")</x:f>
        <x:v>HOLD</x:v>
      </x:c>
      <x:c r="R5" s="32" t="n">
        <x:v>0</x:v>
      </x:c>
      <x:c r="S5" s="32" t="str">
        <x:v>BLOCKED</x:v>
      </x:c>
      <x:c r="U5" t="str">
        <x:v>A</x:v>
      </x:c>
      <x:c r="V5" t="n">
        <x:f>I5/1000</x:f>
        <x:v>171.3</x:v>
      </x:c>
    </x:row>
    <x:row r="6" ht="44" customHeight="1">
      <x:c r="C6" s="33" t="str">
        <x:v>LF-B-CF1</x:v>
      </x:c>
      <x:c r="D6" s="33" t="str">
        <x:v>B</x:v>
      </x:c>
      <x:c r="E6" s="33" t="str">
        <x:v>Inland geothermal train</x:v>
      </x:c>
      <x:c r="F6" s="33" t="str">
        <x:v>IGT-50 rapid-bore geothermal field</x:v>
      </x:c>
      <x:c r="G6" s="33" t="n">
        <x:v>4</x:v>
      </x:c>
      <x:c r="H6" s="33" t="n">
        <x:f>COUNTIFS('Position Register'!$D$5:$D$156,$C6)</x:f>
        <x:v>38</x:v>
      </x:c>
      <x:c r="I6" s="36" t="n">
        <x:f>SUMIFS('Article Bill'!$K$5:$K$44,'Article Bill'!$D$5:$D$44,$C6)</x:f>
        <x:v>124300</x:v>
      </x:c>
      <x:c r="J6" s="36" t="n">
        <x:f>SUMIFS('Article Bill'!$O$5:$O$44,'Article Bill'!$D$5:$D$44,$C6)</x:f>
        <x:v>5000</x:v>
      </x:c>
      <x:c r="K6" s="36" t="n">
        <x:f>SUMIFS('Article Bill'!$M$5:$M$44,'Article Bill'!$D$5:$D$44,$C6)</x:f>
        <x:v>5330</x:v>
      </x:c>
      <x:c r="L6" s="36" t="n">
        <x:f>K6*'Controls'!$D$31</x:f>
        <x:v>17056</x:v>
      </x:c>
      <x:c r="M6" s="36" t="n">
        <x:f>INDEX('Source Balance'!$H$5:$H$8,MATCH($C6,'Source Balance'!$C$5:$C$8,0))</x:f>
        <x:v>40</x:v>
      </x:c>
      <x:c r="N6" s="36" t="n">
        <x:f>INDEX('Source Balance'!$O$5:$O$8,MATCH($C6,'Source Balance'!$C$5:$C$8,0))</x:f>
        <x:v>37.35104166666666</x:v>
      </x:c>
      <x:c r="O6" s="36" t="n">
        <x:f>M6-N6</x:f>
        <x:v>2.64895833333334</x:v>
      </x:c>
      <x:c r="P6" s="33" t="n">
        <x:f>COUNTIFS('G4 Gates'!$D$5:$D$60,$C6,'G4 Gates'!$I$5:$I$60,"PASS")</x:f>
        <x:v>0</x:v>
      </x:c>
      <x:c r="Q6" s="33" t="str">
        <x:f>IF(AND(P6=14,COUNTIFS('Ancestry Ledger'!$D$5:$D$52,$C6,'Ancestry Ledger'!$L$5:$L$52,"PASS")=12,COUNTIFS('Capacity Build'!$D$5:$D$44,$C6,'Capacity Build'!$K$5:$K$44,"PASS")=10,INDEX('Source Balance'!$Q$5:$Q$8,MATCH($C6,'Source Balance'!$C$5:$C$8,0))="PASS"),"G4 RELEASE","HOLD")</x:f>
        <x:v>HOLD</x:v>
      </x:c>
      <x:c r="R6" s="33" t="n">
        <x:v>0</x:v>
      </x:c>
      <x:c r="S6" s="33" t="str">
        <x:v>BLOCKED</x:v>
      </x:c>
      <x:c r="U6" t="str">
        <x:v>B</x:v>
      </x:c>
      <x:c r="V6" t="n">
        <x:f>I6/1000</x:f>
        <x:v>124.3</x:v>
      </x:c>
    </x:row>
    <x:row r="7" ht="44" customHeight="1">
      <x:c r="C7" s="33" t="str">
        <x:v>LF-C-CF1</x:v>
      </x:c>
      <x:c r="D7" s="33" t="str">
        <x:v>C</x:v>
      </x:c>
      <x:c r="E7" s="33" t="str">
        <x:v>Renewable electrochemical swarm</x:v>
      </x:c>
      <x:c r="F7" s="33" t="str">
        <x:v>RES-100/2G renewable and storage park</x:v>
      </x:c>
      <x:c r="G7" s="33" t="n">
        <x:v>4</x:v>
      </x:c>
      <x:c r="H7" s="33" t="n">
        <x:f>COUNTIFS('Position Register'!$D$5:$D$156,$C7)</x:f>
        <x:v>38</x:v>
      </x:c>
      <x:c r="I7" s="36" t="n">
        <x:f>SUMIFS('Article Bill'!$K$5:$K$44,'Article Bill'!$D$5:$D$44,$C7)</x:f>
        <x:v>138600</x:v>
      </x:c>
      <x:c r="J7" s="36" t="n">
        <x:f>SUMIFS('Article Bill'!$O$5:$O$44,'Article Bill'!$D$5:$D$44,$C7)</x:f>
        <x:v>2000</x:v>
      </x:c>
      <x:c r="K7" s="36" t="n">
        <x:f>SUMIFS('Article Bill'!$M$5:$M$44,'Article Bill'!$D$5:$D$44,$C7)</x:f>
        <x:v>4000</x:v>
      </x:c>
      <x:c r="L7" s="36" t="n">
        <x:f>K7*'Controls'!$D$31</x:f>
        <x:v>12800</x:v>
      </x:c>
      <x:c r="M7" s="36" t="n">
        <x:f>INDEX('Source Balance'!$H$5:$H$8,MATCH($C7,'Source Balance'!$C$5:$C$8,0))</x:f>
        <x:v>40</x:v>
      </x:c>
      <x:c r="N7" s="36" t="n">
        <x:f>INDEX('Source Balance'!$O$5:$O$8,MATCH($C7,'Source Balance'!$C$5:$C$8,0))</x:f>
        <x:v>37.35104166666666</x:v>
      </x:c>
      <x:c r="O7" s="36" t="n">
        <x:f>M7-N7</x:f>
        <x:v>2.64895833333334</x:v>
      </x:c>
      <x:c r="P7" s="33" t="n">
        <x:f>COUNTIFS('G5 Gates'!$D$5:$D$60,$C7,'G5 Gates'!$I$5:$I$60,"PASS")</x:f>
        <x:v>0</x:v>
      </x:c>
      <x:c r="Q7" s="33" t="str">
        <x:f>IF(AND(P7=14,COUNTIFS('Ancestry Ledger'!$D$5:$D$52,$C7,'Ancestry Ledger'!$L$5:$L$52,"PASS")=12,COUNTIFS('Capacity Build'!$D$5:$D$44,$C7,'Capacity Build'!$K$5:$K$44,"PASS")=10,INDEX('Source Balance'!$Q$5:$Q$8,MATCH($C7,'Source Balance'!$C$5:$C$8,0))="PASS"),"G5 RELEASE","HOLD")</x:f>
        <x:v>HOLD</x:v>
      </x:c>
      <x:c r="R7" s="33" t="n">
        <x:v>0</x:v>
      </x:c>
      <x:c r="S7" s="33" t="str">
        <x:v>BLOCKED</x:v>
      </x:c>
      <x:c r="U7" t="str">
        <x:v>C</x:v>
      </x:c>
      <x:c r="V7" t="n">
        <x:f>I7/1000</x:f>
        <x:v>138.6</x:v>
      </x:c>
    </x:row>
    <x:row r="8" ht="44" customHeight="1">
      <x:c r="C8" s="34" t="str">
        <x:v>LF-D-CF1</x:v>
      </x:c>
      <x:c r="D8" s="34" t="str">
        <x:v>D</x:v>
      </x:c>
      <x:c r="E8" s="34" t="str">
        <x:v>Synthetic-fuel service fleet</x:v>
      </x:c>
      <x:c r="F8" s="34" t="str">
        <x:v>SFS-50 ammonia-hydrogen hybrid</x:v>
      </x:c>
      <x:c r="G8" s="34" t="n">
        <x:v>4</x:v>
      </x:c>
      <x:c r="H8" s="34" t="n">
        <x:f>COUNTIFS('Position Register'!$D$5:$D$156,$C8)</x:f>
        <x:v>38</x:v>
      </x:c>
      <x:c r="I8" s="37" t="n">
        <x:f>SUMIFS('Article Bill'!$K$5:$K$44,'Article Bill'!$D$5:$D$44,$C8)</x:f>
        <x:v>73400</x:v>
      </x:c>
      <x:c r="J8" s="37" t="n">
        <x:f>SUMIFS('Article Bill'!$O$5:$O$44,'Article Bill'!$D$5:$D$44,$C8)</x:f>
        <x:v>32000</x:v>
      </x:c>
      <x:c r="K8" s="37" t="n">
        <x:f>SUMIFS('Article Bill'!$M$5:$M$44,'Article Bill'!$D$5:$D$44,$C8)</x:f>
        <x:v>4050</x:v>
      </x:c>
      <x:c r="L8" s="37" t="n">
        <x:f>K8*'Controls'!$D$31</x:f>
        <x:v>12960</x:v>
      </x:c>
      <x:c r="M8" s="37" t="n">
        <x:f>INDEX('Source Balance'!$H$5:$H$8,MATCH($C8,'Source Balance'!$C$5:$C$8,0))</x:f>
        <x:v>40</x:v>
      </x:c>
      <x:c r="N8" s="37" t="n">
        <x:f>INDEX('Source Balance'!$O$5:$O$8,MATCH($C8,'Source Balance'!$C$5:$C$8,0))</x:f>
        <x:v>37.35104166666666</x:v>
      </x:c>
      <x:c r="O8" s="37" t="n">
        <x:f>M8-N8</x:f>
        <x:v>2.64895833333334</x:v>
      </x:c>
      <x:c r="P8" s="34" t="n">
        <x:f>COUNTIFS('G6 Gates'!$D$5:$D$60,$C8,'G6 Gates'!$I$5:$I$60,"PASS")</x:f>
        <x:v>0</x:v>
      </x:c>
      <x:c r="Q8" s="34" t="str">
        <x:f>IF(AND(P8=14,COUNTIFS('Ancestry Ledger'!$D$5:$D$52,$C8,'Ancestry Ledger'!$L$5:$L$52,"PASS")=12,COUNTIFS('Capacity Build'!$D$5:$D$44,$C8,'Capacity Build'!$K$5:$K$44,"PASS")=10,INDEX('Source Balance'!$Q$5:$Q$8,MATCH($C8,'Source Balance'!$C$5:$C$8,0))="PASS"),"G6 RELEASE","HOLD")</x:f>
        <x:v>HOLD</x:v>
      </x:c>
      <x:c r="R8" s="34" t="n">
        <x:v>0</x:v>
      </x:c>
      <x:c r="S8" s="34" t="str">
        <x:v>BLOCKED</x:v>
      </x:c>
      <x:c r="U8" t="str">
        <x:v>D</x:v>
      </x:c>
      <x:c r="V8" t="n">
        <x:f>I8/1000</x:f>
        <x:v>73.4</x:v>
      </x:c>
    </x:row>
  </x:sheetData>
  <x:conditionalFormatting sqref="Q5:S8">
    <x:cfRule type="containsText" dxfId="48" priority="1" operator="containsText" text="FAIL"/>
    <x:cfRule type="containsText" dxfId="49" priority="2" operator="containsText" text="OPEN"/>
    <x:cfRule type="containsText" dxfId="50" priority="3" operator="containsText" text="HOLD"/>
    <x:cfRule type="containsText" dxfId="51" priority="4" operator="containsText" text="SELECT"/>
    <x:cfRule type="containsText" dxfId="52" priority="5" operator="containsText" text="PASS"/>
    <x:cfRule type="containsText" dxfId="53" priority="6" operator="containsText" text="BLOCKED"/>
  </x:conditionalFormatting>
  <x:pageMargins left="0.7" right="0.7" top="0.75" bottom="0.75" header="0.3" footer="0.3"/>
  <x:drawing xmlns:r="http://schemas.openxmlformats.org/officeDocument/2006/relationships" r:id="R70f1bf58625b44ce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3" max="3" width="15" hidden="0" customWidth="1"/>
    <x:col min="4" max="4" width="10.5600004196167" hidden="0" customWidth="1"/>
    <x:col min="5" max="5" width="6.110000133514404" hidden="0" customWidth="1"/>
    <x:col min="6" max="6" width="7.21999979019165" hidden="0" customWidth="1"/>
    <x:col min="7" max="7" width="6.110000133514404" hidden="0" customWidth="1"/>
    <x:col min="8" max="8" width="21.110000610351562" hidden="0" customWidth="1"/>
    <x:col min="9" max="9" width="34.439998626708984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8.329999923706055" hidden="0" customWidth="1"/>
    <x:col min="14" max="14" width="8.329999923706055" hidden="0" customWidth="1"/>
    <x:col min="15" max="15" width="10" hidden="0" customWidth="1"/>
    <x:col min="16" max="16" width="11.670000076293945" hidden="0" customWidth="1"/>
    <x:col min="17" max="17" width="8.329999923706055" hidden="0" customWidth="1"/>
    <x:col min="18" max="18" width="11.109999656677246" hidden="0" customWidth="1"/>
    <x:col min="19" max="19" width="11.670000076293945" hidden="0" customWidth="1"/>
    <x:col min="20" max="20" width="8.890000343322754" hidden="0" customWidth="1"/>
    <x:col min="21" max="21" width="8.329999923706055" hidden="0" customWidth="1"/>
    <x:col min="22" max="22" width="95" hidden="0" customWidth="1"/>
  </x:cols>
  <x:sheetData>
    <x:row r="2">
      <x:c r="C2" s="1" t="str">
        <x:v>One hundred fifty-two controlled lifeline positions</x:v>
      </x:c>
    </x:row>
    <x:row r="3">
      <x:c r="C3" s="2" t="str">
        <x:v>Every root carries all five routes; capacity is serial across source, bridge and receiving positions.</x:v>
      </x:c>
    </x:row>
    <x:row r="4" ht="30" customHeight="1">
      <x:c r="C4" s="23" t="str">
        <x:v>Position ID</x:v>
      </x:c>
      <x:c r="D4" s="23" t="str">
        <x:v>Configuration</x:v>
      </x:c>
      <x:c r="E4" s="23" t="str">
        <x:v>Root</x:v>
      </x:c>
      <x:c r="F4" s="23" t="str">
        <x:v>Route</x:v>
      </x:c>
      <x:c r="G4" s="23" t="str">
        <x:v>Slot</x:v>
      </x:c>
      <x:c r="H4" s="23" t="str">
        <x:v>Service function</x:v>
      </x:c>
      <x:c r="I4" s="23" t="str">
        <x:v>Root mechanism</x:v>
      </x:c>
      <x:c r="J4" s="23" t="str">
        <x:v>Water produced m³/day</x:v>
      </x:c>
      <x:c r="K4" s="23" t="str">
        <x:v>Water released m³/day</x:v>
      </x:c>
      <x:c r="L4" s="23" t="str">
        <x:v>Waste accepted m³/day</x:v>
      </x:c>
      <x:c r="M4" s="23" t="str">
        <x:v>Firm MW</x:v>
      </x:c>
      <x:c r="N4" s="23" t="str">
        <x:v>Peak MW</x:v>
      </x:c>
      <x:c r="O4" s="23" t="str">
        <x:v>Thermal MWth</x:v>
      </x:c>
      <x:c r="P4" s="23" t="str">
        <x:v>Water storage m³</x:v>
      </x:c>
      <x:c r="Q4" s="23" t="str">
        <x:v>Route km</x:v>
      </x:c>
      <x:c r="R4" s="23" t="str">
        <x:v>Black-start MWh</x:v>
      </x:c>
      <x:c r="S4" s="23" t="str">
        <x:v>State</x:v>
      </x:c>
      <x:c r="T4" s="23" t="str">
        <x:v>Evidence</x:v>
      </x:c>
      <x:c r="U4" s="23" t="str">
        <x:v>Admission</x:v>
      </x:c>
      <x:c r="V4" s="39" t="str">
        <x:v>ID multiplicity</x:v>
      </x:c>
    </x:row>
    <x:row r="5" ht="34" customHeight="1">
      <x:c r="C5" s="32" t="str">
        <x:v>LF-A-R1-P01</x:v>
      </x:c>
      <x:c r="D5" s="32" t="str">
        <x:v>LF-A-CF1</x:v>
      </x:c>
      <x:c r="E5" s="32" t="str">
        <x:v>A</x:v>
      </x:c>
      <x:c r="F5" s="32" t="str">
        <x:v>LF-R1</x:v>
      </x:c>
      <x:c r="G5" s="32" t="n">
        <x:v>1</x:v>
      </x:c>
      <x:c r="H5" s="32" t="str">
        <x:v>Strategic and maritime production</x:v>
      </x:c>
      <x:c r="I5" s="32" t="str">
        <x:v>segmented nuclear-thermal coastal source cell</x:v>
      </x:c>
      <x:c r="J5" s="35" t="n">
        <x:v>25000</x:v>
      </x:c>
      <x:c r="K5" s="35" t="n">
        <x:v>0</x:v>
      </x:c>
      <x:c r="L5" s="35" t="n">
        <x:v>0</x:v>
      </x:c>
      <x:c r="M5" s="35" t="n">
        <x:v>25</x:v>
      </x:c>
      <x:c r="N5" s="35" t="n">
        <x:v>0</x:v>
      </x:c>
      <x:c r="O5" s="35" t="n">
        <x:v>20</x:v>
      </x:c>
      <x:c r="P5" s="35" t="n">
        <x:v>0</x:v>
      </x:c>
      <x:c r="Q5" s="35" t="n">
        <x:v>0</x:v>
      </x:c>
      <x:c r="R5" s="35" t="n">
        <x:v>0</x:v>
      </x:c>
      <x:c r="S5" s="35" t="str">
        <x:v>FROZEN TARGET</x:v>
      </x:c>
      <x:c r="T5" s="32" t="str">
        <x:v>OPEN</x:v>
      </x:c>
      <x:c r="U5" s="32" t="n">
        <x:v>0</x:v>
      </x:c>
      <x:c r="V5" t="n">
        <x:f>COUNTIFS($C$5:$C$156,C5)</x:f>
        <x:v>1</x:v>
      </x:c>
    </x:row>
    <x:row r="6" ht="34" customHeight="1">
      <x:c r="C6" s="33" t="str">
        <x:v>LF-A-R1-P02</x:v>
      </x:c>
      <x:c r="D6" s="33" t="str">
        <x:v>LF-A-CF1</x:v>
      </x:c>
      <x:c r="E6" s="33" t="str">
        <x:v>A</x:v>
      </x:c>
      <x:c r="F6" s="33" t="str">
        <x:v>LF-R1</x:v>
      </x:c>
      <x:c r="G6" s="33" t="n">
        <x:v>2</x:v>
      </x:c>
      <x:c r="H6" s="33" t="str">
        <x:v>Strategic and maritime production</x:v>
      </x:c>
      <x:c r="I6" s="33" t="str">
        <x:v>segmented nuclear-thermal coastal source cell</x:v>
      </x:c>
      <x:c r="J6" s="36" t="n">
        <x:v>25000</x:v>
      </x:c>
      <x:c r="K6" s="36" t="n">
        <x:v>0</x:v>
      </x:c>
      <x:c r="L6" s="36" t="n">
        <x:v>0</x:v>
      </x:c>
      <x:c r="M6" s="36" t="n">
        <x:v>25</x:v>
      </x:c>
      <x:c r="N6" s="36" t="n">
        <x:v>0</x:v>
      </x:c>
      <x:c r="O6" s="36" t="n">
        <x:v>20</x:v>
      </x:c>
      <x:c r="P6" s="36" t="n">
        <x:v>0</x:v>
      </x:c>
      <x:c r="Q6" s="36" t="n">
        <x:v>0</x:v>
      </x:c>
      <x:c r="R6" s="36" t="n">
        <x:v>0</x:v>
      </x:c>
      <x:c r="S6" s="36" t="str">
        <x:v>FROZEN TARGET</x:v>
      </x:c>
      <x:c r="T6" s="33" t="str">
        <x:v>OPEN</x:v>
      </x:c>
      <x:c r="U6" s="33" t="n">
        <x:v>0</x:v>
      </x:c>
      <x:c r="V6" t="n">
        <x:f>COUNTIFS($C$5:$C$156,C6)</x:f>
        <x:v>1</x:v>
      </x:c>
    </x:row>
    <x:row r="7" ht="34" customHeight="1">
      <x:c r="C7" s="33" t="str">
        <x:v>LF-A-R1-P03</x:v>
      </x:c>
      <x:c r="D7" s="33" t="str">
        <x:v>LF-A-CF1</x:v>
      </x:c>
      <x:c r="E7" s="33" t="str">
        <x:v>A</x:v>
      </x:c>
      <x:c r="F7" s="33" t="str">
        <x:v>LF-R1</x:v>
      </x:c>
      <x:c r="G7" s="33" t="n">
        <x:v>3</x:v>
      </x:c>
      <x:c r="H7" s="33" t="str">
        <x:v>Strategic and maritime production</x:v>
      </x:c>
      <x:c r="I7" s="33" t="str">
        <x:v>segmented nuclear-thermal coastal source cell</x:v>
      </x:c>
      <x:c r="J7" s="36" t="n">
        <x:v>25000</x:v>
      </x:c>
      <x:c r="K7" s="36" t="n">
        <x:v>0</x:v>
      </x:c>
      <x:c r="L7" s="36" t="n">
        <x:v>0</x:v>
      </x:c>
      <x:c r="M7" s="36" t="n">
        <x:v>25</x:v>
      </x:c>
      <x:c r="N7" s="36" t="n">
        <x:v>0</x:v>
      </x:c>
      <x:c r="O7" s="36" t="n">
        <x:v>20</x:v>
      </x:c>
      <x:c r="P7" s="36" t="n">
        <x:v>0</x:v>
      </x:c>
      <x:c r="Q7" s="36" t="n">
        <x:v>0</x:v>
      </x:c>
      <x:c r="R7" s="36" t="n">
        <x:v>0</x:v>
      </x:c>
      <x:c r="S7" s="36" t="str">
        <x:v>FROZEN TARGET</x:v>
      </x:c>
      <x:c r="T7" s="33" t="str">
        <x:v>OPEN</x:v>
      </x:c>
      <x:c r="U7" s="33" t="n">
        <x:v>0</x:v>
      </x:c>
      <x:c r="V7" t="n">
        <x:f>COUNTIFS($C$5:$C$156,C7)</x:f>
        <x:v>1</x:v>
      </x:c>
    </x:row>
    <x:row r="8" ht="34" customHeight="1">
      <x:c r="C8" s="33" t="str">
        <x:v>LF-A-R1-P04</x:v>
      </x:c>
      <x:c r="D8" s="33" t="str">
        <x:v>LF-A-CF1</x:v>
      </x:c>
      <x:c r="E8" s="33" t="str">
        <x:v>A</x:v>
      </x:c>
      <x:c r="F8" s="33" t="str">
        <x:v>LF-R1</x:v>
      </x:c>
      <x:c r="G8" s="33" t="n">
        <x:v>4</x:v>
      </x:c>
      <x:c r="H8" s="33" t="str">
        <x:v>Strategic and maritime production</x:v>
      </x:c>
      <x:c r="I8" s="33" t="str">
        <x:v>segmented nuclear-thermal coastal source cell</x:v>
      </x:c>
      <x:c r="J8" s="36" t="n">
        <x:v>25000</x:v>
      </x:c>
      <x:c r="K8" s="36" t="n">
        <x:v>0</x:v>
      </x:c>
      <x:c r="L8" s="36" t="n">
        <x:v>0</x:v>
      </x:c>
      <x:c r="M8" s="36" t="n">
        <x:v>25</x:v>
      </x:c>
      <x:c r="N8" s="36" t="n">
        <x:v>0</x:v>
      </x:c>
      <x:c r="O8" s="36" t="n">
        <x:v>20</x:v>
      </x:c>
      <x:c r="P8" s="36" t="n">
        <x:v>0</x:v>
      </x:c>
      <x:c r="Q8" s="36" t="n">
        <x:v>0</x:v>
      </x:c>
      <x:c r="R8" s="36" t="n">
        <x:v>0</x:v>
      </x:c>
      <x:c r="S8" s="36" t="str">
        <x:v>FROZEN TARGET</x:v>
      </x:c>
      <x:c r="T8" s="33" t="str">
        <x:v>OPEN</x:v>
      </x:c>
      <x:c r="U8" s="33" t="n">
        <x:v>0</x:v>
      </x:c>
      <x:c r="V8" t="n">
        <x:f>COUNTIFS($C$5:$C$156,C8)</x:f>
        <x:v>1</x:v>
      </x:c>
    </x:row>
    <x:row r="9" ht="34" customHeight="1">
      <x:c r="C9" s="33" t="str">
        <x:v>LF-A-R2-P01</x:v>
      </x:c>
      <x:c r="D9" s="33" t="str">
        <x:v>LF-A-CF1</x:v>
      </x:c>
      <x:c r="E9" s="33" t="str">
        <x:v>A</x:v>
      </x:c>
      <x:c r="F9" s="33" t="str">
        <x:v>LF-R2</x:v>
      </x:c>
      <x:c r="G9" s="33" t="n">
        <x:v>1</x:v>
      </x:c>
      <x:c r="H9" s="33" t="str">
        <x:v>Water and wastewater at point of use</x:v>
      </x:c>
      <x:c r="I9" s="33" t="str">
        <x:v>thermal-separation water group and shore pipe gallery</x:v>
      </x:c>
      <x:c r="J9" s="36" t="n">
        <x:v>0</x:v>
      </x:c>
      <x:c r="K9" s="36" t="n">
        <x:v>12500</x:v>
      </x:c>
      <x:c r="L9" s="36" t="n">
        <x:v>10000</x:v>
      </x:c>
      <x:c r="M9" s="36" t="n">
        <x:v>0</x:v>
      </x:c>
      <x:c r="N9" s="36" t="n">
        <x:v>0</x:v>
      </x:c>
      <x:c r="O9" s="36" t="n">
        <x:v>0</x:v>
      </x:c>
      <x:c r="P9" s="36" t="n">
        <x:v>12500</x:v>
      </x:c>
      <x:c r="Q9" s="36" t="n">
        <x:v>30</x:v>
      </x:c>
      <x:c r="R9" s="36" t="n">
        <x:v>0</x:v>
      </x:c>
      <x:c r="S9" s="36" t="str">
        <x:v>FROZEN TARGET</x:v>
      </x:c>
      <x:c r="T9" s="33" t="str">
        <x:v>OPEN</x:v>
      </x:c>
      <x:c r="U9" s="33" t="n">
        <x:v>0</x:v>
      </x:c>
      <x:c r="V9" t="n">
        <x:f>COUNTIFS($C$5:$C$156,C9)</x:f>
        <x:v>1</x:v>
      </x:c>
    </x:row>
    <x:row r="10" ht="34" customHeight="1">
      <x:c r="C10" s="33" t="str">
        <x:v>LF-A-R2-P02</x:v>
      </x:c>
      <x:c r="D10" s="33" t="str">
        <x:v>LF-A-CF1</x:v>
      </x:c>
      <x:c r="E10" s="33" t="str">
        <x:v>A</x:v>
      </x:c>
      <x:c r="F10" s="33" t="str">
        <x:v>LF-R2</x:v>
      </x:c>
      <x:c r="G10" s="33" t="n">
        <x:v>2</x:v>
      </x:c>
      <x:c r="H10" s="33" t="str">
        <x:v>Water and wastewater at point of use</x:v>
      </x:c>
      <x:c r="I10" s="33" t="str">
        <x:v>thermal-separation water group and shore pipe gallery</x:v>
      </x:c>
      <x:c r="J10" s="36" t="n">
        <x:v>0</x:v>
      </x:c>
      <x:c r="K10" s="36" t="n">
        <x:v>12500</x:v>
      </x:c>
      <x:c r="L10" s="36" t="n">
        <x:v>10000</x:v>
      </x:c>
      <x:c r="M10" s="36" t="n">
        <x:v>0</x:v>
      </x:c>
      <x:c r="N10" s="36" t="n">
        <x:v>0</x:v>
      </x:c>
      <x:c r="O10" s="36" t="n">
        <x:v>0</x:v>
      </x:c>
      <x:c r="P10" s="36" t="n">
        <x:v>12500</x:v>
      </x:c>
      <x:c r="Q10" s="36" t="n">
        <x:v>30</x:v>
      </x:c>
      <x:c r="R10" s="36" t="n">
        <x:v>0</x:v>
      </x:c>
      <x:c r="S10" s="36" t="str">
        <x:v>FROZEN TARGET</x:v>
      </x:c>
      <x:c r="T10" s="33" t="str">
        <x:v>OPEN</x:v>
      </x:c>
      <x:c r="U10" s="33" t="n">
        <x:v>0</x:v>
      </x:c>
      <x:c r="V10" t="n">
        <x:f>COUNTIFS($C$5:$C$156,C10)</x:f>
        <x:v>1</x:v>
      </x:c>
    </x:row>
    <x:row r="11" ht="34" customHeight="1">
      <x:c r="C11" s="33" t="str">
        <x:v>LF-A-R2-P03</x:v>
      </x:c>
      <x:c r="D11" s="33" t="str">
        <x:v>LF-A-CF1</x:v>
      </x:c>
      <x:c r="E11" s="33" t="str">
        <x:v>A</x:v>
      </x:c>
      <x:c r="F11" s="33" t="str">
        <x:v>LF-R2</x:v>
      </x:c>
      <x:c r="G11" s="33" t="n">
        <x:v>3</x:v>
      </x:c>
      <x:c r="H11" s="33" t="str">
        <x:v>Water and wastewater at point of use</x:v>
      </x:c>
      <x:c r="I11" s="33" t="str">
        <x:v>thermal-separation water group and shore pipe gallery</x:v>
      </x:c>
      <x:c r="J11" s="36" t="n">
        <x:v>0</x:v>
      </x:c>
      <x:c r="K11" s="36" t="n">
        <x:v>12500</x:v>
      </x:c>
      <x:c r="L11" s="36" t="n">
        <x:v>10000</x:v>
      </x:c>
      <x:c r="M11" s="36" t="n">
        <x:v>0</x:v>
      </x:c>
      <x:c r="N11" s="36" t="n">
        <x:v>0</x:v>
      </x:c>
      <x:c r="O11" s="36" t="n">
        <x:v>0</x:v>
      </x:c>
      <x:c r="P11" s="36" t="n">
        <x:v>12500</x:v>
      </x:c>
      <x:c r="Q11" s="36" t="n">
        <x:v>30</x:v>
      </x:c>
      <x:c r="R11" s="36" t="n">
        <x:v>0</x:v>
      </x:c>
      <x:c r="S11" s="36" t="str">
        <x:v>FROZEN TARGET</x:v>
      </x:c>
      <x:c r="T11" s="33" t="str">
        <x:v>OPEN</x:v>
      </x:c>
      <x:c r="U11" s="33" t="n">
        <x:v>0</x:v>
      </x:c>
      <x:c r="V11" t="n">
        <x:f>COUNTIFS($C$5:$C$156,C11)</x:f>
        <x:v>1</x:v>
      </x:c>
    </x:row>
    <x:row r="12" ht="34" customHeight="1">
      <x:c r="C12" s="33" t="str">
        <x:v>LF-A-R2-P04</x:v>
      </x:c>
      <x:c r="D12" s="33" t="str">
        <x:v>LF-A-CF1</x:v>
      </x:c>
      <x:c r="E12" s="33" t="str">
        <x:v>A</x:v>
      </x:c>
      <x:c r="F12" s="33" t="str">
        <x:v>LF-R2</x:v>
      </x:c>
      <x:c r="G12" s="33" t="n">
        <x:v>4</x:v>
      </x:c>
      <x:c r="H12" s="33" t="str">
        <x:v>Water and wastewater at point of use</x:v>
      </x:c>
      <x:c r="I12" s="33" t="str">
        <x:v>thermal-separation water group and shore pipe gallery</x:v>
      </x:c>
      <x:c r="J12" s="36" t="n">
        <x:v>0</x:v>
      </x:c>
      <x:c r="K12" s="36" t="n">
        <x:v>12500</x:v>
      </x:c>
      <x:c r="L12" s="36" t="n">
        <x:v>10000</x:v>
      </x:c>
      <x:c r="M12" s="36" t="n">
        <x:v>0</x:v>
      </x:c>
      <x:c r="N12" s="36" t="n">
        <x:v>0</x:v>
      </x:c>
      <x:c r="O12" s="36" t="n">
        <x:v>0</x:v>
      </x:c>
      <x:c r="P12" s="36" t="n">
        <x:v>12500</x:v>
      </x:c>
      <x:c r="Q12" s="36" t="n">
        <x:v>30</x:v>
      </x:c>
      <x:c r="R12" s="36" t="n">
        <x:v>0</x:v>
      </x:c>
      <x:c r="S12" s="36" t="str">
        <x:v>FROZEN TARGET</x:v>
      </x:c>
      <x:c r="T12" s="33" t="str">
        <x:v>OPEN</x:v>
      </x:c>
      <x:c r="U12" s="33" t="n">
        <x:v>0</x:v>
      </x:c>
      <x:c r="V12" t="n">
        <x:f>COUNTIFS($C$5:$C$156,C12)</x:f>
        <x:v>1</x:v>
      </x:c>
    </x:row>
    <x:row r="13" ht="34" customHeight="1">
      <x:c r="C13" s="33" t="str">
        <x:v>LF-A-R2-P05</x:v>
      </x:c>
      <x:c r="D13" s="33" t="str">
        <x:v>LF-A-CF1</x:v>
      </x:c>
      <x:c r="E13" s="33" t="str">
        <x:v>A</x:v>
      </x:c>
      <x:c r="F13" s="33" t="str">
        <x:v>LF-R2</x:v>
      </x:c>
      <x:c r="G13" s="33" t="n">
        <x:v>5</x:v>
      </x:c>
      <x:c r="H13" s="33" t="str">
        <x:v>Water and wastewater at point of use</x:v>
      </x:c>
      <x:c r="I13" s="33" t="str">
        <x:v>thermal-separation water group and shore pipe gallery</x:v>
      </x:c>
      <x:c r="J13" s="36" t="n">
        <x:v>0</x:v>
      </x:c>
      <x:c r="K13" s="36" t="n">
        <x:v>12500</x:v>
      </x:c>
      <x:c r="L13" s="36" t="n">
        <x:v>10000</x:v>
      </x:c>
      <x:c r="M13" s="36" t="n">
        <x:v>0</x:v>
      </x:c>
      <x:c r="N13" s="36" t="n">
        <x:v>0</x:v>
      </x:c>
      <x:c r="O13" s="36" t="n">
        <x:v>0</x:v>
      </x:c>
      <x:c r="P13" s="36" t="n">
        <x:v>12500</x:v>
      </x:c>
      <x:c r="Q13" s="36" t="n">
        <x:v>30</x:v>
      </x:c>
      <x:c r="R13" s="36" t="n">
        <x:v>0</x:v>
      </x:c>
      <x:c r="S13" s="36" t="str">
        <x:v>FROZEN TARGET</x:v>
      </x:c>
      <x:c r="T13" s="33" t="str">
        <x:v>OPEN</x:v>
      </x:c>
      <x:c r="U13" s="33" t="n">
        <x:v>0</x:v>
      </x:c>
      <x:c r="V13" t="n">
        <x:f>COUNTIFS($C$5:$C$156,C13)</x:f>
        <x:v>1</x:v>
      </x:c>
    </x:row>
    <x:row r="14" ht="34" customHeight="1">
      <x:c r="C14" s="33" t="str">
        <x:v>LF-A-R2-P06</x:v>
      </x:c>
      <x:c r="D14" s="33" t="str">
        <x:v>LF-A-CF1</x:v>
      </x:c>
      <x:c r="E14" s="33" t="str">
        <x:v>A</x:v>
      </x:c>
      <x:c r="F14" s="33" t="str">
        <x:v>LF-R2</x:v>
      </x:c>
      <x:c r="G14" s="33" t="n">
        <x:v>6</x:v>
      </x:c>
      <x:c r="H14" s="33" t="str">
        <x:v>Water and wastewater at point of use</x:v>
      </x:c>
      <x:c r="I14" s="33" t="str">
        <x:v>thermal-separation water group and shore pipe gallery</x:v>
      </x:c>
      <x:c r="J14" s="36" t="n">
        <x:v>0</x:v>
      </x:c>
      <x:c r="K14" s="36" t="n">
        <x:v>12500</x:v>
      </x:c>
      <x:c r="L14" s="36" t="n">
        <x:v>10000</x:v>
      </x:c>
      <x:c r="M14" s="36" t="n">
        <x:v>0</x:v>
      </x:c>
      <x:c r="N14" s="36" t="n">
        <x:v>0</x:v>
      </x:c>
      <x:c r="O14" s="36" t="n">
        <x:v>0</x:v>
      </x:c>
      <x:c r="P14" s="36" t="n">
        <x:v>12500</x:v>
      </x:c>
      <x:c r="Q14" s="36" t="n">
        <x:v>30</x:v>
      </x:c>
      <x:c r="R14" s="36" t="n">
        <x:v>0</x:v>
      </x:c>
      <x:c r="S14" s="36" t="str">
        <x:v>FROZEN TARGET</x:v>
      </x:c>
      <x:c r="T14" s="33" t="str">
        <x:v>OPEN</x:v>
      </x:c>
      <x:c r="U14" s="33" t="n">
        <x:v>0</x:v>
      </x:c>
      <x:c r="V14" t="n">
        <x:f>COUNTIFS($C$5:$C$156,C14)</x:f>
        <x:v>1</x:v>
      </x:c>
    </x:row>
    <x:row r="15" ht="34" customHeight="1">
      <x:c r="C15" s="33" t="str">
        <x:v>LF-A-R2-P07</x:v>
      </x:c>
      <x:c r="D15" s="33" t="str">
        <x:v>LF-A-CF1</x:v>
      </x:c>
      <x:c r="E15" s="33" t="str">
        <x:v>A</x:v>
      </x:c>
      <x:c r="F15" s="33" t="str">
        <x:v>LF-R2</x:v>
      </x:c>
      <x:c r="G15" s="33" t="n">
        <x:v>7</x:v>
      </x:c>
      <x:c r="H15" s="33" t="str">
        <x:v>Water and wastewater at point of use</x:v>
      </x:c>
      <x:c r="I15" s="33" t="str">
        <x:v>thermal-separation water group and shore pipe gallery</x:v>
      </x:c>
      <x:c r="J15" s="36" t="n">
        <x:v>0</x:v>
      </x:c>
      <x:c r="K15" s="36" t="n">
        <x:v>12500</x:v>
      </x:c>
      <x:c r="L15" s="36" t="n">
        <x:v>10000</x:v>
      </x:c>
      <x:c r="M15" s="36" t="n">
        <x:v>0</x:v>
      </x:c>
      <x:c r="N15" s="36" t="n">
        <x:v>0</x:v>
      </x:c>
      <x:c r="O15" s="36" t="n">
        <x:v>0</x:v>
      </x:c>
      <x:c r="P15" s="36" t="n">
        <x:v>12500</x:v>
      </x:c>
      <x:c r="Q15" s="36" t="n">
        <x:v>30</x:v>
      </x:c>
      <x:c r="R15" s="36" t="n">
        <x:v>0</x:v>
      </x:c>
      <x:c r="S15" s="36" t="str">
        <x:v>FROZEN TARGET</x:v>
      </x:c>
      <x:c r="T15" s="33" t="str">
        <x:v>OPEN</x:v>
      </x:c>
      <x:c r="U15" s="33" t="n">
        <x:v>0</x:v>
      </x:c>
      <x:c r="V15" t="n">
        <x:f>COUNTIFS($C$5:$C$156,C15)</x:f>
        <x:v>1</x:v>
      </x:c>
    </x:row>
    <x:row r="16" ht="34" customHeight="1">
      <x:c r="C16" s="33" t="str">
        <x:v>LF-A-R2-P08</x:v>
      </x:c>
      <x:c r="D16" s="33" t="str">
        <x:v>LF-A-CF1</x:v>
      </x:c>
      <x:c r="E16" s="33" t="str">
        <x:v>A</x:v>
      </x:c>
      <x:c r="F16" s="33" t="str">
        <x:v>LF-R2</x:v>
      </x:c>
      <x:c r="G16" s="33" t="n">
        <x:v>8</x:v>
      </x:c>
      <x:c r="H16" s="33" t="str">
        <x:v>Water and wastewater at point of use</x:v>
      </x:c>
      <x:c r="I16" s="33" t="str">
        <x:v>thermal-separation water group and shore pipe gallery</x:v>
      </x:c>
      <x:c r="J16" s="36" t="n">
        <x:v>0</x:v>
      </x:c>
      <x:c r="K16" s="36" t="n">
        <x:v>12500</x:v>
      </x:c>
      <x:c r="L16" s="36" t="n">
        <x:v>10000</x:v>
      </x:c>
      <x:c r="M16" s="36" t="n">
        <x:v>0</x:v>
      </x:c>
      <x:c r="N16" s="36" t="n">
        <x:v>0</x:v>
      </x:c>
      <x:c r="O16" s="36" t="n">
        <x:v>0</x:v>
      </x:c>
      <x:c r="P16" s="36" t="n">
        <x:v>12500</x:v>
      </x:c>
      <x:c r="Q16" s="36" t="n">
        <x:v>30</x:v>
      </x:c>
      <x:c r="R16" s="36" t="n">
        <x:v>0</x:v>
      </x:c>
      <x:c r="S16" s="36" t="str">
        <x:v>FROZEN TARGET</x:v>
      </x:c>
      <x:c r="T16" s="33" t="str">
        <x:v>OPEN</x:v>
      </x:c>
      <x:c r="U16" s="33" t="n">
        <x:v>0</x:v>
      </x:c>
      <x:c r="V16" t="n">
        <x:f>COUNTIFS($C$5:$C$156,C16)</x:f>
        <x:v>1</x:v>
      </x:c>
    </x:row>
    <x:row r="17" ht="34" customHeight="1">
      <x:c r="C17" s="33" t="str">
        <x:v>LF-A-R3-P01</x:v>
      </x:c>
      <x:c r="D17" s="33" t="str">
        <x:v>LF-A-CF1</x:v>
      </x:c>
      <x:c r="E17" s="33" t="str">
        <x:v>A</x:v>
      </x:c>
      <x:c r="F17" s="33" t="str">
        <x:v>LF-R3</x:v>
      </x:c>
      <x:c r="G17" s="33" t="n">
        <x:v>1</x:v>
      </x:c>
      <x:c r="H17" s="33" t="str">
        <x:v>Local power</x:v>
      </x:c>
      <x:c r="I17" s="33" t="str">
        <x:v>reactor-backed AC local grid cell</x:v>
      </x:c>
      <x:c r="J17" s="36" t="n">
        <x:v>0</x:v>
      </x:c>
      <x:c r="K17" s="36" t="n">
        <x:v>0</x:v>
      </x:c>
      <x:c r="L17" s="36" t="n">
        <x:v>0</x:v>
      </x:c>
      <x:c r="M17" s="36" t="n">
        <x:v>10</x:v>
      </x:c>
      <x:c r="N17" s="36" t="n">
        <x:v>15</x:v>
      </x:c>
      <x:c r="O17" s="36" t="n">
        <x:v>0</x:v>
      </x:c>
      <x:c r="P17" s="36" t="n">
        <x:v>0</x:v>
      </x:c>
      <x:c r="Q17" s="36" t="n">
        <x:v>0</x:v>
      </x:c>
      <x:c r="R17" s="36" t="n">
        <x:v>20</x:v>
      </x:c>
      <x:c r="S17" s="36" t="str">
        <x:v>FROZEN TARGET</x:v>
      </x:c>
      <x:c r="T17" s="33" t="str">
        <x:v>OPEN</x:v>
      </x:c>
      <x:c r="U17" s="33" t="n">
        <x:v>0</x:v>
      </x:c>
      <x:c r="V17" t="n">
        <x:f>COUNTIFS($C$5:$C$156,C17)</x:f>
        <x:v>1</x:v>
      </x:c>
    </x:row>
    <x:row r="18" ht="34" customHeight="1">
      <x:c r="C18" s="33" t="str">
        <x:v>LF-A-R3-P02</x:v>
      </x:c>
      <x:c r="D18" s="33" t="str">
        <x:v>LF-A-CF1</x:v>
      </x:c>
      <x:c r="E18" s="33" t="str">
        <x:v>A</x:v>
      </x:c>
      <x:c r="F18" s="33" t="str">
        <x:v>LF-R3</x:v>
      </x:c>
      <x:c r="G18" s="33" t="n">
        <x:v>2</x:v>
      </x:c>
      <x:c r="H18" s="33" t="str">
        <x:v>Local power</x:v>
      </x:c>
      <x:c r="I18" s="33" t="str">
        <x:v>reactor-backed AC local grid cell</x:v>
      </x:c>
      <x:c r="J18" s="36" t="n">
        <x:v>0</x:v>
      </x:c>
      <x:c r="K18" s="36" t="n">
        <x:v>0</x:v>
      </x:c>
      <x:c r="L18" s="36" t="n">
        <x:v>0</x:v>
      </x:c>
      <x:c r="M18" s="36" t="n">
        <x:v>10</x:v>
      </x:c>
      <x:c r="N18" s="36" t="n">
        <x:v>15</x:v>
      </x:c>
      <x:c r="O18" s="36" t="n">
        <x:v>0</x:v>
      </x:c>
      <x:c r="P18" s="36" t="n">
        <x:v>0</x:v>
      </x:c>
      <x:c r="Q18" s="36" t="n">
        <x:v>0</x:v>
      </x:c>
      <x:c r="R18" s="36" t="n">
        <x:v>20</x:v>
      </x:c>
      <x:c r="S18" s="36" t="str">
        <x:v>FROZEN TARGET</x:v>
      </x:c>
      <x:c r="T18" s="33" t="str">
        <x:v>OPEN</x:v>
      </x:c>
      <x:c r="U18" s="33" t="n">
        <x:v>0</x:v>
      </x:c>
      <x:c r="V18" t="n">
        <x:f>COUNTIFS($C$5:$C$156,C18)</x:f>
        <x:v>1</x:v>
      </x:c>
    </x:row>
    <x:row r="19" ht="34" customHeight="1">
      <x:c r="C19" s="33" t="str">
        <x:v>LF-A-R3-P03</x:v>
      </x:c>
      <x:c r="D19" s="33" t="str">
        <x:v>LF-A-CF1</x:v>
      </x:c>
      <x:c r="E19" s="33" t="str">
        <x:v>A</x:v>
      </x:c>
      <x:c r="F19" s="33" t="str">
        <x:v>LF-R3</x:v>
      </x:c>
      <x:c r="G19" s="33" t="n">
        <x:v>3</x:v>
      </x:c>
      <x:c r="H19" s="33" t="str">
        <x:v>Local power</x:v>
      </x:c>
      <x:c r="I19" s="33" t="str">
        <x:v>reactor-backed AC local grid cell</x:v>
      </x:c>
      <x:c r="J19" s="36" t="n">
        <x:v>0</x:v>
      </x:c>
      <x:c r="K19" s="36" t="n">
        <x:v>0</x:v>
      </x:c>
      <x:c r="L19" s="36" t="n">
        <x:v>0</x:v>
      </x:c>
      <x:c r="M19" s="36" t="n">
        <x:v>10</x:v>
      </x:c>
      <x:c r="N19" s="36" t="n">
        <x:v>15</x:v>
      </x:c>
      <x:c r="O19" s="36" t="n">
        <x:v>0</x:v>
      </x:c>
      <x:c r="P19" s="36" t="n">
        <x:v>0</x:v>
      </x:c>
      <x:c r="Q19" s="36" t="n">
        <x:v>0</x:v>
      </x:c>
      <x:c r="R19" s="36" t="n">
        <x:v>20</x:v>
      </x:c>
      <x:c r="S19" s="36" t="str">
        <x:v>FROZEN TARGET</x:v>
      </x:c>
      <x:c r="T19" s="33" t="str">
        <x:v>OPEN</x:v>
      </x:c>
      <x:c r="U19" s="33" t="n">
        <x:v>0</x:v>
      </x:c>
      <x:c r="V19" t="n">
        <x:f>COUNTIFS($C$5:$C$156,C19)</x:f>
        <x:v>1</x:v>
      </x:c>
    </x:row>
    <x:row r="20" ht="34" customHeight="1">
      <x:c r="C20" s="33" t="str">
        <x:v>LF-A-R3-P04</x:v>
      </x:c>
      <x:c r="D20" s="33" t="str">
        <x:v>LF-A-CF1</x:v>
      </x:c>
      <x:c r="E20" s="33" t="str">
        <x:v>A</x:v>
      </x:c>
      <x:c r="F20" s="33" t="str">
        <x:v>LF-R3</x:v>
      </x:c>
      <x:c r="G20" s="33" t="n">
        <x:v>4</x:v>
      </x:c>
      <x:c r="H20" s="33" t="str">
        <x:v>Local power</x:v>
      </x:c>
      <x:c r="I20" s="33" t="str">
        <x:v>reactor-backed AC local grid cell</x:v>
      </x:c>
      <x:c r="J20" s="36" t="n">
        <x:v>0</x:v>
      </x:c>
      <x:c r="K20" s="36" t="n">
        <x:v>0</x:v>
      </x:c>
      <x:c r="L20" s="36" t="n">
        <x:v>0</x:v>
      </x:c>
      <x:c r="M20" s="36" t="n">
        <x:v>10</x:v>
      </x:c>
      <x:c r="N20" s="36" t="n">
        <x:v>15</x:v>
      </x:c>
      <x:c r="O20" s="36" t="n">
        <x:v>0</x:v>
      </x:c>
      <x:c r="P20" s="36" t="n">
        <x:v>0</x:v>
      </x:c>
      <x:c r="Q20" s="36" t="n">
        <x:v>0</x:v>
      </x:c>
      <x:c r="R20" s="36" t="n">
        <x:v>20</x:v>
      </x:c>
      <x:c r="S20" s="36" t="str">
        <x:v>FROZEN TARGET</x:v>
      </x:c>
      <x:c r="T20" s="33" t="str">
        <x:v>OPEN</x:v>
      </x:c>
      <x:c r="U20" s="33" t="n">
        <x:v>0</x:v>
      </x:c>
      <x:c r="V20" t="n">
        <x:f>COUNTIFS($C$5:$C$156,C20)</x:f>
        <x:v>1</x:v>
      </x:c>
    </x:row>
    <x:row r="21" ht="34" customHeight="1">
      <x:c r="C21" s="33" t="str">
        <x:v>LF-A-R3-P05</x:v>
      </x:c>
      <x:c r="D21" s="33" t="str">
        <x:v>LF-A-CF1</x:v>
      </x:c>
      <x:c r="E21" s="33" t="str">
        <x:v>A</x:v>
      </x:c>
      <x:c r="F21" s="33" t="str">
        <x:v>LF-R3</x:v>
      </x:c>
      <x:c r="G21" s="33" t="n">
        <x:v>5</x:v>
      </x:c>
      <x:c r="H21" s="33" t="str">
        <x:v>Local power</x:v>
      </x:c>
      <x:c r="I21" s="33" t="str">
        <x:v>reactor-backed AC local grid cell</x:v>
      </x:c>
      <x:c r="J21" s="36" t="n">
        <x:v>0</x:v>
      </x:c>
      <x:c r="K21" s="36" t="n">
        <x:v>0</x:v>
      </x:c>
      <x:c r="L21" s="36" t="n">
        <x:v>0</x:v>
      </x:c>
      <x:c r="M21" s="36" t="n">
        <x:v>10</x:v>
      </x:c>
      <x:c r="N21" s="36" t="n">
        <x:v>15</x:v>
      </x:c>
      <x:c r="O21" s="36" t="n">
        <x:v>0</x:v>
      </x:c>
      <x:c r="P21" s="36" t="n">
        <x:v>0</x:v>
      </x:c>
      <x:c r="Q21" s="36" t="n">
        <x:v>0</x:v>
      </x:c>
      <x:c r="R21" s="36" t="n">
        <x:v>20</x:v>
      </x:c>
      <x:c r="S21" s="36" t="str">
        <x:v>FROZEN TARGET</x:v>
      </x:c>
      <x:c r="T21" s="33" t="str">
        <x:v>OPEN</x:v>
      </x:c>
      <x:c r="U21" s="33" t="n">
        <x:v>0</x:v>
      </x:c>
      <x:c r="V21" t="n">
        <x:f>COUNTIFS($C$5:$C$156,C21)</x:f>
        <x:v>1</x:v>
      </x:c>
    </x:row>
    <x:row r="22" ht="34" customHeight="1">
      <x:c r="C22" s="33" t="str">
        <x:v>LF-A-R3-P06</x:v>
      </x:c>
      <x:c r="D22" s="33" t="str">
        <x:v>LF-A-CF1</x:v>
      </x:c>
      <x:c r="E22" s="33" t="str">
        <x:v>A</x:v>
      </x:c>
      <x:c r="F22" s="33" t="str">
        <x:v>LF-R3</x:v>
      </x:c>
      <x:c r="G22" s="33" t="n">
        <x:v>6</x:v>
      </x:c>
      <x:c r="H22" s="33" t="str">
        <x:v>Local power</x:v>
      </x:c>
      <x:c r="I22" s="33" t="str">
        <x:v>reactor-backed AC local grid cell</x:v>
      </x:c>
      <x:c r="J22" s="36" t="n">
        <x:v>0</x:v>
      </x:c>
      <x:c r="K22" s="36" t="n">
        <x:v>0</x:v>
      </x:c>
      <x:c r="L22" s="36" t="n">
        <x:v>0</x:v>
      </x:c>
      <x:c r="M22" s="36" t="n">
        <x:v>10</x:v>
      </x:c>
      <x:c r="N22" s="36" t="n">
        <x:v>15</x:v>
      </x:c>
      <x:c r="O22" s="36" t="n">
        <x:v>0</x:v>
      </x:c>
      <x:c r="P22" s="36" t="n">
        <x:v>0</x:v>
      </x:c>
      <x:c r="Q22" s="36" t="n">
        <x:v>0</x:v>
      </x:c>
      <x:c r="R22" s="36" t="n">
        <x:v>20</x:v>
      </x:c>
      <x:c r="S22" s="36" t="str">
        <x:v>FROZEN TARGET</x:v>
      </x:c>
      <x:c r="T22" s="33" t="str">
        <x:v>OPEN</x:v>
      </x:c>
      <x:c r="U22" s="33" t="n">
        <x:v>0</x:v>
      </x:c>
      <x:c r="V22" t="n">
        <x:f>COUNTIFS($C$5:$C$156,C22)</x:f>
        <x:v>1</x:v>
      </x:c>
    </x:row>
    <x:row r="23" ht="34" customHeight="1">
      <x:c r="C23" s="33" t="str">
        <x:v>LF-A-R3-P07</x:v>
      </x:c>
      <x:c r="D23" s="33" t="str">
        <x:v>LF-A-CF1</x:v>
      </x:c>
      <x:c r="E23" s="33" t="str">
        <x:v>A</x:v>
      </x:c>
      <x:c r="F23" s="33" t="str">
        <x:v>LF-R3</x:v>
      </x:c>
      <x:c r="G23" s="33" t="n">
        <x:v>7</x:v>
      </x:c>
      <x:c r="H23" s="33" t="str">
        <x:v>Local power</x:v>
      </x:c>
      <x:c r="I23" s="33" t="str">
        <x:v>reactor-backed AC local grid cell</x:v>
      </x:c>
      <x:c r="J23" s="36" t="n">
        <x:v>0</x:v>
      </x:c>
      <x:c r="K23" s="36" t="n">
        <x:v>0</x:v>
      </x:c>
      <x:c r="L23" s="36" t="n">
        <x:v>0</x:v>
      </x:c>
      <x:c r="M23" s="36" t="n">
        <x:v>10</x:v>
      </x:c>
      <x:c r="N23" s="36" t="n">
        <x:v>15</x:v>
      </x:c>
      <x:c r="O23" s="36" t="n">
        <x:v>0</x:v>
      </x:c>
      <x:c r="P23" s="36" t="n">
        <x:v>0</x:v>
      </x:c>
      <x:c r="Q23" s="36" t="n">
        <x:v>0</x:v>
      </x:c>
      <x:c r="R23" s="36" t="n">
        <x:v>20</x:v>
      </x:c>
      <x:c r="S23" s="36" t="str">
        <x:v>FROZEN TARGET</x:v>
      </x:c>
      <x:c r="T23" s="33" t="str">
        <x:v>OPEN</x:v>
      </x:c>
      <x:c r="U23" s="33" t="n">
        <x:v>0</x:v>
      </x:c>
      <x:c r="V23" t="n">
        <x:f>COUNTIFS($C$5:$C$156,C23)</x:f>
        <x:v>1</x:v>
      </x:c>
    </x:row>
    <x:row r="24" ht="34" customHeight="1">
      <x:c r="C24" s="33" t="str">
        <x:v>LF-A-R3-P08</x:v>
      </x:c>
      <x:c r="D24" s="33" t="str">
        <x:v>LF-A-CF1</x:v>
      </x:c>
      <x:c r="E24" s="33" t="str">
        <x:v>A</x:v>
      </x:c>
      <x:c r="F24" s="33" t="str">
        <x:v>LF-R3</x:v>
      </x:c>
      <x:c r="G24" s="33" t="n">
        <x:v>8</x:v>
      </x:c>
      <x:c r="H24" s="33" t="str">
        <x:v>Local power</x:v>
      </x:c>
      <x:c r="I24" s="33" t="str">
        <x:v>reactor-backed AC local grid cell</x:v>
      </x:c>
      <x:c r="J24" s="36" t="n">
        <x:v>0</x:v>
      </x:c>
      <x:c r="K24" s="36" t="n">
        <x:v>0</x:v>
      </x:c>
      <x:c r="L24" s="36" t="n">
        <x:v>0</x:v>
      </x:c>
      <x:c r="M24" s="36" t="n">
        <x:v>10</x:v>
      </x:c>
      <x:c r="N24" s="36" t="n">
        <x:v>15</x:v>
      </x:c>
      <x:c r="O24" s="36" t="n">
        <x:v>0</x:v>
      </x:c>
      <x:c r="P24" s="36" t="n">
        <x:v>0</x:v>
      </x:c>
      <x:c r="Q24" s="36" t="n">
        <x:v>0</x:v>
      </x:c>
      <x:c r="R24" s="36" t="n">
        <x:v>20</x:v>
      </x:c>
      <x:c r="S24" s="36" t="str">
        <x:v>FROZEN TARGET</x:v>
      </x:c>
      <x:c r="T24" s="33" t="str">
        <x:v>OPEN</x:v>
      </x:c>
      <x:c r="U24" s="33" t="n">
        <x:v>0</x:v>
      </x:c>
      <x:c r="V24" t="n">
        <x:f>COUNTIFS($C$5:$C$156,C24)</x:f>
        <x:v>1</x:v>
      </x:c>
    </x:row>
    <x:row r="25" ht="34" customHeight="1">
      <x:c r="C25" s="33" t="str">
        <x:v>LF-A-R3-P09</x:v>
      </x:c>
      <x:c r="D25" s="33" t="str">
        <x:v>LF-A-CF1</x:v>
      </x:c>
      <x:c r="E25" s="33" t="str">
        <x:v>A</x:v>
      </x:c>
      <x:c r="F25" s="33" t="str">
        <x:v>LF-R3</x:v>
      </x:c>
      <x:c r="G25" s="33" t="n">
        <x:v>9</x:v>
      </x:c>
      <x:c r="H25" s="33" t="str">
        <x:v>Local power</x:v>
      </x:c>
      <x:c r="I25" s="33" t="str">
        <x:v>reactor-backed AC local grid cell</x:v>
      </x:c>
      <x:c r="J25" s="36" t="n">
        <x:v>0</x:v>
      </x:c>
      <x:c r="K25" s="36" t="n">
        <x:v>0</x:v>
      </x:c>
      <x:c r="L25" s="36" t="n">
        <x:v>0</x:v>
      </x:c>
      <x:c r="M25" s="36" t="n">
        <x:v>10</x:v>
      </x:c>
      <x:c r="N25" s="36" t="n">
        <x:v>15</x:v>
      </x:c>
      <x:c r="O25" s="36" t="n">
        <x:v>0</x:v>
      </x:c>
      <x:c r="P25" s="36" t="n">
        <x:v>0</x:v>
      </x:c>
      <x:c r="Q25" s="36" t="n">
        <x:v>0</x:v>
      </x:c>
      <x:c r="R25" s="36" t="n">
        <x:v>20</x:v>
      </x:c>
      <x:c r="S25" s="36" t="str">
        <x:v>FROZEN TARGET</x:v>
      </x:c>
      <x:c r="T25" s="33" t="str">
        <x:v>OPEN</x:v>
      </x:c>
      <x:c r="U25" s="33" t="n">
        <x:v>0</x:v>
      </x:c>
      <x:c r="V25" t="n">
        <x:f>COUNTIFS($C$5:$C$156,C25)</x:f>
        <x:v>1</x:v>
      </x:c>
    </x:row>
    <x:row r="26" ht="34" customHeight="1">
      <x:c r="C26" s="33" t="str">
        <x:v>LF-A-R3-P10</x:v>
      </x:c>
      <x:c r="D26" s="33" t="str">
        <x:v>LF-A-CF1</x:v>
      </x:c>
      <x:c r="E26" s="33" t="str">
        <x:v>A</x:v>
      </x:c>
      <x:c r="F26" s="33" t="str">
        <x:v>LF-R3</x:v>
      </x:c>
      <x:c r="G26" s="33" t="n">
        <x:v>10</x:v>
      </x:c>
      <x:c r="H26" s="33" t="str">
        <x:v>Local power</x:v>
      </x:c>
      <x:c r="I26" s="33" t="str">
        <x:v>reactor-backed AC local grid cell</x:v>
      </x:c>
      <x:c r="J26" s="36" t="n">
        <x:v>0</x:v>
      </x:c>
      <x:c r="K26" s="36" t="n">
        <x:v>0</x:v>
      </x:c>
      <x:c r="L26" s="36" t="n">
        <x:v>0</x:v>
      </x:c>
      <x:c r="M26" s="36" t="n">
        <x:v>10</x:v>
      </x:c>
      <x:c r="N26" s="36" t="n">
        <x:v>15</x:v>
      </x:c>
      <x:c r="O26" s="36" t="n">
        <x:v>0</x:v>
      </x:c>
      <x:c r="P26" s="36" t="n">
        <x:v>0</x:v>
      </x:c>
      <x:c r="Q26" s="36" t="n">
        <x:v>0</x:v>
      </x:c>
      <x:c r="R26" s="36" t="n">
        <x:v>20</x:v>
      </x:c>
      <x:c r="S26" s="36" t="str">
        <x:v>FROZEN TARGET</x:v>
      </x:c>
      <x:c r="T26" s="33" t="str">
        <x:v>OPEN</x:v>
      </x:c>
      <x:c r="U26" s="33" t="n">
        <x:v>0</x:v>
      </x:c>
      <x:c r="V26" t="n">
        <x:f>COUNTIFS($C$5:$C$156,C26)</x:f>
        <x:v>1</x:v>
      </x:c>
    </x:row>
    <x:row r="27" ht="34" customHeight="1">
      <x:c r="C27" s="33" t="str">
        <x:v>LF-A-R4-P01</x:v>
      </x:c>
      <x:c r="D27" s="33" t="str">
        <x:v>LF-A-CF1</x:v>
      </x:c>
      <x:c r="E27" s="33" t="str">
        <x:v>A</x:v>
      </x:c>
      <x:c r="F27" s="33" t="str">
        <x:v>LF-R4</x:v>
      </x:c>
      <x:c r="G27" s="33" t="n">
        <x:v>1</x:v>
      </x:c>
      <x:c r="H27" s="33" t="str">
        <x:v>Grid bridge</x:v>
      </x:c>
      <x:c r="I27" s="33" t="str">
        <x:v>fault-isolated high-voltage shore bridge</x:v>
      </x:c>
      <x:c r="J27" s="36" t="n">
        <x:v>0</x:v>
      </x:c>
      <x:c r="K27" s="36" t="n">
        <x:v>0</x:v>
      </x:c>
      <x:c r="L27" s="36" t="n">
        <x:v>0</x:v>
      </x:c>
      <x:c r="M27" s="36" t="n">
        <x:v>12.5</x:v>
      </x:c>
      <x:c r="N27" s="36" t="n">
        <x:v>0</x:v>
      </x:c>
      <x:c r="O27" s="36" t="n">
        <x:v>0</x:v>
      </x:c>
      <x:c r="P27" s="36" t="n">
        <x:v>0</x:v>
      </x:c>
      <x:c r="Q27" s="36" t="n">
        <x:v>15</x:v>
      </x:c>
      <x:c r="R27" s="36" t="n">
        <x:v>0</x:v>
      </x:c>
      <x:c r="S27" s="36" t="str">
        <x:v>FROZEN TARGET</x:v>
      </x:c>
      <x:c r="T27" s="33" t="str">
        <x:v>OPEN</x:v>
      </x:c>
      <x:c r="U27" s="33" t="n">
        <x:v>0</x:v>
      </x:c>
      <x:c r="V27" t="n">
        <x:f>COUNTIFS($C$5:$C$156,C27)</x:f>
        <x:v>1</x:v>
      </x:c>
    </x:row>
    <x:row r="28" ht="34" customHeight="1">
      <x:c r="C28" s="33" t="str">
        <x:v>LF-A-R4-P02</x:v>
      </x:c>
      <x:c r="D28" s="33" t="str">
        <x:v>LF-A-CF1</x:v>
      </x:c>
      <x:c r="E28" s="33" t="str">
        <x:v>A</x:v>
      </x:c>
      <x:c r="F28" s="33" t="str">
        <x:v>LF-R4</x:v>
      </x:c>
      <x:c r="G28" s="33" t="n">
        <x:v>2</x:v>
      </x:c>
      <x:c r="H28" s="33" t="str">
        <x:v>Grid bridge</x:v>
      </x:c>
      <x:c r="I28" s="33" t="str">
        <x:v>fault-isolated high-voltage shore bridge</x:v>
      </x:c>
      <x:c r="J28" s="36" t="n">
        <x:v>0</x:v>
      </x:c>
      <x:c r="K28" s="36" t="n">
        <x:v>0</x:v>
      </x:c>
      <x:c r="L28" s="36" t="n">
        <x:v>0</x:v>
      </x:c>
      <x:c r="M28" s="36" t="n">
        <x:v>12.5</x:v>
      </x:c>
      <x:c r="N28" s="36" t="n">
        <x:v>0</x:v>
      </x:c>
      <x:c r="O28" s="36" t="n">
        <x:v>0</x:v>
      </x:c>
      <x:c r="P28" s="36" t="n">
        <x:v>0</x:v>
      </x:c>
      <x:c r="Q28" s="36" t="n">
        <x:v>15</x:v>
      </x:c>
      <x:c r="R28" s="36" t="n">
        <x:v>0</x:v>
      </x:c>
      <x:c r="S28" s="36" t="str">
        <x:v>FROZEN TARGET</x:v>
      </x:c>
      <x:c r="T28" s="33" t="str">
        <x:v>OPEN</x:v>
      </x:c>
      <x:c r="U28" s="33" t="n">
        <x:v>0</x:v>
      </x:c>
      <x:c r="V28" t="n">
        <x:f>COUNTIFS($C$5:$C$156,C28)</x:f>
        <x:v>1</x:v>
      </x:c>
    </x:row>
    <x:row r="29" ht="34" customHeight="1">
      <x:c r="C29" s="33" t="str">
        <x:v>LF-A-R4-P03</x:v>
      </x:c>
      <x:c r="D29" s="33" t="str">
        <x:v>LF-A-CF1</x:v>
      </x:c>
      <x:c r="E29" s="33" t="str">
        <x:v>A</x:v>
      </x:c>
      <x:c r="F29" s="33" t="str">
        <x:v>LF-R4</x:v>
      </x:c>
      <x:c r="G29" s="33" t="n">
        <x:v>3</x:v>
      </x:c>
      <x:c r="H29" s="33" t="str">
        <x:v>Grid bridge</x:v>
      </x:c>
      <x:c r="I29" s="33" t="str">
        <x:v>fault-isolated high-voltage shore bridge</x:v>
      </x:c>
      <x:c r="J29" s="36" t="n">
        <x:v>0</x:v>
      </x:c>
      <x:c r="K29" s="36" t="n">
        <x:v>0</x:v>
      </x:c>
      <x:c r="L29" s="36" t="n">
        <x:v>0</x:v>
      </x:c>
      <x:c r="M29" s="36" t="n">
        <x:v>12.5</x:v>
      </x:c>
      <x:c r="N29" s="36" t="n">
        <x:v>0</x:v>
      </x:c>
      <x:c r="O29" s="36" t="n">
        <x:v>0</x:v>
      </x:c>
      <x:c r="P29" s="36" t="n">
        <x:v>0</x:v>
      </x:c>
      <x:c r="Q29" s="36" t="n">
        <x:v>15</x:v>
      </x:c>
      <x:c r="R29" s="36" t="n">
        <x:v>0</x:v>
      </x:c>
      <x:c r="S29" s="36" t="str">
        <x:v>FROZEN TARGET</x:v>
      </x:c>
      <x:c r="T29" s="33" t="str">
        <x:v>OPEN</x:v>
      </x:c>
      <x:c r="U29" s="33" t="n">
        <x:v>0</x:v>
      </x:c>
      <x:c r="V29" t="n">
        <x:f>COUNTIFS($C$5:$C$156,C29)</x:f>
        <x:v>1</x:v>
      </x:c>
    </x:row>
    <x:row r="30" ht="34" customHeight="1">
      <x:c r="C30" s="33" t="str">
        <x:v>LF-A-R4-P04</x:v>
      </x:c>
      <x:c r="D30" s="33" t="str">
        <x:v>LF-A-CF1</x:v>
      </x:c>
      <x:c r="E30" s="33" t="str">
        <x:v>A</x:v>
      </x:c>
      <x:c r="F30" s="33" t="str">
        <x:v>LF-R4</x:v>
      </x:c>
      <x:c r="G30" s="33" t="n">
        <x:v>4</x:v>
      </x:c>
      <x:c r="H30" s="33" t="str">
        <x:v>Grid bridge</x:v>
      </x:c>
      <x:c r="I30" s="33" t="str">
        <x:v>fault-isolated high-voltage shore bridge</x:v>
      </x:c>
      <x:c r="J30" s="36" t="n">
        <x:v>0</x:v>
      </x:c>
      <x:c r="K30" s="36" t="n">
        <x:v>0</x:v>
      </x:c>
      <x:c r="L30" s="36" t="n">
        <x:v>0</x:v>
      </x:c>
      <x:c r="M30" s="36" t="n">
        <x:v>12.5</x:v>
      </x:c>
      <x:c r="N30" s="36" t="n">
        <x:v>0</x:v>
      </x:c>
      <x:c r="O30" s="36" t="n">
        <x:v>0</x:v>
      </x:c>
      <x:c r="P30" s="36" t="n">
        <x:v>0</x:v>
      </x:c>
      <x:c r="Q30" s="36" t="n">
        <x:v>15</x:v>
      </x:c>
      <x:c r="R30" s="36" t="n">
        <x:v>0</x:v>
      </x:c>
      <x:c r="S30" s="36" t="str">
        <x:v>FROZEN TARGET</x:v>
      </x:c>
      <x:c r="T30" s="33" t="str">
        <x:v>OPEN</x:v>
      </x:c>
      <x:c r="U30" s="33" t="n">
        <x:v>0</x:v>
      </x:c>
      <x:c r="V30" t="n">
        <x:f>COUNTIFS($C$5:$C$156,C30)</x:f>
        <x:v>1</x:v>
      </x:c>
    </x:row>
    <x:row r="31" ht="34" customHeight="1">
      <x:c r="C31" s="33" t="str">
        <x:v>LF-A-R4-P05</x:v>
      </x:c>
      <x:c r="D31" s="33" t="str">
        <x:v>LF-A-CF1</x:v>
      </x:c>
      <x:c r="E31" s="33" t="str">
        <x:v>A</x:v>
      </x:c>
      <x:c r="F31" s="33" t="str">
        <x:v>LF-R4</x:v>
      </x:c>
      <x:c r="G31" s="33" t="n">
        <x:v>5</x:v>
      </x:c>
      <x:c r="H31" s="33" t="str">
        <x:v>Grid bridge</x:v>
      </x:c>
      <x:c r="I31" s="33" t="str">
        <x:v>fault-isolated high-voltage shore bridge</x:v>
      </x:c>
      <x:c r="J31" s="36" t="n">
        <x:v>0</x:v>
      </x:c>
      <x:c r="K31" s="36" t="n">
        <x:v>0</x:v>
      </x:c>
      <x:c r="L31" s="36" t="n">
        <x:v>0</x:v>
      </x:c>
      <x:c r="M31" s="36" t="n">
        <x:v>12.5</x:v>
      </x:c>
      <x:c r="N31" s="36" t="n">
        <x:v>0</x:v>
      </x:c>
      <x:c r="O31" s="36" t="n">
        <x:v>0</x:v>
      </x:c>
      <x:c r="P31" s="36" t="n">
        <x:v>0</x:v>
      </x:c>
      <x:c r="Q31" s="36" t="n">
        <x:v>15</x:v>
      </x:c>
      <x:c r="R31" s="36" t="n">
        <x:v>0</x:v>
      </x:c>
      <x:c r="S31" s="36" t="str">
        <x:v>FROZEN TARGET</x:v>
      </x:c>
      <x:c r="T31" s="33" t="str">
        <x:v>OPEN</x:v>
      </x:c>
      <x:c r="U31" s="33" t="n">
        <x:v>0</x:v>
      </x:c>
      <x:c r="V31" t="n">
        <x:f>COUNTIFS($C$5:$C$156,C31)</x:f>
        <x:v>1</x:v>
      </x:c>
    </x:row>
    <x:row r="32" ht="34" customHeight="1">
      <x:c r="C32" s="33" t="str">
        <x:v>LF-A-R4-P06</x:v>
      </x:c>
      <x:c r="D32" s="33" t="str">
        <x:v>LF-A-CF1</x:v>
      </x:c>
      <x:c r="E32" s="33" t="str">
        <x:v>A</x:v>
      </x:c>
      <x:c r="F32" s="33" t="str">
        <x:v>LF-R4</x:v>
      </x:c>
      <x:c r="G32" s="33" t="n">
        <x:v>6</x:v>
      </x:c>
      <x:c r="H32" s="33" t="str">
        <x:v>Grid bridge</x:v>
      </x:c>
      <x:c r="I32" s="33" t="str">
        <x:v>fault-isolated high-voltage shore bridge</x:v>
      </x:c>
      <x:c r="J32" s="36" t="n">
        <x:v>0</x:v>
      </x:c>
      <x:c r="K32" s="36" t="n">
        <x:v>0</x:v>
      </x:c>
      <x:c r="L32" s="36" t="n">
        <x:v>0</x:v>
      </x:c>
      <x:c r="M32" s="36" t="n">
        <x:v>12.5</x:v>
      </x:c>
      <x:c r="N32" s="36" t="n">
        <x:v>0</x:v>
      </x:c>
      <x:c r="O32" s="36" t="n">
        <x:v>0</x:v>
      </x:c>
      <x:c r="P32" s="36" t="n">
        <x:v>0</x:v>
      </x:c>
      <x:c r="Q32" s="36" t="n">
        <x:v>15</x:v>
      </x:c>
      <x:c r="R32" s="36" t="n">
        <x:v>0</x:v>
      </x:c>
      <x:c r="S32" s="36" t="str">
        <x:v>FROZEN TARGET</x:v>
      </x:c>
      <x:c r="T32" s="33" t="str">
        <x:v>OPEN</x:v>
      </x:c>
      <x:c r="U32" s="33" t="n">
        <x:v>0</x:v>
      </x:c>
      <x:c r="V32" t="n">
        <x:f>COUNTIFS($C$5:$C$156,C32)</x:f>
        <x:v>1</x:v>
      </x:c>
    </x:row>
    <x:row r="33" ht="34" customHeight="1">
      <x:c r="C33" s="33" t="str">
        <x:v>LF-A-R4-P07</x:v>
      </x:c>
      <x:c r="D33" s="33" t="str">
        <x:v>LF-A-CF1</x:v>
      </x:c>
      <x:c r="E33" s="33" t="str">
        <x:v>A</x:v>
      </x:c>
      <x:c r="F33" s="33" t="str">
        <x:v>LF-R4</x:v>
      </x:c>
      <x:c r="G33" s="33" t="n">
        <x:v>7</x:v>
      </x:c>
      <x:c r="H33" s="33" t="str">
        <x:v>Grid bridge</x:v>
      </x:c>
      <x:c r="I33" s="33" t="str">
        <x:v>fault-isolated high-voltage shore bridge</x:v>
      </x:c>
      <x:c r="J33" s="36" t="n">
        <x:v>0</x:v>
      </x:c>
      <x:c r="K33" s="36" t="n">
        <x:v>0</x:v>
      </x:c>
      <x:c r="L33" s="36" t="n">
        <x:v>0</x:v>
      </x:c>
      <x:c r="M33" s="36" t="n">
        <x:v>12.5</x:v>
      </x:c>
      <x:c r="N33" s="36" t="n">
        <x:v>0</x:v>
      </x:c>
      <x:c r="O33" s="36" t="n">
        <x:v>0</x:v>
      </x:c>
      <x:c r="P33" s="36" t="n">
        <x:v>0</x:v>
      </x:c>
      <x:c r="Q33" s="36" t="n">
        <x:v>15</x:v>
      </x:c>
      <x:c r="R33" s="36" t="n">
        <x:v>0</x:v>
      </x:c>
      <x:c r="S33" s="36" t="str">
        <x:v>FROZEN TARGET</x:v>
      </x:c>
      <x:c r="T33" s="33" t="str">
        <x:v>OPEN</x:v>
      </x:c>
      <x:c r="U33" s="33" t="n">
        <x:v>0</x:v>
      </x:c>
      <x:c r="V33" t="n">
        <x:f>COUNTIFS($C$5:$C$156,C33)</x:f>
        <x:v>1</x:v>
      </x:c>
    </x:row>
    <x:row r="34" ht="34" customHeight="1">
      <x:c r="C34" s="33" t="str">
        <x:v>LF-A-R4-P08</x:v>
      </x:c>
      <x:c r="D34" s="33" t="str">
        <x:v>LF-A-CF1</x:v>
      </x:c>
      <x:c r="E34" s="33" t="str">
        <x:v>A</x:v>
      </x:c>
      <x:c r="F34" s="33" t="str">
        <x:v>LF-R4</x:v>
      </x:c>
      <x:c r="G34" s="33" t="n">
        <x:v>8</x:v>
      </x:c>
      <x:c r="H34" s="33" t="str">
        <x:v>Grid bridge</x:v>
      </x:c>
      <x:c r="I34" s="33" t="str">
        <x:v>fault-isolated high-voltage shore bridge</x:v>
      </x:c>
      <x:c r="J34" s="36" t="n">
        <x:v>0</x:v>
      </x:c>
      <x:c r="K34" s="36" t="n">
        <x:v>0</x:v>
      </x:c>
      <x:c r="L34" s="36" t="n">
        <x:v>0</x:v>
      </x:c>
      <x:c r="M34" s="36" t="n">
        <x:v>12.5</x:v>
      </x:c>
      <x:c r="N34" s="36" t="n">
        <x:v>0</x:v>
      </x:c>
      <x:c r="O34" s="36" t="n">
        <x:v>0</x:v>
      </x:c>
      <x:c r="P34" s="36" t="n">
        <x:v>0</x:v>
      </x:c>
      <x:c r="Q34" s="36" t="n">
        <x:v>15</x:v>
      </x:c>
      <x:c r="R34" s="36" t="n">
        <x:v>0</x:v>
      </x:c>
      <x:c r="S34" s="36" t="str">
        <x:v>FROZEN TARGET</x:v>
      </x:c>
      <x:c r="T34" s="33" t="str">
        <x:v>OPEN</x:v>
      </x:c>
      <x:c r="U34" s="33" t="n">
        <x:v>0</x:v>
      </x:c>
      <x:c r="V34" t="n">
        <x:f>COUNTIFS($C$5:$C$156,C34)</x:f>
        <x:v>1</x:v>
      </x:c>
    </x:row>
    <x:row r="35" ht="34" customHeight="1">
      <x:c r="C35" s="33" t="str">
        <x:v>LF-A-R5-P01</x:v>
      </x:c>
      <x:c r="D35" s="33" t="str">
        <x:v>LF-A-CF1</x:v>
      </x:c>
      <x:c r="E35" s="33" t="str">
        <x:v>A</x:v>
      </x:c>
      <x:c r="F35" s="33" t="str">
        <x:v>LF-R5</x:v>
      </x:c>
      <x:c r="G35" s="33" t="n">
        <x:v>1</x:v>
      </x:c>
      <x:c r="H35" s="33" t="str">
        <x:v>Thermal safety</x:v>
      </x:c>
      <x:c r="I35" s="33" t="str">
        <x:v>district thermal loop using isolated recovered heat</x:v>
      </x:c>
      <x:c r="J35" s="36" t="n">
        <x:v>0</x:v>
      </x:c>
      <x:c r="K35" s="36" t="n">
        <x:v>0</x:v>
      </x:c>
      <x:c r="L35" s="36" t="n">
        <x:v>0</x:v>
      </x:c>
      <x:c r="M35" s="36" t="n">
        <x:v>0</x:v>
      </x:c>
      <x:c r="N35" s="36" t="n">
        <x:v>0</x:v>
      </x:c>
      <x:c r="O35" s="36" t="n">
        <x:v>10</x:v>
      </x:c>
      <x:c r="P35" s="36" t="n">
        <x:v>0</x:v>
      </x:c>
      <x:c r="Q35" s="36" t="n">
        <x:v>0</x:v>
      </x:c>
      <x:c r="R35" s="36" t="n">
        <x:v>0</x:v>
      </x:c>
      <x:c r="S35" s="36" t="str">
        <x:v>FROZEN TARGET</x:v>
      </x:c>
      <x:c r="T35" s="33" t="str">
        <x:v>OPEN</x:v>
      </x:c>
      <x:c r="U35" s="33" t="n">
        <x:v>0</x:v>
      </x:c>
      <x:c r="V35" t="n">
        <x:f>COUNTIFS($C$5:$C$156,C35)</x:f>
        <x:v>1</x:v>
      </x:c>
    </x:row>
    <x:row r="36" ht="34" customHeight="1">
      <x:c r="C36" s="33" t="str">
        <x:v>LF-A-R5-P02</x:v>
      </x:c>
      <x:c r="D36" s="33" t="str">
        <x:v>LF-A-CF1</x:v>
      </x:c>
      <x:c r="E36" s="33" t="str">
        <x:v>A</x:v>
      </x:c>
      <x:c r="F36" s="33" t="str">
        <x:v>LF-R5</x:v>
      </x:c>
      <x:c r="G36" s="33" t="n">
        <x:v>2</x:v>
      </x:c>
      <x:c r="H36" s="33" t="str">
        <x:v>Thermal safety</x:v>
      </x:c>
      <x:c r="I36" s="33" t="str">
        <x:v>district thermal loop using isolated recovered heat</x:v>
      </x:c>
      <x:c r="J36" s="36" t="n">
        <x:v>0</x:v>
      </x:c>
      <x:c r="K36" s="36" t="n">
        <x:v>0</x:v>
      </x:c>
      <x:c r="L36" s="36" t="n">
        <x:v>0</x:v>
      </x:c>
      <x:c r="M36" s="36" t="n">
        <x:v>0</x:v>
      </x:c>
      <x:c r="N36" s="36" t="n">
        <x:v>0</x:v>
      </x:c>
      <x:c r="O36" s="36" t="n">
        <x:v>10</x:v>
      </x:c>
      <x:c r="P36" s="36" t="n">
        <x:v>0</x:v>
      </x:c>
      <x:c r="Q36" s="36" t="n">
        <x:v>0</x:v>
      </x:c>
      <x:c r="R36" s="36" t="n">
        <x:v>0</x:v>
      </x:c>
      <x:c r="S36" s="36" t="str">
        <x:v>FROZEN TARGET</x:v>
      </x:c>
      <x:c r="T36" s="33" t="str">
        <x:v>OPEN</x:v>
      </x:c>
      <x:c r="U36" s="33" t="n">
        <x:v>0</x:v>
      </x:c>
      <x:c r="V36" t="n">
        <x:f>COUNTIFS($C$5:$C$156,C36)</x:f>
        <x:v>1</x:v>
      </x:c>
    </x:row>
    <x:row r="37" ht="34" customHeight="1">
      <x:c r="C37" s="33" t="str">
        <x:v>LF-A-R5-P03</x:v>
      </x:c>
      <x:c r="D37" s="33" t="str">
        <x:v>LF-A-CF1</x:v>
      </x:c>
      <x:c r="E37" s="33" t="str">
        <x:v>A</x:v>
      </x:c>
      <x:c r="F37" s="33" t="str">
        <x:v>LF-R5</x:v>
      </x:c>
      <x:c r="G37" s="33" t="n">
        <x:v>3</x:v>
      </x:c>
      <x:c r="H37" s="33" t="str">
        <x:v>Thermal safety</x:v>
      </x:c>
      <x:c r="I37" s="33" t="str">
        <x:v>district thermal loop using isolated recovered heat</x:v>
      </x:c>
      <x:c r="J37" s="36" t="n">
        <x:v>0</x:v>
      </x:c>
      <x:c r="K37" s="36" t="n">
        <x:v>0</x:v>
      </x:c>
      <x:c r="L37" s="36" t="n">
        <x:v>0</x:v>
      </x:c>
      <x:c r="M37" s="36" t="n">
        <x:v>0</x:v>
      </x:c>
      <x:c r="N37" s="36" t="n">
        <x:v>0</x:v>
      </x:c>
      <x:c r="O37" s="36" t="n">
        <x:v>10</x:v>
      </x:c>
      <x:c r="P37" s="36" t="n">
        <x:v>0</x:v>
      </x:c>
      <x:c r="Q37" s="36" t="n">
        <x:v>0</x:v>
      </x:c>
      <x:c r="R37" s="36" t="n">
        <x:v>0</x:v>
      </x:c>
      <x:c r="S37" s="36" t="str">
        <x:v>FROZEN TARGET</x:v>
      </x:c>
      <x:c r="T37" s="33" t="str">
        <x:v>OPEN</x:v>
      </x:c>
      <x:c r="U37" s="33" t="n">
        <x:v>0</x:v>
      </x:c>
      <x:c r="V37" t="n">
        <x:f>COUNTIFS($C$5:$C$156,C37)</x:f>
        <x:v>1</x:v>
      </x:c>
    </x:row>
    <x:row r="38" ht="34" customHeight="1">
      <x:c r="C38" s="33" t="str">
        <x:v>LF-A-R5-P04</x:v>
      </x:c>
      <x:c r="D38" s="33" t="str">
        <x:v>LF-A-CF1</x:v>
      </x:c>
      <x:c r="E38" s="33" t="str">
        <x:v>A</x:v>
      </x:c>
      <x:c r="F38" s="33" t="str">
        <x:v>LF-R5</x:v>
      </x:c>
      <x:c r="G38" s="33" t="n">
        <x:v>4</x:v>
      </x:c>
      <x:c r="H38" s="33" t="str">
        <x:v>Thermal safety</x:v>
      </x:c>
      <x:c r="I38" s="33" t="str">
        <x:v>district thermal loop using isolated recovered heat</x:v>
      </x:c>
      <x:c r="J38" s="36" t="n">
        <x:v>0</x:v>
      </x:c>
      <x:c r="K38" s="36" t="n">
        <x:v>0</x:v>
      </x:c>
      <x:c r="L38" s="36" t="n">
        <x:v>0</x:v>
      </x:c>
      <x:c r="M38" s="36" t="n">
        <x:v>0</x:v>
      </x:c>
      <x:c r="N38" s="36" t="n">
        <x:v>0</x:v>
      </x:c>
      <x:c r="O38" s="36" t="n">
        <x:v>10</x:v>
      </x:c>
      <x:c r="P38" s="36" t="n">
        <x:v>0</x:v>
      </x:c>
      <x:c r="Q38" s="36" t="n">
        <x:v>0</x:v>
      </x:c>
      <x:c r="R38" s="36" t="n">
        <x:v>0</x:v>
      </x:c>
      <x:c r="S38" s="36" t="str">
        <x:v>FROZEN TARGET</x:v>
      </x:c>
      <x:c r="T38" s="33" t="str">
        <x:v>OPEN</x:v>
      </x:c>
      <x:c r="U38" s="33" t="n">
        <x:v>0</x:v>
      </x:c>
      <x:c r="V38" t="n">
        <x:f>COUNTIFS($C$5:$C$156,C38)</x:f>
        <x:v>1</x:v>
      </x:c>
    </x:row>
    <x:row r="39" ht="34" customHeight="1">
      <x:c r="C39" s="33" t="str">
        <x:v>LF-A-R5-P05</x:v>
      </x:c>
      <x:c r="D39" s="33" t="str">
        <x:v>LF-A-CF1</x:v>
      </x:c>
      <x:c r="E39" s="33" t="str">
        <x:v>A</x:v>
      </x:c>
      <x:c r="F39" s="33" t="str">
        <x:v>LF-R5</x:v>
      </x:c>
      <x:c r="G39" s="33" t="n">
        <x:v>5</x:v>
      </x:c>
      <x:c r="H39" s="33" t="str">
        <x:v>Thermal safety</x:v>
      </x:c>
      <x:c r="I39" s="33" t="str">
        <x:v>district thermal loop using isolated recovered heat</x:v>
      </x:c>
      <x:c r="J39" s="36" t="n">
        <x:v>0</x:v>
      </x:c>
      <x:c r="K39" s="36" t="n">
        <x:v>0</x:v>
      </x:c>
      <x:c r="L39" s="36" t="n">
        <x:v>0</x:v>
      </x:c>
      <x:c r="M39" s="36" t="n">
        <x:v>0</x:v>
      </x:c>
      <x:c r="N39" s="36" t="n">
        <x:v>0</x:v>
      </x:c>
      <x:c r="O39" s="36" t="n">
        <x:v>10</x:v>
      </x:c>
      <x:c r="P39" s="36" t="n">
        <x:v>0</x:v>
      </x:c>
      <x:c r="Q39" s="36" t="n">
        <x:v>0</x:v>
      </x:c>
      <x:c r="R39" s="36" t="n">
        <x:v>0</x:v>
      </x:c>
      <x:c r="S39" s="36" t="str">
        <x:v>FROZEN TARGET</x:v>
      </x:c>
      <x:c r="T39" s="33" t="str">
        <x:v>OPEN</x:v>
      </x:c>
      <x:c r="U39" s="33" t="n">
        <x:v>0</x:v>
      </x:c>
      <x:c r="V39" t="n">
        <x:f>COUNTIFS($C$5:$C$156,C39)</x:f>
        <x:v>1</x:v>
      </x:c>
    </x:row>
    <x:row r="40" ht="34" customHeight="1">
      <x:c r="C40" s="33" t="str">
        <x:v>LF-A-R5-P06</x:v>
      </x:c>
      <x:c r="D40" s="33" t="str">
        <x:v>LF-A-CF1</x:v>
      </x:c>
      <x:c r="E40" s="33" t="str">
        <x:v>A</x:v>
      </x:c>
      <x:c r="F40" s="33" t="str">
        <x:v>LF-R5</x:v>
      </x:c>
      <x:c r="G40" s="33" t="n">
        <x:v>6</x:v>
      </x:c>
      <x:c r="H40" s="33" t="str">
        <x:v>Thermal safety</x:v>
      </x:c>
      <x:c r="I40" s="33" t="str">
        <x:v>district thermal loop using isolated recovered heat</x:v>
      </x:c>
      <x:c r="J40" s="36" t="n">
        <x:v>0</x:v>
      </x:c>
      <x:c r="K40" s="36" t="n">
        <x:v>0</x:v>
      </x:c>
      <x:c r="L40" s="36" t="n">
        <x:v>0</x:v>
      </x:c>
      <x:c r="M40" s="36" t="n">
        <x:v>0</x:v>
      </x:c>
      <x:c r="N40" s="36" t="n">
        <x:v>0</x:v>
      </x:c>
      <x:c r="O40" s="36" t="n">
        <x:v>10</x:v>
      </x:c>
      <x:c r="P40" s="36" t="n">
        <x:v>0</x:v>
      </x:c>
      <x:c r="Q40" s="36" t="n">
        <x:v>0</x:v>
      </x:c>
      <x:c r="R40" s="36" t="n">
        <x:v>0</x:v>
      </x:c>
      <x:c r="S40" s="36" t="str">
        <x:v>FROZEN TARGET</x:v>
      </x:c>
      <x:c r="T40" s="33" t="str">
        <x:v>OPEN</x:v>
      </x:c>
      <x:c r="U40" s="33" t="n">
        <x:v>0</x:v>
      </x:c>
      <x:c r="V40" t="n">
        <x:f>COUNTIFS($C$5:$C$156,C40)</x:f>
        <x:v>1</x:v>
      </x:c>
    </x:row>
    <x:row r="41" ht="34" customHeight="1">
      <x:c r="C41" s="33" t="str">
        <x:v>LF-A-R5-P07</x:v>
      </x:c>
      <x:c r="D41" s="33" t="str">
        <x:v>LF-A-CF1</x:v>
      </x:c>
      <x:c r="E41" s="33" t="str">
        <x:v>A</x:v>
      </x:c>
      <x:c r="F41" s="33" t="str">
        <x:v>LF-R5</x:v>
      </x:c>
      <x:c r="G41" s="33" t="n">
        <x:v>7</x:v>
      </x:c>
      <x:c r="H41" s="33" t="str">
        <x:v>Thermal safety</x:v>
      </x:c>
      <x:c r="I41" s="33" t="str">
        <x:v>district thermal loop using isolated recovered heat</x:v>
      </x:c>
      <x:c r="J41" s="36" t="n">
        <x:v>0</x:v>
      </x:c>
      <x:c r="K41" s="36" t="n">
        <x:v>0</x:v>
      </x:c>
      <x:c r="L41" s="36" t="n">
        <x:v>0</x:v>
      </x:c>
      <x:c r="M41" s="36" t="n">
        <x:v>0</x:v>
      </x:c>
      <x:c r="N41" s="36" t="n">
        <x:v>0</x:v>
      </x:c>
      <x:c r="O41" s="36" t="n">
        <x:v>10</x:v>
      </x:c>
      <x:c r="P41" s="36" t="n">
        <x:v>0</x:v>
      </x:c>
      <x:c r="Q41" s="36" t="n">
        <x:v>0</x:v>
      </x:c>
      <x:c r="R41" s="36" t="n">
        <x:v>0</x:v>
      </x:c>
      <x:c r="S41" s="36" t="str">
        <x:v>FROZEN TARGET</x:v>
      </x:c>
      <x:c r="T41" s="33" t="str">
        <x:v>OPEN</x:v>
      </x:c>
      <x:c r="U41" s="33" t="n">
        <x:v>0</x:v>
      </x:c>
      <x:c r="V41" t="n">
        <x:f>COUNTIFS($C$5:$C$156,C41)</x:f>
        <x:v>1</x:v>
      </x:c>
    </x:row>
    <x:row r="42" ht="34" customHeight="1">
      <x:c r="C42" s="33" t="str">
        <x:v>LF-A-R5-P08</x:v>
      </x:c>
      <x:c r="D42" s="33" t="str">
        <x:v>LF-A-CF1</x:v>
      </x:c>
      <x:c r="E42" s="33" t="str">
        <x:v>A</x:v>
      </x:c>
      <x:c r="F42" s="33" t="str">
        <x:v>LF-R5</x:v>
      </x:c>
      <x:c r="G42" s="33" t="n">
        <x:v>8</x:v>
      </x:c>
      <x:c r="H42" s="33" t="str">
        <x:v>Thermal safety</x:v>
      </x:c>
      <x:c r="I42" s="33" t="str">
        <x:v>district thermal loop using isolated recovered heat</x:v>
      </x:c>
      <x:c r="J42" s="36" t="n">
        <x:v>0</x:v>
      </x:c>
      <x:c r="K42" s="36" t="n">
        <x:v>0</x:v>
      </x:c>
      <x:c r="L42" s="36" t="n">
        <x:v>0</x:v>
      </x:c>
      <x:c r="M42" s="36" t="n">
        <x:v>0</x:v>
      </x:c>
      <x:c r="N42" s="36" t="n">
        <x:v>0</x:v>
      </x:c>
      <x:c r="O42" s="36" t="n">
        <x:v>10</x:v>
      </x:c>
      <x:c r="P42" s="36" t="n">
        <x:v>0</x:v>
      </x:c>
      <x:c r="Q42" s="36" t="n">
        <x:v>0</x:v>
      </x:c>
      <x:c r="R42" s="36" t="n">
        <x:v>0</x:v>
      </x:c>
      <x:c r="S42" s="36" t="str">
        <x:v>FROZEN TARGET</x:v>
      </x:c>
      <x:c r="T42" s="33" t="str">
        <x:v>OPEN</x:v>
      </x:c>
      <x:c r="U42" s="33" t="n">
        <x:v>0</x:v>
      </x:c>
      <x:c r="V42" t="n">
        <x:f>COUNTIFS($C$5:$C$156,C42)</x:f>
        <x:v>1</x:v>
      </x:c>
    </x:row>
    <x:row r="43" ht="34" customHeight="1">
      <x:c r="C43" s="33" t="str">
        <x:v>LF-B-R1-P01</x:v>
      </x:c>
      <x:c r="D43" s="33" t="str">
        <x:v>LF-B-CF1</x:v>
      </x:c>
      <x:c r="E43" s="33" t="str">
        <x:v>B</x:v>
      </x:c>
      <x:c r="F43" s="33" t="str">
        <x:v>LF-R1</x:v>
      </x:c>
      <x:c r="G43" s="33" t="n">
        <x:v>1</x:v>
      </x:c>
      <x:c r="H43" s="33" t="str">
        <x:v>Strategic and maritime production</x:v>
      </x:c>
      <x:c r="I43" s="33" t="str">
        <x:v>rapid-bore production/injection geothermal field</x:v>
      </x:c>
      <x:c r="J43" s="36" t="n">
        <x:v>25000</x:v>
      </x:c>
      <x:c r="K43" s="36" t="n">
        <x:v>0</x:v>
      </x:c>
      <x:c r="L43" s="36" t="n">
        <x:v>0</x:v>
      </x:c>
      <x:c r="M43" s="36" t="n">
        <x:v>25</x:v>
      </x:c>
      <x:c r="N43" s="36" t="n">
        <x:v>0</x:v>
      </x:c>
      <x:c r="O43" s="36" t="n">
        <x:v>20</x:v>
      </x:c>
      <x:c r="P43" s="36" t="n">
        <x:v>0</x:v>
      </x:c>
      <x:c r="Q43" s="36" t="n">
        <x:v>0</x:v>
      </x:c>
      <x:c r="R43" s="36" t="n">
        <x:v>0</x:v>
      </x:c>
      <x:c r="S43" s="36" t="str">
        <x:v>FROZEN TARGET</x:v>
      </x:c>
      <x:c r="T43" s="33" t="str">
        <x:v>OPEN</x:v>
      </x:c>
      <x:c r="U43" s="33" t="n">
        <x:v>0</x:v>
      </x:c>
      <x:c r="V43" t="n">
        <x:f>COUNTIFS($C$5:$C$156,C43)</x:f>
        <x:v>1</x:v>
      </x:c>
    </x:row>
    <x:row r="44" ht="34" customHeight="1">
      <x:c r="C44" s="33" t="str">
        <x:v>LF-B-R1-P02</x:v>
      </x:c>
      <x:c r="D44" s="33" t="str">
        <x:v>LF-B-CF1</x:v>
      </x:c>
      <x:c r="E44" s="33" t="str">
        <x:v>B</x:v>
      </x:c>
      <x:c r="F44" s="33" t="str">
        <x:v>LF-R1</x:v>
      </x:c>
      <x:c r="G44" s="33" t="n">
        <x:v>2</x:v>
      </x:c>
      <x:c r="H44" s="33" t="str">
        <x:v>Strategic and maritime production</x:v>
      </x:c>
      <x:c r="I44" s="33" t="str">
        <x:v>rapid-bore production/injection geothermal field</x:v>
      </x:c>
      <x:c r="J44" s="36" t="n">
        <x:v>25000</x:v>
      </x:c>
      <x:c r="K44" s="36" t="n">
        <x:v>0</x:v>
      </x:c>
      <x:c r="L44" s="36" t="n">
        <x:v>0</x:v>
      </x:c>
      <x:c r="M44" s="36" t="n">
        <x:v>25</x:v>
      </x:c>
      <x:c r="N44" s="36" t="n">
        <x:v>0</x:v>
      </x:c>
      <x:c r="O44" s="36" t="n">
        <x:v>20</x:v>
      </x:c>
      <x:c r="P44" s="36" t="n">
        <x:v>0</x:v>
      </x:c>
      <x:c r="Q44" s="36" t="n">
        <x:v>0</x:v>
      </x:c>
      <x:c r="R44" s="36" t="n">
        <x:v>0</x:v>
      </x:c>
      <x:c r="S44" s="36" t="str">
        <x:v>FROZEN TARGET</x:v>
      </x:c>
      <x:c r="T44" s="33" t="str">
        <x:v>OPEN</x:v>
      </x:c>
      <x:c r="U44" s="33" t="n">
        <x:v>0</x:v>
      </x:c>
      <x:c r="V44" t="n">
        <x:f>COUNTIFS($C$5:$C$156,C44)</x:f>
        <x:v>1</x:v>
      </x:c>
    </x:row>
    <x:row r="45" ht="34" customHeight="1">
      <x:c r="C45" s="33" t="str">
        <x:v>LF-B-R1-P03</x:v>
      </x:c>
      <x:c r="D45" s="33" t="str">
        <x:v>LF-B-CF1</x:v>
      </x:c>
      <x:c r="E45" s="33" t="str">
        <x:v>B</x:v>
      </x:c>
      <x:c r="F45" s="33" t="str">
        <x:v>LF-R1</x:v>
      </x:c>
      <x:c r="G45" s="33" t="n">
        <x:v>3</x:v>
      </x:c>
      <x:c r="H45" s="33" t="str">
        <x:v>Strategic and maritime production</x:v>
      </x:c>
      <x:c r="I45" s="33" t="str">
        <x:v>rapid-bore production/injection geothermal field</x:v>
      </x:c>
      <x:c r="J45" s="36" t="n">
        <x:v>25000</x:v>
      </x:c>
      <x:c r="K45" s="36" t="n">
        <x:v>0</x:v>
      </x:c>
      <x:c r="L45" s="36" t="n">
        <x:v>0</x:v>
      </x:c>
      <x:c r="M45" s="36" t="n">
        <x:v>25</x:v>
      </x:c>
      <x:c r="N45" s="36" t="n">
        <x:v>0</x:v>
      </x:c>
      <x:c r="O45" s="36" t="n">
        <x:v>20</x:v>
      </x:c>
      <x:c r="P45" s="36" t="n">
        <x:v>0</x:v>
      </x:c>
      <x:c r="Q45" s="36" t="n">
        <x:v>0</x:v>
      </x:c>
      <x:c r="R45" s="36" t="n">
        <x:v>0</x:v>
      </x:c>
      <x:c r="S45" s="36" t="str">
        <x:v>FROZEN TARGET</x:v>
      </x:c>
      <x:c r="T45" s="33" t="str">
        <x:v>OPEN</x:v>
      </x:c>
      <x:c r="U45" s="33" t="n">
        <x:v>0</x:v>
      </x:c>
      <x:c r="V45" t="n">
        <x:f>COUNTIFS($C$5:$C$156,C45)</x:f>
        <x:v>1</x:v>
      </x:c>
    </x:row>
    <x:row r="46" ht="34" customHeight="1">
      <x:c r="C46" s="33" t="str">
        <x:v>LF-B-R1-P04</x:v>
      </x:c>
      <x:c r="D46" s="33" t="str">
        <x:v>LF-B-CF1</x:v>
      </x:c>
      <x:c r="E46" s="33" t="str">
        <x:v>B</x:v>
      </x:c>
      <x:c r="F46" s="33" t="str">
        <x:v>LF-R1</x:v>
      </x:c>
      <x:c r="G46" s="33" t="n">
        <x:v>4</x:v>
      </x:c>
      <x:c r="H46" s="33" t="str">
        <x:v>Strategic and maritime production</x:v>
      </x:c>
      <x:c r="I46" s="33" t="str">
        <x:v>rapid-bore production/injection geothermal field</x:v>
      </x:c>
      <x:c r="J46" s="36" t="n">
        <x:v>25000</x:v>
      </x:c>
      <x:c r="K46" s="36" t="n">
        <x:v>0</x:v>
      </x:c>
      <x:c r="L46" s="36" t="n">
        <x:v>0</x:v>
      </x:c>
      <x:c r="M46" s="36" t="n">
        <x:v>25</x:v>
      </x:c>
      <x:c r="N46" s="36" t="n">
        <x:v>0</x:v>
      </x:c>
      <x:c r="O46" s="36" t="n">
        <x:v>20</x:v>
      </x:c>
      <x:c r="P46" s="36" t="n">
        <x:v>0</x:v>
      </x:c>
      <x:c r="Q46" s="36" t="n">
        <x:v>0</x:v>
      </x:c>
      <x:c r="R46" s="36" t="n">
        <x:v>0</x:v>
      </x:c>
      <x:c r="S46" s="36" t="str">
        <x:v>FROZEN TARGET</x:v>
      </x:c>
      <x:c r="T46" s="33" t="str">
        <x:v>OPEN</x:v>
      </x:c>
      <x:c r="U46" s="33" t="n">
        <x:v>0</x:v>
      </x:c>
      <x:c r="V46" t="n">
        <x:f>COUNTIFS($C$5:$C$156,C46)</x:f>
        <x:v>1</x:v>
      </x:c>
    </x:row>
    <x:row r="47" ht="34" customHeight="1">
      <x:c r="C47" s="33" t="str">
        <x:v>LF-B-R2-P01</x:v>
      </x:c>
      <x:c r="D47" s="33" t="str">
        <x:v>LF-B-CF1</x:v>
      </x:c>
      <x:c r="E47" s="33" t="str">
        <x:v>B</x:v>
      </x:c>
      <x:c r="F47" s="33" t="str">
        <x:v>LF-R2</x:v>
      </x:c>
      <x:c r="G47" s="33" t="n">
        <x:v>1</x:v>
      </x:c>
      <x:c r="H47" s="33" t="str">
        <x:v>Water and wastewater at point of use</x:v>
      </x:c>
      <x:c r="I47" s="33" t="str">
        <x:v>brackish polishing group and robotic buried corridor</x:v>
      </x:c>
      <x:c r="J47" s="36" t="n">
        <x:v>0</x:v>
      </x:c>
      <x:c r="K47" s="36" t="n">
        <x:v>12500</x:v>
      </x:c>
      <x:c r="L47" s="36" t="n">
        <x:v>10000</x:v>
      </x:c>
      <x:c r="M47" s="36" t="n">
        <x:v>0</x:v>
      </x:c>
      <x:c r="N47" s="36" t="n">
        <x:v>0</x:v>
      </x:c>
      <x:c r="O47" s="36" t="n">
        <x:v>0</x:v>
      </x:c>
      <x:c r="P47" s="36" t="n">
        <x:v>12500</x:v>
      </x:c>
      <x:c r="Q47" s="36" t="n">
        <x:v>30</x:v>
      </x:c>
      <x:c r="R47" s="36" t="n">
        <x:v>0</x:v>
      </x:c>
      <x:c r="S47" s="36" t="str">
        <x:v>FROZEN TARGET</x:v>
      </x:c>
      <x:c r="T47" s="33" t="str">
        <x:v>OPEN</x:v>
      </x:c>
      <x:c r="U47" s="33" t="n">
        <x:v>0</x:v>
      </x:c>
      <x:c r="V47" t="n">
        <x:f>COUNTIFS($C$5:$C$156,C47)</x:f>
        <x:v>1</x:v>
      </x:c>
    </x:row>
    <x:row r="48" ht="34" customHeight="1">
      <x:c r="C48" s="33" t="str">
        <x:v>LF-B-R2-P02</x:v>
      </x:c>
      <x:c r="D48" s="33" t="str">
        <x:v>LF-B-CF1</x:v>
      </x:c>
      <x:c r="E48" s="33" t="str">
        <x:v>B</x:v>
      </x:c>
      <x:c r="F48" s="33" t="str">
        <x:v>LF-R2</x:v>
      </x:c>
      <x:c r="G48" s="33" t="n">
        <x:v>2</x:v>
      </x:c>
      <x:c r="H48" s="33" t="str">
        <x:v>Water and wastewater at point of use</x:v>
      </x:c>
      <x:c r="I48" s="33" t="str">
        <x:v>brackish polishing group and robotic buried corridor</x:v>
      </x:c>
      <x:c r="J48" s="36" t="n">
        <x:v>0</x:v>
      </x:c>
      <x:c r="K48" s="36" t="n">
        <x:v>12500</x:v>
      </x:c>
      <x:c r="L48" s="36" t="n">
        <x:v>10000</x:v>
      </x:c>
      <x:c r="M48" s="36" t="n">
        <x:v>0</x:v>
      </x:c>
      <x:c r="N48" s="36" t="n">
        <x:v>0</x:v>
      </x:c>
      <x:c r="O48" s="36" t="n">
        <x:v>0</x:v>
      </x:c>
      <x:c r="P48" s="36" t="n">
        <x:v>12500</x:v>
      </x:c>
      <x:c r="Q48" s="36" t="n">
        <x:v>30</x:v>
      </x:c>
      <x:c r="R48" s="36" t="n">
        <x:v>0</x:v>
      </x:c>
      <x:c r="S48" s="36" t="str">
        <x:v>FROZEN TARGET</x:v>
      </x:c>
      <x:c r="T48" s="33" t="str">
        <x:v>OPEN</x:v>
      </x:c>
      <x:c r="U48" s="33" t="n">
        <x:v>0</x:v>
      </x:c>
      <x:c r="V48" t="n">
        <x:f>COUNTIFS($C$5:$C$156,C48)</x:f>
        <x:v>1</x:v>
      </x:c>
    </x:row>
    <x:row r="49" ht="34" customHeight="1">
      <x:c r="C49" s="33" t="str">
        <x:v>LF-B-R2-P03</x:v>
      </x:c>
      <x:c r="D49" s="33" t="str">
        <x:v>LF-B-CF1</x:v>
      </x:c>
      <x:c r="E49" s="33" t="str">
        <x:v>B</x:v>
      </x:c>
      <x:c r="F49" s="33" t="str">
        <x:v>LF-R2</x:v>
      </x:c>
      <x:c r="G49" s="33" t="n">
        <x:v>3</x:v>
      </x:c>
      <x:c r="H49" s="33" t="str">
        <x:v>Water and wastewater at point of use</x:v>
      </x:c>
      <x:c r="I49" s="33" t="str">
        <x:v>brackish polishing group and robotic buried corridor</x:v>
      </x:c>
      <x:c r="J49" s="36" t="n">
        <x:v>0</x:v>
      </x:c>
      <x:c r="K49" s="36" t="n">
        <x:v>12500</x:v>
      </x:c>
      <x:c r="L49" s="36" t="n">
        <x:v>10000</x:v>
      </x:c>
      <x:c r="M49" s="36" t="n">
        <x:v>0</x:v>
      </x:c>
      <x:c r="N49" s="36" t="n">
        <x:v>0</x:v>
      </x:c>
      <x:c r="O49" s="36" t="n">
        <x:v>0</x:v>
      </x:c>
      <x:c r="P49" s="36" t="n">
        <x:v>12500</x:v>
      </x:c>
      <x:c r="Q49" s="36" t="n">
        <x:v>30</x:v>
      </x:c>
      <x:c r="R49" s="36" t="n">
        <x:v>0</x:v>
      </x:c>
      <x:c r="S49" s="36" t="str">
        <x:v>FROZEN TARGET</x:v>
      </x:c>
      <x:c r="T49" s="33" t="str">
        <x:v>OPEN</x:v>
      </x:c>
      <x:c r="U49" s="33" t="n">
        <x:v>0</x:v>
      </x:c>
      <x:c r="V49" t="n">
        <x:f>COUNTIFS($C$5:$C$156,C49)</x:f>
        <x:v>1</x:v>
      </x:c>
    </x:row>
    <x:row r="50" ht="34" customHeight="1">
      <x:c r="C50" s="33" t="str">
        <x:v>LF-B-R2-P04</x:v>
      </x:c>
      <x:c r="D50" s="33" t="str">
        <x:v>LF-B-CF1</x:v>
      </x:c>
      <x:c r="E50" s="33" t="str">
        <x:v>B</x:v>
      </x:c>
      <x:c r="F50" s="33" t="str">
        <x:v>LF-R2</x:v>
      </x:c>
      <x:c r="G50" s="33" t="n">
        <x:v>4</x:v>
      </x:c>
      <x:c r="H50" s="33" t="str">
        <x:v>Water and wastewater at point of use</x:v>
      </x:c>
      <x:c r="I50" s="33" t="str">
        <x:v>brackish polishing group and robotic buried corridor</x:v>
      </x:c>
      <x:c r="J50" s="36" t="n">
        <x:v>0</x:v>
      </x:c>
      <x:c r="K50" s="36" t="n">
        <x:v>12500</x:v>
      </x:c>
      <x:c r="L50" s="36" t="n">
        <x:v>10000</x:v>
      </x:c>
      <x:c r="M50" s="36" t="n">
        <x:v>0</x:v>
      </x:c>
      <x:c r="N50" s="36" t="n">
        <x:v>0</x:v>
      </x:c>
      <x:c r="O50" s="36" t="n">
        <x:v>0</x:v>
      </x:c>
      <x:c r="P50" s="36" t="n">
        <x:v>12500</x:v>
      </x:c>
      <x:c r="Q50" s="36" t="n">
        <x:v>30</x:v>
      </x:c>
      <x:c r="R50" s="36" t="n">
        <x:v>0</x:v>
      </x:c>
      <x:c r="S50" s="36" t="str">
        <x:v>FROZEN TARGET</x:v>
      </x:c>
      <x:c r="T50" s="33" t="str">
        <x:v>OPEN</x:v>
      </x:c>
      <x:c r="U50" s="33" t="n">
        <x:v>0</x:v>
      </x:c>
      <x:c r="V50" t="n">
        <x:f>COUNTIFS($C$5:$C$156,C50)</x:f>
        <x:v>1</x:v>
      </x:c>
    </x:row>
    <x:row r="51" ht="34" customHeight="1">
      <x:c r="C51" s="33" t="str">
        <x:v>LF-B-R2-P05</x:v>
      </x:c>
      <x:c r="D51" s="33" t="str">
        <x:v>LF-B-CF1</x:v>
      </x:c>
      <x:c r="E51" s="33" t="str">
        <x:v>B</x:v>
      </x:c>
      <x:c r="F51" s="33" t="str">
        <x:v>LF-R2</x:v>
      </x:c>
      <x:c r="G51" s="33" t="n">
        <x:v>5</x:v>
      </x:c>
      <x:c r="H51" s="33" t="str">
        <x:v>Water and wastewater at point of use</x:v>
      </x:c>
      <x:c r="I51" s="33" t="str">
        <x:v>brackish polishing group and robotic buried corridor</x:v>
      </x:c>
      <x:c r="J51" s="36" t="n">
        <x:v>0</x:v>
      </x:c>
      <x:c r="K51" s="36" t="n">
        <x:v>12500</x:v>
      </x:c>
      <x:c r="L51" s="36" t="n">
        <x:v>10000</x:v>
      </x:c>
      <x:c r="M51" s="36" t="n">
        <x:v>0</x:v>
      </x:c>
      <x:c r="N51" s="36" t="n">
        <x:v>0</x:v>
      </x:c>
      <x:c r="O51" s="36" t="n">
        <x:v>0</x:v>
      </x:c>
      <x:c r="P51" s="36" t="n">
        <x:v>12500</x:v>
      </x:c>
      <x:c r="Q51" s="36" t="n">
        <x:v>30</x:v>
      </x:c>
      <x:c r="R51" s="36" t="n">
        <x:v>0</x:v>
      </x:c>
      <x:c r="S51" s="36" t="str">
        <x:v>FROZEN TARGET</x:v>
      </x:c>
      <x:c r="T51" s="33" t="str">
        <x:v>OPEN</x:v>
      </x:c>
      <x:c r="U51" s="33" t="n">
        <x:v>0</x:v>
      </x:c>
      <x:c r="V51" t="n">
        <x:f>COUNTIFS($C$5:$C$156,C51)</x:f>
        <x:v>1</x:v>
      </x:c>
    </x:row>
    <x:row r="52" ht="34" customHeight="1">
      <x:c r="C52" s="33" t="str">
        <x:v>LF-B-R2-P06</x:v>
      </x:c>
      <x:c r="D52" s="33" t="str">
        <x:v>LF-B-CF1</x:v>
      </x:c>
      <x:c r="E52" s="33" t="str">
        <x:v>B</x:v>
      </x:c>
      <x:c r="F52" s="33" t="str">
        <x:v>LF-R2</x:v>
      </x:c>
      <x:c r="G52" s="33" t="n">
        <x:v>6</x:v>
      </x:c>
      <x:c r="H52" s="33" t="str">
        <x:v>Water and wastewater at point of use</x:v>
      </x:c>
      <x:c r="I52" s="33" t="str">
        <x:v>brackish polishing group and robotic buried corridor</x:v>
      </x:c>
      <x:c r="J52" s="36" t="n">
        <x:v>0</x:v>
      </x:c>
      <x:c r="K52" s="36" t="n">
        <x:v>12500</x:v>
      </x:c>
      <x:c r="L52" s="36" t="n">
        <x:v>10000</x:v>
      </x:c>
      <x:c r="M52" s="36" t="n">
        <x:v>0</x:v>
      </x:c>
      <x:c r="N52" s="36" t="n">
        <x:v>0</x:v>
      </x:c>
      <x:c r="O52" s="36" t="n">
        <x:v>0</x:v>
      </x:c>
      <x:c r="P52" s="36" t="n">
        <x:v>12500</x:v>
      </x:c>
      <x:c r="Q52" s="36" t="n">
        <x:v>30</x:v>
      </x:c>
      <x:c r="R52" s="36" t="n">
        <x:v>0</x:v>
      </x:c>
      <x:c r="S52" s="36" t="str">
        <x:v>FROZEN TARGET</x:v>
      </x:c>
      <x:c r="T52" s="33" t="str">
        <x:v>OPEN</x:v>
      </x:c>
      <x:c r="U52" s="33" t="n">
        <x:v>0</x:v>
      </x:c>
      <x:c r="V52" t="n">
        <x:f>COUNTIFS($C$5:$C$156,C52)</x:f>
        <x:v>1</x:v>
      </x:c>
    </x:row>
    <x:row r="53" ht="34" customHeight="1">
      <x:c r="C53" s="33" t="str">
        <x:v>LF-B-R2-P07</x:v>
      </x:c>
      <x:c r="D53" s="33" t="str">
        <x:v>LF-B-CF1</x:v>
      </x:c>
      <x:c r="E53" s="33" t="str">
        <x:v>B</x:v>
      </x:c>
      <x:c r="F53" s="33" t="str">
        <x:v>LF-R2</x:v>
      </x:c>
      <x:c r="G53" s="33" t="n">
        <x:v>7</x:v>
      </x:c>
      <x:c r="H53" s="33" t="str">
        <x:v>Water and wastewater at point of use</x:v>
      </x:c>
      <x:c r="I53" s="33" t="str">
        <x:v>brackish polishing group and robotic buried corridor</x:v>
      </x:c>
      <x:c r="J53" s="36" t="n">
        <x:v>0</x:v>
      </x:c>
      <x:c r="K53" s="36" t="n">
        <x:v>12500</x:v>
      </x:c>
      <x:c r="L53" s="36" t="n">
        <x:v>10000</x:v>
      </x:c>
      <x:c r="M53" s="36" t="n">
        <x:v>0</x:v>
      </x:c>
      <x:c r="N53" s="36" t="n">
        <x:v>0</x:v>
      </x:c>
      <x:c r="O53" s="36" t="n">
        <x:v>0</x:v>
      </x:c>
      <x:c r="P53" s="36" t="n">
        <x:v>12500</x:v>
      </x:c>
      <x:c r="Q53" s="36" t="n">
        <x:v>30</x:v>
      </x:c>
      <x:c r="R53" s="36" t="n">
        <x:v>0</x:v>
      </x:c>
      <x:c r="S53" s="36" t="str">
        <x:v>FROZEN TARGET</x:v>
      </x:c>
      <x:c r="T53" s="33" t="str">
        <x:v>OPEN</x:v>
      </x:c>
      <x:c r="U53" s="33" t="n">
        <x:v>0</x:v>
      </x:c>
      <x:c r="V53" t="n">
        <x:f>COUNTIFS($C$5:$C$156,C53)</x:f>
        <x:v>1</x:v>
      </x:c>
    </x:row>
    <x:row r="54" ht="34" customHeight="1">
      <x:c r="C54" s="33" t="str">
        <x:v>LF-B-R2-P08</x:v>
      </x:c>
      <x:c r="D54" s="33" t="str">
        <x:v>LF-B-CF1</x:v>
      </x:c>
      <x:c r="E54" s="33" t="str">
        <x:v>B</x:v>
      </x:c>
      <x:c r="F54" s="33" t="str">
        <x:v>LF-R2</x:v>
      </x:c>
      <x:c r="G54" s="33" t="n">
        <x:v>8</x:v>
      </x:c>
      <x:c r="H54" s="33" t="str">
        <x:v>Water and wastewater at point of use</x:v>
      </x:c>
      <x:c r="I54" s="33" t="str">
        <x:v>brackish polishing group and robotic buried corridor</x:v>
      </x:c>
      <x:c r="J54" s="36" t="n">
        <x:v>0</x:v>
      </x:c>
      <x:c r="K54" s="36" t="n">
        <x:v>12500</x:v>
      </x:c>
      <x:c r="L54" s="36" t="n">
        <x:v>10000</x:v>
      </x:c>
      <x:c r="M54" s="36" t="n">
        <x:v>0</x:v>
      </x:c>
      <x:c r="N54" s="36" t="n">
        <x:v>0</x:v>
      </x:c>
      <x:c r="O54" s="36" t="n">
        <x:v>0</x:v>
      </x:c>
      <x:c r="P54" s="36" t="n">
        <x:v>12500</x:v>
      </x:c>
      <x:c r="Q54" s="36" t="n">
        <x:v>30</x:v>
      </x:c>
      <x:c r="R54" s="36" t="n">
        <x:v>0</x:v>
      </x:c>
      <x:c r="S54" s="36" t="str">
        <x:v>FROZEN TARGET</x:v>
      </x:c>
      <x:c r="T54" s="33" t="str">
        <x:v>OPEN</x:v>
      </x:c>
      <x:c r="U54" s="33" t="n">
        <x:v>0</x:v>
      </x:c>
      <x:c r="V54" t="n">
        <x:f>COUNTIFS($C$5:$C$156,C54)</x:f>
        <x:v>1</x:v>
      </x:c>
    </x:row>
    <x:row r="55" ht="34" customHeight="1">
      <x:c r="C55" s="33" t="str">
        <x:v>LF-B-R3-P01</x:v>
      </x:c>
      <x:c r="D55" s="33" t="str">
        <x:v>LF-B-CF1</x:v>
      </x:c>
      <x:c r="E55" s="33" t="str">
        <x:v>B</x:v>
      </x:c>
      <x:c r="F55" s="33" t="str">
        <x:v>LF-R3</x:v>
      </x:c>
      <x:c r="G55" s="33" t="n">
        <x:v>1</x:v>
      </x:c>
      <x:c r="H55" s="33" t="str">
        <x:v>Local power</x:v>
      </x:c>
      <x:c r="I55" s="33" t="str">
        <x:v>synchronous geothermal local grid cell</x:v>
      </x:c>
      <x:c r="J55" s="36" t="n">
        <x:v>0</x:v>
      </x:c>
      <x:c r="K55" s="36" t="n">
        <x:v>0</x:v>
      </x:c>
      <x:c r="L55" s="36" t="n">
        <x:v>0</x:v>
      </x:c>
      <x:c r="M55" s="36" t="n">
        <x:v>10</x:v>
      </x:c>
      <x:c r="N55" s="36" t="n">
        <x:v>15</x:v>
      </x:c>
      <x:c r="O55" s="36" t="n">
        <x:v>0</x:v>
      </x:c>
      <x:c r="P55" s="36" t="n">
        <x:v>0</x:v>
      </x:c>
      <x:c r="Q55" s="36" t="n">
        <x:v>0</x:v>
      </x:c>
      <x:c r="R55" s="36" t="n">
        <x:v>20</x:v>
      </x:c>
      <x:c r="S55" s="36" t="str">
        <x:v>FROZEN TARGET</x:v>
      </x:c>
      <x:c r="T55" s="33" t="str">
        <x:v>OPEN</x:v>
      </x:c>
      <x:c r="U55" s="33" t="n">
        <x:v>0</x:v>
      </x:c>
      <x:c r="V55" t="n">
        <x:f>COUNTIFS($C$5:$C$156,C55)</x:f>
        <x:v>1</x:v>
      </x:c>
    </x:row>
    <x:row r="56" ht="34" customHeight="1">
      <x:c r="C56" s="33" t="str">
        <x:v>LF-B-R3-P02</x:v>
      </x:c>
      <x:c r="D56" s="33" t="str">
        <x:v>LF-B-CF1</x:v>
      </x:c>
      <x:c r="E56" s="33" t="str">
        <x:v>B</x:v>
      </x:c>
      <x:c r="F56" s="33" t="str">
        <x:v>LF-R3</x:v>
      </x:c>
      <x:c r="G56" s="33" t="n">
        <x:v>2</x:v>
      </x:c>
      <x:c r="H56" s="33" t="str">
        <x:v>Local power</x:v>
      </x:c>
      <x:c r="I56" s="33" t="str">
        <x:v>synchronous geothermal local grid cell</x:v>
      </x:c>
      <x:c r="J56" s="36" t="n">
        <x:v>0</x:v>
      </x:c>
      <x:c r="K56" s="36" t="n">
        <x:v>0</x:v>
      </x:c>
      <x:c r="L56" s="36" t="n">
        <x:v>0</x:v>
      </x:c>
      <x:c r="M56" s="36" t="n">
        <x:v>10</x:v>
      </x:c>
      <x:c r="N56" s="36" t="n">
        <x:v>15</x:v>
      </x:c>
      <x:c r="O56" s="36" t="n">
        <x:v>0</x:v>
      </x:c>
      <x:c r="P56" s="36" t="n">
        <x:v>0</x:v>
      </x:c>
      <x:c r="Q56" s="36" t="n">
        <x:v>0</x:v>
      </x:c>
      <x:c r="R56" s="36" t="n">
        <x:v>20</x:v>
      </x:c>
      <x:c r="S56" s="36" t="str">
        <x:v>FROZEN TARGET</x:v>
      </x:c>
      <x:c r="T56" s="33" t="str">
        <x:v>OPEN</x:v>
      </x:c>
      <x:c r="U56" s="33" t="n">
        <x:v>0</x:v>
      </x:c>
      <x:c r="V56" t="n">
        <x:f>COUNTIFS($C$5:$C$156,C56)</x:f>
        <x:v>1</x:v>
      </x:c>
    </x:row>
    <x:row r="57" ht="34" customHeight="1">
      <x:c r="C57" s="33" t="str">
        <x:v>LF-B-R3-P03</x:v>
      </x:c>
      <x:c r="D57" s="33" t="str">
        <x:v>LF-B-CF1</x:v>
      </x:c>
      <x:c r="E57" s="33" t="str">
        <x:v>B</x:v>
      </x:c>
      <x:c r="F57" s="33" t="str">
        <x:v>LF-R3</x:v>
      </x:c>
      <x:c r="G57" s="33" t="n">
        <x:v>3</x:v>
      </x:c>
      <x:c r="H57" s="33" t="str">
        <x:v>Local power</x:v>
      </x:c>
      <x:c r="I57" s="33" t="str">
        <x:v>synchronous geothermal local grid cell</x:v>
      </x:c>
      <x:c r="J57" s="36" t="n">
        <x:v>0</x:v>
      </x:c>
      <x:c r="K57" s="36" t="n">
        <x:v>0</x:v>
      </x:c>
      <x:c r="L57" s="36" t="n">
        <x:v>0</x:v>
      </x:c>
      <x:c r="M57" s="36" t="n">
        <x:v>10</x:v>
      </x:c>
      <x:c r="N57" s="36" t="n">
        <x:v>15</x:v>
      </x:c>
      <x:c r="O57" s="36" t="n">
        <x:v>0</x:v>
      </x:c>
      <x:c r="P57" s="36" t="n">
        <x:v>0</x:v>
      </x:c>
      <x:c r="Q57" s="36" t="n">
        <x:v>0</x:v>
      </x:c>
      <x:c r="R57" s="36" t="n">
        <x:v>20</x:v>
      </x:c>
      <x:c r="S57" s="36" t="str">
        <x:v>FROZEN TARGET</x:v>
      </x:c>
      <x:c r="T57" s="33" t="str">
        <x:v>OPEN</x:v>
      </x:c>
      <x:c r="U57" s="33" t="n">
        <x:v>0</x:v>
      </x:c>
      <x:c r="V57" t="n">
        <x:f>COUNTIFS($C$5:$C$156,C57)</x:f>
        <x:v>1</x:v>
      </x:c>
    </x:row>
    <x:row r="58" ht="34" customHeight="1">
      <x:c r="C58" s="33" t="str">
        <x:v>LF-B-R3-P04</x:v>
      </x:c>
      <x:c r="D58" s="33" t="str">
        <x:v>LF-B-CF1</x:v>
      </x:c>
      <x:c r="E58" s="33" t="str">
        <x:v>B</x:v>
      </x:c>
      <x:c r="F58" s="33" t="str">
        <x:v>LF-R3</x:v>
      </x:c>
      <x:c r="G58" s="33" t="n">
        <x:v>4</x:v>
      </x:c>
      <x:c r="H58" s="33" t="str">
        <x:v>Local power</x:v>
      </x:c>
      <x:c r="I58" s="33" t="str">
        <x:v>synchronous geothermal local grid cell</x:v>
      </x:c>
      <x:c r="J58" s="36" t="n">
        <x:v>0</x:v>
      </x:c>
      <x:c r="K58" s="36" t="n">
        <x:v>0</x:v>
      </x:c>
      <x:c r="L58" s="36" t="n">
        <x:v>0</x:v>
      </x:c>
      <x:c r="M58" s="36" t="n">
        <x:v>10</x:v>
      </x:c>
      <x:c r="N58" s="36" t="n">
        <x:v>15</x:v>
      </x:c>
      <x:c r="O58" s="36" t="n">
        <x:v>0</x:v>
      </x:c>
      <x:c r="P58" s="36" t="n">
        <x:v>0</x:v>
      </x:c>
      <x:c r="Q58" s="36" t="n">
        <x:v>0</x:v>
      </x:c>
      <x:c r="R58" s="36" t="n">
        <x:v>20</x:v>
      </x:c>
      <x:c r="S58" s="36" t="str">
        <x:v>FROZEN TARGET</x:v>
      </x:c>
      <x:c r="T58" s="33" t="str">
        <x:v>OPEN</x:v>
      </x:c>
      <x:c r="U58" s="33" t="n">
        <x:v>0</x:v>
      </x:c>
      <x:c r="V58" t="n">
        <x:f>COUNTIFS($C$5:$C$156,C58)</x:f>
        <x:v>1</x:v>
      </x:c>
    </x:row>
    <x:row r="59" ht="34" customHeight="1">
      <x:c r="C59" s="33" t="str">
        <x:v>LF-B-R3-P05</x:v>
      </x:c>
      <x:c r="D59" s="33" t="str">
        <x:v>LF-B-CF1</x:v>
      </x:c>
      <x:c r="E59" s="33" t="str">
        <x:v>B</x:v>
      </x:c>
      <x:c r="F59" s="33" t="str">
        <x:v>LF-R3</x:v>
      </x:c>
      <x:c r="G59" s="33" t="n">
        <x:v>5</x:v>
      </x:c>
      <x:c r="H59" s="33" t="str">
        <x:v>Local power</x:v>
      </x:c>
      <x:c r="I59" s="33" t="str">
        <x:v>synchronous geothermal local grid cell</x:v>
      </x:c>
      <x:c r="J59" s="36" t="n">
        <x:v>0</x:v>
      </x:c>
      <x:c r="K59" s="36" t="n">
        <x:v>0</x:v>
      </x:c>
      <x:c r="L59" s="36" t="n">
        <x:v>0</x:v>
      </x:c>
      <x:c r="M59" s="36" t="n">
        <x:v>10</x:v>
      </x:c>
      <x:c r="N59" s="36" t="n">
        <x:v>15</x:v>
      </x:c>
      <x:c r="O59" s="36" t="n">
        <x:v>0</x:v>
      </x:c>
      <x:c r="P59" s="36" t="n">
        <x:v>0</x:v>
      </x:c>
      <x:c r="Q59" s="36" t="n">
        <x:v>0</x:v>
      </x:c>
      <x:c r="R59" s="36" t="n">
        <x:v>20</x:v>
      </x:c>
      <x:c r="S59" s="36" t="str">
        <x:v>FROZEN TARGET</x:v>
      </x:c>
      <x:c r="T59" s="33" t="str">
        <x:v>OPEN</x:v>
      </x:c>
      <x:c r="U59" s="33" t="n">
        <x:v>0</x:v>
      </x:c>
      <x:c r="V59" t="n">
        <x:f>COUNTIFS($C$5:$C$156,C59)</x:f>
        <x:v>1</x:v>
      </x:c>
    </x:row>
    <x:row r="60" ht="34" customHeight="1">
      <x:c r="C60" s="33" t="str">
        <x:v>LF-B-R3-P06</x:v>
      </x:c>
      <x:c r="D60" s="33" t="str">
        <x:v>LF-B-CF1</x:v>
      </x:c>
      <x:c r="E60" s="33" t="str">
        <x:v>B</x:v>
      </x:c>
      <x:c r="F60" s="33" t="str">
        <x:v>LF-R3</x:v>
      </x:c>
      <x:c r="G60" s="33" t="n">
        <x:v>6</x:v>
      </x:c>
      <x:c r="H60" s="33" t="str">
        <x:v>Local power</x:v>
      </x:c>
      <x:c r="I60" s="33" t="str">
        <x:v>synchronous geothermal local grid cell</x:v>
      </x:c>
      <x:c r="J60" s="36" t="n">
        <x:v>0</x:v>
      </x:c>
      <x:c r="K60" s="36" t="n">
        <x:v>0</x:v>
      </x:c>
      <x:c r="L60" s="36" t="n">
        <x:v>0</x:v>
      </x:c>
      <x:c r="M60" s="36" t="n">
        <x:v>10</x:v>
      </x:c>
      <x:c r="N60" s="36" t="n">
        <x:v>15</x:v>
      </x:c>
      <x:c r="O60" s="36" t="n">
        <x:v>0</x:v>
      </x:c>
      <x:c r="P60" s="36" t="n">
        <x:v>0</x:v>
      </x:c>
      <x:c r="Q60" s="36" t="n">
        <x:v>0</x:v>
      </x:c>
      <x:c r="R60" s="36" t="n">
        <x:v>20</x:v>
      </x:c>
      <x:c r="S60" s="36" t="str">
        <x:v>FROZEN TARGET</x:v>
      </x:c>
      <x:c r="T60" s="33" t="str">
        <x:v>OPEN</x:v>
      </x:c>
      <x:c r="U60" s="33" t="n">
        <x:v>0</x:v>
      </x:c>
      <x:c r="V60" t="n">
        <x:f>COUNTIFS($C$5:$C$156,C60)</x:f>
        <x:v>1</x:v>
      </x:c>
    </x:row>
    <x:row r="61" ht="34" customHeight="1">
      <x:c r="C61" s="33" t="str">
        <x:v>LF-B-R3-P07</x:v>
      </x:c>
      <x:c r="D61" s="33" t="str">
        <x:v>LF-B-CF1</x:v>
      </x:c>
      <x:c r="E61" s="33" t="str">
        <x:v>B</x:v>
      </x:c>
      <x:c r="F61" s="33" t="str">
        <x:v>LF-R3</x:v>
      </x:c>
      <x:c r="G61" s="33" t="n">
        <x:v>7</x:v>
      </x:c>
      <x:c r="H61" s="33" t="str">
        <x:v>Local power</x:v>
      </x:c>
      <x:c r="I61" s="33" t="str">
        <x:v>synchronous geothermal local grid cell</x:v>
      </x:c>
      <x:c r="J61" s="36" t="n">
        <x:v>0</x:v>
      </x:c>
      <x:c r="K61" s="36" t="n">
        <x:v>0</x:v>
      </x:c>
      <x:c r="L61" s="36" t="n">
        <x:v>0</x:v>
      </x:c>
      <x:c r="M61" s="36" t="n">
        <x:v>10</x:v>
      </x:c>
      <x:c r="N61" s="36" t="n">
        <x:v>15</x:v>
      </x:c>
      <x:c r="O61" s="36" t="n">
        <x:v>0</x:v>
      </x:c>
      <x:c r="P61" s="36" t="n">
        <x:v>0</x:v>
      </x:c>
      <x:c r="Q61" s="36" t="n">
        <x:v>0</x:v>
      </x:c>
      <x:c r="R61" s="36" t="n">
        <x:v>20</x:v>
      </x:c>
      <x:c r="S61" s="36" t="str">
        <x:v>FROZEN TARGET</x:v>
      </x:c>
      <x:c r="T61" s="33" t="str">
        <x:v>OPEN</x:v>
      </x:c>
      <x:c r="U61" s="33" t="n">
        <x:v>0</x:v>
      </x:c>
      <x:c r="V61" t="n">
        <x:f>COUNTIFS($C$5:$C$156,C61)</x:f>
        <x:v>1</x:v>
      </x:c>
    </x:row>
    <x:row r="62" ht="34" customHeight="1">
      <x:c r="C62" s="33" t="str">
        <x:v>LF-B-R3-P08</x:v>
      </x:c>
      <x:c r="D62" s="33" t="str">
        <x:v>LF-B-CF1</x:v>
      </x:c>
      <x:c r="E62" s="33" t="str">
        <x:v>B</x:v>
      </x:c>
      <x:c r="F62" s="33" t="str">
        <x:v>LF-R3</x:v>
      </x:c>
      <x:c r="G62" s="33" t="n">
        <x:v>8</x:v>
      </x:c>
      <x:c r="H62" s="33" t="str">
        <x:v>Local power</x:v>
      </x:c>
      <x:c r="I62" s="33" t="str">
        <x:v>synchronous geothermal local grid cell</x:v>
      </x:c>
      <x:c r="J62" s="36" t="n">
        <x:v>0</x:v>
      </x:c>
      <x:c r="K62" s="36" t="n">
        <x:v>0</x:v>
      </x:c>
      <x:c r="L62" s="36" t="n">
        <x:v>0</x:v>
      </x:c>
      <x:c r="M62" s="36" t="n">
        <x:v>10</x:v>
      </x:c>
      <x:c r="N62" s="36" t="n">
        <x:v>15</x:v>
      </x:c>
      <x:c r="O62" s="36" t="n">
        <x:v>0</x:v>
      </x:c>
      <x:c r="P62" s="36" t="n">
        <x:v>0</x:v>
      </x:c>
      <x:c r="Q62" s="36" t="n">
        <x:v>0</x:v>
      </x:c>
      <x:c r="R62" s="36" t="n">
        <x:v>20</x:v>
      </x:c>
      <x:c r="S62" s="36" t="str">
        <x:v>FROZEN TARGET</x:v>
      </x:c>
      <x:c r="T62" s="33" t="str">
        <x:v>OPEN</x:v>
      </x:c>
      <x:c r="U62" s="33" t="n">
        <x:v>0</x:v>
      </x:c>
      <x:c r="V62" t="n">
        <x:f>COUNTIFS($C$5:$C$156,C62)</x:f>
        <x:v>1</x:v>
      </x:c>
    </x:row>
    <x:row r="63" ht="34" customHeight="1">
      <x:c r="C63" s="33" t="str">
        <x:v>LF-B-R3-P09</x:v>
      </x:c>
      <x:c r="D63" s="33" t="str">
        <x:v>LF-B-CF1</x:v>
      </x:c>
      <x:c r="E63" s="33" t="str">
        <x:v>B</x:v>
      </x:c>
      <x:c r="F63" s="33" t="str">
        <x:v>LF-R3</x:v>
      </x:c>
      <x:c r="G63" s="33" t="n">
        <x:v>9</x:v>
      </x:c>
      <x:c r="H63" s="33" t="str">
        <x:v>Local power</x:v>
      </x:c>
      <x:c r="I63" s="33" t="str">
        <x:v>synchronous geothermal local grid cell</x:v>
      </x:c>
      <x:c r="J63" s="36" t="n">
        <x:v>0</x:v>
      </x:c>
      <x:c r="K63" s="36" t="n">
        <x:v>0</x:v>
      </x:c>
      <x:c r="L63" s="36" t="n">
        <x:v>0</x:v>
      </x:c>
      <x:c r="M63" s="36" t="n">
        <x:v>10</x:v>
      </x:c>
      <x:c r="N63" s="36" t="n">
        <x:v>15</x:v>
      </x:c>
      <x:c r="O63" s="36" t="n">
        <x:v>0</x:v>
      </x:c>
      <x:c r="P63" s="36" t="n">
        <x:v>0</x:v>
      </x:c>
      <x:c r="Q63" s="36" t="n">
        <x:v>0</x:v>
      </x:c>
      <x:c r="R63" s="36" t="n">
        <x:v>20</x:v>
      </x:c>
      <x:c r="S63" s="36" t="str">
        <x:v>FROZEN TARGET</x:v>
      </x:c>
      <x:c r="T63" s="33" t="str">
        <x:v>OPEN</x:v>
      </x:c>
      <x:c r="U63" s="33" t="n">
        <x:v>0</x:v>
      </x:c>
      <x:c r="V63" t="n">
        <x:f>COUNTIFS($C$5:$C$156,C63)</x:f>
        <x:v>1</x:v>
      </x:c>
    </x:row>
    <x:row r="64" ht="34" customHeight="1">
      <x:c r="C64" s="33" t="str">
        <x:v>LF-B-R3-P10</x:v>
      </x:c>
      <x:c r="D64" s="33" t="str">
        <x:v>LF-B-CF1</x:v>
      </x:c>
      <x:c r="E64" s="33" t="str">
        <x:v>B</x:v>
      </x:c>
      <x:c r="F64" s="33" t="str">
        <x:v>LF-R3</x:v>
      </x:c>
      <x:c r="G64" s="33" t="n">
        <x:v>10</x:v>
      </x:c>
      <x:c r="H64" s="33" t="str">
        <x:v>Local power</x:v>
      </x:c>
      <x:c r="I64" s="33" t="str">
        <x:v>synchronous geothermal local grid cell</x:v>
      </x:c>
      <x:c r="J64" s="36" t="n">
        <x:v>0</x:v>
      </x:c>
      <x:c r="K64" s="36" t="n">
        <x:v>0</x:v>
      </x:c>
      <x:c r="L64" s="36" t="n">
        <x:v>0</x:v>
      </x:c>
      <x:c r="M64" s="36" t="n">
        <x:v>10</x:v>
      </x:c>
      <x:c r="N64" s="36" t="n">
        <x:v>15</x:v>
      </x:c>
      <x:c r="O64" s="36" t="n">
        <x:v>0</x:v>
      </x:c>
      <x:c r="P64" s="36" t="n">
        <x:v>0</x:v>
      </x:c>
      <x:c r="Q64" s="36" t="n">
        <x:v>0</x:v>
      </x:c>
      <x:c r="R64" s="36" t="n">
        <x:v>20</x:v>
      </x:c>
      <x:c r="S64" s="36" t="str">
        <x:v>FROZEN TARGET</x:v>
      </x:c>
      <x:c r="T64" s="33" t="str">
        <x:v>OPEN</x:v>
      </x:c>
      <x:c r="U64" s="33" t="n">
        <x:v>0</x:v>
      </x:c>
      <x:c r="V64" t="n">
        <x:f>COUNTIFS($C$5:$C$156,C64)</x:f>
        <x:v>1</x:v>
      </x:c>
    </x:row>
    <x:row r="65" ht="34" customHeight="1">
      <x:c r="C65" s="33" t="str">
        <x:v>LF-B-R4-P01</x:v>
      </x:c>
      <x:c r="D65" s="33" t="str">
        <x:v>LF-B-CF1</x:v>
      </x:c>
      <x:c r="E65" s="33" t="str">
        <x:v>B</x:v>
      </x:c>
      <x:c r="F65" s="33" t="str">
        <x:v>LF-R4</x:v>
      </x:c>
      <x:c r="G65" s="33" t="n">
        <x:v>1</x:v>
      </x:c>
      <x:c r="H65" s="33" t="str">
        <x:v>Grid bridge</x:v>
      </x:c>
      <x:c r="I65" s="33" t="str">
        <x:v>buried electric and thermal grid bridge</x:v>
      </x:c>
      <x:c r="J65" s="36" t="n">
        <x:v>0</x:v>
      </x:c>
      <x:c r="K65" s="36" t="n">
        <x:v>0</x:v>
      </x:c>
      <x:c r="L65" s="36" t="n">
        <x:v>0</x:v>
      </x:c>
      <x:c r="M65" s="36" t="n">
        <x:v>12.5</x:v>
      </x:c>
      <x:c r="N65" s="36" t="n">
        <x:v>0</x:v>
      </x:c>
      <x:c r="O65" s="36" t="n">
        <x:v>0</x:v>
      </x:c>
      <x:c r="P65" s="36" t="n">
        <x:v>0</x:v>
      </x:c>
      <x:c r="Q65" s="36" t="n">
        <x:v>15</x:v>
      </x:c>
      <x:c r="R65" s="36" t="n">
        <x:v>0</x:v>
      </x:c>
      <x:c r="S65" s="36" t="str">
        <x:v>FROZEN TARGET</x:v>
      </x:c>
      <x:c r="T65" s="33" t="str">
        <x:v>OPEN</x:v>
      </x:c>
      <x:c r="U65" s="33" t="n">
        <x:v>0</x:v>
      </x:c>
      <x:c r="V65" t="n">
        <x:f>COUNTIFS($C$5:$C$156,C65)</x:f>
        <x:v>1</x:v>
      </x:c>
    </x:row>
    <x:row r="66" ht="34" customHeight="1">
      <x:c r="C66" s="33" t="str">
        <x:v>LF-B-R4-P02</x:v>
      </x:c>
      <x:c r="D66" s="33" t="str">
        <x:v>LF-B-CF1</x:v>
      </x:c>
      <x:c r="E66" s="33" t="str">
        <x:v>B</x:v>
      </x:c>
      <x:c r="F66" s="33" t="str">
        <x:v>LF-R4</x:v>
      </x:c>
      <x:c r="G66" s="33" t="n">
        <x:v>2</x:v>
      </x:c>
      <x:c r="H66" s="33" t="str">
        <x:v>Grid bridge</x:v>
      </x:c>
      <x:c r="I66" s="33" t="str">
        <x:v>buried electric and thermal grid bridge</x:v>
      </x:c>
      <x:c r="J66" s="36" t="n">
        <x:v>0</x:v>
      </x:c>
      <x:c r="K66" s="36" t="n">
        <x:v>0</x:v>
      </x:c>
      <x:c r="L66" s="36" t="n">
        <x:v>0</x:v>
      </x:c>
      <x:c r="M66" s="36" t="n">
        <x:v>12.5</x:v>
      </x:c>
      <x:c r="N66" s="36" t="n">
        <x:v>0</x:v>
      </x:c>
      <x:c r="O66" s="36" t="n">
        <x:v>0</x:v>
      </x:c>
      <x:c r="P66" s="36" t="n">
        <x:v>0</x:v>
      </x:c>
      <x:c r="Q66" s="36" t="n">
        <x:v>15</x:v>
      </x:c>
      <x:c r="R66" s="36" t="n">
        <x:v>0</x:v>
      </x:c>
      <x:c r="S66" s="36" t="str">
        <x:v>FROZEN TARGET</x:v>
      </x:c>
      <x:c r="T66" s="33" t="str">
        <x:v>OPEN</x:v>
      </x:c>
      <x:c r="U66" s="33" t="n">
        <x:v>0</x:v>
      </x:c>
      <x:c r="V66" t="n">
        <x:f>COUNTIFS($C$5:$C$156,C66)</x:f>
        <x:v>1</x:v>
      </x:c>
    </x:row>
    <x:row r="67" ht="34" customHeight="1">
      <x:c r="C67" s="33" t="str">
        <x:v>LF-B-R4-P03</x:v>
      </x:c>
      <x:c r="D67" s="33" t="str">
        <x:v>LF-B-CF1</x:v>
      </x:c>
      <x:c r="E67" s="33" t="str">
        <x:v>B</x:v>
      </x:c>
      <x:c r="F67" s="33" t="str">
        <x:v>LF-R4</x:v>
      </x:c>
      <x:c r="G67" s="33" t="n">
        <x:v>3</x:v>
      </x:c>
      <x:c r="H67" s="33" t="str">
        <x:v>Grid bridge</x:v>
      </x:c>
      <x:c r="I67" s="33" t="str">
        <x:v>buried electric and thermal grid bridge</x:v>
      </x:c>
      <x:c r="J67" s="36" t="n">
        <x:v>0</x:v>
      </x:c>
      <x:c r="K67" s="36" t="n">
        <x:v>0</x:v>
      </x:c>
      <x:c r="L67" s="36" t="n">
        <x:v>0</x:v>
      </x:c>
      <x:c r="M67" s="36" t="n">
        <x:v>12.5</x:v>
      </x:c>
      <x:c r="N67" s="36" t="n">
        <x:v>0</x:v>
      </x:c>
      <x:c r="O67" s="36" t="n">
        <x:v>0</x:v>
      </x:c>
      <x:c r="P67" s="36" t="n">
        <x:v>0</x:v>
      </x:c>
      <x:c r="Q67" s="36" t="n">
        <x:v>15</x:v>
      </x:c>
      <x:c r="R67" s="36" t="n">
        <x:v>0</x:v>
      </x:c>
      <x:c r="S67" s="36" t="str">
        <x:v>FROZEN TARGET</x:v>
      </x:c>
      <x:c r="T67" s="33" t="str">
        <x:v>OPEN</x:v>
      </x:c>
      <x:c r="U67" s="33" t="n">
        <x:v>0</x:v>
      </x:c>
      <x:c r="V67" t="n">
        <x:f>COUNTIFS($C$5:$C$156,C67)</x:f>
        <x:v>1</x:v>
      </x:c>
    </x:row>
    <x:row r="68" ht="34" customHeight="1">
      <x:c r="C68" s="33" t="str">
        <x:v>LF-B-R4-P04</x:v>
      </x:c>
      <x:c r="D68" s="33" t="str">
        <x:v>LF-B-CF1</x:v>
      </x:c>
      <x:c r="E68" s="33" t="str">
        <x:v>B</x:v>
      </x:c>
      <x:c r="F68" s="33" t="str">
        <x:v>LF-R4</x:v>
      </x:c>
      <x:c r="G68" s="33" t="n">
        <x:v>4</x:v>
      </x:c>
      <x:c r="H68" s="33" t="str">
        <x:v>Grid bridge</x:v>
      </x:c>
      <x:c r="I68" s="33" t="str">
        <x:v>buried electric and thermal grid bridge</x:v>
      </x:c>
      <x:c r="J68" s="36" t="n">
        <x:v>0</x:v>
      </x:c>
      <x:c r="K68" s="36" t="n">
        <x:v>0</x:v>
      </x:c>
      <x:c r="L68" s="36" t="n">
        <x:v>0</x:v>
      </x:c>
      <x:c r="M68" s="36" t="n">
        <x:v>12.5</x:v>
      </x:c>
      <x:c r="N68" s="36" t="n">
        <x:v>0</x:v>
      </x:c>
      <x:c r="O68" s="36" t="n">
        <x:v>0</x:v>
      </x:c>
      <x:c r="P68" s="36" t="n">
        <x:v>0</x:v>
      </x:c>
      <x:c r="Q68" s="36" t="n">
        <x:v>15</x:v>
      </x:c>
      <x:c r="R68" s="36" t="n">
        <x:v>0</x:v>
      </x:c>
      <x:c r="S68" s="36" t="str">
        <x:v>FROZEN TARGET</x:v>
      </x:c>
      <x:c r="T68" s="33" t="str">
        <x:v>OPEN</x:v>
      </x:c>
      <x:c r="U68" s="33" t="n">
        <x:v>0</x:v>
      </x:c>
      <x:c r="V68" t="n">
        <x:f>COUNTIFS($C$5:$C$156,C68)</x:f>
        <x:v>1</x:v>
      </x:c>
    </x:row>
    <x:row r="69" ht="34" customHeight="1">
      <x:c r="C69" s="33" t="str">
        <x:v>LF-B-R4-P05</x:v>
      </x:c>
      <x:c r="D69" s="33" t="str">
        <x:v>LF-B-CF1</x:v>
      </x:c>
      <x:c r="E69" s="33" t="str">
        <x:v>B</x:v>
      </x:c>
      <x:c r="F69" s="33" t="str">
        <x:v>LF-R4</x:v>
      </x:c>
      <x:c r="G69" s="33" t="n">
        <x:v>5</x:v>
      </x:c>
      <x:c r="H69" s="33" t="str">
        <x:v>Grid bridge</x:v>
      </x:c>
      <x:c r="I69" s="33" t="str">
        <x:v>buried electric and thermal grid bridge</x:v>
      </x:c>
      <x:c r="J69" s="36" t="n">
        <x:v>0</x:v>
      </x:c>
      <x:c r="K69" s="36" t="n">
        <x:v>0</x:v>
      </x:c>
      <x:c r="L69" s="36" t="n">
        <x:v>0</x:v>
      </x:c>
      <x:c r="M69" s="36" t="n">
        <x:v>12.5</x:v>
      </x:c>
      <x:c r="N69" s="36" t="n">
        <x:v>0</x:v>
      </x:c>
      <x:c r="O69" s="36" t="n">
        <x:v>0</x:v>
      </x:c>
      <x:c r="P69" s="36" t="n">
        <x:v>0</x:v>
      </x:c>
      <x:c r="Q69" s="36" t="n">
        <x:v>15</x:v>
      </x:c>
      <x:c r="R69" s="36" t="n">
        <x:v>0</x:v>
      </x:c>
      <x:c r="S69" s="36" t="str">
        <x:v>FROZEN TARGET</x:v>
      </x:c>
      <x:c r="T69" s="33" t="str">
        <x:v>OPEN</x:v>
      </x:c>
      <x:c r="U69" s="33" t="n">
        <x:v>0</x:v>
      </x:c>
      <x:c r="V69" t="n">
        <x:f>COUNTIFS($C$5:$C$156,C69)</x:f>
        <x:v>1</x:v>
      </x:c>
    </x:row>
    <x:row r="70" ht="34" customHeight="1">
      <x:c r="C70" s="33" t="str">
        <x:v>LF-B-R4-P06</x:v>
      </x:c>
      <x:c r="D70" s="33" t="str">
        <x:v>LF-B-CF1</x:v>
      </x:c>
      <x:c r="E70" s="33" t="str">
        <x:v>B</x:v>
      </x:c>
      <x:c r="F70" s="33" t="str">
        <x:v>LF-R4</x:v>
      </x:c>
      <x:c r="G70" s="33" t="n">
        <x:v>6</x:v>
      </x:c>
      <x:c r="H70" s="33" t="str">
        <x:v>Grid bridge</x:v>
      </x:c>
      <x:c r="I70" s="33" t="str">
        <x:v>buried electric and thermal grid bridge</x:v>
      </x:c>
      <x:c r="J70" s="36" t="n">
        <x:v>0</x:v>
      </x:c>
      <x:c r="K70" s="36" t="n">
        <x:v>0</x:v>
      </x:c>
      <x:c r="L70" s="36" t="n">
        <x:v>0</x:v>
      </x:c>
      <x:c r="M70" s="36" t="n">
        <x:v>12.5</x:v>
      </x:c>
      <x:c r="N70" s="36" t="n">
        <x:v>0</x:v>
      </x:c>
      <x:c r="O70" s="36" t="n">
        <x:v>0</x:v>
      </x:c>
      <x:c r="P70" s="36" t="n">
        <x:v>0</x:v>
      </x:c>
      <x:c r="Q70" s="36" t="n">
        <x:v>15</x:v>
      </x:c>
      <x:c r="R70" s="36" t="n">
        <x:v>0</x:v>
      </x:c>
      <x:c r="S70" s="36" t="str">
        <x:v>FROZEN TARGET</x:v>
      </x:c>
      <x:c r="T70" s="33" t="str">
        <x:v>OPEN</x:v>
      </x:c>
      <x:c r="U70" s="33" t="n">
        <x:v>0</x:v>
      </x:c>
      <x:c r="V70" t="n">
        <x:f>COUNTIFS($C$5:$C$156,C70)</x:f>
        <x:v>1</x:v>
      </x:c>
    </x:row>
    <x:row r="71" ht="34" customHeight="1">
      <x:c r="C71" s="33" t="str">
        <x:v>LF-B-R4-P07</x:v>
      </x:c>
      <x:c r="D71" s="33" t="str">
        <x:v>LF-B-CF1</x:v>
      </x:c>
      <x:c r="E71" s="33" t="str">
        <x:v>B</x:v>
      </x:c>
      <x:c r="F71" s="33" t="str">
        <x:v>LF-R4</x:v>
      </x:c>
      <x:c r="G71" s="33" t="n">
        <x:v>7</x:v>
      </x:c>
      <x:c r="H71" s="33" t="str">
        <x:v>Grid bridge</x:v>
      </x:c>
      <x:c r="I71" s="33" t="str">
        <x:v>buried electric and thermal grid bridge</x:v>
      </x:c>
      <x:c r="J71" s="36" t="n">
        <x:v>0</x:v>
      </x:c>
      <x:c r="K71" s="36" t="n">
        <x:v>0</x:v>
      </x:c>
      <x:c r="L71" s="36" t="n">
        <x:v>0</x:v>
      </x:c>
      <x:c r="M71" s="36" t="n">
        <x:v>12.5</x:v>
      </x:c>
      <x:c r="N71" s="36" t="n">
        <x:v>0</x:v>
      </x:c>
      <x:c r="O71" s="36" t="n">
        <x:v>0</x:v>
      </x:c>
      <x:c r="P71" s="36" t="n">
        <x:v>0</x:v>
      </x:c>
      <x:c r="Q71" s="36" t="n">
        <x:v>15</x:v>
      </x:c>
      <x:c r="R71" s="36" t="n">
        <x:v>0</x:v>
      </x:c>
      <x:c r="S71" s="36" t="str">
        <x:v>FROZEN TARGET</x:v>
      </x:c>
      <x:c r="T71" s="33" t="str">
        <x:v>OPEN</x:v>
      </x:c>
      <x:c r="U71" s="33" t="n">
        <x:v>0</x:v>
      </x:c>
      <x:c r="V71" t="n">
        <x:f>COUNTIFS($C$5:$C$156,C71)</x:f>
        <x:v>1</x:v>
      </x:c>
    </x:row>
    <x:row r="72" ht="34" customHeight="1">
      <x:c r="C72" s="33" t="str">
        <x:v>LF-B-R4-P08</x:v>
      </x:c>
      <x:c r="D72" s="33" t="str">
        <x:v>LF-B-CF1</x:v>
      </x:c>
      <x:c r="E72" s="33" t="str">
        <x:v>B</x:v>
      </x:c>
      <x:c r="F72" s="33" t="str">
        <x:v>LF-R4</x:v>
      </x:c>
      <x:c r="G72" s="33" t="n">
        <x:v>8</x:v>
      </x:c>
      <x:c r="H72" s="33" t="str">
        <x:v>Grid bridge</x:v>
      </x:c>
      <x:c r="I72" s="33" t="str">
        <x:v>buried electric and thermal grid bridge</x:v>
      </x:c>
      <x:c r="J72" s="36" t="n">
        <x:v>0</x:v>
      </x:c>
      <x:c r="K72" s="36" t="n">
        <x:v>0</x:v>
      </x:c>
      <x:c r="L72" s="36" t="n">
        <x:v>0</x:v>
      </x:c>
      <x:c r="M72" s="36" t="n">
        <x:v>12.5</x:v>
      </x:c>
      <x:c r="N72" s="36" t="n">
        <x:v>0</x:v>
      </x:c>
      <x:c r="O72" s="36" t="n">
        <x:v>0</x:v>
      </x:c>
      <x:c r="P72" s="36" t="n">
        <x:v>0</x:v>
      </x:c>
      <x:c r="Q72" s="36" t="n">
        <x:v>15</x:v>
      </x:c>
      <x:c r="R72" s="36" t="n">
        <x:v>0</x:v>
      </x:c>
      <x:c r="S72" s="36" t="str">
        <x:v>FROZEN TARGET</x:v>
      </x:c>
      <x:c r="T72" s="33" t="str">
        <x:v>OPEN</x:v>
      </x:c>
      <x:c r="U72" s="33" t="n">
        <x:v>0</x:v>
      </x:c>
      <x:c r="V72" t="n">
        <x:f>COUNTIFS($C$5:$C$156,C72)</x:f>
        <x:v>1</x:v>
      </x:c>
    </x:row>
    <x:row r="73" ht="34" customHeight="1">
      <x:c r="C73" s="33" t="str">
        <x:v>LF-B-R5-P01</x:v>
      </x:c>
      <x:c r="D73" s="33" t="str">
        <x:v>LF-B-CF1</x:v>
      </x:c>
      <x:c r="E73" s="33" t="str">
        <x:v>B</x:v>
      </x:c>
      <x:c r="F73" s="33" t="str">
        <x:v>LF-R5</x:v>
      </x:c>
      <x:c r="G73" s="33" t="n">
        <x:v>1</x:v>
      </x:c>
      <x:c r="H73" s="33" t="str">
        <x:v>Thermal safety</x:v>
      </x:c>
      <x:c r="I73" s="33" t="str">
        <x:v>geothermal thermal-bus cell</x:v>
      </x:c>
      <x:c r="J73" s="36" t="n">
        <x:v>0</x:v>
      </x:c>
      <x:c r="K73" s="36" t="n">
        <x:v>0</x:v>
      </x:c>
      <x:c r="L73" s="36" t="n">
        <x:v>0</x:v>
      </x:c>
      <x:c r="M73" s="36" t="n">
        <x:v>0</x:v>
      </x:c>
      <x:c r="N73" s="36" t="n">
        <x:v>0</x:v>
      </x:c>
      <x:c r="O73" s="36" t="n">
        <x:v>10</x:v>
      </x:c>
      <x:c r="P73" s="36" t="n">
        <x:v>0</x:v>
      </x:c>
      <x:c r="Q73" s="36" t="n">
        <x:v>0</x:v>
      </x:c>
      <x:c r="R73" s="36" t="n">
        <x:v>0</x:v>
      </x:c>
      <x:c r="S73" s="36" t="str">
        <x:v>FROZEN TARGET</x:v>
      </x:c>
      <x:c r="T73" s="33" t="str">
        <x:v>OPEN</x:v>
      </x:c>
      <x:c r="U73" s="33" t="n">
        <x:v>0</x:v>
      </x:c>
      <x:c r="V73" t="n">
        <x:f>COUNTIFS($C$5:$C$156,C73)</x:f>
        <x:v>1</x:v>
      </x:c>
    </x:row>
    <x:row r="74" ht="34" customHeight="1">
      <x:c r="C74" s="33" t="str">
        <x:v>LF-B-R5-P02</x:v>
      </x:c>
      <x:c r="D74" s="33" t="str">
        <x:v>LF-B-CF1</x:v>
      </x:c>
      <x:c r="E74" s="33" t="str">
        <x:v>B</x:v>
      </x:c>
      <x:c r="F74" s="33" t="str">
        <x:v>LF-R5</x:v>
      </x:c>
      <x:c r="G74" s="33" t="n">
        <x:v>2</x:v>
      </x:c>
      <x:c r="H74" s="33" t="str">
        <x:v>Thermal safety</x:v>
      </x:c>
      <x:c r="I74" s="33" t="str">
        <x:v>geothermal thermal-bus cell</x:v>
      </x:c>
      <x:c r="J74" s="36" t="n">
        <x:v>0</x:v>
      </x:c>
      <x:c r="K74" s="36" t="n">
        <x:v>0</x:v>
      </x:c>
      <x:c r="L74" s="36" t="n">
        <x:v>0</x:v>
      </x:c>
      <x:c r="M74" s="36" t="n">
        <x:v>0</x:v>
      </x:c>
      <x:c r="N74" s="36" t="n">
        <x:v>0</x:v>
      </x:c>
      <x:c r="O74" s="36" t="n">
        <x:v>10</x:v>
      </x:c>
      <x:c r="P74" s="36" t="n">
        <x:v>0</x:v>
      </x:c>
      <x:c r="Q74" s="36" t="n">
        <x:v>0</x:v>
      </x:c>
      <x:c r="R74" s="36" t="n">
        <x:v>0</x:v>
      </x:c>
      <x:c r="S74" s="36" t="str">
        <x:v>FROZEN TARGET</x:v>
      </x:c>
      <x:c r="T74" s="33" t="str">
        <x:v>OPEN</x:v>
      </x:c>
      <x:c r="U74" s="33" t="n">
        <x:v>0</x:v>
      </x:c>
      <x:c r="V74" t="n">
        <x:f>COUNTIFS($C$5:$C$156,C74)</x:f>
        <x:v>1</x:v>
      </x:c>
    </x:row>
    <x:row r="75" ht="34" customHeight="1">
      <x:c r="C75" s="33" t="str">
        <x:v>LF-B-R5-P03</x:v>
      </x:c>
      <x:c r="D75" s="33" t="str">
        <x:v>LF-B-CF1</x:v>
      </x:c>
      <x:c r="E75" s="33" t="str">
        <x:v>B</x:v>
      </x:c>
      <x:c r="F75" s="33" t="str">
        <x:v>LF-R5</x:v>
      </x:c>
      <x:c r="G75" s="33" t="n">
        <x:v>3</x:v>
      </x:c>
      <x:c r="H75" s="33" t="str">
        <x:v>Thermal safety</x:v>
      </x:c>
      <x:c r="I75" s="33" t="str">
        <x:v>geothermal thermal-bus cell</x:v>
      </x:c>
      <x:c r="J75" s="36" t="n">
        <x:v>0</x:v>
      </x:c>
      <x:c r="K75" s="36" t="n">
        <x:v>0</x:v>
      </x:c>
      <x:c r="L75" s="36" t="n">
        <x:v>0</x:v>
      </x:c>
      <x:c r="M75" s="36" t="n">
        <x:v>0</x:v>
      </x:c>
      <x:c r="N75" s="36" t="n">
        <x:v>0</x:v>
      </x:c>
      <x:c r="O75" s="36" t="n">
        <x:v>10</x:v>
      </x:c>
      <x:c r="P75" s="36" t="n">
        <x:v>0</x:v>
      </x:c>
      <x:c r="Q75" s="36" t="n">
        <x:v>0</x:v>
      </x:c>
      <x:c r="R75" s="36" t="n">
        <x:v>0</x:v>
      </x:c>
      <x:c r="S75" s="36" t="str">
        <x:v>FROZEN TARGET</x:v>
      </x:c>
      <x:c r="T75" s="33" t="str">
        <x:v>OPEN</x:v>
      </x:c>
      <x:c r="U75" s="33" t="n">
        <x:v>0</x:v>
      </x:c>
      <x:c r="V75" t="n">
        <x:f>COUNTIFS($C$5:$C$156,C75)</x:f>
        <x:v>1</x:v>
      </x:c>
    </x:row>
    <x:row r="76" ht="34" customHeight="1">
      <x:c r="C76" s="33" t="str">
        <x:v>LF-B-R5-P04</x:v>
      </x:c>
      <x:c r="D76" s="33" t="str">
        <x:v>LF-B-CF1</x:v>
      </x:c>
      <x:c r="E76" s="33" t="str">
        <x:v>B</x:v>
      </x:c>
      <x:c r="F76" s="33" t="str">
        <x:v>LF-R5</x:v>
      </x:c>
      <x:c r="G76" s="33" t="n">
        <x:v>4</x:v>
      </x:c>
      <x:c r="H76" s="33" t="str">
        <x:v>Thermal safety</x:v>
      </x:c>
      <x:c r="I76" s="33" t="str">
        <x:v>geothermal thermal-bus cell</x:v>
      </x:c>
      <x:c r="J76" s="36" t="n">
        <x:v>0</x:v>
      </x:c>
      <x:c r="K76" s="36" t="n">
        <x:v>0</x:v>
      </x:c>
      <x:c r="L76" s="36" t="n">
        <x:v>0</x:v>
      </x:c>
      <x:c r="M76" s="36" t="n">
        <x:v>0</x:v>
      </x:c>
      <x:c r="N76" s="36" t="n">
        <x:v>0</x:v>
      </x:c>
      <x:c r="O76" s="36" t="n">
        <x:v>10</x:v>
      </x:c>
      <x:c r="P76" s="36" t="n">
        <x:v>0</x:v>
      </x:c>
      <x:c r="Q76" s="36" t="n">
        <x:v>0</x:v>
      </x:c>
      <x:c r="R76" s="36" t="n">
        <x:v>0</x:v>
      </x:c>
      <x:c r="S76" s="36" t="str">
        <x:v>FROZEN TARGET</x:v>
      </x:c>
      <x:c r="T76" s="33" t="str">
        <x:v>OPEN</x:v>
      </x:c>
      <x:c r="U76" s="33" t="n">
        <x:v>0</x:v>
      </x:c>
      <x:c r="V76" t="n">
        <x:f>COUNTIFS($C$5:$C$156,C76)</x:f>
        <x:v>1</x:v>
      </x:c>
    </x:row>
    <x:row r="77" ht="34" customHeight="1">
      <x:c r="C77" s="33" t="str">
        <x:v>LF-B-R5-P05</x:v>
      </x:c>
      <x:c r="D77" s="33" t="str">
        <x:v>LF-B-CF1</x:v>
      </x:c>
      <x:c r="E77" s="33" t="str">
        <x:v>B</x:v>
      </x:c>
      <x:c r="F77" s="33" t="str">
        <x:v>LF-R5</x:v>
      </x:c>
      <x:c r="G77" s="33" t="n">
        <x:v>5</x:v>
      </x:c>
      <x:c r="H77" s="33" t="str">
        <x:v>Thermal safety</x:v>
      </x:c>
      <x:c r="I77" s="33" t="str">
        <x:v>geothermal thermal-bus cell</x:v>
      </x:c>
      <x:c r="J77" s="36" t="n">
        <x:v>0</x:v>
      </x:c>
      <x:c r="K77" s="36" t="n">
        <x:v>0</x:v>
      </x:c>
      <x:c r="L77" s="36" t="n">
        <x:v>0</x:v>
      </x:c>
      <x:c r="M77" s="36" t="n">
        <x:v>0</x:v>
      </x:c>
      <x:c r="N77" s="36" t="n">
        <x:v>0</x:v>
      </x:c>
      <x:c r="O77" s="36" t="n">
        <x:v>10</x:v>
      </x:c>
      <x:c r="P77" s="36" t="n">
        <x:v>0</x:v>
      </x:c>
      <x:c r="Q77" s="36" t="n">
        <x:v>0</x:v>
      </x:c>
      <x:c r="R77" s="36" t="n">
        <x:v>0</x:v>
      </x:c>
      <x:c r="S77" s="36" t="str">
        <x:v>FROZEN TARGET</x:v>
      </x:c>
      <x:c r="T77" s="33" t="str">
        <x:v>OPEN</x:v>
      </x:c>
      <x:c r="U77" s="33" t="n">
        <x:v>0</x:v>
      </x:c>
      <x:c r="V77" t="n">
        <x:f>COUNTIFS($C$5:$C$156,C77)</x:f>
        <x:v>1</x:v>
      </x:c>
    </x:row>
    <x:row r="78" ht="34" customHeight="1">
      <x:c r="C78" s="33" t="str">
        <x:v>LF-B-R5-P06</x:v>
      </x:c>
      <x:c r="D78" s="33" t="str">
        <x:v>LF-B-CF1</x:v>
      </x:c>
      <x:c r="E78" s="33" t="str">
        <x:v>B</x:v>
      </x:c>
      <x:c r="F78" s="33" t="str">
        <x:v>LF-R5</x:v>
      </x:c>
      <x:c r="G78" s="33" t="n">
        <x:v>6</x:v>
      </x:c>
      <x:c r="H78" s="33" t="str">
        <x:v>Thermal safety</x:v>
      </x:c>
      <x:c r="I78" s="33" t="str">
        <x:v>geothermal thermal-bus cell</x:v>
      </x:c>
      <x:c r="J78" s="36" t="n">
        <x:v>0</x:v>
      </x:c>
      <x:c r="K78" s="36" t="n">
        <x:v>0</x:v>
      </x:c>
      <x:c r="L78" s="36" t="n">
        <x:v>0</x:v>
      </x:c>
      <x:c r="M78" s="36" t="n">
        <x:v>0</x:v>
      </x:c>
      <x:c r="N78" s="36" t="n">
        <x:v>0</x:v>
      </x:c>
      <x:c r="O78" s="36" t="n">
        <x:v>10</x:v>
      </x:c>
      <x:c r="P78" s="36" t="n">
        <x:v>0</x:v>
      </x:c>
      <x:c r="Q78" s="36" t="n">
        <x:v>0</x:v>
      </x:c>
      <x:c r="R78" s="36" t="n">
        <x:v>0</x:v>
      </x:c>
      <x:c r="S78" s="36" t="str">
        <x:v>FROZEN TARGET</x:v>
      </x:c>
      <x:c r="T78" s="33" t="str">
        <x:v>OPEN</x:v>
      </x:c>
      <x:c r="U78" s="33" t="n">
        <x:v>0</x:v>
      </x:c>
      <x:c r="V78" t="n">
        <x:f>COUNTIFS($C$5:$C$156,C78)</x:f>
        <x:v>1</x:v>
      </x:c>
    </x:row>
    <x:row r="79" ht="34" customHeight="1">
      <x:c r="C79" s="33" t="str">
        <x:v>LF-B-R5-P07</x:v>
      </x:c>
      <x:c r="D79" s="33" t="str">
        <x:v>LF-B-CF1</x:v>
      </x:c>
      <x:c r="E79" s="33" t="str">
        <x:v>B</x:v>
      </x:c>
      <x:c r="F79" s="33" t="str">
        <x:v>LF-R5</x:v>
      </x:c>
      <x:c r="G79" s="33" t="n">
        <x:v>7</x:v>
      </x:c>
      <x:c r="H79" s="33" t="str">
        <x:v>Thermal safety</x:v>
      </x:c>
      <x:c r="I79" s="33" t="str">
        <x:v>geothermal thermal-bus cell</x:v>
      </x:c>
      <x:c r="J79" s="36" t="n">
        <x:v>0</x:v>
      </x:c>
      <x:c r="K79" s="36" t="n">
        <x:v>0</x:v>
      </x:c>
      <x:c r="L79" s="36" t="n">
        <x:v>0</x:v>
      </x:c>
      <x:c r="M79" s="36" t="n">
        <x:v>0</x:v>
      </x:c>
      <x:c r="N79" s="36" t="n">
        <x:v>0</x:v>
      </x:c>
      <x:c r="O79" s="36" t="n">
        <x:v>10</x:v>
      </x:c>
      <x:c r="P79" s="36" t="n">
        <x:v>0</x:v>
      </x:c>
      <x:c r="Q79" s="36" t="n">
        <x:v>0</x:v>
      </x:c>
      <x:c r="R79" s="36" t="n">
        <x:v>0</x:v>
      </x:c>
      <x:c r="S79" s="36" t="str">
        <x:v>FROZEN TARGET</x:v>
      </x:c>
      <x:c r="T79" s="33" t="str">
        <x:v>OPEN</x:v>
      </x:c>
      <x:c r="U79" s="33" t="n">
        <x:v>0</x:v>
      </x:c>
      <x:c r="V79" t="n">
        <x:f>COUNTIFS($C$5:$C$156,C79)</x:f>
        <x:v>1</x:v>
      </x:c>
    </x:row>
    <x:row r="80" ht="34" customHeight="1">
      <x:c r="C80" s="33" t="str">
        <x:v>LF-B-R5-P08</x:v>
      </x:c>
      <x:c r="D80" s="33" t="str">
        <x:v>LF-B-CF1</x:v>
      </x:c>
      <x:c r="E80" s="33" t="str">
        <x:v>B</x:v>
      </x:c>
      <x:c r="F80" s="33" t="str">
        <x:v>LF-R5</x:v>
      </x:c>
      <x:c r="G80" s="33" t="n">
        <x:v>8</x:v>
      </x:c>
      <x:c r="H80" s="33" t="str">
        <x:v>Thermal safety</x:v>
      </x:c>
      <x:c r="I80" s="33" t="str">
        <x:v>geothermal thermal-bus cell</x:v>
      </x:c>
      <x:c r="J80" s="36" t="n">
        <x:v>0</x:v>
      </x:c>
      <x:c r="K80" s="36" t="n">
        <x:v>0</x:v>
      </x:c>
      <x:c r="L80" s="36" t="n">
        <x:v>0</x:v>
      </x:c>
      <x:c r="M80" s="36" t="n">
        <x:v>0</x:v>
      </x:c>
      <x:c r="N80" s="36" t="n">
        <x:v>0</x:v>
      </x:c>
      <x:c r="O80" s="36" t="n">
        <x:v>10</x:v>
      </x:c>
      <x:c r="P80" s="36" t="n">
        <x:v>0</x:v>
      </x:c>
      <x:c r="Q80" s="36" t="n">
        <x:v>0</x:v>
      </x:c>
      <x:c r="R80" s="36" t="n">
        <x:v>0</x:v>
      </x:c>
      <x:c r="S80" s="36" t="str">
        <x:v>FROZEN TARGET</x:v>
      </x:c>
      <x:c r="T80" s="33" t="str">
        <x:v>OPEN</x:v>
      </x:c>
      <x:c r="U80" s="33" t="n">
        <x:v>0</x:v>
      </x:c>
      <x:c r="V80" t="n">
        <x:f>COUNTIFS($C$5:$C$156,C80)</x:f>
        <x:v>1</x:v>
      </x:c>
    </x:row>
    <x:row r="81" ht="34" customHeight="1">
      <x:c r="C81" s="33" t="str">
        <x:v>LF-C-R1-P01</x:v>
      </x:c>
      <x:c r="D81" s="33" t="str">
        <x:v>LF-C-CF1</x:v>
      </x:c>
      <x:c r="E81" s="33" t="str">
        <x:v>C</x:v>
      </x:c>
      <x:c r="F81" s="33" t="str">
        <x:v>LF-R1</x:v>
      </x:c>
      <x:c r="G81" s="33" t="n">
        <x:v>1</x:v>
      </x:c>
      <x:c r="H81" s="33" t="str">
        <x:v>Strategic and maritime production</x:v>
      </x:c>
      <x:c r="I81" s="33" t="str">
        <x:v>renewable capture and 2 GWh long-storage source park</x:v>
      </x:c>
      <x:c r="J81" s="36" t="n">
        <x:v>25000</x:v>
      </x:c>
      <x:c r="K81" s="36" t="n">
        <x:v>0</x:v>
      </x:c>
      <x:c r="L81" s="36" t="n">
        <x:v>0</x:v>
      </x:c>
      <x:c r="M81" s="36" t="n">
        <x:v>25</x:v>
      </x:c>
      <x:c r="N81" s="36" t="n">
        <x:v>0</x:v>
      </x:c>
      <x:c r="O81" s="36" t="n">
        <x:v>20</x:v>
      </x:c>
      <x:c r="P81" s="36" t="n">
        <x:v>0</x:v>
      </x:c>
      <x:c r="Q81" s="36" t="n">
        <x:v>0</x:v>
      </x:c>
      <x:c r="R81" s="36" t="n">
        <x:v>0</x:v>
      </x:c>
      <x:c r="S81" s="36" t="str">
        <x:v>FROZEN TARGET</x:v>
      </x:c>
      <x:c r="T81" s="33" t="str">
        <x:v>OPEN</x:v>
      </x:c>
      <x:c r="U81" s="33" t="n">
        <x:v>0</x:v>
      </x:c>
      <x:c r="V81" t="n">
        <x:f>COUNTIFS($C$5:$C$156,C81)</x:f>
        <x:v>1</x:v>
      </x:c>
    </x:row>
    <x:row r="82" ht="34" customHeight="1">
      <x:c r="C82" s="33" t="str">
        <x:v>LF-C-R1-P02</x:v>
      </x:c>
      <x:c r="D82" s="33" t="str">
        <x:v>LF-C-CF1</x:v>
      </x:c>
      <x:c r="E82" s="33" t="str">
        <x:v>C</x:v>
      </x:c>
      <x:c r="F82" s="33" t="str">
        <x:v>LF-R1</x:v>
      </x:c>
      <x:c r="G82" s="33" t="n">
        <x:v>2</x:v>
      </x:c>
      <x:c r="H82" s="33" t="str">
        <x:v>Strategic and maritime production</x:v>
      </x:c>
      <x:c r="I82" s="33" t="str">
        <x:v>renewable capture and 2 GWh long-storage source park</x:v>
      </x:c>
      <x:c r="J82" s="36" t="n">
        <x:v>25000</x:v>
      </x:c>
      <x:c r="K82" s="36" t="n">
        <x:v>0</x:v>
      </x:c>
      <x:c r="L82" s="36" t="n">
        <x:v>0</x:v>
      </x:c>
      <x:c r="M82" s="36" t="n">
        <x:v>25</x:v>
      </x:c>
      <x:c r="N82" s="36" t="n">
        <x:v>0</x:v>
      </x:c>
      <x:c r="O82" s="36" t="n">
        <x:v>20</x:v>
      </x:c>
      <x:c r="P82" s="36" t="n">
        <x:v>0</x:v>
      </x:c>
      <x:c r="Q82" s="36" t="n">
        <x:v>0</x:v>
      </x:c>
      <x:c r="R82" s="36" t="n">
        <x:v>0</x:v>
      </x:c>
      <x:c r="S82" s="36" t="str">
        <x:v>FROZEN TARGET</x:v>
      </x:c>
      <x:c r="T82" s="33" t="str">
        <x:v>OPEN</x:v>
      </x:c>
      <x:c r="U82" s="33" t="n">
        <x:v>0</x:v>
      </x:c>
      <x:c r="V82" t="n">
        <x:f>COUNTIFS($C$5:$C$156,C82)</x:f>
        <x:v>1</x:v>
      </x:c>
    </x:row>
    <x:row r="83" ht="34" customHeight="1">
      <x:c r="C83" s="33" t="str">
        <x:v>LF-C-R1-P03</x:v>
      </x:c>
      <x:c r="D83" s="33" t="str">
        <x:v>LF-C-CF1</x:v>
      </x:c>
      <x:c r="E83" s="33" t="str">
        <x:v>C</x:v>
      </x:c>
      <x:c r="F83" s="33" t="str">
        <x:v>LF-R1</x:v>
      </x:c>
      <x:c r="G83" s="33" t="n">
        <x:v>3</x:v>
      </x:c>
      <x:c r="H83" s="33" t="str">
        <x:v>Strategic and maritime production</x:v>
      </x:c>
      <x:c r="I83" s="33" t="str">
        <x:v>renewable capture and 2 GWh long-storage source park</x:v>
      </x:c>
      <x:c r="J83" s="36" t="n">
        <x:v>25000</x:v>
      </x:c>
      <x:c r="K83" s="36" t="n">
        <x:v>0</x:v>
      </x:c>
      <x:c r="L83" s="36" t="n">
        <x:v>0</x:v>
      </x:c>
      <x:c r="M83" s="36" t="n">
        <x:v>25</x:v>
      </x:c>
      <x:c r="N83" s="36" t="n">
        <x:v>0</x:v>
      </x:c>
      <x:c r="O83" s="36" t="n">
        <x:v>20</x:v>
      </x:c>
      <x:c r="P83" s="36" t="n">
        <x:v>0</x:v>
      </x:c>
      <x:c r="Q83" s="36" t="n">
        <x:v>0</x:v>
      </x:c>
      <x:c r="R83" s="36" t="n">
        <x:v>0</x:v>
      </x:c>
      <x:c r="S83" s="36" t="str">
        <x:v>FROZEN TARGET</x:v>
      </x:c>
      <x:c r="T83" s="33" t="str">
        <x:v>OPEN</x:v>
      </x:c>
      <x:c r="U83" s="33" t="n">
        <x:v>0</x:v>
      </x:c>
      <x:c r="V83" t="n">
        <x:f>COUNTIFS($C$5:$C$156,C83)</x:f>
        <x:v>1</x:v>
      </x:c>
    </x:row>
    <x:row r="84" ht="34" customHeight="1">
      <x:c r="C84" s="33" t="str">
        <x:v>LF-C-R1-P04</x:v>
      </x:c>
      <x:c r="D84" s="33" t="str">
        <x:v>LF-C-CF1</x:v>
      </x:c>
      <x:c r="E84" s="33" t="str">
        <x:v>C</x:v>
      </x:c>
      <x:c r="F84" s="33" t="str">
        <x:v>LF-R1</x:v>
      </x:c>
      <x:c r="G84" s="33" t="n">
        <x:v>4</x:v>
      </x:c>
      <x:c r="H84" s="33" t="str">
        <x:v>Strategic and maritime production</x:v>
      </x:c>
      <x:c r="I84" s="33" t="str">
        <x:v>renewable capture and 2 GWh long-storage source park</x:v>
      </x:c>
      <x:c r="J84" s="36" t="n">
        <x:v>25000</x:v>
      </x:c>
      <x:c r="K84" s="36" t="n">
        <x:v>0</x:v>
      </x:c>
      <x:c r="L84" s="36" t="n">
        <x:v>0</x:v>
      </x:c>
      <x:c r="M84" s="36" t="n">
        <x:v>25</x:v>
      </x:c>
      <x:c r="N84" s="36" t="n">
        <x:v>0</x:v>
      </x:c>
      <x:c r="O84" s="36" t="n">
        <x:v>20</x:v>
      </x:c>
      <x:c r="P84" s="36" t="n">
        <x:v>0</x:v>
      </x:c>
      <x:c r="Q84" s="36" t="n">
        <x:v>0</x:v>
      </x:c>
      <x:c r="R84" s="36" t="n">
        <x:v>0</x:v>
      </x:c>
      <x:c r="S84" s="36" t="str">
        <x:v>FROZEN TARGET</x:v>
      </x:c>
      <x:c r="T84" s="33" t="str">
        <x:v>OPEN</x:v>
      </x:c>
      <x:c r="U84" s="33" t="n">
        <x:v>0</x:v>
      </x:c>
      <x:c r="V84" t="n">
        <x:f>COUNTIFS($C$5:$C$156,C84)</x:f>
        <x:v>1</x:v>
      </x:c>
    </x:row>
    <x:row r="85" ht="34" customHeight="1">
      <x:c r="C85" s="33" t="str">
        <x:v>LF-C-R2-P01</x:v>
      </x:c>
      <x:c r="D85" s="33" t="str">
        <x:v>LF-C-CF1</x:v>
      </x:c>
      <x:c r="E85" s="33" t="str">
        <x:v>C</x:v>
      </x:c>
      <x:c r="F85" s="33" t="str">
        <x:v>LF-R2</x:v>
      </x:c>
      <x:c r="G85" s="33" t="n">
        <x:v>1</x:v>
      </x:c>
      <x:c r="H85" s="33" t="str">
        <x:v>Water and wastewater at point of use</x:v>
      </x:c>
      <x:c r="I85" s="33" t="str">
        <x:v>electrochemical water group and flexible robotic corridor</x:v>
      </x:c>
      <x:c r="J85" s="36" t="n">
        <x:v>0</x:v>
      </x:c>
      <x:c r="K85" s="36" t="n">
        <x:v>12500</x:v>
      </x:c>
      <x:c r="L85" s="36" t="n">
        <x:v>10000</x:v>
      </x:c>
      <x:c r="M85" s="36" t="n">
        <x:v>0</x:v>
      </x:c>
      <x:c r="N85" s="36" t="n">
        <x:v>0</x:v>
      </x:c>
      <x:c r="O85" s="36" t="n">
        <x:v>0</x:v>
      </x:c>
      <x:c r="P85" s="36" t="n">
        <x:v>12500</x:v>
      </x:c>
      <x:c r="Q85" s="36" t="n">
        <x:v>30</x:v>
      </x:c>
      <x:c r="R85" s="36" t="n">
        <x:v>0</x:v>
      </x:c>
      <x:c r="S85" s="36" t="str">
        <x:v>FROZEN TARGET</x:v>
      </x:c>
      <x:c r="T85" s="33" t="str">
        <x:v>OPEN</x:v>
      </x:c>
      <x:c r="U85" s="33" t="n">
        <x:v>0</x:v>
      </x:c>
      <x:c r="V85" t="n">
        <x:f>COUNTIFS($C$5:$C$156,C85)</x:f>
        <x:v>1</x:v>
      </x:c>
    </x:row>
    <x:row r="86" ht="34" customHeight="1">
      <x:c r="C86" s="33" t="str">
        <x:v>LF-C-R2-P02</x:v>
      </x:c>
      <x:c r="D86" s="33" t="str">
        <x:v>LF-C-CF1</x:v>
      </x:c>
      <x:c r="E86" s="33" t="str">
        <x:v>C</x:v>
      </x:c>
      <x:c r="F86" s="33" t="str">
        <x:v>LF-R2</x:v>
      </x:c>
      <x:c r="G86" s="33" t="n">
        <x:v>2</x:v>
      </x:c>
      <x:c r="H86" s="33" t="str">
        <x:v>Water and wastewater at point of use</x:v>
      </x:c>
      <x:c r="I86" s="33" t="str">
        <x:v>electrochemical water group and flexible robotic corridor</x:v>
      </x:c>
      <x:c r="J86" s="36" t="n">
        <x:v>0</x:v>
      </x:c>
      <x:c r="K86" s="36" t="n">
        <x:v>12500</x:v>
      </x:c>
      <x:c r="L86" s="36" t="n">
        <x:v>10000</x:v>
      </x:c>
      <x:c r="M86" s="36" t="n">
        <x:v>0</x:v>
      </x:c>
      <x:c r="N86" s="36" t="n">
        <x:v>0</x:v>
      </x:c>
      <x:c r="O86" s="36" t="n">
        <x:v>0</x:v>
      </x:c>
      <x:c r="P86" s="36" t="n">
        <x:v>12500</x:v>
      </x:c>
      <x:c r="Q86" s="36" t="n">
        <x:v>30</x:v>
      </x:c>
      <x:c r="R86" s="36" t="n">
        <x:v>0</x:v>
      </x:c>
      <x:c r="S86" s="36" t="str">
        <x:v>FROZEN TARGET</x:v>
      </x:c>
      <x:c r="T86" s="33" t="str">
        <x:v>OPEN</x:v>
      </x:c>
      <x:c r="U86" s="33" t="n">
        <x:v>0</x:v>
      </x:c>
      <x:c r="V86" t="n">
        <x:f>COUNTIFS($C$5:$C$156,C86)</x:f>
        <x:v>1</x:v>
      </x:c>
    </x:row>
    <x:row r="87" ht="34" customHeight="1">
      <x:c r="C87" s="33" t="str">
        <x:v>LF-C-R2-P03</x:v>
      </x:c>
      <x:c r="D87" s="33" t="str">
        <x:v>LF-C-CF1</x:v>
      </x:c>
      <x:c r="E87" s="33" t="str">
        <x:v>C</x:v>
      </x:c>
      <x:c r="F87" s="33" t="str">
        <x:v>LF-R2</x:v>
      </x:c>
      <x:c r="G87" s="33" t="n">
        <x:v>3</x:v>
      </x:c>
      <x:c r="H87" s="33" t="str">
        <x:v>Water and wastewater at point of use</x:v>
      </x:c>
      <x:c r="I87" s="33" t="str">
        <x:v>electrochemical water group and flexible robotic corridor</x:v>
      </x:c>
      <x:c r="J87" s="36" t="n">
        <x:v>0</x:v>
      </x:c>
      <x:c r="K87" s="36" t="n">
        <x:v>12500</x:v>
      </x:c>
      <x:c r="L87" s="36" t="n">
        <x:v>10000</x:v>
      </x:c>
      <x:c r="M87" s="36" t="n">
        <x:v>0</x:v>
      </x:c>
      <x:c r="N87" s="36" t="n">
        <x:v>0</x:v>
      </x:c>
      <x:c r="O87" s="36" t="n">
        <x:v>0</x:v>
      </x:c>
      <x:c r="P87" s="36" t="n">
        <x:v>12500</x:v>
      </x:c>
      <x:c r="Q87" s="36" t="n">
        <x:v>30</x:v>
      </x:c>
      <x:c r="R87" s="36" t="n">
        <x:v>0</x:v>
      </x:c>
      <x:c r="S87" s="36" t="str">
        <x:v>FROZEN TARGET</x:v>
      </x:c>
      <x:c r="T87" s="33" t="str">
        <x:v>OPEN</x:v>
      </x:c>
      <x:c r="U87" s="33" t="n">
        <x:v>0</x:v>
      </x:c>
      <x:c r="V87" t="n">
        <x:f>COUNTIFS($C$5:$C$156,C87)</x:f>
        <x:v>1</x:v>
      </x:c>
    </x:row>
    <x:row r="88" ht="34" customHeight="1">
      <x:c r="C88" s="33" t="str">
        <x:v>LF-C-R2-P04</x:v>
      </x:c>
      <x:c r="D88" s="33" t="str">
        <x:v>LF-C-CF1</x:v>
      </x:c>
      <x:c r="E88" s="33" t="str">
        <x:v>C</x:v>
      </x:c>
      <x:c r="F88" s="33" t="str">
        <x:v>LF-R2</x:v>
      </x:c>
      <x:c r="G88" s="33" t="n">
        <x:v>4</x:v>
      </x:c>
      <x:c r="H88" s="33" t="str">
        <x:v>Water and wastewater at point of use</x:v>
      </x:c>
      <x:c r="I88" s="33" t="str">
        <x:v>electrochemical water group and flexible robotic corridor</x:v>
      </x:c>
      <x:c r="J88" s="36" t="n">
        <x:v>0</x:v>
      </x:c>
      <x:c r="K88" s="36" t="n">
        <x:v>12500</x:v>
      </x:c>
      <x:c r="L88" s="36" t="n">
        <x:v>10000</x:v>
      </x:c>
      <x:c r="M88" s="36" t="n">
        <x:v>0</x:v>
      </x:c>
      <x:c r="N88" s="36" t="n">
        <x:v>0</x:v>
      </x:c>
      <x:c r="O88" s="36" t="n">
        <x:v>0</x:v>
      </x:c>
      <x:c r="P88" s="36" t="n">
        <x:v>12500</x:v>
      </x:c>
      <x:c r="Q88" s="36" t="n">
        <x:v>30</x:v>
      </x:c>
      <x:c r="R88" s="36" t="n">
        <x:v>0</x:v>
      </x:c>
      <x:c r="S88" s="36" t="str">
        <x:v>FROZEN TARGET</x:v>
      </x:c>
      <x:c r="T88" s="33" t="str">
        <x:v>OPEN</x:v>
      </x:c>
      <x:c r="U88" s="33" t="n">
        <x:v>0</x:v>
      </x:c>
      <x:c r="V88" t="n">
        <x:f>COUNTIFS($C$5:$C$156,C88)</x:f>
        <x:v>1</x:v>
      </x:c>
    </x:row>
    <x:row r="89" ht="34" customHeight="1">
      <x:c r="C89" s="33" t="str">
        <x:v>LF-C-R2-P05</x:v>
      </x:c>
      <x:c r="D89" s="33" t="str">
        <x:v>LF-C-CF1</x:v>
      </x:c>
      <x:c r="E89" s="33" t="str">
        <x:v>C</x:v>
      </x:c>
      <x:c r="F89" s="33" t="str">
        <x:v>LF-R2</x:v>
      </x:c>
      <x:c r="G89" s="33" t="n">
        <x:v>5</x:v>
      </x:c>
      <x:c r="H89" s="33" t="str">
        <x:v>Water and wastewater at point of use</x:v>
      </x:c>
      <x:c r="I89" s="33" t="str">
        <x:v>electrochemical water group and flexible robotic corridor</x:v>
      </x:c>
      <x:c r="J89" s="36" t="n">
        <x:v>0</x:v>
      </x:c>
      <x:c r="K89" s="36" t="n">
        <x:v>12500</x:v>
      </x:c>
      <x:c r="L89" s="36" t="n">
        <x:v>10000</x:v>
      </x:c>
      <x:c r="M89" s="36" t="n">
        <x:v>0</x:v>
      </x:c>
      <x:c r="N89" s="36" t="n">
        <x:v>0</x:v>
      </x:c>
      <x:c r="O89" s="36" t="n">
        <x:v>0</x:v>
      </x:c>
      <x:c r="P89" s="36" t="n">
        <x:v>12500</x:v>
      </x:c>
      <x:c r="Q89" s="36" t="n">
        <x:v>30</x:v>
      </x:c>
      <x:c r="R89" s="36" t="n">
        <x:v>0</x:v>
      </x:c>
      <x:c r="S89" s="36" t="str">
        <x:v>FROZEN TARGET</x:v>
      </x:c>
      <x:c r="T89" s="33" t="str">
        <x:v>OPEN</x:v>
      </x:c>
      <x:c r="U89" s="33" t="n">
        <x:v>0</x:v>
      </x:c>
      <x:c r="V89" t="n">
        <x:f>COUNTIFS($C$5:$C$156,C89)</x:f>
        <x:v>1</x:v>
      </x:c>
    </x:row>
    <x:row r="90" ht="34" customHeight="1">
      <x:c r="C90" s="33" t="str">
        <x:v>LF-C-R2-P06</x:v>
      </x:c>
      <x:c r="D90" s="33" t="str">
        <x:v>LF-C-CF1</x:v>
      </x:c>
      <x:c r="E90" s="33" t="str">
        <x:v>C</x:v>
      </x:c>
      <x:c r="F90" s="33" t="str">
        <x:v>LF-R2</x:v>
      </x:c>
      <x:c r="G90" s="33" t="n">
        <x:v>6</x:v>
      </x:c>
      <x:c r="H90" s="33" t="str">
        <x:v>Water and wastewater at point of use</x:v>
      </x:c>
      <x:c r="I90" s="33" t="str">
        <x:v>electrochemical water group and flexible robotic corridor</x:v>
      </x:c>
      <x:c r="J90" s="36" t="n">
        <x:v>0</x:v>
      </x:c>
      <x:c r="K90" s="36" t="n">
        <x:v>12500</x:v>
      </x:c>
      <x:c r="L90" s="36" t="n">
        <x:v>10000</x:v>
      </x:c>
      <x:c r="M90" s="36" t="n">
        <x:v>0</x:v>
      </x:c>
      <x:c r="N90" s="36" t="n">
        <x:v>0</x:v>
      </x:c>
      <x:c r="O90" s="36" t="n">
        <x:v>0</x:v>
      </x:c>
      <x:c r="P90" s="36" t="n">
        <x:v>12500</x:v>
      </x:c>
      <x:c r="Q90" s="36" t="n">
        <x:v>30</x:v>
      </x:c>
      <x:c r="R90" s="36" t="n">
        <x:v>0</x:v>
      </x:c>
      <x:c r="S90" s="36" t="str">
        <x:v>FROZEN TARGET</x:v>
      </x:c>
      <x:c r="T90" s="33" t="str">
        <x:v>OPEN</x:v>
      </x:c>
      <x:c r="U90" s="33" t="n">
        <x:v>0</x:v>
      </x:c>
      <x:c r="V90" t="n">
        <x:f>COUNTIFS($C$5:$C$156,C90)</x:f>
        <x:v>1</x:v>
      </x:c>
    </x:row>
    <x:row r="91" ht="34" customHeight="1">
      <x:c r="C91" s="33" t="str">
        <x:v>LF-C-R2-P07</x:v>
      </x:c>
      <x:c r="D91" s="33" t="str">
        <x:v>LF-C-CF1</x:v>
      </x:c>
      <x:c r="E91" s="33" t="str">
        <x:v>C</x:v>
      </x:c>
      <x:c r="F91" s="33" t="str">
        <x:v>LF-R2</x:v>
      </x:c>
      <x:c r="G91" s="33" t="n">
        <x:v>7</x:v>
      </x:c>
      <x:c r="H91" s="33" t="str">
        <x:v>Water and wastewater at point of use</x:v>
      </x:c>
      <x:c r="I91" s="33" t="str">
        <x:v>electrochemical water group and flexible robotic corridor</x:v>
      </x:c>
      <x:c r="J91" s="36" t="n">
        <x:v>0</x:v>
      </x:c>
      <x:c r="K91" s="36" t="n">
        <x:v>12500</x:v>
      </x:c>
      <x:c r="L91" s="36" t="n">
        <x:v>10000</x:v>
      </x:c>
      <x:c r="M91" s="36" t="n">
        <x:v>0</x:v>
      </x:c>
      <x:c r="N91" s="36" t="n">
        <x:v>0</x:v>
      </x:c>
      <x:c r="O91" s="36" t="n">
        <x:v>0</x:v>
      </x:c>
      <x:c r="P91" s="36" t="n">
        <x:v>12500</x:v>
      </x:c>
      <x:c r="Q91" s="36" t="n">
        <x:v>30</x:v>
      </x:c>
      <x:c r="R91" s="36" t="n">
        <x:v>0</x:v>
      </x:c>
      <x:c r="S91" s="36" t="str">
        <x:v>FROZEN TARGET</x:v>
      </x:c>
      <x:c r="T91" s="33" t="str">
        <x:v>OPEN</x:v>
      </x:c>
      <x:c r="U91" s="33" t="n">
        <x:v>0</x:v>
      </x:c>
      <x:c r="V91" t="n">
        <x:f>COUNTIFS($C$5:$C$156,C91)</x:f>
        <x:v>1</x:v>
      </x:c>
    </x:row>
    <x:row r="92" ht="34" customHeight="1">
      <x:c r="C92" s="33" t="str">
        <x:v>LF-C-R2-P08</x:v>
      </x:c>
      <x:c r="D92" s="33" t="str">
        <x:v>LF-C-CF1</x:v>
      </x:c>
      <x:c r="E92" s="33" t="str">
        <x:v>C</x:v>
      </x:c>
      <x:c r="F92" s="33" t="str">
        <x:v>LF-R2</x:v>
      </x:c>
      <x:c r="G92" s="33" t="n">
        <x:v>8</x:v>
      </x:c>
      <x:c r="H92" s="33" t="str">
        <x:v>Water and wastewater at point of use</x:v>
      </x:c>
      <x:c r="I92" s="33" t="str">
        <x:v>electrochemical water group and flexible robotic corridor</x:v>
      </x:c>
      <x:c r="J92" s="36" t="n">
        <x:v>0</x:v>
      </x:c>
      <x:c r="K92" s="36" t="n">
        <x:v>12500</x:v>
      </x:c>
      <x:c r="L92" s="36" t="n">
        <x:v>10000</x:v>
      </x:c>
      <x:c r="M92" s="36" t="n">
        <x:v>0</x:v>
      </x:c>
      <x:c r="N92" s="36" t="n">
        <x:v>0</x:v>
      </x:c>
      <x:c r="O92" s="36" t="n">
        <x:v>0</x:v>
      </x:c>
      <x:c r="P92" s="36" t="n">
        <x:v>12500</x:v>
      </x:c>
      <x:c r="Q92" s="36" t="n">
        <x:v>30</x:v>
      </x:c>
      <x:c r="R92" s="36" t="n">
        <x:v>0</x:v>
      </x:c>
      <x:c r="S92" s="36" t="str">
        <x:v>FROZEN TARGET</x:v>
      </x:c>
      <x:c r="T92" s="33" t="str">
        <x:v>OPEN</x:v>
      </x:c>
      <x:c r="U92" s="33" t="n">
        <x:v>0</x:v>
      </x:c>
      <x:c r="V92" t="n">
        <x:f>COUNTIFS($C$5:$C$156,C92)</x:f>
        <x:v>1</x:v>
      </x:c>
    </x:row>
    <x:row r="93" ht="34" customHeight="1">
      <x:c r="C93" s="33" t="str">
        <x:v>LF-C-R3-P01</x:v>
      </x:c>
      <x:c r="D93" s="33" t="str">
        <x:v>LF-C-CF1</x:v>
      </x:c>
      <x:c r="E93" s="33" t="str">
        <x:v>C</x:v>
      </x:c>
      <x:c r="F93" s="33" t="str">
        <x:v>LF-R3</x:v>
      </x:c>
      <x:c r="G93" s="33" t="n">
        <x:v>1</x:v>
      </x:c>
      <x:c r="H93" s="33" t="str">
        <x:v>Local power</x:v>
      </x:c>
      <x:c r="I93" s="33" t="str">
        <x:v>DC local grid cell with grid-forming conversion</x:v>
      </x:c>
      <x:c r="J93" s="36" t="n">
        <x:v>0</x:v>
      </x:c>
      <x:c r="K93" s="36" t="n">
        <x:v>0</x:v>
      </x:c>
      <x:c r="L93" s="36" t="n">
        <x:v>0</x:v>
      </x:c>
      <x:c r="M93" s="36" t="n">
        <x:v>10</x:v>
      </x:c>
      <x:c r="N93" s="36" t="n">
        <x:v>15</x:v>
      </x:c>
      <x:c r="O93" s="36" t="n">
        <x:v>0</x:v>
      </x:c>
      <x:c r="P93" s="36" t="n">
        <x:v>0</x:v>
      </x:c>
      <x:c r="Q93" s="36" t="n">
        <x:v>0</x:v>
      </x:c>
      <x:c r="R93" s="36" t="n">
        <x:v>20</x:v>
      </x:c>
      <x:c r="S93" s="36" t="str">
        <x:v>FROZEN TARGET</x:v>
      </x:c>
      <x:c r="T93" s="33" t="str">
        <x:v>OPEN</x:v>
      </x:c>
      <x:c r="U93" s="33" t="n">
        <x:v>0</x:v>
      </x:c>
      <x:c r="V93" t="n">
        <x:f>COUNTIFS($C$5:$C$156,C93)</x:f>
        <x:v>1</x:v>
      </x:c>
    </x:row>
    <x:row r="94" ht="34" customHeight="1">
      <x:c r="C94" s="33" t="str">
        <x:v>LF-C-R3-P02</x:v>
      </x:c>
      <x:c r="D94" s="33" t="str">
        <x:v>LF-C-CF1</x:v>
      </x:c>
      <x:c r="E94" s="33" t="str">
        <x:v>C</x:v>
      </x:c>
      <x:c r="F94" s="33" t="str">
        <x:v>LF-R3</x:v>
      </x:c>
      <x:c r="G94" s="33" t="n">
        <x:v>2</x:v>
      </x:c>
      <x:c r="H94" s="33" t="str">
        <x:v>Local power</x:v>
      </x:c>
      <x:c r="I94" s="33" t="str">
        <x:v>DC local grid cell with grid-forming conversion</x:v>
      </x:c>
      <x:c r="J94" s="36" t="n">
        <x:v>0</x:v>
      </x:c>
      <x:c r="K94" s="36" t="n">
        <x:v>0</x:v>
      </x:c>
      <x:c r="L94" s="36" t="n">
        <x:v>0</x:v>
      </x:c>
      <x:c r="M94" s="36" t="n">
        <x:v>10</x:v>
      </x:c>
      <x:c r="N94" s="36" t="n">
        <x:v>15</x:v>
      </x:c>
      <x:c r="O94" s="36" t="n">
        <x:v>0</x:v>
      </x:c>
      <x:c r="P94" s="36" t="n">
        <x:v>0</x:v>
      </x:c>
      <x:c r="Q94" s="36" t="n">
        <x:v>0</x:v>
      </x:c>
      <x:c r="R94" s="36" t="n">
        <x:v>20</x:v>
      </x:c>
      <x:c r="S94" s="36" t="str">
        <x:v>FROZEN TARGET</x:v>
      </x:c>
      <x:c r="T94" s="33" t="str">
        <x:v>OPEN</x:v>
      </x:c>
      <x:c r="U94" s="33" t="n">
        <x:v>0</x:v>
      </x:c>
      <x:c r="V94" t="n">
        <x:f>COUNTIFS($C$5:$C$156,C94)</x:f>
        <x:v>1</x:v>
      </x:c>
    </x:row>
    <x:row r="95" ht="34" customHeight="1">
      <x:c r="C95" s="33" t="str">
        <x:v>LF-C-R3-P03</x:v>
      </x:c>
      <x:c r="D95" s="33" t="str">
        <x:v>LF-C-CF1</x:v>
      </x:c>
      <x:c r="E95" s="33" t="str">
        <x:v>C</x:v>
      </x:c>
      <x:c r="F95" s="33" t="str">
        <x:v>LF-R3</x:v>
      </x:c>
      <x:c r="G95" s="33" t="n">
        <x:v>3</x:v>
      </x:c>
      <x:c r="H95" s="33" t="str">
        <x:v>Local power</x:v>
      </x:c>
      <x:c r="I95" s="33" t="str">
        <x:v>DC local grid cell with grid-forming conversion</x:v>
      </x:c>
      <x:c r="J95" s="36" t="n">
        <x:v>0</x:v>
      </x:c>
      <x:c r="K95" s="36" t="n">
        <x:v>0</x:v>
      </x:c>
      <x:c r="L95" s="36" t="n">
        <x:v>0</x:v>
      </x:c>
      <x:c r="M95" s="36" t="n">
        <x:v>10</x:v>
      </x:c>
      <x:c r="N95" s="36" t="n">
        <x:v>15</x:v>
      </x:c>
      <x:c r="O95" s="36" t="n">
        <x:v>0</x:v>
      </x:c>
      <x:c r="P95" s="36" t="n">
        <x:v>0</x:v>
      </x:c>
      <x:c r="Q95" s="36" t="n">
        <x:v>0</x:v>
      </x:c>
      <x:c r="R95" s="36" t="n">
        <x:v>20</x:v>
      </x:c>
      <x:c r="S95" s="36" t="str">
        <x:v>FROZEN TARGET</x:v>
      </x:c>
      <x:c r="T95" s="33" t="str">
        <x:v>OPEN</x:v>
      </x:c>
      <x:c r="U95" s="33" t="n">
        <x:v>0</x:v>
      </x:c>
      <x:c r="V95" t="n">
        <x:f>COUNTIFS($C$5:$C$156,C95)</x:f>
        <x:v>1</x:v>
      </x:c>
    </x:row>
    <x:row r="96" ht="34" customHeight="1">
      <x:c r="C96" s="33" t="str">
        <x:v>LF-C-R3-P04</x:v>
      </x:c>
      <x:c r="D96" s="33" t="str">
        <x:v>LF-C-CF1</x:v>
      </x:c>
      <x:c r="E96" s="33" t="str">
        <x:v>C</x:v>
      </x:c>
      <x:c r="F96" s="33" t="str">
        <x:v>LF-R3</x:v>
      </x:c>
      <x:c r="G96" s="33" t="n">
        <x:v>4</x:v>
      </x:c>
      <x:c r="H96" s="33" t="str">
        <x:v>Local power</x:v>
      </x:c>
      <x:c r="I96" s="33" t="str">
        <x:v>DC local grid cell with grid-forming conversion</x:v>
      </x:c>
      <x:c r="J96" s="36" t="n">
        <x:v>0</x:v>
      </x:c>
      <x:c r="K96" s="36" t="n">
        <x:v>0</x:v>
      </x:c>
      <x:c r="L96" s="36" t="n">
        <x:v>0</x:v>
      </x:c>
      <x:c r="M96" s="36" t="n">
        <x:v>10</x:v>
      </x:c>
      <x:c r="N96" s="36" t="n">
        <x:v>15</x:v>
      </x:c>
      <x:c r="O96" s="36" t="n">
        <x:v>0</x:v>
      </x:c>
      <x:c r="P96" s="36" t="n">
        <x:v>0</x:v>
      </x:c>
      <x:c r="Q96" s="36" t="n">
        <x:v>0</x:v>
      </x:c>
      <x:c r="R96" s="36" t="n">
        <x:v>20</x:v>
      </x:c>
      <x:c r="S96" s="36" t="str">
        <x:v>FROZEN TARGET</x:v>
      </x:c>
      <x:c r="T96" s="33" t="str">
        <x:v>OPEN</x:v>
      </x:c>
      <x:c r="U96" s="33" t="n">
        <x:v>0</x:v>
      </x:c>
      <x:c r="V96" t="n">
        <x:f>COUNTIFS($C$5:$C$156,C96)</x:f>
        <x:v>1</x:v>
      </x:c>
    </x:row>
    <x:row r="97" ht="34" customHeight="1">
      <x:c r="C97" s="33" t="str">
        <x:v>LF-C-R3-P05</x:v>
      </x:c>
      <x:c r="D97" s="33" t="str">
        <x:v>LF-C-CF1</x:v>
      </x:c>
      <x:c r="E97" s="33" t="str">
        <x:v>C</x:v>
      </x:c>
      <x:c r="F97" s="33" t="str">
        <x:v>LF-R3</x:v>
      </x:c>
      <x:c r="G97" s="33" t="n">
        <x:v>5</x:v>
      </x:c>
      <x:c r="H97" s="33" t="str">
        <x:v>Local power</x:v>
      </x:c>
      <x:c r="I97" s="33" t="str">
        <x:v>DC local grid cell with grid-forming conversion</x:v>
      </x:c>
      <x:c r="J97" s="36" t="n">
        <x:v>0</x:v>
      </x:c>
      <x:c r="K97" s="36" t="n">
        <x:v>0</x:v>
      </x:c>
      <x:c r="L97" s="36" t="n">
        <x:v>0</x:v>
      </x:c>
      <x:c r="M97" s="36" t="n">
        <x:v>10</x:v>
      </x:c>
      <x:c r="N97" s="36" t="n">
        <x:v>15</x:v>
      </x:c>
      <x:c r="O97" s="36" t="n">
        <x:v>0</x:v>
      </x:c>
      <x:c r="P97" s="36" t="n">
        <x:v>0</x:v>
      </x:c>
      <x:c r="Q97" s="36" t="n">
        <x:v>0</x:v>
      </x:c>
      <x:c r="R97" s="36" t="n">
        <x:v>20</x:v>
      </x:c>
      <x:c r="S97" s="36" t="str">
        <x:v>FROZEN TARGET</x:v>
      </x:c>
      <x:c r="T97" s="33" t="str">
        <x:v>OPEN</x:v>
      </x:c>
      <x:c r="U97" s="33" t="n">
        <x:v>0</x:v>
      </x:c>
      <x:c r="V97" t="n">
        <x:f>COUNTIFS($C$5:$C$156,C97)</x:f>
        <x:v>1</x:v>
      </x:c>
    </x:row>
    <x:row r="98" ht="34" customHeight="1">
      <x:c r="C98" s="33" t="str">
        <x:v>LF-C-R3-P06</x:v>
      </x:c>
      <x:c r="D98" s="33" t="str">
        <x:v>LF-C-CF1</x:v>
      </x:c>
      <x:c r="E98" s="33" t="str">
        <x:v>C</x:v>
      </x:c>
      <x:c r="F98" s="33" t="str">
        <x:v>LF-R3</x:v>
      </x:c>
      <x:c r="G98" s="33" t="n">
        <x:v>6</x:v>
      </x:c>
      <x:c r="H98" s="33" t="str">
        <x:v>Local power</x:v>
      </x:c>
      <x:c r="I98" s="33" t="str">
        <x:v>DC local grid cell with grid-forming conversion</x:v>
      </x:c>
      <x:c r="J98" s="36" t="n">
        <x:v>0</x:v>
      </x:c>
      <x:c r="K98" s="36" t="n">
        <x:v>0</x:v>
      </x:c>
      <x:c r="L98" s="36" t="n">
        <x:v>0</x:v>
      </x:c>
      <x:c r="M98" s="36" t="n">
        <x:v>10</x:v>
      </x:c>
      <x:c r="N98" s="36" t="n">
        <x:v>15</x:v>
      </x:c>
      <x:c r="O98" s="36" t="n">
        <x:v>0</x:v>
      </x:c>
      <x:c r="P98" s="36" t="n">
        <x:v>0</x:v>
      </x:c>
      <x:c r="Q98" s="36" t="n">
        <x:v>0</x:v>
      </x:c>
      <x:c r="R98" s="36" t="n">
        <x:v>20</x:v>
      </x:c>
      <x:c r="S98" s="36" t="str">
        <x:v>FROZEN TARGET</x:v>
      </x:c>
      <x:c r="T98" s="33" t="str">
        <x:v>OPEN</x:v>
      </x:c>
      <x:c r="U98" s="33" t="n">
        <x:v>0</x:v>
      </x:c>
      <x:c r="V98" t="n">
        <x:f>COUNTIFS($C$5:$C$156,C98)</x:f>
        <x:v>1</x:v>
      </x:c>
    </x:row>
    <x:row r="99" ht="34" customHeight="1">
      <x:c r="C99" s="33" t="str">
        <x:v>LF-C-R3-P07</x:v>
      </x:c>
      <x:c r="D99" s="33" t="str">
        <x:v>LF-C-CF1</x:v>
      </x:c>
      <x:c r="E99" s="33" t="str">
        <x:v>C</x:v>
      </x:c>
      <x:c r="F99" s="33" t="str">
        <x:v>LF-R3</x:v>
      </x:c>
      <x:c r="G99" s="33" t="n">
        <x:v>7</x:v>
      </x:c>
      <x:c r="H99" s="33" t="str">
        <x:v>Local power</x:v>
      </x:c>
      <x:c r="I99" s="33" t="str">
        <x:v>DC local grid cell with grid-forming conversion</x:v>
      </x:c>
      <x:c r="J99" s="36" t="n">
        <x:v>0</x:v>
      </x:c>
      <x:c r="K99" s="36" t="n">
        <x:v>0</x:v>
      </x:c>
      <x:c r="L99" s="36" t="n">
        <x:v>0</x:v>
      </x:c>
      <x:c r="M99" s="36" t="n">
        <x:v>10</x:v>
      </x:c>
      <x:c r="N99" s="36" t="n">
        <x:v>15</x:v>
      </x:c>
      <x:c r="O99" s="36" t="n">
        <x:v>0</x:v>
      </x:c>
      <x:c r="P99" s="36" t="n">
        <x:v>0</x:v>
      </x:c>
      <x:c r="Q99" s="36" t="n">
        <x:v>0</x:v>
      </x:c>
      <x:c r="R99" s="36" t="n">
        <x:v>20</x:v>
      </x:c>
      <x:c r="S99" s="36" t="str">
        <x:v>FROZEN TARGET</x:v>
      </x:c>
      <x:c r="T99" s="33" t="str">
        <x:v>OPEN</x:v>
      </x:c>
      <x:c r="U99" s="33" t="n">
        <x:v>0</x:v>
      </x:c>
      <x:c r="V99" t="n">
        <x:f>COUNTIFS($C$5:$C$156,C99)</x:f>
        <x:v>1</x:v>
      </x:c>
    </x:row>
    <x:row r="100" ht="34" customHeight="1">
      <x:c r="C100" s="33" t="str">
        <x:v>LF-C-R3-P08</x:v>
      </x:c>
      <x:c r="D100" s="33" t="str">
        <x:v>LF-C-CF1</x:v>
      </x:c>
      <x:c r="E100" s="33" t="str">
        <x:v>C</x:v>
      </x:c>
      <x:c r="F100" s="33" t="str">
        <x:v>LF-R3</x:v>
      </x:c>
      <x:c r="G100" s="33" t="n">
        <x:v>8</x:v>
      </x:c>
      <x:c r="H100" s="33" t="str">
        <x:v>Local power</x:v>
      </x:c>
      <x:c r="I100" s="33" t="str">
        <x:v>DC local grid cell with grid-forming conversion</x:v>
      </x:c>
      <x:c r="J100" s="36" t="n">
        <x:v>0</x:v>
      </x:c>
      <x:c r="K100" s="36" t="n">
        <x:v>0</x:v>
      </x:c>
      <x:c r="L100" s="36" t="n">
        <x:v>0</x:v>
      </x:c>
      <x:c r="M100" s="36" t="n">
        <x:v>10</x:v>
      </x:c>
      <x:c r="N100" s="36" t="n">
        <x:v>15</x:v>
      </x:c>
      <x:c r="O100" s="36" t="n">
        <x:v>0</x:v>
      </x:c>
      <x:c r="P100" s="36" t="n">
        <x:v>0</x:v>
      </x:c>
      <x:c r="Q100" s="36" t="n">
        <x:v>0</x:v>
      </x:c>
      <x:c r="R100" s="36" t="n">
        <x:v>20</x:v>
      </x:c>
      <x:c r="S100" s="36" t="str">
        <x:v>FROZEN TARGET</x:v>
      </x:c>
      <x:c r="T100" s="33" t="str">
        <x:v>OPEN</x:v>
      </x:c>
      <x:c r="U100" s="33" t="n">
        <x:v>0</x:v>
      </x:c>
      <x:c r="V100" t="n">
        <x:f>COUNTIFS($C$5:$C$156,C100)</x:f>
        <x:v>1</x:v>
      </x:c>
    </x:row>
    <x:row r="101" ht="34" customHeight="1">
      <x:c r="C101" s="33" t="str">
        <x:v>LF-C-R3-P09</x:v>
      </x:c>
      <x:c r="D101" s="33" t="str">
        <x:v>LF-C-CF1</x:v>
      </x:c>
      <x:c r="E101" s="33" t="str">
        <x:v>C</x:v>
      </x:c>
      <x:c r="F101" s="33" t="str">
        <x:v>LF-R3</x:v>
      </x:c>
      <x:c r="G101" s="33" t="n">
        <x:v>9</x:v>
      </x:c>
      <x:c r="H101" s="33" t="str">
        <x:v>Local power</x:v>
      </x:c>
      <x:c r="I101" s="33" t="str">
        <x:v>DC local grid cell with grid-forming conversion</x:v>
      </x:c>
      <x:c r="J101" s="36" t="n">
        <x:v>0</x:v>
      </x:c>
      <x:c r="K101" s="36" t="n">
        <x:v>0</x:v>
      </x:c>
      <x:c r="L101" s="36" t="n">
        <x:v>0</x:v>
      </x:c>
      <x:c r="M101" s="36" t="n">
        <x:v>10</x:v>
      </x:c>
      <x:c r="N101" s="36" t="n">
        <x:v>15</x:v>
      </x:c>
      <x:c r="O101" s="36" t="n">
        <x:v>0</x:v>
      </x:c>
      <x:c r="P101" s="36" t="n">
        <x:v>0</x:v>
      </x:c>
      <x:c r="Q101" s="36" t="n">
        <x:v>0</x:v>
      </x:c>
      <x:c r="R101" s="36" t="n">
        <x:v>20</x:v>
      </x:c>
      <x:c r="S101" s="36" t="str">
        <x:v>FROZEN TARGET</x:v>
      </x:c>
      <x:c r="T101" s="33" t="str">
        <x:v>OPEN</x:v>
      </x:c>
      <x:c r="U101" s="33" t="n">
        <x:v>0</x:v>
      </x:c>
      <x:c r="V101" t="n">
        <x:f>COUNTIFS($C$5:$C$156,C101)</x:f>
        <x:v>1</x:v>
      </x:c>
    </x:row>
    <x:row r="102" ht="34" customHeight="1">
      <x:c r="C102" s="33" t="str">
        <x:v>LF-C-R3-P10</x:v>
      </x:c>
      <x:c r="D102" s="33" t="str">
        <x:v>LF-C-CF1</x:v>
      </x:c>
      <x:c r="E102" s="33" t="str">
        <x:v>C</x:v>
      </x:c>
      <x:c r="F102" s="33" t="str">
        <x:v>LF-R3</x:v>
      </x:c>
      <x:c r="G102" s="33" t="n">
        <x:v>10</x:v>
      </x:c>
      <x:c r="H102" s="33" t="str">
        <x:v>Local power</x:v>
      </x:c>
      <x:c r="I102" s="33" t="str">
        <x:v>DC local grid cell with grid-forming conversion</x:v>
      </x:c>
      <x:c r="J102" s="36" t="n">
        <x:v>0</x:v>
      </x:c>
      <x:c r="K102" s="36" t="n">
        <x:v>0</x:v>
      </x:c>
      <x:c r="L102" s="36" t="n">
        <x:v>0</x:v>
      </x:c>
      <x:c r="M102" s="36" t="n">
        <x:v>10</x:v>
      </x:c>
      <x:c r="N102" s="36" t="n">
        <x:v>15</x:v>
      </x:c>
      <x:c r="O102" s="36" t="n">
        <x:v>0</x:v>
      </x:c>
      <x:c r="P102" s="36" t="n">
        <x:v>0</x:v>
      </x:c>
      <x:c r="Q102" s="36" t="n">
        <x:v>0</x:v>
      </x:c>
      <x:c r="R102" s="36" t="n">
        <x:v>20</x:v>
      </x:c>
      <x:c r="S102" s="36" t="str">
        <x:v>FROZEN TARGET</x:v>
      </x:c>
      <x:c r="T102" s="33" t="str">
        <x:v>OPEN</x:v>
      </x:c>
      <x:c r="U102" s="33" t="n">
        <x:v>0</x:v>
      </x:c>
      <x:c r="V102" t="n">
        <x:f>COUNTIFS($C$5:$C$156,C102)</x:f>
        <x:v>1</x:v>
      </x:c>
    </x:row>
    <x:row r="103" ht="34" customHeight="1">
      <x:c r="C103" s="33" t="str">
        <x:v>LF-C-R4-P01</x:v>
      </x:c>
      <x:c r="D103" s="33" t="str">
        <x:v>LF-C-CF1</x:v>
      </x:c>
      <x:c r="E103" s="33" t="str">
        <x:v>C</x:v>
      </x:c>
      <x:c r="F103" s="33" t="str">
        <x:v>LF-R4</x:v>
      </x:c>
      <x:c r="G103" s="33" t="n">
        <x:v>1</x:v>
      </x:c>
      <x:c r="H103" s="33" t="str">
        <x:v>Grid bridge</x:v>
      </x:c>
      <x:c r="I103" s="33" t="str">
        <x:v>solid-state fault-blocking grid bridge</x:v>
      </x:c>
      <x:c r="J103" s="36" t="n">
        <x:v>0</x:v>
      </x:c>
      <x:c r="K103" s="36" t="n">
        <x:v>0</x:v>
      </x:c>
      <x:c r="L103" s="36" t="n">
        <x:v>0</x:v>
      </x:c>
      <x:c r="M103" s="36" t="n">
        <x:v>12.5</x:v>
      </x:c>
      <x:c r="N103" s="36" t="n">
        <x:v>0</x:v>
      </x:c>
      <x:c r="O103" s="36" t="n">
        <x:v>0</x:v>
      </x:c>
      <x:c r="P103" s="36" t="n">
        <x:v>0</x:v>
      </x:c>
      <x:c r="Q103" s="36" t="n">
        <x:v>15</x:v>
      </x:c>
      <x:c r="R103" s="36" t="n">
        <x:v>0</x:v>
      </x:c>
      <x:c r="S103" s="36" t="str">
        <x:v>FROZEN TARGET</x:v>
      </x:c>
      <x:c r="T103" s="33" t="str">
        <x:v>OPEN</x:v>
      </x:c>
      <x:c r="U103" s="33" t="n">
        <x:v>0</x:v>
      </x:c>
      <x:c r="V103" t="n">
        <x:f>COUNTIFS($C$5:$C$156,C103)</x:f>
        <x:v>1</x:v>
      </x:c>
    </x:row>
    <x:row r="104" ht="34" customHeight="1">
      <x:c r="C104" s="33" t="str">
        <x:v>LF-C-R4-P02</x:v>
      </x:c>
      <x:c r="D104" s="33" t="str">
        <x:v>LF-C-CF1</x:v>
      </x:c>
      <x:c r="E104" s="33" t="str">
        <x:v>C</x:v>
      </x:c>
      <x:c r="F104" s="33" t="str">
        <x:v>LF-R4</x:v>
      </x:c>
      <x:c r="G104" s="33" t="n">
        <x:v>2</x:v>
      </x:c>
      <x:c r="H104" s="33" t="str">
        <x:v>Grid bridge</x:v>
      </x:c>
      <x:c r="I104" s="33" t="str">
        <x:v>solid-state fault-blocking grid bridge</x:v>
      </x:c>
      <x:c r="J104" s="36" t="n">
        <x:v>0</x:v>
      </x:c>
      <x:c r="K104" s="36" t="n">
        <x:v>0</x:v>
      </x:c>
      <x:c r="L104" s="36" t="n">
        <x:v>0</x:v>
      </x:c>
      <x:c r="M104" s="36" t="n">
        <x:v>12.5</x:v>
      </x:c>
      <x:c r="N104" s="36" t="n">
        <x:v>0</x:v>
      </x:c>
      <x:c r="O104" s="36" t="n">
        <x:v>0</x:v>
      </x:c>
      <x:c r="P104" s="36" t="n">
        <x:v>0</x:v>
      </x:c>
      <x:c r="Q104" s="36" t="n">
        <x:v>15</x:v>
      </x:c>
      <x:c r="R104" s="36" t="n">
        <x:v>0</x:v>
      </x:c>
      <x:c r="S104" s="36" t="str">
        <x:v>FROZEN TARGET</x:v>
      </x:c>
      <x:c r="T104" s="33" t="str">
        <x:v>OPEN</x:v>
      </x:c>
      <x:c r="U104" s="33" t="n">
        <x:v>0</x:v>
      </x:c>
      <x:c r="V104" t="n">
        <x:f>COUNTIFS($C$5:$C$156,C104)</x:f>
        <x:v>1</x:v>
      </x:c>
    </x:row>
    <x:row r="105" ht="34" customHeight="1">
      <x:c r="C105" s="33" t="str">
        <x:v>LF-C-R4-P03</x:v>
      </x:c>
      <x:c r="D105" s="33" t="str">
        <x:v>LF-C-CF1</x:v>
      </x:c>
      <x:c r="E105" s="33" t="str">
        <x:v>C</x:v>
      </x:c>
      <x:c r="F105" s="33" t="str">
        <x:v>LF-R4</x:v>
      </x:c>
      <x:c r="G105" s="33" t="n">
        <x:v>3</x:v>
      </x:c>
      <x:c r="H105" s="33" t="str">
        <x:v>Grid bridge</x:v>
      </x:c>
      <x:c r="I105" s="33" t="str">
        <x:v>solid-state fault-blocking grid bridge</x:v>
      </x:c>
      <x:c r="J105" s="36" t="n">
        <x:v>0</x:v>
      </x:c>
      <x:c r="K105" s="36" t="n">
        <x:v>0</x:v>
      </x:c>
      <x:c r="L105" s="36" t="n">
        <x:v>0</x:v>
      </x:c>
      <x:c r="M105" s="36" t="n">
        <x:v>12.5</x:v>
      </x:c>
      <x:c r="N105" s="36" t="n">
        <x:v>0</x:v>
      </x:c>
      <x:c r="O105" s="36" t="n">
        <x:v>0</x:v>
      </x:c>
      <x:c r="P105" s="36" t="n">
        <x:v>0</x:v>
      </x:c>
      <x:c r="Q105" s="36" t="n">
        <x:v>15</x:v>
      </x:c>
      <x:c r="R105" s="36" t="n">
        <x:v>0</x:v>
      </x:c>
      <x:c r="S105" s="36" t="str">
        <x:v>FROZEN TARGET</x:v>
      </x:c>
      <x:c r="T105" s="33" t="str">
        <x:v>OPEN</x:v>
      </x:c>
      <x:c r="U105" s="33" t="n">
        <x:v>0</x:v>
      </x:c>
      <x:c r="V105" t="n">
        <x:f>COUNTIFS($C$5:$C$156,C105)</x:f>
        <x:v>1</x:v>
      </x:c>
    </x:row>
    <x:row r="106" ht="34" customHeight="1">
      <x:c r="C106" s="33" t="str">
        <x:v>LF-C-R4-P04</x:v>
      </x:c>
      <x:c r="D106" s="33" t="str">
        <x:v>LF-C-CF1</x:v>
      </x:c>
      <x:c r="E106" s="33" t="str">
        <x:v>C</x:v>
      </x:c>
      <x:c r="F106" s="33" t="str">
        <x:v>LF-R4</x:v>
      </x:c>
      <x:c r="G106" s="33" t="n">
        <x:v>4</x:v>
      </x:c>
      <x:c r="H106" s="33" t="str">
        <x:v>Grid bridge</x:v>
      </x:c>
      <x:c r="I106" s="33" t="str">
        <x:v>solid-state fault-blocking grid bridge</x:v>
      </x:c>
      <x:c r="J106" s="36" t="n">
        <x:v>0</x:v>
      </x:c>
      <x:c r="K106" s="36" t="n">
        <x:v>0</x:v>
      </x:c>
      <x:c r="L106" s="36" t="n">
        <x:v>0</x:v>
      </x:c>
      <x:c r="M106" s="36" t="n">
        <x:v>12.5</x:v>
      </x:c>
      <x:c r="N106" s="36" t="n">
        <x:v>0</x:v>
      </x:c>
      <x:c r="O106" s="36" t="n">
        <x:v>0</x:v>
      </x:c>
      <x:c r="P106" s="36" t="n">
        <x:v>0</x:v>
      </x:c>
      <x:c r="Q106" s="36" t="n">
        <x:v>15</x:v>
      </x:c>
      <x:c r="R106" s="36" t="n">
        <x:v>0</x:v>
      </x:c>
      <x:c r="S106" s="36" t="str">
        <x:v>FROZEN TARGET</x:v>
      </x:c>
      <x:c r="T106" s="33" t="str">
        <x:v>OPEN</x:v>
      </x:c>
      <x:c r="U106" s="33" t="n">
        <x:v>0</x:v>
      </x:c>
      <x:c r="V106" t="n">
        <x:f>COUNTIFS($C$5:$C$156,C106)</x:f>
        <x:v>1</x:v>
      </x:c>
    </x:row>
    <x:row r="107" ht="34" customHeight="1">
      <x:c r="C107" s="33" t="str">
        <x:v>LF-C-R4-P05</x:v>
      </x:c>
      <x:c r="D107" s="33" t="str">
        <x:v>LF-C-CF1</x:v>
      </x:c>
      <x:c r="E107" s="33" t="str">
        <x:v>C</x:v>
      </x:c>
      <x:c r="F107" s="33" t="str">
        <x:v>LF-R4</x:v>
      </x:c>
      <x:c r="G107" s="33" t="n">
        <x:v>5</x:v>
      </x:c>
      <x:c r="H107" s="33" t="str">
        <x:v>Grid bridge</x:v>
      </x:c>
      <x:c r="I107" s="33" t="str">
        <x:v>solid-state fault-blocking grid bridge</x:v>
      </x:c>
      <x:c r="J107" s="36" t="n">
        <x:v>0</x:v>
      </x:c>
      <x:c r="K107" s="36" t="n">
        <x:v>0</x:v>
      </x:c>
      <x:c r="L107" s="36" t="n">
        <x:v>0</x:v>
      </x:c>
      <x:c r="M107" s="36" t="n">
        <x:v>12.5</x:v>
      </x:c>
      <x:c r="N107" s="36" t="n">
        <x:v>0</x:v>
      </x:c>
      <x:c r="O107" s="36" t="n">
        <x:v>0</x:v>
      </x:c>
      <x:c r="P107" s="36" t="n">
        <x:v>0</x:v>
      </x:c>
      <x:c r="Q107" s="36" t="n">
        <x:v>15</x:v>
      </x:c>
      <x:c r="R107" s="36" t="n">
        <x:v>0</x:v>
      </x:c>
      <x:c r="S107" s="36" t="str">
        <x:v>FROZEN TARGET</x:v>
      </x:c>
      <x:c r="T107" s="33" t="str">
        <x:v>OPEN</x:v>
      </x:c>
      <x:c r="U107" s="33" t="n">
        <x:v>0</x:v>
      </x:c>
      <x:c r="V107" t="n">
        <x:f>COUNTIFS($C$5:$C$156,C107)</x:f>
        <x:v>1</x:v>
      </x:c>
    </x:row>
    <x:row r="108" ht="34" customHeight="1">
      <x:c r="C108" s="33" t="str">
        <x:v>LF-C-R4-P06</x:v>
      </x:c>
      <x:c r="D108" s="33" t="str">
        <x:v>LF-C-CF1</x:v>
      </x:c>
      <x:c r="E108" s="33" t="str">
        <x:v>C</x:v>
      </x:c>
      <x:c r="F108" s="33" t="str">
        <x:v>LF-R4</x:v>
      </x:c>
      <x:c r="G108" s="33" t="n">
        <x:v>6</x:v>
      </x:c>
      <x:c r="H108" s="33" t="str">
        <x:v>Grid bridge</x:v>
      </x:c>
      <x:c r="I108" s="33" t="str">
        <x:v>solid-state fault-blocking grid bridge</x:v>
      </x:c>
      <x:c r="J108" s="36" t="n">
        <x:v>0</x:v>
      </x:c>
      <x:c r="K108" s="36" t="n">
        <x:v>0</x:v>
      </x:c>
      <x:c r="L108" s="36" t="n">
        <x:v>0</x:v>
      </x:c>
      <x:c r="M108" s="36" t="n">
        <x:v>12.5</x:v>
      </x:c>
      <x:c r="N108" s="36" t="n">
        <x:v>0</x:v>
      </x:c>
      <x:c r="O108" s="36" t="n">
        <x:v>0</x:v>
      </x:c>
      <x:c r="P108" s="36" t="n">
        <x:v>0</x:v>
      </x:c>
      <x:c r="Q108" s="36" t="n">
        <x:v>15</x:v>
      </x:c>
      <x:c r="R108" s="36" t="n">
        <x:v>0</x:v>
      </x:c>
      <x:c r="S108" s="36" t="str">
        <x:v>FROZEN TARGET</x:v>
      </x:c>
      <x:c r="T108" s="33" t="str">
        <x:v>OPEN</x:v>
      </x:c>
      <x:c r="U108" s="33" t="n">
        <x:v>0</x:v>
      </x:c>
      <x:c r="V108" t="n">
        <x:f>COUNTIFS($C$5:$C$156,C108)</x:f>
        <x:v>1</x:v>
      </x:c>
    </x:row>
    <x:row r="109" ht="34" customHeight="1">
      <x:c r="C109" s="33" t="str">
        <x:v>LF-C-R4-P07</x:v>
      </x:c>
      <x:c r="D109" s="33" t="str">
        <x:v>LF-C-CF1</x:v>
      </x:c>
      <x:c r="E109" s="33" t="str">
        <x:v>C</x:v>
      </x:c>
      <x:c r="F109" s="33" t="str">
        <x:v>LF-R4</x:v>
      </x:c>
      <x:c r="G109" s="33" t="n">
        <x:v>7</x:v>
      </x:c>
      <x:c r="H109" s="33" t="str">
        <x:v>Grid bridge</x:v>
      </x:c>
      <x:c r="I109" s="33" t="str">
        <x:v>solid-state fault-blocking grid bridge</x:v>
      </x:c>
      <x:c r="J109" s="36" t="n">
        <x:v>0</x:v>
      </x:c>
      <x:c r="K109" s="36" t="n">
        <x:v>0</x:v>
      </x:c>
      <x:c r="L109" s="36" t="n">
        <x:v>0</x:v>
      </x:c>
      <x:c r="M109" s="36" t="n">
        <x:v>12.5</x:v>
      </x:c>
      <x:c r="N109" s="36" t="n">
        <x:v>0</x:v>
      </x:c>
      <x:c r="O109" s="36" t="n">
        <x:v>0</x:v>
      </x:c>
      <x:c r="P109" s="36" t="n">
        <x:v>0</x:v>
      </x:c>
      <x:c r="Q109" s="36" t="n">
        <x:v>15</x:v>
      </x:c>
      <x:c r="R109" s="36" t="n">
        <x:v>0</x:v>
      </x:c>
      <x:c r="S109" s="36" t="str">
        <x:v>FROZEN TARGET</x:v>
      </x:c>
      <x:c r="T109" s="33" t="str">
        <x:v>OPEN</x:v>
      </x:c>
      <x:c r="U109" s="33" t="n">
        <x:v>0</x:v>
      </x:c>
      <x:c r="V109" t="n">
        <x:f>COUNTIFS($C$5:$C$156,C109)</x:f>
        <x:v>1</x:v>
      </x:c>
    </x:row>
    <x:row r="110" ht="34" customHeight="1">
      <x:c r="C110" s="33" t="str">
        <x:v>LF-C-R4-P08</x:v>
      </x:c>
      <x:c r="D110" s="33" t="str">
        <x:v>LF-C-CF1</x:v>
      </x:c>
      <x:c r="E110" s="33" t="str">
        <x:v>C</x:v>
      </x:c>
      <x:c r="F110" s="33" t="str">
        <x:v>LF-R4</x:v>
      </x:c>
      <x:c r="G110" s="33" t="n">
        <x:v>8</x:v>
      </x:c>
      <x:c r="H110" s="33" t="str">
        <x:v>Grid bridge</x:v>
      </x:c>
      <x:c r="I110" s="33" t="str">
        <x:v>solid-state fault-blocking grid bridge</x:v>
      </x:c>
      <x:c r="J110" s="36" t="n">
        <x:v>0</x:v>
      </x:c>
      <x:c r="K110" s="36" t="n">
        <x:v>0</x:v>
      </x:c>
      <x:c r="L110" s="36" t="n">
        <x:v>0</x:v>
      </x:c>
      <x:c r="M110" s="36" t="n">
        <x:v>12.5</x:v>
      </x:c>
      <x:c r="N110" s="36" t="n">
        <x:v>0</x:v>
      </x:c>
      <x:c r="O110" s="36" t="n">
        <x:v>0</x:v>
      </x:c>
      <x:c r="P110" s="36" t="n">
        <x:v>0</x:v>
      </x:c>
      <x:c r="Q110" s="36" t="n">
        <x:v>15</x:v>
      </x:c>
      <x:c r="R110" s="36" t="n">
        <x:v>0</x:v>
      </x:c>
      <x:c r="S110" s="36" t="str">
        <x:v>FROZEN TARGET</x:v>
      </x:c>
      <x:c r="T110" s="33" t="str">
        <x:v>OPEN</x:v>
      </x:c>
      <x:c r="U110" s="33" t="n">
        <x:v>0</x:v>
      </x:c>
      <x:c r="V110" t="n">
        <x:f>COUNTIFS($C$5:$C$156,C110)</x:f>
        <x:v>1</x:v>
      </x:c>
    </x:row>
    <x:row r="111" ht="34" customHeight="1">
      <x:c r="C111" s="33" t="str">
        <x:v>LF-C-R5-P01</x:v>
      </x:c>
      <x:c r="D111" s="33" t="str">
        <x:v>LF-C-CF1</x:v>
      </x:c>
      <x:c r="E111" s="33" t="str">
        <x:v>C</x:v>
      </x:c>
      <x:c r="F111" s="33" t="str">
        <x:v>LF-R5</x:v>
      </x:c>
      <x:c r="G111" s="33" t="n">
        <x:v>1</x:v>
      </x:c>
      <x:c r="H111" s="33" t="str">
        <x:v>Thermal safety</x:v>
      </x:c>
      <x:c r="I111" s="33" t="str">
        <x:v>heat-pump and thermal-storage cell</x:v>
      </x:c>
      <x:c r="J111" s="36" t="n">
        <x:v>0</x:v>
      </x:c>
      <x:c r="K111" s="36" t="n">
        <x:v>0</x:v>
      </x:c>
      <x:c r="L111" s="36" t="n">
        <x:v>0</x:v>
      </x:c>
      <x:c r="M111" s="36" t="n">
        <x:v>0</x:v>
      </x:c>
      <x:c r="N111" s="36" t="n">
        <x:v>0</x:v>
      </x:c>
      <x:c r="O111" s="36" t="n">
        <x:v>10</x:v>
      </x:c>
      <x:c r="P111" s="36" t="n">
        <x:v>0</x:v>
      </x:c>
      <x:c r="Q111" s="36" t="n">
        <x:v>0</x:v>
      </x:c>
      <x:c r="R111" s="36" t="n">
        <x:v>0</x:v>
      </x:c>
      <x:c r="S111" s="36" t="str">
        <x:v>FROZEN TARGET</x:v>
      </x:c>
      <x:c r="T111" s="33" t="str">
        <x:v>OPEN</x:v>
      </x:c>
      <x:c r="U111" s="33" t="n">
        <x:v>0</x:v>
      </x:c>
      <x:c r="V111" t="n">
        <x:f>COUNTIFS($C$5:$C$156,C111)</x:f>
        <x:v>1</x:v>
      </x:c>
    </x:row>
    <x:row r="112" ht="34" customHeight="1">
      <x:c r="C112" s="33" t="str">
        <x:v>LF-C-R5-P02</x:v>
      </x:c>
      <x:c r="D112" s="33" t="str">
        <x:v>LF-C-CF1</x:v>
      </x:c>
      <x:c r="E112" s="33" t="str">
        <x:v>C</x:v>
      </x:c>
      <x:c r="F112" s="33" t="str">
        <x:v>LF-R5</x:v>
      </x:c>
      <x:c r="G112" s="33" t="n">
        <x:v>2</x:v>
      </x:c>
      <x:c r="H112" s="33" t="str">
        <x:v>Thermal safety</x:v>
      </x:c>
      <x:c r="I112" s="33" t="str">
        <x:v>heat-pump and thermal-storage cell</x:v>
      </x:c>
      <x:c r="J112" s="36" t="n">
        <x:v>0</x:v>
      </x:c>
      <x:c r="K112" s="36" t="n">
        <x:v>0</x:v>
      </x:c>
      <x:c r="L112" s="36" t="n">
        <x:v>0</x:v>
      </x:c>
      <x:c r="M112" s="36" t="n">
        <x:v>0</x:v>
      </x:c>
      <x:c r="N112" s="36" t="n">
        <x:v>0</x:v>
      </x:c>
      <x:c r="O112" s="36" t="n">
        <x:v>10</x:v>
      </x:c>
      <x:c r="P112" s="36" t="n">
        <x:v>0</x:v>
      </x:c>
      <x:c r="Q112" s="36" t="n">
        <x:v>0</x:v>
      </x:c>
      <x:c r="R112" s="36" t="n">
        <x:v>0</x:v>
      </x:c>
      <x:c r="S112" s="36" t="str">
        <x:v>FROZEN TARGET</x:v>
      </x:c>
      <x:c r="T112" s="33" t="str">
        <x:v>OPEN</x:v>
      </x:c>
      <x:c r="U112" s="33" t="n">
        <x:v>0</x:v>
      </x:c>
      <x:c r="V112" t="n">
        <x:f>COUNTIFS($C$5:$C$156,C112)</x:f>
        <x:v>1</x:v>
      </x:c>
    </x:row>
    <x:row r="113" ht="34" customHeight="1">
      <x:c r="C113" s="33" t="str">
        <x:v>LF-C-R5-P03</x:v>
      </x:c>
      <x:c r="D113" s="33" t="str">
        <x:v>LF-C-CF1</x:v>
      </x:c>
      <x:c r="E113" s="33" t="str">
        <x:v>C</x:v>
      </x:c>
      <x:c r="F113" s="33" t="str">
        <x:v>LF-R5</x:v>
      </x:c>
      <x:c r="G113" s="33" t="n">
        <x:v>3</x:v>
      </x:c>
      <x:c r="H113" s="33" t="str">
        <x:v>Thermal safety</x:v>
      </x:c>
      <x:c r="I113" s="33" t="str">
        <x:v>heat-pump and thermal-storage cell</x:v>
      </x:c>
      <x:c r="J113" s="36" t="n">
        <x:v>0</x:v>
      </x:c>
      <x:c r="K113" s="36" t="n">
        <x:v>0</x:v>
      </x:c>
      <x:c r="L113" s="36" t="n">
        <x:v>0</x:v>
      </x:c>
      <x:c r="M113" s="36" t="n">
        <x:v>0</x:v>
      </x:c>
      <x:c r="N113" s="36" t="n">
        <x:v>0</x:v>
      </x:c>
      <x:c r="O113" s="36" t="n">
        <x:v>10</x:v>
      </x:c>
      <x:c r="P113" s="36" t="n">
        <x:v>0</x:v>
      </x:c>
      <x:c r="Q113" s="36" t="n">
        <x:v>0</x:v>
      </x:c>
      <x:c r="R113" s="36" t="n">
        <x:v>0</x:v>
      </x:c>
      <x:c r="S113" s="36" t="str">
        <x:v>FROZEN TARGET</x:v>
      </x:c>
      <x:c r="T113" s="33" t="str">
        <x:v>OPEN</x:v>
      </x:c>
      <x:c r="U113" s="33" t="n">
        <x:v>0</x:v>
      </x:c>
      <x:c r="V113" t="n">
        <x:f>COUNTIFS($C$5:$C$156,C113)</x:f>
        <x:v>1</x:v>
      </x:c>
    </x:row>
    <x:row r="114" ht="34" customHeight="1">
      <x:c r="C114" s="33" t="str">
        <x:v>LF-C-R5-P04</x:v>
      </x:c>
      <x:c r="D114" s="33" t="str">
        <x:v>LF-C-CF1</x:v>
      </x:c>
      <x:c r="E114" s="33" t="str">
        <x:v>C</x:v>
      </x:c>
      <x:c r="F114" s="33" t="str">
        <x:v>LF-R5</x:v>
      </x:c>
      <x:c r="G114" s="33" t="n">
        <x:v>4</x:v>
      </x:c>
      <x:c r="H114" s="33" t="str">
        <x:v>Thermal safety</x:v>
      </x:c>
      <x:c r="I114" s="33" t="str">
        <x:v>heat-pump and thermal-storage cell</x:v>
      </x:c>
      <x:c r="J114" s="36" t="n">
        <x:v>0</x:v>
      </x:c>
      <x:c r="K114" s="36" t="n">
        <x:v>0</x:v>
      </x:c>
      <x:c r="L114" s="36" t="n">
        <x:v>0</x:v>
      </x:c>
      <x:c r="M114" s="36" t="n">
        <x:v>0</x:v>
      </x:c>
      <x:c r="N114" s="36" t="n">
        <x:v>0</x:v>
      </x:c>
      <x:c r="O114" s="36" t="n">
        <x:v>10</x:v>
      </x:c>
      <x:c r="P114" s="36" t="n">
        <x:v>0</x:v>
      </x:c>
      <x:c r="Q114" s="36" t="n">
        <x:v>0</x:v>
      </x:c>
      <x:c r="R114" s="36" t="n">
        <x:v>0</x:v>
      </x:c>
      <x:c r="S114" s="36" t="str">
        <x:v>FROZEN TARGET</x:v>
      </x:c>
      <x:c r="T114" s="33" t="str">
        <x:v>OPEN</x:v>
      </x:c>
      <x:c r="U114" s="33" t="n">
        <x:v>0</x:v>
      </x:c>
      <x:c r="V114" t="n">
        <x:f>COUNTIFS($C$5:$C$156,C114)</x:f>
        <x:v>1</x:v>
      </x:c>
    </x:row>
    <x:row r="115" ht="34" customHeight="1">
      <x:c r="C115" s="33" t="str">
        <x:v>LF-C-R5-P05</x:v>
      </x:c>
      <x:c r="D115" s="33" t="str">
        <x:v>LF-C-CF1</x:v>
      </x:c>
      <x:c r="E115" s="33" t="str">
        <x:v>C</x:v>
      </x:c>
      <x:c r="F115" s="33" t="str">
        <x:v>LF-R5</x:v>
      </x:c>
      <x:c r="G115" s="33" t="n">
        <x:v>5</x:v>
      </x:c>
      <x:c r="H115" s="33" t="str">
        <x:v>Thermal safety</x:v>
      </x:c>
      <x:c r="I115" s="33" t="str">
        <x:v>heat-pump and thermal-storage cell</x:v>
      </x:c>
      <x:c r="J115" s="36" t="n">
        <x:v>0</x:v>
      </x:c>
      <x:c r="K115" s="36" t="n">
        <x:v>0</x:v>
      </x:c>
      <x:c r="L115" s="36" t="n">
        <x:v>0</x:v>
      </x:c>
      <x:c r="M115" s="36" t="n">
        <x:v>0</x:v>
      </x:c>
      <x:c r="N115" s="36" t="n">
        <x:v>0</x:v>
      </x:c>
      <x:c r="O115" s="36" t="n">
        <x:v>10</x:v>
      </x:c>
      <x:c r="P115" s="36" t="n">
        <x:v>0</x:v>
      </x:c>
      <x:c r="Q115" s="36" t="n">
        <x:v>0</x:v>
      </x:c>
      <x:c r="R115" s="36" t="n">
        <x:v>0</x:v>
      </x:c>
      <x:c r="S115" s="36" t="str">
        <x:v>FROZEN TARGET</x:v>
      </x:c>
      <x:c r="T115" s="33" t="str">
        <x:v>OPEN</x:v>
      </x:c>
      <x:c r="U115" s="33" t="n">
        <x:v>0</x:v>
      </x:c>
      <x:c r="V115" t="n">
        <x:f>COUNTIFS($C$5:$C$156,C115)</x:f>
        <x:v>1</x:v>
      </x:c>
    </x:row>
    <x:row r="116" ht="34" customHeight="1">
      <x:c r="C116" s="33" t="str">
        <x:v>LF-C-R5-P06</x:v>
      </x:c>
      <x:c r="D116" s="33" t="str">
        <x:v>LF-C-CF1</x:v>
      </x:c>
      <x:c r="E116" s="33" t="str">
        <x:v>C</x:v>
      </x:c>
      <x:c r="F116" s="33" t="str">
        <x:v>LF-R5</x:v>
      </x:c>
      <x:c r="G116" s="33" t="n">
        <x:v>6</x:v>
      </x:c>
      <x:c r="H116" s="33" t="str">
        <x:v>Thermal safety</x:v>
      </x:c>
      <x:c r="I116" s="33" t="str">
        <x:v>heat-pump and thermal-storage cell</x:v>
      </x:c>
      <x:c r="J116" s="36" t="n">
        <x:v>0</x:v>
      </x:c>
      <x:c r="K116" s="36" t="n">
        <x:v>0</x:v>
      </x:c>
      <x:c r="L116" s="36" t="n">
        <x:v>0</x:v>
      </x:c>
      <x:c r="M116" s="36" t="n">
        <x:v>0</x:v>
      </x:c>
      <x:c r="N116" s="36" t="n">
        <x:v>0</x:v>
      </x:c>
      <x:c r="O116" s="36" t="n">
        <x:v>10</x:v>
      </x:c>
      <x:c r="P116" s="36" t="n">
        <x:v>0</x:v>
      </x:c>
      <x:c r="Q116" s="36" t="n">
        <x:v>0</x:v>
      </x:c>
      <x:c r="R116" s="36" t="n">
        <x:v>0</x:v>
      </x:c>
      <x:c r="S116" s="36" t="str">
        <x:v>FROZEN TARGET</x:v>
      </x:c>
      <x:c r="T116" s="33" t="str">
        <x:v>OPEN</x:v>
      </x:c>
      <x:c r="U116" s="33" t="n">
        <x:v>0</x:v>
      </x:c>
      <x:c r="V116" t="n">
        <x:f>COUNTIFS($C$5:$C$156,C116)</x:f>
        <x:v>1</x:v>
      </x:c>
    </x:row>
    <x:row r="117" ht="34" customHeight="1">
      <x:c r="C117" s="33" t="str">
        <x:v>LF-C-R5-P07</x:v>
      </x:c>
      <x:c r="D117" s="33" t="str">
        <x:v>LF-C-CF1</x:v>
      </x:c>
      <x:c r="E117" s="33" t="str">
        <x:v>C</x:v>
      </x:c>
      <x:c r="F117" s="33" t="str">
        <x:v>LF-R5</x:v>
      </x:c>
      <x:c r="G117" s="33" t="n">
        <x:v>7</x:v>
      </x:c>
      <x:c r="H117" s="33" t="str">
        <x:v>Thermal safety</x:v>
      </x:c>
      <x:c r="I117" s="33" t="str">
        <x:v>heat-pump and thermal-storage cell</x:v>
      </x:c>
      <x:c r="J117" s="36" t="n">
        <x:v>0</x:v>
      </x:c>
      <x:c r="K117" s="36" t="n">
        <x:v>0</x:v>
      </x:c>
      <x:c r="L117" s="36" t="n">
        <x:v>0</x:v>
      </x:c>
      <x:c r="M117" s="36" t="n">
        <x:v>0</x:v>
      </x:c>
      <x:c r="N117" s="36" t="n">
        <x:v>0</x:v>
      </x:c>
      <x:c r="O117" s="36" t="n">
        <x:v>10</x:v>
      </x:c>
      <x:c r="P117" s="36" t="n">
        <x:v>0</x:v>
      </x:c>
      <x:c r="Q117" s="36" t="n">
        <x:v>0</x:v>
      </x:c>
      <x:c r="R117" s="36" t="n">
        <x:v>0</x:v>
      </x:c>
      <x:c r="S117" s="36" t="str">
        <x:v>FROZEN TARGET</x:v>
      </x:c>
      <x:c r="T117" s="33" t="str">
        <x:v>OPEN</x:v>
      </x:c>
      <x:c r="U117" s="33" t="n">
        <x:v>0</x:v>
      </x:c>
      <x:c r="V117" t="n">
        <x:f>COUNTIFS($C$5:$C$156,C117)</x:f>
        <x:v>1</x:v>
      </x:c>
    </x:row>
    <x:row r="118" ht="34" customHeight="1">
      <x:c r="C118" s="33" t="str">
        <x:v>LF-C-R5-P08</x:v>
      </x:c>
      <x:c r="D118" s="33" t="str">
        <x:v>LF-C-CF1</x:v>
      </x:c>
      <x:c r="E118" s="33" t="str">
        <x:v>C</x:v>
      </x:c>
      <x:c r="F118" s="33" t="str">
        <x:v>LF-R5</x:v>
      </x:c>
      <x:c r="G118" s="33" t="n">
        <x:v>8</x:v>
      </x:c>
      <x:c r="H118" s="33" t="str">
        <x:v>Thermal safety</x:v>
      </x:c>
      <x:c r="I118" s="33" t="str">
        <x:v>heat-pump and thermal-storage cell</x:v>
      </x:c>
      <x:c r="J118" s="36" t="n">
        <x:v>0</x:v>
      </x:c>
      <x:c r="K118" s="36" t="n">
        <x:v>0</x:v>
      </x:c>
      <x:c r="L118" s="36" t="n">
        <x:v>0</x:v>
      </x:c>
      <x:c r="M118" s="36" t="n">
        <x:v>0</x:v>
      </x:c>
      <x:c r="N118" s="36" t="n">
        <x:v>0</x:v>
      </x:c>
      <x:c r="O118" s="36" t="n">
        <x:v>10</x:v>
      </x:c>
      <x:c r="P118" s="36" t="n">
        <x:v>0</x:v>
      </x:c>
      <x:c r="Q118" s="36" t="n">
        <x:v>0</x:v>
      </x:c>
      <x:c r="R118" s="36" t="n">
        <x:v>0</x:v>
      </x:c>
      <x:c r="S118" s="36" t="str">
        <x:v>FROZEN TARGET</x:v>
      </x:c>
      <x:c r="T118" s="33" t="str">
        <x:v>OPEN</x:v>
      </x:c>
      <x:c r="U118" s="33" t="n">
        <x:v>0</x:v>
      </x:c>
      <x:c r="V118" t="n">
        <x:f>COUNTIFS($C$5:$C$156,C118)</x:f>
        <x:v>1</x:v>
      </x:c>
    </x:row>
    <x:row r="119" ht="34" customHeight="1">
      <x:c r="C119" s="33" t="str">
        <x:v>LF-D-R1-P01</x:v>
      </x:c>
      <x:c r="D119" s="33" t="str">
        <x:v>LF-D-CF1</x:v>
      </x:c>
      <x:c r="E119" s="33" t="str">
        <x:v>D</x:v>
      </x:c>
      <x:c r="F119" s="33" t="str">
        <x:v>LF-R1</x:v>
      </x:c>
      <x:c r="G119" s="33" t="n">
        <x:v>1</x:v>
      </x:c>
      <x:c r="H119" s="33" t="str">
        <x:v>Strategic and maritime production</x:v>
      </x:c>
      <x:c r="I119" s="33" t="str">
        <x:v>ammonia-hydrogen fuel-cell and turbine source fleet</x:v>
      </x:c>
      <x:c r="J119" s="36" t="n">
        <x:v>25000</x:v>
      </x:c>
      <x:c r="K119" s="36" t="n">
        <x:v>0</x:v>
      </x:c>
      <x:c r="L119" s="36" t="n">
        <x:v>0</x:v>
      </x:c>
      <x:c r="M119" s="36" t="n">
        <x:v>25</x:v>
      </x:c>
      <x:c r="N119" s="36" t="n">
        <x:v>0</x:v>
      </x:c>
      <x:c r="O119" s="36" t="n">
        <x:v>20</x:v>
      </x:c>
      <x:c r="P119" s="36" t="n">
        <x:v>0</x:v>
      </x:c>
      <x:c r="Q119" s="36" t="n">
        <x:v>0</x:v>
      </x:c>
      <x:c r="R119" s="36" t="n">
        <x:v>0</x:v>
      </x:c>
      <x:c r="S119" s="36" t="str">
        <x:v>FROZEN TARGET</x:v>
      </x:c>
      <x:c r="T119" s="33" t="str">
        <x:v>OPEN</x:v>
      </x:c>
      <x:c r="U119" s="33" t="n">
        <x:v>0</x:v>
      </x:c>
      <x:c r="V119" t="n">
        <x:f>COUNTIFS($C$5:$C$156,C119)</x:f>
        <x:v>1</x:v>
      </x:c>
    </x:row>
    <x:row r="120" ht="34" customHeight="1">
      <x:c r="C120" s="33" t="str">
        <x:v>LF-D-R1-P02</x:v>
      </x:c>
      <x:c r="D120" s="33" t="str">
        <x:v>LF-D-CF1</x:v>
      </x:c>
      <x:c r="E120" s="33" t="str">
        <x:v>D</x:v>
      </x:c>
      <x:c r="F120" s="33" t="str">
        <x:v>LF-R1</x:v>
      </x:c>
      <x:c r="G120" s="33" t="n">
        <x:v>2</x:v>
      </x:c>
      <x:c r="H120" s="33" t="str">
        <x:v>Strategic and maritime production</x:v>
      </x:c>
      <x:c r="I120" s="33" t="str">
        <x:v>ammonia-hydrogen fuel-cell and turbine source fleet</x:v>
      </x:c>
      <x:c r="J120" s="36" t="n">
        <x:v>25000</x:v>
      </x:c>
      <x:c r="K120" s="36" t="n">
        <x:v>0</x:v>
      </x:c>
      <x:c r="L120" s="36" t="n">
        <x:v>0</x:v>
      </x:c>
      <x:c r="M120" s="36" t="n">
        <x:v>25</x:v>
      </x:c>
      <x:c r="N120" s="36" t="n">
        <x:v>0</x:v>
      </x:c>
      <x:c r="O120" s="36" t="n">
        <x:v>20</x:v>
      </x:c>
      <x:c r="P120" s="36" t="n">
        <x:v>0</x:v>
      </x:c>
      <x:c r="Q120" s="36" t="n">
        <x:v>0</x:v>
      </x:c>
      <x:c r="R120" s="36" t="n">
        <x:v>0</x:v>
      </x:c>
      <x:c r="S120" s="36" t="str">
        <x:v>FROZEN TARGET</x:v>
      </x:c>
      <x:c r="T120" s="33" t="str">
        <x:v>OPEN</x:v>
      </x:c>
      <x:c r="U120" s="33" t="n">
        <x:v>0</x:v>
      </x:c>
      <x:c r="V120" t="n">
        <x:f>COUNTIFS($C$5:$C$156,C120)</x:f>
        <x:v>1</x:v>
      </x:c>
    </x:row>
    <x:row r="121" ht="34" customHeight="1">
      <x:c r="C121" s="33" t="str">
        <x:v>LF-D-R1-P03</x:v>
      </x:c>
      <x:c r="D121" s="33" t="str">
        <x:v>LF-D-CF1</x:v>
      </x:c>
      <x:c r="E121" s="33" t="str">
        <x:v>D</x:v>
      </x:c>
      <x:c r="F121" s="33" t="str">
        <x:v>LF-R1</x:v>
      </x:c>
      <x:c r="G121" s="33" t="n">
        <x:v>3</x:v>
      </x:c>
      <x:c r="H121" s="33" t="str">
        <x:v>Strategic and maritime production</x:v>
      </x:c>
      <x:c r="I121" s="33" t="str">
        <x:v>ammonia-hydrogen fuel-cell and turbine source fleet</x:v>
      </x:c>
      <x:c r="J121" s="36" t="n">
        <x:v>25000</x:v>
      </x:c>
      <x:c r="K121" s="36" t="n">
        <x:v>0</x:v>
      </x:c>
      <x:c r="L121" s="36" t="n">
        <x:v>0</x:v>
      </x:c>
      <x:c r="M121" s="36" t="n">
        <x:v>25</x:v>
      </x:c>
      <x:c r="N121" s="36" t="n">
        <x:v>0</x:v>
      </x:c>
      <x:c r="O121" s="36" t="n">
        <x:v>20</x:v>
      </x:c>
      <x:c r="P121" s="36" t="n">
        <x:v>0</x:v>
      </x:c>
      <x:c r="Q121" s="36" t="n">
        <x:v>0</x:v>
      </x:c>
      <x:c r="R121" s="36" t="n">
        <x:v>0</x:v>
      </x:c>
      <x:c r="S121" s="36" t="str">
        <x:v>FROZEN TARGET</x:v>
      </x:c>
      <x:c r="T121" s="33" t="str">
        <x:v>OPEN</x:v>
      </x:c>
      <x:c r="U121" s="33" t="n">
        <x:v>0</x:v>
      </x:c>
      <x:c r="V121" t="n">
        <x:f>COUNTIFS($C$5:$C$156,C121)</x:f>
        <x:v>1</x:v>
      </x:c>
    </x:row>
    <x:row r="122" ht="34" customHeight="1">
      <x:c r="C122" s="33" t="str">
        <x:v>LF-D-R1-P04</x:v>
      </x:c>
      <x:c r="D122" s="33" t="str">
        <x:v>LF-D-CF1</x:v>
      </x:c>
      <x:c r="E122" s="33" t="str">
        <x:v>D</x:v>
      </x:c>
      <x:c r="F122" s="33" t="str">
        <x:v>LF-R1</x:v>
      </x:c>
      <x:c r="G122" s="33" t="n">
        <x:v>4</x:v>
      </x:c>
      <x:c r="H122" s="33" t="str">
        <x:v>Strategic and maritime production</x:v>
      </x:c>
      <x:c r="I122" s="33" t="str">
        <x:v>ammonia-hydrogen fuel-cell and turbine source fleet</x:v>
      </x:c>
      <x:c r="J122" s="36" t="n">
        <x:v>25000</x:v>
      </x:c>
      <x:c r="K122" s="36" t="n">
        <x:v>0</x:v>
      </x:c>
      <x:c r="L122" s="36" t="n">
        <x:v>0</x:v>
      </x:c>
      <x:c r="M122" s="36" t="n">
        <x:v>25</x:v>
      </x:c>
      <x:c r="N122" s="36" t="n">
        <x:v>0</x:v>
      </x:c>
      <x:c r="O122" s="36" t="n">
        <x:v>20</x:v>
      </x:c>
      <x:c r="P122" s="36" t="n">
        <x:v>0</x:v>
      </x:c>
      <x:c r="Q122" s="36" t="n">
        <x:v>0</x:v>
      </x:c>
      <x:c r="R122" s="36" t="n">
        <x:v>0</x:v>
      </x:c>
      <x:c r="S122" s="36" t="str">
        <x:v>FROZEN TARGET</x:v>
      </x:c>
      <x:c r="T122" s="33" t="str">
        <x:v>OPEN</x:v>
      </x:c>
      <x:c r="U122" s="33" t="n">
        <x:v>0</x:v>
      </x:c>
      <x:c r="V122" t="n">
        <x:f>COUNTIFS($C$5:$C$156,C122)</x:f>
        <x:v>1</x:v>
      </x:c>
    </x:row>
    <x:row r="123" ht="34" customHeight="1">
      <x:c r="C123" s="33" t="str">
        <x:v>LF-D-R2-P01</x:v>
      </x:c>
      <x:c r="D123" s="33" t="str">
        <x:v>LF-D-CF1</x:v>
      </x:c>
      <x:c r="E123" s="33" t="str">
        <x:v>D</x:v>
      </x:c>
      <x:c r="F123" s="33" t="str">
        <x:v>LF-R2</x:v>
      </x:c>
      <x:c r="G123" s="33" t="n">
        <x:v>1</x:v>
      </x:c>
      <x:c r="H123" s="33" t="str">
        <x:v>Water and wastewater at point of use</x:v>
      </x:c>
      <x:c r="I123" s="33" t="str">
        <x:v>adaptive membrane-biological water group and surface corridor</x:v>
      </x:c>
      <x:c r="J123" s="36" t="n">
        <x:v>0</x:v>
      </x:c>
      <x:c r="K123" s="36" t="n">
        <x:v>12500</x:v>
      </x:c>
      <x:c r="L123" s="36" t="n">
        <x:v>10000</x:v>
      </x:c>
      <x:c r="M123" s="36" t="n">
        <x:v>0</x:v>
      </x:c>
      <x:c r="N123" s="36" t="n">
        <x:v>0</x:v>
      </x:c>
      <x:c r="O123" s="36" t="n">
        <x:v>0</x:v>
      </x:c>
      <x:c r="P123" s="36" t="n">
        <x:v>12500</x:v>
      </x:c>
      <x:c r="Q123" s="36" t="n">
        <x:v>30</x:v>
      </x:c>
      <x:c r="R123" s="36" t="n">
        <x:v>0</x:v>
      </x:c>
      <x:c r="S123" s="36" t="str">
        <x:v>FROZEN TARGET</x:v>
      </x:c>
      <x:c r="T123" s="33" t="str">
        <x:v>OPEN</x:v>
      </x:c>
      <x:c r="U123" s="33" t="n">
        <x:v>0</x:v>
      </x:c>
      <x:c r="V123" t="n">
        <x:f>COUNTIFS($C$5:$C$156,C123)</x:f>
        <x:v>1</x:v>
      </x:c>
    </x:row>
    <x:row r="124" ht="34" customHeight="1">
      <x:c r="C124" s="33" t="str">
        <x:v>LF-D-R2-P02</x:v>
      </x:c>
      <x:c r="D124" s="33" t="str">
        <x:v>LF-D-CF1</x:v>
      </x:c>
      <x:c r="E124" s="33" t="str">
        <x:v>D</x:v>
      </x:c>
      <x:c r="F124" s="33" t="str">
        <x:v>LF-R2</x:v>
      </x:c>
      <x:c r="G124" s="33" t="n">
        <x:v>2</x:v>
      </x:c>
      <x:c r="H124" s="33" t="str">
        <x:v>Water and wastewater at point of use</x:v>
      </x:c>
      <x:c r="I124" s="33" t="str">
        <x:v>adaptive membrane-biological water group and surface corridor</x:v>
      </x:c>
      <x:c r="J124" s="36" t="n">
        <x:v>0</x:v>
      </x:c>
      <x:c r="K124" s="36" t="n">
        <x:v>12500</x:v>
      </x:c>
      <x:c r="L124" s="36" t="n">
        <x:v>10000</x:v>
      </x:c>
      <x:c r="M124" s="36" t="n">
        <x:v>0</x:v>
      </x:c>
      <x:c r="N124" s="36" t="n">
        <x:v>0</x:v>
      </x:c>
      <x:c r="O124" s="36" t="n">
        <x:v>0</x:v>
      </x:c>
      <x:c r="P124" s="36" t="n">
        <x:v>12500</x:v>
      </x:c>
      <x:c r="Q124" s="36" t="n">
        <x:v>30</x:v>
      </x:c>
      <x:c r="R124" s="36" t="n">
        <x:v>0</x:v>
      </x:c>
      <x:c r="S124" s="36" t="str">
        <x:v>FROZEN TARGET</x:v>
      </x:c>
      <x:c r="T124" s="33" t="str">
        <x:v>OPEN</x:v>
      </x:c>
      <x:c r="U124" s="33" t="n">
        <x:v>0</x:v>
      </x:c>
      <x:c r="V124" t="n">
        <x:f>COUNTIFS($C$5:$C$156,C124)</x:f>
        <x:v>1</x:v>
      </x:c>
    </x:row>
    <x:row r="125" ht="34" customHeight="1">
      <x:c r="C125" s="33" t="str">
        <x:v>LF-D-R2-P03</x:v>
      </x:c>
      <x:c r="D125" s="33" t="str">
        <x:v>LF-D-CF1</x:v>
      </x:c>
      <x:c r="E125" s="33" t="str">
        <x:v>D</x:v>
      </x:c>
      <x:c r="F125" s="33" t="str">
        <x:v>LF-R2</x:v>
      </x:c>
      <x:c r="G125" s="33" t="n">
        <x:v>3</x:v>
      </x:c>
      <x:c r="H125" s="33" t="str">
        <x:v>Water and wastewater at point of use</x:v>
      </x:c>
      <x:c r="I125" s="33" t="str">
        <x:v>adaptive membrane-biological water group and surface corridor</x:v>
      </x:c>
      <x:c r="J125" s="36" t="n">
        <x:v>0</x:v>
      </x:c>
      <x:c r="K125" s="36" t="n">
        <x:v>12500</x:v>
      </x:c>
      <x:c r="L125" s="36" t="n">
        <x:v>10000</x:v>
      </x:c>
      <x:c r="M125" s="36" t="n">
        <x:v>0</x:v>
      </x:c>
      <x:c r="N125" s="36" t="n">
        <x:v>0</x:v>
      </x:c>
      <x:c r="O125" s="36" t="n">
        <x:v>0</x:v>
      </x:c>
      <x:c r="P125" s="36" t="n">
        <x:v>12500</x:v>
      </x:c>
      <x:c r="Q125" s="36" t="n">
        <x:v>30</x:v>
      </x:c>
      <x:c r="R125" s="36" t="n">
        <x:v>0</x:v>
      </x:c>
      <x:c r="S125" s="36" t="str">
        <x:v>FROZEN TARGET</x:v>
      </x:c>
      <x:c r="T125" s="33" t="str">
        <x:v>OPEN</x:v>
      </x:c>
      <x:c r="U125" s="33" t="n">
        <x:v>0</x:v>
      </x:c>
      <x:c r="V125" t="n">
        <x:f>COUNTIFS($C$5:$C$156,C125)</x:f>
        <x:v>1</x:v>
      </x:c>
    </x:row>
    <x:row r="126" ht="34" customHeight="1">
      <x:c r="C126" s="33" t="str">
        <x:v>LF-D-R2-P04</x:v>
      </x:c>
      <x:c r="D126" s="33" t="str">
        <x:v>LF-D-CF1</x:v>
      </x:c>
      <x:c r="E126" s="33" t="str">
        <x:v>D</x:v>
      </x:c>
      <x:c r="F126" s="33" t="str">
        <x:v>LF-R2</x:v>
      </x:c>
      <x:c r="G126" s="33" t="n">
        <x:v>4</x:v>
      </x:c>
      <x:c r="H126" s="33" t="str">
        <x:v>Water and wastewater at point of use</x:v>
      </x:c>
      <x:c r="I126" s="33" t="str">
        <x:v>adaptive membrane-biological water group and surface corridor</x:v>
      </x:c>
      <x:c r="J126" s="36" t="n">
        <x:v>0</x:v>
      </x:c>
      <x:c r="K126" s="36" t="n">
        <x:v>12500</x:v>
      </x:c>
      <x:c r="L126" s="36" t="n">
        <x:v>10000</x:v>
      </x:c>
      <x:c r="M126" s="36" t="n">
        <x:v>0</x:v>
      </x:c>
      <x:c r="N126" s="36" t="n">
        <x:v>0</x:v>
      </x:c>
      <x:c r="O126" s="36" t="n">
        <x:v>0</x:v>
      </x:c>
      <x:c r="P126" s="36" t="n">
        <x:v>12500</x:v>
      </x:c>
      <x:c r="Q126" s="36" t="n">
        <x:v>30</x:v>
      </x:c>
      <x:c r="R126" s="36" t="n">
        <x:v>0</x:v>
      </x:c>
      <x:c r="S126" s="36" t="str">
        <x:v>FROZEN TARGET</x:v>
      </x:c>
      <x:c r="T126" s="33" t="str">
        <x:v>OPEN</x:v>
      </x:c>
      <x:c r="U126" s="33" t="n">
        <x:v>0</x:v>
      </x:c>
      <x:c r="V126" t="n">
        <x:f>COUNTIFS($C$5:$C$156,C126)</x:f>
        <x:v>1</x:v>
      </x:c>
    </x:row>
    <x:row r="127" ht="34" customHeight="1">
      <x:c r="C127" s="33" t="str">
        <x:v>LF-D-R2-P05</x:v>
      </x:c>
      <x:c r="D127" s="33" t="str">
        <x:v>LF-D-CF1</x:v>
      </x:c>
      <x:c r="E127" s="33" t="str">
        <x:v>D</x:v>
      </x:c>
      <x:c r="F127" s="33" t="str">
        <x:v>LF-R2</x:v>
      </x:c>
      <x:c r="G127" s="33" t="n">
        <x:v>5</x:v>
      </x:c>
      <x:c r="H127" s="33" t="str">
        <x:v>Water and wastewater at point of use</x:v>
      </x:c>
      <x:c r="I127" s="33" t="str">
        <x:v>adaptive membrane-biological water group and surface corridor</x:v>
      </x:c>
      <x:c r="J127" s="36" t="n">
        <x:v>0</x:v>
      </x:c>
      <x:c r="K127" s="36" t="n">
        <x:v>12500</x:v>
      </x:c>
      <x:c r="L127" s="36" t="n">
        <x:v>10000</x:v>
      </x:c>
      <x:c r="M127" s="36" t="n">
        <x:v>0</x:v>
      </x:c>
      <x:c r="N127" s="36" t="n">
        <x:v>0</x:v>
      </x:c>
      <x:c r="O127" s="36" t="n">
        <x:v>0</x:v>
      </x:c>
      <x:c r="P127" s="36" t="n">
        <x:v>12500</x:v>
      </x:c>
      <x:c r="Q127" s="36" t="n">
        <x:v>30</x:v>
      </x:c>
      <x:c r="R127" s="36" t="n">
        <x:v>0</x:v>
      </x:c>
      <x:c r="S127" s="36" t="str">
        <x:v>FROZEN TARGET</x:v>
      </x:c>
      <x:c r="T127" s="33" t="str">
        <x:v>OPEN</x:v>
      </x:c>
      <x:c r="U127" s="33" t="n">
        <x:v>0</x:v>
      </x:c>
      <x:c r="V127" t="n">
        <x:f>COUNTIFS($C$5:$C$156,C127)</x:f>
        <x:v>1</x:v>
      </x:c>
    </x:row>
    <x:row r="128" ht="34" customHeight="1">
      <x:c r="C128" s="33" t="str">
        <x:v>LF-D-R2-P06</x:v>
      </x:c>
      <x:c r="D128" s="33" t="str">
        <x:v>LF-D-CF1</x:v>
      </x:c>
      <x:c r="E128" s="33" t="str">
        <x:v>D</x:v>
      </x:c>
      <x:c r="F128" s="33" t="str">
        <x:v>LF-R2</x:v>
      </x:c>
      <x:c r="G128" s="33" t="n">
        <x:v>6</x:v>
      </x:c>
      <x:c r="H128" s="33" t="str">
        <x:v>Water and wastewater at point of use</x:v>
      </x:c>
      <x:c r="I128" s="33" t="str">
        <x:v>adaptive membrane-biological water group and surface corridor</x:v>
      </x:c>
      <x:c r="J128" s="36" t="n">
        <x:v>0</x:v>
      </x:c>
      <x:c r="K128" s="36" t="n">
        <x:v>12500</x:v>
      </x:c>
      <x:c r="L128" s="36" t="n">
        <x:v>10000</x:v>
      </x:c>
      <x:c r="M128" s="36" t="n">
        <x:v>0</x:v>
      </x:c>
      <x:c r="N128" s="36" t="n">
        <x:v>0</x:v>
      </x:c>
      <x:c r="O128" s="36" t="n">
        <x:v>0</x:v>
      </x:c>
      <x:c r="P128" s="36" t="n">
        <x:v>12500</x:v>
      </x:c>
      <x:c r="Q128" s="36" t="n">
        <x:v>30</x:v>
      </x:c>
      <x:c r="R128" s="36" t="n">
        <x:v>0</x:v>
      </x:c>
      <x:c r="S128" s="36" t="str">
        <x:v>FROZEN TARGET</x:v>
      </x:c>
      <x:c r="T128" s="33" t="str">
        <x:v>OPEN</x:v>
      </x:c>
      <x:c r="U128" s="33" t="n">
        <x:v>0</x:v>
      </x:c>
      <x:c r="V128" t="n">
        <x:f>COUNTIFS($C$5:$C$156,C128)</x:f>
        <x:v>1</x:v>
      </x:c>
    </x:row>
    <x:row r="129" ht="34" customHeight="1">
      <x:c r="C129" s="33" t="str">
        <x:v>LF-D-R2-P07</x:v>
      </x:c>
      <x:c r="D129" s="33" t="str">
        <x:v>LF-D-CF1</x:v>
      </x:c>
      <x:c r="E129" s="33" t="str">
        <x:v>D</x:v>
      </x:c>
      <x:c r="F129" s="33" t="str">
        <x:v>LF-R2</x:v>
      </x:c>
      <x:c r="G129" s="33" t="n">
        <x:v>7</x:v>
      </x:c>
      <x:c r="H129" s="33" t="str">
        <x:v>Water and wastewater at point of use</x:v>
      </x:c>
      <x:c r="I129" s="33" t="str">
        <x:v>adaptive membrane-biological water group and surface corridor</x:v>
      </x:c>
      <x:c r="J129" s="36" t="n">
        <x:v>0</x:v>
      </x:c>
      <x:c r="K129" s="36" t="n">
        <x:v>12500</x:v>
      </x:c>
      <x:c r="L129" s="36" t="n">
        <x:v>10000</x:v>
      </x:c>
      <x:c r="M129" s="36" t="n">
        <x:v>0</x:v>
      </x:c>
      <x:c r="N129" s="36" t="n">
        <x:v>0</x:v>
      </x:c>
      <x:c r="O129" s="36" t="n">
        <x:v>0</x:v>
      </x:c>
      <x:c r="P129" s="36" t="n">
        <x:v>12500</x:v>
      </x:c>
      <x:c r="Q129" s="36" t="n">
        <x:v>30</x:v>
      </x:c>
      <x:c r="R129" s="36" t="n">
        <x:v>0</x:v>
      </x:c>
      <x:c r="S129" s="36" t="str">
        <x:v>FROZEN TARGET</x:v>
      </x:c>
      <x:c r="T129" s="33" t="str">
        <x:v>OPEN</x:v>
      </x:c>
      <x:c r="U129" s="33" t="n">
        <x:v>0</x:v>
      </x:c>
      <x:c r="V129" t="n">
        <x:f>COUNTIFS($C$5:$C$156,C129)</x:f>
        <x:v>1</x:v>
      </x:c>
    </x:row>
    <x:row r="130" ht="34" customHeight="1">
      <x:c r="C130" s="33" t="str">
        <x:v>LF-D-R2-P08</x:v>
      </x:c>
      <x:c r="D130" s="33" t="str">
        <x:v>LF-D-CF1</x:v>
      </x:c>
      <x:c r="E130" s="33" t="str">
        <x:v>D</x:v>
      </x:c>
      <x:c r="F130" s="33" t="str">
        <x:v>LF-R2</x:v>
      </x:c>
      <x:c r="G130" s="33" t="n">
        <x:v>8</x:v>
      </x:c>
      <x:c r="H130" s="33" t="str">
        <x:v>Water and wastewater at point of use</x:v>
      </x:c>
      <x:c r="I130" s="33" t="str">
        <x:v>adaptive membrane-biological water group and surface corridor</x:v>
      </x:c>
      <x:c r="J130" s="36" t="n">
        <x:v>0</x:v>
      </x:c>
      <x:c r="K130" s="36" t="n">
        <x:v>12500</x:v>
      </x:c>
      <x:c r="L130" s="36" t="n">
        <x:v>10000</x:v>
      </x:c>
      <x:c r="M130" s="36" t="n">
        <x:v>0</x:v>
      </x:c>
      <x:c r="N130" s="36" t="n">
        <x:v>0</x:v>
      </x:c>
      <x:c r="O130" s="36" t="n">
        <x:v>0</x:v>
      </x:c>
      <x:c r="P130" s="36" t="n">
        <x:v>12500</x:v>
      </x:c>
      <x:c r="Q130" s="36" t="n">
        <x:v>30</x:v>
      </x:c>
      <x:c r="R130" s="36" t="n">
        <x:v>0</x:v>
      </x:c>
      <x:c r="S130" s="36" t="str">
        <x:v>FROZEN TARGET</x:v>
      </x:c>
      <x:c r="T130" s="33" t="str">
        <x:v>OPEN</x:v>
      </x:c>
      <x:c r="U130" s="33" t="n">
        <x:v>0</x:v>
      </x:c>
      <x:c r="V130" t="n">
        <x:f>COUNTIFS($C$5:$C$156,C130)</x:f>
        <x:v>1</x:v>
      </x:c>
    </x:row>
    <x:row r="131" ht="34" customHeight="1">
      <x:c r="C131" s="33" t="str">
        <x:v>LF-D-R3-P01</x:v>
      </x:c>
      <x:c r="D131" s="33" t="str">
        <x:v>LF-D-CF1</x:v>
      </x:c>
      <x:c r="E131" s="33" t="str">
        <x:v>D</x:v>
      </x:c>
      <x:c r="F131" s="33" t="str">
        <x:v>LF-R3</x:v>
      </x:c>
      <x:c r="G131" s="33" t="n">
        <x:v>1</x:v>
      </x:c>
      <x:c r="H131" s="33" t="str">
        <x:v>Local power</x:v>
      </x:c>
      <x:c r="I131" s="33" t="str">
        <x:v>hybrid local grid cell with fuel-local black start</x:v>
      </x:c>
      <x:c r="J131" s="36" t="n">
        <x:v>0</x:v>
      </x:c>
      <x:c r="K131" s="36" t="n">
        <x:v>0</x:v>
      </x:c>
      <x:c r="L131" s="36" t="n">
        <x:v>0</x:v>
      </x:c>
      <x:c r="M131" s="36" t="n">
        <x:v>10</x:v>
      </x:c>
      <x:c r="N131" s="36" t="n">
        <x:v>15</x:v>
      </x:c>
      <x:c r="O131" s="36" t="n">
        <x:v>0</x:v>
      </x:c>
      <x:c r="P131" s="36" t="n">
        <x:v>0</x:v>
      </x:c>
      <x:c r="Q131" s="36" t="n">
        <x:v>0</x:v>
      </x:c>
      <x:c r="R131" s="36" t="n">
        <x:v>20</x:v>
      </x:c>
      <x:c r="S131" s="36" t="str">
        <x:v>FROZEN TARGET</x:v>
      </x:c>
      <x:c r="T131" s="33" t="str">
        <x:v>OPEN</x:v>
      </x:c>
      <x:c r="U131" s="33" t="n">
        <x:v>0</x:v>
      </x:c>
      <x:c r="V131" t="n">
        <x:f>COUNTIFS($C$5:$C$156,C131)</x:f>
        <x:v>1</x:v>
      </x:c>
    </x:row>
    <x:row r="132" ht="34" customHeight="1">
      <x:c r="C132" s="33" t="str">
        <x:v>LF-D-R3-P02</x:v>
      </x:c>
      <x:c r="D132" s="33" t="str">
        <x:v>LF-D-CF1</x:v>
      </x:c>
      <x:c r="E132" s="33" t="str">
        <x:v>D</x:v>
      </x:c>
      <x:c r="F132" s="33" t="str">
        <x:v>LF-R3</x:v>
      </x:c>
      <x:c r="G132" s="33" t="n">
        <x:v>2</x:v>
      </x:c>
      <x:c r="H132" s="33" t="str">
        <x:v>Local power</x:v>
      </x:c>
      <x:c r="I132" s="33" t="str">
        <x:v>hybrid local grid cell with fuel-local black start</x:v>
      </x:c>
      <x:c r="J132" s="36" t="n">
        <x:v>0</x:v>
      </x:c>
      <x:c r="K132" s="36" t="n">
        <x:v>0</x:v>
      </x:c>
      <x:c r="L132" s="36" t="n">
        <x:v>0</x:v>
      </x:c>
      <x:c r="M132" s="36" t="n">
        <x:v>10</x:v>
      </x:c>
      <x:c r="N132" s="36" t="n">
        <x:v>15</x:v>
      </x:c>
      <x:c r="O132" s="36" t="n">
        <x:v>0</x:v>
      </x:c>
      <x:c r="P132" s="36" t="n">
        <x:v>0</x:v>
      </x:c>
      <x:c r="Q132" s="36" t="n">
        <x:v>0</x:v>
      </x:c>
      <x:c r="R132" s="36" t="n">
        <x:v>20</x:v>
      </x:c>
      <x:c r="S132" s="36" t="str">
        <x:v>FROZEN TARGET</x:v>
      </x:c>
      <x:c r="T132" s="33" t="str">
        <x:v>OPEN</x:v>
      </x:c>
      <x:c r="U132" s="33" t="n">
        <x:v>0</x:v>
      </x:c>
      <x:c r="V132" t="n">
        <x:f>COUNTIFS($C$5:$C$156,C132)</x:f>
        <x:v>1</x:v>
      </x:c>
    </x:row>
    <x:row r="133" ht="34" customHeight="1">
      <x:c r="C133" s="33" t="str">
        <x:v>LF-D-R3-P03</x:v>
      </x:c>
      <x:c r="D133" s="33" t="str">
        <x:v>LF-D-CF1</x:v>
      </x:c>
      <x:c r="E133" s="33" t="str">
        <x:v>D</x:v>
      </x:c>
      <x:c r="F133" s="33" t="str">
        <x:v>LF-R3</x:v>
      </x:c>
      <x:c r="G133" s="33" t="n">
        <x:v>3</x:v>
      </x:c>
      <x:c r="H133" s="33" t="str">
        <x:v>Local power</x:v>
      </x:c>
      <x:c r="I133" s="33" t="str">
        <x:v>hybrid local grid cell with fuel-local black start</x:v>
      </x:c>
      <x:c r="J133" s="36" t="n">
        <x:v>0</x:v>
      </x:c>
      <x:c r="K133" s="36" t="n">
        <x:v>0</x:v>
      </x:c>
      <x:c r="L133" s="36" t="n">
        <x:v>0</x:v>
      </x:c>
      <x:c r="M133" s="36" t="n">
        <x:v>10</x:v>
      </x:c>
      <x:c r="N133" s="36" t="n">
        <x:v>15</x:v>
      </x:c>
      <x:c r="O133" s="36" t="n">
        <x:v>0</x:v>
      </x:c>
      <x:c r="P133" s="36" t="n">
        <x:v>0</x:v>
      </x:c>
      <x:c r="Q133" s="36" t="n">
        <x:v>0</x:v>
      </x:c>
      <x:c r="R133" s="36" t="n">
        <x:v>20</x:v>
      </x:c>
      <x:c r="S133" s="36" t="str">
        <x:v>FROZEN TARGET</x:v>
      </x:c>
      <x:c r="T133" s="33" t="str">
        <x:v>OPEN</x:v>
      </x:c>
      <x:c r="U133" s="33" t="n">
        <x:v>0</x:v>
      </x:c>
      <x:c r="V133" t="n">
        <x:f>COUNTIFS($C$5:$C$156,C133)</x:f>
        <x:v>1</x:v>
      </x:c>
    </x:row>
    <x:row r="134" ht="34" customHeight="1">
      <x:c r="C134" s="33" t="str">
        <x:v>LF-D-R3-P04</x:v>
      </x:c>
      <x:c r="D134" s="33" t="str">
        <x:v>LF-D-CF1</x:v>
      </x:c>
      <x:c r="E134" s="33" t="str">
        <x:v>D</x:v>
      </x:c>
      <x:c r="F134" s="33" t="str">
        <x:v>LF-R3</x:v>
      </x:c>
      <x:c r="G134" s="33" t="n">
        <x:v>4</x:v>
      </x:c>
      <x:c r="H134" s="33" t="str">
        <x:v>Local power</x:v>
      </x:c>
      <x:c r="I134" s="33" t="str">
        <x:v>hybrid local grid cell with fuel-local black start</x:v>
      </x:c>
      <x:c r="J134" s="36" t="n">
        <x:v>0</x:v>
      </x:c>
      <x:c r="K134" s="36" t="n">
        <x:v>0</x:v>
      </x:c>
      <x:c r="L134" s="36" t="n">
        <x:v>0</x:v>
      </x:c>
      <x:c r="M134" s="36" t="n">
        <x:v>10</x:v>
      </x:c>
      <x:c r="N134" s="36" t="n">
        <x:v>15</x:v>
      </x:c>
      <x:c r="O134" s="36" t="n">
        <x:v>0</x:v>
      </x:c>
      <x:c r="P134" s="36" t="n">
        <x:v>0</x:v>
      </x:c>
      <x:c r="Q134" s="36" t="n">
        <x:v>0</x:v>
      </x:c>
      <x:c r="R134" s="36" t="n">
        <x:v>20</x:v>
      </x:c>
      <x:c r="S134" s="36" t="str">
        <x:v>FROZEN TARGET</x:v>
      </x:c>
      <x:c r="T134" s="33" t="str">
        <x:v>OPEN</x:v>
      </x:c>
      <x:c r="U134" s="33" t="n">
        <x:v>0</x:v>
      </x:c>
      <x:c r="V134" t="n">
        <x:f>COUNTIFS($C$5:$C$156,C134)</x:f>
        <x:v>1</x:v>
      </x:c>
    </x:row>
    <x:row r="135" ht="34" customHeight="1">
      <x:c r="C135" s="33" t="str">
        <x:v>LF-D-R3-P05</x:v>
      </x:c>
      <x:c r="D135" s="33" t="str">
        <x:v>LF-D-CF1</x:v>
      </x:c>
      <x:c r="E135" s="33" t="str">
        <x:v>D</x:v>
      </x:c>
      <x:c r="F135" s="33" t="str">
        <x:v>LF-R3</x:v>
      </x:c>
      <x:c r="G135" s="33" t="n">
        <x:v>5</x:v>
      </x:c>
      <x:c r="H135" s="33" t="str">
        <x:v>Local power</x:v>
      </x:c>
      <x:c r="I135" s="33" t="str">
        <x:v>hybrid local grid cell with fuel-local black start</x:v>
      </x:c>
      <x:c r="J135" s="36" t="n">
        <x:v>0</x:v>
      </x:c>
      <x:c r="K135" s="36" t="n">
        <x:v>0</x:v>
      </x:c>
      <x:c r="L135" s="36" t="n">
        <x:v>0</x:v>
      </x:c>
      <x:c r="M135" s="36" t="n">
        <x:v>10</x:v>
      </x:c>
      <x:c r="N135" s="36" t="n">
        <x:v>15</x:v>
      </x:c>
      <x:c r="O135" s="36" t="n">
        <x:v>0</x:v>
      </x:c>
      <x:c r="P135" s="36" t="n">
        <x:v>0</x:v>
      </x:c>
      <x:c r="Q135" s="36" t="n">
        <x:v>0</x:v>
      </x:c>
      <x:c r="R135" s="36" t="n">
        <x:v>20</x:v>
      </x:c>
      <x:c r="S135" s="36" t="str">
        <x:v>FROZEN TARGET</x:v>
      </x:c>
      <x:c r="T135" s="33" t="str">
        <x:v>OPEN</x:v>
      </x:c>
      <x:c r="U135" s="33" t="n">
        <x:v>0</x:v>
      </x:c>
      <x:c r="V135" t="n">
        <x:f>COUNTIFS($C$5:$C$156,C135)</x:f>
        <x:v>1</x:v>
      </x:c>
    </x:row>
    <x:row r="136" ht="34" customHeight="1">
      <x:c r="C136" s="33" t="str">
        <x:v>LF-D-R3-P06</x:v>
      </x:c>
      <x:c r="D136" s="33" t="str">
        <x:v>LF-D-CF1</x:v>
      </x:c>
      <x:c r="E136" s="33" t="str">
        <x:v>D</x:v>
      </x:c>
      <x:c r="F136" s="33" t="str">
        <x:v>LF-R3</x:v>
      </x:c>
      <x:c r="G136" s="33" t="n">
        <x:v>6</x:v>
      </x:c>
      <x:c r="H136" s="33" t="str">
        <x:v>Local power</x:v>
      </x:c>
      <x:c r="I136" s="33" t="str">
        <x:v>hybrid local grid cell with fuel-local black start</x:v>
      </x:c>
      <x:c r="J136" s="36" t="n">
        <x:v>0</x:v>
      </x:c>
      <x:c r="K136" s="36" t="n">
        <x:v>0</x:v>
      </x:c>
      <x:c r="L136" s="36" t="n">
        <x:v>0</x:v>
      </x:c>
      <x:c r="M136" s="36" t="n">
        <x:v>10</x:v>
      </x:c>
      <x:c r="N136" s="36" t="n">
        <x:v>15</x:v>
      </x:c>
      <x:c r="O136" s="36" t="n">
        <x:v>0</x:v>
      </x:c>
      <x:c r="P136" s="36" t="n">
        <x:v>0</x:v>
      </x:c>
      <x:c r="Q136" s="36" t="n">
        <x:v>0</x:v>
      </x:c>
      <x:c r="R136" s="36" t="n">
        <x:v>20</x:v>
      </x:c>
      <x:c r="S136" s="36" t="str">
        <x:v>FROZEN TARGET</x:v>
      </x:c>
      <x:c r="T136" s="33" t="str">
        <x:v>OPEN</x:v>
      </x:c>
      <x:c r="U136" s="33" t="n">
        <x:v>0</x:v>
      </x:c>
      <x:c r="V136" t="n">
        <x:f>COUNTIFS($C$5:$C$156,C136)</x:f>
        <x:v>1</x:v>
      </x:c>
    </x:row>
    <x:row r="137" ht="34" customHeight="1">
      <x:c r="C137" s="33" t="str">
        <x:v>LF-D-R3-P07</x:v>
      </x:c>
      <x:c r="D137" s="33" t="str">
        <x:v>LF-D-CF1</x:v>
      </x:c>
      <x:c r="E137" s="33" t="str">
        <x:v>D</x:v>
      </x:c>
      <x:c r="F137" s="33" t="str">
        <x:v>LF-R3</x:v>
      </x:c>
      <x:c r="G137" s="33" t="n">
        <x:v>7</x:v>
      </x:c>
      <x:c r="H137" s="33" t="str">
        <x:v>Local power</x:v>
      </x:c>
      <x:c r="I137" s="33" t="str">
        <x:v>hybrid local grid cell with fuel-local black start</x:v>
      </x:c>
      <x:c r="J137" s="36" t="n">
        <x:v>0</x:v>
      </x:c>
      <x:c r="K137" s="36" t="n">
        <x:v>0</x:v>
      </x:c>
      <x:c r="L137" s="36" t="n">
        <x:v>0</x:v>
      </x:c>
      <x:c r="M137" s="36" t="n">
        <x:v>10</x:v>
      </x:c>
      <x:c r="N137" s="36" t="n">
        <x:v>15</x:v>
      </x:c>
      <x:c r="O137" s="36" t="n">
        <x:v>0</x:v>
      </x:c>
      <x:c r="P137" s="36" t="n">
        <x:v>0</x:v>
      </x:c>
      <x:c r="Q137" s="36" t="n">
        <x:v>0</x:v>
      </x:c>
      <x:c r="R137" s="36" t="n">
        <x:v>20</x:v>
      </x:c>
      <x:c r="S137" s="36" t="str">
        <x:v>FROZEN TARGET</x:v>
      </x:c>
      <x:c r="T137" s="33" t="str">
        <x:v>OPEN</x:v>
      </x:c>
      <x:c r="U137" s="33" t="n">
        <x:v>0</x:v>
      </x:c>
      <x:c r="V137" t="n">
        <x:f>COUNTIFS($C$5:$C$156,C137)</x:f>
        <x:v>1</x:v>
      </x:c>
    </x:row>
    <x:row r="138" ht="34" customHeight="1">
      <x:c r="C138" s="33" t="str">
        <x:v>LF-D-R3-P08</x:v>
      </x:c>
      <x:c r="D138" s="33" t="str">
        <x:v>LF-D-CF1</x:v>
      </x:c>
      <x:c r="E138" s="33" t="str">
        <x:v>D</x:v>
      </x:c>
      <x:c r="F138" s="33" t="str">
        <x:v>LF-R3</x:v>
      </x:c>
      <x:c r="G138" s="33" t="n">
        <x:v>8</x:v>
      </x:c>
      <x:c r="H138" s="33" t="str">
        <x:v>Local power</x:v>
      </x:c>
      <x:c r="I138" s="33" t="str">
        <x:v>hybrid local grid cell with fuel-local black start</x:v>
      </x:c>
      <x:c r="J138" s="36" t="n">
        <x:v>0</x:v>
      </x:c>
      <x:c r="K138" s="36" t="n">
        <x:v>0</x:v>
      </x:c>
      <x:c r="L138" s="36" t="n">
        <x:v>0</x:v>
      </x:c>
      <x:c r="M138" s="36" t="n">
        <x:v>10</x:v>
      </x:c>
      <x:c r="N138" s="36" t="n">
        <x:v>15</x:v>
      </x:c>
      <x:c r="O138" s="36" t="n">
        <x:v>0</x:v>
      </x:c>
      <x:c r="P138" s="36" t="n">
        <x:v>0</x:v>
      </x:c>
      <x:c r="Q138" s="36" t="n">
        <x:v>0</x:v>
      </x:c>
      <x:c r="R138" s="36" t="n">
        <x:v>20</x:v>
      </x:c>
      <x:c r="S138" s="36" t="str">
        <x:v>FROZEN TARGET</x:v>
      </x:c>
      <x:c r="T138" s="33" t="str">
        <x:v>OPEN</x:v>
      </x:c>
      <x:c r="U138" s="33" t="n">
        <x:v>0</x:v>
      </x:c>
      <x:c r="V138" t="n">
        <x:f>COUNTIFS($C$5:$C$156,C138)</x:f>
        <x:v>1</x:v>
      </x:c>
    </x:row>
    <x:row r="139" ht="34" customHeight="1">
      <x:c r="C139" s="33" t="str">
        <x:v>LF-D-R3-P09</x:v>
      </x:c>
      <x:c r="D139" s="33" t="str">
        <x:v>LF-D-CF1</x:v>
      </x:c>
      <x:c r="E139" s="33" t="str">
        <x:v>D</x:v>
      </x:c>
      <x:c r="F139" s="33" t="str">
        <x:v>LF-R3</x:v>
      </x:c>
      <x:c r="G139" s="33" t="n">
        <x:v>9</x:v>
      </x:c>
      <x:c r="H139" s="33" t="str">
        <x:v>Local power</x:v>
      </x:c>
      <x:c r="I139" s="33" t="str">
        <x:v>hybrid local grid cell with fuel-local black start</x:v>
      </x:c>
      <x:c r="J139" s="36" t="n">
        <x:v>0</x:v>
      </x:c>
      <x:c r="K139" s="36" t="n">
        <x:v>0</x:v>
      </x:c>
      <x:c r="L139" s="36" t="n">
        <x:v>0</x:v>
      </x:c>
      <x:c r="M139" s="36" t="n">
        <x:v>10</x:v>
      </x:c>
      <x:c r="N139" s="36" t="n">
        <x:v>15</x:v>
      </x:c>
      <x:c r="O139" s="36" t="n">
        <x:v>0</x:v>
      </x:c>
      <x:c r="P139" s="36" t="n">
        <x:v>0</x:v>
      </x:c>
      <x:c r="Q139" s="36" t="n">
        <x:v>0</x:v>
      </x:c>
      <x:c r="R139" s="36" t="n">
        <x:v>20</x:v>
      </x:c>
      <x:c r="S139" s="36" t="str">
        <x:v>FROZEN TARGET</x:v>
      </x:c>
      <x:c r="T139" s="33" t="str">
        <x:v>OPEN</x:v>
      </x:c>
      <x:c r="U139" s="33" t="n">
        <x:v>0</x:v>
      </x:c>
      <x:c r="V139" t="n">
        <x:f>COUNTIFS($C$5:$C$156,C139)</x:f>
        <x:v>1</x:v>
      </x:c>
    </x:row>
    <x:row r="140" ht="34" customHeight="1">
      <x:c r="C140" s="33" t="str">
        <x:v>LF-D-R3-P10</x:v>
      </x:c>
      <x:c r="D140" s="33" t="str">
        <x:v>LF-D-CF1</x:v>
      </x:c>
      <x:c r="E140" s="33" t="str">
        <x:v>D</x:v>
      </x:c>
      <x:c r="F140" s="33" t="str">
        <x:v>LF-R3</x:v>
      </x:c>
      <x:c r="G140" s="33" t="n">
        <x:v>10</x:v>
      </x:c>
      <x:c r="H140" s="33" t="str">
        <x:v>Local power</x:v>
      </x:c>
      <x:c r="I140" s="33" t="str">
        <x:v>hybrid local grid cell with fuel-local black start</x:v>
      </x:c>
      <x:c r="J140" s="36" t="n">
        <x:v>0</x:v>
      </x:c>
      <x:c r="K140" s="36" t="n">
        <x:v>0</x:v>
      </x:c>
      <x:c r="L140" s="36" t="n">
        <x:v>0</x:v>
      </x:c>
      <x:c r="M140" s="36" t="n">
        <x:v>10</x:v>
      </x:c>
      <x:c r="N140" s="36" t="n">
        <x:v>15</x:v>
      </x:c>
      <x:c r="O140" s="36" t="n">
        <x:v>0</x:v>
      </x:c>
      <x:c r="P140" s="36" t="n">
        <x:v>0</x:v>
      </x:c>
      <x:c r="Q140" s="36" t="n">
        <x:v>0</x:v>
      </x:c>
      <x:c r="R140" s="36" t="n">
        <x:v>20</x:v>
      </x:c>
      <x:c r="S140" s="36" t="str">
        <x:v>FROZEN TARGET</x:v>
      </x:c>
      <x:c r="T140" s="33" t="str">
        <x:v>OPEN</x:v>
      </x:c>
      <x:c r="U140" s="33" t="n">
        <x:v>0</x:v>
      </x:c>
      <x:c r="V140" t="n">
        <x:f>COUNTIFS($C$5:$C$156,C140)</x:f>
        <x:v>1</x:v>
      </x:c>
    </x:row>
    <x:row r="141" ht="34" customHeight="1">
      <x:c r="C141" s="33" t="str">
        <x:v>LF-D-R4-P01</x:v>
      </x:c>
      <x:c r="D141" s="33" t="str">
        <x:v>LF-D-CF1</x:v>
      </x:c>
      <x:c r="E141" s="33" t="str">
        <x:v>D</x:v>
      </x:c>
      <x:c r="F141" s="33" t="str">
        <x:v>LF-R4</x:v>
      </x:c>
      <x:c r="G141" s="33" t="n">
        <x:v>1</x:v>
      </x:c>
      <x:c r="H141" s="33" t="str">
        <x:v>Grid bridge</x:v>
      </x:c>
      <x:c r="I141" s="33" t="str">
        <x:v>recoverable surface conductor and converter bridge</x:v>
      </x:c>
      <x:c r="J141" s="36" t="n">
        <x:v>0</x:v>
      </x:c>
      <x:c r="K141" s="36" t="n">
        <x:v>0</x:v>
      </x:c>
      <x:c r="L141" s="36" t="n">
        <x:v>0</x:v>
      </x:c>
      <x:c r="M141" s="36" t="n">
        <x:v>12.5</x:v>
      </x:c>
      <x:c r="N141" s="36" t="n">
        <x:v>0</x:v>
      </x:c>
      <x:c r="O141" s="36" t="n">
        <x:v>0</x:v>
      </x:c>
      <x:c r="P141" s="36" t="n">
        <x:v>0</x:v>
      </x:c>
      <x:c r="Q141" s="36" t="n">
        <x:v>15</x:v>
      </x:c>
      <x:c r="R141" s="36" t="n">
        <x:v>0</x:v>
      </x:c>
      <x:c r="S141" s="36" t="str">
        <x:v>FROZEN TARGET</x:v>
      </x:c>
      <x:c r="T141" s="33" t="str">
        <x:v>OPEN</x:v>
      </x:c>
      <x:c r="U141" s="33" t="n">
        <x:v>0</x:v>
      </x:c>
      <x:c r="V141" t="n">
        <x:f>COUNTIFS($C$5:$C$156,C141)</x:f>
        <x:v>1</x:v>
      </x:c>
    </x:row>
    <x:row r="142" ht="34" customHeight="1">
      <x:c r="C142" s="33" t="str">
        <x:v>LF-D-R4-P02</x:v>
      </x:c>
      <x:c r="D142" s="33" t="str">
        <x:v>LF-D-CF1</x:v>
      </x:c>
      <x:c r="E142" s="33" t="str">
        <x:v>D</x:v>
      </x:c>
      <x:c r="F142" s="33" t="str">
        <x:v>LF-R4</x:v>
      </x:c>
      <x:c r="G142" s="33" t="n">
        <x:v>2</x:v>
      </x:c>
      <x:c r="H142" s="33" t="str">
        <x:v>Grid bridge</x:v>
      </x:c>
      <x:c r="I142" s="33" t="str">
        <x:v>recoverable surface conductor and converter bridge</x:v>
      </x:c>
      <x:c r="J142" s="36" t="n">
        <x:v>0</x:v>
      </x:c>
      <x:c r="K142" s="36" t="n">
        <x:v>0</x:v>
      </x:c>
      <x:c r="L142" s="36" t="n">
        <x:v>0</x:v>
      </x:c>
      <x:c r="M142" s="36" t="n">
        <x:v>12.5</x:v>
      </x:c>
      <x:c r="N142" s="36" t="n">
        <x:v>0</x:v>
      </x:c>
      <x:c r="O142" s="36" t="n">
        <x:v>0</x:v>
      </x:c>
      <x:c r="P142" s="36" t="n">
        <x:v>0</x:v>
      </x:c>
      <x:c r="Q142" s="36" t="n">
        <x:v>15</x:v>
      </x:c>
      <x:c r="R142" s="36" t="n">
        <x:v>0</x:v>
      </x:c>
      <x:c r="S142" s="36" t="str">
        <x:v>FROZEN TARGET</x:v>
      </x:c>
      <x:c r="T142" s="33" t="str">
        <x:v>OPEN</x:v>
      </x:c>
      <x:c r="U142" s="33" t="n">
        <x:v>0</x:v>
      </x:c>
      <x:c r="V142" t="n">
        <x:f>COUNTIFS($C$5:$C$156,C142)</x:f>
        <x:v>1</x:v>
      </x:c>
    </x:row>
    <x:row r="143" ht="34" customHeight="1">
      <x:c r="C143" s="33" t="str">
        <x:v>LF-D-R4-P03</x:v>
      </x:c>
      <x:c r="D143" s="33" t="str">
        <x:v>LF-D-CF1</x:v>
      </x:c>
      <x:c r="E143" s="33" t="str">
        <x:v>D</x:v>
      </x:c>
      <x:c r="F143" s="33" t="str">
        <x:v>LF-R4</x:v>
      </x:c>
      <x:c r="G143" s="33" t="n">
        <x:v>3</x:v>
      </x:c>
      <x:c r="H143" s="33" t="str">
        <x:v>Grid bridge</x:v>
      </x:c>
      <x:c r="I143" s="33" t="str">
        <x:v>recoverable surface conductor and converter bridge</x:v>
      </x:c>
      <x:c r="J143" s="36" t="n">
        <x:v>0</x:v>
      </x:c>
      <x:c r="K143" s="36" t="n">
        <x:v>0</x:v>
      </x:c>
      <x:c r="L143" s="36" t="n">
        <x:v>0</x:v>
      </x:c>
      <x:c r="M143" s="36" t="n">
        <x:v>12.5</x:v>
      </x:c>
      <x:c r="N143" s="36" t="n">
        <x:v>0</x:v>
      </x:c>
      <x:c r="O143" s="36" t="n">
        <x:v>0</x:v>
      </x:c>
      <x:c r="P143" s="36" t="n">
        <x:v>0</x:v>
      </x:c>
      <x:c r="Q143" s="36" t="n">
        <x:v>15</x:v>
      </x:c>
      <x:c r="R143" s="36" t="n">
        <x:v>0</x:v>
      </x:c>
      <x:c r="S143" s="36" t="str">
        <x:v>FROZEN TARGET</x:v>
      </x:c>
      <x:c r="T143" s="33" t="str">
        <x:v>OPEN</x:v>
      </x:c>
      <x:c r="U143" s="33" t="n">
        <x:v>0</x:v>
      </x:c>
      <x:c r="V143" t="n">
        <x:f>COUNTIFS($C$5:$C$156,C143)</x:f>
        <x:v>1</x:v>
      </x:c>
    </x:row>
    <x:row r="144" ht="34" customHeight="1">
      <x:c r="C144" s="33" t="str">
        <x:v>LF-D-R4-P04</x:v>
      </x:c>
      <x:c r="D144" s="33" t="str">
        <x:v>LF-D-CF1</x:v>
      </x:c>
      <x:c r="E144" s="33" t="str">
        <x:v>D</x:v>
      </x:c>
      <x:c r="F144" s="33" t="str">
        <x:v>LF-R4</x:v>
      </x:c>
      <x:c r="G144" s="33" t="n">
        <x:v>4</x:v>
      </x:c>
      <x:c r="H144" s="33" t="str">
        <x:v>Grid bridge</x:v>
      </x:c>
      <x:c r="I144" s="33" t="str">
        <x:v>recoverable surface conductor and converter bridge</x:v>
      </x:c>
      <x:c r="J144" s="36" t="n">
        <x:v>0</x:v>
      </x:c>
      <x:c r="K144" s="36" t="n">
        <x:v>0</x:v>
      </x:c>
      <x:c r="L144" s="36" t="n">
        <x:v>0</x:v>
      </x:c>
      <x:c r="M144" s="36" t="n">
        <x:v>12.5</x:v>
      </x:c>
      <x:c r="N144" s="36" t="n">
        <x:v>0</x:v>
      </x:c>
      <x:c r="O144" s="36" t="n">
        <x:v>0</x:v>
      </x:c>
      <x:c r="P144" s="36" t="n">
        <x:v>0</x:v>
      </x:c>
      <x:c r="Q144" s="36" t="n">
        <x:v>15</x:v>
      </x:c>
      <x:c r="R144" s="36" t="n">
        <x:v>0</x:v>
      </x:c>
      <x:c r="S144" s="36" t="str">
        <x:v>FROZEN TARGET</x:v>
      </x:c>
      <x:c r="T144" s="33" t="str">
        <x:v>OPEN</x:v>
      </x:c>
      <x:c r="U144" s="33" t="n">
        <x:v>0</x:v>
      </x:c>
      <x:c r="V144" t="n">
        <x:f>COUNTIFS($C$5:$C$156,C144)</x:f>
        <x:v>1</x:v>
      </x:c>
    </x:row>
    <x:row r="145" ht="34" customHeight="1">
      <x:c r="C145" s="33" t="str">
        <x:v>LF-D-R4-P05</x:v>
      </x:c>
      <x:c r="D145" s="33" t="str">
        <x:v>LF-D-CF1</x:v>
      </x:c>
      <x:c r="E145" s="33" t="str">
        <x:v>D</x:v>
      </x:c>
      <x:c r="F145" s="33" t="str">
        <x:v>LF-R4</x:v>
      </x:c>
      <x:c r="G145" s="33" t="n">
        <x:v>5</x:v>
      </x:c>
      <x:c r="H145" s="33" t="str">
        <x:v>Grid bridge</x:v>
      </x:c>
      <x:c r="I145" s="33" t="str">
        <x:v>recoverable surface conductor and converter bridge</x:v>
      </x:c>
      <x:c r="J145" s="36" t="n">
        <x:v>0</x:v>
      </x:c>
      <x:c r="K145" s="36" t="n">
        <x:v>0</x:v>
      </x:c>
      <x:c r="L145" s="36" t="n">
        <x:v>0</x:v>
      </x:c>
      <x:c r="M145" s="36" t="n">
        <x:v>12.5</x:v>
      </x:c>
      <x:c r="N145" s="36" t="n">
        <x:v>0</x:v>
      </x:c>
      <x:c r="O145" s="36" t="n">
        <x:v>0</x:v>
      </x:c>
      <x:c r="P145" s="36" t="n">
        <x:v>0</x:v>
      </x:c>
      <x:c r="Q145" s="36" t="n">
        <x:v>15</x:v>
      </x:c>
      <x:c r="R145" s="36" t="n">
        <x:v>0</x:v>
      </x:c>
      <x:c r="S145" s="36" t="str">
        <x:v>FROZEN TARGET</x:v>
      </x:c>
      <x:c r="T145" s="33" t="str">
        <x:v>OPEN</x:v>
      </x:c>
      <x:c r="U145" s="33" t="n">
        <x:v>0</x:v>
      </x:c>
      <x:c r="V145" t="n">
        <x:f>COUNTIFS($C$5:$C$156,C145)</x:f>
        <x:v>1</x:v>
      </x:c>
    </x:row>
    <x:row r="146" ht="34" customHeight="1">
      <x:c r="C146" s="33" t="str">
        <x:v>LF-D-R4-P06</x:v>
      </x:c>
      <x:c r="D146" s="33" t="str">
        <x:v>LF-D-CF1</x:v>
      </x:c>
      <x:c r="E146" s="33" t="str">
        <x:v>D</x:v>
      </x:c>
      <x:c r="F146" s="33" t="str">
        <x:v>LF-R4</x:v>
      </x:c>
      <x:c r="G146" s="33" t="n">
        <x:v>6</x:v>
      </x:c>
      <x:c r="H146" s="33" t="str">
        <x:v>Grid bridge</x:v>
      </x:c>
      <x:c r="I146" s="33" t="str">
        <x:v>recoverable surface conductor and converter bridge</x:v>
      </x:c>
      <x:c r="J146" s="36" t="n">
        <x:v>0</x:v>
      </x:c>
      <x:c r="K146" s="36" t="n">
        <x:v>0</x:v>
      </x:c>
      <x:c r="L146" s="36" t="n">
        <x:v>0</x:v>
      </x:c>
      <x:c r="M146" s="36" t="n">
        <x:v>12.5</x:v>
      </x:c>
      <x:c r="N146" s="36" t="n">
        <x:v>0</x:v>
      </x:c>
      <x:c r="O146" s="36" t="n">
        <x:v>0</x:v>
      </x:c>
      <x:c r="P146" s="36" t="n">
        <x:v>0</x:v>
      </x:c>
      <x:c r="Q146" s="36" t="n">
        <x:v>15</x:v>
      </x:c>
      <x:c r="R146" s="36" t="n">
        <x:v>0</x:v>
      </x:c>
      <x:c r="S146" s="36" t="str">
        <x:v>FROZEN TARGET</x:v>
      </x:c>
      <x:c r="T146" s="33" t="str">
        <x:v>OPEN</x:v>
      </x:c>
      <x:c r="U146" s="33" t="n">
        <x:v>0</x:v>
      </x:c>
      <x:c r="V146" t="n">
        <x:f>COUNTIFS($C$5:$C$156,C146)</x:f>
        <x:v>1</x:v>
      </x:c>
    </x:row>
    <x:row r="147" ht="34" customHeight="1">
      <x:c r="C147" s="33" t="str">
        <x:v>LF-D-R4-P07</x:v>
      </x:c>
      <x:c r="D147" s="33" t="str">
        <x:v>LF-D-CF1</x:v>
      </x:c>
      <x:c r="E147" s="33" t="str">
        <x:v>D</x:v>
      </x:c>
      <x:c r="F147" s="33" t="str">
        <x:v>LF-R4</x:v>
      </x:c>
      <x:c r="G147" s="33" t="n">
        <x:v>7</x:v>
      </x:c>
      <x:c r="H147" s="33" t="str">
        <x:v>Grid bridge</x:v>
      </x:c>
      <x:c r="I147" s="33" t="str">
        <x:v>recoverable surface conductor and converter bridge</x:v>
      </x:c>
      <x:c r="J147" s="36" t="n">
        <x:v>0</x:v>
      </x:c>
      <x:c r="K147" s="36" t="n">
        <x:v>0</x:v>
      </x:c>
      <x:c r="L147" s="36" t="n">
        <x:v>0</x:v>
      </x:c>
      <x:c r="M147" s="36" t="n">
        <x:v>12.5</x:v>
      </x:c>
      <x:c r="N147" s="36" t="n">
        <x:v>0</x:v>
      </x:c>
      <x:c r="O147" s="36" t="n">
        <x:v>0</x:v>
      </x:c>
      <x:c r="P147" s="36" t="n">
        <x:v>0</x:v>
      </x:c>
      <x:c r="Q147" s="36" t="n">
        <x:v>15</x:v>
      </x:c>
      <x:c r="R147" s="36" t="n">
        <x:v>0</x:v>
      </x:c>
      <x:c r="S147" s="36" t="str">
        <x:v>FROZEN TARGET</x:v>
      </x:c>
      <x:c r="T147" s="33" t="str">
        <x:v>OPEN</x:v>
      </x:c>
      <x:c r="U147" s="33" t="n">
        <x:v>0</x:v>
      </x:c>
      <x:c r="V147" t="n">
        <x:f>COUNTIFS($C$5:$C$156,C147)</x:f>
        <x:v>1</x:v>
      </x:c>
    </x:row>
    <x:row r="148" ht="34" customHeight="1">
      <x:c r="C148" s="33" t="str">
        <x:v>LF-D-R4-P08</x:v>
      </x:c>
      <x:c r="D148" s="33" t="str">
        <x:v>LF-D-CF1</x:v>
      </x:c>
      <x:c r="E148" s="33" t="str">
        <x:v>D</x:v>
      </x:c>
      <x:c r="F148" s="33" t="str">
        <x:v>LF-R4</x:v>
      </x:c>
      <x:c r="G148" s="33" t="n">
        <x:v>8</x:v>
      </x:c>
      <x:c r="H148" s="33" t="str">
        <x:v>Grid bridge</x:v>
      </x:c>
      <x:c r="I148" s="33" t="str">
        <x:v>recoverable surface conductor and converter bridge</x:v>
      </x:c>
      <x:c r="J148" s="36" t="n">
        <x:v>0</x:v>
      </x:c>
      <x:c r="K148" s="36" t="n">
        <x:v>0</x:v>
      </x:c>
      <x:c r="L148" s="36" t="n">
        <x:v>0</x:v>
      </x:c>
      <x:c r="M148" s="36" t="n">
        <x:v>12.5</x:v>
      </x:c>
      <x:c r="N148" s="36" t="n">
        <x:v>0</x:v>
      </x:c>
      <x:c r="O148" s="36" t="n">
        <x:v>0</x:v>
      </x:c>
      <x:c r="P148" s="36" t="n">
        <x:v>0</x:v>
      </x:c>
      <x:c r="Q148" s="36" t="n">
        <x:v>15</x:v>
      </x:c>
      <x:c r="R148" s="36" t="n">
        <x:v>0</x:v>
      </x:c>
      <x:c r="S148" s="36" t="str">
        <x:v>FROZEN TARGET</x:v>
      </x:c>
      <x:c r="T148" s="33" t="str">
        <x:v>OPEN</x:v>
      </x:c>
      <x:c r="U148" s="33" t="n">
        <x:v>0</x:v>
      </x:c>
      <x:c r="V148" t="n">
        <x:f>COUNTIFS($C$5:$C$156,C148)</x:f>
        <x:v>1</x:v>
      </x:c>
    </x:row>
    <x:row r="149" ht="34" customHeight="1">
      <x:c r="C149" s="33" t="str">
        <x:v>LF-D-R5-P01</x:v>
      </x:c>
      <x:c r="D149" s="33" t="str">
        <x:v>LF-D-CF1</x:v>
      </x:c>
      <x:c r="E149" s="33" t="str">
        <x:v>D</x:v>
      </x:c>
      <x:c r="F149" s="33" t="str">
        <x:v>LF-R5</x:v>
      </x:c>
      <x:c r="G149" s="33" t="n">
        <x:v>1</x:v>
      </x:c>
      <x:c r="H149" s="33" t="str">
        <x:v>Thermal safety</x:v>
      </x:c>
      <x:c r="I149" s="33" t="str">
        <x:v>cogeneration heat-recovery cell</x:v>
      </x:c>
      <x:c r="J149" s="36" t="n">
        <x:v>0</x:v>
      </x:c>
      <x:c r="K149" s="36" t="n">
        <x:v>0</x:v>
      </x:c>
      <x:c r="L149" s="36" t="n">
        <x:v>0</x:v>
      </x:c>
      <x:c r="M149" s="36" t="n">
        <x:v>0</x:v>
      </x:c>
      <x:c r="N149" s="36" t="n">
        <x:v>0</x:v>
      </x:c>
      <x:c r="O149" s="36" t="n">
        <x:v>10</x:v>
      </x:c>
      <x:c r="P149" s="36" t="n">
        <x:v>0</x:v>
      </x:c>
      <x:c r="Q149" s="36" t="n">
        <x:v>0</x:v>
      </x:c>
      <x:c r="R149" s="36" t="n">
        <x:v>0</x:v>
      </x:c>
      <x:c r="S149" s="36" t="str">
        <x:v>FROZEN TARGET</x:v>
      </x:c>
      <x:c r="T149" s="33" t="str">
        <x:v>OPEN</x:v>
      </x:c>
      <x:c r="U149" s="33" t="n">
        <x:v>0</x:v>
      </x:c>
      <x:c r="V149" t="n">
        <x:f>COUNTIFS($C$5:$C$156,C149)</x:f>
        <x:v>1</x:v>
      </x:c>
    </x:row>
    <x:row r="150" ht="34" customHeight="1">
      <x:c r="C150" s="33" t="str">
        <x:v>LF-D-R5-P02</x:v>
      </x:c>
      <x:c r="D150" s="33" t="str">
        <x:v>LF-D-CF1</x:v>
      </x:c>
      <x:c r="E150" s="33" t="str">
        <x:v>D</x:v>
      </x:c>
      <x:c r="F150" s="33" t="str">
        <x:v>LF-R5</x:v>
      </x:c>
      <x:c r="G150" s="33" t="n">
        <x:v>2</x:v>
      </x:c>
      <x:c r="H150" s="33" t="str">
        <x:v>Thermal safety</x:v>
      </x:c>
      <x:c r="I150" s="33" t="str">
        <x:v>cogeneration heat-recovery cell</x:v>
      </x:c>
      <x:c r="J150" s="36" t="n">
        <x:v>0</x:v>
      </x:c>
      <x:c r="K150" s="36" t="n">
        <x:v>0</x:v>
      </x:c>
      <x:c r="L150" s="36" t="n">
        <x:v>0</x:v>
      </x:c>
      <x:c r="M150" s="36" t="n">
        <x:v>0</x:v>
      </x:c>
      <x:c r="N150" s="36" t="n">
        <x:v>0</x:v>
      </x:c>
      <x:c r="O150" s="36" t="n">
        <x:v>10</x:v>
      </x:c>
      <x:c r="P150" s="36" t="n">
        <x:v>0</x:v>
      </x:c>
      <x:c r="Q150" s="36" t="n">
        <x:v>0</x:v>
      </x:c>
      <x:c r="R150" s="36" t="n">
        <x:v>0</x:v>
      </x:c>
      <x:c r="S150" s="36" t="str">
        <x:v>FROZEN TARGET</x:v>
      </x:c>
      <x:c r="T150" s="33" t="str">
        <x:v>OPEN</x:v>
      </x:c>
      <x:c r="U150" s="33" t="n">
        <x:v>0</x:v>
      </x:c>
      <x:c r="V150" t="n">
        <x:f>COUNTIFS($C$5:$C$156,C150)</x:f>
        <x:v>1</x:v>
      </x:c>
    </x:row>
    <x:row r="151" ht="34" customHeight="1">
      <x:c r="C151" s="33" t="str">
        <x:v>LF-D-R5-P03</x:v>
      </x:c>
      <x:c r="D151" s="33" t="str">
        <x:v>LF-D-CF1</x:v>
      </x:c>
      <x:c r="E151" s="33" t="str">
        <x:v>D</x:v>
      </x:c>
      <x:c r="F151" s="33" t="str">
        <x:v>LF-R5</x:v>
      </x:c>
      <x:c r="G151" s="33" t="n">
        <x:v>3</x:v>
      </x:c>
      <x:c r="H151" s="33" t="str">
        <x:v>Thermal safety</x:v>
      </x:c>
      <x:c r="I151" s="33" t="str">
        <x:v>cogeneration heat-recovery cell</x:v>
      </x:c>
      <x:c r="J151" s="36" t="n">
        <x:v>0</x:v>
      </x:c>
      <x:c r="K151" s="36" t="n">
        <x:v>0</x:v>
      </x:c>
      <x:c r="L151" s="36" t="n">
        <x:v>0</x:v>
      </x:c>
      <x:c r="M151" s="36" t="n">
        <x:v>0</x:v>
      </x:c>
      <x:c r="N151" s="36" t="n">
        <x:v>0</x:v>
      </x:c>
      <x:c r="O151" s="36" t="n">
        <x:v>10</x:v>
      </x:c>
      <x:c r="P151" s="36" t="n">
        <x:v>0</x:v>
      </x:c>
      <x:c r="Q151" s="36" t="n">
        <x:v>0</x:v>
      </x:c>
      <x:c r="R151" s="36" t="n">
        <x:v>0</x:v>
      </x:c>
      <x:c r="S151" s="36" t="str">
        <x:v>FROZEN TARGET</x:v>
      </x:c>
      <x:c r="T151" s="33" t="str">
        <x:v>OPEN</x:v>
      </x:c>
      <x:c r="U151" s="33" t="n">
        <x:v>0</x:v>
      </x:c>
      <x:c r="V151" t="n">
        <x:f>COUNTIFS($C$5:$C$156,C151)</x:f>
        <x:v>1</x:v>
      </x:c>
    </x:row>
    <x:row r="152" ht="34" customHeight="1">
      <x:c r="C152" s="33" t="str">
        <x:v>LF-D-R5-P04</x:v>
      </x:c>
      <x:c r="D152" s="33" t="str">
        <x:v>LF-D-CF1</x:v>
      </x:c>
      <x:c r="E152" s="33" t="str">
        <x:v>D</x:v>
      </x:c>
      <x:c r="F152" s="33" t="str">
        <x:v>LF-R5</x:v>
      </x:c>
      <x:c r="G152" s="33" t="n">
        <x:v>4</x:v>
      </x:c>
      <x:c r="H152" s="33" t="str">
        <x:v>Thermal safety</x:v>
      </x:c>
      <x:c r="I152" s="33" t="str">
        <x:v>cogeneration heat-recovery cell</x:v>
      </x:c>
      <x:c r="J152" s="36" t="n">
        <x:v>0</x:v>
      </x:c>
      <x:c r="K152" s="36" t="n">
        <x:v>0</x:v>
      </x:c>
      <x:c r="L152" s="36" t="n">
        <x:v>0</x:v>
      </x:c>
      <x:c r="M152" s="36" t="n">
        <x:v>0</x:v>
      </x:c>
      <x:c r="N152" s="36" t="n">
        <x:v>0</x:v>
      </x:c>
      <x:c r="O152" s="36" t="n">
        <x:v>10</x:v>
      </x:c>
      <x:c r="P152" s="36" t="n">
        <x:v>0</x:v>
      </x:c>
      <x:c r="Q152" s="36" t="n">
        <x:v>0</x:v>
      </x:c>
      <x:c r="R152" s="36" t="n">
        <x:v>0</x:v>
      </x:c>
      <x:c r="S152" s="36" t="str">
        <x:v>FROZEN TARGET</x:v>
      </x:c>
      <x:c r="T152" s="33" t="str">
        <x:v>OPEN</x:v>
      </x:c>
      <x:c r="U152" s="33" t="n">
        <x:v>0</x:v>
      </x:c>
      <x:c r="V152" t="n">
        <x:f>COUNTIFS($C$5:$C$156,C152)</x:f>
        <x:v>1</x:v>
      </x:c>
    </x:row>
    <x:row r="153" ht="34" customHeight="1">
      <x:c r="C153" s="33" t="str">
        <x:v>LF-D-R5-P05</x:v>
      </x:c>
      <x:c r="D153" s="33" t="str">
        <x:v>LF-D-CF1</x:v>
      </x:c>
      <x:c r="E153" s="33" t="str">
        <x:v>D</x:v>
      </x:c>
      <x:c r="F153" s="33" t="str">
        <x:v>LF-R5</x:v>
      </x:c>
      <x:c r="G153" s="33" t="n">
        <x:v>5</x:v>
      </x:c>
      <x:c r="H153" s="33" t="str">
        <x:v>Thermal safety</x:v>
      </x:c>
      <x:c r="I153" s="33" t="str">
        <x:v>cogeneration heat-recovery cell</x:v>
      </x:c>
      <x:c r="J153" s="36" t="n">
        <x:v>0</x:v>
      </x:c>
      <x:c r="K153" s="36" t="n">
        <x:v>0</x:v>
      </x:c>
      <x:c r="L153" s="36" t="n">
        <x:v>0</x:v>
      </x:c>
      <x:c r="M153" s="36" t="n">
        <x:v>0</x:v>
      </x:c>
      <x:c r="N153" s="36" t="n">
        <x:v>0</x:v>
      </x:c>
      <x:c r="O153" s="36" t="n">
        <x:v>10</x:v>
      </x:c>
      <x:c r="P153" s="36" t="n">
        <x:v>0</x:v>
      </x:c>
      <x:c r="Q153" s="36" t="n">
        <x:v>0</x:v>
      </x:c>
      <x:c r="R153" s="36" t="n">
        <x:v>0</x:v>
      </x:c>
      <x:c r="S153" s="36" t="str">
        <x:v>FROZEN TARGET</x:v>
      </x:c>
      <x:c r="T153" s="33" t="str">
        <x:v>OPEN</x:v>
      </x:c>
      <x:c r="U153" s="33" t="n">
        <x:v>0</x:v>
      </x:c>
      <x:c r="V153" t="n">
        <x:f>COUNTIFS($C$5:$C$156,C153)</x:f>
        <x:v>1</x:v>
      </x:c>
    </x:row>
    <x:row r="154" ht="34" customHeight="1">
      <x:c r="C154" s="33" t="str">
        <x:v>LF-D-R5-P06</x:v>
      </x:c>
      <x:c r="D154" s="33" t="str">
        <x:v>LF-D-CF1</x:v>
      </x:c>
      <x:c r="E154" s="33" t="str">
        <x:v>D</x:v>
      </x:c>
      <x:c r="F154" s="33" t="str">
        <x:v>LF-R5</x:v>
      </x:c>
      <x:c r="G154" s="33" t="n">
        <x:v>6</x:v>
      </x:c>
      <x:c r="H154" s="33" t="str">
        <x:v>Thermal safety</x:v>
      </x:c>
      <x:c r="I154" s="33" t="str">
        <x:v>cogeneration heat-recovery cell</x:v>
      </x:c>
      <x:c r="J154" s="36" t="n">
        <x:v>0</x:v>
      </x:c>
      <x:c r="K154" s="36" t="n">
        <x:v>0</x:v>
      </x:c>
      <x:c r="L154" s="36" t="n">
        <x:v>0</x:v>
      </x:c>
      <x:c r="M154" s="36" t="n">
        <x:v>0</x:v>
      </x:c>
      <x:c r="N154" s="36" t="n">
        <x:v>0</x:v>
      </x:c>
      <x:c r="O154" s="36" t="n">
        <x:v>10</x:v>
      </x:c>
      <x:c r="P154" s="36" t="n">
        <x:v>0</x:v>
      </x:c>
      <x:c r="Q154" s="36" t="n">
        <x:v>0</x:v>
      </x:c>
      <x:c r="R154" s="36" t="n">
        <x:v>0</x:v>
      </x:c>
      <x:c r="S154" s="36" t="str">
        <x:v>FROZEN TARGET</x:v>
      </x:c>
      <x:c r="T154" s="33" t="str">
        <x:v>OPEN</x:v>
      </x:c>
      <x:c r="U154" s="33" t="n">
        <x:v>0</x:v>
      </x:c>
      <x:c r="V154" t="n">
        <x:f>COUNTIFS($C$5:$C$156,C154)</x:f>
        <x:v>1</x:v>
      </x:c>
    </x:row>
    <x:row r="155" ht="34" customHeight="1">
      <x:c r="C155" s="33" t="str">
        <x:v>LF-D-R5-P07</x:v>
      </x:c>
      <x:c r="D155" s="33" t="str">
        <x:v>LF-D-CF1</x:v>
      </x:c>
      <x:c r="E155" s="33" t="str">
        <x:v>D</x:v>
      </x:c>
      <x:c r="F155" s="33" t="str">
        <x:v>LF-R5</x:v>
      </x:c>
      <x:c r="G155" s="33" t="n">
        <x:v>7</x:v>
      </x:c>
      <x:c r="H155" s="33" t="str">
        <x:v>Thermal safety</x:v>
      </x:c>
      <x:c r="I155" s="33" t="str">
        <x:v>cogeneration heat-recovery cell</x:v>
      </x:c>
      <x:c r="J155" s="36" t="n">
        <x:v>0</x:v>
      </x:c>
      <x:c r="K155" s="36" t="n">
        <x:v>0</x:v>
      </x:c>
      <x:c r="L155" s="36" t="n">
        <x:v>0</x:v>
      </x:c>
      <x:c r="M155" s="36" t="n">
        <x:v>0</x:v>
      </x:c>
      <x:c r="N155" s="36" t="n">
        <x:v>0</x:v>
      </x:c>
      <x:c r="O155" s="36" t="n">
        <x:v>10</x:v>
      </x:c>
      <x:c r="P155" s="36" t="n">
        <x:v>0</x:v>
      </x:c>
      <x:c r="Q155" s="36" t="n">
        <x:v>0</x:v>
      </x:c>
      <x:c r="R155" s="36" t="n">
        <x:v>0</x:v>
      </x:c>
      <x:c r="S155" s="36" t="str">
        <x:v>FROZEN TARGET</x:v>
      </x:c>
      <x:c r="T155" s="33" t="str">
        <x:v>OPEN</x:v>
      </x:c>
      <x:c r="U155" s="33" t="n">
        <x:v>0</x:v>
      </x:c>
      <x:c r="V155" t="n">
        <x:f>COUNTIFS($C$5:$C$156,C155)</x:f>
        <x:v>1</x:v>
      </x:c>
    </x:row>
    <x:row r="156" ht="34" customHeight="1">
      <x:c r="C156" s="34" t="str">
        <x:v>LF-D-R5-P08</x:v>
      </x:c>
      <x:c r="D156" s="34" t="str">
        <x:v>LF-D-CF1</x:v>
      </x:c>
      <x:c r="E156" s="34" t="str">
        <x:v>D</x:v>
      </x:c>
      <x:c r="F156" s="34" t="str">
        <x:v>LF-R5</x:v>
      </x:c>
      <x:c r="G156" s="34" t="n">
        <x:v>8</x:v>
      </x:c>
      <x:c r="H156" s="34" t="str">
        <x:v>Thermal safety</x:v>
      </x:c>
      <x:c r="I156" s="34" t="str">
        <x:v>cogeneration heat-recovery cell</x:v>
      </x:c>
      <x:c r="J156" s="37" t="n">
        <x:v>0</x:v>
      </x:c>
      <x:c r="K156" s="37" t="n">
        <x:v>0</x:v>
      </x:c>
      <x:c r="L156" s="37" t="n">
        <x:v>0</x:v>
      </x:c>
      <x:c r="M156" s="37" t="n">
        <x:v>0</x:v>
      </x:c>
      <x:c r="N156" s="37" t="n">
        <x:v>0</x:v>
      </x:c>
      <x:c r="O156" s="37" t="n">
        <x:v>10</x:v>
      </x:c>
      <x:c r="P156" s="37" t="n">
        <x:v>0</x:v>
      </x:c>
      <x:c r="Q156" s="37" t="n">
        <x:v>0</x:v>
      </x:c>
      <x:c r="R156" s="37" t="n">
        <x:v>0</x:v>
      </x:c>
      <x:c r="S156" s="37" t="str">
        <x:v>FROZEN TARGET</x:v>
      </x:c>
      <x:c r="T156" s="34" t="str">
        <x:v>OPEN</x:v>
      </x:c>
      <x:c r="U156" s="34" t="n">
        <x:v>0</x:v>
      </x:c>
      <x:c r="V156" t="n">
        <x:f>COUNTIFS($C$5:$C$156,C156)</x:f>
        <x:v>1</x:v>
      </x:c>
    </x:row>
  </x:sheetData>
  <x:conditionalFormatting sqref="S5:T156">
    <x:cfRule type="containsText" dxfId="12" priority="1" operator="containsText" text="FAIL"/>
    <x:cfRule type="containsText" dxfId="13" priority="2" operator="containsText" text="OPEN"/>
    <x:cfRule type="containsText" dxfId="14" priority="3" operator="containsText" text="HOLD"/>
    <x:cfRule type="containsText" dxfId="15" priority="4" operator="containsText" text="SELECT"/>
    <x:cfRule type="containsText" dxfId="16" priority="5" operator="containsText" text="PASS"/>
    <x:cfRule type="containsText" dxfId="17" priority="6" operator="containsText" text="BLOCK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3" max="3" width="9.4399995803833" hidden="0" customWidth="1"/>
    <x:col min="4" max="4" width="10.5600004196167" hidden="0" customWidth="1"/>
    <x:col min="5" max="5" width="6.110000133514404" hidden="0" customWidth="1"/>
    <x:col min="6" max="6" width="20" hidden="0" customWidth="1"/>
    <x:col min="7" max="7" width="7.78000020980835" hidden="0" customWidth="1"/>
    <x:col min="8" max="8" width="35.560001373291016" hidden="0" customWidth="1"/>
    <x:col min="9" max="9" width="6.110000133514404" hidden="0" customWidth="1"/>
    <x:col min="10" max="10" width="10" hidden="0" customWidth="1"/>
    <x:col min="11" max="11" width="11.670000076293945" hidden="0" customWidth="1"/>
    <x:col min="12" max="12" width="9.4399995803833" hidden="0" customWidth="1"/>
    <x:col min="13" max="13" width="11.109999656677246" hidden="0" customWidth="1"/>
    <x:col min="14" max="14" width="15" hidden="0" customWidth="1"/>
    <x:col min="15" max="15" width="13.890000343322754" hidden="0" customWidth="1"/>
    <x:col min="16" max="16" width="16.110000610351562" hidden="0" customWidth="1"/>
    <x:col min="17" max="17" width="8.890000343322754" hidden="0" customWidth="1"/>
    <x:col min="18" max="18" width="8.329999923706055" hidden="0" customWidth="1"/>
  </x:cols>
  <x:sheetData>
    <x:row r="2">
      <x:c r="C2" s="1" t="str">
        <x:v>Controlled root article bills</x:v>
      </x:c>
    </x:row>
    <x:row r="3">
      <x:c r="C3" s="2" t="str">
        <x:v>Mass, crew and consumable values are test hypotheses; the bill prevents silent configuration change.</x:v>
      </x:c>
    </x:row>
    <x:row r="4" ht="30" customHeight="1">
      <x:c r="C4" s="23" t="str">
        <x:v>Record</x:v>
      </x:c>
      <x:c r="D4" s="23" t="str">
        <x:v>Configuration</x:v>
      </x:c>
      <x:c r="E4" s="23" t="str">
        <x:v>Root</x:v>
      </x:c>
      <x:c r="F4" s="23" t="str">
        <x:v>Architecture</x:v>
      </x:c>
      <x:c r="G4" s="23" t="str">
        <x:v>Route</x:v>
      </x:c>
      <x:c r="H4" s="23" t="str">
        <x:v>Article or formation element</x:v>
      </x:c>
      <x:c r="I4" s="23" t="str">
        <x:v>Qty</x:v>
      </x:c>
      <x:c r="J4" s="23" t="str">
        <x:v>Unit dry t</x:v>
      </x:c>
      <x:c r="K4" s="23" t="str">
        <x:v>Extended dry t</x:v>
      </x:c>
      <x:c r="L4" s="23" t="str">
        <x:v>Crew/unit</x:v>
      </x:c>
      <x:c r="M4" s="23" t="str">
        <x:v>Extended crew</x:v>
      </x:c>
      <x:c r="N4" s="23" t="str">
        <x:v>Imported consumable/unit t</x:v>
      </x:c>
      <x:c r="O4" s="23" t="str">
        <x:v>Extended imported t</x:v>
      </x:c>
      <x:c r="P4" s="23" t="str">
        <x:v>Basis</x:v>
      </x:c>
      <x:c r="Q4" s="23" t="str">
        <x:v>Evidence</x:v>
      </x:c>
      <x:c r="R4" s="23" t="str">
        <x:v>Admission</x:v>
      </x:c>
    </x:row>
    <x:row r="5" ht="40" customHeight="1">
      <x:c r="C5" s="32" t="str">
        <x:v>AB-A-01</x:v>
      </x:c>
      <x:c r="D5" s="32" t="str">
        <x:v>LF-A-CF1</x:v>
      </x:c>
      <x:c r="E5" s="32" t="str">
        <x:v>A</x:v>
      </x:c>
      <x:c r="F5" s="32" t="str">
        <x:v>Oceanic nuclear utility</x:v>
      </x:c>
      <x:c r="G5" s="32" t="str">
        <x:v>LF-R1</x:v>
      </x:c>
      <x:c r="H5" s="32" t="str">
        <x:v>OUC-75 nuclear water-energy source cell</x:v>
      </x:c>
      <x:c r="I5" s="35" t="n">
        <x:v>4</x:v>
      </x:c>
      <x:c r="J5" s="35" t="n">
        <x:v>25000</x:v>
      </x:c>
      <x:c r="K5" s="35" t="n">
        <x:f>I5*J5</x:f>
        <x:v>100000</x:v>
      </x:c>
      <x:c r="L5" s="35" t="n">
        <x:v>320</x:v>
      </x:c>
      <x:c r="M5" s="35" t="n">
        <x:f>I5*L5</x:f>
        <x:v>1280</x:v>
      </x:c>
      <x:c r="N5" s="35" t="n">
        <x:v>250</x:v>
      </x:c>
      <x:c r="O5" s="35" t="n">
        <x:f>I5*N5</x:f>
        <x:v>1000</x:v>
      </x:c>
      <x:c r="P5" s="32" t="str">
        <x:v>CONTROLLED HYPOTHESIS</x:v>
      </x:c>
      <x:c r="Q5" s="32" t="str">
        <x:v>OPEN</x:v>
      </x:c>
      <x:c r="R5" s="32" t="n">
        <x:v>0</x:v>
      </x:c>
    </x:row>
    <x:row r="6" ht="40" customHeight="1">
      <x:c r="C6" s="33" t="str">
        <x:v>AB-A-02</x:v>
      </x:c>
      <x:c r="D6" s="33" t="str">
        <x:v>LF-A-CF1</x:v>
      </x:c>
      <x:c r="E6" s="33" t="str">
        <x:v>A</x:v>
      </x:c>
      <x:c r="F6" s="33" t="str">
        <x:v>Oceanic nuclear utility</x:v>
      </x:c>
      <x:c r="G6" s="33" t="str">
        <x:v>LF-R2</x:v>
      </x:c>
      <x:c r="H6" s="33" t="str">
        <x:v>shore water, sanitation and dual-corridor group</x:v>
      </x:c>
      <x:c r="I6" s="36" t="n">
        <x:v>8</x:v>
      </x:c>
      <x:c r="J6" s="36" t="n">
        <x:v>2700</x:v>
      </x:c>
      <x:c r="K6" s="36" t="n">
        <x:f>I6*J6</x:f>
        <x:v>21600</x:v>
      </x:c>
      <x:c r="L6" s="36" t="n">
        <x:v>110</x:v>
      </x:c>
      <x:c r="M6" s="36" t="n">
        <x:f>I6*L6</x:f>
        <x:v>880</x:v>
      </x:c>
      <x:c r="N6" s="36" t="n">
        <x:v>0</x:v>
      </x:c>
      <x:c r="O6" s="36" t="n">
        <x:f>I6*N6</x:f>
        <x:v>0</x:v>
      </x:c>
      <x:c r="P6" s="33" t="str">
        <x:v>CONTROLLED HYPOTHESIS</x:v>
      </x:c>
      <x:c r="Q6" s="33" t="str">
        <x:v>OPEN</x:v>
      </x:c>
      <x:c r="R6" s="33" t="n">
        <x:v>0</x:v>
      </x:c>
    </x:row>
    <x:row r="7" ht="40" customHeight="1">
      <x:c r="C7" s="33" t="str">
        <x:v>AB-A-03</x:v>
      </x:c>
      <x:c r="D7" s="33" t="str">
        <x:v>LF-A-CF1</x:v>
      </x:c>
      <x:c r="E7" s="33" t="str">
        <x:v>A</x:v>
      </x:c>
      <x:c r="F7" s="33" t="str">
        <x:v>Oceanic nuclear utility</x:v>
      </x:c>
      <x:c r="G7" s="33" t="str">
        <x:v>LF-R3</x:v>
      </x:c>
      <x:c r="H7" s="33" t="str">
        <x:v>AC local grid and black-start cell</x:v>
      </x:c>
      <x:c r="I7" s="36" t="n">
        <x:v>10</x:v>
      </x:c>
      <x:c r="J7" s="36" t="n">
        <x:v>650</x:v>
      </x:c>
      <x:c r="K7" s="36" t="n">
        <x:f>I7*J7</x:f>
        <x:v>6500</x:v>
      </x:c>
      <x:c r="L7" s="36" t="n">
        <x:v>25</x:v>
      </x:c>
      <x:c r="M7" s="36" t="n">
        <x:f>I7*L7</x:f>
        <x:v>250</x:v>
      </x:c>
      <x:c r="N7" s="36" t="n">
        <x:v>0</x:v>
      </x:c>
      <x:c r="O7" s="36" t="n">
        <x:f>I7*N7</x:f>
        <x:v>0</x:v>
      </x:c>
      <x:c r="P7" s="33" t="str">
        <x:v>CONTROLLED HYPOTHESIS</x:v>
      </x:c>
      <x:c r="Q7" s="33" t="str">
        <x:v>OPEN</x:v>
      </x:c>
      <x:c r="R7" s="33" t="n">
        <x:v>0</x:v>
      </x:c>
    </x:row>
    <x:row r="8" ht="40" customHeight="1">
      <x:c r="C8" s="33" t="str">
        <x:v>AB-A-04</x:v>
      </x:c>
      <x:c r="D8" s="33" t="str">
        <x:v>LF-A-CF1</x:v>
      </x:c>
      <x:c r="E8" s="33" t="str">
        <x:v>A</x:v>
      </x:c>
      <x:c r="F8" s="33" t="str">
        <x:v>Oceanic nuclear utility</x:v>
      </x:c>
      <x:c r="G8" s="33" t="str">
        <x:v>LF-R4</x:v>
      </x:c>
      <x:c r="H8" s="33" t="str">
        <x:v>high-voltage shore grid bridge</x:v>
      </x:c>
      <x:c r="I8" s="36" t="n">
        <x:v>8</x:v>
      </x:c>
      <x:c r="J8" s="36" t="n">
        <x:v>900</x:v>
      </x:c>
      <x:c r="K8" s="36" t="n">
        <x:f>I8*J8</x:f>
        <x:v>7200</x:v>
      </x:c>
      <x:c r="L8" s="36" t="n">
        <x:v>60</x:v>
      </x:c>
      <x:c r="M8" s="36" t="n">
        <x:f>I8*L8</x:f>
        <x:v>480</x:v>
      </x:c>
      <x:c r="N8" s="36" t="n">
        <x:v>0</x:v>
      </x:c>
      <x:c r="O8" s="36" t="n">
        <x:f>I8*N8</x:f>
        <x:v>0</x:v>
      </x:c>
      <x:c r="P8" s="33" t="str">
        <x:v>CONTROLLED HYPOTHESIS</x:v>
      </x:c>
      <x:c r="Q8" s="33" t="str">
        <x:v>OPEN</x:v>
      </x:c>
      <x:c r="R8" s="33" t="n">
        <x:v>0</x:v>
      </x:c>
    </x:row>
    <x:row r="9" ht="40" customHeight="1">
      <x:c r="C9" s="33" t="str">
        <x:v>AB-A-05</x:v>
      </x:c>
      <x:c r="D9" s="33" t="str">
        <x:v>LF-A-CF1</x:v>
      </x:c>
      <x:c r="E9" s="33" t="str">
        <x:v>A</x:v>
      </x:c>
      <x:c r="F9" s="33" t="str">
        <x:v>Oceanic nuclear utility</x:v>
      </x:c>
      <x:c r="G9" s="33" t="str">
        <x:v>LF-R5</x:v>
      </x:c>
      <x:c r="H9" s="33" t="str">
        <x:v>isolated district thermal cell</x:v>
      </x:c>
      <x:c r="I9" s="36" t="n">
        <x:v>8</x:v>
      </x:c>
      <x:c r="J9" s="36" t="n">
        <x:v>700</x:v>
      </x:c>
      <x:c r="K9" s="36" t="n">
        <x:f>I9*J9</x:f>
        <x:v>5600</x:v>
      </x:c>
      <x:c r="L9" s="36" t="n">
        <x:v>35</x:v>
      </x:c>
      <x:c r="M9" s="36" t="n">
        <x:f>I9*L9</x:f>
        <x:v>280</x:v>
      </x:c>
      <x:c r="N9" s="36" t="n">
        <x:v>0</x:v>
      </x:c>
      <x:c r="O9" s="36" t="n">
        <x:f>I9*N9</x:f>
        <x:v>0</x:v>
      </x:c>
      <x:c r="P9" s="33" t="str">
        <x:v>CONTROLLED HYPOTHESIS</x:v>
      </x:c>
      <x:c r="Q9" s="33" t="str">
        <x:v>OPEN</x:v>
      </x:c>
      <x:c r="R9" s="33" t="n">
        <x:v>0</x:v>
      </x:c>
    </x:row>
    <x:row r="10" ht="40" customHeight="1">
      <x:c r="C10" s="33" t="str">
        <x:v>AB-A-06</x:v>
      </x:c>
      <x:c r="D10" s="33" t="str">
        <x:v>LF-A-CF1</x:v>
      </x:c>
      <x:c r="E10" s="33" t="str">
        <x:v>A</x:v>
      </x:c>
      <x:c r="F10" s="33" t="str">
        <x:v>Oceanic nuclear utility</x:v>
      </x:c>
      <x:c r="G10" s="33" t="str">
        <x:v>SUPPORT</x:v>
      </x:c>
      <x:c r="H10" s="33" t="str">
        <x:v>water, power and radiological evidence cell</x:v>
      </x:c>
      <x:c r="I10" s="36" t="n">
        <x:v>4</x:v>
      </x:c>
      <x:c r="J10" s="36" t="n">
        <x:v>150</x:v>
      </x:c>
      <x:c r="K10" s="36" t="n">
        <x:f>I10*J10</x:f>
        <x:v>600</x:v>
      </x:c>
      <x:c r="L10" s="36" t="n">
        <x:v>20</x:v>
      </x:c>
      <x:c r="M10" s="36" t="n">
        <x:f>I10*L10</x:f>
        <x:v>80</x:v>
      </x:c>
      <x:c r="N10" s="36" t="n">
        <x:v>0</x:v>
      </x:c>
      <x:c r="O10" s="36" t="n">
        <x:f>I10*N10</x:f>
        <x:v>0</x:v>
      </x:c>
      <x:c r="P10" s="33" t="str">
        <x:v>CONTROLLED HYPOTHESIS</x:v>
      </x:c>
      <x:c r="Q10" s="33" t="str">
        <x:v>OPEN</x:v>
      </x:c>
      <x:c r="R10" s="33" t="n">
        <x:v>0</x:v>
      </x:c>
    </x:row>
    <x:row r="11" ht="40" customHeight="1">
      <x:c r="C11" s="33" t="str">
        <x:v>AB-A-07</x:v>
      </x:c>
      <x:c r="D11" s="33" t="str">
        <x:v>LF-A-CF1</x:v>
      </x:c>
      <x:c r="E11" s="33" t="str">
        <x:v>A</x:v>
      </x:c>
      <x:c r="F11" s="33" t="str">
        <x:v>Oceanic nuclear utility</x:v>
      </x:c>
      <x:c r="G11" s="33" t="str">
        <x:v>SUPPORT</x:v>
      </x:c>
      <x:c r="H11" s="33" t="str">
        <x:v>marine repair, salvage and reset group</x:v>
      </x:c>
      <x:c r="I11" s="36" t="n">
        <x:v>4</x:v>
      </x:c>
      <x:c r="J11" s="36" t="n">
        <x:v>1800</x:v>
      </x:c>
      <x:c r="K11" s="36" t="n">
        <x:f>I11*J11</x:f>
        <x:v>7200</x:v>
      </x:c>
      <x:c r="L11" s="36" t="n">
        <x:v>120</x:v>
      </x:c>
      <x:c r="M11" s="36" t="n">
        <x:f>I11*L11</x:f>
        <x:v>480</x:v>
      </x:c>
      <x:c r="N11" s="36" t="n">
        <x:v>0</x:v>
      </x:c>
      <x:c r="O11" s="36" t="n">
        <x:f>I11*N11</x:f>
        <x:v>0</x:v>
      </x:c>
      <x:c r="P11" s="33" t="str">
        <x:v>CONTROLLED HYPOTHESIS</x:v>
      </x:c>
      <x:c r="Q11" s="33" t="str">
        <x:v>OPEN</x:v>
      </x:c>
      <x:c r="R11" s="33" t="n">
        <x:v>0</x:v>
      </x:c>
    </x:row>
    <x:row r="12" ht="40" customHeight="1">
      <x:c r="C12" s="33" t="str">
        <x:v>AB-A-08</x:v>
      </x:c>
      <x:c r="D12" s="33" t="str">
        <x:v>LF-A-CF1</x:v>
      </x:c>
      <x:c r="E12" s="33" t="str">
        <x:v>A</x:v>
      </x:c>
      <x:c r="F12" s="33" t="str">
        <x:v>Oceanic nuclear utility</x:v>
      </x:c>
      <x:c r="G12" s="33" t="str">
        <x:v>SUPPORT</x:v>
      </x:c>
      <x:c r="H12" s="33" t="str">
        <x:v>civil authority and configuration group</x:v>
      </x:c>
      <x:c r="I12" s="36" t="n">
        <x:v>4</x:v>
      </x:c>
      <x:c r="J12" s="36" t="n">
        <x:v>100</x:v>
      </x:c>
      <x:c r="K12" s="36" t="n">
        <x:f>I12*J12</x:f>
        <x:v>400</x:v>
      </x:c>
      <x:c r="L12" s="36" t="n">
        <x:v>40</x:v>
      </x:c>
      <x:c r="M12" s="36" t="n">
        <x:f>I12*L12</x:f>
        <x:v>160</x:v>
      </x:c>
      <x:c r="N12" s="36" t="n">
        <x:v>0</x:v>
      </x:c>
      <x:c r="O12" s="36" t="n">
        <x:f>I12*N12</x:f>
        <x:v>0</x:v>
      </x:c>
      <x:c r="P12" s="33" t="str">
        <x:v>CONTROLLED HYPOTHESIS</x:v>
      </x:c>
      <x:c r="Q12" s="33" t="str">
        <x:v>OPEN</x:v>
      </x:c>
      <x:c r="R12" s="33" t="n">
        <x:v>0</x:v>
      </x:c>
    </x:row>
    <x:row r="13" ht="40" customHeight="1">
      <x:c r="C13" s="33" t="str">
        <x:v>AB-A-09</x:v>
      </x:c>
      <x:c r="D13" s="33" t="str">
        <x:v>LF-A-CF1</x:v>
      </x:c>
      <x:c r="E13" s="33" t="str">
        <x:v>A</x:v>
      </x:c>
      <x:c r="F13" s="33" t="str">
        <x:v>Oceanic nuclear utility</x:v>
      </x:c>
      <x:c r="G13" s="33" t="str">
        <x:v>SUPPORT</x:v>
      </x:c>
      <x:c r="H13" s="33" t="str">
        <x:v>closed-loop operating base</x:v>
      </x:c>
      <x:c r="I13" s="36" t="n">
        <x:v>4</x:v>
      </x:c>
      <x:c r="J13" s="36" t="n">
        <x:v>1800</x:v>
      </x:c>
      <x:c r="K13" s="36" t="n">
        <x:f>I13*J13</x:f>
        <x:v>7200</x:v>
      </x:c>
      <x:c r="L13" s="36" t="n">
        <x:v>300</x:v>
      </x:c>
      <x:c r="M13" s="36" t="n">
        <x:f>I13*L13</x:f>
        <x:v>1200</x:v>
      </x:c>
      <x:c r="N13" s="36" t="n">
        <x:v>0</x:v>
      </x:c>
      <x:c r="O13" s="36" t="n">
        <x:f>I13*N13</x:f>
        <x:v>0</x:v>
      </x:c>
      <x:c r="P13" s="33" t="str">
        <x:v>CONTROLLED HYPOTHESIS</x:v>
      </x:c>
      <x:c r="Q13" s="33" t="str">
        <x:v>OPEN</x:v>
      </x:c>
      <x:c r="R13" s="33" t="n">
        <x:v>0</x:v>
      </x:c>
    </x:row>
    <x:row r="14" ht="40" customHeight="1">
      <x:c r="C14" s="33" t="str">
        <x:v>AB-A-10</x:v>
      </x:c>
      <x:c r="D14" s="33" t="str">
        <x:v>LF-A-CF1</x:v>
      </x:c>
      <x:c r="E14" s="33" t="str">
        <x:v>A</x:v>
      </x:c>
      <x:c r="F14" s="33" t="str">
        <x:v>Oceanic nuclear utility</x:v>
      </x:c>
      <x:c r="G14" s="33" t="str">
        <x:v>RESERVE</x:v>
      </x:c>
      <x:c r="H14" s="33" t="str">
        <x:v>protected replacement bank</x:v>
      </x:c>
      <x:c r="I14" s="36" t="n">
        <x:v>1</x:v>
      </x:c>
      <x:c r="J14" s="36" t="n">
        <x:v>15000</x:v>
      </x:c>
      <x:c r="K14" s="36" t="n">
        <x:f>I14*J14</x:f>
        <x:v>15000</x:v>
      </x:c>
      <x:c r="L14" s="36" t="n">
        <x:v>0</x:v>
      </x:c>
      <x:c r="M14" s="36" t="n">
        <x:f>I14*L14</x:f>
        <x:v>0</x:v>
      </x:c>
      <x:c r="N14" s="36" t="n">
        <x:v>0</x:v>
      </x:c>
      <x:c r="O14" s="36" t="n">
        <x:f>I14*N14</x:f>
        <x:v>0</x:v>
      </x:c>
      <x:c r="P14" s="33" t="str">
        <x:v>CONTROLLED HYPOTHESIS</x:v>
      </x:c>
      <x:c r="Q14" s="33" t="str">
        <x:v>OPEN</x:v>
      </x:c>
      <x:c r="R14" s="33" t="n">
        <x:v>0</x:v>
      </x:c>
    </x:row>
    <x:row r="15" ht="40" customHeight="1">
      <x:c r="C15" s="33" t="str">
        <x:v>AB-B-01</x:v>
      </x:c>
      <x:c r="D15" s="33" t="str">
        <x:v>LF-B-CF1</x:v>
      </x:c>
      <x:c r="E15" s="33" t="str">
        <x:v>B</x:v>
      </x:c>
      <x:c r="F15" s="33" t="str">
        <x:v>Inland geothermal train</x:v>
      </x:c>
      <x:c r="G15" s="33" t="str">
        <x:v>LF-R1</x:v>
      </x:c>
      <x:c r="H15" s="33" t="str">
        <x:v>IGT-50 rapid-bore geothermal source field</x:v>
      </x:c>
      <x:c r="I15" s="36" t="n">
        <x:v>4</x:v>
      </x:c>
      <x:c r="J15" s="36" t="n">
        <x:v>15000</x:v>
      </x:c>
      <x:c r="K15" s="36" t="n">
        <x:f>I15*J15</x:f>
        <x:v>60000</x:v>
      </x:c>
      <x:c r="L15" s="36" t="n">
        <x:v>400</x:v>
      </x:c>
      <x:c r="M15" s="36" t="n">
        <x:f>I15*L15</x:f>
        <x:v>1600</x:v>
      </x:c>
      <x:c r="N15" s="36" t="n">
        <x:v>1250</x:v>
      </x:c>
      <x:c r="O15" s="36" t="n">
        <x:f>I15*N15</x:f>
        <x:v>5000</x:v>
      </x:c>
      <x:c r="P15" s="33" t="str">
        <x:v>CONTROLLED HYPOTHESIS</x:v>
      </x:c>
      <x:c r="Q15" s="33" t="str">
        <x:v>OPEN</x:v>
      </x:c>
      <x:c r="R15" s="33" t="n">
        <x:v>0</x:v>
      </x:c>
    </x:row>
    <x:row r="16" ht="40" customHeight="1">
      <x:c r="C16" s="33" t="str">
        <x:v>AB-B-02</x:v>
      </x:c>
      <x:c r="D16" s="33" t="str">
        <x:v>LF-B-CF1</x:v>
      </x:c>
      <x:c r="E16" s="33" t="str">
        <x:v>B</x:v>
      </x:c>
      <x:c r="F16" s="33" t="str">
        <x:v>Inland geothermal train</x:v>
      </x:c>
      <x:c r="G16" s="33" t="str">
        <x:v>LF-R2</x:v>
      </x:c>
      <x:c r="H16" s="33" t="str">
        <x:v>brackish water, sanitation and buried-corridor group</x:v>
      </x:c>
      <x:c r="I16" s="36" t="n">
        <x:v>8</x:v>
      </x:c>
      <x:c r="J16" s="36" t="n">
        <x:v>2500</x:v>
      </x:c>
      <x:c r="K16" s="36" t="n">
        <x:f>I16*J16</x:f>
        <x:v>20000</x:v>
      </x:c>
      <x:c r="L16" s="36" t="n">
        <x:v>120</x:v>
      </x:c>
      <x:c r="M16" s="36" t="n">
        <x:f>I16*L16</x:f>
        <x:v>960</x:v>
      </x:c>
      <x:c r="N16" s="36" t="n">
        <x:v>0</x:v>
      </x:c>
      <x:c r="O16" s="36" t="n">
        <x:f>I16*N16</x:f>
        <x:v>0</x:v>
      </x:c>
      <x:c r="P16" s="33" t="str">
        <x:v>CONTROLLED HYPOTHESIS</x:v>
      </x:c>
      <x:c r="Q16" s="33" t="str">
        <x:v>OPEN</x:v>
      </x:c>
      <x:c r="R16" s="33" t="n">
        <x:v>0</x:v>
      </x:c>
    </x:row>
    <x:row r="17" ht="40" customHeight="1">
      <x:c r="C17" s="33" t="str">
        <x:v>AB-B-03</x:v>
      </x:c>
      <x:c r="D17" s="33" t="str">
        <x:v>LF-B-CF1</x:v>
      </x:c>
      <x:c r="E17" s="33" t="str">
        <x:v>B</x:v>
      </x:c>
      <x:c r="F17" s="33" t="str">
        <x:v>Inland geothermal train</x:v>
      </x:c>
      <x:c r="G17" s="33" t="str">
        <x:v>LF-R3</x:v>
      </x:c>
      <x:c r="H17" s="33" t="str">
        <x:v>synchronous local grid and black-start cell</x:v>
      </x:c>
      <x:c r="I17" s="36" t="n">
        <x:v>10</x:v>
      </x:c>
      <x:c r="J17" s="36" t="n">
        <x:v>650</x:v>
      </x:c>
      <x:c r="K17" s="36" t="n">
        <x:f>I17*J17</x:f>
        <x:v>6500</x:v>
      </x:c>
      <x:c r="L17" s="36" t="n">
        <x:v>25</x:v>
      </x:c>
      <x:c r="M17" s="36" t="n">
        <x:f>I17*L17</x:f>
        <x:v>250</x:v>
      </x:c>
      <x:c r="N17" s="36" t="n">
        <x:v>0</x:v>
      </x:c>
      <x:c r="O17" s="36" t="n">
        <x:f>I17*N17</x:f>
        <x:v>0</x:v>
      </x:c>
      <x:c r="P17" s="33" t="str">
        <x:v>CONTROLLED HYPOTHESIS</x:v>
      </x:c>
      <x:c r="Q17" s="33" t="str">
        <x:v>OPEN</x:v>
      </x:c>
      <x:c r="R17" s="33" t="n">
        <x:v>0</x:v>
      </x:c>
    </x:row>
    <x:row r="18" ht="40" customHeight="1">
      <x:c r="C18" s="33" t="str">
        <x:v>AB-B-04</x:v>
      </x:c>
      <x:c r="D18" s="33" t="str">
        <x:v>LF-B-CF1</x:v>
      </x:c>
      <x:c r="E18" s="33" t="str">
        <x:v>B</x:v>
      </x:c>
      <x:c r="F18" s="33" t="str">
        <x:v>Inland geothermal train</x:v>
      </x:c>
      <x:c r="G18" s="33" t="str">
        <x:v>LF-R4</x:v>
      </x:c>
      <x:c r="H18" s="33" t="str">
        <x:v>buried electric and thermal grid bridge</x:v>
      </x:c>
      <x:c r="I18" s="36" t="n">
        <x:v>8</x:v>
      </x:c>
      <x:c r="J18" s="36" t="n">
        <x:v>1000</x:v>
      </x:c>
      <x:c r="K18" s="36" t="n">
        <x:f>I18*J18</x:f>
        <x:v>8000</x:v>
      </x:c>
      <x:c r="L18" s="36" t="n">
        <x:v>70</x:v>
      </x:c>
      <x:c r="M18" s="36" t="n">
        <x:f>I18*L18</x:f>
        <x:v>560</x:v>
      </x:c>
      <x:c r="N18" s="36" t="n">
        <x:v>0</x:v>
      </x:c>
      <x:c r="O18" s="36" t="n">
        <x:f>I18*N18</x:f>
        <x:v>0</x:v>
      </x:c>
      <x:c r="P18" s="33" t="str">
        <x:v>CONTROLLED HYPOTHESIS</x:v>
      </x:c>
      <x:c r="Q18" s="33" t="str">
        <x:v>OPEN</x:v>
      </x:c>
      <x:c r="R18" s="33" t="n">
        <x:v>0</x:v>
      </x:c>
    </x:row>
    <x:row r="19" ht="40" customHeight="1">
      <x:c r="C19" s="33" t="str">
        <x:v>AB-B-05</x:v>
      </x:c>
      <x:c r="D19" s="33" t="str">
        <x:v>LF-B-CF1</x:v>
      </x:c>
      <x:c r="E19" s="33" t="str">
        <x:v>B</x:v>
      </x:c>
      <x:c r="F19" s="33" t="str">
        <x:v>Inland geothermal train</x:v>
      </x:c>
      <x:c r="G19" s="33" t="str">
        <x:v>LF-R5</x:v>
      </x:c>
      <x:c r="H19" s="33" t="str">
        <x:v>geothermal thermal-bus cell</x:v>
      </x:c>
      <x:c r="I19" s="36" t="n">
        <x:v>8</x:v>
      </x:c>
      <x:c r="J19" s="36" t="n">
        <x:v>600</x:v>
      </x:c>
      <x:c r="K19" s="36" t="n">
        <x:f>I19*J19</x:f>
        <x:v>4800</x:v>
      </x:c>
      <x:c r="L19" s="36" t="n">
        <x:v>40</x:v>
      </x:c>
      <x:c r="M19" s="36" t="n">
        <x:f>I19*L19</x:f>
        <x:v>320</x:v>
      </x:c>
      <x:c r="N19" s="36" t="n">
        <x:v>0</x:v>
      </x:c>
      <x:c r="O19" s="36" t="n">
        <x:f>I19*N19</x:f>
        <x:v>0</x:v>
      </x:c>
      <x:c r="P19" s="33" t="str">
        <x:v>CONTROLLED HYPOTHESIS</x:v>
      </x:c>
      <x:c r="Q19" s="33" t="str">
        <x:v>OPEN</x:v>
      </x:c>
      <x:c r="R19" s="33" t="n">
        <x:v>0</x:v>
      </x:c>
    </x:row>
    <x:row r="20" ht="40" customHeight="1">
      <x:c r="C20" s="33" t="str">
        <x:v>AB-B-06</x:v>
      </x:c>
      <x:c r="D20" s="33" t="str">
        <x:v>LF-B-CF1</x:v>
      </x:c>
      <x:c r="E20" s="33" t="str">
        <x:v>B</x:v>
      </x:c>
      <x:c r="F20" s="33" t="str">
        <x:v>Inland geothermal train</x:v>
      </x:c>
      <x:c r="G20" s="33" t="str">
        <x:v>SUPPORT</x:v>
      </x:c>
      <x:c r="H20" s="33" t="str">
        <x:v>geochemical, water and power evidence cell</x:v>
      </x:c>
      <x:c r="I20" s="36" t="n">
        <x:v>4</x:v>
      </x:c>
      <x:c r="J20" s="36" t="n">
        <x:v>150</x:v>
      </x:c>
      <x:c r="K20" s="36" t="n">
        <x:f>I20*J20</x:f>
        <x:v>600</x:v>
      </x:c>
      <x:c r="L20" s="36" t="n">
        <x:v>20</x:v>
      </x:c>
      <x:c r="M20" s="36" t="n">
        <x:f>I20*L20</x:f>
        <x:v>80</x:v>
      </x:c>
      <x:c r="N20" s="36" t="n">
        <x:v>0</x:v>
      </x:c>
      <x:c r="O20" s="36" t="n">
        <x:f>I20*N20</x:f>
        <x:v>0</x:v>
      </x:c>
      <x:c r="P20" s="33" t="str">
        <x:v>CONTROLLED HYPOTHESIS</x:v>
      </x:c>
      <x:c r="Q20" s="33" t="str">
        <x:v>OPEN</x:v>
      </x:c>
      <x:c r="R20" s="33" t="n">
        <x:v>0</x:v>
      </x:c>
    </x:row>
    <x:row r="21" ht="40" customHeight="1">
      <x:c r="C21" s="33" t="str">
        <x:v>AB-B-07</x:v>
      </x:c>
      <x:c r="D21" s="33" t="str">
        <x:v>LF-B-CF1</x:v>
      </x:c>
      <x:c r="E21" s="33" t="str">
        <x:v>B</x:v>
      </x:c>
      <x:c r="F21" s="33" t="str">
        <x:v>Inland geothermal train</x:v>
      </x:c>
      <x:c r="G21" s="33" t="str">
        <x:v>SUPPORT</x:v>
      </x:c>
      <x:c r="H21" s="33" t="str">
        <x:v>drilling, well and plant reset group</x:v>
      </x:c>
      <x:c r="I21" s="36" t="n">
        <x:v>4</x:v>
      </x:c>
      <x:c r="J21" s="36" t="n">
        <x:v>1500</x:v>
      </x:c>
      <x:c r="K21" s="36" t="n">
        <x:f>I21*J21</x:f>
        <x:v>6000</x:v>
      </x:c>
      <x:c r="L21" s="36" t="n">
        <x:v>100</x:v>
      </x:c>
      <x:c r="M21" s="36" t="n">
        <x:f>I21*L21</x:f>
        <x:v>400</x:v>
      </x:c>
      <x:c r="N21" s="36" t="n">
        <x:v>0</x:v>
      </x:c>
      <x:c r="O21" s="36" t="n">
        <x:f>I21*N21</x:f>
        <x:v>0</x:v>
      </x:c>
      <x:c r="P21" s="33" t="str">
        <x:v>CONTROLLED HYPOTHESIS</x:v>
      </x:c>
      <x:c r="Q21" s="33" t="str">
        <x:v>OPEN</x:v>
      </x:c>
      <x:c r="R21" s="33" t="n">
        <x:v>0</x:v>
      </x:c>
    </x:row>
    <x:row r="22" ht="40" customHeight="1">
      <x:c r="C22" s="33" t="str">
        <x:v>AB-B-08</x:v>
      </x:c>
      <x:c r="D22" s="33" t="str">
        <x:v>LF-B-CF1</x:v>
      </x:c>
      <x:c r="E22" s="33" t="str">
        <x:v>B</x:v>
      </x:c>
      <x:c r="F22" s="33" t="str">
        <x:v>Inland geothermal train</x:v>
      </x:c>
      <x:c r="G22" s="33" t="str">
        <x:v>SUPPORT</x:v>
      </x:c>
      <x:c r="H22" s="33" t="str">
        <x:v>civil authority and configuration group</x:v>
      </x:c>
      <x:c r="I22" s="36" t="n">
        <x:v>4</x:v>
      </x:c>
      <x:c r="J22" s="36" t="n">
        <x:v>100</x:v>
      </x:c>
      <x:c r="K22" s="36" t="n">
        <x:f>I22*J22</x:f>
        <x:v>400</x:v>
      </x:c>
      <x:c r="L22" s="36" t="n">
        <x:v>40</x:v>
      </x:c>
      <x:c r="M22" s="36" t="n">
        <x:f>I22*L22</x:f>
        <x:v>160</x:v>
      </x:c>
      <x:c r="N22" s="36" t="n">
        <x:v>0</x:v>
      </x:c>
      <x:c r="O22" s="36" t="n">
        <x:f>I22*N22</x:f>
        <x:v>0</x:v>
      </x:c>
      <x:c r="P22" s="33" t="str">
        <x:v>CONTROLLED HYPOTHESIS</x:v>
      </x:c>
      <x:c r="Q22" s="33" t="str">
        <x:v>OPEN</x:v>
      </x:c>
      <x:c r="R22" s="33" t="n">
        <x:v>0</x:v>
      </x:c>
    </x:row>
    <x:row r="23" ht="40" customHeight="1">
      <x:c r="C23" s="33" t="str">
        <x:v>AB-B-09</x:v>
      </x:c>
      <x:c r="D23" s="33" t="str">
        <x:v>LF-B-CF1</x:v>
      </x:c>
      <x:c r="E23" s="33" t="str">
        <x:v>B</x:v>
      </x:c>
      <x:c r="F23" s="33" t="str">
        <x:v>Inland geothermal train</x:v>
      </x:c>
      <x:c r="G23" s="33" t="str">
        <x:v>SUPPORT</x:v>
      </x:c>
      <x:c r="H23" s="33" t="str">
        <x:v>closed-loop inland operating base</x:v>
      </x:c>
      <x:c r="I23" s="36" t="n">
        <x:v>4</x:v>
      </x:c>
      <x:c r="J23" s="36" t="n">
        <x:v>1500</x:v>
      </x:c>
      <x:c r="K23" s="36" t="n">
        <x:f>I23*J23</x:f>
        <x:v>6000</x:v>
      </x:c>
      <x:c r="L23" s="36" t="n">
        <x:v>250</x:v>
      </x:c>
      <x:c r="M23" s="36" t="n">
        <x:f>I23*L23</x:f>
        <x:v>1000</x:v>
      </x:c>
      <x:c r="N23" s="36" t="n">
        <x:v>0</x:v>
      </x:c>
      <x:c r="O23" s="36" t="n">
        <x:f>I23*N23</x:f>
        <x:v>0</x:v>
      </x:c>
      <x:c r="P23" s="33" t="str">
        <x:v>CONTROLLED HYPOTHESIS</x:v>
      </x:c>
      <x:c r="Q23" s="33" t="str">
        <x:v>OPEN</x:v>
      </x:c>
      <x:c r="R23" s="33" t="n">
        <x:v>0</x:v>
      </x:c>
    </x:row>
    <x:row r="24" ht="40" customHeight="1">
      <x:c r="C24" s="33" t="str">
        <x:v>AB-B-10</x:v>
      </x:c>
      <x:c r="D24" s="33" t="str">
        <x:v>LF-B-CF1</x:v>
      </x:c>
      <x:c r="E24" s="33" t="str">
        <x:v>B</x:v>
      </x:c>
      <x:c r="F24" s="33" t="str">
        <x:v>Inland geothermal train</x:v>
      </x:c>
      <x:c r="G24" s="33" t="str">
        <x:v>RESERVE</x:v>
      </x:c>
      <x:c r="H24" s="33" t="str">
        <x:v>protected replacement bank</x:v>
      </x:c>
      <x:c r="I24" s="36" t="n">
        <x:v>1</x:v>
      </x:c>
      <x:c r="J24" s="36" t="n">
        <x:v>12000</x:v>
      </x:c>
      <x:c r="K24" s="36" t="n">
        <x:f>I24*J24</x:f>
        <x:v>12000</x:v>
      </x:c>
      <x:c r="L24" s="36" t="n">
        <x:v>0</x:v>
      </x:c>
      <x:c r="M24" s="36" t="n">
        <x:f>I24*L24</x:f>
        <x:v>0</x:v>
      </x:c>
      <x:c r="N24" s="36" t="n">
        <x:v>0</x:v>
      </x:c>
      <x:c r="O24" s="36" t="n">
        <x:f>I24*N24</x:f>
        <x:v>0</x:v>
      </x:c>
      <x:c r="P24" s="33" t="str">
        <x:v>CONTROLLED HYPOTHESIS</x:v>
      </x:c>
      <x:c r="Q24" s="33" t="str">
        <x:v>OPEN</x:v>
      </x:c>
      <x:c r="R24" s="33" t="n">
        <x:v>0</x:v>
      </x:c>
    </x:row>
    <x:row r="25" ht="40" customHeight="1">
      <x:c r="C25" s="33" t="str">
        <x:v>AB-C-01</x:v>
      </x:c>
      <x:c r="D25" s="33" t="str">
        <x:v>LF-C-CF1</x:v>
      </x:c>
      <x:c r="E25" s="33" t="str">
        <x:v>C</x:v>
      </x:c>
      <x:c r="F25" s="33" t="str">
        <x:v>Renewable electrochemical swarm</x:v>
      </x:c>
      <x:c r="G25" s="33" t="str">
        <x:v>LF-R1</x:v>
      </x:c>
      <x:c r="H25" s="33" t="str">
        <x:v>RES-100/2G renewable-storage source park</x:v>
      </x:c>
      <x:c r="I25" s="36" t="n">
        <x:v>4</x:v>
      </x:c>
      <x:c r="J25" s="36" t="n">
        <x:v>20000</x:v>
      </x:c>
      <x:c r="K25" s="36" t="n">
        <x:f>I25*J25</x:f>
        <x:v>80000</x:v>
      </x:c>
      <x:c r="L25" s="36" t="n">
        <x:v>250</x:v>
      </x:c>
      <x:c r="M25" s="36" t="n">
        <x:f>I25*L25</x:f>
        <x:v>1000</x:v>
      </x:c>
      <x:c r="N25" s="36" t="n">
        <x:v>500</x:v>
      </x:c>
      <x:c r="O25" s="36" t="n">
        <x:f>I25*N25</x:f>
        <x:v>2000</x:v>
      </x:c>
      <x:c r="P25" s="33" t="str">
        <x:v>CONTROLLED HYPOTHESIS</x:v>
      </x:c>
      <x:c r="Q25" s="33" t="str">
        <x:v>OPEN</x:v>
      </x:c>
      <x:c r="R25" s="33" t="n">
        <x:v>0</x:v>
      </x:c>
    </x:row>
    <x:row r="26" ht="40" customHeight="1">
      <x:c r="C26" s="33" t="str">
        <x:v>AB-C-02</x:v>
      </x:c>
      <x:c r="D26" s="33" t="str">
        <x:v>LF-C-CF1</x:v>
      </x:c>
      <x:c r="E26" s="33" t="str">
        <x:v>C</x:v>
      </x:c>
      <x:c r="F26" s="33" t="str">
        <x:v>Renewable electrochemical swarm</x:v>
      </x:c>
      <x:c r="G26" s="33" t="str">
        <x:v>LF-R2</x:v>
      </x:c>
      <x:c r="H26" s="33" t="str">
        <x:v>electrochemical water, sanitation and flexible-corridor group</x:v>
      </x:c>
      <x:c r="I26" s="36" t="n">
        <x:v>8</x:v>
      </x:c>
      <x:c r="J26" s="36" t="n">
        <x:v>2300</x:v>
      </x:c>
      <x:c r="K26" s="36" t="n">
        <x:f>I26*J26</x:f>
        <x:v>18400</x:v>
      </x:c>
      <x:c r="L26" s="36" t="n">
        <x:v>90</x:v>
      </x:c>
      <x:c r="M26" s="36" t="n">
        <x:f>I26*L26</x:f>
        <x:v>720</x:v>
      </x:c>
      <x:c r="N26" s="36" t="n">
        <x:v>0</x:v>
      </x:c>
      <x:c r="O26" s="36" t="n">
        <x:f>I26*N26</x:f>
        <x:v>0</x:v>
      </x:c>
      <x:c r="P26" s="33" t="str">
        <x:v>CONTROLLED HYPOTHESIS</x:v>
      </x:c>
      <x:c r="Q26" s="33" t="str">
        <x:v>OPEN</x:v>
      </x:c>
      <x:c r="R26" s="33" t="n">
        <x:v>0</x:v>
      </x:c>
    </x:row>
    <x:row r="27" ht="40" customHeight="1">
      <x:c r="C27" s="33" t="str">
        <x:v>AB-C-03</x:v>
      </x:c>
      <x:c r="D27" s="33" t="str">
        <x:v>LF-C-CF1</x:v>
      </x:c>
      <x:c r="E27" s="33" t="str">
        <x:v>C</x:v>
      </x:c>
      <x:c r="F27" s="33" t="str">
        <x:v>Renewable electrochemical swarm</x:v>
      </x:c>
      <x:c r="G27" s="33" t="str">
        <x:v>LF-R3</x:v>
      </x:c>
      <x:c r="H27" s="33" t="str">
        <x:v>DC local grid and black-start cell</x:v>
      </x:c>
      <x:c r="I27" s="36" t="n">
        <x:v>10</x:v>
      </x:c>
      <x:c r="J27" s="36" t="n">
        <x:v>800</x:v>
      </x:c>
      <x:c r="K27" s="36" t="n">
        <x:f>I27*J27</x:f>
        <x:v>8000</x:v>
      </x:c>
      <x:c r="L27" s="36" t="n">
        <x:v>20</x:v>
      </x:c>
      <x:c r="M27" s="36" t="n">
        <x:f>I27*L27</x:f>
        <x:v>200</x:v>
      </x:c>
      <x:c r="N27" s="36" t="n">
        <x:v>0</x:v>
      </x:c>
      <x:c r="O27" s="36" t="n">
        <x:f>I27*N27</x:f>
        <x:v>0</x:v>
      </x:c>
      <x:c r="P27" s="33" t="str">
        <x:v>CONTROLLED HYPOTHESIS</x:v>
      </x:c>
      <x:c r="Q27" s="33" t="str">
        <x:v>OPEN</x:v>
      </x:c>
      <x:c r="R27" s="33" t="n">
        <x:v>0</x:v>
      </x:c>
    </x:row>
    <x:row r="28" ht="40" customHeight="1">
      <x:c r="C28" s="33" t="str">
        <x:v>AB-C-04</x:v>
      </x:c>
      <x:c r="D28" s="33" t="str">
        <x:v>LF-C-CF1</x:v>
      </x:c>
      <x:c r="E28" s="33" t="str">
        <x:v>C</x:v>
      </x:c>
      <x:c r="F28" s="33" t="str">
        <x:v>Renewable electrochemical swarm</x:v>
      </x:c>
      <x:c r="G28" s="33" t="str">
        <x:v>LF-R4</x:v>
      </x:c>
      <x:c r="H28" s="33" t="str">
        <x:v>solid-state fault-blocking grid bridge</x:v>
      </x:c>
      <x:c r="I28" s="36" t="n">
        <x:v>8</x:v>
      </x:c>
      <x:c r="J28" s="36" t="n">
        <x:v>650</x:v>
      </x:c>
      <x:c r="K28" s="36" t="n">
        <x:f>I28*J28</x:f>
        <x:v>5200</x:v>
      </x:c>
      <x:c r="L28" s="36" t="n">
        <x:v>50</x:v>
      </x:c>
      <x:c r="M28" s="36" t="n">
        <x:f>I28*L28</x:f>
        <x:v>400</x:v>
      </x:c>
      <x:c r="N28" s="36" t="n">
        <x:v>0</x:v>
      </x:c>
      <x:c r="O28" s="36" t="n">
        <x:f>I28*N28</x:f>
        <x:v>0</x:v>
      </x:c>
      <x:c r="P28" s="33" t="str">
        <x:v>CONTROLLED HYPOTHESIS</x:v>
      </x:c>
      <x:c r="Q28" s="33" t="str">
        <x:v>OPEN</x:v>
      </x:c>
      <x:c r="R28" s="33" t="n">
        <x:v>0</x:v>
      </x:c>
    </x:row>
    <x:row r="29" ht="40" customHeight="1">
      <x:c r="C29" s="33" t="str">
        <x:v>AB-C-05</x:v>
      </x:c>
      <x:c r="D29" s="33" t="str">
        <x:v>LF-C-CF1</x:v>
      </x:c>
      <x:c r="E29" s="33" t="str">
        <x:v>C</x:v>
      </x:c>
      <x:c r="F29" s="33" t="str">
        <x:v>Renewable electrochemical swarm</x:v>
      </x:c>
      <x:c r="G29" s="33" t="str">
        <x:v>LF-R5</x:v>
      </x:c>
      <x:c r="H29" s="33" t="str">
        <x:v>heat-pump and thermal-storage cell</x:v>
      </x:c>
      <x:c r="I29" s="36" t="n">
        <x:v>8</x:v>
      </x:c>
      <x:c r="J29" s="36" t="n">
        <x:v>750</x:v>
      </x:c>
      <x:c r="K29" s="36" t="n">
        <x:f>I29*J29</x:f>
        <x:v>6000</x:v>
      </x:c>
      <x:c r="L29" s="36" t="n">
        <x:v>35</x:v>
      </x:c>
      <x:c r="M29" s="36" t="n">
        <x:f>I29*L29</x:f>
        <x:v>280</x:v>
      </x:c>
      <x:c r="N29" s="36" t="n">
        <x:v>0</x:v>
      </x:c>
      <x:c r="O29" s="36" t="n">
        <x:f>I29*N29</x:f>
        <x:v>0</x:v>
      </x:c>
      <x:c r="P29" s="33" t="str">
        <x:v>CONTROLLED HYPOTHESIS</x:v>
      </x:c>
      <x:c r="Q29" s="33" t="str">
        <x:v>OPEN</x:v>
      </x:c>
      <x:c r="R29" s="33" t="n">
        <x:v>0</x:v>
      </x:c>
    </x:row>
    <x:row r="30" ht="40" customHeight="1">
      <x:c r="C30" s="33" t="str">
        <x:v>AB-C-06</x:v>
      </x:c>
      <x:c r="D30" s="33" t="str">
        <x:v>LF-C-CF1</x:v>
      </x:c>
      <x:c r="E30" s="33" t="str">
        <x:v>C</x:v>
      </x:c>
      <x:c r="F30" s="33" t="str">
        <x:v>Renewable electrochemical swarm</x:v>
      </x:c>
      <x:c r="G30" s="33" t="str">
        <x:v>SUPPORT</x:v>
      </x:c>
      <x:c r="H30" s="33" t="str">
        <x:v>water, storage and power-electronic evidence cell</x:v>
      </x:c>
      <x:c r="I30" s="36" t="n">
        <x:v>4</x:v>
      </x:c>
      <x:c r="J30" s="36" t="n">
        <x:v>150</x:v>
      </x:c>
      <x:c r="K30" s="36" t="n">
        <x:f>I30*J30</x:f>
        <x:v>600</x:v>
      </x:c>
      <x:c r="L30" s="36" t="n">
        <x:v>20</x:v>
      </x:c>
      <x:c r="M30" s="36" t="n">
        <x:f>I30*L30</x:f>
        <x:v>80</x:v>
      </x:c>
      <x:c r="N30" s="36" t="n">
        <x:v>0</x:v>
      </x:c>
      <x:c r="O30" s="36" t="n">
        <x:f>I30*N30</x:f>
        <x:v>0</x:v>
      </x:c>
      <x:c r="P30" s="33" t="str">
        <x:v>CONTROLLED HYPOTHESIS</x:v>
      </x:c>
      <x:c r="Q30" s="33" t="str">
        <x:v>OPEN</x:v>
      </x:c>
      <x:c r="R30" s="33" t="n">
        <x:v>0</x:v>
      </x:c>
    </x:row>
    <x:row r="31" ht="40" customHeight="1">
      <x:c r="C31" s="33" t="str">
        <x:v>AB-C-07</x:v>
      </x:c>
      <x:c r="D31" s="33" t="str">
        <x:v>LF-C-CF1</x:v>
      </x:c>
      <x:c r="E31" s="33" t="str">
        <x:v>C</x:v>
      </x:c>
      <x:c r="F31" s="33" t="str">
        <x:v>Renewable electrochemical swarm</x:v>
      </x:c>
      <x:c r="G31" s="33" t="str">
        <x:v>SUPPORT</x:v>
      </x:c>
      <x:c r="H31" s="33" t="str">
        <x:v>cell exchange and field reset group</x:v>
      </x:c>
      <x:c r="I31" s="36" t="n">
        <x:v>4</x:v>
      </x:c>
      <x:c r="J31" s="36" t="n">
        <x:v>800</x:v>
      </x:c>
      <x:c r="K31" s="36" t="n">
        <x:f>I31*J31</x:f>
        <x:v>3200</x:v>
      </x:c>
      <x:c r="L31" s="36" t="n">
        <x:v>70</x:v>
      </x:c>
      <x:c r="M31" s="36" t="n">
        <x:f>I31*L31</x:f>
        <x:v>280</x:v>
      </x:c>
      <x:c r="N31" s="36" t="n">
        <x:v>0</x:v>
      </x:c>
      <x:c r="O31" s="36" t="n">
        <x:f>I31*N31</x:f>
        <x:v>0</x:v>
      </x:c>
      <x:c r="P31" s="33" t="str">
        <x:v>CONTROLLED HYPOTHESIS</x:v>
      </x:c>
      <x:c r="Q31" s="33" t="str">
        <x:v>OPEN</x:v>
      </x:c>
      <x:c r="R31" s="33" t="n">
        <x:v>0</x:v>
      </x:c>
    </x:row>
    <x:row r="32" ht="40" customHeight="1">
      <x:c r="C32" s="33" t="str">
        <x:v>AB-C-08</x:v>
      </x:c>
      <x:c r="D32" s="33" t="str">
        <x:v>LF-C-CF1</x:v>
      </x:c>
      <x:c r="E32" s="33" t="str">
        <x:v>C</x:v>
      </x:c>
      <x:c r="F32" s="33" t="str">
        <x:v>Renewable electrochemical swarm</x:v>
      </x:c>
      <x:c r="G32" s="33" t="str">
        <x:v>SUPPORT</x:v>
      </x:c>
      <x:c r="H32" s="33" t="str">
        <x:v>civil authority and configuration group</x:v>
      </x:c>
      <x:c r="I32" s="36" t="n">
        <x:v>4</x:v>
      </x:c>
      <x:c r="J32" s="36" t="n">
        <x:v>100</x:v>
      </x:c>
      <x:c r="K32" s="36" t="n">
        <x:f>I32*J32</x:f>
        <x:v>400</x:v>
      </x:c>
      <x:c r="L32" s="36" t="n">
        <x:v>40</x:v>
      </x:c>
      <x:c r="M32" s="36" t="n">
        <x:f>I32*L32</x:f>
        <x:v>160</x:v>
      </x:c>
      <x:c r="N32" s="36" t="n">
        <x:v>0</x:v>
      </x:c>
      <x:c r="O32" s="36" t="n">
        <x:f>I32*N32</x:f>
        <x:v>0</x:v>
      </x:c>
      <x:c r="P32" s="33" t="str">
        <x:v>CONTROLLED HYPOTHESIS</x:v>
      </x:c>
      <x:c r="Q32" s="33" t="str">
        <x:v>OPEN</x:v>
      </x:c>
      <x:c r="R32" s="33" t="n">
        <x:v>0</x:v>
      </x:c>
    </x:row>
    <x:row r="33" ht="40" customHeight="1">
      <x:c r="C33" s="33" t="str">
        <x:v>AB-C-09</x:v>
      </x:c>
      <x:c r="D33" s="33" t="str">
        <x:v>LF-C-CF1</x:v>
      </x:c>
      <x:c r="E33" s="33" t="str">
        <x:v>C</x:v>
      </x:c>
      <x:c r="F33" s="33" t="str">
        <x:v>Renewable electrochemical swarm</x:v>
      </x:c>
      <x:c r="G33" s="33" t="str">
        <x:v>SUPPORT</x:v>
      </x:c>
      <x:c r="H33" s="33" t="str">
        <x:v>distributed closed-loop operating base</x:v>
      </x:c>
      <x:c r="I33" s="36" t="n">
        <x:v>4</x:v>
      </x:c>
      <x:c r="J33" s="36" t="n">
        <x:v>1200</x:v>
      </x:c>
      <x:c r="K33" s="36" t="n">
        <x:f>I33*J33</x:f>
        <x:v>4800</x:v>
      </x:c>
      <x:c r="L33" s="36" t="n">
        <x:v>220</x:v>
      </x:c>
      <x:c r="M33" s="36" t="n">
        <x:f>I33*L33</x:f>
        <x:v>880</x:v>
      </x:c>
      <x:c r="N33" s="36" t="n">
        <x:v>0</x:v>
      </x:c>
      <x:c r="O33" s="36" t="n">
        <x:f>I33*N33</x:f>
        <x:v>0</x:v>
      </x:c>
      <x:c r="P33" s="33" t="str">
        <x:v>CONTROLLED HYPOTHESIS</x:v>
      </x:c>
      <x:c r="Q33" s="33" t="str">
        <x:v>OPEN</x:v>
      </x:c>
      <x:c r="R33" s="33" t="n">
        <x:v>0</x:v>
      </x:c>
    </x:row>
    <x:row r="34" ht="40" customHeight="1">
      <x:c r="C34" s="33" t="str">
        <x:v>AB-C-10</x:v>
      </x:c>
      <x:c r="D34" s="33" t="str">
        <x:v>LF-C-CF1</x:v>
      </x:c>
      <x:c r="E34" s="33" t="str">
        <x:v>C</x:v>
      </x:c>
      <x:c r="F34" s="33" t="str">
        <x:v>Renewable electrochemical swarm</x:v>
      </x:c>
      <x:c r="G34" s="33" t="str">
        <x:v>RESERVE</x:v>
      </x:c>
      <x:c r="H34" s="33" t="str">
        <x:v>protected replacement bank</x:v>
      </x:c>
      <x:c r="I34" s="36" t="n">
        <x:v>1</x:v>
      </x:c>
      <x:c r="J34" s="36" t="n">
        <x:v>12000</x:v>
      </x:c>
      <x:c r="K34" s="36" t="n">
        <x:f>I34*J34</x:f>
        <x:v>12000</x:v>
      </x:c>
      <x:c r="L34" s="36" t="n">
        <x:v>0</x:v>
      </x:c>
      <x:c r="M34" s="36" t="n">
        <x:f>I34*L34</x:f>
        <x:v>0</x:v>
      </x:c>
      <x:c r="N34" s="36" t="n">
        <x:v>0</x:v>
      </x:c>
      <x:c r="O34" s="36" t="n">
        <x:f>I34*N34</x:f>
        <x:v>0</x:v>
      </x:c>
      <x:c r="P34" s="33" t="str">
        <x:v>CONTROLLED HYPOTHESIS</x:v>
      </x:c>
      <x:c r="Q34" s="33" t="str">
        <x:v>OPEN</x:v>
      </x:c>
      <x:c r="R34" s="33" t="n">
        <x:v>0</x:v>
      </x:c>
    </x:row>
    <x:row r="35" ht="40" customHeight="1">
      <x:c r="C35" s="33" t="str">
        <x:v>AB-D-01</x:v>
      </x:c>
      <x:c r="D35" s="33" t="str">
        <x:v>LF-D-CF1</x:v>
      </x:c>
      <x:c r="E35" s="33" t="str">
        <x:v>D</x:v>
      </x:c>
      <x:c r="F35" s="33" t="str">
        <x:v>Synthetic-fuel service fleet</x:v>
      </x:c>
      <x:c r="G35" s="33" t="str">
        <x:v>LF-R1</x:v>
      </x:c>
      <x:c r="H35" s="33" t="str">
        <x:v>SFS-50 ammonia-hydrogen hybrid source fleet</x:v>
      </x:c>
      <x:c r="I35" s="36" t="n">
        <x:v>4</x:v>
      </x:c>
      <x:c r="J35" s="36" t="n">
        <x:v>5000</x:v>
      </x:c>
      <x:c r="K35" s="36" t="n">
        <x:f>I35*J35</x:f>
        <x:v>20000</x:v>
      </x:c>
      <x:c r="L35" s="36" t="n">
        <x:v>200</x:v>
      </x:c>
      <x:c r="M35" s="36" t="n">
        <x:f>I35*L35</x:f>
        <x:v>800</x:v>
      </x:c>
      <x:c r="N35" s="36" t="n">
        <x:v>8000</x:v>
      </x:c>
      <x:c r="O35" s="36" t="n">
        <x:f>I35*N35</x:f>
        <x:v>32000</x:v>
      </x:c>
      <x:c r="P35" s="33" t="str">
        <x:v>CONTROLLED HYPOTHESIS</x:v>
      </x:c>
      <x:c r="Q35" s="33" t="str">
        <x:v>OPEN</x:v>
      </x:c>
      <x:c r="R35" s="33" t="n">
        <x:v>0</x:v>
      </x:c>
    </x:row>
    <x:row r="36" ht="40" customHeight="1">
      <x:c r="C36" s="33" t="str">
        <x:v>AB-D-02</x:v>
      </x:c>
      <x:c r="D36" s="33" t="str">
        <x:v>LF-D-CF1</x:v>
      </x:c>
      <x:c r="E36" s="33" t="str">
        <x:v>D</x:v>
      </x:c>
      <x:c r="F36" s="33" t="str">
        <x:v>Synthetic-fuel service fleet</x:v>
      </x:c>
      <x:c r="G36" s="33" t="str">
        <x:v>LF-R2</x:v>
      </x:c>
      <x:c r="H36" s="33" t="str">
        <x:v>membrane-biological water, sanitation and surface-corridor group</x:v>
      </x:c>
      <x:c r="I36" s="36" t="n">
        <x:v>8</x:v>
      </x:c>
      <x:c r="J36" s="36" t="n">
        <x:v>2400</x:v>
      </x:c>
      <x:c r="K36" s="36" t="n">
        <x:f>I36*J36</x:f>
        <x:v>19200</x:v>
      </x:c>
      <x:c r="L36" s="36" t="n">
        <x:v>100</x:v>
      </x:c>
      <x:c r="M36" s="36" t="n">
        <x:f>I36*L36</x:f>
        <x:v>800</x:v>
      </x:c>
      <x:c r="N36" s="36" t="n">
        <x:v>0</x:v>
      </x:c>
      <x:c r="O36" s="36" t="n">
        <x:f>I36*N36</x:f>
        <x:v>0</x:v>
      </x:c>
      <x:c r="P36" s="33" t="str">
        <x:v>CONTROLLED HYPOTHESIS</x:v>
      </x:c>
      <x:c r="Q36" s="33" t="str">
        <x:v>OPEN</x:v>
      </x:c>
      <x:c r="R36" s="33" t="n">
        <x:v>0</x:v>
      </x:c>
    </x:row>
    <x:row r="37" ht="40" customHeight="1">
      <x:c r="C37" s="33" t="str">
        <x:v>AB-D-03</x:v>
      </x:c>
      <x:c r="D37" s="33" t="str">
        <x:v>LF-D-CF1</x:v>
      </x:c>
      <x:c r="E37" s="33" t="str">
        <x:v>D</x:v>
      </x:c>
      <x:c r="F37" s="33" t="str">
        <x:v>Synthetic-fuel service fleet</x:v>
      </x:c>
      <x:c r="G37" s="33" t="str">
        <x:v>LF-R3</x:v>
      </x:c>
      <x:c r="H37" s="33" t="str">
        <x:v>hybrid local grid and black-start cell</x:v>
      </x:c>
      <x:c r="I37" s="36" t="n">
        <x:v>10</x:v>
      </x:c>
      <x:c r="J37" s="36" t="n">
        <x:v>600</x:v>
      </x:c>
      <x:c r="K37" s="36" t="n">
        <x:f>I37*J37</x:f>
        <x:v>6000</x:v>
      </x:c>
      <x:c r="L37" s="36" t="n">
        <x:v>25</x:v>
      </x:c>
      <x:c r="M37" s="36" t="n">
        <x:f>I37*L37</x:f>
        <x:v>250</x:v>
      </x:c>
      <x:c r="N37" s="36" t="n">
        <x:v>0</x:v>
      </x:c>
      <x:c r="O37" s="36" t="n">
        <x:f>I37*N37</x:f>
        <x:v>0</x:v>
      </x:c>
      <x:c r="P37" s="33" t="str">
        <x:v>CONTROLLED HYPOTHESIS</x:v>
      </x:c>
      <x:c r="Q37" s="33" t="str">
        <x:v>OPEN</x:v>
      </x:c>
      <x:c r="R37" s="33" t="n">
        <x:v>0</x:v>
      </x:c>
    </x:row>
    <x:row r="38" ht="40" customHeight="1">
      <x:c r="C38" s="33" t="str">
        <x:v>AB-D-04</x:v>
      </x:c>
      <x:c r="D38" s="33" t="str">
        <x:v>LF-D-CF1</x:v>
      </x:c>
      <x:c r="E38" s="33" t="str">
        <x:v>D</x:v>
      </x:c>
      <x:c r="F38" s="33" t="str">
        <x:v>Synthetic-fuel service fleet</x:v>
      </x:c>
      <x:c r="G38" s="33" t="str">
        <x:v>LF-R4</x:v>
      </x:c>
      <x:c r="H38" s="33" t="str">
        <x:v>recoverable conductor and converter grid bridge</x:v>
      </x:c>
      <x:c r="I38" s="36" t="n">
        <x:v>8</x:v>
      </x:c>
      <x:c r="J38" s="36" t="n">
        <x:v>750</x:v>
      </x:c>
      <x:c r="K38" s="36" t="n">
        <x:f>I38*J38</x:f>
        <x:v>6000</x:v>
      </x:c>
      <x:c r="L38" s="36" t="n">
        <x:v>55</x:v>
      </x:c>
      <x:c r="M38" s="36" t="n">
        <x:f>I38*L38</x:f>
        <x:v>440</x:v>
      </x:c>
      <x:c r="N38" s="36" t="n">
        <x:v>0</x:v>
      </x:c>
      <x:c r="O38" s="36" t="n">
        <x:f>I38*N38</x:f>
        <x:v>0</x:v>
      </x:c>
      <x:c r="P38" s="33" t="str">
        <x:v>CONTROLLED HYPOTHESIS</x:v>
      </x:c>
      <x:c r="Q38" s="33" t="str">
        <x:v>OPEN</x:v>
      </x:c>
      <x:c r="R38" s="33" t="n">
        <x:v>0</x:v>
      </x:c>
    </x:row>
    <x:row r="39" ht="40" customHeight="1">
      <x:c r="C39" s="33" t="str">
        <x:v>AB-D-05</x:v>
      </x:c>
      <x:c r="D39" s="33" t="str">
        <x:v>LF-D-CF1</x:v>
      </x:c>
      <x:c r="E39" s="33" t="str">
        <x:v>D</x:v>
      </x:c>
      <x:c r="F39" s="33" t="str">
        <x:v>Synthetic-fuel service fleet</x:v>
      </x:c>
      <x:c r="G39" s="33" t="str">
        <x:v>LF-R5</x:v>
      </x:c>
      <x:c r="H39" s="33" t="str">
        <x:v>cogeneration heat-recovery cell</x:v>
      </x:c>
      <x:c r="I39" s="36" t="n">
        <x:v>8</x:v>
      </x:c>
      <x:c r="J39" s="36" t="n">
        <x:v>550</x:v>
      </x:c>
      <x:c r="K39" s="36" t="n">
        <x:f>I39*J39</x:f>
        <x:v>4400</x:v>
      </x:c>
      <x:c r="L39" s="36" t="n">
        <x:v>35</x:v>
      </x:c>
      <x:c r="M39" s="36" t="n">
        <x:f>I39*L39</x:f>
        <x:v>280</x:v>
      </x:c>
      <x:c r="N39" s="36" t="n">
        <x:v>0</x:v>
      </x:c>
      <x:c r="O39" s="36" t="n">
        <x:f>I39*N39</x:f>
        <x:v>0</x:v>
      </x:c>
      <x:c r="P39" s="33" t="str">
        <x:v>CONTROLLED HYPOTHESIS</x:v>
      </x:c>
      <x:c r="Q39" s="33" t="str">
        <x:v>OPEN</x:v>
      </x:c>
      <x:c r="R39" s="33" t="n">
        <x:v>0</x:v>
      </x:c>
    </x:row>
    <x:row r="40" ht="40" customHeight="1">
      <x:c r="C40" s="33" t="str">
        <x:v>AB-D-06</x:v>
      </x:c>
      <x:c r="D40" s="33" t="str">
        <x:v>LF-D-CF1</x:v>
      </x:c>
      <x:c r="E40" s="33" t="str">
        <x:v>D</x:v>
      </x:c>
      <x:c r="F40" s="33" t="str">
        <x:v>Synthetic-fuel service fleet</x:v>
      </x:c>
      <x:c r="G40" s="33" t="str">
        <x:v>SUPPORT</x:v>
      </x:c>
      <x:c r="H40" s="33" t="str">
        <x:v>fuel, water and emissions evidence cell</x:v>
      </x:c>
      <x:c r="I40" s="36" t="n">
        <x:v>4</x:v>
      </x:c>
      <x:c r="J40" s="36" t="n">
        <x:v>150</x:v>
      </x:c>
      <x:c r="K40" s="36" t="n">
        <x:f>I40*J40</x:f>
        <x:v>600</x:v>
      </x:c>
      <x:c r="L40" s="36" t="n">
        <x:v>20</x:v>
      </x:c>
      <x:c r="M40" s="36" t="n">
        <x:f>I40*L40</x:f>
        <x:v>80</x:v>
      </x:c>
      <x:c r="N40" s="36" t="n">
        <x:v>0</x:v>
      </x:c>
      <x:c r="O40" s="36" t="n">
        <x:f>I40*N40</x:f>
        <x:v>0</x:v>
      </x:c>
      <x:c r="P40" s="33" t="str">
        <x:v>CONTROLLED HYPOTHESIS</x:v>
      </x:c>
      <x:c r="Q40" s="33" t="str">
        <x:v>OPEN</x:v>
      </x:c>
      <x:c r="R40" s="33" t="n">
        <x:v>0</x:v>
      </x:c>
    </x:row>
    <x:row r="41" ht="40" customHeight="1">
      <x:c r="C41" s="33" t="str">
        <x:v>AB-D-07</x:v>
      </x:c>
      <x:c r="D41" s="33" t="str">
        <x:v>LF-D-CF1</x:v>
      </x:c>
      <x:c r="E41" s="33" t="str">
        <x:v>D</x:v>
      </x:c>
      <x:c r="F41" s="33" t="str">
        <x:v>Synthetic-fuel service fleet</x:v>
      </x:c>
      <x:c r="G41" s="33" t="str">
        <x:v>SUPPORT</x:v>
      </x:c>
      <x:c r="H41" s="33" t="str">
        <x:v>fuel-system repair and reset group</x:v>
      </x:c>
      <x:c r="I41" s="36" t="n">
        <x:v>4</x:v>
      </x:c>
      <x:c r="J41" s="36" t="n">
        <x:v>900</x:v>
      </x:c>
      <x:c r="K41" s="36" t="n">
        <x:f>I41*J41</x:f>
        <x:v>3600</x:v>
      </x:c>
      <x:c r="L41" s="36" t="n">
        <x:v>80</x:v>
      </x:c>
      <x:c r="M41" s="36" t="n">
        <x:f>I41*L41</x:f>
        <x:v>320</x:v>
      </x:c>
      <x:c r="N41" s="36" t="n">
        <x:v>0</x:v>
      </x:c>
      <x:c r="O41" s="36" t="n">
        <x:f>I41*N41</x:f>
        <x:v>0</x:v>
      </x:c>
      <x:c r="P41" s="33" t="str">
        <x:v>CONTROLLED HYPOTHESIS</x:v>
      </x:c>
      <x:c r="Q41" s="33" t="str">
        <x:v>OPEN</x:v>
      </x:c>
      <x:c r="R41" s="33" t="n">
        <x:v>0</x:v>
      </x:c>
    </x:row>
    <x:row r="42" ht="40" customHeight="1">
      <x:c r="C42" s="33" t="str">
        <x:v>AB-D-08</x:v>
      </x:c>
      <x:c r="D42" s="33" t="str">
        <x:v>LF-D-CF1</x:v>
      </x:c>
      <x:c r="E42" s="33" t="str">
        <x:v>D</x:v>
      </x:c>
      <x:c r="F42" s="33" t="str">
        <x:v>Synthetic-fuel service fleet</x:v>
      </x:c>
      <x:c r="G42" s="33" t="str">
        <x:v>SUPPORT</x:v>
      </x:c>
      <x:c r="H42" s="33" t="str">
        <x:v>civil authority and configuration group</x:v>
      </x:c>
      <x:c r="I42" s="36" t="n">
        <x:v>4</x:v>
      </x:c>
      <x:c r="J42" s="36" t="n">
        <x:v>100</x:v>
      </x:c>
      <x:c r="K42" s="36" t="n">
        <x:f>I42*J42</x:f>
        <x:v>400</x:v>
      </x:c>
      <x:c r="L42" s="36" t="n">
        <x:v>40</x:v>
      </x:c>
      <x:c r="M42" s="36" t="n">
        <x:f>I42*L42</x:f>
        <x:v>160</x:v>
      </x:c>
      <x:c r="N42" s="36" t="n">
        <x:v>0</x:v>
      </x:c>
      <x:c r="O42" s="36" t="n">
        <x:f>I42*N42</x:f>
        <x:v>0</x:v>
      </x:c>
      <x:c r="P42" s="33" t="str">
        <x:v>CONTROLLED HYPOTHESIS</x:v>
      </x:c>
      <x:c r="Q42" s="33" t="str">
        <x:v>OPEN</x:v>
      </x:c>
      <x:c r="R42" s="33" t="n">
        <x:v>0</x:v>
      </x:c>
    </x:row>
    <x:row r="43" ht="40" customHeight="1">
      <x:c r="C43" s="33" t="str">
        <x:v>AB-D-09</x:v>
      </x:c>
      <x:c r="D43" s="33" t="str">
        <x:v>LF-D-CF1</x:v>
      </x:c>
      <x:c r="E43" s="33" t="str">
        <x:v>D</x:v>
      </x:c>
      <x:c r="F43" s="33" t="str">
        <x:v>Synthetic-fuel service fleet</x:v>
      </x:c>
      <x:c r="G43" s="33" t="str">
        <x:v>SUPPORT</x:v>
      </x:c>
      <x:c r="H43" s="33" t="str">
        <x:v>closed-loop mobile operating base</x:v>
      </x:c>
      <x:c r="I43" s="36" t="n">
        <x:v>4</x:v>
      </x:c>
      <x:c r="J43" s="36" t="n">
        <x:v>1300</x:v>
      </x:c>
      <x:c r="K43" s="36" t="n">
        <x:f>I43*J43</x:f>
        <x:v>5200</x:v>
      </x:c>
      <x:c r="L43" s="36" t="n">
        <x:v>230</x:v>
      </x:c>
      <x:c r="M43" s="36" t="n">
        <x:f>I43*L43</x:f>
        <x:v>920</x:v>
      </x:c>
      <x:c r="N43" s="36" t="n">
        <x:v>0</x:v>
      </x:c>
      <x:c r="O43" s="36" t="n">
        <x:f>I43*N43</x:f>
        <x:v>0</x:v>
      </x:c>
      <x:c r="P43" s="33" t="str">
        <x:v>CONTROLLED HYPOTHESIS</x:v>
      </x:c>
      <x:c r="Q43" s="33" t="str">
        <x:v>OPEN</x:v>
      </x:c>
      <x:c r="R43" s="33" t="n">
        <x:v>0</x:v>
      </x:c>
    </x:row>
    <x:row r="44" ht="40" customHeight="1">
      <x:c r="C44" s="34" t="str">
        <x:v>AB-D-10</x:v>
      </x:c>
      <x:c r="D44" s="34" t="str">
        <x:v>LF-D-CF1</x:v>
      </x:c>
      <x:c r="E44" s="34" t="str">
        <x:v>D</x:v>
      </x:c>
      <x:c r="F44" s="34" t="str">
        <x:v>Synthetic-fuel service fleet</x:v>
      </x:c>
      <x:c r="G44" s="34" t="str">
        <x:v>RESERVE</x:v>
      </x:c>
      <x:c r="H44" s="34" t="str">
        <x:v>protected replacement bank</x:v>
      </x:c>
      <x:c r="I44" s="37" t="n">
        <x:v>1</x:v>
      </x:c>
      <x:c r="J44" s="37" t="n">
        <x:v>8000</x:v>
      </x:c>
      <x:c r="K44" s="37" t="n">
        <x:f>I44*J44</x:f>
        <x:v>8000</x:v>
      </x:c>
      <x:c r="L44" s="37" t="n">
        <x:v>0</x:v>
      </x:c>
      <x:c r="M44" s="37" t="n">
        <x:f>I44*L44</x:f>
        <x:v>0</x:v>
      </x:c>
      <x:c r="N44" s="37" t="n">
        <x:v>0</x:v>
      </x:c>
      <x:c r="O44" s="37" t="n">
        <x:f>I44*N44</x:f>
        <x:v>0</x:v>
      </x:c>
      <x:c r="P44" s="34" t="str">
        <x:v>CONTROLLED HYPOTHESIS</x:v>
      </x:c>
      <x:c r="Q44" s="34" t="str">
        <x:v>OPEN</x:v>
      </x:c>
      <x:c r="R44" s="34" t="n">
        <x:v>0</x:v>
      </x:c>
    </x:row>
  </x:sheetData>
  <x:conditionalFormatting sqref="Q5:R44">
    <x:cfRule type="containsText" dxfId="18" priority="1" operator="containsText" text="FAIL"/>
    <x:cfRule type="containsText" dxfId="19" priority="2" operator="containsText" text="OPEN"/>
    <x:cfRule type="containsText" dxfId="20" priority="3" operator="containsText" text="HOLD"/>
    <x:cfRule type="containsText" dxfId="21" priority="4" operator="containsText" text="SELECT"/>
    <x:cfRule type="containsText" dxfId="22" priority="5" operator="containsText" text="PASS"/>
    <x:cfRule type="containsText" dxfId="23" priority="6" operator="containsText" text="BLOCK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0" hidden="0" customWidth="1"/>
    <x:col min="4" max="4" width="10.5600004196167" hidden="0" customWidth="1"/>
    <x:col min="5" max="5" width="6.110000133514404" hidden="0" customWidth="1"/>
    <x:col min="6" max="6" width="24.440000534057617" hidden="0" customWidth="1"/>
    <x:col min="7" max="7" width="12.220000267028809" hidden="0" customWidth="1"/>
    <x:col min="8" max="8" width="6.670000076293945" hidden="0" customWidth="1"/>
    <x:col min="9" max="9" width="11.670000076293945" hidden="0" customWidth="1"/>
    <x:col min="10" max="10" width="10" hidden="0" customWidth="1"/>
    <x:col min="11" max="11" width="9.4399995803833" hidden="0" customWidth="1"/>
    <x:col min="12" max="12" width="8.890000343322754" hidden="0" customWidth="1"/>
  </x:cols>
  <x:sheetData>
    <x:row r="2">
      <x:c r="C2" s="1" t="str">
        <x:v>Root service-capacity reconciliation</x:v>
      </x:c>
    </x:row>
    <x:row r="3">
      <x:c r="C3" s="2" t="str">
        <x:v>Each total is calculated from the controlled position register; serial route totals are not added into one nameplate claim.</x:v>
      </x:c>
    </x:row>
    <x:row r="4" ht="30" customHeight="1">
      <x:c r="C4" s="23" t="str">
        <x:v>Record</x:v>
      </x:c>
      <x:c r="D4" s="23" t="str">
        <x:v>Configuration</x:v>
      </x:c>
      <x:c r="E4" s="23" t="str">
        <x:v>Root</x:v>
      </x:c>
      <x:c r="F4" s="23" t="str">
        <x:v>Metric</x:v>
      </x:c>
      <x:c r="G4" s="23" t="str">
        <x:v>Observed</x:v>
      </x:c>
      <x:c r="H4" s="23" t="str">
        <x:v>Test</x:v>
      </x:c>
      <x:c r="I4" s="23" t="str">
        <x:v>Required</x:v>
      </x:c>
      <x:c r="J4" s="23" t="str">
        <x:v>Unit</x:v>
      </x:c>
      <x:c r="K4" s="23" t="str">
        <x:v>Planning</x:v>
      </x:c>
      <x:c r="L4" s="23" t="str">
        <x:v>Owning route</x:v>
      </x:c>
    </x:row>
    <x:row r="5" ht="32" customHeight="1">
      <x:c r="C5" s="27" t="str">
        <x:v>CB-A-01</x:v>
      </x:c>
      <x:c r="D5" s="27" t="str">
        <x:v>LF-A-CF1</x:v>
      </x:c>
      <x:c r="E5" s="27" t="str">
        <x:v>A</x:v>
      </x:c>
      <x:c r="F5" s="27" t="str">
        <x:v>Strategic water production</x:v>
      </x:c>
      <x:c r="G5" s="48" t="n">
        <x:f>SUMIFS('Position Register'!$J$5:$J$156,'Position Register'!$D$5:$D$156,$D5)</x:f>
        <x:v>100000</x:v>
      </x:c>
      <x:c r="H5" s="48" t="str">
        <x:v>&gt;=</x:v>
      </x:c>
      <x:c r="I5" s="48" t="n">
        <x:v>100000</x:v>
      </x:c>
      <x:c r="J5" s="27" t="str">
        <x:v>m³/day</x:v>
      </x:c>
      <x:c r="K5" s="27" t="str">
        <x:f>IF(G5&gt;=I5,"PASS","FAIL")</x:f>
        <x:v>PASS</x:v>
      </x:c>
      <x:c r="L5" s="27" t="str">
        <x:v>LF-R1</x:v>
      </x:c>
    </x:row>
    <x:row r="6" ht="32" customHeight="1">
      <x:c r="C6" s="28" t="str">
        <x:v>CB-A-02</x:v>
      </x:c>
      <x:c r="D6" s="28" t="str">
        <x:v>LF-A-CF1</x:v>
      </x:c>
      <x:c r="E6" s="28" t="str">
        <x:v>A</x:v>
      </x:c>
      <x:c r="F6" s="28" t="str">
        <x:v>Point-of-use water release</x:v>
      </x:c>
      <x:c r="G6" s="49" t="n">
        <x:f>SUMIFS('Position Register'!$K$5:$K$156,'Position Register'!$D$5:$D$156,$D6)</x:f>
        <x:v>100000</x:v>
      </x:c>
      <x:c r="H6" s="49" t="str">
        <x:v>&gt;=</x:v>
      </x:c>
      <x:c r="I6" s="49" t="n">
        <x:v>100000</x:v>
      </x:c>
      <x:c r="J6" s="28" t="str">
        <x:v>m³/day</x:v>
      </x:c>
      <x:c r="K6" s="28" t="str">
        <x:f>IF(G6&gt;=I6,"PASS","FAIL")</x:f>
        <x:v>PASS</x:v>
      </x:c>
      <x:c r="L6" s="28" t="str">
        <x:v>LF-R2</x:v>
      </x:c>
    </x:row>
    <x:row r="7" ht="32" customHeight="1">
      <x:c r="C7" s="28" t="str">
        <x:v>CB-A-03</x:v>
      </x:c>
      <x:c r="D7" s="28" t="str">
        <x:v>LF-A-CF1</x:v>
      </x:c>
      <x:c r="E7" s="28" t="str">
        <x:v>A</x:v>
      </x:c>
      <x:c r="F7" s="28" t="str">
        <x:v>Wastewater or residual intake</x:v>
      </x:c>
      <x:c r="G7" s="49" t="n">
        <x:f>SUMIFS('Position Register'!$L$5:$L$156,'Position Register'!$D$5:$D$156,$D7)</x:f>
        <x:v>80000</x:v>
      </x:c>
      <x:c r="H7" s="49" t="str">
        <x:v>&gt;=</x:v>
      </x:c>
      <x:c r="I7" s="49" t="n">
        <x:v>80000</x:v>
      </x:c>
      <x:c r="J7" s="28" t="str">
        <x:v>m³/day</x:v>
      </x:c>
      <x:c r="K7" s="28" t="str">
        <x:f>IF(G7&gt;=I7,"PASS","FAIL")</x:f>
        <x:v>PASS</x:v>
      </x:c>
      <x:c r="L7" s="28" t="str">
        <x:v>LF-R2</x:v>
      </x:c>
    </x:row>
    <x:row r="8" ht="32" customHeight="1">
      <x:c r="C8" s="28" t="str">
        <x:v>CB-A-04</x:v>
      </x:c>
      <x:c r="D8" s="28" t="str">
        <x:v>LF-A-CF1</x:v>
      </x:c>
      <x:c r="E8" s="28" t="str">
        <x:v>A</x:v>
      </x:c>
      <x:c r="F8" s="28" t="str">
        <x:v>Local firm power</x:v>
      </x:c>
      <x:c r="G8" s="49" t="n">
        <x:f>SUMIFS('Position Register'!$M$5:$M$156,'Position Register'!$D$5:$D$156,$D8,'Position Register'!$F$5:$F$156,"LF-R3")</x:f>
        <x:v>100</x:v>
      </x:c>
      <x:c r="H8" s="49" t="str">
        <x:v>&gt;=</x:v>
      </x:c>
      <x:c r="I8" s="49" t="n">
        <x:v>100</x:v>
      </x:c>
      <x:c r="J8" s="28" t="str">
        <x:v>MW</x:v>
      </x:c>
      <x:c r="K8" s="28" t="str">
        <x:f>IF(G8&gt;=I8,"PASS","FAIL")</x:f>
        <x:v>PASS</x:v>
      </x:c>
      <x:c r="L8" s="28" t="str">
        <x:v>LF-R3</x:v>
      </x:c>
    </x:row>
    <x:row r="9" ht="32" customHeight="1">
      <x:c r="C9" s="28" t="str">
        <x:v>CB-A-05</x:v>
      </x:c>
      <x:c r="D9" s="28" t="str">
        <x:v>LF-A-CF1</x:v>
      </x:c>
      <x:c r="E9" s="28" t="str">
        <x:v>A</x:v>
      </x:c>
      <x:c r="F9" s="28" t="str">
        <x:v>Grid bridge power</x:v>
      </x:c>
      <x:c r="G9" s="49" t="n">
        <x:f>SUMIFS('Position Register'!$M$5:$M$156,'Position Register'!$D$5:$D$156,$D9,'Position Register'!$F$5:$F$156,"LF-R4")</x:f>
        <x:v>100</x:v>
      </x:c>
      <x:c r="H9" s="49" t="str">
        <x:v>&gt;=</x:v>
      </x:c>
      <x:c r="I9" s="49" t="n">
        <x:v>100</x:v>
      </x:c>
      <x:c r="J9" s="28" t="str">
        <x:v>MW</x:v>
      </x:c>
      <x:c r="K9" s="28" t="str">
        <x:f>IF(G9&gt;=I9,"PASS","FAIL")</x:f>
        <x:v>PASS</x:v>
      </x:c>
      <x:c r="L9" s="28" t="str">
        <x:v>LF-R4</x:v>
      </x:c>
    </x:row>
    <x:row r="10" ht="32" customHeight="1">
      <x:c r="C10" s="28" t="str">
        <x:v>CB-A-06</x:v>
      </x:c>
      <x:c r="D10" s="28" t="str">
        <x:v>LF-A-CF1</x:v>
      </x:c>
      <x:c r="E10" s="28" t="str">
        <x:v>A</x:v>
      </x:c>
      <x:c r="F10" s="28" t="str">
        <x:v>Thermal safety</x:v>
      </x:c>
      <x:c r="G10" s="49" t="n">
        <x:f>SUMIFS('Position Register'!$O$5:$O$156,'Position Register'!$D$5:$D$156,$D10,'Position Register'!$F$5:$F$156,"LF-R5")</x:f>
        <x:v>80</x:v>
      </x:c>
      <x:c r="H10" s="49" t="str">
        <x:v>&gt;=</x:v>
      </x:c>
      <x:c r="I10" s="49" t="n">
        <x:v>80</x:v>
      </x:c>
      <x:c r="J10" s="28" t="str">
        <x:v>MWth</x:v>
      </x:c>
      <x:c r="K10" s="28" t="str">
        <x:f>IF(G10&gt;=I10,"PASS","FAIL")</x:f>
        <x:v>PASS</x:v>
      </x:c>
      <x:c r="L10" s="28" t="str">
        <x:v>LF-R5</x:v>
      </x:c>
    </x:row>
    <x:row r="11" ht="32" customHeight="1">
      <x:c r="C11" s="28" t="str">
        <x:v>CB-A-07</x:v>
      </x:c>
      <x:c r="D11" s="28" t="str">
        <x:v>LF-A-CF1</x:v>
      </x:c>
      <x:c r="E11" s="28" t="str">
        <x:v>A</x:v>
      </x:c>
      <x:c r="F11" s="28" t="str">
        <x:v>Water buffer</x:v>
      </x:c>
      <x:c r="G11" s="49" t="n">
        <x:f>SUMIFS('Position Register'!$P$5:$P$156,'Position Register'!$D$5:$D$156,$D11)</x:f>
        <x:v>100000</x:v>
      </x:c>
      <x:c r="H11" s="49" t="str">
        <x:v>&gt;=</x:v>
      </x:c>
      <x:c r="I11" s="49" t="n">
        <x:v>100000</x:v>
      </x:c>
      <x:c r="J11" s="28" t="str">
        <x:v>m³</x:v>
      </x:c>
      <x:c r="K11" s="28" t="str">
        <x:f>IF(G11&gt;=I11,"PASS","FAIL")</x:f>
        <x:v>PASS</x:v>
      </x:c>
      <x:c r="L11" s="28" t="str">
        <x:v>LF-R2</x:v>
      </x:c>
    </x:row>
    <x:row r="12" ht="32" customHeight="1">
      <x:c r="C12" s="28" t="str">
        <x:v>CB-A-08</x:v>
      </x:c>
      <x:c r="D12" s="28" t="str">
        <x:v>LF-A-CF1</x:v>
      </x:c>
      <x:c r="E12" s="28" t="str">
        <x:v>A</x:v>
      </x:c>
      <x:c r="F12" s="28" t="str">
        <x:v>Water pipe</x:v>
      </x:c>
      <x:c r="G12" s="49" t="n">
        <x:f>SUMIFS('Position Register'!$Q$5:$Q$156,'Position Register'!$D$5:$D$156,$D12,'Position Register'!$F$5:$F$156,"LF-R2")</x:f>
        <x:v>240</x:v>
      </x:c>
      <x:c r="H12" s="49" t="str">
        <x:v>&gt;=</x:v>
      </x:c>
      <x:c r="I12" s="49" t="n">
        <x:v>240</x:v>
      </x:c>
      <x:c r="J12" s="28" t="str">
        <x:v>pipe-km</x:v>
      </x:c>
      <x:c r="K12" s="28" t="str">
        <x:f>IF(G12&gt;=I12,"PASS","FAIL")</x:f>
        <x:v>PASS</x:v>
      </x:c>
      <x:c r="L12" s="28" t="str">
        <x:v>LF-R2</x:v>
      </x:c>
    </x:row>
    <x:row r="13" ht="32" customHeight="1">
      <x:c r="C13" s="28" t="str">
        <x:v>CB-A-09</x:v>
      </x:c>
      <x:c r="D13" s="28" t="str">
        <x:v>LF-A-CF1</x:v>
      </x:c>
      <x:c r="E13" s="28" t="str">
        <x:v>A</x:v>
      </x:c>
      <x:c r="F13" s="28" t="str">
        <x:v>Power corridor</x:v>
      </x:c>
      <x:c r="G13" s="49" t="n">
        <x:f>SUMIFS('Position Register'!$Q$5:$Q$156,'Position Register'!$D$5:$D$156,$D13,'Position Register'!$F$5:$F$156,"LF-R4")</x:f>
        <x:v>120</x:v>
      </x:c>
      <x:c r="H13" s="49" t="str">
        <x:v>&gt;=</x:v>
      </x:c>
      <x:c r="I13" s="49" t="n">
        <x:v>120</x:v>
      </x:c>
      <x:c r="J13" s="28" t="str">
        <x:v>route-km</x:v>
      </x:c>
      <x:c r="K13" s="28" t="str">
        <x:f>IF(G13&gt;=I13,"PASS","FAIL")</x:f>
        <x:v>PASS</x:v>
      </x:c>
      <x:c r="L13" s="28" t="str">
        <x:v>LF-R4</x:v>
      </x:c>
    </x:row>
    <x:row r="14" ht="32" customHeight="1">
      <x:c r="C14" s="28" t="str">
        <x:v>CB-A-10</x:v>
      </x:c>
      <x:c r="D14" s="28" t="str">
        <x:v>LF-A-CF1</x:v>
      </x:c>
      <x:c r="E14" s="28" t="str">
        <x:v>A</x:v>
      </x:c>
      <x:c r="F14" s="28" t="str">
        <x:v>Black-start storage</x:v>
      </x:c>
      <x:c r="G14" s="49" t="n">
        <x:f>SUMIFS('Position Register'!$R$5:$R$156,'Position Register'!$D$5:$D$156,$D14)</x:f>
        <x:v>200</x:v>
      </x:c>
      <x:c r="H14" s="49" t="str">
        <x:v>&gt;=</x:v>
      </x:c>
      <x:c r="I14" s="49" t="n">
        <x:v>200</x:v>
      </x:c>
      <x:c r="J14" s="28" t="str">
        <x:v>MWh</x:v>
      </x:c>
      <x:c r="K14" s="28" t="str">
        <x:f>IF(G14&gt;=I14,"PASS","FAIL")</x:f>
        <x:v>PASS</x:v>
      </x:c>
      <x:c r="L14" s="28" t="str">
        <x:v>LF-R3</x:v>
      </x:c>
    </x:row>
    <x:row r="15" ht="32" customHeight="1">
      <x:c r="C15" s="28" t="str">
        <x:v>CB-B-01</x:v>
      </x:c>
      <x:c r="D15" s="28" t="str">
        <x:v>LF-B-CF1</x:v>
      </x:c>
      <x:c r="E15" s="28" t="str">
        <x:v>B</x:v>
      </x:c>
      <x:c r="F15" s="28" t="str">
        <x:v>Strategic water production</x:v>
      </x:c>
      <x:c r="G15" s="49" t="n">
        <x:f>SUMIFS('Position Register'!$J$5:$J$156,'Position Register'!$D$5:$D$156,$D15)</x:f>
        <x:v>100000</x:v>
      </x:c>
      <x:c r="H15" s="49" t="str">
        <x:v>&gt;=</x:v>
      </x:c>
      <x:c r="I15" s="49" t="n">
        <x:v>100000</x:v>
      </x:c>
      <x:c r="J15" s="28" t="str">
        <x:v>m³/day</x:v>
      </x:c>
      <x:c r="K15" s="28" t="str">
        <x:f>IF(G15&gt;=I15,"PASS","FAIL")</x:f>
        <x:v>PASS</x:v>
      </x:c>
      <x:c r="L15" s="28" t="str">
        <x:v>LF-R1</x:v>
      </x:c>
    </x:row>
    <x:row r="16" ht="32" customHeight="1">
      <x:c r="C16" s="28" t="str">
        <x:v>CB-B-02</x:v>
      </x:c>
      <x:c r="D16" s="28" t="str">
        <x:v>LF-B-CF1</x:v>
      </x:c>
      <x:c r="E16" s="28" t="str">
        <x:v>B</x:v>
      </x:c>
      <x:c r="F16" s="28" t="str">
        <x:v>Point-of-use water release</x:v>
      </x:c>
      <x:c r="G16" s="49" t="n">
        <x:f>SUMIFS('Position Register'!$K$5:$K$156,'Position Register'!$D$5:$D$156,$D16)</x:f>
        <x:v>100000</x:v>
      </x:c>
      <x:c r="H16" s="49" t="str">
        <x:v>&gt;=</x:v>
      </x:c>
      <x:c r="I16" s="49" t="n">
        <x:v>100000</x:v>
      </x:c>
      <x:c r="J16" s="28" t="str">
        <x:v>m³/day</x:v>
      </x:c>
      <x:c r="K16" s="28" t="str">
        <x:f>IF(G16&gt;=I16,"PASS","FAIL")</x:f>
        <x:v>PASS</x:v>
      </x:c>
      <x:c r="L16" s="28" t="str">
        <x:v>LF-R2</x:v>
      </x:c>
    </x:row>
    <x:row r="17" ht="32" customHeight="1">
      <x:c r="C17" s="28" t="str">
        <x:v>CB-B-03</x:v>
      </x:c>
      <x:c r="D17" s="28" t="str">
        <x:v>LF-B-CF1</x:v>
      </x:c>
      <x:c r="E17" s="28" t="str">
        <x:v>B</x:v>
      </x:c>
      <x:c r="F17" s="28" t="str">
        <x:v>Wastewater or residual intake</x:v>
      </x:c>
      <x:c r="G17" s="49" t="n">
        <x:f>SUMIFS('Position Register'!$L$5:$L$156,'Position Register'!$D$5:$D$156,$D17)</x:f>
        <x:v>80000</x:v>
      </x:c>
      <x:c r="H17" s="49" t="str">
        <x:v>&gt;=</x:v>
      </x:c>
      <x:c r="I17" s="49" t="n">
        <x:v>80000</x:v>
      </x:c>
      <x:c r="J17" s="28" t="str">
        <x:v>m³/day</x:v>
      </x:c>
      <x:c r="K17" s="28" t="str">
        <x:f>IF(G17&gt;=I17,"PASS","FAIL")</x:f>
        <x:v>PASS</x:v>
      </x:c>
      <x:c r="L17" s="28" t="str">
        <x:v>LF-R2</x:v>
      </x:c>
    </x:row>
    <x:row r="18" ht="32" customHeight="1">
      <x:c r="C18" s="28" t="str">
        <x:v>CB-B-04</x:v>
      </x:c>
      <x:c r="D18" s="28" t="str">
        <x:v>LF-B-CF1</x:v>
      </x:c>
      <x:c r="E18" s="28" t="str">
        <x:v>B</x:v>
      </x:c>
      <x:c r="F18" s="28" t="str">
        <x:v>Local firm power</x:v>
      </x:c>
      <x:c r="G18" s="49" t="n">
        <x:f>SUMIFS('Position Register'!$M$5:$M$156,'Position Register'!$D$5:$D$156,$D18,'Position Register'!$F$5:$F$156,"LF-R3")</x:f>
        <x:v>100</x:v>
      </x:c>
      <x:c r="H18" s="49" t="str">
        <x:v>&gt;=</x:v>
      </x:c>
      <x:c r="I18" s="49" t="n">
        <x:v>100</x:v>
      </x:c>
      <x:c r="J18" s="28" t="str">
        <x:v>MW</x:v>
      </x:c>
      <x:c r="K18" s="28" t="str">
        <x:f>IF(G18&gt;=I18,"PASS","FAIL")</x:f>
        <x:v>PASS</x:v>
      </x:c>
      <x:c r="L18" s="28" t="str">
        <x:v>LF-R3</x:v>
      </x:c>
    </x:row>
    <x:row r="19" ht="32" customHeight="1">
      <x:c r="C19" s="28" t="str">
        <x:v>CB-B-05</x:v>
      </x:c>
      <x:c r="D19" s="28" t="str">
        <x:v>LF-B-CF1</x:v>
      </x:c>
      <x:c r="E19" s="28" t="str">
        <x:v>B</x:v>
      </x:c>
      <x:c r="F19" s="28" t="str">
        <x:v>Grid bridge power</x:v>
      </x:c>
      <x:c r="G19" s="49" t="n">
        <x:f>SUMIFS('Position Register'!$M$5:$M$156,'Position Register'!$D$5:$D$156,$D19,'Position Register'!$F$5:$F$156,"LF-R4")</x:f>
        <x:v>100</x:v>
      </x:c>
      <x:c r="H19" s="49" t="str">
        <x:v>&gt;=</x:v>
      </x:c>
      <x:c r="I19" s="49" t="n">
        <x:v>100</x:v>
      </x:c>
      <x:c r="J19" s="28" t="str">
        <x:v>MW</x:v>
      </x:c>
      <x:c r="K19" s="28" t="str">
        <x:f>IF(G19&gt;=I19,"PASS","FAIL")</x:f>
        <x:v>PASS</x:v>
      </x:c>
      <x:c r="L19" s="28" t="str">
        <x:v>LF-R4</x:v>
      </x:c>
    </x:row>
    <x:row r="20" ht="32" customHeight="1">
      <x:c r="C20" s="28" t="str">
        <x:v>CB-B-06</x:v>
      </x:c>
      <x:c r="D20" s="28" t="str">
        <x:v>LF-B-CF1</x:v>
      </x:c>
      <x:c r="E20" s="28" t="str">
        <x:v>B</x:v>
      </x:c>
      <x:c r="F20" s="28" t="str">
        <x:v>Thermal safety</x:v>
      </x:c>
      <x:c r="G20" s="49" t="n">
        <x:f>SUMIFS('Position Register'!$O$5:$O$156,'Position Register'!$D$5:$D$156,$D20,'Position Register'!$F$5:$F$156,"LF-R5")</x:f>
        <x:v>80</x:v>
      </x:c>
      <x:c r="H20" s="49" t="str">
        <x:v>&gt;=</x:v>
      </x:c>
      <x:c r="I20" s="49" t="n">
        <x:v>80</x:v>
      </x:c>
      <x:c r="J20" s="28" t="str">
        <x:v>MWth</x:v>
      </x:c>
      <x:c r="K20" s="28" t="str">
        <x:f>IF(G20&gt;=I20,"PASS","FAIL")</x:f>
        <x:v>PASS</x:v>
      </x:c>
      <x:c r="L20" s="28" t="str">
        <x:v>LF-R5</x:v>
      </x:c>
    </x:row>
    <x:row r="21" ht="32" customHeight="1">
      <x:c r="C21" s="28" t="str">
        <x:v>CB-B-07</x:v>
      </x:c>
      <x:c r="D21" s="28" t="str">
        <x:v>LF-B-CF1</x:v>
      </x:c>
      <x:c r="E21" s="28" t="str">
        <x:v>B</x:v>
      </x:c>
      <x:c r="F21" s="28" t="str">
        <x:v>Water buffer</x:v>
      </x:c>
      <x:c r="G21" s="49" t="n">
        <x:f>SUMIFS('Position Register'!$P$5:$P$156,'Position Register'!$D$5:$D$156,$D21)</x:f>
        <x:v>100000</x:v>
      </x:c>
      <x:c r="H21" s="49" t="str">
        <x:v>&gt;=</x:v>
      </x:c>
      <x:c r="I21" s="49" t="n">
        <x:v>100000</x:v>
      </x:c>
      <x:c r="J21" s="28" t="str">
        <x:v>m³</x:v>
      </x:c>
      <x:c r="K21" s="28" t="str">
        <x:f>IF(G21&gt;=I21,"PASS","FAIL")</x:f>
        <x:v>PASS</x:v>
      </x:c>
      <x:c r="L21" s="28" t="str">
        <x:v>LF-R2</x:v>
      </x:c>
    </x:row>
    <x:row r="22" ht="32" customHeight="1">
      <x:c r="C22" s="28" t="str">
        <x:v>CB-B-08</x:v>
      </x:c>
      <x:c r="D22" s="28" t="str">
        <x:v>LF-B-CF1</x:v>
      </x:c>
      <x:c r="E22" s="28" t="str">
        <x:v>B</x:v>
      </x:c>
      <x:c r="F22" s="28" t="str">
        <x:v>Water pipe</x:v>
      </x:c>
      <x:c r="G22" s="49" t="n">
        <x:f>SUMIFS('Position Register'!$Q$5:$Q$156,'Position Register'!$D$5:$D$156,$D22,'Position Register'!$F$5:$F$156,"LF-R2")</x:f>
        <x:v>240</x:v>
      </x:c>
      <x:c r="H22" s="49" t="str">
        <x:v>&gt;=</x:v>
      </x:c>
      <x:c r="I22" s="49" t="n">
        <x:v>240</x:v>
      </x:c>
      <x:c r="J22" s="28" t="str">
        <x:v>pipe-km</x:v>
      </x:c>
      <x:c r="K22" s="28" t="str">
        <x:f>IF(G22&gt;=I22,"PASS","FAIL")</x:f>
        <x:v>PASS</x:v>
      </x:c>
      <x:c r="L22" s="28" t="str">
        <x:v>LF-R2</x:v>
      </x:c>
    </x:row>
    <x:row r="23" ht="32" customHeight="1">
      <x:c r="C23" s="28" t="str">
        <x:v>CB-B-09</x:v>
      </x:c>
      <x:c r="D23" s="28" t="str">
        <x:v>LF-B-CF1</x:v>
      </x:c>
      <x:c r="E23" s="28" t="str">
        <x:v>B</x:v>
      </x:c>
      <x:c r="F23" s="28" t="str">
        <x:v>Power corridor</x:v>
      </x:c>
      <x:c r="G23" s="49" t="n">
        <x:f>SUMIFS('Position Register'!$Q$5:$Q$156,'Position Register'!$D$5:$D$156,$D23,'Position Register'!$F$5:$F$156,"LF-R4")</x:f>
        <x:v>120</x:v>
      </x:c>
      <x:c r="H23" s="49" t="str">
        <x:v>&gt;=</x:v>
      </x:c>
      <x:c r="I23" s="49" t="n">
        <x:v>120</x:v>
      </x:c>
      <x:c r="J23" s="28" t="str">
        <x:v>route-km</x:v>
      </x:c>
      <x:c r="K23" s="28" t="str">
        <x:f>IF(G23&gt;=I23,"PASS","FAIL")</x:f>
        <x:v>PASS</x:v>
      </x:c>
      <x:c r="L23" s="28" t="str">
        <x:v>LF-R4</x:v>
      </x:c>
    </x:row>
    <x:row r="24" ht="32" customHeight="1">
      <x:c r="C24" s="28" t="str">
        <x:v>CB-B-10</x:v>
      </x:c>
      <x:c r="D24" s="28" t="str">
        <x:v>LF-B-CF1</x:v>
      </x:c>
      <x:c r="E24" s="28" t="str">
        <x:v>B</x:v>
      </x:c>
      <x:c r="F24" s="28" t="str">
        <x:v>Black-start storage</x:v>
      </x:c>
      <x:c r="G24" s="49" t="n">
        <x:f>SUMIFS('Position Register'!$R$5:$R$156,'Position Register'!$D$5:$D$156,$D24)</x:f>
        <x:v>200</x:v>
      </x:c>
      <x:c r="H24" s="49" t="str">
        <x:v>&gt;=</x:v>
      </x:c>
      <x:c r="I24" s="49" t="n">
        <x:v>200</x:v>
      </x:c>
      <x:c r="J24" s="28" t="str">
        <x:v>MWh</x:v>
      </x:c>
      <x:c r="K24" s="28" t="str">
        <x:f>IF(G24&gt;=I24,"PASS","FAIL")</x:f>
        <x:v>PASS</x:v>
      </x:c>
      <x:c r="L24" s="28" t="str">
        <x:v>LF-R3</x:v>
      </x:c>
    </x:row>
    <x:row r="25" ht="32" customHeight="1">
      <x:c r="C25" s="28" t="str">
        <x:v>CB-C-01</x:v>
      </x:c>
      <x:c r="D25" s="28" t="str">
        <x:v>LF-C-CF1</x:v>
      </x:c>
      <x:c r="E25" s="28" t="str">
        <x:v>C</x:v>
      </x:c>
      <x:c r="F25" s="28" t="str">
        <x:v>Strategic water production</x:v>
      </x:c>
      <x:c r="G25" s="49" t="n">
        <x:f>SUMIFS('Position Register'!$J$5:$J$156,'Position Register'!$D$5:$D$156,$D25)</x:f>
        <x:v>100000</x:v>
      </x:c>
      <x:c r="H25" s="49" t="str">
        <x:v>&gt;=</x:v>
      </x:c>
      <x:c r="I25" s="49" t="n">
        <x:v>100000</x:v>
      </x:c>
      <x:c r="J25" s="28" t="str">
        <x:v>m³/day</x:v>
      </x:c>
      <x:c r="K25" s="28" t="str">
        <x:f>IF(G25&gt;=I25,"PASS","FAIL")</x:f>
        <x:v>PASS</x:v>
      </x:c>
      <x:c r="L25" s="28" t="str">
        <x:v>LF-R1</x:v>
      </x:c>
    </x:row>
    <x:row r="26" ht="32" customHeight="1">
      <x:c r="C26" s="28" t="str">
        <x:v>CB-C-02</x:v>
      </x:c>
      <x:c r="D26" s="28" t="str">
        <x:v>LF-C-CF1</x:v>
      </x:c>
      <x:c r="E26" s="28" t="str">
        <x:v>C</x:v>
      </x:c>
      <x:c r="F26" s="28" t="str">
        <x:v>Point-of-use water release</x:v>
      </x:c>
      <x:c r="G26" s="49" t="n">
        <x:f>SUMIFS('Position Register'!$K$5:$K$156,'Position Register'!$D$5:$D$156,$D26)</x:f>
        <x:v>100000</x:v>
      </x:c>
      <x:c r="H26" s="49" t="str">
        <x:v>&gt;=</x:v>
      </x:c>
      <x:c r="I26" s="49" t="n">
        <x:v>100000</x:v>
      </x:c>
      <x:c r="J26" s="28" t="str">
        <x:v>m³/day</x:v>
      </x:c>
      <x:c r="K26" s="28" t="str">
        <x:f>IF(G26&gt;=I26,"PASS","FAIL")</x:f>
        <x:v>PASS</x:v>
      </x:c>
      <x:c r="L26" s="28" t="str">
        <x:v>LF-R2</x:v>
      </x:c>
    </x:row>
    <x:row r="27" ht="32" customHeight="1">
      <x:c r="C27" s="28" t="str">
        <x:v>CB-C-03</x:v>
      </x:c>
      <x:c r="D27" s="28" t="str">
        <x:v>LF-C-CF1</x:v>
      </x:c>
      <x:c r="E27" s="28" t="str">
        <x:v>C</x:v>
      </x:c>
      <x:c r="F27" s="28" t="str">
        <x:v>Wastewater or residual intake</x:v>
      </x:c>
      <x:c r="G27" s="49" t="n">
        <x:f>SUMIFS('Position Register'!$L$5:$L$156,'Position Register'!$D$5:$D$156,$D27)</x:f>
        <x:v>80000</x:v>
      </x:c>
      <x:c r="H27" s="49" t="str">
        <x:v>&gt;=</x:v>
      </x:c>
      <x:c r="I27" s="49" t="n">
        <x:v>80000</x:v>
      </x:c>
      <x:c r="J27" s="28" t="str">
        <x:v>m³/day</x:v>
      </x:c>
      <x:c r="K27" s="28" t="str">
        <x:f>IF(G27&gt;=I27,"PASS","FAIL")</x:f>
        <x:v>PASS</x:v>
      </x:c>
      <x:c r="L27" s="28" t="str">
        <x:v>LF-R2</x:v>
      </x:c>
    </x:row>
    <x:row r="28" ht="32" customHeight="1">
      <x:c r="C28" s="28" t="str">
        <x:v>CB-C-04</x:v>
      </x:c>
      <x:c r="D28" s="28" t="str">
        <x:v>LF-C-CF1</x:v>
      </x:c>
      <x:c r="E28" s="28" t="str">
        <x:v>C</x:v>
      </x:c>
      <x:c r="F28" s="28" t="str">
        <x:v>Local firm power</x:v>
      </x:c>
      <x:c r="G28" s="49" t="n">
        <x:f>SUMIFS('Position Register'!$M$5:$M$156,'Position Register'!$D$5:$D$156,$D28,'Position Register'!$F$5:$F$156,"LF-R3")</x:f>
        <x:v>100</x:v>
      </x:c>
      <x:c r="H28" s="49" t="str">
        <x:v>&gt;=</x:v>
      </x:c>
      <x:c r="I28" s="49" t="n">
        <x:v>100</x:v>
      </x:c>
      <x:c r="J28" s="28" t="str">
        <x:v>MW</x:v>
      </x:c>
      <x:c r="K28" s="28" t="str">
        <x:f>IF(G28&gt;=I28,"PASS","FAIL")</x:f>
        <x:v>PASS</x:v>
      </x:c>
      <x:c r="L28" s="28" t="str">
        <x:v>LF-R3</x:v>
      </x:c>
    </x:row>
    <x:row r="29" ht="32" customHeight="1">
      <x:c r="C29" s="28" t="str">
        <x:v>CB-C-05</x:v>
      </x:c>
      <x:c r="D29" s="28" t="str">
        <x:v>LF-C-CF1</x:v>
      </x:c>
      <x:c r="E29" s="28" t="str">
        <x:v>C</x:v>
      </x:c>
      <x:c r="F29" s="28" t="str">
        <x:v>Grid bridge power</x:v>
      </x:c>
      <x:c r="G29" s="49" t="n">
        <x:f>SUMIFS('Position Register'!$M$5:$M$156,'Position Register'!$D$5:$D$156,$D29,'Position Register'!$F$5:$F$156,"LF-R4")</x:f>
        <x:v>100</x:v>
      </x:c>
      <x:c r="H29" s="49" t="str">
        <x:v>&gt;=</x:v>
      </x:c>
      <x:c r="I29" s="49" t="n">
        <x:v>100</x:v>
      </x:c>
      <x:c r="J29" s="28" t="str">
        <x:v>MW</x:v>
      </x:c>
      <x:c r="K29" s="28" t="str">
        <x:f>IF(G29&gt;=I29,"PASS","FAIL")</x:f>
        <x:v>PASS</x:v>
      </x:c>
      <x:c r="L29" s="28" t="str">
        <x:v>LF-R4</x:v>
      </x:c>
    </x:row>
    <x:row r="30" ht="32" customHeight="1">
      <x:c r="C30" s="28" t="str">
        <x:v>CB-C-06</x:v>
      </x:c>
      <x:c r="D30" s="28" t="str">
        <x:v>LF-C-CF1</x:v>
      </x:c>
      <x:c r="E30" s="28" t="str">
        <x:v>C</x:v>
      </x:c>
      <x:c r="F30" s="28" t="str">
        <x:v>Thermal safety</x:v>
      </x:c>
      <x:c r="G30" s="49" t="n">
        <x:f>SUMIFS('Position Register'!$O$5:$O$156,'Position Register'!$D$5:$D$156,$D30,'Position Register'!$F$5:$F$156,"LF-R5")</x:f>
        <x:v>80</x:v>
      </x:c>
      <x:c r="H30" s="49" t="str">
        <x:v>&gt;=</x:v>
      </x:c>
      <x:c r="I30" s="49" t="n">
        <x:v>80</x:v>
      </x:c>
      <x:c r="J30" s="28" t="str">
        <x:v>MWth</x:v>
      </x:c>
      <x:c r="K30" s="28" t="str">
        <x:f>IF(G30&gt;=I30,"PASS","FAIL")</x:f>
        <x:v>PASS</x:v>
      </x:c>
      <x:c r="L30" s="28" t="str">
        <x:v>LF-R5</x:v>
      </x:c>
    </x:row>
    <x:row r="31" ht="32" customHeight="1">
      <x:c r="C31" s="28" t="str">
        <x:v>CB-C-07</x:v>
      </x:c>
      <x:c r="D31" s="28" t="str">
        <x:v>LF-C-CF1</x:v>
      </x:c>
      <x:c r="E31" s="28" t="str">
        <x:v>C</x:v>
      </x:c>
      <x:c r="F31" s="28" t="str">
        <x:v>Water buffer</x:v>
      </x:c>
      <x:c r="G31" s="49" t="n">
        <x:f>SUMIFS('Position Register'!$P$5:$P$156,'Position Register'!$D$5:$D$156,$D31)</x:f>
        <x:v>100000</x:v>
      </x:c>
      <x:c r="H31" s="49" t="str">
        <x:v>&gt;=</x:v>
      </x:c>
      <x:c r="I31" s="49" t="n">
        <x:v>100000</x:v>
      </x:c>
      <x:c r="J31" s="28" t="str">
        <x:v>m³</x:v>
      </x:c>
      <x:c r="K31" s="28" t="str">
        <x:f>IF(G31&gt;=I31,"PASS","FAIL")</x:f>
        <x:v>PASS</x:v>
      </x:c>
      <x:c r="L31" s="28" t="str">
        <x:v>LF-R2</x:v>
      </x:c>
    </x:row>
    <x:row r="32" ht="32" customHeight="1">
      <x:c r="C32" s="28" t="str">
        <x:v>CB-C-08</x:v>
      </x:c>
      <x:c r="D32" s="28" t="str">
        <x:v>LF-C-CF1</x:v>
      </x:c>
      <x:c r="E32" s="28" t="str">
        <x:v>C</x:v>
      </x:c>
      <x:c r="F32" s="28" t="str">
        <x:v>Water pipe</x:v>
      </x:c>
      <x:c r="G32" s="49" t="n">
        <x:f>SUMIFS('Position Register'!$Q$5:$Q$156,'Position Register'!$D$5:$D$156,$D32,'Position Register'!$F$5:$F$156,"LF-R2")</x:f>
        <x:v>240</x:v>
      </x:c>
      <x:c r="H32" s="49" t="str">
        <x:v>&gt;=</x:v>
      </x:c>
      <x:c r="I32" s="49" t="n">
        <x:v>240</x:v>
      </x:c>
      <x:c r="J32" s="28" t="str">
        <x:v>pipe-km</x:v>
      </x:c>
      <x:c r="K32" s="28" t="str">
        <x:f>IF(G32&gt;=I32,"PASS","FAIL")</x:f>
        <x:v>PASS</x:v>
      </x:c>
      <x:c r="L32" s="28" t="str">
        <x:v>LF-R2</x:v>
      </x:c>
    </x:row>
    <x:row r="33" ht="32" customHeight="1">
      <x:c r="C33" s="28" t="str">
        <x:v>CB-C-09</x:v>
      </x:c>
      <x:c r="D33" s="28" t="str">
        <x:v>LF-C-CF1</x:v>
      </x:c>
      <x:c r="E33" s="28" t="str">
        <x:v>C</x:v>
      </x:c>
      <x:c r="F33" s="28" t="str">
        <x:v>Power corridor</x:v>
      </x:c>
      <x:c r="G33" s="49" t="n">
        <x:f>SUMIFS('Position Register'!$Q$5:$Q$156,'Position Register'!$D$5:$D$156,$D33,'Position Register'!$F$5:$F$156,"LF-R4")</x:f>
        <x:v>120</x:v>
      </x:c>
      <x:c r="H33" s="49" t="str">
        <x:v>&gt;=</x:v>
      </x:c>
      <x:c r="I33" s="49" t="n">
        <x:v>120</x:v>
      </x:c>
      <x:c r="J33" s="28" t="str">
        <x:v>route-km</x:v>
      </x:c>
      <x:c r="K33" s="28" t="str">
        <x:f>IF(G33&gt;=I33,"PASS","FAIL")</x:f>
        <x:v>PASS</x:v>
      </x:c>
      <x:c r="L33" s="28" t="str">
        <x:v>LF-R4</x:v>
      </x:c>
    </x:row>
    <x:row r="34" ht="32" customHeight="1">
      <x:c r="C34" s="28" t="str">
        <x:v>CB-C-10</x:v>
      </x:c>
      <x:c r="D34" s="28" t="str">
        <x:v>LF-C-CF1</x:v>
      </x:c>
      <x:c r="E34" s="28" t="str">
        <x:v>C</x:v>
      </x:c>
      <x:c r="F34" s="28" t="str">
        <x:v>Black-start storage</x:v>
      </x:c>
      <x:c r="G34" s="49" t="n">
        <x:f>SUMIFS('Position Register'!$R$5:$R$156,'Position Register'!$D$5:$D$156,$D34)</x:f>
        <x:v>200</x:v>
      </x:c>
      <x:c r="H34" s="49" t="str">
        <x:v>&gt;=</x:v>
      </x:c>
      <x:c r="I34" s="49" t="n">
        <x:v>200</x:v>
      </x:c>
      <x:c r="J34" s="28" t="str">
        <x:v>MWh</x:v>
      </x:c>
      <x:c r="K34" s="28" t="str">
        <x:f>IF(G34&gt;=I34,"PASS","FAIL")</x:f>
        <x:v>PASS</x:v>
      </x:c>
      <x:c r="L34" s="28" t="str">
        <x:v>LF-R3</x:v>
      </x:c>
    </x:row>
    <x:row r="35" ht="32" customHeight="1">
      <x:c r="C35" s="28" t="str">
        <x:v>CB-D-01</x:v>
      </x:c>
      <x:c r="D35" s="28" t="str">
        <x:v>LF-D-CF1</x:v>
      </x:c>
      <x:c r="E35" s="28" t="str">
        <x:v>D</x:v>
      </x:c>
      <x:c r="F35" s="28" t="str">
        <x:v>Strategic water production</x:v>
      </x:c>
      <x:c r="G35" s="49" t="n">
        <x:f>SUMIFS('Position Register'!$J$5:$J$156,'Position Register'!$D$5:$D$156,$D35)</x:f>
        <x:v>100000</x:v>
      </x:c>
      <x:c r="H35" s="49" t="str">
        <x:v>&gt;=</x:v>
      </x:c>
      <x:c r="I35" s="49" t="n">
        <x:v>100000</x:v>
      </x:c>
      <x:c r="J35" s="28" t="str">
        <x:v>m³/day</x:v>
      </x:c>
      <x:c r="K35" s="28" t="str">
        <x:f>IF(G35&gt;=I35,"PASS","FAIL")</x:f>
        <x:v>PASS</x:v>
      </x:c>
      <x:c r="L35" s="28" t="str">
        <x:v>LF-R1</x:v>
      </x:c>
    </x:row>
    <x:row r="36" ht="32" customHeight="1">
      <x:c r="C36" s="28" t="str">
        <x:v>CB-D-02</x:v>
      </x:c>
      <x:c r="D36" s="28" t="str">
        <x:v>LF-D-CF1</x:v>
      </x:c>
      <x:c r="E36" s="28" t="str">
        <x:v>D</x:v>
      </x:c>
      <x:c r="F36" s="28" t="str">
        <x:v>Point-of-use water release</x:v>
      </x:c>
      <x:c r="G36" s="49" t="n">
        <x:f>SUMIFS('Position Register'!$K$5:$K$156,'Position Register'!$D$5:$D$156,$D36)</x:f>
        <x:v>100000</x:v>
      </x:c>
      <x:c r="H36" s="49" t="str">
        <x:v>&gt;=</x:v>
      </x:c>
      <x:c r="I36" s="49" t="n">
        <x:v>100000</x:v>
      </x:c>
      <x:c r="J36" s="28" t="str">
        <x:v>m³/day</x:v>
      </x:c>
      <x:c r="K36" s="28" t="str">
        <x:f>IF(G36&gt;=I36,"PASS","FAIL")</x:f>
        <x:v>PASS</x:v>
      </x:c>
      <x:c r="L36" s="28" t="str">
        <x:v>LF-R2</x:v>
      </x:c>
    </x:row>
    <x:row r="37" ht="32" customHeight="1">
      <x:c r="C37" s="28" t="str">
        <x:v>CB-D-03</x:v>
      </x:c>
      <x:c r="D37" s="28" t="str">
        <x:v>LF-D-CF1</x:v>
      </x:c>
      <x:c r="E37" s="28" t="str">
        <x:v>D</x:v>
      </x:c>
      <x:c r="F37" s="28" t="str">
        <x:v>Wastewater or residual intake</x:v>
      </x:c>
      <x:c r="G37" s="49" t="n">
        <x:f>SUMIFS('Position Register'!$L$5:$L$156,'Position Register'!$D$5:$D$156,$D37)</x:f>
        <x:v>80000</x:v>
      </x:c>
      <x:c r="H37" s="49" t="str">
        <x:v>&gt;=</x:v>
      </x:c>
      <x:c r="I37" s="49" t="n">
        <x:v>80000</x:v>
      </x:c>
      <x:c r="J37" s="28" t="str">
        <x:v>m³/day</x:v>
      </x:c>
      <x:c r="K37" s="28" t="str">
        <x:f>IF(G37&gt;=I37,"PASS","FAIL")</x:f>
        <x:v>PASS</x:v>
      </x:c>
      <x:c r="L37" s="28" t="str">
        <x:v>LF-R2</x:v>
      </x:c>
    </x:row>
    <x:row r="38" ht="32" customHeight="1">
      <x:c r="C38" s="28" t="str">
        <x:v>CB-D-04</x:v>
      </x:c>
      <x:c r="D38" s="28" t="str">
        <x:v>LF-D-CF1</x:v>
      </x:c>
      <x:c r="E38" s="28" t="str">
        <x:v>D</x:v>
      </x:c>
      <x:c r="F38" s="28" t="str">
        <x:v>Local firm power</x:v>
      </x:c>
      <x:c r="G38" s="49" t="n">
        <x:f>SUMIFS('Position Register'!$M$5:$M$156,'Position Register'!$D$5:$D$156,$D38,'Position Register'!$F$5:$F$156,"LF-R3")</x:f>
        <x:v>100</x:v>
      </x:c>
      <x:c r="H38" s="49" t="str">
        <x:v>&gt;=</x:v>
      </x:c>
      <x:c r="I38" s="49" t="n">
        <x:v>100</x:v>
      </x:c>
      <x:c r="J38" s="28" t="str">
        <x:v>MW</x:v>
      </x:c>
      <x:c r="K38" s="28" t="str">
        <x:f>IF(G38&gt;=I38,"PASS","FAIL")</x:f>
        <x:v>PASS</x:v>
      </x:c>
      <x:c r="L38" s="28" t="str">
        <x:v>LF-R3</x:v>
      </x:c>
    </x:row>
    <x:row r="39" ht="32" customHeight="1">
      <x:c r="C39" s="28" t="str">
        <x:v>CB-D-05</x:v>
      </x:c>
      <x:c r="D39" s="28" t="str">
        <x:v>LF-D-CF1</x:v>
      </x:c>
      <x:c r="E39" s="28" t="str">
        <x:v>D</x:v>
      </x:c>
      <x:c r="F39" s="28" t="str">
        <x:v>Grid bridge power</x:v>
      </x:c>
      <x:c r="G39" s="49" t="n">
        <x:f>SUMIFS('Position Register'!$M$5:$M$156,'Position Register'!$D$5:$D$156,$D39,'Position Register'!$F$5:$F$156,"LF-R4")</x:f>
        <x:v>100</x:v>
      </x:c>
      <x:c r="H39" s="49" t="str">
        <x:v>&gt;=</x:v>
      </x:c>
      <x:c r="I39" s="49" t="n">
        <x:v>100</x:v>
      </x:c>
      <x:c r="J39" s="28" t="str">
        <x:v>MW</x:v>
      </x:c>
      <x:c r="K39" s="28" t="str">
        <x:f>IF(G39&gt;=I39,"PASS","FAIL")</x:f>
        <x:v>PASS</x:v>
      </x:c>
      <x:c r="L39" s="28" t="str">
        <x:v>LF-R4</x:v>
      </x:c>
    </x:row>
    <x:row r="40" ht="32" customHeight="1">
      <x:c r="C40" s="28" t="str">
        <x:v>CB-D-06</x:v>
      </x:c>
      <x:c r="D40" s="28" t="str">
        <x:v>LF-D-CF1</x:v>
      </x:c>
      <x:c r="E40" s="28" t="str">
        <x:v>D</x:v>
      </x:c>
      <x:c r="F40" s="28" t="str">
        <x:v>Thermal safety</x:v>
      </x:c>
      <x:c r="G40" s="49" t="n">
        <x:f>SUMIFS('Position Register'!$O$5:$O$156,'Position Register'!$D$5:$D$156,$D40,'Position Register'!$F$5:$F$156,"LF-R5")</x:f>
        <x:v>80</x:v>
      </x:c>
      <x:c r="H40" s="49" t="str">
        <x:v>&gt;=</x:v>
      </x:c>
      <x:c r="I40" s="49" t="n">
        <x:v>80</x:v>
      </x:c>
      <x:c r="J40" s="28" t="str">
        <x:v>MWth</x:v>
      </x:c>
      <x:c r="K40" s="28" t="str">
        <x:f>IF(G40&gt;=I40,"PASS","FAIL")</x:f>
        <x:v>PASS</x:v>
      </x:c>
      <x:c r="L40" s="28" t="str">
        <x:v>LF-R5</x:v>
      </x:c>
    </x:row>
    <x:row r="41" ht="32" customHeight="1">
      <x:c r="C41" s="28" t="str">
        <x:v>CB-D-07</x:v>
      </x:c>
      <x:c r="D41" s="28" t="str">
        <x:v>LF-D-CF1</x:v>
      </x:c>
      <x:c r="E41" s="28" t="str">
        <x:v>D</x:v>
      </x:c>
      <x:c r="F41" s="28" t="str">
        <x:v>Water buffer</x:v>
      </x:c>
      <x:c r="G41" s="49" t="n">
        <x:f>SUMIFS('Position Register'!$P$5:$P$156,'Position Register'!$D$5:$D$156,$D41)</x:f>
        <x:v>100000</x:v>
      </x:c>
      <x:c r="H41" s="49" t="str">
        <x:v>&gt;=</x:v>
      </x:c>
      <x:c r="I41" s="49" t="n">
        <x:v>100000</x:v>
      </x:c>
      <x:c r="J41" s="28" t="str">
        <x:v>m³</x:v>
      </x:c>
      <x:c r="K41" s="28" t="str">
        <x:f>IF(G41&gt;=I41,"PASS","FAIL")</x:f>
        <x:v>PASS</x:v>
      </x:c>
      <x:c r="L41" s="28" t="str">
        <x:v>LF-R2</x:v>
      </x:c>
    </x:row>
    <x:row r="42" ht="32" customHeight="1">
      <x:c r="C42" s="28" t="str">
        <x:v>CB-D-08</x:v>
      </x:c>
      <x:c r="D42" s="28" t="str">
        <x:v>LF-D-CF1</x:v>
      </x:c>
      <x:c r="E42" s="28" t="str">
        <x:v>D</x:v>
      </x:c>
      <x:c r="F42" s="28" t="str">
        <x:v>Water pipe</x:v>
      </x:c>
      <x:c r="G42" s="49" t="n">
        <x:f>SUMIFS('Position Register'!$Q$5:$Q$156,'Position Register'!$D$5:$D$156,$D42,'Position Register'!$F$5:$F$156,"LF-R2")</x:f>
        <x:v>240</x:v>
      </x:c>
      <x:c r="H42" s="49" t="str">
        <x:v>&gt;=</x:v>
      </x:c>
      <x:c r="I42" s="49" t="n">
        <x:v>240</x:v>
      </x:c>
      <x:c r="J42" s="28" t="str">
        <x:v>pipe-km</x:v>
      </x:c>
      <x:c r="K42" s="28" t="str">
        <x:f>IF(G42&gt;=I42,"PASS","FAIL")</x:f>
        <x:v>PASS</x:v>
      </x:c>
      <x:c r="L42" s="28" t="str">
        <x:v>LF-R2</x:v>
      </x:c>
    </x:row>
    <x:row r="43" ht="32" customHeight="1">
      <x:c r="C43" s="28" t="str">
        <x:v>CB-D-09</x:v>
      </x:c>
      <x:c r="D43" s="28" t="str">
        <x:v>LF-D-CF1</x:v>
      </x:c>
      <x:c r="E43" s="28" t="str">
        <x:v>D</x:v>
      </x:c>
      <x:c r="F43" s="28" t="str">
        <x:v>Power corridor</x:v>
      </x:c>
      <x:c r="G43" s="49" t="n">
        <x:f>SUMIFS('Position Register'!$Q$5:$Q$156,'Position Register'!$D$5:$D$156,$D43,'Position Register'!$F$5:$F$156,"LF-R4")</x:f>
        <x:v>120</x:v>
      </x:c>
      <x:c r="H43" s="49" t="str">
        <x:v>&gt;=</x:v>
      </x:c>
      <x:c r="I43" s="49" t="n">
        <x:v>120</x:v>
      </x:c>
      <x:c r="J43" s="28" t="str">
        <x:v>route-km</x:v>
      </x:c>
      <x:c r="K43" s="28" t="str">
        <x:f>IF(G43&gt;=I43,"PASS","FAIL")</x:f>
        <x:v>PASS</x:v>
      </x:c>
      <x:c r="L43" s="28" t="str">
        <x:v>LF-R4</x:v>
      </x:c>
    </x:row>
    <x:row r="44" ht="32" customHeight="1">
      <x:c r="C44" s="29" t="str">
        <x:v>CB-D-10</x:v>
      </x:c>
      <x:c r="D44" s="29" t="str">
        <x:v>LF-D-CF1</x:v>
      </x:c>
      <x:c r="E44" s="29" t="str">
        <x:v>D</x:v>
      </x:c>
      <x:c r="F44" s="29" t="str">
        <x:v>Black-start storage</x:v>
      </x:c>
      <x:c r="G44" s="50" t="n">
        <x:f>SUMIFS('Position Register'!$R$5:$R$156,'Position Register'!$D$5:$D$156,$D44)</x:f>
        <x:v>200</x:v>
      </x:c>
      <x:c r="H44" s="50" t="str">
        <x:v>&gt;=</x:v>
      </x:c>
      <x:c r="I44" s="50" t="n">
        <x:v>200</x:v>
      </x:c>
      <x:c r="J44" s="29" t="str">
        <x:v>MWh</x:v>
      </x:c>
      <x:c r="K44" s="29" t="str">
        <x:f>IF(G44&gt;=I44,"PASS","FAIL")</x:f>
        <x:v>PASS</x:v>
      </x:c>
      <x:c r="L44" s="29" t="str">
        <x:v>LF-R3</x:v>
      </x:c>
    </x:row>
  </x:sheetData>
  <x:conditionalFormatting sqref="K5:K44">
    <x:cfRule type="containsText" dxfId="42" priority="1" operator="containsText" text="FAIL"/>
    <x:cfRule type="containsText" dxfId="43" priority="2" operator="containsText" text="OPEN"/>
    <x:cfRule type="containsText" dxfId="44" priority="3" operator="containsText" text="HOLD"/>
    <x:cfRule type="containsText" dxfId="45" priority="4" operator="containsText" text="SELECT"/>
    <x:cfRule type="containsText" dxfId="46" priority="5" operator="containsText" text="PASS"/>
    <x:cfRule type="containsText" dxfId="47" priority="6" operator="containsText" text="BLOCK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0.5600004196167" hidden="0" customWidth="1"/>
    <x:col min="4" max="4" width="6.110000133514404" hidden="0" customWidth="1"/>
    <x:col min="5" max="5" width="27.780000686645508" hidden="0" customWidth="1"/>
    <x:col min="6" max="6" width="11.109999656677246" hidden="0" customWidth="1"/>
    <x:col min="7" max="7" width="11.109999656677246" hidden="0" customWidth="1"/>
    <x:col min="8" max="8" width="12.779999732971191" hidden="0" customWidth="1"/>
    <x:col min="9" max="9" width="11.670000076293945" hidden="0" customWidth="1"/>
    <x:col min="10" max="10" width="11.670000076293945" hidden="0" customWidth="1"/>
    <x:col min="11" max="11" width="11.670000076293945" hidden="0" customWidth="1"/>
    <x:col min="12" max="12" width="9.4399995803833" hidden="0" customWidth="1"/>
    <x:col min="13" max="13" width="12.220000267028809" hidden="0" customWidth="1"/>
    <x:col min="14" max="14" width="8.890000343322754" hidden="0" customWidth="1"/>
    <x:col min="15" max="15" width="13.329999923706055" hidden="0" customWidth="1"/>
    <x:col min="16" max="16" width="10" hidden="0" customWidth="1"/>
    <x:col min="17" max="17" width="9.4399995803833" hidden="0" customWidth="1"/>
    <x:col min="18" max="18" width="8.890000343322754" hidden="0" customWidth="1"/>
  </x:cols>
  <x:sheetData>
    <x:row r="2">
      <x:c r="C2" s="1" t="str">
        <x:v>Per-source-position energy balance</x:v>
      </x:c>
    </x:row>
    <x:row r="3">
      <x:c r="C3" s="2" t="str">
        <x:v>The common public load is identical; root-specific source physics determines available bus and margin.</x:v>
      </x:c>
    </x:row>
    <x:row r="4" ht="30" customHeight="1">
      <x:c r="C4" s="23" t="str">
        <x:v>Configuration</x:v>
      </x:c>
      <x:c r="D4" s="23" t="str">
        <x:v>Root</x:v>
      </x:c>
      <x:c r="E4" s="23" t="str">
        <x:v>Source position</x:v>
      </x:c>
      <x:c r="F4" s="23" t="str">
        <x:v>Nameplate MW</x:v>
      </x:c>
      <x:c r="G4" s="23" t="str">
        <x:v>Sustained factor</x:v>
      </x:c>
      <x:c r="H4" s="23" t="str">
        <x:v>Sustained bus MW</x:v>
      </x:c>
      <x:c r="I4" s="23" t="str">
        <x:v>Water m³/day</x:v>
      </x:c>
      <x:c r="J4" s="23" t="str">
        <x:v>Process kWh/m³</x:v>
      </x:c>
      <x:c r="K4" s="23" t="str">
        <x:v>Water load MW</x:v>
      </x:c>
      <x:c r="L4" s="23" t="str">
        <x:v>Internal MW</x:v>
      </x:c>
      <x:c r="M4" s="23" t="str">
        <x:v>Shore export MW</x:v>
      </x:c>
      <x:c r="N4" s="23" t="str">
        <x:v>Reserve</x:v>
      </x:c>
      <x:c r="O4" s="23" t="str">
        <x:v>Required bus MW</x:v>
      </x:c>
      <x:c r="P4" s="23" t="str">
        <x:v>Margin MW</x:v>
      </x:c>
      <x:c r="Q4" s="23" t="str">
        <x:v>Planning</x:v>
      </x:c>
      <x:c r="R4" s="23" t="str">
        <x:v>Evidence</x:v>
      </x:c>
    </x:row>
    <x:row r="5" ht="38" customHeight="1">
      <x:c r="C5" s="27" t="str">
        <x:v>LF-A-CF1</x:v>
      </x:c>
      <x:c r="D5" s="27" t="str">
        <x:v>A</x:v>
      </x:c>
      <x:c r="E5" s="27" t="str">
        <x:v>Segmented OUC-75 nuclear water-energy cell</x:v>
      </x:c>
      <x:c r="F5" s="40" t="n">
        <x:v>75</x:v>
      </x:c>
      <x:c r="G5" s="43" t="n">
        <x:v>0.828</x:v>
      </x:c>
      <x:c r="H5" s="40" t="n">
        <x:f>F5*G5</x:f>
        <x:v>62.099999999999994</x:v>
      </x:c>
      <x:c r="I5" s="40" t="n">
        <x:v>25000</x:v>
      </x:c>
      <x:c r="J5" s="40" t="n">
        <x:v>4.3</x:v>
      </x:c>
      <x:c r="K5" s="40" t="n">
        <x:f>I5*J5/24/1000</x:f>
        <x:v>4.479166666666667</x:v>
      </x:c>
      <x:c r="L5" s="40" t="n">
        <x:v>3</x:v>
      </x:c>
      <x:c r="M5" s="40" t="n">
        <x:v>25</x:v>
      </x:c>
      <x:c r="N5" s="43" t="n">
        <x:v>0.15</x:v>
      </x:c>
      <x:c r="O5" s="40" t="n">
        <x:f>(K5+L5+M5)*(1+N5)</x:f>
        <x:v>37.35104166666666</x:v>
      </x:c>
      <x:c r="P5" s="40" t="n">
        <x:f>H5-O5</x:f>
        <x:v>24.748958333333334</x:v>
      </x:c>
      <x:c r="Q5" s="27" t="str">
        <x:f>IF(P5&gt;=0,"PASS","FAIL")</x:f>
        <x:v>PASS</x:v>
      </x:c>
      <x:c r="R5" s="27" t="str">
        <x:v>OPEN</x:v>
      </x:c>
    </x:row>
    <x:row r="6" ht="38" customHeight="1">
      <x:c r="C6" s="28" t="str">
        <x:v>LF-B-CF1</x:v>
      </x:c>
      <x:c r="D6" s="28" t="str">
        <x:v>B</x:v>
      </x:c>
      <x:c r="E6" s="28" t="str">
        <x:v>IGT-50 rapid-bore geothermal field</x:v>
      </x:c>
      <x:c r="F6" s="41" t="n">
        <x:v>50</x:v>
      </x:c>
      <x:c r="G6" s="44" t="n">
        <x:v>0.8</x:v>
      </x:c>
      <x:c r="H6" s="41" t="n">
        <x:f>F6*G6</x:f>
        <x:v>40</x:v>
      </x:c>
      <x:c r="I6" s="41" t="n">
        <x:v>25000</x:v>
      </x:c>
      <x:c r="J6" s="41" t="n">
        <x:v>4.3</x:v>
      </x:c>
      <x:c r="K6" s="41" t="n">
        <x:f>I6*J6/24/1000</x:f>
        <x:v>4.479166666666667</x:v>
      </x:c>
      <x:c r="L6" s="41" t="n">
        <x:v>3</x:v>
      </x:c>
      <x:c r="M6" s="41" t="n">
        <x:v>25</x:v>
      </x:c>
      <x:c r="N6" s="44" t="n">
        <x:v>0.15</x:v>
      </x:c>
      <x:c r="O6" s="41" t="n">
        <x:f>(K6+L6+M6)*(1+N6)</x:f>
        <x:v>37.35104166666666</x:v>
      </x:c>
      <x:c r="P6" s="41" t="n">
        <x:f>H6-O6</x:f>
        <x:v>2.64895833333334</x:v>
      </x:c>
      <x:c r="Q6" s="28" t="str">
        <x:f>IF(P6&gt;=0,"PASS","FAIL")</x:f>
        <x:v>PASS</x:v>
      </x:c>
      <x:c r="R6" s="28" t="str">
        <x:v>OPEN</x:v>
      </x:c>
    </x:row>
    <x:row r="7" ht="38" customHeight="1">
      <x:c r="C7" s="28" t="str">
        <x:v>LF-C-CF1</x:v>
      </x:c>
      <x:c r="D7" s="28" t="str">
        <x:v>C</x:v>
      </x:c>
      <x:c r="E7" s="28" t="str">
        <x:v>RES-100/2G renewable and storage park</x:v>
      </x:c>
      <x:c r="F7" s="41" t="n">
        <x:v>100</x:v>
      </x:c>
      <x:c r="G7" s="44" t="n">
        <x:v>0.4</x:v>
      </x:c>
      <x:c r="H7" s="41" t="n">
        <x:f>F7*G7</x:f>
        <x:v>40</x:v>
      </x:c>
      <x:c r="I7" s="41" t="n">
        <x:v>25000</x:v>
      </x:c>
      <x:c r="J7" s="41" t="n">
        <x:v>4.3</x:v>
      </x:c>
      <x:c r="K7" s="41" t="n">
        <x:f>I7*J7/24/1000</x:f>
        <x:v>4.479166666666667</x:v>
      </x:c>
      <x:c r="L7" s="41" t="n">
        <x:v>3</x:v>
      </x:c>
      <x:c r="M7" s="41" t="n">
        <x:v>25</x:v>
      </x:c>
      <x:c r="N7" s="44" t="n">
        <x:v>0.15</x:v>
      </x:c>
      <x:c r="O7" s="41" t="n">
        <x:f>(K7+L7+M7)*(1+N7)</x:f>
        <x:v>37.35104166666666</x:v>
      </x:c>
      <x:c r="P7" s="41" t="n">
        <x:f>H7-O7</x:f>
        <x:v>2.64895833333334</x:v>
      </x:c>
      <x:c r="Q7" s="28" t="str">
        <x:f>IF(P7&gt;=0,"PASS","FAIL")</x:f>
        <x:v>PASS</x:v>
      </x:c>
      <x:c r="R7" s="28" t="str">
        <x:v>OPEN</x:v>
      </x:c>
    </x:row>
    <x:row r="8" ht="38" customHeight="1">
      <x:c r="C8" s="29" t="str">
        <x:v>LF-D-CF1</x:v>
      </x:c>
      <x:c r="D8" s="29" t="str">
        <x:v>D</x:v>
      </x:c>
      <x:c r="E8" s="29" t="str">
        <x:v>SFS-50 ammonia-hydrogen hybrid</x:v>
      </x:c>
      <x:c r="F8" s="42" t="n">
        <x:v>50</x:v>
      </x:c>
      <x:c r="G8" s="45" t="n">
        <x:v>0.8</x:v>
      </x:c>
      <x:c r="H8" s="42" t="n">
        <x:f>F8*G8</x:f>
        <x:v>40</x:v>
      </x:c>
      <x:c r="I8" s="42" t="n">
        <x:v>25000</x:v>
      </x:c>
      <x:c r="J8" s="42" t="n">
        <x:v>4.3</x:v>
      </x:c>
      <x:c r="K8" s="42" t="n">
        <x:f>I8*J8/24/1000</x:f>
        <x:v>4.479166666666667</x:v>
      </x:c>
      <x:c r="L8" s="42" t="n">
        <x:v>3</x:v>
      </x:c>
      <x:c r="M8" s="42" t="n">
        <x:v>25</x:v>
      </x:c>
      <x:c r="N8" s="45" t="n">
        <x:v>0.15</x:v>
      </x:c>
      <x:c r="O8" s="42" t="n">
        <x:f>(K8+L8+M8)*(1+N8)</x:f>
        <x:v>37.35104166666666</x:v>
      </x:c>
      <x:c r="P8" s="42" t="n">
        <x:f>H8-O8</x:f>
        <x:v>2.64895833333334</x:v>
      </x:c>
      <x:c r="Q8" s="29" t="str">
        <x:f>IF(P8&gt;=0,"PASS","FAIL")</x:f>
        <x:v>PASS</x:v>
      </x:c>
      <x:c r="R8" s="29" t="str">
        <x:v>OPEN</x:v>
      </x:c>
    </x:row>
  </x:sheetData>
  <x:conditionalFormatting sqref="Q5:R8">
    <x:cfRule type="containsText" dxfId="24" priority="1" operator="containsText" text="FAIL"/>
    <x:cfRule type="containsText" dxfId="25" priority="2" operator="containsText" text="OPEN"/>
    <x:cfRule type="containsText" dxfId="26" priority="3" operator="containsText" text="HOLD"/>
    <x:cfRule type="containsText" dxfId="27" priority="4" operator="containsText" text="SELECT"/>
    <x:cfRule type="containsText" dxfId="28" priority="5" operator="containsText" text="PASS"/>
    <x:cfRule type="containsText" dxfId="29" priority="6" operator="containsText" text="BLOCK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0.5600004196167" hidden="0" customWidth="1"/>
    <x:col min="4" max="4" width="6.110000133514404" hidden="0" customWidth="1"/>
    <x:col min="5" max="5" width="13.329999923706055" hidden="0" customWidth="1"/>
    <x:col min="6" max="6" width="9.4399995803833" hidden="0" customWidth="1"/>
    <x:col min="7" max="7" width="12.779999732971191" hidden="0" customWidth="1"/>
    <x:col min="8" max="8" width="13.890000343322754" hidden="0" customWidth="1"/>
    <x:col min="9" max="9" width="12.220000267028809" hidden="0" customWidth="1"/>
    <x:col min="10" max="10" width="15" hidden="0" customWidth="1"/>
    <x:col min="11" max="11" width="15.5600004196167" hidden="0" customWidth="1"/>
    <x:col min="12" max="12" width="40" hidden="0" customWidth="1"/>
    <x:col min="13" max="13" width="8.890000343322754" hidden="0" customWidth="1"/>
  </x:cols>
  <x:sheetData>
    <x:row r="2">
      <x:c r="C2" s="1" t="str">
        <x:v>Root water and residual balances</x:v>
      </x:c>
    </x:row>
    <x:row r="3">
      <x:c r="C3" s="2" t="str">
        <x:v>Recoveries are controlled source-class hypotheses. Product, feed and residual remain separately visible.</x:v>
      </x:c>
    </x:row>
    <x:row r="4" ht="30" customHeight="1">
      <x:c r="C4" s="23" t="str">
        <x:v>Configuration</x:v>
      </x:c>
      <x:c r="D4" s="23" t="str">
        <x:v>Root</x:v>
      </x:c>
      <x:c r="E4" s="23" t="str">
        <x:v>Product m³/day</x:v>
      </x:c>
      <x:c r="F4" s="23" t="str">
        <x:v>Recovery</x:v>
      </x:c>
      <x:c r="G4" s="23" t="str">
        <x:v>Feed m³/day</x:v>
      </x:c>
      <x:c r="H4" s="23" t="str">
        <x:v>Residual m³/day</x:v>
      </x:c>
      <x:c r="I4" s="23" t="str">
        <x:v>Closure m³/day</x:v>
      </x:c>
      <x:c r="J4" s="23" t="str">
        <x:v>30-day product m³</x:v>
      </x:c>
      <x:c r="K4" s="23" t="str">
        <x:v>30-day residual m³</x:v>
      </x:c>
      <x:c r="L4" s="23" t="str">
        <x:v>Disposition hypothesis</x:v>
      </x:c>
      <x:c r="M4" s="23" t="str">
        <x:v>Evidence</x:v>
      </x:c>
    </x:row>
    <x:row r="5" ht="42" customHeight="1">
      <x:c r="C5" s="32" t="str">
        <x:v>LF-A-CF1</x:v>
      </x:c>
      <x:c r="D5" s="32" t="str">
        <x:v>A</x:v>
      </x:c>
      <x:c r="E5" s="35" t="n">
        <x:v>100000</x:v>
      </x:c>
      <x:c r="F5" s="46" t="n">
        <x:v>0.45</x:v>
      </x:c>
      <x:c r="G5" s="35" t="n">
        <x:f>E5/F5</x:f>
        <x:v>222222.22222222222</x:v>
      </x:c>
      <x:c r="H5" s="35" t="n">
        <x:f>G5-E5</x:f>
        <x:v>122222.22222222222</x:v>
      </x:c>
      <x:c r="I5" s="35" t="n">
        <x:f>G5-E5-H5</x:f>
        <x:v>0</x:v>
      </x:c>
      <x:c r="J5" s="35" t="n">
        <x:f>E5*30</x:f>
        <x:v>3000000</x:v>
      </x:c>
      <x:c r="K5" s="35" t="n">
        <x:f>H5*30</x:f>
        <x:v>3666666.6666666665</x:v>
      </x:c>
      <x:c r="L5" s="32" t="str">
        <x:v>monitored concentrate and crystallized residual chain</x:v>
      </x:c>
      <x:c r="M5" s="32" t="str">
        <x:v>OPEN</x:v>
      </x:c>
    </x:row>
    <x:row r="6" ht="42" customHeight="1">
      <x:c r="C6" s="33" t="str">
        <x:v>LF-B-CF1</x:v>
      </x:c>
      <x:c r="D6" s="33" t="str">
        <x:v>B</x:v>
      </x:c>
      <x:c r="E6" s="36" t="n">
        <x:v>100000</x:v>
      </x:c>
      <x:c r="F6" s="38" t="n">
        <x:v>0.75</x:v>
      </x:c>
      <x:c r="G6" s="36" t="n">
        <x:f>E6/F6</x:f>
        <x:v>133333.33333333334</x:v>
      </x:c>
      <x:c r="H6" s="36" t="n">
        <x:f>G6-E6</x:f>
        <x:v>33333.33333333334</x:v>
      </x:c>
      <x:c r="I6" s="36" t="n">
        <x:f>G6-E6-H6</x:f>
        <x:v>0</x:v>
      </x:c>
      <x:c r="J6" s="36" t="n">
        <x:f>E6*30</x:f>
        <x:v>3000000</x:v>
      </x:c>
      <x:c r="K6" s="36" t="n">
        <x:f>H6*30</x:f>
        <x:v>1000000.0000000002</x:v>
      </x:c>
      <x:c r="L6" s="33" t="str">
        <x:v>reinjection, mineral recovery and bounded brackish residual</x:v>
      </x:c>
      <x:c r="M6" s="33" t="str">
        <x:v>OPEN</x:v>
      </x:c>
    </x:row>
    <x:row r="7" ht="42" customHeight="1">
      <x:c r="C7" s="33" t="str">
        <x:v>LF-C-CF1</x:v>
      </x:c>
      <x:c r="D7" s="33" t="str">
        <x:v>C</x:v>
      </x:c>
      <x:c r="E7" s="36" t="n">
        <x:v>100000</x:v>
      </x:c>
      <x:c r="F7" s="38" t="n">
        <x:v>0.7</x:v>
      </x:c>
      <x:c r="G7" s="36" t="n">
        <x:f>E7/F7</x:f>
        <x:v>142857.14285714287</x:v>
      </x:c>
      <x:c r="H7" s="36" t="n">
        <x:f>G7-E7</x:f>
        <x:v>42857.14285714287</x:v>
      </x:c>
      <x:c r="I7" s="36" t="n">
        <x:f>G7-E7-H7</x:f>
        <x:v>0</x:v>
      </x:c>
      <x:c r="J7" s="36" t="n">
        <x:f>E7*30</x:f>
        <x:v>3000000</x:v>
      </x:c>
      <x:c r="K7" s="36" t="n">
        <x:f>H7*30</x:f>
        <x:v>1285714.2857142861</x:v>
      </x:c>
      <x:c r="L7" s="33" t="str">
        <x:v>selective recovery and immobilized concentrate</x:v>
      </x:c>
      <x:c r="M7" s="33" t="str">
        <x:v>OPEN</x:v>
      </x:c>
    </x:row>
    <x:row r="8" ht="42" customHeight="1">
      <x:c r="C8" s="34" t="str">
        <x:v>LF-D-CF1</x:v>
      </x:c>
      <x:c r="D8" s="34" t="str">
        <x:v>D</x:v>
      </x:c>
      <x:c r="E8" s="37" t="n">
        <x:v>100000</x:v>
      </x:c>
      <x:c r="F8" s="47" t="n">
        <x:v>0.8</x:v>
      </x:c>
      <x:c r="G8" s="37" t="n">
        <x:f>E8/F8</x:f>
        <x:v>125000</x:v>
      </x:c>
      <x:c r="H8" s="37" t="n">
        <x:f>G8-E8</x:f>
        <x:v>25000</x:v>
      </x:c>
      <x:c r="I8" s="37" t="n">
        <x:f>G8-E8-H8</x:f>
        <x:v>0</x:v>
      </x:c>
      <x:c r="J8" s="37" t="n">
        <x:f>E8*30</x:f>
        <x:v>3000000</x:v>
      </x:c>
      <x:c r="K8" s="37" t="n">
        <x:f>H8*30</x:f>
        <x:v>750000</x:v>
      </x:c>
      <x:c r="L8" s="34" t="str">
        <x:v>controlled concentrate plus biological residual custody</x:v>
      </x:c>
      <x:c r="M8" s="34" t="str">
        <x:v>OPEN</x:v>
      </x:c>
    </x:row>
  </x:sheetData>
  <x:conditionalFormatting sqref="M5:M8">
    <x:cfRule type="containsText" dxfId="30" priority="1" operator="containsText" text="FAIL"/>
    <x:cfRule type="containsText" dxfId="31" priority="2" operator="containsText" text="OPEN"/>
    <x:cfRule type="containsText" dxfId="32" priority="3" operator="containsText" text="HOLD"/>
    <x:cfRule type="containsText" dxfId="33" priority="4" operator="containsText" text="SELECT"/>
    <x:cfRule type="containsText" dxfId="34" priority="5" operator="containsText" text="PASS"/>
    <x:cfRule type="containsText" dxfId="35" priority="6" operator="containsText" text="BLOCK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0.5600004196167" hidden="0" customWidth="1"/>
    <x:col min="4" max="4" width="6.110000133514404" hidden="0" customWidth="1"/>
    <x:col min="5" max="5" width="10.5600004196167" hidden="0" customWidth="1"/>
    <x:col min="6" max="6" width="10" hidden="0" customWidth="1"/>
    <x:col min="7" max="7" width="8.890000343322754" hidden="0" customWidth="1"/>
    <x:col min="8" max="8" width="11.670000076293945" hidden="0" customWidth="1"/>
    <x:col min="9" max="9" width="13.890000343322754" hidden="0" customWidth="1"/>
    <x:col min="10" max="10" width="13.329999923706055" hidden="0" customWidth="1"/>
    <x:col min="11" max="11" width="12.779999732971191" hidden="0" customWidth="1"/>
    <x:col min="12" max="12" width="11.670000076293945" hidden="0" customWidth="1"/>
    <x:col min="13" max="13" width="11.670000076293945" hidden="0" customWidth="1"/>
    <x:col min="14" max="14" width="12.779999732971191" hidden="0" customWidth="1"/>
    <x:col min="15" max="15" width="10.5600004196167" hidden="0" customWidth="1"/>
    <x:col min="16" max="16" width="15" hidden="0" customWidth="1"/>
    <x:col min="17" max="17" width="13.890000343322754" hidden="0" customWidth="1"/>
    <x:col min="18" max="18" width="9.4399995803833" hidden="0" customWidth="1"/>
    <x:col min="19" max="19" width="8.890000343322754" hidden="0" customWidth="1"/>
  </x:cols>
  <x:sheetData>
    <x:row r="2">
      <x:c r="C2" s="1" t="str">
        <x:v>Water-corridor geometry and installation rate</x:v>
      </x:c>
    </x:row>
    <x:row r="3">
      <x:c r="C3" s="2" t="str">
        <x:v>Eight groups each own two independent fifteen-kilometre paths; drones survey and pull light lines, not main-pipe mass.</x:v>
      </x:c>
    </x:row>
    <x:row r="4" ht="30" customHeight="1">
      <x:c r="C4" s="23" t="str">
        <x:v>Configuration</x:v>
      </x:c>
      <x:c r="D4" s="23" t="str">
        <x:v>Root</x:v>
      </x:c>
      <x:c r="E4" s="23" t="str">
        <x:v>Water groups</x:v>
      </x:c>
      <x:c r="F4" s="23" t="str">
        <x:v>Paths/group</x:v>
      </x:c>
      <x:c r="G4" s="23" t="str">
        <x:v>Path km</x:v>
      </x:c>
      <x:c r="H4" s="23" t="str">
        <x:v>Total pipe km</x:v>
      </x:c>
      <x:c r="I4" s="23" t="str">
        <x:v>Group water m³/day</x:v>
      </x:c>
      <x:c r="J4" s="23" t="str">
        <x:v>Half-path m³/day</x:v>
      </x:c>
      <x:c r="K4" s="23" t="str">
        <x:v>Velocity limit m/s</x:v>
      </x:c>
      <x:c r="L4" s="23" t="str">
        <x:v>Required ID m</x:v>
      </x:c>
      <x:c r="M4" s="23" t="str">
        <x:v>Selected ID m</x:v>
      </x:c>
      <x:c r="N4" s="23" t="str">
        <x:v>Actual velocity m/s</x:v>
      </x:c>
      <x:c r="O4" s="23" t="str">
        <x:v>Deadline days</x:v>
      </x:c>
      <x:c r="P4" s="23" t="str">
        <x:v>Required pipe-km/day</x:v>
      </x:c>
      <x:c r="Q4" s="23" t="str">
        <x:v>Frozen target km/day</x:v>
      </x:c>
      <x:c r="R4" s="23" t="str">
        <x:v>Planning</x:v>
      </x:c>
      <x:c r="S4" s="23" t="str">
        <x:v>Evidence</x:v>
      </x:c>
    </x:row>
    <x:row r="5" ht="38" customHeight="1">
      <x:c r="C5" s="27" t="str">
        <x:v>LF-A-CF1</x:v>
      </x:c>
      <x:c r="D5" s="27" t="str">
        <x:v>A</x:v>
      </x:c>
      <x:c r="E5" s="40" t="n">
        <x:v>8</x:v>
      </x:c>
      <x:c r="F5" s="40" t="n">
        <x:v>2</x:v>
      </x:c>
      <x:c r="G5" s="40" t="n">
        <x:v>15</x:v>
      </x:c>
      <x:c r="H5" s="40" t="n">
        <x:f>E5*F5*G5</x:f>
        <x:v>240</x:v>
      </x:c>
      <x:c r="I5" s="40" t="n">
        <x:v>12500</x:v>
      </x:c>
      <x:c r="J5" s="40" t="n">
        <x:v>6250</x:v>
      </x:c>
      <x:c r="K5" s="40" t="n">
        <x:v>1.5</x:v>
      </x:c>
      <x:c r="L5" s="40" t="n">
        <x:f>SQRT(4*(J5/86400)/(PI()*K5))</x:f>
        <x:v>0.24779501613232932</x:v>
      </x:c>
      <x:c r="M5" s="40" t="n">
        <x:v>0.3</x:v>
      </x:c>
      <x:c r="N5" s="40" t="n">
        <x:f>(J5/86400)/(PI()*M5*M5/4)</x:f>
        <x:v>1.0233728336670225</x:v>
      </x:c>
      <x:c r="O5" s="40" t="n">
        <x:v>21</x:v>
      </x:c>
      <x:c r="P5" s="40" t="n">
        <x:f>H5/O5</x:f>
        <x:v>11.428571428571429</x:v>
      </x:c>
      <x:c r="Q5" s="40" t="n">
        <x:v>12</x:v>
      </x:c>
      <x:c r="R5" s="27" t="str">
        <x:f>IF(Q5&gt;=P5,"PASS","FAIL")</x:f>
        <x:v>PASS</x:v>
      </x:c>
      <x:c r="S5" s="27" t="str">
        <x:v>OPEN</x:v>
      </x:c>
    </x:row>
    <x:row r="6" ht="38" customHeight="1">
      <x:c r="C6" s="28" t="str">
        <x:v>LF-B-CF1</x:v>
      </x:c>
      <x:c r="D6" s="28" t="str">
        <x:v>B</x:v>
      </x:c>
      <x:c r="E6" s="41" t="n">
        <x:v>8</x:v>
      </x:c>
      <x:c r="F6" s="41" t="n">
        <x:v>2</x:v>
      </x:c>
      <x:c r="G6" s="41" t="n">
        <x:v>15</x:v>
      </x:c>
      <x:c r="H6" s="41" t="n">
        <x:f>E6*F6*G6</x:f>
        <x:v>240</x:v>
      </x:c>
      <x:c r="I6" s="41" t="n">
        <x:v>12500</x:v>
      </x:c>
      <x:c r="J6" s="41" t="n">
        <x:v>6250</x:v>
      </x:c>
      <x:c r="K6" s="41" t="n">
        <x:v>1.5</x:v>
      </x:c>
      <x:c r="L6" s="41" t="n">
        <x:f>SQRT(4*(J6/86400)/(PI()*K6))</x:f>
        <x:v>0.24779501613232932</x:v>
      </x:c>
      <x:c r="M6" s="41" t="n">
        <x:v>0.3</x:v>
      </x:c>
      <x:c r="N6" s="41" t="n">
        <x:f>(J6/86400)/(PI()*M6*M6/4)</x:f>
        <x:v>1.0233728336670225</x:v>
      </x:c>
      <x:c r="O6" s="41" t="n">
        <x:v>21</x:v>
      </x:c>
      <x:c r="P6" s="41" t="n">
        <x:f>H6/O6</x:f>
        <x:v>11.428571428571429</x:v>
      </x:c>
      <x:c r="Q6" s="41" t="n">
        <x:v>14</x:v>
      </x:c>
      <x:c r="R6" s="28" t="str">
        <x:f>IF(Q6&gt;=P6,"PASS","FAIL")</x:f>
        <x:v>PASS</x:v>
      </x:c>
      <x:c r="S6" s="28" t="str">
        <x:v>OPEN</x:v>
      </x:c>
    </x:row>
    <x:row r="7" ht="38" customHeight="1">
      <x:c r="C7" s="28" t="str">
        <x:v>LF-C-CF1</x:v>
      </x:c>
      <x:c r="D7" s="28" t="str">
        <x:v>C</x:v>
      </x:c>
      <x:c r="E7" s="41" t="n">
        <x:v>8</x:v>
      </x:c>
      <x:c r="F7" s="41" t="n">
        <x:v>2</x:v>
      </x:c>
      <x:c r="G7" s="41" t="n">
        <x:v>15</x:v>
      </x:c>
      <x:c r="H7" s="41" t="n">
        <x:f>E7*F7*G7</x:f>
        <x:v>240</x:v>
      </x:c>
      <x:c r="I7" s="41" t="n">
        <x:v>12500</x:v>
      </x:c>
      <x:c r="J7" s="41" t="n">
        <x:v>6250</x:v>
      </x:c>
      <x:c r="K7" s="41" t="n">
        <x:v>1.5</x:v>
      </x:c>
      <x:c r="L7" s="41" t="n">
        <x:f>SQRT(4*(J7/86400)/(PI()*K7))</x:f>
        <x:v>0.24779501613232932</x:v>
      </x:c>
      <x:c r="M7" s="41" t="n">
        <x:v>0.3</x:v>
      </x:c>
      <x:c r="N7" s="41" t="n">
        <x:f>(J7/86400)/(PI()*M7*M7/4)</x:f>
        <x:v>1.0233728336670225</x:v>
      </x:c>
      <x:c r="O7" s="41" t="n">
        <x:v>21</x:v>
      </x:c>
      <x:c r="P7" s="41" t="n">
        <x:f>H7/O7</x:f>
        <x:v>11.428571428571429</x:v>
      </x:c>
      <x:c r="Q7" s="41" t="n">
        <x:v>16</x:v>
      </x:c>
      <x:c r="R7" s="28" t="str">
        <x:f>IF(Q7&gt;=P7,"PASS","FAIL")</x:f>
        <x:v>PASS</x:v>
      </x:c>
      <x:c r="S7" s="28" t="str">
        <x:v>OPEN</x:v>
      </x:c>
    </x:row>
    <x:row r="8" ht="38" customHeight="1">
      <x:c r="C8" s="29" t="str">
        <x:v>LF-D-CF1</x:v>
      </x:c>
      <x:c r="D8" s="29" t="str">
        <x:v>D</x:v>
      </x:c>
      <x:c r="E8" s="42" t="n">
        <x:v>8</x:v>
      </x:c>
      <x:c r="F8" s="42" t="n">
        <x:v>2</x:v>
      </x:c>
      <x:c r="G8" s="42" t="n">
        <x:v>15</x:v>
      </x:c>
      <x:c r="H8" s="42" t="n">
        <x:f>E8*F8*G8</x:f>
        <x:v>240</x:v>
      </x:c>
      <x:c r="I8" s="42" t="n">
        <x:v>12500</x:v>
      </x:c>
      <x:c r="J8" s="42" t="n">
        <x:v>6250</x:v>
      </x:c>
      <x:c r="K8" s="42" t="n">
        <x:v>1.5</x:v>
      </x:c>
      <x:c r="L8" s="42" t="n">
        <x:f>SQRT(4*(J8/86400)/(PI()*K8))</x:f>
        <x:v>0.24779501613232932</x:v>
      </x:c>
      <x:c r="M8" s="42" t="n">
        <x:v>0.3</x:v>
      </x:c>
      <x:c r="N8" s="42" t="n">
        <x:f>(J8/86400)/(PI()*M8*M8/4)</x:f>
        <x:v>1.0233728336670225</x:v>
      </x:c>
      <x:c r="O8" s="42" t="n">
        <x:v>21</x:v>
      </x:c>
      <x:c r="P8" s="42" t="n">
        <x:f>H8/O8</x:f>
        <x:v>11.428571428571429</x:v>
      </x:c>
      <x:c r="Q8" s="42" t="n">
        <x:v>15</x:v>
      </x:c>
      <x:c r="R8" s="29" t="str">
        <x:f>IF(Q8&gt;=P8,"PASS","FAIL")</x:f>
        <x:v>PASS</x:v>
      </x:c>
      <x:c r="S8" s="29" t="str">
        <x:v>OPEN</x:v>
      </x:c>
    </x:row>
  </x:sheetData>
  <x:conditionalFormatting sqref="R5:S8">
    <x:cfRule type="containsText" dxfId="36" priority="1" operator="containsText" text="FAIL"/>
    <x:cfRule type="containsText" dxfId="37" priority="2" operator="containsText" text="OPEN"/>
    <x:cfRule type="containsText" dxfId="38" priority="3" operator="containsText" text="HOLD"/>
    <x:cfRule type="containsText" dxfId="39" priority="4" operator="containsText" text="SELECT"/>
    <x:cfRule type="containsText" dxfId="40" priority="5" operator="containsText" text="PASS"/>
    <x:cfRule type="containsText" dxfId="41" priority="6" operator="containsText" text="BLOCK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10" hidden="0" customWidth="1"/>
    <x:col min="4" max="4" width="10.5600004196167" hidden="0" customWidth="1"/>
    <x:col min="5" max="5" width="6.110000133514404" hidden="0" customWidth="1"/>
    <x:col min="6" max="6" width="35.560001373291016" hidden="0" customWidth="1"/>
    <x:col min="7" max="7" width="7.78000020980835" hidden="0" customWidth="1"/>
    <x:col min="8" max="8" width="10" hidden="0" customWidth="1"/>
    <x:col min="9" max="9" width="11.109999656677246" hidden="0" customWidth="1"/>
    <x:col min="10" max="10" width="13.329999923706055" hidden="0" customWidth="1"/>
    <x:col min="11" max="11" width="12.779999732971191" hidden="0" customWidth="1"/>
    <x:col min="12" max="12" width="23.329999923706055" hidden="0" customWidth="1"/>
    <x:col min="13" max="13" width="8.890000343322754" hidden="0" customWidth="1"/>
  </x:cols>
  <x:sheetData>
    <x:row r="2">
      <x:c r="C2" s="1" t="str">
        <x:v>Deployed and rotational workforce</x:v>
      </x:c>
    </x:row>
    <x:row r="3">
      <x:c r="C3" s="2" t="str">
        <x:v>The field roster travels with the root; host utility personnel may exercise authority but are not hidden operating labor.</x:v>
      </x:c>
    </x:row>
    <x:row r="4" ht="30" customHeight="1">
      <x:c r="C4" s="23" t="str">
        <x:v>Record</x:v>
      </x:c>
      <x:c r="D4" s="23" t="str">
        <x:v>Configuration</x:v>
      </x:c>
      <x:c r="E4" s="23" t="str">
        <x:v>Root</x:v>
      </x:c>
      <x:c r="F4" s="23" t="str">
        <x:v>Role or element</x:v>
      </x:c>
      <x:c r="G4" s="23" t="str">
        <x:v>Units</x:v>
      </x:c>
      <x:c r="H4" s="23" t="str">
        <x:v>Crew/unit</x:v>
      </x:c>
      <x:c r="I4" s="23" t="str">
        <x:v>Deployed</x:v>
      </x:c>
      <x:c r="J4" s="23" t="str">
        <x:v>Rotation multiplier</x:v>
      </x:c>
      <x:c r="K4" s="23" t="str">
        <x:v>Establishment</x:v>
      </x:c>
      <x:c r="L4" s="23" t="str">
        <x:v>Qualification boundary</x:v>
      </x:c>
      <x:c r="M4" s="23" t="str">
        <x:v>Evidence</x:v>
      </x:c>
    </x:row>
    <x:row r="5" ht="36" customHeight="1">
      <x:c r="C5" s="32" t="str">
        <x:v>WF-A-01</x:v>
      </x:c>
      <x:c r="D5" s="32" t="str">
        <x:v>LF-A-CF1</x:v>
      </x:c>
      <x:c r="E5" s="32" t="str">
        <x:v>A</x:v>
      </x:c>
      <x:c r="F5" s="32" t="str">
        <x:v>OUC-75 nuclear water-energy source cell</x:v>
      </x:c>
      <x:c r="G5" s="35" t="n">
        <x:v>4</x:v>
      </x:c>
      <x:c r="H5" s="35" t="n">
        <x:v>320</x:v>
      </x:c>
      <x:c r="I5" s="35" t="n">
        <x:f>G5*H5</x:f>
        <x:v>1280</x:v>
      </x:c>
      <x:c r="J5" s="35" t="n">
        <x:v>3.2</x:v>
      </x:c>
      <x:c r="K5" s="35" t="n">
        <x:f>I5*J5</x:f>
        <x:v>4096</x:v>
      </x:c>
      <x:c r="L5" s="32" t="str">
        <x:v>root technical watch</x:v>
      </x:c>
      <x:c r="M5" s="32" t="str">
        <x:v>OPEN</x:v>
      </x:c>
    </x:row>
    <x:row r="6" ht="36" customHeight="1">
      <x:c r="C6" s="33" t="str">
        <x:v>WF-A-02</x:v>
      </x:c>
      <x:c r="D6" s="33" t="str">
        <x:v>LF-A-CF1</x:v>
      </x:c>
      <x:c r="E6" s="33" t="str">
        <x:v>A</x:v>
      </x:c>
      <x:c r="F6" s="33" t="str">
        <x:v>shore water, sanitation and dual-corridor group</x:v>
      </x:c>
      <x:c r="G6" s="36" t="n">
        <x:v>8</x:v>
      </x:c>
      <x:c r="H6" s="36" t="n">
        <x:v>110</x:v>
      </x:c>
      <x:c r="I6" s="36" t="n">
        <x:f>G6*H6</x:f>
        <x:v>880</x:v>
      </x:c>
      <x:c r="J6" s="36" t="n">
        <x:v>3.2</x:v>
      </x:c>
      <x:c r="K6" s="36" t="n">
        <x:f>I6*J6</x:f>
        <x:v>2816</x:v>
      </x:c>
      <x:c r="L6" s="33" t="str">
        <x:v>root technical watch</x:v>
      </x:c>
      <x:c r="M6" s="33" t="str">
        <x:v>OPEN</x:v>
      </x:c>
    </x:row>
    <x:row r="7" ht="36" customHeight="1">
      <x:c r="C7" s="33" t="str">
        <x:v>WF-A-03</x:v>
      </x:c>
      <x:c r="D7" s="33" t="str">
        <x:v>LF-A-CF1</x:v>
      </x:c>
      <x:c r="E7" s="33" t="str">
        <x:v>A</x:v>
      </x:c>
      <x:c r="F7" s="33" t="str">
        <x:v>AC local grid and black-start cell</x:v>
      </x:c>
      <x:c r="G7" s="36" t="n">
        <x:v>10</x:v>
      </x:c>
      <x:c r="H7" s="36" t="n">
        <x:v>25</x:v>
      </x:c>
      <x:c r="I7" s="36" t="n">
        <x:f>G7*H7</x:f>
        <x:v>250</x:v>
      </x:c>
      <x:c r="J7" s="36" t="n">
        <x:v>3.2</x:v>
      </x:c>
      <x:c r="K7" s="36" t="n">
        <x:f>I7*J7</x:f>
        <x:v>800</x:v>
      </x:c>
      <x:c r="L7" s="33" t="str">
        <x:v>root technical watch</x:v>
      </x:c>
      <x:c r="M7" s="33" t="str">
        <x:v>OPEN</x:v>
      </x:c>
    </x:row>
    <x:row r="8" ht="36" customHeight="1">
      <x:c r="C8" s="33" t="str">
        <x:v>WF-A-04</x:v>
      </x:c>
      <x:c r="D8" s="33" t="str">
        <x:v>LF-A-CF1</x:v>
      </x:c>
      <x:c r="E8" s="33" t="str">
        <x:v>A</x:v>
      </x:c>
      <x:c r="F8" s="33" t="str">
        <x:v>high-voltage shore grid bridge</x:v>
      </x:c>
      <x:c r="G8" s="36" t="n">
        <x:v>8</x:v>
      </x:c>
      <x:c r="H8" s="36" t="n">
        <x:v>60</x:v>
      </x:c>
      <x:c r="I8" s="36" t="n">
        <x:f>G8*H8</x:f>
        <x:v>480</x:v>
      </x:c>
      <x:c r="J8" s="36" t="n">
        <x:v>3.2</x:v>
      </x:c>
      <x:c r="K8" s="36" t="n">
        <x:f>I8*J8</x:f>
        <x:v>1536</x:v>
      </x:c>
      <x:c r="L8" s="33" t="str">
        <x:v>root technical watch</x:v>
      </x:c>
      <x:c r="M8" s="33" t="str">
        <x:v>OPEN</x:v>
      </x:c>
    </x:row>
    <x:row r="9" ht="36" customHeight="1">
      <x:c r="C9" s="33" t="str">
        <x:v>WF-A-05</x:v>
      </x:c>
      <x:c r="D9" s="33" t="str">
        <x:v>LF-A-CF1</x:v>
      </x:c>
      <x:c r="E9" s="33" t="str">
        <x:v>A</x:v>
      </x:c>
      <x:c r="F9" s="33" t="str">
        <x:v>isolated district thermal cell</x:v>
      </x:c>
      <x:c r="G9" s="36" t="n">
        <x:v>8</x:v>
      </x:c>
      <x:c r="H9" s="36" t="n">
        <x:v>35</x:v>
      </x:c>
      <x:c r="I9" s="36" t="n">
        <x:f>G9*H9</x:f>
        <x:v>280</x:v>
      </x:c>
      <x:c r="J9" s="36" t="n">
        <x:v>3.2</x:v>
      </x:c>
      <x:c r="K9" s="36" t="n">
        <x:f>I9*J9</x:f>
        <x:v>896</x:v>
      </x:c>
      <x:c r="L9" s="33" t="str">
        <x:v>root technical watch</x:v>
      </x:c>
      <x:c r="M9" s="33" t="str">
        <x:v>OPEN</x:v>
      </x:c>
    </x:row>
    <x:row r="10" ht="36" customHeight="1">
      <x:c r="C10" s="33" t="str">
        <x:v>WF-A-06</x:v>
      </x:c>
      <x:c r="D10" s="33" t="str">
        <x:v>LF-A-CF1</x:v>
      </x:c>
      <x:c r="E10" s="33" t="str">
        <x:v>A</x:v>
      </x:c>
      <x:c r="F10" s="33" t="str">
        <x:v>water, power and radiological evidence cell</x:v>
      </x:c>
      <x:c r="G10" s="36" t="n">
        <x:v>4</x:v>
      </x:c>
      <x:c r="H10" s="36" t="n">
        <x:v>20</x:v>
      </x:c>
      <x:c r="I10" s="36" t="n">
        <x:f>G10*H10</x:f>
        <x:v>80</x:v>
      </x:c>
      <x:c r="J10" s="36" t="n">
        <x:v>3.2</x:v>
      </x:c>
      <x:c r="K10" s="36" t="n">
        <x:f>I10*J10</x:f>
        <x:v>256</x:v>
      </x:c>
      <x:c r="L10" s="33" t="str">
        <x:v>joint support watch</x:v>
      </x:c>
      <x:c r="M10" s="33" t="str">
        <x:v>OPEN</x:v>
      </x:c>
    </x:row>
    <x:row r="11" ht="36" customHeight="1">
      <x:c r="C11" s="33" t="str">
        <x:v>WF-A-07</x:v>
      </x:c>
      <x:c r="D11" s="33" t="str">
        <x:v>LF-A-CF1</x:v>
      </x:c>
      <x:c r="E11" s="33" t="str">
        <x:v>A</x:v>
      </x:c>
      <x:c r="F11" s="33" t="str">
        <x:v>marine repair, salvage and reset group</x:v>
      </x:c>
      <x:c r="G11" s="36" t="n">
        <x:v>4</x:v>
      </x:c>
      <x:c r="H11" s="36" t="n">
        <x:v>120</x:v>
      </x:c>
      <x:c r="I11" s="36" t="n">
        <x:f>G11*H11</x:f>
        <x:v>480</x:v>
      </x:c>
      <x:c r="J11" s="36" t="n">
        <x:v>3.2</x:v>
      </x:c>
      <x:c r="K11" s="36" t="n">
        <x:f>I11*J11</x:f>
        <x:v>1536</x:v>
      </x:c>
      <x:c r="L11" s="33" t="str">
        <x:v>joint support watch</x:v>
      </x:c>
      <x:c r="M11" s="33" t="str">
        <x:v>OPEN</x:v>
      </x:c>
    </x:row>
    <x:row r="12" ht="36" customHeight="1">
      <x:c r="C12" s="33" t="str">
        <x:v>WF-A-08</x:v>
      </x:c>
      <x:c r="D12" s="33" t="str">
        <x:v>LF-A-CF1</x:v>
      </x:c>
      <x:c r="E12" s="33" t="str">
        <x:v>A</x:v>
      </x:c>
      <x:c r="F12" s="33" t="str">
        <x:v>civil authority and configuration group</x:v>
      </x:c>
      <x:c r="G12" s="36" t="n">
        <x:v>4</x:v>
      </x:c>
      <x:c r="H12" s="36" t="n">
        <x:v>40</x:v>
      </x:c>
      <x:c r="I12" s="36" t="n">
        <x:f>G12*H12</x:f>
        <x:v>160</x:v>
      </x:c>
      <x:c r="J12" s="36" t="n">
        <x:v>3.2</x:v>
      </x:c>
      <x:c r="K12" s="36" t="n">
        <x:f>I12*J12</x:f>
        <x:v>512</x:v>
      </x:c>
      <x:c r="L12" s="33" t="str">
        <x:v>joint support watch</x:v>
      </x:c>
      <x:c r="M12" s="33" t="str">
        <x:v>OPEN</x:v>
      </x:c>
    </x:row>
    <x:row r="13" ht="36" customHeight="1">
      <x:c r="C13" s="33" t="str">
        <x:v>WF-A-09</x:v>
      </x:c>
      <x:c r="D13" s="33" t="str">
        <x:v>LF-A-CF1</x:v>
      </x:c>
      <x:c r="E13" s="33" t="str">
        <x:v>A</x:v>
      </x:c>
      <x:c r="F13" s="33" t="str">
        <x:v>closed-loop operating base</x:v>
      </x:c>
      <x:c r="G13" s="36" t="n">
        <x:v>4</x:v>
      </x:c>
      <x:c r="H13" s="36" t="n">
        <x:v>300</x:v>
      </x:c>
      <x:c r="I13" s="36" t="n">
        <x:f>G13*H13</x:f>
        <x:v>1200</x:v>
      </x:c>
      <x:c r="J13" s="36" t="n">
        <x:v>3.2</x:v>
      </x:c>
      <x:c r="K13" s="36" t="n">
        <x:f>I13*J13</x:f>
        <x:v>3840</x:v>
      </x:c>
      <x:c r="L13" s="33" t="str">
        <x:v>joint support watch</x:v>
      </x:c>
      <x:c r="M13" s="33" t="str">
        <x:v>OPEN</x:v>
      </x:c>
    </x:row>
    <x:row r="14" ht="36" customHeight="1">
      <x:c r="C14" s="33" t="str">
        <x:v>WF-B-01</x:v>
      </x:c>
      <x:c r="D14" s="33" t="str">
        <x:v>LF-B-CF1</x:v>
      </x:c>
      <x:c r="E14" s="33" t="str">
        <x:v>B</x:v>
      </x:c>
      <x:c r="F14" s="33" t="str">
        <x:v>IGT-50 rapid-bore geothermal source field</x:v>
      </x:c>
      <x:c r="G14" s="36" t="n">
        <x:v>4</x:v>
      </x:c>
      <x:c r="H14" s="36" t="n">
        <x:v>400</x:v>
      </x:c>
      <x:c r="I14" s="36" t="n">
        <x:f>G14*H14</x:f>
        <x:v>1600</x:v>
      </x:c>
      <x:c r="J14" s="36" t="n">
        <x:v>3.2</x:v>
      </x:c>
      <x:c r="K14" s="36" t="n">
        <x:f>I14*J14</x:f>
        <x:v>5120</x:v>
      </x:c>
      <x:c r="L14" s="33" t="str">
        <x:v>root technical watch</x:v>
      </x:c>
      <x:c r="M14" s="33" t="str">
        <x:v>OPEN</x:v>
      </x:c>
    </x:row>
    <x:row r="15" ht="36" customHeight="1">
      <x:c r="C15" s="33" t="str">
        <x:v>WF-B-02</x:v>
      </x:c>
      <x:c r="D15" s="33" t="str">
        <x:v>LF-B-CF1</x:v>
      </x:c>
      <x:c r="E15" s="33" t="str">
        <x:v>B</x:v>
      </x:c>
      <x:c r="F15" s="33" t="str">
        <x:v>brackish water, sanitation and buried-corridor group</x:v>
      </x:c>
      <x:c r="G15" s="36" t="n">
        <x:v>8</x:v>
      </x:c>
      <x:c r="H15" s="36" t="n">
        <x:v>120</x:v>
      </x:c>
      <x:c r="I15" s="36" t="n">
        <x:f>G15*H15</x:f>
        <x:v>960</x:v>
      </x:c>
      <x:c r="J15" s="36" t="n">
        <x:v>3.2</x:v>
      </x:c>
      <x:c r="K15" s="36" t="n">
        <x:f>I15*J15</x:f>
        <x:v>3072</x:v>
      </x:c>
      <x:c r="L15" s="33" t="str">
        <x:v>root technical watch</x:v>
      </x:c>
      <x:c r="M15" s="33" t="str">
        <x:v>OPEN</x:v>
      </x:c>
    </x:row>
    <x:row r="16" ht="36" customHeight="1">
      <x:c r="C16" s="33" t="str">
        <x:v>WF-B-03</x:v>
      </x:c>
      <x:c r="D16" s="33" t="str">
        <x:v>LF-B-CF1</x:v>
      </x:c>
      <x:c r="E16" s="33" t="str">
        <x:v>B</x:v>
      </x:c>
      <x:c r="F16" s="33" t="str">
        <x:v>synchronous local grid and black-start cell</x:v>
      </x:c>
      <x:c r="G16" s="36" t="n">
        <x:v>10</x:v>
      </x:c>
      <x:c r="H16" s="36" t="n">
        <x:v>25</x:v>
      </x:c>
      <x:c r="I16" s="36" t="n">
        <x:f>G16*H16</x:f>
        <x:v>250</x:v>
      </x:c>
      <x:c r="J16" s="36" t="n">
        <x:v>3.2</x:v>
      </x:c>
      <x:c r="K16" s="36" t="n">
        <x:f>I16*J16</x:f>
        <x:v>800</x:v>
      </x:c>
      <x:c r="L16" s="33" t="str">
        <x:v>root technical watch</x:v>
      </x:c>
      <x:c r="M16" s="33" t="str">
        <x:v>OPEN</x:v>
      </x:c>
    </x:row>
    <x:row r="17" ht="36" customHeight="1">
      <x:c r="C17" s="33" t="str">
        <x:v>WF-B-04</x:v>
      </x:c>
      <x:c r="D17" s="33" t="str">
        <x:v>LF-B-CF1</x:v>
      </x:c>
      <x:c r="E17" s="33" t="str">
        <x:v>B</x:v>
      </x:c>
      <x:c r="F17" s="33" t="str">
        <x:v>buried electric and thermal grid bridge</x:v>
      </x:c>
      <x:c r="G17" s="36" t="n">
        <x:v>8</x:v>
      </x:c>
      <x:c r="H17" s="36" t="n">
        <x:v>70</x:v>
      </x:c>
      <x:c r="I17" s="36" t="n">
        <x:f>G17*H17</x:f>
        <x:v>560</x:v>
      </x:c>
      <x:c r="J17" s="36" t="n">
        <x:v>3.2</x:v>
      </x:c>
      <x:c r="K17" s="36" t="n">
        <x:f>I17*J17</x:f>
        <x:v>1792</x:v>
      </x:c>
      <x:c r="L17" s="33" t="str">
        <x:v>root technical watch</x:v>
      </x:c>
      <x:c r="M17" s="33" t="str">
        <x:v>OPEN</x:v>
      </x:c>
    </x:row>
    <x:row r="18" ht="36" customHeight="1">
      <x:c r="C18" s="33" t="str">
        <x:v>WF-B-05</x:v>
      </x:c>
      <x:c r="D18" s="33" t="str">
        <x:v>LF-B-CF1</x:v>
      </x:c>
      <x:c r="E18" s="33" t="str">
        <x:v>B</x:v>
      </x:c>
      <x:c r="F18" s="33" t="str">
        <x:v>geothermal thermal-bus cell</x:v>
      </x:c>
      <x:c r="G18" s="36" t="n">
        <x:v>8</x:v>
      </x:c>
      <x:c r="H18" s="36" t="n">
        <x:v>40</x:v>
      </x:c>
      <x:c r="I18" s="36" t="n">
        <x:f>G18*H18</x:f>
        <x:v>320</x:v>
      </x:c>
      <x:c r="J18" s="36" t="n">
        <x:v>3.2</x:v>
      </x:c>
      <x:c r="K18" s="36" t="n">
        <x:f>I18*J18</x:f>
        <x:v>1024</x:v>
      </x:c>
      <x:c r="L18" s="33" t="str">
        <x:v>root technical watch</x:v>
      </x:c>
      <x:c r="M18" s="33" t="str">
        <x:v>OPEN</x:v>
      </x:c>
    </x:row>
    <x:row r="19" ht="36" customHeight="1">
      <x:c r="C19" s="33" t="str">
        <x:v>WF-B-06</x:v>
      </x:c>
      <x:c r="D19" s="33" t="str">
        <x:v>LF-B-CF1</x:v>
      </x:c>
      <x:c r="E19" s="33" t="str">
        <x:v>B</x:v>
      </x:c>
      <x:c r="F19" s="33" t="str">
        <x:v>geochemical, water and power evidence cell</x:v>
      </x:c>
      <x:c r="G19" s="36" t="n">
        <x:v>4</x:v>
      </x:c>
      <x:c r="H19" s="36" t="n">
        <x:v>20</x:v>
      </x:c>
      <x:c r="I19" s="36" t="n">
        <x:f>G19*H19</x:f>
        <x:v>80</x:v>
      </x:c>
      <x:c r="J19" s="36" t="n">
        <x:v>3.2</x:v>
      </x:c>
      <x:c r="K19" s="36" t="n">
        <x:f>I19*J19</x:f>
        <x:v>256</x:v>
      </x:c>
      <x:c r="L19" s="33" t="str">
        <x:v>joint support watch</x:v>
      </x:c>
      <x:c r="M19" s="33" t="str">
        <x:v>OPEN</x:v>
      </x:c>
    </x:row>
    <x:row r="20" ht="36" customHeight="1">
      <x:c r="C20" s="33" t="str">
        <x:v>WF-B-07</x:v>
      </x:c>
      <x:c r="D20" s="33" t="str">
        <x:v>LF-B-CF1</x:v>
      </x:c>
      <x:c r="E20" s="33" t="str">
        <x:v>B</x:v>
      </x:c>
      <x:c r="F20" s="33" t="str">
        <x:v>drilling, well and plant reset group</x:v>
      </x:c>
      <x:c r="G20" s="36" t="n">
        <x:v>4</x:v>
      </x:c>
      <x:c r="H20" s="36" t="n">
        <x:v>100</x:v>
      </x:c>
      <x:c r="I20" s="36" t="n">
        <x:f>G20*H20</x:f>
        <x:v>400</x:v>
      </x:c>
      <x:c r="J20" s="36" t="n">
        <x:v>3.2</x:v>
      </x:c>
      <x:c r="K20" s="36" t="n">
        <x:f>I20*J20</x:f>
        <x:v>1280</x:v>
      </x:c>
      <x:c r="L20" s="33" t="str">
        <x:v>joint support watch</x:v>
      </x:c>
      <x:c r="M20" s="33" t="str">
        <x:v>OPEN</x:v>
      </x:c>
    </x:row>
    <x:row r="21" ht="36" customHeight="1">
      <x:c r="C21" s="33" t="str">
        <x:v>WF-B-08</x:v>
      </x:c>
      <x:c r="D21" s="33" t="str">
        <x:v>LF-B-CF1</x:v>
      </x:c>
      <x:c r="E21" s="33" t="str">
        <x:v>B</x:v>
      </x:c>
      <x:c r="F21" s="33" t="str">
        <x:v>civil authority and configuration group</x:v>
      </x:c>
      <x:c r="G21" s="36" t="n">
        <x:v>4</x:v>
      </x:c>
      <x:c r="H21" s="36" t="n">
        <x:v>40</x:v>
      </x:c>
      <x:c r="I21" s="36" t="n">
        <x:f>G21*H21</x:f>
        <x:v>160</x:v>
      </x:c>
      <x:c r="J21" s="36" t="n">
        <x:v>3.2</x:v>
      </x:c>
      <x:c r="K21" s="36" t="n">
        <x:f>I21*J21</x:f>
        <x:v>512</x:v>
      </x:c>
      <x:c r="L21" s="33" t="str">
        <x:v>joint support watch</x:v>
      </x:c>
      <x:c r="M21" s="33" t="str">
        <x:v>OPEN</x:v>
      </x:c>
    </x:row>
    <x:row r="22" ht="36" customHeight="1">
      <x:c r="C22" s="33" t="str">
        <x:v>WF-B-09</x:v>
      </x:c>
      <x:c r="D22" s="33" t="str">
        <x:v>LF-B-CF1</x:v>
      </x:c>
      <x:c r="E22" s="33" t="str">
        <x:v>B</x:v>
      </x:c>
      <x:c r="F22" s="33" t="str">
        <x:v>closed-loop inland operating base</x:v>
      </x:c>
      <x:c r="G22" s="36" t="n">
        <x:v>4</x:v>
      </x:c>
      <x:c r="H22" s="36" t="n">
        <x:v>250</x:v>
      </x:c>
      <x:c r="I22" s="36" t="n">
        <x:f>G22*H22</x:f>
        <x:v>1000</x:v>
      </x:c>
      <x:c r="J22" s="36" t="n">
        <x:v>3.2</x:v>
      </x:c>
      <x:c r="K22" s="36" t="n">
        <x:f>I22*J22</x:f>
        <x:v>3200</x:v>
      </x:c>
      <x:c r="L22" s="33" t="str">
        <x:v>joint support watch</x:v>
      </x:c>
      <x:c r="M22" s="33" t="str">
        <x:v>OPEN</x:v>
      </x:c>
    </x:row>
    <x:row r="23" ht="36" customHeight="1">
      <x:c r="C23" s="33" t="str">
        <x:v>WF-C-01</x:v>
      </x:c>
      <x:c r="D23" s="33" t="str">
        <x:v>LF-C-CF1</x:v>
      </x:c>
      <x:c r="E23" s="33" t="str">
        <x:v>C</x:v>
      </x:c>
      <x:c r="F23" s="33" t="str">
        <x:v>RES-100/2G renewable-storage source park</x:v>
      </x:c>
      <x:c r="G23" s="36" t="n">
        <x:v>4</x:v>
      </x:c>
      <x:c r="H23" s="36" t="n">
        <x:v>250</x:v>
      </x:c>
      <x:c r="I23" s="36" t="n">
        <x:f>G23*H23</x:f>
        <x:v>1000</x:v>
      </x:c>
      <x:c r="J23" s="36" t="n">
        <x:v>3.2</x:v>
      </x:c>
      <x:c r="K23" s="36" t="n">
        <x:f>I23*J23</x:f>
        <x:v>3200</x:v>
      </x:c>
      <x:c r="L23" s="33" t="str">
        <x:v>root technical watch</x:v>
      </x:c>
      <x:c r="M23" s="33" t="str">
        <x:v>OPEN</x:v>
      </x:c>
    </x:row>
    <x:row r="24" ht="36" customHeight="1">
      <x:c r="C24" s="33" t="str">
        <x:v>WF-C-02</x:v>
      </x:c>
      <x:c r="D24" s="33" t="str">
        <x:v>LF-C-CF1</x:v>
      </x:c>
      <x:c r="E24" s="33" t="str">
        <x:v>C</x:v>
      </x:c>
      <x:c r="F24" s="33" t="str">
        <x:v>electrochemical water, sanitation and flexible-corridor group</x:v>
      </x:c>
      <x:c r="G24" s="36" t="n">
        <x:v>8</x:v>
      </x:c>
      <x:c r="H24" s="36" t="n">
        <x:v>90</x:v>
      </x:c>
      <x:c r="I24" s="36" t="n">
        <x:f>G24*H24</x:f>
        <x:v>720</x:v>
      </x:c>
      <x:c r="J24" s="36" t="n">
        <x:v>3.2</x:v>
      </x:c>
      <x:c r="K24" s="36" t="n">
        <x:f>I24*J24</x:f>
        <x:v>2304</x:v>
      </x:c>
      <x:c r="L24" s="33" t="str">
        <x:v>root technical watch</x:v>
      </x:c>
      <x:c r="M24" s="33" t="str">
        <x:v>OPEN</x:v>
      </x:c>
    </x:row>
    <x:row r="25" ht="36" customHeight="1">
      <x:c r="C25" s="33" t="str">
        <x:v>WF-C-03</x:v>
      </x:c>
      <x:c r="D25" s="33" t="str">
        <x:v>LF-C-CF1</x:v>
      </x:c>
      <x:c r="E25" s="33" t="str">
        <x:v>C</x:v>
      </x:c>
      <x:c r="F25" s="33" t="str">
        <x:v>DC local grid and black-start cell</x:v>
      </x:c>
      <x:c r="G25" s="36" t="n">
        <x:v>10</x:v>
      </x:c>
      <x:c r="H25" s="36" t="n">
        <x:v>20</x:v>
      </x:c>
      <x:c r="I25" s="36" t="n">
        <x:f>G25*H25</x:f>
        <x:v>200</x:v>
      </x:c>
      <x:c r="J25" s="36" t="n">
        <x:v>3.2</x:v>
      </x:c>
      <x:c r="K25" s="36" t="n">
        <x:f>I25*J25</x:f>
        <x:v>640</x:v>
      </x:c>
      <x:c r="L25" s="33" t="str">
        <x:v>root technical watch</x:v>
      </x:c>
      <x:c r="M25" s="33" t="str">
        <x:v>OPEN</x:v>
      </x:c>
    </x:row>
    <x:row r="26" ht="36" customHeight="1">
      <x:c r="C26" s="33" t="str">
        <x:v>WF-C-04</x:v>
      </x:c>
      <x:c r="D26" s="33" t="str">
        <x:v>LF-C-CF1</x:v>
      </x:c>
      <x:c r="E26" s="33" t="str">
        <x:v>C</x:v>
      </x:c>
      <x:c r="F26" s="33" t="str">
        <x:v>solid-state fault-blocking grid bridge</x:v>
      </x:c>
      <x:c r="G26" s="36" t="n">
        <x:v>8</x:v>
      </x:c>
      <x:c r="H26" s="36" t="n">
        <x:v>50</x:v>
      </x:c>
      <x:c r="I26" s="36" t="n">
        <x:f>G26*H26</x:f>
        <x:v>400</x:v>
      </x:c>
      <x:c r="J26" s="36" t="n">
        <x:v>3.2</x:v>
      </x:c>
      <x:c r="K26" s="36" t="n">
        <x:f>I26*J26</x:f>
        <x:v>1280</x:v>
      </x:c>
      <x:c r="L26" s="33" t="str">
        <x:v>root technical watch</x:v>
      </x:c>
      <x:c r="M26" s="33" t="str">
        <x:v>OPEN</x:v>
      </x:c>
    </x:row>
    <x:row r="27" ht="36" customHeight="1">
      <x:c r="C27" s="33" t="str">
        <x:v>WF-C-05</x:v>
      </x:c>
      <x:c r="D27" s="33" t="str">
        <x:v>LF-C-CF1</x:v>
      </x:c>
      <x:c r="E27" s="33" t="str">
        <x:v>C</x:v>
      </x:c>
      <x:c r="F27" s="33" t="str">
        <x:v>heat-pump and thermal-storage cell</x:v>
      </x:c>
      <x:c r="G27" s="36" t="n">
        <x:v>8</x:v>
      </x:c>
      <x:c r="H27" s="36" t="n">
        <x:v>35</x:v>
      </x:c>
      <x:c r="I27" s="36" t="n">
        <x:f>G27*H27</x:f>
        <x:v>280</x:v>
      </x:c>
      <x:c r="J27" s="36" t="n">
        <x:v>3.2</x:v>
      </x:c>
      <x:c r="K27" s="36" t="n">
        <x:f>I27*J27</x:f>
        <x:v>896</x:v>
      </x:c>
      <x:c r="L27" s="33" t="str">
        <x:v>root technical watch</x:v>
      </x:c>
      <x:c r="M27" s="33" t="str">
        <x:v>OPEN</x:v>
      </x:c>
    </x:row>
    <x:row r="28" ht="36" customHeight="1">
      <x:c r="C28" s="33" t="str">
        <x:v>WF-C-06</x:v>
      </x:c>
      <x:c r="D28" s="33" t="str">
        <x:v>LF-C-CF1</x:v>
      </x:c>
      <x:c r="E28" s="33" t="str">
        <x:v>C</x:v>
      </x:c>
      <x:c r="F28" s="33" t="str">
        <x:v>water, storage and power-electronic evidence cell</x:v>
      </x:c>
      <x:c r="G28" s="36" t="n">
        <x:v>4</x:v>
      </x:c>
      <x:c r="H28" s="36" t="n">
        <x:v>20</x:v>
      </x:c>
      <x:c r="I28" s="36" t="n">
        <x:f>G28*H28</x:f>
        <x:v>80</x:v>
      </x:c>
      <x:c r="J28" s="36" t="n">
        <x:v>3.2</x:v>
      </x:c>
      <x:c r="K28" s="36" t="n">
        <x:f>I28*J28</x:f>
        <x:v>256</x:v>
      </x:c>
      <x:c r="L28" s="33" t="str">
        <x:v>joint support watch</x:v>
      </x:c>
      <x:c r="M28" s="33" t="str">
        <x:v>OPEN</x:v>
      </x:c>
    </x:row>
    <x:row r="29" ht="36" customHeight="1">
      <x:c r="C29" s="33" t="str">
        <x:v>WF-C-07</x:v>
      </x:c>
      <x:c r="D29" s="33" t="str">
        <x:v>LF-C-CF1</x:v>
      </x:c>
      <x:c r="E29" s="33" t="str">
        <x:v>C</x:v>
      </x:c>
      <x:c r="F29" s="33" t="str">
        <x:v>cell exchange and field reset group</x:v>
      </x:c>
      <x:c r="G29" s="36" t="n">
        <x:v>4</x:v>
      </x:c>
      <x:c r="H29" s="36" t="n">
        <x:v>70</x:v>
      </x:c>
      <x:c r="I29" s="36" t="n">
        <x:f>G29*H29</x:f>
        <x:v>280</x:v>
      </x:c>
      <x:c r="J29" s="36" t="n">
        <x:v>3.2</x:v>
      </x:c>
      <x:c r="K29" s="36" t="n">
        <x:f>I29*J29</x:f>
        <x:v>896</x:v>
      </x:c>
      <x:c r="L29" s="33" t="str">
        <x:v>joint support watch</x:v>
      </x:c>
      <x:c r="M29" s="33" t="str">
        <x:v>OPEN</x:v>
      </x:c>
    </x:row>
    <x:row r="30" ht="36" customHeight="1">
      <x:c r="C30" s="33" t="str">
        <x:v>WF-C-08</x:v>
      </x:c>
      <x:c r="D30" s="33" t="str">
        <x:v>LF-C-CF1</x:v>
      </x:c>
      <x:c r="E30" s="33" t="str">
        <x:v>C</x:v>
      </x:c>
      <x:c r="F30" s="33" t="str">
        <x:v>civil authority and configuration group</x:v>
      </x:c>
      <x:c r="G30" s="36" t="n">
        <x:v>4</x:v>
      </x:c>
      <x:c r="H30" s="36" t="n">
        <x:v>40</x:v>
      </x:c>
      <x:c r="I30" s="36" t="n">
        <x:f>G30*H30</x:f>
        <x:v>160</x:v>
      </x:c>
      <x:c r="J30" s="36" t="n">
        <x:v>3.2</x:v>
      </x:c>
      <x:c r="K30" s="36" t="n">
        <x:f>I30*J30</x:f>
        <x:v>512</x:v>
      </x:c>
      <x:c r="L30" s="33" t="str">
        <x:v>joint support watch</x:v>
      </x:c>
      <x:c r="M30" s="33" t="str">
        <x:v>OPEN</x:v>
      </x:c>
    </x:row>
    <x:row r="31" ht="36" customHeight="1">
      <x:c r="C31" s="33" t="str">
        <x:v>WF-C-09</x:v>
      </x:c>
      <x:c r="D31" s="33" t="str">
        <x:v>LF-C-CF1</x:v>
      </x:c>
      <x:c r="E31" s="33" t="str">
        <x:v>C</x:v>
      </x:c>
      <x:c r="F31" s="33" t="str">
        <x:v>distributed closed-loop operating base</x:v>
      </x:c>
      <x:c r="G31" s="36" t="n">
        <x:v>4</x:v>
      </x:c>
      <x:c r="H31" s="36" t="n">
        <x:v>220</x:v>
      </x:c>
      <x:c r="I31" s="36" t="n">
        <x:f>G31*H31</x:f>
        <x:v>880</x:v>
      </x:c>
      <x:c r="J31" s="36" t="n">
        <x:v>3.2</x:v>
      </x:c>
      <x:c r="K31" s="36" t="n">
        <x:f>I31*J31</x:f>
        <x:v>2816</x:v>
      </x:c>
      <x:c r="L31" s="33" t="str">
        <x:v>joint support watch</x:v>
      </x:c>
      <x:c r="M31" s="33" t="str">
        <x:v>OPEN</x:v>
      </x:c>
    </x:row>
    <x:row r="32" ht="36" customHeight="1">
      <x:c r="C32" s="33" t="str">
        <x:v>WF-D-01</x:v>
      </x:c>
      <x:c r="D32" s="33" t="str">
        <x:v>LF-D-CF1</x:v>
      </x:c>
      <x:c r="E32" s="33" t="str">
        <x:v>D</x:v>
      </x:c>
      <x:c r="F32" s="33" t="str">
        <x:v>SFS-50 ammonia-hydrogen hybrid source fleet</x:v>
      </x:c>
      <x:c r="G32" s="36" t="n">
        <x:v>4</x:v>
      </x:c>
      <x:c r="H32" s="36" t="n">
        <x:v>200</x:v>
      </x:c>
      <x:c r="I32" s="36" t="n">
        <x:f>G32*H32</x:f>
        <x:v>800</x:v>
      </x:c>
      <x:c r="J32" s="36" t="n">
        <x:v>3.2</x:v>
      </x:c>
      <x:c r="K32" s="36" t="n">
        <x:f>I32*J32</x:f>
        <x:v>2560</x:v>
      </x:c>
      <x:c r="L32" s="33" t="str">
        <x:v>root technical watch</x:v>
      </x:c>
      <x:c r="M32" s="33" t="str">
        <x:v>OPEN</x:v>
      </x:c>
    </x:row>
    <x:row r="33" ht="36" customHeight="1">
      <x:c r="C33" s="33" t="str">
        <x:v>WF-D-02</x:v>
      </x:c>
      <x:c r="D33" s="33" t="str">
        <x:v>LF-D-CF1</x:v>
      </x:c>
      <x:c r="E33" s="33" t="str">
        <x:v>D</x:v>
      </x:c>
      <x:c r="F33" s="33" t="str">
        <x:v>membrane-biological water, sanitation and surface-corridor group</x:v>
      </x:c>
      <x:c r="G33" s="36" t="n">
        <x:v>8</x:v>
      </x:c>
      <x:c r="H33" s="36" t="n">
        <x:v>100</x:v>
      </x:c>
      <x:c r="I33" s="36" t="n">
        <x:f>G33*H33</x:f>
        <x:v>800</x:v>
      </x:c>
      <x:c r="J33" s="36" t="n">
        <x:v>3.2</x:v>
      </x:c>
      <x:c r="K33" s="36" t="n">
        <x:f>I33*J33</x:f>
        <x:v>2560</x:v>
      </x:c>
      <x:c r="L33" s="33" t="str">
        <x:v>root technical watch</x:v>
      </x:c>
      <x:c r="M33" s="33" t="str">
        <x:v>OPEN</x:v>
      </x:c>
    </x:row>
    <x:row r="34" ht="36" customHeight="1">
      <x:c r="C34" s="33" t="str">
        <x:v>WF-D-03</x:v>
      </x:c>
      <x:c r="D34" s="33" t="str">
        <x:v>LF-D-CF1</x:v>
      </x:c>
      <x:c r="E34" s="33" t="str">
        <x:v>D</x:v>
      </x:c>
      <x:c r="F34" s="33" t="str">
        <x:v>hybrid local grid and black-start cell</x:v>
      </x:c>
      <x:c r="G34" s="36" t="n">
        <x:v>10</x:v>
      </x:c>
      <x:c r="H34" s="36" t="n">
        <x:v>25</x:v>
      </x:c>
      <x:c r="I34" s="36" t="n">
        <x:f>G34*H34</x:f>
        <x:v>250</x:v>
      </x:c>
      <x:c r="J34" s="36" t="n">
        <x:v>3.2</x:v>
      </x:c>
      <x:c r="K34" s="36" t="n">
        <x:f>I34*J34</x:f>
        <x:v>800</x:v>
      </x:c>
      <x:c r="L34" s="33" t="str">
        <x:v>root technical watch</x:v>
      </x:c>
      <x:c r="M34" s="33" t="str">
        <x:v>OPEN</x:v>
      </x:c>
    </x:row>
    <x:row r="35" ht="36" customHeight="1">
      <x:c r="C35" s="33" t="str">
        <x:v>WF-D-04</x:v>
      </x:c>
      <x:c r="D35" s="33" t="str">
        <x:v>LF-D-CF1</x:v>
      </x:c>
      <x:c r="E35" s="33" t="str">
        <x:v>D</x:v>
      </x:c>
      <x:c r="F35" s="33" t="str">
        <x:v>recoverable conductor and converter grid bridge</x:v>
      </x:c>
      <x:c r="G35" s="36" t="n">
        <x:v>8</x:v>
      </x:c>
      <x:c r="H35" s="36" t="n">
        <x:v>55</x:v>
      </x:c>
      <x:c r="I35" s="36" t="n">
        <x:f>G35*H35</x:f>
        <x:v>440</x:v>
      </x:c>
      <x:c r="J35" s="36" t="n">
        <x:v>3.2</x:v>
      </x:c>
      <x:c r="K35" s="36" t="n">
        <x:f>I35*J35</x:f>
        <x:v>1408</x:v>
      </x:c>
      <x:c r="L35" s="33" t="str">
        <x:v>root technical watch</x:v>
      </x:c>
      <x:c r="M35" s="33" t="str">
        <x:v>OPEN</x:v>
      </x:c>
    </x:row>
    <x:row r="36" ht="36" customHeight="1">
      <x:c r="C36" s="33" t="str">
        <x:v>WF-D-05</x:v>
      </x:c>
      <x:c r="D36" s="33" t="str">
        <x:v>LF-D-CF1</x:v>
      </x:c>
      <x:c r="E36" s="33" t="str">
        <x:v>D</x:v>
      </x:c>
      <x:c r="F36" s="33" t="str">
        <x:v>cogeneration heat-recovery cell</x:v>
      </x:c>
      <x:c r="G36" s="36" t="n">
        <x:v>8</x:v>
      </x:c>
      <x:c r="H36" s="36" t="n">
        <x:v>35</x:v>
      </x:c>
      <x:c r="I36" s="36" t="n">
        <x:f>G36*H36</x:f>
        <x:v>280</x:v>
      </x:c>
      <x:c r="J36" s="36" t="n">
        <x:v>3.2</x:v>
      </x:c>
      <x:c r="K36" s="36" t="n">
        <x:f>I36*J36</x:f>
        <x:v>896</x:v>
      </x:c>
      <x:c r="L36" s="33" t="str">
        <x:v>root technical watch</x:v>
      </x:c>
      <x:c r="M36" s="33" t="str">
        <x:v>OPEN</x:v>
      </x:c>
    </x:row>
    <x:row r="37" ht="36" customHeight="1">
      <x:c r="C37" s="33" t="str">
        <x:v>WF-D-06</x:v>
      </x:c>
      <x:c r="D37" s="33" t="str">
        <x:v>LF-D-CF1</x:v>
      </x:c>
      <x:c r="E37" s="33" t="str">
        <x:v>D</x:v>
      </x:c>
      <x:c r="F37" s="33" t="str">
        <x:v>fuel, water and emissions evidence cell</x:v>
      </x:c>
      <x:c r="G37" s="36" t="n">
        <x:v>4</x:v>
      </x:c>
      <x:c r="H37" s="36" t="n">
        <x:v>20</x:v>
      </x:c>
      <x:c r="I37" s="36" t="n">
        <x:f>G37*H37</x:f>
        <x:v>80</x:v>
      </x:c>
      <x:c r="J37" s="36" t="n">
        <x:v>3.2</x:v>
      </x:c>
      <x:c r="K37" s="36" t="n">
        <x:f>I37*J37</x:f>
        <x:v>256</x:v>
      </x:c>
      <x:c r="L37" s="33" t="str">
        <x:v>joint support watch</x:v>
      </x:c>
      <x:c r="M37" s="33" t="str">
        <x:v>OPEN</x:v>
      </x:c>
    </x:row>
    <x:row r="38" ht="36" customHeight="1">
      <x:c r="C38" s="33" t="str">
        <x:v>WF-D-07</x:v>
      </x:c>
      <x:c r="D38" s="33" t="str">
        <x:v>LF-D-CF1</x:v>
      </x:c>
      <x:c r="E38" s="33" t="str">
        <x:v>D</x:v>
      </x:c>
      <x:c r="F38" s="33" t="str">
        <x:v>fuel-system repair and reset group</x:v>
      </x:c>
      <x:c r="G38" s="36" t="n">
        <x:v>4</x:v>
      </x:c>
      <x:c r="H38" s="36" t="n">
        <x:v>80</x:v>
      </x:c>
      <x:c r="I38" s="36" t="n">
        <x:f>G38*H38</x:f>
        <x:v>320</x:v>
      </x:c>
      <x:c r="J38" s="36" t="n">
        <x:v>3.2</x:v>
      </x:c>
      <x:c r="K38" s="36" t="n">
        <x:f>I38*J38</x:f>
        <x:v>1024</x:v>
      </x:c>
      <x:c r="L38" s="33" t="str">
        <x:v>joint support watch</x:v>
      </x:c>
      <x:c r="M38" s="33" t="str">
        <x:v>OPEN</x:v>
      </x:c>
    </x:row>
    <x:row r="39" ht="36" customHeight="1">
      <x:c r="C39" s="33" t="str">
        <x:v>WF-D-08</x:v>
      </x:c>
      <x:c r="D39" s="33" t="str">
        <x:v>LF-D-CF1</x:v>
      </x:c>
      <x:c r="E39" s="33" t="str">
        <x:v>D</x:v>
      </x:c>
      <x:c r="F39" s="33" t="str">
        <x:v>civil authority and configuration group</x:v>
      </x:c>
      <x:c r="G39" s="36" t="n">
        <x:v>4</x:v>
      </x:c>
      <x:c r="H39" s="36" t="n">
        <x:v>40</x:v>
      </x:c>
      <x:c r="I39" s="36" t="n">
        <x:f>G39*H39</x:f>
        <x:v>160</x:v>
      </x:c>
      <x:c r="J39" s="36" t="n">
        <x:v>3.2</x:v>
      </x:c>
      <x:c r="K39" s="36" t="n">
        <x:f>I39*J39</x:f>
        <x:v>512</x:v>
      </x:c>
      <x:c r="L39" s="33" t="str">
        <x:v>joint support watch</x:v>
      </x:c>
      <x:c r="M39" s="33" t="str">
        <x:v>OPEN</x:v>
      </x:c>
    </x:row>
    <x:row r="40" ht="36" customHeight="1">
      <x:c r="C40" s="34" t="str">
        <x:v>WF-D-09</x:v>
      </x:c>
      <x:c r="D40" s="34" t="str">
        <x:v>LF-D-CF1</x:v>
      </x:c>
      <x:c r="E40" s="34" t="str">
        <x:v>D</x:v>
      </x:c>
      <x:c r="F40" s="34" t="str">
        <x:v>closed-loop mobile operating base</x:v>
      </x:c>
      <x:c r="G40" s="37" t="n">
        <x:v>4</x:v>
      </x:c>
      <x:c r="H40" s="37" t="n">
        <x:v>230</x:v>
      </x:c>
      <x:c r="I40" s="37" t="n">
        <x:f>G40*H40</x:f>
        <x:v>920</x:v>
      </x:c>
      <x:c r="J40" s="37" t="n">
        <x:v>3.2</x:v>
      </x:c>
      <x:c r="K40" s="37" t="n">
        <x:f>I40*J40</x:f>
        <x:v>2944</x:v>
      </x:c>
      <x:c r="L40" s="34" t="str">
        <x:v>joint support watch</x:v>
      </x:c>
      <x:c r="M40" s="34" t="str">
        <x:v>OPEN</x:v>
      </x:c>
    </x:row>
  </x:sheetData>
  <x:conditionalFormatting sqref="M5:M40">
    <x:cfRule type="containsText" dxfId="54" priority="1" operator="containsText" text="FAIL"/>
    <x:cfRule type="containsText" dxfId="55" priority="2" operator="containsText" text="OPEN"/>
    <x:cfRule type="containsText" dxfId="56" priority="3" operator="containsText" text="HOLD"/>
    <x:cfRule type="containsText" dxfId="57" priority="4" operator="containsText" text="SELECT"/>
    <x:cfRule type="containsText" dxfId="58" priority="5" operator="containsText" text="PASS"/>
    <x:cfRule type="containsText" dxfId="59" priority="6" operator="containsText" text="BLOCK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3" max="3" width="16.670000076293945" hidden="0" customWidth="1"/>
    <x:col min="4" max="4" width="10.5600004196167" hidden="0" customWidth="1"/>
    <x:col min="5" max="5" width="6.110000133514404" hidden="0" customWidth="1"/>
    <x:col min="6" max="6" width="6.670000076293945" hidden="0" customWidth="1"/>
    <x:col min="7" max="7" width="28.889999389648438" hidden="0" customWidth="1"/>
    <x:col min="8" max="8" width="27.780000686645508" hidden="0" customWidth="1"/>
    <x:col min="9" max="9" width="36.66999816894531" hidden="0" customWidth="1"/>
    <x:col min="10" max="10" width="18.889999389648438" hidden="0" customWidth="1"/>
    <x:col min="11" max="11" width="9.4399995803833" hidden="0" customWidth="1"/>
    <x:col min="12" max="12" width="8.890000343322754" hidden="0" customWidth="1"/>
    <x:col min="13" max="13" width="8.329999923706055" hidden="0" customWidth="1"/>
  </x:cols>
  <x:sheetData>
    <x:row r="2">
      <x:c r="C2" s="1" t="str">
        <x:v>Seventy-two root failure trials</x:v>
      </x:c>
    </x:row>
    <x:row r="3">
      <x:c r="C3" s="2" t="str">
        <x:v>A planning behavior is not a result; every outcome remains untested.</x:v>
      </x:c>
    </x:row>
    <x:row r="4" ht="30" customHeight="1">
      <x:c r="C4" s="23" t="str">
        <x:v>Trial ID</x:v>
      </x:c>
      <x:c r="D4" s="23" t="str">
        <x:v>Configuration</x:v>
      </x:c>
      <x:c r="E4" s="23" t="str">
        <x:v>Root</x:v>
      </x:c>
      <x:c r="F4" s="23" t="str">
        <x:v>World</x:v>
      </x:c>
      <x:c r="G4" s="23" t="str">
        <x:v>Challenge</x:v>
      </x:c>
      <x:c r="H4" s="23" t="str">
        <x:v>Required behavior</x:v>
      </x:c>
      <x:c r="I4" s="23" t="str">
        <x:v>Root-specific vulnerable domain</x:v>
      </x:c>
      <x:c r="J4" s="23" t="str">
        <x:v>Trial form</x:v>
      </x:c>
      <x:c r="K4" s="23" t="str">
        <x:v>Outcome</x:v>
      </x:c>
      <x:c r="L4" s="23" t="str">
        <x:v>Evidence</x:v>
      </x:c>
      <x:c r="M4" s="23" t="str">
        <x:v>Admission</x:v>
      </x:c>
    </x:row>
    <x:row r="5" ht="42" customHeight="1">
      <x:c r="C5" s="32" t="str">
        <x:v>LF-A-CF1-W01</x:v>
      </x:c>
      <x:c r="D5" s="32" t="str">
        <x:v>LF-A-CF1</x:v>
      </x:c>
      <x:c r="E5" s="32" t="str">
        <x:v>A</x:v>
      </x:c>
      <x:c r="F5" s="32" t="str">
        <x:v>W01</x:v>
      </x:c>
      <x:c r="G5" s="32" t="str">
        <x:v>largest strategic source position unavailable</x:v>
      </x:c>
      <x:c r="H5" s="32" t="str">
        <x:v>at least 50% service remains</x:v>
      </x:c>
      <x:c r="I5" s="32" t="str">
        <x:v>licensed wet node, marine heat sink, nuclear watchbill and shore isolation</x:v>
      </x:c>
      <x:c r="J5" s="32" t="str">
        <x:v>sealed representative trial</x:v>
      </x:c>
      <x:c r="K5" s="32" t="str">
        <x:v>UNTESTED</x:v>
      </x:c>
      <x:c r="L5" s="32" t="str">
        <x:v>OPEN</x:v>
      </x:c>
      <x:c r="M5" s="32" t="n">
        <x:v>0</x:v>
      </x:c>
    </x:row>
    <x:row r="6" ht="42" customHeight="1">
      <x:c r="C6" s="33" t="str">
        <x:v>LF-A-CF1-W02</x:v>
      </x:c>
      <x:c r="D6" s="33" t="str">
        <x:v>LF-A-CF1</x:v>
      </x:c>
      <x:c r="E6" s="33" t="str">
        <x:v>A</x:v>
      </x:c>
      <x:c r="F6" s="33" t="str">
        <x:v>W02</x:v>
      </x:c>
      <x:c r="G6" s="33" t="str">
        <x:v>one water corridor pair ruptured</x:v>
      </x:c>
      <x:c r="H6" s="33" t="str">
        <x:v>full service for 24 h, then at least 50%</x:v>
      </x:c>
      <x:c r="I6" s="33" t="str">
        <x:v>licensed wet node, marine heat sink, nuclear watchbill and shore isolation</x:v>
      </x:c>
      <x:c r="J6" s="33" t="str">
        <x:v>sealed representative trial</x:v>
      </x:c>
      <x:c r="K6" s="33" t="str">
        <x:v>UNTESTED</x:v>
      </x:c>
      <x:c r="L6" s="33" t="str">
        <x:v>OPEN</x:v>
      </x:c>
      <x:c r="M6" s="33" t="n">
        <x:v>0</x:v>
      </x:c>
    </x:row>
    <x:row r="7" ht="42" customHeight="1">
      <x:c r="C7" s="33" t="str">
        <x:v>LF-A-CF1-W03</x:v>
      </x:c>
      <x:c r="D7" s="33" t="str">
        <x:v>LF-A-CF1</x:v>
      </x:c>
      <x:c r="E7" s="33" t="str">
        <x:v>A</x:v>
      </x:c>
      <x:c r="F7" s="33" t="str">
        <x:v>W03</x:v>
      </x:c>
      <x:c r="G7" s="33" t="str">
        <x:v>primary feed contaminated</x:v>
      </x:c>
      <x:c r="H7" s="33" t="str">
        <x:v>zero unsafe issue and qualified alternate feed</x:v>
      </x:c>
      <x:c r="I7" s="33" t="str">
        <x:v>licensed wet node, marine heat sink, nuclear watchbill and shore isolation</x:v>
      </x:c>
      <x:c r="J7" s="33" t="str">
        <x:v>sealed representative trial</x:v>
      </x:c>
      <x:c r="K7" s="33" t="str">
        <x:v>UNTESTED</x:v>
      </x:c>
      <x:c r="L7" s="33" t="str">
        <x:v>OPEN</x:v>
      </x:c>
      <x:c r="M7" s="33" t="n">
        <x:v>0</x:v>
      </x:c>
    </x:row>
    <x:row r="8" ht="42" customHeight="1">
      <x:c r="C8" s="33" t="str">
        <x:v>LF-A-CF1-W04</x:v>
      </x:c>
      <x:c r="D8" s="33" t="str">
        <x:v>LF-A-CF1</x:v>
      </x:c>
      <x:c r="E8" s="33" t="str">
        <x:v>A</x:v>
      </x:c>
      <x:c r="F8" s="33" t="str">
        <x:v>W04</x:v>
      </x:c>
      <x:c r="G8" s="33" t="str">
        <x:v>heat rejection or thermal output derated 30%</x:v>
      </x:c>
      <x:c r="H8" s="33" t="str">
        <x:v>at least 50% thermal service</x:v>
      </x:c>
      <x:c r="I8" s="33" t="str">
        <x:v>licensed wet node, marine heat sink, nuclear watchbill and shore isolation</x:v>
      </x:c>
      <x:c r="J8" s="33" t="str">
        <x:v>sealed representative trial</x:v>
      </x:c>
      <x:c r="K8" s="33" t="str">
        <x:v>UNTESTED</x:v>
      </x:c>
      <x:c r="L8" s="33" t="str">
        <x:v>OPEN</x:v>
      </x:c>
      <x:c r="M8" s="33" t="n">
        <x:v>0</x:v>
      </x:c>
    </x:row>
    <x:row r="9" ht="42" customHeight="1">
      <x:c r="C9" s="33" t="str">
        <x:v>LF-A-CF1-W05</x:v>
      </x:c>
      <x:c r="D9" s="33" t="str">
        <x:v>LF-A-CF1</x:v>
      </x:c>
      <x:c r="E9" s="33" t="str">
        <x:v>A</x:v>
      </x:c>
      <x:c r="F9" s="33" t="str">
        <x:v>W05</x:v>
      </x:c>
      <x:c r="G9" s="33" t="str">
        <x:v>external grid absent</x:v>
      </x:c>
      <x:c r="H9" s="33" t="str">
        <x:v>complete local black start</x:v>
      </x:c>
      <x:c r="I9" s="33" t="str">
        <x:v>licensed wet node, marine heat sink, nuclear watchbill and shore isolation</x:v>
      </x:c>
      <x:c r="J9" s="33" t="str">
        <x:v>sealed representative trial</x:v>
      </x:c>
      <x:c r="K9" s="33" t="str">
        <x:v>UNTESTED</x:v>
      </x:c>
      <x:c r="L9" s="33" t="str">
        <x:v>OPEN</x:v>
      </x:c>
      <x:c r="M9" s="33" t="n">
        <x:v>0</x:v>
      </x:c>
    </x:row>
    <x:row r="10" ht="42" customHeight="1">
      <x:c r="C10" s="33" t="str">
        <x:v>LF-A-CF1-W06</x:v>
      </x:c>
      <x:c r="D10" s="33" t="str">
        <x:v>LF-A-CF1</x:v>
      </x:c>
      <x:c r="E10" s="33" t="str">
        <x:v>A</x:v>
      </x:c>
      <x:c r="F10" s="33" t="str">
        <x:v>W06</x:v>
      </x:c>
      <x:c r="G10" s="33" t="str">
        <x:v>external energy route denied 72 h</x:v>
      </x:c>
      <x:c r="H10" s="33" t="str">
        <x:v>declared service without hidden resupply</x:v>
      </x:c>
      <x:c r="I10" s="33" t="str">
        <x:v>licensed wet node, marine heat sink, nuclear watchbill and shore isolation</x:v>
      </x:c>
      <x:c r="J10" s="33" t="str">
        <x:v>sealed representative trial</x:v>
      </x:c>
      <x:c r="K10" s="33" t="str">
        <x:v>UNTESTED</x:v>
      </x:c>
      <x:c r="L10" s="33" t="str">
        <x:v>OPEN</x:v>
      </x:c>
      <x:c r="M10" s="33" t="n">
        <x:v>0</x:v>
      </x:c>
    </x:row>
    <x:row r="11" ht="42" customHeight="1">
      <x:c r="C11" s="33" t="str">
        <x:v>LF-A-CF1-W07</x:v>
      </x:c>
      <x:c r="D11" s="33" t="str">
        <x:v>LF-A-CF1</x:v>
      </x:c>
      <x:c r="E11" s="33" t="str">
        <x:v>A</x:v>
      </x:c>
      <x:c r="F11" s="33" t="str">
        <x:v>W07</x:v>
      </x:c>
      <x:c r="G11" s="33" t="str">
        <x:v>wide-area control and time denied</x:v>
      </x:c>
      <x:c r="H11" s="33" t="str">
        <x:v>24 h local operation and later reconciliation</x:v>
      </x:c>
      <x:c r="I11" s="33" t="str">
        <x:v>licensed wet node, marine heat sink, nuclear watchbill and shore isolation</x:v>
      </x:c>
      <x:c r="J11" s="33" t="str">
        <x:v>sealed representative trial</x:v>
      </x:c>
      <x:c r="K11" s="33" t="str">
        <x:v>UNTESTED</x:v>
      </x:c>
      <x:c r="L11" s="33" t="str">
        <x:v>OPEN</x:v>
      </x:c>
      <x:c r="M11" s="33" t="n">
        <x:v>0</x:v>
      </x:c>
    </x:row>
    <x:row r="12" ht="42" customHeight="1">
      <x:c r="C12" s="33" t="str">
        <x:v>LF-A-CF1-W08</x:v>
      </x:c>
      <x:c r="D12" s="33" t="str">
        <x:v>LF-A-CF1</x:v>
      </x:c>
      <x:c r="E12" s="33" t="str">
        <x:v>A</x:v>
      </x:c>
      <x:c r="F12" s="33" t="str">
        <x:v>W08</x:v>
      </x:c>
      <x:c r="G12" s="33" t="str">
        <x:v>vendor signing or operations center denied</x:v>
      </x:c>
      <x:c r="H12" s="33" t="str">
        <x:v>manual safe control and evidence continuity</x:v>
      </x:c>
      <x:c r="I12" s="33" t="str">
        <x:v>licensed wet node, marine heat sink, nuclear watchbill and shore isolation</x:v>
      </x:c>
      <x:c r="J12" s="33" t="str">
        <x:v>sealed representative trial</x:v>
      </x:c>
      <x:c r="K12" s="33" t="str">
        <x:v>UNTESTED</x:v>
      </x:c>
      <x:c r="L12" s="33" t="str">
        <x:v>OPEN</x:v>
      </x:c>
      <x:c r="M12" s="33" t="n">
        <x:v>0</x:v>
      </x:c>
    </x:row>
    <x:row r="13" ht="42" customHeight="1">
      <x:c r="C13" s="33" t="str">
        <x:v>LF-A-CF1-W09</x:v>
      </x:c>
      <x:c r="D13" s="33" t="str">
        <x:v>LF-A-CF1</x:v>
      </x:c>
      <x:c r="E13" s="33" t="str">
        <x:v>A</x:v>
      </x:c>
      <x:c r="F13" s="33" t="str">
        <x:v>W09</x:v>
      </x:c>
      <x:c r="G13" s="33" t="str">
        <x:v>one local-power cell unavailable</x:v>
      </x:c>
      <x:c r="H13" s="33" t="str">
        <x:v>at least 50% power service</x:v>
      </x:c>
      <x:c r="I13" s="33" t="str">
        <x:v>licensed wet node, marine heat sink, nuclear watchbill and shore isolation</x:v>
      </x:c>
      <x:c r="J13" s="33" t="str">
        <x:v>sealed representative trial</x:v>
      </x:c>
      <x:c r="K13" s="33" t="str">
        <x:v>UNTESTED</x:v>
      </x:c>
      <x:c r="L13" s="33" t="str">
        <x:v>OPEN</x:v>
      </x:c>
      <x:c r="M13" s="33" t="n">
        <x:v>0</x:v>
      </x:c>
    </x:row>
    <x:row r="14" ht="42" customHeight="1">
      <x:c r="C14" s="33" t="str">
        <x:v>LF-A-CF1-W10</x:v>
      </x:c>
      <x:c r="D14" s="33" t="str">
        <x:v>LF-A-CF1</x:v>
      </x:c>
      <x:c r="E14" s="33" t="str">
        <x:v>A</x:v>
      </x:c>
      <x:c r="F14" s="33" t="str">
        <x:v>W10</x:v>
      </x:c>
      <x:c r="G14" s="33" t="str">
        <x:v>one grid-bridge group unavailable</x:v>
      </x:c>
      <x:c r="H14" s="33" t="str">
        <x:v>at least 50% transferable power</x:v>
      </x:c>
      <x:c r="I14" s="33" t="str">
        <x:v>licensed wet node, marine heat sink, nuclear watchbill and shore isolation</x:v>
      </x:c>
      <x:c r="J14" s="33" t="str">
        <x:v>sealed representative trial</x:v>
      </x:c>
      <x:c r="K14" s="33" t="str">
        <x:v>UNTESTED</x:v>
      </x:c>
      <x:c r="L14" s="33" t="str">
        <x:v>OPEN</x:v>
      </x:c>
      <x:c r="M14" s="33" t="n">
        <x:v>0</x:v>
      </x:c>
    </x:row>
    <x:row r="15" ht="42" customHeight="1">
      <x:c r="C15" s="33" t="str">
        <x:v>LF-A-CF1-W11</x:v>
      </x:c>
      <x:c r="D15" s="33" t="str">
        <x:v>LF-A-CF1</x:v>
      </x:c>
      <x:c r="E15" s="33" t="str">
        <x:v>A</x:v>
      </x:c>
      <x:c r="F15" s="33" t="str">
        <x:v>W11</x:v>
      </x:c>
      <x:c r="G15" s="33" t="str">
        <x:v>one thermal cell unavailable</x:v>
      </x:c>
      <x:c r="H15" s="33" t="str">
        <x:v>at least 50% thermal service</x:v>
      </x:c>
      <x:c r="I15" s="33" t="str">
        <x:v>licensed wet node, marine heat sink, nuclear watchbill and shore isolation</x:v>
      </x:c>
      <x:c r="J15" s="33" t="str">
        <x:v>sealed representative trial</x:v>
      </x:c>
      <x:c r="K15" s="33" t="str">
        <x:v>UNTESTED</x:v>
      </x:c>
      <x:c r="L15" s="33" t="str">
        <x:v>OPEN</x:v>
      </x:c>
      <x:c r="M15" s="33" t="n">
        <x:v>0</x:v>
      </x:c>
    </x:row>
    <x:row r="16" ht="42" customHeight="1">
      <x:c r="C16" s="33" t="str">
        <x:v>LF-A-CF1-W12</x:v>
      </x:c>
      <x:c r="D16" s="33" t="str">
        <x:v>LF-A-CF1</x:v>
      </x:c>
      <x:c r="E16" s="33" t="str">
        <x:v>A</x:v>
      </x:c>
      <x:c r="F16" s="33" t="str">
        <x:v>W12</x:v>
      </x:c>
      <x:c r="G16" s="33" t="str">
        <x:v>wastewater or residual receiver refuses</x:v>
      </x:c>
      <x:c r="H16" s="33" t="str">
        <x:v>safe derate or alternate disposition</x:v>
      </x:c>
      <x:c r="I16" s="33" t="str">
        <x:v>licensed wet node, marine heat sink, nuclear watchbill and shore isolation</x:v>
      </x:c>
      <x:c r="J16" s="33" t="str">
        <x:v>sealed representative trial</x:v>
      </x:c>
      <x:c r="K16" s="33" t="str">
        <x:v>UNTESTED</x:v>
      </x:c>
      <x:c r="L16" s="33" t="str">
        <x:v>OPEN</x:v>
      </x:c>
      <x:c r="M16" s="33" t="n">
        <x:v>0</x:v>
      </x:c>
    </x:row>
    <x:row r="17" ht="42" customHeight="1">
      <x:c r="C17" s="33" t="str">
        <x:v>LF-A-CF1-W13</x:v>
      </x:c>
      <x:c r="D17" s="33" t="str">
        <x:v>LF-A-CF1</x:v>
      </x:c>
      <x:c r="E17" s="33" t="str">
        <x:v>A</x:v>
      </x:c>
      <x:c r="F17" s="33" t="str">
        <x:v>W13</x:v>
      </x:c>
      <x:c r="G17" s="33" t="str">
        <x:v>civil service authority revoked</x:v>
      </x:c>
      <x:c r="H17" s="33" t="str">
        <x:v>safe stop and zero unauthorized issue</x:v>
      </x:c>
      <x:c r="I17" s="33" t="str">
        <x:v>licensed wet node, marine heat sink, nuclear watchbill and shore isolation</x:v>
      </x:c>
      <x:c r="J17" s="33" t="str">
        <x:v>sealed representative trial</x:v>
      </x:c>
      <x:c r="K17" s="33" t="str">
        <x:v>UNTESTED</x:v>
      </x:c>
      <x:c r="L17" s="33" t="str">
        <x:v>OPEN</x:v>
      </x:c>
      <x:c r="M17" s="33" t="n">
        <x:v>0</x:v>
      </x:c>
    </x:row>
    <x:row r="18" ht="42" customHeight="1">
      <x:c r="C18" s="33" t="str">
        <x:v>LF-A-CF1-W14</x:v>
      </x:c>
      <x:c r="D18" s="33" t="str">
        <x:v>LF-A-CF1</x:v>
      </x:c>
      <x:c r="E18" s="33" t="str">
        <x:v>A</x:v>
      </x:c>
      <x:c r="F18" s="33" t="str">
        <x:v>W14</x:v>
      </x:c>
      <x:c r="G18" s="33" t="str">
        <x:v>protected-cohort load rises 20%</x:v>
      </x:c>
      <x:c r="H18" s="33" t="str">
        <x:v>lawful allocation without hidden exclusion</x:v>
      </x:c>
      <x:c r="I18" s="33" t="str">
        <x:v>licensed wet node, marine heat sink, nuclear watchbill and shore isolation</x:v>
      </x:c>
      <x:c r="J18" s="33" t="str">
        <x:v>sealed representative trial</x:v>
      </x:c>
      <x:c r="K18" s="33" t="str">
        <x:v>UNTESTED</x:v>
      </x:c>
      <x:c r="L18" s="33" t="str">
        <x:v>OPEN</x:v>
      </x:c>
      <x:c r="M18" s="33" t="n">
        <x:v>0</x:v>
      </x:c>
    </x:row>
    <x:row r="19" ht="42" customHeight="1">
      <x:c r="C19" s="33" t="str">
        <x:v>LF-A-CF1-W15</x:v>
      </x:c>
      <x:c r="D19" s="33" t="str">
        <x:v>LF-A-CF1</x:v>
      </x:c>
      <x:c r="E19" s="33" t="str">
        <x:v>A</x:v>
      </x:c>
      <x:c r="F19" s="33" t="str">
        <x:v>W15</x:v>
      </x:c>
      <x:c r="G19" s="33" t="str">
        <x:v>primary repair depot denied</x:v>
      </x:c>
      <x:c r="H19" s="33" t="str">
        <x:v>second-team repair and cold reset</x:v>
      </x:c>
      <x:c r="I19" s="33" t="str">
        <x:v>licensed wet node, marine heat sink, nuclear watchbill and shore isolation</x:v>
      </x:c>
      <x:c r="J19" s="33" t="str">
        <x:v>sealed representative trial</x:v>
      </x:c>
      <x:c r="K19" s="33" t="str">
        <x:v>UNTESTED</x:v>
      </x:c>
      <x:c r="L19" s="33" t="str">
        <x:v>OPEN</x:v>
      </x:c>
      <x:c r="M19" s="33" t="n">
        <x:v>0</x:v>
      </x:c>
    </x:row>
    <x:row r="20" ht="42" customHeight="1">
      <x:c r="C20" s="33" t="str">
        <x:v>LF-A-CF1-W16</x:v>
      </x:c>
      <x:c r="D20" s="33" t="str">
        <x:v>LF-A-CF1</x:v>
      </x:c>
      <x:c r="E20" s="33" t="str">
        <x:v>A</x:v>
      </x:c>
      <x:c r="F20" s="33" t="str">
        <x:v>W16</x:v>
      </x:c>
      <x:c r="G20" s="33" t="str">
        <x:v>root-specific decisive source challenge</x:v>
      </x:c>
      <x:c r="H20" s="33" t="str">
        <x:v>source physics remains bounded or root fails</x:v>
      </x:c>
      <x:c r="I20" s="33" t="str">
        <x:v>licensed wet node, marine heat sink, nuclear watchbill and shore isolation</x:v>
      </x:c>
      <x:c r="J20" s="33" t="str">
        <x:v>sealed representative trial</x:v>
      </x:c>
      <x:c r="K20" s="33" t="str">
        <x:v>UNTESTED</x:v>
      </x:c>
      <x:c r="L20" s="33" t="str">
        <x:v>OPEN</x:v>
      </x:c>
      <x:c r="M20" s="33" t="n">
        <x:v>0</x:v>
      </x:c>
    </x:row>
    <x:row r="21" ht="42" customHeight="1">
      <x:c r="C21" s="33" t="str">
        <x:v>LF-A-CF1-W17</x:v>
      </x:c>
      <x:c r="D21" s="33" t="str">
        <x:v>LF-A-CF1</x:v>
      </x:c>
      <x:c r="E21" s="33" t="str">
        <x:v>A</x:v>
      </x:c>
      <x:c r="F21" s="33" t="str">
        <x:v>W17</x:v>
      </x:c>
      <x:c r="G21" s="33" t="str">
        <x:v>second zone requests the committed formation</x:v>
      </x:c>
      <x:c r="H21" s="33" t="str">
        <x:v>no double claim; truthful unavailability</x:v>
      </x:c>
      <x:c r="I21" s="33" t="str">
        <x:v>licensed wet node, marine heat sink, nuclear watchbill and shore isolation</x:v>
      </x:c>
      <x:c r="J21" s="33" t="str">
        <x:v>sealed representative trial</x:v>
      </x:c>
      <x:c r="K21" s="33" t="str">
        <x:v>UNTESTED</x:v>
      </x:c>
      <x:c r="L21" s="33" t="str">
        <x:v>OPEN</x:v>
      </x:c>
      <x:c r="M21" s="33" t="n">
        <x:v>0</x:v>
      </x:c>
    </x:row>
    <x:row r="22" ht="42" customHeight="1">
      <x:c r="C22" s="33" t="str">
        <x:v>LF-A-CF1-W18</x:v>
      </x:c>
      <x:c r="D22" s="33" t="str">
        <x:v>LF-A-CF1</x:v>
      </x:c>
      <x:c r="E22" s="33" t="str">
        <x:v>A</x:v>
      </x:c>
      <x:c r="F22" s="33" t="str">
        <x:v>W18</x:v>
      </x:c>
      <x:c r="G22" s="33" t="str">
        <x:v>host utility accepts handback</x:v>
      </x:c>
      <x:c r="H22" s="33" t="str">
        <x:v>transfer without a second service collapse</x:v>
      </x:c>
      <x:c r="I22" s="33" t="str">
        <x:v>licensed wet node, marine heat sink, nuclear watchbill and shore isolation</x:v>
      </x:c>
      <x:c r="J22" s="33" t="str">
        <x:v>sealed representative trial</x:v>
      </x:c>
      <x:c r="K22" s="33" t="str">
        <x:v>UNTESTED</x:v>
      </x:c>
      <x:c r="L22" s="33" t="str">
        <x:v>OPEN</x:v>
      </x:c>
      <x:c r="M22" s="33" t="n">
        <x:v>0</x:v>
      </x:c>
    </x:row>
    <x:row r="23" ht="42" customHeight="1">
      <x:c r="C23" s="33" t="str">
        <x:v>LF-B-CF1-W01</x:v>
      </x:c>
      <x:c r="D23" s="33" t="str">
        <x:v>LF-B-CF1</x:v>
      </x:c>
      <x:c r="E23" s="33" t="str">
        <x:v>B</x:v>
      </x:c>
      <x:c r="F23" s="33" t="str">
        <x:v>W01</x:v>
      </x:c>
      <x:c r="G23" s="33" t="str">
        <x:v>largest strategic source position unavailable</x:v>
      </x:c>
      <x:c r="H23" s="33" t="str">
        <x:v>at least 50% service remains</x:v>
      </x:c>
      <x:c r="I23" s="33" t="str">
        <x:v>reservoir productivity, injection acceptance, induced hazard and drilling waste</x:v>
      </x:c>
      <x:c r="J23" s="33" t="str">
        <x:v>sealed representative trial</x:v>
      </x:c>
      <x:c r="K23" s="33" t="str">
        <x:v>UNTESTED</x:v>
      </x:c>
      <x:c r="L23" s="33" t="str">
        <x:v>OPEN</x:v>
      </x:c>
      <x:c r="M23" s="33" t="n">
        <x:v>0</x:v>
      </x:c>
    </x:row>
    <x:row r="24" ht="42" customHeight="1">
      <x:c r="C24" s="33" t="str">
        <x:v>LF-B-CF1-W02</x:v>
      </x:c>
      <x:c r="D24" s="33" t="str">
        <x:v>LF-B-CF1</x:v>
      </x:c>
      <x:c r="E24" s="33" t="str">
        <x:v>B</x:v>
      </x:c>
      <x:c r="F24" s="33" t="str">
        <x:v>W02</x:v>
      </x:c>
      <x:c r="G24" s="33" t="str">
        <x:v>one water corridor pair ruptured</x:v>
      </x:c>
      <x:c r="H24" s="33" t="str">
        <x:v>full service for 24 h, then at least 50%</x:v>
      </x:c>
      <x:c r="I24" s="33" t="str">
        <x:v>reservoir productivity, injection acceptance, induced hazard and drilling waste</x:v>
      </x:c>
      <x:c r="J24" s="33" t="str">
        <x:v>sealed representative trial</x:v>
      </x:c>
      <x:c r="K24" s="33" t="str">
        <x:v>UNTESTED</x:v>
      </x:c>
      <x:c r="L24" s="33" t="str">
        <x:v>OPEN</x:v>
      </x:c>
      <x:c r="M24" s="33" t="n">
        <x:v>0</x:v>
      </x:c>
    </x:row>
    <x:row r="25" ht="42" customHeight="1">
      <x:c r="C25" s="33" t="str">
        <x:v>LF-B-CF1-W03</x:v>
      </x:c>
      <x:c r="D25" s="33" t="str">
        <x:v>LF-B-CF1</x:v>
      </x:c>
      <x:c r="E25" s="33" t="str">
        <x:v>B</x:v>
      </x:c>
      <x:c r="F25" s="33" t="str">
        <x:v>W03</x:v>
      </x:c>
      <x:c r="G25" s="33" t="str">
        <x:v>primary feed contaminated</x:v>
      </x:c>
      <x:c r="H25" s="33" t="str">
        <x:v>zero unsafe issue and qualified alternate feed</x:v>
      </x:c>
      <x:c r="I25" s="33" t="str">
        <x:v>reservoir productivity, injection acceptance, induced hazard and drilling waste</x:v>
      </x:c>
      <x:c r="J25" s="33" t="str">
        <x:v>sealed representative trial</x:v>
      </x:c>
      <x:c r="K25" s="33" t="str">
        <x:v>UNTESTED</x:v>
      </x:c>
      <x:c r="L25" s="33" t="str">
        <x:v>OPEN</x:v>
      </x:c>
      <x:c r="M25" s="33" t="n">
        <x:v>0</x:v>
      </x:c>
    </x:row>
    <x:row r="26" ht="42" customHeight="1">
      <x:c r="C26" s="33" t="str">
        <x:v>LF-B-CF1-W04</x:v>
      </x:c>
      <x:c r="D26" s="33" t="str">
        <x:v>LF-B-CF1</x:v>
      </x:c>
      <x:c r="E26" s="33" t="str">
        <x:v>B</x:v>
      </x:c>
      <x:c r="F26" s="33" t="str">
        <x:v>W04</x:v>
      </x:c>
      <x:c r="G26" s="33" t="str">
        <x:v>heat rejection or thermal output derated 30%</x:v>
      </x:c>
      <x:c r="H26" s="33" t="str">
        <x:v>at least 50% thermal service</x:v>
      </x:c>
      <x:c r="I26" s="33" t="str">
        <x:v>reservoir productivity, injection acceptance, induced hazard and drilling waste</x:v>
      </x:c>
      <x:c r="J26" s="33" t="str">
        <x:v>sealed representative trial</x:v>
      </x:c>
      <x:c r="K26" s="33" t="str">
        <x:v>UNTESTED</x:v>
      </x:c>
      <x:c r="L26" s="33" t="str">
        <x:v>OPEN</x:v>
      </x:c>
      <x:c r="M26" s="33" t="n">
        <x:v>0</x:v>
      </x:c>
    </x:row>
    <x:row r="27" ht="42" customHeight="1">
      <x:c r="C27" s="33" t="str">
        <x:v>LF-B-CF1-W05</x:v>
      </x:c>
      <x:c r="D27" s="33" t="str">
        <x:v>LF-B-CF1</x:v>
      </x:c>
      <x:c r="E27" s="33" t="str">
        <x:v>B</x:v>
      </x:c>
      <x:c r="F27" s="33" t="str">
        <x:v>W05</x:v>
      </x:c>
      <x:c r="G27" s="33" t="str">
        <x:v>external grid absent</x:v>
      </x:c>
      <x:c r="H27" s="33" t="str">
        <x:v>complete local black start</x:v>
      </x:c>
      <x:c r="I27" s="33" t="str">
        <x:v>reservoir productivity, injection acceptance, induced hazard and drilling waste</x:v>
      </x:c>
      <x:c r="J27" s="33" t="str">
        <x:v>sealed representative trial</x:v>
      </x:c>
      <x:c r="K27" s="33" t="str">
        <x:v>UNTESTED</x:v>
      </x:c>
      <x:c r="L27" s="33" t="str">
        <x:v>OPEN</x:v>
      </x:c>
      <x:c r="M27" s="33" t="n">
        <x:v>0</x:v>
      </x:c>
    </x:row>
    <x:row r="28" ht="42" customHeight="1">
      <x:c r="C28" s="33" t="str">
        <x:v>LF-B-CF1-W06</x:v>
      </x:c>
      <x:c r="D28" s="33" t="str">
        <x:v>LF-B-CF1</x:v>
      </x:c>
      <x:c r="E28" s="33" t="str">
        <x:v>B</x:v>
      </x:c>
      <x:c r="F28" s="33" t="str">
        <x:v>W06</x:v>
      </x:c>
      <x:c r="G28" s="33" t="str">
        <x:v>external energy route denied 72 h</x:v>
      </x:c>
      <x:c r="H28" s="33" t="str">
        <x:v>declared service without hidden resupply</x:v>
      </x:c>
      <x:c r="I28" s="33" t="str">
        <x:v>reservoir productivity, injection acceptance, induced hazard and drilling waste</x:v>
      </x:c>
      <x:c r="J28" s="33" t="str">
        <x:v>sealed representative trial</x:v>
      </x:c>
      <x:c r="K28" s="33" t="str">
        <x:v>UNTESTED</x:v>
      </x:c>
      <x:c r="L28" s="33" t="str">
        <x:v>OPEN</x:v>
      </x:c>
      <x:c r="M28" s="33" t="n">
        <x:v>0</x:v>
      </x:c>
    </x:row>
    <x:row r="29" ht="42" customHeight="1">
      <x:c r="C29" s="33" t="str">
        <x:v>LF-B-CF1-W07</x:v>
      </x:c>
      <x:c r="D29" s="33" t="str">
        <x:v>LF-B-CF1</x:v>
      </x:c>
      <x:c r="E29" s="33" t="str">
        <x:v>B</x:v>
      </x:c>
      <x:c r="F29" s="33" t="str">
        <x:v>W07</x:v>
      </x:c>
      <x:c r="G29" s="33" t="str">
        <x:v>wide-area control and time denied</x:v>
      </x:c>
      <x:c r="H29" s="33" t="str">
        <x:v>24 h local operation and later reconciliation</x:v>
      </x:c>
      <x:c r="I29" s="33" t="str">
        <x:v>reservoir productivity, injection acceptance, induced hazard and drilling waste</x:v>
      </x:c>
      <x:c r="J29" s="33" t="str">
        <x:v>sealed representative trial</x:v>
      </x:c>
      <x:c r="K29" s="33" t="str">
        <x:v>UNTESTED</x:v>
      </x:c>
      <x:c r="L29" s="33" t="str">
        <x:v>OPEN</x:v>
      </x:c>
      <x:c r="M29" s="33" t="n">
        <x:v>0</x:v>
      </x:c>
    </x:row>
    <x:row r="30" ht="42" customHeight="1">
      <x:c r="C30" s="33" t="str">
        <x:v>LF-B-CF1-W08</x:v>
      </x:c>
      <x:c r="D30" s="33" t="str">
        <x:v>LF-B-CF1</x:v>
      </x:c>
      <x:c r="E30" s="33" t="str">
        <x:v>B</x:v>
      </x:c>
      <x:c r="F30" s="33" t="str">
        <x:v>W08</x:v>
      </x:c>
      <x:c r="G30" s="33" t="str">
        <x:v>vendor signing or operations center denied</x:v>
      </x:c>
      <x:c r="H30" s="33" t="str">
        <x:v>manual safe control and evidence continuity</x:v>
      </x:c>
      <x:c r="I30" s="33" t="str">
        <x:v>reservoir productivity, injection acceptance, induced hazard and drilling waste</x:v>
      </x:c>
      <x:c r="J30" s="33" t="str">
        <x:v>sealed representative trial</x:v>
      </x:c>
      <x:c r="K30" s="33" t="str">
        <x:v>UNTESTED</x:v>
      </x:c>
      <x:c r="L30" s="33" t="str">
        <x:v>OPEN</x:v>
      </x:c>
      <x:c r="M30" s="33" t="n">
        <x:v>0</x:v>
      </x:c>
    </x:row>
    <x:row r="31" ht="42" customHeight="1">
      <x:c r="C31" s="33" t="str">
        <x:v>LF-B-CF1-W09</x:v>
      </x:c>
      <x:c r="D31" s="33" t="str">
        <x:v>LF-B-CF1</x:v>
      </x:c>
      <x:c r="E31" s="33" t="str">
        <x:v>B</x:v>
      </x:c>
      <x:c r="F31" s="33" t="str">
        <x:v>W09</x:v>
      </x:c>
      <x:c r="G31" s="33" t="str">
        <x:v>one local-power cell unavailable</x:v>
      </x:c>
      <x:c r="H31" s="33" t="str">
        <x:v>at least 50% power service</x:v>
      </x:c>
      <x:c r="I31" s="33" t="str">
        <x:v>reservoir productivity, injection acceptance, induced hazard and drilling waste</x:v>
      </x:c>
      <x:c r="J31" s="33" t="str">
        <x:v>sealed representative trial</x:v>
      </x:c>
      <x:c r="K31" s="33" t="str">
        <x:v>UNTESTED</x:v>
      </x:c>
      <x:c r="L31" s="33" t="str">
        <x:v>OPEN</x:v>
      </x:c>
      <x:c r="M31" s="33" t="n">
        <x:v>0</x:v>
      </x:c>
    </x:row>
    <x:row r="32" ht="42" customHeight="1">
      <x:c r="C32" s="33" t="str">
        <x:v>LF-B-CF1-W10</x:v>
      </x:c>
      <x:c r="D32" s="33" t="str">
        <x:v>LF-B-CF1</x:v>
      </x:c>
      <x:c r="E32" s="33" t="str">
        <x:v>B</x:v>
      </x:c>
      <x:c r="F32" s="33" t="str">
        <x:v>W10</x:v>
      </x:c>
      <x:c r="G32" s="33" t="str">
        <x:v>one grid-bridge group unavailable</x:v>
      </x:c>
      <x:c r="H32" s="33" t="str">
        <x:v>at least 50% transferable power</x:v>
      </x:c>
      <x:c r="I32" s="33" t="str">
        <x:v>reservoir productivity, injection acceptance, induced hazard and drilling waste</x:v>
      </x:c>
      <x:c r="J32" s="33" t="str">
        <x:v>sealed representative trial</x:v>
      </x:c>
      <x:c r="K32" s="33" t="str">
        <x:v>UNTESTED</x:v>
      </x:c>
      <x:c r="L32" s="33" t="str">
        <x:v>OPEN</x:v>
      </x:c>
      <x:c r="M32" s="33" t="n">
        <x:v>0</x:v>
      </x:c>
    </x:row>
    <x:row r="33" ht="42" customHeight="1">
      <x:c r="C33" s="33" t="str">
        <x:v>LF-B-CF1-W11</x:v>
      </x:c>
      <x:c r="D33" s="33" t="str">
        <x:v>LF-B-CF1</x:v>
      </x:c>
      <x:c r="E33" s="33" t="str">
        <x:v>B</x:v>
      </x:c>
      <x:c r="F33" s="33" t="str">
        <x:v>W11</x:v>
      </x:c>
      <x:c r="G33" s="33" t="str">
        <x:v>one thermal cell unavailable</x:v>
      </x:c>
      <x:c r="H33" s="33" t="str">
        <x:v>at least 50% thermal service</x:v>
      </x:c>
      <x:c r="I33" s="33" t="str">
        <x:v>reservoir productivity, injection acceptance, induced hazard and drilling waste</x:v>
      </x:c>
      <x:c r="J33" s="33" t="str">
        <x:v>sealed representative trial</x:v>
      </x:c>
      <x:c r="K33" s="33" t="str">
        <x:v>UNTESTED</x:v>
      </x:c>
      <x:c r="L33" s="33" t="str">
        <x:v>OPEN</x:v>
      </x:c>
      <x:c r="M33" s="33" t="n">
        <x:v>0</x:v>
      </x:c>
    </x:row>
    <x:row r="34" ht="42" customHeight="1">
      <x:c r="C34" s="33" t="str">
        <x:v>LF-B-CF1-W12</x:v>
      </x:c>
      <x:c r="D34" s="33" t="str">
        <x:v>LF-B-CF1</x:v>
      </x:c>
      <x:c r="E34" s="33" t="str">
        <x:v>B</x:v>
      </x:c>
      <x:c r="F34" s="33" t="str">
        <x:v>W12</x:v>
      </x:c>
      <x:c r="G34" s="33" t="str">
        <x:v>wastewater or residual receiver refuses</x:v>
      </x:c>
      <x:c r="H34" s="33" t="str">
        <x:v>safe derate or alternate disposition</x:v>
      </x:c>
      <x:c r="I34" s="33" t="str">
        <x:v>reservoir productivity, injection acceptance, induced hazard and drilling waste</x:v>
      </x:c>
      <x:c r="J34" s="33" t="str">
        <x:v>sealed representative trial</x:v>
      </x:c>
      <x:c r="K34" s="33" t="str">
        <x:v>UNTESTED</x:v>
      </x:c>
      <x:c r="L34" s="33" t="str">
        <x:v>OPEN</x:v>
      </x:c>
      <x:c r="M34" s="33" t="n">
        <x:v>0</x:v>
      </x:c>
    </x:row>
    <x:row r="35" ht="42" customHeight="1">
      <x:c r="C35" s="33" t="str">
        <x:v>LF-B-CF1-W13</x:v>
      </x:c>
      <x:c r="D35" s="33" t="str">
        <x:v>LF-B-CF1</x:v>
      </x:c>
      <x:c r="E35" s="33" t="str">
        <x:v>B</x:v>
      </x:c>
      <x:c r="F35" s="33" t="str">
        <x:v>W13</x:v>
      </x:c>
      <x:c r="G35" s="33" t="str">
        <x:v>civil service authority revoked</x:v>
      </x:c>
      <x:c r="H35" s="33" t="str">
        <x:v>safe stop and zero unauthorized issue</x:v>
      </x:c>
      <x:c r="I35" s="33" t="str">
        <x:v>reservoir productivity, injection acceptance, induced hazard and drilling waste</x:v>
      </x:c>
      <x:c r="J35" s="33" t="str">
        <x:v>sealed representative trial</x:v>
      </x:c>
      <x:c r="K35" s="33" t="str">
        <x:v>UNTESTED</x:v>
      </x:c>
      <x:c r="L35" s="33" t="str">
        <x:v>OPEN</x:v>
      </x:c>
      <x:c r="M35" s="33" t="n">
        <x:v>0</x:v>
      </x:c>
    </x:row>
    <x:row r="36" ht="42" customHeight="1">
      <x:c r="C36" s="33" t="str">
        <x:v>LF-B-CF1-W14</x:v>
      </x:c>
      <x:c r="D36" s="33" t="str">
        <x:v>LF-B-CF1</x:v>
      </x:c>
      <x:c r="E36" s="33" t="str">
        <x:v>B</x:v>
      </x:c>
      <x:c r="F36" s="33" t="str">
        <x:v>W14</x:v>
      </x:c>
      <x:c r="G36" s="33" t="str">
        <x:v>protected-cohort load rises 20%</x:v>
      </x:c>
      <x:c r="H36" s="33" t="str">
        <x:v>lawful allocation without hidden exclusion</x:v>
      </x:c>
      <x:c r="I36" s="33" t="str">
        <x:v>reservoir productivity, injection acceptance, induced hazard and drilling waste</x:v>
      </x:c>
      <x:c r="J36" s="33" t="str">
        <x:v>sealed representative trial</x:v>
      </x:c>
      <x:c r="K36" s="33" t="str">
        <x:v>UNTESTED</x:v>
      </x:c>
      <x:c r="L36" s="33" t="str">
        <x:v>OPEN</x:v>
      </x:c>
      <x:c r="M36" s="33" t="n">
        <x:v>0</x:v>
      </x:c>
    </x:row>
    <x:row r="37" ht="42" customHeight="1">
      <x:c r="C37" s="33" t="str">
        <x:v>LF-B-CF1-W15</x:v>
      </x:c>
      <x:c r="D37" s="33" t="str">
        <x:v>LF-B-CF1</x:v>
      </x:c>
      <x:c r="E37" s="33" t="str">
        <x:v>B</x:v>
      </x:c>
      <x:c r="F37" s="33" t="str">
        <x:v>W15</x:v>
      </x:c>
      <x:c r="G37" s="33" t="str">
        <x:v>primary repair depot denied</x:v>
      </x:c>
      <x:c r="H37" s="33" t="str">
        <x:v>second-team repair and cold reset</x:v>
      </x:c>
      <x:c r="I37" s="33" t="str">
        <x:v>reservoir productivity, injection acceptance, induced hazard and drilling waste</x:v>
      </x:c>
      <x:c r="J37" s="33" t="str">
        <x:v>sealed representative trial</x:v>
      </x:c>
      <x:c r="K37" s="33" t="str">
        <x:v>UNTESTED</x:v>
      </x:c>
      <x:c r="L37" s="33" t="str">
        <x:v>OPEN</x:v>
      </x:c>
      <x:c r="M37" s="33" t="n">
        <x:v>0</x:v>
      </x:c>
    </x:row>
    <x:row r="38" ht="42" customHeight="1">
      <x:c r="C38" s="33" t="str">
        <x:v>LF-B-CF1-W16</x:v>
      </x:c>
      <x:c r="D38" s="33" t="str">
        <x:v>LF-B-CF1</x:v>
      </x:c>
      <x:c r="E38" s="33" t="str">
        <x:v>B</x:v>
      </x:c>
      <x:c r="F38" s="33" t="str">
        <x:v>W16</x:v>
      </x:c>
      <x:c r="G38" s="33" t="str">
        <x:v>root-specific decisive source challenge</x:v>
      </x:c>
      <x:c r="H38" s="33" t="str">
        <x:v>source physics remains bounded or root fails</x:v>
      </x:c>
      <x:c r="I38" s="33" t="str">
        <x:v>reservoir productivity, injection acceptance, induced hazard and drilling waste</x:v>
      </x:c>
      <x:c r="J38" s="33" t="str">
        <x:v>sealed representative trial</x:v>
      </x:c>
      <x:c r="K38" s="33" t="str">
        <x:v>UNTESTED</x:v>
      </x:c>
      <x:c r="L38" s="33" t="str">
        <x:v>OPEN</x:v>
      </x:c>
      <x:c r="M38" s="33" t="n">
        <x:v>0</x:v>
      </x:c>
    </x:row>
    <x:row r="39" ht="42" customHeight="1">
      <x:c r="C39" s="33" t="str">
        <x:v>LF-B-CF1-W17</x:v>
      </x:c>
      <x:c r="D39" s="33" t="str">
        <x:v>LF-B-CF1</x:v>
      </x:c>
      <x:c r="E39" s="33" t="str">
        <x:v>B</x:v>
      </x:c>
      <x:c r="F39" s="33" t="str">
        <x:v>W17</x:v>
      </x:c>
      <x:c r="G39" s="33" t="str">
        <x:v>second zone requests the committed formation</x:v>
      </x:c>
      <x:c r="H39" s="33" t="str">
        <x:v>no double claim; truthful unavailability</x:v>
      </x:c>
      <x:c r="I39" s="33" t="str">
        <x:v>reservoir productivity, injection acceptance, induced hazard and drilling waste</x:v>
      </x:c>
      <x:c r="J39" s="33" t="str">
        <x:v>sealed representative trial</x:v>
      </x:c>
      <x:c r="K39" s="33" t="str">
        <x:v>UNTESTED</x:v>
      </x:c>
      <x:c r="L39" s="33" t="str">
        <x:v>OPEN</x:v>
      </x:c>
      <x:c r="M39" s="33" t="n">
        <x:v>0</x:v>
      </x:c>
    </x:row>
    <x:row r="40" ht="42" customHeight="1">
      <x:c r="C40" s="33" t="str">
        <x:v>LF-B-CF1-W18</x:v>
      </x:c>
      <x:c r="D40" s="33" t="str">
        <x:v>LF-B-CF1</x:v>
      </x:c>
      <x:c r="E40" s="33" t="str">
        <x:v>B</x:v>
      </x:c>
      <x:c r="F40" s="33" t="str">
        <x:v>W18</x:v>
      </x:c>
      <x:c r="G40" s="33" t="str">
        <x:v>host utility accepts handback</x:v>
      </x:c>
      <x:c r="H40" s="33" t="str">
        <x:v>transfer without a second service collapse</x:v>
      </x:c>
      <x:c r="I40" s="33" t="str">
        <x:v>reservoir productivity, injection acceptance, induced hazard and drilling waste</x:v>
      </x:c>
      <x:c r="J40" s="33" t="str">
        <x:v>sealed representative trial</x:v>
      </x:c>
      <x:c r="K40" s="33" t="str">
        <x:v>UNTESTED</x:v>
      </x:c>
      <x:c r="L40" s="33" t="str">
        <x:v>OPEN</x:v>
      </x:c>
      <x:c r="M40" s="33" t="n">
        <x:v>0</x:v>
      </x:c>
    </x:row>
    <x:row r="41" ht="42" customHeight="1">
      <x:c r="C41" s="33" t="str">
        <x:v>LF-C-CF1-W01</x:v>
      </x:c>
      <x:c r="D41" s="33" t="str">
        <x:v>LF-C-CF1</x:v>
      </x:c>
      <x:c r="E41" s="33" t="str">
        <x:v>C</x:v>
      </x:c>
      <x:c r="F41" s="33" t="str">
        <x:v>W01</x:v>
      </x:c>
      <x:c r="G41" s="33" t="str">
        <x:v>largest strategic source position unavailable</x:v>
      </x:c>
      <x:c r="H41" s="33" t="str">
        <x:v>at least 50% service remains</x:v>
      </x:c>
      <x:c r="I41" s="33" t="str">
        <x:v>correlated resource lull, storage degradation, land access and converter common mode</x:v>
      </x:c>
      <x:c r="J41" s="33" t="str">
        <x:v>sealed representative trial</x:v>
      </x:c>
      <x:c r="K41" s="33" t="str">
        <x:v>UNTESTED</x:v>
      </x:c>
      <x:c r="L41" s="33" t="str">
        <x:v>OPEN</x:v>
      </x:c>
      <x:c r="M41" s="33" t="n">
        <x:v>0</x:v>
      </x:c>
    </x:row>
    <x:row r="42" ht="42" customHeight="1">
      <x:c r="C42" s="33" t="str">
        <x:v>LF-C-CF1-W02</x:v>
      </x:c>
      <x:c r="D42" s="33" t="str">
        <x:v>LF-C-CF1</x:v>
      </x:c>
      <x:c r="E42" s="33" t="str">
        <x:v>C</x:v>
      </x:c>
      <x:c r="F42" s="33" t="str">
        <x:v>W02</x:v>
      </x:c>
      <x:c r="G42" s="33" t="str">
        <x:v>one water corridor pair ruptured</x:v>
      </x:c>
      <x:c r="H42" s="33" t="str">
        <x:v>full service for 24 h, then at least 50%</x:v>
      </x:c>
      <x:c r="I42" s="33" t="str">
        <x:v>correlated resource lull, storage degradation, land access and converter common mode</x:v>
      </x:c>
      <x:c r="J42" s="33" t="str">
        <x:v>sealed representative trial</x:v>
      </x:c>
      <x:c r="K42" s="33" t="str">
        <x:v>UNTESTED</x:v>
      </x:c>
      <x:c r="L42" s="33" t="str">
        <x:v>OPEN</x:v>
      </x:c>
      <x:c r="M42" s="33" t="n">
        <x:v>0</x:v>
      </x:c>
    </x:row>
    <x:row r="43" ht="42" customHeight="1">
      <x:c r="C43" s="33" t="str">
        <x:v>LF-C-CF1-W03</x:v>
      </x:c>
      <x:c r="D43" s="33" t="str">
        <x:v>LF-C-CF1</x:v>
      </x:c>
      <x:c r="E43" s="33" t="str">
        <x:v>C</x:v>
      </x:c>
      <x:c r="F43" s="33" t="str">
        <x:v>W03</x:v>
      </x:c>
      <x:c r="G43" s="33" t="str">
        <x:v>primary feed contaminated</x:v>
      </x:c>
      <x:c r="H43" s="33" t="str">
        <x:v>zero unsafe issue and qualified alternate feed</x:v>
      </x:c>
      <x:c r="I43" s="33" t="str">
        <x:v>correlated resource lull, storage degradation, land access and converter common mode</x:v>
      </x:c>
      <x:c r="J43" s="33" t="str">
        <x:v>sealed representative trial</x:v>
      </x:c>
      <x:c r="K43" s="33" t="str">
        <x:v>UNTESTED</x:v>
      </x:c>
      <x:c r="L43" s="33" t="str">
        <x:v>OPEN</x:v>
      </x:c>
      <x:c r="M43" s="33" t="n">
        <x:v>0</x:v>
      </x:c>
    </x:row>
    <x:row r="44" ht="42" customHeight="1">
      <x:c r="C44" s="33" t="str">
        <x:v>LF-C-CF1-W04</x:v>
      </x:c>
      <x:c r="D44" s="33" t="str">
        <x:v>LF-C-CF1</x:v>
      </x:c>
      <x:c r="E44" s="33" t="str">
        <x:v>C</x:v>
      </x:c>
      <x:c r="F44" s="33" t="str">
        <x:v>W04</x:v>
      </x:c>
      <x:c r="G44" s="33" t="str">
        <x:v>heat rejection or thermal output derated 30%</x:v>
      </x:c>
      <x:c r="H44" s="33" t="str">
        <x:v>at least 50% thermal service</x:v>
      </x:c>
      <x:c r="I44" s="33" t="str">
        <x:v>correlated resource lull, storage degradation, land access and converter common mode</x:v>
      </x:c>
      <x:c r="J44" s="33" t="str">
        <x:v>sealed representative trial</x:v>
      </x:c>
      <x:c r="K44" s="33" t="str">
        <x:v>UNTESTED</x:v>
      </x:c>
      <x:c r="L44" s="33" t="str">
        <x:v>OPEN</x:v>
      </x:c>
      <x:c r="M44" s="33" t="n">
        <x:v>0</x:v>
      </x:c>
    </x:row>
    <x:row r="45" ht="42" customHeight="1">
      <x:c r="C45" s="33" t="str">
        <x:v>LF-C-CF1-W05</x:v>
      </x:c>
      <x:c r="D45" s="33" t="str">
        <x:v>LF-C-CF1</x:v>
      </x:c>
      <x:c r="E45" s="33" t="str">
        <x:v>C</x:v>
      </x:c>
      <x:c r="F45" s="33" t="str">
        <x:v>W05</x:v>
      </x:c>
      <x:c r="G45" s="33" t="str">
        <x:v>external grid absent</x:v>
      </x:c>
      <x:c r="H45" s="33" t="str">
        <x:v>complete local black start</x:v>
      </x:c>
      <x:c r="I45" s="33" t="str">
        <x:v>correlated resource lull, storage degradation, land access and converter common mode</x:v>
      </x:c>
      <x:c r="J45" s="33" t="str">
        <x:v>sealed representative trial</x:v>
      </x:c>
      <x:c r="K45" s="33" t="str">
        <x:v>UNTESTED</x:v>
      </x:c>
      <x:c r="L45" s="33" t="str">
        <x:v>OPEN</x:v>
      </x:c>
      <x:c r="M45" s="33" t="n">
        <x:v>0</x:v>
      </x:c>
    </x:row>
    <x:row r="46" ht="42" customHeight="1">
      <x:c r="C46" s="33" t="str">
        <x:v>LF-C-CF1-W06</x:v>
      </x:c>
      <x:c r="D46" s="33" t="str">
        <x:v>LF-C-CF1</x:v>
      </x:c>
      <x:c r="E46" s="33" t="str">
        <x:v>C</x:v>
      </x:c>
      <x:c r="F46" s="33" t="str">
        <x:v>W06</x:v>
      </x:c>
      <x:c r="G46" s="33" t="str">
        <x:v>external energy route denied 72 h</x:v>
      </x:c>
      <x:c r="H46" s="33" t="str">
        <x:v>declared service without hidden resupply</x:v>
      </x:c>
      <x:c r="I46" s="33" t="str">
        <x:v>correlated resource lull, storage degradation, land access and converter common mode</x:v>
      </x:c>
      <x:c r="J46" s="33" t="str">
        <x:v>sealed representative trial</x:v>
      </x:c>
      <x:c r="K46" s="33" t="str">
        <x:v>UNTESTED</x:v>
      </x:c>
      <x:c r="L46" s="33" t="str">
        <x:v>OPEN</x:v>
      </x:c>
      <x:c r="M46" s="33" t="n">
        <x:v>0</x:v>
      </x:c>
    </x:row>
    <x:row r="47" ht="42" customHeight="1">
      <x:c r="C47" s="33" t="str">
        <x:v>LF-C-CF1-W07</x:v>
      </x:c>
      <x:c r="D47" s="33" t="str">
        <x:v>LF-C-CF1</x:v>
      </x:c>
      <x:c r="E47" s="33" t="str">
        <x:v>C</x:v>
      </x:c>
      <x:c r="F47" s="33" t="str">
        <x:v>W07</x:v>
      </x:c>
      <x:c r="G47" s="33" t="str">
        <x:v>wide-area control and time denied</x:v>
      </x:c>
      <x:c r="H47" s="33" t="str">
        <x:v>24 h local operation and later reconciliation</x:v>
      </x:c>
      <x:c r="I47" s="33" t="str">
        <x:v>correlated resource lull, storage degradation, land access and converter common mode</x:v>
      </x:c>
      <x:c r="J47" s="33" t="str">
        <x:v>sealed representative trial</x:v>
      </x:c>
      <x:c r="K47" s="33" t="str">
        <x:v>UNTESTED</x:v>
      </x:c>
      <x:c r="L47" s="33" t="str">
        <x:v>OPEN</x:v>
      </x:c>
      <x:c r="M47" s="33" t="n">
        <x:v>0</x:v>
      </x:c>
    </x:row>
    <x:row r="48" ht="42" customHeight="1">
      <x:c r="C48" s="33" t="str">
        <x:v>LF-C-CF1-W08</x:v>
      </x:c>
      <x:c r="D48" s="33" t="str">
        <x:v>LF-C-CF1</x:v>
      </x:c>
      <x:c r="E48" s="33" t="str">
        <x:v>C</x:v>
      </x:c>
      <x:c r="F48" s="33" t="str">
        <x:v>W08</x:v>
      </x:c>
      <x:c r="G48" s="33" t="str">
        <x:v>vendor signing or operations center denied</x:v>
      </x:c>
      <x:c r="H48" s="33" t="str">
        <x:v>manual safe control and evidence continuity</x:v>
      </x:c>
      <x:c r="I48" s="33" t="str">
        <x:v>correlated resource lull, storage degradation, land access and converter common mode</x:v>
      </x:c>
      <x:c r="J48" s="33" t="str">
        <x:v>sealed representative trial</x:v>
      </x:c>
      <x:c r="K48" s="33" t="str">
        <x:v>UNTESTED</x:v>
      </x:c>
      <x:c r="L48" s="33" t="str">
        <x:v>OPEN</x:v>
      </x:c>
      <x:c r="M48" s="33" t="n">
        <x:v>0</x:v>
      </x:c>
    </x:row>
    <x:row r="49" ht="42" customHeight="1">
      <x:c r="C49" s="33" t="str">
        <x:v>LF-C-CF1-W09</x:v>
      </x:c>
      <x:c r="D49" s="33" t="str">
        <x:v>LF-C-CF1</x:v>
      </x:c>
      <x:c r="E49" s="33" t="str">
        <x:v>C</x:v>
      </x:c>
      <x:c r="F49" s="33" t="str">
        <x:v>W09</x:v>
      </x:c>
      <x:c r="G49" s="33" t="str">
        <x:v>one local-power cell unavailable</x:v>
      </x:c>
      <x:c r="H49" s="33" t="str">
        <x:v>at least 50% power service</x:v>
      </x:c>
      <x:c r="I49" s="33" t="str">
        <x:v>correlated resource lull, storage degradation, land access and converter common mode</x:v>
      </x:c>
      <x:c r="J49" s="33" t="str">
        <x:v>sealed representative trial</x:v>
      </x:c>
      <x:c r="K49" s="33" t="str">
        <x:v>UNTESTED</x:v>
      </x:c>
      <x:c r="L49" s="33" t="str">
        <x:v>OPEN</x:v>
      </x:c>
      <x:c r="M49" s="33" t="n">
        <x:v>0</x:v>
      </x:c>
    </x:row>
    <x:row r="50" ht="42" customHeight="1">
      <x:c r="C50" s="33" t="str">
        <x:v>LF-C-CF1-W10</x:v>
      </x:c>
      <x:c r="D50" s="33" t="str">
        <x:v>LF-C-CF1</x:v>
      </x:c>
      <x:c r="E50" s="33" t="str">
        <x:v>C</x:v>
      </x:c>
      <x:c r="F50" s="33" t="str">
        <x:v>W10</x:v>
      </x:c>
      <x:c r="G50" s="33" t="str">
        <x:v>one grid-bridge group unavailable</x:v>
      </x:c>
      <x:c r="H50" s="33" t="str">
        <x:v>at least 50% transferable power</x:v>
      </x:c>
      <x:c r="I50" s="33" t="str">
        <x:v>correlated resource lull, storage degradation, land access and converter common mode</x:v>
      </x:c>
      <x:c r="J50" s="33" t="str">
        <x:v>sealed representative trial</x:v>
      </x:c>
      <x:c r="K50" s="33" t="str">
        <x:v>UNTESTED</x:v>
      </x:c>
      <x:c r="L50" s="33" t="str">
        <x:v>OPEN</x:v>
      </x:c>
      <x:c r="M50" s="33" t="n">
        <x:v>0</x:v>
      </x:c>
    </x:row>
    <x:row r="51" ht="42" customHeight="1">
      <x:c r="C51" s="33" t="str">
        <x:v>LF-C-CF1-W11</x:v>
      </x:c>
      <x:c r="D51" s="33" t="str">
        <x:v>LF-C-CF1</x:v>
      </x:c>
      <x:c r="E51" s="33" t="str">
        <x:v>C</x:v>
      </x:c>
      <x:c r="F51" s="33" t="str">
        <x:v>W11</x:v>
      </x:c>
      <x:c r="G51" s="33" t="str">
        <x:v>one thermal cell unavailable</x:v>
      </x:c>
      <x:c r="H51" s="33" t="str">
        <x:v>at least 50% thermal service</x:v>
      </x:c>
      <x:c r="I51" s="33" t="str">
        <x:v>correlated resource lull, storage degradation, land access and converter common mode</x:v>
      </x:c>
      <x:c r="J51" s="33" t="str">
        <x:v>sealed representative trial</x:v>
      </x:c>
      <x:c r="K51" s="33" t="str">
        <x:v>UNTESTED</x:v>
      </x:c>
      <x:c r="L51" s="33" t="str">
        <x:v>OPEN</x:v>
      </x:c>
      <x:c r="M51" s="33" t="n">
        <x:v>0</x:v>
      </x:c>
    </x:row>
    <x:row r="52" ht="42" customHeight="1">
      <x:c r="C52" s="33" t="str">
        <x:v>LF-C-CF1-W12</x:v>
      </x:c>
      <x:c r="D52" s="33" t="str">
        <x:v>LF-C-CF1</x:v>
      </x:c>
      <x:c r="E52" s="33" t="str">
        <x:v>C</x:v>
      </x:c>
      <x:c r="F52" s="33" t="str">
        <x:v>W12</x:v>
      </x:c>
      <x:c r="G52" s="33" t="str">
        <x:v>wastewater or residual receiver refuses</x:v>
      </x:c>
      <x:c r="H52" s="33" t="str">
        <x:v>safe derate or alternate disposition</x:v>
      </x:c>
      <x:c r="I52" s="33" t="str">
        <x:v>correlated resource lull, storage degradation, land access and converter common mode</x:v>
      </x:c>
      <x:c r="J52" s="33" t="str">
        <x:v>sealed representative trial</x:v>
      </x:c>
      <x:c r="K52" s="33" t="str">
        <x:v>UNTESTED</x:v>
      </x:c>
      <x:c r="L52" s="33" t="str">
        <x:v>OPEN</x:v>
      </x:c>
      <x:c r="M52" s="33" t="n">
        <x:v>0</x:v>
      </x:c>
    </x:row>
    <x:row r="53" ht="42" customHeight="1">
      <x:c r="C53" s="33" t="str">
        <x:v>LF-C-CF1-W13</x:v>
      </x:c>
      <x:c r="D53" s="33" t="str">
        <x:v>LF-C-CF1</x:v>
      </x:c>
      <x:c r="E53" s="33" t="str">
        <x:v>C</x:v>
      </x:c>
      <x:c r="F53" s="33" t="str">
        <x:v>W13</x:v>
      </x:c>
      <x:c r="G53" s="33" t="str">
        <x:v>civil service authority revoked</x:v>
      </x:c>
      <x:c r="H53" s="33" t="str">
        <x:v>safe stop and zero unauthorized issue</x:v>
      </x:c>
      <x:c r="I53" s="33" t="str">
        <x:v>correlated resource lull, storage degradation, land access and converter common mode</x:v>
      </x:c>
      <x:c r="J53" s="33" t="str">
        <x:v>sealed representative trial</x:v>
      </x:c>
      <x:c r="K53" s="33" t="str">
        <x:v>UNTESTED</x:v>
      </x:c>
      <x:c r="L53" s="33" t="str">
        <x:v>OPEN</x:v>
      </x:c>
      <x:c r="M53" s="33" t="n">
        <x:v>0</x:v>
      </x:c>
    </x:row>
    <x:row r="54" ht="42" customHeight="1">
      <x:c r="C54" s="33" t="str">
        <x:v>LF-C-CF1-W14</x:v>
      </x:c>
      <x:c r="D54" s="33" t="str">
        <x:v>LF-C-CF1</x:v>
      </x:c>
      <x:c r="E54" s="33" t="str">
        <x:v>C</x:v>
      </x:c>
      <x:c r="F54" s="33" t="str">
        <x:v>W14</x:v>
      </x:c>
      <x:c r="G54" s="33" t="str">
        <x:v>protected-cohort load rises 20%</x:v>
      </x:c>
      <x:c r="H54" s="33" t="str">
        <x:v>lawful allocation without hidden exclusion</x:v>
      </x:c>
      <x:c r="I54" s="33" t="str">
        <x:v>correlated resource lull, storage degradation, land access and converter common mode</x:v>
      </x:c>
      <x:c r="J54" s="33" t="str">
        <x:v>sealed representative trial</x:v>
      </x:c>
      <x:c r="K54" s="33" t="str">
        <x:v>UNTESTED</x:v>
      </x:c>
      <x:c r="L54" s="33" t="str">
        <x:v>OPEN</x:v>
      </x:c>
      <x:c r="M54" s="33" t="n">
        <x:v>0</x:v>
      </x:c>
    </x:row>
    <x:row r="55" ht="42" customHeight="1">
      <x:c r="C55" s="33" t="str">
        <x:v>LF-C-CF1-W15</x:v>
      </x:c>
      <x:c r="D55" s="33" t="str">
        <x:v>LF-C-CF1</x:v>
      </x:c>
      <x:c r="E55" s="33" t="str">
        <x:v>C</x:v>
      </x:c>
      <x:c r="F55" s="33" t="str">
        <x:v>W15</x:v>
      </x:c>
      <x:c r="G55" s="33" t="str">
        <x:v>primary repair depot denied</x:v>
      </x:c>
      <x:c r="H55" s="33" t="str">
        <x:v>second-team repair and cold reset</x:v>
      </x:c>
      <x:c r="I55" s="33" t="str">
        <x:v>correlated resource lull, storage degradation, land access and converter common mode</x:v>
      </x:c>
      <x:c r="J55" s="33" t="str">
        <x:v>sealed representative trial</x:v>
      </x:c>
      <x:c r="K55" s="33" t="str">
        <x:v>UNTESTED</x:v>
      </x:c>
      <x:c r="L55" s="33" t="str">
        <x:v>OPEN</x:v>
      </x:c>
      <x:c r="M55" s="33" t="n">
        <x:v>0</x:v>
      </x:c>
    </x:row>
    <x:row r="56" ht="42" customHeight="1">
      <x:c r="C56" s="33" t="str">
        <x:v>LF-C-CF1-W16</x:v>
      </x:c>
      <x:c r="D56" s="33" t="str">
        <x:v>LF-C-CF1</x:v>
      </x:c>
      <x:c r="E56" s="33" t="str">
        <x:v>C</x:v>
      </x:c>
      <x:c r="F56" s="33" t="str">
        <x:v>W16</x:v>
      </x:c>
      <x:c r="G56" s="33" t="str">
        <x:v>root-specific decisive source challenge</x:v>
      </x:c>
      <x:c r="H56" s="33" t="str">
        <x:v>source physics remains bounded or root fails</x:v>
      </x:c>
      <x:c r="I56" s="33" t="str">
        <x:v>correlated resource lull, storage degradation, land access and converter common mode</x:v>
      </x:c>
      <x:c r="J56" s="33" t="str">
        <x:v>sealed representative trial</x:v>
      </x:c>
      <x:c r="K56" s="33" t="str">
        <x:v>UNTESTED</x:v>
      </x:c>
      <x:c r="L56" s="33" t="str">
        <x:v>OPEN</x:v>
      </x:c>
      <x:c r="M56" s="33" t="n">
        <x:v>0</x:v>
      </x:c>
    </x:row>
    <x:row r="57" ht="42" customHeight="1">
      <x:c r="C57" s="33" t="str">
        <x:v>LF-C-CF1-W17</x:v>
      </x:c>
      <x:c r="D57" s="33" t="str">
        <x:v>LF-C-CF1</x:v>
      </x:c>
      <x:c r="E57" s="33" t="str">
        <x:v>C</x:v>
      </x:c>
      <x:c r="F57" s="33" t="str">
        <x:v>W17</x:v>
      </x:c>
      <x:c r="G57" s="33" t="str">
        <x:v>second zone requests the committed formation</x:v>
      </x:c>
      <x:c r="H57" s="33" t="str">
        <x:v>no double claim; truthful unavailability</x:v>
      </x:c>
      <x:c r="I57" s="33" t="str">
        <x:v>correlated resource lull, storage degradation, land access and converter common mode</x:v>
      </x:c>
      <x:c r="J57" s="33" t="str">
        <x:v>sealed representative trial</x:v>
      </x:c>
      <x:c r="K57" s="33" t="str">
        <x:v>UNTESTED</x:v>
      </x:c>
      <x:c r="L57" s="33" t="str">
        <x:v>OPEN</x:v>
      </x:c>
      <x:c r="M57" s="33" t="n">
        <x:v>0</x:v>
      </x:c>
    </x:row>
    <x:row r="58" ht="42" customHeight="1">
      <x:c r="C58" s="33" t="str">
        <x:v>LF-C-CF1-W18</x:v>
      </x:c>
      <x:c r="D58" s="33" t="str">
        <x:v>LF-C-CF1</x:v>
      </x:c>
      <x:c r="E58" s="33" t="str">
        <x:v>C</x:v>
      </x:c>
      <x:c r="F58" s="33" t="str">
        <x:v>W18</x:v>
      </x:c>
      <x:c r="G58" s="33" t="str">
        <x:v>host utility accepts handback</x:v>
      </x:c>
      <x:c r="H58" s="33" t="str">
        <x:v>transfer without a second service collapse</x:v>
      </x:c>
      <x:c r="I58" s="33" t="str">
        <x:v>correlated resource lull, storage degradation, land access and converter common mode</x:v>
      </x:c>
      <x:c r="J58" s="33" t="str">
        <x:v>sealed representative trial</x:v>
      </x:c>
      <x:c r="K58" s="33" t="str">
        <x:v>UNTESTED</x:v>
      </x:c>
      <x:c r="L58" s="33" t="str">
        <x:v>OPEN</x:v>
      </x:c>
      <x:c r="M58" s="33" t="n">
        <x:v>0</x:v>
      </x:c>
    </x:row>
    <x:row r="59" ht="42" customHeight="1">
      <x:c r="C59" s="33" t="str">
        <x:v>LF-D-CF1-W01</x:v>
      </x:c>
      <x:c r="D59" s="33" t="str">
        <x:v>LF-D-CF1</x:v>
      </x:c>
      <x:c r="E59" s="33" t="str">
        <x:v>D</x:v>
      </x:c>
      <x:c r="F59" s="33" t="str">
        <x:v>W01</x:v>
      </x:c>
      <x:c r="G59" s="33" t="str">
        <x:v>largest strategic source position unavailable</x:v>
      </x:c>
      <x:c r="H59" s="33" t="str">
        <x:v>at least 50% service remains</x:v>
      </x:c>
      <x:c r="I59" s="33" t="str">
        <x:v>fuel custody, ammonia release, emissions, fire separation and convoy continuity</x:v>
      </x:c>
      <x:c r="J59" s="33" t="str">
        <x:v>sealed representative trial</x:v>
      </x:c>
      <x:c r="K59" s="33" t="str">
        <x:v>UNTESTED</x:v>
      </x:c>
      <x:c r="L59" s="33" t="str">
        <x:v>OPEN</x:v>
      </x:c>
      <x:c r="M59" s="33" t="n">
        <x:v>0</x:v>
      </x:c>
    </x:row>
    <x:row r="60" ht="42" customHeight="1">
      <x:c r="C60" s="33" t="str">
        <x:v>LF-D-CF1-W02</x:v>
      </x:c>
      <x:c r="D60" s="33" t="str">
        <x:v>LF-D-CF1</x:v>
      </x:c>
      <x:c r="E60" s="33" t="str">
        <x:v>D</x:v>
      </x:c>
      <x:c r="F60" s="33" t="str">
        <x:v>W02</x:v>
      </x:c>
      <x:c r="G60" s="33" t="str">
        <x:v>one water corridor pair ruptured</x:v>
      </x:c>
      <x:c r="H60" s="33" t="str">
        <x:v>full service for 24 h, then at least 50%</x:v>
      </x:c>
      <x:c r="I60" s="33" t="str">
        <x:v>fuel custody, ammonia release, emissions, fire separation and convoy continuity</x:v>
      </x:c>
      <x:c r="J60" s="33" t="str">
        <x:v>sealed representative trial</x:v>
      </x:c>
      <x:c r="K60" s="33" t="str">
        <x:v>UNTESTED</x:v>
      </x:c>
      <x:c r="L60" s="33" t="str">
        <x:v>OPEN</x:v>
      </x:c>
      <x:c r="M60" s="33" t="n">
        <x:v>0</x:v>
      </x:c>
    </x:row>
    <x:row r="61" ht="42" customHeight="1">
      <x:c r="C61" s="33" t="str">
        <x:v>LF-D-CF1-W03</x:v>
      </x:c>
      <x:c r="D61" s="33" t="str">
        <x:v>LF-D-CF1</x:v>
      </x:c>
      <x:c r="E61" s="33" t="str">
        <x:v>D</x:v>
      </x:c>
      <x:c r="F61" s="33" t="str">
        <x:v>W03</x:v>
      </x:c>
      <x:c r="G61" s="33" t="str">
        <x:v>primary feed contaminated</x:v>
      </x:c>
      <x:c r="H61" s="33" t="str">
        <x:v>zero unsafe issue and qualified alternate feed</x:v>
      </x:c>
      <x:c r="I61" s="33" t="str">
        <x:v>fuel custody, ammonia release, emissions, fire separation and convoy continuity</x:v>
      </x:c>
      <x:c r="J61" s="33" t="str">
        <x:v>sealed representative trial</x:v>
      </x:c>
      <x:c r="K61" s="33" t="str">
        <x:v>UNTESTED</x:v>
      </x:c>
      <x:c r="L61" s="33" t="str">
        <x:v>OPEN</x:v>
      </x:c>
      <x:c r="M61" s="33" t="n">
        <x:v>0</x:v>
      </x:c>
    </x:row>
    <x:row r="62" ht="42" customHeight="1">
      <x:c r="C62" s="33" t="str">
        <x:v>LF-D-CF1-W04</x:v>
      </x:c>
      <x:c r="D62" s="33" t="str">
        <x:v>LF-D-CF1</x:v>
      </x:c>
      <x:c r="E62" s="33" t="str">
        <x:v>D</x:v>
      </x:c>
      <x:c r="F62" s="33" t="str">
        <x:v>W04</x:v>
      </x:c>
      <x:c r="G62" s="33" t="str">
        <x:v>heat rejection or thermal output derated 30%</x:v>
      </x:c>
      <x:c r="H62" s="33" t="str">
        <x:v>at least 50% thermal service</x:v>
      </x:c>
      <x:c r="I62" s="33" t="str">
        <x:v>fuel custody, ammonia release, emissions, fire separation and convoy continuity</x:v>
      </x:c>
      <x:c r="J62" s="33" t="str">
        <x:v>sealed representative trial</x:v>
      </x:c>
      <x:c r="K62" s="33" t="str">
        <x:v>UNTESTED</x:v>
      </x:c>
      <x:c r="L62" s="33" t="str">
        <x:v>OPEN</x:v>
      </x:c>
      <x:c r="M62" s="33" t="n">
        <x:v>0</x:v>
      </x:c>
    </x:row>
    <x:row r="63" ht="42" customHeight="1">
      <x:c r="C63" s="33" t="str">
        <x:v>LF-D-CF1-W05</x:v>
      </x:c>
      <x:c r="D63" s="33" t="str">
        <x:v>LF-D-CF1</x:v>
      </x:c>
      <x:c r="E63" s="33" t="str">
        <x:v>D</x:v>
      </x:c>
      <x:c r="F63" s="33" t="str">
        <x:v>W05</x:v>
      </x:c>
      <x:c r="G63" s="33" t="str">
        <x:v>external grid absent</x:v>
      </x:c>
      <x:c r="H63" s="33" t="str">
        <x:v>complete local black start</x:v>
      </x:c>
      <x:c r="I63" s="33" t="str">
        <x:v>fuel custody, ammonia release, emissions, fire separation and convoy continuity</x:v>
      </x:c>
      <x:c r="J63" s="33" t="str">
        <x:v>sealed representative trial</x:v>
      </x:c>
      <x:c r="K63" s="33" t="str">
        <x:v>UNTESTED</x:v>
      </x:c>
      <x:c r="L63" s="33" t="str">
        <x:v>OPEN</x:v>
      </x:c>
      <x:c r="M63" s="33" t="n">
        <x:v>0</x:v>
      </x:c>
    </x:row>
    <x:row r="64" ht="42" customHeight="1">
      <x:c r="C64" s="33" t="str">
        <x:v>LF-D-CF1-W06</x:v>
      </x:c>
      <x:c r="D64" s="33" t="str">
        <x:v>LF-D-CF1</x:v>
      </x:c>
      <x:c r="E64" s="33" t="str">
        <x:v>D</x:v>
      </x:c>
      <x:c r="F64" s="33" t="str">
        <x:v>W06</x:v>
      </x:c>
      <x:c r="G64" s="33" t="str">
        <x:v>external energy route denied 72 h</x:v>
      </x:c>
      <x:c r="H64" s="33" t="str">
        <x:v>declared service without hidden resupply</x:v>
      </x:c>
      <x:c r="I64" s="33" t="str">
        <x:v>fuel custody, ammonia release, emissions, fire separation and convoy continuity</x:v>
      </x:c>
      <x:c r="J64" s="33" t="str">
        <x:v>sealed representative trial</x:v>
      </x:c>
      <x:c r="K64" s="33" t="str">
        <x:v>UNTESTED</x:v>
      </x:c>
      <x:c r="L64" s="33" t="str">
        <x:v>OPEN</x:v>
      </x:c>
      <x:c r="M64" s="33" t="n">
        <x:v>0</x:v>
      </x:c>
    </x:row>
    <x:row r="65" ht="42" customHeight="1">
      <x:c r="C65" s="33" t="str">
        <x:v>LF-D-CF1-W07</x:v>
      </x:c>
      <x:c r="D65" s="33" t="str">
        <x:v>LF-D-CF1</x:v>
      </x:c>
      <x:c r="E65" s="33" t="str">
        <x:v>D</x:v>
      </x:c>
      <x:c r="F65" s="33" t="str">
        <x:v>W07</x:v>
      </x:c>
      <x:c r="G65" s="33" t="str">
        <x:v>wide-area control and time denied</x:v>
      </x:c>
      <x:c r="H65" s="33" t="str">
        <x:v>24 h local operation and later reconciliation</x:v>
      </x:c>
      <x:c r="I65" s="33" t="str">
        <x:v>fuel custody, ammonia release, emissions, fire separation and convoy continuity</x:v>
      </x:c>
      <x:c r="J65" s="33" t="str">
        <x:v>sealed representative trial</x:v>
      </x:c>
      <x:c r="K65" s="33" t="str">
        <x:v>UNTESTED</x:v>
      </x:c>
      <x:c r="L65" s="33" t="str">
        <x:v>OPEN</x:v>
      </x:c>
      <x:c r="M65" s="33" t="n">
        <x:v>0</x:v>
      </x:c>
    </x:row>
    <x:row r="66" ht="42" customHeight="1">
      <x:c r="C66" s="33" t="str">
        <x:v>LF-D-CF1-W08</x:v>
      </x:c>
      <x:c r="D66" s="33" t="str">
        <x:v>LF-D-CF1</x:v>
      </x:c>
      <x:c r="E66" s="33" t="str">
        <x:v>D</x:v>
      </x:c>
      <x:c r="F66" s="33" t="str">
        <x:v>W08</x:v>
      </x:c>
      <x:c r="G66" s="33" t="str">
        <x:v>vendor signing or operations center denied</x:v>
      </x:c>
      <x:c r="H66" s="33" t="str">
        <x:v>manual safe control and evidence continuity</x:v>
      </x:c>
      <x:c r="I66" s="33" t="str">
        <x:v>fuel custody, ammonia release, emissions, fire separation and convoy continuity</x:v>
      </x:c>
      <x:c r="J66" s="33" t="str">
        <x:v>sealed representative trial</x:v>
      </x:c>
      <x:c r="K66" s="33" t="str">
        <x:v>UNTESTED</x:v>
      </x:c>
      <x:c r="L66" s="33" t="str">
        <x:v>OPEN</x:v>
      </x:c>
      <x:c r="M66" s="33" t="n">
        <x:v>0</x:v>
      </x:c>
    </x:row>
    <x:row r="67" ht="42" customHeight="1">
      <x:c r="C67" s="33" t="str">
        <x:v>LF-D-CF1-W09</x:v>
      </x:c>
      <x:c r="D67" s="33" t="str">
        <x:v>LF-D-CF1</x:v>
      </x:c>
      <x:c r="E67" s="33" t="str">
        <x:v>D</x:v>
      </x:c>
      <x:c r="F67" s="33" t="str">
        <x:v>W09</x:v>
      </x:c>
      <x:c r="G67" s="33" t="str">
        <x:v>one local-power cell unavailable</x:v>
      </x:c>
      <x:c r="H67" s="33" t="str">
        <x:v>at least 50% power service</x:v>
      </x:c>
      <x:c r="I67" s="33" t="str">
        <x:v>fuel custody, ammonia release, emissions, fire separation and convoy continuity</x:v>
      </x:c>
      <x:c r="J67" s="33" t="str">
        <x:v>sealed representative trial</x:v>
      </x:c>
      <x:c r="K67" s="33" t="str">
        <x:v>UNTESTED</x:v>
      </x:c>
      <x:c r="L67" s="33" t="str">
        <x:v>OPEN</x:v>
      </x:c>
      <x:c r="M67" s="33" t="n">
        <x:v>0</x:v>
      </x:c>
    </x:row>
    <x:row r="68" ht="42" customHeight="1">
      <x:c r="C68" s="33" t="str">
        <x:v>LF-D-CF1-W10</x:v>
      </x:c>
      <x:c r="D68" s="33" t="str">
        <x:v>LF-D-CF1</x:v>
      </x:c>
      <x:c r="E68" s="33" t="str">
        <x:v>D</x:v>
      </x:c>
      <x:c r="F68" s="33" t="str">
        <x:v>W10</x:v>
      </x:c>
      <x:c r="G68" s="33" t="str">
        <x:v>one grid-bridge group unavailable</x:v>
      </x:c>
      <x:c r="H68" s="33" t="str">
        <x:v>at least 50% transferable power</x:v>
      </x:c>
      <x:c r="I68" s="33" t="str">
        <x:v>fuel custody, ammonia release, emissions, fire separation and convoy continuity</x:v>
      </x:c>
      <x:c r="J68" s="33" t="str">
        <x:v>sealed representative trial</x:v>
      </x:c>
      <x:c r="K68" s="33" t="str">
        <x:v>UNTESTED</x:v>
      </x:c>
      <x:c r="L68" s="33" t="str">
        <x:v>OPEN</x:v>
      </x:c>
      <x:c r="M68" s="33" t="n">
        <x:v>0</x:v>
      </x:c>
    </x:row>
    <x:row r="69" ht="42" customHeight="1">
      <x:c r="C69" s="33" t="str">
        <x:v>LF-D-CF1-W11</x:v>
      </x:c>
      <x:c r="D69" s="33" t="str">
        <x:v>LF-D-CF1</x:v>
      </x:c>
      <x:c r="E69" s="33" t="str">
        <x:v>D</x:v>
      </x:c>
      <x:c r="F69" s="33" t="str">
        <x:v>W11</x:v>
      </x:c>
      <x:c r="G69" s="33" t="str">
        <x:v>one thermal cell unavailable</x:v>
      </x:c>
      <x:c r="H69" s="33" t="str">
        <x:v>at least 50% thermal service</x:v>
      </x:c>
      <x:c r="I69" s="33" t="str">
        <x:v>fuel custody, ammonia release, emissions, fire separation and convoy continuity</x:v>
      </x:c>
      <x:c r="J69" s="33" t="str">
        <x:v>sealed representative trial</x:v>
      </x:c>
      <x:c r="K69" s="33" t="str">
        <x:v>UNTESTED</x:v>
      </x:c>
      <x:c r="L69" s="33" t="str">
        <x:v>OPEN</x:v>
      </x:c>
      <x:c r="M69" s="33" t="n">
        <x:v>0</x:v>
      </x:c>
    </x:row>
    <x:row r="70" ht="42" customHeight="1">
      <x:c r="C70" s="33" t="str">
        <x:v>LF-D-CF1-W12</x:v>
      </x:c>
      <x:c r="D70" s="33" t="str">
        <x:v>LF-D-CF1</x:v>
      </x:c>
      <x:c r="E70" s="33" t="str">
        <x:v>D</x:v>
      </x:c>
      <x:c r="F70" s="33" t="str">
        <x:v>W12</x:v>
      </x:c>
      <x:c r="G70" s="33" t="str">
        <x:v>wastewater or residual receiver refuses</x:v>
      </x:c>
      <x:c r="H70" s="33" t="str">
        <x:v>safe derate or alternate disposition</x:v>
      </x:c>
      <x:c r="I70" s="33" t="str">
        <x:v>fuel custody, ammonia release, emissions, fire separation and convoy continuity</x:v>
      </x:c>
      <x:c r="J70" s="33" t="str">
        <x:v>sealed representative trial</x:v>
      </x:c>
      <x:c r="K70" s="33" t="str">
        <x:v>UNTESTED</x:v>
      </x:c>
      <x:c r="L70" s="33" t="str">
        <x:v>OPEN</x:v>
      </x:c>
      <x:c r="M70" s="33" t="n">
        <x:v>0</x:v>
      </x:c>
    </x:row>
    <x:row r="71" ht="42" customHeight="1">
      <x:c r="C71" s="33" t="str">
        <x:v>LF-D-CF1-W13</x:v>
      </x:c>
      <x:c r="D71" s="33" t="str">
        <x:v>LF-D-CF1</x:v>
      </x:c>
      <x:c r="E71" s="33" t="str">
        <x:v>D</x:v>
      </x:c>
      <x:c r="F71" s="33" t="str">
        <x:v>W13</x:v>
      </x:c>
      <x:c r="G71" s="33" t="str">
        <x:v>civil service authority revoked</x:v>
      </x:c>
      <x:c r="H71" s="33" t="str">
        <x:v>safe stop and zero unauthorized issue</x:v>
      </x:c>
      <x:c r="I71" s="33" t="str">
        <x:v>fuel custody, ammonia release, emissions, fire separation and convoy continuity</x:v>
      </x:c>
      <x:c r="J71" s="33" t="str">
        <x:v>sealed representative trial</x:v>
      </x:c>
      <x:c r="K71" s="33" t="str">
        <x:v>UNTESTED</x:v>
      </x:c>
      <x:c r="L71" s="33" t="str">
        <x:v>OPEN</x:v>
      </x:c>
      <x:c r="M71" s="33" t="n">
        <x:v>0</x:v>
      </x:c>
    </x:row>
    <x:row r="72" ht="42" customHeight="1">
      <x:c r="C72" s="33" t="str">
        <x:v>LF-D-CF1-W14</x:v>
      </x:c>
      <x:c r="D72" s="33" t="str">
        <x:v>LF-D-CF1</x:v>
      </x:c>
      <x:c r="E72" s="33" t="str">
        <x:v>D</x:v>
      </x:c>
      <x:c r="F72" s="33" t="str">
        <x:v>W14</x:v>
      </x:c>
      <x:c r="G72" s="33" t="str">
        <x:v>protected-cohort load rises 20%</x:v>
      </x:c>
      <x:c r="H72" s="33" t="str">
        <x:v>lawful allocation without hidden exclusion</x:v>
      </x:c>
      <x:c r="I72" s="33" t="str">
        <x:v>fuel custody, ammonia release, emissions, fire separation and convoy continuity</x:v>
      </x:c>
      <x:c r="J72" s="33" t="str">
        <x:v>sealed representative trial</x:v>
      </x:c>
      <x:c r="K72" s="33" t="str">
        <x:v>UNTESTED</x:v>
      </x:c>
      <x:c r="L72" s="33" t="str">
        <x:v>OPEN</x:v>
      </x:c>
      <x:c r="M72" s="33" t="n">
        <x:v>0</x:v>
      </x:c>
    </x:row>
    <x:row r="73" ht="42" customHeight="1">
      <x:c r="C73" s="33" t="str">
        <x:v>LF-D-CF1-W15</x:v>
      </x:c>
      <x:c r="D73" s="33" t="str">
        <x:v>LF-D-CF1</x:v>
      </x:c>
      <x:c r="E73" s="33" t="str">
        <x:v>D</x:v>
      </x:c>
      <x:c r="F73" s="33" t="str">
        <x:v>W15</x:v>
      </x:c>
      <x:c r="G73" s="33" t="str">
        <x:v>primary repair depot denied</x:v>
      </x:c>
      <x:c r="H73" s="33" t="str">
        <x:v>second-team repair and cold reset</x:v>
      </x:c>
      <x:c r="I73" s="33" t="str">
        <x:v>fuel custody, ammonia release, emissions, fire separation and convoy continuity</x:v>
      </x:c>
      <x:c r="J73" s="33" t="str">
        <x:v>sealed representative trial</x:v>
      </x:c>
      <x:c r="K73" s="33" t="str">
        <x:v>UNTESTED</x:v>
      </x:c>
      <x:c r="L73" s="33" t="str">
        <x:v>OPEN</x:v>
      </x:c>
      <x:c r="M73" s="33" t="n">
        <x:v>0</x:v>
      </x:c>
    </x:row>
    <x:row r="74" ht="42" customHeight="1">
      <x:c r="C74" s="33" t="str">
        <x:v>LF-D-CF1-W16</x:v>
      </x:c>
      <x:c r="D74" s="33" t="str">
        <x:v>LF-D-CF1</x:v>
      </x:c>
      <x:c r="E74" s="33" t="str">
        <x:v>D</x:v>
      </x:c>
      <x:c r="F74" s="33" t="str">
        <x:v>W16</x:v>
      </x:c>
      <x:c r="G74" s="33" t="str">
        <x:v>root-specific decisive source challenge</x:v>
      </x:c>
      <x:c r="H74" s="33" t="str">
        <x:v>source physics remains bounded or root fails</x:v>
      </x:c>
      <x:c r="I74" s="33" t="str">
        <x:v>fuel custody, ammonia release, emissions, fire separation and convoy continuity</x:v>
      </x:c>
      <x:c r="J74" s="33" t="str">
        <x:v>sealed representative trial</x:v>
      </x:c>
      <x:c r="K74" s="33" t="str">
        <x:v>UNTESTED</x:v>
      </x:c>
      <x:c r="L74" s="33" t="str">
        <x:v>OPEN</x:v>
      </x:c>
      <x:c r="M74" s="33" t="n">
        <x:v>0</x:v>
      </x:c>
    </x:row>
    <x:row r="75" ht="42" customHeight="1">
      <x:c r="C75" s="33" t="str">
        <x:v>LF-D-CF1-W17</x:v>
      </x:c>
      <x:c r="D75" s="33" t="str">
        <x:v>LF-D-CF1</x:v>
      </x:c>
      <x:c r="E75" s="33" t="str">
        <x:v>D</x:v>
      </x:c>
      <x:c r="F75" s="33" t="str">
        <x:v>W17</x:v>
      </x:c>
      <x:c r="G75" s="33" t="str">
        <x:v>second zone requests the committed formation</x:v>
      </x:c>
      <x:c r="H75" s="33" t="str">
        <x:v>no double claim; truthful unavailability</x:v>
      </x:c>
      <x:c r="I75" s="33" t="str">
        <x:v>fuel custody, ammonia release, emissions, fire separation and convoy continuity</x:v>
      </x:c>
      <x:c r="J75" s="33" t="str">
        <x:v>sealed representative trial</x:v>
      </x:c>
      <x:c r="K75" s="33" t="str">
        <x:v>UNTESTED</x:v>
      </x:c>
      <x:c r="L75" s="33" t="str">
        <x:v>OPEN</x:v>
      </x:c>
      <x:c r="M75" s="33" t="n">
        <x:v>0</x:v>
      </x:c>
    </x:row>
    <x:row r="76" ht="42" customHeight="1">
      <x:c r="C76" s="34" t="str">
        <x:v>LF-D-CF1-W18</x:v>
      </x:c>
      <x:c r="D76" s="34" t="str">
        <x:v>LF-D-CF1</x:v>
      </x:c>
      <x:c r="E76" s="34" t="str">
        <x:v>D</x:v>
      </x:c>
      <x:c r="F76" s="34" t="str">
        <x:v>W18</x:v>
      </x:c>
      <x:c r="G76" s="34" t="str">
        <x:v>host utility accepts handback</x:v>
      </x:c>
      <x:c r="H76" s="34" t="str">
        <x:v>transfer without a second service collapse</x:v>
      </x:c>
      <x:c r="I76" s="34" t="str">
        <x:v>fuel custody, ammonia release, emissions, fire separation and convoy continuity</x:v>
      </x:c>
      <x:c r="J76" s="34" t="str">
        <x:v>sealed representative trial</x:v>
      </x:c>
      <x:c r="K76" s="34" t="str">
        <x:v>UNTESTED</x:v>
      </x:c>
      <x:c r="L76" s="34" t="str">
        <x:v>OPEN</x:v>
      </x:c>
      <x:c r="M76" s="34" t="n">
        <x:v>0</x:v>
      </x:c>
    </x:row>
  </x:sheetData>
  <x:conditionalFormatting sqref="K5:L76">
    <x:cfRule type="containsText" dxfId="60" priority="1" operator="containsText" text="FAIL"/>
    <x:cfRule type="containsText" dxfId="61" priority="2" operator="containsText" text="OPEN"/>
    <x:cfRule type="containsText" dxfId="62" priority="3" operator="containsText" text="HOLD"/>
    <x:cfRule type="containsText" dxfId="63" priority="4" operator="containsText" text="SELECT"/>
    <x:cfRule type="containsText" dxfId="64" priority="5" operator="containsText" text="PASS"/>
    <x:cfRule type="containsText" dxfId="65" priority="6" operator="containsText" text="BLOCK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3" max="3" width="20.559999465942383" hidden="0" customWidth="1"/>
    <x:col min="4" max="4" width="10.5600004196167" hidden="0" customWidth="1"/>
    <x:col min="5" max="5" width="6.110000133514404" hidden="0" customWidth="1"/>
    <x:col min="6" max="6" width="7.21999979019165" hidden="0" customWidth="1"/>
    <x:col min="7" max="7" width="34.439998626708984" hidden="0" customWidth="1"/>
    <x:col min="8" max="8" width="13.329999923706055" hidden="0" customWidth="1"/>
    <x:col min="9" max="9" width="10.5600004196167" hidden="0" customWidth="1"/>
    <x:col min="10" max="10" width="20" hidden="0" customWidth="1"/>
    <x:col min="11" max="11" width="12.779999732971191" hidden="0" customWidth="1"/>
    <x:col min="12" max="12" width="8.890000343322754" hidden="0" customWidth="1"/>
    <x:col min="13" max="13" width="13.329999923706055" hidden="0" customWidth="1"/>
  </x:cols>
  <x:sheetData>
    <x:row r="2">
      <x:c r="C2" s="1" t="str">
        <x:v>Forty-eight decisive ancestry declarations</x:v>
      </x:c>
    </x:row>
    <x:row r="3">
      <x:c r="C3" s="2" t="str">
        <x:v>Named companies, facilities, tools, keys, workforces and evidence chains are required before release.</x:v>
      </x:c>
    </x:row>
    <x:row r="4" ht="30" customHeight="1">
      <x:c r="C4" s="23" t="str">
        <x:v>Namespace</x:v>
      </x:c>
      <x:c r="D4" s="23" t="str">
        <x:v>Configuration</x:v>
      </x:c>
      <x:c r="E4" s="23" t="str">
        <x:v>Root</x:v>
      </x:c>
      <x:c r="F4" s="23" t="str">
        <x:v>Domain</x:v>
      </x:c>
      <x:c r="G4" s="23" t="str">
        <x:v>Decisive ancestry</x:v>
      </x:c>
      <x:c r="H4" s="23" t="str">
        <x:v>Class</x:v>
      </x:c>
      <x:c r="I4" s="23" t="str">
        <x:v>Exposure cap</x:v>
      </x:c>
      <x:c r="J4" s="23" t="str">
        <x:v>Declared identity</x:v>
      </x:c>
      <x:c r="K4" s="23" t="str">
        <x:v>Observed exposure</x:v>
      </x:c>
      <x:c r="L4" s="23" t="str">
        <x:v>State</x:v>
      </x:c>
      <x:c r="M4" s="23" t="str">
        <x:v>Evidence ID</x:v>
      </x:c>
    </x:row>
    <x:row r="5" ht="34" customHeight="1">
      <x:c r="C5" s="32" t="str">
        <x:v>NS-LF-A-CF1-X01</x:v>
      </x:c>
      <x:c r="D5" s="32" t="str">
        <x:v>LF-A-CF1</x:v>
      </x:c>
      <x:c r="E5" s="32" t="str">
        <x:v>A</x:v>
      </x:c>
      <x:c r="F5" s="32" t="str">
        <x:v>X01</x:v>
      </x:c>
      <x:c r="G5" s="32" t="str">
        <x:v>Root integrator and beneficial control</x:v>
      </x:c>
      <x:c r="H5" s="32" t="str">
        <x:v>ROOT_EXCLUSIVE</x:v>
      </x:c>
      <x:c r="I5" s="32" t="n">
        <x:v>1</x:v>
      </x:c>
      <x:c r="J5" s="51" t="str">
        <x:v>UNDECLARED</x:v>
      </x:c>
      <x:c r="K5" s="32" t="str">
        <x:f>IF(J5="UNDECLARED","n.a.",COUNTIFS($J$5:$J$52,J5))</x:f>
        <x:v>n.a.</x:v>
      </x:c>
      <x:c r="L5" s="32" t="str">
        <x:f>IF(J5="UNDECLARED","OPEN",IF(K5&lt;=I5,"PASS","FAIL"))</x:f>
        <x:v>OPEN</x:v>
      </x:c>
      <x:c r="M5" s="51" t="str">
        <x:v>UNASSIGNED</x:v>
      </x:c>
    </x:row>
    <x:row r="6" ht="34" customHeight="1">
      <x:c r="C6" s="33" t="str">
        <x:v>NS-LF-A-CF1-X02</x:v>
      </x:c>
      <x:c r="D6" s="33" t="str">
        <x:v>LF-A-CF1</x:v>
      </x:c>
      <x:c r="E6" s="33" t="str">
        <x:v>A</x:v>
      </x:c>
      <x:c r="F6" s="33" t="str">
        <x:v>X02</x:v>
      </x:c>
      <x:c r="G6" s="33" t="str">
        <x:v>Prime work physics and mechanism authority</x:v>
      </x:c>
      <x:c r="H6" s="33" t="str">
        <x:v>ROOT_EXCLUSIVE</x:v>
      </x:c>
      <x:c r="I6" s="33" t="n">
        <x:v>1</x:v>
      </x:c>
      <x:c r="J6" s="52" t="str">
        <x:v>UNDECLARED</x:v>
      </x:c>
      <x:c r="K6" s="33" t="str">
        <x:f>IF(J6="UNDECLARED","n.a.",COUNTIFS($J$5:$J$52,J6))</x:f>
        <x:v>n.a.</x:v>
      </x:c>
      <x:c r="L6" s="33" t="str">
        <x:f>IF(J6="UNDECLARED","OPEN",IF(K6&lt;=I6,"PASS","FAIL"))</x:f>
        <x:v>OPEN</x:v>
      </x:c>
      <x:c r="M6" s="52" t="str">
        <x:v>UNASSIGNED</x:v>
      </x:c>
    </x:row>
    <x:row r="7" ht="34" customHeight="1">
      <x:c r="C7" s="33" t="str">
        <x:v>NS-LF-A-CF1-X03</x:v>
      </x:c>
      <x:c r="D7" s="33" t="str">
        <x:v>LF-A-CF1</x:v>
      </x:c>
      <x:c r="E7" s="33" t="str">
        <x:v>A</x:v>
      </x:c>
      <x:c r="F7" s="33" t="str">
        <x:v>X03</x:v>
      </x:c>
      <x:c r="G7" s="33" t="str">
        <x:v>Primary energy conversion and safe-state chain</x:v>
      </x:c>
      <x:c r="H7" s="33" t="str">
        <x:v>ROOT_EXCLUSIVE</x:v>
      </x:c>
      <x:c r="I7" s="33" t="n">
        <x:v>1</x:v>
      </x:c>
      <x:c r="J7" s="52" t="str">
        <x:v>UNDECLARED</x:v>
      </x:c>
      <x:c r="K7" s="33" t="str">
        <x:f>IF(J7="UNDECLARED","n.a.",COUNTIFS($J$5:$J$52,J7))</x:f>
        <x:v>n.a.</x:v>
      </x:c>
      <x:c r="L7" s="33" t="str">
        <x:f>IF(J7="UNDECLARED","OPEN",IF(K7&lt;=I7,"PASS","FAIL"))</x:f>
        <x:v>OPEN</x:v>
      </x:c>
      <x:c r="M7" s="52" t="str">
        <x:v>UNASSIGNED</x:v>
      </x:c>
    </x:row>
    <x:row r="8" ht="34" customHeight="1">
      <x:c r="C8" s="33" t="str">
        <x:v>NS-LF-A-CF1-X04</x:v>
      </x:c>
      <x:c r="D8" s="33" t="str">
        <x:v>LF-A-CF1</x:v>
      </x:c>
      <x:c r="E8" s="33" t="str">
        <x:v>A</x:v>
      </x:c>
      <x:c r="F8" s="33" t="str">
        <x:v>X04</x:v>
      </x:c>
      <x:c r="G8" s="33" t="str">
        <x:v>Structural and material process</x:v>
      </x:c>
      <x:c r="H8" s="33" t="str">
        <x:v>ROOT_EXCLUSIVE</x:v>
      </x:c>
      <x:c r="I8" s="33" t="n">
        <x:v>1</x:v>
      </x:c>
      <x:c r="J8" s="52" t="str">
        <x:v>UNDECLARED</x:v>
      </x:c>
      <x:c r="K8" s="33" t="str">
        <x:f>IF(J8="UNDECLARED","n.a.",COUNTIFS($J$5:$J$52,J8))</x:f>
        <x:v>n.a.</x:v>
      </x:c>
      <x:c r="L8" s="33" t="str">
        <x:f>IF(J8="UNDECLARED","OPEN",IF(K8&lt;=I8,"PASS","FAIL"))</x:f>
        <x:v>OPEN</x:v>
      </x:c>
      <x:c r="M8" s="52" t="str">
        <x:v>UNASSIGNED</x:v>
      </x:c>
    </x:row>
    <x:row r="9" ht="34" customHeight="1">
      <x:c r="C9" s="33" t="str">
        <x:v>NS-LF-A-CF1-X05</x:v>
      </x:c>
      <x:c r="D9" s="33" t="str">
        <x:v>LF-A-CF1</x:v>
      </x:c>
      <x:c r="E9" s="33" t="str">
        <x:v>A</x:v>
      </x:c>
      <x:c r="F9" s="33" t="str">
        <x:v>X05</x:v>
      </x:c>
      <x:c r="G9" s="33" t="str">
        <x:v>Critical feedstock conversion</x:v>
      </x:c>
      <x:c r="H9" s="33" t="str">
        <x:v>ROOT_EXCLUSIVE</x:v>
      </x:c>
      <x:c r="I9" s="33" t="n">
        <x:v>1</x:v>
      </x:c>
      <x:c r="J9" s="52" t="str">
        <x:v>UNDECLARED</x:v>
      </x:c>
      <x:c r="K9" s="33" t="str">
        <x:f>IF(J9="UNDECLARED","n.a.",COUNTIFS($J$5:$J$52,J9))</x:f>
        <x:v>n.a.</x:v>
      </x:c>
      <x:c r="L9" s="33" t="str">
        <x:f>IF(J9="UNDECLARED","OPEN",IF(K9&lt;=I9,"PASS","FAIL"))</x:f>
        <x:v>OPEN</x:v>
      </x:c>
      <x:c r="M9" s="52" t="str">
        <x:v>UNASSIGNED</x:v>
      </x:c>
    </x:row>
    <x:row r="10" ht="34" customHeight="1">
      <x:c r="C10" s="33" t="str">
        <x:v>NS-LF-A-CF1-X06</x:v>
      </x:c>
      <x:c r="D10" s="33" t="str">
        <x:v>LF-A-CF1</x:v>
      </x:c>
      <x:c r="E10" s="33" t="str">
        <x:v>A</x:v>
      </x:c>
      <x:c r="F10" s="33" t="str">
        <x:v>X06</x:v>
      </x:c>
      <x:c r="G10" s="33" t="str">
        <x:v>Control runtime, build system and signing keys</x:v>
      </x:c>
      <x:c r="H10" s="33" t="str">
        <x:v>ROOT_EXCLUSIVE</x:v>
      </x:c>
      <x:c r="I10" s="33" t="n">
        <x:v>1</x:v>
      </x:c>
      <x:c r="J10" s="52" t="str">
        <x:v>UNDECLARED</x:v>
      </x:c>
      <x:c r="K10" s="33" t="str">
        <x:f>IF(J10="UNDECLARED","n.a.",COUNTIFS($J$5:$J$52,J10))</x:f>
        <x:v>n.a.</x:v>
      </x:c>
      <x:c r="L10" s="33" t="str">
        <x:f>IF(J10="UNDECLARED","OPEN",IF(K10&lt;=I10,"PASS","FAIL"))</x:f>
        <x:v>OPEN</x:v>
      </x:c>
      <x:c r="M10" s="52" t="str">
        <x:v>UNASSIGNED</x:v>
      </x:c>
    </x:row>
    <x:row r="11" ht="34" customHeight="1">
      <x:c r="C11" s="33" t="str">
        <x:v>NS-LF-A-CF1-X07</x:v>
      </x:c>
      <x:c r="D11" s="33" t="str">
        <x:v>LF-A-CF1</x:v>
      </x:c>
      <x:c r="E11" s="33" t="str">
        <x:v>A</x:v>
      </x:c>
      <x:c r="F11" s="33" t="str">
        <x:v>X07</x:v>
      </x:c>
      <x:c r="G11" s="33" t="str">
        <x:v>Communications and causal-time implementation</x:v>
      </x:c>
      <x:c r="H11" s="33" t="str">
        <x:v>ROOT_EXCLUSIVE</x:v>
      </x:c>
      <x:c r="I11" s="33" t="n">
        <x:v>1</x:v>
      </x:c>
      <x:c r="J11" s="52" t="str">
        <x:v>UNDECLARED</x:v>
      </x:c>
      <x:c r="K11" s="33" t="str">
        <x:f>IF(J11="UNDECLARED","n.a.",COUNTIFS($J$5:$J$52,J11))</x:f>
        <x:v>n.a.</x:v>
      </x:c>
      <x:c r="L11" s="33" t="str">
        <x:f>IF(J11="UNDECLARED","OPEN",IF(K11&lt;=I11,"PASS","FAIL"))</x:f>
        <x:v>OPEN</x:v>
      </x:c>
      <x:c r="M11" s="52" t="str">
        <x:v>UNASSIGNED</x:v>
      </x:c>
    </x:row>
    <x:row r="12" ht="34" customHeight="1">
      <x:c r="C12" s="33" t="str">
        <x:v>NS-LF-A-CF1-X08</x:v>
      </x:c>
      <x:c r="D12" s="33" t="str">
        <x:v>LF-A-CF1</x:v>
      </x:c>
      <x:c r="E12" s="33" t="str">
        <x:v>A</x:v>
      </x:c>
      <x:c r="F12" s="33" t="str">
        <x:v>X08</x:v>
      </x:c>
      <x:c r="G12" s="33" t="str">
        <x:v>Sensing, calibration and uncertainty chain</x:v>
      </x:c>
      <x:c r="H12" s="33" t="str">
        <x:v>ROOT_EXCLUSIVE</x:v>
      </x:c>
      <x:c r="I12" s="33" t="n">
        <x:v>1</x:v>
      </x:c>
      <x:c r="J12" s="52" t="str">
        <x:v>UNDECLARED</x:v>
      </x:c>
      <x:c r="K12" s="33" t="str">
        <x:f>IF(J12="UNDECLARED","n.a.",COUNTIFS($J$5:$J$52,J12))</x:f>
        <x:v>n.a.</x:v>
      </x:c>
      <x:c r="L12" s="33" t="str">
        <x:f>IF(J12="UNDECLARED","OPEN",IF(K12&lt;=I12,"PASS","FAIL"))</x:f>
        <x:v>OPEN</x:v>
      </x:c>
      <x:c r="M12" s="52" t="str">
        <x:v>UNASSIGNED</x:v>
      </x:c>
    </x:row>
    <x:row r="13" ht="34" customHeight="1">
      <x:c r="C13" s="33" t="str">
        <x:v>NS-LF-A-CF1-X09</x:v>
      </x:c>
      <x:c r="D13" s="33" t="str">
        <x:v>LF-A-CF1</x:v>
      </x:c>
      <x:c r="E13" s="33" t="str">
        <x:v>A</x:v>
      </x:c>
      <x:c r="F13" s="33" t="str">
        <x:v>X09</x:v>
      </x:c>
      <x:c r="G13" s="33" t="str">
        <x:v>Production tooling and pilot line</x:v>
      </x:c>
      <x:c r="H13" s="33" t="str">
        <x:v>ROOT_EXCLUSIVE</x:v>
      </x:c>
      <x:c r="I13" s="33" t="n">
        <x:v>1</x:v>
      </x:c>
      <x:c r="J13" s="52" t="str">
        <x:v>UNDECLARED</x:v>
      </x:c>
      <x:c r="K13" s="33" t="str">
        <x:f>IF(J13="UNDECLARED","n.a.",COUNTIFS($J$5:$J$52,J13))</x:f>
        <x:v>n.a.</x:v>
      </x:c>
      <x:c r="L13" s="33" t="str">
        <x:f>IF(J13="UNDECLARED","OPEN",IF(K13&lt;=I13,"PASS","FAIL"))</x:f>
        <x:v>OPEN</x:v>
      </x:c>
      <x:c r="M13" s="52" t="str">
        <x:v>UNASSIGNED</x:v>
      </x:c>
    </x:row>
    <x:row r="14" ht="34" customHeight="1">
      <x:c r="C14" s="33" t="str">
        <x:v>NS-LF-A-CF1-X10</x:v>
      </x:c>
      <x:c r="D14" s="33" t="str">
        <x:v>LF-A-CF1</x:v>
      </x:c>
      <x:c r="E14" s="33" t="str">
        <x:v>A</x:v>
      </x:c>
      <x:c r="F14" s="33" t="str">
        <x:v>X10</x:v>
      </x:c>
      <x:c r="G14" s="33" t="str">
        <x:v>Final assembly site and critical workforce</x:v>
      </x:c>
      <x:c r="H14" s="33" t="str">
        <x:v>ROOT_EXCLUSIVE</x:v>
      </x:c>
      <x:c r="I14" s="33" t="n">
        <x:v>1</x:v>
      </x:c>
      <x:c r="J14" s="52" t="str">
        <x:v>UNDECLARED</x:v>
      </x:c>
      <x:c r="K14" s="33" t="str">
        <x:f>IF(J14="UNDECLARED","n.a.",COUNTIFS($J$5:$J$52,J14))</x:f>
        <x:v>n.a.</x:v>
      </x:c>
      <x:c r="L14" s="33" t="str">
        <x:f>IF(J14="UNDECLARED","OPEN",IF(K14&lt;=I14,"PASS","FAIL"))</x:f>
        <x:v>OPEN</x:v>
      </x:c>
      <x:c r="M14" s="52" t="str">
        <x:v>UNASSIGNED</x:v>
      </x:c>
    </x:row>
    <x:row r="15" ht="34" customHeight="1">
      <x:c r="C15" s="33" t="str">
        <x:v>NS-LF-A-CF1-X11</x:v>
      </x:c>
      <x:c r="D15" s="33" t="str">
        <x:v>LF-A-CF1</x:v>
      </x:c>
      <x:c r="E15" s="33" t="str">
        <x:v>A</x:v>
      </x:c>
      <x:c r="F15" s="33" t="str">
        <x:v>X11</x:v>
      </x:c>
      <x:c r="G15" s="33" t="str">
        <x:v>Repair, reset and second-team reproduction</x:v>
      </x:c>
      <x:c r="H15" s="33" t="str">
        <x:v>ROOT_EXCLUSIVE</x:v>
      </x:c>
      <x:c r="I15" s="33" t="n">
        <x:v>1</x:v>
      </x:c>
      <x:c r="J15" s="52" t="str">
        <x:v>UNDECLARED</x:v>
      </x:c>
      <x:c r="K15" s="33" t="str">
        <x:f>IF(J15="UNDECLARED","n.a.",COUNTIFS($J$5:$J$52,J15))</x:f>
        <x:v>n.a.</x:v>
      </x:c>
      <x:c r="L15" s="33" t="str">
        <x:f>IF(J15="UNDECLARED","OPEN",IF(K15&lt;=I15,"PASS","FAIL"))</x:f>
        <x:v>OPEN</x:v>
      </x:c>
      <x:c r="M15" s="52" t="str">
        <x:v>UNASSIGNED</x:v>
      </x:c>
    </x:row>
    <x:row r="16" ht="34" customHeight="1">
      <x:c r="C16" s="33" t="str">
        <x:v>NS-LF-A-CF1-X12</x:v>
      </x:c>
      <x:c r="D16" s="33" t="str">
        <x:v>LF-A-CF1</x:v>
      </x:c>
      <x:c r="E16" s="33" t="str">
        <x:v>A</x:v>
      </x:c>
      <x:c r="F16" s="33" t="str">
        <x:v>X12</x:v>
      </x:c>
      <x:c r="G16" s="33" t="str">
        <x:v>Evidence capture, custody and outside replay</x:v>
      </x:c>
      <x:c r="H16" s="33" t="str">
        <x:v>ROOT_EXCLUSIVE</x:v>
      </x:c>
      <x:c r="I16" s="33" t="n">
        <x:v>1</x:v>
      </x:c>
      <x:c r="J16" s="52" t="str">
        <x:v>UNDECLARED</x:v>
      </x:c>
      <x:c r="K16" s="33" t="str">
        <x:f>IF(J16="UNDECLARED","n.a.",COUNTIFS($J$5:$J$52,J16))</x:f>
        <x:v>n.a.</x:v>
      </x:c>
      <x:c r="L16" s="33" t="str">
        <x:f>IF(J16="UNDECLARED","OPEN",IF(K16&lt;=I16,"PASS","FAIL"))</x:f>
        <x:v>OPEN</x:v>
      </x:c>
      <x:c r="M16" s="52" t="str">
        <x:v>UNASSIGNED</x:v>
      </x:c>
    </x:row>
    <x:row r="17" ht="34" customHeight="1">
      <x:c r="C17" s="33" t="str">
        <x:v>NS-LF-B-CF1-X01</x:v>
      </x:c>
      <x:c r="D17" s="33" t="str">
        <x:v>LF-B-CF1</x:v>
      </x:c>
      <x:c r="E17" s="33" t="str">
        <x:v>B</x:v>
      </x:c>
      <x:c r="F17" s="33" t="str">
        <x:v>X01</x:v>
      </x:c>
      <x:c r="G17" s="33" t="str">
        <x:v>Root integrator and beneficial control</x:v>
      </x:c>
      <x:c r="H17" s="33" t="str">
        <x:v>ROOT_EXCLUSIVE</x:v>
      </x:c>
      <x:c r="I17" s="33" t="n">
        <x:v>1</x:v>
      </x:c>
      <x:c r="J17" s="52" t="str">
        <x:v>UNDECLARED</x:v>
      </x:c>
      <x:c r="K17" s="33" t="str">
        <x:f>IF(J17="UNDECLARED","n.a.",COUNTIFS($J$5:$J$52,J17))</x:f>
        <x:v>n.a.</x:v>
      </x:c>
      <x:c r="L17" s="33" t="str">
        <x:f>IF(J17="UNDECLARED","OPEN",IF(K17&lt;=I17,"PASS","FAIL"))</x:f>
        <x:v>OPEN</x:v>
      </x:c>
      <x:c r="M17" s="52" t="str">
        <x:v>UNASSIGNED</x:v>
      </x:c>
    </x:row>
    <x:row r="18" ht="34" customHeight="1">
      <x:c r="C18" s="33" t="str">
        <x:v>NS-LF-B-CF1-X02</x:v>
      </x:c>
      <x:c r="D18" s="33" t="str">
        <x:v>LF-B-CF1</x:v>
      </x:c>
      <x:c r="E18" s="33" t="str">
        <x:v>B</x:v>
      </x:c>
      <x:c r="F18" s="33" t="str">
        <x:v>X02</x:v>
      </x:c>
      <x:c r="G18" s="33" t="str">
        <x:v>Prime work physics and mechanism authority</x:v>
      </x:c>
      <x:c r="H18" s="33" t="str">
        <x:v>ROOT_EXCLUSIVE</x:v>
      </x:c>
      <x:c r="I18" s="33" t="n">
        <x:v>1</x:v>
      </x:c>
      <x:c r="J18" s="52" t="str">
        <x:v>UNDECLARED</x:v>
      </x:c>
      <x:c r="K18" s="33" t="str">
        <x:f>IF(J18="UNDECLARED","n.a.",COUNTIFS($J$5:$J$52,J18))</x:f>
        <x:v>n.a.</x:v>
      </x:c>
      <x:c r="L18" s="33" t="str">
        <x:f>IF(J18="UNDECLARED","OPEN",IF(K18&lt;=I18,"PASS","FAIL"))</x:f>
        <x:v>OPEN</x:v>
      </x:c>
      <x:c r="M18" s="52" t="str">
        <x:v>UNASSIGNED</x:v>
      </x:c>
    </x:row>
    <x:row r="19" ht="34" customHeight="1">
      <x:c r="C19" s="33" t="str">
        <x:v>NS-LF-B-CF1-X03</x:v>
      </x:c>
      <x:c r="D19" s="33" t="str">
        <x:v>LF-B-CF1</x:v>
      </x:c>
      <x:c r="E19" s="33" t="str">
        <x:v>B</x:v>
      </x:c>
      <x:c r="F19" s="33" t="str">
        <x:v>X03</x:v>
      </x:c>
      <x:c r="G19" s="33" t="str">
        <x:v>Primary energy conversion and safe-state chain</x:v>
      </x:c>
      <x:c r="H19" s="33" t="str">
        <x:v>ROOT_EXCLUSIVE</x:v>
      </x:c>
      <x:c r="I19" s="33" t="n">
        <x:v>1</x:v>
      </x:c>
      <x:c r="J19" s="52" t="str">
        <x:v>UNDECLARED</x:v>
      </x:c>
      <x:c r="K19" s="33" t="str">
        <x:f>IF(J19="UNDECLARED","n.a.",COUNTIFS($J$5:$J$52,J19))</x:f>
        <x:v>n.a.</x:v>
      </x:c>
      <x:c r="L19" s="33" t="str">
        <x:f>IF(J19="UNDECLARED","OPEN",IF(K19&lt;=I19,"PASS","FAIL"))</x:f>
        <x:v>OPEN</x:v>
      </x:c>
      <x:c r="M19" s="52" t="str">
        <x:v>UNASSIGNED</x:v>
      </x:c>
    </x:row>
    <x:row r="20" ht="34" customHeight="1">
      <x:c r="C20" s="33" t="str">
        <x:v>NS-LF-B-CF1-X04</x:v>
      </x:c>
      <x:c r="D20" s="33" t="str">
        <x:v>LF-B-CF1</x:v>
      </x:c>
      <x:c r="E20" s="33" t="str">
        <x:v>B</x:v>
      </x:c>
      <x:c r="F20" s="33" t="str">
        <x:v>X04</x:v>
      </x:c>
      <x:c r="G20" s="33" t="str">
        <x:v>Structural and material process</x:v>
      </x:c>
      <x:c r="H20" s="33" t="str">
        <x:v>ROOT_EXCLUSIVE</x:v>
      </x:c>
      <x:c r="I20" s="33" t="n">
        <x:v>1</x:v>
      </x:c>
      <x:c r="J20" s="52" t="str">
        <x:v>UNDECLARED</x:v>
      </x:c>
      <x:c r="K20" s="33" t="str">
        <x:f>IF(J20="UNDECLARED","n.a.",COUNTIFS($J$5:$J$52,J20))</x:f>
        <x:v>n.a.</x:v>
      </x:c>
      <x:c r="L20" s="33" t="str">
        <x:f>IF(J20="UNDECLARED","OPEN",IF(K20&lt;=I20,"PASS","FAIL"))</x:f>
        <x:v>OPEN</x:v>
      </x:c>
      <x:c r="M20" s="52" t="str">
        <x:v>UNASSIGNED</x:v>
      </x:c>
    </x:row>
    <x:row r="21" ht="34" customHeight="1">
      <x:c r="C21" s="33" t="str">
        <x:v>NS-LF-B-CF1-X05</x:v>
      </x:c>
      <x:c r="D21" s="33" t="str">
        <x:v>LF-B-CF1</x:v>
      </x:c>
      <x:c r="E21" s="33" t="str">
        <x:v>B</x:v>
      </x:c>
      <x:c r="F21" s="33" t="str">
        <x:v>X05</x:v>
      </x:c>
      <x:c r="G21" s="33" t="str">
        <x:v>Critical feedstock conversion</x:v>
      </x:c>
      <x:c r="H21" s="33" t="str">
        <x:v>ROOT_EXCLUSIVE</x:v>
      </x:c>
      <x:c r="I21" s="33" t="n">
        <x:v>1</x:v>
      </x:c>
      <x:c r="J21" s="52" t="str">
        <x:v>UNDECLARED</x:v>
      </x:c>
      <x:c r="K21" s="33" t="str">
        <x:f>IF(J21="UNDECLARED","n.a.",COUNTIFS($J$5:$J$52,J21))</x:f>
        <x:v>n.a.</x:v>
      </x:c>
      <x:c r="L21" s="33" t="str">
        <x:f>IF(J21="UNDECLARED","OPEN",IF(K21&lt;=I21,"PASS","FAIL"))</x:f>
        <x:v>OPEN</x:v>
      </x:c>
      <x:c r="M21" s="52" t="str">
        <x:v>UNASSIGNED</x:v>
      </x:c>
    </x:row>
    <x:row r="22" ht="34" customHeight="1">
      <x:c r="C22" s="33" t="str">
        <x:v>NS-LF-B-CF1-X06</x:v>
      </x:c>
      <x:c r="D22" s="33" t="str">
        <x:v>LF-B-CF1</x:v>
      </x:c>
      <x:c r="E22" s="33" t="str">
        <x:v>B</x:v>
      </x:c>
      <x:c r="F22" s="33" t="str">
        <x:v>X06</x:v>
      </x:c>
      <x:c r="G22" s="33" t="str">
        <x:v>Control runtime, build system and signing keys</x:v>
      </x:c>
      <x:c r="H22" s="33" t="str">
        <x:v>ROOT_EXCLUSIVE</x:v>
      </x:c>
      <x:c r="I22" s="33" t="n">
        <x:v>1</x:v>
      </x:c>
      <x:c r="J22" s="52" t="str">
        <x:v>UNDECLARED</x:v>
      </x:c>
      <x:c r="K22" s="33" t="str">
        <x:f>IF(J22="UNDECLARED","n.a.",COUNTIFS($J$5:$J$52,J22))</x:f>
        <x:v>n.a.</x:v>
      </x:c>
      <x:c r="L22" s="33" t="str">
        <x:f>IF(J22="UNDECLARED","OPEN",IF(K22&lt;=I22,"PASS","FAIL"))</x:f>
        <x:v>OPEN</x:v>
      </x:c>
      <x:c r="M22" s="52" t="str">
        <x:v>UNASSIGNED</x:v>
      </x:c>
    </x:row>
    <x:row r="23" ht="34" customHeight="1">
      <x:c r="C23" s="33" t="str">
        <x:v>NS-LF-B-CF1-X07</x:v>
      </x:c>
      <x:c r="D23" s="33" t="str">
        <x:v>LF-B-CF1</x:v>
      </x:c>
      <x:c r="E23" s="33" t="str">
        <x:v>B</x:v>
      </x:c>
      <x:c r="F23" s="33" t="str">
        <x:v>X07</x:v>
      </x:c>
      <x:c r="G23" s="33" t="str">
        <x:v>Communications and causal-time implementation</x:v>
      </x:c>
      <x:c r="H23" s="33" t="str">
        <x:v>ROOT_EXCLUSIVE</x:v>
      </x:c>
      <x:c r="I23" s="33" t="n">
        <x:v>1</x:v>
      </x:c>
      <x:c r="J23" s="52" t="str">
        <x:v>UNDECLARED</x:v>
      </x:c>
      <x:c r="K23" s="33" t="str">
        <x:f>IF(J23="UNDECLARED","n.a.",COUNTIFS($J$5:$J$52,J23))</x:f>
        <x:v>n.a.</x:v>
      </x:c>
      <x:c r="L23" s="33" t="str">
        <x:f>IF(J23="UNDECLARED","OPEN",IF(K23&lt;=I23,"PASS","FAIL"))</x:f>
        <x:v>OPEN</x:v>
      </x:c>
      <x:c r="M23" s="52" t="str">
        <x:v>UNASSIGNED</x:v>
      </x:c>
    </x:row>
    <x:row r="24" ht="34" customHeight="1">
      <x:c r="C24" s="33" t="str">
        <x:v>NS-LF-B-CF1-X08</x:v>
      </x:c>
      <x:c r="D24" s="33" t="str">
        <x:v>LF-B-CF1</x:v>
      </x:c>
      <x:c r="E24" s="33" t="str">
        <x:v>B</x:v>
      </x:c>
      <x:c r="F24" s="33" t="str">
        <x:v>X08</x:v>
      </x:c>
      <x:c r="G24" s="33" t="str">
        <x:v>Sensing, calibration and uncertainty chain</x:v>
      </x:c>
      <x:c r="H24" s="33" t="str">
        <x:v>ROOT_EXCLUSIVE</x:v>
      </x:c>
      <x:c r="I24" s="33" t="n">
        <x:v>1</x:v>
      </x:c>
      <x:c r="J24" s="52" t="str">
        <x:v>UNDECLARED</x:v>
      </x:c>
      <x:c r="K24" s="33" t="str">
        <x:f>IF(J24="UNDECLARED","n.a.",COUNTIFS($J$5:$J$52,J24))</x:f>
        <x:v>n.a.</x:v>
      </x:c>
      <x:c r="L24" s="33" t="str">
        <x:f>IF(J24="UNDECLARED","OPEN",IF(K24&lt;=I24,"PASS","FAIL"))</x:f>
        <x:v>OPEN</x:v>
      </x:c>
      <x:c r="M24" s="52" t="str">
        <x:v>UNASSIGNED</x:v>
      </x:c>
    </x:row>
    <x:row r="25" ht="34" customHeight="1">
      <x:c r="C25" s="33" t="str">
        <x:v>NS-LF-B-CF1-X09</x:v>
      </x:c>
      <x:c r="D25" s="33" t="str">
        <x:v>LF-B-CF1</x:v>
      </x:c>
      <x:c r="E25" s="33" t="str">
        <x:v>B</x:v>
      </x:c>
      <x:c r="F25" s="33" t="str">
        <x:v>X09</x:v>
      </x:c>
      <x:c r="G25" s="33" t="str">
        <x:v>Production tooling and pilot line</x:v>
      </x:c>
      <x:c r="H25" s="33" t="str">
        <x:v>ROOT_EXCLUSIVE</x:v>
      </x:c>
      <x:c r="I25" s="33" t="n">
        <x:v>1</x:v>
      </x:c>
      <x:c r="J25" s="52" t="str">
        <x:v>UNDECLARED</x:v>
      </x:c>
      <x:c r="K25" s="33" t="str">
        <x:f>IF(J25="UNDECLARED","n.a.",COUNTIFS($J$5:$J$52,J25))</x:f>
        <x:v>n.a.</x:v>
      </x:c>
      <x:c r="L25" s="33" t="str">
        <x:f>IF(J25="UNDECLARED","OPEN",IF(K25&lt;=I25,"PASS","FAIL"))</x:f>
        <x:v>OPEN</x:v>
      </x:c>
      <x:c r="M25" s="52" t="str">
        <x:v>UNASSIGNED</x:v>
      </x:c>
    </x:row>
    <x:row r="26" ht="34" customHeight="1">
      <x:c r="C26" s="33" t="str">
        <x:v>NS-LF-B-CF1-X10</x:v>
      </x:c>
      <x:c r="D26" s="33" t="str">
        <x:v>LF-B-CF1</x:v>
      </x:c>
      <x:c r="E26" s="33" t="str">
        <x:v>B</x:v>
      </x:c>
      <x:c r="F26" s="33" t="str">
        <x:v>X10</x:v>
      </x:c>
      <x:c r="G26" s="33" t="str">
        <x:v>Final assembly site and critical workforce</x:v>
      </x:c>
      <x:c r="H26" s="33" t="str">
        <x:v>ROOT_EXCLUSIVE</x:v>
      </x:c>
      <x:c r="I26" s="33" t="n">
        <x:v>1</x:v>
      </x:c>
      <x:c r="J26" s="52" t="str">
        <x:v>UNDECLARED</x:v>
      </x:c>
      <x:c r="K26" s="33" t="str">
        <x:f>IF(J26="UNDECLARED","n.a.",COUNTIFS($J$5:$J$52,J26))</x:f>
        <x:v>n.a.</x:v>
      </x:c>
      <x:c r="L26" s="33" t="str">
        <x:f>IF(J26="UNDECLARED","OPEN",IF(K26&lt;=I26,"PASS","FAIL"))</x:f>
        <x:v>OPEN</x:v>
      </x:c>
      <x:c r="M26" s="52" t="str">
        <x:v>UNASSIGNED</x:v>
      </x:c>
    </x:row>
    <x:row r="27" ht="34" customHeight="1">
      <x:c r="C27" s="33" t="str">
        <x:v>NS-LF-B-CF1-X11</x:v>
      </x:c>
      <x:c r="D27" s="33" t="str">
        <x:v>LF-B-CF1</x:v>
      </x:c>
      <x:c r="E27" s="33" t="str">
        <x:v>B</x:v>
      </x:c>
      <x:c r="F27" s="33" t="str">
        <x:v>X11</x:v>
      </x:c>
      <x:c r="G27" s="33" t="str">
        <x:v>Repair, reset and second-team reproduction</x:v>
      </x:c>
      <x:c r="H27" s="33" t="str">
        <x:v>ROOT_EXCLUSIVE</x:v>
      </x:c>
      <x:c r="I27" s="33" t="n">
        <x:v>1</x:v>
      </x:c>
      <x:c r="J27" s="52" t="str">
        <x:v>UNDECLARED</x:v>
      </x:c>
      <x:c r="K27" s="33" t="str">
        <x:f>IF(J27="UNDECLARED","n.a.",COUNTIFS($J$5:$J$52,J27))</x:f>
        <x:v>n.a.</x:v>
      </x:c>
      <x:c r="L27" s="33" t="str">
        <x:f>IF(J27="UNDECLARED","OPEN",IF(K27&lt;=I27,"PASS","FAIL"))</x:f>
        <x:v>OPEN</x:v>
      </x:c>
      <x:c r="M27" s="52" t="str">
        <x:v>UNASSIGNED</x:v>
      </x:c>
    </x:row>
    <x:row r="28" ht="34" customHeight="1">
      <x:c r="C28" s="33" t="str">
        <x:v>NS-LF-B-CF1-X12</x:v>
      </x:c>
      <x:c r="D28" s="33" t="str">
        <x:v>LF-B-CF1</x:v>
      </x:c>
      <x:c r="E28" s="33" t="str">
        <x:v>B</x:v>
      </x:c>
      <x:c r="F28" s="33" t="str">
        <x:v>X12</x:v>
      </x:c>
      <x:c r="G28" s="33" t="str">
        <x:v>Evidence capture, custody and outside replay</x:v>
      </x:c>
      <x:c r="H28" s="33" t="str">
        <x:v>ROOT_EXCLUSIVE</x:v>
      </x:c>
      <x:c r="I28" s="33" t="n">
        <x:v>1</x:v>
      </x:c>
      <x:c r="J28" s="52" t="str">
        <x:v>UNDECLARED</x:v>
      </x:c>
      <x:c r="K28" s="33" t="str">
        <x:f>IF(J28="UNDECLARED","n.a.",COUNTIFS($J$5:$J$52,J28))</x:f>
        <x:v>n.a.</x:v>
      </x:c>
      <x:c r="L28" s="33" t="str">
        <x:f>IF(J28="UNDECLARED","OPEN",IF(K28&lt;=I28,"PASS","FAIL"))</x:f>
        <x:v>OPEN</x:v>
      </x:c>
      <x:c r="M28" s="52" t="str">
        <x:v>UNASSIGNED</x:v>
      </x:c>
    </x:row>
    <x:row r="29" ht="34" customHeight="1">
      <x:c r="C29" s="33" t="str">
        <x:v>NS-LF-C-CF1-X01</x:v>
      </x:c>
      <x:c r="D29" s="33" t="str">
        <x:v>LF-C-CF1</x:v>
      </x:c>
      <x:c r="E29" s="33" t="str">
        <x:v>C</x:v>
      </x:c>
      <x:c r="F29" s="33" t="str">
        <x:v>X01</x:v>
      </x:c>
      <x:c r="G29" s="33" t="str">
        <x:v>Root integrator and beneficial control</x:v>
      </x:c>
      <x:c r="H29" s="33" t="str">
        <x:v>ROOT_EXCLUSIVE</x:v>
      </x:c>
      <x:c r="I29" s="33" t="n">
        <x:v>1</x:v>
      </x:c>
      <x:c r="J29" s="52" t="str">
        <x:v>UNDECLARED</x:v>
      </x:c>
      <x:c r="K29" s="33" t="str">
        <x:f>IF(J29="UNDECLARED","n.a.",COUNTIFS($J$5:$J$52,J29))</x:f>
        <x:v>n.a.</x:v>
      </x:c>
      <x:c r="L29" s="33" t="str">
        <x:f>IF(J29="UNDECLARED","OPEN",IF(K29&lt;=I29,"PASS","FAIL"))</x:f>
        <x:v>OPEN</x:v>
      </x:c>
      <x:c r="M29" s="52" t="str">
        <x:v>UNASSIGNED</x:v>
      </x:c>
    </x:row>
    <x:row r="30" ht="34" customHeight="1">
      <x:c r="C30" s="33" t="str">
        <x:v>NS-LF-C-CF1-X02</x:v>
      </x:c>
      <x:c r="D30" s="33" t="str">
        <x:v>LF-C-CF1</x:v>
      </x:c>
      <x:c r="E30" s="33" t="str">
        <x:v>C</x:v>
      </x:c>
      <x:c r="F30" s="33" t="str">
        <x:v>X02</x:v>
      </x:c>
      <x:c r="G30" s="33" t="str">
        <x:v>Prime work physics and mechanism authority</x:v>
      </x:c>
      <x:c r="H30" s="33" t="str">
        <x:v>ROOT_EXCLUSIVE</x:v>
      </x:c>
      <x:c r="I30" s="33" t="n">
        <x:v>1</x:v>
      </x:c>
      <x:c r="J30" s="52" t="str">
        <x:v>UNDECLARED</x:v>
      </x:c>
      <x:c r="K30" s="33" t="str">
        <x:f>IF(J30="UNDECLARED","n.a.",COUNTIFS($J$5:$J$52,J30))</x:f>
        <x:v>n.a.</x:v>
      </x:c>
      <x:c r="L30" s="33" t="str">
        <x:f>IF(J30="UNDECLARED","OPEN",IF(K30&lt;=I30,"PASS","FAIL"))</x:f>
        <x:v>OPEN</x:v>
      </x:c>
      <x:c r="M30" s="52" t="str">
        <x:v>UNASSIGNED</x:v>
      </x:c>
    </x:row>
    <x:row r="31" ht="34" customHeight="1">
      <x:c r="C31" s="33" t="str">
        <x:v>NS-LF-C-CF1-X03</x:v>
      </x:c>
      <x:c r="D31" s="33" t="str">
        <x:v>LF-C-CF1</x:v>
      </x:c>
      <x:c r="E31" s="33" t="str">
        <x:v>C</x:v>
      </x:c>
      <x:c r="F31" s="33" t="str">
        <x:v>X03</x:v>
      </x:c>
      <x:c r="G31" s="33" t="str">
        <x:v>Primary energy conversion and safe-state chain</x:v>
      </x:c>
      <x:c r="H31" s="33" t="str">
        <x:v>ROOT_EXCLUSIVE</x:v>
      </x:c>
      <x:c r="I31" s="33" t="n">
        <x:v>1</x:v>
      </x:c>
      <x:c r="J31" s="52" t="str">
        <x:v>UNDECLARED</x:v>
      </x:c>
      <x:c r="K31" s="33" t="str">
        <x:f>IF(J31="UNDECLARED","n.a.",COUNTIFS($J$5:$J$52,J31))</x:f>
        <x:v>n.a.</x:v>
      </x:c>
      <x:c r="L31" s="33" t="str">
        <x:f>IF(J31="UNDECLARED","OPEN",IF(K31&lt;=I31,"PASS","FAIL"))</x:f>
        <x:v>OPEN</x:v>
      </x:c>
      <x:c r="M31" s="52" t="str">
        <x:v>UNASSIGNED</x:v>
      </x:c>
    </x:row>
    <x:row r="32" ht="34" customHeight="1">
      <x:c r="C32" s="33" t="str">
        <x:v>NS-LF-C-CF1-X04</x:v>
      </x:c>
      <x:c r="D32" s="33" t="str">
        <x:v>LF-C-CF1</x:v>
      </x:c>
      <x:c r="E32" s="33" t="str">
        <x:v>C</x:v>
      </x:c>
      <x:c r="F32" s="33" t="str">
        <x:v>X04</x:v>
      </x:c>
      <x:c r="G32" s="33" t="str">
        <x:v>Structural and material process</x:v>
      </x:c>
      <x:c r="H32" s="33" t="str">
        <x:v>ROOT_EXCLUSIVE</x:v>
      </x:c>
      <x:c r="I32" s="33" t="n">
        <x:v>1</x:v>
      </x:c>
      <x:c r="J32" s="52" t="str">
        <x:v>UNDECLARED</x:v>
      </x:c>
      <x:c r="K32" s="33" t="str">
        <x:f>IF(J32="UNDECLARED","n.a.",COUNTIFS($J$5:$J$52,J32))</x:f>
        <x:v>n.a.</x:v>
      </x:c>
      <x:c r="L32" s="33" t="str">
        <x:f>IF(J32="UNDECLARED","OPEN",IF(K32&lt;=I32,"PASS","FAIL"))</x:f>
        <x:v>OPEN</x:v>
      </x:c>
      <x:c r="M32" s="52" t="str">
        <x:v>UNASSIGNED</x:v>
      </x:c>
    </x:row>
    <x:row r="33" ht="34" customHeight="1">
      <x:c r="C33" s="33" t="str">
        <x:v>NS-LF-C-CF1-X05</x:v>
      </x:c>
      <x:c r="D33" s="33" t="str">
        <x:v>LF-C-CF1</x:v>
      </x:c>
      <x:c r="E33" s="33" t="str">
        <x:v>C</x:v>
      </x:c>
      <x:c r="F33" s="33" t="str">
        <x:v>X05</x:v>
      </x:c>
      <x:c r="G33" s="33" t="str">
        <x:v>Critical feedstock conversion</x:v>
      </x:c>
      <x:c r="H33" s="33" t="str">
        <x:v>ROOT_EXCLUSIVE</x:v>
      </x:c>
      <x:c r="I33" s="33" t="n">
        <x:v>1</x:v>
      </x:c>
      <x:c r="J33" s="52" t="str">
        <x:v>UNDECLARED</x:v>
      </x:c>
      <x:c r="K33" s="33" t="str">
        <x:f>IF(J33="UNDECLARED","n.a.",COUNTIFS($J$5:$J$52,J33))</x:f>
        <x:v>n.a.</x:v>
      </x:c>
      <x:c r="L33" s="33" t="str">
        <x:f>IF(J33="UNDECLARED","OPEN",IF(K33&lt;=I33,"PASS","FAIL"))</x:f>
        <x:v>OPEN</x:v>
      </x:c>
      <x:c r="M33" s="52" t="str">
        <x:v>UNASSIGNED</x:v>
      </x:c>
    </x:row>
    <x:row r="34" ht="34" customHeight="1">
      <x:c r="C34" s="33" t="str">
        <x:v>NS-LF-C-CF1-X06</x:v>
      </x:c>
      <x:c r="D34" s="33" t="str">
        <x:v>LF-C-CF1</x:v>
      </x:c>
      <x:c r="E34" s="33" t="str">
        <x:v>C</x:v>
      </x:c>
      <x:c r="F34" s="33" t="str">
        <x:v>X06</x:v>
      </x:c>
      <x:c r="G34" s="33" t="str">
        <x:v>Control runtime, build system and signing keys</x:v>
      </x:c>
      <x:c r="H34" s="33" t="str">
        <x:v>ROOT_EXCLUSIVE</x:v>
      </x:c>
      <x:c r="I34" s="33" t="n">
        <x:v>1</x:v>
      </x:c>
      <x:c r="J34" s="52" t="str">
        <x:v>UNDECLARED</x:v>
      </x:c>
      <x:c r="K34" s="33" t="str">
        <x:f>IF(J34="UNDECLARED","n.a.",COUNTIFS($J$5:$J$52,J34))</x:f>
        <x:v>n.a.</x:v>
      </x:c>
      <x:c r="L34" s="33" t="str">
        <x:f>IF(J34="UNDECLARED","OPEN",IF(K34&lt;=I34,"PASS","FAIL"))</x:f>
        <x:v>OPEN</x:v>
      </x:c>
      <x:c r="M34" s="52" t="str">
        <x:v>UNASSIGNED</x:v>
      </x:c>
    </x:row>
    <x:row r="35" ht="34" customHeight="1">
      <x:c r="C35" s="33" t="str">
        <x:v>NS-LF-C-CF1-X07</x:v>
      </x:c>
      <x:c r="D35" s="33" t="str">
        <x:v>LF-C-CF1</x:v>
      </x:c>
      <x:c r="E35" s="33" t="str">
        <x:v>C</x:v>
      </x:c>
      <x:c r="F35" s="33" t="str">
        <x:v>X07</x:v>
      </x:c>
      <x:c r="G35" s="33" t="str">
        <x:v>Communications and causal-time implementation</x:v>
      </x:c>
      <x:c r="H35" s="33" t="str">
        <x:v>ROOT_EXCLUSIVE</x:v>
      </x:c>
      <x:c r="I35" s="33" t="n">
        <x:v>1</x:v>
      </x:c>
      <x:c r="J35" s="52" t="str">
        <x:v>UNDECLARED</x:v>
      </x:c>
      <x:c r="K35" s="33" t="str">
        <x:f>IF(J35="UNDECLARED","n.a.",COUNTIFS($J$5:$J$52,J35))</x:f>
        <x:v>n.a.</x:v>
      </x:c>
      <x:c r="L35" s="33" t="str">
        <x:f>IF(J35="UNDECLARED","OPEN",IF(K35&lt;=I35,"PASS","FAIL"))</x:f>
        <x:v>OPEN</x:v>
      </x:c>
      <x:c r="M35" s="52" t="str">
        <x:v>UNASSIGNED</x:v>
      </x:c>
    </x:row>
    <x:row r="36" ht="34" customHeight="1">
      <x:c r="C36" s="33" t="str">
        <x:v>NS-LF-C-CF1-X08</x:v>
      </x:c>
      <x:c r="D36" s="33" t="str">
        <x:v>LF-C-CF1</x:v>
      </x:c>
      <x:c r="E36" s="33" t="str">
        <x:v>C</x:v>
      </x:c>
      <x:c r="F36" s="33" t="str">
        <x:v>X08</x:v>
      </x:c>
      <x:c r="G36" s="33" t="str">
        <x:v>Sensing, calibration and uncertainty chain</x:v>
      </x:c>
      <x:c r="H36" s="33" t="str">
        <x:v>ROOT_EXCLUSIVE</x:v>
      </x:c>
      <x:c r="I36" s="33" t="n">
        <x:v>1</x:v>
      </x:c>
      <x:c r="J36" s="52" t="str">
        <x:v>UNDECLARED</x:v>
      </x:c>
      <x:c r="K36" s="33" t="str">
        <x:f>IF(J36="UNDECLARED","n.a.",COUNTIFS($J$5:$J$52,J36))</x:f>
        <x:v>n.a.</x:v>
      </x:c>
      <x:c r="L36" s="33" t="str">
        <x:f>IF(J36="UNDECLARED","OPEN",IF(K36&lt;=I36,"PASS","FAIL"))</x:f>
        <x:v>OPEN</x:v>
      </x:c>
      <x:c r="M36" s="52" t="str">
        <x:v>UNASSIGNED</x:v>
      </x:c>
    </x:row>
    <x:row r="37" ht="34" customHeight="1">
      <x:c r="C37" s="33" t="str">
        <x:v>NS-LF-C-CF1-X09</x:v>
      </x:c>
      <x:c r="D37" s="33" t="str">
        <x:v>LF-C-CF1</x:v>
      </x:c>
      <x:c r="E37" s="33" t="str">
        <x:v>C</x:v>
      </x:c>
      <x:c r="F37" s="33" t="str">
        <x:v>X09</x:v>
      </x:c>
      <x:c r="G37" s="33" t="str">
        <x:v>Production tooling and pilot line</x:v>
      </x:c>
      <x:c r="H37" s="33" t="str">
        <x:v>ROOT_EXCLUSIVE</x:v>
      </x:c>
      <x:c r="I37" s="33" t="n">
        <x:v>1</x:v>
      </x:c>
      <x:c r="J37" s="52" t="str">
        <x:v>UNDECLARED</x:v>
      </x:c>
      <x:c r="K37" s="33" t="str">
        <x:f>IF(J37="UNDECLARED","n.a.",COUNTIFS($J$5:$J$52,J37))</x:f>
        <x:v>n.a.</x:v>
      </x:c>
      <x:c r="L37" s="33" t="str">
        <x:f>IF(J37="UNDECLARED","OPEN",IF(K37&lt;=I37,"PASS","FAIL"))</x:f>
        <x:v>OPEN</x:v>
      </x:c>
      <x:c r="M37" s="52" t="str">
        <x:v>UNASSIGNED</x:v>
      </x:c>
    </x:row>
    <x:row r="38" ht="34" customHeight="1">
      <x:c r="C38" s="33" t="str">
        <x:v>NS-LF-C-CF1-X10</x:v>
      </x:c>
      <x:c r="D38" s="33" t="str">
        <x:v>LF-C-CF1</x:v>
      </x:c>
      <x:c r="E38" s="33" t="str">
        <x:v>C</x:v>
      </x:c>
      <x:c r="F38" s="33" t="str">
        <x:v>X10</x:v>
      </x:c>
      <x:c r="G38" s="33" t="str">
        <x:v>Final assembly site and critical workforce</x:v>
      </x:c>
      <x:c r="H38" s="33" t="str">
        <x:v>ROOT_EXCLUSIVE</x:v>
      </x:c>
      <x:c r="I38" s="33" t="n">
        <x:v>1</x:v>
      </x:c>
      <x:c r="J38" s="52" t="str">
        <x:v>UNDECLARED</x:v>
      </x:c>
      <x:c r="K38" s="33" t="str">
        <x:f>IF(J38="UNDECLARED","n.a.",COUNTIFS($J$5:$J$52,J38))</x:f>
        <x:v>n.a.</x:v>
      </x:c>
      <x:c r="L38" s="33" t="str">
        <x:f>IF(J38="UNDECLARED","OPEN",IF(K38&lt;=I38,"PASS","FAIL"))</x:f>
        <x:v>OPEN</x:v>
      </x:c>
      <x:c r="M38" s="52" t="str">
        <x:v>UNASSIGNED</x:v>
      </x:c>
    </x:row>
    <x:row r="39" ht="34" customHeight="1">
      <x:c r="C39" s="33" t="str">
        <x:v>NS-LF-C-CF1-X11</x:v>
      </x:c>
      <x:c r="D39" s="33" t="str">
        <x:v>LF-C-CF1</x:v>
      </x:c>
      <x:c r="E39" s="33" t="str">
        <x:v>C</x:v>
      </x:c>
      <x:c r="F39" s="33" t="str">
        <x:v>X11</x:v>
      </x:c>
      <x:c r="G39" s="33" t="str">
        <x:v>Repair, reset and second-team reproduction</x:v>
      </x:c>
      <x:c r="H39" s="33" t="str">
        <x:v>ROOT_EXCLUSIVE</x:v>
      </x:c>
      <x:c r="I39" s="33" t="n">
        <x:v>1</x:v>
      </x:c>
      <x:c r="J39" s="52" t="str">
        <x:v>UNDECLARED</x:v>
      </x:c>
      <x:c r="K39" s="33" t="str">
        <x:f>IF(J39="UNDECLARED","n.a.",COUNTIFS($J$5:$J$52,J39))</x:f>
        <x:v>n.a.</x:v>
      </x:c>
      <x:c r="L39" s="33" t="str">
        <x:f>IF(J39="UNDECLARED","OPEN",IF(K39&lt;=I39,"PASS","FAIL"))</x:f>
        <x:v>OPEN</x:v>
      </x:c>
      <x:c r="M39" s="52" t="str">
        <x:v>UNASSIGNED</x:v>
      </x:c>
    </x:row>
    <x:row r="40" ht="34" customHeight="1">
      <x:c r="C40" s="33" t="str">
        <x:v>NS-LF-C-CF1-X12</x:v>
      </x:c>
      <x:c r="D40" s="33" t="str">
        <x:v>LF-C-CF1</x:v>
      </x:c>
      <x:c r="E40" s="33" t="str">
        <x:v>C</x:v>
      </x:c>
      <x:c r="F40" s="33" t="str">
        <x:v>X12</x:v>
      </x:c>
      <x:c r="G40" s="33" t="str">
        <x:v>Evidence capture, custody and outside replay</x:v>
      </x:c>
      <x:c r="H40" s="33" t="str">
        <x:v>ROOT_EXCLUSIVE</x:v>
      </x:c>
      <x:c r="I40" s="33" t="n">
        <x:v>1</x:v>
      </x:c>
      <x:c r="J40" s="52" t="str">
        <x:v>UNDECLARED</x:v>
      </x:c>
      <x:c r="K40" s="33" t="str">
        <x:f>IF(J40="UNDECLARED","n.a.",COUNTIFS($J$5:$J$52,J40))</x:f>
        <x:v>n.a.</x:v>
      </x:c>
      <x:c r="L40" s="33" t="str">
        <x:f>IF(J40="UNDECLARED","OPEN",IF(K40&lt;=I40,"PASS","FAIL"))</x:f>
        <x:v>OPEN</x:v>
      </x:c>
      <x:c r="M40" s="52" t="str">
        <x:v>UNASSIGNED</x:v>
      </x:c>
    </x:row>
    <x:row r="41" ht="34" customHeight="1">
      <x:c r="C41" s="33" t="str">
        <x:v>NS-LF-D-CF1-X01</x:v>
      </x:c>
      <x:c r="D41" s="33" t="str">
        <x:v>LF-D-CF1</x:v>
      </x:c>
      <x:c r="E41" s="33" t="str">
        <x:v>D</x:v>
      </x:c>
      <x:c r="F41" s="33" t="str">
        <x:v>X01</x:v>
      </x:c>
      <x:c r="G41" s="33" t="str">
        <x:v>Root integrator and beneficial control</x:v>
      </x:c>
      <x:c r="H41" s="33" t="str">
        <x:v>ROOT_EXCLUSIVE</x:v>
      </x:c>
      <x:c r="I41" s="33" t="n">
        <x:v>1</x:v>
      </x:c>
      <x:c r="J41" s="52" t="str">
        <x:v>UNDECLARED</x:v>
      </x:c>
      <x:c r="K41" s="33" t="str">
        <x:f>IF(J41="UNDECLARED","n.a.",COUNTIFS($J$5:$J$52,J41))</x:f>
        <x:v>n.a.</x:v>
      </x:c>
      <x:c r="L41" s="33" t="str">
        <x:f>IF(J41="UNDECLARED","OPEN",IF(K41&lt;=I41,"PASS","FAIL"))</x:f>
        <x:v>OPEN</x:v>
      </x:c>
      <x:c r="M41" s="52" t="str">
        <x:v>UNASSIGNED</x:v>
      </x:c>
    </x:row>
    <x:row r="42" ht="34" customHeight="1">
      <x:c r="C42" s="33" t="str">
        <x:v>NS-LF-D-CF1-X02</x:v>
      </x:c>
      <x:c r="D42" s="33" t="str">
        <x:v>LF-D-CF1</x:v>
      </x:c>
      <x:c r="E42" s="33" t="str">
        <x:v>D</x:v>
      </x:c>
      <x:c r="F42" s="33" t="str">
        <x:v>X02</x:v>
      </x:c>
      <x:c r="G42" s="33" t="str">
        <x:v>Prime work physics and mechanism authority</x:v>
      </x:c>
      <x:c r="H42" s="33" t="str">
        <x:v>ROOT_EXCLUSIVE</x:v>
      </x:c>
      <x:c r="I42" s="33" t="n">
        <x:v>1</x:v>
      </x:c>
      <x:c r="J42" s="52" t="str">
        <x:v>UNDECLARED</x:v>
      </x:c>
      <x:c r="K42" s="33" t="str">
        <x:f>IF(J42="UNDECLARED","n.a.",COUNTIFS($J$5:$J$52,J42))</x:f>
        <x:v>n.a.</x:v>
      </x:c>
      <x:c r="L42" s="33" t="str">
        <x:f>IF(J42="UNDECLARED","OPEN",IF(K42&lt;=I42,"PASS","FAIL"))</x:f>
        <x:v>OPEN</x:v>
      </x:c>
      <x:c r="M42" s="52" t="str">
        <x:v>UNASSIGNED</x:v>
      </x:c>
    </x:row>
    <x:row r="43" ht="34" customHeight="1">
      <x:c r="C43" s="33" t="str">
        <x:v>NS-LF-D-CF1-X03</x:v>
      </x:c>
      <x:c r="D43" s="33" t="str">
        <x:v>LF-D-CF1</x:v>
      </x:c>
      <x:c r="E43" s="33" t="str">
        <x:v>D</x:v>
      </x:c>
      <x:c r="F43" s="33" t="str">
        <x:v>X03</x:v>
      </x:c>
      <x:c r="G43" s="33" t="str">
        <x:v>Primary energy conversion and safe-state chain</x:v>
      </x:c>
      <x:c r="H43" s="33" t="str">
        <x:v>ROOT_EXCLUSIVE</x:v>
      </x:c>
      <x:c r="I43" s="33" t="n">
        <x:v>1</x:v>
      </x:c>
      <x:c r="J43" s="52" t="str">
        <x:v>UNDECLARED</x:v>
      </x:c>
      <x:c r="K43" s="33" t="str">
        <x:f>IF(J43="UNDECLARED","n.a.",COUNTIFS($J$5:$J$52,J43))</x:f>
        <x:v>n.a.</x:v>
      </x:c>
      <x:c r="L43" s="33" t="str">
        <x:f>IF(J43="UNDECLARED","OPEN",IF(K43&lt;=I43,"PASS","FAIL"))</x:f>
        <x:v>OPEN</x:v>
      </x:c>
      <x:c r="M43" s="52" t="str">
        <x:v>UNASSIGNED</x:v>
      </x:c>
    </x:row>
    <x:row r="44" ht="34" customHeight="1">
      <x:c r="C44" s="33" t="str">
        <x:v>NS-LF-D-CF1-X04</x:v>
      </x:c>
      <x:c r="D44" s="33" t="str">
        <x:v>LF-D-CF1</x:v>
      </x:c>
      <x:c r="E44" s="33" t="str">
        <x:v>D</x:v>
      </x:c>
      <x:c r="F44" s="33" t="str">
        <x:v>X04</x:v>
      </x:c>
      <x:c r="G44" s="33" t="str">
        <x:v>Structural and material process</x:v>
      </x:c>
      <x:c r="H44" s="33" t="str">
        <x:v>ROOT_EXCLUSIVE</x:v>
      </x:c>
      <x:c r="I44" s="33" t="n">
        <x:v>1</x:v>
      </x:c>
      <x:c r="J44" s="52" t="str">
        <x:v>UNDECLARED</x:v>
      </x:c>
      <x:c r="K44" s="33" t="str">
        <x:f>IF(J44="UNDECLARED","n.a.",COUNTIFS($J$5:$J$52,J44))</x:f>
        <x:v>n.a.</x:v>
      </x:c>
      <x:c r="L44" s="33" t="str">
        <x:f>IF(J44="UNDECLARED","OPEN",IF(K44&lt;=I44,"PASS","FAIL"))</x:f>
        <x:v>OPEN</x:v>
      </x:c>
      <x:c r="M44" s="52" t="str">
        <x:v>UNASSIGNED</x:v>
      </x:c>
    </x:row>
    <x:row r="45" ht="34" customHeight="1">
      <x:c r="C45" s="33" t="str">
        <x:v>NS-LF-D-CF1-X05</x:v>
      </x:c>
      <x:c r="D45" s="33" t="str">
        <x:v>LF-D-CF1</x:v>
      </x:c>
      <x:c r="E45" s="33" t="str">
        <x:v>D</x:v>
      </x:c>
      <x:c r="F45" s="33" t="str">
        <x:v>X05</x:v>
      </x:c>
      <x:c r="G45" s="33" t="str">
        <x:v>Critical feedstock conversion</x:v>
      </x:c>
      <x:c r="H45" s="33" t="str">
        <x:v>ROOT_EXCLUSIVE</x:v>
      </x:c>
      <x:c r="I45" s="33" t="n">
        <x:v>1</x:v>
      </x:c>
      <x:c r="J45" s="52" t="str">
        <x:v>UNDECLARED</x:v>
      </x:c>
      <x:c r="K45" s="33" t="str">
        <x:f>IF(J45="UNDECLARED","n.a.",COUNTIFS($J$5:$J$52,J45))</x:f>
        <x:v>n.a.</x:v>
      </x:c>
      <x:c r="L45" s="33" t="str">
        <x:f>IF(J45="UNDECLARED","OPEN",IF(K45&lt;=I45,"PASS","FAIL"))</x:f>
        <x:v>OPEN</x:v>
      </x:c>
      <x:c r="M45" s="52" t="str">
        <x:v>UNASSIGNED</x:v>
      </x:c>
    </x:row>
    <x:row r="46" ht="34" customHeight="1">
      <x:c r="C46" s="33" t="str">
        <x:v>NS-LF-D-CF1-X06</x:v>
      </x:c>
      <x:c r="D46" s="33" t="str">
        <x:v>LF-D-CF1</x:v>
      </x:c>
      <x:c r="E46" s="33" t="str">
        <x:v>D</x:v>
      </x:c>
      <x:c r="F46" s="33" t="str">
        <x:v>X06</x:v>
      </x:c>
      <x:c r="G46" s="33" t="str">
        <x:v>Control runtime, build system and signing keys</x:v>
      </x:c>
      <x:c r="H46" s="33" t="str">
        <x:v>ROOT_EXCLUSIVE</x:v>
      </x:c>
      <x:c r="I46" s="33" t="n">
        <x:v>1</x:v>
      </x:c>
      <x:c r="J46" s="52" t="str">
        <x:v>UNDECLARED</x:v>
      </x:c>
      <x:c r="K46" s="33" t="str">
        <x:f>IF(J46="UNDECLARED","n.a.",COUNTIFS($J$5:$J$52,J46))</x:f>
        <x:v>n.a.</x:v>
      </x:c>
      <x:c r="L46" s="33" t="str">
        <x:f>IF(J46="UNDECLARED","OPEN",IF(K46&lt;=I46,"PASS","FAIL"))</x:f>
        <x:v>OPEN</x:v>
      </x:c>
      <x:c r="M46" s="52" t="str">
        <x:v>UNASSIGNED</x:v>
      </x:c>
    </x:row>
    <x:row r="47" ht="34" customHeight="1">
      <x:c r="C47" s="33" t="str">
        <x:v>NS-LF-D-CF1-X07</x:v>
      </x:c>
      <x:c r="D47" s="33" t="str">
        <x:v>LF-D-CF1</x:v>
      </x:c>
      <x:c r="E47" s="33" t="str">
        <x:v>D</x:v>
      </x:c>
      <x:c r="F47" s="33" t="str">
        <x:v>X07</x:v>
      </x:c>
      <x:c r="G47" s="33" t="str">
        <x:v>Communications and causal-time implementation</x:v>
      </x:c>
      <x:c r="H47" s="33" t="str">
        <x:v>ROOT_EXCLUSIVE</x:v>
      </x:c>
      <x:c r="I47" s="33" t="n">
        <x:v>1</x:v>
      </x:c>
      <x:c r="J47" s="52" t="str">
        <x:v>UNDECLARED</x:v>
      </x:c>
      <x:c r="K47" s="33" t="str">
        <x:f>IF(J47="UNDECLARED","n.a.",COUNTIFS($J$5:$J$52,J47))</x:f>
        <x:v>n.a.</x:v>
      </x:c>
      <x:c r="L47" s="33" t="str">
        <x:f>IF(J47="UNDECLARED","OPEN",IF(K47&lt;=I47,"PASS","FAIL"))</x:f>
        <x:v>OPEN</x:v>
      </x:c>
      <x:c r="M47" s="52" t="str">
        <x:v>UNASSIGNED</x:v>
      </x:c>
    </x:row>
    <x:row r="48" ht="34" customHeight="1">
      <x:c r="C48" s="33" t="str">
        <x:v>NS-LF-D-CF1-X08</x:v>
      </x:c>
      <x:c r="D48" s="33" t="str">
        <x:v>LF-D-CF1</x:v>
      </x:c>
      <x:c r="E48" s="33" t="str">
        <x:v>D</x:v>
      </x:c>
      <x:c r="F48" s="33" t="str">
        <x:v>X08</x:v>
      </x:c>
      <x:c r="G48" s="33" t="str">
        <x:v>Sensing, calibration and uncertainty chain</x:v>
      </x:c>
      <x:c r="H48" s="33" t="str">
        <x:v>ROOT_EXCLUSIVE</x:v>
      </x:c>
      <x:c r="I48" s="33" t="n">
        <x:v>1</x:v>
      </x:c>
      <x:c r="J48" s="52" t="str">
        <x:v>UNDECLARED</x:v>
      </x:c>
      <x:c r="K48" s="33" t="str">
        <x:f>IF(J48="UNDECLARED","n.a.",COUNTIFS($J$5:$J$52,J48))</x:f>
        <x:v>n.a.</x:v>
      </x:c>
      <x:c r="L48" s="33" t="str">
        <x:f>IF(J48="UNDECLARED","OPEN",IF(K48&lt;=I48,"PASS","FAIL"))</x:f>
        <x:v>OPEN</x:v>
      </x:c>
      <x:c r="M48" s="52" t="str">
        <x:v>UNASSIGNED</x:v>
      </x:c>
    </x:row>
    <x:row r="49" ht="34" customHeight="1">
      <x:c r="C49" s="33" t="str">
        <x:v>NS-LF-D-CF1-X09</x:v>
      </x:c>
      <x:c r="D49" s="33" t="str">
        <x:v>LF-D-CF1</x:v>
      </x:c>
      <x:c r="E49" s="33" t="str">
        <x:v>D</x:v>
      </x:c>
      <x:c r="F49" s="33" t="str">
        <x:v>X09</x:v>
      </x:c>
      <x:c r="G49" s="33" t="str">
        <x:v>Production tooling and pilot line</x:v>
      </x:c>
      <x:c r="H49" s="33" t="str">
        <x:v>ROOT_EXCLUSIVE</x:v>
      </x:c>
      <x:c r="I49" s="33" t="n">
        <x:v>1</x:v>
      </x:c>
      <x:c r="J49" s="52" t="str">
        <x:v>UNDECLARED</x:v>
      </x:c>
      <x:c r="K49" s="33" t="str">
        <x:f>IF(J49="UNDECLARED","n.a.",COUNTIFS($J$5:$J$52,J49))</x:f>
        <x:v>n.a.</x:v>
      </x:c>
      <x:c r="L49" s="33" t="str">
        <x:f>IF(J49="UNDECLARED","OPEN",IF(K49&lt;=I49,"PASS","FAIL"))</x:f>
        <x:v>OPEN</x:v>
      </x:c>
      <x:c r="M49" s="52" t="str">
        <x:v>UNASSIGNED</x:v>
      </x:c>
    </x:row>
    <x:row r="50" ht="34" customHeight="1">
      <x:c r="C50" s="33" t="str">
        <x:v>NS-LF-D-CF1-X10</x:v>
      </x:c>
      <x:c r="D50" s="33" t="str">
        <x:v>LF-D-CF1</x:v>
      </x:c>
      <x:c r="E50" s="33" t="str">
        <x:v>D</x:v>
      </x:c>
      <x:c r="F50" s="33" t="str">
        <x:v>X10</x:v>
      </x:c>
      <x:c r="G50" s="33" t="str">
        <x:v>Final assembly site and critical workforce</x:v>
      </x:c>
      <x:c r="H50" s="33" t="str">
        <x:v>ROOT_EXCLUSIVE</x:v>
      </x:c>
      <x:c r="I50" s="33" t="n">
        <x:v>1</x:v>
      </x:c>
      <x:c r="J50" s="52" t="str">
        <x:v>UNDECLARED</x:v>
      </x:c>
      <x:c r="K50" s="33" t="str">
        <x:f>IF(J50="UNDECLARED","n.a.",COUNTIFS($J$5:$J$52,J50))</x:f>
        <x:v>n.a.</x:v>
      </x:c>
      <x:c r="L50" s="33" t="str">
        <x:f>IF(J50="UNDECLARED","OPEN",IF(K50&lt;=I50,"PASS","FAIL"))</x:f>
        <x:v>OPEN</x:v>
      </x:c>
      <x:c r="M50" s="52" t="str">
        <x:v>UNASSIGNED</x:v>
      </x:c>
    </x:row>
    <x:row r="51" ht="34" customHeight="1">
      <x:c r="C51" s="33" t="str">
        <x:v>NS-LF-D-CF1-X11</x:v>
      </x:c>
      <x:c r="D51" s="33" t="str">
        <x:v>LF-D-CF1</x:v>
      </x:c>
      <x:c r="E51" s="33" t="str">
        <x:v>D</x:v>
      </x:c>
      <x:c r="F51" s="33" t="str">
        <x:v>X11</x:v>
      </x:c>
      <x:c r="G51" s="33" t="str">
        <x:v>Repair, reset and second-team reproduction</x:v>
      </x:c>
      <x:c r="H51" s="33" t="str">
        <x:v>ROOT_EXCLUSIVE</x:v>
      </x:c>
      <x:c r="I51" s="33" t="n">
        <x:v>1</x:v>
      </x:c>
      <x:c r="J51" s="52" t="str">
        <x:v>UNDECLARED</x:v>
      </x:c>
      <x:c r="K51" s="33" t="str">
        <x:f>IF(J51="UNDECLARED","n.a.",COUNTIFS($J$5:$J$52,J51))</x:f>
        <x:v>n.a.</x:v>
      </x:c>
      <x:c r="L51" s="33" t="str">
        <x:f>IF(J51="UNDECLARED","OPEN",IF(K51&lt;=I51,"PASS","FAIL"))</x:f>
        <x:v>OPEN</x:v>
      </x:c>
      <x:c r="M51" s="52" t="str">
        <x:v>UNASSIGNED</x:v>
      </x:c>
    </x:row>
    <x:row r="52" ht="34" customHeight="1">
      <x:c r="C52" s="34" t="str">
        <x:v>NS-LF-D-CF1-X12</x:v>
      </x:c>
      <x:c r="D52" s="34" t="str">
        <x:v>LF-D-CF1</x:v>
      </x:c>
      <x:c r="E52" s="34" t="str">
        <x:v>D</x:v>
      </x:c>
      <x:c r="F52" s="34" t="str">
        <x:v>X12</x:v>
      </x:c>
      <x:c r="G52" s="34" t="str">
        <x:v>Evidence capture, custody and outside replay</x:v>
      </x:c>
      <x:c r="H52" s="34" t="str">
        <x:v>ROOT_EXCLUSIVE</x:v>
      </x:c>
      <x:c r="I52" s="34" t="n">
        <x:v>1</x:v>
      </x:c>
      <x:c r="J52" s="53" t="str">
        <x:v>UNDECLARED</x:v>
      </x:c>
      <x:c r="K52" s="34" t="str">
        <x:f>IF(J52="UNDECLARED","n.a.",COUNTIFS($J$5:$J$52,J52))</x:f>
        <x:v>n.a.</x:v>
      </x:c>
      <x:c r="L52" s="34" t="str">
        <x:f>IF(J52="UNDECLARED","OPEN",IF(K52&lt;=I52,"PASS","FAIL"))</x:f>
        <x:v>OPEN</x:v>
      </x:c>
      <x:c r="M52" s="53" t="str">
        <x:v>UNASSIGNED</x:v>
      </x:c>
    </x:row>
  </x:sheetData>
  <x:conditionalFormatting sqref="L5:L52">
    <x:cfRule type="containsText" dxfId="66" priority="1" operator="containsText" text="FAIL"/>
    <x:cfRule type="containsText" dxfId="67" priority="2" operator="containsText" text="OPEN"/>
    <x:cfRule type="containsText" dxfId="68" priority="3" operator="containsText" text="HOLD"/>
    <x:cfRule type="containsText" dxfId="69" priority="4" operator="containsText" text="SELECT"/>
    <x:cfRule type="containsText" dxfId="70" priority="5" operator="containsText" text="PASS"/>
    <x:cfRule type="containsText" dxfId="71" priority="6" operator="containsText" text="BLOCK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3" max="3" width="16.670000076293945" hidden="0" customWidth="1"/>
    <x:col min="4" max="4" width="10.5600004196167" hidden="0" customWidth="1"/>
    <x:col min="5" max="5" width="6.110000133514404" hidden="0" customWidth="1"/>
    <x:col min="6" max="6" width="7.21999979019165" hidden="0" customWidth="1"/>
    <x:col min="7" max="7" width="37.779998779296875" hidden="0" customWidth="1"/>
    <x:col min="8" max="8" width="28.889999389648438" hidden="0" customWidth="1"/>
    <x:col min="9" max="9" width="8.890000343322754" hidden="0" customWidth="1"/>
    <x:col min="10" max="10" width="14.4399995803833" hidden="0" customWidth="1"/>
    <x:col min="11" max="11" width="8.329999923706055" hidden="0" customWidth="1"/>
  </x:cols>
  <x:sheetData>
    <x:row r="2">
      <x:c r="C2" s="1" t="str">
        <x:v>Fifty-six conjunctive G3 release gates</x:v>
      </x:c>
    </x:row>
    <x:row r="3">
      <x:c r="C3" s="2" t="str">
        <x:v>The controlled bill is eligible for evidence formation; it is not a released root.</x:v>
      </x:c>
    </x:row>
    <x:row r="4" ht="30" customHeight="1">
      <x:c r="C4" s="23" t="str">
        <x:v>Record</x:v>
      </x:c>
      <x:c r="D4" s="23" t="str">
        <x:v>Configuration</x:v>
      </x:c>
      <x:c r="E4" s="23" t="str">
        <x:v>Root</x:v>
      </x:c>
      <x:c r="F4" s="23" t="str">
        <x:v>Gate</x:v>
      </x:c>
      <x:c r="G4" s="23" t="str">
        <x:v>Required artifact</x:v>
      </x:c>
      <x:c r="H4" s="23" t="str">
        <x:v>Acceptance authority</x:v>
      </x:c>
      <x:c r="I4" s="23" t="str">
        <x:v>Status</x:v>
      </x:c>
      <x:c r="J4" s="23" t="str">
        <x:v>Evidence ID</x:v>
      </x:c>
      <x:c r="K4" s="23" t="str">
        <x:v>Admission</x:v>
      </x:c>
    </x:row>
    <x:row r="5" ht="38" customHeight="1">
      <x:c r="C5" s="32" t="str">
        <x:v>LF-A-CF1-G01</x:v>
      </x:c>
      <x:c r="D5" s="32" t="str">
        <x:v>LF-A-CF1</x:v>
      </x:c>
      <x:c r="E5" s="32" t="str">
        <x:v>A</x:v>
      </x:c>
      <x:c r="F5" s="32" t="str">
        <x:v>G01</x:v>
      </x:c>
      <x:c r="G5" s="32" t="str">
        <x:v>Complete five-route service bill</x:v>
      </x:c>
      <x:c r="H5" s="32" t="str">
        <x:v>Mission-system office</x:v>
      </x:c>
      <x:c r="I5" s="51" t="str">
        <x:v>OPEN</x:v>
      </x:c>
      <x:c r="J5" s="51" t="str">
        <x:v>UNASSIGNED</x:v>
      </x:c>
      <x:c r="K5" s="32" t="n">
        <x:v>0</x:v>
      </x:c>
    </x:row>
    <x:row r="6" ht="38" customHeight="1">
      <x:c r="C6" s="33" t="str">
        <x:v>LF-A-CF1-G02</x:v>
      </x:c>
      <x:c r="D6" s="33" t="str">
        <x:v>LF-A-CF1</x:v>
      </x:c>
      <x:c r="E6" s="33" t="str">
        <x:v>A</x:v>
      </x:c>
      <x:c r="F6" s="33" t="str">
        <x:v>G02</x:v>
      </x:c>
      <x:c r="G6" s="33" t="str">
        <x:v>Seven-stage service state machine</x:v>
      </x:c>
      <x:c r="H6" s="33" t="str">
        <x:v>Service technical authorities</x:v>
      </x:c>
      <x:c r="I6" s="52" t="str">
        <x:v>OPEN</x:v>
      </x:c>
      <x:c r="J6" s="52" t="str">
        <x:v>UNASSIGNED</x:v>
      </x:c>
      <x:c r="K6" s="33" t="n">
        <x:v>0</x:v>
      </x:c>
    </x:row>
    <x:row r="7" ht="38" customHeight="1">
      <x:c r="C7" s="33" t="str">
        <x:v>LF-A-CF1-G03</x:v>
      </x:c>
      <x:c r="D7" s="33" t="str">
        <x:v>LF-A-CF1</x:v>
      </x:c>
      <x:c r="E7" s="33" t="str">
        <x:v>A</x:v>
      </x:c>
      <x:c r="F7" s="33" t="str">
        <x:v>G03</x:v>
      </x:c>
      <x:c r="G7" s="33" t="str">
        <x:v>Four-field root architecture</x:v>
      </x:c>
      <x:c r="H7" s="33" t="str">
        <x:v>Mission-system office</x:v>
      </x:c>
      <x:c r="I7" s="52" t="str">
        <x:v>OPEN</x:v>
      </x:c>
      <x:c r="J7" s="52" t="str">
        <x:v>UNASSIGNED</x:v>
      </x:c>
      <x:c r="K7" s="33" t="n">
        <x:v>0</x:v>
      </x:c>
    </x:row>
    <x:row r="8" ht="38" customHeight="1">
      <x:c r="C8" s="33" t="str">
        <x:v>LF-A-CF1-G04</x:v>
      </x:c>
      <x:c r="D8" s="33" t="str">
        <x:v>LF-A-CF1</x:v>
      </x:c>
      <x:c r="E8" s="33" t="str">
        <x:v>A</x:v>
      </x:c>
      <x:c r="F8" s="33" t="str">
        <x:v>G04</x:v>
      </x:c>
      <x:c r="G8" s="33" t="str">
        <x:v>Numeric service thresholds</x:v>
      </x:c>
      <x:c r="H8" s="33" t="str">
        <x:v>Public-effect authorities</x:v>
      </x:c>
      <x:c r="I8" s="52" t="str">
        <x:v>OPEN</x:v>
      </x:c>
      <x:c r="J8" s="52" t="str">
        <x:v>UNASSIGNED</x:v>
      </x:c>
      <x:c r="K8" s="33" t="n">
        <x:v>0</x:v>
      </x:c>
    </x:row>
    <x:row r="9" ht="38" customHeight="1">
      <x:c r="C9" s="33" t="str">
        <x:v>LF-A-CF1-G05</x:v>
      </x:c>
      <x:c r="D9" s="33" t="str">
        <x:v>LF-A-CF1</x:v>
      </x:c>
      <x:c r="E9" s="33" t="str">
        <x:v>A</x:v>
      </x:c>
      <x:c r="F9" s="33" t="str">
        <x:v>G05</x:v>
      </x:c>
      <x:c r="G9" s="33" t="str">
        <x:v>Mass, energy, flow and residual closure</x:v>
      </x:c>
      <x:c r="H9" s="33" t="str">
        <x:v>Independent engineering board</x:v>
      </x:c>
      <x:c r="I9" s="52" t="str">
        <x:v>OPEN</x:v>
      </x:c>
      <x:c r="J9" s="52" t="str">
        <x:v>UNASSIGNED</x:v>
      </x:c>
      <x:c r="K9" s="33" t="n">
        <x:v>0</x:v>
      </x:c>
    </x:row>
    <x:row r="10" ht="38" customHeight="1">
      <x:c r="C10" s="33" t="str">
        <x:v>LF-A-CF1-G06</x:v>
      </x:c>
      <x:c r="D10" s="33" t="str">
        <x:v>LF-A-CF1</x:v>
      </x:c>
      <x:c r="E10" s="33" t="str">
        <x:v>A</x:v>
      </x:c>
      <x:c r="F10" s="33" t="str">
        <x:v>G06</x:v>
      </x:c>
      <x:c r="G10" s="33" t="str">
        <x:v>Safety, accessibility and rights case</x:v>
      </x:c>
      <x:c r="H10" s="33" t="str">
        <x:v>Safety and civil-rights authorities</x:v>
      </x:c>
      <x:c r="I10" s="52" t="str">
        <x:v>OPEN</x:v>
      </x:c>
      <x:c r="J10" s="52" t="str">
        <x:v>UNASSIGNED</x:v>
      </x:c>
      <x:c r="K10" s="33" t="n">
        <x:v>0</x:v>
      </x:c>
    </x:row>
    <x:row r="11" ht="38" customHeight="1">
      <x:c r="C11" s="33" t="str">
        <x:v>LF-A-CF1-G07</x:v>
      </x:c>
      <x:c r="D11" s="33" t="str">
        <x:v>LF-A-CF1</x:v>
      </x:c>
      <x:c r="E11" s="33" t="str">
        <x:v>A</x:v>
      </x:c>
      <x:c r="F11" s="33" t="str">
        <x:v>G07</x:v>
      </x:c>
      <x:c r="G11" s="33" t="str">
        <x:v>Public physical and record interfaces</x:v>
      </x:c>
      <x:c r="H11" s="33" t="str">
        <x:v>Technical integration authority</x:v>
      </x:c>
      <x:c r="I11" s="52" t="str">
        <x:v>OPEN</x:v>
      </x:c>
      <x:c r="J11" s="52" t="str">
        <x:v>UNASSIGNED</x:v>
      </x:c>
      <x:c r="K11" s="33" t="n">
        <x:v>0</x:v>
      </x:c>
    </x:row>
    <x:row r="12" ht="38" customHeight="1">
      <x:c r="C12" s="33" t="str">
        <x:v>LF-A-CF1-G08</x:v>
      </x:c>
      <x:c r="D12" s="33" t="str">
        <x:v>LF-A-CF1</x:v>
      </x:c>
      <x:c r="E12" s="33" t="str">
        <x:v>A</x:v>
      </x:c>
      <x:c r="F12" s="33" t="str">
        <x:v>G08</x:v>
      </x:c>
      <x:c r="G12" s="33" t="str">
        <x:v>Twelve decisive ancestry declarations</x:v>
      </x:c>
      <x:c r="H12" s="33" t="str">
        <x:v>Manufacturing authority</x:v>
      </x:c>
      <x:c r="I12" s="52" t="str">
        <x:v>OPEN</x:v>
      </x:c>
      <x:c r="J12" s="52" t="str">
        <x:v>UNASSIGNED</x:v>
      </x:c>
      <x:c r="K12" s="33" t="n">
        <x:v>0</x:v>
      </x:c>
    </x:row>
    <x:row r="13" ht="38" customHeight="1">
      <x:c r="C13" s="33" t="str">
        <x:v>LF-A-CF1-G09</x:v>
      </x:c>
      <x:c r="D13" s="33" t="str">
        <x:v>LF-A-CF1</x:v>
      </x:c>
      <x:c r="E13" s="33" t="str">
        <x:v>A</x:v>
      </x:c>
      <x:c r="F13" s="33" t="str">
        <x:v>G09</x:v>
      </x:c>
      <x:c r="G13" s="33" t="str">
        <x:v>Executable build records and travelers</x:v>
      </x:c>
      <x:c r="H13" s="33" t="str">
        <x:v>Configuration authority</x:v>
      </x:c>
      <x:c r="I13" s="52" t="str">
        <x:v>OPEN</x:v>
      </x:c>
      <x:c r="J13" s="52" t="str">
        <x:v>UNASSIGNED</x:v>
      </x:c>
      <x:c r="K13" s="33" t="n">
        <x:v>0</x:v>
      </x:c>
    </x:row>
    <x:row r="14" ht="38" customHeight="1">
      <x:c r="C14" s="33" t="str">
        <x:v>LF-A-CF1-G10</x:v>
      </x:c>
      <x:c r="D14" s="33" t="str">
        <x:v>LF-A-CF1</x:v>
      </x:c>
      <x:c r="E14" s="33" t="str">
        <x:v>A</x:v>
      </x:c>
      <x:c r="F14" s="33" t="str">
        <x:v>G10</x:v>
      </x:c>
      <x:c r="G14" s="33" t="str">
        <x:v>Representative subsystem evidence</x:v>
      </x:c>
      <x:c r="H14" s="33" t="str">
        <x:v>Sovereign evidence authority</x:v>
      </x:c>
      <x:c r="I14" s="52" t="str">
        <x:v>OPEN</x:v>
      </x:c>
      <x:c r="J14" s="52" t="str">
        <x:v>UNASSIGNED</x:v>
      </x:c>
      <x:c r="K14" s="33" t="n">
        <x:v>0</x:v>
      </x:c>
    </x:row>
    <x:row r="15" ht="38" customHeight="1">
      <x:c r="C15" s="33" t="str">
        <x:v>LF-A-CF1-G11</x:v>
      </x:c>
      <x:c r="D15" s="33" t="str">
        <x:v>LF-A-CF1</x:v>
      </x:c>
      <x:c r="E15" s="33" t="str">
        <x:v>A</x:v>
      </x:c>
      <x:c r="F15" s="33" t="str">
        <x:v>G11</x:v>
      </x:c>
      <x:c r="G15" s="33" t="str">
        <x:v>Disconnected and manual operation</x:v>
      </x:c>
      <x:c r="H15" s="33" t="str">
        <x:v>Operating service authorities</x:v>
      </x:c>
      <x:c r="I15" s="52" t="str">
        <x:v>OPEN</x:v>
      </x:c>
      <x:c r="J15" s="52" t="str">
        <x:v>UNASSIGNED</x:v>
      </x:c>
      <x:c r="K15" s="33" t="n">
        <x:v>0</x:v>
      </x:c>
    </x:row>
    <x:row r="16" ht="38" customHeight="1">
      <x:c r="C16" s="33" t="str">
        <x:v>LF-A-CF1-G12</x:v>
      </x:c>
      <x:c r="D16" s="33" t="str">
        <x:v>LF-A-CF1</x:v>
      </x:c>
      <x:c r="E16" s="33" t="str">
        <x:v>A</x:v>
      </x:c>
      <x:c r="F16" s="33" t="str">
        <x:v>G12</x:v>
      </x:c>
      <x:c r="G16" s="33" t="str">
        <x:v>Root-native evidence and outside replay</x:v>
      </x:c>
      <x:c r="H16" s="33" t="str">
        <x:v>Sovereign evidence authority</x:v>
      </x:c>
      <x:c r="I16" s="52" t="str">
        <x:v>OPEN</x:v>
      </x:c>
      <x:c r="J16" s="52" t="str">
        <x:v>UNASSIGNED</x:v>
      </x:c>
      <x:c r="K16" s="33" t="n">
        <x:v>0</x:v>
      </x:c>
    </x:row>
    <x:row r="17" ht="38" customHeight="1">
      <x:c r="C17" s="33" t="str">
        <x:v>LF-A-CF1-G13</x:v>
      </x:c>
      <x:c r="D17" s="33" t="str">
        <x:v>LF-A-CF1</x:v>
      </x:c>
      <x:c r="E17" s="33" t="str">
        <x:v>A</x:v>
      </x:c>
      <x:c r="F17" s="33" t="str">
        <x:v>G13</x:v>
      </x:c>
      <x:c r="G17" s="33" t="str">
        <x:v>Repair, reset and second-team reproduction</x:v>
      </x:c>
      <x:c r="H17" s="33" t="str">
        <x:v>Regeneration and manufacturing authorities</x:v>
      </x:c>
      <x:c r="I17" s="52" t="str">
        <x:v>OPEN</x:v>
      </x:c>
      <x:c r="J17" s="52" t="str">
        <x:v>UNASSIGNED</x:v>
      </x:c>
      <x:c r="K17" s="33" t="n">
        <x:v>0</x:v>
      </x:c>
    </x:row>
    <x:row r="18" ht="38" customHeight="1">
      <x:c r="C18" s="33" t="str">
        <x:v>LF-A-CF1-G14</x:v>
      </x:c>
      <x:c r="D18" s="33" t="str">
        <x:v>LF-A-CF1</x:v>
      </x:c>
      <x:c r="E18" s="33" t="str">
        <x:v>A</x:v>
      </x:c>
      <x:c r="F18" s="33" t="str">
        <x:v>G14</x:v>
      </x:c>
      <x:c r="G18" s="33" t="str">
        <x:v>Independent root release</x:v>
      </x:c>
      <x:c r="H18" s="33" t="str">
        <x:v>Department release board</x:v>
      </x:c>
      <x:c r="I18" s="52" t="str">
        <x:v>OPEN</x:v>
      </x:c>
      <x:c r="J18" s="52" t="str">
        <x:v>UNASSIGNED</x:v>
      </x:c>
      <x:c r="K18" s="33" t="n">
        <x:v>0</x:v>
      </x:c>
    </x:row>
    <x:row r="19" ht="38" customHeight="1">
      <x:c r="C19" s="33" t="str">
        <x:v>LF-B-CF1-G01</x:v>
      </x:c>
      <x:c r="D19" s="33" t="str">
        <x:v>LF-B-CF1</x:v>
      </x:c>
      <x:c r="E19" s="33" t="str">
        <x:v>B</x:v>
      </x:c>
      <x:c r="F19" s="33" t="str">
        <x:v>G01</x:v>
      </x:c>
      <x:c r="G19" s="33" t="str">
        <x:v>Complete five-route service bill</x:v>
      </x:c>
      <x:c r="H19" s="33" t="str">
        <x:v>Mission-system office</x:v>
      </x:c>
      <x:c r="I19" s="52" t="str">
        <x:v>OPEN</x:v>
      </x:c>
      <x:c r="J19" s="52" t="str">
        <x:v>UNASSIGNED</x:v>
      </x:c>
      <x:c r="K19" s="33" t="n">
        <x:v>0</x:v>
      </x:c>
    </x:row>
    <x:row r="20" ht="38" customHeight="1">
      <x:c r="C20" s="33" t="str">
        <x:v>LF-B-CF1-G02</x:v>
      </x:c>
      <x:c r="D20" s="33" t="str">
        <x:v>LF-B-CF1</x:v>
      </x:c>
      <x:c r="E20" s="33" t="str">
        <x:v>B</x:v>
      </x:c>
      <x:c r="F20" s="33" t="str">
        <x:v>G02</x:v>
      </x:c>
      <x:c r="G20" s="33" t="str">
        <x:v>Seven-stage service state machine</x:v>
      </x:c>
      <x:c r="H20" s="33" t="str">
        <x:v>Service technical authorities</x:v>
      </x:c>
      <x:c r="I20" s="52" t="str">
        <x:v>OPEN</x:v>
      </x:c>
      <x:c r="J20" s="52" t="str">
        <x:v>UNASSIGNED</x:v>
      </x:c>
      <x:c r="K20" s="33" t="n">
        <x:v>0</x:v>
      </x:c>
    </x:row>
    <x:row r="21" ht="38" customHeight="1">
      <x:c r="C21" s="33" t="str">
        <x:v>LF-B-CF1-G03</x:v>
      </x:c>
      <x:c r="D21" s="33" t="str">
        <x:v>LF-B-CF1</x:v>
      </x:c>
      <x:c r="E21" s="33" t="str">
        <x:v>B</x:v>
      </x:c>
      <x:c r="F21" s="33" t="str">
        <x:v>G03</x:v>
      </x:c>
      <x:c r="G21" s="33" t="str">
        <x:v>Four-field root architecture</x:v>
      </x:c>
      <x:c r="H21" s="33" t="str">
        <x:v>Mission-system office</x:v>
      </x:c>
      <x:c r="I21" s="52" t="str">
        <x:v>OPEN</x:v>
      </x:c>
      <x:c r="J21" s="52" t="str">
        <x:v>UNASSIGNED</x:v>
      </x:c>
      <x:c r="K21" s="33" t="n">
        <x:v>0</x:v>
      </x:c>
    </x:row>
    <x:row r="22" ht="38" customHeight="1">
      <x:c r="C22" s="33" t="str">
        <x:v>LF-B-CF1-G04</x:v>
      </x:c>
      <x:c r="D22" s="33" t="str">
        <x:v>LF-B-CF1</x:v>
      </x:c>
      <x:c r="E22" s="33" t="str">
        <x:v>B</x:v>
      </x:c>
      <x:c r="F22" s="33" t="str">
        <x:v>G04</x:v>
      </x:c>
      <x:c r="G22" s="33" t="str">
        <x:v>Numeric service thresholds</x:v>
      </x:c>
      <x:c r="H22" s="33" t="str">
        <x:v>Public-effect authorities</x:v>
      </x:c>
      <x:c r="I22" s="52" t="str">
        <x:v>OPEN</x:v>
      </x:c>
      <x:c r="J22" s="52" t="str">
        <x:v>UNASSIGNED</x:v>
      </x:c>
      <x:c r="K22" s="33" t="n">
        <x:v>0</x:v>
      </x:c>
    </x:row>
    <x:row r="23" ht="38" customHeight="1">
      <x:c r="C23" s="33" t="str">
        <x:v>LF-B-CF1-G05</x:v>
      </x:c>
      <x:c r="D23" s="33" t="str">
        <x:v>LF-B-CF1</x:v>
      </x:c>
      <x:c r="E23" s="33" t="str">
        <x:v>B</x:v>
      </x:c>
      <x:c r="F23" s="33" t="str">
        <x:v>G05</x:v>
      </x:c>
      <x:c r="G23" s="33" t="str">
        <x:v>Mass, energy, flow and residual closure</x:v>
      </x:c>
      <x:c r="H23" s="33" t="str">
        <x:v>Independent engineering board</x:v>
      </x:c>
      <x:c r="I23" s="52" t="str">
        <x:v>OPEN</x:v>
      </x:c>
      <x:c r="J23" s="52" t="str">
        <x:v>UNASSIGNED</x:v>
      </x:c>
      <x:c r="K23" s="33" t="n">
        <x:v>0</x:v>
      </x:c>
    </x:row>
    <x:row r="24" ht="38" customHeight="1">
      <x:c r="C24" s="33" t="str">
        <x:v>LF-B-CF1-G06</x:v>
      </x:c>
      <x:c r="D24" s="33" t="str">
        <x:v>LF-B-CF1</x:v>
      </x:c>
      <x:c r="E24" s="33" t="str">
        <x:v>B</x:v>
      </x:c>
      <x:c r="F24" s="33" t="str">
        <x:v>G06</x:v>
      </x:c>
      <x:c r="G24" s="33" t="str">
        <x:v>Safety, accessibility and rights case</x:v>
      </x:c>
      <x:c r="H24" s="33" t="str">
        <x:v>Safety and civil-rights authorities</x:v>
      </x:c>
      <x:c r="I24" s="52" t="str">
        <x:v>OPEN</x:v>
      </x:c>
      <x:c r="J24" s="52" t="str">
        <x:v>UNASSIGNED</x:v>
      </x:c>
      <x:c r="K24" s="33" t="n">
        <x:v>0</x:v>
      </x:c>
    </x:row>
    <x:row r="25" ht="38" customHeight="1">
      <x:c r="C25" s="33" t="str">
        <x:v>LF-B-CF1-G07</x:v>
      </x:c>
      <x:c r="D25" s="33" t="str">
        <x:v>LF-B-CF1</x:v>
      </x:c>
      <x:c r="E25" s="33" t="str">
        <x:v>B</x:v>
      </x:c>
      <x:c r="F25" s="33" t="str">
        <x:v>G07</x:v>
      </x:c>
      <x:c r="G25" s="33" t="str">
        <x:v>Public physical and record interfaces</x:v>
      </x:c>
      <x:c r="H25" s="33" t="str">
        <x:v>Technical integration authority</x:v>
      </x:c>
      <x:c r="I25" s="52" t="str">
        <x:v>OPEN</x:v>
      </x:c>
      <x:c r="J25" s="52" t="str">
        <x:v>UNASSIGNED</x:v>
      </x:c>
      <x:c r="K25" s="33" t="n">
        <x:v>0</x:v>
      </x:c>
    </x:row>
    <x:row r="26" ht="38" customHeight="1">
      <x:c r="C26" s="33" t="str">
        <x:v>LF-B-CF1-G08</x:v>
      </x:c>
      <x:c r="D26" s="33" t="str">
        <x:v>LF-B-CF1</x:v>
      </x:c>
      <x:c r="E26" s="33" t="str">
        <x:v>B</x:v>
      </x:c>
      <x:c r="F26" s="33" t="str">
        <x:v>G08</x:v>
      </x:c>
      <x:c r="G26" s="33" t="str">
        <x:v>Twelve decisive ancestry declarations</x:v>
      </x:c>
      <x:c r="H26" s="33" t="str">
        <x:v>Manufacturing authority</x:v>
      </x:c>
      <x:c r="I26" s="52" t="str">
        <x:v>OPEN</x:v>
      </x:c>
      <x:c r="J26" s="52" t="str">
        <x:v>UNASSIGNED</x:v>
      </x:c>
      <x:c r="K26" s="33" t="n">
        <x:v>0</x:v>
      </x:c>
    </x:row>
    <x:row r="27" ht="38" customHeight="1">
      <x:c r="C27" s="33" t="str">
        <x:v>LF-B-CF1-G09</x:v>
      </x:c>
      <x:c r="D27" s="33" t="str">
        <x:v>LF-B-CF1</x:v>
      </x:c>
      <x:c r="E27" s="33" t="str">
        <x:v>B</x:v>
      </x:c>
      <x:c r="F27" s="33" t="str">
        <x:v>G09</x:v>
      </x:c>
      <x:c r="G27" s="33" t="str">
        <x:v>Executable build records and travelers</x:v>
      </x:c>
      <x:c r="H27" s="33" t="str">
        <x:v>Configuration authority</x:v>
      </x:c>
      <x:c r="I27" s="52" t="str">
        <x:v>OPEN</x:v>
      </x:c>
      <x:c r="J27" s="52" t="str">
        <x:v>UNASSIGNED</x:v>
      </x:c>
      <x:c r="K27" s="33" t="n">
        <x:v>0</x:v>
      </x:c>
    </x:row>
    <x:row r="28" ht="38" customHeight="1">
      <x:c r="C28" s="33" t="str">
        <x:v>LF-B-CF1-G10</x:v>
      </x:c>
      <x:c r="D28" s="33" t="str">
        <x:v>LF-B-CF1</x:v>
      </x:c>
      <x:c r="E28" s="33" t="str">
        <x:v>B</x:v>
      </x:c>
      <x:c r="F28" s="33" t="str">
        <x:v>G10</x:v>
      </x:c>
      <x:c r="G28" s="33" t="str">
        <x:v>Representative subsystem evidence</x:v>
      </x:c>
      <x:c r="H28" s="33" t="str">
        <x:v>Sovereign evidence authority</x:v>
      </x:c>
      <x:c r="I28" s="52" t="str">
        <x:v>OPEN</x:v>
      </x:c>
      <x:c r="J28" s="52" t="str">
        <x:v>UNASSIGNED</x:v>
      </x:c>
      <x:c r="K28" s="33" t="n">
        <x:v>0</x:v>
      </x:c>
    </x:row>
    <x:row r="29" ht="38" customHeight="1">
      <x:c r="C29" s="33" t="str">
        <x:v>LF-B-CF1-G11</x:v>
      </x:c>
      <x:c r="D29" s="33" t="str">
        <x:v>LF-B-CF1</x:v>
      </x:c>
      <x:c r="E29" s="33" t="str">
        <x:v>B</x:v>
      </x:c>
      <x:c r="F29" s="33" t="str">
        <x:v>G11</x:v>
      </x:c>
      <x:c r="G29" s="33" t="str">
        <x:v>Disconnected and manual operation</x:v>
      </x:c>
      <x:c r="H29" s="33" t="str">
        <x:v>Operating service authorities</x:v>
      </x:c>
      <x:c r="I29" s="52" t="str">
        <x:v>OPEN</x:v>
      </x:c>
      <x:c r="J29" s="52" t="str">
        <x:v>UNASSIGNED</x:v>
      </x:c>
      <x:c r="K29" s="33" t="n">
        <x:v>0</x:v>
      </x:c>
    </x:row>
    <x:row r="30" ht="38" customHeight="1">
      <x:c r="C30" s="33" t="str">
        <x:v>LF-B-CF1-G12</x:v>
      </x:c>
      <x:c r="D30" s="33" t="str">
        <x:v>LF-B-CF1</x:v>
      </x:c>
      <x:c r="E30" s="33" t="str">
        <x:v>B</x:v>
      </x:c>
      <x:c r="F30" s="33" t="str">
        <x:v>G12</x:v>
      </x:c>
      <x:c r="G30" s="33" t="str">
        <x:v>Root-native evidence and outside replay</x:v>
      </x:c>
      <x:c r="H30" s="33" t="str">
        <x:v>Sovereign evidence authority</x:v>
      </x:c>
      <x:c r="I30" s="52" t="str">
        <x:v>OPEN</x:v>
      </x:c>
      <x:c r="J30" s="52" t="str">
        <x:v>UNASSIGNED</x:v>
      </x:c>
      <x:c r="K30" s="33" t="n">
        <x:v>0</x:v>
      </x:c>
    </x:row>
    <x:row r="31" ht="38" customHeight="1">
      <x:c r="C31" s="33" t="str">
        <x:v>LF-B-CF1-G13</x:v>
      </x:c>
      <x:c r="D31" s="33" t="str">
        <x:v>LF-B-CF1</x:v>
      </x:c>
      <x:c r="E31" s="33" t="str">
        <x:v>B</x:v>
      </x:c>
      <x:c r="F31" s="33" t="str">
        <x:v>G13</x:v>
      </x:c>
      <x:c r="G31" s="33" t="str">
        <x:v>Repair, reset and second-team reproduction</x:v>
      </x:c>
      <x:c r="H31" s="33" t="str">
        <x:v>Regeneration and manufacturing authorities</x:v>
      </x:c>
      <x:c r="I31" s="52" t="str">
        <x:v>OPEN</x:v>
      </x:c>
      <x:c r="J31" s="52" t="str">
        <x:v>UNASSIGNED</x:v>
      </x:c>
      <x:c r="K31" s="33" t="n">
        <x:v>0</x:v>
      </x:c>
    </x:row>
    <x:row r="32" ht="38" customHeight="1">
      <x:c r="C32" s="33" t="str">
        <x:v>LF-B-CF1-G14</x:v>
      </x:c>
      <x:c r="D32" s="33" t="str">
        <x:v>LF-B-CF1</x:v>
      </x:c>
      <x:c r="E32" s="33" t="str">
        <x:v>B</x:v>
      </x:c>
      <x:c r="F32" s="33" t="str">
        <x:v>G14</x:v>
      </x:c>
      <x:c r="G32" s="33" t="str">
        <x:v>Independent root release</x:v>
      </x:c>
      <x:c r="H32" s="33" t="str">
        <x:v>Department release board</x:v>
      </x:c>
      <x:c r="I32" s="52" t="str">
        <x:v>OPEN</x:v>
      </x:c>
      <x:c r="J32" s="52" t="str">
        <x:v>UNASSIGNED</x:v>
      </x:c>
      <x:c r="K32" s="33" t="n">
        <x:v>0</x:v>
      </x:c>
    </x:row>
    <x:row r="33" ht="38" customHeight="1">
      <x:c r="C33" s="33" t="str">
        <x:v>LF-C-CF1-G01</x:v>
      </x:c>
      <x:c r="D33" s="33" t="str">
        <x:v>LF-C-CF1</x:v>
      </x:c>
      <x:c r="E33" s="33" t="str">
        <x:v>C</x:v>
      </x:c>
      <x:c r="F33" s="33" t="str">
        <x:v>G01</x:v>
      </x:c>
      <x:c r="G33" s="33" t="str">
        <x:v>Complete five-route service bill</x:v>
      </x:c>
      <x:c r="H33" s="33" t="str">
        <x:v>Mission-system office</x:v>
      </x:c>
      <x:c r="I33" s="52" t="str">
        <x:v>OPEN</x:v>
      </x:c>
      <x:c r="J33" s="52" t="str">
        <x:v>UNASSIGNED</x:v>
      </x:c>
      <x:c r="K33" s="33" t="n">
        <x:v>0</x:v>
      </x:c>
    </x:row>
    <x:row r="34" ht="38" customHeight="1">
      <x:c r="C34" s="33" t="str">
        <x:v>LF-C-CF1-G02</x:v>
      </x:c>
      <x:c r="D34" s="33" t="str">
        <x:v>LF-C-CF1</x:v>
      </x:c>
      <x:c r="E34" s="33" t="str">
        <x:v>C</x:v>
      </x:c>
      <x:c r="F34" s="33" t="str">
        <x:v>G02</x:v>
      </x:c>
      <x:c r="G34" s="33" t="str">
        <x:v>Seven-stage service state machine</x:v>
      </x:c>
      <x:c r="H34" s="33" t="str">
        <x:v>Service technical authorities</x:v>
      </x:c>
      <x:c r="I34" s="52" t="str">
        <x:v>OPEN</x:v>
      </x:c>
      <x:c r="J34" s="52" t="str">
        <x:v>UNASSIGNED</x:v>
      </x:c>
      <x:c r="K34" s="33" t="n">
        <x:v>0</x:v>
      </x:c>
    </x:row>
    <x:row r="35" ht="38" customHeight="1">
      <x:c r="C35" s="33" t="str">
        <x:v>LF-C-CF1-G03</x:v>
      </x:c>
      <x:c r="D35" s="33" t="str">
        <x:v>LF-C-CF1</x:v>
      </x:c>
      <x:c r="E35" s="33" t="str">
        <x:v>C</x:v>
      </x:c>
      <x:c r="F35" s="33" t="str">
        <x:v>G03</x:v>
      </x:c>
      <x:c r="G35" s="33" t="str">
        <x:v>Four-field root architecture</x:v>
      </x:c>
      <x:c r="H35" s="33" t="str">
        <x:v>Mission-system office</x:v>
      </x:c>
      <x:c r="I35" s="52" t="str">
        <x:v>OPEN</x:v>
      </x:c>
      <x:c r="J35" s="52" t="str">
        <x:v>UNASSIGNED</x:v>
      </x:c>
      <x:c r="K35" s="33" t="n">
        <x:v>0</x:v>
      </x:c>
    </x:row>
    <x:row r="36" ht="38" customHeight="1">
      <x:c r="C36" s="33" t="str">
        <x:v>LF-C-CF1-G04</x:v>
      </x:c>
      <x:c r="D36" s="33" t="str">
        <x:v>LF-C-CF1</x:v>
      </x:c>
      <x:c r="E36" s="33" t="str">
        <x:v>C</x:v>
      </x:c>
      <x:c r="F36" s="33" t="str">
        <x:v>G04</x:v>
      </x:c>
      <x:c r="G36" s="33" t="str">
        <x:v>Numeric service thresholds</x:v>
      </x:c>
      <x:c r="H36" s="33" t="str">
        <x:v>Public-effect authorities</x:v>
      </x:c>
      <x:c r="I36" s="52" t="str">
        <x:v>OPEN</x:v>
      </x:c>
      <x:c r="J36" s="52" t="str">
        <x:v>UNASSIGNED</x:v>
      </x:c>
      <x:c r="K36" s="33" t="n">
        <x:v>0</x:v>
      </x:c>
    </x:row>
    <x:row r="37" ht="38" customHeight="1">
      <x:c r="C37" s="33" t="str">
        <x:v>LF-C-CF1-G05</x:v>
      </x:c>
      <x:c r="D37" s="33" t="str">
        <x:v>LF-C-CF1</x:v>
      </x:c>
      <x:c r="E37" s="33" t="str">
        <x:v>C</x:v>
      </x:c>
      <x:c r="F37" s="33" t="str">
        <x:v>G05</x:v>
      </x:c>
      <x:c r="G37" s="33" t="str">
        <x:v>Mass, energy, flow and residual closure</x:v>
      </x:c>
      <x:c r="H37" s="33" t="str">
        <x:v>Independent engineering board</x:v>
      </x:c>
      <x:c r="I37" s="52" t="str">
        <x:v>OPEN</x:v>
      </x:c>
      <x:c r="J37" s="52" t="str">
        <x:v>UNASSIGNED</x:v>
      </x:c>
      <x:c r="K37" s="33" t="n">
        <x:v>0</x:v>
      </x:c>
    </x:row>
    <x:row r="38" ht="38" customHeight="1">
      <x:c r="C38" s="33" t="str">
        <x:v>LF-C-CF1-G06</x:v>
      </x:c>
      <x:c r="D38" s="33" t="str">
        <x:v>LF-C-CF1</x:v>
      </x:c>
      <x:c r="E38" s="33" t="str">
        <x:v>C</x:v>
      </x:c>
      <x:c r="F38" s="33" t="str">
        <x:v>G06</x:v>
      </x:c>
      <x:c r="G38" s="33" t="str">
        <x:v>Safety, accessibility and rights case</x:v>
      </x:c>
      <x:c r="H38" s="33" t="str">
        <x:v>Safety and civil-rights authorities</x:v>
      </x:c>
      <x:c r="I38" s="52" t="str">
        <x:v>OPEN</x:v>
      </x:c>
      <x:c r="J38" s="52" t="str">
        <x:v>UNASSIGNED</x:v>
      </x:c>
      <x:c r="K38" s="33" t="n">
        <x:v>0</x:v>
      </x:c>
    </x:row>
    <x:row r="39" ht="38" customHeight="1">
      <x:c r="C39" s="33" t="str">
        <x:v>LF-C-CF1-G07</x:v>
      </x:c>
      <x:c r="D39" s="33" t="str">
        <x:v>LF-C-CF1</x:v>
      </x:c>
      <x:c r="E39" s="33" t="str">
        <x:v>C</x:v>
      </x:c>
      <x:c r="F39" s="33" t="str">
        <x:v>G07</x:v>
      </x:c>
      <x:c r="G39" s="33" t="str">
        <x:v>Public physical and record interfaces</x:v>
      </x:c>
      <x:c r="H39" s="33" t="str">
        <x:v>Technical integration authority</x:v>
      </x:c>
      <x:c r="I39" s="52" t="str">
        <x:v>OPEN</x:v>
      </x:c>
      <x:c r="J39" s="52" t="str">
        <x:v>UNASSIGNED</x:v>
      </x:c>
      <x:c r="K39" s="33" t="n">
        <x:v>0</x:v>
      </x:c>
    </x:row>
    <x:row r="40" ht="38" customHeight="1">
      <x:c r="C40" s="33" t="str">
        <x:v>LF-C-CF1-G08</x:v>
      </x:c>
      <x:c r="D40" s="33" t="str">
        <x:v>LF-C-CF1</x:v>
      </x:c>
      <x:c r="E40" s="33" t="str">
        <x:v>C</x:v>
      </x:c>
      <x:c r="F40" s="33" t="str">
        <x:v>G08</x:v>
      </x:c>
      <x:c r="G40" s="33" t="str">
        <x:v>Twelve decisive ancestry declarations</x:v>
      </x:c>
      <x:c r="H40" s="33" t="str">
        <x:v>Manufacturing authority</x:v>
      </x:c>
      <x:c r="I40" s="52" t="str">
        <x:v>OPEN</x:v>
      </x:c>
      <x:c r="J40" s="52" t="str">
        <x:v>UNASSIGNED</x:v>
      </x:c>
      <x:c r="K40" s="33" t="n">
        <x:v>0</x:v>
      </x:c>
    </x:row>
    <x:row r="41" ht="38" customHeight="1">
      <x:c r="C41" s="33" t="str">
        <x:v>LF-C-CF1-G09</x:v>
      </x:c>
      <x:c r="D41" s="33" t="str">
        <x:v>LF-C-CF1</x:v>
      </x:c>
      <x:c r="E41" s="33" t="str">
        <x:v>C</x:v>
      </x:c>
      <x:c r="F41" s="33" t="str">
        <x:v>G09</x:v>
      </x:c>
      <x:c r="G41" s="33" t="str">
        <x:v>Executable build records and travelers</x:v>
      </x:c>
      <x:c r="H41" s="33" t="str">
        <x:v>Configuration authority</x:v>
      </x:c>
      <x:c r="I41" s="52" t="str">
        <x:v>OPEN</x:v>
      </x:c>
      <x:c r="J41" s="52" t="str">
        <x:v>UNASSIGNED</x:v>
      </x:c>
      <x:c r="K41" s="33" t="n">
        <x:v>0</x:v>
      </x:c>
    </x:row>
    <x:row r="42" ht="38" customHeight="1">
      <x:c r="C42" s="33" t="str">
        <x:v>LF-C-CF1-G10</x:v>
      </x:c>
      <x:c r="D42" s="33" t="str">
        <x:v>LF-C-CF1</x:v>
      </x:c>
      <x:c r="E42" s="33" t="str">
        <x:v>C</x:v>
      </x:c>
      <x:c r="F42" s="33" t="str">
        <x:v>G10</x:v>
      </x:c>
      <x:c r="G42" s="33" t="str">
        <x:v>Representative subsystem evidence</x:v>
      </x:c>
      <x:c r="H42" s="33" t="str">
        <x:v>Sovereign evidence authority</x:v>
      </x:c>
      <x:c r="I42" s="52" t="str">
        <x:v>OPEN</x:v>
      </x:c>
      <x:c r="J42" s="52" t="str">
        <x:v>UNASSIGNED</x:v>
      </x:c>
      <x:c r="K42" s="33" t="n">
        <x:v>0</x:v>
      </x:c>
    </x:row>
    <x:row r="43" ht="38" customHeight="1">
      <x:c r="C43" s="33" t="str">
        <x:v>LF-C-CF1-G11</x:v>
      </x:c>
      <x:c r="D43" s="33" t="str">
        <x:v>LF-C-CF1</x:v>
      </x:c>
      <x:c r="E43" s="33" t="str">
        <x:v>C</x:v>
      </x:c>
      <x:c r="F43" s="33" t="str">
        <x:v>G11</x:v>
      </x:c>
      <x:c r="G43" s="33" t="str">
        <x:v>Disconnected and manual operation</x:v>
      </x:c>
      <x:c r="H43" s="33" t="str">
        <x:v>Operating service authorities</x:v>
      </x:c>
      <x:c r="I43" s="52" t="str">
        <x:v>OPEN</x:v>
      </x:c>
      <x:c r="J43" s="52" t="str">
        <x:v>UNASSIGNED</x:v>
      </x:c>
      <x:c r="K43" s="33" t="n">
        <x:v>0</x:v>
      </x:c>
    </x:row>
    <x:row r="44" ht="38" customHeight="1">
      <x:c r="C44" s="33" t="str">
        <x:v>LF-C-CF1-G12</x:v>
      </x:c>
      <x:c r="D44" s="33" t="str">
        <x:v>LF-C-CF1</x:v>
      </x:c>
      <x:c r="E44" s="33" t="str">
        <x:v>C</x:v>
      </x:c>
      <x:c r="F44" s="33" t="str">
        <x:v>G12</x:v>
      </x:c>
      <x:c r="G44" s="33" t="str">
        <x:v>Root-native evidence and outside replay</x:v>
      </x:c>
      <x:c r="H44" s="33" t="str">
        <x:v>Sovereign evidence authority</x:v>
      </x:c>
      <x:c r="I44" s="52" t="str">
        <x:v>OPEN</x:v>
      </x:c>
      <x:c r="J44" s="52" t="str">
        <x:v>UNASSIGNED</x:v>
      </x:c>
      <x:c r="K44" s="33" t="n">
        <x:v>0</x:v>
      </x:c>
    </x:row>
    <x:row r="45" ht="38" customHeight="1">
      <x:c r="C45" s="33" t="str">
        <x:v>LF-C-CF1-G13</x:v>
      </x:c>
      <x:c r="D45" s="33" t="str">
        <x:v>LF-C-CF1</x:v>
      </x:c>
      <x:c r="E45" s="33" t="str">
        <x:v>C</x:v>
      </x:c>
      <x:c r="F45" s="33" t="str">
        <x:v>G13</x:v>
      </x:c>
      <x:c r="G45" s="33" t="str">
        <x:v>Repair, reset and second-team reproduction</x:v>
      </x:c>
      <x:c r="H45" s="33" t="str">
        <x:v>Regeneration and manufacturing authorities</x:v>
      </x:c>
      <x:c r="I45" s="52" t="str">
        <x:v>OPEN</x:v>
      </x:c>
      <x:c r="J45" s="52" t="str">
        <x:v>UNASSIGNED</x:v>
      </x:c>
      <x:c r="K45" s="33" t="n">
        <x:v>0</x:v>
      </x:c>
    </x:row>
    <x:row r="46" ht="38" customHeight="1">
      <x:c r="C46" s="33" t="str">
        <x:v>LF-C-CF1-G14</x:v>
      </x:c>
      <x:c r="D46" s="33" t="str">
        <x:v>LF-C-CF1</x:v>
      </x:c>
      <x:c r="E46" s="33" t="str">
        <x:v>C</x:v>
      </x:c>
      <x:c r="F46" s="33" t="str">
        <x:v>G14</x:v>
      </x:c>
      <x:c r="G46" s="33" t="str">
        <x:v>Independent root release</x:v>
      </x:c>
      <x:c r="H46" s="33" t="str">
        <x:v>Department release board</x:v>
      </x:c>
      <x:c r="I46" s="52" t="str">
        <x:v>OPEN</x:v>
      </x:c>
      <x:c r="J46" s="52" t="str">
        <x:v>UNASSIGNED</x:v>
      </x:c>
      <x:c r="K46" s="33" t="n">
        <x:v>0</x:v>
      </x:c>
    </x:row>
    <x:row r="47" ht="38" customHeight="1">
      <x:c r="C47" s="33" t="str">
        <x:v>LF-D-CF1-G01</x:v>
      </x:c>
      <x:c r="D47" s="33" t="str">
        <x:v>LF-D-CF1</x:v>
      </x:c>
      <x:c r="E47" s="33" t="str">
        <x:v>D</x:v>
      </x:c>
      <x:c r="F47" s="33" t="str">
        <x:v>G01</x:v>
      </x:c>
      <x:c r="G47" s="33" t="str">
        <x:v>Complete five-route service bill</x:v>
      </x:c>
      <x:c r="H47" s="33" t="str">
        <x:v>Mission-system office</x:v>
      </x:c>
      <x:c r="I47" s="52" t="str">
        <x:v>OPEN</x:v>
      </x:c>
      <x:c r="J47" s="52" t="str">
        <x:v>UNASSIGNED</x:v>
      </x:c>
      <x:c r="K47" s="33" t="n">
        <x:v>0</x:v>
      </x:c>
    </x:row>
    <x:row r="48" ht="38" customHeight="1">
      <x:c r="C48" s="33" t="str">
        <x:v>LF-D-CF1-G02</x:v>
      </x:c>
      <x:c r="D48" s="33" t="str">
        <x:v>LF-D-CF1</x:v>
      </x:c>
      <x:c r="E48" s="33" t="str">
        <x:v>D</x:v>
      </x:c>
      <x:c r="F48" s="33" t="str">
        <x:v>G02</x:v>
      </x:c>
      <x:c r="G48" s="33" t="str">
        <x:v>Seven-stage service state machine</x:v>
      </x:c>
      <x:c r="H48" s="33" t="str">
        <x:v>Service technical authorities</x:v>
      </x:c>
      <x:c r="I48" s="52" t="str">
        <x:v>OPEN</x:v>
      </x:c>
      <x:c r="J48" s="52" t="str">
        <x:v>UNASSIGNED</x:v>
      </x:c>
      <x:c r="K48" s="33" t="n">
        <x:v>0</x:v>
      </x:c>
    </x:row>
    <x:row r="49" ht="38" customHeight="1">
      <x:c r="C49" s="33" t="str">
        <x:v>LF-D-CF1-G03</x:v>
      </x:c>
      <x:c r="D49" s="33" t="str">
        <x:v>LF-D-CF1</x:v>
      </x:c>
      <x:c r="E49" s="33" t="str">
        <x:v>D</x:v>
      </x:c>
      <x:c r="F49" s="33" t="str">
        <x:v>G03</x:v>
      </x:c>
      <x:c r="G49" s="33" t="str">
        <x:v>Four-field root architecture</x:v>
      </x:c>
      <x:c r="H49" s="33" t="str">
        <x:v>Mission-system office</x:v>
      </x:c>
      <x:c r="I49" s="52" t="str">
        <x:v>OPEN</x:v>
      </x:c>
      <x:c r="J49" s="52" t="str">
        <x:v>UNASSIGNED</x:v>
      </x:c>
      <x:c r="K49" s="33" t="n">
        <x:v>0</x:v>
      </x:c>
    </x:row>
    <x:row r="50" ht="38" customHeight="1">
      <x:c r="C50" s="33" t="str">
        <x:v>LF-D-CF1-G04</x:v>
      </x:c>
      <x:c r="D50" s="33" t="str">
        <x:v>LF-D-CF1</x:v>
      </x:c>
      <x:c r="E50" s="33" t="str">
        <x:v>D</x:v>
      </x:c>
      <x:c r="F50" s="33" t="str">
        <x:v>G04</x:v>
      </x:c>
      <x:c r="G50" s="33" t="str">
        <x:v>Numeric service thresholds</x:v>
      </x:c>
      <x:c r="H50" s="33" t="str">
        <x:v>Public-effect authorities</x:v>
      </x:c>
      <x:c r="I50" s="52" t="str">
        <x:v>OPEN</x:v>
      </x:c>
      <x:c r="J50" s="52" t="str">
        <x:v>UNASSIGNED</x:v>
      </x:c>
      <x:c r="K50" s="33" t="n">
        <x:v>0</x:v>
      </x:c>
    </x:row>
    <x:row r="51" ht="38" customHeight="1">
      <x:c r="C51" s="33" t="str">
        <x:v>LF-D-CF1-G05</x:v>
      </x:c>
      <x:c r="D51" s="33" t="str">
        <x:v>LF-D-CF1</x:v>
      </x:c>
      <x:c r="E51" s="33" t="str">
        <x:v>D</x:v>
      </x:c>
      <x:c r="F51" s="33" t="str">
        <x:v>G05</x:v>
      </x:c>
      <x:c r="G51" s="33" t="str">
        <x:v>Mass, energy, flow and residual closure</x:v>
      </x:c>
      <x:c r="H51" s="33" t="str">
        <x:v>Independent engineering board</x:v>
      </x:c>
      <x:c r="I51" s="52" t="str">
        <x:v>OPEN</x:v>
      </x:c>
      <x:c r="J51" s="52" t="str">
        <x:v>UNASSIGNED</x:v>
      </x:c>
      <x:c r="K51" s="33" t="n">
        <x:v>0</x:v>
      </x:c>
    </x:row>
    <x:row r="52" ht="38" customHeight="1">
      <x:c r="C52" s="33" t="str">
        <x:v>LF-D-CF1-G06</x:v>
      </x:c>
      <x:c r="D52" s="33" t="str">
        <x:v>LF-D-CF1</x:v>
      </x:c>
      <x:c r="E52" s="33" t="str">
        <x:v>D</x:v>
      </x:c>
      <x:c r="F52" s="33" t="str">
        <x:v>G06</x:v>
      </x:c>
      <x:c r="G52" s="33" t="str">
        <x:v>Safety, accessibility and rights case</x:v>
      </x:c>
      <x:c r="H52" s="33" t="str">
        <x:v>Safety and civil-rights authorities</x:v>
      </x:c>
      <x:c r="I52" s="52" t="str">
        <x:v>OPEN</x:v>
      </x:c>
      <x:c r="J52" s="52" t="str">
        <x:v>UNASSIGNED</x:v>
      </x:c>
      <x:c r="K52" s="33" t="n">
        <x:v>0</x:v>
      </x:c>
    </x:row>
    <x:row r="53" ht="38" customHeight="1">
      <x:c r="C53" s="33" t="str">
        <x:v>LF-D-CF1-G07</x:v>
      </x:c>
      <x:c r="D53" s="33" t="str">
        <x:v>LF-D-CF1</x:v>
      </x:c>
      <x:c r="E53" s="33" t="str">
        <x:v>D</x:v>
      </x:c>
      <x:c r="F53" s="33" t="str">
        <x:v>G07</x:v>
      </x:c>
      <x:c r="G53" s="33" t="str">
        <x:v>Public physical and record interfaces</x:v>
      </x:c>
      <x:c r="H53" s="33" t="str">
        <x:v>Technical integration authority</x:v>
      </x:c>
      <x:c r="I53" s="52" t="str">
        <x:v>OPEN</x:v>
      </x:c>
      <x:c r="J53" s="52" t="str">
        <x:v>UNASSIGNED</x:v>
      </x:c>
      <x:c r="K53" s="33" t="n">
        <x:v>0</x:v>
      </x:c>
    </x:row>
    <x:row r="54" ht="38" customHeight="1">
      <x:c r="C54" s="33" t="str">
        <x:v>LF-D-CF1-G08</x:v>
      </x:c>
      <x:c r="D54" s="33" t="str">
        <x:v>LF-D-CF1</x:v>
      </x:c>
      <x:c r="E54" s="33" t="str">
        <x:v>D</x:v>
      </x:c>
      <x:c r="F54" s="33" t="str">
        <x:v>G08</x:v>
      </x:c>
      <x:c r="G54" s="33" t="str">
        <x:v>Twelve decisive ancestry declarations</x:v>
      </x:c>
      <x:c r="H54" s="33" t="str">
        <x:v>Manufacturing authority</x:v>
      </x:c>
      <x:c r="I54" s="52" t="str">
        <x:v>OPEN</x:v>
      </x:c>
      <x:c r="J54" s="52" t="str">
        <x:v>UNASSIGNED</x:v>
      </x:c>
      <x:c r="K54" s="33" t="n">
        <x:v>0</x:v>
      </x:c>
    </x:row>
    <x:row r="55" ht="38" customHeight="1">
      <x:c r="C55" s="33" t="str">
        <x:v>LF-D-CF1-G09</x:v>
      </x:c>
      <x:c r="D55" s="33" t="str">
        <x:v>LF-D-CF1</x:v>
      </x:c>
      <x:c r="E55" s="33" t="str">
        <x:v>D</x:v>
      </x:c>
      <x:c r="F55" s="33" t="str">
        <x:v>G09</x:v>
      </x:c>
      <x:c r="G55" s="33" t="str">
        <x:v>Executable build records and travelers</x:v>
      </x:c>
      <x:c r="H55" s="33" t="str">
        <x:v>Configuration authority</x:v>
      </x:c>
      <x:c r="I55" s="52" t="str">
        <x:v>OPEN</x:v>
      </x:c>
      <x:c r="J55" s="52" t="str">
        <x:v>UNASSIGNED</x:v>
      </x:c>
      <x:c r="K55" s="33" t="n">
        <x:v>0</x:v>
      </x:c>
    </x:row>
    <x:row r="56" ht="38" customHeight="1">
      <x:c r="C56" s="33" t="str">
        <x:v>LF-D-CF1-G10</x:v>
      </x:c>
      <x:c r="D56" s="33" t="str">
        <x:v>LF-D-CF1</x:v>
      </x:c>
      <x:c r="E56" s="33" t="str">
        <x:v>D</x:v>
      </x:c>
      <x:c r="F56" s="33" t="str">
        <x:v>G10</x:v>
      </x:c>
      <x:c r="G56" s="33" t="str">
        <x:v>Representative subsystem evidence</x:v>
      </x:c>
      <x:c r="H56" s="33" t="str">
        <x:v>Sovereign evidence authority</x:v>
      </x:c>
      <x:c r="I56" s="52" t="str">
        <x:v>OPEN</x:v>
      </x:c>
      <x:c r="J56" s="52" t="str">
        <x:v>UNASSIGNED</x:v>
      </x:c>
      <x:c r="K56" s="33" t="n">
        <x:v>0</x:v>
      </x:c>
    </x:row>
    <x:row r="57" ht="38" customHeight="1">
      <x:c r="C57" s="33" t="str">
        <x:v>LF-D-CF1-G11</x:v>
      </x:c>
      <x:c r="D57" s="33" t="str">
        <x:v>LF-D-CF1</x:v>
      </x:c>
      <x:c r="E57" s="33" t="str">
        <x:v>D</x:v>
      </x:c>
      <x:c r="F57" s="33" t="str">
        <x:v>G11</x:v>
      </x:c>
      <x:c r="G57" s="33" t="str">
        <x:v>Disconnected and manual operation</x:v>
      </x:c>
      <x:c r="H57" s="33" t="str">
        <x:v>Operating service authorities</x:v>
      </x:c>
      <x:c r="I57" s="52" t="str">
        <x:v>OPEN</x:v>
      </x:c>
      <x:c r="J57" s="52" t="str">
        <x:v>UNASSIGNED</x:v>
      </x:c>
      <x:c r="K57" s="33" t="n">
        <x:v>0</x:v>
      </x:c>
    </x:row>
    <x:row r="58" ht="38" customHeight="1">
      <x:c r="C58" s="33" t="str">
        <x:v>LF-D-CF1-G12</x:v>
      </x:c>
      <x:c r="D58" s="33" t="str">
        <x:v>LF-D-CF1</x:v>
      </x:c>
      <x:c r="E58" s="33" t="str">
        <x:v>D</x:v>
      </x:c>
      <x:c r="F58" s="33" t="str">
        <x:v>G12</x:v>
      </x:c>
      <x:c r="G58" s="33" t="str">
        <x:v>Root-native evidence and outside replay</x:v>
      </x:c>
      <x:c r="H58" s="33" t="str">
        <x:v>Sovereign evidence authority</x:v>
      </x:c>
      <x:c r="I58" s="52" t="str">
        <x:v>OPEN</x:v>
      </x:c>
      <x:c r="J58" s="52" t="str">
        <x:v>UNASSIGNED</x:v>
      </x:c>
      <x:c r="K58" s="33" t="n">
        <x:v>0</x:v>
      </x:c>
    </x:row>
    <x:row r="59" ht="38" customHeight="1">
      <x:c r="C59" s="33" t="str">
        <x:v>LF-D-CF1-G13</x:v>
      </x:c>
      <x:c r="D59" s="33" t="str">
        <x:v>LF-D-CF1</x:v>
      </x:c>
      <x:c r="E59" s="33" t="str">
        <x:v>D</x:v>
      </x:c>
      <x:c r="F59" s="33" t="str">
        <x:v>G13</x:v>
      </x:c>
      <x:c r="G59" s="33" t="str">
        <x:v>Repair, reset and second-team reproduction</x:v>
      </x:c>
      <x:c r="H59" s="33" t="str">
        <x:v>Regeneration and manufacturing authorities</x:v>
      </x:c>
      <x:c r="I59" s="52" t="str">
        <x:v>OPEN</x:v>
      </x:c>
      <x:c r="J59" s="52" t="str">
        <x:v>UNASSIGNED</x:v>
      </x:c>
      <x:c r="K59" s="33" t="n">
        <x:v>0</x:v>
      </x:c>
    </x:row>
    <x:row r="60" ht="38" customHeight="1">
      <x:c r="C60" s="34" t="str">
        <x:v>LF-D-CF1-G14</x:v>
      </x:c>
      <x:c r="D60" s="34" t="str">
        <x:v>LF-D-CF1</x:v>
      </x:c>
      <x:c r="E60" s="34" t="str">
        <x:v>D</x:v>
      </x:c>
      <x:c r="F60" s="34" t="str">
        <x:v>G14</x:v>
      </x:c>
      <x:c r="G60" s="34" t="str">
        <x:v>Independent root release</x:v>
      </x:c>
      <x:c r="H60" s="34" t="str">
        <x:v>Department release board</x:v>
      </x:c>
      <x:c r="I60" s="53" t="str">
        <x:v>OPEN</x:v>
      </x:c>
      <x:c r="J60" s="53" t="str">
        <x:v>UNASSIGNED</x:v>
      </x:c>
      <x:c r="K60" s="34" t="n">
        <x:v>0</x:v>
      </x:c>
    </x:row>
  </x:sheetData>
  <x:conditionalFormatting sqref="I5:I60">
    <x:cfRule type="containsText" dxfId="72" priority="1" operator="containsText" text="FAIL"/>
    <x:cfRule type="containsText" dxfId="73" priority="2" operator="containsText" text="OPEN"/>
    <x:cfRule type="containsText" dxfId="74" priority="3" operator="containsText" text="HOLD"/>
    <x:cfRule type="containsText" dxfId="75" priority="4" operator="containsText" text="SELECT"/>
    <x:cfRule type="containsText" dxfId="76" priority="5" operator="containsText" text="PASS"/>
    <x:cfRule type="containsText" dxfId="77" priority="6" operator="containsText" text="BLOCKED"/>
  </x:conditionalFormatting>
  <x:dataValidations count="1">
    <x:dataValidation type="list" sqref="I5:I60">
      <x:formula1>"OPEN,PASS,FAIL"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3" max="3" width="10" hidden="0" customWidth="1"/>
    <x:col min="4" max="4" width="10.5600004196167" hidden="0" customWidth="1"/>
    <x:col min="5" max="5" width="6.110000133514404" hidden="0" customWidth="1"/>
    <x:col min="6" max="6" width="12.220000267028809" hidden="0" customWidth="1"/>
    <x:col min="7" max="7" width="34.439998626708984" hidden="0" customWidth="1"/>
    <x:col min="8" max="8" width="28.889999389648438" hidden="0" customWidth="1"/>
    <x:col min="9" max="9" width="36.66999816894531" hidden="0" customWidth="1"/>
    <x:col min="10" max="10" width="10" hidden="0" customWidth="1"/>
    <x:col min="11" max="11" width="13.329999923706055" hidden="0" customWidth="1"/>
    <x:col min="12" max="12" width="12.779999732971191" hidden="0" customWidth="1"/>
    <x:col min="13" max="13" width="8.890000343322754" hidden="0" customWidth="1"/>
    <x:col min="14" max="14" width="9.4399995803833" hidden="0" customWidth="1"/>
  </x:cols>
  <x:sheetData>
    <x:row r="2">
      <x:c r="C2" s="1" t="str">
        <x:v>Twenty-eight root-native technology programs</x:v>
      </x:c>
    </x:row>
    <x:row r="3">
      <x:c r="C3" s="2" t="str">
        <x:v>Equal options fund new physics, public ranges, independent evidence and failure without selecting a winner.</x:v>
      </x:c>
    </x:row>
    <x:row r="4" ht="30" customHeight="1">
      <x:c r="C4" s="23" t="str">
        <x:v>Program</x:v>
      </x:c>
      <x:c r="D4" s="23" t="str">
        <x:v>Configuration</x:v>
      </x:c>
      <x:c r="E4" s="23" t="str">
        <x:v>Root</x:v>
      </x:c>
      <x:c r="F4" s="23" t="str">
        <x:v>Class</x:v>
      </x:c>
      <x:c r="G4" s="23" t="str">
        <x:v>Technology program</x:v>
      </x:c>
      <x:c r="H4" s="23" t="str">
        <x:v>Coefficient</x:v>
      </x:c>
      <x:c r="I4" s="23" t="str">
        <x:v>Kill condition</x:v>
      </x:c>
      <x:c r="J4" s="23" t="str">
        <x:v>Root share</x:v>
      </x:c>
      <x:c r="K4" s="23" t="str">
        <x:v>Allocation USD B</x:v>
      </x:c>
      <x:c r="L4" s="23" t="str">
        <x:v>State</x:v>
      </x:c>
      <x:c r="M4" s="23" t="str">
        <x:v>Evidence</x:v>
      </x:c>
      <x:c r="N4" s="23" t="str">
        <x:v>Authority</x:v>
      </x:c>
    </x:row>
    <x:row r="5" ht="44" customHeight="1">
      <x:c r="C5" s="32" t="str">
        <x:v>TP-A-01</x:v>
      </x:c>
      <x:c r="D5" s="32" t="str">
        <x:v>LF-A-CF1</x:v>
      </x:c>
      <x:c r="E5" s="32" t="str">
        <x:v>A</x:v>
      </x:c>
      <x:c r="F5" s="32" t="str">
        <x:v>primary energy</x:v>
      </x:c>
      <x:c r="G5" s="32" t="str">
        <x:v>passive-safe marine nuclear utility cell</x:v>
      </x:c>
      <x:c r="H5" s="32" t="str">
        <x:v>safe service months per licensed wet node</x:v>
      </x:c>
      <x:c r="I5" s="32" t="str">
        <x:v>shared heat sink or safety chain removes several cells</x:v>
      </x:c>
      <x:c r="J5" s="46" t="n">
        <x:v>0.2</x:v>
      </x:c>
      <x:c r="K5" s="54" t="n">
        <x:f>J5*'Controls'!$D$29</x:f>
        <x:v>1.7988256386411274</x:v>
      </x:c>
      <x:c r="L5" s="32" t="str">
        <x:v>FROZEN PROGRAM</x:v>
      </x:c>
      <x:c r="M5" s="32" t="str">
        <x:v>OPEN</x:v>
      </x:c>
      <x:c r="N5" s="32" t="str">
        <x:v>HOLD</x:v>
      </x:c>
    </x:row>
    <x:row r="6" ht="44" customHeight="1">
      <x:c r="C6" s="33" t="str">
        <x:v>TP-A-02</x:v>
      </x:c>
      <x:c r="D6" s="33" t="str">
        <x:v>LF-A-CF1</x:v>
      </x:c>
      <x:c r="E6" s="33" t="str">
        <x:v>A</x:v>
      </x:c>
      <x:c r="F6" s="33" t="str">
        <x:v>water process</x:v>
      </x:c>
      <x:c r="G6" s="33" t="str">
        <x:v>extreme-feed thermal separation and residual crystallization</x:v>
      </x:c>
      <x:c r="H6" s="33" t="str">
        <x:v>released product per intake and residual tonne</x:v>
      </x:c>
      <x:c r="I6" s="33" t="str">
        <x:v>residual or cleaning burden prevents service</x:v>
      </x:c>
      <x:c r="J6" s="38" t="n">
        <x:v>0.1</x:v>
      </x:c>
      <x:c r="K6" s="55" t="n">
        <x:f>J6*'Controls'!$D$29</x:f>
        <x:v>0.8994128193205637</x:v>
      </x:c>
      <x:c r="L6" s="33" t="str">
        <x:v>FROZEN PROGRAM</x:v>
      </x:c>
      <x:c r="M6" s="33" t="str">
        <x:v>OPEN</x:v>
      </x:c>
      <x:c r="N6" s="33" t="str">
        <x:v>HOLD</x:v>
      </x:c>
    </x:row>
    <x:row r="7" ht="44" customHeight="1">
      <x:c r="C7" s="33" t="str">
        <x:v>TP-A-03</x:v>
      </x:c>
      <x:c r="D7" s="33" t="str">
        <x:v>LF-A-CF1</x:v>
      </x:c>
      <x:c r="E7" s="33" t="str">
        <x:v>A</x:v>
      </x:c>
      <x:c r="F7" s="33" t="str">
        <x:v>corridor</x:v>
      </x:c>
      <x:c r="G7" s="33" t="str">
        <x:v>fault-isolated shore fluid, electric and thermal gallery</x:v>
      </x:c>
      <x:c r="H7" s="33" t="str">
        <x:v>accepted service-km per wet-node day</x:v>
      </x:c>
      <x:c r="I7" s="33" t="str">
        <x:v>shore casualty propagates to source safety</x:v>
      </x:c>
      <x:c r="J7" s="38" t="n">
        <x:v>0.1</x:v>
      </x:c>
      <x:c r="K7" s="55" t="n">
        <x:f>J7*'Controls'!$D$29</x:f>
        <x:v>0.8994128193205637</x:v>
      </x:c>
      <x:c r="L7" s="33" t="str">
        <x:v>FROZEN PROGRAM</x:v>
      </x:c>
      <x:c r="M7" s="33" t="str">
        <x:v>OPEN</x:v>
      </x:c>
      <x:c r="N7" s="33" t="str">
        <x:v>HOLD</x:v>
      </x:c>
    </x:row>
    <x:row r="8" ht="44" customHeight="1">
      <x:c r="C8" s="33" t="str">
        <x:v>TP-A-04</x:v>
      </x:c>
      <x:c r="D8" s="33" t="str">
        <x:v>LF-A-CF1</x:v>
      </x:c>
      <x:c r="E8" s="33" t="str">
        <x:v>A</x:v>
      </x:c>
      <x:c r="F8" s="33" t="str">
        <x:v>public range</x:v>
      </x:c>
      <x:c r="G8" s="33" t="str">
        <x:v>four-node wet/dry utility proving estate</x:v>
      </x:c>
      <x:c r="H8" s="33" t="str">
        <x:v>complete source-to-user trials per year</x:v>
      </x:c>
      <x:c r="I8" s="33" t="str">
        <x:v>range supplies a decisive candidate function</x:v>
      </x:c>
      <x:c r="J8" s="38" t="n">
        <x:v>0.2</x:v>
      </x:c>
      <x:c r="K8" s="55" t="n">
        <x:f>J8*'Controls'!$D$29</x:f>
        <x:v>1.7988256386411274</x:v>
      </x:c>
      <x:c r="L8" s="33" t="str">
        <x:v>FROZEN PROGRAM</x:v>
      </x:c>
      <x:c r="M8" s="33" t="str">
        <x:v>OPEN</x:v>
      </x:c>
      <x:c r="N8" s="33" t="str">
        <x:v>HOLD</x:v>
      </x:c>
    </x:row>
    <x:row r="9" ht="44" customHeight="1">
      <x:c r="C9" s="33" t="str">
        <x:v>TP-A-05</x:v>
      </x:c>
      <x:c r="D9" s="33" t="str">
        <x:v>LF-A-CF1</x:v>
      </x:c>
      <x:c r="E9" s="33" t="str">
        <x:v>A</x:v>
      </x:c>
      <x:c r="F9" s="33" t="str">
        <x:v>tooling</x:v>
      </x:c>
      <x:c r="G9" s="33" t="str">
        <x:v>root-native nuclear, marine and process pilot line</x:v>
      </x:c>
      <x:c r="H9" s="33" t="str">
        <x:v>cold-reproduced cells per tooling year</x:v>
      </x:c>
      <x:c r="I9" s="33" t="str">
        <x:v>second team depends on original tacit labor</x:v>
      </x:c>
      <x:c r="J9" s="38" t="n">
        <x:v>0.2</x:v>
      </x:c>
      <x:c r="K9" s="55" t="n">
        <x:f>J9*'Controls'!$D$29</x:f>
        <x:v>1.7988256386411274</x:v>
      </x:c>
      <x:c r="L9" s="33" t="str">
        <x:v>FROZEN PROGRAM</x:v>
      </x:c>
      <x:c r="M9" s="33" t="str">
        <x:v>OPEN</x:v>
      </x:c>
      <x:c r="N9" s="33" t="str">
        <x:v>HOLD</x:v>
      </x:c>
    </x:row>
    <x:row r="10" ht="44" customHeight="1">
      <x:c r="C10" s="33" t="str">
        <x:v>TP-A-06</x:v>
      </x:c>
      <x:c r="D10" s="33" t="str">
        <x:v>LF-A-CF1</x:v>
      </x:c>
      <x:c r="E10" s="33" t="str">
        <x:v>A</x:v>
      </x:c>
      <x:c r="F10" s="33" t="str">
        <x:v>evidence</x:v>
      </x:c>
      <x:c r="G10" s="33" t="str">
        <x:v>outside-origin nuclear and utility replay</x:v>
      </x:c>
      <x:c r="H10" s="33" t="str">
        <x:v>decisions independently reproduced</x:v>
      </x:c>
      <x:c r="I10" s="33" t="str">
        <x:v>candidate owns the only truth or calibration path</x:v>
      </x:c>
      <x:c r="J10" s="38" t="n">
        <x:v>0.15</x:v>
      </x:c>
      <x:c r="K10" s="55" t="n">
        <x:f>J10*'Controls'!$D$29</x:f>
        <x:v>1.3491192289808454</x:v>
      </x:c>
      <x:c r="L10" s="33" t="str">
        <x:v>FROZEN PROGRAM</x:v>
      </x:c>
      <x:c r="M10" s="33" t="str">
        <x:v>OPEN</x:v>
      </x:c>
      <x:c r="N10" s="33" t="str">
        <x:v>HOLD</x:v>
      </x:c>
    </x:row>
    <x:row r="11" ht="44" customHeight="1">
      <x:c r="C11" s="33" t="str">
        <x:v>TP-A-07</x:v>
      </x:c>
      <x:c r="D11" s="33" t="str">
        <x:v>LF-A-CF1</x:v>
      </x:c>
      <x:c r="E11" s="33" t="str">
        <x:v>A</x:v>
      </x:c>
      <x:c r="F11" s="33" t="str">
        <x:v>failure reserve</x:v>
      </x:c>
      <x:c r="G11" s="33" t="str">
        <x:v>protected failed-root replacement authority</x:v>
      </x:c>
      <x:c r="H11" s="33" t="str">
        <x:v>replacement learning cycles funded</x:v>
      </x:c>
      <x:c r="I11" s="33" t="str">
        <x:v>reserve is consumed by routine overruns</x:v>
      </x:c>
      <x:c r="J11" s="38" t="n">
        <x:v>0.05</x:v>
      </x:c>
      <x:c r="K11" s="55" t="n">
        <x:f>J11*'Controls'!$D$29</x:f>
        <x:v>0.44970640966028186</x:v>
      </x:c>
      <x:c r="L11" s="33" t="str">
        <x:v>FROZEN PROGRAM</x:v>
      </x:c>
      <x:c r="M11" s="33" t="str">
        <x:v>OPEN</x:v>
      </x:c>
      <x:c r="N11" s="33" t="str">
        <x:v>HOLD</x:v>
      </x:c>
    </x:row>
    <x:row r="12" ht="44" customHeight="1">
      <x:c r="C12" s="33" t="str">
        <x:v>TP-B-01</x:v>
      </x:c>
      <x:c r="D12" s="33" t="str">
        <x:v>LF-B-CF1</x:v>
      </x:c>
      <x:c r="E12" s="33" t="str">
        <x:v>B</x:v>
      </x:c>
      <x:c r="F12" s="33" t="str">
        <x:v>primary energy</x:v>
      </x:c>
      <x:c r="G12" s="33" t="str">
        <x:v>rapid-bore closed-loop geothermal field</x:v>
      </x:c>
      <x:c r="H12" s="33" t="str">
        <x:v>firm MW by day twenty-one per bore train</x:v>
      </x:c>
      <x:c r="I12" s="33" t="str">
        <x:v>drawdown or induced hazard defeats sustained output</x:v>
      </x:c>
      <x:c r="J12" s="38" t="n">
        <x:v>0.2</x:v>
      </x:c>
      <x:c r="K12" s="55" t="n">
        <x:f>J12*'Controls'!$D$29</x:f>
        <x:v>1.7988256386411274</x:v>
      </x:c>
      <x:c r="L12" s="33" t="str">
        <x:v>FROZEN PROGRAM</x:v>
      </x:c>
      <x:c r="M12" s="33" t="str">
        <x:v>OPEN</x:v>
      </x:c>
      <x:c r="N12" s="33" t="str">
        <x:v>HOLD</x:v>
      </x:c>
    </x:row>
    <x:row r="13" ht="44" customHeight="1">
      <x:c r="C13" s="33" t="str">
        <x:v>TP-B-02</x:v>
      </x:c>
      <x:c r="D13" s="33" t="str">
        <x:v>LF-B-CF1</x:v>
      </x:c>
      <x:c r="E13" s="33" t="str">
        <x:v>B</x:v>
      </x:c>
      <x:c r="F13" s="33" t="str">
        <x:v>water process</x:v>
      </x:c>
      <x:c r="G13" s="33" t="str">
        <x:v>brackish selective separation and geochemical closure</x:v>
      </x:c>
      <x:c r="H13" s="33" t="str">
        <x:v>released product per reagent and residual tonne</x:v>
      </x:c>
      <x:c r="I13" s="33" t="str">
        <x:v>scaling, chemistry or waste closes the field</x:v>
      </x:c>
      <x:c r="J13" s="38" t="n">
        <x:v>0.1</x:v>
      </x:c>
      <x:c r="K13" s="55" t="n">
        <x:f>J13*'Controls'!$D$29</x:f>
        <x:v>0.8994128193205637</x:v>
      </x:c>
      <x:c r="L13" s="33" t="str">
        <x:v>FROZEN PROGRAM</x:v>
      </x:c>
      <x:c r="M13" s="33" t="str">
        <x:v>OPEN</x:v>
      </x:c>
      <x:c r="N13" s="33" t="str">
        <x:v>HOLD</x:v>
      </x:c>
    </x:row>
    <x:row r="14" ht="44" customHeight="1">
      <x:c r="C14" s="33" t="str">
        <x:v>TP-B-03</x:v>
      </x:c>
      <x:c r="D14" s="33" t="str">
        <x:v>LF-B-CF1</x:v>
      </x:c>
      <x:c r="E14" s="33" t="str">
        <x:v>B</x:v>
      </x:c>
      <x:c r="F14" s="33" t="str">
        <x:v>corridor</x:v>
      </x:c>
      <x:c r="G14" s="33" t="str">
        <x:v>autonomous buried fluid, power and thermal corridor</x:v>
      </x:c>
      <x:c r="H14" s="33" t="str">
        <x:v>accepted service-km per crew-day</x:v>
      </x:c>
      <x:c r="I14" s="33" t="str">
        <x:v>trenching or crossings dominate deployment</x:v>
      </x:c>
      <x:c r="J14" s="38" t="n">
        <x:v>0.1</x:v>
      </x:c>
      <x:c r="K14" s="55" t="n">
        <x:f>J14*'Controls'!$D$29</x:f>
        <x:v>0.8994128193205637</x:v>
      </x:c>
      <x:c r="L14" s="33" t="str">
        <x:v>FROZEN PROGRAM</x:v>
      </x:c>
      <x:c r="M14" s="33" t="str">
        <x:v>OPEN</x:v>
      </x:c>
      <x:c r="N14" s="33" t="str">
        <x:v>HOLD</x:v>
      </x:c>
    </x:row>
    <x:row r="15" ht="44" customHeight="1">
      <x:c r="C15" s="33" t="str">
        <x:v>TP-B-04</x:v>
      </x:c>
      <x:c r="D15" s="33" t="str">
        <x:v>LF-B-CF1</x:v>
      </x:c>
      <x:c r="E15" s="33" t="str">
        <x:v>B</x:v>
      </x:c>
      <x:c r="F15" s="33" t="str">
        <x:v>public range</x:v>
      </x:c>
      <x:c r="G15" s="33" t="str">
        <x:v>multi-geology subsurface utility range</x:v>
      </x:c>
      <x:c r="H15" s="33" t="str">
        <x:v>independent reservoir and surface trials</x:v>
      </x:c>
      <x:c r="I15" s="33" t="str">
        <x:v>one geology or model supplies all evidence</x:v>
      </x:c>
      <x:c r="J15" s="38" t="n">
        <x:v>0.2</x:v>
      </x:c>
      <x:c r="K15" s="55" t="n">
        <x:f>J15*'Controls'!$D$29</x:f>
        <x:v>1.7988256386411274</x:v>
      </x:c>
      <x:c r="L15" s="33" t="str">
        <x:v>FROZEN PROGRAM</x:v>
      </x:c>
      <x:c r="M15" s="33" t="str">
        <x:v>OPEN</x:v>
      </x:c>
      <x:c r="N15" s="33" t="str">
        <x:v>HOLD</x:v>
      </x:c>
    </x:row>
    <x:row r="16" ht="44" customHeight="1">
      <x:c r="C16" s="33" t="str">
        <x:v>TP-B-05</x:v>
      </x:c>
      <x:c r="D16" s="33" t="str">
        <x:v>LF-B-CF1</x:v>
      </x:c>
      <x:c r="E16" s="33" t="str">
        <x:v>B</x:v>
      </x:c>
      <x:c r="F16" s="33" t="str">
        <x:v>tooling</x:v>
      </x:c>
      <x:c r="G16" s="33" t="str">
        <x:v>mobile drilling and binary-plant production line</x:v>
      </x:c>
      <x:c r="H16" s="33" t="str">
        <x:v>cold-reproduced fields per tooling year</x:v>
      </x:c>
      <x:c r="I16" s="33" t="str">
        <x:v>critical rigs or crews remain common</x:v>
      </x:c>
      <x:c r="J16" s="38" t="n">
        <x:v>0.2</x:v>
      </x:c>
      <x:c r="K16" s="55" t="n">
        <x:f>J16*'Controls'!$D$29</x:f>
        <x:v>1.7988256386411274</x:v>
      </x:c>
      <x:c r="L16" s="33" t="str">
        <x:v>FROZEN PROGRAM</x:v>
      </x:c>
      <x:c r="M16" s="33" t="str">
        <x:v>OPEN</x:v>
      </x:c>
      <x:c r="N16" s="33" t="str">
        <x:v>HOLD</x:v>
      </x:c>
    </x:row>
    <x:row r="17" ht="44" customHeight="1">
      <x:c r="C17" s="33" t="str">
        <x:v>TP-B-06</x:v>
      </x:c>
      <x:c r="D17" s="33" t="str">
        <x:v>LF-B-CF1</x:v>
      </x:c>
      <x:c r="E17" s="33" t="str">
        <x:v>B</x:v>
      </x:c>
      <x:c r="F17" s="33" t="str">
        <x:v>evidence</x:v>
      </x:c>
      <x:c r="G17" s="33" t="str">
        <x:v>subsurface state and induced-hazard replay</x:v>
      </x:c>
      <x:c r="H17" s="33" t="str">
        <x:v>reservoir decisions independently reproduced</x:v>
      </x:c>
      <x:c r="I17" s="33" t="str">
        <x:v>unobservable subsurface state becomes assumed capacity</x:v>
      </x:c>
      <x:c r="J17" s="38" t="n">
        <x:v>0.15</x:v>
      </x:c>
      <x:c r="K17" s="55" t="n">
        <x:f>J17*'Controls'!$D$29</x:f>
        <x:v>1.3491192289808454</x:v>
      </x:c>
      <x:c r="L17" s="33" t="str">
        <x:v>FROZEN PROGRAM</x:v>
      </x:c>
      <x:c r="M17" s="33" t="str">
        <x:v>OPEN</x:v>
      </x:c>
      <x:c r="N17" s="33" t="str">
        <x:v>HOLD</x:v>
      </x:c>
    </x:row>
    <x:row r="18" ht="44" customHeight="1">
      <x:c r="C18" s="33" t="str">
        <x:v>TP-B-07</x:v>
      </x:c>
      <x:c r="D18" s="33" t="str">
        <x:v>LF-B-CF1</x:v>
      </x:c>
      <x:c r="E18" s="33" t="str">
        <x:v>B</x:v>
      </x:c>
      <x:c r="F18" s="33" t="str">
        <x:v>failure reserve</x:v>
      </x:c>
      <x:c r="G18" s="33" t="str">
        <x:v>protected failed-root replacement authority</x:v>
      </x:c>
      <x:c r="H18" s="33" t="str">
        <x:v>replacement learning cycles funded</x:v>
      </x:c>
      <x:c r="I18" s="33" t="str">
        <x:v>reserve is consumed by routine overruns</x:v>
      </x:c>
      <x:c r="J18" s="38" t="n">
        <x:v>0.05</x:v>
      </x:c>
      <x:c r="K18" s="55" t="n">
        <x:f>J18*'Controls'!$D$29</x:f>
        <x:v>0.44970640966028186</x:v>
      </x:c>
      <x:c r="L18" s="33" t="str">
        <x:v>FROZEN PROGRAM</x:v>
      </x:c>
      <x:c r="M18" s="33" t="str">
        <x:v>OPEN</x:v>
      </x:c>
      <x:c r="N18" s="33" t="str">
        <x:v>HOLD</x:v>
      </x:c>
    </x:row>
    <x:row r="19" ht="44" customHeight="1">
      <x:c r="C19" s="33" t="str">
        <x:v>TP-C-01</x:v>
      </x:c>
      <x:c r="D19" s="33" t="str">
        <x:v>LF-C-CF1</x:v>
      </x:c>
      <x:c r="E19" s="33" t="str">
        <x:v>C</x:v>
      </x:c>
      <x:c r="F19" s="33" t="str">
        <x:v>primary energy</x:v>
      </x:c>
      <x:c r="G19" s="33" t="str">
        <x:v>high-capacity renewable capture and long-duration firming</x:v>
      </x:c>
      <x:c r="H19" s="33" t="str">
        <x:v>firm MW per land and storage tonne</x:v>
      </x:c>
      <x:c r="I19" s="33" t="str">
        <x:v>72-hour resource denial exhausts the source</x:v>
      </x:c>
      <x:c r="J19" s="38" t="n">
        <x:v>0.2</x:v>
      </x:c>
      <x:c r="K19" s="55" t="n">
        <x:f>J19*'Controls'!$D$29</x:f>
        <x:v>1.7988256386411274</x:v>
      </x:c>
      <x:c r="L19" s="33" t="str">
        <x:v>FROZEN PROGRAM</x:v>
      </x:c>
      <x:c r="M19" s="33" t="str">
        <x:v>OPEN</x:v>
      </x:c>
      <x:c r="N19" s="33" t="str">
        <x:v>HOLD</x:v>
      </x:c>
    </x:row>
    <x:row r="20" ht="44" customHeight="1">
      <x:c r="C20" s="33" t="str">
        <x:v>TP-C-02</x:v>
      </x:c>
      <x:c r="D20" s="33" t="str">
        <x:v>LF-C-CF1</x:v>
      </x:c>
      <x:c r="E20" s="33" t="str">
        <x:v>C</x:v>
      </x:c>
      <x:c r="F20" s="33" t="str">
        <x:v>water process</x:v>
      </x:c>
      <x:c r="G20" s="33" t="str">
        <x:v>electrochemical selective separation and recovery</x:v>
      </x:c>
      <x:c r="H20" s="33" t="str">
        <x:v>released product per kWh and residual tonne</x:v>
      </x:c>
      <x:c r="I20" s="33" t="str">
        <x:v>cell degradation or residuals erase yield</x:v>
      </x:c>
      <x:c r="J20" s="38" t="n">
        <x:v>0.1</x:v>
      </x:c>
      <x:c r="K20" s="55" t="n">
        <x:f>J20*'Controls'!$D$29</x:f>
        <x:v>0.8994128193205637</x:v>
      </x:c>
      <x:c r="L20" s="33" t="str">
        <x:v>FROZEN PROGRAM</x:v>
      </x:c>
      <x:c r="M20" s="33" t="str">
        <x:v>OPEN</x:v>
      </x:c>
      <x:c r="N20" s="33" t="str">
        <x:v>HOLD</x:v>
      </x:c>
    </x:row>
    <x:row r="21" ht="44" customHeight="1">
      <x:c r="C21" s="33" t="str">
        <x:v>TP-C-03</x:v>
      </x:c>
      <x:c r="D21" s="33" t="str">
        <x:v>LF-C-CF1</x:v>
      </x:c>
      <x:c r="E21" s="33" t="str">
        <x:v>C</x:v>
      </x:c>
      <x:c r="F21" s="33" t="str">
        <x:v>corridor</x:v>
      </x:c>
      <x:c r="G21" s="33" t="str">
        <x:v>flexible drone-surveyed robotic utility corridor</x:v>
      </x:c>
      <x:c r="H21" s="33" t="str">
        <x:v>accepted service-km per day</x:v>
      </x:c>
      <x:c r="I21" s="33" t="str">
        <x:v>airborne mass or receiver crutch is required</x:v>
      </x:c>
      <x:c r="J21" s="38" t="n">
        <x:v>0.1</x:v>
      </x:c>
      <x:c r="K21" s="55" t="n">
        <x:f>J21*'Controls'!$D$29</x:f>
        <x:v>0.8994128193205637</x:v>
      </x:c>
      <x:c r="L21" s="33" t="str">
        <x:v>FROZEN PROGRAM</x:v>
      </x:c>
      <x:c r="M21" s="33" t="str">
        <x:v>OPEN</x:v>
      </x:c>
      <x:c r="N21" s="33" t="str">
        <x:v>HOLD</x:v>
      </x:c>
    </x:row>
    <x:row r="22" ht="44" customHeight="1">
      <x:c r="C22" s="33" t="str">
        <x:v>TP-C-04</x:v>
      </x:c>
      <x:c r="D22" s="33" t="str">
        <x:v>LF-C-CF1</x:v>
      </x:c>
      <x:c r="E22" s="33" t="str">
        <x:v>C</x:v>
      </x:c>
      <x:c r="F22" s="33" t="str">
        <x:v>public range</x:v>
      </x:c>
      <x:c r="G22" s="33" t="str">
        <x:v>correlated-weather and bounded-land range</x:v>
      </x:c>
      <x:c r="H22" s="33" t="str">
        <x:v>complete 72-hour denial trials</x:v>
      </x:c>
      <x:c r="I22" s="33" t="str">
        <x:v>weather input is too favorable or unreproducible</x:v>
      </x:c>
      <x:c r="J22" s="38" t="n">
        <x:v>0.2</x:v>
      </x:c>
      <x:c r="K22" s="55" t="n">
        <x:f>J22*'Controls'!$D$29</x:f>
        <x:v>1.7988256386411274</x:v>
      </x:c>
      <x:c r="L22" s="33" t="str">
        <x:v>FROZEN PROGRAM</x:v>
      </x:c>
      <x:c r="M22" s="33" t="str">
        <x:v>OPEN</x:v>
      </x:c>
      <x:c r="N22" s="33" t="str">
        <x:v>HOLD</x:v>
      </x:c>
    </x:row>
    <x:row r="23" ht="44" customHeight="1">
      <x:c r="C23" s="33" t="str">
        <x:v>TP-C-05</x:v>
      </x:c>
      <x:c r="D23" s="33" t="str">
        <x:v>LF-C-CF1</x:v>
      </x:c>
      <x:c r="E23" s="33" t="str">
        <x:v>C</x:v>
      </x:c>
      <x:c r="F23" s="33" t="str">
        <x:v>tooling</x:v>
      </x:c>
      <x:c r="G23" s="33" t="str">
        <x:v>storage, power-electronic and membrane microfactory line</x:v>
      </x:c>
      <x:c r="H23" s="33" t="str">
        <x:v>cold-reproduced cells per tooling year</x:v>
      </x:c>
      <x:c r="I23" s="33" t="str">
        <x:v>one converter or cell line becomes common</x:v>
      </x:c>
      <x:c r="J23" s="38" t="n">
        <x:v>0.2</x:v>
      </x:c>
      <x:c r="K23" s="55" t="n">
        <x:f>J23*'Controls'!$D$29</x:f>
        <x:v>1.7988256386411274</x:v>
      </x:c>
      <x:c r="L23" s="33" t="str">
        <x:v>FROZEN PROGRAM</x:v>
      </x:c>
      <x:c r="M23" s="33" t="str">
        <x:v>OPEN</x:v>
      </x:c>
      <x:c r="N23" s="33" t="str">
        <x:v>HOLD</x:v>
      </x:c>
    </x:row>
    <x:row r="24" ht="44" customHeight="1">
      <x:c r="C24" s="33" t="str">
        <x:v>TP-C-06</x:v>
      </x:c>
      <x:c r="D24" s="33" t="str">
        <x:v>LF-C-CF1</x:v>
      </x:c>
      <x:c r="E24" s="33" t="str">
        <x:v>C</x:v>
      </x:c>
      <x:c r="F24" s="33" t="str">
        <x:v>evidence</x:v>
      </x:c>
      <x:c r="G24" s="33" t="str">
        <x:v>long-duration cell and converter degradation replay</x:v>
      </x:c>
      <x:c r="H24" s="33" t="str">
        <x:v>state estimates independently reproduced</x:v>
      </x:c>
      <x:c r="I24" s="33" t="str">
        <x:v>state of charge or health is self-certified</x:v>
      </x:c>
      <x:c r="J24" s="38" t="n">
        <x:v>0.15</x:v>
      </x:c>
      <x:c r="K24" s="55" t="n">
        <x:f>J24*'Controls'!$D$29</x:f>
        <x:v>1.3491192289808454</x:v>
      </x:c>
      <x:c r="L24" s="33" t="str">
        <x:v>FROZEN PROGRAM</x:v>
      </x:c>
      <x:c r="M24" s="33" t="str">
        <x:v>OPEN</x:v>
      </x:c>
      <x:c r="N24" s="33" t="str">
        <x:v>HOLD</x:v>
      </x:c>
    </x:row>
    <x:row r="25" ht="44" customHeight="1">
      <x:c r="C25" s="33" t="str">
        <x:v>TP-C-07</x:v>
      </x:c>
      <x:c r="D25" s="33" t="str">
        <x:v>LF-C-CF1</x:v>
      </x:c>
      <x:c r="E25" s="33" t="str">
        <x:v>C</x:v>
      </x:c>
      <x:c r="F25" s="33" t="str">
        <x:v>failure reserve</x:v>
      </x:c>
      <x:c r="G25" s="33" t="str">
        <x:v>protected failed-root replacement authority</x:v>
      </x:c>
      <x:c r="H25" s="33" t="str">
        <x:v>replacement learning cycles funded</x:v>
      </x:c>
      <x:c r="I25" s="33" t="str">
        <x:v>reserve is consumed by routine overruns</x:v>
      </x:c>
      <x:c r="J25" s="38" t="n">
        <x:v>0.05</x:v>
      </x:c>
      <x:c r="K25" s="55" t="n">
        <x:f>J25*'Controls'!$D$29</x:f>
        <x:v>0.44970640966028186</x:v>
      </x:c>
      <x:c r="L25" s="33" t="str">
        <x:v>FROZEN PROGRAM</x:v>
      </x:c>
      <x:c r="M25" s="33" t="str">
        <x:v>OPEN</x:v>
      </x:c>
      <x:c r="N25" s="33" t="str">
        <x:v>HOLD</x:v>
      </x:c>
    </x:row>
    <x:row r="26" ht="44" customHeight="1">
      <x:c r="C26" s="33" t="str">
        <x:v>TP-D-01</x:v>
      </x:c>
      <x:c r="D26" s="33" t="str">
        <x:v>LF-D-CF1</x:v>
      </x:c>
      <x:c r="E26" s="33" t="str">
        <x:v>D</x:v>
      </x:c>
      <x:c r="F26" s="33" t="str">
        <x:v>primary energy</x:v>
      </x:c>
      <x:c r="G26" s="33" t="str">
        <x:v>ammonia-hydrogen fuel-cell and turbine hybrid</x:v>
      </x:c>
      <x:c r="H26" s="33" t="str">
        <x:v>firm MWh per imported fuel tonne</x:v>
      </x:c>
      <x:c r="I26" s="33" t="str">
        <x:v>fuel rate or casualty zone defeats service</x:v>
      </x:c>
      <x:c r="J26" s="38" t="n">
        <x:v>0.2</x:v>
      </x:c>
      <x:c r="K26" s="55" t="n">
        <x:f>J26*'Controls'!$D$29</x:f>
        <x:v>1.7988256386411274</x:v>
      </x:c>
      <x:c r="L26" s="33" t="str">
        <x:v>FROZEN PROGRAM</x:v>
      </x:c>
      <x:c r="M26" s="33" t="str">
        <x:v>OPEN</x:v>
      </x:c>
      <x:c r="N26" s="33" t="str">
        <x:v>HOLD</x:v>
      </x:c>
    </x:row>
    <x:row r="27" ht="44" customHeight="1">
      <x:c r="C27" s="33" t="str">
        <x:v>TP-D-02</x:v>
      </x:c>
      <x:c r="D27" s="33" t="str">
        <x:v>LF-D-CF1</x:v>
      </x:c>
      <x:c r="E27" s="33" t="str">
        <x:v>D</x:v>
      </x:c>
      <x:c r="F27" s="33" t="str">
        <x:v>water process</x:v>
      </x:c>
      <x:c r="G27" s="33" t="str">
        <x:v>adaptive membrane and biological polishing</x:v>
      </x:c>
      <x:c r="H27" s="33" t="str">
        <x:v>released product per energy and cleaning cycle</x:v>
      </x:c>
      <x:c r="I27" s="33" t="str">
        <x:v>biofouling or concentrate closes service</x:v>
      </x:c>
      <x:c r="J27" s="38" t="n">
        <x:v>0.1</x:v>
      </x:c>
      <x:c r="K27" s="55" t="n">
        <x:f>J27*'Controls'!$D$29</x:f>
        <x:v>0.8994128193205637</x:v>
      </x:c>
      <x:c r="L27" s="33" t="str">
        <x:v>FROZEN PROGRAM</x:v>
      </x:c>
      <x:c r="M27" s="33" t="str">
        <x:v>OPEN</x:v>
      </x:c>
      <x:c r="N27" s="33" t="str">
        <x:v>HOLD</x:v>
      </x:c>
    </x:row>
    <x:row r="28" ht="44" customHeight="1">
      <x:c r="C28" s="33" t="str">
        <x:v>TP-D-03</x:v>
      </x:c>
      <x:c r="D28" s="33" t="str">
        <x:v>LF-D-CF1</x:v>
      </x:c>
      <x:c r="E28" s="33" t="str">
        <x:v>D</x:v>
      </x:c>
      <x:c r="F28" s="33" t="str">
        <x:v>corridor</x:v>
      </x:c>
      <x:c r="G28" s="33" t="str">
        <x:v>self-forming recoverable surface utility corridor</x:v>
      </x:c>
      <x:c r="H28" s="33" t="str">
        <x:v>accepted service-km per day</x:v>
      </x:c>
      <x:c r="I28" s="33" t="str">
        <x:v>supports cannot survive terrain or traffic</x:v>
      </x:c>
      <x:c r="J28" s="38" t="n">
        <x:v>0.1</x:v>
      </x:c>
      <x:c r="K28" s="55" t="n">
        <x:f>J28*'Controls'!$D$29</x:f>
        <x:v>0.8994128193205637</x:v>
      </x:c>
      <x:c r="L28" s="33" t="str">
        <x:v>FROZEN PROGRAM</x:v>
      </x:c>
      <x:c r="M28" s="33" t="str">
        <x:v>OPEN</x:v>
      </x:c>
      <x:c r="N28" s="33" t="str">
        <x:v>HOLD</x:v>
      </x:c>
    </x:row>
    <x:row r="29" ht="44" customHeight="1">
      <x:c r="C29" s="33" t="str">
        <x:v>TP-D-04</x:v>
      </x:c>
      <x:c r="D29" s="33" t="str">
        <x:v>LF-D-CF1</x:v>
      </x:c>
      <x:c r="E29" s="33" t="str">
        <x:v>D</x:v>
      </x:c>
      <x:c r="F29" s="33" t="str">
        <x:v>public range</x:v>
      </x:c>
      <x:c r="G29" s="33" t="str">
        <x:v>fuel-casualty, emissions and service range</x:v>
      </x:c>
      <x:c r="H29" s="33" t="str">
        <x:v>complete fuel-loss and release trials</x:v>
      </x:c>
      <x:c r="I29" s="33" t="str">
        <x:v>public protection completes candidate safety</x:v>
      </x:c>
      <x:c r="J29" s="38" t="n">
        <x:v>0.2</x:v>
      </x:c>
      <x:c r="K29" s="55" t="n">
        <x:f>J29*'Controls'!$D$29</x:f>
        <x:v>1.7988256386411274</x:v>
      </x:c>
      <x:c r="L29" s="33" t="str">
        <x:v>FROZEN PROGRAM</x:v>
      </x:c>
      <x:c r="M29" s="33" t="str">
        <x:v>OPEN</x:v>
      </x:c>
      <x:c r="N29" s="33" t="str">
        <x:v>HOLD</x:v>
      </x:c>
    </x:row>
    <x:row r="30" ht="44" customHeight="1">
      <x:c r="C30" s="33" t="str">
        <x:v>TP-D-05</x:v>
      </x:c>
      <x:c r="D30" s="33" t="str">
        <x:v>LF-D-CF1</x:v>
      </x:c>
      <x:c r="E30" s="33" t="str">
        <x:v>D</x:v>
      </x:c>
      <x:c r="F30" s="33" t="str">
        <x:v>tooling</x:v>
      </x:c>
      <x:c r="G30" s="33" t="str">
        <x:v>fuel-cell, turbine and fuel-custody pilot line</x:v>
      </x:c>
      <x:c r="H30" s="33" t="str">
        <x:v>cold-reproduced fleets per tooling year</x:v>
      </x:c>
      <x:c r="I30" s="33" t="str">
        <x:v>fuel preparation or stack line remains common</x:v>
      </x:c>
      <x:c r="J30" s="38" t="n">
        <x:v>0.2</x:v>
      </x:c>
      <x:c r="K30" s="55" t="n">
        <x:f>J30*'Controls'!$D$29</x:f>
        <x:v>1.7988256386411274</x:v>
      </x:c>
      <x:c r="L30" s="33" t="str">
        <x:v>FROZEN PROGRAM</x:v>
      </x:c>
      <x:c r="M30" s="33" t="str">
        <x:v>OPEN</x:v>
      </x:c>
      <x:c r="N30" s="33" t="str">
        <x:v>HOLD</x:v>
      </x:c>
    </x:row>
    <x:row r="31" ht="44" customHeight="1">
      <x:c r="C31" s="33" t="str">
        <x:v>TP-D-06</x:v>
      </x:c>
      <x:c r="D31" s="33" t="str">
        <x:v>LF-D-CF1</x:v>
      </x:c>
      <x:c r="E31" s="33" t="str">
        <x:v>D</x:v>
      </x:c>
      <x:c r="F31" s="33" t="str">
        <x:v>evidence</x:v>
      </x:c>
      <x:c r="G31" s="33" t="str">
        <x:v>emissions, fire and fuel-quality outside replay</x:v>
      </x:c>
      <x:c r="H31" s="33" t="str">
        <x:v>decisions independently reproduced</x:v>
      </x:c>
      <x:c r="I31" s="33" t="str">
        <x:v>candidate controls decisive assay or plume truth</x:v>
      </x:c>
      <x:c r="J31" s="38" t="n">
        <x:v>0.15</x:v>
      </x:c>
      <x:c r="K31" s="55" t="n">
        <x:f>J31*'Controls'!$D$29</x:f>
        <x:v>1.3491192289808454</x:v>
      </x:c>
      <x:c r="L31" s="33" t="str">
        <x:v>FROZEN PROGRAM</x:v>
      </x:c>
      <x:c r="M31" s="33" t="str">
        <x:v>OPEN</x:v>
      </x:c>
      <x:c r="N31" s="33" t="str">
        <x:v>HOLD</x:v>
      </x:c>
    </x:row>
    <x:row r="32" ht="44" customHeight="1">
      <x:c r="C32" s="34" t="str">
        <x:v>TP-D-07</x:v>
      </x:c>
      <x:c r="D32" s="34" t="str">
        <x:v>LF-D-CF1</x:v>
      </x:c>
      <x:c r="E32" s="34" t="str">
        <x:v>D</x:v>
      </x:c>
      <x:c r="F32" s="34" t="str">
        <x:v>failure reserve</x:v>
      </x:c>
      <x:c r="G32" s="34" t="str">
        <x:v>protected failed-root replacement authority</x:v>
      </x:c>
      <x:c r="H32" s="34" t="str">
        <x:v>replacement learning cycles funded</x:v>
      </x:c>
      <x:c r="I32" s="34" t="str">
        <x:v>reserve is consumed by routine overruns</x:v>
      </x:c>
      <x:c r="J32" s="47" t="n">
        <x:v>0.05</x:v>
      </x:c>
      <x:c r="K32" s="56" t="n">
        <x:f>J32*'Controls'!$D$29</x:f>
        <x:v>0.44970640966028186</x:v>
      </x:c>
      <x:c r="L32" s="34" t="str">
        <x:v>FROZEN PROGRAM</x:v>
      </x:c>
      <x:c r="M32" s="34" t="str">
        <x:v>OPEN</x:v>
      </x:c>
      <x:c r="N32" s="34" t="str">
        <x:v>HOLD</x:v>
      </x:c>
    </x:row>
  </x:sheetData>
  <x:conditionalFormatting sqref="L5:N32">
    <x:cfRule type="containsText" dxfId="78" priority="1" operator="containsText" text="FAIL"/>
    <x:cfRule type="containsText" dxfId="79" priority="2" operator="containsText" text="OPEN"/>
    <x:cfRule type="containsText" dxfId="80" priority="3" operator="containsText" text="HOLD"/>
    <x:cfRule type="containsText" dxfId="81" priority="4" operator="containsText" text="SELECT"/>
    <x:cfRule type="containsText" dxfId="82" priority="5" operator="containsText" text="PASS"/>
    <x:cfRule type="containsText" dxfId="83" priority="6" operator="containsText" text="BLOCK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2.779999732971191" hidden="0" customWidth="1"/>
    <x:col min="4" max="4" width="28.889999389648438" hidden="0" customWidth="1"/>
    <x:col min="5" max="5" width="17.780000686645508" hidden="0" customWidth="1"/>
    <x:col min="6" max="6" width="10" hidden="0" customWidth="1"/>
  </x:cols>
  <x:sheetData>
    <x:row r="2">
      <x:c r="C2" s="1" t="str">
        <x:v>Lifeline G0–G3 financial boundary</x:v>
      </x:c>
    </x:row>
    <x:row r="3">
      <x:c r="C3" s="2" t="str">
        <x:v>Cumulative reservations are equal learning options inside the conserved program, not article prices or earned payments.</x:v>
      </x:c>
    </x:row>
    <x:row r="4" ht="30" customHeight="1">
      <x:c r="C4" s="7" t="str">
        <x:v>Boundary</x:v>
      </x:c>
      <x:c r="D4" s="7" t="str">
        <x:v>Value</x:v>
      </x:c>
      <x:c r="E4" s="7" t="str">
        <x:v>Unit</x:v>
      </x:c>
      <x:c r="F4" s="7" t="str">
        <x:v>Rule</x:v>
      </x:c>
    </x:row>
    <x:row r="5" ht="42" customHeight="1">
      <x:c r="C5" s="59" t="str">
        <x:v>MS-LF 25-year mission envelope</x:v>
      </x:c>
      <x:c r="D5" s="62" t="n">
        <x:v>71.95302554564509</x:v>
      </x:c>
      <x:c r="E5" s="59" t="str">
        <x:v>USD B</x:v>
      </x:c>
      <x:c r="F5" s="59" t="str">
        <x:v>Pass 168 conserved allocation</x:v>
      </x:c>
    </x:row>
    <x:row r="6" ht="42" customHeight="1">
      <x:c r="C6" s="60" t="str">
        <x:v>Cumulative share through G3</x:v>
      </x:c>
      <x:c r="D6" s="65" t="n">
        <x:v>0.5</x:v>
      </x:c>
      <x:c r="E6" s="60" t="str">
        <x:v>share</x:v>
      </x:c>
      <x:c r="F6" s="60" t="str">
        <x:v>Pass 171 wavefront</x:v>
      </x:c>
    </x:row>
    <x:row r="7" ht="42" customHeight="1">
      <x:c r="C7" s="60" t="str">
        <x:v>MS-LF reservation through G3</x:v>
      </x:c>
      <x:c r="D7" s="63" t="n">
        <x:f>D5*D6</x:f>
        <x:v>35.976512772822545</x:v>
      </x:c>
      <x:c r="E7" s="60" t="str">
        <x:v>USD B</x:v>
      </x:c>
      <x:c r="F7" s="60" t="str">
        <x:v>Envelope × cumulative share</x:v>
      </x:c>
    </x:row>
    <x:row r="8" ht="42" customHeight="1">
      <x:c r="C8" s="60" t="str">
        <x:v>Complete roots</x:v>
      </x:c>
      <x:c r="D8" s="63" t="n">
        <x:v>4</x:v>
      </x:c>
      <x:c r="E8" s="60" t="str">
        <x:v>roots</x:v>
      </x:c>
      <x:c r="F8" s="60" t="str">
        <x:v>Pass 175 constitution</x:v>
      </x:c>
    </x:row>
    <x:row r="9" ht="42" customHeight="1">
      <x:c r="C9" s="61" t="str">
        <x:v>Reservation per root</x:v>
      </x:c>
      <x:c r="D9" s="64" t="n">
        <x:f>D7/D8</x:f>
        <x:v>8.994128193205636</x:v>
      </x:c>
      <x:c r="E9" s="61" t="str">
        <x:v>USD B</x:v>
      </x:c>
      <x:c r="F9" s="61" t="str">
        <x:v>Equal option; no winner presumed</x:v>
      </x:c>
    </x:row>
    <x:row r="12" ht="30" customHeight="1">
      <x:c r="C12" s="70" t="str">
        <x:v>Program class</x:v>
      </x:c>
      <x:c r="D12" s="70" t="str">
        <x:v>Share</x:v>
      </x:c>
      <x:c r="E12" s="70" t="str">
        <x:v>Allocation USD B</x:v>
      </x:c>
      <x:c r="F12" s="70" t="str">
        <x:v>Boundary</x:v>
      </x:c>
    </x:row>
    <x:row r="13" ht="42" customHeight="1">
      <x:c r="C13" s="59" t="str">
        <x:v>Root mechanisms and prototypes</x:v>
      </x:c>
      <x:c r="D13" s="71" t="n">
        <x:v>0.4</x:v>
      </x:c>
      <x:c r="E13" s="62" t="n">
        <x:f>$D$7*D13</x:f>
        <x:v>14.39060510912902</x:v>
      </x:c>
      <x:c r="F13" s="59" t="str">
        <x:v>Primary source, water and corridor mechanisms</x:v>
      </x:c>
    </x:row>
    <x:row r="14" ht="42" customHeight="1">
      <x:c r="C14" s="60" t="str">
        <x:v>Public ranges and receiver systems</x:v>
      </x:c>
      <x:c r="D14" s="65" t="n">
        <x:v>0.2</x:v>
      </x:c>
      <x:c r="E14" s="63" t="n">
        <x:f>$D$7*D14</x:f>
        <x:v>7.19530255456451</x:v>
      </x:c>
      <x:c r="F14" s="60" t="str">
        <x:v>Candidate-neutral wet, inland, weather and fuel trials</x:v>
      </x:c>
    </x:row>
    <x:row r="15" ht="42" customHeight="1">
      <x:c r="C15" s="60" t="str">
        <x:v>Root-native tooling and pilot lines</x:v>
      </x:c>
      <x:c r="D15" s="65" t="n">
        <x:v>0.2</x:v>
      </x:c>
      <x:c r="E15" s="63" t="n">
        <x:f>$D$7*D15</x:f>
        <x:v>7.19530255456451</x:v>
      </x:c>
      <x:c r="F15" s="60" t="str">
        <x:v>Cold reproduction without original factory</x:v>
      </x:c>
    </x:row>
    <x:row r="16" ht="42" customHeight="1">
      <x:c r="C16" s="60" t="str">
        <x:v>Independent evidence</x:v>
      </x:c>
      <x:c r="D16" s="65" t="n">
        <x:v>0.15</x:v>
      </x:c>
      <x:c r="E16" s="63" t="n">
        <x:f>$D$7*D16</x:f>
        <x:v>5.396476915923381</x:v>
      </x:c>
      <x:c r="F16" s="60" t="str">
        <x:v>Outside-origin truth, custody and replay</x:v>
      </x:c>
    </x:row>
    <x:row r="17" ht="42" customHeight="1">
      <x:c r="C17" s="60" t="str">
        <x:v>Protected failure reserve</x:v>
      </x:c>
      <x:c r="D17" s="65" t="n">
        <x:v>0.05</x:v>
      </x:c>
      <x:c r="E17" s="63" t="n">
        <x:f>$D$7*D17</x:f>
        <x:v>1.7988256386411274</x:v>
      </x:c>
      <x:c r="F17" s="60" t="str">
        <x:v>Failed-root replacement; not routine overrun</x:v>
      </x:c>
    </x:row>
    <x:row r="18" ht="42" customHeight="1">
      <x:c r="C18" s="61" t="str">
        <x:v>Total</x:v>
      </x:c>
      <x:c r="D18" s="72" t="n">
        <x:v>1</x:v>
      </x:c>
      <x:c r="E18" s="64" t="n">
        <x:f>SUM(E13:E17)</x:f>
        <x:v>35.976512772822545</x:v>
      </x:c>
      <x:c r="F18" s="61" t="str">
        <x:v>Sum once</x:v>
      </x:c>
    </x:row>
    <x:row r="21" ht="30" customHeight="1">
      <x:c r="C21" s="77" t="str">
        <x:v>Configuration</x:v>
      </x:c>
      <x:c r="D21" s="77" t="str">
        <x:v>Architecture</x:v>
      </x:c>
      <x:c r="E21" s="77" t="str">
        <x:v>Reservation USD B</x:v>
      </x:c>
      <x:c r="F21" s="77" t="str">
        <x:v>Evidence</x:v>
      </x:c>
    </x:row>
    <x:row r="22" ht="34" customHeight="1">
      <x:c r="C22" s="59" t="str">
        <x:v>LF-A-CF1</x:v>
      </x:c>
      <x:c r="D22" s="59" t="str">
        <x:v>Oceanic nuclear utility</x:v>
      </x:c>
      <x:c r="E22" s="62" t="n">
        <x:f>$D$9</x:f>
        <x:v>8.994128193205636</x:v>
      </x:c>
      <x:c r="F22" s="59" t="str">
        <x:v>OPEN</x:v>
      </x:c>
    </x:row>
    <x:row r="23" ht="34" customHeight="1">
      <x:c r="C23" s="60" t="str">
        <x:v>LF-B-CF1</x:v>
      </x:c>
      <x:c r="D23" s="60" t="str">
        <x:v>Inland geothermal train</x:v>
      </x:c>
      <x:c r="E23" s="63" t="n">
        <x:f>$D$9</x:f>
        <x:v>8.994128193205636</x:v>
      </x:c>
      <x:c r="F23" s="60" t="str">
        <x:v>OPEN</x:v>
      </x:c>
    </x:row>
    <x:row r="24" ht="34" customHeight="1">
      <x:c r="C24" s="60" t="str">
        <x:v>LF-C-CF1</x:v>
      </x:c>
      <x:c r="D24" s="60" t="str">
        <x:v>Renewable electrochemical swarm</x:v>
      </x:c>
      <x:c r="E24" s="63" t="n">
        <x:f>$D$9</x:f>
        <x:v>8.994128193205636</x:v>
      </x:c>
      <x:c r="F24" s="60" t="str">
        <x:v>OPEN</x:v>
      </x:c>
    </x:row>
    <x:row r="25" ht="34" customHeight="1">
      <x:c r="C25" s="60" t="str">
        <x:v>LF-D-CF1</x:v>
      </x:c>
      <x:c r="D25" s="60" t="str">
        <x:v>Synthetic-fuel service fleet</x:v>
      </x:c>
      <x:c r="E25" s="63" t="n">
        <x:f>$D$9</x:f>
        <x:v>8.994128193205636</x:v>
      </x:c>
      <x:c r="F25" s="60" t="str">
        <x:v>OPEN</x:v>
      </x:c>
    </x:row>
    <x:row r="26" ht="34" customHeight="1">
      <x:c r="C26" s="61" t="str">
        <x:v>Total</x:v>
      </x:c>
      <x:c r="D26" s="61" t="str"/>
      <x:c r="E26" s="64" t="n">
        <x:f>SUM(E22:E25)</x:f>
        <x:v>35.976512772822545</x:v>
      </x:c>
      <x:c r="F26" s="61" t="str"/>
    </x:row>
  </x:sheetData>
  <x:conditionalFormatting sqref="F22:F25">
    <x:cfRule type="containsText" dxfId="84" priority="1" operator="containsText" text="FAIL"/>
    <x:cfRule type="containsText" dxfId="85" priority="2" operator="containsText" text="OPEN"/>
    <x:cfRule type="containsText" dxfId="86" priority="3" operator="containsText" text="HOLD"/>
    <x:cfRule type="containsText" dxfId="87" priority="4" operator="containsText" text="SELECT"/>
    <x:cfRule type="containsText" dxfId="88" priority="5" operator="containsText" text="PASS"/>
    <x:cfRule type="containsText" dxfId="89" priority="6" operator="containsText" text="BLOCK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3" max="3" width="34.439998626708984" hidden="0" customWidth="1"/>
    <x:col min="4" max="4" width="20" hidden="0" customWidth="1"/>
    <x:col min="5" max="5" width="17.780000686645508" hidden="0" customWidth="1"/>
  </x:cols>
  <x:sheetData>
    <x:row r="2">
      <x:c r="C2" s="1" t="str">
        <x:v>Model controls</x:v>
      </x:c>
    </x:row>
    <x:row r="3">
      <x:c r="C3" s="2" t="str">
        <x:v>Blue values are constitutional inputs or controlled hypotheses; changing them recomputes dependent balances and audits.</x:v>
      </x:c>
    </x:row>
    <x:row r="4" ht="30" customHeight="1">
      <x:c r="C4" s="7" t="str">
        <x:v>Control</x:v>
      </x:c>
      <x:c r="D4" s="7" t="str">
        <x:v>Value</x:v>
      </x:c>
      <x:c r="E4" s="7" t="str">
        <x:v>Unit</x:v>
      </x:c>
    </x:row>
    <x:row r="5" ht="26" customHeight="1">
      <x:c r="C5" s="11" t="str">
        <x:v>Selected system</x:v>
      </x:c>
      <x:c r="D5" s="81" t="str">
        <x:v>MS-LF</x:v>
      </x:c>
      <x:c r="E5" s="11" t="str">
        <x:v>ID</x:v>
      </x:c>
    </x:row>
    <x:row r="6" ht="26" customHeight="1">
      <x:c r="C6" s="12" t="str">
        <x:v>Public population</x:v>
      </x:c>
      <x:c r="D6" s="82" t="n">
        <x:v>2000000</x:v>
      </x:c>
      <x:c r="E6" s="12" t="str">
        <x:v>people</x:v>
      </x:c>
    </x:row>
    <x:row r="7" ht="26" customHeight="1">
      <x:c r="C7" s="12" t="str">
        <x:v>Full water</x:v>
      </x:c>
      <x:c r="D7" s="82" t="n">
        <x:v>100000</x:v>
      </x:c>
      <x:c r="E7" s="12" t="str">
        <x:v>m³/day</x:v>
      </x:c>
    </x:row>
    <x:row r="8" ht="26" customHeight="1">
      <x:c r="C8" s="12" t="str">
        <x:v>Wastewater/residual intake</x:v>
      </x:c>
      <x:c r="D8" s="82" t="n">
        <x:v>80000</x:v>
      </x:c>
      <x:c r="E8" s="12" t="str">
        <x:v>m³/day</x:v>
      </x:c>
    </x:row>
    <x:row r="9" ht="26" customHeight="1">
      <x:c r="C9" s="12" t="str">
        <x:v>Full firm power</x:v>
      </x:c>
      <x:c r="D9" s="82" t="n">
        <x:v>100</x:v>
      </x:c>
      <x:c r="E9" s="12" t="str">
        <x:v>MW</x:v>
      </x:c>
    </x:row>
    <x:row r="10" ht="26" customHeight="1">
      <x:c r="C10" s="12" t="str">
        <x:v>Full thermal service</x:v>
      </x:c>
      <x:c r="D10" s="82" t="n">
        <x:v>80</x:v>
      </x:c>
      <x:c r="E10" s="12" t="str">
        <x:v>MWth</x:v>
      </x:c>
    </x:row>
    <x:row r="11" ht="26" customHeight="1">
      <x:c r="C11" s="12" t="str">
        <x:v>Source blocks/root</x:v>
      </x:c>
      <x:c r="D11" s="82" t="n">
        <x:v>4</x:v>
      </x:c>
      <x:c r="E11" s="12" t="str">
        <x:v>count</x:v>
      </x:c>
    </x:row>
    <x:row r="12" ht="26" customHeight="1">
      <x:c r="C12" s="12" t="str">
        <x:v>Water groups/root</x:v>
      </x:c>
      <x:c r="D12" s="82" t="n">
        <x:v>8</x:v>
      </x:c>
      <x:c r="E12" s="12" t="str">
        <x:v>count</x:v>
      </x:c>
    </x:row>
    <x:row r="13" ht="26" customHeight="1">
      <x:c r="C13" s="12" t="str">
        <x:v>Local-power cells/root</x:v>
      </x:c>
      <x:c r="D13" s="82" t="n">
        <x:v>10</x:v>
      </x:c>
      <x:c r="E13" s="12" t="str">
        <x:v>count</x:v>
      </x:c>
    </x:row>
    <x:row r="14" ht="26" customHeight="1">
      <x:c r="C14" s="12" t="str">
        <x:v>Grid-bridge groups/root</x:v>
      </x:c>
      <x:c r="D14" s="82" t="n">
        <x:v>8</x:v>
      </x:c>
      <x:c r="E14" s="12" t="str">
        <x:v>count</x:v>
      </x:c>
    </x:row>
    <x:row r="15" ht="26" customHeight="1">
      <x:c r="C15" s="12" t="str">
        <x:v>Thermal cells/root</x:v>
      </x:c>
      <x:c r="D15" s="82" t="n">
        <x:v>8</x:v>
      </x:c>
      <x:c r="E15" s="12" t="str">
        <x:v>count</x:v>
      </x:c>
    </x:row>
    <x:row r="16" ht="26" customHeight="1">
      <x:c r="C16" s="12" t="str">
        <x:v>Positions/root</x:v>
      </x:c>
      <x:c r="D16" s="82" t="n">
        <x:v>38</x:v>
      </x:c>
      <x:c r="E16" s="12" t="str">
        <x:v>count</x:v>
      </x:c>
    </x:row>
    <x:row r="17" ht="26" customHeight="1">
      <x:c r="C17" s="12" t="str">
        <x:v>Complete roots</x:v>
      </x:c>
      <x:c r="D17" s="82" t="n">
        <x:v>4</x:v>
      </x:c>
      <x:c r="E17" s="12" t="str">
        <x:v>count</x:v>
      </x:c>
    </x:row>
    <x:row r="18" ht="26" customHeight="1">
      <x:c r="C18" s="12" t="str">
        <x:v>Position records</x:v>
      </x:c>
      <x:c r="D18" s="82" t="n">
        <x:v>152</x:v>
      </x:c>
      <x:c r="E18" s="12" t="str">
        <x:v>count</x:v>
      </x:c>
    </x:row>
    <x:row r="19" ht="26" customHeight="1">
      <x:c r="C19" s="12" t="str">
        <x:v>Article records</x:v>
      </x:c>
      <x:c r="D19" s="82" t="n">
        <x:v>40</x:v>
      </x:c>
      <x:c r="E19" s="12" t="str">
        <x:v>count</x:v>
      </x:c>
    </x:row>
    <x:row r="20" ht="26" customHeight="1">
      <x:c r="C20" s="12" t="str">
        <x:v>Failure trials</x:v>
      </x:c>
      <x:c r="D20" s="82" t="n">
        <x:v>72</x:v>
      </x:c>
      <x:c r="E20" s="12" t="str">
        <x:v>count</x:v>
      </x:c>
    </x:row>
    <x:row r="21" ht="26" customHeight="1">
      <x:c r="C21" s="12" t="str">
        <x:v>Ancestry records</x:v>
      </x:c>
      <x:c r="D21" s="82" t="n">
        <x:v>48</x:v>
      </x:c>
      <x:c r="E21" s="12" t="str">
        <x:v>count</x:v>
      </x:c>
    </x:row>
    <x:row r="22" ht="26" customHeight="1">
      <x:c r="C22" s="12" t="str">
        <x:v>G3 gate records</x:v>
      </x:c>
      <x:c r="D22" s="82" t="n">
        <x:v>56</x:v>
      </x:c>
      <x:c r="E22" s="12" t="str">
        <x:v>count</x:v>
      </x:c>
    </x:row>
    <x:row r="23" ht="26" customHeight="1">
      <x:c r="C23" s="12" t="str">
        <x:v>Technology programs</x:v>
      </x:c>
      <x:c r="D23" s="82" t="n">
        <x:v>28</x:v>
      </x:c>
      <x:c r="E23" s="12" t="str">
        <x:v>count</x:v>
      </x:c>
    </x:row>
    <x:row r="24" ht="26" customHeight="1">
      <x:c r="C24" s="12" t="str">
        <x:v>Full-service deadline</x:v>
      </x:c>
      <x:c r="D24" s="82" t="n">
        <x:v>21</x:v>
      </x:c>
      <x:c r="E24" s="12" t="str">
        <x:v>days</x:v>
      </x:c>
    </x:row>
    <x:row r="25" ht="26" customHeight="1">
      <x:c r="C25" s="12" t="str">
        <x:v>Mission duration</x:v>
      </x:c>
      <x:c r="D25" s="82" t="n">
        <x:v>30</x:v>
      </x:c>
      <x:c r="E25" s="12" t="str">
        <x:v>days</x:v>
      </x:c>
    </x:row>
    <x:row r="26" ht="26" customHeight="1">
      <x:c r="C26" s="12" t="str">
        <x:v>Disconnected control</x:v>
      </x:c>
      <x:c r="D26" s="82" t="n">
        <x:v>24</x:v>
      </x:c>
      <x:c r="E26" s="12" t="str">
        <x:v>hours</x:v>
      </x:c>
    </x:row>
    <x:row r="27" ht="26" customHeight="1">
      <x:c r="C27" s="12" t="str">
        <x:v>Water buffer</x:v>
      </x:c>
      <x:c r="D27" s="82" t="n">
        <x:v>24</x:v>
      </x:c>
      <x:c r="E27" s="12" t="str">
        <x:v>hours</x:v>
      </x:c>
    </x:row>
    <x:row r="28" ht="26" customHeight="1">
      <x:c r="C28" s="12" t="str">
        <x:v>Residual assignment</x:v>
      </x:c>
      <x:c r="D28" s="84" t="n">
        <x:v>1</x:v>
      </x:c>
      <x:c r="E28" s="12" t="str">
        <x:v>share</x:v>
      </x:c>
    </x:row>
    <x:row r="29" ht="26" customHeight="1">
      <x:c r="C29" s="12" t="str">
        <x:v>Root G0–G3 reservation</x:v>
      </x:c>
      <x:c r="D29" s="82" t="n">
        <x:v>8.994128193205636</x:v>
      </x:c>
      <x:c r="E29" s="12" t="str">
        <x:v>USD B</x:v>
      </x:c>
    </x:row>
    <x:row r="30" ht="26" customHeight="1">
      <x:c r="C30" s="12" t="str">
        <x:v>MS-LF G0–G3 reservation</x:v>
      </x:c>
      <x:c r="D30" s="82" t="n">
        <x:v>35.976512772822545</x:v>
      </x:c>
      <x:c r="E30" s="12" t="str">
        <x:v>USD B</x:v>
      </x:c>
    </x:row>
    <x:row r="31" ht="26" customHeight="1">
      <x:c r="C31" s="12" t="str">
        <x:v>Rotation multiplier</x:v>
      </x:c>
      <x:c r="D31" s="82" t="n">
        <x:v>3.2</x:v>
      </x:c>
      <x:c r="E31" s="12" t="str">
        <x:v>ratio</x:v>
      </x:c>
    </x:row>
    <x:row r="32" ht="26" customHeight="1">
      <x:c r="C32" s="12" t="str">
        <x:v>Force credit</x:v>
      </x:c>
      <x:c r="D32" s="82" t="n">
        <x:v>0</x:v>
      </x:c>
      <x:c r="E32" s="12" t="str">
        <x:v>formation equivalents</x:v>
      </x:c>
    </x:row>
    <x:row r="33" ht="26" customHeight="1">
      <x:c r="C33" s="13" t="str">
        <x:v>Rendering authority</x:v>
      </x:c>
      <x:c r="D33" s="83" t="n">
        <x:v>0</x:v>
      </x:c>
      <x:c r="E33" s="13" t="str">
        <x:v>boolean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3" max="3" width="31.110000610351562" hidden="0" customWidth="1"/>
    <x:col min="4" max="4" width="18.329999923706055" hidden="0" customWidth="1"/>
    <x:col min="5" max="5" width="18.329999923706055" hidden="0" customWidth="1"/>
    <x:col min="6" max="6" width="11.109999656677246" hidden="0" customWidth="1"/>
  </x:cols>
  <x:sheetData>
    <x:row r="2">
      <x:c r="C2" s="1" t="str">
        <x:v>Terminal audits</x:v>
      </x:c>
    </x:row>
    <x:row r="3">
      <x:c r="C3" s="2" t="str">
        <x:v>Checks observe the builds and do not feed service, release or finance outputs.</x:v>
      </x:c>
    </x:row>
    <x:row r="4" ht="30" customHeight="1">
      <x:c r="C4" s="7" t="str">
        <x:v>Audit</x:v>
      </x:c>
      <x:c r="D4" s="7" t="str">
        <x:v>Observed</x:v>
      </x:c>
      <x:c r="E4" s="7" t="str">
        <x:v>Expected</x:v>
      </x:c>
      <x:c r="F4" s="7" t="str">
        <x:v>Result</x:v>
      </x:c>
    </x:row>
    <x:row r="5" ht="26" customHeight="1">
      <x:c r="C5" s="11" t="str">
        <x:v>System candidates</x:v>
      </x:c>
      <x:c r="D5" s="85" t="n">
        <x:f>COUNTA('System Screen'!C5:C10)</x:f>
        <x:v>6</x:v>
      </x:c>
      <x:c r="E5" s="85" t="n">
        <x:v>6</x:v>
      </x:c>
      <x:c r="F5" s="88" t="str">
        <x:f>IF(ABS(D5-E5)&lt;0.0001,"PASS","FAIL")</x:f>
        <x:v>PASS</x:v>
      </x:c>
    </x:row>
    <x:row r="6" ht="26" customHeight="1">
      <x:c r="C6" s="12" t="str">
        <x:v>Selected systems</x:v>
      </x:c>
      <x:c r="D6" s="86" t="n">
        <x:f>COUNTIFS('System Screen'!N5:N10,"SELECT")</x:f>
        <x:v>1</x:v>
      </x:c>
      <x:c r="E6" s="86" t="n">
        <x:v>1</x:v>
      </x:c>
      <x:c r="F6" s="89" t="str">
        <x:f>IF(ABS(D6-E6)&lt;0.0001,"PASS","FAIL")</x:f>
        <x:v>PASS</x:v>
      </x:c>
    </x:row>
    <x:row r="7" ht="26" customHeight="1">
      <x:c r="C7" s="12" t="str">
        <x:v>Selected-system gates</x:v>
      </x:c>
      <x:c r="D7" s="86" t="n">
        <x:f>MAX('System Screen'!M5:M10)</x:f>
        <x:v>8</x:v>
      </x:c>
      <x:c r="E7" s="86" t="n">
        <x:v>8</x:v>
      </x:c>
      <x:c r="F7" s="89" t="str">
        <x:f>IF(ABS(D7-E7)&lt;0.0001,"PASS","FAIL")</x:f>
        <x:v>PASS</x:v>
      </x:c>
    </x:row>
    <x:row r="8" ht="26" customHeight="1">
      <x:c r="C8" s="12" t="str">
        <x:v>Service requirements</x:v>
      </x:c>
      <x:c r="D8" s="86" t="n">
        <x:f>COUNTA('Service Contract'!C5:C24)</x:f>
        <x:v>20</x:v>
      </x:c>
      <x:c r="E8" s="86" t="n">
        <x:v>20</x:v>
      </x:c>
      <x:c r="F8" s="89" t="str">
        <x:f>IF(ABS(D8-E8)&lt;0.0001,"PASS","FAIL")</x:f>
        <x:v>PASS</x:v>
      </x:c>
    </x:row>
    <x:row r="9" ht="26" customHeight="1">
      <x:c r="C9" s="12" t="str">
        <x:v>Service planning passes</x:v>
      </x:c>
      <x:c r="D9" s="86" t="n">
        <x:f>COUNTIFS('Service Contract'!I5:I24,"PASS")</x:f>
        <x:v>20</x:v>
      </x:c>
      <x:c r="E9" s="86" t="n">
        <x:v>20</x:v>
      </x:c>
      <x:c r="F9" s="89" t="str">
        <x:f>IF(ABS(D9-E9)&lt;0.0001,"PASS","FAIL")</x:f>
        <x:v>PASS</x:v>
      </x:c>
    </x:row>
    <x:row r="10" ht="26" customHeight="1">
      <x:c r="C10" s="12" t="str">
        <x:v>Service evidence open</x:v>
      </x:c>
      <x:c r="D10" s="86" t="n">
        <x:f>COUNTIFS('Service Contract'!J5:J24,"OPEN")</x:f>
        <x:v>20</x:v>
      </x:c>
      <x:c r="E10" s="86" t="n">
        <x:v>20</x:v>
      </x:c>
      <x:c r="F10" s="89" t="str">
        <x:f>IF(ABS(D10-E10)&lt;0.0001,"PASS","FAIL")</x:f>
        <x:v>PASS</x:v>
      </x:c>
    </x:row>
    <x:row r="11" ht="26" customHeight="1">
      <x:c r="C11" s="12" t="str">
        <x:v>Complete roots</x:v>
      </x:c>
      <x:c r="D11" s="86" t="n">
        <x:f>COUNTA('Root Summary'!C5:C8)</x:f>
        <x:v>4</x:v>
      </x:c>
      <x:c r="E11" s="86" t="n">
        <x:v>4</x:v>
      </x:c>
      <x:c r="F11" s="89" t="str">
        <x:f>IF(ABS(D11-E11)&lt;0.0001,"PASS","FAIL")</x:f>
        <x:v>PASS</x:v>
      </x:c>
    </x:row>
    <x:row r="12" ht="26" customHeight="1">
      <x:c r="C12" s="12" t="str">
        <x:v>Root positions minimum</x:v>
      </x:c>
      <x:c r="D12" s="86" t="n">
        <x:f>MIN('Root Summary'!H5:H8)</x:f>
        <x:v>38</x:v>
      </x:c>
      <x:c r="E12" s="86" t="n">
        <x:v>38</x:v>
      </x:c>
      <x:c r="F12" s="89" t="str">
        <x:f>IF(ABS(D12-E12)&lt;0.0001,"PASS","FAIL")</x:f>
        <x:v>PASS</x:v>
      </x:c>
    </x:row>
    <x:row r="13" ht="26" customHeight="1">
      <x:c r="C13" s="12" t="str">
        <x:v>Root positions maximum</x:v>
      </x:c>
      <x:c r="D13" s="86" t="n">
        <x:f>MAX('Root Summary'!H5:H8)</x:f>
        <x:v>38</x:v>
      </x:c>
      <x:c r="E13" s="86" t="n">
        <x:v>38</x:v>
      </x:c>
      <x:c r="F13" s="89" t="str">
        <x:f>IF(ABS(D13-E13)&lt;0.0001,"PASS","FAIL")</x:f>
        <x:v>PASS</x:v>
      </x:c>
    </x:row>
    <x:row r="14" ht="26" customHeight="1">
      <x:c r="C14" s="12" t="str">
        <x:v>Position records</x:v>
      </x:c>
      <x:c r="D14" s="86" t="n">
        <x:f>COUNTA('Position Register'!C5:C156)</x:f>
        <x:v>152</x:v>
      </x:c>
      <x:c r="E14" s="86" t="n">
        <x:v>152</x:v>
      </x:c>
      <x:c r="F14" s="89" t="str">
        <x:f>IF(ABS(D14-E14)&lt;0.0001,"PASS","FAIL")</x:f>
        <x:v>PASS</x:v>
      </x:c>
    </x:row>
    <x:row r="15" ht="26" customHeight="1">
      <x:c r="C15" s="12" t="str">
        <x:v>Unique position IDs</x:v>
      </x:c>
      <x:c r="D15" s="86" t="n">
        <x:f>COUNTIFS('Position Register'!V5:V156,1)</x:f>
        <x:v>152</x:v>
      </x:c>
      <x:c r="E15" s="86" t="n">
        <x:v>152</x:v>
      </x:c>
      <x:c r="F15" s="89" t="str">
        <x:f>IF(ABS(D15-E15)&lt;0.0001,"PASS","FAIL")</x:f>
        <x:v>PASS</x:v>
      </x:c>
    </x:row>
    <x:row r="16" ht="26" customHeight="1">
      <x:c r="C16" s="12" t="str">
        <x:v>Strategic source positions</x:v>
      </x:c>
      <x:c r="D16" s="86" t="n">
        <x:f>COUNTIFS('Position Register'!F5:F156,"LF-R1")</x:f>
        <x:v>16</x:v>
      </x:c>
      <x:c r="E16" s="86" t="n">
        <x:v>16</x:v>
      </x:c>
      <x:c r="F16" s="89" t="str">
        <x:f>IF(ABS(D16-E16)&lt;0.0001,"PASS","FAIL")</x:f>
        <x:v>PASS</x:v>
      </x:c>
    </x:row>
    <x:row r="17" ht="26" customHeight="1">
      <x:c r="C17" s="12" t="str">
        <x:v>Water positions</x:v>
      </x:c>
      <x:c r="D17" s="86" t="n">
        <x:f>COUNTIFS('Position Register'!F5:F156,"LF-R2")</x:f>
        <x:v>32</x:v>
      </x:c>
      <x:c r="E17" s="86" t="n">
        <x:v>32</x:v>
      </x:c>
      <x:c r="F17" s="89" t="str">
        <x:f>IF(ABS(D17-E17)&lt;0.0001,"PASS","FAIL")</x:f>
        <x:v>PASS</x:v>
      </x:c>
    </x:row>
    <x:row r="18" ht="26" customHeight="1">
      <x:c r="C18" s="12" t="str">
        <x:v>Local-power positions</x:v>
      </x:c>
      <x:c r="D18" s="86" t="n">
        <x:f>COUNTIFS('Position Register'!F5:F156,"LF-R3")</x:f>
        <x:v>40</x:v>
      </x:c>
      <x:c r="E18" s="86" t="n">
        <x:v>40</x:v>
      </x:c>
      <x:c r="F18" s="89" t="str">
        <x:f>IF(ABS(D18-E18)&lt;0.0001,"PASS","FAIL")</x:f>
        <x:v>PASS</x:v>
      </x:c>
    </x:row>
    <x:row r="19" ht="26" customHeight="1">
      <x:c r="C19" s="12" t="str">
        <x:v>Grid-bridge positions</x:v>
      </x:c>
      <x:c r="D19" s="86" t="n">
        <x:f>COUNTIFS('Position Register'!F5:F156,"LF-R4")</x:f>
        <x:v>32</x:v>
      </x:c>
      <x:c r="E19" s="86" t="n">
        <x:v>32</x:v>
      </x:c>
      <x:c r="F19" s="89" t="str">
        <x:f>IF(ABS(D19-E19)&lt;0.0001,"PASS","FAIL")</x:f>
        <x:v>PASS</x:v>
      </x:c>
    </x:row>
    <x:row r="20" ht="26" customHeight="1">
      <x:c r="C20" s="12" t="str">
        <x:v>Thermal positions</x:v>
      </x:c>
      <x:c r="D20" s="86" t="n">
        <x:f>COUNTIFS('Position Register'!F5:F156,"LF-R5")</x:f>
        <x:v>32</x:v>
      </x:c>
      <x:c r="E20" s="86" t="n">
        <x:v>32</x:v>
      </x:c>
      <x:c r="F20" s="89" t="str">
        <x:f>IF(ABS(D20-E20)&lt;0.0001,"PASS","FAIL")</x:f>
        <x:v>PASS</x:v>
      </x:c>
    </x:row>
    <x:row r="21" ht="26" customHeight="1">
      <x:c r="C21" s="12" t="str">
        <x:v>Article records</x:v>
      </x:c>
      <x:c r="D21" s="86" t="n">
        <x:f>COUNTA('Article Bill'!C5:C44)</x:f>
        <x:v>40</x:v>
      </x:c>
      <x:c r="E21" s="86" t="n">
        <x:v>40</x:v>
      </x:c>
      <x:c r="F21" s="89" t="str">
        <x:f>IF(ABS(D21-E21)&lt;0.0001,"PASS","FAIL")</x:f>
        <x:v>PASS</x:v>
      </x:c>
    </x:row>
    <x:row r="22" ht="26" customHeight="1">
      <x:c r="C22" s="12" t="str">
        <x:v>Article dry mass Root A</x:v>
      </x:c>
      <x:c r="D22" s="86" t="n">
        <x:f>SUMIFS('Article Bill'!K5:K44,'Article Bill'!E5:E44,"A")</x:f>
        <x:v>171300</x:v>
      </x:c>
      <x:c r="E22" s="86" t="n">
        <x:v>171300</x:v>
      </x:c>
      <x:c r="F22" s="89" t="str">
        <x:f>IF(ABS(D22-E22)&lt;0.0001,"PASS","FAIL")</x:f>
        <x:v>PASS</x:v>
      </x:c>
    </x:row>
    <x:row r="23" ht="26" customHeight="1">
      <x:c r="C23" s="12" t="str">
        <x:v>Article dry mass Root B</x:v>
      </x:c>
      <x:c r="D23" s="86" t="n">
        <x:f>SUMIFS('Article Bill'!K5:K44,'Article Bill'!E5:E44,"B")</x:f>
        <x:v>124300</x:v>
      </x:c>
      <x:c r="E23" s="86" t="n">
        <x:v>124300</x:v>
      </x:c>
      <x:c r="F23" s="89" t="str">
        <x:f>IF(ABS(D23-E23)&lt;0.0001,"PASS","FAIL")</x:f>
        <x:v>PASS</x:v>
      </x:c>
    </x:row>
    <x:row r="24" ht="26" customHeight="1">
      <x:c r="C24" s="12" t="str">
        <x:v>Article dry mass Root C</x:v>
      </x:c>
      <x:c r="D24" s="86" t="n">
        <x:f>SUMIFS('Article Bill'!K5:K44,'Article Bill'!E5:E44,"C")</x:f>
        <x:v>138600</x:v>
      </x:c>
      <x:c r="E24" s="86" t="n">
        <x:v>138600</x:v>
      </x:c>
      <x:c r="F24" s="89" t="str">
        <x:f>IF(ABS(D24-E24)&lt;0.0001,"PASS","FAIL")</x:f>
        <x:v>PASS</x:v>
      </x:c>
    </x:row>
    <x:row r="25" ht="26" customHeight="1">
      <x:c r="C25" s="12" t="str">
        <x:v>Article dry mass Root D</x:v>
      </x:c>
      <x:c r="D25" s="86" t="n">
        <x:f>SUMIFS('Article Bill'!K5:K44,'Article Bill'!E5:E44,"D")</x:f>
        <x:v>73400</x:v>
      </x:c>
      <x:c r="E25" s="86" t="n">
        <x:v>73400</x:v>
      </x:c>
      <x:c r="F25" s="89" t="str">
        <x:f>IF(ABS(D25-E25)&lt;0.0001,"PASS","FAIL")</x:f>
        <x:v>PASS</x:v>
      </x:c>
    </x:row>
    <x:row r="26" ht="26" customHeight="1">
      <x:c r="C26" s="12" t="str">
        <x:v>Deployed crew Root A</x:v>
      </x:c>
      <x:c r="D26" s="86" t="n">
        <x:f>SUMIFS('Article Bill'!M5:M44,'Article Bill'!E5:E44,"A")</x:f>
        <x:v>5090</x:v>
      </x:c>
      <x:c r="E26" s="86" t="n">
        <x:v>5090</x:v>
      </x:c>
      <x:c r="F26" s="89" t="str">
        <x:f>IF(ABS(D26-E26)&lt;0.0001,"PASS","FAIL")</x:f>
        <x:v>PASS</x:v>
      </x:c>
    </x:row>
    <x:row r="27" ht="26" customHeight="1">
      <x:c r="C27" s="12" t="str">
        <x:v>Deployed crew Root B</x:v>
      </x:c>
      <x:c r="D27" s="86" t="n">
        <x:f>SUMIFS('Article Bill'!M5:M44,'Article Bill'!E5:E44,"B")</x:f>
        <x:v>5330</x:v>
      </x:c>
      <x:c r="E27" s="86" t="n">
        <x:v>5330</x:v>
      </x:c>
      <x:c r="F27" s="89" t="str">
        <x:f>IF(ABS(D27-E27)&lt;0.0001,"PASS","FAIL")</x:f>
        <x:v>PASS</x:v>
      </x:c>
    </x:row>
    <x:row r="28" ht="26" customHeight="1">
      <x:c r="C28" s="12" t="str">
        <x:v>Deployed crew Root C</x:v>
      </x:c>
      <x:c r="D28" s="86" t="n">
        <x:f>SUMIFS('Article Bill'!M5:M44,'Article Bill'!E5:E44,"C")</x:f>
        <x:v>4000</x:v>
      </x:c>
      <x:c r="E28" s="86" t="n">
        <x:v>4000</x:v>
      </x:c>
      <x:c r="F28" s="89" t="str">
        <x:f>IF(ABS(D28-E28)&lt;0.0001,"PASS","FAIL")</x:f>
        <x:v>PASS</x:v>
      </x:c>
    </x:row>
    <x:row r="29" ht="26" customHeight="1">
      <x:c r="C29" s="12" t="str">
        <x:v>Deployed crew Root D</x:v>
      </x:c>
      <x:c r="D29" s="86" t="n">
        <x:f>SUMIFS('Article Bill'!M5:M44,'Article Bill'!E5:E44,"D")</x:f>
        <x:v>4050</x:v>
      </x:c>
      <x:c r="E29" s="86" t="n">
        <x:v>4050</x:v>
      </x:c>
      <x:c r="F29" s="89" t="str">
        <x:f>IF(ABS(D29-E29)&lt;0.0001,"PASS","FAIL")</x:f>
        <x:v>PASS</x:v>
      </x:c>
    </x:row>
    <x:row r="30" ht="26" customHeight="1">
      <x:c r="C30" s="12" t="str">
        <x:v>Capacity records</x:v>
      </x:c>
      <x:c r="D30" s="86" t="n">
        <x:f>COUNTA('Capacity Build'!C5:C44)</x:f>
        <x:v>40</x:v>
      </x:c>
      <x:c r="E30" s="86" t="n">
        <x:v>40</x:v>
      </x:c>
      <x:c r="F30" s="89" t="str">
        <x:f>IF(ABS(D30-E30)&lt;0.0001,"PASS","FAIL")</x:f>
        <x:v>PASS</x:v>
      </x:c>
    </x:row>
    <x:row r="31" ht="26" customHeight="1">
      <x:c r="C31" s="12" t="str">
        <x:v>Capacity planning passes</x:v>
      </x:c>
      <x:c r="D31" s="86" t="n">
        <x:f>COUNTIFS('Capacity Build'!K5:K44,"PASS")</x:f>
        <x:v>40</x:v>
      </x:c>
      <x:c r="E31" s="86" t="n">
        <x:v>40</x:v>
      </x:c>
      <x:c r="F31" s="89" t="str">
        <x:f>IF(ABS(D31-E31)&lt;0.0001,"PASS","FAIL")</x:f>
        <x:v>PASS</x:v>
      </x:c>
    </x:row>
    <x:row r="32" ht="26" customHeight="1">
      <x:c r="C32" s="12" t="str">
        <x:v>Root A receiving thermal MW</x:v>
      </x:c>
      <x:c r="D32" s="86" t="n">
        <x:f>SUMIFS('Position Register'!O5:O156,'Position Register'!D5:D156,"LF-A-CF1",'Position Register'!F5:F156,"LF-R5")</x:f>
        <x:v>80</x:v>
      </x:c>
      <x:c r="E32" s="86" t="n">
        <x:v>80</x:v>
      </x:c>
      <x:c r="F32" s="89" t="str">
        <x:f>IF(ABS(D32-E32)&lt;0.0001,"PASS","FAIL")</x:f>
        <x:v>PASS</x:v>
      </x:c>
    </x:row>
    <x:row r="33" ht="26" customHeight="1">
      <x:c r="C33" s="12" t="str">
        <x:v>Source balances</x:v>
      </x:c>
      <x:c r="D33" s="86" t="n">
        <x:f>COUNTA('Source Balance'!C5:C8)</x:f>
        <x:v>4</x:v>
      </x:c>
      <x:c r="E33" s="86" t="n">
        <x:v>4</x:v>
      </x:c>
      <x:c r="F33" s="89" t="str">
        <x:f>IF(ABS(D33-E33)&lt;0.0001,"PASS","FAIL")</x:f>
        <x:v>PASS</x:v>
      </x:c>
    </x:row>
    <x:row r="34" ht="26" customHeight="1">
      <x:c r="C34" s="12" t="str">
        <x:v>Source balance passes</x:v>
      </x:c>
      <x:c r="D34" s="86" t="n">
        <x:f>COUNTIFS('Source Balance'!Q5:Q8,"PASS")</x:f>
        <x:v>4</x:v>
      </x:c>
      <x:c r="E34" s="86" t="n">
        <x:v>4</x:v>
      </x:c>
      <x:c r="F34" s="89" t="str">
        <x:f>IF(ABS(D34-E34)&lt;0.0001,"PASS","FAIL")</x:f>
        <x:v>PASS</x:v>
      </x:c>
    </x:row>
    <x:row r="35" ht="26" customHeight="1">
      <x:c r="C35" s="12" t="str">
        <x:v>Minimum source margin</x:v>
      </x:c>
      <x:c r="D35" s="86" t="n">
        <x:f>MIN('Source Balance'!P5:P8)</x:f>
        <x:v>2.64895833333334</x:v>
      </x:c>
      <x:c r="E35" s="86" t="n">
        <x:v>2.648958333333</x:v>
      </x:c>
      <x:c r="F35" s="89" t="str">
        <x:f>IF(ABS(D35-E35)&lt;0.0001,"PASS","FAIL")</x:f>
        <x:v>PASS</x:v>
      </x:c>
    </x:row>
    <x:row r="36" ht="26" customHeight="1">
      <x:c r="C36" s="12" t="str">
        <x:v>Water balances</x:v>
      </x:c>
      <x:c r="D36" s="86" t="n">
        <x:f>COUNTA('Water Balance'!C5:C8)</x:f>
        <x:v>4</x:v>
      </x:c>
      <x:c r="E36" s="86" t="n">
        <x:v>4</x:v>
      </x:c>
      <x:c r="F36" s="89" t="str">
        <x:f>IF(ABS(D36-E36)&lt;0.0001,"PASS","FAIL")</x:f>
        <x:v>PASS</x:v>
      </x:c>
    </x:row>
    <x:row r="37" ht="26" customHeight="1">
      <x:c r="C37" s="12" t="str">
        <x:v>Water closure maximum</x:v>
      </x:c>
      <x:c r="D37" s="86" t="n">
        <x:f>MAX('Water Balance'!I5:I8)</x:f>
        <x:v>0</x:v>
      </x:c>
      <x:c r="E37" s="86" t="n">
        <x:v>0</x:v>
      </x:c>
      <x:c r="F37" s="89" t="str">
        <x:f>IF(ABS(D37-E37)&lt;0.0001,"PASS","FAIL")</x:f>
        <x:v>PASS</x:v>
      </x:c>
    </x:row>
    <x:row r="38" ht="26" customHeight="1">
      <x:c r="C38" s="12" t="str">
        <x:v>Water closure minimum</x:v>
      </x:c>
      <x:c r="D38" s="86" t="n">
        <x:f>MIN('Water Balance'!I5:I8)</x:f>
        <x:v>0</x:v>
      </x:c>
      <x:c r="E38" s="86" t="n">
        <x:v>0</x:v>
      </x:c>
      <x:c r="F38" s="89" t="str">
        <x:f>IF(ABS(D38-E38)&lt;0.0001,"PASS","FAIL")</x:f>
        <x:v>PASS</x:v>
      </x:c>
    </x:row>
    <x:row r="39" ht="26" customHeight="1">
      <x:c r="C39" s="12" t="str">
        <x:v>Corridor records</x:v>
      </x:c>
      <x:c r="D39" s="86" t="n">
        <x:f>COUNTA('Corridor Build'!C5:C8)</x:f>
        <x:v>4</x:v>
      </x:c>
      <x:c r="E39" s="86" t="n">
        <x:v>4</x:v>
      </x:c>
      <x:c r="F39" s="89" t="str">
        <x:f>IF(ABS(D39-E39)&lt;0.0001,"PASS","FAIL")</x:f>
        <x:v>PASS</x:v>
      </x:c>
    </x:row>
    <x:row r="40" ht="26" customHeight="1">
      <x:c r="C40" s="12" t="str">
        <x:v>Corridor planning passes</x:v>
      </x:c>
      <x:c r="D40" s="86" t="n">
        <x:f>COUNTIFS('Corridor Build'!R5:R8,"PASS")</x:f>
        <x:v>4</x:v>
      </x:c>
      <x:c r="E40" s="86" t="n">
        <x:v>4</x:v>
      </x:c>
      <x:c r="F40" s="89" t="str">
        <x:f>IF(ABS(D40-E40)&lt;0.0001,"PASS","FAIL")</x:f>
        <x:v>PASS</x:v>
      </x:c>
    </x:row>
    <x:row r="41" ht="26" customHeight="1">
      <x:c r="C41" s="12" t="str">
        <x:v>Total pipe km/root</x:v>
      </x:c>
      <x:c r="D41" s="86" t="n">
        <x:f>MIN('Corridor Build'!H5:H8)</x:f>
        <x:v>240</x:v>
      </x:c>
      <x:c r="E41" s="86" t="n">
        <x:v>240</x:v>
      </x:c>
      <x:c r="F41" s="89" t="str">
        <x:f>IF(ABS(D41-E41)&lt;0.0001,"PASS","FAIL")</x:f>
        <x:v>PASS</x:v>
      </x:c>
    </x:row>
    <x:row r="42" ht="26" customHeight="1">
      <x:c r="C42" s="12" t="str">
        <x:v>Workforce records</x:v>
      </x:c>
      <x:c r="D42" s="86" t="n">
        <x:f>COUNTA('Workforce'!C5:C40)</x:f>
        <x:v>36</x:v>
      </x:c>
      <x:c r="E42" s="86" t="n">
        <x:v>36</x:v>
      </x:c>
      <x:c r="F42" s="89" t="str">
        <x:f>IF(ABS(D42-E42)&lt;0.0001,"PASS","FAIL")</x:f>
        <x:v>PASS</x:v>
      </x:c>
    </x:row>
    <x:row r="43" ht="26" customHeight="1">
      <x:c r="C43" s="12" t="str">
        <x:v>Failure trials</x:v>
      </x:c>
      <x:c r="D43" s="86" t="n">
        <x:f>COUNTA('Failure Worlds'!C5:C76)</x:f>
        <x:v>72</x:v>
      </x:c>
      <x:c r="E43" s="86" t="n">
        <x:v>72</x:v>
      </x:c>
      <x:c r="F43" s="89" t="str">
        <x:f>IF(ABS(D43-E43)&lt;0.0001,"PASS","FAIL")</x:f>
        <x:v>PASS</x:v>
      </x:c>
    </x:row>
    <x:row r="44" ht="26" customHeight="1">
      <x:c r="C44" s="12" t="str">
        <x:v>Untested failure trials</x:v>
      </x:c>
      <x:c r="D44" s="86" t="n">
        <x:f>COUNTIFS('Failure Worlds'!K5:K76,"UNTESTED")</x:f>
        <x:v>72</x:v>
      </x:c>
      <x:c r="E44" s="86" t="n">
        <x:v>72</x:v>
      </x:c>
      <x:c r="F44" s="89" t="str">
        <x:f>IF(ABS(D44-E44)&lt;0.0001,"PASS","FAIL")</x:f>
        <x:v>PASS</x:v>
      </x:c>
    </x:row>
    <x:row r="45" ht="26" customHeight="1">
      <x:c r="C45" s="12" t="str">
        <x:v>Ancestry declarations</x:v>
      </x:c>
      <x:c r="D45" s="86" t="n">
        <x:f>COUNTA('Ancestry Ledger'!C5:C52)</x:f>
        <x:v>48</x:v>
      </x:c>
      <x:c r="E45" s="86" t="n">
        <x:v>48</x:v>
      </x:c>
      <x:c r="F45" s="89" t="str">
        <x:f>IF(ABS(D45-E45)&lt;0.0001,"PASS","FAIL")</x:f>
        <x:v>PASS</x:v>
      </x:c>
    </x:row>
    <x:row r="46" ht="26" customHeight="1">
      <x:c r="C46" s="12" t="str">
        <x:v>Undeclared ancestry</x:v>
      </x:c>
      <x:c r="D46" s="86" t="n">
        <x:f>COUNTIFS('Ancestry Ledger'!J5:J52,"UNDECLARED")</x:f>
        <x:v>48</x:v>
      </x:c>
      <x:c r="E46" s="86" t="n">
        <x:v>48</x:v>
      </x:c>
      <x:c r="F46" s="89" t="str">
        <x:f>IF(ABS(D46-E46)&lt;0.0001,"PASS","FAIL")</x:f>
        <x:v>PASS</x:v>
      </x:c>
    </x:row>
    <x:row r="47" ht="26" customHeight="1">
      <x:c r="C47" s="12" t="str">
        <x:v>G3 gate records</x:v>
      </x:c>
      <x:c r="D47" s="86" t="n">
        <x:f>COUNTA('G3 Gates'!C5:C60)</x:f>
        <x:v>56</x:v>
      </x:c>
      <x:c r="E47" s="86" t="n">
        <x:v>56</x:v>
      </x:c>
      <x:c r="F47" s="89" t="str">
        <x:f>IF(ABS(D47-E47)&lt;0.0001,"PASS","FAIL")</x:f>
        <x:v>PASS</x:v>
      </x:c>
    </x:row>
    <x:row r="48" ht="26" customHeight="1">
      <x:c r="C48" s="12" t="str">
        <x:v>Open G3 gates</x:v>
      </x:c>
      <x:c r="D48" s="86" t="n">
        <x:f>COUNTIFS('G3 Gates'!I5:I60,"OPEN")</x:f>
        <x:v>56</x:v>
      </x:c>
      <x:c r="E48" s="86" t="n">
        <x:v>56</x:v>
      </x:c>
      <x:c r="F48" s="89" t="str">
        <x:f>IF(ABS(D48-E48)&lt;0.0001,"PASS","FAIL")</x:f>
        <x:v>PASS</x:v>
      </x:c>
    </x:row>
    <x:row r="49" ht="26" customHeight="1">
      <x:c r="C49" s="12" t="str">
        <x:v>Released roots</x:v>
      </x:c>
      <x:c r="D49" s="86" t="n">
        <x:f>COUNTIFS('Root Summary'!Q5:Q8,"G3 RELEASE")</x:f>
        <x:v>0</x:v>
      </x:c>
      <x:c r="E49" s="86" t="n">
        <x:v>0</x:v>
      </x:c>
      <x:c r="F49" s="89" t="str">
        <x:f>IF(ABS(D49-E49)&lt;0.0001,"PASS","FAIL")</x:f>
        <x:v>PASS</x:v>
      </x:c>
    </x:row>
    <x:row r="50" ht="26" customHeight="1">
      <x:c r="C50" s="12" t="str">
        <x:v>Technology programs</x:v>
      </x:c>
      <x:c r="D50" s="86" t="n">
        <x:f>COUNTA('Technology Programs'!C5:C32)</x:f>
        <x:v>28</x:v>
      </x:c>
      <x:c r="E50" s="86" t="n">
        <x:v>28</x:v>
      </x:c>
      <x:c r="F50" s="89" t="str">
        <x:f>IF(ABS(D50-E50)&lt;0.0001,"PASS","FAIL")</x:f>
        <x:v>PASS</x:v>
      </x:c>
    </x:row>
    <x:row r="51" ht="26" customHeight="1">
      <x:c r="C51" s="12" t="str">
        <x:v>Technology weight</x:v>
      </x:c>
      <x:c r="D51" s="86" t="n">
        <x:f>SUM('Technology Programs'!J5:J32)</x:f>
        <x:v>4.000000000000001</x:v>
      </x:c>
      <x:c r="E51" s="86" t="n">
        <x:v>4</x:v>
      </x:c>
      <x:c r="F51" s="89" t="str">
        <x:f>IF(ABS(D51-E51)&lt;0.0001,"PASS","FAIL")</x:f>
        <x:v>PASS</x:v>
      </x:c>
    </x:row>
    <x:row r="52" ht="26" customHeight="1">
      <x:c r="C52" s="12" t="str">
        <x:v>Technology allocation</x:v>
      </x:c>
      <x:c r="D52" s="86" t="n">
        <x:f>SUM('Technology Programs'!K5:K32)</x:f>
        <x:v>35.976512772822545</x:v>
      </x:c>
      <x:c r="E52" s="86" t="n">
        <x:v>35.976512772822545</x:v>
      </x:c>
      <x:c r="F52" s="89" t="str">
        <x:f>IF(ABS(D52-E52)&lt;0.0001,"PASS","FAIL")</x:f>
        <x:v>PASS</x:v>
      </x:c>
    </x:row>
    <x:row r="53" ht="26" customHeight="1">
      <x:c r="C53" s="12" t="str">
        <x:v>Finance program classes</x:v>
      </x:c>
      <x:c r="D53" s="86" t="n">
        <x:f>SUM(Finance!D13:D17)</x:f>
        <x:v>1</x:v>
      </x:c>
      <x:c r="E53" s="86" t="n">
        <x:v>1</x:v>
      </x:c>
      <x:c r="F53" s="89" t="str">
        <x:f>IF(ABS(D53-E53)&lt;0.0001,"PASS","FAIL")</x:f>
        <x:v>PASS</x:v>
      </x:c>
    </x:row>
    <x:row r="54" ht="26" customHeight="1">
      <x:c r="C54" s="12" t="str">
        <x:v>Finance G0–G3 boundary</x:v>
      </x:c>
      <x:c r="D54" s="86" t="n">
        <x:f>Finance!D7</x:f>
        <x:v>35.976512772822545</x:v>
      </x:c>
      <x:c r="E54" s="86" t="n">
        <x:v>35.976512772822545</x:v>
      </x:c>
      <x:c r="F54" s="89" t="str">
        <x:f>IF(ABS(D54-E54)&lt;0.0001,"PASS","FAIL")</x:f>
        <x:v>PASS</x:v>
      </x:c>
    </x:row>
    <x:row r="55" ht="26" customHeight="1">
      <x:c r="C55" s="12" t="str">
        <x:v>Root reservations</x:v>
      </x:c>
      <x:c r="D55" s="86" t="n">
        <x:f>SUM(Finance!E22:E25)</x:f>
        <x:v>35.976512772822545</x:v>
      </x:c>
      <x:c r="E55" s="86" t="n">
        <x:v>35.976512772822545</x:v>
      </x:c>
      <x:c r="F55" s="89" t="str">
        <x:f>IF(ABS(D55-E55)&lt;0.0001,"PASS","FAIL")</x:f>
        <x:v>PASS</x:v>
      </x:c>
    </x:row>
    <x:row r="56" ht="26" customHeight="1">
      <x:c r="C56" s="12" t="str">
        <x:v>Force credit</x:v>
      </x:c>
      <x:c r="D56" s="86" t="n">
        <x:f>SUM('Root Summary'!R5:R8)</x:f>
        <x:v>0</x:v>
      </x:c>
      <x:c r="E56" s="86" t="n">
        <x:v>0</x:v>
      </x:c>
      <x:c r="F56" s="89" t="str">
        <x:f>IF(ABS(D56-E56)&lt;0.0001,"PASS","FAIL")</x:f>
        <x:v>PASS</x:v>
      </x:c>
    </x:row>
    <x:row r="57" ht="26" customHeight="1">
      <x:c r="C57" s="12" t="str">
        <x:v>Rendering blocks</x:v>
      </x:c>
      <x:c r="D57" s="86" t="n">
        <x:f>COUNTIFS('Root Summary'!S5:S8,"BLOCKED")</x:f>
        <x:v>4</x:v>
      </x:c>
      <x:c r="E57" s="86" t="n">
        <x:v>4</x:v>
      </x:c>
      <x:c r="F57" s="89" t="str">
        <x:f>IF(ABS(D57-E57)&lt;0.0001,"PASS","FAIL")</x:f>
        <x:v>PASS</x:v>
      </x:c>
    </x:row>
    <x:row r="58" ht="26" customHeight="1">
      <x:c r="C58" s="13" t="str">
        <x:v>Internal sources</x:v>
      </x:c>
      <x:c r="D58" s="87" t="n">
        <x:f>COUNTA(Sources!C5:C12)</x:f>
        <x:v>8</x:v>
      </x:c>
      <x:c r="E58" s="87" t="n">
        <x:v>8</x:v>
      </x:c>
      <x:c r="F58" s="90" t="str">
        <x:f>IF(ABS(D58-E58)&lt;0.0001,"PASS","FAIL")</x:f>
        <x:v>PASS</x:v>
      </x:c>
    </x:row>
  </x:sheetData>
  <x:conditionalFormatting sqref="F5:F58">
    <x:cfRule type="containsText" dxfId="90" priority="1" operator="containsText" text="FAIL"/>
    <x:cfRule type="containsText" dxfId="91" priority="2" operator="containsText" text="OPEN"/>
    <x:cfRule type="containsText" dxfId="92" priority="3" operator="containsText" text="HOLD"/>
    <x:cfRule type="containsText" dxfId="93" priority="4" operator="containsText" text="SELECT"/>
    <x:cfRule type="containsText" dxfId="94" priority="5" operator="containsText" text="PASS"/>
    <x:cfRule type="containsText" dxfId="95" priority="6" operator="containsText" text="BLOCK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3" max="3" width="33.33000183105469" hidden="0" customWidth="1"/>
    <x:col min="4" max="4" width="68.88999938964844" hidden="0" customWidth="1"/>
    <x:col min="5" max="5" width="50" hidden="0" customWidth="1"/>
  </x:cols>
  <x:sheetData>
    <x:row r="2">
      <x:c r="C2" s="1" t="str">
        <x:v>Internal sources</x:v>
      </x:c>
    </x:row>
    <x:row r="3">
      <x:c r="C3" s="2" t="str">
        <x:v>No external-site research is used in this pass.</x:v>
      </x:c>
    </x:row>
    <x:row r="4" ht="30" customHeight="1">
      <x:c r="C4" s="7" t="str">
        <x:v>Source</x:v>
      </x:c>
      <x:c r="D4" s="7" t="str">
        <x:v>Repository path</x:v>
      </x:c>
      <x:c r="E4" s="7" t="str">
        <x:v>Authority imported</x:v>
      </x:c>
    </x:row>
    <x:row r="5" ht="48" customHeight="1">
      <x:c r="C5" s="11" t="str">
        <x:v>Pass 175 root-diversity constitution</x:v>
      </x:c>
      <x:c r="D5" s="11" t="str">
        <x:v>research/force/generation/department-of-resilience-twenty-four-root-diversity-and-g3-technical-freeze-constitution.md</x:v>
      </x:c>
      <x:c r="E5" s="11" t="str">
        <x:v>Twenty-four roots, commonality law, route counts, ancestry and G3 gates</x:v>
      </x:c>
    </x:row>
    <x:row r="6" ht="48" customHeight="1">
      <x:c r="C6" s="12" t="str">
        <x:v>Pass 168 mission-system portfolio</x:v>
      </x:c>
      <x:c r="D6" s="12" t="str">
        <x:v>research/force/generation/department-of-resilience-six-mission-system-portfolio-topology-and-technology-competition-constitution.md</x:v>
      </x:c>
      <x:c r="E6" s="12" t="str">
        <x:v>Six-system selection context and USD 72.0B lifeline envelope</x:v>
      </x:c>
    </x:row>
    <x:row r="7" ht="48" customHeight="1">
      <x:c r="C7" s="12" t="str">
        <x:v>Pass 172 service-contract grammar</x:v>
      </x:c>
      <x:c r="D7" s="12" t="str">
        <x:v>research/force/generation/department-of-resilience-all-six-service-contract-vector-and-mission-exchange-grammar-constitution.md</x:v>
      </x:c>
      <x:c r="E7" s="12" t="str">
        <x:v>Five lifeline routes and seven-stage law</x:v>
      </x:c>
    </x:row>
    <x:row r="8" ht="48" customHeight="1">
      <x:c r="C8" s="12" t="str">
        <x:v>Nuclear Water–Energy System</x:v>
      </x:c>
      <x:c r="D8" s="12" t="str">
        <x:v>research/systems/water/nuclear-water-energy-system.md</x:v>
      </x:c>
      <x:c r="E8" s="12" t="str">
        <x:v>Separated energy/process/interface/corridor architecture and balances</x:v>
      </x:c>
    </x:row>
    <x:row r="9" ht="48" customHeight="1">
      <x:c r="C9" s="12" t="str">
        <x:v>National Utility Projection System</x:v>
      </x:c>
      <x:c r="D9" s="12" t="str">
        <x:v>research/mandate/national-utility-projection-system.md</x:v>
      </x:c>
      <x:c r="E9" s="12" t="str">
        <x:v>Wet, island and inland nodes; source diversity and workforce</x:v>
      </x:c>
    </x:row>
    <x:row r="10" ht="48" customHeight="1">
      <x:c r="C10" s="12" t="str">
        <x:v>F36 rapid water trunkline</x:v>
      </x:c>
      <x:c r="D10" s="12" t="str">
        <x:v>research/force/generation/f36-rapid-water-trunkline-range-and-article-constitution.md</x:v>
      </x:c>
      <x:c r="E10" s="12" t="str">
        <x:v>Dual-route corridor, buffer, repair and no-crutch boundary</x:v>
      </x:c>
    </x:row>
    <x:row r="11" ht="48" customHeight="1">
      <x:c r="C11" s="12" t="str">
        <x:v>Heat-blackout power and thermal cell</x:v>
      </x:c>
      <x:c r="D11" s="12" t="str">
        <x:v>research/force/projection/heat-blackout-power-and-thermal-service-cell.md</x:v>
      </x:c>
      <x:c r="E11" s="12" t="str">
        <x:v>Point-of-use power, thermal, building and workforce closure</x:v>
      </x:c>
    </x:row>
    <x:row r="12" ht="48" customHeight="1">
      <x:c r="C12" s="13" t="str">
        <x:v>Cellular power and thermal independence</x:v>
      </x:c>
      <x:c r="D12" s="13" t="str">
        <x:v>research/force/projection/wrg-fr10-cellular-power-and-thermal-independence.md</x:v>
      </x:c>
      <x:c r="E12" s="13" t="str">
        <x:v>Black start, largest-source loss, offline control and reset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3" max="3" width="21.110000610351562" hidden="0" customWidth="1"/>
    <x:col min="4" max="4" width="84.44000244140625" hidden="0" customWidth="1"/>
  </x:cols>
  <x:sheetData>
    <x:row r="2">
      <x:c r="C2" s="1" t="str">
        <x:v>How to read the lifeline root constitution</x:v>
      </x:c>
    </x:row>
    <x:row r="4" ht="30" customHeight="1">
      <x:c r="C4" s="7" t="str">
        <x:v>Topic</x:v>
      </x:c>
      <x:c r="D4" s="7" t="str">
        <x:v>Use</x:v>
      </x:c>
    </x:row>
    <x:row r="5" ht="44" customHeight="1">
      <x:c r="C5" s="17" t="str">
        <x:v>Decision</x:v>
      </x:c>
      <x:c r="D5" s="11" t="str">
        <x:v>MS-LF is selected as the first complete physical root campaign through eight noncompensable gates.</x:v>
      </x:c>
    </x:row>
    <x:row r="6" ht="44" customHeight="1">
      <x:c r="C6" s="18" t="str">
        <x:v>Public denominator</x:v>
      </x:c>
      <x:c r="D6" s="12" t="str">
        <x:v>Every root serves the same two-million-person water, wastewater, power and thermal vector.</x:v>
      </x:c>
    </x:row>
    <x:row r="7" ht="44" customHeight="1">
      <x:c r="C7" s="18" t="str">
        <x:v>Configuration</x:v>
      </x:c>
      <x:c r="D7" s="12" t="str">
        <x:v>The 152 position records and forty article lines are frozen test hypotheses, not released hardware.</x:v>
      </x:c>
    </x:row>
    <x:row r="8" ht="44" customHeight="1">
      <x:c r="C8" s="18" t="str">
        <x:v>Balances</x:v>
      </x:c>
      <x:c r="D8" s="12" t="str">
        <x:v>Source, water, corridor, workforce and finance builds are formula linked to controlled inputs.</x:v>
      </x:c>
    </x:row>
    <x:row r="9" ht="44" customHeight="1">
      <x:c r="C9" s="18" t="str">
        <x:v>Editable inputs</x:v>
      </x:c>
      <x:c r="D9" s="12" t="str">
        <x:v>Blue control, ancestry and gate cells identify future controlled changes or evidence.</x:v>
      </x:c>
    </x:row>
    <x:row r="10" ht="44" customHeight="1">
      <x:c r="C10" s="18" t="str">
        <x:v>Failure trials</x:v>
      </x:c>
      <x:c r="D10" s="12" t="str">
        <x:v>All seventy-two outcomes remain UNTESTED; no planned behavior is counted as evidence.</x:v>
      </x:c>
    </x:row>
    <x:row r="11" ht="44" customHeight="1">
      <x:c r="C11" s="18" t="str">
        <x:v>Finance</x:v>
      </x:c>
      <x:c r="D11" s="12" t="str">
        <x:v>USD 35.98B is the existing lifeline share through G3; each root receives an equal option.</x:v>
      </x:c>
    </x:row>
    <x:row r="12" ht="44" customHeight="1">
      <x:c r="C12" s="18" t="str">
        <x:v>Admission</x:v>
      </x:c>
      <x:c r="D12" s="12" t="str">
        <x:v>All forty-eight ancestry declarations and fifty-six G3 gates remain open. Force credit is zero.</x:v>
      </x:c>
    </x:row>
    <x:row r="13" ht="44" customHeight="1">
      <x:c r="C13" s="18" t="str">
        <x:v>Rendering</x:v>
      </x:c>
      <x:c r="D13" s="12" t="str">
        <x:v>Blocked until physical evidence fixes the internal bill and makes exterior form consequential.</x:v>
      </x:c>
    </x:row>
    <x:row r="14" ht="44" customHeight="1">
      <x:c r="C14" s="19" t="str">
        <x:v>Source boundary</x:v>
      </x:c>
      <x:c r="D14" s="13" t="str">
        <x:v>Eight repository sources only; no external sites are used.</x:v>
      </x:c>
    </x:row>
  </x:sheetData>
  <x:pageMargins left="0.7" right="0.7" top="0.75" bottom="0.75" header="0.3" footer="0.3"/>
</x:worksheet>
</file>